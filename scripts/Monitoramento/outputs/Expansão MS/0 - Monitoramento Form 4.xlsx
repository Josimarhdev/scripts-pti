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Regionais" sheetId="3" state="visible" r:id="rId3"/>
    <sheet name="01.25" sheetId="4" state="visible" r:id="rId4"/>
    <sheet name="02.25" sheetId="5" state="visible" r:id="rId5"/>
    <sheet name="03.25" sheetId="6" state="visible" r:id="rId6"/>
    <sheet name="04.25" sheetId="7" state="visible" r:id="rId7"/>
    <sheet name="05.25" sheetId="8" state="visible" r:id="rId8"/>
    <sheet name="06.25" sheetId="9" state="visible" r:id="rId9"/>
    <sheet name="07.25" sheetId="10" state="visible" r:id="rId10"/>
    <sheet name="08.25" sheetId="11" state="visible" r:id="rId11"/>
    <sheet name="09.25" sheetId="12" state="visible" r:id="rId12"/>
    <sheet name="10.25" sheetId="13" state="visible" r:id="rId13"/>
    <sheet name="11.25" sheetId="14" state="visible" r:id="rId14"/>
    <sheet name="12.25" sheetId="15" state="visible" r:id="rId15"/>
    <sheet name="Irregulares" sheetId="16" state="visible"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Aptos Narrow"/>
      <color theme="0"/>
      <sz val="14"/>
    </font>
    <font>
      <name val="Aptos Narrow"/>
      <b val="1"/>
      <color theme="0"/>
      <sz val="14"/>
    </font>
    <font>
      <name val="Aptos Narrow"/>
      <color theme="1"/>
      <sz val="12"/>
    </font>
    <font>
      <name val="Calibri"/>
      <color theme="1"/>
      <sz val="11"/>
    </font>
    <font>
      <name val="Calibri"/>
      <b val="1"/>
      <color theme="1"/>
      <sz val="11"/>
    </font>
    <font>
      <name val="Aptos Narrow"/>
      <b val="1"/>
      <color theme="1"/>
      <sz val="12"/>
    </font>
    <font>
      <name val="Calibri"/>
      <color theme="0"/>
      <sz val="14"/>
    </font>
    <font>
      <name val="Calibri"/>
      <color theme="0"/>
      <sz val="16"/>
    </font>
    <font>
      <name val="Calibri"/>
      <color theme="1"/>
      <sz val="18"/>
    </font>
    <font>
      <name val="Calibri"/>
      <color theme="0"/>
      <sz val="12"/>
    </font>
    <font>
      <name val="Calibri"/>
      <color theme="0"/>
      <sz val="11"/>
    </font>
    <font>
      <name val="Calibri"/>
      <sz val="11"/>
    </font>
    <font>
      <name val="Aptos Narrow"/>
      <color theme="0"/>
      <sz val="12"/>
    </font>
    <font>
      <name val="Arial"/>
      <color theme="1"/>
      <sz val="11"/>
    </font>
    <font>
      <name val="Arial"/>
      <sz val="11"/>
    </font>
    <font>
      <name val="Calibri"/>
      <color rgb="FFFF0000"/>
      <sz val="11"/>
    </font>
    <font>
      <name val="Arial"/>
      <b val="1"/>
      <color rgb="00FFFFFF"/>
      <sz val="11"/>
    </font>
    <font>
      <name val="Arial"/>
      <color rgb="00FFFFFF"/>
      <sz val="11"/>
    </font>
  </fonts>
  <fills count="48">
    <fill>
      <patternFill/>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
        <bgColor indexed="64"/>
      </patternFill>
    </fill>
    <fill>
      <patternFill patternType="solid">
        <fgColor rgb="FFF5C6AB"/>
        <bgColor indexed="64"/>
      </patternFill>
    </fill>
    <fill>
      <patternFill patternType="solid">
        <fgColor rgb="FFFF8585"/>
        <bgColor indexed="64"/>
      </patternFill>
    </fill>
    <fill>
      <patternFill patternType="solid">
        <fgColor rgb="FFCCC0DA"/>
        <bgColor indexed="64"/>
      </patternFill>
    </fill>
    <fill>
      <patternFill patternType="solid">
        <fgColor rgb="FFB8CCE4"/>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
        <bgColor indexed="64"/>
      </patternFill>
    </fill>
    <fill>
      <patternFill patternType="solid">
        <fgColor rgb="FF002060"/>
        <bgColor indexed="64"/>
      </patternFill>
    </fill>
    <fill>
      <patternFill patternType="solid">
        <fgColor rgb="FF95B3D7"/>
        <bgColor indexed="64"/>
      </patternFill>
    </fill>
    <fill>
      <patternFill patternType="solid">
        <fgColor rgb="FF366092"/>
        <bgColor indexed="64"/>
      </patternFill>
    </fill>
    <fill>
      <patternFill patternType="solid">
        <fgColor rgb="FF00B050"/>
        <bgColor indexed="64"/>
      </patternFill>
    </fill>
    <fill>
      <patternFill patternType="solid">
        <fgColor theme="0" tint="-0.1499984740745262"/>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3" tint="0.249977111117893"/>
        <bgColor indexed="64"/>
      </patternFill>
    </fill>
    <fill>
      <patternFill patternType="solid">
        <fgColor theme="4" tint="0.7999816888943144"/>
        <bgColor theme="4" tint="0.7999816888943144"/>
      </patternFill>
    </fill>
    <fill>
      <patternFill patternType="solid">
        <fgColor rgb="00003366"/>
        <bgColor rgb="00003366"/>
      </patternFill>
    </fill>
    <fill>
      <patternFill patternType="solid">
        <fgColor rgb="FF008000"/>
        <bgColor rgb="FF008000"/>
      </patternFill>
    </fill>
    <fill>
      <patternFill patternType="solid">
        <fgColor rgb="FF808080"/>
        <bgColor rgb="FF808080"/>
      </patternFill>
    </fill>
    <fill>
      <patternFill patternType="solid">
        <fgColor rgb="FF66FF66"/>
        <bgColor rgb="FF66FF66"/>
      </patternFill>
    </fill>
    <fill>
      <patternFill patternType="solid">
        <fgColor rgb="0066FF66"/>
        <bgColor rgb="0066FF66"/>
      </patternFill>
    </fill>
    <fill>
      <patternFill patternType="solid">
        <fgColor rgb="00008000"/>
        <bgColor rgb="00008000"/>
      </patternFill>
    </fill>
    <fill>
      <patternFill patternType="solid">
        <fgColor rgb="FFFDEE00"/>
        <bgColor rgb="FFFDEE00"/>
      </patternFill>
    </fill>
    <fill>
      <patternFill patternType="solid">
        <fgColor rgb="00FDEE00"/>
        <bgColor rgb="00FDEE00"/>
      </patternFill>
    </fill>
    <fill>
      <patternFill patternType="solid">
        <fgColor rgb="FF00BFFF"/>
        <bgColor rgb="FF00BFFF"/>
      </patternFill>
    </fill>
    <fill>
      <patternFill patternType="solid">
        <fgColor rgb="0000BFFF"/>
        <bgColor rgb="0000BFFF"/>
      </patternFill>
    </fill>
    <fill>
      <patternFill patternType="solid">
        <fgColor rgb="FFFFA500"/>
        <bgColor rgb="FFFFA500"/>
      </patternFill>
    </fill>
    <fill>
      <patternFill patternType="solid">
        <fgColor rgb="00FFA500"/>
        <bgColor rgb="00FFA500"/>
      </patternFill>
    </fill>
    <fill>
      <patternFill patternType="solid">
        <fgColor rgb="FFFF0000"/>
        <bgColor rgb="FFFF0000"/>
      </patternFill>
    </fill>
    <fill>
      <patternFill patternType="solid">
        <fgColor rgb="00FF0000"/>
        <bgColor rgb="00FF0000"/>
      </patternFill>
    </fill>
    <fill>
      <patternFill patternType="solid">
        <fgColor rgb="00808080"/>
        <bgColor rgb="00808080"/>
      </patternFill>
    </fill>
    <fill>
      <patternFill patternType="solid">
        <fgColor rgb="FF006400"/>
        <bgColor rgb="FF006400"/>
      </patternFill>
    </fill>
    <fill>
      <patternFill patternType="solid">
        <fgColor rgb="FFFF6666"/>
        <bgColor rgb="FFFF6666"/>
      </patternFill>
    </fill>
    <fill>
      <patternFill patternType="solid">
        <fgColor rgb="00FF6666"/>
        <bgColor rgb="00FF6666"/>
      </patternFill>
    </fill>
    <fill>
      <patternFill patternType="solid">
        <fgColor rgb="00006400"/>
        <bgColor rgb="00006400"/>
      </patternFill>
    </fill>
    <fill>
      <patternFill patternType="solid">
        <fgColor rgb="FFA020F0"/>
        <bgColor rgb="FFA020F0"/>
      </patternFill>
    </fill>
    <fill>
      <patternFill patternType="solid">
        <fgColor rgb="FF31869B"/>
        <bgColor rgb="FF31869B"/>
      </patternFill>
    </fill>
    <fill>
      <patternFill patternType="solid">
        <fgColor rgb="00A020F0"/>
        <bgColor rgb="00A020F0"/>
      </patternFill>
    </fill>
    <fill>
      <patternFill patternType="solid">
        <fgColor rgb="0031869b"/>
        <bgColor rgb="0031869b"/>
      </patternFill>
    </fill>
    <fill>
      <patternFill patternType="solid">
        <fgColor rgb="FFFF6400"/>
        <bgColor rgb="FFFF6400"/>
      </patternFill>
    </fill>
    <fill>
      <patternFill patternType="solid">
        <fgColor rgb="00FF6400"/>
        <bgColor rgb="00FF6400"/>
      </patternFill>
    </fill>
  </fills>
  <borders count="22">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4">
    <xf numFmtId="0" fontId="0" fillId="0" borderId="0" pivotButton="0" quotePrefix="0" xfId="0"/>
    <xf numFmtId="0" fontId="1" fillId="2" borderId="1" applyAlignment="1" pivotButton="0" quotePrefix="0" xfId="0">
      <alignment horizontal="center" vertical="center"/>
    </xf>
    <xf numFmtId="49" fontId="1" fillId="2" borderId="2" applyAlignment="1" pivotButton="0" quotePrefix="0" xfId="0">
      <alignment horizontal="center" vertical="center"/>
    </xf>
    <xf numFmtId="0" fontId="2" fillId="2" borderId="2" applyAlignment="1" pivotButton="0" quotePrefix="0" xfId="0">
      <alignment horizontal="center" vertical="center"/>
    </xf>
    <xf numFmtId="0" fontId="3" fillId="3" borderId="3"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3" fillId="5" borderId="3" applyAlignment="1" pivotButton="0" quotePrefix="0" xfId="0">
      <alignment horizontal="center" vertical="center"/>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3" fillId="6" borderId="3" applyAlignment="1" pivotButton="0" quotePrefix="0" xfId="0">
      <alignment horizontal="center" vertical="center"/>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3" fillId="7" borderId="3" applyAlignment="1" pivotButton="0" quotePrefix="0" xfId="0">
      <alignment horizontal="center" vertical="center"/>
    </xf>
    <xf numFmtId="0" fontId="4" fillId="7" borderId="1" applyAlignment="1" pivotButton="0" quotePrefix="0" xfId="0">
      <alignment horizontal="center" vertical="center"/>
    </xf>
    <xf numFmtId="0" fontId="5" fillId="7" borderId="1" applyAlignment="1" pivotButton="0" quotePrefix="0" xfId="0">
      <alignment horizontal="center" vertical="center"/>
    </xf>
    <xf numFmtId="0" fontId="3" fillId="8" borderId="3" applyAlignment="1" pivotButton="0" quotePrefix="0" xfId="0">
      <alignment horizontal="center" vertical="center"/>
    </xf>
    <xf numFmtId="0" fontId="4" fillId="8" borderId="1" applyAlignment="1" pivotButton="0" quotePrefix="0" xfId="0">
      <alignment horizontal="center" vertical="center"/>
    </xf>
    <xf numFmtId="0" fontId="5" fillId="8" borderId="1" applyAlignment="1" pivotButton="0" quotePrefix="0" xfId="0">
      <alignment horizontal="center" vertical="center"/>
    </xf>
    <xf numFmtId="0" fontId="3" fillId="9" borderId="3" applyAlignment="1" pivotButton="0" quotePrefix="0" xfId="0">
      <alignment horizontal="center" vertical="center"/>
    </xf>
    <xf numFmtId="0" fontId="4" fillId="9" borderId="1" applyAlignment="1" pivotButton="0" quotePrefix="0" xfId="0">
      <alignment horizontal="center" vertical="center"/>
    </xf>
    <xf numFmtId="0" fontId="5" fillId="9" borderId="1" applyAlignment="1" pivotButton="0" quotePrefix="0" xfId="0">
      <alignment horizontal="center" vertical="center"/>
    </xf>
    <xf numFmtId="0" fontId="6" fillId="0" borderId="3" applyAlignment="1" pivotButton="0" quotePrefix="0" xfId="0">
      <alignment horizontal="center" vertical="center"/>
    </xf>
    <xf numFmtId="0" fontId="5" fillId="0" borderId="1" applyAlignment="1" pivotButton="0" quotePrefix="0" xfId="0">
      <alignment horizontal="center" vertical="center"/>
    </xf>
    <xf numFmtId="0" fontId="6" fillId="0" borderId="4" applyAlignment="1" pivotButton="0" quotePrefix="0" xfId="0">
      <alignment horizontal="center" vertical="center"/>
    </xf>
    <xf numFmtId="0" fontId="5" fillId="0" borderId="4" applyAlignment="1" pivotButton="0" quotePrefix="0" xfId="0">
      <alignment horizontal="center" vertical="center"/>
    </xf>
    <xf numFmtId="0" fontId="4" fillId="9" borderId="4" applyAlignment="1" pivotButton="0" quotePrefix="0" xfId="0">
      <alignment vertical="center"/>
    </xf>
    <xf numFmtId="0" fontId="7" fillId="10" borderId="1" applyAlignment="1" pivotButton="0" quotePrefix="0" xfId="0">
      <alignment horizontal="center" vertical="center" wrapText="1"/>
    </xf>
    <xf numFmtId="0" fontId="0" fillId="0" borderId="17" pivotButton="0" quotePrefix="0" xfId="0"/>
    <xf numFmtId="0" fontId="7" fillId="10" borderId="1" applyAlignment="1" pivotButton="0" quotePrefix="0" xfId="0">
      <alignment horizontal="center" vertical="center"/>
    </xf>
    <xf numFmtId="0" fontId="0" fillId="0" borderId="18" pivotButton="0" quotePrefix="0" xfId="0"/>
    <xf numFmtId="0" fontId="4" fillId="9" borderId="4" pivotButton="0" quotePrefix="0" xfId="0"/>
    <xf numFmtId="0" fontId="8" fillId="10" borderId="1" applyAlignment="1" pivotButton="0" quotePrefix="0" xfId="0">
      <alignment horizontal="center" vertical="center"/>
    </xf>
    <xf numFmtId="49" fontId="9" fillId="11" borderId="7" applyAlignment="1" pivotButton="0" quotePrefix="0" xfId="0">
      <alignment horizontal="center" vertical="center"/>
    </xf>
    <xf numFmtId="0" fontId="0" fillId="0" borderId="16" pivotButton="0" quotePrefix="0" xfId="0"/>
    <xf numFmtId="0" fontId="10" fillId="2" borderId="1" applyAlignment="1" pivotButton="0" quotePrefix="0" xfId="0">
      <alignment horizontal="center" vertical="center"/>
    </xf>
    <xf numFmtId="0" fontId="11" fillId="12" borderId="1" applyAlignment="1" pivotButton="0" quotePrefix="0" xfId="0">
      <alignment horizontal="center" vertical="center"/>
    </xf>
    <xf numFmtId="0" fontId="4" fillId="13" borderId="1" applyAlignment="1" pivotButton="0" quotePrefix="0" xfId="0">
      <alignment horizontal="center" vertical="center"/>
    </xf>
    <xf numFmtId="0" fontId="0" fillId="0" borderId="19" pivotButton="0" quotePrefix="0" xfId="0"/>
    <xf numFmtId="0" fontId="11" fillId="12" borderId="9" applyAlignment="1" pivotButton="0" quotePrefix="0" xfId="0">
      <alignment horizontal="center" vertical="center"/>
    </xf>
    <xf numFmtId="0" fontId="11" fillId="12" borderId="10" applyAlignment="1" pivotButton="0" quotePrefix="0" xfId="0">
      <alignment horizontal="center" vertical="center"/>
    </xf>
    <xf numFmtId="0" fontId="11" fillId="12" borderId="11" applyAlignment="1" pivotButton="0" quotePrefix="0" xfId="0">
      <alignment horizontal="center" vertical="center"/>
    </xf>
    <xf numFmtId="0" fontId="4" fillId="9" borderId="12" applyAlignment="1" pivotButton="0" quotePrefix="0" xfId="0">
      <alignment vertical="center"/>
    </xf>
    <xf numFmtId="0" fontId="10" fillId="14" borderId="1" applyAlignment="1" pivotButton="0" quotePrefix="0" xfId="0">
      <alignment horizontal="center" vertical="center"/>
    </xf>
    <xf numFmtId="0" fontId="12" fillId="15" borderId="1" applyAlignment="1" pivotButton="0" quotePrefix="0" xfId="0">
      <alignment horizontal="center" vertical="center"/>
    </xf>
    <xf numFmtId="0" fontId="4" fillId="3" borderId="1" applyAlignment="1" pivotButton="0" quotePrefix="0" xfId="0">
      <alignment horizontal="center" vertical="center"/>
    </xf>
    <xf numFmtId="0" fontId="4" fillId="16" borderId="12" applyAlignment="1" pivotButton="0" quotePrefix="0" xfId="0">
      <alignment vertical="center"/>
    </xf>
    <xf numFmtId="0" fontId="4" fillId="3" borderId="5" applyAlignment="1" pivotButton="0" quotePrefix="0" xfId="0">
      <alignment horizontal="center" vertical="center"/>
    </xf>
    <xf numFmtId="0" fontId="4" fillId="0" borderId="10" applyAlignment="1" pivotButton="0" quotePrefix="0" xfId="0">
      <alignment horizontal="center" vertical="center"/>
    </xf>
    <xf numFmtId="0" fontId="4" fillId="3" borderId="10" applyAlignment="1" pivotButton="0" quotePrefix="0" xfId="0">
      <alignment horizontal="center" vertical="center"/>
    </xf>
    <xf numFmtId="164" fontId="4" fillId="3" borderId="10" applyAlignment="1" pivotButton="0" quotePrefix="0" xfId="0">
      <alignment horizontal="center" vertical="center"/>
    </xf>
    <xf numFmtId="0" fontId="12" fillId="17" borderId="1" applyAlignment="1" pivotButton="0" quotePrefix="0" xfId="0">
      <alignment horizontal="center" vertical="center"/>
    </xf>
    <xf numFmtId="0" fontId="4" fillId="0" borderId="1" applyAlignment="1" pivotButton="0" quotePrefix="0" xfId="0">
      <alignment horizontal="center" vertical="center"/>
    </xf>
    <xf numFmtId="164" fontId="4" fillId="5" borderId="1" applyAlignment="1" pivotButton="0" quotePrefix="0" xfId="0">
      <alignment horizontal="center" vertical="center"/>
    </xf>
    <xf numFmtId="0" fontId="12" fillId="18" borderId="1" applyAlignment="1" pivotButton="0" quotePrefix="0" xfId="0">
      <alignment horizontal="center" vertical="center"/>
    </xf>
    <xf numFmtId="164" fontId="4" fillId="6" borderId="1" applyAlignment="1" pivotButton="0" quotePrefix="0" xfId="0">
      <alignment horizontal="center" vertical="center"/>
    </xf>
    <xf numFmtId="0" fontId="12" fillId="19" borderId="1" applyAlignment="1" pivotButton="0" quotePrefix="0" xfId="0">
      <alignment horizontal="center" vertical="center"/>
    </xf>
    <xf numFmtId="164" fontId="4" fillId="7" borderId="1" applyAlignment="1" pivotButton="0" quotePrefix="0" xfId="0">
      <alignment horizontal="center" vertical="center"/>
    </xf>
    <xf numFmtId="0" fontId="12" fillId="20" borderId="1" applyAlignment="1" pivotButton="0" quotePrefix="0" xfId="0">
      <alignment horizontal="center" vertical="center"/>
    </xf>
    <xf numFmtId="0" fontId="4" fillId="3" borderId="7" applyAlignment="1" pivotButton="0" quotePrefix="0" xfId="0">
      <alignment horizontal="center" vertical="center"/>
    </xf>
    <xf numFmtId="0" fontId="4" fillId="5" borderId="2" applyAlignment="1" pivotButton="0" quotePrefix="0" xfId="0">
      <alignment horizontal="center" vertical="center"/>
    </xf>
    <xf numFmtId="0" fontId="4" fillId="6" borderId="2" applyAlignment="1" pivotButton="0" quotePrefix="0" xfId="0">
      <alignment horizontal="center" vertical="center"/>
    </xf>
    <xf numFmtId="0" fontId="4" fillId="7" borderId="2" applyAlignment="1" pivotButton="0" quotePrefix="0" xfId="0">
      <alignment horizontal="center" vertical="center"/>
    </xf>
    <xf numFmtId="0" fontId="4" fillId="8" borderId="2" applyAlignment="1" pivotButton="0" quotePrefix="0" xfId="0">
      <alignment horizontal="center" vertical="center"/>
    </xf>
    <xf numFmtId="0" fontId="4" fillId="9" borderId="2" applyAlignment="1" pivotButton="0" quotePrefix="0" xfId="0">
      <alignment horizontal="center" vertical="center"/>
    </xf>
    <xf numFmtId="164" fontId="4" fillId="8" borderId="1" applyAlignment="1" pivotButton="0" quotePrefix="0" xfId="0">
      <alignment horizontal="center" vertical="center"/>
    </xf>
    <xf numFmtId="0" fontId="4" fillId="9" borderId="13" applyAlignment="1" pivotButton="0" quotePrefix="0" xfId="0">
      <alignment vertical="center"/>
    </xf>
    <xf numFmtId="164" fontId="4" fillId="9" borderId="2" applyAlignment="1" pivotButton="0" quotePrefix="0" xfId="0">
      <alignment horizontal="center" vertical="center"/>
    </xf>
    <xf numFmtId="0" fontId="11" fillId="12" borderId="3" applyAlignment="1" pivotButton="0" quotePrefix="0" xfId="0">
      <alignment horizontal="center" vertical="center"/>
    </xf>
    <xf numFmtId="0" fontId="0" fillId="0" borderId="20" pivotButton="0" quotePrefix="0" xfId="0"/>
    <xf numFmtId="0" fontId="4" fillId="0" borderId="14" applyAlignment="1" pivotButton="0" quotePrefix="0" xfId="0">
      <alignment horizontal="center" vertical="center"/>
    </xf>
    <xf numFmtId="10" fontId="4" fillId="0" borderId="2" applyAlignment="1" pivotButton="0" quotePrefix="0" xfId="0">
      <alignment horizontal="center" vertical="center"/>
    </xf>
    <xf numFmtId="0" fontId="4" fillId="15" borderId="1" applyAlignment="1" pivotButton="0" quotePrefix="0" xfId="0">
      <alignment horizontal="center" vertical="center"/>
    </xf>
    <xf numFmtId="0" fontId="4" fillId="3" borderId="1" applyAlignment="1" pivotButton="0" quotePrefix="0" xfId="0">
      <alignment horizontal="center"/>
    </xf>
    <xf numFmtId="0" fontId="4" fillId="6" borderId="1" applyAlignment="1" pivotButton="0" quotePrefix="0" xfId="0">
      <alignment horizontal="center"/>
    </xf>
    <xf numFmtId="164" fontId="4" fillId="0" borderId="3" applyAlignment="1" pivotButton="0" quotePrefix="0" xfId="0">
      <alignment horizontal="center" vertical="center"/>
    </xf>
    <xf numFmtId="164" fontId="4" fillId="0" borderId="1" applyAlignment="1" pivotButton="0" quotePrefix="0" xfId="0">
      <alignment horizontal="center"/>
    </xf>
    <xf numFmtId="0" fontId="4" fillId="17" borderId="1" applyAlignment="1" pivotButton="0" quotePrefix="0" xfId="0">
      <alignment horizontal="center" vertical="center"/>
    </xf>
    <xf numFmtId="0" fontId="4" fillId="18" borderId="1" applyAlignment="1" pivotButton="0" quotePrefix="0" xfId="0">
      <alignment horizontal="center" vertical="center"/>
    </xf>
    <xf numFmtId="0" fontId="4" fillId="6" borderId="2" applyAlignment="1" pivotButton="0" quotePrefix="0" xfId="0">
      <alignment horizontal="center"/>
    </xf>
    <xf numFmtId="164" fontId="4" fillId="0" borderId="14" applyAlignment="1" pivotButton="0" quotePrefix="0" xfId="0">
      <alignment horizontal="center" vertical="center"/>
    </xf>
    <xf numFmtId="0" fontId="4" fillId="19" borderId="1" applyAlignment="1" pivotButton="0" quotePrefix="0" xfId="0">
      <alignment horizontal="center" vertical="center"/>
    </xf>
    <xf numFmtId="0" fontId="4" fillId="3" borderId="3" applyAlignment="1" pivotButton="0" quotePrefix="0" xfId="0">
      <alignment horizontal="center"/>
    </xf>
    <xf numFmtId="164" fontId="4" fillId="0" borderId="5" applyAlignment="1" pivotButton="0" quotePrefix="0" xfId="0">
      <alignment horizontal="center" vertical="center"/>
    </xf>
    <xf numFmtId="0" fontId="4" fillId="20" borderId="1" applyAlignment="1" pivotButton="0" quotePrefix="0" xfId="0">
      <alignment horizontal="center" vertical="center"/>
    </xf>
    <xf numFmtId="0" fontId="4" fillId="6" borderId="10" applyAlignment="1" pivotButton="0" quotePrefix="0" xfId="0">
      <alignment horizontal="center"/>
    </xf>
    <xf numFmtId="164" fontId="4" fillId="0" borderId="10" applyAlignment="1" pivotButton="0" quotePrefix="0" xfId="0">
      <alignment horizontal="center" vertical="center"/>
    </xf>
    <xf numFmtId="0" fontId="4" fillId="0" borderId="3" applyAlignment="1" pivotButton="0" quotePrefix="0" xfId="0">
      <alignment horizontal="center" vertical="center"/>
    </xf>
    <xf numFmtId="10" fontId="4" fillId="0" borderId="1" applyAlignment="1" pivotButton="0" quotePrefix="0" xfId="0">
      <alignment horizontal="center" vertical="center"/>
    </xf>
    <xf numFmtId="0" fontId="13" fillId="21" borderId="3" applyAlignment="1" pivotButton="0" quotePrefix="0" xfId="0">
      <alignment horizontal="center" vertical="center"/>
    </xf>
    <xf numFmtId="0" fontId="13" fillId="21" borderId="1" applyAlignment="1" pivotButton="0" quotePrefix="0" xfId="0">
      <alignment horizontal="center" vertical="center"/>
    </xf>
    <xf numFmtId="49" fontId="13" fillId="21" borderId="1" applyAlignment="1" pivotButton="0" quotePrefix="0" xfId="0">
      <alignment horizontal="center" vertical="center"/>
    </xf>
    <xf numFmtId="0" fontId="12" fillId="0" borderId="1" applyAlignment="1" pivotButton="0" quotePrefix="0" xfId="0">
      <alignment horizontal="center" vertical="center"/>
    </xf>
    <xf numFmtId="0" fontId="14" fillId="22" borderId="1" applyAlignment="1" pivotButton="0" quotePrefix="0" xfId="0">
      <alignment horizontal="center" vertical="center"/>
    </xf>
    <xf numFmtId="0" fontId="4" fillId="0" borderId="4" pivotButton="0" quotePrefix="0" xfId="0"/>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3" fillId="21" borderId="14" applyAlignment="1" pivotButton="0" quotePrefix="0" xfId="0">
      <alignment horizontal="center" vertical="center"/>
    </xf>
    <xf numFmtId="0" fontId="17" fillId="23" borderId="21" applyAlignment="1" pivotButton="0" quotePrefix="0" xfId="0">
      <alignment horizontal="center" vertical="center"/>
    </xf>
    <xf numFmtId="0" fontId="15" fillId="28" borderId="21" applyAlignment="1" pivotButton="0" quotePrefix="0" xfId="0">
      <alignment horizontal="center" vertical="center"/>
    </xf>
    <xf numFmtId="0" fontId="15" fillId="0" borderId="21" applyAlignment="1" pivotButton="0" quotePrefix="0" xfId="0">
      <alignment horizontal="center" vertical="center"/>
    </xf>
    <xf numFmtId="0" fontId="18" fillId="37" borderId="21" applyAlignment="1" pivotButton="0" quotePrefix="0" xfId="0">
      <alignment horizontal="center" vertical="center"/>
    </xf>
    <xf numFmtId="0" fontId="15" fillId="27" borderId="21" applyAlignment="1" pivotButton="0" quotePrefix="0" xfId="0">
      <alignment horizontal="center" vertical="center"/>
    </xf>
    <xf numFmtId="0" fontId="15" fillId="30" borderId="21" applyAlignment="1" pivotButton="0" quotePrefix="0" xfId="0">
      <alignment horizontal="center" vertical="center"/>
    </xf>
    <xf numFmtId="0" fontId="15" fillId="32" borderId="21" applyAlignment="1" pivotButton="0" quotePrefix="0" xfId="0">
      <alignment horizontal="center" vertical="center"/>
    </xf>
    <xf numFmtId="0" fontId="15" fillId="34" borderId="21" applyAlignment="1" pivotButton="0" quotePrefix="0" xfId="0">
      <alignment horizontal="center" vertical="center"/>
    </xf>
    <xf numFmtId="0" fontId="15" fillId="36" borderId="21" applyAlignment="1" pivotButton="0" quotePrefix="0" xfId="0">
      <alignment horizontal="center" vertical="center"/>
    </xf>
    <xf numFmtId="0" fontId="15" fillId="0" borderId="21" applyAlignment="1" pivotButton="0" quotePrefix="0" xfId="0">
      <alignment horizontal="center" vertical="center" wrapText="1"/>
    </xf>
    <xf numFmtId="0" fontId="18" fillId="41" borderId="21" applyAlignment="1" pivotButton="0" quotePrefix="0" xfId="0">
      <alignment horizontal="center" vertical="center"/>
    </xf>
    <xf numFmtId="0" fontId="15" fillId="40" borderId="21" applyAlignment="1" pivotButton="0" quotePrefix="0" xfId="0">
      <alignment horizontal="center" vertical="center"/>
    </xf>
    <xf numFmtId="0" fontId="18" fillId="44" borderId="21" applyAlignment="1" pivotButton="0" quotePrefix="0" xfId="0">
      <alignment horizontal="center" vertical="center"/>
    </xf>
    <xf numFmtId="0" fontId="18" fillId="36" borderId="21" applyAlignment="1" pivotButton="0" quotePrefix="0" xfId="0">
      <alignment horizontal="center" vertical="center"/>
    </xf>
    <xf numFmtId="0" fontId="18" fillId="45" borderId="21" applyAlignment="1" pivotButton="0" quotePrefix="0" xfId="0">
      <alignment horizontal="center" vertical="center"/>
    </xf>
    <xf numFmtId="0" fontId="18" fillId="47" borderId="21" applyAlignment="1" pivotButton="0" quotePrefix="0" xfId="0">
      <alignment horizontal="center" vertical="center"/>
    </xf>
  </cellXfs>
  <cellStyles count="1">
    <cellStyle name="Normal" xfId="0" builtinId="0" hidden="0"/>
  </cellStyles>
  <dxfs count="24">
    <dxf>
      <font>
        <color theme="1"/>
      </font>
      <fill>
        <patternFill patternType="solid">
          <bgColor rgb="FF00B050"/>
        </patternFill>
      </fill>
    </dxf>
    <dxf>
      <font>
        <color theme="1"/>
      </font>
      <fill>
        <patternFill patternType="solid">
          <bgColor rgb="FFFFC000"/>
        </patternFill>
      </fill>
    </dxf>
    <dxf>
      <font>
        <color theme="1"/>
      </font>
      <fill>
        <patternFill patternType="solid">
          <bgColor rgb="FFFFFF00"/>
        </patternFill>
      </fill>
    </dxf>
    <dxf>
      <font>
        <color theme="1"/>
      </font>
      <fill>
        <patternFill patternType="solid">
          <bgColor rgb="FF00B0F0"/>
        </patternFill>
      </fill>
    </dxf>
    <dxf>
      <font>
        <color theme="1"/>
      </font>
      <fill>
        <patternFill patternType="solid">
          <bgColor rgb="FFFF0000"/>
        </patternFill>
      </fill>
    </dxf>
    <dxf>
      <fill>
        <patternFill patternType="solid">
          <bgColor rgb="FFD15A5A"/>
        </patternFill>
      </fill>
    </dxf>
    <dxf>
      <font>
        <color theme="1"/>
      </font>
      <fill>
        <patternFill patternType="solid">
          <bgColor rgb="FFBDE83C"/>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rgb="FF7030A0"/>
        </patternFill>
      </fill>
    </dxf>
    <dxf>
      <font>
        <color theme="0"/>
      </font>
      <fill>
        <patternFill patternType="solid">
          <bgColor rgb="FFAD0000"/>
        </patternFill>
      </fill>
    </dxf>
    <dxf>
      <font>
        <color theme="0"/>
      </font>
      <fill>
        <patternFill patternType="solid">
          <bgColor theme="5" tint="-0.249977111117893"/>
        </patternFill>
      </fill>
    </dxf>
    <dxf>
      <font>
        <color theme="0"/>
      </font>
      <fill>
        <patternFill patternType="solid">
          <bgColor theme="6"/>
        </patternFill>
      </fill>
    </dxf>
    <dxf>
      <font>
        <color rgb="FF006100"/>
      </font>
      <fill>
        <patternFill>
          <bgColor rgb="FFC6EFCE"/>
        </patternFill>
      </fill>
    </dxf>
    <dxf>
      <font>
        <color rgb="FF9C0006"/>
      </font>
      <fill>
        <patternFill>
          <bgColor rgb="FFFFC7CE"/>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FF0000"/>
          <bgColor rgb="00FF00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cols>
    <col width="32" customWidth="1" min="1" max="1"/>
    <col width="8.7109375" customWidth="1" min="2" max="2"/>
    <col width="9.28515625" customWidth="1" min="6" max="6"/>
    <col width="9.140625" customWidth="1" min="9" max="9"/>
    <col width="4.42578125" customWidth="1" min="17" max="17"/>
    <col width="17.5703125" customWidth="1" min="18" max="18"/>
    <col width="12.85546875" customWidth="1" min="19" max="19"/>
  </cols>
  <sheetData>
    <row r="1" ht="18.75" customHeight="1">
      <c r="A1" s="1" t="inlineStr">
        <is>
          <t>Categoria</t>
        </is>
      </c>
      <c r="B1" s="2" t="inlineStr">
        <is>
          <t>01.25</t>
        </is>
      </c>
      <c r="C1" s="2" t="inlineStr">
        <is>
          <t>02.25</t>
        </is>
      </c>
      <c r="D1" s="2" t="inlineStr">
        <is>
          <t>03.25</t>
        </is>
      </c>
      <c r="E1" s="2" t="inlineStr">
        <is>
          <t>04.25</t>
        </is>
      </c>
      <c r="F1" s="2" t="inlineStr">
        <is>
          <t>05.25</t>
        </is>
      </c>
      <c r="G1" s="2" t="inlineStr">
        <is>
          <t>06.25</t>
        </is>
      </c>
      <c r="H1" s="2" t="inlineStr">
        <is>
          <t>07.25</t>
        </is>
      </c>
      <c r="I1" s="2" t="inlineStr">
        <is>
          <t>08.25</t>
        </is>
      </c>
      <c r="J1" s="2" t="inlineStr">
        <is>
          <t>09.25</t>
        </is>
      </c>
      <c r="K1" s="2" t="inlineStr">
        <is>
          <t>10.25</t>
        </is>
      </c>
      <c r="L1" s="2" t="inlineStr">
        <is>
          <t>11.25</t>
        </is>
      </c>
      <c r="M1" s="2" t="inlineStr">
        <is>
          <t>12.25</t>
        </is>
      </c>
      <c r="N1" s="3" t="inlineStr">
        <is>
          <t>Total</t>
        </is>
      </c>
    </row>
    <row r="2" ht="15.75" customHeight="1">
      <c r="A2" s="4" t="inlineStr">
        <is>
          <t>Enviado</t>
        </is>
      </c>
      <c r="B2" s="5">
        <f>COUNTIF(INDIRECT(B$1&amp;"!E2:E1000"),$A2)</f>
        <v/>
      </c>
      <c r="C2" s="5">
        <f>COUNTIF(INDIRECT(C$1&amp;"!E2:E1000"),$A2)</f>
        <v/>
      </c>
      <c r="D2" s="5">
        <f>COUNTIF(INDIRECT(D$1&amp;"!E2:E1000"),$A2)</f>
        <v/>
      </c>
      <c r="E2" s="5">
        <f>COUNTIF(INDIRECT(E$1&amp;"!E2:E1000"),$A2)</f>
        <v/>
      </c>
      <c r="F2" s="5">
        <f>COUNTIF(INDIRECT(F$1&amp;"!E2:E1000"),$A2)</f>
        <v/>
      </c>
      <c r="G2" s="5">
        <f>COUNTIF(INDIRECT(G$1&amp;"!E2:E1000"),$A2)</f>
        <v/>
      </c>
      <c r="H2" s="5">
        <f>COUNTIF(INDIRECT(H$1&amp;"!E2:E1000"),$A2)</f>
        <v/>
      </c>
      <c r="I2" s="5">
        <f>COUNTIF(INDIRECT(I$1&amp;"!E2:E1000"),$A2)</f>
        <v/>
      </c>
      <c r="J2" s="5">
        <f>COUNTIF(INDIRECT(J$1&amp;"!E2:E1000"),$A2)</f>
        <v/>
      </c>
      <c r="K2" s="5">
        <f>COUNTIF(INDIRECT(K$1&amp;"!E2:E1000"),$A2)</f>
        <v/>
      </c>
      <c r="L2" s="5">
        <f>COUNTIF(INDIRECT(L$1&amp;"!E2:E1000"),$A2)</f>
        <v/>
      </c>
      <c r="M2" s="5">
        <f>COUNTIF(INDIRECT(M$1&amp;"!E2:E1000"),$A2)</f>
        <v/>
      </c>
      <c r="N2" s="6">
        <f>SUM(B2:M2)</f>
        <v/>
      </c>
    </row>
    <row r="3" ht="15.75" customHeight="1">
      <c r="A3" s="7" t="inlineStr">
        <is>
          <t>Atrasado</t>
        </is>
      </c>
      <c r="B3" s="8">
        <f>COUNTIF(INDIRECT(B$1&amp;"!E2:E1000"),$A3)</f>
        <v/>
      </c>
      <c r="C3" s="8">
        <f>COUNTIF(INDIRECT(C$1&amp;"!E2:E1000"),$A3)</f>
        <v/>
      </c>
      <c r="D3" s="8">
        <f>COUNTIF(INDIRECT(D$1&amp;"!E2:E1000"),$A3)</f>
        <v/>
      </c>
      <c r="E3" s="8">
        <f>COUNTIF(INDIRECT(E$1&amp;"!E2:E1000"),$A3)</f>
        <v/>
      </c>
      <c r="F3" s="8">
        <f>COUNTIF(INDIRECT(F$1&amp;"!E2:E1000"),$A3)</f>
        <v/>
      </c>
      <c r="G3" s="8">
        <f>COUNTIF(INDIRECT(G$1&amp;"!E2:E1000"),$A3)</f>
        <v/>
      </c>
      <c r="H3" s="8">
        <f>COUNTIF(INDIRECT(H$1&amp;"!E2:E1000"),$A3)</f>
        <v/>
      </c>
      <c r="I3" s="8">
        <f>COUNTIF(INDIRECT(I$1&amp;"!E2:E1000"),$A3)</f>
        <v/>
      </c>
      <c r="J3" s="8">
        <f>COUNTIF(INDIRECT(J$1&amp;"!E2:E1000"),$A3)</f>
        <v/>
      </c>
      <c r="K3" s="8">
        <f>COUNTIF(INDIRECT(K$1&amp;"!E2:E1000"),$A3)</f>
        <v/>
      </c>
      <c r="L3" s="8">
        <f>COUNTIF(INDIRECT(L$1&amp;"!E2:E1000"),$A3)</f>
        <v/>
      </c>
      <c r="M3" s="8">
        <f>COUNTIF(INDIRECT(M$1&amp;"!E2:E1000"),$A3)</f>
        <v/>
      </c>
      <c r="N3" s="9">
        <f>SUM(B3:M3)</f>
        <v/>
      </c>
    </row>
    <row r="4" ht="15.75" customHeight="1">
      <c r="A4" s="10" t="inlineStr">
        <is>
          <t>Atrasado &gt;= 2</t>
        </is>
      </c>
      <c r="B4" s="11">
        <f>COUNTIF(INDIRECT(B$1&amp;"!E2:E1000"),$A4)</f>
        <v/>
      </c>
      <c r="C4" s="11">
        <f>COUNTIF(INDIRECT(C$1&amp;"!E2:E1000"),$A4)</f>
        <v/>
      </c>
      <c r="D4" s="11">
        <f>COUNTIF(INDIRECT(D$1&amp;"!E2:E1000"),$A4)</f>
        <v/>
      </c>
      <c r="E4" s="11">
        <f>COUNTIF(INDIRECT(E$1&amp;"!E2:E1000"),$A4)</f>
        <v/>
      </c>
      <c r="F4" s="11">
        <f>COUNTIF(INDIRECT(F$1&amp;"!E2:E1000"),$A4)</f>
        <v/>
      </c>
      <c r="G4" s="11">
        <f>COUNTIF(INDIRECT(G$1&amp;"!E2:E1000"),$A4)</f>
        <v/>
      </c>
      <c r="H4" s="11">
        <f>COUNTIF(INDIRECT(H$1&amp;"!E2:E1000"),$A4)</f>
        <v/>
      </c>
      <c r="I4" s="11">
        <f>COUNTIF(INDIRECT(I$1&amp;"!E2:E1000"),$A4)</f>
        <v/>
      </c>
      <c r="J4" s="11">
        <f>COUNTIF(INDIRECT(J$1&amp;"!E2:E1000"),$A4)</f>
        <v/>
      </c>
      <c r="K4" s="11">
        <f>COUNTIF(INDIRECT(K$1&amp;"!E2:E1000"),$A4)</f>
        <v/>
      </c>
      <c r="L4" s="11">
        <f>COUNTIF(INDIRECT(L$1&amp;"!E2:E1000"),$A4)</f>
        <v/>
      </c>
      <c r="M4" s="11">
        <f>COUNTIF(INDIRECT(M$1&amp;"!E2:E1000"),$A4)</f>
        <v/>
      </c>
      <c r="N4" s="12">
        <f>SUM(B4:M4)</f>
        <v/>
      </c>
    </row>
    <row r="5" ht="15.75" customHeight="1">
      <c r="A5" s="13" t="inlineStr">
        <is>
          <t>Duplicado</t>
        </is>
      </c>
      <c r="B5" s="14">
        <f>COUNTIF(INDIRECT(B$1&amp;"!E2:E1000"),$A5)</f>
        <v/>
      </c>
      <c r="C5" s="14">
        <f>COUNTIF(INDIRECT(C$1&amp;"!E2:E1000"),$A5)</f>
        <v/>
      </c>
      <c r="D5" s="14">
        <f>COUNTIF(INDIRECT(D$1&amp;"!E2:E1000"),$A5)</f>
        <v/>
      </c>
      <c r="E5" s="14">
        <f>COUNTIF(INDIRECT(E$1&amp;"!E2:E1000"),$A5)</f>
        <v/>
      </c>
      <c r="F5" s="14">
        <f>COUNTIF(INDIRECT(F$1&amp;"!E2:E1000"),$A5)</f>
        <v/>
      </c>
      <c r="G5" s="14">
        <f>COUNTIF(INDIRECT(G$1&amp;"!E2:E1000"),$A5)</f>
        <v/>
      </c>
      <c r="H5" s="14">
        <f>COUNTIF(INDIRECT(H$1&amp;"!E2:E1000"),$A5)</f>
        <v/>
      </c>
      <c r="I5" s="14">
        <f>COUNTIF(INDIRECT(I$1&amp;"!E2:E1000"),$A5)</f>
        <v/>
      </c>
      <c r="J5" s="14">
        <f>COUNTIF(INDIRECT(J$1&amp;"!E2:E1000"),$A5)</f>
        <v/>
      </c>
      <c r="K5" s="14">
        <f>COUNTIF(INDIRECT(K$1&amp;"!E2:E1000"),$A5)</f>
        <v/>
      </c>
      <c r="L5" s="14">
        <f>COUNTIF(INDIRECT(L$1&amp;"!E2:E1000"),$A5)</f>
        <v/>
      </c>
      <c r="M5" s="14">
        <f>COUNTIF(INDIRECT(M$1&amp;"!E2:E1000"),$A5)</f>
        <v/>
      </c>
      <c r="N5" s="15">
        <f>SUM(B5:M5)</f>
        <v/>
      </c>
    </row>
    <row r="6" ht="15.75" customHeight="1">
      <c r="A6" s="16" t="inlineStr">
        <is>
          <t>Outras Ocorrências</t>
        </is>
      </c>
      <c r="B6" s="17">
        <f>COUNTIF(INDIRECT(B$1&amp;"!E2:E1000"),$A6)</f>
        <v/>
      </c>
      <c r="C6" s="17">
        <f>COUNTIF(INDIRECT(C$1&amp;"!E2:E1000"),$A6)</f>
        <v/>
      </c>
      <c r="D6" s="17">
        <f>COUNTIF(INDIRECT(D$1&amp;"!E2:E1000"),$A6)</f>
        <v/>
      </c>
      <c r="E6" s="17">
        <f>COUNTIF(INDIRECT(E$1&amp;"!E2:E1000"),$A6)</f>
        <v/>
      </c>
      <c r="F6" s="17">
        <f>COUNTIF(INDIRECT(F$1&amp;"!E2:E1000"),$A6)</f>
        <v/>
      </c>
      <c r="G6" s="17">
        <f>COUNTIF(INDIRECT(G$1&amp;"!E2:E1000"),$A6)</f>
        <v/>
      </c>
      <c r="H6" s="17">
        <f>COUNTIF(INDIRECT(H$1&amp;"!E2:E1000"),$A6)</f>
        <v/>
      </c>
      <c r="I6" s="17">
        <f>COUNTIF(INDIRECT(I$1&amp;"!E2:E1000"),$A6)</f>
        <v/>
      </c>
      <c r="J6" s="17">
        <f>COUNTIF(INDIRECT(J$1&amp;"!E2:E1000"),$A6)</f>
        <v/>
      </c>
      <c r="K6" s="17">
        <f>COUNTIF(INDIRECT(K$1&amp;"!E2:E1000"),$A6)</f>
        <v/>
      </c>
      <c r="L6" s="17">
        <f>COUNTIF(INDIRECT(L$1&amp;"!E2:E1000"),$A6)</f>
        <v/>
      </c>
      <c r="M6" s="17">
        <f>COUNTIF(INDIRECT(M$1&amp;"!E2:E1000"),$A6)</f>
        <v/>
      </c>
      <c r="N6" s="18">
        <f>SUM(B6:M6)</f>
        <v/>
      </c>
    </row>
    <row r="7" ht="15.75" customHeight="1">
      <c r="A7" s="19" t="inlineStr">
        <is>
          <t>Sem Técnico</t>
        </is>
      </c>
      <c r="B7" s="20">
        <f>COUNTIF(INDIRECT(B$1&amp;"!E2:E1000"),$A7)</f>
        <v/>
      </c>
      <c r="C7" s="20">
        <f>COUNTIF(INDIRECT(C$1&amp;"!E2:E1000"),$A7)</f>
        <v/>
      </c>
      <c r="D7" s="20">
        <f>COUNTIF(INDIRECT(D$1&amp;"!E2:E1000"),$A7)</f>
        <v/>
      </c>
      <c r="E7" s="20">
        <f>COUNTIF(INDIRECT(E$1&amp;"!E2:E1000"),$A7)</f>
        <v/>
      </c>
      <c r="F7" s="20">
        <f>COUNTIF(INDIRECT(F$1&amp;"!E2:E1000"),$A7)</f>
        <v/>
      </c>
      <c r="G7" s="20">
        <f>COUNTIF(INDIRECT(G$1&amp;"!E2:E1000"),$A7)</f>
        <v/>
      </c>
      <c r="H7" s="20">
        <f>COUNTIF(INDIRECT(H$1&amp;"!E2:E1000"),$A7)</f>
        <v/>
      </c>
      <c r="I7" s="20">
        <f>COUNTIF(INDIRECT(I$1&amp;"!E2:E1000"),$A7)</f>
        <v/>
      </c>
      <c r="J7" s="20">
        <f>COUNTIF(INDIRECT(J$1&amp;"!E2:E1000"),$A7)</f>
        <v/>
      </c>
      <c r="K7" s="20">
        <f>COUNTIF(INDIRECT(K$1&amp;"!E2:E1000"),$A7)</f>
        <v/>
      </c>
      <c r="L7" s="20">
        <f>COUNTIF(INDIRECT(L$1&amp;"!E2:E1000"),$A7)</f>
        <v/>
      </c>
      <c r="M7" s="20">
        <f>COUNTIF(INDIRECT(M$1&amp;"!E2:E1000"),$A7)</f>
        <v/>
      </c>
      <c r="N7" s="21">
        <f>SUM(B7:M7)</f>
        <v/>
      </c>
    </row>
    <row r="8" ht="15.75" customHeight="1">
      <c r="A8" s="22" t="inlineStr">
        <is>
          <t>Total</t>
        </is>
      </c>
      <c r="B8" s="23">
        <f>SUM(B2:B7)</f>
        <v/>
      </c>
      <c r="C8" s="23">
        <f>SUM(C2:C7)</f>
        <v/>
      </c>
      <c r="D8" s="23">
        <f>SUM(D2:D7)</f>
        <v/>
      </c>
      <c r="E8" s="23">
        <f>SUM(E2:E7)</f>
        <v/>
      </c>
      <c r="F8" s="23">
        <f>SUM(F2:F7)</f>
        <v/>
      </c>
      <c r="G8" s="23">
        <f>SUM(G2:G7)</f>
        <v/>
      </c>
      <c r="H8" s="23">
        <f>SUM(H2:H7)</f>
        <v/>
      </c>
      <c r="I8" s="23">
        <f>SUM(I2:I7)</f>
        <v/>
      </c>
      <c r="J8" s="23">
        <f>SUM(J2:J7)</f>
        <v/>
      </c>
      <c r="K8" s="23">
        <f>SUM(K2:K7)</f>
        <v/>
      </c>
      <c r="L8" s="23">
        <f>SUM(L2:L7)</f>
        <v/>
      </c>
      <c r="M8" s="23">
        <f>SUM(M2:M7)</f>
        <v/>
      </c>
      <c r="N8" s="23">
        <f>SUM(B8:M8)</f>
        <v/>
      </c>
    </row>
    <row r="9" ht="15.75" customHeight="1">
      <c r="A9" s="24" t="n"/>
      <c r="B9" s="25" t="n"/>
      <c r="C9" s="25" t="n"/>
      <c r="D9" s="25" t="n"/>
      <c r="E9" s="25" t="n"/>
      <c r="F9" s="25" t="n"/>
      <c r="G9" s="25" t="n"/>
      <c r="H9" s="25" t="n"/>
      <c r="I9" s="25" t="n"/>
      <c r="J9" s="25" t="n"/>
      <c r="K9" s="25" t="n"/>
      <c r="L9" s="25" t="n"/>
      <c r="M9" s="25" t="n"/>
      <c r="N9" s="25" t="n"/>
      <c r="O9" s="25" t="n"/>
      <c r="P9" s="25" t="n"/>
    </row>
    <row r="10">
      <c r="A10" s="26" t="n"/>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row>
    <row r="11" ht="21" customHeight="1">
      <c r="A11" s="27" t="inlineStr">
        <is>
          <t>Digite o Mês de Referência</t>
        </is>
      </c>
      <c r="B11" s="28" t="n"/>
      <c r="C11" s="29" t="inlineStr">
        <is>
          <t>Mês de Referência</t>
        </is>
      </c>
      <c r="D11" s="30" t="n"/>
      <c r="E11" s="30" t="n"/>
      <c r="F11" s="30" t="n"/>
      <c r="G11" s="30" t="n"/>
      <c r="H11" s="30" t="n"/>
      <c r="I11" s="28" t="n"/>
      <c r="J11" s="26" t="n"/>
      <c r="K11" s="29" t="inlineStr">
        <is>
          <t>Acumulado (Total)</t>
        </is>
      </c>
      <c r="L11" s="30" t="n"/>
      <c r="M11" s="30" t="n"/>
      <c r="N11" s="30" t="n"/>
      <c r="O11" s="30" t="n"/>
      <c r="P11" s="28" t="n"/>
      <c r="Q11" s="31" t="n"/>
      <c r="R11" s="32" t="inlineStr">
        <is>
          <t>Resumo por Regional</t>
        </is>
      </c>
      <c r="S11" s="30" t="n"/>
      <c r="T11" s="28" t="n"/>
      <c r="U11" s="26" t="n"/>
    </row>
    <row r="12" ht="15" customHeight="1">
      <c r="A12" s="33" t="inlineStr">
        <is>
          <t>08.25</t>
        </is>
      </c>
      <c r="B12" s="34" t="n"/>
      <c r="C12" s="35" t="inlineStr">
        <is>
          <t>Monitoramento (Envios)</t>
        </is>
      </c>
      <c r="D12" s="30" t="n"/>
      <c r="E12" s="30" t="n"/>
      <c r="F12" s="30" t="n"/>
      <c r="G12" s="30" t="n"/>
      <c r="H12" s="30" t="n"/>
      <c r="I12" s="28" t="n"/>
      <c r="J12" s="26" t="n"/>
      <c r="K12" s="35" t="inlineStr">
        <is>
          <t>Monitoramento (Envios)</t>
        </is>
      </c>
      <c r="L12" s="30" t="n"/>
      <c r="M12" s="30" t="n"/>
      <c r="N12" s="30" t="n"/>
      <c r="O12" s="30" t="n"/>
      <c r="P12" s="28" t="n"/>
      <c r="Q12" s="31" t="n"/>
      <c r="R12" s="36" t="inlineStr">
        <is>
          <t>Regional</t>
        </is>
      </c>
      <c r="S12" s="28" t="n"/>
      <c r="T12" s="37" t="inlineStr">
        <is>
          <t>Conisul</t>
        </is>
      </c>
      <c r="U12" s="26" t="n"/>
    </row>
    <row r="13" ht="21" customHeight="1">
      <c r="B13" s="38" t="n"/>
      <c r="C13" s="39" t="inlineStr">
        <is>
          <t>Regional</t>
        </is>
      </c>
      <c r="D13" s="40" t="inlineStr">
        <is>
          <t>Envi.</t>
        </is>
      </c>
      <c r="E13" s="40" t="inlineStr">
        <is>
          <t>Atra.</t>
        </is>
      </c>
      <c r="F13" s="40" t="inlineStr">
        <is>
          <t>Atra. &gt;= 2</t>
        </is>
      </c>
      <c r="G13" s="40" t="inlineStr">
        <is>
          <t>Dup.</t>
        </is>
      </c>
      <c r="H13" s="40" t="inlineStr">
        <is>
          <t>Out. Ocor.</t>
        </is>
      </c>
      <c r="I13" s="41" t="inlineStr">
        <is>
          <t>Sem Tec.</t>
        </is>
      </c>
      <c r="J13" s="42" t="n"/>
      <c r="K13" s="39" t="inlineStr">
        <is>
          <t>Envi.</t>
        </is>
      </c>
      <c r="L13" s="40" t="inlineStr">
        <is>
          <t>Atra.</t>
        </is>
      </c>
      <c r="M13" s="40" t="inlineStr">
        <is>
          <t>Atra. &gt;= 2</t>
        </is>
      </c>
      <c r="N13" s="40" t="inlineStr">
        <is>
          <t>Dup.</t>
        </is>
      </c>
      <c r="O13" s="40" t="inlineStr">
        <is>
          <t>Out. Ocor.</t>
        </is>
      </c>
      <c r="P13" s="40" t="inlineStr">
        <is>
          <t>Sem Tec.</t>
        </is>
      </c>
      <c r="Q13" s="31" t="n"/>
      <c r="R13" s="43">
        <f>_xlfn.CONCAT("Envios - Mês de Referência - ", A12)</f>
        <v/>
      </c>
      <c r="S13" s="30" t="n"/>
      <c r="T13" s="28" t="n"/>
      <c r="U13" s="26" t="n"/>
    </row>
    <row r="14" ht="21" customHeight="1">
      <c r="B14" s="38" t="n"/>
      <c r="C14" s="44" t="inlineStr">
        <is>
          <t>Coripa</t>
        </is>
      </c>
      <c r="D14" s="45">
        <f t="array" ref="D14">IFERROR(ROWS(_xlfn._xlws.FILTER(INDIRECT($A$12&amp;"!A2:E100"),(INDIRECT($A$12&amp;"!A2:A100")=$C14)*(INDIRECT($A$12&amp;"!E2:E100")="Enviado"))), 0)</f>
        <v/>
      </c>
      <c r="E14" s="8">
        <f t="array" ref="E14">IFERROR(ROWS(_xlfn._xlws.FILTER(INDIRECT($A$12&amp;"!A2:E100"),(INDIRECT($A$12&amp;"!A2:A100")=$C14)*(INDIRECT($A$12&amp;"!E2:E100")="Atrasado"))), 0)</f>
        <v/>
      </c>
      <c r="F14" s="11">
        <f t="array" ref="F14">IFERROR(ROWS(_xlfn._xlws.FILTER(INDIRECT($A$12&amp;"!A2:E100"),(INDIRECT($A$12&amp;"!A2:A100")=$C14)*(INDIRECT($A$12&amp;"!E2:E100")="Atrasado &gt;= 2"))), 0)</f>
        <v/>
      </c>
      <c r="G14" s="14">
        <f t="array" ref="G14">IFERROR(ROWS(_xlfn._xlws.FILTER(INDIRECT($A$12&amp;"!A2:E100"),(INDIRECT($A$12&amp;"!A2:A100")=$C14)*(INDIRECT($A$12&amp;"!E2:E100")="Duplicado"))), 0)</f>
        <v/>
      </c>
      <c r="H14" s="17">
        <f t="array" ref="H14">IFERROR(ROWS(_xlfn._xlws.FILTER(INDIRECT($A$12&amp;"!A2:E100"),(INDIRECT($A$12&amp;"!A2:A100")=$C14)*(INDIRECT($A$12&amp;"!E2:E100")="Outras Ocorrências"))), 0)</f>
        <v/>
      </c>
      <c r="I14" s="20">
        <f t="array" ref="I14">IFERROR(ROWS(_xlfn._xlws.FILTER(INDIRECT($A$12&amp;"!A2:E100"),(INDIRECT($A$12&amp;"!A2:A100")=$C14)*(INDIRECT($A$12&amp;"!E2:E100")="Sem Técnico"))), 0)</f>
        <v/>
      </c>
      <c r="J14" s="46" t="n"/>
      <c r="K14" s="47">
        <f>COUNTIF(INDIRECT("Monitoramento!$D$2:$Q$15"), "Enviado")</f>
        <v/>
      </c>
      <c r="L14" s="8">
        <f>COUNTIF(INDIRECT("Monitoramento!$D$2:$Q$15"), "Atrasado")</f>
        <v/>
      </c>
      <c r="M14" s="11">
        <f>COUNTIF(INDIRECT("Monitoramento!$D$2:$Q$15"), "Atrasado &gt;= 2")</f>
        <v/>
      </c>
      <c r="N14" s="14">
        <f>COUNTIF(INDIRECT("Monitoramento!$D$2:$Q$15"), "Duplicado")</f>
        <v/>
      </c>
      <c r="O14" s="17">
        <f>COUNTIF(INDIRECT("Monitoramento!$D$2:$Q$15"), "Outras Ocorrências")</f>
        <v/>
      </c>
      <c r="P14" s="20">
        <f>COUNTIF(INDIRECT("Monitoramento!$D$2:$Q$15"), "Sem Técnico")</f>
        <v/>
      </c>
      <c r="Q14" s="31" t="n"/>
      <c r="R14" s="48" t="inlineStr">
        <is>
          <t>Enviados</t>
        </is>
      </c>
      <c r="S14" s="49">
        <f>VLOOKUP($T$12,$C$14:$I$18,2, FALSE)</f>
        <v/>
      </c>
      <c r="T14" s="50">
        <f>S14/SUM($S$14:$S$19)</f>
        <v/>
      </c>
      <c r="U14" s="26" t="n"/>
    </row>
    <row r="15" ht="21" customHeight="1">
      <c r="B15" s="38" t="n"/>
      <c r="C15" s="51" t="inlineStr">
        <is>
          <t>Comafen</t>
        </is>
      </c>
      <c r="D15" s="45">
        <f t="array" ref="D15">IFERROR(ROWS(_xlfn._xlws.FILTER(INDIRECT($A$12&amp;"!A2:E100"),(INDIRECT($A$12&amp;"!A2:A100")=$C15)*(INDIRECT($A$12&amp;"!E2:E100")="Enviado"))), 0)</f>
        <v/>
      </c>
      <c r="E15" s="8">
        <f t="array" ref="E15">IFERROR(ROWS(_xlfn._xlws.FILTER(INDIRECT($A$12&amp;"!A2:E100"),(INDIRECT($A$12&amp;"!A2:A100")=$C15)*(INDIRECT($A$12&amp;"!E2:E100")="Atrasado"))), 0)</f>
        <v/>
      </c>
      <c r="F15" s="11">
        <f t="array" ref="F15">IFERROR(ROWS(_xlfn._xlws.FILTER(INDIRECT($A$12&amp;"!A2:E100"),(INDIRECT($A$12&amp;"!A2:A100")=$C15)*(INDIRECT($A$12&amp;"!E2:E100")="Atrasado &gt;= 2"))), 0)</f>
        <v/>
      </c>
      <c r="G15" s="14">
        <f t="array" ref="G15">IFERROR(ROWS(_xlfn._xlws.FILTER(INDIRECT($A$12&amp;"!A2:E100"),(INDIRECT($A$12&amp;"!A2:A100")=$C15)*(INDIRECT($A$12&amp;"!E2:E100")="Duplicado"))), 0)</f>
        <v/>
      </c>
      <c r="H15" s="17">
        <f t="array" ref="H15">IFERROR(ROWS(_xlfn._xlws.FILTER(INDIRECT($A$12&amp;"!A2:E100"),(INDIRECT($A$12&amp;"!A2:A100")=$C15)*(INDIRECT($A$12&amp;"!E2:E100")="Outras Ocorrências"))), 0)</f>
        <v/>
      </c>
      <c r="I15" s="20">
        <f t="array" ref="I15">IFERROR(ROWS(_xlfn._xlws.FILTER(INDIRECT($A$12&amp;"!A2:E100"),(INDIRECT($A$12&amp;"!A2:A100")=$C15)*(INDIRECT($A$12&amp;"!E2:E100")="Sem Técnico"))), 0)</f>
        <v/>
      </c>
      <c r="J15" s="42" t="n"/>
      <c r="K15" s="47">
        <f>COUNTIF(INDIRECT("Monitoramento!$D$18:$Q$31"), "Enviado")</f>
        <v/>
      </c>
      <c r="L15" s="8">
        <f>COUNTIF(INDIRECT("Monitoramento!$D$18:$Q$31"), "Atrasado")</f>
        <v/>
      </c>
      <c r="M15" s="11">
        <f>COUNTIF(INDIRECT("Monitoramento!$D$18:$Q$31"), "Atrasado &gt;= 2")</f>
        <v/>
      </c>
      <c r="N15" s="14">
        <f>COUNTIF(INDIRECT("Monitoramento!$D$18:$Q$31"), "Duplicado")</f>
        <v/>
      </c>
      <c r="O15" s="17">
        <f>COUNTIF(INDIRECT("Monitoramento!$D$18:$Q$31"), "Outras Ocorrências")</f>
        <v/>
      </c>
      <c r="P15" s="20">
        <f>COUNTIF(INDIRECT("Monitoramento!$D$18:$Q$31"), "Sem Técnico")</f>
        <v/>
      </c>
      <c r="Q15" s="31" t="n"/>
      <c r="R15" s="52" t="inlineStr">
        <is>
          <t>Atrasados</t>
        </is>
      </c>
      <c r="S15" s="8">
        <f>VLOOKUP($T$12,$C$14:$I$18,3,FALSE)</f>
        <v/>
      </c>
      <c r="T15" s="53">
        <f>S15/SUM($S$14:$S$19)</f>
        <v/>
      </c>
      <c r="U15" s="26" t="n"/>
    </row>
    <row r="16" ht="18.75" customHeight="1">
      <c r="B16" s="38" t="n"/>
      <c r="C16" s="54" t="inlineStr">
        <is>
          <t>Cibax</t>
        </is>
      </c>
      <c r="D16" s="45">
        <f t="array" ref="D16">IFERROR(ROWS(_xlfn._xlws.FILTER(INDIRECT($A$12&amp;"!A2:E100"),(INDIRECT($A$12&amp;"!A2:A100")=$C16)*(INDIRECT($A$12&amp;"!E2:E100")="Enviado"))), 0)</f>
        <v/>
      </c>
      <c r="E16" s="8">
        <f t="array" ref="E16">IFERROR(ROWS(_xlfn._xlws.FILTER(INDIRECT($A$12&amp;"!A2:E100"),(INDIRECT($A$12&amp;"!A2:A100")=$C16)*(INDIRECT($A$12&amp;"!E2:E100")="Atrasado"))), 0)</f>
        <v/>
      </c>
      <c r="F16" s="11">
        <f t="array" ref="F16">IFERROR(ROWS(_xlfn._xlws.FILTER(INDIRECT($A$12&amp;"!A2:E100"),(INDIRECT($A$12&amp;"!A2:A100")=$C16)*(INDIRECT($A$12&amp;"!E2:E100")="Atrasado &gt;= 2"))), 0)</f>
        <v/>
      </c>
      <c r="G16" s="14">
        <f t="array" ref="G16">IFERROR(ROWS(_xlfn._xlws.FILTER(INDIRECT($A$12&amp;"!A2:E100"),(INDIRECT($A$12&amp;"!A2:A100")=$C16)*(INDIRECT($A$12&amp;"!E2:E100")="Duplicado"))), 0)</f>
        <v/>
      </c>
      <c r="H16" s="17">
        <f t="array" ref="H16">IFERROR(ROWS(_xlfn._xlws.FILTER(INDIRECT($A$12&amp;"!A2:E100"),(INDIRECT($A$12&amp;"!A2:A100")=$C16)*(INDIRECT($A$12&amp;"!E2:E100")="Outras Ocorrências"))), 0)</f>
        <v/>
      </c>
      <c r="I16" s="20">
        <f t="array" ref="I16">IFERROR(ROWS(_xlfn._xlws.FILTER(INDIRECT($A$12&amp;"!A2:E100"),(INDIRECT($A$12&amp;"!A2:A100")=$C16)*(INDIRECT($A$12&amp;"!E2:E100")="Sem Técnico"))), 0)</f>
        <v/>
      </c>
      <c r="J16" s="46" t="n"/>
      <c r="K16" s="47">
        <f>COUNTIF(INDIRECT("Monitoramento!$D$34:$Q$47"), "Enviado")</f>
        <v/>
      </c>
      <c r="L16" s="8">
        <f>COUNTIF(INDIRECT("Monitoramento!$D$34:$Q$47"), "Atrasado")</f>
        <v/>
      </c>
      <c r="M16" s="11">
        <f>COUNTIF(INDIRECT("Monitoramento!$D$34:$Q$47"), "Atrasado &gt;= 2")</f>
        <v/>
      </c>
      <c r="N16" s="14">
        <f>COUNTIF(INDIRECT("Monitoramento!$D$34:$Q$47"), "Duplicado")</f>
        <v/>
      </c>
      <c r="O16" s="17">
        <f>COUNTIF(INDIRECT("Monitoramento!$D$34:$Q$47"), "Outras Ocorrências")</f>
        <v/>
      </c>
      <c r="P16" s="20">
        <f>COUNTIF(INDIRECT("Monitoramento!$D$34:$Q$47"), "Sem Técnico")</f>
        <v/>
      </c>
      <c r="Q16" s="31" t="n"/>
      <c r="R16" s="52" t="inlineStr">
        <is>
          <t>Atrasados &gt;= 2</t>
        </is>
      </c>
      <c r="S16" s="11">
        <f>VLOOKUP($T$12,$C$14:$I$18,4,FALSE)</f>
        <v/>
      </c>
      <c r="T16" s="55">
        <f>S16/SUM($S$14:$S$19)</f>
        <v/>
      </c>
      <c r="U16" s="26" t="n"/>
    </row>
    <row r="17" ht="18.75" customHeight="1">
      <c r="B17" s="38" t="n"/>
      <c r="C17" s="56" t="inlineStr">
        <is>
          <t>Cifra</t>
        </is>
      </c>
      <c r="D17" s="45">
        <f t="array" ref="D17">IFERROR(ROWS(_xlfn._xlws.FILTER(INDIRECT($A$12&amp;"!A2:E100"),(INDIRECT($A$12&amp;"!A2:A100")=$C17)*(INDIRECT($A$12&amp;"!E2:E100")="Enviado"))), 0)</f>
        <v/>
      </c>
      <c r="E17" s="8">
        <f t="array" ref="E17">IFERROR(ROWS(_xlfn._xlws.FILTER(INDIRECT($A$12&amp;"!A2:E100"),(INDIRECT($A$12&amp;"!A2:A100")=$C17)*(INDIRECT($A$12&amp;"!E2:E100")="Atrasado"))), 0)</f>
        <v/>
      </c>
      <c r="F17" s="11">
        <f t="array" ref="F17">IFERROR(ROWS(_xlfn._xlws.FILTER(INDIRECT($A$12&amp;"!A2:E100"),(INDIRECT($A$12&amp;"!A2:A100")=$C17)*(INDIRECT($A$12&amp;"!E2:E100")="Atrasado &gt;= 2"))), 0)</f>
        <v/>
      </c>
      <c r="G17" s="14">
        <f t="array" ref="G17">IFERROR(ROWS(_xlfn._xlws.FILTER(INDIRECT($A$12&amp;"!A2:E100"),(INDIRECT($A$12&amp;"!A2:A100")=$C17)*(INDIRECT($A$12&amp;"!E2:E100")="Duplicado"))), 0)</f>
        <v/>
      </c>
      <c r="H17" s="17">
        <f t="array" ref="H17">IFERROR(ROWS(_xlfn._xlws.FILTER(INDIRECT($A$12&amp;"!A2:E100"),(INDIRECT($A$12&amp;"!A2:A100")=$C17)*(INDIRECT($A$12&amp;"!E2:E100")="Outras Ocorrências"))), 0)</f>
        <v/>
      </c>
      <c r="I17" s="20">
        <f t="array" ref="I17">IFERROR(ROWS(_xlfn._xlws.FILTER(INDIRECT($A$12&amp;"!A2:E100"),(INDIRECT($A$12&amp;"!A2:A100")=$C17)*(INDIRECT($A$12&amp;"!E2:E100")="Sem Técnico"))), 0)</f>
        <v/>
      </c>
      <c r="J17" s="42" t="n"/>
      <c r="K17" s="47">
        <f>COUNTIF(INDIRECT("Monitoramento!$D$50:$Q$63"), "Enviado")</f>
        <v/>
      </c>
      <c r="L17" s="8">
        <f>COUNTIF(INDIRECT("Monitoramento!$D$50:$Q$63"), "Atrasado")</f>
        <v/>
      </c>
      <c r="M17" s="11">
        <f>COUNTIF(INDIRECT("Monitoramento!$D$50:$Q$63"), "Atrasado &gt;= 2")</f>
        <v/>
      </c>
      <c r="N17" s="14">
        <f>COUNTIF(INDIRECT("Monitoramento!$D$50:$Q$63"), "Duplicado")</f>
        <v/>
      </c>
      <c r="O17" s="17">
        <f>COUNTIF(INDIRECT("Monitoramento!$D$50:$Q$63"), "Outras Ocorrências")</f>
        <v/>
      </c>
      <c r="P17" s="20">
        <f>COUNTIF(INDIRECT("Monitoramento!$D$50:$Q$63"), "Sem Técnico")</f>
        <v/>
      </c>
      <c r="Q17" s="31" t="n"/>
      <c r="R17" s="52" t="inlineStr">
        <is>
          <t>Duplicados</t>
        </is>
      </c>
      <c r="S17" s="14">
        <f>VLOOKUP($T$12,$C$14:$I$18,5,FALSE)</f>
        <v/>
      </c>
      <c r="T17" s="57">
        <f>S17/SUM($S$14:$S$19)</f>
        <v/>
      </c>
      <c r="U17" s="26" t="n"/>
    </row>
    <row r="18" ht="15" customHeight="1">
      <c r="B18" s="38" t="n"/>
      <c r="C18" s="58" t="inlineStr">
        <is>
          <t>Conisul</t>
        </is>
      </c>
      <c r="D18" s="45">
        <f t="array" ref="D18">IFERROR(ROWS(_xlfn._xlws.FILTER(INDIRECT($A$12&amp;"!A2:E100"),(INDIRECT($A$12&amp;"!A2:A100")=$C18)*(INDIRECT($A$12&amp;"!E2:E100")="Enviado"))), 0)</f>
        <v/>
      </c>
      <c r="E18" s="8">
        <f t="array" ref="E18">IFERROR(ROWS(_xlfn._xlws.FILTER(INDIRECT($A$12&amp;"!A2:E100"),(INDIRECT($A$12&amp;"!A2:A100")=$C18)*(INDIRECT($A$12&amp;"!E2:E100")="Atrasado"))), 0)</f>
        <v/>
      </c>
      <c r="F18" s="11">
        <f t="array" ref="F18">IFERROR(ROWS(_xlfn._xlws.FILTER(INDIRECT($A$12&amp;"!A2:E100"),(INDIRECT($A$12&amp;"!A2:A100")=$C18)*(INDIRECT($A$12&amp;"!E2:E100")="Atrasado &gt;= 2"))), 0)</f>
        <v/>
      </c>
      <c r="G18" s="14">
        <f t="array" ref="G18">IFERROR(ROWS(_xlfn._xlws.FILTER(INDIRECT($A$12&amp;"!A2:E100"),(INDIRECT($A$12&amp;"!A2:A100")=$C18)*(INDIRECT($A$12&amp;"!E2:E100")="Duplicado"))), 0)</f>
        <v/>
      </c>
      <c r="H18" s="17">
        <f t="array" ref="H18">IFERROR(ROWS(_xlfn._xlws.FILTER(INDIRECT($A$12&amp;"!A2:E100"),(INDIRECT($A$12&amp;"!A2:A100")=$C18)*(INDIRECT($A$12&amp;"!E2:E100")="Outras Ocorrências"))), 0)</f>
        <v/>
      </c>
      <c r="I18" s="20">
        <f t="array" ref="I18">IFERROR(ROWS(_xlfn._xlws.FILTER(INDIRECT($A$12&amp;"!A2:E100"),(INDIRECT($A$12&amp;"!A2:A100")=$C18)*(INDIRECT($A$12&amp;"!E2:E100")="Sem Técnico"))), 0)</f>
        <v/>
      </c>
      <c r="J18" s="42" t="n"/>
      <c r="K18" s="59">
        <f>COUNTIF(INDIRECT("Monitoramento!$D$66:$Q$78"), "Enviado")</f>
        <v/>
      </c>
      <c r="L18" s="60">
        <f>COUNTIF(INDIRECT("Monitoramento!$D$66:$Q$78"), "Atrasado")</f>
        <v/>
      </c>
      <c r="M18" s="61">
        <f>COUNTIF(INDIRECT("Monitoramento!$D$66:$Q$78"), "Atrasado &gt;= 2")</f>
        <v/>
      </c>
      <c r="N18" s="62">
        <f>COUNTIF(INDIRECT("Monitoramento!$D$66:$Q$78"), "Duplicado")</f>
        <v/>
      </c>
      <c r="O18" s="63">
        <f>COUNTIF(INDIRECT("Monitoramento!$D$66:$Q$78"), "Outras Ocorrências")</f>
        <v/>
      </c>
      <c r="P18" s="64">
        <f>COUNTIF(INDIRECT("Monitoramento!$D$66:$Q$78"), "Sem Técnico")</f>
        <v/>
      </c>
      <c r="Q18" s="31" t="n"/>
      <c r="R18" s="52" t="inlineStr">
        <is>
          <t>Outras Ocorrências</t>
        </is>
      </c>
      <c r="S18" s="17">
        <f>VLOOKUP($T$12,$C$14:$I$18,6,FALSE)</f>
        <v/>
      </c>
      <c r="T18" s="65">
        <f>S18/SUM($S$14:$S$19)</f>
        <v/>
      </c>
      <c r="U18" s="26" t="n"/>
    </row>
    <row r="19" ht="15" customHeight="1">
      <c r="B19" s="38" t="n"/>
      <c r="C19" s="35" t="inlineStr">
        <is>
          <t>Regionais (Validações)</t>
        </is>
      </c>
      <c r="D19" s="30" t="n"/>
      <c r="E19" s="30" t="n"/>
      <c r="F19" s="30" t="n"/>
      <c r="G19" s="30" t="n"/>
      <c r="H19" s="30" t="n"/>
      <c r="I19" s="28" t="n"/>
      <c r="J19" s="66" t="n"/>
      <c r="K19" s="35" t="inlineStr">
        <is>
          <t>Regionais (Validações)</t>
        </is>
      </c>
      <c r="L19" s="30" t="n"/>
      <c r="M19" s="30" t="n"/>
      <c r="N19" s="30" t="n"/>
      <c r="O19" s="30" t="n"/>
      <c r="P19" s="28" t="n"/>
      <c r="Q19" s="31" t="n"/>
      <c r="R19" s="52" t="inlineStr">
        <is>
          <t>Sem Técnico</t>
        </is>
      </c>
      <c r="S19" s="64">
        <f>VLOOKUP($T$12,$C$14:$I$18,7,FALSE)</f>
        <v/>
      </c>
      <c r="T19" s="67">
        <f>S19/SUM($S$14:$S$19)</f>
        <v/>
      </c>
      <c r="U19" s="26" t="n"/>
    </row>
    <row r="20" ht="15" customHeight="1">
      <c r="B20" s="38" t="n"/>
      <c r="C20" s="36" t="inlineStr">
        <is>
          <t>Regional</t>
        </is>
      </c>
      <c r="D20" s="28" t="n"/>
      <c r="E20" s="36" t="inlineStr">
        <is>
          <t>Validados</t>
        </is>
      </c>
      <c r="F20" s="28" t="n"/>
      <c r="G20" s="36" t="inlineStr">
        <is>
          <t>Não Validados</t>
        </is>
      </c>
      <c r="H20" s="28" t="n"/>
      <c r="I20" s="68" t="inlineStr">
        <is>
          <t>% Val.</t>
        </is>
      </c>
      <c r="J20" s="46" t="n"/>
      <c r="K20" s="40" t="inlineStr">
        <is>
          <t>Validados</t>
        </is>
      </c>
      <c r="L20" s="69" t="n"/>
      <c r="M20" s="40" t="inlineStr">
        <is>
          <t>Não Validados</t>
        </is>
      </c>
      <c r="N20" s="69" t="n"/>
      <c r="O20" s="40" t="inlineStr">
        <is>
          <t>% Validados</t>
        </is>
      </c>
      <c r="P20" s="69" t="n"/>
      <c r="Q20" s="31" t="n"/>
      <c r="R20" s="70" t="inlineStr">
        <is>
          <t>% Validação</t>
        </is>
      </c>
      <c r="S20" s="71">
        <f>VLOOKUP($T$12,$C$21:$I$25,7,FALSE)</f>
        <v/>
      </c>
      <c r="T20" s="34" t="n"/>
      <c r="U20" s="26" t="n"/>
    </row>
    <row r="21" ht="15" customHeight="1">
      <c r="B21" s="38" t="n"/>
      <c r="C21" s="72" t="inlineStr">
        <is>
          <t>Coripa</t>
        </is>
      </c>
      <c r="D21" s="28" t="n"/>
      <c r="E21" s="73">
        <f t="array" ref="E21">IFERROR(ROWS(_xlfn._xlws.FILTER(INDIRECT($A$12&amp;"!A2:E100"),(INDIRECT($A$12&amp;"!A2:A100")=$C21)*(INDIRECT($A$12&amp;"!G2:G100")="Sim"))), 0)</f>
        <v/>
      </c>
      <c r="F21" s="28" t="n"/>
      <c r="G21" s="74">
        <f t="array" ref="G21">IFERROR(ROWS(_xlfn._xlws.FILTER(INDIRECT($A$12&amp;"!A2:E100"),(INDIRECT($A$12&amp;"!A2:A100")=$C21)*(INDIRECT($A$12&amp;"!G2:G100")="Não"))), 0)</f>
        <v/>
      </c>
      <c r="H21" s="28" t="n"/>
      <c r="I21" s="75">
        <f>E21/SUM(E21:H21)</f>
        <v/>
      </c>
      <c r="J21" s="42" t="n"/>
      <c r="K21" s="73">
        <f>COUNTIF(INDIRECT("Regionais!D2:Q15"), "Sim")</f>
        <v/>
      </c>
      <c r="L21" s="28" t="n"/>
      <c r="M21" s="74">
        <f>COUNTIF(INDIRECT("Regionais!D2:Q15"), "Não")</f>
        <v/>
      </c>
      <c r="N21" s="28" t="n"/>
      <c r="O21" s="76">
        <f>IFERROR(K21/SUM(K21:N21), 0)</f>
        <v/>
      </c>
      <c r="P21" s="28" t="n"/>
      <c r="Q21" s="31" t="n"/>
      <c r="R21" s="43" t="inlineStr">
        <is>
          <t>Envios - Acumulado (Total)</t>
        </is>
      </c>
      <c r="S21" s="30" t="n"/>
      <c r="T21" s="28" t="n"/>
      <c r="U21" s="26" t="n"/>
    </row>
    <row r="22" ht="15" customHeight="1">
      <c r="B22" s="38" t="n"/>
      <c r="C22" s="77" t="inlineStr">
        <is>
          <t>Comafen</t>
        </is>
      </c>
      <c r="D22" s="28" t="n"/>
      <c r="E22" s="73">
        <f t="array" ref="E22">IFERROR(ROWS(_xlfn._xlws.FILTER(INDIRECT($A$12&amp;"!A2:E100"),(INDIRECT($A$12&amp;"!A2:A100")=$C22)*(INDIRECT($A$12&amp;"!G2:G100")="Sim"))), 0)</f>
        <v/>
      </c>
      <c r="F22" s="28" t="n"/>
      <c r="G22" s="74">
        <f t="array" ref="G22">IFERROR(ROWS(_xlfn._xlws.FILTER(INDIRECT($A$12&amp;"!A2:E100"),(INDIRECT($A$12&amp;"!A2:A100")=$C22)*(INDIRECT($A$12&amp;"!G2:G100")="Não"))), 0)</f>
        <v/>
      </c>
      <c r="H22" s="28" t="n"/>
      <c r="I22" s="75">
        <f>E22/SUM(E22:H22)</f>
        <v/>
      </c>
      <c r="J22" s="46" t="n"/>
      <c r="K22" s="73">
        <f>COUNTIF(INDIRECT("Regionais!D18:Q31"), "Sim")</f>
        <v/>
      </c>
      <c r="L22" s="28" t="n"/>
      <c r="M22" s="74">
        <f>COUNTIF(INDIRECT("Regionais!D18:Q31"), "Não")</f>
        <v/>
      </c>
      <c r="N22" s="28" t="n"/>
      <c r="O22" s="76">
        <f>IFERROR(K22/SUM(K22:N22), 0)</f>
        <v/>
      </c>
      <c r="P22" s="28" t="n"/>
      <c r="Q22" s="31" t="n"/>
      <c r="R22" s="48" t="inlineStr">
        <is>
          <t>Enviados</t>
        </is>
      </c>
      <c r="S22" s="49">
        <f>VLOOKUP($T$12,$C$13:$P$18,9,FALSE)</f>
        <v/>
      </c>
      <c r="T22" s="50">
        <f>S22/SUM($S$22:$S$27)</f>
        <v/>
      </c>
      <c r="U22" s="26" t="n"/>
    </row>
    <row r="23" ht="15" customHeight="1">
      <c r="B23" s="38" t="n"/>
      <c r="C23" s="78" t="inlineStr">
        <is>
          <t>Cibax</t>
        </is>
      </c>
      <c r="D23" s="28" t="n"/>
      <c r="E23" s="73">
        <f t="array" ref="E23">IFERROR(ROWS(_xlfn._xlws.FILTER(INDIRECT($A$12&amp;"!A2:E100"),(INDIRECT($A$12&amp;"!A2:A100")=$C23)*(INDIRECT($A$12&amp;"!G2:G100")="Sim"))), 0)</f>
        <v/>
      </c>
      <c r="F23" s="28" t="n"/>
      <c r="G23" s="79">
        <f t="array" ref="G23">IFERROR(ROWS(_xlfn._xlws.FILTER(INDIRECT($A$12&amp;"!A2:E100"),(INDIRECT($A$12&amp;"!A2:A100")=$C23)*(INDIRECT($A$12&amp;"!G2:G100")="Não"))), 0)</f>
        <v/>
      </c>
      <c r="H23" s="34" t="n"/>
      <c r="I23" s="80">
        <f>E23/SUM(E23:H23)</f>
        <v/>
      </c>
      <c r="J23" s="46" t="n"/>
      <c r="K23" s="73">
        <f>COUNTIF(INDIRECT("Regionais!D34:Q47"), "Sim")</f>
        <v/>
      </c>
      <c r="L23" s="28" t="n"/>
      <c r="M23" s="74">
        <f>COUNTIF(INDIRECT("Regionais!D34:Q47"), "Não")</f>
        <v/>
      </c>
      <c r="N23" s="28" t="n"/>
      <c r="O23" s="76">
        <f>IFERROR(K23/SUM(K23:N23), 0)</f>
        <v/>
      </c>
      <c r="P23" s="28" t="n"/>
      <c r="Q23" s="31" t="n"/>
      <c r="R23" s="52" t="inlineStr">
        <is>
          <t>Atrasados</t>
        </is>
      </c>
      <c r="S23" s="8">
        <f>VLOOKUP($T$12,$C$13:$P$18,10,FALSE)</f>
        <v/>
      </c>
      <c r="T23" s="53">
        <f>S23/SUM($S$22:$S$27)</f>
        <v/>
      </c>
      <c r="U23" s="26" t="n"/>
    </row>
    <row r="24" ht="15" customHeight="1">
      <c r="B24" s="38" t="n"/>
      <c r="C24" s="81" t="inlineStr">
        <is>
          <t>Cifra</t>
        </is>
      </c>
      <c r="D24" s="28" t="n"/>
      <c r="E24" s="82">
        <f t="array" ref="E24">IFERROR(ROWS(_xlfn._xlws.FILTER(INDIRECT($A$12&amp;"!A2:E100"),(INDIRECT($A$12&amp;"!A2:A100")=$C24)*(INDIRECT($A$12&amp;"!G2:G100")="Sim"))), 0)</f>
        <v/>
      </c>
      <c r="F24" s="30" t="n"/>
      <c r="G24" s="74">
        <f t="array" ref="G24">IFERROR(ROWS(_xlfn._xlws.FILTER(INDIRECT($A$12&amp;"!A2:E100"),(INDIRECT($A$12&amp;"!A2:A100")=$C24)*(INDIRECT($A$12&amp;"!G2:G100")="Não"))), 0)</f>
        <v/>
      </c>
      <c r="H24" s="28" t="n"/>
      <c r="I24" s="83">
        <f>E24/SUM(E24:H24)</f>
        <v/>
      </c>
      <c r="J24" s="26" t="n"/>
      <c r="K24" s="73">
        <f>COUNTIF(INDIRECT("Regionais!D50:Q63"), "Sim")</f>
        <v/>
      </c>
      <c r="L24" s="28" t="n"/>
      <c r="M24" s="74">
        <f>COUNTIF(INDIRECT("Regionais!D50:Q63"), "Não")</f>
        <v/>
      </c>
      <c r="N24" s="28" t="n"/>
      <c r="O24" s="76">
        <f>IFERROR(K24/SUM(K24:N24), 0)</f>
        <v/>
      </c>
      <c r="P24" s="28" t="n"/>
      <c r="Q24" s="31" t="n"/>
      <c r="R24" s="52" t="inlineStr">
        <is>
          <t>Atrasados &gt;= 2</t>
        </is>
      </c>
      <c r="S24" s="11">
        <f>VLOOKUP($T$12,$C$13:$P$18,11,FALSE)</f>
        <v/>
      </c>
      <c r="T24" s="55">
        <f>S24/SUM($S$22:$S$27)</f>
        <v/>
      </c>
      <c r="U24" s="26" t="n"/>
    </row>
    <row r="25">
      <c r="B25" s="38" t="n"/>
      <c r="C25" s="84" t="inlineStr">
        <is>
          <t>Conisul</t>
        </is>
      </c>
      <c r="D25" s="28" t="n"/>
      <c r="E25" s="73">
        <f t="array" ref="E25">IFERROR(ROWS(_xlfn._xlws.FILTER(INDIRECT($A$12&amp;"!A2:E100"),(INDIRECT($A$12&amp;"!A2:A100")=$C25)*(INDIRECT($A$12&amp;"!G2:G100")="Sim"))), 0)</f>
        <v/>
      </c>
      <c r="F25" s="28" t="n"/>
      <c r="G25" s="85">
        <f t="array" ref="G25">IFERROR(ROWS(_xlfn._xlws.FILTER(INDIRECT($A$12&amp;"!A2:E100"),(INDIRECT($A$12&amp;"!A2:A100")=$C25)*(INDIRECT($A$12&amp;"!G2:G100")="Não"))), 0)</f>
        <v/>
      </c>
      <c r="H25" s="69" t="n"/>
      <c r="I25" s="86">
        <f>E25/SUM(E25:H25)</f>
        <v/>
      </c>
      <c r="J25" s="26" t="n"/>
      <c r="K25" s="73">
        <f>COUNTIF(INDIRECT("Regionais!D66:Q78"), "Sim")</f>
        <v/>
      </c>
      <c r="L25" s="28" t="n"/>
      <c r="M25" s="74">
        <f>COUNTIF(INDIRECT("Regionais!D66:Q78"), "Não")</f>
        <v/>
      </c>
      <c r="N25" s="28" t="n"/>
      <c r="O25" s="76">
        <f>IFERROR(K25/SUM(K25:N25), 0)</f>
        <v/>
      </c>
      <c r="P25" s="28" t="n"/>
      <c r="Q25" s="31" t="n"/>
      <c r="R25" s="52" t="inlineStr">
        <is>
          <t>Duplicados</t>
        </is>
      </c>
      <c r="S25" s="14">
        <f>VLOOKUP($T$12,$C$13:$P$18,12,FALSE)</f>
        <v/>
      </c>
      <c r="T25" s="57">
        <f>S25/SUM($S$22:$S$27)</f>
        <v/>
      </c>
      <c r="U25" s="26" t="n"/>
    </row>
    <row r="26">
      <c r="A26" s="31" t="n"/>
      <c r="B26" s="31" t="n"/>
      <c r="C26" s="31" t="n"/>
      <c r="D26" s="31" t="n"/>
      <c r="E26" s="31" t="n"/>
      <c r="F26" s="31" t="n"/>
      <c r="G26" s="31" t="n"/>
      <c r="H26" s="31" t="n"/>
      <c r="I26" s="31" t="n"/>
      <c r="J26" s="26" t="n"/>
      <c r="K26" s="31" t="n"/>
      <c r="L26" s="31" t="n"/>
      <c r="M26" s="31" t="n"/>
      <c r="N26" s="31" t="n"/>
      <c r="O26" s="31" t="n"/>
      <c r="P26" s="31" t="n"/>
      <c r="Q26" s="31" t="n"/>
      <c r="R26" s="52" t="inlineStr">
        <is>
          <t>Outras Ocorrências</t>
        </is>
      </c>
      <c r="S26" s="17">
        <f>VLOOKUP($T$12,$C$13:$P$18,13,FALSE)</f>
        <v/>
      </c>
      <c r="T26" s="65">
        <f>S26/SUM($S$22:$S$27)</f>
        <v/>
      </c>
      <c r="U26" s="26" t="n"/>
    </row>
    <row r="27">
      <c r="A27" s="31" t="n"/>
      <c r="B27" s="31" t="n"/>
      <c r="C27" s="31" t="n"/>
      <c r="D27" s="31" t="n"/>
      <c r="E27" s="31" t="n"/>
      <c r="F27" s="31" t="n"/>
      <c r="G27" s="31" t="n"/>
      <c r="H27" s="31" t="n"/>
      <c r="I27" s="31" t="n"/>
      <c r="J27" s="26" t="n"/>
      <c r="K27" s="31" t="n"/>
      <c r="L27" s="31" t="n"/>
      <c r="M27" s="31" t="n"/>
      <c r="N27" s="31" t="n"/>
      <c r="O27" s="31" t="n"/>
      <c r="P27" s="31" t="n"/>
      <c r="Q27" s="31" t="n"/>
      <c r="R27" s="52" t="inlineStr">
        <is>
          <t>Sem Técnico</t>
        </is>
      </c>
      <c r="S27" s="64">
        <f>VLOOKUP($T$12,$C$13:$P$18,14,FALSE)</f>
        <v/>
      </c>
      <c r="T27" s="67">
        <f>S27/SUM($S$22:$S$27)</f>
        <v/>
      </c>
      <c r="U27" s="26" t="n"/>
    </row>
    <row r="28">
      <c r="A28" s="31" t="n"/>
      <c r="B28" s="31" t="n"/>
      <c r="C28" s="31" t="n"/>
      <c r="D28" s="31" t="n"/>
      <c r="E28" s="31" t="n"/>
      <c r="F28" s="31" t="n"/>
      <c r="G28" s="31" t="n"/>
      <c r="H28" s="31" t="n"/>
      <c r="I28" s="31" t="n"/>
      <c r="J28" s="26" t="n"/>
      <c r="K28" s="31" t="n"/>
      <c r="L28" s="31" t="n"/>
      <c r="M28" s="31" t="n"/>
      <c r="N28" s="31" t="n"/>
      <c r="O28" s="31" t="n"/>
      <c r="P28" s="31" t="n"/>
      <c r="Q28" s="31" t="n"/>
      <c r="R28" s="87" t="inlineStr">
        <is>
          <t>% Validação</t>
        </is>
      </c>
      <c r="S28" s="88">
        <f>VLOOKUP($T$12,$C$20:$P$25,13,FALSE)</f>
        <v/>
      </c>
      <c r="T28" s="28" t="n"/>
      <c r="U28" s="26" t="n"/>
    </row>
    <row r="29">
      <c r="A29" s="26" t="n"/>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row>
  </sheetData>
  <mergeCells count="50">
    <mergeCell ref="G21:H21"/>
    <mergeCell ref="K25:L25"/>
    <mergeCell ref="C24:D24"/>
    <mergeCell ref="E24:F24"/>
    <mergeCell ref="K24:L24"/>
    <mergeCell ref="A11:B11"/>
    <mergeCell ref="O24:P24"/>
    <mergeCell ref="E23:F23"/>
    <mergeCell ref="G23:H23"/>
    <mergeCell ref="R21:T21"/>
    <mergeCell ref="K12:P12"/>
    <mergeCell ref="C19:I19"/>
    <mergeCell ref="K21:L21"/>
    <mergeCell ref="C20:D20"/>
    <mergeCell ref="E20:F20"/>
    <mergeCell ref="K20:L20"/>
    <mergeCell ref="M20:N20"/>
    <mergeCell ref="O20:P20"/>
    <mergeCell ref="C25:D25"/>
    <mergeCell ref="C22:D22"/>
    <mergeCell ref="S28:T28"/>
    <mergeCell ref="K22:L22"/>
    <mergeCell ref="M22:N22"/>
    <mergeCell ref="O22:P22"/>
    <mergeCell ref="R12:S12"/>
    <mergeCell ref="C11:I11"/>
    <mergeCell ref="M25:N25"/>
    <mergeCell ref="M21:N21"/>
    <mergeCell ref="O25:P25"/>
    <mergeCell ref="A12:B25"/>
    <mergeCell ref="O21:P21"/>
    <mergeCell ref="K19:P19"/>
    <mergeCell ref="G24:H24"/>
    <mergeCell ref="C21:D21"/>
    <mergeCell ref="K23:L23"/>
    <mergeCell ref="C23:D23"/>
    <mergeCell ref="M24:N24"/>
    <mergeCell ref="G20:H20"/>
    <mergeCell ref="R11:T11"/>
    <mergeCell ref="E25:F25"/>
    <mergeCell ref="M23:N23"/>
    <mergeCell ref="S20:T20"/>
    <mergeCell ref="G25:H25"/>
    <mergeCell ref="O23:P23"/>
    <mergeCell ref="R13:T13"/>
    <mergeCell ref="C12:I12"/>
    <mergeCell ref="E22:F22"/>
    <mergeCell ref="G22:H22"/>
    <mergeCell ref="K11:P11"/>
    <mergeCell ref="E21:F21"/>
  </mergeCells>
  <conditionalFormatting sqref="T12">
    <cfRule type="cellIs" priority="5" operator="equal" dxfId="0">
      <formula>"Coripa"</formula>
    </cfRule>
    <cfRule type="cellIs" priority="6" operator="equal" dxfId="1">
      <formula>"Comafen"</formula>
    </cfRule>
    <cfRule type="cellIs" priority="7" operator="equal" dxfId="2">
      <formula>"Cibax"</formula>
    </cfRule>
    <cfRule type="cellIs" priority="8" operator="equal" dxfId="3">
      <formula>"Cifra"</formula>
    </cfRule>
    <cfRule type="cellIs" priority="9" operator="equal" dxfId="4">
      <formula>"Conisul"</formula>
    </cfRule>
  </conditionalFormatting>
  <conditionalFormatting sqref="I21:I25 O21:O25 S20 S28">
    <cfRule type="cellIs" priority="1" operator="lessThanOrEqual" dxfId="5">
      <formula>0.25</formula>
    </cfRule>
    <cfRule type="cellIs" priority="2" operator="lessThanOrEqual" dxfId="1">
      <formula>0.5</formula>
    </cfRule>
    <cfRule type="cellIs" priority="3" operator="lessThanOrEqual" dxfId="6">
      <formula>0.75</formula>
    </cfRule>
    <cfRule type="cellIs" priority="4" operator="lessThanOrEqual" dxfId="0">
      <formula>1</formula>
    </cfRule>
  </conditionalFormatting>
  <dataValidations count="2">
    <dataValidation sqref="A12" showDropDown="0" showInputMessage="1" showErrorMessage="1" allowBlank="0" type="list">
      <formula1>"11.24,12.24,01.25,02.25,03.25,04.25,05.25,06.25,07.25,08.25,09.25,10.25,11.25,12.25"</formula1>
    </dataValidation>
    <dataValidation sqref="T12" showDropDown="0" showInputMessage="1" showErrorMessage="1" allowBlank="0" type="list">
      <formula1>$C$14:$C$18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31.140625" customWidth="1" min="2" max="2"/>
    <col width="8.5703125" customWidth="1" min="3" max="3"/>
    <col width="15" customWidth="1" min="4" max="4"/>
    <col width="16.140625" customWidth="1" min="5" max="5"/>
    <col width="16.85546875" customWidth="1" min="6" max="6"/>
    <col width="18.5703125" customWidth="1" min="7" max="7"/>
    <col width="16.7109375" customWidth="1" min="8" max="8"/>
    <col width="17" customWidth="1" min="9" max="9"/>
    <col width="19" customWidth="1" min="10" max="10"/>
    <col width="23.7109375" customWidth="1" min="11" max="11"/>
    <col width="20" customWidth="1" min="12" max="12"/>
    <col width="20.140625" customWidth="1" min="13" max="13"/>
    <col width="19.85546875" customWidth="1" min="14" max="14"/>
    <col width="20.7109375" customWidth="1" min="15" max="15"/>
  </cols>
  <sheetData>
    <row r="1" ht="15.75" customHeight="1">
      <c r="A1" s="89" t="inlineStr">
        <is>
          <t>Regional</t>
        </is>
      </c>
      <c r="B1" s="89" t="inlineStr">
        <is>
          <t>Municípios</t>
        </is>
      </c>
      <c r="C1" s="89" t="inlineStr">
        <is>
          <t>UVR</t>
        </is>
      </c>
      <c r="D1" s="90" t="inlineStr">
        <is>
          <t>01.25</t>
        </is>
      </c>
      <c r="E1" s="90" t="inlineStr">
        <is>
          <t>02.25</t>
        </is>
      </c>
      <c r="F1" s="90" t="inlineStr">
        <is>
          <t>03.25</t>
        </is>
      </c>
      <c r="G1" s="90" t="inlineStr">
        <is>
          <t>04.25</t>
        </is>
      </c>
      <c r="H1" s="90" t="inlineStr">
        <is>
          <t>05.25</t>
        </is>
      </c>
      <c r="I1" s="90" t="inlineStr">
        <is>
          <t>06.25</t>
        </is>
      </c>
      <c r="J1" s="91" t="inlineStr">
        <is>
          <t>07.25</t>
        </is>
      </c>
      <c r="K1" s="91" t="inlineStr">
        <is>
          <t>08.25</t>
        </is>
      </c>
      <c r="L1" s="91" t="inlineStr">
        <is>
          <t>09.25</t>
        </is>
      </c>
      <c r="M1" s="91" t="inlineStr">
        <is>
          <t>10.25</t>
        </is>
      </c>
      <c r="N1" s="91" t="inlineStr">
        <is>
          <t>11.25</t>
        </is>
      </c>
      <c r="O1" s="91" t="inlineStr">
        <is>
          <t>12.25</t>
        </is>
      </c>
    </row>
    <row r="2" ht="15.75" customHeight="1">
      <c r="A2" s="44" t="inlineStr">
        <is>
          <t>Coripa</t>
        </is>
      </c>
      <c r="B2" s="92" t="inlineStr">
        <is>
          <t>Alto Paraíso</t>
        </is>
      </c>
      <c r="C2" s="52" t="n">
        <v>1</v>
      </c>
      <c r="D2" s="93">
        <f t="array" ref="D2">IF(
    VLOOKUP(
        $A2,
        _xlfn._xlws.FILTER(
            INDIRECT("'"&amp;D$1&amp;"'!A2:E1000"), (INDIRECT("'"&amp;D$1&amp;"'!B2:B1000")=$B2) * (INDIRECT("'"&amp;D$1&amp;"'!C2:C1000")=$C2)
        ),
        5,
        FALSE
    )=0,
    "",
    VLOOKUP(
        $A2,
        _xlfn._xlws.FILTER(
            INDIRECT("'"&amp;D$1&amp;"'!A2:E1000"), (INDIRECT("'"&amp;D$1&amp;"'!B2:B1000")=$B2) * (INDIRECT("'"&amp;D$1&amp;"'!C2:C1000")=$C2)
        ),
        5,
        FALSE
    )
)</f>
        <v/>
      </c>
      <c r="E2" s="93">
        <f t="array" ref="E2">IF(
    VLOOKUP(
        $A2,
        _xlfn._xlws.FILTER(
            INDIRECT("'"&amp;E$1&amp;"'!A2:E1000"), (INDIRECT("'"&amp;E$1&amp;"'!B2:B1000")=$B2) * (INDIRECT("'"&amp;E$1&amp;"'!C2:C1000")=$C2)
        ),
        5,
        FALSE
    )=0,
    "",
    VLOOKUP(
        $A2,
        _xlfn._xlws.FILTER(
            INDIRECT("'"&amp;E$1&amp;"'!A2:E1000"), (INDIRECT("'"&amp;E$1&amp;"'!B2:B1000")=$B2) * (INDIRECT("'"&amp;E$1&amp;"'!C2:C1000")=$C2)
        ),
        5,
        FALSE
    )
)</f>
        <v/>
      </c>
      <c r="F2" s="93">
        <f t="array" ref="F2">IF(
    VLOOKUP(
        $A2,
        _xlfn._xlws.FILTER(
            INDIRECT("'"&amp;F$1&amp;"'!A2:E1000"), (INDIRECT("'"&amp;F$1&amp;"'!B2:B1000")=$B2) * (INDIRECT("'"&amp;F$1&amp;"'!C2:C1000")=$C2)
        ),
        5,
        FALSE
    )=0,
    "",
    VLOOKUP(
        $A2,
        _xlfn._xlws.FILTER(
            INDIRECT("'"&amp;F$1&amp;"'!A2:E1000"), (INDIRECT("'"&amp;F$1&amp;"'!B2:B1000")=$B2) * (INDIRECT("'"&amp;F$1&amp;"'!C2:C1000")=$C2)
        ),
        5,
        FALSE
    )
)</f>
        <v/>
      </c>
      <c r="G2" s="93">
        <f t="array" ref="G2">IF(
    VLOOKUP(
        $A2,
        _xlfn._xlws.FILTER(
            INDIRECT("'"&amp;G$1&amp;"'!A2:E1000"), (INDIRECT("'"&amp;G$1&amp;"'!B2:B1000")=$B2) * (INDIRECT("'"&amp;G$1&amp;"'!C2:C1000")=$C2)
        ),
        5,
        FALSE
    )=0,
    "",
    VLOOKUP(
        $A2,
        _xlfn._xlws.FILTER(
            INDIRECT("'"&amp;G$1&amp;"'!A2:E1000"), (INDIRECT("'"&amp;G$1&amp;"'!B2:B1000")=$B2) * (INDIRECT("'"&amp;G$1&amp;"'!C2:C1000")=$C2)
        ),
        5,
        FALSE
    )
)</f>
        <v/>
      </c>
      <c r="H2" s="93">
        <f t="array" ref="H2">IF(
    VLOOKUP(
        $A2,
        _xlfn._xlws.FILTER(
            INDIRECT("'"&amp;H$1&amp;"'!A2:E1000"), (INDIRECT("'"&amp;H$1&amp;"'!B2:B1000")=$B2) * (INDIRECT("'"&amp;H$1&amp;"'!C2:C1000")=$C2)
        ),
        5,
        FALSE
    )=0,
    "",
    VLOOKUP(
        $A2,
        _xlfn._xlws.FILTER(
            INDIRECT("'"&amp;H$1&amp;"'!A2:E1000"), (INDIRECT("'"&amp;H$1&amp;"'!B2:B1000")=$B2) * (INDIRECT("'"&amp;H$1&amp;"'!C2:C1000")=$C2)
        ),
        5,
        FALSE
    )
)</f>
        <v/>
      </c>
      <c r="I2" s="93">
        <f t="array" ref="I2">IF(
    VLOOKUP(
        $A2,
        _xlfn._xlws.FILTER(
            INDIRECT("'"&amp;I$1&amp;"'!A2:E1000"), (INDIRECT("'"&amp;I$1&amp;"'!B2:B1000")=$B2) * (INDIRECT("'"&amp;I$1&amp;"'!C2:C1000")=$C2)
        ),
        5,
        FALSE
    )=0,
    "",
    VLOOKUP(
        $A2,
        _xlfn._xlws.FILTER(
            INDIRECT("'"&amp;I$1&amp;"'!A2:E1000"), (INDIRECT("'"&amp;I$1&amp;"'!B2:B1000")=$B2) * (INDIRECT("'"&amp;I$1&amp;"'!C2:C1000")=$C2)
        ),
        5,
        FALSE
    )
)</f>
        <v/>
      </c>
      <c r="J2" s="93">
        <f t="array" ref="J2">IF(
    VLOOKUP(
        $A2,
        _xlfn._xlws.FILTER(
            INDIRECT("'"&amp;J$1&amp;"'!A2:E1000"), (INDIRECT("'"&amp;J$1&amp;"'!B2:B1000")=$B2) * (INDIRECT("'"&amp;J$1&amp;"'!C2:C1000")=$C2)
        ),
        5,
        FALSE
    )=0,
    "",
    VLOOKUP(
        $A2,
        _xlfn._xlws.FILTER(
            INDIRECT("'"&amp;J$1&amp;"'!A2:E1000"), (INDIRECT("'"&amp;J$1&amp;"'!B2:B1000")=$B2) * (INDIRECT("'"&amp;J$1&amp;"'!C2:C1000")=$C2)
        ),
        5,
        FALSE
    )
)</f>
        <v/>
      </c>
      <c r="K2" s="93">
        <f t="array" ref="K2">IF(
    VLOOKUP(
        $A2,
        _xlfn._xlws.FILTER(
            INDIRECT("'"&amp;K$1&amp;"'!A2:E1000"), (INDIRECT("'"&amp;K$1&amp;"'!B2:B1000")=$B2) * (INDIRECT("'"&amp;K$1&amp;"'!C2:C1000")=$C2)
        ),
        5,
        FALSE
    )=0,
    "",
    VLOOKUP(
        $A2,
        _xlfn._xlws.FILTER(
            INDIRECT("'"&amp;K$1&amp;"'!A2:E1000"), (INDIRECT("'"&amp;K$1&amp;"'!B2:B1000")=$B2) * (INDIRECT("'"&amp;K$1&amp;"'!C2:C1000")=$C2)
        ),
        5,
        FALSE
    )
)</f>
        <v/>
      </c>
      <c r="L2" s="93">
        <f t="array" ref="L2">IF(
    VLOOKUP(
        $A2,
        _xlfn._xlws.FILTER(
            INDIRECT("'"&amp;L$1&amp;"'!A2:E1000"), (INDIRECT("'"&amp;L$1&amp;"'!B2:B1000")=$B2) * (INDIRECT("'"&amp;L$1&amp;"'!C2:C1000")=$C2)
        ),
        5,
        FALSE
    )=0,
    "",
    VLOOKUP(
        $A2,
        _xlfn._xlws.FILTER(
            INDIRECT("'"&amp;L$1&amp;"'!A2:E1000"), (INDIRECT("'"&amp;L$1&amp;"'!B2:B1000")=$B2) * (INDIRECT("'"&amp;L$1&amp;"'!C2:C1000")=$C2)
        ),
        5,
        FALSE
    )
)</f>
        <v/>
      </c>
      <c r="M2" s="93">
        <f t="array" ref="M2">IF(
    VLOOKUP(
        $A2,
        _xlfn._xlws.FILTER(
            INDIRECT("'"&amp;M$1&amp;"'!A2:E1000"), (INDIRECT("'"&amp;M$1&amp;"'!B2:B1000")=$B2) * (INDIRECT("'"&amp;M$1&amp;"'!C2:C1000")=$C2)
        ),
        5,
        FALSE
    )=0,
    "",
    VLOOKUP(
        $A2,
        _xlfn._xlws.FILTER(
            INDIRECT("'"&amp;M$1&amp;"'!A2:E1000"), (INDIRECT("'"&amp;M$1&amp;"'!B2:B1000")=$B2) * (INDIRECT("'"&amp;M$1&amp;"'!C2:C1000")=$C2)
        ),
        5,
        FALSE
    )
)</f>
        <v/>
      </c>
      <c r="N2" s="93">
        <f t="array" ref="N2">IF(
    VLOOKUP(
        $A2,
        _xlfn._xlws.FILTER(
            INDIRECT("'"&amp;N$1&amp;"'!A2:E1000"), (INDIRECT("'"&amp;N$1&amp;"'!B2:B1000")=$B2) * (INDIRECT("'"&amp;N$1&amp;"'!C2:C1000")=$C2)
        ),
        5,
        FALSE
    )=0,
    "",
    VLOOKUP(
        $A2,
        _xlfn._xlws.FILTER(
            INDIRECT("'"&amp;N$1&amp;"'!A2:E1000"), (INDIRECT("'"&amp;N$1&amp;"'!B2:B1000")=$B2) * (INDIRECT("'"&amp;N$1&amp;"'!C2:C1000")=$C2)
        ),
        5,
        FALSE
    )
)</f>
        <v/>
      </c>
      <c r="O2" s="93">
        <f t="array" ref="O2">IF(
    VLOOKUP(
        $A2,
        _xlfn._xlws.FILTER(
            INDIRECT("'"&amp;O$1&amp;"'!A2:E1000"), (INDIRECT("'"&amp;O$1&amp;"'!B2:B1000")=$B2) * (INDIRECT("'"&amp;O$1&amp;"'!C2:C1000")=$C2)
        ),
        5,
        FALSE
    )=0,
    "",
    VLOOKUP(
        $A2,
        _xlfn._xlws.FILTER(
            INDIRECT("'"&amp;O$1&amp;"'!A2:E1000"), (INDIRECT("'"&amp;O$1&amp;"'!B2:B1000")=$B2) * (INDIRECT("'"&amp;O$1&amp;"'!C2:C1000")=$C2)
        ),
        5,
        FALSE
    )
)</f>
        <v/>
      </c>
    </row>
    <row r="3" ht="15.75" customHeight="1">
      <c r="A3" s="44" t="inlineStr">
        <is>
          <t>Coripa</t>
        </is>
      </c>
      <c r="B3" s="92" t="inlineStr">
        <is>
          <t>Douradina</t>
        </is>
      </c>
      <c r="C3" s="52" t="n">
        <v>1</v>
      </c>
      <c r="D3" s="93">
        <f t="array" ref="D3">IF(
    VLOOKUP(
        $A3,
        _xlfn._xlws.FILTER(
            INDIRECT("'"&amp;D$1&amp;"'!A2:E1000"), (INDIRECT("'"&amp;D$1&amp;"'!B2:B1000")=$B3) * (INDIRECT("'"&amp;D$1&amp;"'!C2:C1000")=$C3)
        ),
        5,
        FALSE
    )=0,
    "",
    VLOOKUP(
        $A3,
        _xlfn._xlws.FILTER(
            INDIRECT("'"&amp;D$1&amp;"'!A2:E1000"), (INDIRECT("'"&amp;D$1&amp;"'!B2:B1000")=$B3) * (INDIRECT("'"&amp;D$1&amp;"'!C2:C1000")=$C3)
        ),
        5,
        FALSE
    )
)</f>
        <v/>
      </c>
      <c r="E3" s="93">
        <f t="array" ref="E3">IF(
    VLOOKUP(
        $A3,
        _xlfn._xlws.FILTER(
            INDIRECT("'"&amp;E$1&amp;"'!A2:E1000"), (INDIRECT("'"&amp;E$1&amp;"'!B2:B1000")=$B3) * (INDIRECT("'"&amp;E$1&amp;"'!C2:C1000")=$C3)
        ),
        5,
        FALSE
    )=0,
    "",
    VLOOKUP(
        $A3,
        _xlfn._xlws.FILTER(
            INDIRECT("'"&amp;E$1&amp;"'!A2:E1000"), (INDIRECT("'"&amp;E$1&amp;"'!B2:B1000")=$B3) * (INDIRECT("'"&amp;E$1&amp;"'!C2:C1000")=$C3)
        ),
        5,
        FALSE
    )
)</f>
        <v/>
      </c>
      <c r="F3" s="93">
        <f t="array" ref="F3">IF(
    VLOOKUP(
        $A3,
        _xlfn._xlws.FILTER(
            INDIRECT("'"&amp;F$1&amp;"'!A2:E1000"), (INDIRECT("'"&amp;F$1&amp;"'!B2:B1000")=$B3) * (INDIRECT("'"&amp;F$1&amp;"'!C2:C1000")=$C3)
        ),
        5,
        FALSE
    )=0,
    "",
    VLOOKUP(
        $A3,
        _xlfn._xlws.FILTER(
            INDIRECT("'"&amp;F$1&amp;"'!A2:E1000"), (INDIRECT("'"&amp;F$1&amp;"'!B2:B1000")=$B3) * (INDIRECT("'"&amp;F$1&amp;"'!C2:C1000")=$C3)
        ),
        5,
        FALSE
    )
)</f>
        <v/>
      </c>
      <c r="G3" s="93">
        <f t="array" ref="G3">IF(
    VLOOKUP(
        $A3,
        _xlfn._xlws.FILTER(
            INDIRECT("'"&amp;G$1&amp;"'!A2:E1000"), (INDIRECT("'"&amp;G$1&amp;"'!B2:B1000")=$B3) * (INDIRECT("'"&amp;G$1&amp;"'!C2:C1000")=$C3)
        ),
        5,
        FALSE
    )=0,
    "",
    VLOOKUP(
        $A3,
        _xlfn._xlws.FILTER(
            INDIRECT("'"&amp;G$1&amp;"'!A2:E1000"), (INDIRECT("'"&amp;G$1&amp;"'!B2:B1000")=$B3) * (INDIRECT("'"&amp;G$1&amp;"'!C2:C1000")=$C3)
        ),
        5,
        FALSE
    )
)</f>
        <v/>
      </c>
      <c r="H3" s="93">
        <f t="array" ref="H3">IF(
    VLOOKUP(
        $A3,
        _xlfn._xlws.FILTER(
            INDIRECT("'"&amp;H$1&amp;"'!A2:E1000"), (INDIRECT("'"&amp;H$1&amp;"'!B2:B1000")=$B3) * (INDIRECT("'"&amp;H$1&amp;"'!C2:C1000")=$C3)
        ),
        5,
        FALSE
    )=0,
    "",
    VLOOKUP(
        $A3,
        _xlfn._xlws.FILTER(
            INDIRECT("'"&amp;H$1&amp;"'!A2:E1000"), (INDIRECT("'"&amp;H$1&amp;"'!B2:B1000")=$B3) * (INDIRECT("'"&amp;H$1&amp;"'!C2:C1000")=$C3)
        ),
        5,
        FALSE
    )
)</f>
        <v/>
      </c>
      <c r="I3" s="93">
        <f t="array" ref="I3">IF(
    VLOOKUP(
        $A3,
        _xlfn._xlws.FILTER(
            INDIRECT("'"&amp;I$1&amp;"'!A2:E1000"), (INDIRECT("'"&amp;I$1&amp;"'!B2:B1000")=$B3) * (INDIRECT("'"&amp;I$1&amp;"'!C2:C1000")=$C3)
        ),
        5,
        FALSE
    )=0,
    "",
    VLOOKUP(
        $A3,
        _xlfn._xlws.FILTER(
            INDIRECT("'"&amp;I$1&amp;"'!A2:E1000"), (INDIRECT("'"&amp;I$1&amp;"'!B2:B1000")=$B3) * (INDIRECT("'"&amp;I$1&amp;"'!C2:C1000")=$C3)
        ),
        5,
        FALSE
    )
)</f>
        <v/>
      </c>
      <c r="J3" s="93">
        <f t="array" ref="J3">IF(
    VLOOKUP(
        $A3,
        _xlfn._xlws.FILTER(
            INDIRECT("'"&amp;J$1&amp;"'!A2:E1000"), (INDIRECT("'"&amp;J$1&amp;"'!B2:B1000")=$B3) * (INDIRECT("'"&amp;J$1&amp;"'!C2:C1000")=$C3)
        ),
        5,
        FALSE
    )=0,
    "",
    VLOOKUP(
        $A3,
        _xlfn._xlws.FILTER(
            INDIRECT("'"&amp;J$1&amp;"'!A2:E1000"), (INDIRECT("'"&amp;J$1&amp;"'!B2:B1000")=$B3) * (INDIRECT("'"&amp;J$1&amp;"'!C2:C1000")=$C3)
        ),
        5,
        FALSE
    )
)</f>
        <v/>
      </c>
      <c r="K3" s="93">
        <f t="array" ref="K3">IF(
    VLOOKUP(
        $A3,
        _xlfn._xlws.FILTER(
            INDIRECT("'"&amp;K$1&amp;"'!A2:E1000"), (INDIRECT("'"&amp;K$1&amp;"'!B2:B1000")=$B3) * (INDIRECT("'"&amp;K$1&amp;"'!C2:C1000")=$C3)
        ),
        5,
        FALSE
    )=0,
    "",
    VLOOKUP(
        $A3,
        _xlfn._xlws.FILTER(
            INDIRECT("'"&amp;K$1&amp;"'!A2:E1000"), (INDIRECT("'"&amp;K$1&amp;"'!B2:B1000")=$B3) * (INDIRECT("'"&amp;K$1&amp;"'!C2:C1000")=$C3)
        ),
        5,
        FALSE
    )
)</f>
        <v/>
      </c>
      <c r="L3" s="93">
        <f t="array" ref="L3">IF(
    VLOOKUP(
        $A3,
        _xlfn._xlws.FILTER(
            INDIRECT("'"&amp;L$1&amp;"'!A2:E1000"), (INDIRECT("'"&amp;L$1&amp;"'!B2:B1000")=$B3) * (INDIRECT("'"&amp;L$1&amp;"'!C2:C1000")=$C3)
        ),
        5,
        FALSE
    )=0,
    "",
    VLOOKUP(
        $A3,
        _xlfn._xlws.FILTER(
            INDIRECT("'"&amp;L$1&amp;"'!A2:E1000"), (INDIRECT("'"&amp;L$1&amp;"'!B2:B1000")=$B3) * (INDIRECT("'"&amp;L$1&amp;"'!C2:C1000")=$C3)
        ),
        5,
        FALSE
    )
)</f>
        <v/>
      </c>
      <c r="M3" s="93">
        <f t="array" ref="M3">IF(
    VLOOKUP(
        $A3,
        _xlfn._xlws.FILTER(
            INDIRECT("'"&amp;M$1&amp;"'!A2:E1000"), (INDIRECT("'"&amp;M$1&amp;"'!B2:B1000")=$B3) * (INDIRECT("'"&amp;M$1&amp;"'!C2:C1000")=$C3)
        ),
        5,
        FALSE
    )=0,
    "",
    VLOOKUP(
        $A3,
        _xlfn._xlws.FILTER(
            INDIRECT("'"&amp;M$1&amp;"'!A2:E1000"), (INDIRECT("'"&amp;M$1&amp;"'!B2:B1000")=$B3) * (INDIRECT("'"&amp;M$1&amp;"'!C2:C1000")=$C3)
        ),
        5,
        FALSE
    )
)</f>
        <v/>
      </c>
      <c r="N3" s="93">
        <f t="array" ref="N3">IF(
    VLOOKUP(
        $A3,
        _xlfn._xlws.FILTER(
            INDIRECT("'"&amp;N$1&amp;"'!A2:E1000"), (INDIRECT("'"&amp;N$1&amp;"'!B2:B1000")=$B3) * (INDIRECT("'"&amp;N$1&amp;"'!C2:C1000")=$C3)
        ),
        5,
        FALSE
    )=0,
    "",
    VLOOKUP(
        $A3,
        _xlfn._xlws.FILTER(
            INDIRECT("'"&amp;N$1&amp;"'!A2:E1000"), (INDIRECT("'"&amp;N$1&amp;"'!B2:B1000")=$B3) * (INDIRECT("'"&amp;N$1&amp;"'!C2:C1000")=$C3)
        ),
        5,
        FALSE
    )
)</f>
        <v/>
      </c>
      <c r="O3" s="93">
        <f t="array" ref="O3">IF(
    VLOOKUP(
        $A3,
        _xlfn._xlws.FILTER(
            INDIRECT("'"&amp;O$1&amp;"'!A2:E1000"), (INDIRECT("'"&amp;O$1&amp;"'!B2:B1000")=$B3) * (INDIRECT("'"&amp;O$1&amp;"'!C2:C1000")=$C3)
        ),
        5,
        FALSE
    )=0,
    "",
    VLOOKUP(
        $A3,
        _xlfn._xlws.FILTER(
            INDIRECT("'"&amp;O$1&amp;"'!A2:E1000"), (INDIRECT("'"&amp;O$1&amp;"'!B2:B1000")=$B3) * (INDIRECT("'"&amp;O$1&amp;"'!C2:C1000")=$C3)
        ),
        5,
        FALSE
    )
)</f>
        <v/>
      </c>
    </row>
    <row r="4" ht="15.75" customHeight="1">
      <c r="A4" s="44" t="inlineStr">
        <is>
          <t>Coripa</t>
        </is>
      </c>
      <c r="B4" s="92" t="inlineStr">
        <is>
          <t>Esperança Nova</t>
        </is>
      </c>
      <c r="C4" s="52" t="n">
        <v>1</v>
      </c>
      <c r="D4" s="93">
        <f t="array" ref="D4">IF(
    VLOOKUP(
        $A4,
        _xlfn._xlws.FILTER(
            INDIRECT("'"&amp;D$1&amp;"'!A2:E1000"), (INDIRECT("'"&amp;D$1&amp;"'!B2:B1000")=$B4) * (INDIRECT("'"&amp;D$1&amp;"'!C2:C1000")=$C4)
        ),
        5,
        FALSE
    )=0,
    "",
    VLOOKUP(
        $A4,
        _xlfn._xlws.FILTER(
            INDIRECT("'"&amp;D$1&amp;"'!A2:E1000"), (INDIRECT("'"&amp;D$1&amp;"'!B2:B1000")=$B4) * (INDIRECT("'"&amp;D$1&amp;"'!C2:C1000")=$C4)
        ),
        5,
        FALSE
    )
)</f>
        <v/>
      </c>
      <c r="E4" s="93">
        <f t="array" ref="E4">IF(
    VLOOKUP(
        $A4,
        _xlfn._xlws.FILTER(
            INDIRECT("'"&amp;E$1&amp;"'!A2:E1000"), (INDIRECT("'"&amp;E$1&amp;"'!B2:B1000")=$B4) * (INDIRECT("'"&amp;E$1&amp;"'!C2:C1000")=$C4)
        ),
        5,
        FALSE
    )=0,
    "",
    VLOOKUP(
        $A4,
        _xlfn._xlws.FILTER(
            INDIRECT("'"&amp;E$1&amp;"'!A2:E1000"), (INDIRECT("'"&amp;E$1&amp;"'!B2:B1000")=$B4) * (INDIRECT("'"&amp;E$1&amp;"'!C2:C1000")=$C4)
        ),
        5,
        FALSE
    )
)</f>
        <v/>
      </c>
      <c r="F4" s="93">
        <f t="array" ref="F4">IF(
    VLOOKUP(
        $A4,
        _xlfn._xlws.FILTER(
            INDIRECT("'"&amp;F$1&amp;"'!A2:E1000"), (INDIRECT("'"&amp;F$1&amp;"'!B2:B1000")=$B4) * (INDIRECT("'"&amp;F$1&amp;"'!C2:C1000")=$C4)
        ),
        5,
        FALSE
    )=0,
    "",
    VLOOKUP(
        $A4,
        _xlfn._xlws.FILTER(
            INDIRECT("'"&amp;F$1&amp;"'!A2:E1000"), (INDIRECT("'"&amp;F$1&amp;"'!B2:B1000")=$B4) * (INDIRECT("'"&amp;F$1&amp;"'!C2:C1000")=$C4)
        ),
        5,
        FALSE
    )
)</f>
        <v/>
      </c>
      <c r="G4" s="93">
        <f t="array" ref="G4">IF(
    VLOOKUP(
        $A4,
        _xlfn._xlws.FILTER(
            INDIRECT("'"&amp;G$1&amp;"'!A2:E1000"), (INDIRECT("'"&amp;G$1&amp;"'!B2:B1000")=$B4) * (INDIRECT("'"&amp;G$1&amp;"'!C2:C1000")=$C4)
        ),
        5,
        FALSE
    )=0,
    "",
    VLOOKUP(
        $A4,
        _xlfn._xlws.FILTER(
            INDIRECT("'"&amp;G$1&amp;"'!A2:E1000"), (INDIRECT("'"&amp;G$1&amp;"'!B2:B1000")=$B4) * (INDIRECT("'"&amp;G$1&amp;"'!C2:C1000")=$C4)
        ),
        5,
        FALSE
    )
)</f>
        <v/>
      </c>
      <c r="H4" s="93">
        <f t="array" ref="H4">IF(
    VLOOKUP(
        $A4,
        _xlfn._xlws.FILTER(
            INDIRECT("'"&amp;H$1&amp;"'!A2:E1000"), (INDIRECT("'"&amp;H$1&amp;"'!B2:B1000")=$B4) * (INDIRECT("'"&amp;H$1&amp;"'!C2:C1000")=$C4)
        ),
        5,
        FALSE
    )=0,
    "",
    VLOOKUP(
        $A4,
        _xlfn._xlws.FILTER(
            INDIRECT("'"&amp;H$1&amp;"'!A2:E1000"), (INDIRECT("'"&amp;H$1&amp;"'!B2:B1000")=$B4) * (INDIRECT("'"&amp;H$1&amp;"'!C2:C1000")=$C4)
        ),
        5,
        FALSE
    )
)</f>
        <v/>
      </c>
      <c r="I4" s="93">
        <f t="array" ref="I4">IF(
    VLOOKUP(
        $A4,
        _xlfn._xlws.FILTER(
            INDIRECT("'"&amp;I$1&amp;"'!A2:E1000"), (INDIRECT("'"&amp;I$1&amp;"'!B2:B1000")=$B4) * (INDIRECT("'"&amp;I$1&amp;"'!C2:C1000")=$C4)
        ),
        5,
        FALSE
    )=0,
    "",
    VLOOKUP(
        $A4,
        _xlfn._xlws.FILTER(
            INDIRECT("'"&amp;I$1&amp;"'!A2:E1000"), (INDIRECT("'"&amp;I$1&amp;"'!B2:B1000")=$B4) * (INDIRECT("'"&amp;I$1&amp;"'!C2:C1000")=$C4)
        ),
        5,
        FALSE
    )
)</f>
        <v/>
      </c>
      <c r="J4" s="93">
        <f t="array" ref="J4">IF(
    VLOOKUP(
        $A4,
        _xlfn._xlws.FILTER(
            INDIRECT("'"&amp;J$1&amp;"'!A2:E1000"), (INDIRECT("'"&amp;J$1&amp;"'!B2:B1000")=$B4) * (INDIRECT("'"&amp;J$1&amp;"'!C2:C1000")=$C4)
        ),
        5,
        FALSE
    )=0,
    "",
    VLOOKUP(
        $A4,
        _xlfn._xlws.FILTER(
            INDIRECT("'"&amp;J$1&amp;"'!A2:E1000"), (INDIRECT("'"&amp;J$1&amp;"'!B2:B1000")=$B4) * (INDIRECT("'"&amp;J$1&amp;"'!C2:C1000")=$C4)
        ),
        5,
        FALSE
    )
)</f>
        <v/>
      </c>
      <c r="K4" s="93">
        <f t="array" ref="K4">IF(
    VLOOKUP(
        $A4,
        _xlfn._xlws.FILTER(
            INDIRECT("'"&amp;K$1&amp;"'!A2:E1000"), (INDIRECT("'"&amp;K$1&amp;"'!B2:B1000")=$B4) * (INDIRECT("'"&amp;K$1&amp;"'!C2:C1000")=$C4)
        ),
        5,
        FALSE
    )=0,
    "",
    VLOOKUP(
        $A4,
        _xlfn._xlws.FILTER(
            INDIRECT("'"&amp;K$1&amp;"'!A2:E1000"), (INDIRECT("'"&amp;K$1&amp;"'!B2:B1000")=$B4) * (INDIRECT("'"&amp;K$1&amp;"'!C2:C1000")=$C4)
        ),
        5,
        FALSE
    )
)</f>
        <v/>
      </c>
      <c r="L4" s="93">
        <f t="array" ref="L4">IF(
    VLOOKUP(
        $A4,
        _xlfn._xlws.FILTER(
            INDIRECT("'"&amp;L$1&amp;"'!A2:E1000"), (INDIRECT("'"&amp;L$1&amp;"'!B2:B1000")=$B4) * (INDIRECT("'"&amp;L$1&amp;"'!C2:C1000")=$C4)
        ),
        5,
        FALSE
    )=0,
    "",
    VLOOKUP(
        $A4,
        _xlfn._xlws.FILTER(
            INDIRECT("'"&amp;L$1&amp;"'!A2:E1000"), (INDIRECT("'"&amp;L$1&amp;"'!B2:B1000")=$B4) * (INDIRECT("'"&amp;L$1&amp;"'!C2:C1000")=$C4)
        ),
        5,
        FALSE
    )
)</f>
        <v/>
      </c>
      <c r="M4" s="93">
        <f t="array" ref="M4">IF(
    VLOOKUP(
        $A4,
        _xlfn._xlws.FILTER(
            INDIRECT("'"&amp;M$1&amp;"'!A2:E1000"), (INDIRECT("'"&amp;M$1&amp;"'!B2:B1000")=$B4) * (INDIRECT("'"&amp;M$1&amp;"'!C2:C1000")=$C4)
        ),
        5,
        FALSE
    )=0,
    "",
    VLOOKUP(
        $A4,
        _xlfn._xlws.FILTER(
            INDIRECT("'"&amp;M$1&amp;"'!A2:E1000"), (INDIRECT("'"&amp;M$1&amp;"'!B2:B1000")=$B4) * (INDIRECT("'"&amp;M$1&amp;"'!C2:C1000")=$C4)
        ),
        5,
        FALSE
    )
)</f>
        <v/>
      </c>
      <c r="N4" s="93">
        <f t="array" ref="N4">IF(
    VLOOKUP(
        $A4,
        _xlfn._xlws.FILTER(
            INDIRECT("'"&amp;N$1&amp;"'!A2:E1000"), (INDIRECT("'"&amp;N$1&amp;"'!B2:B1000")=$B4) * (INDIRECT("'"&amp;N$1&amp;"'!C2:C1000")=$C4)
        ),
        5,
        FALSE
    )=0,
    "",
    VLOOKUP(
        $A4,
        _xlfn._xlws.FILTER(
            INDIRECT("'"&amp;N$1&amp;"'!A2:E1000"), (INDIRECT("'"&amp;N$1&amp;"'!B2:B1000")=$B4) * (INDIRECT("'"&amp;N$1&amp;"'!C2:C1000")=$C4)
        ),
        5,
        FALSE
    )
)</f>
        <v/>
      </c>
      <c r="O4" s="93">
        <f t="array" ref="O4">IF(
    VLOOKUP(
        $A4,
        _xlfn._xlws.FILTER(
            INDIRECT("'"&amp;O$1&amp;"'!A2:E1000"), (INDIRECT("'"&amp;O$1&amp;"'!B2:B1000")=$B4) * (INDIRECT("'"&amp;O$1&amp;"'!C2:C1000")=$C4)
        ),
        5,
        FALSE
    )=0,
    "",
    VLOOKUP(
        $A4,
        _xlfn._xlws.FILTER(
            INDIRECT("'"&amp;O$1&amp;"'!A2:E1000"), (INDIRECT("'"&amp;O$1&amp;"'!B2:B1000")=$B4) * (INDIRECT("'"&amp;O$1&amp;"'!C2:C1000")=$C4)
        ),
        5,
        FALSE
    )
)</f>
        <v/>
      </c>
    </row>
    <row r="5" ht="15.75" customHeight="1">
      <c r="A5" s="44" t="inlineStr">
        <is>
          <t>Coripa</t>
        </is>
      </c>
      <c r="B5" s="92" t="inlineStr">
        <is>
          <t>Icaraíma</t>
        </is>
      </c>
      <c r="C5" s="52" t="n">
        <v>1</v>
      </c>
      <c r="D5" s="93">
        <f t="array" ref="D5">IF(
    VLOOKUP(
        $A5,
        _xlfn._xlws.FILTER(
            INDIRECT("'"&amp;D$1&amp;"'!A2:E1000"), (INDIRECT("'"&amp;D$1&amp;"'!B2:B1000")=$B5) * (INDIRECT("'"&amp;D$1&amp;"'!C2:C1000")=$C5)
        ),
        5,
        FALSE
    )=0,
    "",
    VLOOKUP(
        $A5,
        _xlfn._xlws.FILTER(
            INDIRECT("'"&amp;D$1&amp;"'!A2:E1000"), (INDIRECT("'"&amp;D$1&amp;"'!B2:B1000")=$B5) * (INDIRECT("'"&amp;D$1&amp;"'!C2:C1000")=$C5)
        ),
        5,
        FALSE
    )
)</f>
        <v/>
      </c>
      <c r="E5" s="93">
        <f t="array" ref="E5">IF(
    VLOOKUP(
        $A5,
        _xlfn._xlws.FILTER(
            INDIRECT("'"&amp;E$1&amp;"'!A2:E1000"), (INDIRECT("'"&amp;E$1&amp;"'!B2:B1000")=$B5) * (INDIRECT("'"&amp;E$1&amp;"'!C2:C1000")=$C5)
        ),
        5,
        FALSE
    )=0,
    "",
    VLOOKUP(
        $A5,
        _xlfn._xlws.FILTER(
            INDIRECT("'"&amp;E$1&amp;"'!A2:E1000"), (INDIRECT("'"&amp;E$1&amp;"'!B2:B1000")=$B5) * (INDIRECT("'"&amp;E$1&amp;"'!C2:C1000")=$C5)
        ),
        5,
        FALSE
    )
)</f>
        <v/>
      </c>
      <c r="F5" s="93">
        <f t="array" ref="F5">IF(
    VLOOKUP(
        $A5,
        _xlfn._xlws.FILTER(
            INDIRECT("'"&amp;F$1&amp;"'!A2:E1000"), (INDIRECT("'"&amp;F$1&amp;"'!B2:B1000")=$B5) * (INDIRECT("'"&amp;F$1&amp;"'!C2:C1000")=$C5)
        ),
        5,
        FALSE
    )=0,
    "",
    VLOOKUP(
        $A5,
        _xlfn._xlws.FILTER(
            INDIRECT("'"&amp;F$1&amp;"'!A2:E1000"), (INDIRECT("'"&amp;F$1&amp;"'!B2:B1000")=$B5) * (INDIRECT("'"&amp;F$1&amp;"'!C2:C1000")=$C5)
        ),
        5,
        FALSE
    )
)</f>
        <v/>
      </c>
      <c r="G5" s="93">
        <f t="array" ref="G5">IF(
    VLOOKUP(
        $A5,
        _xlfn._xlws.FILTER(
            INDIRECT("'"&amp;G$1&amp;"'!A2:E1000"), (INDIRECT("'"&amp;G$1&amp;"'!B2:B1000")=$B5) * (INDIRECT("'"&amp;G$1&amp;"'!C2:C1000")=$C5)
        ),
        5,
        FALSE
    )=0,
    "",
    VLOOKUP(
        $A5,
        _xlfn._xlws.FILTER(
            INDIRECT("'"&amp;G$1&amp;"'!A2:E1000"), (INDIRECT("'"&amp;G$1&amp;"'!B2:B1000")=$B5) * (INDIRECT("'"&amp;G$1&amp;"'!C2:C1000")=$C5)
        ),
        5,
        FALSE
    )
)</f>
        <v/>
      </c>
      <c r="H5" s="93">
        <f t="array" ref="H5">IF(
    VLOOKUP(
        $A5,
        _xlfn._xlws.FILTER(
            INDIRECT("'"&amp;H$1&amp;"'!A2:E1000"), (INDIRECT("'"&amp;H$1&amp;"'!B2:B1000")=$B5) * (INDIRECT("'"&amp;H$1&amp;"'!C2:C1000")=$C5)
        ),
        5,
        FALSE
    )=0,
    "",
    VLOOKUP(
        $A5,
        _xlfn._xlws.FILTER(
            INDIRECT("'"&amp;H$1&amp;"'!A2:E1000"), (INDIRECT("'"&amp;H$1&amp;"'!B2:B1000")=$B5) * (INDIRECT("'"&amp;H$1&amp;"'!C2:C1000")=$C5)
        ),
        5,
        FALSE
    )
)</f>
        <v/>
      </c>
      <c r="I5" s="93">
        <f t="array" ref="I5">IF(
    VLOOKUP(
        $A5,
        _xlfn._xlws.FILTER(
            INDIRECT("'"&amp;I$1&amp;"'!A2:E1000"), (INDIRECT("'"&amp;I$1&amp;"'!B2:B1000")=$B5) * (INDIRECT("'"&amp;I$1&amp;"'!C2:C1000")=$C5)
        ),
        5,
        FALSE
    )=0,
    "",
    VLOOKUP(
        $A5,
        _xlfn._xlws.FILTER(
            INDIRECT("'"&amp;I$1&amp;"'!A2:E1000"), (INDIRECT("'"&amp;I$1&amp;"'!B2:B1000")=$B5) * (INDIRECT("'"&amp;I$1&amp;"'!C2:C1000")=$C5)
        ),
        5,
        FALSE
    )
)</f>
        <v/>
      </c>
      <c r="J5" s="93">
        <f t="array" ref="J5">IF(
    VLOOKUP(
        $A5,
        _xlfn._xlws.FILTER(
            INDIRECT("'"&amp;J$1&amp;"'!A2:E1000"), (INDIRECT("'"&amp;J$1&amp;"'!B2:B1000")=$B5) * (INDIRECT("'"&amp;J$1&amp;"'!C2:C1000")=$C5)
        ),
        5,
        FALSE
    )=0,
    "",
    VLOOKUP(
        $A5,
        _xlfn._xlws.FILTER(
            INDIRECT("'"&amp;J$1&amp;"'!A2:E1000"), (INDIRECT("'"&amp;J$1&amp;"'!B2:B1000")=$B5) * (INDIRECT("'"&amp;J$1&amp;"'!C2:C1000")=$C5)
        ),
        5,
        FALSE
    )
)</f>
        <v/>
      </c>
      <c r="K5" s="93">
        <f t="array" ref="K5">IF(
    VLOOKUP(
        $A5,
        _xlfn._xlws.FILTER(
            INDIRECT("'"&amp;K$1&amp;"'!A2:E1000"), (INDIRECT("'"&amp;K$1&amp;"'!B2:B1000")=$B5) * (INDIRECT("'"&amp;K$1&amp;"'!C2:C1000")=$C5)
        ),
        5,
        FALSE
    )=0,
    "",
    VLOOKUP(
        $A5,
        _xlfn._xlws.FILTER(
            INDIRECT("'"&amp;K$1&amp;"'!A2:E1000"), (INDIRECT("'"&amp;K$1&amp;"'!B2:B1000")=$B5) * (INDIRECT("'"&amp;K$1&amp;"'!C2:C1000")=$C5)
        ),
        5,
        FALSE
    )
)</f>
        <v/>
      </c>
      <c r="L5" s="93">
        <f t="array" ref="L5">IF(
    VLOOKUP(
        $A5,
        _xlfn._xlws.FILTER(
            INDIRECT("'"&amp;L$1&amp;"'!A2:E1000"), (INDIRECT("'"&amp;L$1&amp;"'!B2:B1000")=$B5) * (INDIRECT("'"&amp;L$1&amp;"'!C2:C1000")=$C5)
        ),
        5,
        FALSE
    )=0,
    "",
    VLOOKUP(
        $A5,
        _xlfn._xlws.FILTER(
            INDIRECT("'"&amp;L$1&amp;"'!A2:E1000"), (INDIRECT("'"&amp;L$1&amp;"'!B2:B1000")=$B5) * (INDIRECT("'"&amp;L$1&amp;"'!C2:C1000")=$C5)
        ),
        5,
        FALSE
    )
)</f>
        <v/>
      </c>
      <c r="M5" s="93">
        <f t="array" ref="M5">IF(
    VLOOKUP(
        $A5,
        _xlfn._xlws.FILTER(
            INDIRECT("'"&amp;M$1&amp;"'!A2:E1000"), (INDIRECT("'"&amp;M$1&amp;"'!B2:B1000")=$B5) * (INDIRECT("'"&amp;M$1&amp;"'!C2:C1000")=$C5)
        ),
        5,
        FALSE
    )=0,
    "",
    VLOOKUP(
        $A5,
        _xlfn._xlws.FILTER(
            INDIRECT("'"&amp;M$1&amp;"'!A2:E1000"), (INDIRECT("'"&amp;M$1&amp;"'!B2:B1000")=$B5) * (INDIRECT("'"&amp;M$1&amp;"'!C2:C1000")=$C5)
        ),
        5,
        FALSE
    )
)</f>
        <v/>
      </c>
      <c r="N5" s="93">
        <f t="array" ref="N5">IF(
    VLOOKUP(
        $A5,
        _xlfn._xlws.FILTER(
            INDIRECT("'"&amp;N$1&amp;"'!A2:E1000"), (INDIRECT("'"&amp;N$1&amp;"'!B2:B1000")=$B5) * (INDIRECT("'"&amp;N$1&amp;"'!C2:C1000")=$C5)
        ),
        5,
        FALSE
    )=0,
    "",
    VLOOKUP(
        $A5,
        _xlfn._xlws.FILTER(
            INDIRECT("'"&amp;N$1&amp;"'!A2:E1000"), (INDIRECT("'"&amp;N$1&amp;"'!B2:B1000")=$B5) * (INDIRECT("'"&amp;N$1&amp;"'!C2:C1000")=$C5)
        ),
        5,
        FALSE
    )
)</f>
        <v/>
      </c>
      <c r="O5" s="93">
        <f t="array" ref="O5">IF(
    VLOOKUP(
        $A5,
        _xlfn._xlws.FILTER(
            INDIRECT("'"&amp;O$1&amp;"'!A2:E1000"), (INDIRECT("'"&amp;O$1&amp;"'!B2:B1000")=$B5) * (INDIRECT("'"&amp;O$1&amp;"'!C2:C1000")=$C5)
        ),
        5,
        FALSE
    )=0,
    "",
    VLOOKUP(
        $A5,
        _xlfn._xlws.FILTER(
            INDIRECT("'"&amp;O$1&amp;"'!A2:E1000"), (INDIRECT("'"&amp;O$1&amp;"'!B2:B1000")=$B5) * (INDIRECT("'"&amp;O$1&amp;"'!C2:C1000")=$C5)
        ),
        5,
        FALSE
    )
)</f>
        <v/>
      </c>
    </row>
    <row r="6" ht="15.75" customHeight="1">
      <c r="A6" s="44" t="inlineStr">
        <is>
          <t>Coripa</t>
        </is>
      </c>
      <c r="B6" s="92" t="inlineStr">
        <is>
          <t>Maria Helena</t>
        </is>
      </c>
      <c r="C6" s="52" t="n">
        <v>1</v>
      </c>
      <c r="D6" s="93">
        <f t="array" ref="D6">IF(
    VLOOKUP(
        $A6,
        _xlfn._xlws.FILTER(
            INDIRECT("'"&amp;D$1&amp;"'!A2:E1000"), (INDIRECT("'"&amp;D$1&amp;"'!B2:B1000")=$B6) * (INDIRECT("'"&amp;D$1&amp;"'!C2:C1000")=$C6)
        ),
        5,
        FALSE
    )=0,
    "",
    VLOOKUP(
        $A6,
        _xlfn._xlws.FILTER(
            INDIRECT("'"&amp;D$1&amp;"'!A2:E1000"), (INDIRECT("'"&amp;D$1&amp;"'!B2:B1000")=$B6) * (INDIRECT("'"&amp;D$1&amp;"'!C2:C1000")=$C6)
        ),
        5,
        FALSE
    )
)</f>
        <v/>
      </c>
      <c r="E6" s="93">
        <f t="array" ref="E6">IF(
    VLOOKUP(
        $A6,
        _xlfn._xlws.FILTER(
            INDIRECT("'"&amp;E$1&amp;"'!A2:E1000"), (INDIRECT("'"&amp;E$1&amp;"'!B2:B1000")=$B6) * (INDIRECT("'"&amp;E$1&amp;"'!C2:C1000")=$C6)
        ),
        5,
        FALSE
    )=0,
    "",
    VLOOKUP(
        $A6,
        _xlfn._xlws.FILTER(
            INDIRECT("'"&amp;E$1&amp;"'!A2:E1000"), (INDIRECT("'"&amp;E$1&amp;"'!B2:B1000")=$B6) * (INDIRECT("'"&amp;E$1&amp;"'!C2:C1000")=$C6)
        ),
        5,
        FALSE
    )
)</f>
        <v/>
      </c>
      <c r="F6" s="93">
        <f t="array" ref="F6">IF(
    VLOOKUP(
        $A6,
        _xlfn._xlws.FILTER(
            INDIRECT("'"&amp;F$1&amp;"'!A2:E1000"), (INDIRECT("'"&amp;F$1&amp;"'!B2:B1000")=$B6) * (INDIRECT("'"&amp;F$1&amp;"'!C2:C1000")=$C6)
        ),
        5,
        FALSE
    )=0,
    "",
    VLOOKUP(
        $A6,
        _xlfn._xlws.FILTER(
            INDIRECT("'"&amp;F$1&amp;"'!A2:E1000"), (INDIRECT("'"&amp;F$1&amp;"'!B2:B1000")=$B6) * (INDIRECT("'"&amp;F$1&amp;"'!C2:C1000")=$C6)
        ),
        5,
        FALSE
    )
)</f>
        <v/>
      </c>
      <c r="G6" s="93">
        <f t="array" ref="G6">IF(
    VLOOKUP(
        $A6,
        _xlfn._xlws.FILTER(
            INDIRECT("'"&amp;G$1&amp;"'!A2:E1000"), (INDIRECT("'"&amp;G$1&amp;"'!B2:B1000")=$B6) * (INDIRECT("'"&amp;G$1&amp;"'!C2:C1000")=$C6)
        ),
        5,
        FALSE
    )=0,
    "",
    VLOOKUP(
        $A6,
        _xlfn._xlws.FILTER(
            INDIRECT("'"&amp;G$1&amp;"'!A2:E1000"), (INDIRECT("'"&amp;G$1&amp;"'!B2:B1000")=$B6) * (INDIRECT("'"&amp;G$1&amp;"'!C2:C1000")=$C6)
        ),
        5,
        FALSE
    )
)</f>
        <v/>
      </c>
      <c r="H6" s="93">
        <f t="array" ref="H6">IF(
    VLOOKUP(
        $A6,
        _xlfn._xlws.FILTER(
            INDIRECT("'"&amp;H$1&amp;"'!A2:E1000"), (INDIRECT("'"&amp;H$1&amp;"'!B2:B1000")=$B6) * (INDIRECT("'"&amp;H$1&amp;"'!C2:C1000")=$C6)
        ),
        5,
        FALSE
    )=0,
    "",
    VLOOKUP(
        $A6,
        _xlfn._xlws.FILTER(
            INDIRECT("'"&amp;H$1&amp;"'!A2:E1000"), (INDIRECT("'"&amp;H$1&amp;"'!B2:B1000")=$B6) * (INDIRECT("'"&amp;H$1&amp;"'!C2:C1000")=$C6)
        ),
        5,
        FALSE
    )
)</f>
        <v/>
      </c>
      <c r="I6" s="93">
        <f t="array" ref="I6">IF(
    VLOOKUP(
        $A6,
        _xlfn._xlws.FILTER(
            INDIRECT("'"&amp;I$1&amp;"'!A2:E1000"), (INDIRECT("'"&amp;I$1&amp;"'!B2:B1000")=$B6) * (INDIRECT("'"&amp;I$1&amp;"'!C2:C1000")=$C6)
        ),
        5,
        FALSE
    )=0,
    "",
    VLOOKUP(
        $A6,
        _xlfn._xlws.FILTER(
            INDIRECT("'"&amp;I$1&amp;"'!A2:E1000"), (INDIRECT("'"&amp;I$1&amp;"'!B2:B1000")=$B6) * (INDIRECT("'"&amp;I$1&amp;"'!C2:C1000")=$C6)
        ),
        5,
        FALSE
    )
)</f>
        <v/>
      </c>
      <c r="J6" s="93">
        <f t="array" ref="J6">IF(
    VLOOKUP(
        $A6,
        _xlfn._xlws.FILTER(
            INDIRECT("'"&amp;J$1&amp;"'!A2:E1000"), (INDIRECT("'"&amp;J$1&amp;"'!B2:B1000")=$B6) * (INDIRECT("'"&amp;J$1&amp;"'!C2:C1000")=$C6)
        ),
        5,
        FALSE
    )=0,
    "",
    VLOOKUP(
        $A6,
        _xlfn._xlws.FILTER(
            INDIRECT("'"&amp;J$1&amp;"'!A2:E1000"), (INDIRECT("'"&amp;J$1&amp;"'!B2:B1000")=$B6) * (INDIRECT("'"&amp;J$1&amp;"'!C2:C1000")=$C6)
        ),
        5,
        FALSE
    )
)</f>
        <v/>
      </c>
      <c r="K6" s="93">
        <f t="array" ref="K6">IF(
    VLOOKUP(
        $A6,
        _xlfn._xlws.FILTER(
            INDIRECT("'"&amp;K$1&amp;"'!A2:E1000"), (INDIRECT("'"&amp;K$1&amp;"'!B2:B1000")=$B6) * (INDIRECT("'"&amp;K$1&amp;"'!C2:C1000")=$C6)
        ),
        5,
        FALSE
    )=0,
    "",
    VLOOKUP(
        $A6,
        _xlfn._xlws.FILTER(
            INDIRECT("'"&amp;K$1&amp;"'!A2:E1000"), (INDIRECT("'"&amp;K$1&amp;"'!B2:B1000")=$B6) * (INDIRECT("'"&amp;K$1&amp;"'!C2:C1000")=$C6)
        ),
        5,
        FALSE
    )
)</f>
        <v/>
      </c>
      <c r="L6" s="93">
        <f t="array" ref="L6">IF(
    VLOOKUP(
        $A6,
        _xlfn._xlws.FILTER(
            INDIRECT("'"&amp;L$1&amp;"'!A2:E1000"), (INDIRECT("'"&amp;L$1&amp;"'!B2:B1000")=$B6) * (INDIRECT("'"&amp;L$1&amp;"'!C2:C1000")=$C6)
        ),
        5,
        FALSE
    )=0,
    "",
    VLOOKUP(
        $A6,
        _xlfn._xlws.FILTER(
            INDIRECT("'"&amp;L$1&amp;"'!A2:E1000"), (INDIRECT("'"&amp;L$1&amp;"'!B2:B1000")=$B6) * (INDIRECT("'"&amp;L$1&amp;"'!C2:C1000")=$C6)
        ),
        5,
        FALSE
    )
)</f>
        <v/>
      </c>
      <c r="M6" s="93">
        <f t="array" ref="M6">IF(
    VLOOKUP(
        $A6,
        _xlfn._xlws.FILTER(
            INDIRECT("'"&amp;M$1&amp;"'!A2:E1000"), (INDIRECT("'"&amp;M$1&amp;"'!B2:B1000")=$B6) * (INDIRECT("'"&amp;M$1&amp;"'!C2:C1000")=$C6)
        ),
        5,
        FALSE
    )=0,
    "",
    VLOOKUP(
        $A6,
        _xlfn._xlws.FILTER(
            INDIRECT("'"&amp;M$1&amp;"'!A2:E1000"), (INDIRECT("'"&amp;M$1&amp;"'!B2:B1000")=$B6) * (INDIRECT("'"&amp;M$1&amp;"'!C2:C1000")=$C6)
        ),
        5,
        FALSE
    )
)</f>
        <v/>
      </c>
      <c r="N6" s="93">
        <f t="array" ref="N6">IF(
    VLOOKUP(
        $A6,
        _xlfn._xlws.FILTER(
            INDIRECT("'"&amp;N$1&amp;"'!A2:E1000"), (INDIRECT("'"&amp;N$1&amp;"'!B2:B1000")=$B6) * (INDIRECT("'"&amp;N$1&amp;"'!C2:C1000")=$C6)
        ),
        5,
        FALSE
    )=0,
    "",
    VLOOKUP(
        $A6,
        _xlfn._xlws.FILTER(
            INDIRECT("'"&amp;N$1&amp;"'!A2:E1000"), (INDIRECT("'"&amp;N$1&amp;"'!B2:B1000")=$B6) * (INDIRECT("'"&amp;N$1&amp;"'!C2:C1000")=$C6)
        ),
        5,
        FALSE
    )
)</f>
        <v/>
      </c>
      <c r="O6" s="93">
        <f t="array" ref="O6">IF(
    VLOOKUP(
        $A6,
        _xlfn._xlws.FILTER(
            INDIRECT("'"&amp;O$1&amp;"'!A2:E1000"), (INDIRECT("'"&amp;O$1&amp;"'!B2:B1000")=$B6) * (INDIRECT("'"&amp;O$1&amp;"'!C2:C1000")=$C6)
        ),
        5,
        FALSE
    )=0,
    "",
    VLOOKUP(
        $A6,
        _xlfn._xlws.FILTER(
            INDIRECT("'"&amp;O$1&amp;"'!A2:E1000"), (INDIRECT("'"&amp;O$1&amp;"'!B2:B1000")=$B6) * (INDIRECT("'"&amp;O$1&amp;"'!C2:C1000")=$C6)
        ),
        5,
        FALSE
    )
)</f>
        <v/>
      </c>
    </row>
    <row r="7" ht="15.75" customHeight="1">
      <c r="A7" s="44" t="inlineStr">
        <is>
          <t>Coripa</t>
        </is>
      </c>
      <c r="B7" s="92" t="inlineStr">
        <is>
          <t>Nova Olimpia</t>
        </is>
      </c>
      <c r="C7" s="52" t="n">
        <v>1</v>
      </c>
      <c r="D7" s="93">
        <f t="array" ref="D7">IF(
    VLOOKUP(
        $A7,
        _xlfn._xlws.FILTER(
            INDIRECT("'"&amp;D$1&amp;"'!A2:E1000"), (INDIRECT("'"&amp;D$1&amp;"'!B2:B1000")=$B7) * (INDIRECT("'"&amp;D$1&amp;"'!C2:C1000")=$C7)
        ),
        5,
        FALSE
    )=0,
    "",
    VLOOKUP(
        $A7,
        _xlfn._xlws.FILTER(
            INDIRECT("'"&amp;D$1&amp;"'!A2:E1000"), (INDIRECT("'"&amp;D$1&amp;"'!B2:B1000")=$B7) * (INDIRECT("'"&amp;D$1&amp;"'!C2:C1000")=$C7)
        ),
        5,
        FALSE
    )
)</f>
        <v/>
      </c>
      <c r="E7" s="93">
        <f t="array" ref="E7">IF(
    VLOOKUP(
        $A7,
        _xlfn._xlws.FILTER(
            INDIRECT("'"&amp;E$1&amp;"'!A2:E1000"), (INDIRECT("'"&amp;E$1&amp;"'!B2:B1000")=$B7) * (INDIRECT("'"&amp;E$1&amp;"'!C2:C1000")=$C7)
        ),
        5,
        FALSE
    )=0,
    "",
    VLOOKUP(
        $A7,
        _xlfn._xlws.FILTER(
            INDIRECT("'"&amp;E$1&amp;"'!A2:E1000"), (INDIRECT("'"&amp;E$1&amp;"'!B2:B1000")=$B7) * (INDIRECT("'"&amp;E$1&amp;"'!C2:C1000")=$C7)
        ),
        5,
        FALSE
    )
)</f>
        <v/>
      </c>
      <c r="F7" s="93">
        <f t="array" ref="F7">IF(
    VLOOKUP(
        $A7,
        _xlfn._xlws.FILTER(
            INDIRECT("'"&amp;F$1&amp;"'!A2:E1000"), (INDIRECT("'"&amp;F$1&amp;"'!B2:B1000")=$B7) * (INDIRECT("'"&amp;F$1&amp;"'!C2:C1000")=$C7)
        ),
        5,
        FALSE
    )=0,
    "",
    VLOOKUP(
        $A7,
        _xlfn._xlws.FILTER(
            INDIRECT("'"&amp;F$1&amp;"'!A2:E1000"), (INDIRECT("'"&amp;F$1&amp;"'!B2:B1000")=$B7) * (INDIRECT("'"&amp;F$1&amp;"'!C2:C1000")=$C7)
        ),
        5,
        FALSE
    )
)</f>
        <v/>
      </c>
      <c r="G7" s="93">
        <f t="array" ref="G7">IF(
    VLOOKUP(
        $A7,
        _xlfn._xlws.FILTER(
            INDIRECT("'"&amp;G$1&amp;"'!A2:E1000"), (INDIRECT("'"&amp;G$1&amp;"'!B2:B1000")=$B7) * (INDIRECT("'"&amp;G$1&amp;"'!C2:C1000")=$C7)
        ),
        5,
        FALSE
    )=0,
    "",
    VLOOKUP(
        $A7,
        _xlfn._xlws.FILTER(
            INDIRECT("'"&amp;G$1&amp;"'!A2:E1000"), (INDIRECT("'"&amp;G$1&amp;"'!B2:B1000")=$B7) * (INDIRECT("'"&amp;G$1&amp;"'!C2:C1000")=$C7)
        ),
        5,
        FALSE
    )
)</f>
        <v/>
      </c>
      <c r="H7" s="93">
        <f t="array" ref="H7">IF(
    VLOOKUP(
        $A7,
        _xlfn._xlws.FILTER(
            INDIRECT("'"&amp;H$1&amp;"'!A2:E1000"), (INDIRECT("'"&amp;H$1&amp;"'!B2:B1000")=$B7) * (INDIRECT("'"&amp;H$1&amp;"'!C2:C1000")=$C7)
        ),
        5,
        FALSE
    )=0,
    "",
    VLOOKUP(
        $A7,
        _xlfn._xlws.FILTER(
            INDIRECT("'"&amp;H$1&amp;"'!A2:E1000"), (INDIRECT("'"&amp;H$1&amp;"'!B2:B1000")=$B7) * (INDIRECT("'"&amp;H$1&amp;"'!C2:C1000")=$C7)
        ),
        5,
        FALSE
    )
)</f>
        <v/>
      </c>
      <c r="I7" s="93">
        <f t="array" ref="I7">IF(
    VLOOKUP(
        $A7,
        _xlfn._xlws.FILTER(
            INDIRECT("'"&amp;I$1&amp;"'!A2:E1000"), (INDIRECT("'"&amp;I$1&amp;"'!B2:B1000")=$B7) * (INDIRECT("'"&amp;I$1&amp;"'!C2:C1000")=$C7)
        ),
        5,
        FALSE
    )=0,
    "",
    VLOOKUP(
        $A7,
        _xlfn._xlws.FILTER(
            INDIRECT("'"&amp;I$1&amp;"'!A2:E1000"), (INDIRECT("'"&amp;I$1&amp;"'!B2:B1000")=$B7) * (INDIRECT("'"&amp;I$1&amp;"'!C2:C1000")=$C7)
        ),
        5,
        FALSE
    )
)</f>
        <v/>
      </c>
      <c r="J7" s="93">
        <f t="array" ref="J7">IF(
    VLOOKUP(
        $A7,
        _xlfn._xlws.FILTER(
            INDIRECT("'"&amp;J$1&amp;"'!A2:E1000"), (INDIRECT("'"&amp;J$1&amp;"'!B2:B1000")=$B7) * (INDIRECT("'"&amp;J$1&amp;"'!C2:C1000")=$C7)
        ),
        5,
        FALSE
    )=0,
    "",
    VLOOKUP(
        $A7,
        _xlfn._xlws.FILTER(
            INDIRECT("'"&amp;J$1&amp;"'!A2:E1000"), (INDIRECT("'"&amp;J$1&amp;"'!B2:B1000")=$B7) * (INDIRECT("'"&amp;J$1&amp;"'!C2:C1000")=$C7)
        ),
        5,
        FALSE
    )
)</f>
        <v/>
      </c>
      <c r="K7" s="93">
        <f t="array" ref="K7">IF(
    VLOOKUP(
        $A7,
        _xlfn._xlws.FILTER(
            INDIRECT("'"&amp;K$1&amp;"'!A2:E1000"), (INDIRECT("'"&amp;K$1&amp;"'!B2:B1000")=$B7) * (INDIRECT("'"&amp;K$1&amp;"'!C2:C1000")=$C7)
        ),
        5,
        FALSE
    )=0,
    "",
    VLOOKUP(
        $A7,
        _xlfn._xlws.FILTER(
            INDIRECT("'"&amp;K$1&amp;"'!A2:E1000"), (INDIRECT("'"&amp;K$1&amp;"'!B2:B1000")=$B7) * (INDIRECT("'"&amp;K$1&amp;"'!C2:C1000")=$C7)
        ),
        5,
        FALSE
    )
)</f>
        <v/>
      </c>
      <c r="L7" s="93">
        <f t="array" ref="L7">IF(
    VLOOKUP(
        $A7,
        _xlfn._xlws.FILTER(
            INDIRECT("'"&amp;L$1&amp;"'!A2:E1000"), (INDIRECT("'"&amp;L$1&amp;"'!B2:B1000")=$B7) * (INDIRECT("'"&amp;L$1&amp;"'!C2:C1000")=$C7)
        ),
        5,
        FALSE
    )=0,
    "",
    VLOOKUP(
        $A7,
        _xlfn._xlws.FILTER(
            INDIRECT("'"&amp;L$1&amp;"'!A2:E1000"), (INDIRECT("'"&amp;L$1&amp;"'!B2:B1000")=$B7) * (INDIRECT("'"&amp;L$1&amp;"'!C2:C1000")=$C7)
        ),
        5,
        FALSE
    )
)</f>
        <v/>
      </c>
      <c r="M7" s="93">
        <f t="array" ref="M7">IF(
    VLOOKUP(
        $A7,
        _xlfn._xlws.FILTER(
            INDIRECT("'"&amp;M$1&amp;"'!A2:E1000"), (INDIRECT("'"&amp;M$1&amp;"'!B2:B1000")=$B7) * (INDIRECT("'"&amp;M$1&amp;"'!C2:C1000")=$C7)
        ),
        5,
        FALSE
    )=0,
    "",
    VLOOKUP(
        $A7,
        _xlfn._xlws.FILTER(
            INDIRECT("'"&amp;M$1&amp;"'!A2:E1000"), (INDIRECT("'"&amp;M$1&amp;"'!B2:B1000")=$B7) * (INDIRECT("'"&amp;M$1&amp;"'!C2:C1000")=$C7)
        ),
        5,
        FALSE
    )
)</f>
        <v/>
      </c>
      <c r="N7" s="93">
        <f t="array" ref="N7">IF(
    VLOOKUP(
        $A7,
        _xlfn._xlws.FILTER(
            INDIRECT("'"&amp;N$1&amp;"'!A2:E1000"), (INDIRECT("'"&amp;N$1&amp;"'!B2:B1000")=$B7) * (INDIRECT("'"&amp;N$1&amp;"'!C2:C1000")=$C7)
        ),
        5,
        FALSE
    )=0,
    "",
    VLOOKUP(
        $A7,
        _xlfn._xlws.FILTER(
            INDIRECT("'"&amp;N$1&amp;"'!A2:E1000"), (INDIRECT("'"&amp;N$1&amp;"'!B2:B1000")=$B7) * (INDIRECT("'"&amp;N$1&amp;"'!C2:C1000")=$C7)
        ),
        5,
        FALSE
    )
)</f>
        <v/>
      </c>
      <c r="O7" s="93">
        <f t="array" ref="O7">IF(
    VLOOKUP(
        $A7,
        _xlfn._xlws.FILTER(
            INDIRECT("'"&amp;O$1&amp;"'!A2:E1000"), (INDIRECT("'"&amp;O$1&amp;"'!B2:B1000")=$B7) * (INDIRECT("'"&amp;O$1&amp;"'!C2:C1000")=$C7)
        ),
        5,
        FALSE
    )=0,
    "",
    VLOOKUP(
        $A7,
        _xlfn._xlws.FILTER(
            INDIRECT("'"&amp;O$1&amp;"'!A2:E1000"), (INDIRECT("'"&amp;O$1&amp;"'!B2:B1000")=$B7) * (INDIRECT("'"&amp;O$1&amp;"'!C2:C1000")=$C7)
        ),
        5,
        FALSE
    )
)</f>
        <v/>
      </c>
    </row>
    <row r="8" ht="15.75" customHeight="1">
      <c r="A8" s="44" t="inlineStr">
        <is>
          <t>Coripa</t>
        </is>
      </c>
      <c r="B8" s="92" t="inlineStr">
        <is>
          <t>São Jorge do Patrocinio</t>
        </is>
      </c>
      <c r="C8" s="52" t="n">
        <v>1</v>
      </c>
      <c r="D8" s="93">
        <f t="array" ref="D8">IF(
    VLOOKUP(
        $A8,
        _xlfn._xlws.FILTER(
            INDIRECT("'"&amp;D$1&amp;"'!A2:E1000"), (INDIRECT("'"&amp;D$1&amp;"'!B2:B1000")=$B8) * (INDIRECT("'"&amp;D$1&amp;"'!C2:C1000")=$C8)
        ),
        5,
        FALSE
    )=0,
    "",
    VLOOKUP(
        $A8,
        _xlfn._xlws.FILTER(
            INDIRECT("'"&amp;D$1&amp;"'!A2:E1000"), (INDIRECT("'"&amp;D$1&amp;"'!B2:B1000")=$B8) * (INDIRECT("'"&amp;D$1&amp;"'!C2:C1000")=$C8)
        ),
        5,
        FALSE
    )
)</f>
        <v/>
      </c>
      <c r="E8" s="93">
        <f t="array" ref="E8">IF(
    VLOOKUP(
        $A8,
        _xlfn._xlws.FILTER(
            INDIRECT("'"&amp;E$1&amp;"'!A2:E1000"), (INDIRECT("'"&amp;E$1&amp;"'!B2:B1000")=$B8) * (INDIRECT("'"&amp;E$1&amp;"'!C2:C1000")=$C8)
        ),
        5,
        FALSE
    )=0,
    "",
    VLOOKUP(
        $A8,
        _xlfn._xlws.FILTER(
            INDIRECT("'"&amp;E$1&amp;"'!A2:E1000"), (INDIRECT("'"&amp;E$1&amp;"'!B2:B1000")=$B8) * (INDIRECT("'"&amp;E$1&amp;"'!C2:C1000")=$C8)
        ),
        5,
        FALSE
    )
)</f>
        <v/>
      </c>
      <c r="F8" s="93">
        <f t="array" ref="F8">IF(
    VLOOKUP(
        $A8,
        _xlfn._xlws.FILTER(
            INDIRECT("'"&amp;F$1&amp;"'!A2:E1000"), (INDIRECT("'"&amp;F$1&amp;"'!B2:B1000")=$B8) * (INDIRECT("'"&amp;F$1&amp;"'!C2:C1000")=$C8)
        ),
        5,
        FALSE
    )=0,
    "",
    VLOOKUP(
        $A8,
        _xlfn._xlws.FILTER(
            INDIRECT("'"&amp;F$1&amp;"'!A2:E1000"), (INDIRECT("'"&amp;F$1&amp;"'!B2:B1000")=$B8) * (INDIRECT("'"&amp;F$1&amp;"'!C2:C1000")=$C8)
        ),
        5,
        FALSE
    )
)</f>
        <v/>
      </c>
      <c r="G8" s="93">
        <f t="array" ref="G8">IF(
    VLOOKUP(
        $A8,
        _xlfn._xlws.FILTER(
            INDIRECT("'"&amp;G$1&amp;"'!A2:E1000"), (INDIRECT("'"&amp;G$1&amp;"'!B2:B1000")=$B8) * (INDIRECT("'"&amp;G$1&amp;"'!C2:C1000")=$C8)
        ),
        5,
        FALSE
    )=0,
    "",
    VLOOKUP(
        $A8,
        _xlfn._xlws.FILTER(
            INDIRECT("'"&amp;G$1&amp;"'!A2:E1000"), (INDIRECT("'"&amp;G$1&amp;"'!B2:B1000")=$B8) * (INDIRECT("'"&amp;G$1&amp;"'!C2:C1000")=$C8)
        ),
        5,
        FALSE
    )
)</f>
        <v/>
      </c>
      <c r="H8" s="93">
        <f t="array" ref="H8">IF(
    VLOOKUP(
        $A8,
        _xlfn._xlws.FILTER(
            INDIRECT("'"&amp;H$1&amp;"'!A2:E1000"), (INDIRECT("'"&amp;H$1&amp;"'!B2:B1000")=$B8) * (INDIRECT("'"&amp;H$1&amp;"'!C2:C1000")=$C8)
        ),
        5,
        FALSE
    )=0,
    "",
    VLOOKUP(
        $A8,
        _xlfn._xlws.FILTER(
            INDIRECT("'"&amp;H$1&amp;"'!A2:E1000"), (INDIRECT("'"&amp;H$1&amp;"'!B2:B1000")=$B8) * (INDIRECT("'"&amp;H$1&amp;"'!C2:C1000")=$C8)
        ),
        5,
        FALSE
    )
)</f>
        <v/>
      </c>
      <c r="I8" s="93">
        <f t="array" ref="I8">IF(
    VLOOKUP(
        $A8,
        _xlfn._xlws.FILTER(
            INDIRECT("'"&amp;I$1&amp;"'!A2:E1000"), (INDIRECT("'"&amp;I$1&amp;"'!B2:B1000")=$B8) * (INDIRECT("'"&amp;I$1&amp;"'!C2:C1000")=$C8)
        ),
        5,
        FALSE
    )=0,
    "",
    VLOOKUP(
        $A8,
        _xlfn._xlws.FILTER(
            INDIRECT("'"&amp;I$1&amp;"'!A2:E1000"), (INDIRECT("'"&amp;I$1&amp;"'!B2:B1000")=$B8) * (INDIRECT("'"&amp;I$1&amp;"'!C2:C1000")=$C8)
        ),
        5,
        FALSE
    )
)</f>
        <v/>
      </c>
      <c r="J8" s="93">
        <f t="array" ref="J8">IF(
    VLOOKUP(
        $A8,
        _xlfn._xlws.FILTER(
            INDIRECT("'"&amp;J$1&amp;"'!A2:E1000"), (INDIRECT("'"&amp;J$1&amp;"'!B2:B1000")=$B8) * (INDIRECT("'"&amp;J$1&amp;"'!C2:C1000")=$C8)
        ),
        5,
        FALSE
    )=0,
    "",
    VLOOKUP(
        $A8,
        _xlfn._xlws.FILTER(
            INDIRECT("'"&amp;J$1&amp;"'!A2:E1000"), (INDIRECT("'"&amp;J$1&amp;"'!B2:B1000")=$B8) * (INDIRECT("'"&amp;J$1&amp;"'!C2:C1000")=$C8)
        ),
        5,
        FALSE
    )
)</f>
        <v/>
      </c>
      <c r="K8" s="93">
        <f t="array" ref="K8">IF(
    VLOOKUP(
        $A8,
        _xlfn._xlws.FILTER(
            INDIRECT("'"&amp;K$1&amp;"'!A2:E1000"), (INDIRECT("'"&amp;K$1&amp;"'!B2:B1000")=$B8) * (INDIRECT("'"&amp;K$1&amp;"'!C2:C1000")=$C8)
        ),
        5,
        FALSE
    )=0,
    "",
    VLOOKUP(
        $A8,
        _xlfn._xlws.FILTER(
            INDIRECT("'"&amp;K$1&amp;"'!A2:E1000"), (INDIRECT("'"&amp;K$1&amp;"'!B2:B1000")=$B8) * (INDIRECT("'"&amp;K$1&amp;"'!C2:C1000")=$C8)
        ),
        5,
        FALSE
    )
)</f>
        <v/>
      </c>
      <c r="L8" s="93">
        <f t="array" ref="L8">IF(
    VLOOKUP(
        $A8,
        _xlfn._xlws.FILTER(
            INDIRECT("'"&amp;L$1&amp;"'!A2:E1000"), (INDIRECT("'"&amp;L$1&amp;"'!B2:B1000")=$B8) * (INDIRECT("'"&amp;L$1&amp;"'!C2:C1000")=$C8)
        ),
        5,
        FALSE
    )=0,
    "",
    VLOOKUP(
        $A8,
        _xlfn._xlws.FILTER(
            INDIRECT("'"&amp;L$1&amp;"'!A2:E1000"), (INDIRECT("'"&amp;L$1&amp;"'!B2:B1000")=$B8) * (INDIRECT("'"&amp;L$1&amp;"'!C2:C1000")=$C8)
        ),
        5,
        FALSE
    )
)</f>
        <v/>
      </c>
      <c r="M8" s="93">
        <f t="array" ref="M8">IF(
    VLOOKUP(
        $A8,
        _xlfn._xlws.FILTER(
            INDIRECT("'"&amp;M$1&amp;"'!A2:E1000"), (INDIRECT("'"&amp;M$1&amp;"'!B2:B1000")=$B8) * (INDIRECT("'"&amp;M$1&amp;"'!C2:C1000")=$C8)
        ),
        5,
        FALSE
    )=0,
    "",
    VLOOKUP(
        $A8,
        _xlfn._xlws.FILTER(
            INDIRECT("'"&amp;M$1&amp;"'!A2:E1000"), (INDIRECT("'"&amp;M$1&amp;"'!B2:B1000")=$B8) * (INDIRECT("'"&amp;M$1&amp;"'!C2:C1000")=$C8)
        ),
        5,
        FALSE
    )
)</f>
        <v/>
      </c>
      <c r="N8" s="93">
        <f t="array" ref="N8">IF(
    VLOOKUP(
        $A8,
        _xlfn._xlws.FILTER(
            INDIRECT("'"&amp;N$1&amp;"'!A2:E1000"), (INDIRECT("'"&amp;N$1&amp;"'!B2:B1000")=$B8) * (INDIRECT("'"&amp;N$1&amp;"'!C2:C1000")=$C8)
        ),
        5,
        FALSE
    )=0,
    "",
    VLOOKUP(
        $A8,
        _xlfn._xlws.FILTER(
            INDIRECT("'"&amp;N$1&amp;"'!A2:E1000"), (INDIRECT("'"&amp;N$1&amp;"'!B2:B1000")=$B8) * (INDIRECT("'"&amp;N$1&amp;"'!C2:C1000")=$C8)
        ),
        5,
        FALSE
    )
)</f>
        <v/>
      </c>
      <c r="O8" s="93">
        <f t="array" ref="O8">IF(
    VLOOKUP(
        $A8,
        _xlfn._xlws.FILTER(
            INDIRECT("'"&amp;O$1&amp;"'!A2:E1000"), (INDIRECT("'"&amp;O$1&amp;"'!B2:B1000")=$B8) * (INDIRECT("'"&amp;O$1&amp;"'!C2:C1000")=$C8)
        ),
        5,
        FALSE
    )=0,
    "",
    VLOOKUP(
        $A8,
        _xlfn._xlws.FILTER(
            INDIRECT("'"&amp;O$1&amp;"'!A2:E1000"), (INDIRECT("'"&amp;O$1&amp;"'!B2:B1000")=$B8) * (INDIRECT("'"&amp;O$1&amp;"'!C2:C1000")=$C8)
        ),
        5,
        FALSE
    )
)</f>
        <v/>
      </c>
    </row>
    <row r="9" ht="15.75" customHeight="1">
      <c r="A9" s="44" t="inlineStr">
        <is>
          <t>Coripa</t>
        </is>
      </c>
      <c r="B9" s="92" t="inlineStr">
        <is>
          <t>Tapira</t>
        </is>
      </c>
      <c r="C9" s="52" t="n">
        <v>1</v>
      </c>
      <c r="D9" s="93">
        <f t="array" ref="D9">IF(
    VLOOKUP(
        $A9,
        _xlfn._xlws.FILTER(
            INDIRECT("'"&amp;D$1&amp;"'!A2:E1000"), (INDIRECT("'"&amp;D$1&amp;"'!B2:B1000")=$B9) * (INDIRECT("'"&amp;D$1&amp;"'!C2:C1000")=$C9)
        ),
        5,
        FALSE
    )=0,
    "",
    VLOOKUP(
        $A9,
        _xlfn._xlws.FILTER(
            INDIRECT("'"&amp;D$1&amp;"'!A2:E1000"), (INDIRECT("'"&amp;D$1&amp;"'!B2:B1000")=$B9) * (INDIRECT("'"&amp;D$1&amp;"'!C2:C1000")=$C9)
        ),
        5,
        FALSE
    )
)</f>
        <v/>
      </c>
      <c r="E9" s="93">
        <f t="array" ref="E9">IF(
    VLOOKUP(
        $A9,
        _xlfn._xlws.FILTER(
            INDIRECT("'"&amp;E$1&amp;"'!A2:E1000"), (INDIRECT("'"&amp;E$1&amp;"'!B2:B1000")=$B9) * (INDIRECT("'"&amp;E$1&amp;"'!C2:C1000")=$C9)
        ),
        5,
        FALSE
    )=0,
    "",
    VLOOKUP(
        $A9,
        _xlfn._xlws.FILTER(
            INDIRECT("'"&amp;E$1&amp;"'!A2:E1000"), (INDIRECT("'"&amp;E$1&amp;"'!B2:B1000")=$B9) * (INDIRECT("'"&amp;E$1&amp;"'!C2:C1000")=$C9)
        ),
        5,
        FALSE
    )
)</f>
        <v/>
      </c>
      <c r="F9" s="93">
        <f t="array" ref="F9">IF(
    VLOOKUP(
        $A9,
        _xlfn._xlws.FILTER(
            INDIRECT("'"&amp;F$1&amp;"'!A2:E1000"), (INDIRECT("'"&amp;F$1&amp;"'!B2:B1000")=$B9) * (INDIRECT("'"&amp;F$1&amp;"'!C2:C1000")=$C9)
        ),
        5,
        FALSE
    )=0,
    "",
    VLOOKUP(
        $A9,
        _xlfn._xlws.FILTER(
            INDIRECT("'"&amp;F$1&amp;"'!A2:E1000"), (INDIRECT("'"&amp;F$1&amp;"'!B2:B1000")=$B9) * (INDIRECT("'"&amp;F$1&amp;"'!C2:C1000")=$C9)
        ),
        5,
        FALSE
    )
)</f>
        <v/>
      </c>
      <c r="G9" s="93">
        <f t="array" ref="G9">IF(
    VLOOKUP(
        $A9,
        _xlfn._xlws.FILTER(
            INDIRECT("'"&amp;G$1&amp;"'!A2:E1000"), (INDIRECT("'"&amp;G$1&amp;"'!B2:B1000")=$B9) * (INDIRECT("'"&amp;G$1&amp;"'!C2:C1000")=$C9)
        ),
        5,
        FALSE
    )=0,
    "",
    VLOOKUP(
        $A9,
        _xlfn._xlws.FILTER(
            INDIRECT("'"&amp;G$1&amp;"'!A2:E1000"), (INDIRECT("'"&amp;G$1&amp;"'!B2:B1000")=$B9) * (INDIRECT("'"&amp;G$1&amp;"'!C2:C1000")=$C9)
        ),
        5,
        FALSE
    )
)</f>
        <v/>
      </c>
      <c r="H9" s="93">
        <f t="array" ref="H9">IF(
    VLOOKUP(
        $A9,
        _xlfn._xlws.FILTER(
            INDIRECT("'"&amp;H$1&amp;"'!A2:E1000"), (INDIRECT("'"&amp;H$1&amp;"'!B2:B1000")=$B9) * (INDIRECT("'"&amp;H$1&amp;"'!C2:C1000")=$C9)
        ),
        5,
        FALSE
    )=0,
    "",
    VLOOKUP(
        $A9,
        _xlfn._xlws.FILTER(
            INDIRECT("'"&amp;H$1&amp;"'!A2:E1000"), (INDIRECT("'"&amp;H$1&amp;"'!B2:B1000")=$B9) * (INDIRECT("'"&amp;H$1&amp;"'!C2:C1000")=$C9)
        ),
        5,
        FALSE
    )
)</f>
        <v/>
      </c>
      <c r="I9" s="93">
        <f t="array" ref="I9">IF(
    VLOOKUP(
        $A9,
        _xlfn._xlws.FILTER(
            INDIRECT("'"&amp;I$1&amp;"'!A2:E1000"), (INDIRECT("'"&amp;I$1&amp;"'!B2:B1000")=$B9) * (INDIRECT("'"&amp;I$1&amp;"'!C2:C1000")=$C9)
        ),
        5,
        FALSE
    )=0,
    "",
    VLOOKUP(
        $A9,
        _xlfn._xlws.FILTER(
            INDIRECT("'"&amp;I$1&amp;"'!A2:E1000"), (INDIRECT("'"&amp;I$1&amp;"'!B2:B1000")=$B9) * (INDIRECT("'"&amp;I$1&amp;"'!C2:C1000")=$C9)
        ),
        5,
        FALSE
    )
)</f>
        <v/>
      </c>
      <c r="J9" s="93">
        <f t="array" ref="J9">IF(
    VLOOKUP(
        $A9,
        _xlfn._xlws.FILTER(
            INDIRECT("'"&amp;J$1&amp;"'!A2:E1000"), (INDIRECT("'"&amp;J$1&amp;"'!B2:B1000")=$B9) * (INDIRECT("'"&amp;J$1&amp;"'!C2:C1000")=$C9)
        ),
        5,
        FALSE
    )=0,
    "",
    VLOOKUP(
        $A9,
        _xlfn._xlws.FILTER(
            INDIRECT("'"&amp;J$1&amp;"'!A2:E1000"), (INDIRECT("'"&amp;J$1&amp;"'!B2:B1000")=$B9) * (INDIRECT("'"&amp;J$1&amp;"'!C2:C1000")=$C9)
        ),
        5,
        FALSE
    )
)</f>
        <v/>
      </c>
      <c r="K9" s="93">
        <f t="array" ref="K9">IF(
    VLOOKUP(
        $A9,
        _xlfn._xlws.FILTER(
            INDIRECT("'"&amp;K$1&amp;"'!A2:E1000"), (INDIRECT("'"&amp;K$1&amp;"'!B2:B1000")=$B9) * (INDIRECT("'"&amp;K$1&amp;"'!C2:C1000")=$C9)
        ),
        5,
        FALSE
    )=0,
    "",
    VLOOKUP(
        $A9,
        _xlfn._xlws.FILTER(
            INDIRECT("'"&amp;K$1&amp;"'!A2:E1000"), (INDIRECT("'"&amp;K$1&amp;"'!B2:B1000")=$B9) * (INDIRECT("'"&amp;K$1&amp;"'!C2:C1000")=$C9)
        ),
        5,
        FALSE
    )
)</f>
        <v/>
      </c>
      <c r="L9" s="93">
        <f t="array" ref="L9">IF(
    VLOOKUP(
        $A9,
        _xlfn._xlws.FILTER(
            INDIRECT("'"&amp;L$1&amp;"'!A2:E1000"), (INDIRECT("'"&amp;L$1&amp;"'!B2:B1000")=$B9) * (INDIRECT("'"&amp;L$1&amp;"'!C2:C1000")=$C9)
        ),
        5,
        FALSE
    )=0,
    "",
    VLOOKUP(
        $A9,
        _xlfn._xlws.FILTER(
            INDIRECT("'"&amp;L$1&amp;"'!A2:E1000"), (INDIRECT("'"&amp;L$1&amp;"'!B2:B1000")=$B9) * (INDIRECT("'"&amp;L$1&amp;"'!C2:C1000")=$C9)
        ),
        5,
        FALSE
    )
)</f>
        <v/>
      </c>
      <c r="M9" s="93">
        <f t="array" ref="M9">IF(
    VLOOKUP(
        $A9,
        _xlfn._xlws.FILTER(
            INDIRECT("'"&amp;M$1&amp;"'!A2:E1000"), (INDIRECT("'"&amp;M$1&amp;"'!B2:B1000")=$B9) * (INDIRECT("'"&amp;M$1&amp;"'!C2:C1000")=$C9)
        ),
        5,
        FALSE
    )=0,
    "",
    VLOOKUP(
        $A9,
        _xlfn._xlws.FILTER(
            INDIRECT("'"&amp;M$1&amp;"'!A2:E1000"), (INDIRECT("'"&amp;M$1&amp;"'!B2:B1000")=$B9) * (INDIRECT("'"&amp;M$1&amp;"'!C2:C1000")=$C9)
        ),
        5,
        FALSE
    )
)</f>
        <v/>
      </c>
      <c r="N9" s="93">
        <f t="array" ref="N9">IF(
    VLOOKUP(
        $A9,
        _xlfn._xlws.FILTER(
            INDIRECT("'"&amp;N$1&amp;"'!A2:E1000"), (INDIRECT("'"&amp;N$1&amp;"'!B2:B1000")=$B9) * (INDIRECT("'"&amp;N$1&amp;"'!C2:C1000")=$C9)
        ),
        5,
        FALSE
    )=0,
    "",
    VLOOKUP(
        $A9,
        _xlfn._xlws.FILTER(
            INDIRECT("'"&amp;N$1&amp;"'!A2:E1000"), (INDIRECT("'"&amp;N$1&amp;"'!B2:B1000")=$B9) * (INDIRECT("'"&amp;N$1&amp;"'!C2:C1000")=$C9)
        ),
        5,
        FALSE
    )
)</f>
        <v/>
      </c>
      <c r="O9" s="93">
        <f t="array" ref="O9">IF(
    VLOOKUP(
        $A9,
        _xlfn._xlws.FILTER(
            INDIRECT("'"&amp;O$1&amp;"'!A2:E1000"), (INDIRECT("'"&amp;O$1&amp;"'!B2:B1000")=$B9) * (INDIRECT("'"&amp;O$1&amp;"'!C2:C1000")=$C9)
        ),
        5,
        FALSE
    )=0,
    "",
    VLOOKUP(
        $A9,
        _xlfn._xlws.FILTER(
            INDIRECT("'"&amp;O$1&amp;"'!A2:E1000"), (INDIRECT("'"&amp;O$1&amp;"'!B2:B1000")=$B9) * (INDIRECT("'"&amp;O$1&amp;"'!C2:C1000")=$C9)
        ),
        5,
        FALSE
    )
)</f>
        <v/>
      </c>
    </row>
    <row r="10" ht="15.75" customHeight="1">
      <c r="B10" s="94" t="n"/>
    </row>
    <row r="11" ht="15.75" customHeight="1">
      <c r="A11" s="89" t="inlineStr">
        <is>
          <t>Regional</t>
        </is>
      </c>
      <c r="B11" s="89" t="inlineStr">
        <is>
          <t>Municípios</t>
        </is>
      </c>
      <c r="C11" s="89" t="inlineStr">
        <is>
          <t>UVR</t>
        </is>
      </c>
      <c r="D11" s="90" t="inlineStr">
        <is>
          <t>01.25</t>
        </is>
      </c>
      <c r="E11" s="90" t="inlineStr">
        <is>
          <t>02.25</t>
        </is>
      </c>
      <c r="F11" s="90" t="inlineStr">
        <is>
          <t>03.25</t>
        </is>
      </c>
      <c r="G11" s="90" t="inlineStr">
        <is>
          <t>04.25</t>
        </is>
      </c>
      <c r="H11" s="90" t="inlineStr">
        <is>
          <t>05.25</t>
        </is>
      </c>
      <c r="I11" s="90" t="inlineStr">
        <is>
          <t>06.25</t>
        </is>
      </c>
      <c r="J11" s="91" t="inlineStr">
        <is>
          <t>07.25</t>
        </is>
      </c>
      <c r="K11" s="91" t="inlineStr">
        <is>
          <t>08.25</t>
        </is>
      </c>
      <c r="L11" s="91" t="inlineStr">
        <is>
          <t>09.25</t>
        </is>
      </c>
      <c r="M11" s="91" t="inlineStr">
        <is>
          <t>10.25</t>
        </is>
      </c>
      <c r="N11" s="91" t="inlineStr">
        <is>
          <t>11.25</t>
        </is>
      </c>
      <c r="O11" s="91" t="inlineStr">
        <is>
          <t>12.25</t>
        </is>
      </c>
    </row>
    <row r="12" ht="15.75" customHeight="1">
      <c r="A12" s="51" t="inlineStr">
        <is>
          <t>Comafen</t>
        </is>
      </c>
      <c r="B12" s="92" t="inlineStr">
        <is>
          <t>Diamante do Norte</t>
        </is>
      </c>
      <c r="C12" s="95" t="n">
        <v>1</v>
      </c>
      <c r="D12" s="93">
        <f t="array" ref="D12">IF(
    VLOOKUP(
        $A12,
        _xlfn._xlws.FILTER(
            INDIRECT("'"&amp;D$1&amp;"'!A2:E1000"), (INDIRECT("'"&amp;D$1&amp;"'!B2:B1000")=$B12) * (INDIRECT("'"&amp;D$1&amp;"'!C2:C1000")=$C12)
        ),
        5,
        FALSE
    )=0,
    "",
    VLOOKUP(
        $A12,
        _xlfn._xlws.FILTER(
            INDIRECT("'"&amp;D$1&amp;"'!A2:E1000"), (INDIRECT("'"&amp;D$1&amp;"'!B2:B1000")=$B12) * (INDIRECT("'"&amp;D$1&amp;"'!C2:C1000")=$C12)
        ),
        5,
        FALSE
    )
)</f>
        <v/>
      </c>
      <c r="E12" s="93">
        <f t="array" ref="E12">IF(
    VLOOKUP(
        $A12,
        _xlfn._xlws.FILTER(
            INDIRECT("'"&amp;E$1&amp;"'!A2:E1000"), (INDIRECT("'"&amp;E$1&amp;"'!B2:B1000")=$B12) * (INDIRECT("'"&amp;E$1&amp;"'!C2:C1000")=$C12)
        ),
        5,
        FALSE
    )=0,
    "",
    VLOOKUP(
        $A12,
        _xlfn._xlws.FILTER(
            INDIRECT("'"&amp;E$1&amp;"'!A2:E1000"), (INDIRECT("'"&amp;E$1&amp;"'!B2:B1000")=$B12) * (INDIRECT("'"&amp;E$1&amp;"'!C2:C1000")=$C12)
        ),
        5,
        FALSE
    )
)</f>
        <v/>
      </c>
      <c r="F12" s="93">
        <f t="array" ref="F12">IF(
    VLOOKUP(
        $A12,
        _xlfn._xlws.FILTER(
            INDIRECT("'"&amp;F$1&amp;"'!A2:E1000"), (INDIRECT("'"&amp;F$1&amp;"'!B2:B1000")=$B12) * (INDIRECT("'"&amp;F$1&amp;"'!C2:C1000")=$C12)
        ),
        5,
        FALSE
    )=0,
    "",
    VLOOKUP(
        $A12,
        _xlfn._xlws.FILTER(
            INDIRECT("'"&amp;F$1&amp;"'!A2:E1000"), (INDIRECT("'"&amp;F$1&amp;"'!B2:B1000")=$B12) * (INDIRECT("'"&amp;F$1&amp;"'!C2:C1000")=$C12)
        ),
        5,
        FALSE
    )
)</f>
        <v/>
      </c>
      <c r="G12" s="93">
        <f t="array" ref="G12">IF(
    VLOOKUP(
        $A12,
        _xlfn._xlws.FILTER(
            INDIRECT("'"&amp;G$1&amp;"'!A2:E1000"), (INDIRECT("'"&amp;G$1&amp;"'!B2:B1000")=$B12) * (INDIRECT("'"&amp;G$1&amp;"'!C2:C1000")=$C12)
        ),
        5,
        FALSE
    )=0,
    "",
    VLOOKUP(
        $A12,
        _xlfn._xlws.FILTER(
            INDIRECT("'"&amp;G$1&amp;"'!A2:E1000"), (INDIRECT("'"&amp;G$1&amp;"'!B2:B1000")=$B12) * (INDIRECT("'"&amp;G$1&amp;"'!C2:C1000")=$C12)
        ),
        5,
        FALSE
    )
)</f>
        <v/>
      </c>
      <c r="H12" s="93">
        <f t="array" ref="H12">IF(
    VLOOKUP(
        $A12,
        _xlfn._xlws.FILTER(
            INDIRECT("'"&amp;H$1&amp;"'!A2:E1000"), (INDIRECT("'"&amp;H$1&amp;"'!B2:B1000")=$B12) * (INDIRECT("'"&amp;H$1&amp;"'!C2:C1000")=$C12)
        ),
        5,
        FALSE
    )=0,
    "",
    VLOOKUP(
        $A12,
        _xlfn._xlws.FILTER(
            INDIRECT("'"&amp;H$1&amp;"'!A2:E1000"), (INDIRECT("'"&amp;H$1&amp;"'!B2:B1000")=$B12) * (INDIRECT("'"&amp;H$1&amp;"'!C2:C1000")=$C12)
        ),
        5,
        FALSE
    )
)</f>
        <v/>
      </c>
      <c r="I12" s="93">
        <f t="array" ref="I12">IF(
    VLOOKUP(
        $A12,
        _xlfn._xlws.FILTER(
            INDIRECT("'"&amp;I$1&amp;"'!A2:E1000"), (INDIRECT("'"&amp;I$1&amp;"'!B2:B1000")=$B12) * (INDIRECT("'"&amp;I$1&amp;"'!C2:C1000")=$C12)
        ),
        5,
        FALSE
    )=0,
    "",
    VLOOKUP(
        $A12,
        _xlfn._xlws.FILTER(
            INDIRECT("'"&amp;I$1&amp;"'!A2:E1000"), (INDIRECT("'"&amp;I$1&amp;"'!B2:B1000")=$B12) * (INDIRECT("'"&amp;I$1&amp;"'!C2:C1000")=$C12)
        ),
        5,
        FALSE
    )
)</f>
        <v/>
      </c>
      <c r="J12" s="93">
        <f t="array" ref="J12">IF(
    VLOOKUP(
        $A12,
        _xlfn._xlws.FILTER(
            INDIRECT("'"&amp;J$1&amp;"'!A2:E1000"), (INDIRECT("'"&amp;J$1&amp;"'!B2:B1000")=$B12) * (INDIRECT("'"&amp;J$1&amp;"'!C2:C1000")=$C12)
        ),
        5,
        FALSE
    )=0,
    "",
    VLOOKUP(
        $A12,
        _xlfn._xlws.FILTER(
            INDIRECT("'"&amp;J$1&amp;"'!A2:E1000"), (INDIRECT("'"&amp;J$1&amp;"'!B2:B1000")=$B12) * (INDIRECT("'"&amp;J$1&amp;"'!C2:C1000")=$C12)
        ),
        5,
        FALSE
    )
)</f>
        <v/>
      </c>
      <c r="K12" s="93">
        <f t="array" ref="K12">IF(
    VLOOKUP(
        $A12,
        _xlfn._xlws.FILTER(
            INDIRECT("'"&amp;K$1&amp;"'!A2:E1000"), (INDIRECT("'"&amp;K$1&amp;"'!B2:B1000")=$B12) * (INDIRECT("'"&amp;K$1&amp;"'!C2:C1000")=$C12)
        ),
        5,
        FALSE
    )=0,
    "",
    VLOOKUP(
        $A12,
        _xlfn._xlws.FILTER(
            INDIRECT("'"&amp;K$1&amp;"'!A2:E1000"), (INDIRECT("'"&amp;K$1&amp;"'!B2:B1000")=$B12) * (INDIRECT("'"&amp;K$1&amp;"'!C2:C1000")=$C12)
        ),
        5,
        FALSE
    )
)</f>
        <v/>
      </c>
      <c r="L12" s="93">
        <f t="array" ref="L12">IF(
    VLOOKUP(
        $A12,
        _xlfn._xlws.FILTER(
            INDIRECT("'"&amp;L$1&amp;"'!A2:E1000"), (INDIRECT("'"&amp;L$1&amp;"'!B2:B1000")=$B12) * (INDIRECT("'"&amp;L$1&amp;"'!C2:C1000")=$C12)
        ),
        5,
        FALSE
    )=0,
    "",
    VLOOKUP(
        $A12,
        _xlfn._xlws.FILTER(
            INDIRECT("'"&amp;L$1&amp;"'!A2:E1000"), (INDIRECT("'"&amp;L$1&amp;"'!B2:B1000")=$B12) * (INDIRECT("'"&amp;L$1&amp;"'!C2:C1000")=$C12)
        ),
        5,
        FALSE
    )
)</f>
        <v/>
      </c>
      <c r="M12" s="93">
        <f t="array" ref="M12">IF(
    VLOOKUP(
        $A12,
        _xlfn._xlws.FILTER(
            INDIRECT("'"&amp;M$1&amp;"'!A2:E1000"), (INDIRECT("'"&amp;M$1&amp;"'!B2:B1000")=$B12) * (INDIRECT("'"&amp;M$1&amp;"'!C2:C1000")=$C12)
        ),
        5,
        FALSE
    )=0,
    "",
    VLOOKUP(
        $A12,
        _xlfn._xlws.FILTER(
            INDIRECT("'"&amp;M$1&amp;"'!A2:E1000"), (INDIRECT("'"&amp;M$1&amp;"'!B2:B1000")=$B12) * (INDIRECT("'"&amp;M$1&amp;"'!C2:C1000")=$C12)
        ),
        5,
        FALSE
    )
)</f>
        <v/>
      </c>
      <c r="N12" s="93">
        <f t="array" ref="N12">IF(
    VLOOKUP(
        $A12,
        _xlfn._xlws.FILTER(
            INDIRECT("'"&amp;N$1&amp;"'!A2:E1000"), (INDIRECT("'"&amp;N$1&amp;"'!B2:B1000")=$B12) * (INDIRECT("'"&amp;N$1&amp;"'!C2:C1000")=$C12)
        ),
        5,
        FALSE
    )=0,
    "",
    VLOOKUP(
        $A12,
        _xlfn._xlws.FILTER(
            INDIRECT("'"&amp;N$1&amp;"'!A2:E1000"), (INDIRECT("'"&amp;N$1&amp;"'!B2:B1000")=$B12) * (INDIRECT("'"&amp;N$1&amp;"'!C2:C1000")=$C12)
        ),
        5,
        FALSE
    )
)</f>
        <v/>
      </c>
      <c r="O12" s="93">
        <f t="array" ref="O12">IF(
    VLOOKUP(
        $A12,
        _xlfn._xlws.FILTER(
            INDIRECT("'"&amp;O$1&amp;"'!A2:E1000"), (INDIRECT("'"&amp;O$1&amp;"'!B2:B1000")=$B12) * (INDIRECT("'"&amp;O$1&amp;"'!C2:C1000")=$C12)
        ),
        5,
        FALSE
    )=0,
    "",
    VLOOKUP(
        $A12,
        _xlfn._xlws.FILTER(
            INDIRECT("'"&amp;O$1&amp;"'!A2:E1000"), (INDIRECT("'"&amp;O$1&amp;"'!B2:B1000")=$B12) * (INDIRECT("'"&amp;O$1&amp;"'!C2:C1000")=$C12)
        ),
        5,
        FALSE
    )
)</f>
        <v/>
      </c>
    </row>
    <row r="13" ht="15.75" customHeight="1">
      <c r="A13" s="51" t="inlineStr">
        <is>
          <t>Comafen</t>
        </is>
      </c>
      <c r="B13" s="92" t="inlineStr">
        <is>
          <t>Itauna do Sul</t>
        </is>
      </c>
      <c r="C13" s="95" t="n">
        <v>1</v>
      </c>
      <c r="D13" s="93">
        <f t="array" ref="D13">IF(
    VLOOKUP(
        $A13,
        _xlfn._xlws.FILTER(
            INDIRECT("'"&amp;D$1&amp;"'!A2:E1000"), (INDIRECT("'"&amp;D$1&amp;"'!B2:B1000")=$B13) * (INDIRECT("'"&amp;D$1&amp;"'!C2:C1000")=$C13)
        ),
        5,
        FALSE
    )=0,
    "",
    VLOOKUP(
        $A13,
        _xlfn._xlws.FILTER(
            INDIRECT("'"&amp;D$1&amp;"'!A2:E1000"), (INDIRECT("'"&amp;D$1&amp;"'!B2:B1000")=$B13) * (INDIRECT("'"&amp;D$1&amp;"'!C2:C1000")=$C13)
        ),
        5,
        FALSE
    )
)</f>
        <v/>
      </c>
      <c r="E13" s="93">
        <f t="array" ref="E13">IF(
    VLOOKUP(
        $A13,
        _xlfn._xlws.FILTER(
            INDIRECT("'"&amp;E$1&amp;"'!A2:E1000"), (INDIRECT("'"&amp;E$1&amp;"'!B2:B1000")=$B13) * (INDIRECT("'"&amp;E$1&amp;"'!C2:C1000")=$C13)
        ),
        5,
        FALSE
    )=0,
    "",
    VLOOKUP(
        $A13,
        _xlfn._xlws.FILTER(
            INDIRECT("'"&amp;E$1&amp;"'!A2:E1000"), (INDIRECT("'"&amp;E$1&amp;"'!B2:B1000")=$B13) * (INDIRECT("'"&amp;E$1&amp;"'!C2:C1000")=$C13)
        ),
        5,
        FALSE
    )
)</f>
        <v/>
      </c>
      <c r="F13" s="93">
        <f t="array" ref="F13">IF(
    VLOOKUP(
        $A13,
        _xlfn._xlws.FILTER(
            INDIRECT("'"&amp;F$1&amp;"'!A2:E1000"), (INDIRECT("'"&amp;F$1&amp;"'!B2:B1000")=$B13) * (INDIRECT("'"&amp;F$1&amp;"'!C2:C1000")=$C13)
        ),
        5,
        FALSE
    )=0,
    "",
    VLOOKUP(
        $A13,
        _xlfn._xlws.FILTER(
            INDIRECT("'"&amp;F$1&amp;"'!A2:E1000"), (INDIRECT("'"&amp;F$1&amp;"'!B2:B1000")=$B13) * (INDIRECT("'"&amp;F$1&amp;"'!C2:C1000")=$C13)
        ),
        5,
        FALSE
    )
)</f>
        <v/>
      </c>
      <c r="G13" s="93">
        <f t="array" ref="G13">IF(
    VLOOKUP(
        $A13,
        _xlfn._xlws.FILTER(
            INDIRECT("'"&amp;G$1&amp;"'!A2:E1000"), (INDIRECT("'"&amp;G$1&amp;"'!B2:B1000")=$B13) * (INDIRECT("'"&amp;G$1&amp;"'!C2:C1000")=$C13)
        ),
        5,
        FALSE
    )=0,
    "",
    VLOOKUP(
        $A13,
        _xlfn._xlws.FILTER(
            INDIRECT("'"&amp;G$1&amp;"'!A2:E1000"), (INDIRECT("'"&amp;G$1&amp;"'!B2:B1000")=$B13) * (INDIRECT("'"&amp;G$1&amp;"'!C2:C1000")=$C13)
        ),
        5,
        FALSE
    )
)</f>
        <v/>
      </c>
      <c r="H13" s="93">
        <f t="array" ref="H13">IF(
    VLOOKUP(
        $A13,
        _xlfn._xlws.FILTER(
            INDIRECT("'"&amp;H$1&amp;"'!A2:E1000"), (INDIRECT("'"&amp;H$1&amp;"'!B2:B1000")=$B13) * (INDIRECT("'"&amp;H$1&amp;"'!C2:C1000")=$C13)
        ),
        5,
        FALSE
    )=0,
    "",
    VLOOKUP(
        $A13,
        _xlfn._xlws.FILTER(
            INDIRECT("'"&amp;H$1&amp;"'!A2:E1000"), (INDIRECT("'"&amp;H$1&amp;"'!B2:B1000")=$B13) * (INDIRECT("'"&amp;H$1&amp;"'!C2:C1000")=$C13)
        ),
        5,
        FALSE
    )
)</f>
        <v/>
      </c>
      <c r="I13" s="93">
        <f t="array" ref="I13">IF(
    VLOOKUP(
        $A13,
        _xlfn._xlws.FILTER(
            INDIRECT("'"&amp;I$1&amp;"'!A2:E1000"), (INDIRECT("'"&amp;I$1&amp;"'!B2:B1000")=$B13) * (INDIRECT("'"&amp;I$1&amp;"'!C2:C1000")=$C13)
        ),
        5,
        FALSE
    )=0,
    "",
    VLOOKUP(
        $A13,
        _xlfn._xlws.FILTER(
            INDIRECT("'"&amp;I$1&amp;"'!A2:E1000"), (INDIRECT("'"&amp;I$1&amp;"'!B2:B1000")=$B13) * (INDIRECT("'"&amp;I$1&amp;"'!C2:C1000")=$C13)
        ),
        5,
        FALSE
    )
)</f>
        <v/>
      </c>
      <c r="J13" s="93">
        <f t="array" ref="J13">IF(
    VLOOKUP(
        $A13,
        _xlfn._xlws.FILTER(
            INDIRECT("'"&amp;J$1&amp;"'!A2:E1000"), (INDIRECT("'"&amp;J$1&amp;"'!B2:B1000")=$B13) * (INDIRECT("'"&amp;J$1&amp;"'!C2:C1000")=$C13)
        ),
        5,
        FALSE
    )=0,
    "",
    VLOOKUP(
        $A13,
        _xlfn._xlws.FILTER(
            INDIRECT("'"&amp;J$1&amp;"'!A2:E1000"), (INDIRECT("'"&amp;J$1&amp;"'!B2:B1000")=$B13) * (INDIRECT("'"&amp;J$1&amp;"'!C2:C1000")=$C13)
        ),
        5,
        FALSE
    )
)</f>
        <v/>
      </c>
      <c r="K13" s="93">
        <f t="array" ref="K13">IF(
    VLOOKUP(
        $A13,
        _xlfn._xlws.FILTER(
            INDIRECT("'"&amp;K$1&amp;"'!A2:E1000"), (INDIRECT("'"&amp;K$1&amp;"'!B2:B1000")=$B13) * (INDIRECT("'"&amp;K$1&amp;"'!C2:C1000")=$C13)
        ),
        5,
        FALSE
    )=0,
    "",
    VLOOKUP(
        $A13,
        _xlfn._xlws.FILTER(
            INDIRECT("'"&amp;K$1&amp;"'!A2:E1000"), (INDIRECT("'"&amp;K$1&amp;"'!B2:B1000")=$B13) * (INDIRECT("'"&amp;K$1&amp;"'!C2:C1000")=$C13)
        ),
        5,
        FALSE
    )
)</f>
        <v/>
      </c>
      <c r="L13" s="93">
        <f t="array" ref="L13">IF(
    VLOOKUP(
        $A13,
        _xlfn._xlws.FILTER(
            INDIRECT("'"&amp;L$1&amp;"'!A2:E1000"), (INDIRECT("'"&amp;L$1&amp;"'!B2:B1000")=$B13) * (INDIRECT("'"&amp;L$1&amp;"'!C2:C1000")=$C13)
        ),
        5,
        FALSE
    )=0,
    "",
    VLOOKUP(
        $A13,
        _xlfn._xlws.FILTER(
            INDIRECT("'"&amp;L$1&amp;"'!A2:E1000"), (INDIRECT("'"&amp;L$1&amp;"'!B2:B1000")=$B13) * (INDIRECT("'"&amp;L$1&amp;"'!C2:C1000")=$C13)
        ),
        5,
        FALSE
    )
)</f>
        <v/>
      </c>
      <c r="M13" s="93">
        <f t="array" ref="M13">IF(
    VLOOKUP(
        $A13,
        _xlfn._xlws.FILTER(
            INDIRECT("'"&amp;M$1&amp;"'!A2:E1000"), (INDIRECT("'"&amp;M$1&amp;"'!B2:B1000")=$B13) * (INDIRECT("'"&amp;M$1&amp;"'!C2:C1000")=$C13)
        ),
        5,
        FALSE
    )=0,
    "",
    VLOOKUP(
        $A13,
        _xlfn._xlws.FILTER(
            INDIRECT("'"&amp;M$1&amp;"'!A2:E1000"), (INDIRECT("'"&amp;M$1&amp;"'!B2:B1000")=$B13) * (INDIRECT("'"&amp;M$1&amp;"'!C2:C1000")=$C13)
        ),
        5,
        FALSE
    )
)</f>
        <v/>
      </c>
      <c r="N13" s="93">
        <f t="array" ref="N13">IF(
    VLOOKUP(
        $A13,
        _xlfn._xlws.FILTER(
            INDIRECT("'"&amp;N$1&amp;"'!A2:E1000"), (INDIRECT("'"&amp;N$1&amp;"'!B2:B1000")=$B13) * (INDIRECT("'"&amp;N$1&amp;"'!C2:C1000")=$C13)
        ),
        5,
        FALSE
    )=0,
    "",
    VLOOKUP(
        $A13,
        _xlfn._xlws.FILTER(
            INDIRECT("'"&amp;N$1&amp;"'!A2:E1000"), (INDIRECT("'"&amp;N$1&amp;"'!B2:B1000")=$B13) * (INDIRECT("'"&amp;N$1&amp;"'!C2:C1000")=$C13)
        ),
        5,
        FALSE
    )
)</f>
        <v/>
      </c>
      <c r="O13" s="93">
        <f t="array" ref="O13">IF(
    VLOOKUP(
        $A13,
        _xlfn._xlws.FILTER(
            INDIRECT("'"&amp;O$1&amp;"'!A2:E1000"), (INDIRECT("'"&amp;O$1&amp;"'!B2:B1000")=$B13) * (INDIRECT("'"&amp;O$1&amp;"'!C2:C1000")=$C13)
        ),
        5,
        FALSE
    )=0,
    "",
    VLOOKUP(
        $A13,
        _xlfn._xlws.FILTER(
            INDIRECT("'"&amp;O$1&amp;"'!A2:E1000"), (INDIRECT("'"&amp;O$1&amp;"'!B2:B1000")=$B13) * (INDIRECT("'"&amp;O$1&amp;"'!C2:C1000")=$C13)
        ),
        5,
        FALSE
    )
)</f>
        <v/>
      </c>
    </row>
    <row r="14" ht="15.75" customHeight="1">
      <c r="A14" s="51" t="inlineStr">
        <is>
          <t>Comafen</t>
        </is>
      </c>
      <c r="B14" s="92" t="inlineStr">
        <is>
          <t>Loanda</t>
        </is>
      </c>
      <c r="C14" s="95" t="n">
        <v>1</v>
      </c>
      <c r="D14" s="93">
        <f t="array" ref="D14">IF(
    VLOOKUP(
        $A14,
        _xlfn._xlws.FILTER(
            INDIRECT("'"&amp;D$1&amp;"'!A2:E1000"), (INDIRECT("'"&amp;D$1&amp;"'!B2:B1000")=$B14) * (INDIRECT("'"&amp;D$1&amp;"'!C2:C1000")=$C14)
        ),
        5,
        FALSE
    )=0,
    "",
    VLOOKUP(
        $A14,
        _xlfn._xlws.FILTER(
            INDIRECT("'"&amp;D$1&amp;"'!A2:E1000"), (INDIRECT("'"&amp;D$1&amp;"'!B2:B1000")=$B14) * (INDIRECT("'"&amp;D$1&amp;"'!C2:C1000")=$C14)
        ),
        5,
        FALSE
    )
)</f>
        <v/>
      </c>
      <c r="E14" s="93">
        <f t="array" ref="E14">IF(
    VLOOKUP(
        $A14,
        _xlfn._xlws.FILTER(
            INDIRECT("'"&amp;E$1&amp;"'!A2:E1000"), (INDIRECT("'"&amp;E$1&amp;"'!B2:B1000")=$B14) * (INDIRECT("'"&amp;E$1&amp;"'!C2:C1000")=$C14)
        ),
        5,
        FALSE
    )=0,
    "",
    VLOOKUP(
        $A14,
        _xlfn._xlws.FILTER(
            INDIRECT("'"&amp;E$1&amp;"'!A2:E1000"), (INDIRECT("'"&amp;E$1&amp;"'!B2:B1000")=$B14) * (INDIRECT("'"&amp;E$1&amp;"'!C2:C1000")=$C14)
        ),
        5,
        FALSE
    )
)</f>
        <v/>
      </c>
      <c r="F14" s="93">
        <f t="array" ref="F14">IF(
    VLOOKUP(
        $A14,
        _xlfn._xlws.FILTER(
            INDIRECT("'"&amp;F$1&amp;"'!A2:E1000"), (INDIRECT("'"&amp;F$1&amp;"'!B2:B1000")=$B14) * (INDIRECT("'"&amp;F$1&amp;"'!C2:C1000")=$C14)
        ),
        5,
        FALSE
    )=0,
    "",
    VLOOKUP(
        $A14,
        _xlfn._xlws.FILTER(
            INDIRECT("'"&amp;F$1&amp;"'!A2:E1000"), (INDIRECT("'"&amp;F$1&amp;"'!B2:B1000")=$B14) * (INDIRECT("'"&amp;F$1&amp;"'!C2:C1000")=$C14)
        ),
        5,
        FALSE
    )
)</f>
        <v/>
      </c>
      <c r="G14" s="93">
        <f t="array" ref="G14">IF(
    VLOOKUP(
        $A14,
        _xlfn._xlws.FILTER(
            INDIRECT("'"&amp;G$1&amp;"'!A2:E1000"), (INDIRECT("'"&amp;G$1&amp;"'!B2:B1000")=$B14) * (INDIRECT("'"&amp;G$1&amp;"'!C2:C1000")=$C14)
        ),
        5,
        FALSE
    )=0,
    "",
    VLOOKUP(
        $A14,
        _xlfn._xlws.FILTER(
            INDIRECT("'"&amp;G$1&amp;"'!A2:E1000"), (INDIRECT("'"&amp;G$1&amp;"'!B2:B1000")=$B14) * (INDIRECT("'"&amp;G$1&amp;"'!C2:C1000")=$C14)
        ),
        5,
        FALSE
    )
)</f>
        <v/>
      </c>
      <c r="H14" s="93">
        <f t="array" ref="H14">IF(
    VLOOKUP(
        $A14,
        _xlfn._xlws.FILTER(
            INDIRECT("'"&amp;H$1&amp;"'!A2:E1000"), (INDIRECT("'"&amp;H$1&amp;"'!B2:B1000")=$B14) * (INDIRECT("'"&amp;H$1&amp;"'!C2:C1000")=$C14)
        ),
        5,
        FALSE
    )=0,
    "",
    VLOOKUP(
        $A14,
        _xlfn._xlws.FILTER(
            INDIRECT("'"&amp;H$1&amp;"'!A2:E1000"), (INDIRECT("'"&amp;H$1&amp;"'!B2:B1000")=$B14) * (INDIRECT("'"&amp;H$1&amp;"'!C2:C1000")=$C14)
        ),
        5,
        FALSE
    )
)</f>
        <v/>
      </c>
      <c r="I14" s="93">
        <f t="array" ref="I14">IF(
    VLOOKUP(
        $A14,
        _xlfn._xlws.FILTER(
            INDIRECT("'"&amp;I$1&amp;"'!A2:E1000"), (INDIRECT("'"&amp;I$1&amp;"'!B2:B1000")=$B14) * (INDIRECT("'"&amp;I$1&amp;"'!C2:C1000")=$C14)
        ),
        5,
        FALSE
    )=0,
    "",
    VLOOKUP(
        $A14,
        _xlfn._xlws.FILTER(
            INDIRECT("'"&amp;I$1&amp;"'!A2:E1000"), (INDIRECT("'"&amp;I$1&amp;"'!B2:B1000")=$B14) * (INDIRECT("'"&amp;I$1&amp;"'!C2:C1000")=$C14)
        ),
        5,
        FALSE
    )
)</f>
        <v/>
      </c>
      <c r="J14" s="93">
        <f t="array" ref="J14">IF(
    VLOOKUP(
        $A14,
        _xlfn._xlws.FILTER(
            INDIRECT("'"&amp;J$1&amp;"'!A2:E1000"), (INDIRECT("'"&amp;J$1&amp;"'!B2:B1000")=$B14) * (INDIRECT("'"&amp;J$1&amp;"'!C2:C1000")=$C14)
        ),
        5,
        FALSE
    )=0,
    "",
    VLOOKUP(
        $A14,
        _xlfn._xlws.FILTER(
            INDIRECT("'"&amp;J$1&amp;"'!A2:E1000"), (INDIRECT("'"&amp;J$1&amp;"'!B2:B1000")=$B14) * (INDIRECT("'"&amp;J$1&amp;"'!C2:C1000")=$C14)
        ),
        5,
        FALSE
    )
)</f>
        <v/>
      </c>
      <c r="K14" s="93">
        <f t="array" ref="K14">IF(
    VLOOKUP(
        $A14,
        _xlfn._xlws.FILTER(
            INDIRECT("'"&amp;K$1&amp;"'!A2:E1000"), (INDIRECT("'"&amp;K$1&amp;"'!B2:B1000")=$B14) * (INDIRECT("'"&amp;K$1&amp;"'!C2:C1000")=$C14)
        ),
        5,
        FALSE
    )=0,
    "",
    VLOOKUP(
        $A14,
        _xlfn._xlws.FILTER(
            INDIRECT("'"&amp;K$1&amp;"'!A2:E1000"), (INDIRECT("'"&amp;K$1&amp;"'!B2:B1000")=$B14) * (INDIRECT("'"&amp;K$1&amp;"'!C2:C1000")=$C14)
        ),
        5,
        FALSE
    )
)</f>
        <v/>
      </c>
      <c r="L14" s="93">
        <f t="array" ref="L14">IF(
    VLOOKUP(
        $A14,
        _xlfn._xlws.FILTER(
            INDIRECT("'"&amp;L$1&amp;"'!A2:E1000"), (INDIRECT("'"&amp;L$1&amp;"'!B2:B1000")=$B14) * (INDIRECT("'"&amp;L$1&amp;"'!C2:C1000")=$C14)
        ),
        5,
        FALSE
    )=0,
    "",
    VLOOKUP(
        $A14,
        _xlfn._xlws.FILTER(
            INDIRECT("'"&amp;L$1&amp;"'!A2:E1000"), (INDIRECT("'"&amp;L$1&amp;"'!B2:B1000")=$B14) * (INDIRECT("'"&amp;L$1&amp;"'!C2:C1000")=$C14)
        ),
        5,
        FALSE
    )
)</f>
        <v/>
      </c>
      <c r="M14" s="93">
        <f t="array" ref="M14">IF(
    VLOOKUP(
        $A14,
        _xlfn._xlws.FILTER(
            INDIRECT("'"&amp;M$1&amp;"'!A2:E1000"), (INDIRECT("'"&amp;M$1&amp;"'!B2:B1000")=$B14) * (INDIRECT("'"&amp;M$1&amp;"'!C2:C1000")=$C14)
        ),
        5,
        FALSE
    )=0,
    "",
    VLOOKUP(
        $A14,
        _xlfn._xlws.FILTER(
            INDIRECT("'"&amp;M$1&amp;"'!A2:E1000"), (INDIRECT("'"&amp;M$1&amp;"'!B2:B1000")=$B14) * (INDIRECT("'"&amp;M$1&amp;"'!C2:C1000")=$C14)
        ),
        5,
        FALSE
    )
)</f>
        <v/>
      </c>
      <c r="N14" s="93">
        <f t="array" ref="N14">IF(
    VLOOKUP(
        $A14,
        _xlfn._xlws.FILTER(
            INDIRECT("'"&amp;N$1&amp;"'!A2:E1000"), (INDIRECT("'"&amp;N$1&amp;"'!B2:B1000")=$B14) * (INDIRECT("'"&amp;N$1&amp;"'!C2:C1000")=$C14)
        ),
        5,
        FALSE
    )=0,
    "",
    VLOOKUP(
        $A14,
        _xlfn._xlws.FILTER(
            INDIRECT("'"&amp;N$1&amp;"'!A2:E1000"), (INDIRECT("'"&amp;N$1&amp;"'!B2:B1000")=$B14) * (INDIRECT("'"&amp;N$1&amp;"'!C2:C1000")=$C14)
        ),
        5,
        FALSE
    )
)</f>
        <v/>
      </c>
      <c r="O14" s="93">
        <f t="array" ref="O14">IF(
    VLOOKUP(
        $A14,
        _xlfn._xlws.FILTER(
            INDIRECT("'"&amp;O$1&amp;"'!A2:E1000"), (INDIRECT("'"&amp;O$1&amp;"'!B2:B1000")=$B14) * (INDIRECT("'"&amp;O$1&amp;"'!C2:C1000")=$C14)
        ),
        5,
        FALSE
    )=0,
    "",
    VLOOKUP(
        $A14,
        _xlfn._xlws.FILTER(
            INDIRECT("'"&amp;O$1&amp;"'!A2:E1000"), (INDIRECT("'"&amp;O$1&amp;"'!B2:B1000")=$B14) * (INDIRECT("'"&amp;O$1&amp;"'!C2:C1000")=$C14)
        ),
        5,
        FALSE
    )
)</f>
        <v/>
      </c>
    </row>
    <row r="15" ht="15.75" customHeight="1">
      <c r="A15" s="51" t="inlineStr">
        <is>
          <t>Comafen</t>
        </is>
      </c>
      <c r="B15" s="92" t="inlineStr">
        <is>
          <t>Marilena</t>
        </is>
      </c>
      <c r="C15" s="95" t="n">
        <v>1</v>
      </c>
      <c r="D15" s="93">
        <f t="array" ref="D15">IF(
    VLOOKUP(
        $A15,
        _xlfn._xlws.FILTER(
            INDIRECT("'"&amp;D$1&amp;"'!A2:E1000"), (INDIRECT("'"&amp;D$1&amp;"'!B2:B1000")=$B15) * (INDIRECT("'"&amp;D$1&amp;"'!C2:C1000")=$C15)
        ),
        5,
        FALSE
    )=0,
    "",
    VLOOKUP(
        $A15,
        _xlfn._xlws.FILTER(
            INDIRECT("'"&amp;D$1&amp;"'!A2:E1000"), (INDIRECT("'"&amp;D$1&amp;"'!B2:B1000")=$B15) * (INDIRECT("'"&amp;D$1&amp;"'!C2:C1000")=$C15)
        ),
        5,
        FALSE
    )
)</f>
        <v/>
      </c>
      <c r="E15" s="93">
        <f t="array" ref="E15">IF(
    VLOOKUP(
        $A15,
        _xlfn._xlws.FILTER(
            INDIRECT("'"&amp;E$1&amp;"'!A2:E1000"), (INDIRECT("'"&amp;E$1&amp;"'!B2:B1000")=$B15) * (INDIRECT("'"&amp;E$1&amp;"'!C2:C1000")=$C15)
        ),
        5,
        FALSE
    )=0,
    "",
    VLOOKUP(
        $A15,
        _xlfn._xlws.FILTER(
            INDIRECT("'"&amp;E$1&amp;"'!A2:E1000"), (INDIRECT("'"&amp;E$1&amp;"'!B2:B1000")=$B15) * (INDIRECT("'"&amp;E$1&amp;"'!C2:C1000")=$C15)
        ),
        5,
        FALSE
    )
)</f>
        <v/>
      </c>
      <c r="F15" s="93">
        <f t="array" ref="F15">IF(
    VLOOKUP(
        $A15,
        _xlfn._xlws.FILTER(
            INDIRECT("'"&amp;F$1&amp;"'!A2:E1000"), (INDIRECT("'"&amp;F$1&amp;"'!B2:B1000")=$B15) * (INDIRECT("'"&amp;F$1&amp;"'!C2:C1000")=$C15)
        ),
        5,
        FALSE
    )=0,
    "",
    VLOOKUP(
        $A15,
        _xlfn._xlws.FILTER(
            INDIRECT("'"&amp;F$1&amp;"'!A2:E1000"), (INDIRECT("'"&amp;F$1&amp;"'!B2:B1000")=$B15) * (INDIRECT("'"&amp;F$1&amp;"'!C2:C1000")=$C15)
        ),
        5,
        FALSE
    )
)</f>
        <v/>
      </c>
      <c r="G15" s="93">
        <f t="array" ref="G15">IF(
    VLOOKUP(
        $A15,
        _xlfn._xlws.FILTER(
            INDIRECT("'"&amp;G$1&amp;"'!A2:E1000"), (INDIRECT("'"&amp;G$1&amp;"'!B2:B1000")=$B15) * (INDIRECT("'"&amp;G$1&amp;"'!C2:C1000")=$C15)
        ),
        5,
        FALSE
    )=0,
    "",
    VLOOKUP(
        $A15,
        _xlfn._xlws.FILTER(
            INDIRECT("'"&amp;G$1&amp;"'!A2:E1000"), (INDIRECT("'"&amp;G$1&amp;"'!B2:B1000")=$B15) * (INDIRECT("'"&amp;G$1&amp;"'!C2:C1000")=$C15)
        ),
        5,
        FALSE
    )
)</f>
        <v/>
      </c>
      <c r="H15" s="93">
        <f t="array" ref="H15">IF(
    VLOOKUP(
        $A15,
        _xlfn._xlws.FILTER(
            INDIRECT("'"&amp;H$1&amp;"'!A2:E1000"), (INDIRECT("'"&amp;H$1&amp;"'!B2:B1000")=$B15) * (INDIRECT("'"&amp;H$1&amp;"'!C2:C1000")=$C15)
        ),
        5,
        FALSE
    )=0,
    "",
    VLOOKUP(
        $A15,
        _xlfn._xlws.FILTER(
            INDIRECT("'"&amp;H$1&amp;"'!A2:E1000"), (INDIRECT("'"&amp;H$1&amp;"'!B2:B1000")=$B15) * (INDIRECT("'"&amp;H$1&amp;"'!C2:C1000")=$C15)
        ),
        5,
        FALSE
    )
)</f>
        <v/>
      </c>
      <c r="I15" s="93">
        <f t="array" ref="I15">IF(
    VLOOKUP(
        $A15,
        _xlfn._xlws.FILTER(
            INDIRECT("'"&amp;I$1&amp;"'!A2:E1000"), (INDIRECT("'"&amp;I$1&amp;"'!B2:B1000")=$B15) * (INDIRECT("'"&amp;I$1&amp;"'!C2:C1000")=$C15)
        ),
        5,
        FALSE
    )=0,
    "",
    VLOOKUP(
        $A15,
        _xlfn._xlws.FILTER(
            INDIRECT("'"&amp;I$1&amp;"'!A2:E1000"), (INDIRECT("'"&amp;I$1&amp;"'!B2:B1000")=$B15) * (INDIRECT("'"&amp;I$1&amp;"'!C2:C1000")=$C15)
        ),
        5,
        FALSE
    )
)</f>
        <v/>
      </c>
      <c r="J15" s="93">
        <f t="array" ref="J15">IF(
    VLOOKUP(
        $A15,
        _xlfn._xlws.FILTER(
            INDIRECT("'"&amp;J$1&amp;"'!A2:E1000"), (INDIRECT("'"&amp;J$1&amp;"'!B2:B1000")=$B15) * (INDIRECT("'"&amp;J$1&amp;"'!C2:C1000")=$C15)
        ),
        5,
        FALSE
    )=0,
    "",
    VLOOKUP(
        $A15,
        _xlfn._xlws.FILTER(
            INDIRECT("'"&amp;J$1&amp;"'!A2:E1000"), (INDIRECT("'"&amp;J$1&amp;"'!B2:B1000")=$B15) * (INDIRECT("'"&amp;J$1&amp;"'!C2:C1000")=$C15)
        ),
        5,
        FALSE
    )
)</f>
        <v/>
      </c>
      <c r="K15" s="93">
        <f t="array" ref="K15">IF(
    VLOOKUP(
        $A15,
        _xlfn._xlws.FILTER(
            INDIRECT("'"&amp;K$1&amp;"'!A2:E1000"), (INDIRECT("'"&amp;K$1&amp;"'!B2:B1000")=$B15) * (INDIRECT("'"&amp;K$1&amp;"'!C2:C1000")=$C15)
        ),
        5,
        FALSE
    )=0,
    "",
    VLOOKUP(
        $A15,
        _xlfn._xlws.FILTER(
            INDIRECT("'"&amp;K$1&amp;"'!A2:E1000"), (INDIRECT("'"&amp;K$1&amp;"'!B2:B1000")=$B15) * (INDIRECT("'"&amp;K$1&amp;"'!C2:C1000")=$C15)
        ),
        5,
        FALSE
    )
)</f>
        <v/>
      </c>
      <c r="L15" s="93">
        <f t="array" ref="L15">IF(
    VLOOKUP(
        $A15,
        _xlfn._xlws.FILTER(
            INDIRECT("'"&amp;L$1&amp;"'!A2:E1000"), (INDIRECT("'"&amp;L$1&amp;"'!B2:B1000")=$B15) * (INDIRECT("'"&amp;L$1&amp;"'!C2:C1000")=$C15)
        ),
        5,
        FALSE
    )=0,
    "",
    VLOOKUP(
        $A15,
        _xlfn._xlws.FILTER(
            INDIRECT("'"&amp;L$1&amp;"'!A2:E1000"), (INDIRECT("'"&amp;L$1&amp;"'!B2:B1000")=$B15) * (INDIRECT("'"&amp;L$1&amp;"'!C2:C1000")=$C15)
        ),
        5,
        FALSE
    )
)</f>
        <v/>
      </c>
      <c r="M15" s="93">
        <f t="array" ref="M15">IF(
    VLOOKUP(
        $A15,
        _xlfn._xlws.FILTER(
            INDIRECT("'"&amp;M$1&amp;"'!A2:E1000"), (INDIRECT("'"&amp;M$1&amp;"'!B2:B1000")=$B15) * (INDIRECT("'"&amp;M$1&amp;"'!C2:C1000")=$C15)
        ),
        5,
        FALSE
    )=0,
    "",
    VLOOKUP(
        $A15,
        _xlfn._xlws.FILTER(
            INDIRECT("'"&amp;M$1&amp;"'!A2:E1000"), (INDIRECT("'"&amp;M$1&amp;"'!B2:B1000")=$B15) * (INDIRECT("'"&amp;M$1&amp;"'!C2:C1000")=$C15)
        ),
        5,
        FALSE
    )
)</f>
        <v/>
      </c>
      <c r="N15" s="93">
        <f t="array" ref="N15">IF(
    VLOOKUP(
        $A15,
        _xlfn._xlws.FILTER(
            INDIRECT("'"&amp;N$1&amp;"'!A2:E1000"), (INDIRECT("'"&amp;N$1&amp;"'!B2:B1000")=$B15) * (INDIRECT("'"&amp;N$1&amp;"'!C2:C1000")=$C15)
        ),
        5,
        FALSE
    )=0,
    "",
    VLOOKUP(
        $A15,
        _xlfn._xlws.FILTER(
            INDIRECT("'"&amp;N$1&amp;"'!A2:E1000"), (INDIRECT("'"&amp;N$1&amp;"'!B2:B1000")=$B15) * (INDIRECT("'"&amp;N$1&amp;"'!C2:C1000")=$C15)
        ),
        5,
        FALSE
    )
)</f>
        <v/>
      </c>
      <c r="O15" s="93">
        <f t="array" ref="O15">IF(
    VLOOKUP(
        $A15,
        _xlfn._xlws.FILTER(
            INDIRECT("'"&amp;O$1&amp;"'!A2:E1000"), (INDIRECT("'"&amp;O$1&amp;"'!B2:B1000")=$B15) * (INDIRECT("'"&amp;O$1&amp;"'!C2:C1000")=$C15)
        ),
        5,
        FALSE
    )=0,
    "",
    VLOOKUP(
        $A15,
        _xlfn._xlws.FILTER(
            INDIRECT("'"&amp;O$1&amp;"'!A2:E1000"), (INDIRECT("'"&amp;O$1&amp;"'!B2:B1000")=$B15) * (INDIRECT("'"&amp;O$1&amp;"'!C2:C1000")=$C15)
        ),
        5,
        FALSE
    )
)</f>
        <v/>
      </c>
    </row>
    <row r="16">
      <c r="A16" s="51" t="inlineStr">
        <is>
          <t>Comafen</t>
        </is>
      </c>
      <c r="B16" s="92" t="inlineStr">
        <is>
          <t>Nova Londrina</t>
        </is>
      </c>
      <c r="C16" s="95" t="n">
        <v>1</v>
      </c>
      <c r="D16" s="93">
        <f t="array" ref="D16">IF(
    VLOOKUP(
        $A16,
        _xlfn._xlws.FILTER(
            INDIRECT("'"&amp;D$1&amp;"'!A2:E1000"), (INDIRECT("'"&amp;D$1&amp;"'!B2:B1000")=$B16) * (INDIRECT("'"&amp;D$1&amp;"'!C2:C1000")=$C16)
        ),
        5,
        FALSE
    )=0,
    "",
    VLOOKUP(
        $A16,
        _xlfn._xlws.FILTER(
            INDIRECT("'"&amp;D$1&amp;"'!A2:E1000"), (INDIRECT("'"&amp;D$1&amp;"'!B2:B1000")=$B16) * (INDIRECT("'"&amp;D$1&amp;"'!C2:C1000")=$C16)
        ),
        5,
        FALSE
    )
)</f>
        <v/>
      </c>
      <c r="E16" s="93">
        <f t="array" ref="E16">IF(
    VLOOKUP(
        $A16,
        _xlfn._xlws.FILTER(
            INDIRECT("'"&amp;E$1&amp;"'!A2:E1000"), (INDIRECT("'"&amp;E$1&amp;"'!B2:B1000")=$B16) * (INDIRECT("'"&amp;E$1&amp;"'!C2:C1000")=$C16)
        ),
        5,
        FALSE
    )=0,
    "",
    VLOOKUP(
        $A16,
        _xlfn._xlws.FILTER(
            INDIRECT("'"&amp;E$1&amp;"'!A2:E1000"), (INDIRECT("'"&amp;E$1&amp;"'!B2:B1000")=$B16) * (INDIRECT("'"&amp;E$1&amp;"'!C2:C1000")=$C16)
        ),
        5,
        FALSE
    )
)</f>
        <v/>
      </c>
      <c r="F16" s="93">
        <f t="array" ref="F16">IF(
    VLOOKUP(
        $A16,
        _xlfn._xlws.FILTER(
            INDIRECT("'"&amp;F$1&amp;"'!A2:E1000"), (INDIRECT("'"&amp;F$1&amp;"'!B2:B1000")=$B16) * (INDIRECT("'"&amp;F$1&amp;"'!C2:C1000")=$C16)
        ),
        5,
        FALSE
    )=0,
    "",
    VLOOKUP(
        $A16,
        _xlfn._xlws.FILTER(
            INDIRECT("'"&amp;F$1&amp;"'!A2:E1000"), (INDIRECT("'"&amp;F$1&amp;"'!B2:B1000")=$B16) * (INDIRECT("'"&amp;F$1&amp;"'!C2:C1000")=$C16)
        ),
        5,
        FALSE
    )
)</f>
        <v/>
      </c>
      <c r="G16" s="93">
        <f t="array" ref="G16">IF(
    VLOOKUP(
        $A16,
        _xlfn._xlws.FILTER(
            INDIRECT("'"&amp;G$1&amp;"'!A2:E1000"), (INDIRECT("'"&amp;G$1&amp;"'!B2:B1000")=$B16) * (INDIRECT("'"&amp;G$1&amp;"'!C2:C1000")=$C16)
        ),
        5,
        FALSE
    )=0,
    "",
    VLOOKUP(
        $A16,
        _xlfn._xlws.FILTER(
            INDIRECT("'"&amp;G$1&amp;"'!A2:E1000"), (INDIRECT("'"&amp;G$1&amp;"'!B2:B1000")=$B16) * (INDIRECT("'"&amp;G$1&amp;"'!C2:C1000")=$C16)
        ),
        5,
        FALSE
    )
)</f>
        <v/>
      </c>
      <c r="H16" s="93">
        <f t="array" ref="H16">IF(
    VLOOKUP(
        $A16,
        _xlfn._xlws.FILTER(
            INDIRECT("'"&amp;H$1&amp;"'!A2:E1000"), (INDIRECT("'"&amp;H$1&amp;"'!B2:B1000")=$B16) * (INDIRECT("'"&amp;H$1&amp;"'!C2:C1000")=$C16)
        ),
        5,
        FALSE
    )=0,
    "",
    VLOOKUP(
        $A16,
        _xlfn._xlws.FILTER(
            INDIRECT("'"&amp;H$1&amp;"'!A2:E1000"), (INDIRECT("'"&amp;H$1&amp;"'!B2:B1000")=$B16) * (INDIRECT("'"&amp;H$1&amp;"'!C2:C1000")=$C16)
        ),
        5,
        FALSE
    )
)</f>
        <v/>
      </c>
      <c r="I16" s="93">
        <f t="array" ref="I16">IF(
    VLOOKUP(
        $A16,
        _xlfn._xlws.FILTER(
            INDIRECT("'"&amp;I$1&amp;"'!A2:E1000"), (INDIRECT("'"&amp;I$1&amp;"'!B2:B1000")=$B16) * (INDIRECT("'"&amp;I$1&amp;"'!C2:C1000")=$C16)
        ),
        5,
        FALSE
    )=0,
    "",
    VLOOKUP(
        $A16,
        _xlfn._xlws.FILTER(
            INDIRECT("'"&amp;I$1&amp;"'!A2:E1000"), (INDIRECT("'"&amp;I$1&amp;"'!B2:B1000")=$B16) * (INDIRECT("'"&amp;I$1&amp;"'!C2:C1000")=$C16)
        ),
        5,
        FALSE
    )
)</f>
        <v/>
      </c>
      <c r="J16" s="93">
        <f t="array" ref="J16">IF(
    VLOOKUP(
        $A16,
        _xlfn._xlws.FILTER(
            INDIRECT("'"&amp;J$1&amp;"'!A2:E1000"), (INDIRECT("'"&amp;J$1&amp;"'!B2:B1000")=$B16) * (INDIRECT("'"&amp;J$1&amp;"'!C2:C1000")=$C16)
        ),
        5,
        FALSE
    )=0,
    "",
    VLOOKUP(
        $A16,
        _xlfn._xlws.FILTER(
            INDIRECT("'"&amp;J$1&amp;"'!A2:E1000"), (INDIRECT("'"&amp;J$1&amp;"'!B2:B1000")=$B16) * (INDIRECT("'"&amp;J$1&amp;"'!C2:C1000")=$C16)
        ),
        5,
        FALSE
    )
)</f>
        <v/>
      </c>
      <c r="K16" s="93">
        <f t="array" ref="K16">IF(
    VLOOKUP(
        $A16,
        _xlfn._xlws.FILTER(
            INDIRECT("'"&amp;K$1&amp;"'!A2:E1000"), (INDIRECT("'"&amp;K$1&amp;"'!B2:B1000")=$B16) * (INDIRECT("'"&amp;K$1&amp;"'!C2:C1000")=$C16)
        ),
        5,
        FALSE
    )=0,
    "",
    VLOOKUP(
        $A16,
        _xlfn._xlws.FILTER(
            INDIRECT("'"&amp;K$1&amp;"'!A2:E1000"), (INDIRECT("'"&amp;K$1&amp;"'!B2:B1000")=$B16) * (INDIRECT("'"&amp;K$1&amp;"'!C2:C1000")=$C16)
        ),
        5,
        FALSE
    )
)</f>
        <v/>
      </c>
      <c r="L16" s="93">
        <f t="array" ref="L16">IF(
    VLOOKUP(
        $A16,
        _xlfn._xlws.FILTER(
            INDIRECT("'"&amp;L$1&amp;"'!A2:E1000"), (INDIRECT("'"&amp;L$1&amp;"'!B2:B1000")=$B16) * (INDIRECT("'"&amp;L$1&amp;"'!C2:C1000")=$C16)
        ),
        5,
        FALSE
    )=0,
    "",
    VLOOKUP(
        $A16,
        _xlfn._xlws.FILTER(
            INDIRECT("'"&amp;L$1&amp;"'!A2:E1000"), (INDIRECT("'"&amp;L$1&amp;"'!B2:B1000")=$B16) * (INDIRECT("'"&amp;L$1&amp;"'!C2:C1000")=$C16)
        ),
        5,
        FALSE
    )
)</f>
        <v/>
      </c>
      <c r="M16" s="93">
        <f t="array" ref="M16">IF(
    VLOOKUP(
        $A16,
        _xlfn._xlws.FILTER(
            INDIRECT("'"&amp;M$1&amp;"'!A2:E1000"), (INDIRECT("'"&amp;M$1&amp;"'!B2:B1000")=$B16) * (INDIRECT("'"&amp;M$1&amp;"'!C2:C1000")=$C16)
        ),
        5,
        FALSE
    )=0,
    "",
    VLOOKUP(
        $A16,
        _xlfn._xlws.FILTER(
            INDIRECT("'"&amp;M$1&amp;"'!A2:E1000"), (INDIRECT("'"&amp;M$1&amp;"'!B2:B1000")=$B16) * (INDIRECT("'"&amp;M$1&amp;"'!C2:C1000")=$C16)
        ),
        5,
        FALSE
    )
)</f>
        <v/>
      </c>
      <c r="N16" s="93">
        <f t="array" ref="N16">IF(
    VLOOKUP(
        $A16,
        _xlfn._xlws.FILTER(
            INDIRECT("'"&amp;N$1&amp;"'!A2:E1000"), (INDIRECT("'"&amp;N$1&amp;"'!B2:B1000")=$B16) * (INDIRECT("'"&amp;N$1&amp;"'!C2:C1000")=$C16)
        ),
        5,
        FALSE
    )=0,
    "",
    VLOOKUP(
        $A16,
        _xlfn._xlws.FILTER(
            INDIRECT("'"&amp;N$1&amp;"'!A2:E1000"), (INDIRECT("'"&amp;N$1&amp;"'!B2:B1000")=$B16) * (INDIRECT("'"&amp;N$1&amp;"'!C2:C1000")=$C16)
        ),
        5,
        FALSE
    )
)</f>
        <v/>
      </c>
      <c r="O16" s="93">
        <f t="array" ref="O16">IF(
    VLOOKUP(
        $A16,
        _xlfn._xlws.FILTER(
            INDIRECT("'"&amp;O$1&amp;"'!A2:E1000"), (INDIRECT("'"&amp;O$1&amp;"'!B2:B1000")=$B16) * (INDIRECT("'"&amp;O$1&amp;"'!C2:C1000")=$C16)
        ),
        5,
        FALSE
    )=0,
    "",
    VLOOKUP(
        $A16,
        _xlfn._xlws.FILTER(
            INDIRECT("'"&amp;O$1&amp;"'!A2:E1000"), (INDIRECT("'"&amp;O$1&amp;"'!B2:B1000")=$B16) * (INDIRECT("'"&amp;O$1&amp;"'!C2:C1000")=$C16)
        ),
        5,
        FALSE
    )
)</f>
        <v/>
      </c>
    </row>
    <row r="17" ht="15.75" customHeight="1">
      <c r="A17" s="51" t="inlineStr">
        <is>
          <t>Comafen</t>
        </is>
      </c>
      <c r="B17" s="92" t="inlineStr">
        <is>
          <t>Planaltina do Paraná</t>
        </is>
      </c>
      <c r="C17" s="95" t="n">
        <v>1</v>
      </c>
      <c r="D17" s="93">
        <f t="array" ref="D17">IF(
    VLOOKUP(
        $A17,
        _xlfn._xlws.FILTER(
            INDIRECT("'"&amp;D$1&amp;"'!A2:E1000"), (INDIRECT("'"&amp;D$1&amp;"'!B2:B1000")=$B17) * (INDIRECT("'"&amp;D$1&amp;"'!C2:C1000")=$C17)
        ),
        5,
        FALSE
    )=0,
    "",
    VLOOKUP(
        $A17,
        _xlfn._xlws.FILTER(
            INDIRECT("'"&amp;D$1&amp;"'!A2:E1000"), (INDIRECT("'"&amp;D$1&amp;"'!B2:B1000")=$B17) * (INDIRECT("'"&amp;D$1&amp;"'!C2:C1000")=$C17)
        ),
        5,
        FALSE
    )
)</f>
        <v/>
      </c>
      <c r="E17" s="93">
        <f t="array" ref="E17">IF(
    VLOOKUP(
        $A17,
        _xlfn._xlws.FILTER(
            INDIRECT("'"&amp;E$1&amp;"'!A2:E1000"), (INDIRECT("'"&amp;E$1&amp;"'!B2:B1000")=$B17) * (INDIRECT("'"&amp;E$1&amp;"'!C2:C1000")=$C17)
        ),
        5,
        FALSE
    )=0,
    "",
    VLOOKUP(
        $A17,
        _xlfn._xlws.FILTER(
            INDIRECT("'"&amp;E$1&amp;"'!A2:E1000"), (INDIRECT("'"&amp;E$1&amp;"'!B2:B1000")=$B17) * (INDIRECT("'"&amp;E$1&amp;"'!C2:C1000")=$C17)
        ),
        5,
        FALSE
    )
)</f>
        <v/>
      </c>
      <c r="F17" s="93">
        <f t="array" ref="F17">IF(
    VLOOKUP(
        $A17,
        _xlfn._xlws.FILTER(
            INDIRECT("'"&amp;F$1&amp;"'!A2:E1000"), (INDIRECT("'"&amp;F$1&amp;"'!B2:B1000")=$B17) * (INDIRECT("'"&amp;F$1&amp;"'!C2:C1000")=$C17)
        ),
        5,
        FALSE
    )=0,
    "",
    VLOOKUP(
        $A17,
        _xlfn._xlws.FILTER(
            INDIRECT("'"&amp;F$1&amp;"'!A2:E1000"), (INDIRECT("'"&amp;F$1&amp;"'!B2:B1000")=$B17) * (INDIRECT("'"&amp;F$1&amp;"'!C2:C1000")=$C17)
        ),
        5,
        FALSE
    )
)</f>
        <v/>
      </c>
      <c r="G17" s="93">
        <f t="array" ref="G17">IF(
    VLOOKUP(
        $A17,
        _xlfn._xlws.FILTER(
            INDIRECT("'"&amp;G$1&amp;"'!A2:E1000"), (INDIRECT("'"&amp;G$1&amp;"'!B2:B1000")=$B17) * (INDIRECT("'"&amp;G$1&amp;"'!C2:C1000")=$C17)
        ),
        5,
        FALSE
    )=0,
    "",
    VLOOKUP(
        $A17,
        _xlfn._xlws.FILTER(
            INDIRECT("'"&amp;G$1&amp;"'!A2:E1000"), (INDIRECT("'"&amp;G$1&amp;"'!B2:B1000")=$B17) * (INDIRECT("'"&amp;G$1&amp;"'!C2:C1000")=$C17)
        ),
        5,
        FALSE
    )
)</f>
        <v/>
      </c>
      <c r="H17" s="93">
        <f t="array" ref="H17">IF(
    VLOOKUP(
        $A17,
        _xlfn._xlws.FILTER(
            INDIRECT("'"&amp;H$1&amp;"'!A2:E1000"), (INDIRECT("'"&amp;H$1&amp;"'!B2:B1000")=$B17) * (INDIRECT("'"&amp;H$1&amp;"'!C2:C1000")=$C17)
        ),
        5,
        FALSE
    )=0,
    "",
    VLOOKUP(
        $A17,
        _xlfn._xlws.FILTER(
            INDIRECT("'"&amp;H$1&amp;"'!A2:E1000"), (INDIRECT("'"&amp;H$1&amp;"'!B2:B1000")=$B17) * (INDIRECT("'"&amp;H$1&amp;"'!C2:C1000")=$C17)
        ),
        5,
        FALSE
    )
)</f>
        <v/>
      </c>
      <c r="I17" s="93">
        <f t="array" ref="I17">IF(
    VLOOKUP(
        $A17,
        _xlfn._xlws.FILTER(
            INDIRECT("'"&amp;I$1&amp;"'!A2:E1000"), (INDIRECT("'"&amp;I$1&amp;"'!B2:B1000")=$B17) * (INDIRECT("'"&amp;I$1&amp;"'!C2:C1000")=$C17)
        ),
        5,
        FALSE
    )=0,
    "",
    VLOOKUP(
        $A17,
        _xlfn._xlws.FILTER(
            INDIRECT("'"&amp;I$1&amp;"'!A2:E1000"), (INDIRECT("'"&amp;I$1&amp;"'!B2:B1000")=$B17) * (INDIRECT("'"&amp;I$1&amp;"'!C2:C1000")=$C17)
        ),
        5,
        FALSE
    )
)</f>
        <v/>
      </c>
      <c r="J17" s="93">
        <f t="array" ref="J17">IF(
    VLOOKUP(
        $A17,
        _xlfn._xlws.FILTER(
            INDIRECT("'"&amp;J$1&amp;"'!A2:E1000"), (INDIRECT("'"&amp;J$1&amp;"'!B2:B1000")=$B17) * (INDIRECT("'"&amp;J$1&amp;"'!C2:C1000")=$C17)
        ),
        5,
        FALSE
    )=0,
    "",
    VLOOKUP(
        $A17,
        _xlfn._xlws.FILTER(
            INDIRECT("'"&amp;J$1&amp;"'!A2:E1000"), (INDIRECT("'"&amp;J$1&amp;"'!B2:B1000")=$B17) * (INDIRECT("'"&amp;J$1&amp;"'!C2:C1000")=$C17)
        ),
        5,
        FALSE
    )
)</f>
        <v/>
      </c>
      <c r="K17" s="93">
        <f t="array" ref="K17">IF(
    VLOOKUP(
        $A17,
        _xlfn._xlws.FILTER(
            INDIRECT("'"&amp;K$1&amp;"'!A2:E1000"), (INDIRECT("'"&amp;K$1&amp;"'!B2:B1000")=$B17) * (INDIRECT("'"&amp;K$1&amp;"'!C2:C1000")=$C17)
        ),
        5,
        FALSE
    )=0,
    "",
    VLOOKUP(
        $A17,
        _xlfn._xlws.FILTER(
            INDIRECT("'"&amp;K$1&amp;"'!A2:E1000"), (INDIRECT("'"&amp;K$1&amp;"'!B2:B1000")=$B17) * (INDIRECT("'"&amp;K$1&amp;"'!C2:C1000")=$C17)
        ),
        5,
        FALSE
    )
)</f>
        <v/>
      </c>
      <c r="L17" s="93">
        <f t="array" ref="L17">IF(
    VLOOKUP(
        $A17,
        _xlfn._xlws.FILTER(
            INDIRECT("'"&amp;L$1&amp;"'!A2:E1000"), (INDIRECT("'"&amp;L$1&amp;"'!B2:B1000")=$B17) * (INDIRECT("'"&amp;L$1&amp;"'!C2:C1000")=$C17)
        ),
        5,
        FALSE
    )=0,
    "",
    VLOOKUP(
        $A17,
        _xlfn._xlws.FILTER(
            INDIRECT("'"&amp;L$1&amp;"'!A2:E1000"), (INDIRECT("'"&amp;L$1&amp;"'!B2:B1000")=$B17) * (INDIRECT("'"&amp;L$1&amp;"'!C2:C1000")=$C17)
        ),
        5,
        FALSE
    )
)</f>
        <v/>
      </c>
      <c r="M17" s="93">
        <f t="array" ref="M17">IF(
    VLOOKUP(
        $A17,
        _xlfn._xlws.FILTER(
            INDIRECT("'"&amp;M$1&amp;"'!A2:E1000"), (INDIRECT("'"&amp;M$1&amp;"'!B2:B1000")=$B17) * (INDIRECT("'"&amp;M$1&amp;"'!C2:C1000")=$C17)
        ),
        5,
        FALSE
    )=0,
    "",
    VLOOKUP(
        $A17,
        _xlfn._xlws.FILTER(
            INDIRECT("'"&amp;M$1&amp;"'!A2:E1000"), (INDIRECT("'"&amp;M$1&amp;"'!B2:B1000")=$B17) * (INDIRECT("'"&amp;M$1&amp;"'!C2:C1000")=$C17)
        ),
        5,
        FALSE
    )
)</f>
        <v/>
      </c>
      <c r="N17" s="93">
        <f t="array" ref="N17">IF(
    VLOOKUP(
        $A17,
        _xlfn._xlws.FILTER(
            INDIRECT("'"&amp;N$1&amp;"'!A2:E1000"), (INDIRECT("'"&amp;N$1&amp;"'!B2:B1000")=$B17) * (INDIRECT("'"&amp;N$1&amp;"'!C2:C1000")=$C17)
        ),
        5,
        FALSE
    )=0,
    "",
    VLOOKUP(
        $A17,
        _xlfn._xlws.FILTER(
            INDIRECT("'"&amp;N$1&amp;"'!A2:E1000"), (INDIRECT("'"&amp;N$1&amp;"'!B2:B1000")=$B17) * (INDIRECT("'"&amp;N$1&amp;"'!C2:C1000")=$C17)
        ),
        5,
        FALSE
    )
)</f>
        <v/>
      </c>
      <c r="O17" s="93">
        <f t="array" ref="O17">IF(
    VLOOKUP(
        $A17,
        _xlfn._xlws.FILTER(
            INDIRECT("'"&amp;O$1&amp;"'!A2:E1000"), (INDIRECT("'"&amp;O$1&amp;"'!B2:B1000")=$B17) * (INDIRECT("'"&amp;O$1&amp;"'!C2:C1000")=$C17)
        ),
        5,
        FALSE
    )=0,
    "",
    VLOOKUP(
        $A17,
        _xlfn._xlws.FILTER(
            INDIRECT("'"&amp;O$1&amp;"'!A2:E1000"), (INDIRECT("'"&amp;O$1&amp;"'!B2:B1000")=$B17) * (INDIRECT("'"&amp;O$1&amp;"'!C2:C1000")=$C17)
        ),
        5,
        FALSE
    )
)</f>
        <v/>
      </c>
    </row>
    <row r="18">
      <c r="A18" s="51" t="inlineStr">
        <is>
          <t>Comafen</t>
        </is>
      </c>
      <c r="B18" s="92" t="inlineStr">
        <is>
          <t>Porto Rico</t>
        </is>
      </c>
      <c r="C18" s="95" t="n">
        <v>1</v>
      </c>
      <c r="D18" s="93">
        <f t="array" ref="D18">IF(
    VLOOKUP(
        $A18,
        _xlfn._xlws.FILTER(
            INDIRECT("'"&amp;D$1&amp;"'!A2:E1000"), (INDIRECT("'"&amp;D$1&amp;"'!B2:B1000")=$B18) * (INDIRECT("'"&amp;D$1&amp;"'!C2:C1000")=$C18)
        ),
        5,
        FALSE
    )=0,
    "",
    VLOOKUP(
        $A18,
        _xlfn._xlws.FILTER(
            INDIRECT("'"&amp;D$1&amp;"'!A2:E1000"), (INDIRECT("'"&amp;D$1&amp;"'!B2:B1000")=$B18) * (INDIRECT("'"&amp;D$1&amp;"'!C2:C1000")=$C18)
        ),
        5,
        FALSE
    )
)</f>
        <v/>
      </c>
      <c r="E18" s="93">
        <f t="array" ref="E18">IF(
    VLOOKUP(
        $A18,
        _xlfn._xlws.FILTER(
            INDIRECT("'"&amp;E$1&amp;"'!A2:E1000"), (INDIRECT("'"&amp;E$1&amp;"'!B2:B1000")=$B18) * (INDIRECT("'"&amp;E$1&amp;"'!C2:C1000")=$C18)
        ),
        5,
        FALSE
    )=0,
    "",
    VLOOKUP(
        $A18,
        _xlfn._xlws.FILTER(
            INDIRECT("'"&amp;E$1&amp;"'!A2:E1000"), (INDIRECT("'"&amp;E$1&amp;"'!B2:B1000")=$B18) * (INDIRECT("'"&amp;E$1&amp;"'!C2:C1000")=$C18)
        ),
        5,
        FALSE
    )
)</f>
        <v/>
      </c>
      <c r="F18" s="93">
        <f t="array" ref="F18">IF(
    VLOOKUP(
        $A18,
        _xlfn._xlws.FILTER(
            INDIRECT("'"&amp;F$1&amp;"'!A2:E1000"), (INDIRECT("'"&amp;F$1&amp;"'!B2:B1000")=$B18) * (INDIRECT("'"&amp;F$1&amp;"'!C2:C1000")=$C18)
        ),
        5,
        FALSE
    )=0,
    "",
    VLOOKUP(
        $A18,
        _xlfn._xlws.FILTER(
            INDIRECT("'"&amp;F$1&amp;"'!A2:E1000"), (INDIRECT("'"&amp;F$1&amp;"'!B2:B1000")=$B18) * (INDIRECT("'"&amp;F$1&amp;"'!C2:C1000")=$C18)
        ),
        5,
        FALSE
    )
)</f>
        <v/>
      </c>
      <c r="G18" s="93">
        <f t="array" ref="G18">IF(
    VLOOKUP(
        $A18,
        _xlfn._xlws.FILTER(
            INDIRECT("'"&amp;G$1&amp;"'!A2:E1000"), (INDIRECT("'"&amp;G$1&amp;"'!B2:B1000")=$B18) * (INDIRECT("'"&amp;G$1&amp;"'!C2:C1000")=$C18)
        ),
        5,
        FALSE
    )=0,
    "",
    VLOOKUP(
        $A18,
        _xlfn._xlws.FILTER(
            INDIRECT("'"&amp;G$1&amp;"'!A2:E1000"), (INDIRECT("'"&amp;G$1&amp;"'!B2:B1000")=$B18) * (INDIRECT("'"&amp;G$1&amp;"'!C2:C1000")=$C18)
        ),
        5,
        FALSE
    )
)</f>
        <v/>
      </c>
      <c r="H18" s="93">
        <f t="array" ref="H18">IF(
    VLOOKUP(
        $A18,
        _xlfn._xlws.FILTER(
            INDIRECT("'"&amp;H$1&amp;"'!A2:E1000"), (INDIRECT("'"&amp;H$1&amp;"'!B2:B1000")=$B18) * (INDIRECT("'"&amp;H$1&amp;"'!C2:C1000")=$C18)
        ),
        5,
        FALSE
    )=0,
    "",
    VLOOKUP(
        $A18,
        _xlfn._xlws.FILTER(
            INDIRECT("'"&amp;H$1&amp;"'!A2:E1000"), (INDIRECT("'"&amp;H$1&amp;"'!B2:B1000")=$B18) * (INDIRECT("'"&amp;H$1&amp;"'!C2:C1000")=$C18)
        ),
        5,
        FALSE
    )
)</f>
        <v/>
      </c>
      <c r="I18" s="93">
        <f t="array" ref="I18">IF(
    VLOOKUP(
        $A18,
        _xlfn._xlws.FILTER(
            INDIRECT("'"&amp;I$1&amp;"'!A2:E1000"), (INDIRECT("'"&amp;I$1&amp;"'!B2:B1000")=$B18) * (INDIRECT("'"&amp;I$1&amp;"'!C2:C1000")=$C18)
        ),
        5,
        FALSE
    )=0,
    "",
    VLOOKUP(
        $A18,
        _xlfn._xlws.FILTER(
            INDIRECT("'"&amp;I$1&amp;"'!A2:E1000"), (INDIRECT("'"&amp;I$1&amp;"'!B2:B1000")=$B18) * (INDIRECT("'"&amp;I$1&amp;"'!C2:C1000")=$C18)
        ),
        5,
        FALSE
    )
)</f>
        <v/>
      </c>
      <c r="J18" s="93">
        <f t="array" ref="J18">IF(
    VLOOKUP(
        $A18,
        _xlfn._xlws.FILTER(
            INDIRECT("'"&amp;J$1&amp;"'!A2:E1000"), (INDIRECT("'"&amp;J$1&amp;"'!B2:B1000")=$B18) * (INDIRECT("'"&amp;J$1&amp;"'!C2:C1000")=$C18)
        ),
        5,
        FALSE
    )=0,
    "",
    VLOOKUP(
        $A18,
        _xlfn._xlws.FILTER(
            INDIRECT("'"&amp;J$1&amp;"'!A2:E1000"), (INDIRECT("'"&amp;J$1&amp;"'!B2:B1000")=$B18) * (INDIRECT("'"&amp;J$1&amp;"'!C2:C1000")=$C18)
        ),
        5,
        FALSE
    )
)</f>
        <v/>
      </c>
      <c r="K18" s="93">
        <f t="array" ref="K18">IF(
    VLOOKUP(
        $A18,
        _xlfn._xlws.FILTER(
            INDIRECT("'"&amp;K$1&amp;"'!A2:E1000"), (INDIRECT("'"&amp;K$1&amp;"'!B2:B1000")=$B18) * (INDIRECT("'"&amp;K$1&amp;"'!C2:C1000")=$C18)
        ),
        5,
        FALSE
    )=0,
    "",
    VLOOKUP(
        $A18,
        _xlfn._xlws.FILTER(
            INDIRECT("'"&amp;K$1&amp;"'!A2:E1000"), (INDIRECT("'"&amp;K$1&amp;"'!B2:B1000")=$B18) * (INDIRECT("'"&amp;K$1&amp;"'!C2:C1000")=$C18)
        ),
        5,
        FALSE
    )
)</f>
        <v/>
      </c>
      <c r="L18" s="93">
        <f t="array" ref="L18">IF(
    VLOOKUP(
        $A18,
        _xlfn._xlws.FILTER(
            INDIRECT("'"&amp;L$1&amp;"'!A2:E1000"), (INDIRECT("'"&amp;L$1&amp;"'!B2:B1000")=$B18) * (INDIRECT("'"&amp;L$1&amp;"'!C2:C1000")=$C18)
        ),
        5,
        FALSE
    )=0,
    "",
    VLOOKUP(
        $A18,
        _xlfn._xlws.FILTER(
            INDIRECT("'"&amp;L$1&amp;"'!A2:E1000"), (INDIRECT("'"&amp;L$1&amp;"'!B2:B1000")=$B18) * (INDIRECT("'"&amp;L$1&amp;"'!C2:C1000")=$C18)
        ),
        5,
        FALSE
    )
)</f>
        <v/>
      </c>
      <c r="M18" s="93">
        <f t="array" ref="M18">IF(
    VLOOKUP(
        $A18,
        _xlfn._xlws.FILTER(
            INDIRECT("'"&amp;M$1&amp;"'!A2:E1000"), (INDIRECT("'"&amp;M$1&amp;"'!B2:B1000")=$B18) * (INDIRECT("'"&amp;M$1&amp;"'!C2:C1000")=$C18)
        ),
        5,
        FALSE
    )=0,
    "",
    VLOOKUP(
        $A18,
        _xlfn._xlws.FILTER(
            INDIRECT("'"&amp;M$1&amp;"'!A2:E1000"), (INDIRECT("'"&amp;M$1&amp;"'!B2:B1000")=$B18) * (INDIRECT("'"&amp;M$1&amp;"'!C2:C1000")=$C18)
        ),
        5,
        FALSE
    )
)</f>
        <v/>
      </c>
      <c r="N18" s="93">
        <f t="array" ref="N18">IF(
    VLOOKUP(
        $A18,
        _xlfn._xlws.FILTER(
            INDIRECT("'"&amp;N$1&amp;"'!A2:E1000"), (INDIRECT("'"&amp;N$1&amp;"'!B2:B1000")=$B18) * (INDIRECT("'"&amp;N$1&amp;"'!C2:C1000")=$C18)
        ),
        5,
        FALSE
    )=0,
    "",
    VLOOKUP(
        $A18,
        _xlfn._xlws.FILTER(
            INDIRECT("'"&amp;N$1&amp;"'!A2:E1000"), (INDIRECT("'"&amp;N$1&amp;"'!B2:B1000")=$B18) * (INDIRECT("'"&amp;N$1&amp;"'!C2:C1000")=$C18)
        ),
        5,
        FALSE
    )
)</f>
        <v/>
      </c>
      <c r="O18" s="93">
        <f t="array" ref="O18">IF(
    VLOOKUP(
        $A18,
        _xlfn._xlws.FILTER(
            INDIRECT("'"&amp;O$1&amp;"'!A2:E1000"), (INDIRECT("'"&amp;O$1&amp;"'!B2:B1000")=$B18) * (INDIRECT("'"&amp;O$1&amp;"'!C2:C1000")=$C18)
        ),
        5,
        FALSE
    )=0,
    "",
    VLOOKUP(
        $A18,
        _xlfn._xlws.FILTER(
            INDIRECT("'"&amp;O$1&amp;"'!A2:E1000"), (INDIRECT("'"&amp;O$1&amp;"'!B2:B1000")=$B18) * (INDIRECT("'"&amp;O$1&amp;"'!C2:C1000")=$C18)
        ),
        5,
        FALSE
    )
)</f>
        <v/>
      </c>
    </row>
    <row r="19">
      <c r="A19" s="51" t="inlineStr">
        <is>
          <t>Comafen</t>
        </is>
      </c>
      <c r="B19" s="92" t="inlineStr">
        <is>
          <t>Querencia do Norte</t>
        </is>
      </c>
      <c r="C19" s="95" t="n">
        <v>1</v>
      </c>
      <c r="D19" s="93">
        <f t="array" ref="D19">IF(
    VLOOKUP(
        $A19,
        _xlfn._xlws.FILTER(
            INDIRECT("'"&amp;D$1&amp;"'!A2:E1000"), (INDIRECT("'"&amp;D$1&amp;"'!B2:B1000")=$B19) * (INDIRECT("'"&amp;D$1&amp;"'!C2:C1000")=$C19)
        ),
        5,
        FALSE
    )=0,
    "",
    VLOOKUP(
        $A19,
        _xlfn._xlws.FILTER(
            INDIRECT("'"&amp;D$1&amp;"'!A2:E1000"), (INDIRECT("'"&amp;D$1&amp;"'!B2:B1000")=$B19) * (INDIRECT("'"&amp;D$1&amp;"'!C2:C1000")=$C19)
        ),
        5,
        FALSE
    )
)</f>
        <v/>
      </c>
      <c r="E19" s="93">
        <f t="array" ref="E19">IF(
    VLOOKUP(
        $A19,
        _xlfn._xlws.FILTER(
            INDIRECT("'"&amp;E$1&amp;"'!A2:E1000"), (INDIRECT("'"&amp;E$1&amp;"'!B2:B1000")=$B19) * (INDIRECT("'"&amp;E$1&amp;"'!C2:C1000")=$C19)
        ),
        5,
        FALSE
    )=0,
    "",
    VLOOKUP(
        $A19,
        _xlfn._xlws.FILTER(
            INDIRECT("'"&amp;E$1&amp;"'!A2:E1000"), (INDIRECT("'"&amp;E$1&amp;"'!B2:B1000")=$B19) * (INDIRECT("'"&amp;E$1&amp;"'!C2:C1000")=$C19)
        ),
        5,
        FALSE
    )
)</f>
        <v/>
      </c>
      <c r="F19" s="93">
        <f t="array" ref="F19">IF(
    VLOOKUP(
        $A19,
        _xlfn._xlws.FILTER(
            INDIRECT("'"&amp;F$1&amp;"'!A2:E1000"), (INDIRECT("'"&amp;F$1&amp;"'!B2:B1000")=$B19) * (INDIRECT("'"&amp;F$1&amp;"'!C2:C1000")=$C19)
        ),
        5,
        FALSE
    )=0,
    "",
    VLOOKUP(
        $A19,
        _xlfn._xlws.FILTER(
            INDIRECT("'"&amp;F$1&amp;"'!A2:E1000"), (INDIRECT("'"&amp;F$1&amp;"'!B2:B1000")=$B19) * (INDIRECT("'"&amp;F$1&amp;"'!C2:C1000")=$C19)
        ),
        5,
        FALSE
    )
)</f>
        <v/>
      </c>
      <c r="G19" s="93">
        <f t="array" ref="G19">IF(
    VLOOKUP(
        $A19,
        _xlfn._xlws.FILTER(
            INDIRECT("'"&amp;G$1&amp;"'!A2:E1000"), (INDIRECT("'"&amp;G$1&amp;"'!B2:B1000")=$B19) * (INDIRECT("'"&amp;G$1&amp;"'!C2:C1000")=$C19)
        ),
        5,
        FALSE
    )=0,
    "",
    VLOOKUP(
        $A19,
        _xlfn._xlws.FILTER(
            INDIRECT("'"&amp;G$1&amp;"'!A2:E1000"), (INDIRECT("'"&amp;G$1&amp;"'!B2:B1000")=$B19) * (INDIRECT("'"&amp;G$1&amp;"'!C2:C1000")=$C19)
        ),
        5,
        FALSE
    )
)</f>
        <v/>
      </c>
      <c r="H19" s="93">
        <f t="array" ref="H19">IF(
    VLOOKUP(
        $A19,
        _xlfn._xlws.FILTER(
            INDIRECT("'"&amp;H$1&amp;"'!A2:E1000"), (INDIRECT("'"&amp;H$1&amp;"'!B2:B1000")=$B19) * (INDIRECT("'"&amp;H$1&amp;"'!C2:C1000")=$C19)
        ),
        5,
        FALSE
    )=0,
    "",
    VLOOKUP(
        $A19,
        _xlfn._xlws.FILTER(
            INDIRECT("'"&amp;H$1&amp;"'!A2:E1000"), (INDIRECT("'"&amp;H$1&amp;"'!B2:B1000")=$B19) * (INDIRECT("'"&amp;H$1&amp;"'!C2:C1000")=$C19)
        ),
        5,
        FALSE
    )
)</f>
        <v/>
      </c>
      <c r="I19" s="93">
        <f t="array" ref="I19">IF(
    VLOOKUP(
        $A19,
        _xlfn._xlws.FILTER(
            INDIRECT("'"&amp;I$1&amp;"'!A2:E1000"), (INDIRECT("'"&amp;I$1&amp;"'!B2:B1000")=$B19) * (INDIRECT("'"&amp;I$1&amp;"'!C2:C1000")=$C19)
        ),
        5,
        FALSE
    )=0,
    "",
    VLOOKUP(
        $A19,
        _xlfn._xlws.FILTER(
            INDIRECT("'"&amp;I$1&amp;"'!A2:E1000"), (INDIRECT("'"&amp;I$1&amp;"'!B2:B1000")=$B19) * (INDIRECT("'"&amp;I$1&amp;"'!C2:C1000")=$C19)
        ),
        5,
        FALSE
    )
)</f>
        <v/>
      </c>
      <c r="J19" s="93">
        <f t="array" ref="J19">IF(
    VLOOKUP(
        $A19,
        _xlfn._xlws.FILTER(
            INDIRECT("'"&amp;J$1&amp;"'!A2:E1000"), (INDIRECT("'"&amp;J$1&amp;"'!B2:B1000")=$B19) * (INDIRECT("'"&amp;J$1&amp;"'!C2:C1000")=$C19)
        ),
        5,
        FALSE
    )=0,
    "",
    VLOOKUP(
        $A19,
        _xlfn._xlws.FILTER(
            INDIRECT("'"&amp;J$1&amp;"'!A2:E1000"), (INDIRECT("'"&amp;J$1&amp;"'!B2:B1000")=$B19) * (INDIRECT("'"&amp;J$1&amp;"'!C2:C1000")=$C19)
        ),
        5,
        FALSE
    )
)</f>
        <v/>
      </c>
      <c r="K19" s="93">
        <f t="array" ref="K19">IF(
    VLOOKUP(
        $A19,
        _xlfn._xlws.FILTER(
            INDIRECT("'"&amp;K$1&amp;"'!A2:E1000"), (INDIRECT("'"&amp;K$1&amp;"'!B2:B1000")=$B19) * (INDIRECT("'"&amp;K$1&amp;"'!C2:C1000")=$C19)
        ),
        5,
        FALSE
    )=0,
    "",
    VLOOKUP(
        $A19,
        _xlfn._xlws.FILTER(
            INDIRECT("'"&amp;K$1&amp;"'!A2:E1000"), (INDIRECT("'"&amp;K$1&amp;"'!B2:B1000")=$B19) * (INDIRECT("'"&amp;K$1&amp;"'!C2:C1000")=$C19)
        ),
        5,
        FALSE
    )
)</f>
        <v/>
      </c>
      <c r="L19" s="93">
        <f t="array" ref="L19">IF(
    VLOOKUP(
        $A19,
        _xlfn._xlws.FILTER(
            INDIRECT("'"&amp;L$1&amp;"'!A2:E1000"), (INDIRECT("'"&amp;L$1&amp;"'!B2:B1000")=$B19) * (INDIRECT("'"&amp;L$1&amp;"'!C2:C1000")=$C19)
        ),
        5,
        FALSE
    )=0,
    "",
    VLOOKUP(
        $A19,
        _xlfn._xlws.FILTER(
            INDIRECT("'"&amp;L$1&amp;"'!A2:E1000"), (INDIRECT("'"&amp;L$1&amp;"'!B2:B1000")=$B19) * (INDIRECT("'"&amp;L$1&amp;"'!C2:C1000")=$C19)
        ),
        5,
        FALSE
    )
)</f>
        <v/>
      </c>
      <c r="M19" s="93">
        <f t="array" ref="M19">IF(
    VLOOKUP(
        $A19,
        _xlfn._xlws.FILTER(
            INDIRECT("'"&amp;M$1&amp;"'!A2:E1000"), (INDIRECT("'"&amp;M$1&amp;"'!B2:B1000")=$B19) * (INDIRECT("'"&amp;M$1&amp;"'!C2:C1000")=$C19)
        ),
        5,
        FALSE
    )=0,
    "",
    VLOOKUP(
        $A19,
        _xlfn._xlws.FILTER(
            INDIRECT("'"&amp;M$1&amp;"'!A2:E1000"), (INDIRECT("'"&amp;M$1&amp;"'!B2:B1000")=$B19) * (INDIRECT("'"&amp;M$1&amp;"'!C2:C1000")=$C19)
        ),
        5,
        FALSE
    )
)</f>
        <v/>
      </c>
      <c r="N19" s="93">
        <f t="array" ref="N19">IF(
    VLOOKUP(
        $A19,
        _xlfn._xlws.FILTER(
            INDIRECT("'"&amp;N$1&amp;"'!A2:E1000"), (INDIRECT("'"&amp;N$1&amp;"'!B2:B1000")=$B19) * (INDIRECT("'"&amp;N$1&amp;"'!C2:C1000")=$C19)
        ),
        5,
        FALSE
    )=0,
    "",
    VLOOKUP(
        $A19,
        _xlfn._xlws.FILTER(
            INDIRECT("'"&amp;N$1&amp;"'!A2:E1000"), (INDIRECT("'"&amp;N$1&amp;"'!B2:B1000")=$B19) * (INDIRECT("'"&amp;N$1&amp;"'!C2:C1000")=$C19)
        ),
        5,
        FALSE
    )
)</f>
        <v/>
      </c>
      <c r="O19" s="93">
        <f t="array" ref="O19">IF(
    VLOOKUP(
        $A19,
        _xlfn._xlws.FILTER(
            INDIRECT("'"&amp;O$1&amp;"'!A2:E1000"), (INDIRECT("'"&amp;O$1&amp;"'!B2:B1000")=$B19) * (INDIRECT("'"&amp;O$1&amp;"'!C2:C1000")=$C19)
        ),
        5,
        FALSE
    )=0,
    "",
    VLOOKUP(
        $A19,
        _xlfn._xlws.FILTER(
            INDIRECT("'"&amp;O$1&amp;"'!A2:E1000"), (INDIRECT("'"&amp;O$1&amp;"'!B2:B1000")=$B19) * (INDIRECT("'"&amp;O$1&amp;"'!C2:C1000")=$C19)
        ),
        5,
        FALSE
    )
)</f>
        <v/>
      </c>
    </row>
    <row r="20">
      <c r="A20" s="51" t="inlineStr">
        <is>
          <t>Comafen</t>
        </is>
      </c>
      <c r="B20" s="92" t="inlineStr">
        <is>
          <t>Santa Cruz de Monte Castelo</t>
        </is>
      </c>
      <c r="C20" s="95" t="n">
        <v>1</v>
      </c>
      <c r="D20" s="93">
        <f t="array" ref="D20">IF(
    VLOOKUP(
        $A20,
        _xlfn._xlws.FILTER(
            INDIRECT("'"&amp;D$1&amp;"'!A2:E1000"), (INDIRECT("'"&amp;D$1&amp;"'!B2:B1000")=$B20) * (INDIRECT("'"&amp;D$1&amp;"'!C2:C1000")=$C20)
        ),
        5,
        FALSE
    )=0,
    "",
    VLOOKUP(
        $A20,
        _xlfn._xlws.FILTER(
            INDIRECT("'"&amp;D$1&amp;"'!A2:E1000"), (INDIRECT("'"&amp;D$1&amp;"'!B2:B1000")=$B20) * (INDIRECT("'"&amp;D$1&amp;"'!C2:C1000")=$C20)
        ),
        5,
        FALSE
    )
)</f>
        <v/>
      </c>
      <c r="E20" s="93">
        <f t="array" ref="E20">IF(
    VLOOKUP(
        $A20,
        _xlfn._xlws.FILTER(
            INDIRECT("'"&amp;E$1&amp;"'!A2:E1000"), (INDIRECT("'"&amp;E$1&amp;"'!B2:B1000")=$B20) * (INDIRECT("'"&amp;E$1&amp;"'!C2:C1000")=$C20)
        ),
        5,
        FALSE
    )=0,
    "",
    VLOOKUP(
        $A20,
        _xlfn._xlws.FILTER(
            INDIRECT("'"&amp;E$1&amp;"'!A2:E1000"), (INDIRECT("'"&amp;E$1&amp;"'!B2:B1000")=$B20) * (INDIRECT("'"&amp;E$1&amp;"'!C2:C1000")=$C20)
        ),
        5,
        FALSE
    )
)</f>
        <v/>
      </c>
      <c r="F20" s="93">
        <f t="array" ref="F20">IF(
    VLOOKUP(
        $A20,
        _xlfn._xlws.FILTER(
            INDIRECT("'"&amp;F$1&amp;"'!A2:E1000"), (INDIRECT("'"&amp;F$1&amp;"'!B2:B1000")=$B20) * (INDIRECT("'"&amp;F$1&amp;"'!C2:C1000")=$C20)
        ),
        5,
        FALSE
    )=0,
    "",
    VLOOKUP(
        $A20,
        _xlfn._xlws.FILTER(
            INDIRECT("'"&amp;F$1&amp;"'!A2:E1000"), (INDIRECT("'"&amp;F$1&amp;"'!B2:B1000")=$B20) * (INDIRECT("'"&amp;F$1&amp;"'!C2:C1000")=$C20)
        ),
        5,
        FALSE
    )
)</f>
        <v/>
      </c>
      <c r="G20" s="93">
        <f t="array" ref="G20">IF(
    VLOOKUP(
        $A20,
        _xlfn._xlws.FILTER(
            INDIRECT("'"&amp;G$1&amp;"'!A2:E1000"), (INDIRECT("'"&amp;G$1&amp;"'!B2:B1000")=$B20) * (INDIRECT("'"&amp;G$1&amp;"'!C2:C1000")=$C20)
        ),
        5,
        FALSE
    )=0,
    "",
    VLOOKUP(
        $A20,
        _xlfn._xlws.FILTER(
            INDIRECT("'"&amp;G$1&amp;"'!A2:E1000"), (INDIRECT("'"&amp;G$1&amp;"'!B2:B1000")=$B20) * (INDIRECT("'"&amp;G$1&amp;"'!C2:C1000")=$C20)
        ),
        5,
        FALSE
    )
)</f>
        <v/>
      </c>
      <c r="H20" s="93">
        <f t="array" ref="H20">IF(
    VLOOKUP(
        $A20,
        _xlfn._xlws.FILTER(
            INDIRECT("'"&amp;H$1&amp;"'!A2:E1000"), (INDIRECT("'"&amp;H$1&amp;"'!B2:B1000")=$B20) * (INDIRECT("'"&amp;H$1&amp;"'!C2:C1000")=$C20)
        ),
        5,
        FALSE
    )=0,
    "",
    VLOOKUP(
        $A20,
        _xlfn._xlws.FILTER(
            INDIRECT("'"&amp;H$1&amp;"'!A2:E1000"), (INDIRECT("'"&amp;H$1&amp;"'!B2:B1000")=$B20) * (INDIRECT("'"&amp;H$1&amp;"'!C2:C1000")=$C20)
        ),
        5,
        FALSE
    )
)</f>
        <v/>
      </c>
      <c r="I20" s="93">
        <f t="array" ref="I20">IF(
    VLOOKUP(
        $A20,
        _xlfn._xlws.FILTER(
            INDIRECT("'"&amp;I$1&amp;"'!A2:E1000"), (INDIRECT("'"&amp;I$1&amp;"'!B2:B1000")=$B20) * (INDIRECT("'"&amp;I$1&amp;"'!C2:C1000")=$C20)
        ),
        5,
        FALSE
    )=0,
    "",
    VLOOKUP(
        $A20,
        _xlfn._xlws.FILTER(
            INDIRECT("'"&amp;I$1&amp;"'!A2:E1000"), (INDIRECT("'"&amp;I$1&amp;"'!B2:B1000")=$B20) * (INDIRECT("'"&amp;I$1&amp;"'!C2:C1000")=$C20)
        ),
        5,
        FALSE
    )
)</f>
        <v/>
      </c>
      <c r="J20" s="93">
        <f t="array" ref="J20">IF(
    VLOOKUP(
        $A20,
        _xlfn._xlws.FILTER(
            INDIRECT("'"&amp;J$1&amp;"'!A2:E1000"), (INDIRECT("'"&amp;J$1&amp;"'!B2:B1000")=$B20) * (INDIRECT("'"&amp;J$1&amp;"'!C2:C1000")=$C20)
        ),
        5,
        FALSE
    )=0,
    "",
    VLOOKUP(
        $A20,
        _xlfn._xlws.FILTER(
            INDIRECT("'"&amp;J$1&amp;"'!A2:E1000"), (INDIRECT("'"&amp;J$1&amp;"'!B2:B1000")=$B20) * (INDIRECT("'"&amp;J$1&amp;"'!C2:C1000")=$C20)
        ),
        5,
        FALSE
    )
)</f>
        <v/>
      </c>
      <c r="K20" s="93">
        <f t="array" ref="K20">IF(
    VLOOKUP(
        $A20,
        _xlfn._xlws.FILTER(
            INDIRECT("'"&amp;K$1&amp;"'!A2:E1000"), (INDIRECT("'"&amp;K$1&amp;"'!B2:B1000")=$B20) * (INDIRECT("'"&amp;K$1&amp;"'!C2:C1000")=$C20)
        ),
        5,
        FALSE
    )=0,
    "",
    VLOOKUP(
        $A20,
        _xlfn._xlws.FILTER(
            INDIRECT("'"&amp;K$1&amp;"'!A2:E1000"), (INDIRECT("'"&amp;K$1&amp;"'!B2:B1000")=$B20) * (INDIRECT("'"&amp;K$1&amp;"'!C2:C1000")=$C20)
        ),
        5,
        FALSE
    )
)</f>
        <v/>
      </c>
      <c r="L20" s="93">
        <f t="array" ref="L20">IF(
    VLOOKUP(
        $A20,
        _xlfn._xlws.FILTER(
            INDIRECT("'"&amp;L$1&amp;"'!A2:E1000"), (INDIRECT("'"&amp;L$1&amp;"'!B2:B1000")=$B20) * (INDIRECT("'"&amp;L$1&amp;"'!C2:C1000")=$C20)
        ),
        5,
        FALSE
    )=0,
    "",
    VLOOKUP(
        $A20,
        _xlfn._xlws.FILTER(
            INDIRECT("'"&amp;L$1&amp;"'!A2:E1000"), (INDIRECT("'"&amp;L$1&amp;"'!B2:B1000")=$B20) * (INDIRECT("'"&amp;L$1&amp;"'!C2:C1000")=$C20)
        ),
        5,
        FALSE
    )
)</f>
        <v/>
      </c>
      <c r="M20" s="93">
        <f t="array" ref="M20">IF(
    VLOOKUP(
        $A20,
        _xlfn._xlws.FILTER(
            INDIRECT("'"&amp;M$1&amp;"'!A2:E1000"), (INDIRECT("'"&amp;M$1&amp;"'!B2:B1000")=$B20) * (INDIRECT("'"&amp;M$1&amp;"'!C2:C1000")=$C20)
        ),
        5,
        FALSE
    )=0,
    "",
    VLOOKUP(
        $A20,
        _xlfn._xlws.FILTER(
            INDIRECT("'"&amp;M$1&amp;"'!A2:E1000"), (INDIRECT("'"&amp;M$1&amp;"'!B2:B1000")=$B20) * (INDIRECT("'"&amp;M$1&amp;"'!C2:C1000")=$C20)
        ),
        5,
        FALSE
    )
)</f>
        <v/>
      </c>
      <c r="N20" s="93">
        <f t="array" ref="N20">IF(
    VLOOKUP(
        $A20,
        _xlfn._xlws.FILTER(
            INDIRECT("'"&amp;N$1&amp;"'!A2:E1000"), (INDIRECT("'"&amp;N$1&amp;"'!B2:B1000")=$B20) * (INDIRECT("'"&amp;N$1&amp;"'!C2:C1000")=$C20)
        ),
        5,
        FALSE
    )=0,
    "",
    VLOOKUP(
        $A20,
        _xlfn._xlws.FILTER(
            INDIRECT("'"&amp;N$1&amp;"'!A2:E1000"), (INDIRECT("'"&amp;N$1&amp;"'!B2:B1000")=$B20) * (INDIRECT("'"&amp;N$1&amp;"'!C2:C1000")=$C20)
        ),
        5,
        FALSE
    )
)</f>
        <v/>
      </c>
      <c r="O20" s="93">
        <f t="array" ref="O20">IF(
    VLOOKUP(
        $A20,
        _xlfn._xlws.FILTER(
            INDIRECT("'"&amp;O$1&amp;"'!A2:E1000"), (INDIRECT("'"&amp;O$1&amp;"'!B2:B1000")=$B20) * (INDIRECT("'"&amp;O$1&amp;"'!C2:C1000")=$C20)
        ),
        5,
        FALSE
    )=0,
    "",
    VLOOKUP(
        $A20,
        _xlfn._xlws.FILTER(
            INDIRECT("'"&amp;O$1&amp;"'!A2:E1000"), (INDIRECT("'"&amp;O$1&amp;"'!B2:B1000")=$B20) * (INDIRECT("'"&amp;O$1&amp;"'!C2:C1000")=$C20)
        ),
        5,
        FALSE
    )
)</f>
        <v/>
      </c>
    </row>
    <row r="21">
      <c r="A21" s="51" t="inlineStr">
        <is>
          <t>Comafen</t>
        </is>
      </c>
      <c r="B21" s="92" t="inlineStr">
        <is>
          <t>Santa Isabel do Ivai</t>
        </is>
      </c>
      <c r="C21" s="95" t="n">
        <v>1</v>
      </c>
      <c r="D21" s="93">
        <f t="array" ref="D21">IF(
    VLOOKUP(
        $A21,
        _xlfn._xlws.FILTER(
            INDIRECT("'"&amp;D$1&amp;"'!A2:E1000"), (INDIRECT("'"&amp;D$1&amp;"'!B2:B1000")=$B21) * (INDIRECT("'"&amp;D$1&amp;"'!C2:C1000")=$C21)
        ),
        5,
        FALSE
    )=0,
    "",
    VLOOKUP(
        $A21,
        _xlfn._xlws.FILTER(
            INDIRECT("'"&amp;D$1&amp;"'!A2:E1000"), (INDIRECT("'"&amp;D$1&amp;"'!B2:B1000")=$B21) * (INDIRECT("'"&amp;D$1&amp;"'!C2:C1000")=$C21)
        ),
        5,
        FALSE
    )
)</f>
        <v/>
      </c>
      <c r="E21" s="93">
        <f t="array" ref="E21">IF(
    VLOOKUP(
        $A21,
        _xlfn._xlws.FILTER(
            INDIRECT("'"&amp;E$1&amp;"'!A2:E1000"), (INDIRECT("'"&amp;E$1&amp;"'!B2:B1000")=$B21) * (INDIRECT("'"&amp;E$1&amp;"'!C2:C1000")=$C21)
        ),
        5,
        FALSE
    )=0,
    "",
    VLOOKUP(
        $A21,
        _xlfn._xlws.FILTER(
            INDIRECT("'"&amp;E$1&amp;"'!A2:E1000"), (INDIRECT("'"&amp;E$1&amp;"'!B2:B1000")=$B21) * (INDIRECT("'"&amp;E$1&amp;"'!C2:C1000")=$C21)
        ),
        5,
        FALSE
    )
)</f>
        <v/>
      </c>
      <c r="F21" s="93">
        <f t="array" ref="F21">IF(
    VLOOKUP(
        $A21,
        _xlfn._xlws.FILTER(
            INDIRECT("'"&amp;F$1&amp;"'!A2:E1000"), (INDIRECT("'"&amp;F$1&amp;"'!B2:B1000")=$B21) * (INDIRECT("'"&amp;F$1&amp;"'!C2:C1000")=$C21)
        ),
        5,
        FALSE
    )=0,
    "",
    VLOOKUP(
        $A21,
        _xlfn._xlws.FILTER(
            INDIRECT("'"&amp;F$1&amp;"'!A2:E1000"), (INDIRECT("'"&amp;F$1&amp;"'!B2:B1000")=$B21) * (INDIRECT("'"&amp;F$1&amp;"'!C2:C1000")=$C21)
        ),
        5,
        FALSE
    )
)</f>
        <v/>
      </c>
      <c r="G21" s="93">
        <f t="array" ref="G21">IF(
    VLOOKUP(
        $A21,
        _xlfn._xlws.FILTER(
            INDIRECT("'"&amp;G$1&amp;"'!A2:E1000"), (INDIRECT("'"&amp;G$1&amp;"'!B2:B1000")=$B21) * (INDIRECT("'"&amp;G$1&amp;"'!C2:C1000")=$C21)
        ),
        5,
        FALSE
    )=0,
    "",
    VLOOKUP(
        $A21,
        _xlfn._xlws.FILTER(
            INDIRECT("'"&amp;G$1&amp;"'!A2:E1000"), (INDIRECT("'"&amp;G$1&amp;"'!B2:B1000")=$B21) * (INDIRECT("'"&amp;G$1&amp;"'!C2:C1000")=$C21)
        ),
        5,
        FALSE
    )
)</f>
        <v/>
      </c>
      <c r="H21" s="93">
        <f t="array" ref="H21">IF(
    VLOOKUP(
        $A21,
        _xlfn._xlws.FILTER(
            INDIRECT("'"&amp;H$1&amp;"'!A2:E1000"), (INDIRECT("'"&amp;H$1&amp;"'!B2:B1000")=$B21) * (INDIRECT("'"&amp;H$1&amp;"'!C2:C1000")=$C21)
        ),
        5,
        FALSE
    )=0,
    "",
    VLOOKUP(
        $A21,
        _xlfn._xlws.FILTER(
            INDIRECT("'"&amp;H$1&amp;"'!A2:E1000"), (INDIRECT("'"&amp;H$1&amp;"'!B2:B1000")=$B21) * (INDIRECT("'"&amp;H$1&amp;"'!C2:C1000")=$C21)
        ),
        5,
        FALSE
    )
)</f>
        <v/>
      </c>
      <c r="I21" s="93">
        <f t="array" ref="I21">IF(
    VLOOKUP(
        $A21,
        _xlfn._xlws.FILTER(
            INDIRECT("'"&amp;I$1&amp;"'!A2:E1000"), (INDIRECT("'"&amp;I$1&amp;"'!B2:B1000")=$B21) * (INDIRECT("'"&amp;I$1&amp;"'!C2:C1000")=$C21)
        ),
        5,
        FALSE
    )=0,
    "",
    VLOOKUP(
        $A21,
        _xlfn._xlws.FILTER(
            INDIRECT("'"&amp;I$1&amp;"'!A2:E1000"), (INDIRECT("'"&amp;I$1&amp;"'!B2:B1000")=$B21) * (INDIRECT("'"&amp;I$1&amp;"'!C2:C1000")=$C21)
        ),
        5,
        FALSE
    )
)</f>
        <v/>
      </c>
      <c r="J21" s="93">
        <f t="array" ref="J21">IF(
    VLOOKUP(
        $A21,
        _xlfn._xlws.FILTER(
            INDIRECT("'"&amp;J$1&amp;"'!A2:E1000"), (INDIRECT("'"&amp;J$1&amp;"'!B2:B1000")=$B21) * (INDIRECT("'"&amp;J$1&amp;"'!C2:C1000")=$C21)
        ),
        5,
        FALSE
    )=0,
    "",
    VLOOKUP(
        $A21,
        _xlfn._xlws.FILTER(
            INDIRECT("'"&amp;J$1&amp;"'!A2:E1000"), (INDIRECT("'"&amp;J$1&amp;"'!B2:B1000")=$B21) * (INDIRECT("'"&amp;J$1&amp;"'!C2:C1000")=$C21)
        ),
        5,
        FALSE
    )
)</f>
        <v/>
      </c>
      <c r="K21" s="93">
        <f t="array" ref="K21">IF(
    VLOOKUP(
        $A21,
        _xlfn._xlws.FILTER(
            INDIRECT("'"&amp;K$1&amp;"'!A2:E1000"), (INDIRECT("'"&amp;K$1&amp;"'!B2:B1000")=$B21) * (INDIRECT("'"&amp;K$1&amp;"'!C2:C1000")=$C21)
        ),
        5,
        FALSE
    )=0,
    "",
    VLOOKUP(
        $A21,
        _xlfn._xlws.FILTER(
            INDIRECT("'"&amp;K$1&amp;"'!A2:E1000"), (INDIRECT("'"&amp;K$1&amp;"'!B2:B1000")=$B21) * (INDIRECT("'"&amp;K$1&amp;"'!C2:C1000")=$C21)
        ),
        5,
        FALSE
    )
)</f>
        <v/>
      </c>
      <c r="L21" s="93">
        <f t="array" ref="L21">IF(
    VLOOKUP(
        $A21,
        _xlfn._xlws.FILTER(
            INDIRECT("'"&amp;L$1&amp;"'!A2:E1000"), (INDIRECT("'"&amp;L$1&amp;"'!B2:B1000")=$B21) * (INDIRECT("'"&amp;L$1&amp;"'!C2:C1000")=$C21)
        ),
        5,
        FALSE
    )=0,
    "",
    VLOOKUP(
        $A21,
        _xlfn._xlws.FILTER(
            INDIRECT("'"&amp;L$1&amp;"'!A2:E1000"), (INDIRECT("'"&amp;L$1&amp;"'!B2:B1000")=$B21) * (INDIRECT("'"&amp;L$1&amp;"'!C2:C1000")=$C21)
        ),
        5,
        FALSE
    )
)</f>
        <v/>
      </c>
      <c r="M21" s="93">
        <f t="array" ref="M21">IF(
    VLOOKUP(
        $A21,
        _xlfn._xlws.FILTER(
            INDIRECT("'"&amp;M$1&amp;"'!A2:E1000"), (INDIRECT("'"&amp;M$1&amp;"'!B2:B1000")=$B21) * (INDIRECT("'"&amp;M$1&amp;"'!C2:C1000")=$C21)
        ),
        5,
        FALSE
    )=0,
    "",
    VLOOKUP(
        $A21,
        _xlfn._xlws.FILTER(
            INDIRECT("'"&amp;M$1&amp;"'!A2:E1000"), (INDIRECT("'"&amp;M$1&amp;"'!B2:B1000")=$B21) * (INDIRECT("'"&amp;M$1&amp;"'!C2:C1000")=$C21)
        ),
        5,
        FALSE
    )
)</f>
        <v/>
      </c>
      <c r="N21" s="93">
        <f t="array" ref="N21">IF(
    VLOOKUP(
        $A21,
        _xlfn._xlws.FILTER(
            INDIRECT("'"&amp;N$1&amp;"'!A2:E1000"), (INDIRECT("'"&amp;N$1&amp;"'!B2:B1000")=$B21) * (INDIRECT("'"&amp;N$1&amp;"'!C2:C1000")=$C21)
        ),
        5,
        FALSE
    )=0,
    "",
    VLOOKUP(
        $A21,
        _xlfn._xlws.FILTER(
            INDIRECT("'"&amp;N$1&amp;"'!A2:E1000"), (INDIRECT("'"&amp;N$1&amp;"'!B2:B1000")=$B21) * (INDIRECT("'"&amp;N$1&amp;"'!C2:C1000")=$C21)
        ),
        5,
        FALSE
    )
)</f>
        <v/>
      </c>
      <c r="O21" s="93">
        <f t="array" ref="O21">IF(
    VLOOKUP(
        $A21,
        _xlfn._xlws.FILTER(
            INDIRECT("'"&amp;O$1&amp;"'!A2:E1000"), (INDIRECT("'"&amp;O$1&amp;"'!B2:B1000")=$B21) * (INDIRECT("'"&amp;O$1&amp;"'!C2:C1000")=$C21)
        ),
        5,
        FALSE
    )=0,
    "",
    VLOOKUP(
        $A21,
        _xlfn._xlws.FILTER(
            INDIRECT("'"&amp;O$1&amp;"'!A2:E1000"), (INDIRECT("'"&amp;O$1&amp;"'!B2:B1000")=$B21) * (INDIRECT("'"&amp;O$1&amp;"'!C2:C1000")=$C21)
        ),
        5,
        FALSE
    )
)</f>
        <v/>
      </c>
    </row>
    <row r="22">
      <c r="A22" s="51" t="inlineStr">
        <is>
          <t>Comafen</t>
        </is>
      </c>
      <c r="B22" s="92" t="inlineStr">
        <is>
          <t>São Pedro do Paraná</t>
        </is>
      </c>
      <c r="C22" s="95" t="n">
        <v>1</v>
      </c>
      <c r="D22" s="93">
        <f t="array" ref="D22">IF(
    VLOOKUP(
        $A22,
        _xlfn._xlws.FILTER(
            INDIRECT("'"&amp;D$1&amp;"'!A2:E1000"), (INDIRECT("'"&amp;D$1&amp;"'!B2:B1000")=$B22) * (INDIRECT("'"&amp;D$1&amp;"'!C2:C1000")=$C22)
        ),
        5,
        FALSE
    )=0,
    "",
    VLOOKUP(
        $A22,
        _xlfn._xlws.FILTER(
            INDIRECT("'"&amp;D$1&amp;"'!A2:E1000"), (INDIRECT("'"&amp;D$1&amp;"'!B2:B1000")=$B22) * (INDIRECT("'"&amp;D$1&amp;"'!C2:C1000")=$C22)
        ),
        5,
        FALSE
    )
)</f>
        <v/>
      </c>
      <c r="E22" s="93">
        <f t="array" ref="E22">IF(
    VLOOKUP(
        $A22,
        _xlfn._xlws.FILTER(
            INDIRECT("'"&amp;E$1&amp;"'!A2:E1000"), (INDIRECT("'"&amp;E$1&amp;"'!B2:B1000")=$B22) * (INDIRECT("'"&amp;E$1&amp;"'!C2:C1000")=$C22)
        ),
        5,
        FALSE
    )=0,
    "",
    VLOOKUP(
        $A22,
        _xlfn._xlws.FILTER(
            INDIRECT("'"&amp;E$1&amp;"'!A2:E1000"), (INDIRECT("'"&amp;E$1&amp;"'!B2:B1000")=$B22) * (INDIRECT("'"&amp;E$1&amp;"'!C2:C1000")=$C22)
        ),
        5,
        FALSE
    )
)</f>
        <v/>
      </c>
      <c r="F22" s="93">
        <f t="array" ref="F22">IF(
    VLOOKUP(
        $A22,
        _xlfn._xlws.FILTER(
            INDIRECT("'"&amp;F$1&amp;"'!A2:E1000"), (INDIRECT("'"&amp;F$1&amp;"'!B2:B1000")=$B22) * (INDIRECT("'"&amp;F$1&amp;"'!C2:C1000")=$C22)
        ),
        5,
        FALSE
    )=0,
    "",
    VLOOKUP(
        $A22,
        _xlfn._xlws.FILTER(
            INDIRECT("'"&amp;F$1&amp;"'!A2:E1000"), (INDIRECT("'"&amp;F$1&amp;"'!B2:B1000")=$B22) * (INDIRECT("'"&amp;F$1&amp;"'!C2:C1000")=$C22)
        ),
        5,
        FALSE
    )
)</f>
        <v/>
      </c>
      <c r="G22" s="93">
        <f t="array" ref="G22">IF(
    VLOOKUP(
        $A22,
        _xlfn._xlws.FILTER(
            INDIRECT("'"&amp;G$1&amp;"'!A2:E1000"), (INDIRECT("'"&amp;G$1&amp;"'!B2:B1000")=$B22) * (INDIRECT("'"&amp;G$1&amp;"'!C2:C1000")=$C22)
        ),
        5,
        FALSE
    )=0,
    "",
    VLOOKUP(
        $A22,
        _xlfn._xlws.FILTER(
            INDIRECT("'"&amp;G$1&amp;"'!A2:E1000"), (INDIRECT("'"&amp;G$1&amp;"'!B2:B1000")=$B22) * (INDIRECT("'"&amp;G$1&amp;"'!C2:C1000")=$C22)
        ),
        5,
        FALSE
    )
)</f>
        <v/>
      </c>
      <c r="H22" s="93">
        <f t="array" ref="H22">IF(
    VLOOKUP(
        $A22,
        _xlfn._xlws.FILTER(
            INDIRECT("'"&amp;H$1&amp;"'!A2:E1000"), (INDIRECT("'"&amp;H$1&amp;"'!B2:B1000")=$B22) * (INDIRECT("'"&amp;H$1&amp;"'!C2:C1000")=$C22)
        ),
        5,
        FALSE
    )=0,
    "",
    VLOOKUP(
        $A22,
        _xlfn._xlws.FILTER(
            INDIRECT("'"&amp;H$1&amp;"'!A2:E1000"), (INDIRECT("'"&amp;H$1&amp;"'!B2:B1000")=$B22) * (INDIRECT("'"&amp;H$1&amp;"'!C2:C1000")=$C22)
        ),
        5,
        FALSE
    )
)</f>
        <v/>
      </c>
      <c r="I22" s="93">
        <f t="array" ref="I22">IF(
    VLOOKUP(
        $A22,
        _xlfn._xlws.FILTER(
            INDIRECT("'"&amp;I$1&amp;"'!A2:E1000"), (INDIRECT("'"&amp;I$1&amp;"'!B2:B1000")=$B22) * (INDIRECT("'"&amp;I$1&amp;"'!C2:C1000")=$C22)
        ),
        5,
        FALSE
    )=0,
    "",
    VLOOKUP(
        $A22,
        _xlfn._xlws.FILTER(
            INDIRECT("'"&amp;I$1&amp;"'!A2:E1000"), (INDIRECT("'"&amp;I$1&amp;"'!B2:B1000")=$B22) * (INDIRECT("'"&amp;I$1&amp;"'!C2:C1000")=$C22)
        ),
        5,
        FALSE
    )
)</f>
        <v/>
      </c>
      <c r="J22" s="93">
        <f t="array" ref="J22">IF(
    VLOOKUP(
        $A22,
        _xlfn._xlws.FILTER(
            INDIRECT("'"&amp;J$1&amp;"'!A2:E1000"), (INDIRECT("'"&amp;J$1&amp;"'!B2:B1000")=$B22) * (INDIRECT("'"&amp;J$1&amp;"'!C2:C1000")=$C22)
        ),
        5,
        FALSE
    )=0,
    "",
    VLOOKUP(
        $A22,
        _xlfn._xlws.FILTER(
            INDIRECT("'"&amp;J$1&amp;"'!A2:E1000"), (INDIRECT("'"&amp;J$1&amp;"'!B2:B1000")=$B22) * (INDIRECT("'"&amp;J$1&amp;"'!C2:C1000")=$C22)
        ),
        5,
        FALSE
    )
)</f>
        <v/>
      </c>
      <c r="K22" s="93">
        <f t="array" ref="K22">IF(
    VLOOKUP(
        $A22,
        _xlfn._xlws.FILTER(
            INDIRECT("'"&amp;K$1&amp;"'!A2:E1000"), (INDIRECT("'"&amp;K$1&amp;"'!B2:B1000")=$B22) * (INDIRECT("'"&amp;K$1&amp;"'!C2:C1000")=$C22)
        ),
        5,
        FALSE
    )=0,
    "",
    VLOOKUP(
        $A22,
        _xlfn._xlws.FILTER(
            INDIRECT("'"&amp;K$1&amp;"'!A2:E1000"), (INDIRECT("'"&amp;K$1&amp;"'!B2:B1000")=$B22) * (INDIRECT("'"&amp;K$1&amp;"'!C2:C1000")=$C22)
        ),
        5,
        FALSE
    )
)</f>
        <v/>
      </c>
      <c r="L22" s="93">
        <f t="array" ref="L22">IF(
    VLOOKUP(
        $A22,
        _xlfn._xlws.FILTER(
            INDIRECT("'"&amp;L$1&amp;"'!A2:E1000"), (INDIRECT("'"&amp;L$1&amp;"'!B2:B1000")=$B22) * (INDIRECT("'"&amp;L$1&amp;"'!C2:C1000")=$C22)
        ),
        5,
        FALSE
    )=0,
    "",
    VLOOKUP(
        $A22,
        _xlfn._xlws.FILTER(
            INDIRECT("'"&amp;L$1&amp;"'!A2:E1000"), (INDIRECT("'"&amp;L$1&amp;"'!B2:B1000")=$B22) * (INDIRECT("'"&amp;L$1&amp;"'!C2:C1000")=$C22)
        ),
        5,
        FALSE
    )
)</f>
        <v/>
      </c>
      <c r="M22" s="93">
        <f t="array" ref="M22">IF(
    VLOOKUP(
        $A22,
        _xlfn._xlws.FILTER(
            INDIRECT("'"&amp;M$1&amp;"'!A2:E1000"), (INDIRECT("'"&amp;M$1&amp;"'!B2:B1000")=$B22) * (INDIRECT("'"&amp;M$1&amp;"'!C2:C1000")=$C22)
        ),
        5,
        FALSE
    )=0,
    "",
    VLOOKUP(
        $A22,
        _xlfn._xlws.FILTER(
            INDIRECT("'"&amp;M$1&amp;"'!A2:E1000"), (INDIRECT("'"&amp;M$1&amp;"'!B2:B1000")=$B22) * (INDIRECT("'"&amp;M$1&amp;"'!C2:C1000")=$C22)
        ),
        5,
        FALSE
    )
)</f>
        <v/>
      </c>
      <c r="N22" s="93">
        <f t="array" ref="N22">IF(
    VLOOKUP(
        $A22,
        _xlfn._xlws.FILTER(
            INDIRECT("'"&amp;N$1&amp;"'!A2:E1000"), (INDIRECT("'"&amp;N$1&amp;"'!B2:B1000")=$B22) * (INDIRECT("'"&amp;N$1&amp;"'!C2:C1000")=$C22)
        ),
        5,
        FALSE
    )=0,
    "",
    VLOOKUP(
        $A22,
        _xlfn._xlws.FILTER(
            INDIRECT("'"&amp;N$1&amp;"'!A2:E1000"), (INDIRECT("'"&amp;N$1&amp;"'!B2:B1000")=$B22) * (INDIRECT("'"&amp;N$1&amp;"'!C2:C1000")=$C22)
        ),
        5,
        FALSE
    )
)</f>
        <v/>
      </c>
      <c r="O22" s="93">
        <f t="array" ref="O22">IF(
    VLOOKUP(
        $A22,
        _xlfn._xlws.FILTER(
            INDIRECT("'"&amp;O$1&amp;"'!A2:E1000"), (INDIRECT("'"&amp;O$1&amp;"'!B2:B1000")=$B22) * (INDIRECT("'"&amp;O$1&amp;"'!C2:C1000")=$C22)
        ),
        5,
        FALSE
    )=0,
    "",
    VLOOKUP(
        $A22,
        _xlfn._xlws.FILTER(
            INDIRECT("'"&amp;O$1&amp;"'!A2:E1000"), (INDIRECT("'"&amp;O$1&amp;"'!B2:B1000")=$B22) * (INDIRECT("'"&amp;O$1&amp;"'!C2:C1000")=$C22)
        ),
        5,
        FALSE
    )
)</f>
        <v/>
      </c>
    </row>
    <row r="23">
      <c r="B23" s="94" t="n"/>
    </row>
    <row r="24" ht="15.75" customHeight="1">
      <c r="A24" s="89" t="inlineStr">
        <is>
          <t>Regional</t>
        </is>
      </c>
      <c r="B24" s="89" t="inlineStr">
        <is>
          <t>Municípios</t>
        </is>
      </c>
      <c r="C24" s="89" t="inlineStr">
        <is>
          <t>UVR</t>
        </is>
      </c>
      <c r="D24" s="90" t="inlineStr">
        <is>
          <t>01.25</t>
        </is>
      </c>
      <c r="E24" s="90" t="inlineStr">
        <is>
          <t>02.25</t>
        </is>
      </c>
      <c r="F24" s="90" t="inlineStr">
        <is>
          <t>03.25</t>
        </is>
      </c>
      <c r="G24" s="90" t="inlineStr">
        <is>
          <t>04.25</t>
        </is>
      </c>
      <c r="H24" s="90" t="inlineStr">
        <is>
          <t>05.25</t>
        </is>
      </c>
      <c r="I24" s="90" t="inlineStr">
        <is>
          <t>06.25</t>
        </is>
      </c>
      <c r="J24" s="91" t="inlineStr">
        <is>
          <t>07.25</t>
        </is>
      </c>
      <c r="K24" s="91" t="inlineStr">
        <is>
          <t>08.25</t>
        </is>
      </c>
      <c r="L24" s="91" t="inlineStr">
        <is>
          <t>09.25</t>
        </is>
      </c>
      <c r="M24" s="91" t="inlineStr">
        <is>
          <t>10.25</t>
        </is>
      </c>
      <c r="N24" s="91" t="inlineStr">
        <is>
          <t>11.25</t>
        </is>
      </c>
      <c r="O24" s="91" t="inlineStr">
        <is>
          <t>12.25</t>
        </is>
      </c>
    </row>
    <row r="25">
      <c r="A25" s="54" t="inlineStr">
        <is>
          <t>Cibax</t>
        </is>
      </c>
      <c r="B25" s="92" t="inlineStr">
        <is>
          <t>Alto Piquiri</t>
        </is>
      </c>
      <c r="C25" s="95" t="n">
        <v>1</v>
      </c>
      <c r="D25" s="93">
        <f t="array" ref="D25">IF(
    VLOOKUP(
        $A25,
        _xlfn._xlws.FILTER(
            INDIRECT("'"&amp;D$1&amp;"'!A2:E1000"), (INDIRECT("'"&amp;D$1&amp;"'!B2:B1000")=$B25) * (INDIRECT("'"&amp;D$1&amp;"'!C2:C1000")=$C25)
        ),
        5,
        FALSE
    )=0,
    "",
    VLOOKUP(
        $A25,
        _xlfn._xlws.FILTER(
            INDIRECT("'"&amp;D$1&amp;"'!A2:E1000"), (INDIRECT("'"&amp;D$1&amp;"'!B2:B1000")=$B25) * (INDIRECT("'"&amp;D$1&amp;"'!C2:C1000")=$C25)
        ),
        5,
        FALSE
    )
)</f>
        <v/>
      </c>
      <c r="E25" s="93">
        <f t="array" ref="E25">IF(
    VLOOKUP(
        $A25,
        _xlfn._xlws.FILTER(
            INDIRECT("'"&amp;E$1&amp;"'!A2:E1000"), (INDIRECT("'"&amp;E$1&amp;"'!B2:B1000")=$B25) * (INDIRECT("'"&amp;E$1&amp;"'!C2:C1000")=$C25)
        ),
        5,
        FALSE
    )=0,
    "",
    VLOOKUP(
        $A25,
        _xlfn._xlws.FILTER(
            INDIRECT("'"&amp;E$1&amp;"'!A2:E1000"), (INDIRECT("'"&amp;E$1&amp;"'!B2:B1000")=$B25) * (INDIRECT("'"&amp;E$1&amp;"'!C2:C1000")=$C25)
        ),
        5,
        FALSE
    )
)</f>
        <v/>
      </c>
      <c r="F25" s="93">
        <f t="array" ref="F25">IF(
    VLOOKUP(
        $A25,
        _xlfn._xlws.FILTER(
            INDIRECT("'"&amp;F$1&amp;"'!A2:E1000"), (INDIRECT("'"&amp;F$1&amp;"'!B2:B1000")=$B25) * (INDIRECT("'"&amp;F$1&amp;"'!C2:C1000")=$C25)
        ),
        5,
        FALSE
    )=0,
    "",
    VLOOKUP(
        $A25,
        _xlfn._xlws.FILTER(
            INDIRECT("'"&amp;F$1&amp;"'!A2:E1000"), (INDIRECT("'"&amp;F$1&amp;"'!B2:B1000")=$B25) * (INDIRECT("'"&amp;F$1&amp;"'!C2:C1000")=$C25)
        ),
        5,
        FALSE
    )
)</f>
        <v/>
      </c>
      <c r="G25" s="93">
        <f t="array" ref="G25">IF(
    VLOOKUP(
        $A25,
        _xlfn._xlws.FILTER(
            INDIRECT("'"&amp;G$1&amp;"'!A2:E1000"), (INDIRECT("'"&amp;G$1&amp;"'!B2:B1000")=$B25) * (INDIRECT("'"&amp;G$1&amp;"'!C2:C1000")=$C25)
        ),
        5,
        FALSE
    )=0,
    "",
    VLOOKUP(
        $A25,
        _xlfn._xlws.FILTER(
            INDIRECT("'"&amp;G$1&amp;"'!A2:E1000"), (INDIRECT("'"&amp;G$1&amp;"'!B2:B1000")=$B25) * (INDIRECT("'"&amp;G$1&amp;"'!C2:C1000")=$C25)
        ),
        5,
        FALSE
    )
)</f>
        <v/>
      </c>
      <c r="H25" s="93">
        <f t="array" ref="H25">IF(
    VLOOKUP(
        $A25,
        _xlfn._xlws.FILTER(
            INDIRECT("'"&amp;H$1&amp;"'!A2:E1000"), (INDIRECT("'"&amp;H$1&amp;"'!B2:B1000")=$B25) * (INDIRECT("'"&amp;H$1&amp;"'!C2:C1000")=$C25)
        ),
        5,
        FALSE
    )=0,
    "",
    VLOOKUP(
        $A25,
        _xlfn._xlws.FILTER(
            INDIRECT("'"&amp;H$1&amp;"'!A2:E1000"), (INDIRECT("'"&amp;H$1&amp;"'!B2:B1000")=$B25) * (INDIRECT("'"&amp;H$1&amp;"'!C2:C1000")=$C25)
        ),
        5,
        FALSE
    )
)</f>
        <v/>
      </c>
      <c r="I25" s="93">
        <f t="array" ref="I25">IF(
    VLOOKUP(
        $A25,
        _xlfn._xlws.FILTER(
            INDIRECT("'"&amp;I$1&amp;"'!A2:E1000"), (INDIRECT("'"&amp;I$1&amp;"'!B2:B1000")=$B25) * (INDIRECT("'"&amp;I$1&amp;"'!C2:C1000")=$C25)
        ),
        5,
        FALSE
    )=0,
    "",
    VLOOKUP(
        $A25,
        _xlfn._xlws.FILTER(
            INDIRECT("'"&amp;I$1&amp;"'!A2:E1000"), (INDIRECT("'"&amp;I$1&amp;"'!B2:B1000")=$B25) * (INDIRECT("'"&amp;I$1&amp;"'!C2:C1000")=$C25)
        ),
        5,
        FALSE
    )
)</f>
        <v/>
      </c>
      <c r="J25" s="93">
        <f t="array" ref="J25">IF(
    VLOOKUP(
        $A25,
        _xlfn._xlws.FILTER(
            INDIRECT("'"&amp;J$1&amp;"'!A2:E1000"), (INDIRECT("'"&amp;J$1&amp;"'!B2:B1000")=$B25) * (INDIRECT("'"&amp;J$1&amp;"'!C2:C1000")=$C25)
        ),
        5,
        FALSE
    )=0,
    "",
    VLOOKUP(
        $A25,
        _xlfn._xlws.FILTER(
            INDIRECT("'"&amp;J$1&amp;"'!A2:E1000"), (INDIRECT("'"&amp;J$1&amp;"'!B2:B1000")=$B25) * (INDIRECT("'"&amp;J$1&amp;"'!C2:C1000")=$C25)
        ),
        5,
        FALSE
    )
)</f>
        <v/>
      </c>
      <c r="K25" s="93">
        <f t="array" ref="K25">IF(
    VLOOKUP(
        $A25,
        _xlfn._xlws.FILTER(
            INDIRECT("'"&amp;K$1&amp;"'!A2:E1000"), (INDIRECT("'"&amp;K$1&amp;"'!B2:B1000")=$B25) * (INDIRECT("'"&amp;K$1&amp;"'!C2:C1000")=$C25)
        ),
        5,
        FALSE
    )=0,
    "",
    VLOOKUP(
        $A25,
        _xlfn._xlws.FILTER(
            INDIRECT("'"&amp;K$1&amp;"'!A2:E1000"), (INDIRECT("'"&amp;K$1&amp;"'!B2:B1000")=$B25) * (INDIRECT("'"&amp;K$1&amp;"'!C2:C1000")=$C25)
        ),
        5,
        FALSE
    )
)</f>
        <v/>
      </c>
      <c r="L25" s="93">
        <f t="array" ref="L25">IF(
    VLOOKUP(
        $A25,
        _xlfn._xlws.FILTER(
            INDIRECT("'"&amp;L$1&amp;"'!A2:E1000"), (INDIRECT("'"&amp;L$1&amp;"'!B2:B1000")=$B25) * (INDIRECT("'"&amp;L$1&amp;"'!C2:C1000")=$C25)
        ),
        5,
        FALSE
    )=0,
    "",
    VLOOKUP(
        $A25,
        _xlfn._xlws.FILTER(
            INDIRECT("'"&amp;L$1&amp;"'!A2:E1000"), (INDIRECT("'"&amp;L$1&amp;"'!B2:B1000")=$B25) * (INDIRECT("'"&amp;L$1&amp;"'!C2:C1000")=$C25)
        ),
        5,
        FALSE
    )
)</f>
        <v/>
      </c>
      <c r="M25" s="93">
        <f t="array" ref="M25">IF(
    VLOOKUP(
        $A25,
        _xlfn._xlws.FILTER(
            INDIRECT("'"&amp;M$1&amp;"'!A2:E1000"), (INDIRECT("'"&amp;M$1&amp;"'!B2:B1000")=$B25) * (INDIRECT("'"&amp;M$1&amp;"'!C2:C1000")=$C25)
        ),
        5,
        FALSE
    )=0,
    "",
    VLOOKUP(
        $A25,
        _xlfn._xlws.FILTER(
            INDIRECT("'"&amp;M$1&amp;"'!A2:E1000"), (INDIRECT("'"&amp;M$1&amp;"'!B2:B1000")=$B25) * (INDIRECT("'"&amp;M$1&amp;"'!C2:C1000")=$C25)
        ),
        5,
        FALSE
    )
)</f>
        <v/>
      </c>
      <c r="N25" s="93">
        <f t="array" ref="N25">IF(
    VLOOKUP(
        $A25,
        _xlfn._xlws.FILTER(
            INDIRECT("'"&amp;N$1&amp;"'!A2:E1000"), (INDIRECT("'"&amp;N$1&amp;"'!B2:B1000")=$B25) * (INDIRECT("'"&amp;N$1&amp;"'!C2:C1000")=$C25)
        ),
        5,
        FALSE
    )=0,
    "",
    VLOOKUP(
        $A25,
        _xlfn._xlws.FILTER(
            INDIRECT("'"&amp;N$1&amp;"'!A2:E1000"), (INDIRECT("'"&amp;N$1&amp;"'!B2:B1000")=$B25) * (INDIRECT("'"&amp;N$1&amp;"'!C2:C1000")=$C25)
        ),
        5,
        FALSE
    )
)</f>
        <v/>
      </c>
      <c r="O25" s="93">
        <f t="array" ref="O25">IF(
    VLOOKUP(
        $A25,
        _xlfn._xlws.FILTER(
            INDIRECT("'"&amp;O$1&amp;"'!A2:E1000"), (INDIRECT("'"&amp;O$1&amp;"'!B2:B1000")=$B25) * (INDIRECT("'"&amp;O$1&amp;"'!C2:C1000")=$C25)
        ),
        5,
        FALSE
    )=0,
    "",
    VLOOKUP(
        $A25,
        _xlfn._xlws.FILTER(
            INDIRECT("'"&amp;O$1&amp;"'!A2:E1000"), (INDIRECT("'"&amp;O$1&amp;"'!B2:B1000")=$B25) * (INDIRECT("'"&amp;O$1&amp;"'!C2:C1000")=$C25)
        ),
        5,
        FALSE
    )
)</f>
        <v/>
      </c>
    </row>
    <row r="26">
      <c r="A26" s="54" t="inlineStr">
        <is>
          <t>Cibax</t>
        </is>
      </c>
      <c r="B26" s="92" t="inlineStr">
        <is>
          <t>Cafezal do Sul</t>
        </is>
      </c>
      <c r="C26" s="95" t="n">
        <v>1</v>
      </c>
      <c r="D26" s="93">
        <f t="array" ref="D26">IF(
    VLOOKUP(
        $A26,
        _xlfn._xlws.FILTER(
            INDIRECT("'"&amp;D$1&amp;"'!A2:E1000"), (INDIRECT("'"&amp;D$1&amp;"'!B2:B1000")=$B26) * (INDIRECT("'"&amp;D$1&amp;"'!C2:C1000")=$C26)
        ),
        5,
        FALSE
    )=0,
    "",
    VLOOKUP(
        $A26,
        _xlfn._xlws.FILTER(
            INDIRECT("'"&amp;D$1&amp;"'!A2:E1000"), (INDIRECT("'"&amp;D$1&amp;"'!B2:B1000")=$B26) * (INDIRECT("'"&amp;D$1&amp;"'!C2:C1000")=$C26)
        ),
        5,
        FALSE
    )
)</f>
        <v/>
      </c>
      <c r="E26" s="93">
        <f t="array" ref="E26">IF(
    VLOOKUP(
        $A26,
        _xlfn._xlws.FILTER(
            INDIRECT("'"&amp;E$1&amp;"'!A2:E1000"), (INDIRECT("'"&amp;E$1&amp;"'!B2:B1000")=$B26) * (INDIRECT("'"&amp;E$1&amp;"'!C2:C1000")=$C26)
        ),
        5,
        FALSE
    )=0,
    "",
    VLOOKUP(
        $A26,
        _xlfn._xlws.FILTER(
            INDIRECT("'"&amp;E$1&amp;"'!A2:E1000"), (INDIRECT("'"&amp;E$1&amp;"'!B2:B1000")=$B26) * (INDIRECT("'"&amp;E$1&amp;"'!C2:C1000")=$C26)
        ),
        5,
        FALSE
    )
)</f>
        <v/>
      </c>
      <c r="F26" s="93">
        <f t="array" ref="F26">IF(
    VLOOKUP(
        $A26,
        _xlfn._xlws.FILTER(
            INDIRECT("'"&amp;F$1&amp;"'!A2:E1000"), (INDIRECT("'"&amp;F$1&amp;"'!B2:B1000")=$B26) * (INDIRECT("'"&amp;F$1&amp;"'!C2:C1000")=$C26)
        ),
        5,
        FALSE
    )=0,
    "",
    VLOOKUP(
        $A26,
        _xlfn._xlws.FILTER(
            INDIRECT("'"&amp;F$1&amp;"'!A2:E1000"), (INDIRECT("'"&amp;F$1&amp;"'!B2:B1000")=$B26) * (INDIRECT("'"&amp;F$1&amp;"'!C2:C1000")=$C26)
        ),
        5,
        FALSE
    )
)</f>
        <v/>
      </c>
      <c r="G26" s="93">
        <f t="array" ref="G26">IF(
    VLOOKUP(
        $A26,
        _xlfn._xlws.FILTER(
            INDIRECT("'"&amp;G$1&amp;"'!A2:E1000"), (INDIRECT("'"&amp;G$1&amp;"'!B2:B1000")=$B26) * (INDIRECT("'"&amp;G$1&amp;"'!C2:C1000")=$C26)
        ),
        5,
        FALSE
    )=0,
    "",
    VLOOKUP(
        $A26,
        _xlfn._xlws.FILTER(
            INDIRECT("'"&amp;G$1&amp;"'!A2:E1000"), (INDIRECT("'"&amp;G$1&amp;"'!B2:B1000")=$B26) * (INDIRECT("'"&amp;G$1&amp;"'!C2:C1000")=$C26)
        ),
        5,
        FALSE
    )
)</f>
        <v/>
      </c>
      <c r="H26" s="93">
        <f t="array" ref="H26">IF(
    VLOOKUP(
        $A26,
        _xlfn._xlws.FILTER(
            INDIRECT("'"&amp;H$1&amp;"'!A2:E1000"), (INDIRECT("'"&amp;H$1&amp;"'!B2:B1000")=$B26) * (INDIRECT("'"&amp;H$1&amp;"'!C2:C1000")=$C26)
        ),
        5,
        FALSE
    )=0,
    "",
    VLOOKUP(
        $A26,
        _xlfn._xlws.FILTER(
            INDIRECT("'"&amp;H$1&amp;"'!A2:E1000"), (INDIRECT("'"&amp;H$1&amp;"'!B2:B1000")=$B26) * (INDIRECT("'"&amp;H$1&amp;"'!C2:C1000")=$C26)
        ),
        5,
        FALSE
    )
)</f>
        <v/>
      </c>
      <c r="I26" s="93">
        <f t="array" ref="I26">IF(
    VLOOKUP(
        $A26,
        _xlfn._xlws.FILTER(
            INDIRECT("'"&amp;I$1&amp;"'!A2:E1000"), (INDIRECT("'"&amp;I$1&amp;"'!B2:B1000")=$B26) * (INDIRECT("'"&amp;I$1&amp;"'!C2:C1000")=$C26)
        ),
        5,
        FALSE
    )=0,
    "",
    VLOOKUP(
        $A26,
        _xlfn._xlws.FILTER(
            INDIRECT("'"&amp;I$1&amp;"'!A2:E1000"), (INDIRECT("'"&amp;I$1&amp;"'!B2:B1000")=$B26) * (INDIRECT("'"&amp;I$1&amp;"'!C2:C1000")=$C26)
        ),
        5,
        FALSE
    )
)</f>
        <v/>
      </c>
      <c r="J26" s="93">
        <f t="array" ref="J26">IF(
    VLOOKUP(
        $A26,
        _xlfn._xlws.FILTER(
            INDIRECT("'"&amp;J$1&amp;"'!A2:E1000"), (INDIRECT("'"&amp;J$1&amp;"'!B2:B1000")=$B26) * (INDIRECT("'"&amp;J$1&amp;"'!C2:C1000")=$C26)
        ),
        5,
        FALSE
    )=0,
    "",
    VLOOKUP(
        $A26,
        _xlfn._xlws.FILTER(
            INDIRECT("'"&amp;J$1&amp;"'!A2:E1000"), (INDIRECT("'"&amp;J$1&amp;"'!B2:B1000")=$B26) * (INDIRECT("'"&amp;J$1&amp;"'!C2:C1000")=$C26)
        ),
        5,
        FALSE
    )
)</f>
        <v/>
      </c>
      <c r="K26" s="93">
        <f t="array" ref="K26">IF(
    VLOOKUP(
        $A26,
        _xlfn._xlws.FILTER(
            INDIRECT("'"&amp;K$1&amp;"'!A2:E1000"), (INDIRECT("'"&amp;K$1&amp;"'!B2:B1000")=$B26) * (INDIRECT("'"&amp;K$1&amp;"'!C2:C1000")=$C26)
        ),
        5,
        FALSE
    )=0,
    "",
    VLOOKUP(
        $A26,
        _xlfn._xlws.FILTER(
            INDIRECT("'"&amp;K$1&amp;"'!A2:E1000"), (INDIRECT("'"&amp;K$1&amp;"'!B2:B1000")=$B26) * (INDIRECT("'"&amp;K$1&amp;"'!C2:C1000")=$C26)
        ),
        5,
        FALSE
    )
)</f>
        <v/>
      </c>
      <c r="L26" s="93">
        <f t="array" ref="L26">IF(
    VLOOKUP(
        $A26,
        _xlfn._xlws.FILTER(
            INDIRECT("'"&amp;L$1&amp;"'!A2:E1000"), (INDIRECT("'"&amp;L$1&amp;"'!B2:B1000")=$B26) * (INDIRECT("'"&amp;L$1&amp;"'!C2:C1000")=$C26)
        ),
        5,
        FALSE
    )=0,
    "",
    VLOOKUP(
        $A26,
        _xlfn._xlws.FILTER(
            INDIRECT("'"&amp;L$1&amp;"'!A2:E1000"), (INDIRECT("'"&amp;L$1&amp;"'!B2:B1000")=$B26) * (INDIRECT("'"&amp;L$1&amp;"'!C2:C1000")=$C26)
        ),
        5,
        FALSE
    )
)</f>
        <v/>
      </c>
      <c r="M26" s="93">
        <f t="array" ref="M26">IF(
    VLOOKUP(
        $A26,
        _xlfn._xlws.FILTER(
            INDIRECT("'"&amp;M$1&amp;"'!A2:E1000"), (INDIRECT("'"&amp;M$1&amp;"'!B2:B1000")=$B26) * (INDIRECT("'"&amp;M$1&amp;"'!C2:C1000")=$C26)
        ),
        5,
        FALSE
    )=0,
    "",
    VLOOKUP(
        $A26,
        _xlfn._xlws.FILTER(
            INDIRECT("'"&amp;M$1&amp;"'!A2:E1000"), (INDIRECT("'"&amp;M$1&amp;"'!B2:B1000")=$B26) * (INDIRECT("'"&amp;M$1&amp;"'!C2:C1000")=$C26)
        ),
        5,
        FALSE
    )
)</f>
        <v/>
      </c>
      <c r="N26" s="93">
        <f t="array" ref="N26">IF(
    VLOOKUP(
        $A26,
        _xlfn._xlws.FILTER(
            INDIRECT("'"&amp;N$1&amp;"'!A2:E1000"), (INDIRECT("'"&amp;N$1&amp;"'!B2:B1000")=$B26) * (INDIRECT("'"&amp;N$1&amp;"'!C2:C1000")=$C26)
        ),
        5,
        FALSE
    )=0,
    "",
    VLOOKUP(
        $A26,
        _xlfn._xlws.FILTER(
            INDIRECT("'"&amp;N$1&amp;"'!A2:E1000"), (INDIRECT("'"&amp;N$1&amp;"'!B2:B1000")=$B26) * (INDIRECT("'"&amp;N$1&amp;"'!C2:C1000")=$C26)
        ),
        5,
        FALSE
    )
)</f>
        <v/>
      </c>
      <c r="O26" s="93">
        <f t="array" ref="O26">IF(
    VLOOKUP(
        $A26,
        _xlfn._xlws.FILTER(
            INDIRECT("'"&amp;O$1&amp;"'!A2:E1000"), (INDIRECT("'"&amp;O$1&amp;"'!B2:B1000")=$B26) * (INDIRECT("'"&amp;O$1&amp;"'!C2:C1000")=$C26)
        ),
        5,
        FALSE
    )=0,
    "",
    VLOOKUP(
        $A26,
        _xlfn._xlws.FILTER(
            INDIRECT("'"&amp;O$1&amp;"'!A2:E1000"), (INDIRECT("'"&amp;O$1&amp;"'!B2:B1000")=$B26) * (INDIRECT("'"&amp;O$1&amp;"'!C2:C1000")=$C26)
        ),
        5,
        FALSE
    )
)</f>
        <v/>
      </c>
    </row>
    <row r="27">
      <c r="A27" s="54" t="inlineStr">
        <is>
          <t>Cibax</t>
        </is>
      </c>
      <c r="B27" s="92" t="inlineStr">
        <is>
          <t>Cruzeiro do Oeste</t>
        </is>
      </c>
      <c r="C27" s="95" t="n">
        <v>1</v>
      </c>
      <c r="D27" s="93">
        <f t="array" ref="D27">IF(
    VLOOKUP(
        $A27,
        _xlfn._xlws.FILTER(
            INDIRECT("'"&amp;D$1&amp;"'!A2:E1000"), (INDIRECT("'"&amp;D$1&amp;"'!B2:B1000")=$B27) * (INDIRECT("'"&amp;D$1&amp;"'!C2:C1000")=$C27)
        ),
        5,
        FALSE
    )=0,
    "",
    VLOOKUP(
        $A27,
        _xlfn._xlws.FILTER(
            INDIRECT("'"&amp;D$1&amp;"'!A2:E1000"), (INDIRECT("'"&amp;D$1&amp;"'!B2:B1000")=$B27) * (INDIRECT("'"&amp;D$1&amp;"'!C2:C1000")=$C27)
        ),
        5,
        FALSE
    )
)</f>
        <v/>
      </c>
      <c r="E27" s="93">
        <f t="array" ref="E27">IF(
    VLOOKUP(
        $A27,
        _xlfn._xlws.FILTER(
            INDIRECT("'"&amp;E$1&amp;"'!A2:E1000"), (INDIRECT("'"&amp;E$1&amp;"'!B2:B1000")=$B27) * (INDIRECT("'"&amp;E$1&amp;"'!C2:C1000")=$C27)
        ),
        5,
        FALSE
    )=0,
    "",
    VLOOKUP(
        $A27,
        _xlfn._xlws.FILTER(
            INDIRECT("'"&amp;E$1&amp;"'!A2:E1000"), (INDIRECT("'"&amp;E$1&amp;"'!B2:B1000")=$B27) * (INDIRECT("'"&amp;E$1&amp;"'!C2:C1000")=$C27)
        ),
        5,
        FALSE
    )
)</f>
        <v/>
      </c>
      <c r="F27" s="93">
        <f t="array" ref="F27">IF(
    VLOOKUP(
        $A27,
        _xlfn._xlws.FILTER(
            INDIRECT("'"&amp;F$1&amp;"'!A2:E1000"), (INDIRECT("'"&amp;F$1&amp;"'!B2:B1000")=$B27) * (INDIRECT("'"&amp;F$1&amp;"'!C2:C1000")=$C27)
        ),
        5,
        FALSE
    )=0,
    "",
    VLOOKUP(
        $A27,
        _xlfn._xlws.FILTER(
            INDIRECT("'"&amp;F$1&amp;"'!A2:E1000"), (INDIRECT("'"&amp;F$1&amp;"'!B2:B1000")=$B27) * (INDIRECT("'"&amp;F$1&amp;"'!C2:C1000")=$C27)
        ),
        5,
        FALSE
    )
)</f>
        <v/>
      </c>
      <c r="G27" s="93">
        <f t="array" ref="G27">IF(
    VLOOKUP(
        $A27,
        _xlfn._xlws.FILTER(
            INDIRECT("'"&amp;G$1&amp;"'!A2:E1000"), (INDIRECT("'"&amp;G$1&amp;"'!B2:B1000")=$B27) * (INDIRECT("'"&amp;G$1&amp;"'!C2:C1000")=$C27)
        ),
        5,
        FALSE
    )=0,
    "",
    VLOOKUP(
        $A27,
        _xlfn._xlws.FILTER(
            INDIRECT("'"&amp;G$1&amp;"'!A2:E1000"), (INDIRECT("'"&amp;G$1&amp;"'!B2:B1000")=$B27) * (INDIRECT("'"&amp;G$1&amp;"'!C2:C1000")=$C27)
        ),
        5,
        FALSE
    )
)</f>
        <v/>
      </c>
      <c r="H27" s="93">
        <f t="array" ref="H27">IF(
    VLOOKUP(
        $A27,
        _xlfn._xlws.FILTER(
            INDIRECT("'"&amp;H$1&amp;"'!A2:E1000"), (INDIRECT("'"&amp;H$1&amp;"'!B2:B1000")=$B27) * (INDIRECT("'"&amp;H$1&amp;"'!C2:C1000")=$C27)
        ),
        5,
        FALSE
    )=0,
    "",
    VLOOKUP(
        $A27,
        _xlfn._xlws.FILTER(
            INDIRECT("'"&amp;H$1&amp;"'!A2:E1000"), (INDIRECT("'"&amp;H$1&amp;"'!B2:B1000")=$B27) * (INDIRECT("'"&amp;H$1&amp;"'!C2:C1000")=$C27)
        ),
        5,
        FALSE
    )
)</f>
        <v/>
      </c>
      <c r="I27" s="93">
        <f t="array" ref="I27">IF(
    VLOOKUP(
        $A27,
        _xlfn._xlws.FILTER(
            INDIRECT("'"&amp;I$1&amp;"'!A2:E1000"), (INDIRECT("'"&amp;I$1&amp;"'!B2:B1000")=$B27) * (INDIRECT("'"&amp;I$1&amp;"'!C2:C1000")=$C27)
        ),
        5,
        FALSE
    )=0,
    "",
    VLOOKUP(
        $A27,
        _xlfn._xlws.FILTER(
            INDIRECT("'"&amp;I$1&amp;"'!A2:E1000"), (INDIRECT("'"&amp;I$1&amp;"'!B2:B1000")=$B27) * (INDIRECT("'"&amp;I$1&amp;"'!C2:C1000")=$C27)
        ),
        5,
        FALSE
    )
)</f>
        <v/>
      </c>
      <c r="J27" s="93">
        <f t="array" ref="J27">IF(
    VLOOKUP(
        $A27,
        _xlfn._xlws.FILTER(
            INDIRECT("'"&amp;J$1&amp;"'!A2:E1000"), (INDIRECT("'"&amp;J$1&amp;"'!B2:B1000")=$B27) * (INDIRECT("'"&amp;J$1&amp;"'!C2:C1000")=$C27)
        ),
        5,
        FALSE
    )=0,
    "",
    VLOOKUP(
        $A27,
        _xlfn._xlws.FILTER(
            INDIRECT("'"&amp;J$1&amp;"'!A2:E1000"), (INDIRECT("'"&amp;J$1&amp;"'!B2:B1000")=$B27) * (INDIRECT("'"&amp;J$1&amp;"'!C2:C1000")=$C27)
        ),
        5,
        FALSE
    )
)</f>
        <v/>
      </c>
      <c r="K27" s="93">
        <f t="array" ref="K27">IF(
    VLOOKUP(
        $A27,
        _xlfn._xlws.FILTER(
            INDIRECT("'"&amp;K$1&amp;"'!A2:E1000"), (INDIRECT("'"&amp;K$1&amp;"'!B2:B1000")=$B27) * (INDIRECT("'"&amp;K$1&amp;"'!C2:C1000")=$C27)
        ),
        5,
        FALSE
    )=0,
    "",
    VLOOKUP(
        $A27,
        _xlfn._xlws.FILTER(
            INDIRECT("'"&amp;K$1&amp;"'!A2:E1000"), (INDIRECT("'"&amp;K$1&amp;"'!B2:B1000")=$B27) * (INDIRECT("'"&amp;K$1&amp;"'!C2:C1000")=$C27)
        ),
        5,
        FALSE
    )
)</f>
        <v/>
      </c>
      <c r="L27" s="93">
        <f t="array" ref="L27">IF(
    VLOOKUP(
        $A27,
        _xlfn._xlws.FILTER(
            INDIRECT("'"&amp;L$1&amp;"'!A2:E1000"), (INDIRECT("'"&amp;L$1&amp;"'!B2:B1000")=$B27) * (INDIRECT("'"&amp;L$1&amp;"'!C2:C1000")=$C27)
        ),
        5,
        FALSE
    )=0,
    "",
    VLOOKUP(
        $A27,
        _xlfn._xlws.FILTER(
            INDIRECT("'"&amp;L$1&amp;"'!A2:E1000"), (INDIRECT("'"&amp;L$1&amp;"'!B2:B1000")=$B27) * (INDIRECT("'"&amp;L$1&amp;"'!C2:C1000")=$C27)
        ),
        5,
        FALSE
    )
)</f>
        <v/>
      </c>
      <c r="M27" s="93">
        <f t="array" ref="M27">IF(
    VLOOKUP(
        $A27,
        _xlfn._xlws.FILTER(
            INDIRECT("'"&amp;M$1&amp;"'!A2:E1000"), (INDIRECT("'"&amp;M$1&amp;"'!B2:B1000")=$B27) * (INDIRECT("'"&amp;M$1&amp;"'!C2:C1000")=$C27)
        ),
        5,
        FALSE
    )=0,
    "",
    VLOOKUP(
        $A27,
        _xlfn._xlws.FILTER(
            INDIRECT("'"&amp;M$1&amp;"'!A2:E1000"), (INDIRECT("'"&amp;M$1&amp;"'!B2:B1000")=$B27) * (INDIRECT("'"&amp;M$1&amp;"'!C2:C1000")=$C27)
        ),
        5,
        FALSE
    )
)</f>
        <v/>
      </c>
      <c r="N27" s="93">
        <f t="array" ref="N27">IF(
    VLOOKUP(
        $A27,
        _xlfn._xlws.FILTER(
            INDIRECT("'"&amp;N$1&amp;"'!A2:E1000"), (INDIRECT("'"&amp;N$1&amp;"'!B2:B1000")=$B27) * (INDIRECT("'"&amp;N$1&amp;"'!C2:C1000")=$C27)
        ),
        5,
        FALSE
    )=0,
    "",
    VLOOKUP(
        $A27,
        _xlfn._xlws.FILTER(
            INDIRECT("'"&amp;N$1&amp;"'!A2:E1000"), (INDIRECT("'"&amp;N$1&amp;"'!B2:B1000")=$B27) * (INDIRECT("'"&amp;N$1&amp;"'!C2:C1000")=$C27)
        ),
        5,
        FALSE
    )
)</f>
        <v/>
      </c>
      <c r="O27" s="93">
        <f t="array" ref="O27">IF(
    VLOOKUP(
        $A27,
        _xlfn._xlws.FILTER(
            INDIRECT("'"&amp;O$1&amp;"'!A2:E1000"), (INDIRECT("'"&amp;O$1&amp;"'!B2:B1000")=$B27) * (INDIRECT("'"&amp;O$1&amp;"'!C2:C1000")=$C27)
        ),
        5,
        FALSE
    )=0,
    "",
    VLOOKUP(
        $A27,
        _xlfn._xlws.FILTER(
            INDIRECT("'"&amp;O$1&amp;"'!A2:E1000"), (INDIRECT("'"&amp;O$1&amp;"'!B2:B1000")=$B27) * (INDIRECT("'"&amp;O$1&amp;"'!C2:C1000")=$C27)
        ),
        5,
        FALSE
    )
)</f>
        <v/>
      </c>
    </row>
    <row r="28">
      <c r="A28" s="54" t="inlineStr">
        <is>
          <t>Cibax</t>
        </is>
      </c>
      <c r="B28" s="92" t="inlineStr">
        <is>
          <t>Iporã</t>
        </is>
      </c>
      <c r="C28" s="95" t="n">
        <v>1</v>
      </c>
      <c r="D28" s="93">
        <f t="array" ref="D28">IF(
    VLOOKUP(
        $A28,
        _xlfn._xlws.FILTER(
            INDIRECT("'"&amp;D$1&amp;"'!A2:E1000"), (INDIRECT("'"&amp;D$1&amp;"'!B2:B1000")=$B28) * (INDIRECT("'"&amp;D$1&amp;"'!C2:C1000")=$C28)
        ),
        5,
        FALSE
    )=0,
    "",
    VLOOKUP(
        $A28,
        _xlfn._xlws.FILTER(
            INDIRECT("'"&amp;D$1&amp;"'!A2:E1000"), (INDIRECT("'"&amp;D$1&amp;"'!B2:B1000")=$B28) * (INDIRECT("'"&amp;D$1&amp;"'!C2:C1000")=$C28)
        ),
        5,
        FALSE
    )
)</f>
        <v/>
      </c>
      <c r="E28" s="93">
        <f t="array" ref="E28">IF(
    VLOOKUP(
        $A28,
        _xlfn._xlws.FILTER(
            INDIRECT("'"&amp;E$1&amp;"'!A2:E1000"), (INDIRECT("'"&amp;E$1&amp;"'!B2:B1000")=$B28) * (INDIRECT("'"&amp;E$1&amp;"'!C2:C1000")=$C28)
        ),
        5,
        FALSE
    )=0,
    "",
    VLOOKUP(
        $A28,
        _xlfn._xlws.FILTER(
            INDIRECT("'"&amp;E$1&amp;"'!A2:E1000"), (INDIRECT("'"&amp;E$1&amp;"'!B2:B1000")=$B28) * (INDIRECT("'"&amp;E$1&amp;"'!C2:C1000")=$C28)
        ),
        5,
        FALSE
    )
)</f>
        <v/>
      </c>
      <c r="F28" s="93">
        <f t="array" ref="F28">IF(
    VLOOKUP(
        $A28,
        _xlfn._xlws.FILTER(
            INDIRECT("'"&amp;F$1&amp;"'!A2:E1000"), (INDIRECT("'"&amp;F$1&amp;"'!B2:B1000")=$B28) * (INDIRECT("'"&amp;F$1&amp;"'!C2:C1000")=$C28)
        ),
        5,
        FALSE
    )=0,
    "",
    VLOOKUP(
        $A28,
        _xlfn._xlws.FILTER(
            INDIRECT("'"&amp;F$1&amp;"'!A2:E1000"), (INDIRECT("'"&amp;F$1&amp;"'!B2:B1000")=$B28) * (INDIRECT("'"&amp;F$1&amp;"'!C2:C1000")=$C28)
        ),
        5,
        FALSE
    )
)</f>
        <v/>
      </c>
      <c r="G28" s="93">
        <f t="array" ref="G28">IF(
    VLOOKUP(
        $A28,
        _xlfn._xlws.FILTER(
            INDIRECT("'"&amp;G$1&amp;"'!A2:E1000"), (INDIRECT("'"&amp;G$1&amp;"'!B2:B1000")=$B28) * (INDIRECT("'"&amp;G$1&amp;"'!C2:C1000")=$C28)
        ),
        5,
        FALSE
    )=0,
    "",
    VLOOKUP(
        $A28,
        _xlfn._xlws.FILTER(
            INDIRECT("'"&amp;G$1&amp;"'!A2:E1000"), (INDIRECT("'"&amp;G$1&amp;"'!B2:B1000")=$B28) * (INDIRECT("'"&amp;G$1&amp;"'!C2:C1000")=$C28)
        ),
        5,
        FALSE
    )
)</f>
        <v/>
      </c>
      <c r="H28" s="93">
        <f t="array" ref="H28">IF(
    VLOOKUP(
        $A28,
        _xlfn._xlws.FILTER(
            INDIRECT("'"&amp;H$1&amp;"'!A2:E1000"), (INDIRECT("'"&amp;H$1&amp;"'!B2:B1000")=$B28) * (INDIRECT("'"&amp;H$1&amp;"'!C2:C1000")=$C28)
        ),
        5,
        FALSE
    )=0,
    "",
    VLOOKUP(
        $A28,
        _xlfn._xlws.FILTER(
            INDIRECT("'"&amp;H$1&amp;"'!A2:E1000"), (INDIRECT("'"&amp;H$1&amp;"'!B2:B1000")=$B28) * (INDIRECT("'"&amp;H$1&amp;"'!C2:C1000")=$C28)
        ),
        5,
        FALSE
    )
)</f>
        <v/>
      </c>
      <c r="I28" s="93">
        <f t="array" ref="I28">IF(
    VLOOKUP(
        $A28,
        _xlfn._xlws.FILTER(
            INDIRECT("'"&amp;I$1&amp;"'!A2:E1000"), (INDIRECT("'"&amp;I$1&amp;"'!B2:B1000")=$B28) * (INDIRECT("'"&amp;I$1&amp;"'!C2:C1000")=$C28)
        ),
        5,
        FALSE
    )=0,
    "",
    VLOOKUP(
        $A28,
        _xlfn._xlws.FILTER(
            INDIRECT("'"&amp;I$1&amp;"'!A2:E1000"), (INDIRECT("'"&amp;I$1&amp;"'!B2:B1000")=$B28) * (INDIRECT("'"&amp;I$1&amp;"'!C2:C1000")=$C28)
        ),
        5,
        FALSE
    )
)</f>
        <v/>
      </c>
      <c r="J28" s="93">
        <f t="array" ref="J28">IF(
    VLOOKUP(
        $A28,
        _xlfn._xlws.FILTER(
            INDIRECT("'"&amp;J$1&amp;"'!A2:E1000"), (INDIRECT("'"&amp;J$1&amp;"'!B2:B1000")=$B28) * (INDIRECT("'"&amp;J$1&amp;"'!C2:C1000")=$C28)
        ),
        5,
        FALSE
    )=0,
    "",
    VLOOKUP(
        $A28,
        _xlfn._xlws.FILTER(
            INDIRECT("'"&amp;J$1&amp;"'!A2:E1000"), (INDIRECT("'"&amp;J$1&amp;"'!B2:B1000")=$B28) * (INDIRECT("'"&amp;J$1&amp;"'!C2:C1000")=$C28)
        ),
        5,
        FALSE
    )
)</f>
        <v/>
      </c>
      <c r="K28" s="93">
        <f t="array" ref="K28">IF(
    VLOOKUP(
        $A28,
        _xlfn._xlws.FILTER(
            INDIRECT("'"&amp;K$1&amp;"'!A2:E1000"), (INDIRECT("'"&amp;K$1&amp;"'!B2:B1000")=$B28) * (INDIRECT("'"&amp;K$1&amp;"'!C2:C1000")=$C28)
        ),
        5,
        FALSE
    )=0,
    "",
    VLOOKUP(
        $A28,
        _xlfn._xlws.FILTER(
            INDIRECT("'"&amp;K$1&amp;"'!A2:E1000"), (INDIRECT("'"&amp;K$1&amp;"'!B2:B1000")=$B28) * (INDIRECT("'"&amp;K$1&amp;"'!C2:C1000")=$C28)
        ),
        5,
        FALSE
    )
)</f>
        <v/>
      </c>
      <c r="L28" s="93">
        <f t="array" ref="L28">IF(
    VLOOKUP(
        $A28,
        _xlfn._xlws.FILTER(
            INDIRECT("'"&amp;L$1&amp;"'!A2:E1000"), (INDIRECT("'"&amp;L$1&amp;"'!B2:B1000")=$B28) * (INDIRECT("'"&amp;L$1&amp;"'!C2:C1000")=$C28)
        ),
        5,
        FALSE
    )=0,
    "",
    VLOOKUP(
        $A28,
        _xlfn._xlws.FILTER(
            INDIRECT("'"&amp;L$1&amp;"'!A2:E1000"), (INDIRECT("'"&amp;L$1&amp;"'!B2:B1000")=$B28) * (INDIRECT("'"&amp;L$1&amp;"'!C2:C1000")=$C28)
        ),
        5,
        FALSE
    )
)</f>
        <v/>
      </c>
      <c r="M28" s="93">
        <f t="array" ref="M28">IF(
    VLOOKUP(
        $A28,
        _xlfn._xlws.FILTER(
            INDIRECT("'"&amp;M$1&amp;"'!A2:E1000"), (INDIRECT("'"&amp;M$1&amp;"'!B2:B1000")=$B28) * (INDIRECT("'"&amp;M$1&amp;"'!C2:C1000")=$C28)
        ),
        5,
        FALSE
    )=0,
    "",
    VLOOKUP(
        $A28,
        _xlfn._xlws.FILTER(
            INDIRECT("'"&amp;M$1&amp;"'!A2:E1000"), (INDIRECT("'"&amp;M$1&amp;"'!B2:B1000")=$B28) * (INDIRECT("'"&amp;M$1&amp;"'!C2:C1000")=$C28)
        ),
        5,
        FALSE
    )
)</f>
        <v/>
      </c>
      <c r="N28" s="93">
        <f t="array" ref="N28">IF(
    VLOOKUP(
        $A28,
        _xlfn._xlws.FILTER(
            INDIRECT("'"&amp;N$1&amp;"'!A2:E1000"), (INDIRECT("'"&amp;N$1&amp;"'!B2:B1000")=$B28) * (INDIRECT("'"&amp;N$1&amp;"'!C2:C1000")=$C28)
        ),
        5,
        FALSE
    )=0,
    "",
    VLOOKUP(
        $A28,
        _xlfn._xlws.FILTER(
            INDIRECT("'"&amp;N$1&amp;"'!A2:E1000"), (INDIRECT("'"&amp;N$1&amp;"'!B2:B1000")=$B28) * (INDIRECT("'"&amp;N$1&amp;"'!C2:C1000")=$C28)
        ),
        5,
        FALSE
    )
)</f>
        <v/>
      </c>
      <c r="O28" s="93">
        <f t="array" ref="O28">IF(
    VLOOKUP(
        $A28,
        _xlfn._xlws.FILTER(
            INDIRECT("'"&amp;O$1&amp;"'!A2:E1000"), (INDIRECT("'"&amp;O$1&amp;"'!B2:B1000")=$B28) * (INDIRECT("'"&amp;O$1&amp;"'!C2:C1000")=$C28)
        ),
        5,
        FALSE
    )=0,
    "",
    VLOOKUP(
        $A28,
        _xlfn._xlws.FILTER(
            INDIRECT("'"&amp;O$1&amp;"'!A2:E1000"), (INDIRECT("'"&amp;O$1&amp;"'!B2:B1000")=$B28) * (INDIRECT("'"&amp;O$1&amp;"'!C2:C1000")=$C28)
        ),
        5,
        FALSE
    )
)</f>
        <v/>
      </c>
    </row>
    <row r="29">
      <c r="A29" s="54" t="inlineStr">
        <is>
          <t>Cibax</t>
        </is>
      </c>
      <c r="B29" s="96" t="inlineStr">
        <is>
          <t>Ivaté</t>
        </is>
      </c>
      <c r="C29" s="95" t="n">
        <v>1</v>
      </c>
      <c r="D29" s="93">
        <f t="array" ref="D29">IF(
    VLOOKUP(
        $A29,
        _xlfn._xlws.FILTER(
            INDIRECT("'"&amp;D$1&amp;"'!A2:E1000"), (INDIRECT("'"&amp;D$1&amp;"'!B2:B1000")=$B29) * (INDIRECT("'"&amp;D$1&amp;"'!C2:C1000")=$C29)
        ),
        5,
        FALSE
    )=0,
    "",
    VLOOKUP(
        $A29,
        _xlfn._xlws.FILTER(
            INDIRECT("'"&amp;D$1&amp;"'!A2:E1000"), (INDIRECT("'"&amp;D$1&amp;"'!B2:B1000")=$B29) * (INDIRECT("'"&amp;D$1&amp;"'!C2:C1000")=$C29)
        ),
        5,
        FALSE
    )
)</f>
        <v/>
      </c>
      <c r="E29" s="93">
        <f t="array" ref="E29">IF(
    VLOOKUP(
        $A29,
        _xlfn._xlws.FILTER(
            INDIRECT("'"&amp;E$1&amp;"'!A2:E1000"), (INDIRECT("'"&amp;E$1&amp;"'!B2:B1000")=$B29) * (INDIRECT("'"&amp;E$1&amp;"'!C2:C1000")=$C29)
        ),
        5,
        FALSE
    )=0,
    "",
    VLOOKUP(
        $A29,
        _xlfn._xlws.FILTER(
            INDIRECT("'"&amp;E$1&amp;"'!A2:E1000"), (INDIRECT("'"&amp;E$1&amp;"'!B2:B1000")=$B29) * (INDIRECT("'"&amp;E$1&amp;"'!C2:C1000")=$C29)
        ),
        5,
        FALSE
    )
)</f>
        <v/>
      </c>
      <c r="F29" s="93">
        <f t="array" ref="F29">IF(
    VLOOKUP(
        $A29,
        _xlfn._xlws.FILTER(
            INDIRECT("'"&amp;F$1&amp;"'!A2:E1000"), (INDIRECT("'"&amp;F$1&amp;"'!B2:B1000")=$B29) * (INDIRECT("'"&amp;F$1&amp;"'!C2:C1000")=$C29)
        ),
        5,
        FALSE
    )=0,
    "",
    VLOOKUP(
        $A29,
        _xlfn._xlws.FILTER(
            INDIRECT("'"&amp;F$1&amp;"'!A2:E1000"), (INDIRECT("'"&amp;F$1&amp;"'!B2:B1000")=$B29) * (INDIRECT("'"&amp;F$1&amp;"'!C2:C1000")=$C29)
        ),
        5,
        FALSE
    )
)</f>
        <v/>
      </c>
      <c r="G29" s="93">
        <f t="array" ref="G29">IF(
    VLOOKUP(
        $A29,
        _xlfn._xlws.FILTER(
            INDIRECT("'"&amp;G$1&amp;"'!A2:E1000"), (INDIRECT("'"&amp;G$1&amp;"'!B2:B1000")=$B29) * (INDIRECT("'"&amp;G$1&amp;"'!C2:C1000")=$C29)
        ),
        5,
        FALSE
    )=0,
    "",
    VLOOKUP(
        $A29,
        _xlfn._xlws.FILTER(
            INDIRECT("'"&amp;G$1&amp;"'!A2:E1000"), (INDIRECT("'"&amp;G$1&amp;"'!B2:B1000")=$B29) * (INDIRECT("'"&amp;G$1&amp;"'!C2:C1000")=$C29)
        ),
        5,
        FALSE
    )
)</f>
        <v/>
      </c>
      <c r="H29" s="93">
        <f t="array" ref="H29">IF(
    VLOOKUP(
        $A29,
        _xlfn._xlws.FILTER(
            INDIRECT("'"&amp;H$1&amp;"'!A2:E1000"), (INDIRECT("'"&amp;H$1&amp;"'!B2:B1000")=$B29) * (INDIRECT("'"&amp;H$1&amp;"'!C2:C1000")=$C29)
        ),
        5,
        FALSE
    )=0,
    "",
    VLOOKUP(
        $A29,
        _xlfn._xlws.FILTER(
            INDIRECT("'"&amp;H$1&amp;"'!A2:E1000"), (INDIRECT("'"&amp;H$1&amp;"'!B2:B1000")=$B29) * (INDIRECT("'"&amp;H$1&amp;"'!C2:C1000")=$C29)
        ),
        5,
        FALSE
    )
)</f>
        <v/>
      </c>
      <c r="I29" s="93">
        <f t="array" ref="I29">IF(
    VLOOKUP(
        $A29,
        _xlfn._xlws.FILTER(
            INDIRECT("'"&amp;I$1&amp;"'!A2:E1000"), (INDIRECT("'"&amp;I$1&amp;"'!B2:B1000")=$B29) * (INDIRECT("'"&amp;I$1&amp;"'!C2:C1000")=$C29)
        ),
        5,
        FALSE
    )=0,
    "",
    VLOOKUP(
        $A29,
        _xlfn._xlws.FILTER(
            INDIRECT("'"&amp;I$1&amp;"'!A2:E1000"), (INDIRECT("'"&amp;I$1&amp;"'!B2:B1000")=$B29) * (INDIRECT("'"&amp;I$1&amp;"'!C2:C1000")=$C29)
        ),
        5,
        FALSE
    )
)</f>
        <v/>
      </c>
      <c r="J29" s="93">
        <f t="array" ref="J29">IF(
    VLOOKUP(
        $A29,
        _xlfn._xlws.FILTER(
            INDIRECT("'"&amp;J$1&amp;"'!A2:E1000"), (INDIRECT("'"&amp;J$1&amp;"'!B2:B1000")=$B29) * (INDIRECT("'"&amp;J$1&amp;"'!C2:C1000")=$C29)
        ),
        5,
        FALSE
    )=0,
    "",
    VLOOKUP(
        $A29,
        _xlfn._xlws.FILTER(
            INDIRECT("'"&amp;J$1&amp;"'!A2:E1000"), (INDIRECT("'"&amp;J$1&amp;"'!B2:B1000")=$B29) * (INDIRECT("'"&amp;J$1&amp;"'!C2:C1000")=$C29)
        ),
        5,
        FALSE
    )
)</f>
        <v/>
      </c>
      <c r="K29" s="93">
        <f t="array" ref="K29">IF(
    VLOOKUP(
        $A29,
        _xlfn._xlws.FILTER(
            INDIRECT("'"&amp;K$1&amp;"'!A2:E1000"), (INDIRECT("'"&amp;K$1&amp;"'!B2:B1000")=$B29) * (INDIRECT("'"&amp;K$1&amp;"'!C2:C1000")=$C29)
        ),
        5,
        FALSE
    )=0,
    "",
    VLOOKUP(
        $A29,
        _xlfn._xlws.FILTER(
            INDIRECT("'"&amp;K$1&amp;"'!A2:E1000"), (INDIRECT("'"&amp;K$1&amp;"'!B2:B1000")=$B29) * (INDIRECT("'"&amp;K$1&amp;"'!C2:C1000")=$C29)
        ),
        5,
        FALSE
    )
)</f>
        <v/>
      </c>
      <c r="L29" s="93">
        <f t="array" ref="L29">IF(
    VLOOKUP(
        $A29,
        _xlfn._xlws.FILTER(
            INDIRECT("'"&amp;L$1&amp;"'!A2:E1000"), (INDIRECT("'"&amp;L$1&amp;"'!B2:B1000")=$B29) * (INDIRECT("'"&amp;L$1&amp;"'!C2:C1000")=$C29)
        ),
        5,
        FALSE
    )=0,
    "",
    VLOOKUP(
        $A29,
        _xlfn._xlws.FILTER(
            INDIRECT("'"&amp;L$1&amp;"'!A2:E1000"), (INDIRECT("'"&amp;L$1&amp;"'!B2:B1000")=$B29) * (INDIRECT("'"&amp;L$1&amp;"'!C2:C1000")=$C29)
        ),
        5,
        FALSE
    )
)</f>
        <v/>
      </c>
      <c r="M29" s="93">
        <f t="array" ref="M29">IF(
    VLOOKUP(
        $A29,
        _xlfn._xlws.FILTER(
            INDIRECT("'"&amp;M$1&amp;"'!A2:E1000"), (INDIRECT("'"&amp;M$1&amp;"'!B2:B1000")=$B29) * (INDIRECT("'"&amp;M$1&amp;"'!C2:C1000")=$C29)
        ),
        5,
        FALSE
    )=0,
    "",
    VLOOKUP(
        $A29,
        _xlfn._xlws.FILTER(
            INDIRECT("'"&amp;M$1&amp;"'!A2:E1000"), (INDIRECT("'"&amp;M$1&amp;"'!B2:B1000")=$B29) * (INDIRECT("'"&amp;M$1&amp;"'!C2:C1000")=$C29)
        ),
        5,
        FALSE
    )
)</f>
        <v/>
      </c>
      <c r="N29" s="93">
        <f t="array" ref="N29">IF(
    VLOOKUP(
        $A29,
        _xlfn._xlws.FILTER(
            INDIRECT("'"&amp;N$1&amp;"'!A2:E1000"), (INDIRECT("'"&amp;N$1&amp;"'!B2:B1000")=$B29) * (INDIRECT("'"&amp;N$1&amp;"'!C2:C1000")=$C29)
        ),
        5,
        FALSE
    )=0,
    "",
    VLOOKUP(
        $A29,
        _xlfn._xlws.FILTER(
            INDIRECT("'"&amp;N$1&amp;"'!A2:E1000"), (INDIRECT("'"&amp;N$1&amp;"'!B2:B1000")=$B29) * (INDIRECT("'"&amp;N$1&amp;"'!C2:C1000")=$C29)
        ),
        5,
        FALSE
    )
)</f>
        <v/>
      </c>
      <c r="O29" s="93">
        <f t="array" ref="O29">IF(
    VLOOKUP(
        $A29,
        _xlfn._xlws.FILTER(
            INDIRECT("'"&amp;O$1&amp;"'!A2:E1000"), (INDIRECT("'"&amp;O$1&amp;"'!B2:B1000")=$B29) * (INDIRECT("'"&amp;O$1&amp;"'!C2:C1000")=$C29)
        ),
        5,
        FALSE
    )=0,
    "",
    VLOOKUP(
        $A29,
        _xlfn._xlws.FILTER(
            INDIRECT("'"&amp;O$1&amp;"'!A2:E1000"), (INDIRECT("'"&amp;O$1&amp;"'!B2:B1000")=$B29) * (INDIRECT("'"&amp;O$1&amp;"'!C2:C1000")=$C29)
        ),
        5,
        FALSE
    )
)</f>
        <v/>
      </c>
    </row>
    <row r="30">
      <c r="A30" s="54" t="inlineStr">
        <is>
          <t>Cibax</t>
        </is>
      </c>
      <c r="B30" s="92" t="inlineStr">
        <is>
          <t>Mariluz</t>
        </is>
      </c>
      <c r="C30" s="95" t="n">
        <v>1</v>
      </c>
      <c r="D30" s="93">
        <f t="array" ref="D30">IF(
    VLOOKUP(
        $A30,
        _xlfn._xlws.FILTER(
            INDIRECT("'"&amp;D$1&amp;"'!A2:E1000"), (INDIRECT("'"&amp;D$1&amp;"'!B2:B1000")=$B30) * (INDIRECT("'"&amp;D$1&amp;"'!C2:C1000")=$C30)
        ),
        5,
        FALSE
    )=0,
    "",
    VLOOKUP(
        $A30,
        _xlfn._xlws.FILTER(
            INDIRECT("'"&amp;D$1&amp;"'!A2:E1000"), (INDIRECT("'"&amp;D$1&amp;"'!B2:B1000")=$B30) * (INDIRECT("'"&amp;D$1&amp;"'!C2:C1000")=$C30)
        ),
        5,
        FALSE
    )
)</f>
        <v/>
      </c>
      <c r="E30" s="93">
        <f t="array" ref="E30">IF(
    VLOOKUP(
        $A30,
        _xlfn._xlws.FILTER(
            INDIRECT("'"&amp;E$1&amp;"'!A2:E1000"), (INDIRECT("'"&amp;E$1&amp;"'!B2:B1000")=$B30) * (INDIRECT("'"&amp;E$1&amp;"'!C2:C1000")=$C30)
        ),
        5,
        FALSE
    )=0,
    "",
    VLOOKUP(
        $A30,
        _xlfn._xlws.FILTER(
            INDIRECT("'"&amp;E$1&amp;"'!A2:E1000"), (INDIRECT("'"&amp;E$1&amp;"'!B2:B1000")=$B30) * (INDIRECT("'"&amp;E$1&amp;"'!C2:C1000")=$C30)
        ),
        5,
        FALSE
    )
)</f>
        <v/>
      </c>
      <c r="F30" s="93">
        <f t="array" ref="F30">IF(
    VLOOKUP(
        $A30,
        _xlfn._xlws.FILTER(
            INDIRECT("'"&amp;F$1&amp;"'!A2:E1000"), (INDIRECT("'"&amp;F$1&amp;"'!B2:B1000")=$B30) * (INDIRECT("'"&amp;F$1&amp;"'!C2:C1000")=$C30)
        ),
        5,
        FALSE
    )=0,
    "",
    VLOOKUP(
        $A30,
        _xlfn._xlws.FILTER(
            INDIRECT("'"&amp;F$1&amp;"'!A2:E1000"), (INDIRECT("'"&amp;F$1&amp;"'!B2:B1000")=$B30) * (INDIRECT("'"&amp;F$1&amp;"'!C2:C1000")=$C30)
        ),
        5,
        FALSE
    )
)</f>
        <v/>
      </c>
      <c r="G30" s="93">
        <f t="array" ref="G30">IF(
    VLOOKUP(
        $A30,
        _xlfn._xlws.FILTER(
            INDIRECT("'"&amp;G$1&amp;"'!A2:E1000"), (INDIRECT("'"&amp;G$1&amp;"'!B2:B1000")=$B30) * (INDIRECT("'"&amp;G$1&amp;"'!C2:C1000")=$C30)
        ),
        5,
        FALSE
    )=0,
    "",
    VLOOKUP(
        $A30,
        _xlfn._xlws.FILTER(
            INDIRECT("'"&amp;G$1&amp;"'!A2:E1000"), (INDIRECT("'"&amp;G$1&amp;"'!B2:B1000")=$B30) * (INDIRECT("'"&amp;G$1&amp;"'!C2:C1000")=$C30)
        ),
        5,
        FALSE
    )
)</f>
        <v/>
      </c>
      <c r="H30" s="93">
        <f t="array" ref="H30">IF(
    VLOOKUP(
        $A30,
        _xlfn._xlws.FILTER(
            INDIRECT("'"&amp;H$1&amp;"'!A2:E1000"), (INDIRECT("'"&amp;H$1&amp;"'!B2:B1000")=$B30) * (INDIRECT("'"&amp;H$1&amp;"'!C2:C1000")=$C30)
        ),
        5,
        FALSE
    )=0,
    "",
    VLOOKUP(
        $A30,
        _xlfn._xlws.FILTER(
            INDIRECT("'"&amp;H$1&amp;"'!A2:E1000"), (INDIRECT("'"&amp;H$1&amp;"'!B2:B1000")=$B30) * (INDIRECT("'"&amp;H$1&amp;"'!C2:C1000")=$C30)
        ),
        5,
        FALSE
    )
)</f>
        <v/>
      </c>
      <c r="I30" s="93">
        <f t="array" ref="I30">IF(
    VLOOKUP(
        $A30,
        _xlfn._xlws.FILTER(
            INDIRECT("'"&amp;I$1&amp;"'!A2:E1000"), (INDIRECT("'"&amp;I$1&amp;"'!B2:B1000")=$B30) * (INDIRECT("'"&amp;I$1&amp;"'!C2:C1000")=$C30)
        ),
        5,
        FALSE
    )=0,
    "",
    VLOOKUP(
        $A30,
        _xlfn._xlws.FILTER(
            INDIRECT("'"&amp;I$1&amp;"'!A2:E1000"), (INDIRECT("'"&amp;I$1&amp;"'!B2:B1000")=$B30) * (INDIRECT("'"&amp;I$1&amp;"'!C2:C1000")=$C30)
        ),
        5,
        FALSE
    )
)</f>
        <v/>
      </c>
      <c r="J30" s="93">
        <f t="array" ref="J30">IF(
    VLOOKUP(
        $A30,
        _xlfn._xlws.FILTER(
            INDIRECT("'"&amp;J$1&amp;"'!A2:E1000"), (INDIRECT("'"&amp;J$1&amp;"'!B2:B1000")=$B30) * (INDIRECT("'"&amp;J$1&amp;"'!C2:C1000")=$C30)
        ),
        5,
        FALSE
    )=0,
    "",
    VLOOKUP(
        $A30,
        _xlfn._xlws.FILTER(
            INDIRECT("'"&amp;J$1&amp;"'!A2:E1000"), (INDIRECT("'"&amp;J$1&amp;"'!B2:B1000")=$B30) * (INDIRECT("'"&amp;J$1&amp;"'!C2:C1000")=$C30)
        ),
        5,
        FALSE
    )
)</f>
        <v/>
      </c>
      <c r="K30" s="93">
        <f t="array" ref="K30">IF(
    VLOOKUP(
        $A30,
        _xlfn._xlws.FILTER(
            INDIRECT("'"&amp;K$1&amp;"'!A2:E1000"), (INDIRECT("'"&amp;K$1&amp;"'!B2:B1000")=$B30) * (INDIRECT("'"&amp;K$1&amp;"'!C2:C1000")=$C30)
        ),
        5,
        FALSE
    )=0,
    "",
    VLOOKUP(
        $A30,
        _xlfn._xlws.FILTER(
            INDIRECT("'"&amp;K$1&amp;"'!A2:E1000"), (INDIRECT("'"&amp;K$1&amp;"'!B2:B1000")=$B30) * (INDIRECT("'"&amp;K$1&amp;"'!C2:C1000")=$C30)
        ),
        5,
        FALSE
    )
)</f>
        <v/>
      </c>
      <c r="L30" s="93">
        <f t="array" ref="L30">IF(
    VLOOKUP(
        $A30,
        _xlfn._xlws.FILTER(
            INDIRECT("'"&amp;L$1&amp;"'!A2:E1000"), (INDIRECT("'"&amp;L$1&amp;"'!B2:B1000")=$B30) * (INDIRECT("'"&amp;L$1&amp;"'!C2:C1000")=$C30)
        ),
        5,
        FALSE
    )=0,
    "",
    VLOOKUP(
        $A30,
        _xlfn._xlws.FILTER(
            INDIRECT("'"&amp;L$1&amp;"'!A2:E1000"), (INDIRECT("'"&amp;L$1&amp;"'!B2:B1000")=$B30) * (INDIRECT("'"&amp;L$1&amp;"'!C2:C1000")=$C30)
        ),
        5,
        FALSE
    )
)</f>
        <v/>
      </c>
      <c r="M30" s="93">
        <f t="array" ref="M30">IF(
    VLOOKUP(
        $A30,
        _xlfn._xlws.FILTER(
            INDIRECT("'"&amp;M$1&amp;"'!A2:E1000"), (INDIRECT("'"&amp;M$1&amp;"'!B2:B1000")=$B30) * (INDIRECT("'"&amp;M$1&amp;"'!C2:C1000")=$C30)
        ),
        5,
        FALSE
    )=0,
    "",
    VLOOKUP(
        $A30,
        _xlfn._xlws.FILTER(
            INDIRECT("'"&amp;M$1&amp;"'!A2:E1000"), (INDIRECT("'"&amp;M$1&amp;"'!B2:B1000")=$B30) * (INDIRECT("'"&amp;M$1&amp;"'!C2:C1000")=$C30)
        ),
        5,
        FALSE
    )
)</f>
        <v/>
      </c>
      <c r="N30" s="93">
        <f t="array" ref="N30">IF(
    VLOOKUP(
        $A30,
        _xlfn._xlws.FILTER(
            INDIRECT("'"&amp;N$1&amp;"'!A2:E1000"), (INDIRECT("'"&amp;N$1&amp;"'!B2:B1000")=$B30) * (INDIRECT("'"&amp;N$1&amp;"'!C2:C1000")=$C30)
        ),
        5,
        FALSE
    )=0,
    "",
    VLOOKUP(
        $A30,
        _xlfn._xlws.FILTER(
            INDIRECT("'"&amp;N$1&amp;"'!A2:E1000"), (INDIRECT("'"&amp;N$1&amp;"'!B2:B1000")=$B30) * (INDIRECT("'"&amp;N$1&amp;"'!C2:C1000")=$C30)
        ),
        5,
        FALSE
    )
)</f>
        <v/>
      </c>
      <c r="O30" s="93">
        <f t="array" ref="O30">IF(
    VLOOKUP(
        $A30,
        _xlfn._xlws.FILTER(
            INDIRECT("'"&amp;O$1&amp;"'!A2:E1000"), (INDIRECT("'"&amp;O$1&amp;"'!B2:B1000")=$B30) * (INDIRECT("'"&amp;O$1&amp;"'!C2:C1000")=$C30)
        ),
        5,
        FALSE
    )=0,
    "",
    VLOOKUP(
        $A30,
        _xlfn._xlws.FILTER(
            INDIRECT("'"&amp;O$1&amp;"'!A2:E1000"), (INDIRECT("'"&amp;O$1&amp;"'!B2:B1000")=$B30) * (INDIRECT("'"&amp;O$1&amp;"'!C2:C1000")=$C30)
        ),
        5,
        FALSE
    )
)</f>
        <v/>
      </c>
    </row>
    <row r="31">
      <c r="A31" s="54" t="inlineStr">
        <is>
          <t>Cibax</t>
        </is>
      </c>
      <c r="B31" s="92" t="inlineStr">
        <is>
          <t>Perobal</t>
        </is>
      </c>
      <c r="C31" s="95" t="n">
        <v>1</v>
      </c>
      <c r="D31" s="93">
        <f t="array" ref="D31">IF(
    VLOOKUP(
        $A31,
        _xlfn._xlws.FILTER(
            INDIRECT("'"&amp;D$1&amp;"'!A2:E1000"), (INDIRECT("'"&amp;D$1&amp;"'!B2:B1000")=$B31) * (INDIRECT("'"&amp;D$1&amp;"'!C2:C1000")=$C31)
        ),
        5,
        FALSE
    )=0,
    "",
    VLOOKUP(
        $A31,
        _xlfn._xlws.FILTER(
            INDIRECT("'"&amp;D$1&amp;"'!A2:E1000"), (INDIRECT("'"&amp;D$1&amp;"'!B2:B1000")=$B31) * (INDIRECT("'"&amp;D$1&amp;"'!C2:C1000")=$C31)
        ),
        5,
        FALSE
    )
)</f>
        <v/>
      </c>
      <c r="E31" s="93">
        <f t="array" ref="E31">IF(
    VLOOKUP(
        $A31,
        _xlfn._xlws.FILTER(
            INDIRECT("'"&amp;E$1&amp;"'!A2:E1000"), (INDIRECT("'"&amp;E$1&amp;"'!B2:B1000")=$B31) * (INDIRECT("'"&amp;E$1&amp;"'!C2:C1000")=$C31)
        ),
        5,
        FALSE
    )=0,
    "",
    VLOOKUP(
        $A31,
        _xlfn._xlws.FILTER(
            INDIRECT("'"&amp;E$1&amp;"'!A2:E1000"), (INDIRECT("'"&amp;E$1&amp;"'!B2:B1000")=$B31) * (INDIRECT("'"&amp;E$1&amp;"'!C2:C1000")=$C31)
        ),
        5,
        FALSE
    )
)</f>
        <v/>
      </c>
      <c r="F31" s="93">
        <f t="array" ref="F31">IF(
    VLOOKUP(
        $A31,
        _xlfn._xlws.FILTER(
            INDIRECT("'"&amp;F$1&amp;"'!A2:E1000"), (INDIRECT("'"&amp;F$1&amp;"'!B2:B1000")=$B31) * (INDIRECT("'"&amp;F$1&amp;"'!C2:C1000")=$C31)
        ),
        5,
        FALSE
    )=0,
    "",
    VLOOKUP(
        $A31,
        _xlfn._xlws.FILTER(
            INDIRECT("'"&amp;F$1&amp;"'!A2:E1000"), (INDIRECT("'"&amp;F$1&amp;"'!B2:B1000")=$B31) * (INDIRECT("'"&amp;F$1&amp;"'!C2:C1000")=$C31)
        ),
        5,
        FALSE
    )
)</f>
        <v/>
      </c>
      <c r="G31" s="93">
        <f t="array" ref="G31">IF(
    VLOOKUP(
        $A31,
        _xlfn._xlws.FILTER(
            INDIRECT("'"&amp;G$1&amp;"'!A2:E1000"), (INDIRECT("'"&amp;G$1&amp;"'!B2:B1000")=$B31) * (INDIRECT("'"&amp;G$1&amp;"'!C2:C1000")=$C31)
        ),
        5,
        FALSE
    )=0,
    "",
    VLOOKUP(
        $A31,
        _xlfn._xlws.FILTER(
            INDIRECT("'"&amp;G$1&amp;"'!A2:E1000"), (INDIRECT("'"&amp;G$1&amp;"'!B2:B1000")=$B31) * (INDIRECT("'"&amp;G$1&amp;"'!C2:C1000")=$C31)
        ),
        5,
        FALSE
    )
)</f>
        <v/>
      </c>
      <c r="H31" s="93">
        <f t="array" ref="H31">IF(
    VLOOKUP(
        $A31,
        _xlfn._xlws.FILTER(
            INDIRECT("'"&amp;H$1&amp;"'!A2:E1000"), (INDIRECT("'"&amp;H$1&amp;"'!B2:B1000")=$B31) * (INDIRECT("'"&amp;H$1&amp;"'!C2:C1000")=$C31)
        ),
        5,
        FALSE
    )=0,
    "",
    VLOOKUP(
        $A31,
        _xlfn._xlws.FILTER(
            INDIRECT("'"&amp;H$1&amp;"'!A2:E1000"), (INDIRECT("'"&amp;H$1&amp;"'!B2:B1000")=$B31) * (INDIRECT("'"&amp;H$1&amp;"'!C2:C1000")=$C31)
        ),
        5,
        FALSE
    )
)</f>
        <v/>
      </c>
      <c r="I31" s="93">
        <f t="array" ref="I31">IF(
    VLOOKUP(
        $A31,
        _xlfn._xlws.FILTER(
            INDIRECT("'"&amp;I$1&amp;"'!A2:E1000"), (INDIRECT("'"&amp;I$1&amp;"'!B2:B1000")=$B31) * (INDIRECT("'"&amp;I$1&amp;"'!C2:C1000")=$C31)
        ),
        5,
        FALSE
    )=0,
    "",
    VLOOKUP(
        $A31,
        _xlfn._xlws.FILTER(
            INDIRECT("'"&amp;I$1&amp;"'!A2:E1000"), (INDIRECT("'"&amp;I$1&amp;"'!B2:B1000")=$B31) * (INDIRECT("'"&amp;I$1&amp;"'!C2:C1000")=$C31)
        ),
        5,
        FALSE
    )
)</f>
        <v/>
      </c>
      <c r="J31" s="93">
        <f t="array" ref="J31">IF(
    VLOOKUP(
        $A31,
        _xlfn._xlws.FILTER(
            INDIRECT("'"&amp;J$1&amp;"'!A2:E1000"), (INDIRECT("'"&amp;J$1&amp;"'!B2:B1000")=$B31) * (INDIRECT("'"&amp;J$1&amp;"'!C2:C1000")=$C31)
        ),
        5,
        FALSE
    )=0,
    "",
    VLOOKUP(
        $A31,
        _xlfn._xlws.FILTER(
            INDIRECT("'"&amp;J$1&amp;"'!A2:E1000"), (INDIRECT("'"&amp;J$1&amp;"'!B2:B1000")=$B31) * (INDIRECT("'"&amp;J$1&amp;"'!C2:C1000")=$C31)
        ),
        5,
        FALSE
    )
)</f>
        <v/>
      </c>
      <c r="K31" s="93">
        <f t="array" ref="K31">IF(
    VLOOKUP(
        $A31,
        _xlfn._xlws.FILTER(
            INDIRECT("'"&amp;K$1&amp;"'!A2:E1000"), (INDIRECT("'"&amp;K$1&amp;"'!B2:B1000")=$B31) * (INDIRECT("'"&amp;K$1&amp;"'!C2:C1000")=$C31)
        ),
        5,
        FALSE
    )=0,
    "",
    VLOOKUP(
        $A31,
        _xlfn._xlws.FILTER(
            INDIRECT("'"&amp;K$1&amp;"'!A2:E1000"), (INDIRECT("'"&amp;K$1&amp;"'!B2:B1000")=$B31) * (INDIRECT("'"&amp;K$1&amp;"'!C2:C1000")=$C31)
        ),
        5,
        FALSE
    )
)</f>
        <v/>
      </c>
      <c r="L31" s="93">
        <f t="array" ref="L31">IF(
    VLOOKUP(
        $A31,
        _xlfn._xlws.FILTER(
            INDIRECT("'"&amp;L$1&amp;"'!A2:E1000"), (INDIRECT("'"&amp;L$1&amp;"'!B2:B1000")=$B31) * (INDIRECT("'"&amp;L$1&amp;"'!C2:C1000")=$C31)
        ),
        5,
        FALSE
    )=0,
    "",
    VLOOKUP(
        $A31,
        _xlfn._xlws.FILTER(
            INDIRECT("'"&amp;L$1&amp;"'!A2:E1000"), (INDIRECT("'"&amp;L$1&amp;"'!B2:B1000")=$B31) * (INDIRECT("'"&amp;L$1&amp;"'!C2:C1000")=$C31)
        ),
        5,
        FALSE
    )
)</f>
        <v/>
      </c>
      <c r="M31" s="93">
        <f t="array" ref="M31">IF(
    VLOOKUP(
        $A31,
        _xlfn._xlws.FILTER(
            INDIRECT("'"&amp;M$1&amp;"'!A2:E1000"), (INDIRECT("'"&amp;M$1&amp;"'!B2:B1000")=$B31) * (INDIRECT("'"&amp;M$1&amp;"'!C2:C1000")=$C31)
        ),
        5,
        FALSE
    )=0,
    "",
    VLOOKUP(
        $A31,
        _xlfn._xlws.FILTER(
            INDIRECT("'"&amp;M$1&amp;"'!A2:E1000"), (INDIRECT("'"&amp;M$1&amp;"'!B2:B1000")=$B31) * (INDIRECT("'"&amp;M$1&amp;"'!C2:C1000")=$C31)
        ),
        5,
        FALSE
    )
)</f>
        <v/>
      </c>
      <c r="N31" s="93">
        <f t="array" ref="N31">IF(
    VLOOKUP(
        $A31,
        _xlfn._xlws.FILTER(
            INDIRECT("'"&amp;N$1&amp;"'!A2:E1000"), (INDIRECT("'"&amp;N$1&amp;"'!B2:B1000")=$B31) * (INDIRECT("'"&amp;N$1&amp;"'!C2:C1000")=$C31)
        ),
        5,
        FALSE
    )=0,
    "",
    VLOOKUP(
        $A31,
        _xlfn._xlws.FILTER(
            INDIRECT("'"&amp;N$1&amp;"'!A2:E1000"), (INDIRECT("'"&amp;N$1&amp;"'!B2:B1000")=$B31) * (INDIRECT("'"&amp;N$1&amp;"'!C2:C1000")=$C31)
        ),
        5,
        FALSE
    )
)</f>
        <v/>
      </c>
      <c r="O31" s="93">
        <f t="array" ref="O31">IF(
    VLOOKUP(
        $A31,
        _xlfn._xlws.FILTER(
            INDIRECT("'"&amp;O$1&amp;"'!A2:E1000"), (INDIRECT("'"&amp;O$1&amp;"'!B2:B1000")=$B31) * (INDIRECT("'"&amp;O$1&amp;"'!C2:C1000")=$C31)
        ),
        5,
        FALSE
    )=0,
    "",
    VLOOKUP(
        $A31,
        _xlfn._xlws.FILTER(
            INDIRECT("'"&amp;O$1&amp;"'!A2:E1000"), (INDIRECT("'"&amp;O$1&amp;"'!B2:B1000")=$B31) * (INDIRECT("'"&amp;O$1&amp;"'!C2:C1000")=$C31)
        ),
        5,
        FALSE
    )
)</f>
        <v/>
      </c>
    </row>
    <row r="32">
      <c r="A32" s="54" t="inlineStr">
        <is>
          <t>Cibax</t>
        </is>
      </c>
      <c r="B32" s="92" t="inlineStr">
        <is>
          <t>Pérola</t>
        </is>
      </c>
      <c r="C32" s="95" t="n">
        <v>1</v>
      </c>
      <c r="D32" s="93">
        <f t="array" ref="D32">IF(
    VLOOKUP(
        $A32,
        _xlfn._xlws.FILTER(
            INDIRECT("'"&amp;D$1&amp;"'!A2:E1000"), (INDIRECT("'"&amp;D$1&amp;"'!B2:B1000")=$B32) * (INDIRECT("'"&amp;D$1&amp;"'!C2:C1000")=$C32)
        ),
        5,
        FALSE
    )=0,
    "",
    VLOOKUP(
        $A32,
        _xlfn._xlws.FILTER(
            INDIRECT("'"&amp;D$1&amp;"'!A2:E1000"), (INDIRECT("'"&amp;D$1&amp;"'!B2:B1000")=$B32) * (INDIRECT("'"&amp;D$1&amp;"'!C2:C1000")=$C32)
        ),
        5,
        FALSE
    )
)</f>
        <v/>
      </c>
      <c r="E32" s="93">
        <f t="array" ref="E32">IF(
    VLOOKUP(
        $A32,
        _xlfn._xlws.FILTER(
            INDIRECT("'"&amp;E$1&amp;"'!A2:E1000"), (INDIRECT("'"&amp;E$1&amp;"'!B2:B1000")=$B32) * (INDIRECT("'"&amp;E$1&amp;"'!C2:C1000")=$C32)
        ),
        5,
        FALSE
    )=0,
    "",
    VLOOKUP(
        $A32,
        _xlfn._xlws.FILTER(
            INDIRECT("'"&amp;E$1&amp;"'!A2:E1000"), (INDIRECT("'"&amp;E$1&amp;"'!B2:B1000")=$B32) * (INDIRECT("'"&amp;E$1&amp;"'!C2:C1000")=$C32)
        ),
        5,
        FALSE
    )
)</f>
        <v/>
      </c>
      <c r="F32" s="93">
        <f t="array" ref="F32">IF(
    VLOOKUP(
        $A32,
        _xlfn._xlws.FILTER(
            INDIRECT("'"&amp;F$1&amp;"'!A2:E1000"), (INDIRECT("'"&amp;F$1&amp;"'!B2:B1000")=$B32) * (INDIRECT("'"&amp;F$1&amp;"'!C2:C1000")=$C32)
        ),
        5,
        FALSE
    )=0,
    "",
    VLOOKUP(
        $A32,
        _xlfn._xlws.FILTER(
            INDIRECT("'"&amp;F$1&amp;"'!A2:E1000"), (INDIRECT("'"&amp;F$1&amp;"'!B2:B1000")=$B32) * (INDIRECT("'"&amp;F$1&amp;"'!C2:C1000")=$C32)
        ),
        5,
        FALSE
    )
)</f>
        <v/>
      </c>
      <c r="G32" s="93">
        <f t="array" ref="G32">IF(
    VLOOKUP(
        $A32,
        _xlfn._xlws.FILTER(
            INDIRECT("'"&amp;G$1&amp;"'!A2:E1000"), (INDIRECT("'"&amp;G$1&amp;"'!B2:B1000")=$B32) * (INDIRECT("'"&amp;G$1&amp;"'!C2:C1000")=$C32)
        ),
        5,
        FALSE
    )=0,
    "",
    VLOOKUP(
        $A32,
        _xlfn._xlws.FILTER(
            INDIRECT("'"&amp;G$1&amp;"'!A2:E1000"), (INDIRECT("'"&amp;G$1&amp;"'!B2:B1000")=$B32) * (INDIRECT("'"&amp;G$1&amp;"'!C2:C1000")=$C32)
        ),
        5,
        FALSE
    )
)</f>
        <v/>
      </c>
      <c r="H32" s="93">
        <f t="array" ref="H32">IF(
    VLOOKUP(
        $A32,
        _xlfn._xlws.FILTER(
            INDIRECT("'"&amp;H$1&amp;"'!A2:E1000"), (INDIRECT("'"&amp;H$1&amp;"'!B2:B1000")=$B32) * (INDIRECT("'"&amp;H$1&amp;"'!C2:C1000")=$C32)
        ),
        5,
        FALSE
    )=0,
    "",
    VLOOKUP(
        $A32,
        _xlfn._xlws.FILTER(
            INDIRECT("'"&amp;H$1&amp;"'!A2:E1000"), (INDIRECT("'"&amp;H$1&amp;"'!B2:B1000")=$B32) * (INDIRECT("'"&amp;H$1&amp;"'!C2:C1000")=$C32)
        ),
        5,
        FALSE
    )
)</f>
        <v/>
      </c>
      <c r="I32" s="93">
        <f t="array" ref="I32">IF(
    VLOOKUP(
        $A32,
        _xlfn._xlws.FILTER(
            INDIRECT("'"&amp;I$1&amp;"'!A2:E1000"), (INDIRECT("'"&amp;I$1&amp;"'!B2:B1000")=$B32) * (INDIRECT("'"&amp;I$1&amp;"'!C2:C1000")=$C32)
        ),
        5,
        FALSE
    )=0,
    "",
    VLOOKUP(
        $A32,
        _xlfn._xlws.FILTER(
            INDIRECT("'"&amp;I$1&amp;"'!A2:E1000"), (INDIRECT("'"&amp;I$1&amp;"'!B2:B1000")=$B32) * (INDIRECT("'"&amp;I$1&amp;"'!C2:C1000")=$C32)
        ),
        5,
        FALSE
    )
)</f>
        <v/>
      </c>
      <c r="J32" s="93">
        <f t="array" ref="J32">IF(
    VLOOKUP(
        $A32,
        _xlfn._xlws.FILTER(
            INDIRECT("'"&amp;J$1&amp;"'!A2:E1000"), (INDIRECT("'"&amp;J$1&amp;"'!B2:B1000")=$B32) * (INDIRECT("'"&amp;J$1&amp;"'!C2:C1000")=$C32)
        ),
        5,
        FALSE
    )=0,
    "",
    VLOOKUP(
        $A32,
        _xlfn._xlws.FILTER(
            INDIRECT("'"&amp;J$1&amp;"'!A2:E1000"), (INDIRECT("'"&amp;J$1&amp;"'!B2:B1000")=$B32) * (INDIRECT("'"&amp;J$1&amp;"'!C2:C1000")=$C32)
        ),
        5,
        FALSE
    )
)</f>
        <v/>
      </c>
      <c r="K32" s="93">
        <f t="array" ref="K32">IF(
    VLOOKUP(
        $A32,
        _xlfn._xlws.FILTER(
            INDIRECT("'"&amp;K$1&amp;"'!A2:E1000"), (INDIRECT("'"&amp;K$1&amp;"'!B2:B1000")=$B32) * (INDIRECT("'"&amp;K$1&amp;"'!C2:C1000")=$C32)
        ),
        5,
        FALSE
    )=0,
    "",
    VLOOKUP(
        $A32,
        _xlfn._xlws.FILTER(
            INDIRECT("'"&amp;K$1&amp;"'!A2:E1000"), (INDIRECT("'"&amp;K$1&amp;"'!B2:B1000")=$B32) * (INDIRECT("'"&amp;K$1&amp;"'!C2:C1000")=$C32)
        ),
        5,
        FALSE
    )
)</f>
        <v/>
      </c>
      <c r="L32" s="93">
        <f t="array" ref="L32">IF(
    VLOOKUP(
        $A32,
        _xlfn._xlws.FILTER(
            INDIRECT("'"&amp;L$1&amp;"'!A2:E1000"), (INDIRECT("'"&amp;L$1&amp;"'!B2:B1000")=$B32) * (INDIRECT("'"&amp;L$1&amp;"'!C2:C1000")=$C32)
        ),
        5,
        FALSE
    )=0,
    "",
    VLOOKUP(
        $A32,
        _xlfn._xlws.FILTER(
            INDIRECT("'"&amp;L$1&amp;"'!A2:E1000"), (INDIRECT("'"&amp;L$1&amp;"'!B2:B1000")=$B32) * (INDIRECT("'"&amp;L$1&amp;"'!C2:C1000")=$C32)
        ),
        5,
        FALSE
    )
)</f>
        <v/>
      </c>
      <c r="M32" s="93">
        <f t="array" ref="M32">IF(
    VLOOKUP(
        $A32,
        _xlfn._xlws.FILTER(
            INDIRECT("'"&amp;M$1&amp;"'!A2:E1000"), (INDIRECT("'"&amp;M$1&amp;"'!B2:B1000")=$B32) * (INDIRECT("'"&amp;M$1&amp;"'!C2:C1000")=$C32)
        ),
        5,
        FALSE
    )=0,
    "",
    VLOOKUP(
        $A32,
        _xlfn._xlws.FILTER(
            INDIRECT("'"&amp;M$1&amp;"'!A2:E1000"), (INDIRECT("'"&amp;M$1&amp;"'!B2:B1000")=$B32) * (INDIRECT("'"&amp;M$1&amp;"'!C2:C1000")=$C32)
        ),
        5,
        FALSE
    )
)</f>
        <v/>
      </c>
      <c r="N32" s="93">
        <f t="array" ref="N32">IF(
    VLOOKUP(
        $A32,
        _xlfn._xlws.FILTER(
            INDIRECT("'"&amp;N$1&amp;"'!A2:E1000"), (INDIRECT("'"&amp;N$1&amp;"'!B2:B1000")=$B32) * (INDIRECT("'"&amp;N$1&amp;"'!C2:C1000")=$C32)
        ),
        5,
        FALSE
    )=0,
    "",
    VLOOKUP(
        $A32,
        _xlfn._xlws.FILTER(
            INDIRECT("'"&amp;N$1&amp;"'!A2:E1000"), (INDIRECT("'"&amp;N$1&amp;"'!B2:B1000")=$B32) * (INDIRECT("'"&amp;N$1&amp;"'!C2:C1000")=$C32)
        ),
        5,
        FALSE
    )
)</f>
        <v/>
      </c>
      <c r="O32" s="93">
        <f t="array" ref="O32">IF(
    VLOOKUP(
        $A32,
        _xlfn._xlws.FILTER(
            INDIRECT("'"&amp;O$1&amp;"'!A2:E1000"), (INDIRECT("'"&amp;O$1&amp;"'!B2:B1000")=$B32) * (INDIRECT("'"&amp;O$1&amp;"'!C2:C1000")=$C32)
        ),
        5,
        FALSE
    )=0,
    "",
    VLOOKUP(
        $A32,
        _xlfn._xlws.FILTER(
            INDIRECT("'"&amp;O$1&amp;"'!A2:E1000"), (INDIRECT("'"&amp;O$1&amp;"'!B2:B1000")=$B32) * (INDIRECT("'"&amp;O$1&amp;"'!C2:C1000")=$C32)
        ),
        5,
        FALSE
    )
)</f>
        <v/>
      </c>
    </row>
    <row r="33" ht="15.75" customHeight="1">
      <c r="A33" s="54" t="inlineStr">
        <is>
          <t>Cibax</t>
        </is>
      </c>
      <c r="B33" s="92" t="inlineStr">
        <is>
          <t>Umuarama</t>
        </is>
      </c>
      <c r="C33" s="95" t="n">
        <v>1</v>
      </c>
      <c r="D33" s="93">
        <f t="array" ref="D33">IF(
    VLOOKUP(
        $A33,
        _xlfn._xlws.FILTER(
            INDIRECT("'"&amp;D$1&amp;"'!A2:E1000"), (INDIRECT("'"&amp;D$1&amp;"'!B2:B1000")=$B33) * (INDIRECT("'"&amp;D$1&amp;"'!C2:C1000")=$C33)
        ),
        5,
        FALSE
    )=0,
    "",
    VLOOKUP(
        $A33,
        _xlfn._xlws.FILTER(
            INDIRECT("'"&amp;D$1&amp;"'!A2:E1000"), (INDIRECT("'"&amp;D$1&amp;"'!B2:B1000")=$B33) * (INDIRECT("'"&amp;D$1&amp;"'!C2:C1000")=$C33)
        ),
        5,
        FALSE
    )
)</f>
        <v/>
      </c>
      <c r="E33" s="93">
        <f t="array" ref="E33">IF(
    VLOOKUP(
        $A33,
        _xlfn._xlws.FILTER(
            INDIRECT("'"&amp;E$1&amp;"'!A2:E1000"), (INDIRECT("'"&amp;E$1&amp;"'!B2:B1000")=$B33) * (INDIRECT("'"&amp;E$1&amp;"'!C2:C1000")=$C33)
        ),
        5,
        FALSE
    )=0,
    "",
    VLOOKUP(
        $A33,
        _xlfn._xlws.FILTER(
            INDIRECT("'"&amp;E$1&amp;"'!A2:E1000"), (INDIRECT("'"&amp;E$1&amp;"'!B2:B1000")=$B33) * (INDIRECT("'"&amp;E$1&amp;"'!C2:C1000")=$C33)
        ),
        5,
        FALSE
    )
)</f>
        <v/>
      </c>
      <c r="F33" s="93">
        <f t="array" ref="F33">IF(
    VLOOKUP(
        $A33,
        _xlfn._xlws.FILTER(
            INDIRECT("'"&amp;F$1&amp;"'!A2:E1000"), (INDIRECT("'"&amp;F$1&amp;"'!B2:B1000")=$B33) * (INDIRECT("'"&amp;F$1&amp;"'!C2:C1000")=$C33)
        ),
        5,
        FALSE
    )=0,
    "",
    VLOOKUP(
        $A33,
        _xlfn._xlws.FILTER(
            INDIRECT("'"&amp;F$1&amp;"'!A2:E1000"), (INDIRECT("'"&amp;F$1&amp;"'!B2:B1000")=$B33) * (INDIRECT("'"&amp;F$1&amp;"'!C2:C1000")=$C33)
        ),
        5,
        FALSE
    )
)</f>
        <v/>
      </c>
      <c r="G33" s="93">
        <f t="array" ref="G33">IF(
    VLOOKUP(
        $A33,
        _xlfn._xlws.FILTER(
            INDIRECT("'"&amp;G$1&amp;"'!A2:E1000"), (INDIRECT("'"&amp;G$1&amp;"'!B2:B1000")=$B33) * (INDIRECT("'"&amp;G$1&amp;"'!C2:C1000")=$C33)
        ),
        5,
        FALSE
    )=0,
    "",
    VLOOKUP(
        $A33,
        _xlfn._xlws.FILTER(
            INDIRECT("'"&amp;G$1&amp;"'!A2:E1000"), (INDIRECT("'"&amp;G$1&amp;"'!B2:B1000")=$B33) * (INDIRECT("'"&amp;G$1&amp;"'!C2:C1000")=$C33)
        ),
        5,
        FALSE
    )
)</f>
        <v/>
      </c>
      <c r="H33" s="93">
        <f t="array" ref="H33">IF(
    VLOOKUP(
        $A33,
        _xlfn._xlws.FILTER(
            INDIRECT("'"&amp;H$1&amp;"'!A2:E1000"), (INDIRECT("'"&amp;H$1&amp;"'!B2:B1000")=$B33) * (INDIRECT("'"&amp;H$1&amp;"'!C2:C1000")=$C33)
        ),
        5,
        FALSE
    )=0,
    "",
    VLOOKUP(
        $A33,
        _xlfn._xlws.FILTER(
            INDIRECT("'"&amp;H$1&amp;"'!A2:E1000"), (INDIRECT("'"&amp;H$1&amp;"'!B2:B1000")=$B33) * (INDIRECT("'"&amp;H$1&amp;"'!C2:C1000")=$C33)
        ),
        5,
        FALSE
    )
)</f>
        <v/>
      </c>
      <c r="I33" s="93">
        <f t="array" ref="I33">IF(
    VLOOKUP(
        $A33,
        _xlfn._xlws.FILTER(
            INDIRECT("'"&amp;I$1&amp;"'!A2:E1000"), (INDIRECT("'"&amp;I$1&amp;"'!B2:B1000")=$B33) * (INDIRECT("'"&amp;I$1&amp;"'!C2:C1000")=$C33)
        ),
        5,
        FALSE
    )=0,
    "",
    VLOOKUP(
        $A33,
        _xlfn._xlws.FILTER(
            INDIRECT("'"&amp;I$1&amp;"'!A2:E1000"), (INDIRECT("'"&amp;I$1&amp;"'!B2:B1000")=$B33) * (INDIRECT("'"&amp;I$1&amp;"'!C2:C1000")=$C33)
        ),
        5,
        FALSE
    )
)</f>
        <v/>
      </c>
      <c r="J33" s="93">
        <f t="array" ref="J33">IF(
    VLOOKUP(
        $A33,
        _xlfn._xlws.FILTER(
            INDIRECT("'"&amp;J$1&amp;"'!A2:E1000"), (INDIRECT("'"&amp;J$1&amp;"'!B2:B1000")=$B33) * (INDIRECT("'"&amp;J$1&amp;"'!C2:C1000")=$C33)
        ),
        5,
        FALSE
    )=0,
    "",
    VLOOKUP(
        $A33,
        _xlfn._xlws.FILTER(
            INDIRECT("'"&amp;J$1&amp;"'!A2:E1000"), (INDIRECT("'"&amp;J$1&amp;"'!B2:B1000")=$B33) * (INDIRECT("'"&amp;J$1&amp;"'!C2:C1000")=$C33)
        ),
        5,
        FALSE
    )
)</f>
        <v/>
      </c>
      <c r="K33" s="93">
        <f t="array" ref="K33">IF(
    VLOOKUP(
        $A33,
        _xlfn._xlws.FILTER(
            INDIRECT("'"&amp;K$1&amp;"'!A2:E1000"), (INDIRECT("'"&amp;K$1&amp;"'!B2:B1000")=$B33) * (INDIRECT("'"&amp;K$1&amp;"'!C2:C1000")=$C33)
        ),
        5,
        FALSE
    )=0,
    "",
    VLOOKUP(
        $A33,
        _xlfn._xlws.FILTER(
            INDIRECT("'"&amp;K$1&amp;"'!A2:E1000"), (INDIRECT("'"&amp;K$1&amp;"'!B2:B1000")=$B33) * (INDIRECT("'"&amp;K$1&amp;"'!C2:C1000")=$C33)
        ),
        5,
        FALSE
    )
)</f>
        <v/>
      </c>
      <c r="L33" s="93">
        <f t="array" ref="L33">IF(
    VLOOKUP(
        $A33,
        _xlfn._xlws.FILTER(
            INDIRECT("'"&amp;L$1&amp;"'!A2:E1000"), (INDIRECT("'"&amp;L$1&amp;"'!B2:B1000")=$B33) * (INDIRECT("'"&amp;L$1&amp;"'!C2:C1000")=$C33)
        ),
        5,
        FALSE
    )=0,
    "",
    VLOOKUP(
        $A33,
        _xlfn._xlws.FILTER(
            INDIRECT("'"&amp;L$1&amp;"'!A2:E1000"), (INDIRECT("'"&amp;L$1&amp;"'!B2:B1000")=$B33) * (INDIRECT("'"&amp;L$1&amp;"'!C2:C1000")=$C33)
        ),
        5,
        FALSE
    )
)</f>
        <v/>
      </c>
      <c r="M33" s="93">
        <f t="array" ref="M33">IF(
    VLOOKUP(
        $A33,
        _xlfn._xlws.FILTER(
            INDIRECT("'"&amp;M$1&amp;"'!A2:E1000"), (INDIRECT("'"&amp;M$1&amp;"'!B2:B1000")=$B33) * (INDIRECT("'"&amp;M$1&amp;"'!C2:C1000")=$C33)
        ),
        5,
        FALSE
    )=0,
    "",
    VLOOKUP(
        $A33,
        _xlfn._xlws.FILTER(
            INDIRECT("'"&amp;M$1&amp;"'!A2:E1000"), (INDIRECT("'"&amp;M$1&amp;"'!B2:B1000")=$B33) * (INDIRECT("'"&amp;M$1&amp;"'!C2:C1000")=$C33)
        ),
        5,
        FALSE
    )
)</f>
        <v/>
      </c>
      <c r="N33" s="93">
        <f t="array" ref="N33">IF(
    VLOOKUP(
        $A33,
        _xlfn._xlws.FILTER(
            INDIRECT("'"&amp;N$1&amp;"'!A2:E1000"), (INDIRECT("'"&amp;N$1&amp;"'!B2:B1000")=$B33) * (INDIRECT("'"&amp;N$1&amp;"'!C2:C1000")=$C33)
        ),
        5,
        FALSE
    )=0,
    "",
    VLOOKUP(
        $A33,
        _xlfn._xlws.FILTER(
            INDIRECT("'"&amp;N$1&amp;"'!A2:E1000"), (INDIRECT("'"&amp;N$1&amp;"'!B2:B1000")=$B33) * (INDIRECT("'"&amp;N$1&amp;"'!C2:C1000")=$C33)
        ),
        5,
        FALSE
    )
)</f>
        <v/>
      </c>
      <c r="O33" s="93">
        <f t="array" ref="O33">IF(
    VLOOKUP(
        $A33,
        _xlfn._xlws.FILTER(
            INDIRECT("'"&amp;O$1&amp;"'!A2:E1000"), (INDIRECT("'"&amp;O$1&amp;"'!B2:B1000")=$B33) * (INDIRECT("'"&amp;O$1&amp;"'!C2:C1000")=$C33)
        ),
        5,
        FALSE
    )=0,
    "",
    VLOOKUP(
        $A33,
        _xlfn._xlws.FILTER(
            INDIRECT("'"&amp;O$1&amp;"'!A2:E1000"), (INDIRECT("'"&amp;O$1&amp;"'!B2:B1000")=$B33) * (INDIRECT("'"&amp;O$1&amp;"'!C2:C1000")=$C33)
        ),
        5,
        FALSE
    )
)</f>
        <v/>
      </c>
    </row>
    <row r="34" ht="15.75" customHeight="1">
      <c r="A34" s="54" t="inlineStr">
        <is>
          <t>Cibax</t>
        </is>
      </c>
      <c r="B34" s="92" t="inlineStr">
        <is>
          <t>Xambre</t>
        </is>
      </c>
      <c r="C34" s="95" t="n">
        <v>1</v>
      </c>
      <c r="D34" s="93">
        <f t="array" ref="D34">IF(
    VLOOKUP(
        $A34,
        _xlfn._xlws.FILTER(
            INDIRECT("'"&amp;D$1&amp;"'!A2:E1000"), (INDIRECT("'"&amp;D$1&amp;"'!B2:B1000")=$B34) * (INDIRECT("'"&amp;D$1&amp;"'!C2:C1000")=$C34)
        ),
        5,
        FALSE
    )=0,
    "",
    VLOOKUP(
        $A34,
        _xlfn._xlws.FILTER(
            INDIRECT("'"&amp;D$1&amp;"'!A2:E1000"), (INDIRECT("'"&amp;D$1&amp;"'!B2:B1000")=$B34) * (INDIRECT("'"&amp;D$1&amp;"'!C2:C1000")=$C34)
        ),
        5,
        FALSE
    )
)</f>
        <v/>
      </c>
      <c r="E34" s="93">
        <f t="array" ref="E34">IF(
    VLOOKUP(
        $A34,
        _xlfn._xlws.FILTER(
            INDIRECT("'"&amp;E$1&amp;"'!A2:E1000"), (INDIRECT("'"&amp;E$1&amp;"'!B2:B1000")=$B34) * (INDIRECT("'"&amp;E$1&amp;"'!C2:C1000")=$C34)
        ),
        5,
        FALSE
    )=0,
    "",
    VLOOKUP(
        $A34,
        _xlfn._xlws.FILTER(
            INDIRECT("'"&amp;E$1&amp;"'!A2:E1000"), (INDIRECT("'"&amp;E$1&amp;"'!B2:B1000")=$B34) * (INDIRECT("'"&amp;E$1&amp;"'!C2:C1000")=$C34)
        ),
        5,
        FALSE
    )
)</f>
        <v/>
      </c>
      <c r="F34" s="93">
        <f t="array" ref="F34">IF(
    VLOOKUP(
        $A34,
        _xlfn._xlws.FILTER(
            INDIRECT("'"&amp;F$1&amp;"'!A2:E1000"), (INDIRECT("'"&amp;F$1&amp;"'!B2:B1000")=$B34) * (INDIRECT("'"&amp;F$1&amp;"'!C2:C1000")=$C34)
        ),
        5,
        FALSE
    )=0,
    "",
    VLOOKUP(
        $A34,
        _xlfn._xlws.FILTER(
            INDIRECT("'"&amp;F$1&amp;"'!A2:E1000"), (INDIRECT("'"&amp;F$1&amp;"'!B2:B1000")=$B34) * (INDIRECT("'"&amp;F$1&amp;"'!C2:C1000")=$C34)
        ),
        5,
        FALSE
    )
)</f>
        <v/>
      </c>
      <c r="G34" s="93">
        <f t="array" ref="G34">IF(
    VLOOKUP(
        $A34,
        _xlfn._xlws.FILTER(
            INDIRECT("'"&amp;G$1&amp;"'!A2:E1000"), (INDIRECT("'"&amp;G$1&amp;"'!B2:B1000")=$B34) * (INDIRECT("'"&amp;G$1&amp;"'!C2:C1000")=$C34)
        ),
        5,
        FALSE
    )=0,
    "",
    VLOOKUP(
        $A34,
        _xlfn._xlws.FILTER(
            INDIRECT("'"&amp;G$1&amp;"'!A2:E1000"), (INDIRECT("'"&amp;G$1&amp;"'!B2:B1000")=$B34) * (INDIRECT("'"&amp;G$1&amp;"'!C2:C1000")=$C34)
        ),
        5,
        FALSE
    )
)</f>
        <v/>
      </c>
      <c r="H34" s="93">
        <f t="array" ref="H34">IF(
    VLOOKUP(
        $A34,
        _xlfn._xlws.FILTER(
            INDIRECT("'"&amp;H$1&amp;"'!A2:E1000"), (INDIRECT("'"&amp;H$1&amp;"'!B2:B1000")=$B34) * (INDIRECT("'"&amp;H$1&amp;"'!C2:C1000")=$C34)
        ),
        5,
        FALSE
    )=0,
    "",
    VLOOKUP(
        $A34,
        _xlfn._xlws.FILTER(
            INDIRECT("'"&amp;H$1&amp;"'!A2:E1000"), (INDIRECT("'"&amp;H$1&amp;"'!B2:B1000")=$B34) * (INDIRECT("'"&amp;H$1&amp;"'!C2:C1000")=$C34)
        ),
        5,
        FALSE
    )
)</f>
        <v/>
      </c>
      <c r="I34" s="93">
        <f t="array" ref="I34">IF(
    VLOOKUP(
        $A34,
        _xlfn._xlws.FILTER(
            INDIRECT("'"&amp;I$1&amp;"'!A2:E1000"), (INDIRECT("'"&amp;I$1&amp;"'!B2:B1000")=$B34) * (INDIRECT("'"&amp;I$1&amp;"'!C2:C1000")=$C34)
        ),
        5,
        FALSE
    )=0,
    "",
    VLOOKUP(
        $A34,
        _xlfn._xlws.FILTER(
            INDIRECT("'"&amp;I$1&amp;"'!A2:E1000"), (INDIRECT("'"&amp;I$1&amp;"'!B2:B1000")=$B34) * (INDIRECT("'"&amp;I$1&amp;"'!C2:C1000")=$C34)
        ),
        5,
        FALSE
    )
)</f>
        <v/>
      </c>
      <c r="J34" s="93">
        <f t="array" ref="J34">IF(
    VLOOKUP(
        $A34,
        _xlfn._xlws.FILTER(
            INDIRECT("'"&amp;J$1&amp;"'!A2:E1000"), (INDIRECT("'"&amp;J$1&amp;"'!B2:B1000")=$B34) * (INDIRECT("'"&amp;J$1&amp;"'!C2:C1000")=$C34)
        ),
        5,
        FALSE
    )=0,
    "",
    VLOOKUP(
        $A34,
        _xlfn._xlws.FILTER(
            INDIRECT("'"&amp;J$1&amp;"'!A2:E1000"), (INDIRECT("'"&amp;J$1&amp;"'!B2:B1000")=$B34) * (INDIRECT("'"&amp;J$1&amp;"'!C2:C1000")=$C34)
        ),
        5,
        FALSE
    )
)</f>
        <v/>
      </c>
      <c r="K34" s="93">
        <f t="array" ref="K34">IF(
    VLOOKUP(
        $A34,
        _xlfn._xlws.FILTER(
            INDIRECT("'"&amp;K$1&amp;"'!A2:E1000"), (INDIRECT("'"&amp;K$1&amp;"'!B2:B1000")=$B34) * (INDIRECT("'"&amp;K$1&amp;"'!C2:C1000")=$C34)
        ),
        5,
        FALSE
    )=0,
    "",
    VLOOKUP(
        $A34,
        _xlfn._xlws.FILTER(
            INDIRECT("'"&amp;K$1&amp;"'!A2:E1000"), (INDIRECT("'"&amp;K$1&amp;"'!B2:B1000")=$B34) * (INDIRECT("'"&amp;K$1&amp;"'!C2:C1000")=$C34)
        ),
        5,
        FALSE
    )
)</f>
        <v/>
      </c>
      <c r="L34" s="93">
        <f t="array" ref="L34">IF(
    VLOOKUP(
        $A34,
        _xlfn._xlws.FILTER(
            INDIRECT("'"&amp;L$1&amp;"'!A2:E1000"), (INDIRECT("'"&amp;L$1&amp;"'!B2:B1000")=$B34) * (INDIRECT("'"&amp;L$1&amp;"'!C2:C1000")=$C34)
        ),
        5,
        FALSE
    )=0,
    "",
    VLOOKUP(
        $A34,
        _xlfn._xlws.FILTER(
            INDIRECT("'"&amp;L$1&amp;"'!A2:E1000"), (INDIRECT("'"&amp;L$1&amp;"'!B2:B1000")=$B34) * (INDIRECT("'"&amp;L$1&amp;"'!C2:C1000")=$C34)
        ),
        5,
        FALSE
    )
)</f>
        <v/>
      </c>
      <c r="M34" s="93">
        <f t="array" ref="M34">IF(
    VLOOKUP(
        $A34,
        _xlfn._xlws.FILTER(
            INDIRECT("'"&amp;M$1&amp;"'!A2:E1000"), (INDIRECT("'"&amp;M$1&amp;"'!B2:B1000")=$B34) * (INDIRECT("'"&amp;M$1&amp;"'!C2:C1000")=$C34)
        ),
        5,
        FALSE
    )=0,
    "",
    VLOOKUP(
        $A34,
        _xlfn._xlws.FILTER(
            INDIRECT("'"&amp;M$1&amp;"'!A2:E1000"), (INDIRECT("'"&amp;M$1&amp;"'!B2:B1000")=$B34) * (INDIRECT("'"&amp;M$1&amp;"'!C2:C1000")=$C34)
        ),
        5,
        FALSE
    )
)</f>
        <v/>
      </c>
      <c r="N34" s="93">
        <f t="array" ref="N34">IF(
    VLOOKUP(
        $A34,
        _xlfn._xlws.FILTER(
            INDIRECT("'"&amp;N$1&amp;"'!A2:E1000"), (INDIRECT("'"&amp;N$1&amp;"'!B2:B1000")=$B34) * (INDIRECT("'"&amp;N$1&amp;"'!C2:C1000")=$C34)
        ),
        5,
        FALSE
    )=0,
    "",
    VLOOKUP(
        $A34,
        _xlfn._xlws.FILTER(
            INDIRECT("'"&amp;N$1&amp;"'!A2:E1000"), (INDIRECT("'"&amp;N$1&amp;"'!B2:B1000")=$B34) * (INDIRECT("'"&amp;N$1&amp;"'!C2:C1000")=$C34)
        ),
        5,
        FALSE
    )
)</f>
        <v/>
      </c>
      <c r="O34" s="93">
        <f t="array" ref="O34">IF(
    VLOOKUP(
        $A34,
        _xlfn._xlws.FILTER(
            INDIRECT("'"&amp;O$1&amp;"'!A2:E1000"), (INDIRECT("'"&amp;O$1&amp;"'!B2:B1000")=$B34) * (INDIRECT("'"&amp;O$1&amp;"'!C2:C1000")=$C34)
        ),
        5,
        FALSE
    )=0,
    "",
    VLOOKUP(
        $A34,
        _xlfn._xlws.FILTER(
            INDIRECT("'"&amp;O$1&amp;"'!A2:E1000"), (INDIRECT("'"&amp;O$1&amp;"'!B2:B1000")=$B34) * (INDIRECT("'"&amp;O$1&amp;"'!C2:C1000")=$C34)
        ),
        5,
        FALSE
    )
)</f>
        <v/>
      </c>
    </row>
    <row r="35">
      <c r="B35" s="94" t="n"/>
    </row>
    <row r="36" ht="15.75" customHeight="1">
      <c r="A36" s="89" t="inlineStr">
        <is>
          <t>Regional</t>
        </is>
      </c>
      <c r="B36" s="89" t="inlineStr">
        <is>
          <t>Municípios</t>
        </is>
      </c>
      <c r="C36" s="89" t="inlineStr">
        <is>
          <t>UVR</t>
        </is>
      </c>
      <c r="D36" s="90" t="inlineStr">
        <is>
          <t>01.25</t>
        </is>
      </c>
      <c r="E36" s="90" t="inlineStr">
        <is>
          <t>02.25</t>
        </is>
      </c>
      <c r="F36" s="90" t="inlineStr">
        <is>
          <t>03.25</t>
        </is>
      </c>
      <c r="G36" s="90" t="inlineStr">
        <is>
          <t>04.25</t>
        </is>
      </c>
      <c r="H36" s="90" t="inlineStr">
        <is>
          <t>05.25</t>
        </is>
      </c>
      <c r="I36" s="90" t="inlineStr">
        <is>
          <t>06.25</t>
        </is>
      </c>
      <c r="J36" s="91" t="inlineStr">
        <is>
          <t>07.25</t>
        </is>
      </c>
      <c r="K36" s="91" t="inlineStr">
        <is>
          <t>08.25</t>
        </is>
      </c>
      <c r="L36" s="91" t="inlineStr">
        <is>
          <t>09.25</t>
        </is>
      </c>
      <c r="M36" s="91" t="inlineStr">
        <is>
          <t>10.25</t>
        </is>
      </c>
      <c r="N36" s="91" t="inlineStr">
        <is>
          <t>11.25</t>
        </is>
      </c>
      <c r="O36" s="91" t="inlineStr">
        <is>
          <t>12.25</t>
        </is>
      </c>
    </row>
    <row r="37">
      <c r="A37" s="56" t="inlineStr">
        <is>
          <t>Cifra</t>
        </is>
      </c>
      <c r="B37" s="92" t="inlineStr">
        <is>
          <t>Bela Vista da Caroba</t>
        </is>
      </c>
      <c r="C37" s="95" t="n">
        <v>1</v>
      </c>
      <c r="D37" s="93">
        <f t="array" ref="D37">IF(
    VLOOKUP(
        $A37,
        _xlfn._xlws.FILTER(
            INDIRECT("'"&amp;D$1&amp;"'!A2:E1000"), (INDIRECT("'"&amp;D$1&amp;"'!B2:B1000")=$B37) * (INDIRECT("'"&amp;D$1&amp;"'!C2:C1000")=$C37)
        ),
        5,
        FALSE
    )=0,
    "",
    VLOOKUP(
        $A37,
        _xlfn._xlws.FILTER(
            INDIRECT("'"&amp;D$1&amp;"'!A2:E1000"), (INDIRECT("'"&amp;D$1&amp;"'!B2:B1000")=$B37) * (INDIRECT("'"&amp;D$1&amp;"'!C2:C1000")=$C37)
        ),
        5,
        FALSE
    )
)</f>
        <v/>
      </c>
      <c r="E37" s="93">
        <f t="array" ref="E37">IF(
    VLOOKUP(
        $A37,
        _xlfn._xlws.FILTER(
            INDIRECT("'"&amp;E$1&amp;"'!A2:E1000"), (INDIRECT("'"&amp;E$1&amp;"'!B2:B1000")=$B37) * (INDIRECT("'"&amp;E$1&amp;"'!C2:C1000")=$C37)
        ),
        5,
        FALSE
    )=0,
    "",
    VLOOKUP(
        $A37,
        _xlfn._xlws.FILTER(
            INDIRECT("'"&amp;E$1&amp;"'!A2:E1000"), (INDIRECT("'"&amp;E$1&amp;"'!B2:B1000")=$B37) * (INDIRECT("'"&amp;E$1&amp;"'!C2:C1000")=$C37)
        ),
        5,
        FALSE
    )
)</f>
        <v/>
      </c>
      <c r="F37" s="93">
        <f t="array" ref="F37">IF(
    VLOOKUP(
        $A37,
        _xlfn._xlws.FILTER(
            INDIRECT("'"&amp;F$1&amp;"'!A2:E1000"), (INDIRECT("'"&amp;F$1&amp;"'!B2:B1000")=$B37) * (INDIRECT("'"&amp;F$1&amp;"'!C2:C1000")=$C37)
        ),
        5,
        FALSE
    )=0,
    "",
    VLOOKUP(
        $A37,
        _xlfn._xlws.FILTER(
            INDIRECT("'"&amp;F$1&amp;"'!A2:E1000"), (INDIRECT("'"&amp;F$1&amp;"'!B2:B1000")=$B37) * (INDIRECT("'"&amp;F$1&amp;"'!C2:C1000")=$C37)
        ),
        5,
        FALSE
    )
)</f>
        <v/>
      </c>
      <c r="G37" s="93">
        <f t="array" ref="G37">IF(
    VLOOKUP(
        $A37,
        _xlfn._xlws.FILTER(
            INDIRECT("'"&amp;G$1&amp;"'!A2:E1000"), (INDIRECT("'"&amp;G$1&amp;"'!B2:B1000")=$B37) * (INDIRECT("'"&amp;G$1&amp;"'!C2:C1000")=$C37)
        ),
        5,
        FALSE
    )=0,
    "",
    VLOOKUP(
        $A37,
        _xlfn._xlws.FILTER(
            INDIRECT("'"&amp;G$1&amp;"'!A2:E1000"), (INDIRECT("'"&amp;G$1&amp;"'!B2:B1000")=$B37) * (INDIRECT("'"&amp;G$1&amp;"'!C2:C1000")=$C37)
        ),
        5,
        FALSE
    )
)</f>
        <v/>
      </c>
      <c r="H37" s="93">
        <f t="array" ref="H37">IF(
    VLOOKUP(
        $A37,
        _xlfn._xlws.FILTER(
            INDIRECT("'"&amp;H$1&amp;"'!A2:E1000"), (INDIRECT("'"&amp;H$1&amp;"'!B2:B1000")=$B37) * (INDIRECT("'"&amp;H$1&amp;"'!C2:C1000")=$C37)
        ),
        5,
        FALSE
    )=0,
    "",
    VLOOKUP(
        $A37,
        _xlfn._xlws.FILTER(
            INDIRECT("'"&amp;H$1&amp;"'!A2:E1000"), (INDIRECT("'"&amp;H$1&amp;"'!B2:B1000")=$B37) * (INDIRECT("'"&amp;H$1&amp;"'!C2:C1000")=$C37)
        ),
        5,
        FALSE
    )
)</f>
        <v/>
      </c>
      <c r="I37" s="93">
        <f t="array" ref="I37">IF(
    VLOOKUP(
        $A37,
        _xlfn._xlws.FILTER(
            INDIRECT("'"&amp;I$1&amp;"'!A2:E1000"), (INDIRECT("'"&amp;I$1&amp;"'!B2:B1000")=$B37) * (INDIRECT("'"&amp;I$1&amp;"'!C2:C1000")=$C37)
        ),
        5,
        FALSE
    )=0,
    "",
    VLOOKUP(
        $A37,
        _xlfn._xlws.FILTER(
            INDIRECT("'"&amp;I$1&amp;"'!A2:E1000"), (INDIRECT("'"&amp;I$1&amp;"'!B2:B1000")=$B37) * (INDIRECT("'"&amp;I$1&amp;"'!C2:C1000")=$C37)
        ),
        5,
        FALSE
    )
)</f>
        <v/>
      </c>
      <c r="J37" s="93">
        <f t="array" ref="J37">IF(
    VLOOKUP(
        $A37,
        _xlfn._xlws.FILTER(
            INDIRECT("'"&amp;J$1&amp;"'!A2:E1000"), (INDIRECT("'"&amp;J$1&amp;"'!B2:B1000")=$B37) * (INDIRECT("'"&amp;J$1&amp;"'!C2:C1000")=$C37)
        ),
        5,
        FALSE
    )=0,
    "",
    VLOOKUP(
        $A37,
        _xlfn._xlws.FILTER(
            INDIRECT("'"&amp;J$1&amp;"'!A2:E1000"), (INDIRECT("'"&amp;J$1&amp;"'!B2:B1000")=$B37) * (INDIRECT("'"&amp;J$1&amp;"'!C2:C1000")=$C37)
        ),
        5,
        FALSE
    )
)</f>
        <v/>
      </c>
      <c r="K37" s="93">
        <f t="array" ref="K37">IF(
    VLOOKUP(
        $A37,
        _xlfn._xlws.FILTER(
            INDIRECT("'"&amp;K$1&amp;"'!A2:E1000"), (INDIRECT("'"&amp;K$1&amp;"'!B2:B1000")=$B37) * (INDIRECT("'"&amp;K$1&amp;"'!C2:C1000")=$C37)
        ),
        5,
        FALSE
    )=0,
    "",
    VLOOKUP(
        $A37,
        _xlfn._xlws.FILTER(
            INDIRECT("'"&amp;K$1&amp;"'!A2:E1000"), (INDIRECT("'"&amp;K$1&amp;"'!B2:B1000")=$B37) * (INDIRECT("'"&amp;K$1&amp;"'!C2:C1000")=$C37)
        ),
        5,
        FALSE
    )
)</f>
        <v/>
      </c>
      <c r="L37" s="93">
        <f t="array" ref="L37">IF(
    VLOOKUP(
        $A37,
        _xlfn._xlws.FILTER(
            INDIRECT("'"&amp;L$1&amp;"'!A2:E1000"), (INDIRECT("'"&amp;L$1&amp;"'!B2:B1000")=$B37) * (INDIRECT("'"&amp;L$1&amp;"'!C2:C1000")=$C37)
        ),
        5,
        FALSE
    )=0,
    "",
    VLOOKUP(
        $A37,
        _xlfn._xlws.FILTER(
            INDIRECT("'"&amp;L$1&amp;"'!A2:E1000"), (INDIRECT("'"&amp;L$1&amp;"'!B2:B1000")=$B37) * (INDIRECT("'"&amp;L$1&amp;"'!C2:C1000")=$C37)
        ),
        5,
        FALSE
    )
)</f>
        <v/>
      </c>
      <c r="M37" s="93">
        <f t="array" ref="M37">IF(
    VLOOKUP(
        $A37,
        _xlfn._xlws.FILTER(
            INDIRECT("'"&amp;M$1&amp;"'!A2:E1000"), (INDIRECT("'"&amp;M$1&amp;"'!B2:B1000")=$B37) * (INDIRECT("'"&amp;M$1&amp;"'!C2:C1000")=$C37)
        ),
        5,
        FALSE
    )=0,
    "",
    VLOOKUP(
        $A37,
        _xlfn._xlws.FILTER(
            INDIRECT("'"&amp;M$1&amp;"'!A2:E1000"), (INDIRECT("'"&amp;M$1&amp;"'!B2:B1000")=$B37) * (INDIRECT("'"&amp;M$1&amp;"'!C2:C1000")=$C37)
        ),
        5,
        FALSE
    )
)</f>
        <v/>
      </c>
      <c r="N37" s="93">
        <f t="array" ref="N37">IF(
    VLOOKUP(
        $A37,
        _xlfn._xlws.FILTER(
            INDIRECT("'"&amp;N$1&amp;"'!A2:E1000"), (INDIRECT("'"&amp;N$1&amp;"'!B2:B1000")=$B37) * (INDIRECT("'"&amp;N$1&amp;"'!C2:C1000")=$C37)
        ),
        5,
        FALSE
    )=0,
    "",
    VLOOKUP(
        $A37,
        _xlfn._xlws.FILTER(
            INDIRECT("'"&amp;N$1&amp;"'!A2:E1000"), (INDIRECT("'"&amp;N$1&amp;"'!B2:B1000")=$B37) * (INDIRECT("'"&amp;N$1&amp;"'!C2:C1000")=$C37)
        ),
        5,
        FALSE
    )
)</f>
        <v/>
      </c>
      <c r="O37" s="93">
        <f t="array" ref="O37">IF(
    VLOOKUP(
        $A37,
        _xlfn._xlws.FILTER(
            INDIRECT("'"&amp;O$1&amp;"'!A2:E1000"), (INDIRECT("'"&amp;O$1&amp;"'!B2:B1000")=$B37) * (INDIRECT("'"&amp;O$1&amp;"'!C2:C1000")=$C37)
        ),
        5,
        FALSE
    )=0,
    "",
    VLOOKUP(
        $A37,
        _xlfn._xlws.FILTER(
            INDIRECT("'"&amp;O$1&amp;"'!A2:E1000"), (INDIRECT("'"&amp;O$1&amp;"'!B2:B1000")=$B37) * (INDIRECT("'"&amp;O$1&amp;"'!C2:C1000")=$C37)
        ),
        5,
        FALSE
    )
)</f>
        <v/>
      </c>
    </row>
    <row r="38">
      <c r="A38" s="56" t="inlineStr">
        <is>
          <t>Cifra</t>
        </is>
      </c>
      <c r="B38" s="92" t="inlineStr">
        <is>
          <t>Perola d'Oeste</t>
        </is>
      </c>
      <c r="C38" s="95" t="n">
        <v>1</v>
      </c>
      <c r="D38" s="93">
        <f t="array" ref="D38">IF(
    VLOOKUP(
        $A38,
        _xlfn._xlws.FILTER(
            INDIRECT("'"&amp;D$1&amp;"'!A2:E1000"), (INDIRECT("'"&amp;D$1&amp;"'!B2:B1000")=$B38) * (INDIRECT("'"&amp;D$1&amp;"'!C2:C1000")=$C38)
        ),
        5,
        FALSE
    )=0,
    "",
    VLOOKUP(
        $A38,
        _xlfn._xlws.FILTER(
            INDIRECT("'"&amp;D$1&amp;"'!A2:E1000"), (INDIRECT("'"&amp;D$1&amp;"'!B2:B1000")=$B38) * (INDIRECT("'"&amp;D$1&amp;"'!C2:C1000")=$C38)
        ),
        5,
        FALSE
    )
)</f>
        <v/>
      </c>
      <c r="E38" s="93">
        <f t="array" ref="E38">IF(
    VLOOKUP(
        $A38,
        _xlfn._xlws.FILTER(
            INDIRECT("'"&amp;E$1&amp;"'!A2:E1000"), (INDIRECT("'"&amp;E$1&amp;"'!B2:B1000")=$B38) * (INDIRECT("'"&amp;E$1&amp;"'!C2:C1000")=$C38)
        ),
        5,
        FALSE
    )=0,
    "",
    VLOOKUP(
        $A38,
        _xlfn._xlws.FILTER(
            INDIRECT("'"&amp;E$1&amp;"'!A2:E1000"), (INDIRECT("'"&amp;E$1&amp;"'!B2:B1000")=$B38) * (INDIRECT("'"&amp;E$1&amp;"'!C2:C1000")=$C38)
        ),
        5,
        FALSE
    )
)</f>
        <v/>
      </c>
      <c r="F38" s="93">
        <f t="array" ref="F38">IF(
    VLOOKUP(
        $A38,
        _xlfn._xlws.FILTER(
            INDIRECT("'"&amp;F$1&amp;"'!A2:E1000"), (INDIRECT("'"&amp;F$1&amp;"'!B2:B1000")=$B38) * (INDIRECT("'"&amp;F$1&amp;"'!C2:C1000")=$C38)
        ),
        5,
        FALSE
    )=0,
    "",
    VLOOKUP(
        $A38,
        _xlfn._xlws.FILTER(
            INDIRECT("'"&amp;F$1&amp;"'!A2:E1000"), (INDIRECT("'"&amp;F$1&amp;"'!B2:B1000")=$B38) * (INDIRECT("'"&amp;F$1&amp;"'!C2:C1000")=$C38)
        ),
        5,
        FALSE
    )
)</f>
        <v/>
      </c>
      <c r="G38" s="93">
        <f t="array" ref="G38">IF(
    VLOOKUP(
        $A38,
        _xlfn._xlws.FILTER(
            INDIRECT("'"&amp;G$1&amp;"'!A2:E1000"), (INDIRECT("'"&amp;G$1&amp;"'!B2:B1000")=$B38) * (INDIRECT("'"&amp;G$1&amp;"'!C2:C1000")=$C38)
        ),
        5,
        FALSE
    )=0,
    "",
    VLOOKUP(
        $A38,
        _xlfn._xlws.FILTER(
            INDIRECT("'"&amp;G$1&amp;"'!A2:E1000"), (INDIRECT("'"&amp;G$1&amp;"'!B2:B1000")=$B38) * (INDIRECT("'"&amp;G$1&amp;"'!C2:C1000")=$C38)
        ),
        5,
        FALSE
    )
)</f>
        <v/>
      </c>
      <c r="H38" s="93">
        <f t="array" ref="H38">IF(
    VLOOKUP(
        $A38,
        _xlfn._xlws.FILTER(
            INDIRECT("'"&amp;H$1&amp;"'!A2:E1000"), (INDIRECT("'"&amp;H$1&amp;"'!B2:B1000")=$B38) * (INDIRECT("'"&amp;H$1&amp;"'!C2:C1000")=$C38)
        ),
        5,
        FALSE
    )=0,
    "",
    VLOOKUP(
        $A38,
        _xlfn._xlws.FILTER(
            INDIRECT("'"&amp;H$1&amp;"'!A2:E1000"), (INDIRECT("'"&amp;H$1&amp;"'!B2:B1000")=$B38) * (INDIRECT("'"&amp;H$1&amp;"'!C2:C1000")=$C38)
        ),
        5,
        FALSE
    )
)</f>
        <v/>
      </c>
      <c r="I38" s="93">
        <f t="array" ref="I38">IF(
    VLOOKUP(
        $A38,
        _xlfn._xlws.FILTER(
            INDIRECT("'"&amp;I$1&amp;"'!A2:E1000"), (INDIRECT("'"&amp;I$1&amp;"'!B2:B1000")=$B38) * (INDIRECT("'"&amp;I$1&amp;"'!C2:C1000")=$C38)
        ),
        5,
        FALSE
    )=0,
    "",
    VLOOKUP(
        $A38,
        _xlfn._xlws.FILTER(
            INDIRECT("'"&amp;I$1&amp;"'!A2:E1000"), (INDIRECT("'"&amp;I$1&amp;"'!B2:B1000")=$B38) * (INDIRECT("'"&amp;I$1&amp;"'!C2:C1000")=$C38)
        ),
        5,
        FALSE
    )
)</f>
        <v/>
      </c>
      <c r="J38" s="93">
        <f t="array" ref="J38">IF(
    VLOOKUP(
        $A38,
        _xlfn._xlws.FILTER(
            INDIRECT("'"&amp;J$1&amp;"'!A2:E1000"), (INDIRECT("'"&amp;J$1&amp;"'!B2:B1000")=$B38) * (INDIRECT("'"&amp;J$1&amp;"'!C2:C1000")=$C38)
        ),
        5,
        FALSE
    )=0,
    "",
    VLOOKUP(
        $A38,
        _xlfn._xlws.FILTER(
            INDIRECT("'"&amp;J$1&amp;"'!A2:E1000"), (INDIRECT("'"&amp;J$1&amp;"'!B2:B1000")=$B38) * (INDIRECT("'"&amp;J$1&amp;"'!C2:C1000")=$C38)
        ),
        5,
        FALSE
    )
)</f>
        <v/>
      </c>
      <c r="K38" s="93">
        <f t="array" ref="K38">IF(
    VLOOKUP(
        $A38,
        _xlfn._xlws.FILTER(
            INDIRECT("'"&amp;K$1&amp;"'!A2:E1000"), (INDIRECT("'"&amp;K$1&amp;"'!B2:B1000")=$B38) * (INDIRECT("'"&amp;K$1&amp;"'!C2:C1000")=$C38)
        ),
        5,
        FALSE
    )=0,
    "",
    VLOOKUP(
        $A38,
        _xlfn._xlws.FILTER(
            INDIRECT("'"&amp;K$1&amp;"'!A2:E1000"), (INDIRECT("'"&amp;K$1&amp;"'!B2:B1000")=$B38) * (INDIRECT("'"&amp;K$1&amp;"'!C2:C1000")=$C38)
        ),
        5,
        FALSE
    )
)</f>
        <v/>
      </c>
      <c r="L38" s="93">
        <f t="array" ref="L38">IF(
    VLOOKUP(
        $A38,
        _xlfn._xlws.FILTER(
            INDIRECT("'"&amp;L$1&amp;"'!A2:E1000"), (INDIRECT("'"&amp;L$1&amp;"'!B2:B1000")=$B38) * (INDIRECT("'"&amp;L$1&amp;"'!C2:C1000")=$C38)
        ),
        5,
        FALSE
    )=0,
    "",
    VLOOKUP(
        $A38,
        _xlfn._xlws.FILTER(
            INDIRECT("'"&amp;L$1&amp;"'!A2:E1000"), (INDIRECT("'"&amp;L$1&amp;"'!B2:B1000")=$B38) * (INDIRECT("'"&amp;L$1&amp;"'!C2:C1000")=$C38)
        ),
        5,
        FALSE
    )
)</f>
        <v/>
      </c>
      <c r="M38" s="93">
        <f t="array" ref="M38">IF(
    VLOOKUP(
        $A38,
        _xlfn._xlws.FILTER(
            INDIRECT("'"&amp;M$1&amp;"'!A2:E1000"), (INDIRECT("'"&amp;M$1&amp;"'!B2:B1000")=$B38) * (INDIRECT("'"&amp;M$1&amp;"'!C2:C1000")=$C38)
        ),
        5,
        FALSE
    )=0,
    "",
    VLOOKUP(
        $A38,
        _xlfn._xlws.FILTER(
            INDIRECT("'"&amp;M$1&amp;"'!A2:E1000"), (INDIRECT("'"&amp;M$1&amp;"'!B2:B1000")=$B38) * (INDIRECT("'"&amp;M$1&amp;"'!C2:C1000")=$C38)
        ),
        5,
        FALSE
    )
)</f>
        <v/>
      </c>
      <c r="N38" s="93">
        <f t="array" ref="N38">IF(
    VLOOKUP(
        $A38,
        _xlfn._xlws.FILTER(
            INDIRECT("'"&amp;N$1&amp;"'!A2:E1000"), (INDIRECT("'"&amp;N$1&amp;"'!B2:B1000")=$B38) * (INDIRECT("'"&amp;N$1&amp;"'!C2:C1000")=$C38)
        ),
        5,
        FALSE
    )=0,
    "",
    VLOOKUP(
        $A38,
        _xlfn._xlws.FILTER(
            INDIRECT("'"&amp;N$1&amp;"'!A2:E1000"), (INDIRECT("'"&amp;N$1&amp;"'!B2:B1000")=$B38) * (INDIRECT("'"&amp;N$1&amp;"'!C2:C1000")=$C38)
        ),
        5,
        FALSE
    )
)</f>
        <v/>
      </c>
      <c r="O38" s="93">
        <f t="array" ref="O38">IF(
    VLOOKUP(
        $A38,
        _xlfn._xlws.FILTER(
            INDIRECT("'"&amp;O$1&amp;"'!A2:E1000"), (INDIRECT("'"&amp;O$1&amp;"'!B2:B1000")=$B38) * (INDIRECT("'"&amp;O$1&amp;"'!C2:C1000")=$C38)
        ),
        5,
        FALSE
    )=0,
    "",
    VLOOKUP(
        $A38,
        _xlfn._xlws.FILTER(
            INDIRECT("'"&amp;O$1&amp;"'!A2:E1000"), (INDIRECT("'"&amp;O$1&amp;"'!B2:B1000")=$B38) * (INDIRECT("'"&amp;O$1&amp;"'!C2:C1000")=$C38)
        ),
        5,
        FALSE
    )
)</f>
        <v/>
      </c>
    </row>
    <row r="39">
      <c r="A39" s="56" t="inlineStr">
        <is>
          <t>Cifra</t>
        </is>
      </c>
      <c r="B39" s="92" t="inlineStr">
        <is>
          <t>Planalto</t>
        </is>
      </c>
      <c r="C39" s="95" t="n">
        <v>1</v>
      </c>
      <c r="D39" s="93">
        <f t="array" ref="D39">IF(
    VLOOKUP(
        $A39,
        _xlfn._xlws.FILTER(
            INDIRECT("'"&amp;D$1&amp;"'!A2:E1000"), (INDIRECT("'"&amp;D$1&amp;"'!B2:B1000")=$B39) * (INDIRECT("'"&amp;D$1&amp;"'!C2:C1000")=$C39)
        ),
        5,
        FALSE
    )=0,
    "",
    VLOOKUP(
        $A39,
        _xlfn._xlws.FILTER(
            INDIRECT("'"&amp;D$1&amp;"'!A2:E1000"), (INDIRECT("'"&amp;D$1&amp;"'!B2:B1000")=$B39) * (INDIRECT("'"&amp;D$1&amp;"'!C2:C1000")=$C39)
        ),
        5,
        FALSE
    )
)</f>
        <v/>
      </c>
      <c r="E39" s="93">
        <f t="array" ref="E39">IF(
    VLOOKUP(
        $A39,
        _xlfn._xlws.FILTER(
            INDIRECT("'"&amp;E$1&amp;"'!A2:E1000"), (INDIRECT("'"&amp;E$1&amp;"'!B2:B1000")=$B39) * (INDIRECT("'"&amp;E$1&amp;"'!C2:C1000")=$C39)
        ),
        5,
        FALSE
    )=0,
    "",
    VLOOKUP(
        $A39,
        _xlfn._xlws.FILTER(
            INDIRECT("'"&amp;E$1&amp;"'!A2:E1000"), (INDIRECT("'"&amp;E$1&amp;"'!B2:B1000")=$B39) * (INDIRECT("'"&amp;E$1&amp;"'!C2:C1000")=$C39)
        ),
        5,
        FALSE
    )
)</f>
        <v/>
      </c>
      <c r="F39" s="93">
        <f t="array" ref="F39">IF(
    VLOOKUP(
        $A39,
        _xlfn._xlws.FILTER(
            INDIRECT("'"&amp;F$1&amp;"'!A2:E1000"), (INDIRECT("'"&amp;F$1&amp;"'!B2:B1000")=$B39) * (INDIRECT("'"&amp;F$1&amp;"'!C2:C1000")=$C39)
        ),
        5,
        FALSE
    )=0,
    "",
    VLOOKUP(
        $A39,
        _xlfn._xlws.FILTER(
            INDIRECT("'"&amp;F$1&amp;"'!A2:E1000"), (INDIRECT("'"&amp;F$1&amp;"'!B2:B1000")=$B39) * (INDIRECT("'"&amp;F$1&amp;"'!C2:C1000")=$C39)
        ),
        5,
        FALSE
    )
)</f>
        <v/>
      </c>
      <c r="G39" s="93">
        <f t="array" ref="G39">IF(
    VLOOKUP(
        $A39,
        _xlfn._xlws.FILTER(
            INDIRECT("'"&amp;G$1&amp;"'!A2:E1000"), (INDIRECT("'"&amp;G$1&amp;"'!B2:B1000")=$B39) * (INDIRECT("'"&amp;G$1&amp;"'!C2:C1000")=$C39)
        ),
        5,
        FALSE
    )=0,
    "",
    VLOOKUP(
        $A39,
        _xlfn._xlws.FILTER(
            INDIRECT("'"&amp;G$1&amp;"'!A2:E1000"), (INDIRECT("'"&amp;G$1&amp;"'!B2:B1000")=$B39) * (INDIRECT("'"&amp;G$1&amp;"'!C2:C1000")=$C39)
        ),
        5,
        FALSE
    )
)</f>
        <v/>
      </c>
      <c r="H39" s="93">
        <f t="array" ref="H39">IF(
    VLOOKUP(
        $A39,
        _xlfn._xlws.FILTER(
            INDIRECT("'"&amp;H$1&amp;"'!A2:E1000"), (INDIRECT("'"&amp;H$1&amp;"'!B2:B1000")=$B39) * (INDIRECT("'"&amp;H$1&amp;"'!C2:C1000")=$C39)
        ),
        5,
        FALSE
    )=0,
    "",
    VLOOKUP(
        $A39,
        _xlfn._xlws.FILTER(
            INDIRECT("'"&amp;H$1&amp;"'!A2:E1000"), (INDIRECT("'"&amp;H$1&amp;"'!B2:B1000")=$B39) * (INDIRECT("'"&amp;H$1&amp;"'!C2:C1000")=$C39)
        ),
        5,
        FALSE
    )
)</f>
        <v/>
      </c>
      <c r="I39" s="93">
        <f t="array" ref="I39">IF(
    VLOOKUP(
        $A39,
        _xlfn._xlws.FILTER(
            INDIRECT("'"&amp;I$1&amp;"'!A2:E1000"), (INDIRECT("'"&amp;I$1&amp;"'!B2:B1000")=$B39) * (INDIRECT("'"&amp;I$1&amp;"'!C2:C1000")=$C39)
        ),
        5,
        FALSE
    )=0,
    "",
    VLOOKUP(
        $A39,
        _xlfn._xlws.FILTER(
            INDIRECT("'"&amp;I$1&amp;"'!A2:E1000"), (INDIRECT("'"&amp;I$1&amp;"'!B2:B1000")=$B39) * (INDIRECT("'"&amp;I$1&amp;"'!C2:C1000")=$C39)
        ),
        5,
        FALSE
    )
)</f>
        <v/>
      </c>
      <c r="J39" s="93">
        <f t="array" ref="J39">IF(
    VLOOKUP(
        $A39,
        _xlfn._xlws.FILTER(
            INDIRECT("'"&amp;J$1&amp;"'!A2:E1000"), (INDIRECT("'"&amp;J$1&amp;"'!B2:B1000")=$B39) * (INDIRECT("'"&amp;J$1&amp;"'!C2:C1000")=$C39)
        ),
        5,
        FALSE
    )=0,
    "",
    VLOOKUP(
        $A39,
        _xlfn._xlws.FILTER(
            INDIRECT("'"&amp;J$1&amp;"'!A2:E1000"), (INDIRECT("'"&amp;J$1&amp;"'!B2:B1000")=$B39) * (INDIRECT("'"&amp;J$1&amp;"'!C2:C1000")=$C39)
        ),
        5,
        FALSE
    )
)</f>
        <v/>
      </c>
      <c r="K39" s="93">
        <f t="array" ref="K39">IF(
    VLOOKUP(
        $A39,
        _xlfn._xlws.FILTER(
            INDIRECT("'"&amp;K$1&amp;"'!A2:E1000"), (INDIRECT("'"&amp;K$1&amp;"'!B2:B1000")=$B39) * (INDIRECT("'"&amp;K$1&amp;"'!C2:C1000")=$C39)
        ),
        5,
        FALSE
    )=0,
    "",
    VLOOKUP(
        $A39,
        _xlfn._xlws.FILTER(
            INDIRECT("'"&amp;K$1&amp;"'!A2:E1000"), (INDIRECT("'"&amp;K$1&amp;"'!B2:B1000")=$B39) * (INDIRECT("'"&amp;K$1&amp;"'!C2:C1000")=$C39)
        ),
        5,
        FALSE
    )
)</f>
        <v/>
      </c>
      <c r="L39" s="93">
        <f t="array" ref="L39">IF(
    VLOOKUP(
        $A39,
        _xlfn._xlws.FILTER(
            INDIRECT("'"&amp;L$1&amp;"'!A2:E1000"), (INDIRECT("'"&amp;L$1&amp;"'!B2:B1000")=$B39) * (INDIRECT("'"&amp;L$1&amp;"'!C2:C1000")=$C39)
        ),
        5,
        FALSE
    )=0,
    "",
    VLOOKUP(
        $A39,
        _xlfn._xlws.FILTER(
            INDIRECT("'"&amp;L$1&amp;"'!A2:E1000"), (INDIRECT("'"&amp;L$1&amp;"'!B2:B1000")=$B39) * (INDIRECT("'"&amp;L$1&amp;"'!C2:C1000")=$C39)
        ),
        5,
        FALSE
    )
)</f>
        <v/>
      </c>
      <c r="M39" s="93">
        <f t="array" ref="M39">IF(
    VLOOKUP(
        $A39,
        _xlfn._xlws.FILTER(
            INDIRECT("'"&amp;M$1&amp;"'!A2:E1000"), (INDIRECT("'"&amp;M$1&amp;"'!B2:B1000")=$B39) * (INDIRECT("'"&amp;M$1&amp;"'!C2:C1000")=$C39)
        ),
        5,
        FALSE
    )=0,
    "",
    VLOOKUP(
        $A39,
        _xlfn._xlws.FILTER(
            INDIRECT("'"&amp;M$1&amp;"'!A2:E1000"), (INDIRECT("'"&amp;M$1&amp;"'!B2:B1000")=$B39) * (INDIRECT("'"&amp;M$1&amp;"'!C2:C1000")=$C39)
        ),
        5,
        FALSE
    )
)</f>
        <v/>
      </c>
      <c r="N39" s="93">
        <f t="array" ref="N39">IF(
    VLOOKUP(
        $A39,
        _xlfn._xlws.FILTER(
            INDIRECT("'"&amp;N$1&amp;"'!A2:E1000"), (INDIRECT("'"&amp;N$1&amp;"'!B2:B1000")=$B39) * (INDIRECT("'"&amp;N$1&amp;"'!C2:C1000")=$C39)
        ),
        5,
        FALSE
    )=0,
    "",
    VLOOKUP(
        $A39,
        _xlfn._xlws.FILTER(
            INDIRECT("'"&amp;N$1&amp;"'!A2:E1000"), (INDIRECT("'"&amp;N$1&amp;"'!B2:B1000")=$B39) * (INDIRECT("'"&amp;N$1&amp;"'!C2:C1000")=$C39)
        ),
        5,
        FALSE
    )
)</f>
        <v/>
      </c>
      <c r="O39" s="93">
        <f t="array" ref="O39">IF(
    VLOOKUP(
        $A39,
        _xlfn._xlws.FILTER(
            INDIRECT("'"&amp;O$1&amp;"'!A2:E1000"), (INDIRECT("'"&amp;O$1&amp;"'!B2:B1000")=$B39) * (INDIRECT("'"&amp;O$1&amp;"'!C2:C1000")=$C39)
        ),
        5,
        FALSE
    )=0,
    "",
    VLOOKUP(
        $A39,
        _xlfn._xlws.FILTER(
            INDIRECT("'"&amp;O$1&amp;"'!A2:E1000"), (INDIRECT("'"&amp;O$1&amp;"'!B2:B1000")=$B39) * (INDIRECT("'"&amp;O$1&amp;"'!C2:C1000")=$C39)
        ),
        5,
        FALSE
    )
)</f>
        <v/>
      </c>
    </row>
    <row r="40">
      <c r="A40" s="56" t="inlineStr">
        <is>
          <t>Cifra</t>
        </is>
      </c>
      <c r="B40" s="92" t="inlineStr">
        <is>
          <t>Santo Antonio do Sudoeste</t>
        </is>
      </c>
      <c r="C40" s="95" t="n">
        <v>1</v>
      </c>
      <c r="D40" s="93">
        <f t="array" ref="D40">IF(
    VLOOKUP(
        $A40,
        _xlfn._xlws.FILTER(
            INDIRECT("'"&amp;D$1&amp;"'!A2:E1000"), (INDIRECT("'"&amp;D$1&amp;"'!B2:B1000")=$B40) * (INDIRECT("'"&amp;D$1&amp;"'!C2:C1000")=$C40)
        ),
        5,
        FALSE
    )=0,
    "",
    VLOOKUP(
        $A40,
        _xlfn._xlws.FILTER(
            INDIRECT("'"&amp;D$1&amp;"'!A2:E1000"), (INDIRECT("'"&amp;D$1&amp;"'!B2:B1000")=$B40) * (INDIRECT("'"&amp;D$1&amp;"'!C2:C1000")=$C40)
        ),
        5,
        FALSE
    )
)</f>
        <v/>
      </c>
      <c r="E40" s="93">
        <f t="array" ref="E40">IF(
    VLOOKUP(
        $A40,
        _xlfn._xlws.FILTER(
            INDIRECT("'"&amp;E$1&amp;"'!A2:E1000"), (INDIRECT("'"&amp;E$1&amp;"'!B2:B1000")=$B40) * (INDIRECT("'"&amp;E$1&amp;"'!C2:C1000")=$C40)
        ),
        5,
        FALSE
    )=0,
    "",
    VLOOKUP(
        $A40,
        _xlfn._xlws.FILTER(
            INDIRECT("'"&amp;E$1&amp;"'!A2:E1000"), (INDIRECT("'"&amp;E$1&amp;"'!B2:B1000")=$B40) * (INDIRECT("'"&amp;E$1&amp;"'!C2:C1000")=$C40)
        ),
        5,
        FALSE
    )
)</f>
        <v/>
      </c>
      <c r="F40" s="93">
        <f t="array" ref="F40">IF(
    VLOOKUP(
        $A40,
        _xlfn._xlws.FILTER(
            INDIRECT("'"&amp;F$1&amp;"'!A2:E1000"), (INDIRECT("'"&amp;F$1&amp;"'!B2:B1000")=$B40) * (INDIRECT("'"&amp;F$1&amp;"'!C2:C1000")=$C40)
        ),
        5,
        FALSE
    )=0,
    "",
    VLOOKUP(
        $A40,
        _xlfn._xlws.FILTER(
            INDIRECT("'"&amp;F$1&amp;"'!A2:E1000"), (INDIRECT("'"&amp;F$1&amp;"'!B2:B1000")=$B40) * (INDIRECT("'"&amp;F$1&amp;"'!C2:C1000")=$C40)
        ),
        5,
        FALSE
    )
)</f>
        <v/>
      </c>
      <c r="G40" s="93">
        <f t="array" ref="G40">IF(
    VLOOKUP(
        $A40,
        _xlfn._xlws.FILTER(
            INDIRECT("'"&amp;G$1&amp;"'!A2:E1000"), (INDIRECT("'"&amp;G$1&amp;"'!B2:B1000")=$B40) * (INDIRECT("'"&amp;G$1&amp;"'!C2:C1000")=$C40)
        ),
        5,
        FALSE
    )=0,
    "",
    VLOOKUP(
        $A40,
        _xlfn._xlws.FILTER(
            INDIRECT("'"&amp;G$1&amp;"'!A2:E1000"), (INDIRECT("'"&amp;G$1&amp;"'!B2:B1000")=$B40) * (INDIRECT("'"&amp;G$1&amp;"'!C2:C1000")=$C40)
        ),
        5,
        FALSE
    )
)</f>
        <v/>
      </c>
      <c r="H40" s="93">
        <f t="array" ref="H40">IF(
    VLOOKUP(
        $A40,
        _xlfn._xlws.FILTER(
            INDIRECT("'"&amp;H$1&amp;"'!A2:E1000"), (INDIRECT("'"&amp;H$1&amp;"'!B2:B1000")=$B40) * (INDIRECT("'"&amp;H$1&amp;"'!C2:C1000")=$C40)
        ),
        5,
        FALSE
    )=0,
    "",
    VLOOKUP(
        $A40,
        _xlfn._xlws.FILTER(
            INDIRECT("'"&amp;H$1&amp;"'!A2:E1000"), (INDIRECT("'"&amp;H$1&amp;"'!B2:B1000")=$B40) * (INDIRECT("'"&amp;H$1&amp;"'!C2:C1000")=$C40)
        ),
        5,
        FALSE
    )
)</f>
        <v/>
      </c>
      <c r="I40" s="93">
        <f t="array" ref="I40">IF(
    VLOOKUP(
        $A40,
        _xlfn._xlws.FILTER(
            INDIRECT("'"&amp;I$1&amp;"'!A2:E1000"), (INDIRECT("'"&amp;I$1&amp;"'!B2:B1000")=$B40) * (INDIRECT("'"&amp;I$1&amp;"'!C2:C1000")=$C40)
        ),
        5,
        FALSE
    )=0,
    "",
    VLOOKUP(
        $A40,
        _xlfn._xlws.FILTER(
            INDIRECT("'"&amp;I$1&amp;"'!A2:E1000"), (INDIRECT("'"&amp;I$1&amp;"'!B2:B1000")=$B40) * (INDIRECT("'"&amp;I$1&amp;"'!C2:C1000")=$C40)
        ),
        5,
        FALSE
    )
)</f>
        <v/>
      </c>
      <c r="J40" s="93">
        <f t="array" ref="J40">IF(
    VLOOKUP(
        $A40,
        _xlfn._xlws.FILTER(
            INDIRECT("'"&amp;J$1&amp;"'!A2:E1000"), (INDIRECT("'"&amp;J$1&amp;"'!B2:B1000")=$B40) * (INDIRECT("'"&amp;J$1&amp;"'!C2:C1000")=$C40)
        ),
        5,
        FALSE
    )=0,
    "",
    VLOOKUP(
        $A40,
        _xlfn._xlws.FILTER(
            INDIRECT("'"&amp;J$1&amp;"'!A2:E1000"), (INDIRECT("'"&amp;J$1&amp;"'!B2:B1000")=$B40) * (INDIRECT("'"&amp;J$1&amp;"'!C2:C1000")=$C40)
        ),
        5,
        FALSE
    )
)</f>
        <v/>
      </c>
      <c r="K40" s="93">
        <f t="array" ref="K40">IF(
    VLOOKUP(
        $A40,
        _xlfn._xlws.FILTER(
            INDIRECT("'"&amp;K$1&amp;"'!A2:E1000"), (INDIRECT("'"&amp;K$1&amp;"'!B2:B1000")=$B40) * (INDIRECT("'"&amp;K$1&amp;"'!C2:C1000")=$C40)
        ),
        5,
        FALSE
    )=0,
    "",
    VLOOKUP(
        $A40,
        _xlfn._xlws.FILTER(
            INDIRECT("'"&amp;K$1&amp;"'!A2:E1000"), (INDIRECT("'"&amp;K$1&amp;"'!B2:B1000")=$B40) * (INDIRECT("'"&amp;K$1&amp;"'!C2:C1000")=$C40)
        ),
        5,
        FALSE
    )
)</f>
        <v/>
      </c>
      <c r="L40" s="93">
        <f t="array" ref="L40">IF(
    VLOOKUP(
        $A40,
        _xlfn._xlws.FILTER(
            INDIRECT("'"&amp;L$1&amp;"'!A2:E1000"), (INDIRECT("'"&amp;L$1&amp;"'!B2:B1000")=$B40) * (INDIRECT("'"&amp;L$1&amp;"'!C2:C1000")=$C40)
        ),
        5,
        FALSE
    )=0,
    "",
    VLOOKUP(
        $A40,
        _xlfn._xlws.FILTER(
            INDIRECT("'"&amp;L$1&amp;"'!A2:E1000"), (INDIRECT("'"&amp;L$1&amp;"'!B2:B1000")=$B40) * (INDIRECT("'"&amp;L$1&amp;"'!C2:C1000")=$C40)
        ),
        5,
        FALSE
    )
)</f>
        <v/>
      </c>
      <c r="M40" s="93">
        <f t="array" ref="M40">IF(
    VLOOKUP(
        $A40,
        _xlfn._xlws.FILTER(
            INDIRECT("'"&amp;M$1&amp;"'!A2:E1000"), (INDIRECT("'"&amp;M$1&amp;"'!B2:B1000")=$B40) * (INDIRECT("'"&amp;M$1&amp;"'!C2:C1000")=$C40)
        ),
        5,
        FALSE
    )=0,
    "",
    VLOOKUP(
        $A40,
        _xlfn._xlws.FILTER(
            INDIRECT("'"&amp;M$1&amp;"'!A2:E1000"), (INDIRECT("'"&amp;M$1&amp;"'!B2:B1000")=$B40) * (INDIRECT("'"&amp;M$1&amp;"'!C2:C1000")=$C40)
        ),
        5,
        FALSE
    )
)</f>
        <v/>
      </c>
      <c r="N40" s="93">
        <f t="array" ref="N40">IF(
    VLOOKUP(
        $A40,
        _xlfn._xlws.FILTER(
            INDIRECT("'"&amp;N$1&amp;"'!A2:E1000"), (INDIRECT("'"&amp;N$1&amp;"'!B2:B1000")=$B40) * (INDIRECT("'"&amp;N$1&amp;"'!C2:C1000")=$C40)
        ),
        5,
        FALSE
    )=0,
    "",
    VLOOKUP(
        $A40,
        _xlfn._xlws.FILTER(
            INDIRECT("'"&amp;N$1&amp;"'!A2:E1000"), (INDIRECT("'"&amp;N$1&amp;"'!B2:B1000")=$B40) * (INDIRECT("'"&amp;N$1&amp;"'!C2:C1000")=$C40)
        ),
        5,
        FALSE
    )
)</f>
        <v/>
      </c>
      <c r="O40" s="93">
        <f t="array" ref="O40">IF(
    VLOOKUP(
        $A40,
        _xlfn._xlws.FILTER(
            INDIRECT("'"&amp;O$1&amp;"'!A2:E1000"), (INDIRECT("'"&amp;O$1&amp;"'!B2:B1000")=$B40) * (INDIRECT("'"&amp;O$1&amp;"'!C2:C1000")=$C40)
        ),
        5,
        FALSE
    )=0,
    "",
    VLOOKUP(
        $A40,
        _xlfn._xlws.FILTER(
            INDIRECT("'"&amp;O$1&amp;"'!A2:E1000"), (INDIRECT("'"&amp;O$1&amp;"'!B2:B1000")=$B40) * (INDIRECT("'"&amp;O$1&amp;"'!C2:C1000")=$C40)
        ),
        5,
        FALSE
    )
)</f>
        <v/>
      </c>
    </row>
    <row r="41">
      <c r="B41" s="94" t="n"/>
    </row>
    <row r="42" ht="15.75" customHeight="1">
      <c r="A42" s="89" t="inlineStr">
        <is>
          <t>Regional</t>
        </is>
      </c>
      <c r="B42" s="89" t="inlineStr">
        <is>
          <t>Municípios</t>
        </is>
      </c>
      <c r="C42" s="89" t="inlineStr">
        <is>
          <t>UVR</t>
        </is>
      </c>
      <c r="D42" s="90" t="inlineStr">
        <is>
          <t>01.25</t>
        </is>
      </c>
      <c r="E42" s="90" t="inlineStr">
        <is>
          <t>02.25</t>
        </is>
      </c>
      <c r="F42" s="90" t="inlineStr">
        <is>
          <t>03.25</t>
        </is>
      </c>
      <c r="G42" s="90" t="inlineStr">
        <is>
          <t>04.25</t>
        </is>
      </c>
      <c r="H42" s="90" t="inlineStr">
        <is>
          <t>05.25</t>
        </is>
      </c>
      <c r="I42" s="90" t="inlineStr">
        <is>
          <t>06.25</t>
        </is>
      </c>
      <c r="J42" s="91" t="inlineStr">
        <is>
          <t>07.25</t>
        </is>
      </c>
      <c r="K42" s="91" t="inlineStr">
        <is>
          <t>08.25</t>
        </is>
      </c>
      <c r="L42" s="91" t="inlineStr">
        <is>
          <t>09.25</t>
        </is>
      </c>
      <c r="M42" s="91" t="inlineStr">
        <is>
          <t>10.25</t>
        </is>
      </c>
      <c r="N42" s="91" t="inlineStr">
        <is>
          <t>11.25</t>
        </is>
      </c>
      <c r="O42" s="91" t="inlineStr">
        <is>
          <t>12.25</t>
        </is>
      </c>
    </row>
    <row r="43">
      <c r="A43" s="58" t="inlineStr">
        <is>
          <t>Conisul</t>
        </is>
      </c>
      <c r="B43" s="92" t="inlineStr">
        <is>
          <t>Amambai</t>
        </is>
      </c>
      <c r="C43" s="95" t="n">
        <v>1</v>
      </c>
      <c r="D43" s="93">
        <f t="array" ref="D43">IF(
    VLOOKUP(
        $A43,
        _xlfn._xlws.FILTER(
            INDIRECT("'"&amp;D$1&amp;"'!A2:E1000"), (INDIRECT("'"&amp;D$1&amp;"'!B2:B1000")=$B43) * (INDIRECT("'"&amp;D$1&amp;"'!C2:C1000")=$C43)
        ),
        5,
        FALSE
    )=0,
    "",
    VLOOKUP(
        $A43,
        _xlfn._xlws.FILTER(
            INDIRECT("'"&amp;D$1&amp;"'!A2:E1000"), (INDIRECT("'"&amp;D$1&amp;"'!B2:B1000")=$B43) * (INDIRECT("'"&amp;D$1&amp;"'!C2:C1000")=$C43)
        ),
        5,
        FALSE
    )
)</f>
        <v/>
      </c>
      <c r="E43" s="93">
        <f t="array" ref="E43">IF(
    VLOOKUP(
        $A43,
        _xlfn._xlws.FILTER(
            INDIRECT("'"&amp;E$1&amp;"'!A2:E1000"), (INDIRECT("'"&amp;E$1&amp;"'!B2:B1000")=$B43) * (INDIRECT("'"&amp;E$1&amp;"'!C2:C1000")=$C43)
        ),
        5,
        FALSE
    )=0,
    "",
    VLOOKUP(
        $A43,
        _xlfn._xlws.FILTER(
            INDIRECT("'"&amp;E$1&amp;"'!A2:E1000"), (INDIRECT("'"&amp;E$1&amp;"'!B2:B1000")=$B43) * (INDIRECT("'"&amp;E$1&amp;"'!C2:C1000")=$C43)
        ),
        5,
        FALSE
    )
)</f>
        <v/>
      </c>
      <c r="F43" s="93">
        <f t="array" ref="F43">IF(
    VLOOKUP(
        $A43,
        _xlfn._xlws.FILTER(
            INDIRECT("'"&amp;F$1&amp;"'!A2:E1000"), (INDIRECT("'"&amp;F$1&amp;"'!B2:B1000")=$B43) * (INDIRECT("'"&amp;F$1&amp;"'!C2:C1000")=$C43)
        ),
        5,
        FALSE
    )=0,
    "",
    VLOOKUP(
        $A43,
        _xlfn._xlws.FILTER(
            INDIRECT("'"&amp;F$1&amp;"'!A2:E1000"), (INDIRECT("'"&amp;F$1&amp;"'!B2:B1000")=$B43) * (INDIRECT("'"&amp;F$1&amp;"'!C2:C1000")=$C43)
        ),
        5,
        FALSE
    )
)</f>
        <v/>
      </c>
      <c r="G43" s="93">
        <f t="array" ref="G43">IF(
    VLOOKUP(
        $A43,
        _xlfn._xlws.FILTER(
            INDIRECT("'"&amp;G$1&amp;"'!A2:E1000"), (INDIRECT("'"&amp;G$1&amp;"'!B2:B1000")=$B43) * (INDIRECT("'"&amp;G$1&amp;"'!C2:C1000")=$C43)
        ),
        5,
        FALSE
    )=0,
    "",
    VLOOKUP(
        $A43,
        _xlfn._xlws.FILTER(
            INDIRECT("'"&amp;G$1&amp;"'!A2:E1000"), (INDIRECT("'"&amp;G$1&amp;"'!B2:B1000")=$B43) * (INDIRECT("'"&amp;G$1&amp;"'!C2:C1000")=$C43)
        ),
        5,
        FALSE
    )
)</f>
        <v/>
      </c>
      <c r="H43" s="93">
        <f t="array" ref="H43">IF(
    VLOOKUP(
        $A43,
        _xlfn._xlws.FILTER(
            INDIRECT("'"&amp;H$1&amp;"'!A2:E1000"), (INDIRECT("'"&amp;H$1&amp;"'!B2:B1000")=$B43) * (INDIRECT("'"&amp;H$1&amp;"'!C2:C1000")=$C43)
        ),
        5,
        FALSE
    )=0,
    "",
    VLOOKUP(
        $A43,
        _xlfn._xlws.FILTER(
            INDIRECT("'"&amp;H$1&amp;"'!A2:E1000"), (INDIRECT("'"&amp;H$1&amp;"'!B2:B1000")=$B43) * (INDIRECT("'"&amp;H$1&amp;"'!C2:C1000")=$C43)
        ),
        5,
        FALSE
    )
)</f>
        <v/>
      </c>
      <c r="I43" s="93">
        <f t="array" ref="I43">IF(
    VLOOKUP(
        $A43,
        _xlfn._xlws.FILTER(
            INDIRECT("'"&amp;I$1&amp;"'!A2:E1000"), (INDIRECT("'"&amp;I$1&amp;"'!B2:B1000")=$B43) * (INDIRECT("'"&amp;I$1&amp;"'!C2:C1000")=$C43)
        ),
        5,
        FALSE
    )=0,
    "",
    VLOOKUP(
        $A43,
        _xlfn._xlws.FILTER(
            INDIRECT("'"&amp;I$1&amp;"'!A2:E1000"), (INDIRECT("'"&amp;I$1&amp;"'!B2:B1000")=$B43) * (INDIRECT("'"&amp;I$1&amp;"'!C2:C1000")=$C43)
        ),
        5,
        FALSE
    )
)</f>
        <v/>
      </c>
      <c r="J43" s="93">
        <f t="array" ref="J43">IF(
    VLOOKUP(
        $A43,
        _xlfn._xlws.FILTER(
            INDIRECT("'"&amp;J$1&amp;"'!A2:E1000"), (INDIRECT("'"&amp;J$1&amp;"'!B2:B1000")=$B43) * (INDIRECT("'"&amp;J$1&amp;"'!C2:C1000")=$C43)
        ),
        5,
        FALSE
    )=0,
    "",
    VLOOKUP(
        $A43,
        _xlfn._xlws.FILTER(
            INDIRECT("'"&amp;J$1&amp;"'!A2:E1000"), (INDIRECT("'"&amp;J$1&amp;"'!B2:B1000")=$B43) * (INDIRECT("'"&amp;J$1&amp;"'!C2:C1000")=$C43)
        ),
        5,
        FALSE
    )
)</f>
        <v/>
      </c>
      <c r="K43" s="93">
        <f t="array" ref="K43">IF(
    VLOOKUP(
        $A43,
        _xlfn._xlws.FILTER(
            INDIRECT("'"&amp;K$1&amp;"'!A2:E1000"), (INDIRECT("'"&amp;K$1&amp;"'!B2:B1000")=$B43) * (INDIRECT("'"&amp;K$1&amp;"'!C2:C1000")=$C43)
        ),
        5,
        FALSE
    )=0,
    "",
    VLOOKUP(
        $A43,
        _xlfn._xlws.FILTER(
            INDIRECT("'"&amp;K$1&amp;"'!A2:E1000"), (INDIRECT("'"&amp;K$1&amp;"'!B2:B1000")=$B43) * (INDIRECT("'"&amp;K$1&amp;"'!C2:C1000")=$C43)
        ),
        5,
        FALSE
    )
)</f>
        <v/>
      </c>
      <c r="L43" s="93">
        <f t="array" ref="L43">IF(
    VLOOKUP(
        $A43,
        _xlfn._xlws.FILTER(
            INDIRECT("'"&amp;L$1&amp;"'!A2:E1000"), (INDIRECT("'"&amp;L$1&amp;"'!B2:B1000")=$B43) * (INDIRECT("'"&amp;L$1&amp;"'!C2:C1000")=$C43)
        ),
        5,
        FALSE
    )=0,
    "",
    VLOOKUP(
        $A43,
        _xlfn._xlws.FILTER(
            INDIRECT("'"&amp;L$1&amp;"'!A2:E1000"), (INDIRECT("'"&amp;L$1&amp;"'!B2:B1000")=$B43) * (INDIRECT("'"&amp;L$1&amp;"'!C2:C1000")=$C43)
        ),
        5,
        FALSE
    )
)</f>
        <v/>
      </c>
      <c r="M43" s="93">
        <f t="array" ref="M43">IF(
    VLOOKUP(
        $A43,
        _xlfn._xlws.FILTER(
            INDIRECT("'"&amp;M$1&amp;"'!A2:E1000"), (INDIRECT("'"&amp;M$1&amp;"'!B2:B1000")=$B43) * (INDIRECT("'"&amp;M$1&amp;"'!C2:C1000")=$C43)
        ),
        5,
        FALSE
    )=0,
    "",
    VLOOKUP(
        $A43,
        _xlfn._xlws.FILTER(
            INDIRECT("'"&amp;M$1&amp;"'!A2:E1000"), (INDIRECT("'"&amp;M$1&amp;"'!B2:B1000")=$B43) * (INDIRECT("'"&amp;M$1&amp;"'!C2:C1000")=$C43)
        ),
        5,
        FALSE
    )
)</f>
        <v/>
      </c>
      <c r="N43" s="93">
        <f t="array" ref="N43">IF(
    VLOOKUP(
        $A43,
        _xlfn._xlws.FILTER(
            INDIRECT("'"&amp;N$1&amp;"'!A2:E1000"), (INDIRECT("'"&amp;N$1&amp;"'!B2:B1000")=$B43) * (INDIRECT("'"&amp;N$1&amp;"'!C2:C1000")=$C43)
        ),
        5,
        FALSE
    )=0,
    "",
    VLOOKUP(
        $A43,
        _xlfn._xlws.FILTER(
            INDIRECT("'"&amp;N$1&amp;"'!A2:E1000"), (INDIRECT("'"&amp;N$1&amp;"'!B2:B1000")=$B43) * (INDIRECT("'"&amp;N$1&amp;"'!C2:C1000")=$C43)
        ),
        5,
        FALSE
    )
)</f>
        <v/>
      </c>
      <c r="O43" s="93">
        <f t="array" ref="O43">IF(
    VLOOKUP(
        $A43,
        _xlfn._xlws.FILTER(
            INDIRECT("'"&amp;O$1&amp;"'!A2:E1000"), (INDIRECT("'"&amp;O$1&amp;"'!B2:B1000")=$B43) * (INDIRECT("'"&amp;O$1&amp;"'!C2:C1000")=$C43)
        ),
        5,
        FALSE
    )=0,
    "",
    VLOOKUP(
        $A43,
        _xlfn._xlws.FILTER(
            INDIRECT("'"&amp;O$1&amp;"'!A2:E1000"), (INDIRECT("'"&amp;O$1&amp;"'!B2:B1000")=$B43) * (INDIRECT("'"&amp;O$1&amp;"'!C2:C1000")=$C43)
        ),
        5,
        FALSE
    )
)</f>
        <v/>
      </c>
    </row>
    <row r="44">
      <c r="A44" s="58" t="inlineStr">
        <is>
          <t>Conisul</t>
        </is>
      </c>
      <c r="B44" s="92" t="inlineStr">
        <is>
          <t>Aral Moreira</t>
        </is>
      </c>
      <c r="C44" s="95" t="n">
        <v>1</v>
      </c>
      <c r="D44" s="93">
        <f t="array" ref="D44">IF(
    VLOOKUP(
        $A44,
        _xlfn._xlws.FILTER(
            INDIRECT("'"&amp;D$1&amp;"'!A2:E1000"), (INDIRECT("'"&amp;D$1&amp;"'!B2:B1000")=$B44) * (INDIRECT("'"&amp;D$1&amp;"'!C2:C1000")=$C44)
        ),
        5,
        FALSE
    )=0,
    "",
    VLOOKUP(
        $A44,
        _xlfn._xlws.FILTER(
            INDIRECT("'"&amp;D$1&amp;"'!A2:E1000"), (INDIRECT("'"&amp;D$1&amp;"'!B2:B1000")=$B44) * (INDIRECT("'"&amp;D$1&amp;"'!C2:C1000")=$C44)
        ),
        5,
        FALSE
    )
)</f>
        <v/>
      </c>
      <c r="E44" s="93">
        <f t="array" ref="E44">IF(
    VLOOKUP(
        $A44,
        _xlfn._xlws.FILTER(
            INDIRECT("'"&amp;E$1&amp;"'!A2:E1000"), (INDIRECT("'"&amp;E$1&amp;"'!B2:B1000")=$B44) * (INDIRECT("'"&amp;E$1&amp;"'!C2:C1000")=$C44)
        ),
        5,
        FALSE
    )=0,
    "",
    VLOOKUP(
        $A44,
        _xlfn._xlws.FILTER(
            INDIRECT("'"&amp;E$1&amp;"'!A2:E1000"), (INDIRECT("'"&amp;E$1&amp;"'!B2:B1000")=$B44) * (INDIRECT("'"&amp;E$1&amp;"'!C2:C1000")=$C44)
        ),
        5,
        FALSE
    )
)</f>
        <v/>
      </c>
      <c r="F44" s="93">
        <f t="array" ref="F44">IF(
    VLOOKUP(
        $A44,
        _xlfn._xlws.FILTER(
            INDIRECT("'"&amp;F$1&amp;"'!A2:E1000"), (INDIRECT("'"&amp;F$1&amp;"'!B2:B1000")=$B44) * (INDIRECT("'"&amp;F$1&amp;"'!C2:C1000")=$C44)
        ),
        5,
        FALSE
    )=0,
    "",
    VLOOKUP(
        $A44,
        _xlfn._xlws.FILTER(
            INDIRECT("'"&amp;F$1&amp;"'!A2:E1000"), (INDIRECT("'"&amp;F$1&amp;"'!B2:B1000")=$B44) * (INDIRECT("'"&amp;F$1&amp;"'!C2:C1000")=$C44)
        ),
        5,
        FALSE
    )
)</f>
        <v/>
      </c>
      <c r="G44" s="93">
        <f t="array" ref="G44">IF(
    VLOOKUP(
        $A44,
        _xlfn._xlws.FILTER(
            INDIRECT("'"&amp;G$1&amp;"'!A2:E1000"), (INDIRECT("'"&amp;G$1&amp;"'!B2:B1000")=$B44) * (INDIRECT("'"&amp;G$1&amp;"'!C2:C1000")=$C44)
        ),
        5,
        FALSE
    )=0,
    "",
    VLOOKUP(
        $A44,
        _xlfn._xlws.FILTER(
            INDIRECT("'"&amp;G$1&amp;"'!A2:E1000"), (INDIRECT("'"&amp;G$1&amp;"'!B2:B1000")=$B44) * (INDIRECT("'"&amp;G$1&amp;"'!C2:C1000")=$C44)
        ),
        5,
        FALSE
    )
)</f>
        <v/>
      </c>
      <c r="H44" s="93">
        <f t="array" ref="H44">IF(
    VLOOKUP(
        $A44,
        _xlfn._xlws.FILTER(
            INDIRECT("'"&amp;H$1&amp;"'!A2:E1000"), (INDIRECT("'"&amp;H$1&amp;"'!B2:B1000")=$B44) * (INDIRECT("'"&amp;H$1&amp;"'!C2:C1000")=$C44)
        ),
        5,
        FALSE
    )=0,
    "",
    VLOOKUP(
        $A44,
        _xlfn._xlws.FILTER(
            INDIRECT("'"&amp;H$1&amp;"'!A2:E1000"), (INDIRECT("'"&amp;H$1&amp;"'!B2:B1000")=$B44) * (INDIRECT("'"&amp;H$1&amp;"'!C2:C1000")=$C44)
        ),
        5,
        FALSE
    )
)</f>
        <v/>
      </c>
      <c r="I44" s="93">
        <f t="array" ref="I44">IF(
    VLOOKUP(
        $A44,
        _xlfn._xlws.FILTER(
            INDIRECT("'"&amp;I$1&amp;"'!A2:E1000"), (INDIRECT("'"&amp;I$1&amp;"'!B2:B1000")=$B44) * (INDIRECT("'"&amp;I$1&amp;"'!C2:C1000")=$C44)
        ),
        5,
        FALSE
    )=0,
    "",
    VLOOKUP(
        $A44,
        _xlfn._xlws.FILTER(
            INDIRECT("'"&amp;I$1&amp;"'!A2:E1000"), (INDIRECT("'"&amp;I$1&amp;"'!B2:B1000")=$B44) * (INDIRECT("'"&amp;I$1&amp;"'!C2:C1000")=$C44)
        ),
        5,
        FALSE
    )
)</f>
        <v/>
      </c>
      <c r="J44" s="93">
        <f t="array" ref="J44">IF(
    VLOOKUP(
        $A44,
        _xlfn._xlws.FILTER(
            INDIRECT("'"&amp;J$1&amp;"'!A2:E1000"), (INDIRECT("'"&amp;J$1&amp;"'!B2:B1000")=$B44) * (INDIRECT("'"&amp;J$1&amp;"'!C2:C1000")=$C44)
        ),
        5,
        FALSE
    )=0,
    "",
    VLOOKUP(
        $A44,
        _xlfn._xlws.FILTER(
            INDIRECT("'"&amp;J$1&amp;"'!A2:E1000"), (INDIRECT("'"&amp;J$1&amp;"'!B2:B1000")=$B44) * (INDIRECT("'"&amp;J$1&amp;"'!C2:C1000")=$C44)
        ),
        5,
        FALSE
    )
)</f>
        <v/>
      </c>
      <c r="K44" s="93">
        <f t="array" ref="K44">IF(
    VLOOKUP(
        $A44,
        _xlfn._xlws.FILTER(
            INDIRECT("'"&amp;K$1&amp;"'!A2:E1000"), (INDIRECT("'"&amp;K$1&amp;"'!B2:B1000")=$B44) * (INDIRECT("'"&amp;K$1&amp;"'!C2:C1000")=$C44)
        ),
        5,
        FALSE
    )=0,
    "",
    VLOOKUP(
        $A44,
        _xlfn._xlws.FILTER(
            INDIRECT("'"&amp;K$1&amp;"'!A2:E1000"), (INDIRECT("'"&amp;K$1&amp;"'!B2:B1000")=$B44) * (INDIRECT("'"&amp;K$1&amp;"'!C2:C1000")=$C44)
        ),
        5,
        FALSE
    )
)</f>
        <v/>
      </c>
      <c r="L44" s="93">
        <f t="array" ref="L44">IF(
    VLOOKUP(
        $A44,
        _xlfn._xlws.FILTER(
            INDIRECT("'"&amp;L$1&amp;"'!A2:E1000"), (INDIRECT("'"&amp;L$1&amp;"'!B2:B1000")=$B44) * (INDIRECT("'"&amp;L$1&amp;"'!C2:C1000")=$C44)
        ),
        5,
        FALSE
    )=0,
    "",
    VLOOKUP(
        $A44,
        _xlfn._xlws.FILTER(
            INDIRECT("'"&amp;L$1&amp;"'!A2:E1000"), (INDIRECT("'"&amp;L$1&amp;"'!B2:B1000")=$B44) * (INDIRECT("'"&amp;L$1&amp;"'!C2:C1000")=$C44)
        ),
        5,
        FALSE
    )
)</f>
        <v/>
      </c>
      <c r="M44" s="93">
        <f t="array" ref="M44">IF(
    VLOOKUP(
        $A44,
        _xlfn._xlws.FILTER(
            INDIRECT("'"&amp;M$1&amp;"'!A2:E1000"), (INDIRECT("'"&amp;M$1&amp;"'!B2:B1000")=$B44) * (INDIRECT("'"&amp;M$1&amp;"'!C2:C1000")=$C44)
        ),
        5,
        FALSE
    )=0,
    "",
    VLOOKUP(
        $A44,
        _xlfn._xlws.FILTER(
            INDIRECT("'"&amp;M$1&amp;"'!A2:E1000"), (INDIRECT("'"&amp;M$1&amp;"'!B2:B1000")=$B44) * (INDIRECT("'"&amp;M$1&amp;"'!C2:C1000")=$C44)
        ),
        5,
        FALSE
    )
)</f>
        <v/>
      </c>
      <c r="N44" s="93">
        <f t="array" ref="N44">IF(
    VLOOKUP(
        $A44,
        _xlfn._xlws.FILTER(
            INDIRECT("'"&amp;N$1&amp;"'!A2:E1000"), (INDIRECT("'"&amp;N$1&amp;"'!B2:B1000")=$B44) * (INDIRECT("'"&amp;N$1&amp;"'!C2:C1000")=$C44)
        ),
        5,
        FALSE
    )=0,
    "",
    VLOOKUP(
        $A44,
        _xlfn._xlws.FILTER(
            INDIRECT("'"&amp;N$1&amp;"'!A2:E1000"), (INDIRECT("'"&amp;N$1&amp;"'!B2:B1000")=$B44) * (INDIRECT("'"&amp;N$1&amp;"'!C2:C1000")=$C44)
        ),
        5,
        FALSE
    )
)</f>
        <v/>
      </c>
      <c r="O44" s="93">
        <f t="array" ref="O44">IF(
    VLOOKUP(
        $A44,
        _xlfn._xlws.FILTER(
            INDIRECT("'"&amp;O$1&amp;"'!A2:E1000"), (INDIRECT("'"&amp;O$1&amp;"'!B2:B1000")=$B44) * (INDIRECT("'"&amp;O$1&amp;"'!C2:C1000")=$C44)
        ),
        5,
        FALSE
    )=0,
    "",
    VLOOKUP(
        $A44,
        _xlfn._xlws.FILTER(
            INDIRECT("'"&amp;O$1&amp;"'!A2:E1000"), (INDIRECT("'"&amp;O$1&amp;"'!B2:B1000")=$B44) * (INDIRECT("'"&amp;O$1&amp;"'!C2:C1000")=$C44)
        ),
        5,
        FALSE
    )
)</f>
        <v/>
      </c>
    </row>
    <row r="45">
      <c r="A45" s="58" t="inlineStr">
        <is>
          <t>Conisul</t>
        </is>
      </c>
      <c r="B45" s="92" t="inlineStr">
        <is>
          <t>Caarapó</t>
        </is>
      </c>
      <c r="C45" s="95" t="n">
        <v>1</v>
      </c>
      <c r="D45" s="93">
        <f t="array" ref="D45">IF(
    VLOOKUP(
        $A45,
        _xlfn._xlws.FILTER(
            INDIRECT("'"&amp;D$1&amp;"'!A2:E1000"), (INDIRECT("'"&amp;D$1&amp;"'!B2:B1000")=$B45) * (INDIRECT("'"&amp;D$1&amp;"'!C2:C1000")=$C45)
        ),
        5,
        FALSE
    )=0,
    "",
    VLOOKUP(
        $A45,
        _xlfn._xlws.FILTER(
            INDIRECT("'"&amp;D$1&amp;"'!A2:E1000"), (INDIRECT("'"&amp;D$1&amp;"'!B2:B1000")=$B45) * (INDIRECT("'"&amp;D$1&amp;"'!C2:C1000")=$C45)
        ),
        5,
        FALSE
    )
)</f>
        <v/>
      </c>
      <c r="E45" s="93">
        <f t="array" ref="E45">IF(
    VLOOKUP(
        $A45,
        _xlfn._xlws.FILTER(
            INDIRECT("'"&amp;E$1&amp;"'!A2:E1000"), (INDIRECT("'"&amp;E$1&amp;"'!B2:B1000")=$B45) * (INDIRECT("'"&amp;E$1&amp;"'!C2:C1000")=$C45)
        ),
        5,
        FALSE
    )=0,
    "",
    VLOOKUP(
        $A45,
        _xlfn._xlws.FILTER(
            INDIRECT("'"&amp;E$1&amp;"'!A2:E1000"), (INDIRECT("'"&amp;E$1&amp;"'!B2:B1000")=$B45) * (INDIRECT("'"&amp;E$1&amp;"'!C2:C1000")=$C45)
        ),
        5,
        FALSE
    )
)</f>
        <v/>
      </c>
      <c r="F45" s="93">
        <f t="array" ref="F45">IF(
    VLOOKUP(
        $A45,
        _xlfn._xlws.FILTER(
            INDIRECT("'"&amp;F$1&amp;"'!A2:E1000"), (INDIRECT("'"&amp;F$1&amp;"'!B2:B1000")=$B45) * (INDIRECT("'"&amp;F$1&amp;"'!C2:C1000")=$C45)
        ),
        5,
        FALSE
    )=0,
    "",
    VLOOKUP(
        $A45,
        _xlfn._xlws.FILTER(
            INDIRECT("'"&amp;F$1&amp;"'!A2:E1000"), (INDIRECT("'"&amp;F$1&amp;"'!B2:B1000")=$B45) * (INDIRECT("'"&amp;F$1&amp;"'!C2:C1000")=$C45)
        ),
        5,
        FALSE
    )
)</f>
        <v/>
      </c>
      <c r="G45" s="93">
        <f t="array" ref="G45">IF(
    VLOOKUP(
        $A45,
        _xlfn._xlws.FILTER(
            INDIRECT("'"&amp;G$1&amp;"'!A2:E1000"), (INDIRECT("'"&amp;G$1&amp;"'!B2:B1000")=$B45) * (INDIRECT("'"&amp;G$1&amp;"'!C2:C1000")=$C45)
        ),
        5,
        FALSE
    )=0,
    "",
    VLOOKUP(
        $A45,
        _xlfn._xlws.FILTER(
            INDIRECT("'"&amp;G$1&amp;"'!A2:E1000"), (INDIRECT("'"&amp;G$1&amp;"'!B2:B1000")=$B45) * (INDIRECT("'"&amp;G$1&amp;"'!C2:C1000")=$C45)
        ),
        5,
        FALSE
    )
)</f>
        <v/>
      </c>
      <c r="H45" s="93">
        <f t="array" ref="H45">IF(
    VLOOKUP(
        $A45,
        _xlfn._xlws.FILTER(
            INDIRECT("'"&amp;H$1&amp;"'!A2:E1000"), (INDIRECT("'"&amp;H$1&amp;"'!B2:B1000")=$B45) * (INDIRECT("'"&amp;H$1&amp;"'!C2:C1000")=$C45)
        ),
        5,
        FALSE
    )=0,
    "",
    VLOOKUP(
        $A45,
        _xlfn._xlws.FILTER(
            INDIRECT("'"&amp;H$1&amp;"'!A2:E1000"), (INDIRECT("'"&amp;H$1&amp;"'!B2:B1000")=$B45) * (INDIRECT("'"&amp;H$1&amp;"'!C2:C1000")=$C45)
        ),
        5,
        FALSE
    )
)</f>
        <v/>
      </c>
      <c r="I45" s="93">
        <f t="array" ref="I45">IF(
    VLOOKUP(
        $A45,
        _xlfn._xlws.FILTER(
            INDIRECT("'"&amp;I$1&amp;"'!A2:E1000"), (INDIRECT("'"&amp;I$1&amp;"'!B2:B1000")=$B45) * (INDIRECT("'"&amp;I$1&amp;"'!C2:C1000")=$C45)
        ),
        5,
        FALSE
    )=0,
    "",
    VLOOKUP(
        $A45,
        _xlfn._xlws.FILTER(
            INDIRECT("'"&amp;I$1&amp;"'!A2:E1000"), (INDIRECT("'"&amp;I$1&amp;"'!B2:B1000")=$B45) * (INDIRECT("'"&amp;I$1&amp;"'!C2:C1000")=$C45)
        ),
        5,
        FALSE
    )
)</f>
        <v/>
      </c>
      <c r="J45" s="93">
        <f t="array" ref="J45">IF(
    VLOOKUP(
        $A45,
        _xlfn._xlws.FILTER(
            INDIRECT("'"&amp;J$1&amp;"'!A2:E1000"), (INDIRECT("'"&amp;J$1&amp;"'!B2:B1000")=$B45) * (INDIRECT("'"&amp;J$1&amp;"'!C2:C1000")=$C45)
        ),
        5,
        FALSE
    )=0,
    "",
    VLOOKUP(
        $A45,
        _xlfn._xlws.FILTER(
            INDIRECT("'"&amp;J$1&amp;"'!A2:E1000"), (INDIRECT("'"&amp;J$1&amp;"'!B2:B1000")=$B45) * (INDIRECT("'"&amp;J$1&amp;"'!C2:C1000")=$C45)
        ),
        5,
        FALSE
    )
)</f>
        <v/>
      </c>
      <c r="K45" s="93">
        <f t="array" ref="K45">IF(
    VLOOKUP(
        $A45,
        _xlfn._xlws.FILTER(
            INDIRECT("'"&amp;K$1&amp;"'!A2:E1000"), (INDIRECT("'"&amp;K$1&amp;"'!B2:B1000")=$B45) * (INDIRECT("'"&amp;K$1&amp;"'!C2:C1000")=$C45)
        ),
        5,
        FALSE
    )=0,
    "",
    VLOOKUP(
        $A45,
        _xlfn._xlws.FILTER(
            INDIRECT("'"&amp;K$1&amp;"'!A2:E1000"), (INDIRECT("'"&amp;K$1&amp;"'!B2:B1000")=$B45) * (INDIRECT("'"&amp;K$1&amp;"'!C2:C1000")=$C45)
        ),
        5,
        FALSE
    )
)</f>
        <v/>
      </c>
      <c r="L45" s="93">
        <f t="array" ref="L45">IF(
    VLOOKUP(
        $A45,
        _xlfn._xlws.FILTER(
            INDIRECT("'"&amp;L$1&amp;"'!A2:E1000"), (INDIRECT("'"&amp;L$1&amp;"'!B2:B1000")=$B45) * (INDIRECT("'"&amp;L$1&amp;"'!C2:C1000")=$C45)
        ),
        5,
        FALSE
    )=0,
    "",
    VLOOKUP(
        $A45,
        _xlfn._xlws.FILTER(
            INDIRECT("'"&amp;L$1&amp;"'!A2:E1000"), (INDIRECT("'"&amp;L$1&amp;"'!B2:B1000")=$B45) * (INDIRECT("'"&amp;L$1&amp;"'!C2:C1000")=$C45)
        ),
        5,
        FALSE
    )
)</f>
        <v/>
      </c>
      <c r="M45" s="93">
        <f t="array" ref="M45">IF(
    VLOOKUP(
        $A45,
        _xlfn._xlws.FILTER(
            INDIRECT("'"&amp;M$1&amp;"'!A2:E1000"), (INDIRECT("'"&amp;M$1&amp;"'!B2:B1000")=$B45) * (INDIRECT("'"&amp;M$1&amp;"'!C2:C1000")=$C45)
        ),
        5,
        FALSE
    )=0,
    "",
    VLOOKUP(
        $A45,
        _xlfn._xlws.FILTER(
            INDIRECT("'"&amp;M$1&amp;"'!A2:E1000"), (INDIRECT("'"&amp;M$1&amp;"'!B2:B1000")=$B45) * (INDIRECT("'"&amp;M$1&amp;"'!C2:C1000")=$C45)
        ),
        5,
        FALSE
    )
)</f>
        <v/>
      </c>
      <c r="N45" s="93">
        <f t="array" ref="N45">IF(
    VLOOKUP(
        $A45,
        _xlfn._xlws.FILTER(
            INDIRECT("'"&amp;N$1&amp;"'!A2:E1000"), (INDIRECT("'"&amp;N$1&amp;"'!B2:B1000")=$B45) * (INDIRECT("'"&amp;N$1&amp;"'!C2:C1000")=$C45)
        ),
        5,
        FALSE
    )=0,
    "",
    VLOOKUP(
        $A45,
        _xlfn._xlws.FILTER(
            INDIRECT("'"&amp;N$1&amp;"'!A2:E1000"), (INDIRECT("'"&amp;N$1&amp;"'!B2:B1000")=$B45) * (INDIRECT("'"&amp;N$1&amp;"'!C2:C1000")=$C45)
        ),
        5,
        FALSE
    )
)</f>
        <v/>
      </c>
      <c r="O45" s="93">
        <f t="array" ref="O45">IF(
    VLOOKUP(
        $A45,
        _xlfn._xlws.FILTER(
            INDIRECT("'"&amp;O$1&amp;"'!A2:E1000"), (INDIRECT("'"&amp;O$1&amp;"'!B2:B1000")=$B45) * (INDIRECT("'"&amp;O$1&amp;"'!C2:C1000")=$C45)
        ),
        5,
        FALSE
    )=0,
    "",
    VLOOKUP(
        $A45,
        _xlfn._xlws.FILTER(
            INDIRECT("'"&amp;O$1&amp;"'!A2:E1000"), (INDIRECT("'"&amp;O$1&amp;"'!B2:B1000")=$B45) * (INDIRECT("'"&amp;O$1&amp;"'!C2:C1000")=$C45)
        ),
        5,
        FALSE
    )
)</f>
        <v/>
      </c>
    </row>
    <row r="46">
      <c r="A46" s="58" t="inlineStr">
        <is>
          <t>Conisul</t>
        </is>
      </c>
      <c r="B46" s="92" t="inlineStr">
        <is>
          <t>Coronel Sapucaia</t>
        </is>
      </c>
      <c r="C46" s="95" t="n">
        <v>1</v>
      </c>
      <c r="D46" s="93">
        <f t="array" ref="D46">IF(
    VLOOKUP(
        $A46,
        _xlfn._xlws.FILTER(
            INDIRECT("'"&amp;D$1&amp;"'!A2:E1000"), (INDIRECT("'"&amp;D$1&amp;"'!B2:B1000")=$B46) * (INDIRECT("'"&amp;D$1&amp;"'!C2:C1000")=$C46)
        ),
        5,
        FALSE
    )=0,
    "",
    VLOOKUP(
        $A46,
        _xlfn._xlws.FILTER(
            INDIRECT("'"&amp;D$1&amp;"'!A2:E1000"), (INDIRECT("'"&amp;D$1&amp;"'!B2:B1000")=$B46) * (INDIRECT("'"&amp;D$1&amp;"'!C2:C1000")=$C46)
        ),
        5,
        FALSE
    )
)</f>
        <v/>
      </c>
      <c r="E46" s="93">
        <f t="array" ref="E46">IF(
    VLOOKUP(
        $A46,
        _xlfn._xlws.FILTER(
            INDIRECT("'"&amp;E$1&amp;"'!A2:E1000"), (INDIRECT("'"&amp;E$1&amp;"'!B2:B1000")=$B46) * (INDIRECT("'"&amp;E$1&amp;"'!C2:C1000")=$C46)
        ),
        5,
        FALSE
    )=0,
    "",
    VLOOKUP(
        $A46,
        _xlfn._xlws.FILTER(
            INDIRECT("'"&amp;E$1&amp;"'!A2:E1000"), (INDIRECT("'"&amp;E$1&amp;"'!B2:B1000")=$B46) * (INDIRECT("'"&amp;E$1&amp;"'!C2:C1000")=$C46)
        ),
        5,
        FALSE
    )
)</f>
        <v/>
      </c>
      <c r="F46" s="93">
        <f t="array" ref="F46">IF(
    VLOOKUP(
        $A46,
        _xlfn._xlws.FILTER(
            INDIRECT("'"&amp;F$1&amp;"'!A2:E1000"), (INDIRECT("'"&amp;F$1&amp;"'!B2:B1000")=$B46) * (INDIRECT("'"&amp;F$1&amp;"'!C2:C1000")=$C46)
        ),
        5,
        FALSE
    )=0,
    "",
    VLOOKUP(
        $A46,
        _xlfn._xlws.FILTER(
            INDIRECT("'"&amp;F$1&amp;"'!A2:E1000"), (INDIRECT("'"&amp;F$1&amp;"'!B2:B1000")=$B46) * (INDIRECT("'"&amp;F$1&amp;"'!C2:C1000")=$C46)
        ),
        5,
        FALSE
    )
)</f>
        <v/>
      </c>
      <c r="G46" s="93">
        <f t="array" ref="G46">IF(
    VLOOKUP(
        $A46,
        _xlfn._xlws.FILTER(
            INDIRECT("'"&amp;G$1&amp;"'!A2:E1000"), (INDIRECT("'"&amp;G$1&amp;"'!B2:B1000")=$B46) * (INDIRECT("'"&amp;G$1&amp;"'!C2:C1000")=$C46)
        ),
        5,
        FALSE
    )=0,
    "",
    VLOOKUP(
        $A46,
        _xlfn._xlws.FILTER(
            INDIRECT("'"&amp;G$1&amp;"'!A2:E1000"), (INDIRECT("'"&amp;G$1&amp;"'!B2:B1000")=$B46) * (INDIRECT("'"&amp;G$1&amp;"'!C2:C1000")=$C46)
        ),
        5,
        FALSE
    )
)</f>
        <v/>
      </c>
      <c r="H46" s="93">
        <f t="array" ref="H46">IF(
    VLOOKUP(
        $A46,
        _xlfn._xlws.FILTER(
            INDIRECT("'"&amp;H$1&amp;"'!A2:E1000"), (INDIRECT("'"&amp;H$1&amp;"'!B2:B1000")=$B46) * (INDIRECT("'"&amp;H$1&amp;"'!C2:C1000")=$C46)
        ),
        5,
        FALSE
    )=0,
    "",
    VLOOKUP(
        $A46,
        _xlfn._xlws.FILTER(
            INDIRECT("'"&amp;H$1&amp;"'!A2:E1000"), (INDIRECT("'"&amp;H$1&amp;"'!B2:B1000")=$B46) * (INDIRECT("'"&amp;H$1&amp;"'!C2:C1000")=$C46)
        ),
        5,
        FALSE
    )
)</f>
        <v/>
      </c>
      <c r="I46" s="93">
        <f t="array" ref="I46">IF(
    VLOOKUP(
        $A46,
        _xlfn._xlws.FILTER(
            INDIRECT("'"&amp;I$1&amp;"'!A2:E1000"), (INDIRECT("'"&amp;I$1&amp;"'!B2:B1000")=$B46) * (INDIRECT("'"&amp;I$1&amp;"'!C2:C1000")=$C46)
        ),
        5,
        FALSE
    )=0,
    "",
    VLOOKUP(
        $A46,
        _xlfn._xlws.FILTER(
            INDIRECT("'"&amp;I$1&amp;"'!A2:E1000"), (INDIRECT("'"&amp;I$1&amp;"'!B2:B1000")=$B46) * (INDIRECT("'"&amp;I$1&amp;"'!C2:C1000")=$C46)
        ),
        5,
        FALSE
    )
)</f>
        <v/>
      </c>
      <c r="J46" s="93">
        <f t="array" ref="J46">IF(
    VLOOKUP(
        $A46,
        _xlfn._xlws.FILTER(
            INDIRECT("'"&amp;J$1&amp;"'!A2:E1000"), (INDIRECT("'"&amp;J$1&amp;"'!B2:B1000")=$B46) * (INDIRECT("'"&amp;J$1&amp;"'!C2:C1000")=$C46)
        ),
        5,
        FALSE
    )=0,
    "",
    VLOOKUP(
        $A46,
        _xlfn._xlws.FILTER(
            INDIRECT("'"&amp;J$1&amp;"'!A2:E1000"), (INDIRECT("'"&amp;J$1&amp;"'!B2:B1000")=$B46) * (INDIRECT("'"&amp;J$1&amp;"'!C2:C1000")=$C46)
        ),
        5,
        FALSE
    )
)</f>
        <v/>
      </c>
      <c r="K46" s="93">
        <f t="array" ref="K46">IF(
    VLOOKUP(
        $A46,
        _xlfn._xlws.FILTER(
            INDIRECT("'"&amp;K$1&amp;"'!A2:E1000"), (INDIRECT("'"&amp;K$1&amp;"'!B2:B1000")=$B46) * (INDIRECT("'"&amp;K$1&amp;"'!C2:C1000")=$C46)
        ),
        5,
        FALSE
    )=0,
    "",
    VLOOKUP(
        $A46,
        _xlfn._xlws.FILTER(
            INDIRECT("'"&amp;K$1&amp;"'!A2:E1000"), (INDIRECT("'"&amp;K$1&amp;"'!B2:B1000")=$B46) * (INDIRECT("'"&amp;K$1&amp;"'!C2:C1000")=$C46)
        ),
        5,
        FALSE
    )
)</f>
        <v/>
      </c>
      <c r="L46" s="93">
        <f t="array" ref="L46">IF(
    VLOOKUP(
        $A46,
        _xlfn._xlws.FILTER(
            INDIRECT("'"&amp;L$1&amp;"'!A2:E1000"), (INDIRECT("'"&amp;L$1&amp;"'!B2:B1000")=$B46) * (INDIRECT("'"&amp;L$1&amp;"'!C2:C1000")=$C46)
        ),
        5,
        FALSE
    )=0,
    "",
    VLOOKUP(
        $A46,
        _xlfn._xlws.FILTER(
            INDIRECT("'"&amp;L$1&amp;"'!A2:E1000"), (INDIRECT("'"&amp;L$1&amp;"'!B2:B1000")=$B46) * (INDIRECT("'"&amp;L$1&amp;"'!C2:C1000")=$C46)
        ),
        5,
        FALSE
    )
)</f>
        <v/>
      </c>
      <c r="M46" s="93">
        <f t="array" ref="M46">IF(
    VLOOKUP(
        $A46,
        _xlfn._xlws.FILTER(
            INDIRECT("'"&amp;M$1&amp;"'!A2:E1000"), (INDIRECT("'"&amp;M$1&amp;"'!B2:B1000")=$B46) * (INDIRECT("'"&amp;M$1&amp;"'!C2:C1000")=$C46)
        ),
        5,
        FALSE
    )=0,
    "",
    VLOOKUP(
        $A46,
        _xlfn._xlws.FILTER(
            INDIRECT("'"&amp;M$1&amp;"'!A2:E1000"), (INDIRECT("'"&amp;M$1&amp;"'!B2:B1000")=$B46) * (INDIRECT("'"&amp;M$1&amp;"'!C2:C1000")=$C46)
        ),
        5,
        FALSE
    )
)</f>
        <v/>
      </c>
      <c r="N46" s="93">
        <f t="array" ref="N46">IF(
    VLOOKUP(
        $A46,
        _xlfn._xlws.FILTER(
            INDIRECT("'"&amp;N$1&amp;"'!A2:E1000"), (INDIRECT("'"&amp;N$1&amp;"'!B2:B1000")=$B46) * (INDIRECT("'"&amp;N$1&amp;"'!C2:C1000")=$C46)
        ),
        5,
        FALSE
    )=0,
    "",
    VLOOKUP(
        $A46,
        _xlfn._xlws.FILTER(
            INDIRECT("'"&amp;N$1&amp;"'!A2:E1000"), (INDIRECT("'"&amp;N$1&amp;"'!B2:B1000")=$B46) * (INDIRECT("'"&amp;N$1&amp;"'!C2:C1000")=$C46)
        ),
        5,
        FALSE
    )
)</f>
        <v/>
      </c>
      <c r="O46" s="93">
        <f t="array" ref="O46">IF(
    VLOOKUP(
        $A46,
        _xlfn._xlws.FILTER(
            INDIRECT("'"&amp;O$1&amp;"'!A2:E1000"), (INDIRECT("'"&amp;O$1&amp;"'!B2:B1000")=$B46) * (INDIRECT("'"&amp;O$1&amp;"'!C2:C1000")=$C46)
        ),
        5,
        FALSE
    )=0,
    "",
    VLOOKUP(
        $A46,
        _xlfn._xlws.FILTER(
            INDIRECT("'"&amp;O$1&amp;"'!A2:E1000"), (INDIRECT("'"&amp;O$1&amp;"'!B2:B1000")=$B46) * (INDIRECT("'"&amp;O$1&amp;"'!C2:C1000")=$C46)
        ),
        5,
        FALSE
    )
)</f>
        <v/>
      </c>
    </row>
    <row r="47">
      <c r="A47" s="58" t="inlineStr">
        <is>
          <t>Conisul</t>
        </is>
      </c>
      <c r="B47" s="92" t="inlineStr">
        <is>
          <t>Eldorado</t>
        </is>
      </c>
      <c r="C47" s="95" t="n">
        <v>1</v>
      </c>
      <c r="D47" s="93">
        <f t="array" ref="D47">IF(
    VLOOKUP(
        $A47,
        _xlfn._xlws.FILTER(
            INDIRECT("'"&amp;D$1&amp;"'!A2:E1000"), (INDIRECT("'"&amp;D$1&amp;"'!B2:B1000")=$B47) * (INDIRECT("'"&amp;D$1&amp;"'!C2:C1000")=$C47)
        ),
        5,
        FALSE
    )=0,
    "",
    VLOOKUP(
        $A47,
        _xlfn._xlws.FILTER(
            INDIRECT("'"&amp;D$1&amp;"'!A2:E1000"), (INDIRECT("'"&amp;D$1&amp;"'!B2:B1000")=$B47) * (INDIRECT("'"&amp;D$1&amp;"'!C2:C1000")=$C47)
        ),
        5,
        FALSE
    )
)</f>
        <v/>
      </c>
      <c r="E47" s="93">
        <f t="array" ref="E47">IF(
    VLOOKUP(
        $A47,
        _xlfn._xlws.FILTER(
            INDIRECT("'"&amp;E$1&amp;"'!A2:E1000"), (INDIRECT("'"&amp;E$1&amp;"'!B2:B1000")=$B47) * (INDIRECT("'"&amp;E$1&amp;"'!C2:C1000")=$C47)
        ),
        5,
        FALSE
    )=0,
    "",
    VLOOKUP(
        $A47,
        _xlfn._xlws.FILTER(
            INDIRECT("'"&amp;E$1&amp;"'!A2:E1000"), (INDIRECT("'"&amp;E$1&amp;"'!B2:B1000")=$B47) * (INDIRECT("'"&amp;E$1&amp;"'!C2:C1000")=$C47)
        ),
        5,
        FALSE
    )
)</f>
        <v/>
      </c>
      <c r="F47" s="93">
        <f t="array" ref="F47">IF(
    VLOOKUP(
        $A47,
        _xlfn._xlws.FILTER(
            INDIRECT("'"&amp;F$1&amp;"'!A2:E1000"), (INDIRECT("'"&amp;F$1&amp;"'!B2:B1000")=$B47) * (INDIRECT("'"&amp;F$1&amp;"'!C2:C1000")=$C47)
        ),
        5,
        FALSE
    )=0,
    "",
    VLOOKUP(
        $A47,
        _xlfn._xlws.FILTER(
            INDIRECT("'"&amp;F$1&amp;"'!A2:E1000"), (INDIRECT("'"&amp;F$1&amp;"'!B2:B1000")=$B47) * (INDIRECT("'"&amp;F$1&amp;"'!C2:C1000")=$C47)
        ),
        5,
        FALSE
    )
)</f>
        <v/>
      </c>
      <c r="G47" s="93">
        <f t="array" ref="G47">IF(
    VLOOKUP(
        $A47,
        _xlfn._xlws.FILTER(
            INDIRECT("'"&amp;G$1&amp;"'!A2:E1000"), (INDIRECT("'"&amp;G$1&amp;"'!B2:B1000")=$B47) * (INDIRECT("'"&amp;G$1&amp;"'!C2:C1000")=$C47)
        ),
        5,
        FALSE
    )=0,
    "",
    VLOOKUP(
        $A47,
        _xlfn._xlws.FILTER(
            INDIRECT("'"&amp;G$1&amp;"'!A2:E1000"), (INDIRECT("'"&amp;G$1&amp;"'!B2:B1000")=$B47) * (INDIRECT("'"&amp;G$1&amp;"'!C2:C1000")=$C47)
        ),
        5,
        FALSE
    )
)</f>
        <v/>
      </c>
      <c r="H47" s="93">
        <f t="array" ref="H47">IF(
    VLOOKUP(
        $A47,
        _xlfn._xlws.FILTER(
            INDIRECT("'"&amp;H$1&amp;"'!A2:E1000"), (INDIRECT("'"&amp;H$1&amp;"'!B2:B1000")=$B47) * (INDIRECT("'"&amp;H$1&amp;"'!C2:C1000")=$C47)
        ),
        5,
        FALSE
    )=0,
    "",
    VLOOKUP(
        $A47,
        _xlfn._xlws.FILTER(
            INDIRECT("'"&amp;H$1&amp;"'!A2:E1000"), (INDIRECT("'"&amp;H$1&amp;"'!B2:B1000")=$B47) * (INDIRECT("'"&amp;H$1&amp;"'!C2:C1000")=$C47)
        ),
        5,
        FALSE
    )
)</f>
        <v/>
      </c>
      <c r="I47" s="93">
        <f t="array" ref="I47">IF(
    VLOOKUP(
        $A47,
        _xlfn._xlws.FILTER(
            INDIRECT("'"&amp;I$1&amp;"'!A2:E1000"), (INDIRECT("'"&amp;I$1&amp;"'!B2:B1000")=$B47) * (INDIRECT("'"&amp;I$1&amp;"'!C2:C1000")=$C47)
        ),
        5,
        FALSE
    )=0,
    "",
    VLOOKUP(
        $A47,
        _xlfn._xlws.FILTER(
            INDIRECT("'"&amp;I$1&amp;"'!A2:E1000"), (INDIRECT("'"&amp;I$1&amp;"'!B2:B1000")=$B47) * (INDIRECT("'"&amp;I$1&amp;"'!C2:C1000")=$C47)
        ),
        5,
        FALSE
    )
)</f>
        <v/>
      </c>
      <c r="J47" s="93">
        <f t="array" ref="J47">IF(
    VLOOKUP(
        $A47,
        _xlfn._xlws.FILTER(
            INDIRECT("'"&amp;J$1&amp;"'!A2:E1000"), (INDIRECT("'"&amp;J$1&amp;"'!B2:B1000")=$B47) * (INDIRECT("'"&amp;J$1&amp;"'!C2:C1000")=$C47)
        ),
        5,
        FALSE
    )=0,
    "",
    VLOOKUP(
        $A47,
        _xlfn._xlws.FILTER(
            INDIRECT("'"&amp;J$1&amp;"'!A2:E1000"), (INDIRECT("'"&amp;J$1&amp;"'!B2:B1000")=$B47) * (INDIRECT("'"&amp;J$1&amp;"'!C2:C1000")=$C47)
        ),
        5,
        FALSE
    )
)</f>
        <v/>
      </c>
      <c r="K47" s="93">
        <f t="array" ref="K47">IF(
    VLOOKUP(
        $A47,
        _xlfn._xlws.FILTER(
            INDIRECT("'"&amp;K$1&amp;"'!A2:E1000"), (INDIRECT("'"&amp;K$1&amp;"'!B2:B1000")=$B47) * (INDIRECT("'"&amp;K$1&amp;"'!C2:C1000")=$C47)
        ),
        5,
        FALSE
    )=0,
    "",
    VLOOKUP(
        $A47,
        _xlfn._xlws.FILTER(
            INDIRECT("'"&amp;K$1&amp;"'!A2:E1000"), (INDIRECT("'"&amp;K$1&amp;"'!B2:B1000")=$B47) * (INDIRECT("'"&amp;K$1&amp;"'!C2:C1000")=$C47)
        ),
        5,
        FALSE
    )
)</f>
        <v/>
      </c>
      <c r="L47" s="93">
        <f t="array" ref="L47">IF(
    VLOOKUP(
        $A47,
        _xlfn._xlws.FILTER(
            INDIRECT("'"&amp;L$1&amp;"'!A2:E1000"), (INDIRECT("'"&amp;L$1&amp;"'!B2:B1000")=$B47) * (INDIRECT("'"&amp;L$1&amp;"'!C2:C1000")=$C47)
        ),
        5,
        FALSE
    )=0,
    "",
    VLOOKUP(
        $A47,
        _xlfn._xlws.FILTER(
            INDIRECT("'"&amp;L$1&amp;"'!A2:E1000"), (INDIRECT("'"&amp;L$1&amp;"'!B2:B1000")=$B47) * (INDIRECT("'"&amp;L$1&amp;"'!C2:C1000")=$C47)
        ),
        5,
        FALSE
    )
)</f>
        <v/>
      </c>
      <c r="M47" s="93">
        <f t="array" ref="M47">IF(
    VLOOKUP(
        $A47,
        _xlfn._xlws.FILTER(
            INDIRECT("'"&amp;M$1&amp;"'!A2:E1000"), (INDIRECT("'"&amp;M$1&amp;"'!B2:B1000")=$B47) * (INDIRECT("'"&amp;M$1&amp;"'!C2:C1000")=$C47)
        ),
        5,
        FALSE
    )=0,
    "",
    VLOOKUP(
        $A47,
        _xlfn._xlws.FILTER(
            INDIRECT("'"&amp;M$1&amp;"'!A2:E1000"), (INDIRECT("'"&amp;M$1&amp;"'!B2:B1000")=$B47) * (INDIRECT("'"&amp;M$1&amp;"'!C2:C1000")=$C47)
        ),
        5,
        FALSE
    )
)</f>
        <v/>
      </c>
      <c r="N47" s="93">
        <f t="array" ref="N47">IF(
    VLOOKUP(
        $A47,
        _xlfn._xlws.FILTER(
            INDIRECT("'"&amp;N$1&amp;"'!A2:E1000"), (INDIRECT("'"&amp;N$1&amp;"'!B2:B1000")=$B47) * (INDIRECT("'"&amp;N$1&amp;"'!C2:C1000")=$C47)
        ),
        5,
        FALSE
    )=0,
    "",
    VLOOKUP(
        $A47,
        _xlfn._xlws.FILTER(
            INDIRECT("'"&amp;N$1&amp;"'!A2:E1000"), (INDIRECT("'"&amp;N$1&amp;"'!B2:B1000")=$B47) * (INDIRECT("'"&amp;N$1&amp;"'!C2:C1000")=$C47)
        ),
        5,
        FALSE
    )
)</f>
        <v/>
      </c>
      <c r="O47" s="93">
        <f t="array" ref="O47">IF(
    VLOOKUP(
        $A47,
        _xlfn._xlws.FILTER(
            INDIRECT("'"&amp;O$1&amp;"'!A2:E1000"), (INDIRECT("'"&amp;O$1&amp;"'!B2:B1000")=$B47) * (INDIRECT("'"&amp;O$1&amp;"'!C2:C1000")=$C47)
        ),
        5,
        FALSE
    )=0,
    "",
    VLOOKUP(
        $A47,
        _xlfn._xlws.FILTER(
            INDIRECT("'"&amp;O$1&amp;"'!A2:E1000"), (INDIRECT("'"&amp;O$1&amp;"'!B2:B1000")=$B47) * (INDIRECT("'"&amp;O$1&amp;"'!C2:C1000")=$C47)
        ),
        5,
        FALSE
    )
)</f>
        <v/>
      </c>
    </row>
    <row r="48">
      <c r="A48" s="58" t="inlineStr">
        <is>
          <t>Conisul</t>
        </is>
      </c>
      <c r="B48" s="92" t="inlineStr">
        <is>
          <t>Iguatemi</t>
        </is>
      </c>
      <c r="C48" s="95" t="n">
        <v>1</v>
      </c>
      <c r="D48" s="93">
        <f t="array" ref="D48">IF(
    VLOOKUP(
        $A48,
        _xlfn._xlws.FILTER(
            INDIRECT("'"&amp;D$1&amp;"'!A2:E1000"), (INDIRECT("'"&amp;D$1&amp;"'!B2:B1000")=$B48) * (INDIRECT("'"&amp;D$1&amp;"'!C2:C1000")=$C48)
        ),
        5,
        FALSE
    )=0,
    "",
    VLOOKUP(
        $A48,
        _xlfn._xlws.FILTER(
            INDIRECT("'"&amp;D$1&amp;"'!A2:E1000"), (INDIRECT("'"&amp;D$1&amp;"'!B2:B1000")=$B48) * (INDIRECT("'"&amp;D$1&amp;"'!C2:C1000")=$C48)
        ),
        5,
        FALSE
    )
)</f>
        <v/>
      </c>
      <c r="E48" s="93">
        <f t="array" ref="E48">IF(
    VLOOKUP(
        $A48,
        _xlfn._xlws.FILTER(
            INDIRECT("'"&amp;E$1&amp;"'!A2:E1000"), (INDIRECT("'"&amp;E$1&amp;"'!B2:B1000")=$B48) * (INDIRECT("'"&amp;E$1&amp;"'!C2:C1000")=$C48)
        ),
        5,
        FALSE
    )=0,
    "",
    VLOOKUP(
        $A48,
        _xlfn._xlws.FILTER(
            INDIRECT("'"&amp;E$1&amp;"'!A2:E1000"), (INDIRECT("'"&amp;E$1&amp;"'!B2:B1000")=$B48) * (INDIRECT("'"&amp;E$1&amp;"'!C2:C1000")=$C48)
        ),
        5,
        FALSE
    )
)</f>
        <v/>
      </c>
      <c r="F48" s="93">
        <f t="array" ref="F48">IF(
    VLOOKUP(
        $A48,
        _xlfn._xlws.FILTER(
            INDIRECT("'"&amp;F$1&amp;"'!A2:E1000"), (INDIRECT("'"&amp;F$1&amp;"'!B2:B1000")=$B48) * (INDIRECT("'"&amp;F$1&amp;"'!C2:C1000")=$C48)
        ),
        5,
        FALSE
    )=0,
    "",
    VLOOKUP(
        $A48,
        _xlfn._xlws.FILTER(
            INDIRECT("'"&amp;F$1&amp;"'!A2:E1000"), (INDIRECT("'"&amp;F$1&amp;"'!B2:B1000")=$B48) * (INDIRECT("'"&amp;F$1&amp;"'!C2:C1000")=$C48)
        ),
        5,
        FALSE
    )
)</f>
        <v/>
      </c>
      <c r="G48" s="93">
        <f t="array" ref="G48">IF(
    VLOOKUP(
        $A48,
        _xlfn._xlws.FILTER(
            INDIRECT("'"&amp;G$1&amp;"'!A2:E1000"), (INDIRECT("'"&amp;G$1&amp;"'!B2:B1000")=$B48) * (INDIRECT("'"&amp;G$1&amp;"'!C2:C1000")=$C48)
        ),
        5,
        FALSE
    )=0,
    "",
    VLOOKUP(
        $A48,
        _xlfn._xlws.FILTER(
            INDIRECT("'"&amp;G$1&amp;"'!A2:E1000"), (INDIRECT("'"&amp;G$1&amp;"'!B2:B1000")=$B48) * (INDIRECT("'"&amp;G$1&amp;"'!C2:C1000")=$C48)
        ),
        5,
        FALSE
    )
)</f>
        <v/>
      </c>
      <c r="H48" s="93">
        <f t="array" ref="H48">IF(
    VLOOKUP(
        $A48,
        _xlfn._xlws.FILTER(
            INDIRECT("'"&amp;H$1&amp;"'!A2:E1000"), (INDIRECT("'"&amp;H$1&amp;"'!B2:B1000")=$B48) * (INDIRECT("'"&amp;H$1&amp;"'!C2:C1000")=$C48)
        ),
        5,
        FALSE
    )=0,
    "",
    VLOOKUP(
        $A48,
        _xlfn._xlws.FILTER(
            INDIRECT("'"&amp;H$1&amp;"'!A2:E1000"), (INDIRECT("'"&amp;H$1&amp;"'!B2:B1000")=$B48) * (INDIRECT("'"&amp;H$1&amp;"'!C2:C1000")=$C48)
        ),
        5,
        FALSE
    )
)</f>
        <v/>
      </c>
      <c r="I48" s="93">
        <f t="array" ref="I48">IF(
    VLOOKUP(
        $A48,
        _xlfn._xlws.FILTER(
            INDIRECT("'"&amp;I$1&amp;"'!A2:E1000"), (INDIRECT("'"&amp;I$1&amp;"'!B2:B1000")=$B48) * (INDIRECT("'"&amp;I$1&amp;"'!C2:C1000")=$C48)
        ),
        5,
        FALSE
    )=0,
    "",
    VLOOKUP(
        $A48,
        _xlfn._xlws.FILTER(
            INDIRECT("'"&amp;I$1&amp;"'!A2:E1000"), (INDIRECT("'"&amp;I$1&amp;"'!B2:B1000")=$B48) * (INDIRECT("'"&amp;I$1&amp;"'!C2:C1000")=$C48)
        ),
        5,
        FALSE
    )
)</f>
        <v/>
      </c>
      <c r="J48" s="93">
        <f t="array" ref="J48">IF(
    VLOOKUP(
        $A48,
        _xlfn._xlws.FILTER(
            INDIRECT("'"&amp;J$1&amp;"'!A2:E1000"), (INDIRECT("'"&amp;J$1&amp;"'!B2:B1000")=$B48) * (INDIRECT("'"&amp;J$1&amp;"'!C2:C1000")=$C48)
        ),
        5,
        FALSE
    )=0,
    "",
    VLOOKUP(
        $A48,
        _xlfn._xlws.FILTER(
            INDIRECT("'"&amp;J$1&amp;"'!A2:E1000"), (INDIRECT("'"&amp;J$1&amp;"'!B2:B1000")=$B48) * (INDIRECT("'"&amp;J$1&amp;"'!C2:C1000")=$C48)
        ),
        5,
        FALSE
    )
)</f>
        <v/>
      </c>
      <c r="K48" s="93">
        <f t="array" ref="K48">IF(
    VLOOKUP(
        $A48,
        _xlfn._xlws.FILTER(
            INDIRECT("'"&amp;K$1&amp;"'!A2:E1000"), (INDIRECT("'"&amp;K$1&amp;"'!B2:B1000")=$B48) * (INDIRECT("'"&amp;K$1&amp;"'!C2:C1000")=$C48)
        ),
        5,
        FALSE
    )=0,
    "",
    VLOOKUP(
        $A48,
        _xlfn._xlws.FILTER(
            INDIRECT("'"&amp;K$1&amp;"'!A2:E1000"), (INDIRECT("'"&amp;K$1&amp;"'!B2:B1000")=$B48) * (INDIRECT("'"&amp;K$1&amp;"'!C2:C1000")=$C48)
        ),
        5,
        FALSE
    )
)</f>
        <v/>
      </c>
      <c r="L48" s="93">
        <f t="array" ref="L48">IF(
    VLOOKUP(
        $A48,
        _xlfn._xlws.FILTER(
            INDIRECT("'"&amp;L$1&amp;"'!A2:E1000"), (INDIRECT("'"&amp;L$1&amp;"'!B2:B1000")=$B48) * (INDIRECT("'"&amp;L$1&amp;"'!C2:C1000")=$C48)
        ),
        5,
        FALSE
    )=0,
    "",
    VLOOKUP(
        $A48,
        _xlfn._xlws.FILTER(
            INDIRECT("'"&amp;L$1&amp;"'!A2:E1000"), (INDIRECT("'"&amp;L$1&amp;"'!B2:B1000")=$B48) * (INDIRECT("'"&amp;L$1&amp;"'!C2:C1000")=$C48)
        ),
        5,
        FALSE
    )
)</f>
        <v/>
      </c>
      <c r="M48" s="93">
        <f t="array" ref="M48">IF(
    VLOOKUP(
        $A48,
        _xlfn._xlws.FILTER(
            INDIRECT("'"&amp;M$1&amp;"'!A2:E1000"), (INDIRECT("'"&amp;M$1&amp;"'!B2:B1000")=$B48) * (INDIRECT("'"&amp;M$1&amp;"'!C2:C1000")=$C48)
        ),
        5,
        FALSE
    )=0,
    "",
    VLOOKUP(
        $A48,
        _xlfn._xlws.FILTER(
            INDIRECT("'"&amp;M$1&amp;"'!A2:E1000"), (INDIRECT("'"&amp;M$1&amp;"'!B2:B1000")=$B48) * (INDIRECT("'"&amp;M$1&amp;"'!C2:C1000")=$C48)
        ),
        5,
        FALSE
    )
)</f>
        <v/>
      </c>
      <c r="N48" s="93">
        <f t="array" ref="N48">IF(
    VLOOKUP(
        $A48,
        _xlfn._xlws.FILTER(
            INDIRECT("'"&amp;N$1&amp;"'!A2:E1000"), (INDIRECT("'"&amp;N$1&amp;"'!B2:B1000")=$B48) * (INDIRECT("'"&amp;N$1&amp;"'!C2:C1000")=$C48)
        ),
        5,
        FALSE
    )=0,
    "",
    VLOOKUP(
        $A48,
        _xlfn._xlws.FILTER(
            INDIRECT("'"&amp;N$1&amp;"'!A2:E1000"), (INDIRECT("'"&amp;N$1&amp;"'!B2:B1000")=$B48) * (INDIRECT("'"&amp;N$1&amp;"'!C2:C1000")=$C48)
        ),
        5,
        FALSE
    )
)</f>
        <v/>
      </c>
      <c r="O48" s="93">
        <f t="array" ref="O48">IF(
    VLOOKUP(
        $A48,
        _xlfn._xlws.FILTER(
            INDIRECT("'"&amp;O$1&amp;"'!A2:E1000"), (INDIRECT("'"&amp;O$1&amp;"'!B2:B1000")=$B48) * (INDIRECT("'"&amp;O$1&amp;"'!C2:C1000")=$C48)
        ),
        5,
        FALSE
    )=0,
    "",
    VLOOKUP(
        $A48,
        _xlfn._xlws.FILTER(
            INDIRECT("'"&amp;O$1&amp;"'!A2:E1000"), (INDIRECT("'"&amp;O$1&amp;"'!B2:B1000")=$B48) * (INDIRECT("'"&amp;O$1&amp;"'!C2:C1000")=$C48)
        ),
        5,
        FALSE
    )
)</f>
        <v/>
      </c>
    </row>
    <row r="49" ht="15.75" customHeight="1">
      <c r="A49" s="58" t="inlineStr">
        <is>
          <t>Conisul</t>
        </is>
      </c>
      <c r="B49" s="92" t="inlineStr">
        <is>
          <t>Itaquiraí</t>
        </is>
      </c>
      <c r="C49" s="95" t="n">
        <v>1</v>
      </c>
      <c r="D49" s="93">
        <f t="array" ref="D49">IF(
    VLOOKUP(
        $A49,
        _xlfn._xlws.FILTER(
            INDIRECT("'"&amp;D$1&amp;"'!A2:E1000"), (INDIRECT("'"&amp;D$1&amp;"'!B2:B1000")=$B49) * (INDIRECT("'"&amp;D$1&amp;"'!C2:C1000")=$C49)
        ),
        5,
        FALSE
    )=0,
    "",
    VLOOKUP(
        $A49,
        _xlfn._xlws.FILTER(
            INDIRECT("'"&amp;D$1&amp;"'!A2:E1000"), (INDIRECT("'"&amp;D$1&amp;"'!B2:B1000")=$B49) * (INDIRECT("'"&amp;D$1&amp;"'!C2:C1000")=$C49)
        ),
        5,
        FALSE
    )
)</f>
        <v/>
      </c>
      <c r="E49" s="93">
        <f t="array" ref="E49">IF(
    VLOOKUP(
        $A49,
        _xlfn._xlws.FILTER(
            INDIRECT("'"&amp;E$1&amp;"'!A2:E1000"), (INDIRECT("'"&amp;E$1&amp;"'!B2:B1000")=$B49) * (INDIRECT("'"&amp;E$1&amp;"'!C2:C1000")=$C49)
        ),
        5,
        FALSE
    )=0,
    "",
    VLOOKUP(
        $A49,
        _xlfn._xlws.FILTER(
            INDIRECT("'"&amp;E$1&amp;"'!A2:E1000"), (INDIRECT("'"&amp;E$1&amp;"'!B2:B1000")=$B49) * (INDIRECT("'"&amp;E$1&amp;"'!C2:C1000")=$C49)
        ),
        5,
        FALSE
    )
)</f>
        <v/>
      </c>
      <c r="F49" s="93">
        <f t="array" ref="F49">IF(
    VLOOKUP(
        $A49,
        _xlfn._xlws.FILTER(
            INDIRECT("'"&amp;F$1&amp;"'!A2:E1000"), (INDIRECT("'"&amp;F$1&amp;"'!B2:B1000")=$B49) * (INDIRECT("'"&amp;F$1&amp;"'!C2:C1000")=$C49)
        ),
        5,
        FALSE
    )=0,
    "",
    VLOOKUP(
        $A49,
        _xlfn._xlws.FILTER(
            INDIRECT("'"&amp;F$1&amp;"'!A2:E1000"), (INDIRECT("'"&amp;F$1&amp;"'!B2:B1000")=$B49) * (INDIRECT("'"&amp;F$1&amp;"'!C2:C1000")=$C49)
        ),
        5,
        FALSE
    )
)</f>
        <v/>
      </c>
      <c r="G49" s="93">
        <f t="array" ref="G49">IF(
    VLOOKUP(
        $A49,
        _xlfn._xlws.FILTER(
            INDIRECT("'"&amp;G$1&amp;"'!A2:E1000"), (INDIRECT("'"&amp;G$1&amp;"'!B2:B1000")=$B49) * (INDIRECT("'"&amp;G$1&amp;"'!C2:C1000")=$C49)
        ),
        5,
        FALSE
    )=0,
    "",
    VLOOKUP(
        $A49,
        _xlfn._xlws.FILTER(
            INDIRECT("'"&amp;G$1&amp;"'!A2:E1000"), (INDIRECT("'"&amp;G$1&amp;"'!B2:B1000")=$B49) * (INDIRECT("'"&amp;G$1&amp;"'!C2:C1000")=$C49)
        ),
        5,
        FALSE
    )
)</f>
        <v/>
      </c>
      <c r="H49" s="93">
        <f t="array" ref="H49">IF(
    VLOOKUP(
        $A49,
        _xlfn._xlws.FILTER(
            INDIRECT("'"&amp;H$1&amp;"'!A2:E1000"), (INDIRECT("'"&amp;H$1&amp;"'!B2:B1000")=$B49) * (INDIRECT("'"&amp;H$1&amp;"'!C2:C1000")=$C49)
        ),
        5,
        FALSE
    )=0,
    "",
    VLOOKUP(
        $A49,
        _xlfn._xlws.FILTER(
            INDIRECT("'"&amp;H$1&amp;"'!A2:E1000"), (INDIRECT("'"&amp;H$1&amp;"'!B2:B1000")=$B49) * (INDIRECT("'"&amp;H$1&amp;"'!C2:C1000")=$C49)
        ),
        5,
        FALSE
    )
)</f>
        <v/>
      </c>
      <c r="I49" s="93">
        <f t="array" ref="I49">IF(
    VLOOKUP(
        $A49,
        _xlfn._xlws.FILTER(
            INDIRECT("'"&amp;I$1&amp;"'!A2:E1000"), (INDIRECT("'"&amp;I$1&amp;"'!B2:B1000")=$B49) * (INDIRECT("'"&amp;I$1&amp;"'!C2:C1000")=$C49)
        ),
        5,
        FALSE
    )=0,
    "",
    VLOOKUP(
        $A49,
        _xlfn._xlws.FILTER(
            INDIRECT("'"&amp;I$1&amp;"'!A2:E1000"), (INDIRECT("'"&amp;I$1&amp;"'!B2:B1000")=$B49) * (INDIRECT("'"&amp;I$1&amp;"'!C2:C1000")=$C49)
        ),
        5,
        FALSE
    )
)</f>
        <v/>
      </c>
      <c r="J49" s="93">
        <f t="array" ref="J49">IF(
    VLOOKUP(
        $A49,
        _xlfn._xlws.FILTER(
            INDIRECT("'"&amp;J$1&amp;"'!A2:E1000"), (INDIRECT("'"&amp;J$1&amp;"'!B2:B1000")=$B49) * (INDIRECT("'"&amp;J$1&amp;"'!C2:C1000")=$C49)
        ),
        5,
        FALSE
    )=0,
    "",
    VLOOKUP(
        $A49,
        _xlfn._xlws.FILTER(
            INDIRECT("'"&amp;J$1&amp;"'!A2:E1000"), (INDIRECT("'"&amp;J$1&amp;"'!B2:B1000")=$B49) * (INDIRECT("'"&amp;J$1&amp;"'!C2:C1000")=$C49)
        ),
        5,
        FALSE
    )
)</f>
        <v/>
      </c>
      <c r="K49" s="93">
        <f t="array" ref="K49">IF(
    VLOOKUP(
        $A49,
        _xlfn._xlws.FILTER(
            INDIRECT("'"&amp;K$1&amp;"'!A2:E1000"), (INDIRECT("'"&amp;K$1&amp;"'!B2:B1000")=$B49) * (INDIRECT("'"&amp;K$1&amp;"'!C2:C1000")=$C49)
        ),
        5,
        FALSE
    )=0,
    "",
    VLOOKUP(
        $A49,
        _xlfn._xlws.FILTER(
            INDIRECT("'"&amp;K$1&amp;"'!A2:E1000"), (INDIRECT("'"&amp;K$1&amp;"'!B2:B1000")=$B49) * (INDIRECT("'"&amp;K$1&amp;"'!C2:C1000")=$C49)
        ),
        5,
        FALSE
    )
)</f>
        <v/>
      </c>
      <c r="L49" s="93">
        <f t="array" ref="L49">IF(
    VLOOKUP(
        $A49,
        _xlfn._xlws.FILTER(
            INDIRECT("'"&amp;L$1&amp;"'!A2:E1000"), (INDIRECT("'"&amp;L$1&amp;"'!B2:B1000")=$B49) * (INDIRECT("'"&amp;L$1&amp;"'!C2:C1000")=$C49)
        ),
        5,
        FALSE
    )=0,
    "",
    VLOOKUP(
        $A49,
        _xlfn._xlws.FILTER(
            INDIRECT("'"&amp;L$1&amp;"'!A2:E1000"), (INDIRECT("'"&amp;L$1&amp;"'!B2:B1000")=$B49) * (INDIRECT("'"&amp;L$1&amp;"'!C2:C1000")=$C49)
        ),
        5,
        FALSE
    )
)</f>
        <v/>
      </c>
      <c r="M49" s="93">
        <f t="array" ref="M49">IF(
    VLOOKUP(
        $A49,
        _xlfn._xlws.FILTER(
            INDIRECT("'"&amp;M$1&amp;"'!A2:E1000"), (INDIRECT("'"&amp;M$1&amp;"'!B2:B1000")=$B49) * (INDIRECT("'"&amp;M$1&amp;"'!C2:C1000")=$C49)
        ),
        5,
        FALSE
    )=0,
    "",
    VLOOKUP(
        $A49,
        _xlfn._xlws.FILTER(
            INDIRECT("'"&amp;M$1&amp;"'!A2:E1000"), (INDIRECT("'"&amp;M$1&amp;"'!B2:B1000")=$B49) * (INDIRECT("'"&amp;M$1&amp;"'!C2:C1000")=$C49)
        ),
        5,
        FALSE
    )
)</f>
        <v/>
      </c>
      <c r="N49" s="93">
        <f t="array" ref="N49">IF(
    VLOOKUP(
        $A49,
        _xlfn._xlws.FILTER(
            INDIRECT("'"&amp;N$1&amp;"'!A2:E1000"), (INDIRECT("'"&amp;N$1&amp;"'!B2:B1000")=$B49) * (INDIRECT("'"&amp;N$1&amp;"'!C2:C1000")=$C49)
        ),
        5,
        FALSE
    )=0,
    "",
    VLOOKUP(
        $A49,
        _xlfn._xlws.FILTER(
            INDIRECT("'"&amp;N$1&amp;"'!A2:E1000"), (INDIRECT("'"&amp;N$1&amp;"'!B2:B1000")=$B49) * (INDIRECT("'"&amp;N$1&amp;"'!C2:C1000")=$C49)
        ),
        5,
        FALSE
    )
)</f>
        <v/>
      </c>
      <c r="O49" s="93">
        <f t="array" ref="O49">IF(
    VLOOKUP(
        $A49,
        _xlfn._xlws.FILTER(
            INDIRECT("'"&amp;O$1&amp;"'!A2:E1000"), (INDIRECT("'"&amp;O$1&amp;"'!B2:B1000")=$B49) * (INDIRECT("'"&amp;O$1&amp;"'!C2:C1000")=$C49)
        ),
        5,
        FALSE
    )=0,
    "",
    VLOOKUP(
        $A49,
        _xlfn._xlws.FILTER(
            INDIRECT("'"&amp;O$1&amp;"'!A2:E1000"), (INDIRECT("'"&amp;O$1&amp;"'!B2:B1000")=$B49) * (INDIRECT("'"&amp;O$1&amp;"'!C2:C1000")=$C49)
        ),
        5,
        FALSE
    )
)</f>
        <v/>
      </c>
    </row>
    <row r="50">
      <c r="A50" s="58" t="inlineStr">
        <is>
          <t>Conisul</t>
        </is>
      </c>
      <c r="B50" s="92" t="inlineStr">
        <is>
          <t>Japorã</t>
        </is>
      </c>
      <c r="C50" s="95" t="n">
        <v>1</v>
      </c>
      <c r="D50" s="93">
        <f t="array" ref="D50">IF(
    VLOOKUP(
        $A50,
        _xlfn._xlws.FILTER(
            INDIRECT("'"&amp;D$1&amp;"'!A2:E1000"), (INDIRECT("'"&amp;D$1&amp;"'!B2:B1000")=$B50) * (INDIRECT("'"&amp;D$1&amp;"'!C2:C1000")=$C50)
        ),
        5,
        FALSE
    )=0,
    "",
    VLOOKUP(
        $A50,
        _xlfn._xlws.FILTER(
            INDIRECT("'"&amp;D$1&amp;"'!A2:E1000"), (INDIRECT("'"&amp;D$1&amp;"'!B2:B1000")=$B50) * (INDIRECT("'"&amp;D$1&amp;"'!C2:C1000")=$C50)
        ),
        5,
        FALSE
    )
)</f>
        <v/>
      </c>
      <c r="E50" s="93">
        <f t="array" ref="E50">IF(
    VLOOKUP(
        $A50,
        _xlfn._xlws.FILTER(
            INDIRECT("'"&amp;E$1&amp;"'!A2:E1000"), (INDIRECT("'"&amp;E$1&amp;"'!B2:B1000")=$B50) * (INDIRECT("'"&amp;E$1&amp;"'!C2:C1000")=$C50)
        ),
        5,
        FALSE
    )=0,
    "",
    VLOOKUP(
        $A50,
        _xlfn._xlws.FILTER(
            INDIRECT("'"&amp;E$1&amp;"'!A2:E1000"), (INDIRECT("'"&amp;E$1&amp;"'!B2:B1000")=$B50) * (INDIRECT("'"&amp;E$1&amp;"'!C2:C1000")=$C50)
        ),
        5,
        FALSE
    )
)</f>
        <v/>
      </c>
      <c r="F50" s="93">
        <f t="array" ref="F50">IF(
    VLOOKUP(
        $A50,
        _xlfn._xlws.FILTER(
            INDIRECT("'"&amp;F$1&amp;"'!A2:E1000"), (INDIRECT("'"&amp;F$1&amp;"'!B2:B1000")=$B50) * (INDIRECT("'"&amp;F$1&amp;"'!C2:C1000")=$C50)
        ),
        5,
        FALSE
    )=0,
    "",
    VLOOKUP(
        $A50,
        _xlfn._xlws.FILTER(
            INDIRECT("'"&amp;F$1&amp;"'!A2:E1000"), (INDIRECT("'"&amp;F$1&amp;"'!B2:B1000")=$B50) * (INDIRECT("'"&amp;F$1&amp;"'!C2:C1000")=$C50)
        ),
        5,
        FALSE
    )
)</f>
        <v/>
      </c>
      <c r="G50" s="93">
        <f t="array" ref="G50">IF(
    VLOOKUP(
        $A50,
        _xlfn._xlws.FILTER(
            INDIRECT("'"&amp;G$1&amp;"'!A2:E1000"), (INDIRECT("'"&amp;G$1&amp;"'!B2:B1000")=$B50) * (INDIRECT("'"&amp;G$1&amp;"'!C2:C1000")=$C50)
        ),
        5,
        FALSE
    )=0,
    "",
    VLOOKUP(
        $A50,
        _xlfn._xlws.FILTER(
            INDIRECT("'"&amp;G$1&amp;"'!A2:E1000"), (INDIRECT("'"&amp;G$1&amp;"'!B2:B1000")=$B50) * (INDIRECT("'"&amp;G$1&amp;"'!C2:C1000")=$C50)
        ),
        5,
        FALSE
    )
)</f>
        <v/>
      </c>
      <c r="H50" s="93">
        <f t="array" ref="H50">IF(
    VLOOKUP(
        $A50,
        _xlfn._xlws.FILTER(
            INDIRECT("'"&amp;H$1&amp;"'!A2:E1000"), (INDIRECT("'"&amp;H$1&amp;"'!B2:B1000")=$B50) * (INDIRECT("'"&amp;H$1&amp;"'!C2:C1000")=$C50)
        ),
        5,
        FALSE
    )=0,
    "",
    VLOOKUP(
        $A50,
        _xlfn._xlws.FILTER(
            INDIRECT("'"&amp;H$1&amp;"'!A2:E1000"), (INDIRECT("'"&amp;H$1&amp;"'!B2:B1000")=$B50) * (INDIRECT("'"&amp;H$1&amp;"'!C2:C1000")=$C50)
        ),
        5,
        FALSE
    )
)</f>
        <v/>
      </c>
      <c r="I50" s="93">
        <f t="array" ref="I50">IF(
    VLOOKUP(
        $A50,
        _xlfn._xlws.FILTER(
            INDIRECT("'"&amp;I$1&amp;"'!A2:E1000"), (INDIRECT("'"&amp;I$1&amp;"'!B2:B1000")=$B50) * (INDIRECT("'"&amp;I$1&amp;"'!C2:C1000")=$C50)
        ),
        5,
        FALSE
    )=0,
    "",
    VLOOKUP(
        $A50,
        _xlfn._xlws.FILTER(
            INDIRECT("'"&amp;I$1&amp;"'!A2:E1000"), (INDIRECT("'"&amp;I$1&amp;"'!B2:B1000")=$B50) * (INDIRECT("'"&amp;I$1&amp;"'!C2:C1000")=$C50)
        ),
        5,
        FALSE
    )
)</f>
        <v/>
      </c>
      <c r="J50" s="93">
        <f t="array" ref="J50">IF(
    VLOOKUP(
        $A50,
        _xlfn._xlws.FILTER(
            INDIRECT("'"&amp;J$1&amp;"'!A2:E1000"), (INDIRECT("'"&amp;J$1&amp;"'!B2:B1000")=$B50) * (INDIRECT("'"&amp;J$1&amp;"'!C2:C1000")=$C50)
        ),
        5,
        FALSE
    )=0,
    "",
    VLOOKUP(
        $A50,
        _xlfn._xlws.FILTER(
            INDIRECT("'"&amp;J$1&amp;"'!A2:E1000"), (INDIRECT("'"&amp;J$1&amp;"'!B2:B1000")=$B50) * (INDIRECT("'"&amp;J$1&amp;"'!C2:C1000")=$C50)
        ),
        5,
        FALSE
    )
)</f>
        <v/>
      </c>
      <c r="K50" s="93">
        <f t="array" ref="K50">IF(
    VLOOKUP(
        $A50,
        _xlfn._xlws.FILTER(
            INDIRECT("'"&amp;K$1&amp;"'!A2:E1000"), (INDIRECT("'"&amp;K$1&amp;"'!B2:B1000")=$B50) * (INDIRECT("'"&amp;K$1&amp;"'!C2:C1000")=$C50)
        ),
        5,
        FALSE
    )=0,
    "",
    VLOOKUP(
        $A50,
        _xlfn._xlws.FILTER(
            INDIRECT("'"&amp;K$1&amp;"'!A2:E1000"), (INDIRECT("'"&amp;K$1&amp;"'!B2:B1000")=$B50) * (INDIRECT("'"&amp;K$1&amp;"'!C2:C1000")=$C50)
        ),
        5,
        FALSE
    )
)</f>
        <v/>
      </c>
      <c r="L50" s="93">
        <f t="array" ref="L50">IF(
    VLOOKUP(
        $A50,
        _xlfn._xlws.FILTER(
            INDIRECT("'"&amp;L$1&amp;"'!A2:E1000"), (INDIRECT("'"&amp;L$1&amp;"'!B2:B1000")=$B50) * (INDIRECT("'"&amp;L$1&amp;"'!C2:C1000")=$C50)
        ),
        5,
        FALSE
    )=0,
    "",
    VLOOKUP(
        $A50,
        _xlfn._xlws.FILTER(
            INDIRECT("'"&amp;L$1&amp;"'!A2:E1000"), (INDIRECT("'"&amp;L$1&amp;"'!B2:B1000")=$B50) * (INDIRECT("'"&amp;L$1&amp;"'!C2:C1000")=$C50)
        ),
        5,
        FALSE
    )
)</f>
        <v/>
      </c>
      <c r="M50" s="93">
        <f t="array" ref="M50">IF(
    VLOOKUP(
        $A50,
        _xlfn._xlws.FILTER(
            INDIRECT("'"&amp;M$1&amp;"'!A2:E1000"), (INDIRECT("'"&amp;M$1&amp;"'!B2:B1000")=$B50) * (INDIRECT("'"&amp;M$1&amp;"'!C2:C1000")=$C50)
        ),
        5,
        FALSE
    )=0,
    "",
    VLOOKUP(
        $A50,
        _xlfn._xlws.FILTER(
            INDIRECT("'"&amp;M$1&amp;"'!A2:E1000"), (INDIRECT("'"&amp;M$1&amp;"'!B2:B1000")=$B50) * (INDIRECT("'"&amp;M$1&amp;"'!C2:C1000")=$C50)
        ),
        5,
        FALSE
    )
)</f>
        <v/>
      </c>
      <c r="N50" s="93">
        <f t="array" ref="N50">IF(
    VLOOKUP(
        $A50,
        _xlfn._xlws.FILTER(
            INDIRECT("'"&amp;N$1&amp;"'!A2:E1000"), (INDIRECT("'"&amp;N$1&amp;"'!B2:B1000")=$B50) * (INDIRECT("'"&amp;N$1&amp;"'!C2:C1000")=$C50)
        ),
        5,
        FALSE
    )=0,
    "",
    VLOOKUP(
        $A50,
        _xlfn._xlws.FILTER(
            INDIRECT("'"&amp;N$1&amp;"'!A2:E1000"), (INDIRECT("'"&amp;N$1&amp;"'!B2:B1000")=$B50) * (INDIRECT("'"&amp;N$1&amp;"'!C2:C1000")=$C50)
        ),
        5,
        FALSE
    )
)</f>
        <v/>
      </c>
      <c r="O50" s="93">
        <f t="array" ref="O50">IF(
    VLOOKUP(
        $A50,
        _xlfn._xlws.FILTER(
            INDIRECT("'"&amp;O$1&amp;"'!A2:E1000"), (INDIRECT("'"&amp;O$1&amp;"'!B2:B1000")=$B50) * (INDIRECT("'"&amp;O$1&amp;"'!C2:C1000")=$C50)
        ),
        5,
        FALSE
    )=0,
    "",
    VLOOKUP(
        $A50,
        _xlfn._xlws.FILTER(
            INDIRECT("'"&amp;O$1&amp;"'!A2:E1000"), (INDIRECT("'"&amp;O$1&amp;"'!B2:B1000")=$B50) * (INDIRECT("'"&amp;O$1&amp;"'!C2:C1000")=$C50)
        ),
        5,
        FALSE
    )
)</f>
        <v/>
      </c>
    </row>
    <row r="51">
      <c r="A51" s="58" t="inlineStr">
        <is>
          <t>Conisul</t>
        </is>
      </c>
      <c r="B51" s="92" t="inlineStr">
        <is>
          <t>Juti</t>
        </is>
      </c>
      <c r="C51" s="95" t="n">
        <v>1</v>
      </c>
      <c r="D51" s="93">
        <f t="array" ref="D51">IF(
    VLOOKUP(
        $A51,
        _xlfn._xlws.FILTER(
            INDIRECT("'"&amp;D$1&amp;"'!A2:E1000"), (INDIRECT("'"&amp;D$1&amp;"'!B2:B1000")=$B51) * (INDIRECT("'"&amp;D$1&amp;"'!C2:C1000")=$C51)
        ),
        5,
        FALSE
    )=0,
    "",
    VLOOKUP(
        $A51,
        _xlfn._xlws.FILTER(
            INDIRECT("'"&amp;D$1&amp;"'!A2:E1000"), (INDIRECT("'"&amp;D$1&amp;"'!B2:B1000")=$B51) * (INDIRECT("'"&amp;D$1&amp;"'!C2:C1000")=$C51)
        ),
        5,
        FALSE
    )
)</f>
        <v/>
      </c>
      <c r="E51" s="93">
        <f t="array" ref="E51">IF(
    VLOOKUP(
        $A51,
        _xlfn._xlws.FILTER(
            INDIRECT("'"&amp;E$1&amp;"'!A2:E1000"), (INDIRECT("'"&amp;E$1&amp;"'!B2:B1000")=$B51) * (INDIRECT("'"&amp;E$1&amp;"'!C2:C1000")=$C51)
        ),
        5,
        FALSE
    )=0,
    "",
    VLOOKUP(
        $A51,
        _xlfn._xlws.FILTER(
            INDIRECT("'"&amp;E$1&amp;"'!A2:E1000"), (INDIRECT("'"&amp;E$1&amp;"'!B2:B1000")=$B51) * (INDIRECT("'"&amp;E$1&amp;"'!C2:C1000")=$C51)
        ),
        5,
        FALSE
    )
)</f>
        <v/>
      </c>
      <c r="F51" s="93">
        <f t="array" ref="F51">IF(
    VLOOKUP(
        $A51,
        _xlfn._xlws.FILTER(
            INDIRECT("'"&amp;F$1&amp;"'!A2:E1000"), (INDIRECT("'"&amp;F$1&amp;"'!B2:B1000")=$B51) * (INDIRECT("'"&amp;F$1&amp;"'!C2:C1000")=$C51)
        ),
        5,
        FALSE
    )=0,
    "",
    VLOOKUP(
        $A51,
        _xlfn._xlws.FILTER(
            INDIRECT("'"&amp;F$1&amp;"'!A2:E1000"), (INDIRECT("'"&amp;F$1&amp;"'!B2:B1000")=$B51) * (INDIRECT("'"&amp;F$1&amp;"'!C2:C1000")=$C51)
        ),
        5,
        FALSE
    )
)</f>
        <v/>
      </c>
      <c r="G51" s="93">
        <f t="array" ref="G51">IF(
    VLOOKUP(
        $A51,
        _xlfn._xlws.FILTER(
            INDIRECT("'"&amp;G$1&amp;"'!A2:E1000"), (INDIRECT("'"&amp;G$1&amp;"'!B2:B1000")=$B51) * (INDIRECT("'"&amp;G$1&amp;"'!C2:C1000")=$C51)
        ),
        5,
        FALSE
    )=0,
    "",
    VLOOKUP(
        $A51,
        _xlfn._xlws.FILTER(
            INDIRECT("'"&amp;G$1&amp;"'!A2:E1000"), (INDIRECT("'"&amp;G$1&amp;"'!B2:B1000")=$B51) * (INDIRECT("'"&amp;G$1&amp;"'!C2:C1000")=$C51)
        ),
        5,
        FALSE
    )
)</f>
        <v/>
      </c>
      <c r="H51" s="93">
        <f t="array" ref="H51">IF(
    VLOOKUP(
        $A51,
        _xlfn._xlws.FILTER(
            INDIRECT("'"&amp;H$1&amp;"'!A2:E1000"), (INDIRECT("'"&amp;H$1&amp;"'!B2:B1000")=$B51) * (INDIRECT("'"&amp;H$1&amp;"'!C2:C1000")=$C51)
        ),
        5,
        FALSE
    )=0,
    "",
    VLOOKUP(
        $A51,
        _xlfn._xlws.FILTER(
            INDIRECT("'"&amp;H$1&amp;"'!A2:E1000"), (INDIRECT("'"&amp;H$1&amp;"'!B2:B1000")=$B51) * (INDIRECT("'"&amp;H$1&amp;"'!C2:C1000")=$C51)
        ),
        5,
        FALSE
    )
)</f>
        <v/>
      </c>
      <c r="I51" s="93">
        <f t="array" ref="I51">IF(
    VLOOKUP(
        $A51,
        _xlfn._xlws.FILTER(
            INDIRECT("'"&amp;I$1&amp;"'!A2:E1000"), (INDIRECT("'"&amp;I$1&amp;"'!B2:B1000")=$B51) * (INDIRECT("'"&amp;I$1&amp;"'!C2:C1000")=$C51)
        ),
        5,
        FALSE
    )=0,
    "",
    VLOOKUP(
        $A51,
        _xlfn._xlws.FILTER(
            INDIRECT("'"&amp;I$1&amp;"'!A2:E1000"), (INDIRECT("'"&amp;I$1&amp;"'!B2:B1000")=$B51) * (INDIRECT("'"&amp;I$1&amp;"'!C2:C1000")=$C51)
        ),
        5,
        FALSE
    )
)</f>
        <v/>
      </c>
      <c r="J51" s="93">
        <f t="array" ref="J51">IF(
    VLOOKUP(
        $A51,
        _xlfn._xlws.FILTER(
            INDIRECT("'"&amp;J$1&amp;"'!A2:E1000"), (INDIRECT("'"&amp;J$1&amp;"'!B2:B1000")=$B51) * (INDIRECT("'"&amp;J$1&amp;"'!C2:C1000")=$C51)
        ),
        5,
        FALSE
    )=0,
    "",
    VLOOKUP(
        $A51,
        _xlfn._xlws.FILTER(
            INDIRECT("'"&amp;J$1&amp;"'!A2:E1000"), (INDIRECT("'"&amp;J$1&amp;"'!B2:B1000")=$B51) * (INDIRECT("'"&amp;J$1&amp;"'!C2:C1000")=$C51)
        ),
        5,
        FALSE
    )
)</f>
        <v/>
      </c>
      <c r="K51" s="93">
        <f t="array" ref="K51">IF(
    VLOOKUP(
        $A51,
        _xlfn._xlws.FILTER(
            INDIRECT("'"&amp;K$1&amp;"'!A2:E1000"), (INDIRECT("'"&amp;K$1&amp;"'!B2:B1000")=$B51) * (INDIRECT("'"&amp;K$1&amp;"'!C2:C1000")=$C51)
        ),
        5,
        FALSE
    )=0,
    "",
    VLOOKUP(
        $A51,
        _xlfn._xlws.FILTER(
            INDIRECT("'"&amp;K$1&amp;"'!A2:E1000"), (INDIRECT("'"&amp;K$1&amp;"'!B2:B1000")=$B51) * (INDIRECT("'"&amp;K$1&amp;"'!C2:C1000")=$C51)
        ),
        5,
        FALSE
    )
)</f>
        <v/>
      </c>
      <c r="L51" s="93">
        <f t="array" ref="L51">IF(
    VLOOKUP(
        $A51,
        _xlfn._xlws.FILTER(
            INDIRECT("'"&amp;L$1&amp;"'!A2:E1000"), (INDIRECT("'"&amp;L$1&amp;"'!B2:B1000")=$B51) * (INDIRECT("'"&amp;L$1&amp;"'!C2:C1000")=$C51)
        ),
        5,
        FALSE
    )=0,
    "",
    VLOOKUP(
        $A51,
        _xlfn._xlws.FILTER(
            INDIRECT("'"&amp;L$1&amp;"'!A2:E1000"), (INDIRECT("'"&amp;L$1&amp;"'!B2:B1000")=$B51) * (INDIRECT("'"&amp;L$1&amp;"'!C2:C1000")=$C51)
        ),
        5,
        FALSE
    )
)</f>
        <v/>
      </c>
      <c r="M51" s="93">
        <f t="array" ref="M51">IF(
    VLOOKUP(
        $A51,
        _xlfn._xlws.FILTER(
            INDIRECT("'"&amp;M$1&amp;"'!A2:E1000"), (INDIRECT("'"&amp;M$1&amp;"'!B2:B1000")=$B51) * (INDIRECT("'"&amp;M$1&amp;"'!C2:C1000")=$C51)
        ),
        5,
        FALSE
    )=0,
    "",
    VLOOKUP(
        $A51,
        _xlfn._xlws.FILTER(
            INDIRECT("'"&amp;M$1&amp;"'!A2:E1000"), (INDIRECT("'"&amp;M$1&amp;"'!B2:B1000")=$B51) * (INDIRECT("'"&amp;M$1&amp;"'!C2:C1000")=$C51)
        ),
        5,
        FALSE
    )
)</f>
        <v/>
      </c>
      <c r="N51" s="93">
        <f t="array" ref="N51">IF(
    VLOOKUP(
        $A51,
        _xlfn._xlws.FILTER(
            INDIRECT("'"&amp;N$1&amp;"'!A2:E1000"), (INDIRECT("'"&amp;N$1&amp;"'!B2:B1000")=$B51) * (INDIRECT("'"&amp;N$1&amp;"'!C2:C1000")=$C51)
        ),
        5,
        FALSE
    )=0,
    "",
    VLOOKUP(
        $A51,
        _xlfn._xlws.FILTER(
            INDIRECT("'"&amp;N$1&amp;"'!A2:E1000"), (INDIRECT("'"&amp;N$1&amp;"'!B2:B1000")=$B51) * (INDIRECT("'"&amp;N$1&amp;"'!C2:C1000")=$C51)
        ),
        5,
        FALSE
    )
)</f>
        <v/>
      </c>
      <c r="O51" s="93">
        <f t="array" ref="O51">IF(
    VLOOKUP(
        $A51,
        _xlfn._xlws.FILTER(
            INDIRECT("'"&amp;O$1&amp;"'!A2:E1000"), (INDIRECT("'"&amp;O$1&amp;"'!B2:B1000")=$B51) * (INDIRECT("'"&amp;O$1&amp;"'!C2:C1000")=$C51)
        ),
        5,
        FALSE
    )=0,
    "",
    VLOOKUP(
        $A51,
        _xlfn._xlws.FILTER(
            INDIRECT("'"&amp;O$1&amp;"'!A2:E1000"), (INDIRECT("'"&amp;O$1&amp;"'!B2:B1000")=$B51) * (INDIRECT("'"&amp;O$1&amp;"'!C2:C1000")=$C51)
        ),
        5,
        FALSE
    )
)</f>
        <v/>
      </c>
    </row>
    <row r="52">
      <c r="A52" s="58" t="inlineStr">
        <is>
          <t>Conisul</t>
        </is>
      </c>
      <c r="B52" s="92" t="inlineStr">
        <is>
          <t>Naviraí</t>
        </is>
      </c>
      <c r="C52" s="95" t="n">
        <v>1</v>
      </c>
      <c r="D52" s="93">
        <f t="array" ref="D52">IF(
    VLOOKUP(
        $A52,
        _xlfn._xlws.FILTER(
            INDIRECT("'"&amp;D$1&amp;"'!A2:E1000"), (INDIRECT("'"&amp;D$1&amp;"'!B2:B1000")=$B52) * (INDIRECT("'"&amp;D$1&amp;"'!C2:C1000")=$C52)
        ),
        5,
        FALSE
    )=0,
    "",
    VLOOKUP(
        $A52,
        _xlfn._xlws.FILTER(
            INDIRECT("'"&amp;D$1&amp;"'!A2:E1000"), (INDIRECT("'"&amp;D$1&amp;"'!B2:B1000")=$B52) * (INDIRECT("'"&amp;D$1&amp;"'!C2:C1000")=$C52)
        ),
        5,
        FALSE
    )
)</f>
        <v/>
      </c>
      <c r="E52" s="93">
        <f t="array" ref="E52">IF(
    VLOOKUP(
        $A52,
        _xlfn._xlws.FILTER(
            INDIRECT("'"&amp;E$1&amp;"'!A2:E1000"), (INDIRECT("'"&amp;E$1&amp;"'!B2:B1000")=$B52) * (INDIRECT("'"&amp;E$1&amp;"'!C2:C1000")=$C52)
        ),
        5,
        FALSE
    )=0,
    "",
    VLOOKUP(
        $A52,
        _xlfn._xlws.FILTER(
            INDIRECT("'"&amp;E$1&amp;"'!A2:E1000"), (INDIRECT("'"&amp;E$1&amp;"'!B2:B1000")=$B52) * (INDIRECT("'"&amp;E$1&amp;"'!C2:C1000")=$C52)
        ),
        5,
        FALSE
    )
)</f>
        <v/>
      </c>
      <c r="F52" s="93">
        <f t="array" ref="F52">IF(
    VLOOKUP(
        $A52,
        _xlfn._xlws.FILTER(
            INDIRECT("'"&amp;F$1&amp;"'!A2:E1000"), (INDIRECT("'"&amp;F$1&amp;"'!B2:B1000")=$B52) * (INDIRECT("'"&amp;F$1&amp;"'!C2:C1000")=$C52)
        ),
        5,
        FALSE
    )=0,
    "",
    VLOOKUP(
        $A52,
        _xlfn._xlws.FILTER(
            INDIRECT("'"&amp;F$1&amp;"'!A2:E1000"), (INDIRECT("'"&amp;F$1&amp;"'!B2:B1000")=$B52) * (INDIRECT("'"&amp;F$1&amp;"'!C2:C1000")=$C52)
        ),
        5,
        FALSE
    )
)</f>
        <v/>
      </c>
      <c r="G52" s="93">
        <f t="array" ref="G52">IF(
    VLOOKUP(
        $A52,
        _xlfn._xlws.FILTER(
            INDIRECT("'"&amp;G$1&amp;"'!A2:E1000"), (INDIRECT("'"&amp;G$1&amp;"'!B2:B1000")=$B52) * (INDIRECT("'"&amp;G$1&amp;"'!C2:C1000")=$C52)
        ),
        5,
        FALSE
    )=0,
    "",
    VLOOKUP(
        $A52,
        _xlfn._xlws.FILTER(
            INDIRECT("'"&amp;G$1&amp;"'!A2:E1000"), (INDIRECT("'"&amp;G$1&amp;"'!B2:B1000")=$B52) * (INDIRECT("'"&amp;G$1&amp;"'!C2:C1000")=$C52)
        ),
        5,
        FALSE
    )
)</f>
        <v/>
      </c>
      <c r="H52" s="93">
        <f t="array" ref="H52">IF(
    VLOOKUP(
        $A52,
        _xlfn._xlws.FILTER(
            INDIRECT("'"&amp;H$1&amp;"'!A2:E1000"), (INDIRECT("'"&amp;H$1&amp;"'!B2:B1000")=$B52) * (INDIRECT("'"&amp;H$1&amp;"'!C2:C1000")=$C52)
        ),
        5,
        FALSE
    )=0,
    "",
    VLOOKUP(
        $A52,
        _xlfn._xlws.FILTER(
            INDIRECT("'"&amp;H$1&amp;"'!A2:E1000"), (INDIRECT("'"&amp;H$1&amp;"'!B2:B1000")=$B52) * (INDIRECT("'"&amp;H$1&amp;"'!C2:C1000")=$C52)
        ),
        5,
        FALSE
    )
)</f>
        <v/>
      </c>
      <c r="I52" s="93">
        <f t="array" ref="I52">IF(
    VLOOKUP(
        $A52,
        _xlfn._xlws.FILTER(
            INDIRECT("'"&amp;I$1&amp;"'!A2:E1000"), (INDIRECT("'"&amp;I$1&amp;"'!B2:B1000")=$B52) * (INDIRECT("'"&amp;I$1&amp;"'!C2:C1000")=$C52)
        ),
        5,
        FALSE
    )=0,
    "",
    VLOOKUP(
        $A52,
        _xlfn._xlws.FILTER(
            INDIRECT("'"&amp;I$1&amp;"'!A2:E1000"), (INDIRECT("'"&amp;I$1&amp;"'!B2:B1000")=$B52) * (INDIRECT("'"&amp;I$1&amp;"'!C2:C1000")=$C52)
        ),
        5,
        FALSE
    )
)</f>
        <v/>
      </c>
      <c r="J52" s="93">
        <f t="array" ref="J52">IF(
    VLOOKUP(
        $A52,
        _xlfn._xlws.FILTER(
            INDIRECT("'"&amp;J$1&amp;"'!A2:E1000"), (INDIRECT("'"&amp;J$1&amp;"'!B2:B1000")=$B52) * (INDIRECT("'"&amp;J$1&amp;"'!C2:C1000")=$C52)
        ),
        5,
        FALSE
    )=0,
    "",
    VLOOKUP(
        $A52,
        _xlfn._xlws.FILTER(
            INDIRECT("'"&amp;J$1&amp;"'!A2:E1000"), (INDIRECT("'"&amp;J$1&amp;"'!B2:B1000")=$B52) * (INDIRECT("'"&amp;J$1&amp;"'!C2:C1000")=$C52)
        ),
        5,
        FALSE
    )
)</f>
        <v/>
      </c>
      <c r="K52" s="93">
        <f t="array" ref="K52">IF(
    VLOOKUP(
        $A52,
        _xlfn._xlws.FILTER(
            INDIRECT("'"&amp;K$1&amp;"'!A2:E1000"), (INDIRECT("'"&amp;K$1&amp;"'!B2:B1000")=$B52) * (INDIRECT("'"&amp;K$1&amp;"'!C2:C1000")=$C52)
        ),
        5,
        FALSE
    )=0,
    "",
    VLOOKUP(
        $A52,
        _xlfn._xlws.FILTER(
            INDIRECT("'"&amp;K$1&amp;"'!A2:E1000"), (INDIRECT("'"&amp;K$1&amp;"'!B2:B1000")=$B52) * (INDIRECT("'"&amp;K$1&amp;"'!C2:C1000")=$C52)
        ),
        5,
        FALSE
    )
)</f>
        <v/>
      </c>
      <c r="L52" s="93">
        <f t="array" ref="L52">IF(
    VLOOKUP(
        $A52,
        _xlfn._xlws.FILTER(
            INDIRECT("'"&amp;L$1&amp;"'!A2:E1000"), (INDIRECT("'"&amp;L$1&amp;"'!B2:B1000")=$B52) * (INDIRECT("'"&amp;L$1&amp;"'!C2:C1000")=$C52)
        ),
        5,
        FALSE
    )=0,
    "",
    VLOOKUP(
        $A52,
        _xlfn._xlws.FILTER(
            INDIRECT("'"&amp;L$1&amp;"'!A2:E1000"), (INDIRECT("'"&amp;L$1&amp;"'!B2:B1000")=$B52) * (INDIRECT("'"&amp;L$1&amp;"'!C2:C1000")=$C52)
        ),
        5,
        FALSE
    )
)</f>
        <v/>
      </c>
      <c r="M52" s="93">
        <f t="array" ref="M52">IF(
    VLOOKUP(
        $A52,
        _xlfn._xlws.FILTER(
            INDIRECT("'"&amp;M$1&amp;"'!A2:E1000"), (INDIRECT("'"&amp;M$1&amp;"'!B2:B1000")=$B52) * (INDIRECT("'"&amp;M$1&amp;"'!C2:C1000")=$C52)
        ),
        5,
        FALSE
    )=0,
    "",
    VLOOKUP(
        $A52,
        _xlfn._xlws.FILTER(
            INDIRECT("'"&amp;M$1&amp;"'!A2:E1000"), (INDIRECT("'"&amp;M$1&amp;"'!B2:B1000")=$B52) * (INDIRECT("'"&amp;M$1&amp;"'!C2:C1000")=$C52)
        ),
        5,
        FALSE
    )
)</f>
        <v/>
      </c>
      <c r="N52" s="93">
        <f t="array" ref="N52">IF(
    VLOOKUP(
        $A52,
        _xlfn._xlws.FILTER(
            INDIRECT("'"&amp;N$1&amp;"'!A2:E1000"), (INDIRECT("'"&amp;N$1&amp;"'!B2:B1000")=$B52) * (INDIRECT("'"&amp;N$1&amp;"'!C2:C1000")=$C52)
        ),
        5,
        FALSE
    )=0,
    "",
    VLOOKUP(
        $A52,
        _xlfn._xlws.FILTER(
            INDIRECT("'"&amp;N$1&amp;"'!A2:E1000"), (INDIRECT("'"&amp;N$1&amp;"'!B2:B1000")=$B52) * (INDIRECT("'"&amp;N$1&amp;"'!C2:C1000")=$C52)
        ),
        5,
        FALSE
    )
)</f>
        <v/>
      </c>
      <c r="O52" s="93">
        <f t="array" ref="O52">IF(
    VLOOKUP(
        $A52,
        _xlfn._xlws.FILTER(
            INDIRECT("'"&amp;O$1&amp;"'!A2:E1000"), (INDIRECT("'"&amp;O$1&amp;"'!B2:B1000")=$B52) * (INDIRECT("'"&amp;O$1&amp;"'!C2:C1000")=$C52)
        ),
        5,
        FALSE
    )=0,
    "",
    VLOOKUP(
        $A52,
        _xlfn._xlws.FILTER(
            INDIRECT("'"&amp;O$1&amp;"'!A2:E1000"), (INDIRECT("'"&amp;O$1&amp;"'!B2:B1000")=$B52) * (INDIRECT("'"&amp;O$1&amp;"'!C2:C1000")=$C52)
        ),
        5,
        FALSE
    )
)</f>
        <v/>
      </c>
    </row>
    <row r="53">
      <c r="A53" s="58" t="inlineStr">
        <is>
          <t>Conisul</t>
        </is>
      </c>
      <c r="B53" s="92" t="inlineStr">
        <is>
          <t>Paranhos</t>
        </is>
      </c>
      <c r="C53" s="95" t="n">
        <v>1</v>
      </c>
      <c r="D53" s="93">
        <f t="array" ref="D53">IF(
    VLOOKUP(
        $A53,
        _xlfn._xlws.FILTER(
            INDIRECT("'"&amp;D$1&amp;"'!A2:E1000"), (INDIRECT("'"&amp;D$1&amp;"'!B2:B1000")=$B53) * (INDIRECT("'"&amp;D$1&amp;"'!C2:C1000")=$C53)
        ),
        5,
        FALSE
    )=0,
    "",
    VLOOKUP(
        $A53,
        _xlfn._xlws.FILTER(
            INDIRECT("'"&amp;D$1&amp;"'!A2:E1000"), (INDIRECT("'"&amp;D$1&amp;"'!B2:B1000")=$B53) * (INDIRECT("'"&amp;D$1&amp;"'!C2:C1000")=$C53)
        ),
        5,
        FALSE
    )
)</f>
        <v/>
      </c>
      <c r="E53" s="93">
        <f t="array" ref="E53">IF(
    VLOOKUP(
        $A53,
        _xlfn._xlws.FILTER(
            INDIRECT("'"&amp;E$1&amp;"'!A2:E1000"), (INDIRECT("'"&amp;E$1&amp;"'!B2:B1000")=$B53) * (INDIRECT("'"&amp;E$1&amp;"'!C2:C1000")=$C53)
        ),
        5,
        FALSE
    )=0,
    "",
    VLOOKUP(
        $A53,
        _xlfn._xlws.FILTER(
            INDIRECT("'"&amp;E$1&amp;"'!A2:E1000"), (INDIRECT("'"&amp;E$1&amp;"'!B2:B1000")=$B53) * (INDIRECT("'"&amp;E$1&amp;"'!C2:C1000")=$C53)
        ),
        5,
        FALSE
    )
)</f>
        <v/>
      </c>
      <c r="F53" s="93">
        <f t="array" ref="F53">IF(
    VLOOKUP(
        $A53,
        _xlfn._xlws.FILTER(
            INDIRECT("'"&amp;F$1&amp;"'!A2:E1000"), (INDIRECT("'"&amp;F$1&amp;"'!B2:B1000")=$B53) * (INDIRECT("'"&amp;F$1&amp;"'!C2:C1000")=$C53)
        ),
        5,
        FALSE
    )=0,
    "",
    VLOOKUP(
        $A53,
        _xlfn._xlws.FILTER(
            INDIRECT("'"&amp;F$1&amp;"'!A2:E1000"), (INDIRECT("'"&amp;F$1&amp;"'!B2:B1000")=$B53) * (INDIRECT("'"&amp;F$1&amp;"'!C2:C1000")=$C53)
        ),
        5,
        FALSE
    )
)</f>
        <v/>
      </c>
      <c r="G53" s="93">
        <f t="array" ref="G53">IF(
    VLOOKUP(
        $A53,
        _xlfn._xlws.FILTER(
            INDIRECT("'"&amp;G$1&amp;"'!A2:E1000"), (INDIRECT("'"&amp;G$1&amp;"'!B2:B1000")=$B53) * (INDIRECT("'"&amp;G$1&amp;"'!C2:C1000")=$C53)
        ),
        5,
        FALSE
    )=0,
    "",
    VLOOKUP(
        $A53,
        _xlfn._xlws.FILTER(
            INDIRECT("'"&amp;G$1&amp;"'!A2:E1000"), (INDIRECT("'"&amp;G$1&amp;"'!B2:B1000")=$B53) * (INDIRECT("'"&amp;G$1&amp;"'!C2:C1000")=$C53)
        ),
        5,
        FALSE
    )
)</f>
        <v/>
      </c>
      <c r="H53" s="93">
        <f t="array" ref="H53">IF(
    VLOOKUP(
        $A53,
        _xlfn._xlws.FILTER(
            INDIRECT("'"&amp;H$1&amp;"'!A2:E1000"), (INDIRECT("'"&amp;H$1&amp;"'!B2:B1000")=$B53) * (INDIRECT("'"&amp;H$1&amp;"'!C2:C1000")=$C53)
        ),
        5,
        FALSE
    )=0,
    "",
    VLOOKUP(
        $A53,
        _xlfn._xlws.FILTER(
            INDIRECT("'"&amp;H$1&amp;"'!A2:E1000"), (INDIRECT("'"&amp;H$1&amp;"'!B2:B1000")=$B53) * (INDIRECT("'"&amp;H$1&amp;"'!C2:C1000")=$C53)
        ),
        5,
        FALSE
    )
)</f>
        <v/>
      </c>
      <c r="I53" s="93">
        <f t="array" ref="I53">IF(
    VLOOKUP(
        $A53,
        _xlfn._xlws.FILTER(
            INDIRECT("'"&amp;I$1&amp;"'!A2:E1000"), (INDIRECT("'"&amp;I$1&amp;"'!B2:B1000")=$B53) * (INDIRECT("'"&amp;I$1&amp;"'!C2:C1000")=$C53)
        ),
        5,
        FALSE
    )=0,
    "",
    VLOOKUP(
        $A53,
        _xlfn._xlws.FILTER(
            INDIRECT("'"&amp;I$1&amp;"'!A2:E1000"), (INDIRECT("'"&amp;I$1&amp;"'!B2:B1000")=$B53) * (INDIRECT("'"&amp;I$1&amp;"'!C2:C1000")=$C53)
        ),
        5,
        FALSE
    )
)</f>
        <v/>
      </c>
      <c r="J53" s="93">
        <f t="array" ref="J53">IF(
    VLOOKUP(
        $A53,
        _xlfn._xlws.FILTER(
            INDIRECT("'"&amp;J$1&amp;"'!A2:E1000"), (INDIRECT("'"&amp;J$1&amp;"'!B2:B1000")=$B53) * (INDIRECT("'"&amp;J$1&amp;"'!C2:C1000")=$C53)
        ),
        5,
        FALSE
    )=0,
    "",
    VLOOKUP(
        $A53,
        _xlfn._xlws.FILTER(
            INDIRECT("'"&amp;J$1&amp;"'!A2:E1000"), (INDIRECT("'"&amp;J$1&amp;"'!B2:B1000")=$B53) * (INDIRECT("'"&amp;J$1&amp;"'!C2:C1000")=$C53)
        ),
        5,
        FALSE
    )
)</f>
        <v/>
      </c>
      <c r="K53" s="93">
        <f t="array" ref="K53">IF(
    VLOOKUP(
        $A53,
        _xlfn._xlws.FILTER(
            INDIRECT("'"&amp;K$1&amp;"'!A2:E1000"), (INDIRECT("'"&amp;K$1&amp;"'!B2:B1000")=$B53) * (INDIRECT("'"&amp;K$1&amp;"'!C2:C1000")=$C53)
        ),
        5,
        FALSE
    )=0,
    "",
    VLOOKUP(
        $A53,
        _xlfn._xlws.FILTER(
            INDIRECT("'"&amp;K$1&amp;"'!A2:E1000"), (INDIRECT("'"&amp;K$1&amp;"'!B2:B1000")=$B53) * (INDIRECT("'"&amp;K$1&amp;"'!C2:C1000")=$C53)
        ),
        5,
        FALSE
    )
)</f>
        <v/>
      </c>
      <c r="L53" s="93">
        <f t="array" ref="L53">IF(
    VLOOKUP(
        $A53,
        _xlfn._xlws.FILTER(
            INDIRECT("'"&amp;L$1&amp;"'!A2:E1000"), (INDIRECT("'"&amp;L$1&amp;"'!B2:B1000")=$B53) * (INDIRECT("'"&amp;L$1&amp;"'!C2:C1000")=$C53)
        ),
        5,
        FALSE
    )=0,
    "",
    VLOOKUP(
        $A53,
        _xlfn._xlws.FILTER(
            INDIRECT("'"&amp;L$1&amp;"'!A2:E1000"), (INDIRECT("'"&amp;L$1&amp;"'!B2:B1000")=$B53) * (INDIRECT("'"&amp;L$1&amp;"'!C2:C1000")=$C53)
        ),
        5,
        FALSE
    )
)</f>
        <v/>
      </c>
      <c r="M53" s="93">
        <f t="array" ref="M53">IF(
    VLOOKUP(
        $A53,
        _xlfn._xlws.FILTER(
            INDIRECT("'"&amp;M$1&amp;"'!A2:E1000"), (INDIRECT("'"&amp;M$1&amp;"'!B2:B1000")=$B53) * (INDIRECT("'"&amp;M$1&amp;"'!C2:C1000")=$C53)
        ),
        5,
        FALSE
    )=0,
    "",
    VLOOKUP(
        $A53,
        _xlfn._xlws.FILTER(
            INDIRECT("'"&amp;M$1&amp;"'!A2:E1000"), (INDIRECT("'"&amp;M$1&amp;"'!B2:B1000")=$B53) * (INDIRECT("'"&amp;M$1&amp;"'!C2:C1000")=$C53)
        ),
        5,
        FALSE
    )
)</f>
        <v/>
      </c>
      <c r="N53" s="93">
        <f t="array" ref="N53">IF(
    VLOOKUP(
        $A53,
        _xlfn._xlws.FILTER(
            INDIRECT("'"&amp;N$1&amp;"'!A2:E1000"), (INDIRECT("'"&amp;N$1&amp;"'!B2:B1000")=$B53) * (INDIRECT("'"&amp;N$1&amp;"'!C2:C1000")=$C53)
        ),
        5,
        FALSE
    )=0,
    "",
    VLOOKUP(
        $A53,
        _xlfn._xlws.FILTER(
            INDIRECT("'"&amp;N$1&amp;"'!A2:E1000"), (INDIRECT("'"&amp;N$1&amp;"'!B2:B1000")=$B53) * (INDIRECT("'"&amp;N$1&amp;"'!C2:C1000")=$C53)
        ),
        5,
        FALSE
    )
)</f>
        <v/>
      </c>
      <c r="O53" s="93">
        <f t="array" ref="O53">IF(
    VLOOKUP(
        $A53,
        _xlfn._xlws.FILTER(
            INDIRECT("'"&amp;O$1&amp;"'!A2:E1000"), (INDIRECT("'"&amp;O$1&amp;"'!B2:B1000")=$B53) * (INDIRECT("'"&amp;O$1&amp;"'!C2:C1000")=$C53)
        ),
        5,
        FALSE
    )=0,
    "",
    VLOOKUP(
        $A53,
        _xlfn._xlws.FILTER(
            INDIRECT("'"&amp;O$1&amp;"'!A2:E1000"), (INDIRECT("'"&amp;O$1&amp;"'!B2:B1000")=$B53) * (INDIRECT("'"&amp;O$1&amp;"'!C2:C1000")=$C53)
        ),
        5,
        FALSE
    )
)</f>
        <v/>
      </c>
    </row>
    <row r="54">
      <c r="A54" s="58" t="inlineStr">
        <is>
          <t>Conisul</t>
        </is>
      </c>
      <c r="B54" s="92" t="inlineStr">
        <is>
          <t>Sete Quedas</t>
        </is>
      </c>
      <c r="C54" s="95" t="n">
        <v>1</v>
      </c>
      <c r="D54" s="93">
        <f t="array" ref="D54">IF(
    VLOOKUP(
        $A54,
        _xlfn._xlws.FILTER(
            INDIRECT("'"&amp;D$1&amp;"'!A2:E1000"), (INDIRECT("'"&amp;D$1&amp;"'!B2:B1000")=$B54) * (INDIRECT("'"&amp;D$1&amp;"'!C2:C1000")=$C54)
        ),
        5,
        FALSE
    )=0,
    "",
    VLOOKUP(
        $A54,
        _xlfn._xlws.FILTER(
            INDIRECT("'"&amp;D$1&amp;"'!A2:E1000"), (INDIRECT("'"&amp;D$1&amp;"'!B2:B1000")=$B54) * (INDIRECT("'"&amp;D$1&amp;"'!C2:C1000")=$C54)
        ),
        5,
        FALSE
    )
)</f>
        <v/>
      </c>
      <c r="E54" s="93">
        <f t="array" ref="E54">IF(
    VLOOKUP(
        $A54,
        _xlfn._xlws.FILTER(
            INDIRECT("'"&amp;E$1&amp;"'!A2:E1000"), (INDIRECT("'"&amp;E$1&amp;"'!B2:B1000")=$B54) * (INDIRECT("'"&amp;E$1&amp;"'!C2:C1000")=$C54)
        ),
        5,
        FALSE
    )=0,
    "",
    VLOOKUP(
        $A54,
        _xlfn._xlws.FILTER(
            INDIRECT("'"&amp;E$1&amp;"'!A2:E1000"), (INDIRECT("'"&amp;E$1&amp;"'!B2:B1000")=$B54) * (INDIRECT("'"&amp;E$1&amp;"'!C2:C1000")=$C54)
        ),
        5,
        FALSE
    )
)</f>
        <v/>
      </c>
      <c r="F54" s="93">
        <f t="array" ref="F54">IF(
    VLOOKUP(
        $A54,
        _xlfn._xlws.FILTER(
            INDIRECT("'"&amp;F$1&amp;"'!A2:E1000"), (INDIRECT("'"&amp;F$1&amp;"'!B2:B1000")=$B54) * (INDIRECT("'"&amp;F$1&amp;"'!C2:C1000")=$C54)
        ),
        5,
        FALSE
    )=0,
    "",
    VLOOKUP(
        $A54,
        _xlfn._xlws.FILTER(
            INDIRECT("'"&amp;F$1&amp;"'!A2:E1000"), (INDIRECT("'"&amp;F$1&amp;"'!B2:B1000")=$B54) * (INDIRECT("'"&amp;F$1&amp;"'!C2:C1000")=$C54)
        ),
        5,
        FALSE
    )
)</f>
        <v/>
      </c>
      <c r="G54" s="93">
        <f t="array" ref="G54">IF(
    VLOOKUP(
        $A54,
        _xlfn._xlws.FILTER(
            INDIRECT("'"&amp;G$1&amp;"'!A2:E1000"), (INDIRECT("'"&amp;G$1&amp;"'!B2:B1000")=$B54) * (INDIRECT("'"&amp;G$1&amp;"'!C2:C1000")=$C54)
        ),
        5,
        FALSE
    )=0,
    "",
    VLOOKUP(
        $A54,
        _xlfn._xlws.FILTER(
            INDIRECT("'"&amp;G$1&amp;"'!A2:E1000"), (INDIRECT("'"&amp;G$1&amp;"'!B2:B1000")=$B54) * (INDIRECT("'"&amp;G$1&amp;"'!C2:C1000")=$C54)
        ),
        5,
        FALSE
    )
)</f>
        <v/>
      </c>
      <c r="H54" s="93">
        <f t="array" ref="H54">IF(
    VLOOKUP(
        $A54,
        _xlfn._xlws.FILTER(
            INDIRECT("'"&amp;H$1&amp;"'!A2:E1000"), (INDIRECT("'"&amp;H$1&amp;"'!B2:B1000")=$B54) * (INDIRECT("'"&amp;H$1&amp;"'!C2:C1000")=$C54)
        ),
        5,
        FALSE
    )=0,
    "",
    VLOOKUP(
        $A54,
        _xlfn._xlws.FILTER(
            INDIRECT("'"&amp;H$1&amp;"'!A2:E1000"), (INDIRECT("'"&amp;H$1&amp;"'!B2:B1000")=$B54) * (INDIRECT("'"&amp;H$1&amp;"'!C2:C1000")=$C54)
        ),
        5,
        FALSE
    )
)</f>
        <v/>
      </c>
      <c r="I54" s="93">
        <f t="array" ref="I54">IF(
    VLOOKUP(
        $A54,
        _xlfn._xlws.FILTER(
            INDIRECT("'"&amp;I$1&amp;"'!A2:E1000"), (INDIRECT("'"&amp;I$1&amp;"'!B2:B1000")=$B54) * (INDIRECT("'"&amp;I$1&amp;"'!C2:C1000")=$C54)
        ),
        5,
        FALSE
    )=0,
    "",
    VLOOKUP(
        $A54,
        _xlfn._xlws.FILTER(
            INDIRECT("'"&amp;I$1&amp;"'!A2:E1000"), (INDIRECT("'"&amp;I$1&amp;"'!B2:B1000")=$B54) * (INDIRECT("'"&amp;I$1&amp;"'!C2:C1000")=$C54)
        ),
        5,
        FALSE
    )
)</f>
        <v/>
      </c>
      <c r="J54" s="93">
        <f t="array" ref="J54">IF(
    VLOOKUP(
        $A54,
        _xlfn._xlws.FILTER(
            INDIRECT("'"&amp;J$1&amp;"'!A2:E1000"), (INDIRECT("'"&amp;J$1&amp;"'!B2:B1000")=$B54) * (INDIRECT("'"&amp;J$1&amp;"'!C2:C1000")=$C54)
        ),
        5,
        FALSE
    )=0,
    "",
    VLOOKUP(
        $A54,
        _xlfn._xlws.FILTER(
            INDIRECT("'"&amp;J$1&amp;"'!A2:E1000"), (INDIRECT("'"&amp;J$1&amp;"'!B2:B1000")=$B54) * (INDIRECT("'"&amp;J$1&amp;"'!C2:C1000")=$C54)
        ),
        5,
        FALSE
    )
)</f>
        <v/>
      </c>
      <c r="K54" s="93">
        <f t="array" ref="K54">IF(
    VLOOKUP(
        $A54,
        _xlfn._xlws.FILTER(
            INDIRECT("'"&amp;K$1&amp;"'!A2:E1000"), (INDIRECT("'"&amp;K$1&amp;"'!B2:B1000")=$B54) * (INDIRECT("'"&amp;K$1&amp;"'!C2:C1000")=$C54)
        ),
        5,
        FALSE
    )=0,
    "",
    VLOOKUP(
        $A54,
        _xlfn._xlws.FILTER(
            INDIRECT("'"&amp;K$1&amp;"'!A2:E1000"), (INDIRECT("'"&amp;K$1&amp;"'!B2:B1000")=$B54) * (INDIRECT("'"&amp;K$1&amp;"'!C2:C1000")=$C54)
        ),
        5,
        FALSE
    )
)</f>
        <v/>
      </c>
      <c r="L54" s="93">
        <f t="array" ref="L54">IF(
    VLOOKUP(
        $A54,
        _xlfn._xlws.FILTER(
            INDIRECT("'"&amp;L$1&amp;"'!A2:E1000"), (INDIRECT("'"&amp;L$1&amp;"'!B2:B1000")=$B54) * (INDIRECT("'"&amp;L$1&amp;"'!C2:C1000")=$C54)
        ),
        5,
        FALSE
    )=0,
    "",
    VLOOKUP(
        $A54,
        _xlfn._xlws.FILTER(
            INDIRECT("'"&amp;L$1&amp;"'!A2:E1000"), (INDIRECT("'"&amp;L$1&amp;"'!B2:B1000")=$B54) * (INDIRECT("'"&amp;L$1&amp;"'!C2:C1000")=$C54)
        ),
        5,
        FALSE
    )
)</f>
        <v/>
      </c>
      <c r="M54" s="93">
        <f t="array" ref="M54">IF(
    VLOOKUP(
        $A54,
        _xlfn._xlws.FILTER(
            INDIRECT("'"&amp;M$1&amp;"'!A2:E1000"), (INDIRECT("'"&amp;M$1&amp;"'!B2:B1000")=$B54) * (INDIRECT("'"&amp;M$1&amp;"'!C2:C1000")=$C54)
        ),
        5,
        FALSE
    )=0,
    "",
    VLOOKUP(
        $A54,
        _xlfn._xlws.FILTER(
            INDIRECT("'"&amp;M$1&amp;"'!A2:E1000"), (INDIRECT("'"&amp;M$1&amp;"'!B2:B1000")=$B54) * (INDIRECT("'"&amp;M$1&amp;"'!C2:C1000")=$C54)
        ),
        5,
        FALSE
    )
)</f>
        <v/>
      </c>
      <c r="N54" s="93">
        <f t="array" ref="N54">IF(
    VLOOKUP(
        $A54,
        _xlfn._xlws.FILTER(
            INDIRECT("'"&amp;N$1&amp;"'!A2:E1000"), (INDIRECT("'"&amp;N$1&amp;"'!B2:B1000")=$B54) * (INDIRECT("'"&amp;N$1&amp;"'!C2:C1000")=$C54)
        ),
        5,
        FALSE
    )=0,
    "",
    VLOOKUP(
        $A54,
        _xlfn._xlws.FILTER(
            INDIRECT("'"&amp;N$1&amp;"'!A2:E1000"), (INDIRECT("'"&amp;N$1&amp;"'!B2:B1000")=$B54) * (INDIRECT("'"&amp;N$1&amp;"'!C2:C1000")=$C54)
        ),
        5,
        FALSE
    )
)</f>
        <v/>
      </c>
      <c r="O54" s="93">
        <f t="array" ref="O54">IF(
    VLOOKUP(
        $A54,
        _xlfn._xlws.FILTER(
            INDIRECT("'"&amp;O$1&amp;"'!A2:E1000"), (INDIRECT("'"&amp;O$1&amp;"'!B2:B1000")=$B54) * (INDIRECT("'"&amp;O$1&amp;"'!C2:C1000")=$C54)
        ),
        5,
        FALSE
    )=0,
    "",
    VLOOKUP(
        $A54,
        _xlfn._xlws.FILTER(
            INDIRECT("'"&amp;O$1&amp;"'!A2:E1000"), (INDIRECT("'"&amp;O$1&amp;"'!B2:B1000")=$B54) * (INDIRECT("'"&amp;O$1&amp;"'!C2:C1000")=$C54)
        ),
        5,
        FALSE
    )
)</f>
        <v/>
      </c>
    </row>
    <row r="55">
      <c r="A55" s="58" t="inlineStr">
        <is>
          <t>Conisul</t>
        </is>
      </c>
      <c r="B55" s="92" t="inlineStr">
        <is>
          <t>Tacuru</t>
        </is>
      </c>
      <c r="C55" s="95" t="n">
        <v>1</v>
      </c>
      <c r="D55" s="93">
        <f t="array" ref="D55">IF(
    VLOOKUP(
        $A55,
        _xlfn._xlws.FILTER(
            INDIRECT("'"&amp;D$1&amp;"'!A2:E1000"), (INDIRECT("'"&amp;D$1&amp;"'!B2:B1000")=$B55) * (INDIRECT("'"&amp;D$1&amp;"'!C2:C1000")=$C55)
        ),
        5,
        FALSE
    )=0,
    "",
    VLOOKUP(
        $A55,
        _xlfn._xlws.FILTER(
            INDIRECT("'"&amp;D$1&amp;"'!A2:E1000"), (INDIRECT("'"&amp;D$1&amp;"'!B2:B1000")=$B55) * (INDIRECT("'"&amp;D$1&amp;"'!C2:C1000")=$C55)
        ),
        5,
        FALSE
    )
)</f>
        <v/>
      </c>
      <c r="E55" s="93">
        <f t="array" ref="E55">IF(
    VLOOKUP(
        $A55,
        _xlfn._xlws.FILTER(
            INDIRECT("'"&amp;E$1&amp;"'!A2:E1000"), (INDIRECT("'"&amp;E$1&amp;"'!B2:B1000")=$B55) * (INDIRECT("'"&amp;E$1&amp;"'!C2:C1000")=$C55)
        ),
        5,
        FALSE
    )=0,
    "",
    VLOOKUP(
        $A55,
        _xlfn._xlws.FILTER(
            INDIRECT("'"&amp;E$1&amp;"'!A2:E1000"), (INDIRECT("'"&amp;E$1&amp;"'!B2:B1000")=$B55) * (INDIRECT("'"&amp;E$1&amp;"'!C2:C1000")=$C55)
        ),
        5,
        FALSE
    )
)</f>
        <v/>
      </c>
      <c r="F55" s="93">
        <f t="array" ref="F55">IF(
    VLOOKUP(
        $A55,
        _xlfn._xlws.FILTER(
            INDIRECT("'"&amp;F$1&amp;"'!A2:E1000"), (INDIRECT("'"&amp;F$1&amp;"'!B2:B1000")=$B55) * (INDIRECT("'"&amp;F$1&amp;"'!C2:C1000")=$C55)
        ),
        5,
        FALSE
    )=0,
    "",
    VLOOKUP(
        $A55,
        _xlfn._xlws.FILTER(
            INDIRECT("'"&amp;F$1&amp;"'!A2:E1000"), (INDIRECT("'"&amp;F$1&amp;"'!B2:B1000")=$B55) * (INDIRECT("'"&amp;F$1&amp;"'!C2:C1000")=$C55)
        ),
        5,
        FALSE
    )
)</f>
        <v/>
      </c>
      <c r="G55" s="93">
        <f t="array" ref="G55">IF(
    VLOOKUP(
        $A55,
        _xlfn._xlws.FILTER(
            INDIRECT("'"&amp;G$1&amp;"'!A2:E1000"), (INDIRECT("'"&amp;G$1&amp;"'!B2:B1000")=$B55) * (INDIRECT("'"&amp;G$1&amp;"'!C2:C1000")=$C55)
        ),
        5,
        FALSE
    )=0,
    "",
    VLOOKUP(
        $A55,
        _xlfn._xlws.FILTER(
            INDIRECT("'"&amp;G$1&amp;"'!A2:E1000"), (INDIRECT("'"&amp;G$1&amp;"'!B2:B1000")=$B55) * (INDIRECT("'"&amp;G$1&amp;"'!C2:C1000")=$C55)
        ),
        5,
        FALSE
    )
)</f>
        <v/>
      </c>
      <c r="H55" s="93">
        <f t="array" ref="H55">IF(
    VLOOKUP(
        $A55,
        _xlfn._xlws.FILTER(
            INDIRECT("'"&amp;H$1&amp;"'!A2:E1000"), (INDIRECT("'"&amp;H$1&amp;"'!B2:B1000")=$B55) * (INDIRECT("'"&amp;H$1&amp;"'!C2:C1000")=$C55)
        ),
        5,
        FALSE
    )=0,
    "",
    VLOOKUP(
        $A55,
        _xlfn._xlws.FILTER(
            INDIRECT("'"&amp;H$1&amp;"'!A2:E1000"), (INDIRECT("'"&amp;H$1&amp;"'!B2:B1000")=$B55) * (INDIRECT("'"&amp;H$1&amp;"'!C2:C1000")=$C55)
        ),
        5,
        FALSE
    )
)</f>
        <v/>
      </c>
      <c r="I55" s="93">
        <f t="array" ref="I55">IF(
    VLOOKUP(
        $A55,
        _xlfn._xlws.FILTER(
            INDIRECT("'"&amp;I$1&amp;"'!A2:E1000"), (INDIRECT("'"&amp;I$1&amp;"'!B2:B1000")=$B55) * (INDIRECT("'"&amp;I$1&amp;"'!C2:C1000")=$C55)
        ),
        5,
        FALSE
    )=0,
    "",
    VLOOKUP(
        $A55,
        _xlfn._xlws.FILTER(
            INDIRECT("'"&amp;I$1&amp;"'!A2:E1000"), (INDIRECT("'"&amp;I$1&amp;"'!B2:B1000")=$B55) * (INDIRECT("'"&amp;I$1&amp;"'!C2:C1000")=$C55)
        ),
        5,
        FALSE
    )
)</f>
        <v/>
      </c>
      <c r="J55" s="93">
        <f t="array" ref="J55">IF(
    VLOOKUP(
        $A55,
        _xlfn._xlws.FILTER(
            INDIRECT("'"&amp;J$1&amp;"'!A2:E1000"), (INDIRECT("'"&amp;J$1&amp;"'!B2:B1000")=$B55) * (INDIRECT("'"&amp;J$1&amp;"'!C2:C1000")=$C55)
        ),
        5,
        FALSE
    )=0,
    "",
    VLOOKUP(
        $A55,
        _xlfn._xlws.FILTER(
            INDIRECT("'"&amp;J$1&amp;"'!A2:E1000"), (INDIRECT("'"&amp;J$1&amp;"'!B2:B1000")=$B55) * (INDIRECT("'"&amp;J$1&amp;"'!C2:C1000")=$C55)
        ),
        5,
        FALSE
    )
)</f>
        <v/>
      </c>
      <c r="K55" s="93">
        <f t="array" ref="K55">IF(
    VLOOKUP(
        $A55,
        _xlfn._xlws.FILTER(
            INDIRECT("'"&amp;K$1&amp;"'!A2:E1000"), (INDIRECT("'"&amp;K$1&amp;"'!B2:B1000")=$B55) * (INDIRECT("'"&amp;K$1&amp;"'!C2:C1000")=$C55)
        ),
        5,
        FALSE
    )=0,
    "",
    VLOOKUP(
        $A55,
        _xlfn._xlws.FILTER(
            INDIRECT("'"&amp;K$1&amp;"'!A2:E1000"), (INDIRECT("'"&amp;K$1&amp;"'!B2:B1000")=$B55) * (INDIRECT("'"&amp;K$1&amp;"'!C2:C1000")=$C55)
        ),
        5,
        FALSE
    )
)</f>
        <v/>
      </c>
      <c r="L55" s="93">
        <f t="array" ref="L55">IF(
    VLOOKUP(
        $A55,
        _xlfn._xlws.FILTER(
            INDIRECT("'"&amp;L$1&amp;"'!A2:E1000"), (INDIRECT("'"&amp;L$1&amp;"'!B2:B1000")=$B55) * (INDIRECT("'"&amp;L$1&amp;"'!C2:C1000")=$C55)
        ),
        5,
        FALSE
    )=0,
    "",
    VLOOKUP(
        $A55,
        _xlfn._xlws.FILTER(
            INDIRECT("'"&amp;L$1&amp;"'!A2:E1000"), (INDIRECT("'"&amp;L$1&amp;"'!B2:B1000")=$B55) * (INDIRECT("'"&amp;L$1&amp;"'!C2:C1000")=$C55)
        ),
        5,
        FALSE
    )
)</f>
        <v/>
      </c>
      <c r="M55" s="93">
        <f t="array" ref="M55">IF(
    VLOOKUP(
        $A55,
        _xlfn._xlws.FILTER(
            INDIRECT("'"&amp;M$1&amp;"'!A2:E1000"), (INDIRECT("'"&amp;M$1&amp;"'!B2:B1000")=$B55) * (INDIRECT("'"&amp;M$1&amp;"'!C2:C1000")=$C55)
        ),
        5,
        FALSE
    )=0,
    "",
    VLOOKUP(
        $A55,
        _xlfn._xlws.FILTER(
            INDIRECT("'"&amp;M$1&amp;"'!A2:E1000"), (INDIRECT("'"&amp;M$1&amp;"'!B2:B1000")=$B55) * (INDIRECT("'"&amp;M$1&amp;"'!C2:C1000")=$C55)
        ),
        5,
        FALSE
    )
)</f>
        <v/>
      </c>
      <c r="N55" s="93">
        <f t="array" ref="N55">IF(
    VLOOKUP(
        $A55,
        _xlfn._xlws.FILTER(
            INDIRECT("'"&amp;N$1&amp;"'!A2:E1000"), (INDIRECT("'"&amp;N$1&amp;"'!B2:B1000")=$B55) * (INDIRECT("'"&amp;N$1&amp;"'!C2:C1000")=$C55)
        ),
        5,
        FALSE
    )=0,
    "",
    VLOOKUP(
        $A55,
        _xlfn._xlws.FILTER(
            INDIRECT("'"&amp;N$1&amp;"'!A2:E1000"), (INDIRECT("'"&amp;N$1&amp;"'!B2:B1000")=$B55) * (INDIRECT("'"&amp;N$1&amp;"'!C2:C1000")=$C55)
        ),
        5,
        FALSE
    )
)</f>
        <v/>
      </c>
      <c r="O55" s="93">
        <f t="array" ref="O55">IF(
    VLOOKUP(
        $A55,
        _xlfn._xlws.FILTER(
            INDIRECT("'"&amp;O$1&amp;"'!A2:E1000"), (INDIRECT("'"&amp;O$1&amp;"'!B2:B1000")=$B55) * (INDIRECT("'"&amp;O$1&amp;"'!C2:C1000")=$C55)
        ),
        5,
        FALSE
    )=0,
    "",
    VLOOKUP(
        $A55,
        _xlfn._xlws.FILTER(
            INDIRECT("'"&amp;O$1&amp;"'!A2:E1000"), (INDIRECT("'"&amp;O$1&amp;"'!B2:B1000")=$B55) * (INDIRECT("'"&amp;O$1&amp;"'!C2:C1000")=$C55)
        ),
        5,
        FALSE
    )
)</f>
        <v/>
      </c>
    </row>
    <row r="66" ht="15.75" customHeight="1"/>
    <row r="79" ht="14.25" customHeight="1"/>
  </sheetData>
  <conditionalFormatting sqref="D2:O9 D12:O22 D25:O34 D37:O40 D43:O79">
    <cfRule type="cellIs" priority="55" operator="equal" dxfId="7">
      <formula>"Duplicado"</formula>
    </cfRule>
    <cfRule type="cellIs" priority="56" operator="equal" dxfId="8">
      <formula>"Sem Técnico"</formula>
    </cfRule>
    <cfRule type="cellIs" priority="57" operator="equal" dxfId="9">
      <formula>"Outras Ocorrências"</formula>
    </cfRule>
    <cfRule type="cellIs" priority="58" operator="equal" dxfId="10">
      <formula>"Atrasado &gt;= 2"</formula>
    </cfRule>
    <cfRule type="cellIs" priority="59" operator="equal" dxfId="11">
      <formula>"Atrasado"</formula>
    </cfRule>
    <cfRule type="cellIs" priority="60" operator="equal" dxfId="12">
      <formula>"Enviado"</formula>
    </cfRule>
  </conditionalFormatting>
  <conditionalFormatting sqref="J2:O9 J12:O22 J25:O34 J37:O40 J43:O55">
    <cfRule type="cellIs" priority="49" operator="equal" dxfId="7">
      <formula>"Duplicado"</formula>
    </cfRule>
    <cfRule type="cellIs" priority="50" operator="equal" dxfId="8">
      <formula>"Sem Técnico"</formula>
    </cfRule>
    <cfRule type="cellIs" priority="51" operator="equal" dxfId="9">
      <formula>"Outras Ocorrências"</formula>
    </cfRule>
    <cfRule type="cellIs" priority="52" operator="equal" dxfId="10">
      <formula>"Atrasado &gt;= 2"</formula>
    </cfRule>
    <cfRule type="cellIs" priority="53" operator="equal" dxfId="11">
      <formula>"Atrasado"</formula>
    </cfRule>
    <cfRule type="cellIs" priority="54" operator="equal" dxfId="12">
      <formula>"Enviado"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27" customWidth="1" min="2" max="2"/>
  </cols>
  <sheetData>
    <row r="1" ht="15.75" customHeight="1">
      <c r="A1" s="89" t="inlineStr">
        <is>
          <t>Regional</t>
        </is>
      </c>
      <c r="B1" s="89" t="inlineStr">
        <is>
          <t>Municípios</t>
        </is>
      </c>
      <c r="C1" s="89" t="inlineStr">
        <is>
          <t>UVR</t>
        </is>
      </c>
      <c r="D1" s="97" t="inlineStr">
        <is>
          <t>01.25</t>
        </is>
      </c>
      <c r="E1" s="97" t="inlineStr">
        <is>
          <t>02.25</t>
        </is>
      </c>
      <c r="F1" s="97" t="inlineStr">
        <is>
          <t>03.25</t>
        </is>
      </c>
      <c r="G1" s="97" t="inlineStr">
        <is>
          <t>04.25</t>
        </is>
      </c>
      <c r="H1" s="97" t="inlineStr">
        <is>
          <t>05.25</t>
        </is>
      </c>
      <c r="I1" s="97" t="inlineStr">
        <is>
          <t>06.25</t>
        </is>
      </c>
      <c r="J1" s="97" t="inlineStr">
        <is>
          <t>07.25</t>
        </is>
      </c>
      <c r="K1" s="97" t="inlineStr">
        <is>
          <t>08.25</t>
        </is>
      </c>
      <c r="L1" s="97" t="inlineStr">
        <is>
          <t>09.25</t>
        </is>
      </c>
      <c r="M1" s="97" t="inlineStr">
        <is>
          <t>10.25</t>
        </is>
      </c>
      <c r="N1" s="97" t="inlineStr">
        <is>
          <t>11.25</t>
        </is>
      </c>
      <c r="O1" s="97" t="inlineStr">
        <is>
          <t>12.25</t>
        </is>
      </c>
    </row>
    <row r="2" ht="15.75" customHeight="1">
      <c r="A2" s="44" t="inlineStr">
        <is>
          <t>Coripa</t>
        </is>
      </c>
      <c r="B2" s="92" t="inlineStr">
        <is>
          <t>Alto Paraíso</t>
        </is>
      </c>
      <c r="C2" s="52" t="n">
        <v>1</v>
      </c>
      <c r="D2" s="52">
        <f t="array" ref="D2">IF(
    VLOOKUP(
        $A2,
        _xlfn._xlws.FILTER(
            INDIRECT("'"&amp;D$1&amp;"'!A2:G1000"), (INDIRECT("'"&amp;D$1&amp;"'!B2:B1000")=$B2) * (INDIRECT("'"&amp;D$1&amp;"'!C2:C1000")=$C2)
        ),
        5,
        FALSE
    )="",
    "",
    VLOOKUP(
        $A2,
        _xlfn._xlws.FILTER(
            INDIRECT("'"&amp;D$1&amp;"'!A2:G1000"), (INDIRECT("'"&amp;D$1&amp;"'!B2:B1000")=$B2) * (INDIRECT("'"&amp;D$1&amp;"'!C2:C1000")=$C2)
        ),7,
        FALSE
    )
)</f>
        <v/>
      </c>
      <c r="E2" s="52">
        <f t="array" ref="E2">IF(
    VLOOKUP(
        $A2,
        _xlfn._xlws.FILTER(
            INDIRECT("'"&amp;E$1&amp;"'!A2:G1000"), (INDIRECT("'"&amp;E$1&amp;"'!B2:B1000")=$B2) * (INDIRECT("'"&amp;E$1&amp;"'!C2:C1000")=$C2)
        ),
        5,
        FALSE
    )="",
    "",
    VLOOKUP(
        $A2,
        _xlfn._xlws.FILTER(
            INDIRECT("'"&amp;E$1&amp;"'!A2:G1000"), (INDIRECT("'"&amp;E$1&amp;"'!B2:B1000")=$B2) * (INDIRECT("'"&amp;E$1&amp;"'!C2:C1000")=$C2)
        ),7,
        FALSE
    )
)</f>
        <v/>
      </c>
      <c r="F2" s="52">
        <f t="array" ref="F2">IF(
    VLOOKUP(
        $A2,
        _xlfn._xlws.FILTER(
            INDIRECT("'"&amp;F$1&amp;"'!A2:G1000"), (INDIRECT("'"&amp;F$1&amp;"'!B2:B1000")=$B2) * (INDIRECT("'"&amp;F$1&amp;"'!C2:C1000")=$C2)
        ),
        5,
        FALSE
    )="",
    "",
    VLOOKUP(
        $A2,
        _xlfn._xlws.FILTER(
            INDIRECT("'"&amp;F$1&amp;"'!A2:G1000"), (INDIRECT("'"&amp;F$1&amp;"'!B2:B1000")=$B2) * (INDIRECT("'"&amp;F$1&amp;"'!C2:C1000")=$C2)
        ),7,
        FALSE
    )
)</f>
        <v/>
      </c>
      <c r="G2" s="52">
        <f t="array" ref="G2">IF(
    VLOOKUP(
        $A2,
        _xlfn._xlws.FILTER(
            INDIRECT("'"&amp;G$1&amp;"'!A2:G1000"), (INDIRECT("'"&amp;G$1&amp;"'!B2:B1000")=$B2) * (INDIRECT("'"&amp;G$1&amp;"'!C2:C1000")=$C2)
        ),
        5,
        FALSE
    )="",
    "",
    VLOOKUP(
        $A2,
        _xlfn._xlws.FILTER(
            INDIRECT("'"&amp;G$1&amp;"'!A2:G1000"), (INDIRECT("'"&amp;G$1&amp;"'!B2:B1000")=$B2) * (INDIRECT("'"&amp;G$1&amp;"'!C2:C1000")=$C2)
        ),7,
        FALSE
    )
)</f>
        <v/>
      </c>
      <c r="H2" s="52">
        <f t="array" ref="H2">IF(
    VLOOKUP(
        $A2,
        _xlfn._xlws.FILTER(
            INDIRECT("'"&amp;H$1&amp;"'!A2:G1000"), (INDIRECT("'"&amp;H$1&amp;"'!B2:B1000")=$B2) * (INDIRECT("'"&amp;H$1&amp;"'!C2:C1000")=$C2)
        ),
        5,
        FALSE
    )="",
    "",
    VLOOKUP(
        $A2,
        _xlfn._xlws.FILTER(
            INDIRECT("'"&amp;H$1&amp;"'!A2:G1000"), (INDIRECT("'"&amp;H$1&amp;"'!B2:B1000")=$B2) * (INDIRECT("'"&amp;H$1&amp;"'!C2:C1000")=$C2)
        ),7,
        FALSE
    )
)</f>
        <v/>
      </c>
      <c r="I2" s="52">
        <f t="array" ref="I2">IF(
    VLOOKUP(
        $A2,
        _xlfn._xlws.FILTER(
            INDIRECT("'"&amp;I$1&amp;"'!A2:G1000"), (INDIRECT("'"&amp;I$1&amp;"'!B2:B1000")=$B2) * (INDIRECT("'"&amp;I$1&amp;"'!C2:C1000")=$C2)
        ),
        5,
        FALSE
    )="",
    "",
    VLOOKUP(
        $A2,
        _xlfn._xlws.FILTER(
            INDIRECT("'"&amp;I$1&amp;"'!A2:G1000"), (INDIRECT("'"&amp;I$1&amp;"'!B2:B1000")=$B2) * (INDIRECT("'"&amp;I$1&amp;"'!C2:C1000")=$C2)
        ),7,
        FALSE
    )
)</f>
        <v/>
      </c>
      <c r="J2" s="52">
        <f t="array" ref="J2">IF(
    VLOOKUP(
        $A2,
        _xlfn._xlws.FILTER(
            INDIRECT("'"&amp;J$1&amp;"'!A2:G1000"), (INDIRECT("'"&amp;J$1&amp;"'!B2:B1000")=$B2) * (INDIRECT("'"&amp;J$1&amp;"'!C2:C1000")=$C2)
        ),
        5,
        FALSE
    )="",
    "",
    VLOOKUP(
        $A2,
        _xlfn._xlws.FILTER(
            INDIRECT("'"&amp;J$1&amp;"'!A2:G1000"), (INDIRECT("'"&amp;J$1&amp;"'!B2:B1000")=$B2) * (INDIRECT("'"&amp;J$1&amp;"'!C2:C1000")=$C2)
        ),7,
        FALSE
    )
)</f>
        <v/>
      </c>
      <c r="K2" s="52">
        <f t="array" ref="K2">IF(
    VLOOKUP(
        $A2,
        _xlfn._xlws.FILTER(
            INDIRECT("'"&amp;K$1&amp;"'!A2:G1000"), (INDIRECT("'"&amp;K$1&amp;"'!B2:B1000")=$B2) * (INDIRECT("'"&amp;K$1&amp;"'!C2:C1000")=$C2)
        ),
        5,
        FALSE
    )="",
    "",
    VLOOKUP(
        $A2,
        _xlfn._xlws.FILTER(
            INDIRECT("'"&amp;K$1&amp;"'!A2:G1000"), (INDIRECT("'"&amp;K$1&amp;"'!B2:B1000")=$B2) * (INDIRECT("'"&amp;K$1&amp;"'!C2:C1000")=$C2)
        ),7,
        FALSE
    )
)</f>
        <v/>
      </c>
      <c r="L2" s="52">
        <f t="array" ref="L2">IF(
    VLOOKUP(
        $A2,
        _xlfn._xlws.FILTER(
            INDIRECT("'"&amp;L$1&amp;"'!A2:G1000"), (INDIRECT("'"&amp;L$1&amp;"'!B2:B1000")=$B2) * (INDIRECT("'"&amp;L$1&amp;"'!C2:C1000")=$C2)
        ),
        5,
        FALSE
    )="",
    "",
    VLOOKUP(
        $A2,
        _xlfn._xlws.FILTER(
            INDIRECT("'"&amp;L$1&amp;"'!A2:G1000"), (INDIRECT("'"&amp;L$1&amp;"'!B2:B1000")=$B2) * (INDIRECT("'"&amp;L$1&amp;"'!C2:C1000")=$C2)
        ),7,
        FALSE
    )
)</f>
        <v/>
      </c>
      <c r="M2" s="52">
        <f t="array" ref="M2">IF(
    VLOOKUP(
        $A2,
        _xlfn._xlws.FILTER(
            INDIRECT("'"&amp;M$1&amp;"'!A2:G1000"), (INDIRECT("'"&amp;M$1&amp;"'!B2:B1000")=$B2) * (INDIRECT("'"&amp;M$1&amp;"'!C2:C1000")=$C2)
        ),
        5,
        FALSE
    )="",
    "",
    VLOOKUP(
        $A2,
        _xlfn._xlws.FILTER(
            INDIRECT("'"&amp;M$1&amp;"'!A2:G1000"), (INDIRECT("'"&amp;M$1&amp;"'!B2:B1000")=$B2) * (INDIRECT("'"&amp;M$1&amp;"'!C2:C1000")=$C2)
        ),7,
        FALSE
    )
)</f>
        <v/>
      </c>
      <c r="N2" s="52">
        <f t="array" ref="N2">IF(
    VLOOKUP(
        $A2,
        _xlfn._xlws.FILTER(
            INDIRECT("'"&amp;N$1&amp;"'!A2:G1000"), (INDIRECT("'"&amp;N$1&amp;"'!B2:B1000")=$B2) * (INDIRECT("'"&amp;N$1&amp;"'!C2:C1000")=$C2)
        ),
        5,
        FALSE
    )="",
    "",
    VLOOKUP(
        $A2,
        _xlfn._xlws.FILTER(
            INDIRECT("'"&amp;N$1&amp;"'!A2:G1000"), (INDIRECT("'"&amp;N$1&amp;"'!B2:B1000")=$B2) * (INDIRECT("'"&amp;N$1&amp;"'!C2:C1000")=$C2)
        ),7,
        FALSE
    )
)</f>
        <v/>
      </c>
      <c r="O2" s="52">
        <f t="array" ref="O2">IF(
    VLOOKUP(
        $A2,
        _xlfn._xlws.FILTER(
            INDIRECT("'"&amp;O$1&amp;"'!A2:G1000"), (INDIRECT("'"&amp;O$1&amp;"'!B2:B1000")=$B2) * (INDIRECT("'"&amp;O$1&amp;"'!C2:C1000")=$C2)
        ),
        5,
        FALSE
    )="",
    "",
    VLOOKUP(
        $A2,
        _xlfn._xlws.FILTER(
            INDIRECT("'"&amp;O$1&amp;"'!A2:G1000"), (INDIRECT("'"&amp;O$1&amp;"'!B2:B1000")=$B2) * (INDIRECT("'"&amp;O$1&amp;"'!C2:C1000")=$C2)
        ),7,
        FALSE
    )
)</f>
        <v/>
      </c>
    </row>
    <row r="3" ht="15.75" customHeight="1">
      <c r="A3" s="44" t="inlineStr">
        <is>
          <t>Coripa</t>
        </is>
      </c>
      <c r="B3" s="92" t="inlineStr">
        <is>
          <t>Douradina</t>
        </is>
      </c>
      <c r="C3" s="52" t="n">
        <v>1</v>
      </c>
      <c r="D3" s="52">
        <f t="array" ref="D3">IF(
    VLOOKUP(
        $A3,
        _xlfn._xlws.FILTER(
            INDIRECT("'"&amp;D$1&amp;"'!A2:G1000"), (INDIRECT("'"&amp;D$1&amp;"'!B2:B1000")=$B3) * (INDIRECT("'"&amp;D$1&amp;"'!C2:C1000")=$C3)
        ),
        5,
        FALSE
    )="",
    "",
    VLOOKUP(
        $A3,
        _xlfn._xlws.FILTER(
            INDIRECT("'"&amp;D$1&amp;"'!A2:G1000"), (INDIRECT("'"&amp;D$1&amp;"'!B2:B1000")=$B3) * (INDIRECT("'"&amp;D$1&amp;"'!C2:C1000")=$C3)
        ),7,
        FALSE
    )
)</f>
        <v/>
      </c>
      <c r="E3" s="52">
        <f t="array" ref="E3">IF(
    VLOOKUP(
        $A3,
        _xlfn._xlws.FILTER(
            INDIRECT("'"&amp;E$1&amp;"'!A2:G1000"), (INDIRECT("'"&amp;E$1&amp;"'!B2:B1000")=$B3) * (INDIRECT("'"&amp;E$1&amp;"'!C2:C1000")=$C3)
        ),
        5,
        FALSE
    )="",
    "",
    VLOOKUP(
        $A3,
        _xlfn._xlws.FILTER(
            INDIRECT("'"&amp;E$1&amp;"'!A2:G1000"), (INDIRECT("'"&amp;E$1&amp;"'!B2:B1000")=$B3) * (INDIRECT("'"&amp;E$1&amp;"'!C2:C1000")=$C3)
        ),7,
        FALSE
    )
)</f>
        <v/>
      </c>
      <c r="F3" s="52">
        <f t="array" ref="F3">IF(
    VLOOKUP(
        $A3,
        _xlfn._xlws.FILTER(
            INDIRECT("'"&amp;F$1&amp;"'!A2:G1000"), (INDIRECT("'"&amp;F$1&amp;"'!B2:B1000")=$B3) * (INDIRECT("'"&amp;F$1&amp;"'!C2:C1000")=$C3)
        ),
        5,
        FALSE
    )="",
    "",
    VLOOKUP(
        $A3,
        _xlfn._xlws.FILTER(
            INDIRECT("'"&amp;F$1&amp;"'!A2:G1000"), (INDIRECT("'"&amp;F$1&amp;"'!B2:B1000")=$B3) * (INDIRECT("'"&amp;F$1&amp;"'!C2:C1000")=$C3)
        ),7,
        FALSE
    )
)</f>
        <v/>
      </c>
      <c r="G3" s="52">
        <f t="array" ref="G3">IF(
    VLOOKUP(
        $A3,
        _xlfn._xlws.FILTER(
            INDIRECT("'"&amp;G$1&amp;"'!A2:G1000"), (INDIRECT("'"&amp;G$1&amp;"'!B2:B1000")=$B3) * (INDIRECT("'"&amp;G$1&amp;"'!C2:C1000")=$C3)
        ),
        5,
        FALSE
    )="",
    "",
    VLOOKUP(
        $A3,
        _xlfn._xlws.FILTER(
            INDIRECT("'"&amp;G$1&amp;"'!A2:G1000"), (INDIRECT("'"&amp;G$1&amp;"'!B2:B1000")=$B3) * (INDIRECT("'"&amp;G$1&amp;"'!C2:C1000")=$C3)
        ),7,
        FALSE
    )
)</f>
        <v/>
      </c>
      <c r="H3" s="52">
        <f t="array" ref="H3">IF(
    VLOOKUP(
        $A3,
        _xlfn._xlws.FILTER(
            INDIRECT("'"&amp;H$1&amp;"'!A2:G1000"), (INDIRECT("'"&amp;H$1&amp;"'!B2:B1000")=$B3) * (INDIRECT("'"&amp;H$1&amp;"'!C2:C1000")=$C3)
        ),
        5,
        FALSE
    )="",
    "",
    VLOOKUP(
        $A3,
        _xlfn._xlws.FILTER(
            INDIRECT("'"&amp;H$1&amp;"'!A2:G1000"), (INDIRECT("'"&amp;H$1&amp;"'!B2:B1000")=$B3) * (INDIRECT("'"&amp;H$1&amp;"'!C2:C1000")=$C3)
        ),7,
        FALSE
    )
)</f>
        <v/>
      </c>
      <c r="I3" s="52">
        <f t="array" ref="I3">IF(
    VLOOKUP(
        $A3,
        _xlfn._xlws.FILTER(
            INDIRECT("'"&amp;I$1&amp;"'!A2:G1000"), (INDIRECT("'"&amp;I$1&amp;"'!B2:B1000")=$B3) * (INDIRECT("'"&amp;I$1&amp;"'!C2:C1000")=$C3)
        ),
        5,
        FALSE
    )="",
    "",
    VLOOKUP(
        $A3,
        _xlfn._xlws.FILTER(
            INDIRECT("'"&amp;I$1&amp;"'!A2:G1000"), (INDIRECT("'"&amp;I$1&amp;"'!B2:B1000")=$B3) * (INDIRECT("'"&amp;I$1&amp;"'!C2:C1000")=$C3)
        ),7,
        FALSE
    )
)</f>
        <v/>
      </c>
      <c r="J3" s="52">
        <f t="array" ref="J3">IF(
    VLOOKUP(
        $A3,
        _xlfn._xlws.FILTER(
            INDIRECT("'"&amp;J$1&amp;"'!A2:G1000"), (INDIRECT("'"&amp;J$1&amp;"'!B2:B1000")=$B3) * (INDIRECT("'"&amp;J$1&amp;"'!C2:C1000")=$C3)
        ),
        5,
        FALSE
    )="",
    "",
    VLOOKUP(
        $A3,
        _xlfn._xlws.FILTER(
            INDIRECT("'"&amp;J$1&amp;"'!A2:G1000"), (INDIRECT("'"&amp;J$1&amp;"'!B2:B1000")=$B3) * (INDIRECT("'"&amp;J$1&amp;"'!C2:C1000")=$C3)
        ),7,
        FALSE
    )
)</f>
        <v/>
      </c>
      <c r="K3" s="52">
        <f t="array" ref="K3">IF(
    VLOOKUP(
        $A3,
        _xlfn._xlws.FILTER(
            INDIRECT("'"&amp;K$1&amp;"'!A2:G1000"), (INDIRECT("'"&amp;K$1&amp;"'!B2:B1000")=$B3) * (INDIRECT("'"&amp;K$1&amp;"'!C2:C1000")=$C3)
        ),
        5,
        FALSE
    )="",
    "",
    VLOOKUP(
        $A3,
        _xlfn._xlws.FILTER(
            INDIRECT("'"&amp;K$1&amp;"'!A2:G1000"), (INDIRECT("'"&amp;K$1&amp;"'!B2:B1000")=$B3) * (INDIRECT("'"&amp;K$1&amp;"'!C2:C1000")=$C3)
        ),7,
        FALSE
    )
)</f>
        <v/>
      </c>
      <c r="L3" s="52">
        <f t="array" ref="L3">IF(
    VLOOKUP(
        $A3,
        _xlfn._xlws.FILTER(
            INDIRECT("'"&amp;L$1&amp;"'!A2:G1000"), (INDIRECT("'"&amp;L$1&amp;"'!B2:B1000")=$B3) * (INDIRECT("'"&amp;L$1&amp;"'!C2:C1000")=$C3)
        ),
        5,
        FALSE
    )="",
    "",
    VLOOKUP(
        $A3,
        _xlfn._xlws.FILTER(
            INDIRECT("'"&amp;L$1&amp;"'!A2:G1000"), (INDIRECT("'"&amp;L$1&amp;"'!B2:B1000")=$B3) * (INDIRECT("'"&amp;L$1&amp;"'!C2:C1000")=$C3)
        ),7,
        FALSE
    )
)</f>
        <v/>
      </c>
      <c r="M3" s="52">
        <f t="array" ref="M3">IF(
    VLOOKUP(
        $A3,
        _xlfn._xlws.FILTER(
            INDIRECT("'"&amp;M$1&amp;"'!A2:G1000"), (INDIRECT("'"&amp;M$1&amp;"'!B2:B1000")=$B3) * (INDIRECT("'"&amp;M$1&amp;"'!C2:C1000")=$C3)
        ),
        5,
        FALSE
    )="",
    "",
    VLOOKUP(
        $A3,
        _xlfn._xlws.FILTER(
            INDIRECT("'"&amp;M$1&amp;"'!A2:G1000"), (INDIRECT("'"&amp;M$1&amp;"'!B2:B1000")=$B3) * (INDIRECT("'"&amp;M$1&amp;"'!C2:C1000")=$C3)
        ),7,
        FALSE
    )
)</f>
        <v/>
      </c>
      <c r="N3" s="52">
        <f t="array" ref="N3">IF(
    VLOOKUP(
        $A3,
        _xlfn._xlws.FILTER(
            INDIRECT("'"&amp;N$1&amp;"'!A2:G1000"), (INDIRECT("'"&amp;N$1&amp;"'!B2:B1000")=$B3) * (INDIRECT("'"&amp;N$1&amp;"'!C2:C1000")=$C3)
        ),
        5,
        FALSE
    )="",
    "",
    VLOOKUP(
        $A3,
        _xlfn._xlws.FILTER(
            INDIRECT("'"&amp;N$1&amp;"'!A2:G1000"), (INDIRECT("'"&amp;N$1&amp;"'!B2:B1000")=$B3) * (INDIRECT("'"&amp;N$1&amp;"'!C2:C1000")=$C3)
        ),7,
        FALSE
    )
)</f>
        <v/>
      </c>
      <c r="O3" s="52">
        <f t="array" ref="O3">IF(
    VLOOKUP(
        $A3,
        _xlfn._xlws.FILTER(
            INDIRECT("'"&amp;O$1&amp;"'!A2:G1000"), (INDIRECT("'"&amp;O$1&amp;"'!B2:B1000")=$B3) * (INDIRECT("'"&amp;O$1&amp;"'!C2:C1000")=$C3)
        ),
        5,
        FALSE
    )="",
    "",
    VLOOKUP(
        $A3,
        _xlfn._xlws.FILTER(
            INDIRECT("'"&amp;O$1&amp;"'!A2:G1000"), (INDIRECT("'"&amp;O$1&amp;"'!B2:B1000")=$B3) * (INDIRECT("'"&amp;O$1&amp;"'!C2:C1000")=$C3)
        ),7,
        FALSE
    )
)</f>
        <v/>
      </c>
    </row>
    <row r="4" ht="15.75" customHeight="1">
      <c r="A4" s="44" t="inlineStr">
        <is>
          <t>Coripa</t>
        </is>
      </c>
      <c r="B4" s="92" t="inlineStr">
        <is>
          <t>Esperança Nova</t>
        </is>
      </c>
      <c r="C4" s="52" t="n">
        <v>1</v>
      </c>
      <c r="D4" s="52">
        <f t="array" ref="D4">IF(
    VLOOKUP(
        $A4,
        _xlfn._xlws.FILTER(
            INDIRECT("'"&amp;D$1&amp;"'!A2:G1000"), (INDIRECT("'"&amp;D$1&amp;"'!B2:B1000")=$B4) * (INDIRECT("'"&amp;D$1&amp;"'!C2:C1000")=$C4)
        ),
        5,
        FALSE
    )="",
    "",
    VLOOKUP(
        $A4,
        _xlfn._xlws.FILTER(
            INDIRECT("'"&amp;D$1&amp;"'!A2:G1000"), (INDIRECT("'"&amp;D$1&amp;"'!B2:B1000")=$B4) * (INDIRECT("'"&amp;D$1&amp;"'!C2:C1000")=$C4)
        ),7,
        FALSE
    )
)</f>
        <v/>
      </c>
      <c r="E4" s="52">
        <f t="array" ref="E4">IF(
    VLOOKUP(
        $A4,
        _xlfn._xlws.FILTER(
            INDIRECT("'"&amp;E$1&amp;"'!A2:G1000"), (INDIRECT("'"&amp;E$1&amp;"'!B2:B1000")=$B4) * (INDIRECT("'"&amp;E$1&amp;"'!C2:C1000")=$C4)
        ),
        5,
        FALSE
    )="",
    "",
    VLOOKUP(
        $A4,
        _xlfn._xlws.FILTER(
            INDIRECT("'"&amp;E$1&amp;"'!A2:G1000"), (INDIRECT("'"&amp;E$1&amp;"'!B2:B1000")=$B4) * (INDIRECT("'"&amp;E$1&amp;"'!C2:C1000")=$C4)
        ),7,
        FALSE
    )
)</f>
        <v/>
      </c>
      <c r="F4" s="52">
        <f t="array" ref="F4">IF(
    VLOOKUP(
        $A4,
        _xlfn._xlws.FILTER(
            INDIRECT("'"&amp;F$1&amp;"'!A2:G1000"), (INDIRECT("'"&amp;F$1&amp;"'!B2:B1000")=$B4) * (INDIRECT("'"&amp;F$1&amp;"'!C2:C1000")=$C4)
        ),
        5,
        FALSE
    )="",
    "",
    VLOOKUP(
        $A4,
        _xlfn._xlws.FILTER(
            INDIRECT("'"&amp;F$1&amp;"'!A2:G1000"), (INDIRECT("'"&amp;F$1&amp;"'!B2:B1000")=$B4) * (INDIRECT("'"&amp;F$1&amp;"'!C2:C1000")=$C4)
        ),7,
        FALSE
    )
)</f>
        <v/>
      </c>
      <c r="G4" s="52">
        <f t="array" ref="G4">IF(
    VLOOKUP(
        $A4,
        _xlfn._xlws.FILTER(
            INDIRECT("'"&amp;G$1&amp;"'!A2:G1000"), (INDIRECT("'"&amp;G$1&amp;"'!B2:B1000")=$B4) * (INDIRECT("'"&amp;G$1&amp;"'!C2:C1000")=$C4)
        ),
        5,
        FALSE
    )="",
    "",
    VLOOKUP(
        $A4,
        _xlfn._xlws.FILTER(
            INDIRECT("'"&amp;G$1&amp;"'!A2:G1000"), (INDIRECT("'"&amp;G$1&amp;"'!B2:B1000")=$B4) * (INDIRECT("'"&amp;G$1&amp;"'!C2:C1000")=$C4)
        ),7,
        FALSE
    )
)</f>
        <v/>
      </c>
      <c r="H4" s="52">
        <f t="array" ref="H4">IF(
    VLOOKUP(
        $A4,
        _xlfn._xlws.FILTER(
            INDIRECT("'"&amp;H$1&amp;"'!A2:G1000"), (INDIRECT("'"&amp;H$1&amp;"'!B2:B1000")=$B4) * (INDIRECT("'"&amp;H$1&amp;"'!C2:C1000")=$C4)
        ),
        5,
        FALSE
    )="",
    "",
    VLOOKUP(
        $A4,
        _xlfn._xlws.FILTER(
            INDIRECT("'"&amp;H$1&amp;"'!A2:G1000"), (INDIRECT("'"&amp;H$1&amp;"'!B2:B1000")=$B4) * (INDIRECT("'"&amp;H$1&amp;"'!C2:C1000")=$C4)
        ),7,
        FALSE
    )
)</f>
        <v/>
      </c>
      <c r="I4" s="52">
        <f t="array" ref="I4">IF(
    VLOOKUP(
        $A4,
        _xlfn._xlws.FILTER(
            INDIRECT("'"&amp;I$1&amp;"'!A2:G1000"), (INDIRECT("'"&amp;I$1&amp;"'!B2:B1000")=$B4) * (INDIRECT("'"&amp;I$1&amp;"'!C2:C1000")=$C4)
        ),
        5,
        FALSE
    )="",
    "",
    VLOOKUP(
        $A4,
        _xlfn._xlws.FILTER(
            INDIRECT("'"&amp;I$1&amp;"'!A2:G1000"), (INDIRECT("'"&amp;I$1&amp;"'!B2:B1000")=$B4) * (INDIRECT("'"&amp;I$1&amp;"'!C2:C1000")=$C4)
        ),7,
        FALSE
    )
)</f>
        <v/>
      </c>
      <c r="J4" s="52">
        <f t="array" ref="J4">IF(
    VLOOKUP(
        $A4,
        _xlfn._xlws.FILTER(
            INDIRECT("'"&amp;J$1&amp;"'!A2:G1000"), (INDIRECT("'"&amp;J$1&amp;"'!B2:B1000")=$B4) * (INDIRECT("'"&amp;J$1&amp;"'!C2:C1000")=$C4)
        ),
        5,
        FALSE
    )="",
    "",
    VLOOKUP(
        $A4,
        _xlfn._xlws.FILTER(
            INDIRECT("'"&amp;J$1&amp;"'!A2:G1000"), (INDIRECT("'"&amp;J$1&amp;"'!B2:B1000")=$B4) * (INDIRECT("'"&amp;J$1&amp;"'!C2:C1000")=$C4)
        ),7,
        FALSE
    )
)</f>
        <v/>
      </c>
      <c r="K4" s="52">
        <f t="array" ref="K4">IF(
    VLOOKUP(
        $A4,
        _xlfn._xlws.FILTER(
            INDIRECT("'"&amp;K$1&amp;"'!A2:G1000"), (INDIRECT("'"&amp;K$1&amp;"'!B2:B1000")=$B4) * (INDIRECT("'"&amp;K$1&amp;"'!C2:C1000")=$C4)
        ),
        5,
        FALSE
    )="",
    "",
    VLOOKUP(
        $A4,
        _xlfn._xlws.FILTER(
            INDIRECT("'"&amp;K$1&amp;"'!A2:G1000"), (INDIRECT("'"&amp;K$1&amp;"'!B2:B1000")=$B4) * (INDIRECT("'"&amp;K$1&amp;"'!C2:C1000")=$C4)
        ),7,
        FALSE
    )
)</f>
        <v/>
      </c>
      <c r="L4" s="52">
        <f t="array" ref="L4">IF(
    VLOOKUP(
        $A4,
        _xlfn._xlws.FILTER(
            INDIRECT("'"&amp;L$1&amp;"'!A2:G1000"), (INDIRECT("'"&amp;L$1&amp;"'!B2:B1000")=$B4) * (INDIRECT("'"&amp;L$1&amp;"'!C2:C1000")=$C4)
        ),
        5,
        FALSE
    )="",
    "",
    VLOOKUP(
        $A4,
        _xlfn._xlws.FILTER(
            INDIRECT("'"&amp;L$1&amp;"'!A2:G1000"), (INDIRECT("'"&amp;L$1&amp;"'!B2:B1000")=$B4) * (INDIRECT("'"&amp;L$1&amp;"'!C2:C1000")=$C4)
        ),7,
        FALSE
    )
)</f>
        <v/>
      </c>
      <c r="M4" s="52">
        <f t="array" ref="M4">IF(
    VLOOKUP(
        $A4,
        _xlfn._xlws.FILTER(
            INDIRECT("'"&amp;M$1&amp;"'!A2:G1000"), (INDIRECT("'"&amp;M$1&amp;"'!B2:B1000")=$B4) * (INDIRECT("'"&amp;M$1&amp;"'!C2:C1000")=$C4)
        ),
        5,
        FALSE
    )="",
    "",
    VLOOKUP(
        $A4,
        _xlfn._xlws.FILTER(
            INDIRECT("'"&amp;M$1&amp;"'!A2:G1000"), (INDIRECT("'"&amp;M$1&amp;"'!B2:B1000")=$B4) * (INDIRECT("'"&amp;M$1&amp;"'!C2:C1000")=$C4)
        ),7,
        FALSE
    )
)</f>
        <v/>
      </c>
      <c r="N4" s="52">
        <f t="array" ref="N4">IF(
    VLOOKUP(
        $A4,
        _xlfn._xlws.FILTER(
            INDIRECT("'"&amp;N$1&amp;"'!A2:G1000"), (INDIRECT("'"&amp;N$1&amp;"'!B2:B1000")=$B4) * (INDIRECT("'"&amp;N$1&amp;"'!C2:C1000")=$C4)
        ),
        5,
        FALSE
    )="",
    "",
    VLOOKUP(
        $A4,
        _xlfn._xlws.FILTER(
            INDIRECT("'"&amp;N$1&amp;"'!A2:G1000"), (INDIRECT("'"&amp;N$1&amp;"'!B2:B1000")=$B4) * (INDIRECT("'"&amp;N$1&amp;"'!C2:C1000")=$C4)
        ),7,
        FALSE
    )
)</f>
        <v/>
      </c>
      <c r="O4" s="52">
        <f t="array" ref="O4">IF(
    VLOOKUP(
        $A4,
        _xlfn._xlws.FILTER(
            INDIRECT("'"&amp;O$1&amp;"'!A2:G1000"), (INDIRECT("'"&amp;O$1&amp;"'!B2:B1000")=$B4) * (INDIRECT("'"&amp;O$1&amp;"'!C2:C1000")=$C4)
        ),
        5,
        FALSE
    )="",
    "",
    VLOOKUP(
        $A4,
        _xlfn._xlws.FILTER(
            INDIRECT("'"&amp;O$1&amp;"'!A2:G1000"), (INDIRECT("'"&amp;O$1&amp;"'!B2:B1000")=$B4) * (INDIRECT("'"&amp;O$1&amp;"'!C2:C1000")=$C4)
        ),7,
        FALSE
    )
)</f>
        <v/>
      </c>
    </row>
    <row r="5" ht="15.75" customHeight="1">
      <c r="A5" s="44" t="inlineStr">
        <is>
          <t>Coripa</t>
        </is>
      </c>
      <c r="B5" s="92" t="inlineStr">
        <is>
          <t>Icaraíma</t>
        </is>
      </c>
      <c r="C5" s="52" t="n">
        <v>1</v>
      </c>
      <c r="D5" s="52">
        <f t="array" ref="D5">IF(
    VLOOKUP(
        $A5,
        _xlfn._xlws.FILTER(
            INDIRECT("'"&amp;D$1&amp;"'!A2:G1000"), (INDIRECT("'"&amp;D$1&amp;"'!B2:B1000")=$B5) * (INDIRECT("'"&amp;D$1&amp;"'!C2:C1000")=$C5)
        ),
        5,
        FALSE
    )="",
    "",
    VLOOKUP(
        $A5,
        _xlfn._xlws.FILTER(
            INDIRECT("'"&amp;D$1&amp;"'!A2:G1000"), (INDIRECT("'"&amp;D$1&amp;"'!B2:B1000")=$B5) * (INDIRECT("'"&amp;D$1&amp;"'!C2:C1000")=$C5)
        ),7,
        FALSE
    )
)</f>
        <v/>
      </c>
      <c r="E5" s="52">
        <f t="array" ref="E5">IF(
    VLOOKUP(
        $A5,
        _xlfn._xlws.FILTER(
            INDIRECT("'"&amp;E$1&amp;"'!A2:G1000"), (INDIRECT("'"&amp;E$1&amp;"'!B2:B1000")=$B5) * (INDIRECT("'"&amp;E$1&amp;"'!C2:C1000")=$C5)
        ),
        5,
        FALSE
    )="",
    "",
    VLOOKUP(
        $A5,
        _xlfn._xlws.FILTER(
            INDIRECT("'"&amp;E$1&amp;"'!A2:G1000"), (INDIRECT("'"&amp;E$1&amp;"'!B2:B1000")=$B5) * (INDIRECT("'"&amp;E$1&amp;"'!C2:C1000")=$C5)
        ),7,
        FALSE
    )
)</f>
        <v/>
      </c>
      <c r="F5" s="52">
        <f t="array" ref="F5">IF(
    VLOOKUP(
        $A5,
        _xlfn._xlws.FILTER(
            INDIRECT("'"&amp;F$1&amp;"'!A2:G1000"), (INDIRECT("'"&amp;F$1&amp;"'!B2:B1000")=$B5) * (INDIRECT("'"&amp;F$1&amp;"'!C2:C1000")=$C5)
        ),
        5,
        FALSE
    )="",
    "",
    VLOOKUP(
        $A5,
        _xlfn._xlws.FILTER(
            INDIRECT("'"&amp;F$1&amp;"'!A2:G1000"), (INDIRECT("'"&amp;F$1&amp;"'!B2:B1000")=$B5) * (INDIRECT("'"&amp;F$1&amp;"'!C2:C1000")=$C5)
        ),7,
        FALSE
    )
)</f>
        <v/>
      </c>
      <c r="G5" s="52">
        <f t="array" ref="G5">IF(
    VLOOKUP(
        $A5,
        _xlfn._xlws.FILTER(
            INDIRECT("'"&amp;G$1&amp;"'!A2:G1000"), (INDIRECT("'"&amp;G$1&amp;"'!B2:B1000")=$B5) * (INDIRECT("'"&amp;G$1&amp;"'!C2:C1000")=$C5)
        ),
        5,
        FALSE
    )="",
    "",
    VLOOKUP(
        $A5,
        _xlfn._xlws.FILTER(
            INDIRECT("'"&amp;G$1&amp;"'!A2:G1000"), (INDIRECT("'"&amp;G$1&amp;"'!B2:B1000")=$B5) * (INDIRECT("'"&amp;G$1&amp;"'!C2:C1000")=$C5)
        ),7,
        FALSE
    )
)</f>
        <v/>
      </c>
      <c r="H5" s="52">
        <f t="array" ref="H5">IF(
    VLOOKUP(
        $A5,
        _xlfn._xlws.FILTER(
            INDIRECT("'"&amp;H$1&amp;"'!A2:G1000"), (INDIRECT("'"&amp;H$1&amp;"'!B2:B1000")=$B5) * (INDIRECT("'"&amp;H$1&amp;"'!C2:C1000")=$C5)
        ),
        5,
        FALSE
    )="",
    "",
    VLOOKUP(
        $A5,
        _xlfn._xlws.FILTER(
            INDIRECT("'"&amp;H$1&amp;"'!A2:G1000"), (INDIRECT("'"&amp;H$1&amp;"'!B2:B1000")=$B5) * (INDIRECT("'"&amp;H$1&amp;"'!C2:C1000")=$C5)
        ),7,
        FALSE
    )
)</f>
        <v/>
      </c>
      <c r="I5" s="52">
        <f t="array" ref="I5">IF(
    VLOOKUP(
        $A5,
        _xlfn._xlws.FILTER(
            INDIRECT("'"&amp;I$1&amp;"'!A2:G1000"), (INDIRECT("'"&amp;I$1&amp;"'!B2:B1000")=$B5) * (INDIRECT("'"&amp;I$1&amp;"'!C2:C1000")=$C5)
        ),
        5,
        FALSE
    )="",
    "",
    VLOOKUP(
        $A5,
        _xlfn._xlws.FILTER(
            INDIRECT("'"&amp;I$1&amp;"'!A2:G1000"), (INDIRECT("'"&amp;I$1&amp;"'!B2:B1000")=$B5) * (INDIRECT("'"&amp;I$1&amp;"'!C2:C1000")=$C5)
        ),7,
        FALSE
    )
)</f>
        <v/>
      </c>
      <c r="J5" s="52">
        <f t="array" ref="J5">IF(
    VLOOKUP(
        $A5,
        _xlfn._xlws.FILTER(
            INDIRECT("'"&amp;J$1&amp;"'!A2:G1000"), (INDIRECT("'"&amp;J$1&amp;"'!B2:B1000")=$B5) * (INDIRECT("'"&amp;J$1&amp;"'!C2:C1000")=$C5)
        ),
        5,
        FALSE
    )="",
    "",
    VLOOKUP(
        $A5,
        _xlfn._xlws.FILTER(
            INDIRECT("'"&amp;J$1&amp;"'!A2:G1000"), (INDIRECT("'"&amp;J$1&amp;"'!B2:B1000")=$B5) * (INDIRECT("'"&amp;J$1&amp;"'!C2:C1000")=$C5)
        ),7,
        FALSE
    )
)</f>
        <v/>
      </c>
      <c r="K5" s="52">
        <f t="array" ref="K5">IF(
    VLOOKUP(
        $A5,
        _xlfn._xlws.FILTER(
            INDIRECT("'"&amp;K$1&amp;"'!A2:G1000"), (INDIRECT("'"&amp;K$1&amp;"'!B2:B1000")=$B5) * (INDIRECT("'"&amp;K$1&amp;"'!C2:C1000")=$C5)
        ),
        5,
        FALSE
    )="",
    "",
    VLOOKUP(
        $A5,
        _xlfn._xlws.FILTER(
            INDIRECT("'"&amp;K$1&amp;"'!A2:G1000"), (INDIRECT("'"&amp;K$1&amp;"'!B2:B1000")=$B5) * (INDIRECT("'"&amp;K$1&amp;"'!C2:C1000")=$C5)
        ),7,
        FALSE
    )
)</f>
        <v/>
      </c>
      <c r="L5" s="52">
        <f t="array" ref="L5">IF(
    VLOOKUP(
        $A5,
        _xlfn._xlws.FILTER(
            INDIRECT("'"&amp;L$1&amp;"'!A2:G1000"), (INDIRECT("'"&amp;L$1&amp;"'!B2:B1000")=$B5) * (INDIRECT("'"&amp;L$1&amp;"'!C2:C1000")=$C5)
        ),
        5,
        FALSE
    )="",
    "",
    VLOOKUP(
        $A5,
        _xlfn._xlws.FILTER(
            INDIRECT("'"&amp;L$1&amp;"'!A2:G1000"), (INDIRECT("'"&amp;L$1&amp;"'!B2:B1000")=$B5) * (INDIRECT("'"&amp;L$1&amp;"'!C2:C1000")=$C5)
        ),7,
        FALSE
    )
)</f>
        <v/>
      </c>
      <c r="M5" s="52">
        <f t="array" ref="M5">IF(
    VLOOKUP(
        $A5,
        _xlfn._xlws.FILTER(
            INDIRECT("'"&amp;M$1&amp;"'!A2:G1000"), (INDIRECT("'"&amp;M$1&amp;"'!B2:B1000")=$B5) * (INDIRECT("'"&amp;M$1&amp;"'!C2:C1000")=$C5)
        ),
        5,
        FALSE
    )="",
    "",
    VLOOKUP(
        $A5,
        _xlfn._xlws.FILTER(
            INDIRECT("'"&amp;M$1&amp;"'!A2:G1000"), (INDIRECT("'"&amp;M$1&amp;"'!B2:B1000")=$B5) * (INDIRECT("'"&amp;M$1&amp;"'!C2:C1000")=$C5)
        ),7,
        FALSE
    )
)</f>
        <v/>
      </c>
      <c r="N5" s="52">
        <f t="array" ref="N5">IF(
    VLOOKUP(
        $A5,
        _xlfn._xlws.FILTER(
            INDIRECT("'"&amp;N$1&amp;"'!A2:G1000"), (INDIRECT("'"&amp;N$1&amp;"'!B2:B1000")=$B5) * (INDIRECT("'"&amp;N$1&amp;"'!C2:C1000")=$C5)
        ),
        5,
        FALSE
    )="",
    "",
    VLOOKUP(
        $A5,
        _xlfn._xlws.FILTER(
            INDIRECT("'"&amp;N$1&amp;"'!A2:G1000"), (INDIRECT("'"&amp;N$1&amp;"'!B2:B1000")=$B5) * (INDIRECT("'"&amp;N$1&amp;"'!C2:C1000")=$C5)
        ),7,
        FALSE
    )
)</f>
        <v/>
      </c>
      <c r="O5" s="52">
        <f t="array" ref="O5">IF(
    VLOOKUP(
        $A5,
        _xlfn._xlws.FILTER(
            INDIRECT("'"&amp;O$1&amp;"'!A2:G1000"), (INDIRECT("'"&amp;O$1&amp;"'!B2:B1000")=$B5) * (INDIRECT("'"&amp;O$1&amp;"'!C2:C1000")=$C5)
        ),
        5,
        FALSE
    )="",
    "",
    VLOOKUP(
        $A5,
        _xlfn._xlws.FILTER(
            INDIRECT("'"&amp;O$1&amp;"'!A2:G1000"), (INDIRECT("'"&amp;O$1&amp;"'!B2:B1000")=$B5) * (INDIRECT("'"&amp;O$1&amp;"'!C2:C1000")=$C5)
        ),7,
        FALSE
    )
)</f>
        <v/>
      </c>
    </row>
    <row r="6" ht="15.75" customHeight="1">
      <c r="A6" s="44" t="inlineStr">
        <is>
          <t>Coripa</t>
        </is>
      </c>
      <c r="B6" s="92" t="inlineStr">
        <is>
          <t>Maria Helena</t>
        </is>
      </c>
      <c r="C6" s="52" t="n">
        <v>1</v>
      </c>
      <c r="D6" s="52">
        <f t="array" ref="D6">IF(
    VLOOKUP(
        $A6,
        _xlfn._xlws.FILTER(
            INDIRECT("'"&amp;D$1&amp;"'!A2:G1000"), (INDIRECT("'"&amp;D$1&amp;"'!B2:B1000")=$B6) * (INDIRECT("'"&amp;D$1&amp;"'!C2:C1000")=$C6)
        ),
        5,
        FALSE
    )="",
    "",
    VLOOKUP(
        $A6,
        _xlfn._xlws.FILTER(
            INDIRECT("'"&amp;D$1&amp;"'!A2:G1000"), (INDIRECT("'"&amp;D$1&amp;"'!B2:B1000")=$B6) * (INDIRECT("'"&amp;D$1&amp;"'!C2:C1000")=$C6)
        ),7,
        FALSE
    )
)</f>
        <v/>
      </c>
      <c r="E6" s="52">
        <f t="array" ref="E6">IF(
    VLOOKUP(
        $A6,
        _xlfn._xlws.FILTER(
            INDIRECT("'"&amp;E$1&amp;"'!A2:G1000"), (INDIRECT("'"&amp;E$1&amp;"'!B2:B1000")=$B6) * (INDIRECT("'"&amp;E$1&amp;"'!C2:C1000")=$C6)
        ),
        5,
        FALSE
    )="",
    "",
    VLOOKUP(
        $A6,
        _xlfn._xlws.FILTER(
            INDIRECT("'"&amp;E$1&amp;"'!A2:G1000"), (INDIRECT("'"&amp;E$1&amp;"'!B2:B1000")=$B6) * (INDIRECT("'"&amp;E$1&amp;"'!C2:C1000")=$C6)
        ),7,
        FALSE
    )
)</f>
        <v/>
      </c>
      <c r="F6" s="52">
        <f t="array" ref="F6">IF(
    VLOOKUP(
        $A6,
        _xlfn._xlws.FILTER(
            INDIRECT("'"&amp;F$1&amp;"'!A2:G1000"), (INDIRECT("'"&amp;F$1&amp;"'!B2:B1000")=$B6) * (INDIRECT("'"&amp;F$1&amp;"'!C2:C1000")=$C6)
        ),
        5,
        FALSE
    )="",
    "",
    VLOOKUP(
        $A6,
        _xlfn._xlws.FILTER(
            INDIRECT("'"&amp;F$1&amp;"'!A2:G1000"), (INDIRECT("'"&amp;F$1&amp;"'!B2:B1000")=$B6) * (INDIRECT("'"&amp;F$1&amp;"'!C2:C1000")=$C6)
        ),7,
        FALSE
    )
)</f>
        <v/>
      </c>
      <c r="G6" s="52">
        <f t="array" ref="G6">IF(
    VLOOKUP(
        $A6,
        _xlfn._xlws.FILTER(
            INDIRECT("'"&amp;G$1&amp;"'!A2:G1000"), (INDIRECT("'"&amp;G$1&amp;"'!B2:B1000")=$B6) * (INDIRECT("'"&amp;G$1&amp;"'!C2:C1000")=$C6)
        ),
        5,
        FALSE
    )="",
    "",
    VLOOKUP(
        $A6,
        _xlfn._xlws.FILTER(
            INDIRECT("'"&amp;G$1&amp;"'!A2:G1000"), (INDIRECT("'"&amp;G$1&amp;"'!B2:B1000")=$B6) * (INDIRECT("'"&amp;G$1&amp;"'!C2:C1000")=$C6)
        ),7,
        FALSE
    )
)</f>
        <v/>
      </c>
      <c r="H6" s="52">
        <f t="array" ref="H6">IF(
    VLOOKUP(
        $A6,
        _xlfn._xlws.FILTER(
            INDIRECT("'"&amp;H$1&amp;"'!A2:G1000"), (INDIRECT("'"&amp;H$1&amp;"'!B2:B1000")=$B6) * (INDIRECT("'"&amp;H$1&amp;"'!C2:C1000")=$C6)
        ),
        5,
        FALSE
    )="",
    "",
    VLOOKUP(
        $A6,
        _xlfn._xlws.FILTER(
            INDIRECT("'"&amp;H$1&amp;"'!A2:G1000"), (INDIRECT("'"&amp;H$1&amp;"'!B2:B1000")=$B6) * (INDIRECT("'"&amp;H$1&amp;"'!C2:C1000")=$C6)
        ),7,
        FALSE
    )
)</f>
        <v/>
      </c>
      <c r="I6" s="52">
        <f t="array" ref="I6">IF(
    VLOOKUP(
        $A6,
        _xlfn._xlws.FILTER(
            INDIRECT("'"&amp;I$1&amp;"'!A2:G1000"), (INDIRECT("'"&amp;I$1&amp;"'!B2:B1000")=$B6) * (INDIRECT("'"&amp;I$1&amp;"'!C2:C1000")=$C6)
        ),
        5,
        FALSE
    )="",
    "",
    VLOOKUP(
        $A6,
        _xlfn._xlws.FILTER(
            INDIRECT("'"&amp;I$1&amp;"'!A2:G1000"), (INDIRECT("'"&amp;I$1&amp;"'!B2:B1000")=$B6) * (INDIRECT("'"&amp;I$1&amp;"'!C2:C1000")=$C6)
        ),7,
        FALSE
    )
)</f>
        <v/>
      </c>
      <c r="J6" s="52">
        <f t="array" ref="J6">IF(
    VLOOKUP(
        $A6,
        _xlfn._xlws.FILTER(
            INDIRECT("'"&amp;J$1&amp;"'!A2:G1000"), (INDIRECT("'"&amp;J$1&amp;"'!B2:B1000")=$B6) * (INDIRECT("'"&amp;J$1&amp;"'!C2:C1000")=$C6)
        ),
        5,
        FALSE
    )="",
    "",
    VLOOKUP(
        $A6,
        _xlfn._xlws.FILTER(
            INDIRECT("'"&amp;J$1&amp;"'!A2:G1000"), (INDIRECT("'"&amp;J$1&amp;"'!B2:B1000")=$B6) * (INDIRECT("'"&amp;J$1&amp;"'!C2:C1000")=$C6)
        ),7,
        FALSE
    )
)</f>
        <v/>
      </c>
      <c r="K6" s="52">
        <f t="array" ref="K6">IF(
    VLOOKUP(
        $A6,
        _xlfn._xlws.FILTER(
            INDIRECT("'"&amp;K$1&amp;"'!A2:G1000"), (INDIRECT("'"&amp;K$1&amp;"'!B2:B1000")=$B6) * (INDIRECT("'"&amp;K$1&amp;"'!C2:C1000")=$C6)
        ),
        5,
        FALSE
    )="",
    "",
    VLOOKUP(
        $A6,
        _xlfn._xlws.FILTER(
            INDIRECT("'"&amp;K$1&amp;"'!A2:G1000"), (INDIRECT("'"&amp;K$1&amp;"'!B2:B1000")=$B6) * (INDIRECT("'"&amp;K$1&amp;"'!C2:C1000")=$C6)
        ),7,
        FALSE
    )
)</f>
        <v/>
      </c>
      <c r="L6" s="52">
        <f t="array" ref="L6">IF(
    VLOOKUP(
        $A6,
        _xlfn._xlws.FILTER(
            INDIRECT("'"&amp;L$1&amp;"'!A2:G1000"), (INDIRECT("'"&amp;L$1&amp;"'!B2:B1000")=$B6) * (INDIRECT("'"&amp;L$1&amp;"'!C2:C1000")=$C6)
        ),
        5,
        FALSE
    )="",
    "",
    VLOOKUP(
        $A6,
        _xlfn._xlws.FILTER(
            INDIRECT("'"&amp;L$1&amp;"'!A2:G1000"), (INDIRECT("'"&amp;L$1&amp;"'!B2:B1000")=$B6) * (INDIRECT("'"&amp;L$1&amp;"'!C2:C1000")=$C6)
        ),7,
        FALSE
    )
)</f>
        <v/>
      </c>
      <c r="M6" s="52">
        <f t="array" ref="M6">IF(
    VLOOKUP(
        $A6,
        _xlfn._xlws.FILTER(
            INDIRECT("'"&amp;M$1&amp;"'!A2:G1000"), (INDIRECT("'"&amp;M$1&amp;"'!B2:B1000")=$B6) * (INDIRECT("'"&amp;M$1&amp;"'!C2:C1000")=$C6)
        ),
        5,
        FALSE
    )="",
    "",
    VLOOKUP(
        $A6,
        _xlfn._xlws.FILTER(
            INDIRECT("'"&amp;M$1&amp;"'!A2:G1000"), (INDIRECT("'"&amp;M$1&amp;"'!B2:B1000")=$B6) * (INDIRECT("'"&amp;M$1&amp;"'!C2:C1000")=$C6)
        ),7,
        FALSE
    )
)</f>
        <v/>
      </c>
      <c r="N6" s="52">
        <f t="array" ref="N6">IF(
    VLOOKUP(
        $A6,
        _xlfn._xlws.FILTER(
            INDIRECT("'"&amp;N$1&amp;"'!A2:G1000"), (INDIRECT("'"&amp;N$1&amp;"'!B2:B1000")=$B6) * (INDIRECT("'"&amp;N$1&amp;"'!C2:C1000")=$C6)
        ),
        5,
        FALSE
    )="",
    "",
    VLOOKUP(
        $A6,
        _xlfn._xlws.FILTER(
            INDIRECT("'"&amp;N$1&amp;"'!A2:G1000"), (INDIRECT("'"&amp;N$1&amp;"'!B2:B1000")=$B6) * (INDIRECT("'"&amp;N$1&amp;"'!C2:C1000")=$C6)
        ),7,
        FALSE
    )
)</f>
        <v/>
      </c>
      <c r="O6" s="52">
        <f t="array" ref="O6">IF(
    VLOOKUP(
        $A6,
        _xlfn._xlws.FILTER(
            INDIRECT("'"&amp;O$1&amp;"'!A2:G1000"), (INDIRECT("'"&amp;O$1&amp;"'!B2:B1000")=$B6) * (INDIRECT("'"&amp;O$1&amp;"'!C2:C1000")=$C6)
        ),
        5,
        FALSE
    )="",
    "",
    VLOOKUP(
        $A6,
        _xlfn._xlws.FILTER(
            INDIRECT("'"&amp;O$1&amp;"'!A2:G1000"), (INDIRECT("'"&amp;O$1&amp;"'!B2:B1000")=$B6) * (INDIRECT("'"&amp;O$1&amp;"'!C2:C1000")=$C6)
        ),7,
        FALSE
    )
)</f>
        <v/>
      </c>
    </row>
    <row r="7" ht="15.75" customHeight="1">
      <c r="A7" s="44" t="inlineStr">
        <is>
          <t>Coripa</t>
        </is>
      </c>
      <c r="B7" s="92" t="inlineStr">
        <is>
          <t>Nova Olimpia</t>
        </is>
      </c>
      <c r="C7" s="52" t="n">
        <v>1</v>
      </c>
      <c r="D7" s="52">
        <f t="array" ref="D7">IF(
    VLOOKUP(
        $A7,
        _xlfn._xlws.FILTER(
            INDIRECT("'"&amp;D$1&amp;"'!A2:G1000"), (INDIRECT("'"&amp;D$1&amp;"'!B2:B1000")=$B7) * (INDIRECT("'"&amp;D$1&amp;"'!C2:C1000")=$C7)
        ),
        5,
        FALSE
    )="",
    "",
    VLOOKUP(
        $A7,
        _xlfn._xlws.FILTER(
            INDIRECT("'"&amp;D$1&amp;"'!A2:G1000"), (INDIRECT("'"&amp;D$1&amp;"'!B2:B1000")=$B7) * (INDIRECT("'"&amp;D$1&amp;"'!C2:C1000")=$C7)
        ),7,
        FALSE
    )
)</f>
        <v/>
      </c>
      <c r="E7" s="52">
        <f t="array" ref="E7">IF(
    VLOOKUP(
        $A7,
        _xlfn._xlws.FILTER(
            INDIRECT("'"&amp;E$1&amp;"'!A2:G1000"), (INDIRECT("'"&amp;E$1&amp;"'!B2:B1000")=$B7) * (INDIRECT("'"&amp;E$1&amp;"'!C2:C1000")=$C7)
        ),
        5,
        FALSE
    )="",
    "",
    VLOOKUP(
        $A7,
        _xlfn._xlws.FILTER(
            INDIRECT("'"&amp;E$1&amp;"'!A2:G1000"), (INDIRECT("'"&amp;E$1&amp;"'!B2:B1000")=$B7) * (INDIRECT("'"&amp;E$1&amp;"'!C2:C1000")=$C7)
        ),7,
        FALSE
    )
)</f>
        <v/>
      </c>
      <c r="F7" s="52">
        <f t="array" ref="F7">IF(
    VLOOKUP(
        $A7,
        _xlfn._xlws.FILTER(
            INDIRECT("'"&amp;F$1&amp;"'!A2:G1000"), (INDIRECT("'"&amp;F$1&amp;"'!B2:B1000")=$B7) * (INDIRECT("'"&amp;F$1&amp;"'!C2:C1000")=$C7)
        ),
        5,
        FALSE
    )="",
    "",
    VLOOKUP(
        $A7,
        _xlfn._xlws.FILTER(
            INDIRECT("'"&amp;F$1&amp;"'!A2:G1000"), (INDIRECT("'"&amp;F$1&amp;"'!B2:B1000")=$B7) * (INDIRECT("'"&amp;F$1&amp;"'!C2:C1000")=$C7)
        ),7,
        FALSE
    )
)</f>
        <v/>
      </c>
      <c r="G7" s="52">
        <f t="array" ref="G7">IF(
    VLOOKUP(
        $A7,
        _xlfn._xlws.FILTER(
            INDIRECT("'"&amp;G$1&amp;"'!A2:G1000"), (INDIRECT("'"&amp;G$1&amp;"'!B2:B1000")=$B7) * (INDIRECT("'"&amp;G$1&amp;"'!C2:C1000")=$C7)
        ),
        5,
        FALSE
    )="",
    "",
    VLOOKUP(
        $A7,
        _xlfn._xlws.FILTER(
            INDIRECT("'"&amp;G$1&amp;"'!A2:G1000"), (INDIRECT("'"&amp;G$1&amp;"'!B2:B1000")=$B7) * (INDIRECT("'"&amp;G$1&amp;"'!C2:C1000")=$C7)
        ),7,
        FALSE
    )
)</f>
        <v/>
      </c>
      <c r="H7" s="52">
        <f t="array" ref="H7">IF(
    VLOOKUP(
        $A7,
        _xlfn._xlws.FILTER(
            INDIRECT("'"&amp;H$1&amp;"'!A2:G1000"), (INDIRECT("'"&amp;H$1&amp;"'!B2:B1000")=$B7) * (INDIRECT("'"&amp;H$1&amp;"'!C2:C1000")=$C7)
        ),
        5,
        FALSE
    )="",
    "",
    VLOOKUP(
        $A7,
        _xlfn._xlws.FILTER(
            INDIRECT("'"&amp;H$1&amp;"'!A2:G1000"), (INDIRECT("'"&amp;H$1&amp;"'!B2:B1000")=$B7) * (INDIRECT("'"&amp;H$1&amp;"'!C2:C1000")=$C7)
        ),7,
        FALSE
    )
)</f>
        <v/>
      </c>
      <c r="I7" s="52">
        <f t="array" ref="I7">IF(
    VLOOKUP(
        $A7,
        _xlfn._xlws.FILTER(
            INDIRECT("'"&amp;I$1&amp;"'!A2:G1000"), (INDIRECT("'"&amp;I$1&amp;"'!B2:B1000")=$B7) * (INDIRECT("'"&amp;I$1&amp;"'!C2:C1000")=$C7)
        ),
        5,
        FALSE
    )="",
    "",
    VLOOKUP(
        $A7,
        _xlfn._xlws.FILTER(
            INDIRECT("'"&amp;I$1&amp;"'!A2:G1000"), (INDIRECT("'"&amp;I$1&amp;"'!B2:B1000")=$B7) * (INDIRECT("'"&amp;I$1&amp;"'!C2:C1000")=$C7)
        ),7,
        FALSE
    )
)</f>
        <v/>
      </c>
      <c r="J7" s="52">
        <f t="array" ref="J7">IF(
    VLOOKUP(
        $A7,
        _xlfn._xlws.FILTER(
            INDIRECT("'"&amp;J$1&amp;"'!A2:G1000"), (INDIRECT("'"&amp;J$1&amp;"'!B2:B1000")=$B7) * (INDIRECT("'"&amp;J$1&amp;"'!C2:C1000")=$C7)
        ),
        5,
        FALSE
    )="",
    "",
    VLOOKUP(
        $A7,
        _xlfn._xlws.FILTER(
            INDIRECT("'"&amp;J$1&amp;"'!A2:G1000"), (INDIRECT("'"&amp;J$1&amp;"'!B2:B1000")=$B7) * (INDIRECT("'"&amp;J$1&amp;"'!C2:C1000")=$C7)
        ),7,
        FALSE
    )
)</f>
        <v/>
      </c>
      <c r="K7" s="52">
        <f t="array" ref="K7">IF(
    VLOOKUP(
        $A7,
        _xlfn._xlws.FILTER(
            INDIRECT("'"&amp;K$1&amp;"'!A2:G1000"), (INDIRECT("'"&amp;K$1&amp;"'!B2:B1000")=$B7) * (INDIRECT("'"&amp;K$1&amp;"'!C2:C1000")=$C7)
        ),
        5,
        FALSE
    )="",
    "",
    VLOOKUP(
        $A7,
        _xlfn._xlws.FILTER(
            INDIRECT("'"&amp;K$1&amp;"'!A2:G1000"), (INDIRECT("'"&amp;K$1&amp;"'!B2:B1000")=$B7) * (INDIRECT("'"&amp;K$1&amp;"'!C2:C1000")=$C7)
        ),7,
        FALSE
    )
)</f>
        <v/>
      </c>
      <c r="L7" s="52">
        <f t="array" ref="L7">IF(
    VLOOKUP(
        $A7,
        _xlfn._xlws.FILTER(
            INDIRECT("'"&amp;L$1&amp;"'!A2:G1000"), (INDIRECT("'"&amp;L$1&amp;"'!B2:B1000")=$B7) * (INDIRECT("'"&amp;L$1&amp;"'!C2:C1000")=$C7)
        ),
        5,
        FALSE
    )="",
    "",
    VLOOKUP(
        $A7,
        _xlfn._xlws.FILTER(
            INDIRECT("'"&amp;L$1&amp;"'!A2:G1000"), (INDIRECT("'"&amp;L$1&amp;"'!B2:B1000")=$B7) * (INDIRECT("'"&amp;L$1&amp;"'!C2:C1000")=$C7)
        ),7,
        FALSE
    )
)</f>
        <v/>
      </c>
      <c r="M7" s="52">
        <f t="array" ref="M7">IF(
    VLOOKUP(
        $A7,
        _xlfn._xlws.FILTER(
            INDIRECT("'"&amp;M$1&amp;"'!A2:G1000"), (INDIRECT("'"&amp;M$1&amp;"'!B2:B1000")=$B7) * (INDIRECT("'"&amp;M$1&amp;"'!C2:C1000")=$C7)
        ),
        5,
        FALSE
    )="",
    "",
    VLOOKUP(
        $A7,
        _xlfn._xlws.FILTER(
            INDIRECT("'"&amp;M$1&amp;"'!A2:G1000"), (INDIRECT("'"&amp;M$1&amp;"'!B2:B1000")=$B7) * (INDIRECT("'"&amp;M$1&amp;"'!C2:C1000")=$C7)
        ),7,
        FALSE
    )
)</f>
        <v/>
      </c>
      <c r="N7" s="52">
        <f t="array" ref="N7">IF(
    VLOOKUP(
        $A7,
        _xlfn._xlws.FILTER(
            INDIRECT("'"&amp;N$1&amp;"'!A2:G1000"), (INDIRECT("'"&amp;N$1&amp;"'!B2:B1000")=$B7) * (INDIRECT("'"&amp;N$1&amp;"'!C2:C1000")=$C7)
        ),
        5,
        FALSE
    )="",
    "",
    VLOOKUP(
        $A7,
        _xlfn._xlws.FILTER(
            INDIRECT("'"&amp;N$1&amp;"'!A2:G1000"), (INDIRECT("'"&amp;N$1&amp;"'!B2:B1000")=$B7) * (INDIRECT("'"&amp;N$1&amp;"'!C2:C1000")=$C7)
        ),7,
        FALSE
    )
)</f>
        <v/>
      </c>
      <c r="O7" s="52">
        <f t="array" ref="O7">IF(
    VLOOKUP(
        $A7,
        _xlfn._xlws.FILTER(
            INDIRECT("'"&amp;O$1&amp;"'!A2:G1000"), (INDIRECT("'"&amp;O$1&amp;"'!B2:B1000")=$B7) * (INDIRECT("'"&amp;O$1&amp;"'!C2:C1000")=$C7)
        ),
        5,
        FALSE
    )="",
    "",
    VLOOKUP(
        $A7,
        _xlfn._xlws.FILTER(
            INDIRECT("'"&amp;O$1&amp;"'!A2:G1000"), (INDIRECT("'"&amp;O$1&amp;"'!B2:B1000")=$B7) * (INDIRECT("'"&amp;O$1&amp;"'!C2:C1000")=$C7)
        ),7,
        FALSE
    )
)</f>
        <v/>
      </c>
    </row>
    <row r="8" ht="15.75" customHeight="1">
      <c r="A8" s="44" t="inlineStr">
        <is>
          <t>Coripa</t>
        </is>
      </c>
      <c r="B8" s="92" t="inlineStr">
        <is>
          <t>São Jorge do Patrocinio</t>
        </is>
      </c>
      <c r="C8" s="52" t="n">
        <v>1</v>
      </c>
      <c r="D8" s="52">
        <f t="array" ref="D8">IF(
    VLOOKUP(
        $A8,
        _xlfn._xlws.FILTER(
            INDIRECT("'"&amp;D$1&amp;"'!A2:G1000"), (INDIRECT("'"&amp;D$1&amp;"'!B2:B1000")=$B8) * (INDIRECT("'"&amp;D$1&amp;"'!C2:C1000")=$C8)
        ),
        5,
        FALSE
    )="",
    "",
    VLOOKUP(
        $A8,
        _xlfn._xlws.FILTER(
            INDIRECT("'"&amp;D$1&amp;"'!A2:G1000"), (INDIRECT("'"&amp;D$1&amp;"'!B2:B1000")=$B8) * (INDIRECT("'"&amp;D$1&amp;"'!C2:C1000")=$C8)
        ),7,
        FALSE
    )
)</f>
        <v/>
      </c>
      <c r="E8" s="52">
        <f t="array" ref="E8">IF(
    VLOOKUP(
        $A8,
        _xlfn._xlws.FILTER(
            INDIRECT("'"&amp;E$1&amp;"'!A2:G1000"), (INDIRECT("'"&amp;E$1&amp;"'!B2:B1000")=$B8) * (INDIRECT("'"&amp;E$1&amp;"'!C2:C1000")=$C8)
        ),
        5,
        FALSE
    )="",
    "",
    VLOOKUP(
        $A8,
        _xlfn._xlws.FILTER(
            INDIRECT("'"&amp;E$1&amp;"'!A2:G1000"), (INDIRECT("'"&amp;E$1&amp;"'!B2:B1000")=$B8) * (INDIRECT("'"&amp;E$1&amp;"'!C2:C1000")=$C8)
        ),7,
        FALSE
    )
)</f>
        <v/>
      </c>
      <c r="F8" s="52">
        <f t="array" ref="F8">IF(
    VLOOKUP(
        $A8,
        _xlfn._xlws.FILTER(
            INDIRECT("'"&amp;F$1&amp;"'!A2:G1000"), (INDIRECT("'"&amp;F$1&amp;"'!B2:B1000")=$B8) * (INDIRECT("'"&amp;F$1&amp;"'!C2:C1000")=$C8)
        ),
        5,
        FALSE
    )="",
    "",
    VLOOKUP(
        $A8,
        _xlfn._xlws.FILTER(
            INDIRECT("'"&amp;F$1&amp;"'!A2:G1000"), (INDIRECT("'"&amp;F$1&amp;"'!B2:B1000")=$B8) * (INDIRECT("'"&amp;F$1&amp;"'!C2:C1000")=$C8)
        ),7,
        FALSE
    )
)</f>
        <v/>
      </c>
      <c r="G8" s="52">
        <f t="array" ref="G8">IF(
    VLOOKUP(
        $A8,
        _xlfn._xlws.FILTER(
            INDIRECT("'"&amp;G$1&amp;"'!A2:G1000"), (INDIRECT("'"&amp;G$1&amp;"'!B2:B1000")=$B8) * (INDIRECT("'"&amp;G$1&amp;"'!C2:C1000")=$C8)
        ),
        5,
        FALSE
    )="",
    "",
    VLOOKUP(
        $A8,
        _xlfn._xlws.FILTER(
            INDIRECT("'"&amp;G$1&amp;"'!A2:G1000"), (INDIRECT("'"&amp;G$1&amp;"'!B2:B1000")=$B8) * (INDIRECT("'"&amp;G$1&amp;"'!C2:C1000")=$C8)
        ),7,
        FALSE
    )
)</f>
        <v/>
      </c>
      <c r="H8" s="52">
        <f t="array" ref="H8">IF(
    VLOOKUP(
        $A8,
        _xlfn._xlws.FILTER(
            INDIRECT("'"&amp;H$1&amp;"'!A2:G1000"), (INDIRECT("'"&amp;H$1&amp;"'!B2:B1000")=$B8) * (INDIRECT("'"&amp;H$1&amp;"'!C2:C1000")=$C8)
        ),
        5,
        FALSE
    )="",
    "",
    VLOOKUP(
        $A8,
        _xlfn._xlws.FILTER(
            INDIRECT("'"&amp;H$1&amp;"'!A2:G1000"), (INDIRECT("'"&amp;H$1&amp;"'!B2:B1000")=$B8) * (INDIRECT("'"&amp;H$1&amp;"'!C2:C1000")=$C8)
        ),7,
        FALSE
    )
)</f>
        <v/>
      </c>
      <c r="I8" s="52">
        <f t="array" ref="I8">IF(
    VLOOKUP(
        $A8,
        _xlfn._xlws.FILTER(
            INDIRECT("'"&amp;I$1&amp;"'!A2:G1000"), (INDIRECT("'"&amp;I$1&amp;"'!B2:B1000")=$B8) * (INDIRECT("'"&amp;I$1&amp;"'!C2:C1000")=$C8)
        ),
        5,
        FALSE
    )="",
    "",
    VLOOKUP(
        $A8,
        _xlfn._xlws.FILTER(
            INDIRECT("'"&amp;I$1&amp;"'!A2:G1000"), (INDIRECT("'"&amp;I$1&amp;"'!B2:B1000")=$B8) * (INDIRECT("'"&amp;I$1&amp;"'!C2:C1000")=$C8)
        ),7,
        FALSE
    )
)</f>
        <v/>
      </c>
      <c r="J8" s="52">
        <f t="array" ref="J8">IF(
    VLOOKUP(
        $A8,
        _xlfn._xlws.FILTER(
            INDIRECT("'"&amp;J$1&amp;"'!A2:G1000"), (INDIRECT("'"&amp;J$1&amp;"'!B2:B1000")=$B8) * (INDIRECT("'"&amp;J$1&amp;"'!C2:C1000")=$C8)
        ),
        5,
        FALSE
    )="",
    "",
    VLOOKUP(
        $A8,
        _xlfn._xlws.FILTER(
            INDIRECT("'"&amp;J$1&amp;"'!A2:G1000"), (INDIRECT("'"&amp;J$1&amp;"'!B2:B1000")=$B8) * (INDIRECT("'"&amp;J$1&amp;"'!C2:C1000")=$C8)
        ),7,
        FALSE
    )
)</f>
        <v/>
      </c>
      <c r="K8" s="52">
        <f t="array" ref="K8">IF(
    VLOOKUP(
        $A8,
        _xlfn._xlws.FILTER(
            INDIRECT("'"&amp;K$1&amp;"'!A2:G1000"), (INDIRECT("'"&amp;K$1&amp;"'!B2:B1000")=$B8) * (INDIRECT("'"&amp;K$1&amp;"'!C2:C1000")=$C8)
        ),
        5,
        FALSE
    )="",
    "",
    VLOOKUP(
        $A8,
        _xlfn._xlws.FILTER(
            INDIRECT("'"&amp;K$1&amp;"'!A2:G1000"), (INDIRECT("'"&amp;K$1&amp;"'!B2:B1000")=$B8) * (INDIRECT("'"&amp;K$1&amp;"'!C2:C1000")=$C8)
        ),7,
        FALSE
    )
)</f>
        <v/>
      </c>
      <c r="L8" s="52">
        <f t="array" ref="L8">IF(
    VLOOKUP(
        $A8,
        _xlfn._xlws.FILTER(
            INDIRECT("'"&amp;L$1&amp;"'!A2:G1000"), (INDIRECT("'"&amp;L$1&amp;"'!B2:B1000")=$B8) * (INDIRECT("'"&amp;L$1&amp;"'!C2:C1000")=$C8)
        ),
        5,
        FALSE
    )="",
    "",
    VLOOKUP(
        $A8,
        _xlfn._xlws.FILTER(
            INDIRECT("'"&amp;L$1&amp;"'!A2:G1000"), (INDIRECT("'"&amp;L$1&amp;"'!B2:B1000")=$B8) * (INDIRECT("'"&amp;L$1&amp;"'!C2:C1000")=$C8)
        ),7,
        FALSE
    )
)</f>
        <v/>
      </c>
      <c r="M8" s="52">
        <f t="array" ref="M8">IF(
    VLOOKUP(
        $A8,
        _xlfn._xlws.FILTER(
            INDIRECT("'"&amp;M$1&amp;"'!A2:G1000"), (INDIRECT("'"&amp;M$1&amp;"'!B2:B1000")=$B8) * (INDIRECT("'"&amp;M$1&amp;"'!C2:C1000")=$C8)
        ),
        5,
        FALSE
    )="",
    "",
    VLOOKUP(
        $A8,
        _xlfn._xlws.FILTER(
            INDIRECT("'"&amp;M$1&amp;"'!A2:G1000"), (INDIRECT("'"&amp;M$1&amp;"'!B2:B1000")=$B8) * (INDIRECT("'"&amp;M$1&amp;"'!C2:C1000")=$C8)
        ),7,
        FALSE
    )
)</f>
        <v/>
      </c>
      <c r="N8" s="52">
        <f t="array" ref="N8">IF(
    VLOOKUP(
        $A8,
        _xlfn._xlws.FILTER(
            INDIRECT("'"&amp;N$1&amp;"'!A2:G1000"), (INDIRECT("'"&amp;N$1&amp;"'!B2:B1000")=$B8) * (INDIRECT("'"&amp;N$1&amp;"'!C2:C1000")=$C8)
        ),
        5,
        FALSE
    )="",
    "",
    VLOOKUP(
        $A8,
        _xlfn._xlws.FILTER(
            INDIRECT("'"&amp;N$1&amp;"'!A2:G1000"), (INDIRECT("'"&amp;N$1&amp;"'!B2:B1000")=$B8) * (INDIRECT("'"&amp;N$1&amp;"'!C2:C1000")=$C8)
        ),7,
        FALSE
    )
)</f>
        <v/>
      </c>
      <c r="O8" s="52">
        <f t="array" ref="O8">IF(
    VLOOKUP(
        $A8,
        _xlfn._xlws.FILTER(
            INDIRECT("'"&amp;O$1&amp;"'!A2:G1000"), (INDIRECT("'"&amp;O$1&amp;"'!B2:B1000")=$B8) * (INDIRECT("'"&amp;O$1&amp;"'!C2:C1000")=$C8)
        ),
        5,
        FALSE
    )="",
    "",
    VLOOKUP(
        $A8,
        _xlfn._xlws.FILTER(
            INDIRECT("'"&amp;O$1&amp;"'!A2:G1000"), (INDIRECT("'"&amp;O$1&amp;"'!B2:B1000")=$B8) * (INDIRECT("'"&amp;O$1&amp;"'!C2:C1000")=$C8)
        ),7,
        FALSE
    )
)</f>
        <v/>
      </c>
    </row>
    <row r="9" ht="15.75" customHeight="1">
      <c r="A9" s="44" t="inlineStr">
        <is>
          <t>Coripa</t>
        </is>
      </c>
      <c r="B9" s="92" t="inlineStr">
        <is>
          <t>Tapira</t>
        </is>
      </c>
      <c r="C9" s="52" t="n">
        <v>1</v>
      </c>
      <c r="D9" s="52">
        <f t="array" ref="D9">IF(
    VLOOKUP(
        $A9,
        _xlfn._xlws.FILTER(
            INDIRECT("'"&amp;D$1&amp;"'!A2:G1000"), (INDIRECT("'"&amp;D$1&amp;"'!B2:B1000")=$B9) * (INDIRECT("'"&amp;D$1&amp;"'!C2:C1000")=$C9)
        ),
        5,
        FALSE
    )="",
    "",
    VLOOKUP(
        $A9,
        _xlfn._xlws.FILTER(
            INDIRECT("'"&amp;D$1&amp;"'!A2:G1000"), (INDIRECT("'"&amp;D$1&amp;"'!B2:B1000")=$B9) * (INDIRECT("'"&amp;D$1&amp;"'!C2:C1000")=$C9)
        ),7,
        FALSE
    )
)</f>
        <v/>
      </c>
      <c r="E9" s="52">
        <f t="array" ref="E9">IF(
    VLOOKUP(
        $A9,
        _xlfn._xlws.FILTER(
            INDIRECT("'"&amp;E$1&amp;"'!A2:G1000"), (INDIRECT("'"&amp;E$1&amp;"'!B2:B1000")=$B9) * (INDIRECT("'"&amp;E$1&amp;"'!C2:C1000")=$C9)
        ),
        5,
        FALSE
    )="",
    "",
    VLOOKUP(
        $A9,
        _xlfn._xlws.FILTER(
            INDIRECT("'"&amp;E$1&amp;"'!A2:G1000"), (INDIRECT("'"&amp;E$1&amp;"'!B2:B1000")=$B9) * (INDIRECT("'"&amp;E$1&amp;"'!C2:C1000")=$C9)
        ),7,
        FALSE
    )
)</f>
        <v/>
      </c>
      <c r="F9" s="52">
        <f t="array" ref="F9">IF(
    VLOOKUP(
        $A9,
        _xlfn._xlws.FILTER(
            INDIRECT("'"&amp;F$1&amp;"'!A2:G1000"), (INDIRECT("'"&amp;F$1&amp;"'!B2:B1000")=$B9) * (INDIRECT("'"&amp;F$1&amp;"'!C2:C1000")=$C9)
        ),
        5,
        FALSE
    )="",
    "",
    VLOOKUP(
        $A9,
        _xlfn._xlws.FILTER(
            INDIRECT("'"&amp;F$1&amp;"'!A2:G1000"), (INDIRECT("'"&amp;F$1&amp;"'!B2:B1000")=$B9) * (INDIRECT("'"&amp;F$1&amp;"'!C2:C1000")=$C9)
        ),7,
        FALSE
    )
)</f>
        <v/>
      </c>
      <c r="G9" s="52">
        <f t="array" ref="G9">IF(
    VLOOKUP(
        $A9,
        _xlfn._xlws.FILTER(
            INDIRECT("'"&amp;G$1&amp;"'!A2:G1000"), (INDIRECT("'"&amp;G$1&amp;"'!B2:B1000")=$B9) * (INDIRECT("'"&amp;G$1&amp;"'!C2:C1000")=$C9)
        ),
        5,
        FALSE
    )="",
    "",
    VLOOKUP(
        $A9,
        _xlfn._xlws.FILTER(
            INDIRECT("'"&amp;G$1&amp;"'!A2:G1000"), (INDIRECT("'"&amp;G$1&amp;"'!B2:B1000")=$B9) * (INDIRECT("'"&amp;G$1&amp;"'!C2:C1000")=$C9)
        ),7,
        FALSE
    )
)</f>
        <v/>
      </c>
      <c r="H9" s="52">
        <f t="array" ref="H9">IF(
    VLOOKUP(
        $A9,
        _xlfn._xlws.FILTER(
            INDIRECT("'"&amp;H$1&amp;"'!A2:G1000"), (INDIRECT("'"&amp;H$1&amp;"'!B2:B1000")=$B9) * (INDIRECT("'"&amp;H$1&amp;"'!C2:C1000")=$C9)
        ),
        5,
        FALSE
    )="",
    "",
    VLOOKUP(
        $A9,
        _xlfn._xlws.FILTER(
            INDIRECT("'"&amp;H$1&amp;"'!A2:G1000"), (INDIRECT("'"&amp;H$1&amp;"'!B2:B1000")=$B9) * (INDIRECT("'"&amp;H$1&amp;"'!C2:C1000")=$C9)
        ),7,
        FALSE
    )
)</f>
        <v/>
      </c>
      <c r="I9" s="52">
        <f t="array" ref="I9">IF(
    VLOOKUP(
        $A9,
        _xlfn._xlws.FILTER(
            INDIRECT("'"&amp;I$1&amp;"'!A2:G1000"), (INDIRECT("'"&amp;I$1&amp;"'!B2:B1000")=$B9) * (INDIRECT("'"&amp;I$1&amp;"'!C2:C1000")=$C9)
        ),
        5,
        FALSE
    )="",
    "",
    VLOOKUP(
        $A9,
        _xlfn._xlws.FILTER(
            INDIRECT("'"&amp;I$1&amp;"'!A2:G1000"), (INDIRECT("'"&amp;I$1&amp;"'!B2:B1000")=$B9) * (INDIRECT("'"&amp;I$1&amp;"'!C2:C1000")=$C9)
        ),7,
        FALSE
    )
)</f>
        <v/>
      </c>
      <c r="J9" s="52">
        <f t="array" ref="J9">IF(
    VLOOKUP(
        $A9,
        _xlfn._xlws.FILTER(
            INDIRECT("'"&amp;J$1&amp;"'!A2:G1000"), (INDIRECT("'"&amp;J$1&amp;"'!B2:B1000")=$B9) * (INDIRECT("'"&amp;J$1&amp;"'!C2:C1000")=$C9)
        ),
        5,
        FALSE
    )="",
    "",
    VLOOKUP(
        $A9,
        _xlfn._xlws.FILTER(
            INDIRECT("'"&amp;J$1&amp;"'!A2:G1000"), (INDIRECT("'"&amp;J$1&amp;"'!B2:B1000")=$B9) * (INDIRECT("'"&amp;J$1&amp;"'!C2:C1000")=$C9)
        ),7,
        FALSE
    )
)</f>
        <v/>
      </c>
      <c r="K9" s="52">
        <f t="array" ref="K9">IF(
    VLOOKUP(
        $A9,
        _xlfn._xlws.FILTER(
            INDIRECT("'"&amp;K$1&amp;"'!A2:G1000"), (INDIRECT("'"&amp;K$1&amp;"'!B2:B1000")=$B9) * (INDIRECT("'"&amp;K$1&amp;"'!C2:C1000")=$C9)
        ),
        5,
        FALSE
    )="",
    "",
    VLOOKUP(
        $A9,
        _xlfn._xlws.FILTER(
            INDIRECT("'"&amp;K$1&amp;"'!A2:G1000"), (INDIRECT("'"&amp;K$1&amp;"'!B2:B1000")=$B9) * (INDIRECT("'"&amp;K$1&amp;"'!C2:C1000")=$C9)
        ),7,
        FALSE
    )
)</f>
        <v/>
      </c>
      <c r="L9" s="52">
        <f t="array" ref="L9">IF(
    VLOOKUP(
        $A9,
        _xlfn._xlws.FILTER(
            INDIRECT("'"&amp;L$1&amp;"'!A2:G1000"), (INDIRECT("'"&amp;L$1&amp;"'!B2:B1000")=$B9) * (INDIRECT("'"&amp;L$1&amp;"'!C2:C1000")=$C9)
        ),
        5,
        FALSE
    )="",
    "",
    VLOOKUP(
        $A9,
        _xlfn._xlws.FILTER(
            INDIRECT("'"&amp;L$1&amp;"'!A2:G1000"), (INDIRECT("'"&amp;L$1&amp;"'!B2:B1000")=$B9) * (INDIRECT("'"&amp;L$1&amp;"'!C2:C1000")=$C9)
        ),7,
        FALSE
    )
)</f>
        <v/>
      </c>
      <c r="M9" s="52">
        <f t="array" ref="M9">IF(
    VLOOKUP(
        $A9,
        _xlfn._xlws.FILTER(
            INDIRECT("'"&amp;M$1&amp;"'!A2:G1000"), (INDIRECT("'"&amp;M$1&amp;"'!B2:B1000")=$B9) * (INDIRECT("'"&amp;M$1&amp;"'!C2:C1000")=$C9)
        ),
        5,
        FALSE
    )="",
    "",
    VLOOKUP(
        $A9,
        _xlfn._xlws.FILTER(
            INDIRECT("'"&amp;M$1&amp;"'!A2:G1000"), (INDIRECT("'"&amp;M$1&amp;"'!B2:B1000")=$B9) * (INDIRECT("'"&amp;M$1&amp;"'!C2:C1000")=$C9)
        ),7,
        FALSE
    )
)</f>
        <v/>
      </c>
      <c r="N9" s="52">
        <f t="array" ref="N9">IF(
    VLOOKUP(
        $A9,
        _xlfn._xlws.FILTER(
            INDIRECT("'"&amp;N$1&amp;"'!A2:G1000"), (INDIRECT("'"&amp;N$1&amp;"'!B2:B1000")=$B9) * (INDIRECT("'"&amp;N$1&amp;"'!C2:C1000")=$C9)
        ),
        5,
        FALSE
    )="",
    "",
    VLOOKUP(
        $A9,
        _xlfn._xlws.FILTER(
            INDIRECT("'"&amp;N$1&amp;"'!A2:G1000"), (INDIRECT("'"&amp;N$1&amp;"'!B2:B1000")=$B9) * (INDIRECT("'"&amp;N$1&amp;"'!C2:C1000")=$C9)
        ),7,
        FALSE
    )
)</f>
        <v/>
      </c>
      <c r="O9" s="52">
        <f t="array" ref="O9">IF(
    VLOOKUP(
        $A9,
        _xlfn._xlws.FILTER(
            INDIRECT("'"&amp;O$1&amp;"'!A2:G1000"), (INDIRECT("'"&amp;O$1&amp;"'!B2:B1000")=$B9) * (INDIRECT("'"&amp;O$1&amp;"'!C2:C1000")=$C9)
        ),
        5,
        FALSE
    )="",
    "",
    VLOOKUP(
        $A9,
        _xlfn._xlws.FILTER(
            INDIRECT("'"&amp;O$1&amp;"'!A2:G1000"), (INDIRECT("'"&amp;O$1&amp;"'!B2:B1000")=$B9) * (INDIRECT("'"&amp;O$1&amp;"'!C2:C1000")=$C9)
        ),7,
        FALSE
    )
)</f>
        <v/>
      </c>
    </row>
    <row r="10" ht="15.75" customHeight="1">
      <c r="B10" s="94" t="n"/>
    </row>
    <row r="11" ht="15.75" customHeight="1">
      <c r="A11" s="89" t="inlineStr">
        <is>
          <t>Regional</t>
        </is>
      </c>
      <c r="B11" s="89" t="inlineStr">
        <is>
          <t>Municípios</t>
        </is>
      </c>
      <c r="C11" s="89" t="inlineStr">
        <is>
          <t>UVR</t>
        </is>
      </c>
      <c r="D11" s="97" t="inlineStr">
        <is>
          <t>01.25</t>
        </is>
      </c>
      <c r="E11" s="97" t="inlineStr">
        <is>
          <t>02.25</t>
        </is>
      </c>
      <c r="F11" s="97" t="inlineStr">
        <is>
          <t>03.25</t>
        </is>
      </c>
      <c r="G11" s="97" t="inlineStr">
        <is>
          <t>04.25</t>
        </is>
      </c>
      <c r="H11" s="97" t="inlineStr">
        <is>
          <t>05.25</t>
        </is>
      </c>
      <c r="I11" s="97" t="inlineStr">
        <is>
          <t>06.25</t>
        </is>
      </c>
      <c r="J11" s="97" t="inlineStr">
        <is>
          <t>07.25</t>
        </is>
      </c>
      <c r="K11" s="97" t="inlineStr">
        <is>
          <t>08.25</t>
        </is>
      </c>
      <c r="L11" s="97" t="inlineStr">
        <is>
          <t>09.25</t>
        </is>
      </c>
      <c r="M11" s="97" t="inlineStr">
        <is>
          <t>10.25</t>
        </is>
      </c>
      <c r="N11" s="97" t="inlineStr">
        <is>
          <t>11.25</t>
        </is>
      </c>
      <c r="O11" s="97" t="inlineStr">
        <is>
          <t>12.25</t>
        </is>
      </c>
    </row>
    <row r="12" ht="15.75" customHeight="1">
      <c r="A12" s="51" t="inlineStr">
        <is>
          <t>Comafen</t>
        </is>
      </c>
      <c r="B12" s="92" t="inlineStr">
        <is>
          <t>Diamante do Norte</t>
        </is>
      </c>
      <c r="C12" s="95" t="n">
        <v>1</v>
      </c>
      <c r="D12" s="52">
        <f t="array" ref="D12">IF(
    VLOOKUP(
        $A12,
        _xlfn._xlws.FILTER(
            INDIRECT("'"&amp;D$1&amp;"'!A2:G1000"), (INDIRECT("'"&amp;D$1&amp;"'!B2:B1000")=$B12) * (INDIRECT("'"&amp;D$1&amp;"'!C2:C1000")=$C12)
        ),
        5,
        FALSE
    )="",
    "",
    VLOOKUP(
        $A12,
        _xlfn._xlws.FILTER(
            INDIRECT("'"&amp;D$1&amp;"'!A2:G1000"), (INDIRECT("'"&amp;D$1&amp;"'!B2:B1000")=$B12) * (INDIRECT("'"&amp;D$1&amp;"'!C2:C1000")=$C12)
        ),7,
        FALSE
    )
)</f>
        <v/>
      </c>
      <c r="E12" s="52">
        <f t="array" ref="E12">IF(
    VLOOKUP(
        $A12,
        _xlfn._xlws.FILTER(
            INDIRECT("'"&amp;E$1&amp;"'!A2:G1000"), (INDIRECT("'"&amp;E$1&amp;"'!B2:B1000")=$B12) * (INDIRECT("'"&amp;E$1&amp;"'!C2:C1000")=$C12)
        ),
        5,
        FALSE
    )="",
    "",
    VLOOKUP(
        $A12,
        _xlfn._xlws.FILTER(
            INDIRECT("'"&amp;E$1&amp;"'!A2:G1000"), (INDIRECT("'"&amp;E$1&amp;"'!B2:B1000")=$B12) * (INDIRECT("'"&amp;E$1&amp;"'!C2:C1000")=$C12)
        ),7,
        FALSE
    )
)</f>
        <v/>
      </c>
      <c r="F12" s="52">
        <f t="array" ref="F12">IF(
    VLOOKUP(
        $A12,
        _xlfn._xlws.FILTER(
            INDIRECT("'"&amp;F$1&amp;"'!A2:G1000"), (INDIRECT("'"&amp;F$1&amp;"'!B2:B1000")=$B12) * (INDIRECT("'"&amp;F$1&amp;"'!C2:C1000")=$C12)
        ),
        5,
        FALSE
    )="",
    "",
    VLOOKUP(
        $A12,
        _xlfn._xlws.FILTER(
            INDIRECT("'"&amp;F$1&amp;"'!A2:G1000"), (INDIRECT("'"&amp;F$1&amp;"'!B2:B1000")=$B12) * (INDIRECT("'"&amp;F$1&amp;"'!C2:C1000")=$C12)
        ),7,
        FALSE
    )
)</f>
        <v/>
      </c>
      <c r="G12" s="52">
        <f t="array" ref="G12">IF(
    VLOOKUP(
        $A12,
        _xlfn._xlws.FILTER(
            INDIRECT("'"&amp;G$1&amp;"'!A2:G1000"), (INDIRECT("'"&amp;G$1&amp;"'!B2:B1000")=$B12) * (INDIRECT("'"&amp;G$1&amp;"'!C2:C1000")=$C12)
        ),
        5,
        FALSE
    )="",
    "",
    VLOOKUP(
        $A12,
        _xlfn._xlws.FILTER(
            INDIRECT("'"&amp;G$1&amp;"'!A2:G1000"), (INDIRECT("'"&amp;G$1&amp;"'!B2:B1000")=$B12) * (INDIRECT("'"&amp;G$1&amp;"'!C2:C1000")=$C12)
        ),7,
        FALSE
    )
)</f>
        <v/>
      </c>
      <c r="H12" s="52">
        <f t="array" ref="H12">IF(
    VLOOKUP(
        $A12,
        _xlfn._xlws.FILTER(
            INDIRECT("'"&amp;H$1&amp;"'!A2:G1000"), (INDIRECT("'"&amp;H$1&amp;"'!B2:B1000")=$B12) * (INDIRECT("'"&amp;H$1&amp;"'!C2:C1000")=$C12)
        ),
        5,
        FALSE
    )="",
    "",
    VLOOKUP(
        $A12,
        _xlfn._xlws.FILTER(
            INDIRECT("'"&amp;H$1&amp;"'!A2:G1000"), (INDIRECT("'"&amp;H$1&amp;"'!B2:B1000")=$B12) * (INDIRECT("'"&amp;H$1&amp;"'!C2:C1000")=$C12)
        ),7,
        FALSE
    )
)</f>
        <v/>
      </c>
      <c r="I12" s="52">
        <f t="array" ref="I12">IF(
    VLOOKUP(
        $A12,
        _xlfn._xlws.FILTER(
            INDIRECT("'"&amp;I$1&amp;"'!A2:G1000"), (INDIRECT("'"&amp;I$1&amp;"'!B2:B1000")=$B12) * (INDIRECT("'"&amp;I$1&amp;"'!C2:C1000")=$C12)
        ),
        5,
        FALSE
    )="",
    "",
    VLOOKUP(
        $A12,
        _xlfn._xlws.FILTER(
            INDIRECT("'"&amp;I$1&amp;"'!A2:G1000"), (INDIRECT("'"&amp;I$1&amp;"'!B2:B1000")=$B12) * (INDIRECT("'"&amp;I$1&amp;"'!C2:C1000")=$C12)
        ),7,
        FALSE
    )
)</f>
        <v/>
      </c>
      <c r="J12" s="52">
        <f t="array" ref="J12">IF(
    VLOOKUP(
        $A12,
        _xlfn._xlws.FILTER(
            INDIRECT("'"&amp;J$1&amp;"'!A2:G1000"), (INDIRECT("'"&amp;J$1&amp;"'!B2:B1000")=$B12) * (INDIRECT("'"&amp;J$1&amp;"'!C2:C1000")=$C12)
        ),
        5,
        FALSE
    )="",
    "",
    VLOOKUP(
        $A12,
        _xlfn._xlws.FILTER(
            INDIRECT("'"&amp;J$1&amp;"'!A2:G1000"), (INDIRECT("'"&amp;J$1&amp;"'!B2:B1000")=$B12) * (INDIRECT("'"&amp;J$1&amp;"'!C2:C1000")=$C12)
        ),7,
        FALSE
    )
)</f>
        <v/>
      </c>
      <c r="K12" s="52">
        <f t="array" ref="K12">IF(
    VLOOKUP(
        $A12,
        _xlfn._xlws.FILTER(
            INDIRECT("'"&amp;K$1&amp;"'!A2:G1000"), (INDIRECT("'"&amp;K$1&amp;"'!B2:B1000")=$B12) * (INDIRECT("'"&amp;K$1&amp;"'!C2:C1000")=$C12)
        ),
        5,
        FALSE
    )="",
    "",
    VLOOKUP(
        $A12,
        _xlfn._xlws.FILTER(
            INDIRECT("'"&amp;K$1&amp;"'!A2:G1000"), (INDIRECT("'"&amp;K$1&amp;"'!B2:B1000")=$B12) * (INDIRECT("'"&amp;K$1&amp;"'!C2:C1000")=$C12)
        ),7,
        FALSE
    )
)</f>
        <v/>
      </c>
      <c r="L12" s="52">
        <f t="array" ref="L12">IF(
    VLOOKUP(
        $A12,
        _xlfn._xlws.FILTER(
            INDIRECT("'"&amp;L$1&amp;"'!A2:G1000"), (INDIRECT("'"&amp;L$1&amp;"'!B2:B1000")=$B12) * (INDIRECT("'"&amp;L$1&amp;"'!C2:C1000")=$C12)
        ),
        5,
        FALSE
    )="",
    "",
    VLOOKUP(
        $A12,
        _xlfn._xlws.FILTER(
            INDIRECT("'"&amp;L$1&amp;"'!A2:G1000"), (INDIRECT("'"&amp;L$1&amp;"'!B2:B1000")=$B12) * (INDIRECT("'"&amp;L$1&amp;"'!C2:C1000")=$C12)
        ),7,
        FALSE
    )
)</f>
        <v/>
      </c>
      <c r="M12" s="52">
        <f t="array" ref="M12">IF(
    VLOOKUP(
        $A12,
        _xlfn._xlws.FILTER(
            INDIRECT("'"&amp;M$1&amp;"'!A2:G1000"), (INDIRECT("'"&amp;M$1&amp;"'!B2:B1000")=$B12) * (INDIRECT("'"&amp;M$1&amp;"'!C2:C1000")=$C12)
        ),
        5,
        FALSE
    )="",
    "",
    VLOOKUP(
        $A12,
        _xlfn._xlws.FILTER(
            INDIRECT("'"&amp;M$1&amp;"'!A2:G1000"), (INDIRECT("'"&amp;M$1&amp;"'!B2:B1000")=$B12) * (INDIRECT("'"&amp;M$1&amp;"'!C2:C1000")=$C12)
        ),7,
        FALSE
    )
)</f>
        <v/>
      </c>
      <c r="N12" s="52">
        <f t="array" ref="N12">IF(
    VLOOKUP(
        $A12,
        _xlfn._xlws.FILTER(
            INDIRECT("'"&amp;N$1&amp;"'!A2:G1000"), (INDIRECT("'"&amp;N$1&amp;"'!B2:B1000")=$B12) * (INDIRECT("'"&amp;N$1&amp;"'!C2:C1000")=$C12)
        ),
        5,
        FALSE
    )="",
    "",
    VLOOKUP(
        $A12,
        _xlfn._xlws.FILTER(
            INDIRECT("'"&amp;N$1&amp;"'!A2:G1000"), (INDIRECT("'"&amp;N$1&amp;"'!B2:B1000")=$B12) * (INDIRECT("'"&amp;N$1&amp;"'!C2:C1000")=$C12)
        ),7,
        FALSE
    )
)</f>
        <v/>
      </c>
      <c r="O12" s="52">
        <f t="array" ref="O12">IF(
    VLOOKUP(
        $A12,
        _xlfn._xlws.FILTER(
            INDIRECT("'"&amp;O$1&amp;"'!A2:G1000"), (INDIRECT("'"&amp;O$1&amp;"'!B2:B1000")=$B12) * (INDIRECT("'"&amp;O$1&amp;"'!C2:C1000")=$C12)
        ),
        5,
        FALSE
    )="",
    "",
    VLOOKUP(
        $A12,
        _xlfn._xlws.FILTER(
            INDIRECT("'"&amp;O$1&amp;"'!A2:G1000"), (INDIRECT("'"&amp;O$1&amp;"'!B2:B1000")=$B12) * (INDIRECT("'"&amp;O$1&amp;"'!C2:C1000")=$C12)
        ),7,
        FALSE
    )
)</f>
        <v/>
      </c>
    </row>
    <row r="13" ht="15.75" customHeight="1">
      <c r="A13" s="51" t="inlineStr">
        <is>
          <t>Comafen</t>
        </is>
      </c>
      <c r="B13" s="92" t="inlineStr">
        <is>
          <t>Itauna do Sul</t>
        </is>
      </c>
      <c r="C13" s="95" t="n">
        <v>1</v>
      </c>
      <c r="D13" s="52">
        <f t="array" ref="D13">IF(
    VLOOKUP(
        $A13,
        _xlfn._xlws.FILTER(
            INDIRECT("'"&amp;D$1&amp;"'!A2:G1000"), (INDIRECT("'"&amp;D$1&amp;"'!B2:B1000")=$B13) * (INDIRECT("'"&amp;D$1&amp;"'!C2:C1000")=$C13)
        ),
        5,
        FALSE
    )="",
    "",
    VLOOKUP(
        $A13,
        _xlfn._xlws.FILTER(
            INDIRECT("'"&amp;D$1&amp;"'!A2:G1000"), (INDIRECT("'"&amp;D$1&amp;"'!B2:B1000")=$B13) * (INDIRECT("'"&amp;D$1&amp;"'!C2:C1000")=$C13)
        ),7,
        FALSE
    )
)</f>
        <v/>
      </c>
      <c r="E13" s="52">
        <f t="array" ref="E13">IF(
    VLOOKUP(
        $A13,
        _xlfn._xlws.FILTER(
            INDIRECT("'"&amp;E$1&amp;"'!A2:G1000"), (INDIRECT("'"&amp;E$1&amp;"'!B2:B1000")=$B13) * (INDIRECT("'"&amp;E$1&amp;"'!C2:C1000")=$C13)
        ),
        5,
        FALSE
    )="",
    "",
    VLOOKUP(
        $A13,
        _xlfn._xlws.FILTER(
            INDIRECT("'"&amp;E$1&amp;"'!A2:G1000"), (INDIRECT("'"&amp;E$1&amp;"'!B2:B1000")=$B13) * (INDIRECT("'"&amp;E$1&amp;"'!C2:C1000")=$C13)
        ),7,
        FALSE
    )
)</f>
        <v/>
      </c>
      <c r="F13" s="52">
        <f t="array" ref="F13">IF(
    VLOOKUP(
        $A13,
        _xlfn._xlws.FILTER(
            INDIRECT("'"&amp;F$1&amp;"'!A2:G1000"), (INDIRECT("'"&amp;F$1&amp;"'!B2:B1000")=$B13) * (INDIRECT("'"&amp;F$1&amp;"'!C2:C1000")=$C13)
        ),
        5,
        FALSE
    )="",
    "",
    VLOOKUP(
        $A13,
        _xlfn._xlws.FILTER(
            INDIRECT("'"&amp;F$1&amp;"'!A2:G1000"), (INDIRECT("'"&amp;F$1&amp;"'!B2:B1000")=$B13) * (INDIRECT("'"&amp;F$1&amp;"'!C2:C1000")=$C13)
        ),7,
        FALSE
    )
)</f>
        <v/>
      </c>
      <c r="G13" s="52">
        <f t="array" ref="G13">IF(
    VLOOKUP(
        $A13,
        _xlfn._xlws.FILTER(
            INDIRECT("'"&amp;G$1&amp;"'!A2:G1000"), (INDIRECT("'"&amp;G$1&amp;"'!B2:B1000")=$B13) * (INDIRECT("'"&amp;G$1&amp;"'!C2:C1000")=$C13)
        ),
        5,
        FALSE
    )="",
    "",
    VLOOKUP(
        $A13,
        _xlfn._xlws.FILTER(
            INDIRECT("'"&amp;G$1&amp;"'!A2:G1000"), (INDIRECT("'"&amp;G$1&amp;"'!B2:B1000")=$B13) * (INDIRECT("'"&amp;G$1&amp;"'!C2:C1000")=$C13)
        ),7,
        FALSE
    )
)</f>
        <v/>
      </c>
      <c r="H13" s="52">
        <f t="array" ref="H13">IF(
    VLOOKUP(
        $A13,
        _xlfn._xlws.FILTER(
            INDIRECT("'"&amp;H$1&amp;"'!A2:G1000"), (INDIRECT("'"&amp;H$1&amp;"'!B2:B1000")=$B13) * (INDIRECT("'"&amp;H$1&amp;"'!C2:C1000")=$C13)
        ),
        5,
        FALSE
    )="",
    "",
    VLOOKUP(
        $A13,
        _xlfn._xlws.FILTER(
            INDIRECT("'"&amp;H$1&amp;"'!A2:G1000"), (INDIRECT("'"&amp;H$1&amp;"'!B2:B1000")=$B13) * (INDIRECT("'"&amp;H$1&amp;"'!C2:C1000")=$C13)
        ),7,
        FALSE
    )
)</f>
        <v/>
      </c>
      <c r="I13" s="52">
        <f t="array" ref="I13">IF(
    VLOOKUP(
        $A13,
        _xlfn._xlws.FILTER(
            INDIRECT("'"&amp;I$1&amp;"'!A2:G1000"), (INDIRECT("'"&amp;I$1&amp;"'!B2:B1000")=$B13) * (INDIRECT("'"&amp;I$1&amp;"'!C2:C1000")=$C13)
        ),
        5,
        FALSE
    )="",
    "",
    VLOOKUP(
        $A13,
        _xlfn._xlws.FILTER(
            INDIRECT("'"&amp;I$1&amp;"'!A2:G1000"), (INDIRECT("'"&amp;I$1&amp;"'!B2:B1000")=$B13) * (INDIRECT("'"&amp;I$1&amp;"'!C2:C1000")=$C13)
        ),7,
        FALSE
    )
)</f>
        <v/>
      </c>
      <c r="J13" s="52">
        <f t="array" ref="J13">IF(
    VLOOKUP(
        $A13,
        _xlfn._xlws.FILTER(
            INDIRECT("'"&amp;J$1&amp;"'!A2:G1000"), (INDIRECT("'"&amp;J$1&amp;"'!B2:B1000")=$B13) * (INDIRECT("'"&amp;J$1&amp;"'!C2:C1000")=$C13)
        ),
        5,
        FALSE
    )="",
    "",
    VLOOKUP(
        $A13,
        _xlfn._xlws.FILTER(
            INDIRECT("'"&amp;J$1&amp;"'!A2:G1000"), (INDIRECT("'"&amp;J$1&amp;"'!B2:B1000")=$B13) * (INDIRECT("'"&amp;J$1&amp;"'!C2:C1000")=$C13)
        ),7,
        FALSE
    )
)</f>
        <v/>
      </c>
      <c r="K13" s="52">
        <f t="array" ref="K13">IF(
    VLOOKUP(
        $A13,
        _xlfn._xlws.FILTER(
            INDIRECT("'"&amp;K$1&amp;"'!A2:G1000"), (INDIRECT("'"&amp;K$1&amp;"'!B2:B1000")=$B13) * (INDIRECT("'"&amp;K$1&amp;"'!C2:C1000")=$C13)
        ),
        5,
        FALSE
    )="",
    "",
    VLOOKUP(
        $A13,
        _xlfn._xlws.FILTER(
            INDIRECT("'"&amp;K$1&amp;"'!A2:G1000"), (INDIRECT("'"&amp;K$1&amp;"'!B2:B1000")=$B13) * (INDIRECT("'"&amp;K$1&amp;"'!C2:C1000")=$C13)
        ),7,
        FALSE
    )
)</f>
        <v/>
      </c>
      <c r="L13" s="52">
        <f t="array" ref="L13">IF(
    VLOOKUP(
        $A13,
        _xlfn._xlws.FILTER(
            INDIRECT("'"&amp;L$1&amp;"'!A2:G1000"), (INDIRECT("'"&amp;L$1&amp;"'!B2:B1000")=$B13) * (INDIRECT("'"&amp;L$1&amp;"'!C2:C1000")=$C13)
        ),
        5,
        FALSE
    )="",
    "",
    VLOOKUP(
        $A13,
        _xlfn._xlws.FILTER(
            INDIRECT("'"&amp;L$1&amp;"'!A2:G1000"), (INDIRECT("'"&amp;L$1&amp;"'!B2:B1000")=$B13) * (INDIRECT("'"&amp;L$1&amp;"'!C2:C1000")=$C13)
        ),7,
        FALSE
    )
)</f>
        <v/>
      </c>
      <c r="M13" s="52">
        <f t="array" ref="M13">IF(
    VLOOKUP(
        $A13,
        _xlfn._xlws.FILTER(
            INDIRECT("'"&amp;M$1&amp;"'!A2:G1000"), (INDIRECT("'"&amp;M$1&amp;"'!B2:B1000")=$B13) * (INDIRECT("'"&amp;M$1&amp;"'!C2:C1000")=$C13)
        ),
        5,
        FALSE
    )="",
    "",
    VLOOKUP(
        $A13,
        _xlfn._xlws.FILTER(
            INDIRECT("'"&amp;M$1&amp;"'!A2:G1000"), (INDIRECT("'"&amp;M$1&amp;"'!B2:B1000")=$B13) * (INDIRECT("'"&amp;M$1&amp;"'!C2:C1000")=$C13)
        ),7,
        FALSE
    )
)</f>
        <v/>
      </c>
      <c r="N13" s="52">
        <f t="array" ref="N13">IF(
    VLOOKUP(
        $A13,
        _xlfn._xlws.FILTER(
            INDIRECT("'"&amp;N$1&amp;"'!A2:G1000"), (INDIRECT("'"&amp;N$1&amp;"'!B2:B1000")=$B13) * (INDIRECT("'"&amp;N$1&amp;"'!C2:C1000")=$C13)
        ),
        5,
        FALSE
    )="",
    "",
    VLOOKUP(
        $A13,
        _xlfn._xlws.FILTER(
            INDIRECT("'"&amp;N$1&amp;"'!A2:G1000"), (INDIRECT("'"&amp;N$1&amp;"'!B2:B1000")=$B13) * (INDIRECT("'"&amp;N$1&amp;"'!C2:C1000")=$C13)
        ),7,
        FALSE
    )
)</f>
        <v/>
      </c>
      <c r="O13" s="52">
        <f t="array" ref="O13">IF(
    VLOOKUP(
        $A13,
        _xlfn._xlws.FILTER(
            INDIRECT("'"&amp;O$1&amp;"'!A2:G1000"), (INDIRECT("'"&amp;O$1&amp;"'!B2:B1000")=$B13) * (INDIRECT("'"&amp;O$1&amp;"'!C2:C1000")=$C13)
        ),
        5,
        FALSE
    )="",
    "",
    VLOOKUP(
        $A13,
        _xlfn._xlws.FILTER(
            INDIRECT("'"&amp;O$1&amp;"'!A2:G1000"), (INDIRECT("'"&amp;O$1&amp;"'!B2:B1000")=$B13) * (INDIRECT("'"&amp;O$1&amp;"'!C2:C1000")=$C13)
        ),7,
        FALSE
    )
)</f>
        <v/>
      </c>
    </row>
    <row r="14" ht="15.75" customHeight="1">
      <c r="A14" s="51" t="inlineStr">
        <is>
          <t>Comafen</t>
        </is>
      </c>
      <c r="B14" s="92" t="inlineStr">
        <is>
          <t>Loanda</t>
        </is>
      </c>
      <c r="C14" s="95" t="n">
        <v>1</v>
      </c>
      <c r="D14" s="52">
        <f t="array" ref="D14">IF(
    VLOOKUP(
        $A14,
        _xlfn._xlws.FILTER(
            INDIRECT("'"&amp;D$1&amp;"'!A2:G1000"), (INDIRECT("'"&amp;D$1&amp;"'!B2:B1000")=$B14) * (INDIRECT("'"&amp;D$1&amp;"'!C2:C1000")=$C14)
        ),
        5,
        FALSE
    )="",
    "",
    VLOOKUP(
        $A14,
        _xlfn._xlws.FILTER(
            INDIRECT("'"&amp;D$1&amp;"'!A2:G1000"), (INDIRECT("'"&amp;D$1&amp;"'!B2:B1000")=$B14) * (INDIRECT("'"&amp;D$1&amp;"'!C2:C1000")=$C14)
        ),7,
        FALSE
    )
)</f>
        <v/>
      </c>
      <c r="E14" s="52">
        <f t="array" ref="E14">IF(
    VLOOKUP(
        $A14,
        _xlfn._xlws.FILTER(
            INDIRECT("'"&amp;E$1&amp;"'!A2:G1000"), (INDIRECT("'"&amp;E$1&amp;"'!B2:B1000")=$B14) * (INDIRECT("'"&amp;E$1&amp;"'!C2:C1000")=$C14)
        ),
        5,
        FALSE
    )="",
    "",
    VLOOKUP(
        $A14,
        _xlfn._xlws.FILTER(
            INDIRECT("'"&amp;E$1&amp;"'!A2:G1000"), (INDIRECT("'"&amp;E$1&amp;"'!B2:B1000")=$B14) * (INDIRECT("'"&amp;E$1&amp;"'!C2:C1000")=$C14)
        ),7,
        FALSE
    )
)</f>
        <v/>
      </c>
      <c r="F14" s="52">
        <f t="array" ref="F14">IF(
    VLOOKUP(
        $A14,
        _xlfn._xlws.FILTER(
            INDIRECT("'"&amp;F$1&amp;"'!A2:G1000"), (INDIRECT("'"&amp;F$1&amp;"'!B2:B1000")=$B14) * (INDIRECT("'"&amp;F$1&amp;"'!C2:C1000")=$C14)
        ),
        5,
        FALSE
    )="",
    "",
    VLOOKUP(
        $A14,
        _xlfn._xlws.FILTER(
            INDIRECT("'"&amp;F$1&amp;"'!A2:G1000"), (INDIRECT("'"&amp;F$1&amp;"'!B2:B1000")=$B14) * (INDIRECT("'"&amp;F$1&amp;"'!C2:C1000")=$C14)
        ),7,
        FALSE
    )
)</f>
        <v/>
      </c>
      <c r="G14" s="52">
        <f t="array" ref="G14">IF(
    VLOOKUP(
        $A14,
        _xlfn._xlws.FILTER(
            INDIRECT("'"&amp;G$1&amp;"'!A2:G1000"), (INDIRECT("'"&amp;G$1&amp;"'!B2:B1000")=$B14) * (INDIRECT("'"&amp;G$1&amp;"'!C2:C1000")=$C14)
        ),
        5,
        FALSE
    )="",
    "",
    VLOOKUP(
        $A14,
        _xlfn._xlws.FILTER(
            INDIRECT("'"&amp;G$1&amp;"'!A2:G1000"), (INDIRECT("'"&amp;G$1&amp;"'!B2:B1000")=$B14) * (INDIRECT("'"&amp;G$1&amp;"'!C2:C1000")=$C14)
        ),7,
        FALSE
    )
)</f>
        <v/>
      </c>
      <c r="H14" s="52">
        <f t="array" ref="H14">IF(
    VLOOKUP(
        $A14,
        _xlfn._xlws.FILTER(
            INDIRECT("'"&amp;H$1&amp;"'!A2:G1000"), (INDIRECT("'"&amp;H$1&amp;"'!B2:B1000")=$B14) * (INDIRECT("'"&amp;H$1&amp;"'!C2:C1000")=$C14)
        ),
        5,
        FALSE
    )="",
    "",
    VLOOKUP(
        $A14,
        _xlfn._xlws.FILTER(
            INDIRECT("'"&amp;H$1&amp;"'!A2:G1000"), (INDIRECT("'"&amp;H$1&amp;"'!B2:B1000")=$B14) * (INDIRECT("'"&amp;H$1&amp;"'!C2:C1000")=$C14)
        ),7,
        FALSE
    )
)</f>
        <v/>
      </c>
      <c r="I14" s="52">
        <f t="array" ref="I14">IF(
    VLOOKUP(
        $A14,
        _xlfn._xlws.FILTER(
            INDIRECT("'"&amp;I$1&amp;"'!A2:G1000"), (INDIRECT("'"&amp;I$1&amp;"'!B2:B1000")=$B14) * (INDIRECT("'"&amp;I$1&amp;"'!C2:C1000")=$C14)
        ),
        5,
        FALSE
    )="",
    "",
    VLOOKUP(
        $A14,
        _xlfn._xlws.FILTER(
            INDIRECT("'"&amp;I$1&amp;"'!A2:G1000"), (INDIRECT("'"&amp;I$1&amp;"'!B2:B1000")=$B14) * (INDIRECT("'"&amp;I$1&amp;"'!C2:C1000")=$C14)
        ),7,
        FALSE
    )
)</f>
        <v/>
      </c>
      <c r="J14" s="52">
        <f t="array" ref="J14">IF(
    VLOOKUP(
        $A14,
        _xlfn._xlws.FILTER(
            INDIRECT("'"&amp;J$1&amp;"'!A2:G1000"), (INDIRECT("'"&amp;J$1&amp;"'!B2:B1000")=$B14) * (INDIRECT("'"&amp;J$1&amp;"'!C2:C1000")=$C14)
        ),
        5,
        FALSE
    )="",
    "",
    VLOOKUP(
        $A14,
        _xlfn._xlws.FILTER(
            INDIRECT("'"&amp;J$1&amp;"'!A2:G1000"), (INDIRECT("'"&amp;J$1&amp;"'!B2:B1000")=$B14) * (INDIRECT("'"&amp;J$1&amp;"'!C2:C1000")=$C14)
        ),7,
        FALSE
    )
)</f>
        <v/>
      </c>
      <c r="K14" s="52">
        <f t="array" ref="K14">IF(
    VLOOKUP(
        $A14,
        _xlfn._xlws.FILTER(
            INDIRECT("'"&amp;K$1&amp;"'!A2:G1000"), (INDIRECT("'"&amp;K$1&amp;"'!B2:B1000")=$B14) * (INDIRECT("'"&amp;K$1&amp;"'!C2:C1000")=$C14)
        ),
        5,
        FALSE
    )="",
    "",
    VLOOKUP(
        $A14,
        _xlfn._xlws.FILTER(
            INDIRECT("'"&amp;K$1&amp;"'!A2:G1000"), (INDIRECT("'"&amp;K$1&amp;"'!B2:B1000")=$B14) * (INDIRECT("'"&amp;K$1&amp;"'!C2:C1000")=$C14)
        ),7,
        FALSE
    )
)</f>
        <v/>
      </c>
      <c r="L14" s="52">
        <f t="array" ref="L14">IF(
    VLOOKUP(
        $A14,
        _xlfn._xlws.FILTER(
            INDIRECT("'"&amp;L$1&amp;"'!A2:G1000"), (INDIRECT("'"&amp;L$1&amp;"'!B2:B1000")=$B14) * (INDIRECT("'"&amp;L$1&amp;"'!C2:C1000")=$C14)
        ),
        5,
        FALSE
    )="",
    "",
    VLOOKUP(
        $A14,
        _xlfn._xlws.FILTER(
            INDIRECT("'"&amp;L$1&amp;"'!A2:G1000"), (INDIRECT("'"&amp;L$1&amp;"'!B2:B1000")=$B14) * (INDIRECT("'"&amp;L$1&amp;"'!C2:C1000")=$C14)
        ),7,
        FALSE
    )
)</f>
        <v/>
      </c>
      <c r="M14" s="52">
        <f t="array" ref="M14">IF(
    VLOOKUP(
        $A14,
        _xlfn._xlws.FILTER(
            INDIRECT("'"&amp;M$1&amp;"'!A2:G1000"), (INDIRECT("'"&amp;M$1&amp;"'!B2:B1000")=$B14) * (INDIRECT("'"&amp;M$1&amp;"'!C2:C1000")=$C14)
        ),
        5,
        FALSE
    )="",
    "",
    VLOOKUP(
        $A14,
        _xlfn._xlws.FILTER(
            INDIRECT("'"&amp;M$1&amp;"'!A2:G1000"), (INDIRECT("'"&amp;M$1&amp;"'!B2:B1000")=$B14) * (INDIRECT("'"&amp;M$1&amp;"'!C2:C1000")=$C14)
        ),7,
        FALSE
    )
)</f>
        <v/>
      </c>
      <c r="N14" s="52">
        <f t="array" ref="N14">IF(
    VLOOKUP(
        $A14,
        _xlfn._xlws.FILTER(
            INDIRECT("'"&amp;N$1&amp;"'!A2:G1000"), (INDIRECT("'"&amp;N$1&amp;"'!B2:B1000")=$B14) * (INDIRECT("'"&amp;N$1&amp;"'!C2:C1000")=$C14)
        ),
        5,
        FALSE
    )="",
    "",
    VLOOKUP(
        $A14,
        _xlfn._xlws.FILTER(
            INDIRECT("'"&amp;N$1&amp;"'!A2:G1000"), (INDIRECT("'"&amp;N$1&amp;"'!B2:B1000")=$B14) * (INDIRECT("'"&amp;N$1&amp;"'!C2:C1000")=$C14)
        ),7,
        FALSE
    )
)</f>
        <v/>
      </c>
      <c r="O14" s="52">
        <f t="array" ref="O14">IF(
    VLOOKUP(
        $A14,
        _xlfn._xlws.FILTER(
            INDIRECT("'"&amp;O$1&amp;"'!A2:G1000"), (INDIRECT("'"&amp;O$1&amp;"'!B2:B1000")=$B14) * (INDIRECT("'"&amp;O$1&amp;"'!C2:C1000")=$C14)
        ),
        5,
        FALSE
    )="",
    "",
    VLOOKUP(
        $A14,
        _xlfn._xlws.FILTER(
            INDIRECT("'"&amp;O$1&amp;"'!A2:G1000"), (INDIRECT("'"&amp;O$1&amp;"'!B2:B1000")=$B14) * (INDIRECT("'"&amp;O$1&amp;"'!C2:C1000")=$C14)
        ),7,
        FALSE
    )
)</f>
        <v/>
      </c>
    </row>
    <row r="15" ht="15.75" customHeight="1">
      <c r="A15" s="51" t="inlineStr">
        <is>
          <t>Comafen</t>
        </is>
      </c>
      <c r="B15" s="92" t="inlineStr">
        <is>
          <t>Marilena</t>
        </is>
      </c>
      <c r="C15" s="95" t="n">
        <v>1</v>
      </c>
      <c r="D15" s="52">
        <f t="array" ref="D15">IF(
    VLOOKUP(
        $A15,
        _xlfn._xlws.FILTER(
            INDIRECT("'"&amp;D$1&amp;"'!A2:G1000"), (INDIRECT("'"&amp;D$1&amp;"'!B2:B1000")=$B15) * (INDIRECT("'"&amp;D$1&amp;"'!C2:C1000")=$C15)
        ),
        5,
        FALSE
    )="",
    "",
    VLOOKUP(
        $A15,
        _xlfn._xlws.FILTER(
            INDIRECT("'"&amp;D$1&amp;"'!A2:G1000"), (INDIRECT("'"&amp;D$1&amp;"'!B2:B1000")=$B15) * (INDIRECT("'"&amp;D$1&amp;"'!C2:C1000")=$C15)
        ),7,
        FALSE
    )
)</f>
        <v/>
      </c>
      <c r="E15" s="52">
        <f t="array" ref="E15">IF(
    VLOOKUP(
        $A15,
        _xlfn._xlws.FILTER(
            INDIRECT("'"&amp;E$1&amp;"'!A2:G1000"), (INDIRECT("'"&amp;E$1&amp;"'!B2:B1000")=$B15) * (INDIRECT("'"&amp;E$1&amp;"'!C2:C1000")=$C15)
        ),
        5,
        FALSE
    )="",
    "",
    VLOOKUP(
        $A15,
        _xlfn._xlws.FILTER(
            INDIRECT("'"&amp;E$1&amp;"'!A2:G1000"), (INDIRECT("'"&amp;E$1&amp;"'!B2:B1000")=$B15) * (INDIRECT("'"&amp;E$1&amp;"'!C2:C1000")=$C15)
        ),7,
        FALSE
    )
)</f>
        <v/>
      </c>
      <c r="F15" s="52">
        <f t="array" ref="F15">IF(
    VLOOKUP(
        $A15,
        _xlfn._xlws.FILTER(
            INDIRECT("'"&amp;F$1&amp;"'!A2:G1000"), (INDIRECT("'"&amp;F$1&amp;"'!B2:B1000")=$B15) * (INDIRECT("'"&amp;F$1&amp;"'!C2:C1000")=$C15)
        ),
        5,
        FALSE
    )="",
    "",
    VLOOKUP(
        $A15,
        _xlfn._xlws.FILTER(
            INDIRECT("'"&amp;F$1&amp;"'!A2:G1000"), (INDIRECT("'"&amp;F$1&amp;"'!B2:B1000")=$B15) * (INDIRECT("'"&amp;F$1&amp;"'!C2:C1000")=$C15)
        ),7,
        FALSE
    )
)</f>
        <v/>
      </c>
      <c r="G15" s="52">
        <f t="array" ref="G15">IF(
    VLOOKUP(
        $A15,
        _xlfn._xlws.FILTER(
            INDIRECT("'"&amp;G$1&amp;"'!A2:G1000"), (INDIRECT("'"&amp;G$1&amp;"'!B2:B1000")=$B15) * (INDIRECT("'"&amp;G$1&amp;"'!C2:C1000")=$C15)
        ),
        5,
        FALSE
    )="",
    "",
    VLOOKUP(
        $A15,
        _xlfn._xlws.FILTER(
            INDIRECT("'"&amp;G$1&amp;"'!A2:G1000"), (INDIRECT("'"&amp;G$1&amp;"'!B2:B1000")=$B15) * (INDIRECT("'"&amp;G$1&amp;"'!C2:C1000")=$C15)
        ),7,
        FALSE
    )
)</f>
        <v/>
      </c>
      <c r="H15" s="52">
        <f t="array" ref="H15">IF(
    VLOOKUP(
        $A15,
        _xlfn._xlws.FILTER(
            INDIRECT("'"&amp;H$1&amp;"'!A2:G1000"), (INDIRECT("'"&amp;H$1&amp;"'!B2:B1000")=$B15) * (INDIRECT("'"&amp;H$1&amp;"'!C2:C1000")=$C15)
        ),
        5,
        FALSE
    )="",
    "",
    VLOOKUP(
        $A15,
        _xlfn._xlws.FILTER(
            INDIRECT("'"&amp;H$1&amp;"'!A2:G1000"), (INDIRECT("'"&amp;H$1&amp;"'!B2:B1000")=$B15) * (INDIRECT("'"&amp;H$1&amp;"'!C2:C1000")=$C15)
        ),7,
        FALSE
    )
)</f>
        <v/>
      </c>
      <c r="I15" s="52">
        <f t="array" ref="I15">IF(
    VLOOKUP(
        $A15,
        _xlfn._xlws.FILTER(
            INDIRECT("'"&amp;I$1&amp;"'!A2:G1000"), (INDIRECT("'"&amp;I$1&amp;"'!B2:B1000")=$B15) * (INDIRECT("'"&amp;I$1&amp;"'!C2:C1000")=$C15)
        ),
        5,
        FALSE
    )="",
    "",
    VLOOKUP(
        $A15,
        _xlfn._xlws.FILTER(
            INDIRECT("'"&amp;I$1&amp;"'!A2:G1000"), (INDIRECT("'"&amp;I$1&amp;"'!B2:B1000")=$B15) * (INDIRECT("'"&amp;I$1&amp;"'!C2:C1000")=$C15)
        ),7,
        FALSE
    )
)</f>
        <v/>
      </c>
      <c r="J15" s="52">
        <f t="array" ref="J15">IF(
    VLOOKUP(
        $A15,
        _xlfn._xlws.FILTER(
            INDIRECT("'"&amp;J$1&amp;"'!A2:G1000"), (INDIRECT("'"&amp;J$1&amp;"'!B2:B1000")=$B15) * (INDIRECT("'"&amp;J$1&amp;"'!C2:C1000")=$C15)
        ),
        5,
        FALSE
    )="",
    "",
    VLOOKUP(
        $A15,
        _xlfn._xlws.FILTER(
            INDIRECT("'"&amp;J$1&amp;"'!A2:G1000"), (INDIRECT("'"&amp;J$1&amp;"'!B2:B1000")=$B15) * (INDIRECT("'"&amp;J$1&amp;"'!C2:C1000")=$C15)
        ),7,
        FALSE
    )
)</f>
        <v/>
      </c>
      <c r="K15" s="52">
        <f t="array" ref="K15">IF(
    VLOOKUP(
        $A15,
        _xlfn._xlws.FILTER(
            INDIRECT("'"&amp;K$1&amp;"'!A2:G1000"), (INDIRECT("'"&amp;K$1&amp;"'!B2:B1000")=$B15) * (INDIRECT("'"&amp;K$1&amp;"'!C2:C1000")=$C15)
        ),
        5,
        FALSE
    )="",
    "",
    VLOOKUP(
        $A15,
        _xlfn._xlws.FILTER(
            INDIRECT("'"&amp;K$1&amp;"'!A2:G1000"), (INDIRECT("'"&amp;K$1&amp;"'!B2:B1000")=$B15) * (INDIRECT("'"&amp;K$1&amp;"'!C2:C1000")=$C15)
        ),7,
        FALSE
    )
)</f>
        <v/>
      </c>
      <c r="L15" s="52">
        <f t="array" ref="L15">IF(
    VLOOKUP(
        $A15,
        _xlfn._xlws.FILTER(
            INDIRECT("'"&amp;L$1&amp;"'!A2:G1000"), (INDIRECT("'"&amp;L$1&amp;"'!B2:B1000")=$B15) * (INDIRECT("'"&amp;L$1&amp;"'!C2:C1000")=$C15)
        ),
        5,
        FALSE
    )="",
    "",
    VLOOKUP(
        $A15,
        _xlfn._xlws.FILTER(
            INDIRECT("'"&amp;L$1&amp;"'!A2:G1000"), (INDIRECT("'"&amp;L$1&amp;"'!B2:B1000")=$B15) * (INDIRECT("'"&amp;L$1&amp;"'!C2:C1000")=$C15)
        ),7,
        FALSE
    )
)</f>
        <v/>
      </c>
      <c r="M15" s="52">
        <f t="array" ref="M15">IF(
    VLOOKUP(
        $A15,
        _xlfn._xlws.FILTER(
            INDIRECT("'"&amp;M$1&amp;"'!A2:G1000"), (INDIRECT("'"&amp;M$1&amp;"'!B2:B1000")=$B15) * (INDIRECT("'"&amp;M$1&amp;"'!C2:C1000")=$C15)
        ),
        5,
        FALSE
    )="",
    "",
    VLOOKUP(
        $A15,
        _xlfn._xlws.FILTER(
            INDIRECT("'"&amp;M$1&amp;"'!A2:G1000"), (INDIRECT("'"&amp;M$1&amp;"'!B2:B1000")=$B15) * (INDIRECT("'"&amp;M$1&amp;"'!C2:C1000")=$C15)
        ),7,
        FALSE
    )
)</f>
        <v/>
      </c>
      <c r="N15" s="52">
        <f t="array" ref="N15">IF(
    VLOOKUP(
        $A15,
        _xlfn._xlws.FILTER(
            INDIRECT("'"&amp;N$1&amp;"'!A2:G1000"), (INDIRECT("'"&amp;N$1&amp;"'!B2:B1000")=$B15) * (INDIRECT("'"&amp;N$1&amp;"'!C2:C1000")=$C15)
        ),
        5,
        FALSE
    )="",
    "",
    VLOOKUP(
        $A15,
        _xlfn._xlws.FILTER(
            INDIRECT("'"&amp;N$1&amp;"'!A2:G1000"), (INDIRECT("'"&amp;N$1&amp;"'!B2:B1000")=$B15) * (INDIRECT("'"&amp;N$1&amp;"'!C2:C1000")=$C15)
        ),7,
        FALSE
    )
)</f>
        <v/>
      </c>
      <c r="O15" s="52">
        <f t="array" ref="O15">IF(
    VLOOKUP(
        $A15,
        _xlfn._xlws.FILTER(
            INDIRECT("'"&amp;O$1&amp;"'!A2:G1000"), (INDIRECT("'"&amp;O$1&amp;"'!B2:B1000")=$B15) * (INDIRECT("'"&amp;O$1&amp;"'!C2:C1000")=$C15)
        ),
        5,
        FALSE
    )="",
    "",
    VLOOKUP(
        $A15,
        _xlfn._xlws.FILTER(
            INDIRECT("'"&amp;O$1&amp;"'!A2:G1000"), (INDIRECT("'"&amp;O$1&amp;"'!B2:B1000")=$B15) * (INDIRECT("'"&amp;O$1&amp;"'!C2:C1000")=$C15)
        ),7,
        FALSE
    )
)</f>
        <v/>
      </c>
    </row>
    <row r="16">
      <c r="A16" s="51" t="inlineStr">
        <is>
          <t>Comafen</t>
        </is>
      </c>
      <c r="B16" s="92" t="inlineStr">
        <is>
          <t>Nova Londrina</t>
        </is>
      </c>
      <c r="C16" s="95" t="n">
        <v>1</v>
      </c>
      <c r="D16" s="52">
        <f t="array" ref="D16">IF(
    VLOOKUP(
        $A16,
        _xlfn._xlws.FILTER(
            INDIRECT("'"&amp;D$1&amp;"'!A2:G1000"), (INDIRECT("'"&amp;D$1&amp;"'!B2:B1000")=$B16) * (INDIRECT("'"&amp;D$1&amp;"'!C2:C1000")=$C16)
        ),
        5,
        FALSE
    )="",
    "",
    VLOOKUP(
        $A16,
        _xlfn._xlws.FILTER(
            INDIRECT("'"&amp;D$1&amp;"'!A2:G1000"), (INDIRECT("'"&amp;D$1&amp;"'!B2:B1000")=$B16) * (INDIRECT("'"&amp;D$1&amp;"'!C2:C1000")=$C16)
        ),7,
        FALSE
    )
)</f>
        <v/>
      </c>
      <c r="E16" s="52">
        <f t="array" ref="E16">IF(
    VLOOKUP(
        $A16,
        _xlfn._xlws.FILTER(
            INDIRECT("'"&amp;E$1&amp;"'!A2:G1000"), (INDIRECT("'"&amp;E$1&amp;"'!B2:B1000")=$B16) * (INDIRECT("'"&amp;E$1&amp;"'!C2:C1000")=$C16)
        ),
        5,
        FALSE
    )="",
    "",
    VLOOKUP(
        $A16,
        _xlfn._xlws.FILTER(
            INDIRECT("'"&amp;E$1&amp;"'!A2:G1000"), (INDIRECT("'"&amp;E$1&amp;"'!B2:B1000")=$B16) * (INDIRECT("'"&amp;E$1&amp;"'!C2:C1000")=$C16)
        ),7,
        FALSE
    )
)</f>
        <v/>
      </c>
      <c r="F16" s="52">
        <f t="array" ref="F16">IF(
    VLOOKUP(
        $A16,
        _xlfn._xlws.FILTER(
            INDIRECT("'"&amp;F$1&amp;"'!A2:G1000"), (INDIRECT("'"&amp;F$1&amp;"'!B2:B1000")=$B16) * (INDIRECT("'"&amp;F$1&amp;"'!C2:C1000")=$C16)
        ),
        5,
        FALSE
    )="",
    "",
    VLOOKUP(
        $A16,
        _xlfn._xlws.FILTER(
            INDIRECT("'"&amp;F$1&amp;"'!A2:G1000"), (INDIRECT("'"&amp;F$1&amp;"'!B2:B1000")=$B16) * (INDIRECT("'"&amp;F$1&amp;"'!C2:C1000")=$C16)
        ),7,
        FALSE
    )
)</f>
        <v/>
      </c>
      <c r="G16" s="52">
        <f t="array" ref="G16">IF(
    VLOOKUP(
        $A16,
        _xlfn._xlws.FILTER(
            INDIRECT("'"&amp;G$1&amp;"'!A2:G1000"), (INDIRECT("'"&amp;G$1&amp;"'!B2:B1000")=$B16) * (INDIRECT("'"&amp;G$1&amp;"'!C2:C1000")=$C16)
        ),
        5,
        FALSE
    )="",
    "",
    VLOOKUP(
        $A16,
        _xlfn._xlws.FILTER(
            INDIRECT("'"&amp;G$1&amp;"'!A2:G1000"), (INDIRECT("'"&amp;G$1&amp;"'!B2:B1000")=$B16) * (INDIRECT("'"&amp;G$1&amp;"'!C2:C1000")=$C16)
        ),7,
        FALSE
    )
)</f>
        <v/>
      </c>
      <c r="H16" s="52">
        <f t="array" ref="H16">IF(
    VLOOKUP(
        $A16,
        _xlfn._xlws.FILTER(
            INDIRECT("'"&amp;H$1&amp;"'!A2:G1000"), (INDIRECT("'"&amp;H$1&amp;"'!B2:B1000")=$B16) * (INDIRECT("'"&amp;H$1&amp;"'!C2:C1000")=$C16)
        ),
        5,
        FALSE
    )="",
    "",
    VLOOKUP(
        $A16,
        _xlfn._xlws.FILTER(
            INDIRECT("'"&amp;H$1&amp;"'!A2:G1000"), (INDIRECT("'"&amp;H$1&amp;"'!B2:B1000")=$B16) * (INDIRECT("'"&amp;H$1&amp;"'!C2:C1000")=$C16)
        ),7,
        FALSE
    )
)</f>
        <v/>
      </c>
      <c r="I16" s="52">
        <f t="array" ref="I16">IF(
    VLOOKUP(
        $A16,
        _xlfn._xlws.FILTER(
            INDIRECT("'"&amp;I$1&amp;"'!A2:G1000"), (INDIRECT("'"&amp;I$1&amp;"'!B2:B1000")=$B16) * (INDIRECT("'"&amp;I$1&amp;"'!C2:C1000")=$C16)
        ),
        5,
        FALSE
    )="",
    "",
    VLOOKUP(
        $A16,
        _xlfn._xlws.FILTER(
            INDIRECT("'"&amp;I$1&amp;"'!A2:G1000"), (INDIRECT("'"&amp;I$1&amp;"'!B2:B1000")=$B16) * (INDIRECT("'"&amp;I$1&amp;"'!C2:C1000")=$C16)
        ),7,
        FALSE
    )
)</f>
        <v/>
      </c>
      <c r="J16" s="52">
        <f t="array" ref="J16">IF(
    VLOOKUP(
        $A16,
        _xlfn._xlws.FILTER(
            INDIRECT("'"&amp;J$1&amp;"'!A2:G1000"), (INDIRECT("'"&amp;J$1&amp;"'!B2:B1000")=$B16) * (INDIRECT("'"&amp;J$1&amp;"'!C2:C1000")=$C16)
        ),
        5,
        FALSE
    )="",
    "",
    VLOOKUP(
        $A16,
        _xlfn._xlws.FILTER(
            INDIRECT("'"&amp;J$1&amp;"'!A2:G1000"), (INDIRECT("'"&amp;J$1&amp;"'!B2:B1000")=$B16) * (INDIRECT("'"&amp;J$1&amp;"'!C2:C1000")=$C16)
        ),7,
        FALSE
    )
)</f>
        <v/>
      </c>
      <c r="K16" s="52">
        <f t="array" ref="K16">IF(
    VLOOKUP(
        $A16,
        _xlfn._xlws.FILTER(
            INDIRECT("'"&amp;K$1&amp;"'!A2:G1000"), (INDIRECT("'"&amp;K$1&amp;"'!B2:B1000")=$B16) * (INDIRECT("'"&amp;K$1&amp;"'!C2:C1000")=$C16)
        ),
        5,
        FALSE
    )="",
    "",
    VLOOKUP(
        $A16,
        _xlfn._xlws.FILTER(
            INDIRECT("'"&amp;K$1&amp;"'!A2:G1000"), (INDIRECT("'"&amp;K$1&amp;"'!B2:B1000")=$B16) * (INDIRECT("'"&amp;K$1&amp;"'!C2:C1000")=$C16)
        ),7,
        FALSE
    )
)</f>
        <v/>
      </c>
      <c r="L16" s="52">
        <f t="array" ref="L16">IF(
    VLOOKUP(
        $A16,
        _xlfn._xlws.FILTER(
            INDIRECT("'"&amp;L$1&amp;"'!A2:G1000"), (INDIRECT("'"&amp;L$1&amp;"'!B2:B1000")=$B16) * (INDIRECT("'"&amp;L$1&amp;"'!C2:C1000")=$C16)
        ),
        5,
        FALSE
    )="",
    "",
    VLOOKUP(
        $A16,
        _xlfn._xlws.FILTER(
            INDIRECT("'"&amp;L$1&amp;"'!A2:G1000"), (INDIRECT("'"&amp;L$1&amp;"'!B2:B1000")=$B16) * (INDIRECT("'"&amp;L$1&amp;"'!C2:C1000")=$C16)
        ),7,
        FALSE
    )
)</f>
        <v/>
      </c>
      <c r="M16" s="52">
        <f t="array" ref="M16">IF(
    VLOOKUP(
        $A16,
        _xlfn._xlws.FILTER(
            INDIRECT("'"&amp;M$1&amp;"'!A2:G1000"), (INDIRECT("'"&amp;M$1&amp;"'!B2:B1000")=$B16) * (INDIRECT("'"&amp;M$1&amp;"'!C2:C1000")=$C16)
        ),
        5,
        FALSE
    )="",
    "",
    VLOOKUP(
        $A16,
        _xlfn._xlws.FILTER(
            INDIRECT("'"&amp;M$1&amp;"'!A2:G1000"), (INDIRECT("'"&amp;M$1&amp;"'!B2:B1000")=$B16) * (INDIRECT("'"&amp;M$1&amp;"'!C2:C1000")=$C16)
        ),7,
        FALSE
    )
)</f>
        <v/>
      </c>
      <c r="N16" s="52">
        <f t="array" ref="N16">IF(
    VLOOKUP(
        $A16,
        _xlfn._xlws.FILTER(
            INDIRECT("'"&amp;N$1&amp;"'!A2:G1000"), (INDIRECT("'"&amp;N$1&amp;"'!B2:B1000")=$B16) * (INDIRECT("'"&amp;N$1&amp;"'!C2:C1000")=$C16)
        ),
        5,
        FALSE
    )="",
    "",
    VLOOKUP(
        $A16,
        _xlfn._xlws.FILTER(
            INDIRECT("'"&amp;N$1&amp;"'!A2:G1000"), (INDIRECT("'"&amp;N$1&amp;"'!B2:B1000")=$B16) * (INDIRECT("'"&amp;N$1&amp;"'!C2:C1000")=$C16)
        ),7,
        FALSE
    )
)</f>
        <v/>
      </c>
      <c r="O16" s="52">
        <f t="array" ref="O16">IF(
    VLOOKUP(
        $A16,
        _xlfn._xlws.FILTER(
            INDIRECT("'"&amp;O$1&amp;"'!A2:G1000"), (INDIRECT("'"&amp;O$1&amp;"'!B2:B1000")=$B16) * (INDIRECT("'"&amp;O$1&amp;"'!C2:C1000")=$C16)
        ),
        5,
        FALSE
    )="",
    "",
    VLOOKUP(
        $A16,
        _xlfn._xlws.FILTER(
            INDIRECT("'"&amp;O$1&amp;"'!A2:G1000"), (INDIRECT("'"&amp;O$1&amp;"'!B2:B1000")=$B16) * (INDIRECT("'"&amp;O$1&amp;"'!C2:C1000")=$C16)
        ),7,
        FALSE
    )
)</f>
        <v/>
      </c>
    </row>
    <row r="17" ht="15.75" customHeight="1">
      <c r="A17" s="51" t="inlineStr">
        <is>
          <t>Comafen</t>
        </is>
      </c>
      <c r="B17" s="92" t="inlineStr">
        <is>
          <t>Planaltina do Paraná</t>
        </is>
      </c>
      <c r="C17" s="95" t="n">
        <v>1</v>
      </c>
      <c r="D17" s="52">
        <f t="array" ref="D17">IF(
    VLOOKUP(
        $A17,
        _xlfn._xlws.FILTER(
            INDIRECT("'"&amp;D$1&amp;"'!A2:G1000"), (INDIRECT("'"&amp;D$1&amp;"'!B2:B1000")=$B17) * (INDIRECT("'"&amp;D$1&amp;"'!C2:C1000")=$C17)
        ),
        5,
        FALSE
    )="",
    "",
    VLOOKUP(
        $A17,
        _xlfn._xlws.FILTER(
            INDIRECT("'"&amp;D$1&amp;"'!A2:G1000"), (INDIRECT("'"&amp;D$1&amp;"'!B2:B1000")=$B17) * (INDIRECT("'"&amp;D$1&amp;"'!C2:C1000")=$C17)
        ),7,
        FALSE
    )
)</f>
        <v/>
      </c>
      <c r="E17" s="52">
        <f t="array" ref="E17">IF(
    VLOOKUP(
        $A17,
        _xlfn._xlws.FILTER(
            INDIRECT("'"&amp;E$1&amp;"'!A2:G1000"), (INDIRECT("'"&amp;E$1&amp;"'!B2:B1000")=$B17) * (INDIRECT("'"&amp;E$1&amp;"'!C2:C1000")=$C17)
        ),
        5,
        FALSE
    )="",
    "",
    VLOOKUP(
        $A17,
        _xlfn._xlws.FILTER(
            INDIRECT("'"&amp;E$1&amp;"'!A2:G1000"), (INDIRECT("'"&amp;E$1&amp;"'!B2:B1000")=$B17) * (INDIRECT("'"&amp;E$1&amp;"'!C2:C1000")=$C17)
        ),7,
        FALSE
    )
)</f>
        <v/>
      </c>
      <c r="F17" s="52">
        <f t="array" ref="F17">IF(
    VLOOKUP(
        $A17,
        _xlfn._xlws.FILTER(
            INDIRECT("'"&amp;F$1&amp;"'!A2:G1000"), (INDIRECT("'"&amp;F$1&amp;"'!B2:B1000")=$B17) * (INDIRECT("'"&amp;F$1&amp;"'!C2:C1000")=$C17)
        ),
        5,
        FALSE
    )="",
    "",
    VLOOKUP(
        $A17,
        _xlfn._xlws.FILTER(
            INDIRECT("'"&amp;F$1&amp;"'!A2:G1000"), (INDIRECT("'"&amp;F$1&amp;"'!B2:B1000")=$B17) * (INDIRECT("'"&amp;F$1&amp;"'!C2:C1000")=$C17)
        ),7,
        FALSE
    )
)</f>
        <v/>
      </c>
      <c r="G17" s="52">
        <f t="array" ref="G17">IF(
    VLOOKUP(
        $A17,
        _xlfn._xlws.FILTER(
            INDIRECT("'"&amp;G$1&amp;"'!A2:G1000"), (INDIRECT("'"&amp;G$1&amp;"'!B2:B1000")=$B17) * (INDIRECT("'"&amp;G$1&amp;"'!C2:C1000")=$C17)
        ),
        5,
        FALSE
    )="",
    "",
    VLOOKUP(
        $A17,
        _xlfn._xlws.FILTER(
            INDIRECT("'"&amp;G$1&amp;"'!A2:G1000"), (INDIRECT("'"&amp;G$1&amp;"'!B2:B1000")=$B17) * (INDIRECT("'"&amp;G$1&amp;"'!C2:C1000")=$C17)
        ),7,
        FALSE
    )
)</f>
        <v/>
      </c>
      <c r="H17" s="52">
        <f t="array" ref="H17">IF(
    VLOOKUP(
        $A17,
        _xlfn._xlws.FILTER(
            INDIRECT("'"&amp;H$1&amp;"'!A2:G1000"), (INDIRECT("'"&amp;H$1&amp;"'!B2:B1000")=$B17) * (INDIRECT("'"&amp;H$1&amp;"'!C2:C1000")=$C17)
        ),
        5,
        FALSE
    )="",
    "",
    VLOOKUP(
        $A17,
        _xlfn._xlws.FILTER(
            INDIRECT("'"&amp;H$1&amp;"'!A2:G1000"), (INDIRECT("'"&amp;H$1&amp;"'!B2:B1000")=$B17) * (INDIRECT("'"&amp;H$1&amp;"'!C2:C1000")=$C17)
        ),7,
        FALSE
    )
)</f>
        <v/>
      </c>
      <c r="I17" s="52">
        <f t="array" ref="I17">IF(
    VLOOKUP(
        $A17,
        _xlfn._xlws.FILTER(
            INDIRECT("'"&amp;I$1&amp;"'!A2:G1000"), (INDIRECT("'"&amp;I$1&amp;"'!B2:B1000")=$B17) * (INDIRECT("'"&amp;I$1&amp;"'!C2:C1000")=$C17)
        ),
        5,
        FALSE
    )="",
    "",
    VLOOKUP(
        $A17,
        _xlfn._xlws.FILTER(
            INDIRECT("'"&amp;I$1&amp;"'!A2:G1000"), (INDIRECT("'"&amp;I$1&amp;"'!B2:B1000")=$B17) * (INDIRECT("'"&amp;I$1&amp;"'!C2:C1000")=$C17)
        ),7,
        FALSE
    )
)</f>
        <v/>
      </c>
      <c r="J17" s="52">
        <f t="array" ref="J17">IF(
    VLOOKUP(
        $A17,
        _xlfn._xlws.FILTER(
            INDIRECT("'"&amp;J$1&amp;"'!A2:G1000"), (INDIRECT("'"&amp;J$1&amp;"'!B2:B1000")=$B17) * (INDIRECT("'"&amp;J$1&amp;"'!C2:C1000")=$C17)
        ),
        5,
        FALSE
    )="",
    "",
    VLOOKUP(
        $A17,
        _xlfn._xlws.FILTER(
            INDIRECT("'"&amp;J$1&amp;"'!A2:G1000"), (INDIRECT("'"&amp;J$1&amp;"'!B2:B1000")=$B17) * (INDIRECT("'"&amp;J$1&amp;"'!C2:C1000")=$C17)
        ),7,
        FALSE
    )
)</f>
        <v/>
      </c>
      <c r="K17" s="52">
        <f t="array" ref="K17">IF(
    VLOOKUP(
        $A17,
        _xlfn._xlws.FILTER(
            INDIRECT("'"&amp;K$1&amp;"'!A2:G1000"), (INDIRECT("'"&amp;K$1&amp;"'!B2:B1000")=$B17) * (INDIRECT("'"&amp;K$1&amp;"'!C2:C1000")=$C17)
        ),
        5,
        FALSE
    )="",
    "",
    VLOOKUP(
        $A17,
        _xlfn._xlws.FILTER(
            INDIRECT("'"&amp;K$1&amp;"'!A2:G1000"), (INDIRECT("'"&amp;K$1&amp;"'!B2:B1000")=$B17) * (INDIRECT("'"&amp;K$1&amp;"'!C2:C1000")=$C17)
        ),7,
        FALSE
    )
)</f>
        <v/>
      </c>
      <c r="L17" s="52">
        <f t="array" ref="L17">IF(
    VLOOKUP(
        $A17,
        _xlfn._xlws.FILTER(
            INDIRECT("'"&amp;L$1&amp;"'!A2:G1000"), (INDIRECT("'"&amp;L$1&amp;"'!B2:B1000")=$B17) * (INDIRECT("'"&amp;L$1&amp;"'!C2:C1000")=$C17)
        ),
        5,
        FALSE
    )="",
    "",
    VLOOKUP(
        $A17,
        _xlfn._xlws.FILTER(
            INDIRECT("'"&amp;L$1&amp;"'!A2:G1000"), (INDIRECT("'"&amp;L$1&amp;"'!B2:B1000")=$B17) * (INDIRECT("'"&amp;L$1&amp;"'!C2:C1000")=$C17)
        ),7,
        FALSE
    )
)</f>
        <v/>
      </c>
      <c r="M17" s="52">
        <f t="array" ref="M17">IF(
    VLOOKUP(
        $A17,
        _xlfn._xlws.FILTER(
            INDIRECT("'"&amp;M$1&amp;"'!A2:G1000"), (INDIRECT("'"&amp;M$1&amp;"'!B2:B1000")=$B17) * (INDIRECT("'"&amp;M$1&amp;"'!C2:C1000")=$C17)
        ),
        5,
        FALSE
    )="",
    "",
    VLOOKUP(
        $A17,
        _xlfn._xlws.FILTER(
            INDIRECT("'"&amp;M$1&amp;"'!A2:G1000"), (INDIRECT("'"&amp;M$1&amp;"'!B2:B1000")=$B17) * (INDIRECT("'"&amp;M$1&amp;"'!C2:C1000")=$C17)
        ),7,
        FALSE
    )
)</f>
        <v/>
      </c>
      <c r="N17" s="52">
        <f t="array" ref="N17">IF(
    VLOOKUP(
        $A17,
        _xlfn._xlws.FILTER(
            INDIRECT("'"&amp;N$1&amp;"'!A2:G1000"), (INDIRECT("'"&amp;N$1&amp;"'!B2:B1000")=$B17) * (INDIRECT("'"&amp;N$1&amp;"'!C2:C1000")=$C17)
        ),
        5,
        FALSE
    )="",
    "",
    VLOOKUP(
        $A17,
        _xlfn._xlws.FILTER(
            INDIRECT("'"&amp;N$1&amp;"'!A2:G1000"), (INDIRECT("'"&amp;N$1&amp;"'!B2:B1000")=$B17) * (INDIRECT("'"&amp;N$1&amp;"'!C2:C1000")=$C17)
        ),7,
        FALSE
    )
)</f>
        <v/>
      </c>
      <c r="O17" s="52">
        <f t="array" ref="O17">IF(
    VLOOKUP(
        $A17,
        _xlfn._xlws.FILTER(
            INDIRECT("'"&amp;O$1&amp;"'!A2:G1000"), (INDIRECT("'"&amp;O$1&amp;"'!B2:B1000")=$B17) * (INDIRECT("'"&amp;O$1&amp;"'!C2:C1000")=$C17)
        ),
        5,
        FALSE
    )="",
    "",
    VLOOKUP(
        $A17,
        _xlfn._xlws.FILTER(
            INDIRECT("'"&amp;O$1&amp;"'!A2:G1000"), (INDIRECT("'"&amp;O$1&amp;"'!B2:B1000")=$B17) * (INDIRECT("'"&amp;O$1&amp;"'!C2:C1000")=$C17)
        ),7,
        FALSE
    )
)</f>
        <v/>
      </c>
    </row>
    <row r="18">
      <c r="A18" s="51" t="inlineStr">
        <is>
          <t>Comafen</t>
        </is>
      </c>
      <c r="B18" s="92" t="inlineStr">
        <is>
          <t>Porto Rico</t>
        </is>
      </c>
      <c r="C18" s="95" t="n">
        <v>1</v>
      </c>
      <c r="D18" s="52">
        <f t="array" ref="D18">IF(
    VLOOKUP(
        $A18,
        _xlfn._xlws.FILTER(
            INDIRECT("'"&amp;D$1&amp;"'!A2:G1000"), (INDIRECT("'"&amp;D$1&amp;"'!B2:B1000")=$B18) * (INDIRECT("'"&amp;D$1&amp;"'!C2:C1000")=$C18)
        ),
        5,
        FALSE
    )="",
    "",
    VLOOKUP(
        $A18,
        _xlfn._xlws.FILTER(
            INDIRECT("'"&amp;D$1&amp;"'!A2:G1000"), (INDIRECT("'"&amp;D$1&amp;"'!B2:B1000")=$B18) * (INDIRECT("'"&amp;D$1&amp;"'!C2:C1000")=$C18)
        ),7,
        FALSE
    )
)</f>
        <v/>
      </c>
      <c r="E18" s="52">
        <f t="array" ref="E18">IF(
    VLOOKUP(
        $A18,
        _xlfn._xlws.FILTER(
            INDIRECT("'"&amp;E$1&amp;"'!A2:G1000"), (INDIRECT("'"&amp;E$1&amp;"'!B2:B1000")=$B18) * (INDIRECT("'"&amp;E$1&amp;"'!C2:C1000")=$C18)
        ),
        5,
        FALSE
    )="",
    "",
    VLOOKUP(
        $A18,
        _xlfn._xlws.FILTER(
            INDIRECT("'"&amp;E$1&amp;"'!A2:G1000"), (INDIRECT("'"&amp;E$1&amp;"'!B2:B1000")=$B18) * (INDIRECT("'"&amp;E$1&amp;"'!C2:C1000")=$C18)
        ),7,
        FALSE
    )
)</f>
        <v/>
      </c>
      <c r="F18" s="52">
        <f t="array" ref="F18">IF(
    VLOOKUP(
        $A18,
        _xlfn._xlws.FILTER(
            INDIRECT("'"&amp;F$1&amp;"'!A2:G1000"), (INDIRECT("'"&amp;F$1&amp;"'!B2:B1000")=$B18) * (INDIRECT("'"&amp;F$1&amp;"'!C2:C1000")=$C18)
        ),
        5,
        FALSE
    )="",
    "",
    VLOOKUP(
        $A18,
        _xlfn._xlws.FILTER(
            INDIRECT("'"&amp;F$1&amp;"'!A2:G1000"), (INDIRECT("'"&amp;F$1&amp;"'!B2:B1000")=$B18) * (INDIRECT("'"&amp;F$1&amp;"'!C2:C1000")=$C18)
        ),7,
        FALSE
    )
)</f>
        <v/>
      </c>
      <c r="G18" s="52">
        <f t="array" ref="G18">IF(
    VLOOKUP(
        $A18,
        _xlfn._xlws.FILTER(
            INDIRECT("'"&amp;G$1&amp;"'!A2:G1000"), (INDIRECT("'"&amp;G$1&amp;"'!B2:B1000")=$B18) * (INDIRECT("'"&amp;G$1&amp;"'!C2:C1000")=$C18)
        ),
        5,
        FALSE
    )="",
    "",
    VLOOKUP(
        $A18,
        _xlfn._xlws.FILTER(
            INDIRECT("'"&amp;G$1&amp;"'!A2:G1000"), (INDIRECT("'"&amp;G$1&amp;"'!B2:B1000")=$B18) * (INDIRECT("'"&amp;G$1&amp;"'!C2:C1000")=$C18)
        ),7,
        FALSE
    )
)</f>
        <v/>
      </c>
      <c r="H18" s="52">
        <f t="array" ref="H18">IF(
    VLOOKUP(
        $A18,
        _xlfn._xlws.FILTER(
            INDIRECT("'"&amp;H$1&amp;"'!A2:G1000"), (INDIRECT("'"&amp;H$1&amp;"'!B2:B1000")=$B18) * (INDIRECT("'"&amp;H$1&amp;"'!C2:C1000")=$C18)
        ),
        5,
        FALSE
    )="",
    "",
    VLOOKUP(
        $A18,
        _xlfn._xlws.FILTER(
            INDIRECT("'"&amp;H$1&amp;"'!A2:G1000"), (INDIRECT("'"&amp;H$1&amp;"'!B2:B1000")=$B18) * (INDIRECT("'"&amp;H$1&amp;"'!C2:C1000")=$C18)
        ),7,
        FALSE
    )
)</f>
        <v/>
      </c>
      <c r="I18" s="52">
        <f t="array" ref="I18">IF(
    VLOOKUP(
        $A18,
        _xlfn._xlws.FILTER(
            INDIRECT("'"&amp;I$1&amp;"'!A2:G1000"), (INDIRECT("'"&amp;I$1&amp;"'!B2:B1000")=$B18) * (INDIRECT("'"&amp;I$1&amp;"'!C2:C1000")=$C18)
        ),
        5,
        FALSE
    )="",
    "",
    VLOOKUP(
        $A18,
        _xlfn._xlws.FILTER(
            INDIRECT("'"&amp;I$1&amp;"'!A2:G1000"), (INDIRECT("'"&amp;I$1&amp;"'!B2:B1000")=$B18) * (INDIRECT("'"&amp;I$1&amp;"'!C2:C1000")=$C18)
        ),7,
        FALSE
    )
)</f>
        <v/>
      </c>
      <c r="J18" s="52">
        <f t="array" ref="J18">IF(
    VLOOKUP(
        $A18,
        _xlfn._xlws.FILTER(
            INDIRECT("'"&amp;J$1&amp;"'!A2:G1000"), (INDIRECT("'"&amp;J$1&amp;"'!B2:B1000")=$B18) * (INDIRECT("'"&amp;J$1&amp;"'!C2:C1000")=$C18)
        ),
        5,
        FALSE
    )="",
    "",
    VLOOKUP(
        $A18,
        _xlfn._xlws.FILTER(
            INDIRECT("'"&amp;J$1&amp;"'!A2:G1000"), (INDIRECT("'"&amp;J$1&amp;"'!B2:B1000")=$B18) * (INDIRECT("'"&amp;J$1&amp;"'!C2:C1000")=$C18)
        ),7,
        FALSE
    )
)</f>
        <v/>
      </c>
      <c r="K18" s="52">
        <f t="array" ref="K18">IF(
    VLOOKUP(
        $A18,
        _xlfn._xlws.FILTER(
            INDIRECT("'"&amp;K$1&amp;"'!A2:G1000"), (INDIRECT("'"&amp;K$1&amp;"'!B2:B1000")=$B18) * (INDIRECT("'"&amp;K$1&amp;"'!C2:C1000")=$C18)
        ),
        5,
        FALSE
    )="",
    "",
    VLOOKUP(
        $A18,
        _xlfn._xlws.FILTER(
            INDIRECT("'"&amp;K$1&amp;"'!A2:G1000"), (INDIRECT("'"&amp;K$1&amp;"'!B2:B1000")=$B18) * (INDIRECT("'"&amp;K$1&amp;"'!C2:C1000")=$C18)
        ),7,
        FALSE
    )
)</f>
        <v/>
      </c>
      <c r="L18" s="52">
        <f t="array" ref="L18">IF(
    VLOOKUP(
        $A18,
        _xlfn._xlws.FILTER(
            INDIRECT("'"&amp;L$1&amp;"'!A2:G1000"), (INDIRECT("'"&amp;L$1&amp;"'!B2:B1000")=$B18) * (INDIRECT("'"&amp;L$1&amp;"'!C2:C1000")=$C18)
        ),
        5,
        FALSE
    )="",
    "",
    VLOOKUP(
        $A18,
        _xlfn._xlws.FILTER(
            INDIRECT("'"&amp;L$1&amp;"'!A2:G1000"), (INDIRECT("'"&amp;L$1&amp;"'!B2:B1000")=$B18) * (INDIRECT("'"&amp;L$1&amp;"'!C2:C1000")=$C18)
        ),7,
        FALSE
    )
)</f>
        <v/>
      </c>
      <c r="M18" s="52">
        <f t="array" ref="M18">IF(
    VLOOKUP(
        $A18,
        _xlfn._xlws.FILTER(
            INDIRECT("'"&amp;M$1&amp;"'!A2:G1000"), (INDIRECT("'"&amp;M$1&amp;"'!B2:B1000")=$B18) * (INDIRECT("'"&amp;M$1&amp;"'!C2:C1000")=$C18)
        ),
        5,
        FALSE
    )="",
    "",
    VLOOKUP(
        $A18,
        _xlfn._xlws.FILTER(
            INDIRECT("'"&amp;M$1&amp;"'!A2:G1000"), (INDIRECT("'"&amp;M$1&amp;"'!B2:B1000")=$B18) * (INDIRECT("'"&amp;M$1&amp;"'!C2:C1000")=$C18)
        ),7,
        FALSE
    )
)</f>
        <v/>
      </c>
      <c r="N18" s="52">
        <f t="array" ref="N18">IF(
    VLOOKUP(
        $A18,
        _xlfn._xlws.FILTER(
            INDIRECT("'"&amp;N$1&amp;"'!A2:G1000"), (INDIRECT("'"&amp;N$1&amp;"'!B2:B1000")=$B18) * (INDIRECT("'"&amp;N$1&amp;"'!C2:C1000")=$C18)
        ),
        5,
        FALSE
    )="",
    "",
    VLOOKUP(
        $A18,
        _xlfn._xlws.FILTER(
            INDIRECT("'"&amp;N$1&amp;"'!A2:G1000"), (INDIRECT("'"&amp;N$1&amp;"'!B2:B1000")=$B18) * (INDIRECT("'"&amp;N$1&amp;"'!C2:C1000")=$C18)
        ),7,
        FALSE
    )
)</f>
        <v/>
      </c>
      <c r="O18" s="52">
        <f t="array" ref="O18">IF(
    VLOOKUP(
        $A18,
        _xlfn._xlws.FILTER(
            INDIRECT("'"&amp;O$1&amp;"'!A2:G1000"), (INDIRECT("'"&amp;O$1&amp;"'!B2:B1000")=$B18) * (INDIRECT("'"&amp;O$1&amp;"'!C2:C1000")=$C18)
        ),
        5,
        FALSE
    )="",
    "",
    VLOOKUP(
        $A18,
        _xlfn._xlws.FILTER(
            INDIRECT("'"&amp;O$1&amp;"'!A2:G1000"), (INDIRECT("'"&amp;O$1&amp;"'!B2:B1000")=$B18) * (INDIRECT("'"&amp;O$1&amp;"'!C2:C1000")=$C18)
        ),7,
        FALSE
    )
)</f>
        <v/>
      </c>
    </row>
    <row r="19">
      <c r="A19" s="51" t="inlineStr">
        <is>
          <t>Comafen</t>
        </is>
      </c>
      <c r="B19" s="92" t="inlineStr">
        <is>
          <t>Querencia do Norte</t>
        </is>
      </c>
      <c r="C19" s="95" t="n">
        <v>1</v>
      </c>
      <c r="D19" s="52">
        <f t="array" ref="D19">IF(
    VLOOKUP(
        $A19,
        _xlfn._xlws.FILTER(
            INDIRECT("'"&amp;D$1&amp;"'!A2:G1000"), (INDIRECT("'"&amp;D$1&amp;"'!B2:B1000")=$B19) * (INDIRECT("'"&amp;D$1&amp;"'!C2:C1000")=$C19)
        ),
        5,
        FALSE
    )="",
    "",
    VLOOKUP(
        $A19,
        _xlfn._xlws.FILTER(
            INDIRECT("'"&amp;D$1&amp;"'!A2:G1000"), (INDIRECT("'"&amp;D$1&amp;"'!B2:B1000")=$B19) * (INDIRECT("'"&amp;D$1&amp;"'!C2:C1000")=$C19)
        ),7,
        FALSE
    )
)</f>
        <v/>
      </c>
      <c r="E19" s="52">
        <f t="array" ref="E19">IF(
    VLOOKUP(
        $A19,
        _xlfn._xlws.FILTER(
            INDIRECT("'"&amp;E$1&amp;"'!A2:G1000"), (INDIRECT("'"&amp;E$1&amp;"'!B2:B1000")=$B19) * (INDIRECT("'"&amp;E$1&amp;"'!C2:C1000")=$C19)
        ),
        5,
        FALSE
    )="",
    "",
    VLOOKUP(
        $A19,
        _xlfn._xlws.FILTER(
            INDIRECT("'"&amp;E$1&amp;"'!A2:G1000"), (INDIRECT("'"&amp;E$1&amp;"'!B2:B1000")=$B19) * (INDIRECT("'"&amp;E$1&amp;"'!C2:C1000")=$C19)
        ),7,
        FALSE
    )
)</f>
        <v/>
      </c>
      <c r="F19" s="52">
        <f t="array" ref="F19">IF(
    VLOOKUP(
        $A19,
        _xlfn._xlws.FILTER(
            INDIRECT("'"&amp;F$1&amp;"'!A2:G1000"), (INDIRECT("'"&amp;F$1&amp;"'!B2:B1000")=$B19) * (INDIRECT("'"&amp;F$1&amp;"'!C2:C1000")=$C19)
        ),
        5,
        FALSE
    )="",
    "",
    VLOOKUP(
        $A19,
        _xlfn._xlws.FILTER(
            INDIRECT("'"&amp;F$1&amp;"'!A2:G1000"), (INDIRECT("'"&amp;F$1&amp;"'!B2:B1000")=$B19) * (INDIRECT("'"&amp;F$1&amp;"'!C2:C1000")=$C19)
        ),7,
        FALSE
    )
)</f>
        <v/>
      </c>
      <c r="G19" s="52">
        <f t="array" ref="G19">IF(
    VLOOKUP(
        $A19,
        _xlfn._xlws.FILTER(
            INDIRECT("'"&amp;G$1&amp;"'!A2:G1000"), (INDIRECT("'"&amp;G$1&amp;"'!B2:B1000")=$B19) * (INDIRECT("'"&amp;G$1&amp;"'!C2:C1000")=$C19)
        ),
        5,
        FALSE
    )="",
    "",
    VLOOKUP(
        $A19,
        _xlfn._xlws.FILTER(
            INDIRECT("'"&amp;G$1&amp;"'!A2:G1000"), (INDIRECT("'"&amp;G$1&amp;"'!B2:B1000")=$B19) * (INDIRECT("'"&amp;G$1&amp;"'!C2:C1000")=$C19)
        ),7,
        FALSE
    )
)</f>
        <v/>
      </c>
      <c r="H19" s="52">
        <f t="array" ref="H19">IF(
    VLOOKUP(
        $A19,
        _xlfn._xlws.FILTER(
            INDIRECT("'"&amp;H$1&amp;"'!A2:G1000"), (INDIRECT("'"&amp;H$1&amp;"'!B2:B1000")=$B19) * (INDIRECT("'"&amp;H$1&amp;"'!C2:C1000")=$C19)
        ),
        5,
        FALSE
    )="",
    "",
    VLOOKUP(
        $A19,
        _xlfn._xlws.FILTER(
            INDIRECT("'"&amp;H$1&amp;"'!A2:G1000"), (INDIRECT("'"&amp;H$1&amp;"'!B2:B1000")=$B19) * (INDIRECT("'"&amp;H$1&amp;"'!C2:C1000")=$C19)
        ),7,
        FALSE
    )
)</f>
        <v/>
      </c>
      <c r="I19" s="52">
        <f t="array" ref="I19">IF(
    VLOOKUP(
        $A19,
        _xlfn._xlws.FILTER(
            INDIRECT("'"&amp;I$1&amp;"'!A2:G1000"), (INDIRECT("'"&amp;I$1&amp;"'!B2:B1000")=$B19) * (INDIRECT("'"&amp;I$1&amp;"'!C2:C1000")=$C19)
        ),
        5,
        FALSE
    )="",
    "",
    VLOOKUP(
        $A19,
        _xlfn._xlws.FILTER(
            INDIRECT("'"&amp;I$1&amp;"'!A2:G1000"), (INDIRECT("'"&amp;I$1&amp;"'!B2:B1000")=$B19) * (INDIRECT("'"&amp;I$1&amp;"'!C2:C1000")=$C19)
        ),7,
        FALSE
    )
)</f>
        <v/>
      </c>
      <c r="J19" s="52">
        <f t="array" ref="J19">IF(
    VLOOKUP(
        $A19,
        _xlfn._xlws.FILTER(
            INDIRECT("'"&amp;J$1&amp;"'!A2:G1000"), (INDIRECT("'"&amp;J$1&amp;"'!B2:B1000")=$B19) * (INDIRECT("'"&amp;J$1&amp;"'!C2:C1000")=$C19)
        ),
        5,
        FALSE
    )="",
    "",
    VLOOKUP(
        $A19,
        _xlfn._xlws.FILTER(
            INDIRECT("'"&amp;J$1&amp;"'!A2:G1000"), (INDIRECT("'"&amp;J$1&amp;"'!B2:B1000")=$B19) * (INDIRECT("'"&amp;J$1&amp;"'!C2:C1000")=$C19)
        ),7,
        FALSE
    )
)</f>
        <v/>
      </c>
      <c r="K19" s="52">
        <f t="array" ref="K19">IF(
    VLOOKUP(
        $A19,
        _xlfn._xlws.FILTER(
            INDIRECT("'"&amp;K$1&amp;"'!A2:G1000"), (INDIRECT("'"&amp;K$1&amp;"'!B2:B1000")=$B19) * (INDIRECT("'"&amp;K$1&amp;"'!C2:C1000")=$C19)
        ),
        5,
        FALSE
    )="",
    "",
    VLOOKUP(
        $A19,
        _xlfn._xlws.FILTER(
            INDIRECT("'"&amp;K$1&amp;"'!A2:G1000"), (INDIRECT("'"&amp;K$1&amp;"'!B2:B1000")=$B19) * (INDIRECT("'"&amp;K$1&amp;"'!C2:C1000")=$C19)
        ),7,
        FALSE
    )
)</f>
        <v/>
      </c>
      <c r="L19" s="52">
        <f t="array" ref="L19">IF(
    VLOOKUP(
        $A19,
        _xlfn._xlws.FILTER(
            INDIRECT("'"&amp;L$1&amp;"'!A2:G1000"), (INDIRECT("'"&amp;L$1&amp;"'!B2:B1000")=$B19) * (INDIRECT("'"&amp;L$1&amp;"'!C2:C1000")=$C19)
        ),
        5,
        FALSE
    )="",
    "",
    VLOOKUP(
        $A19,
        _xlfn._xlws.FILTER(
            INDIRECT("'"&amp;L$1&amp;"'!A2:G1000"), (INDIRECT("'"&amp;L$1&amp;"'!B2:B1000")=$B19) * (INDIRECT("'"&amp;L$1&amp;"'!C2:C1000")=$C19)
        ),7,
        FALSE
    )
)</f>
        <v/>
      </c>
      <c r="M19" s="52">
        <f t="array" ref="M19">IF(
    VLOOKUP(
        $A19,
        _xlfn._xlws.FILTER(
            INDIRECT("'"&amp;M$1&amp;"'!A2:G1000"), (INDIRECT("'"&amp;M$1&amp;"'!B2:B1000")=$B19) * (INDIRECT("'"&amp;M$1&amp;"'!C2:C1000")=$C19)
        ),
        5,
        FALSE
    )="",
    "",
    VLOOKUP(
        $A19,
        _xlfn._xlws.FILTER(
            INDIRECT("'"&amp;M$1&amp;"'!A2:G1000"), (INDIRECT("'"&amp;M$1&amp;"'!B2:B1000")=$B19) * (INDIRECT("'"&amp;M$1&amp;"'!C2:C1000")=$C19)
        ),7,
        FALSE
    )
)</f>
        <v/>
      </c>
      <c r="N19" s="52">
        <f t="array" ref="N19">IF(
    VLOOKUP(
        $A19,
        _xlfn._xlws.FILTER(
            INDIRECT("'"&amp;N$1&amp;"'!A2:G1000"), (INDIRECT("'"&amp;N$1&amp;"'!B2:B1000")=$B19) * (INDIRECT("'"&amp;N$1&amp;"'!C2:C1000")=$C19)
        ),
        5,
        FALSE
    )="",
    "",
    VLOOKUP(
        $A19,
        _xlfn._xlws.FILTER(
            INDIRECT("'"&amp;N$1&amp;"'!A2:G1000"), (INDIRECT("'"&amp;N$1&amp;"'!B2:B1000")=$B19) * (INDIRECT("'"&amp;N$1&amp;"'!C2:C1000")=$C19)
        ),7,
        FALSE
    )
)</f>
        <v/>
      </c>
      <c r="O19" s="52">
        <f t="array" ref="O19">IF(
    VLOOKUP(
        $A19,
        _xlfn._xlws.FILTER(
            INDIRECT("'"&amp;O$1&amp;"'!A2:G1000"), (INDIRECT("'"&amp;O$1&amp;"'!B2:B1000")=$B19) * (INDIRECT("'"&amp;O$1&amp;"'!C2:C1000")=$C19)
        ),
        5,
        FALSE
    )="",
    "",
    VLOOKUP(
        $A19,
        _xlfn._xlws.FILTER(
            INDIRECT("'"&amp;O$1&amp;"'!A2:G1000"), (INDIRECT("'"&amp;O$1&amp;"'!B2:B1000")=$B19) * (INDIRECT("'"&amp;O$1&amp;"'!C2:C1000")=$C19)
        ),7,
        FALSE
    )
)</f>
        <v/>
      </c>
    </row>
    <row r="20">
      <c r="A20" s="51" t="inlineStr">
        <is>
          <t>Comafen</t>
        </is>
      </c>
      <c r="B20" s="92" t="inlineStr">
        <is>
          <t>Santa Cruz de Monte Castelo</t>
        </is>
      </c>
      <c r="C20" s="95" t="n">
        <v>1</v>
      </c>
      <c r="D20" s="52">
        <f t="array" ref="D20">IF(
    VLOOKUP(
        $A20,
        _xlfn._xlws.FILTER(
            INDIRECT("'"&amp;D$1&amp;"'!A2:G1000"), (INDIRECT("'"&amp;D$1&amp;"'!B2:B1000")=$B20) * (INDIRECT("'"&amp;D$1&amp;"'!C2:C1000")=$C20)
        ),
        5,
        FALSE
    )="",
    "",
    VLOOKUP(
        $A20,
        _xlfn._xlws.FILTER(
            INDIRECT("'"&amp;D$1&amp;"'!A2:G1000"), (INDIRECT("'"&amp;D$1&amp;"'!B2:B1000")=$B20) * (INDIRECT("'"&amp;D$1&amp;"'!C2:C1000")=$C20)
        ),7,
        FALSE
    )
)</f>
        <v/>
      </c>
      <c r="E20" s="52">
        <f t="array" ref="E20">IF(
    VLOOKUP(
        $A20,
        _xlfn._xlws.FILTER(
            INDIRECT("'"&amp;E$1&amp;"'!A2:G1000"), (INDIRECT("'"&amp;E$1&amp;"'!B2:B1000")=$B20) * (INDIRECT("'"&amp;E$1&amp;"'!C2:C1000")=$C20)
        ),
        5,
        FALSE
    )="",
    "",
    VLOOKUP(
        $A20,
        _xlfn._xlws.FILTER(
            INDIRECT("'"&amp;E$1&amp;"'!A2:G1000"), (INDIRECT("'"&amp;E$1&amp;"'!B2:B1000")=$B20) * (INDIRECT("'"&amp;E$1&amp;"'!C2:C1000")=$C20)
        ),7,
        FALSE
    )
)</f>
        <v/>
      </c>
      <c r="F20" s="52">
        <f t="array" ref="F20">IF(
    VLOOKUP(
        $A20,
        _xlfn._xlws.FILTER(
            INDIRECT("'"&amp;F$1&amp;"'!A2:G1000"), (INDIRECT("'"&amp;F$1&amp;"'!B2:B1000")=$B20) * (INDIRECT("'"&amp;F$1&amp;"'!C2:C1000")=$C20)
        ),
        5,
        FALSE
    )="",
    "",
    VLOOKUP(
        $A20,
        _xlfn._xlws.FILTER(
            INDIRECT("'"&amp;F$1&amp;"'!A2:G1000"), (INDIRECT("'"&amp;F$1&amp;"'!B2:B1000")=$B20) * (INDIRECT("'"&amp;F$1&amp;"'!C2:C1000")=$C20)
        ),7,
        FALSE
    )
)</f>
        <v/>
      </c>
      <c r="G20" s="52">
        <f t="array" ref="G20">IF(
    VLOOKUP(
        $A20,
        _xlfn._xlws.FILTER(
            INDIRECT("'"&amp;G$1&amp;"'!A2:G1000"), (INDIRECT("'"&amp;G$1&amp;"'!B2:B1000")=$B20) * (INDIRECT("'"&amp;G$1&amp;"'!C2:C1000")=$C20)
        ),
        5,
        FALSE
    )="",
    "",
    VLOOKUP(
        $A20,
        _xlfn._xlws.FILTER(
            INDIRECT("'"&amp;G$1&amp;"'!A2:G1000"), (INDIRECT("'"&amp;G$1&amp;"'!B2:B1000")=$B20) * (INDIRECT("'"&amp;G$1&amp;"'!C2:C1000")=$C20)
        ),7,
        FALSE
    )
)</f>
        <v/>
      </c>
      <c r="H20" s="52">
        <f t="array" ref="H20">IF(
    VLOOKUP(
        $A20,
        _xlfn._xlws.FILTER(
            INDIRECT("'"&amp;H$1&amp;"'!A2:G1000"), (INDIRECT("'"&amp;H$1&amp;"'!B2:B1000")=$B20) * (INDIRECT("'"&amp;H$1&amp;"'!C2:C1000")=$C20)
        ),
        5,
        FALSE
    )="",
    "",
    VLOOKUP(
        $A20,
        _xlfn._xlws.FILTER(
            INDIRECT("'"&amp;H$1&amp;"'!A2:G1000"), (INDIRECT("'"&amp;H$1&amp;"'!B2:B1000")=$B20) * (INDIRECT("'"&amp;H$1&amp;"'!C2:C1000")=$C20)
        ),7,
        FALSE
    )
)</f>
        <v/>
      </c>
      <c r="I20" s="52">
        <f t="array" ref="I20">IF(
    VLOOKUP(
        $A20,
        _xlfn._xlws.FILTER(
            INDIRECT("'"&amp;I$1&amp;"'!A2:G1000"), (INDIRECT("'"&amp;I$1&amp;"'!B2:B1000")=$B20) * (INDIRECT("'"&amp;I$1&amp;"'!C2:C1000")=$C20)
        ),
        5,
        FALSE
    )="",
    "",
    VLOOKUP(
        $A20,
        _xlfn._xlws.FILTER(
            INDIRECT("'"&amp;I$1&amp;"'!A2:G1000"), (INDIRECT("'"&amp;I$1&amp;"'!B2:B1000")=$B20) * (INDIRECT("'"&amp;I$1&amp;"'!C2:C1000")=$C20)
        ),7,
        FALSE
    )
)</f>
        <v/>
      </c>
      <c r="J20" s="52">
        <f t="array" ref="J20">IF(
    VLOOKUP(
        $A20,
        _xlfn._xlws.FILTER(
            INDIRECT("'"&amp;J$1&amp;"'!A2:G1000"), (INDIRECT("'"&amp;J$1&amp;"'!B2:B1000")=$B20) * (INDIRECT("'"&amp;J$1&amp;"'!C2:C1000")=$C20)
        ),
        5,
        FALSE
    )="",
    "",
    VLOOKUP(
        $A20,
        _xlfn._xlws.FILTER(
            INDIRECT("'"&amp;J$1&amp;"'!A2:G1000"), (INDIRECT("'"&amp;J$1&amp;"'!B2:B1000")=$B20) * (INDIRECT("'"&amp;J$1&amp;"'!C2:C1000")=$C20)
        ),7,
        FALSE
    )
)</f>
        <v/>
      </c>
      <c r="K20" s="52">
        <f t="array" ref="K20">IF(
    VLOOKUP(
        $A20,
        _xlfn._xlws.FILTER(
            INDIRECT("'"&amp;K$1&amp;"'!A2:G1000"), (INDIRECT("'"&amp;K$1&amp;"'!B2:B1000")=$B20) * (INDIRECT("'"&amp;K$1&amp;"'!C2:C1000")=$C20)
        ),
        5,
        FALSE
    )="",
    "",
    VLOOKUP(
        $A20,
        _xlfn._xlws.FILTER(
            INDIRECT("'"&amp;K$1&amp;"'!A2:G1000"), (INDIRECT("'"&amp;K$1&amp;"'!B2:B1000")=$B20) * (INDIRECT("'"&amp;K$1&amp;"'!C2:C1000")=$C20)
        ),7,
        FALSE
    )
)</f>
        <v/>
      </c>
      <c r="L20" s="52">
        <f t="array" ref="L20">IF(
    VLOOKUP(
        $A20,
        _xlfn._xlws.FILTER(
            INDIRECT("'"&amp;L$1&amp;"'!A2:G1000"), (INDIRECT("'"&amp;L$1&amp;"'!B2:B1000")=$B20) * (INDIRECT("'"&amp;L$1&amp;"'!C2:C1000")=$C20)
        ),
        5,
        FALSE
    )="",
    "",
    VLOOKUP(
        $A20,
        _xlfn._xlws.FILTER(
            INDIRECT("'"&amp;L$1&amp;"'!A2:G1000"), (INDIRECT("'"&amp;L$1&amp;"'!B2:B1000")=$B20) * (INDIRECT("'"&amp;L$1&amp;"'!C2:C1000")=$C20)
        ),7,
        FALSE
    )
)</f>
        <v/>
      </c>
      <c r="M20" s="52">
        <f t="array" ref="M20">IF(
    VLOOKUP(
        $A20,
        _xlfn._xlws.FILTER(
            INDIRECT("'"&amp;M$1&amp;"'!A2:G1000"), (INDIRECT("'"&amp;M$1&amp;"'!B2:B1000")=$B20) * (INDIRECT("'"&amp;M$1&amp;"'!C2:C1000")=$C20)
        ),
        5,
        FALSE
    )="",
    "",
    VLOOKUP(
        $A20,
        _xlfn._xlws.FILTER(
            INDIRECT("'"&amp;M$1&amp;"'!A2:G1000"), (INDIRECT("'"&amp;M$1&amp;"'!B2:B1000")=$B20) * (INDIRECT("'"&amp;M$1&amp;"'!C2:C1000")=$C20)
        ),7,
        FALSE
    )
)</f>
        <v/>
      </c>
      <c r="N20" s="52">
        <f t="array" ref="N20">IF(
    VLOOKUP(
        $A20,
        _xlfn._xlws.FILTER(
            INDIRECT("'"&amp;N$1&amp;"'!A2:G1000"), (INDIRECT("'"&amp;N$1&amp;"'!B2:B1000")=$B20) * (INDIRECT("'"&amp;N$1&amp;"'!C2:C1000")=$C20)
        ),
        5,
        FALSE
    )="",
    "",
    VLOOKUP(
        $A20,
        _xlfn._xlws.FILTER(
            INDIRECT("'"&amp;N$1&amp;"'!A2:G1000"), (INDIRECT("'"&amp;N$1&amp;"'!B2:B1000")=$B20) * (INDIRECT("'"&amp;N$1&amp;"'!C2:C1000")=$C20)
        ),7,
        FALSE
    )
)</f>
        <v/>
      </c>
      <c r="O20" s="52">
        <f t="array" ref="O20">IF(
    VLOOKUP(
        $A20,
        _xlfn._xlws.FILTER(
            INDIRECT("'"&amp;O$1&amp;"'!A2:G1000"), (INDIRECT("'"&amp;O$1&amp;"'!B2:B1000")=$B20) * (INDIRECT("'"&amp;O$1&amp;"'!C2:C1000")=$C20)
        ),
        5,
        FALSE
    )="",
    "",
    VLOOKUP(
        $A20,
        _xlfn._xlws.FILTER(
            INDIRECT("'"&amp;O$1&amp;"'!A2:G1000"), (INDIRECT("'"&amp;O$1&amp;"'!B2:B1000")=$B20) * (INDIRECT("'"&amp;O$1&amp;"'!C2:C1000")=$C20)
        ),7,
        FALSE
    )
)</f>
        <v/>
      </c>
    </row>
    <row r="21">
      <c r="A21" s="51" t="inlineStr">
        <is>
          <t>Comafen</t>
        </is>
      </c>
      <c r="B21" s="92" t="inlineStr">
        <is>
          <t>Santa Isabel do Ivai</t>
        </is>
      </c>
      <c r="C21" s="95" t="n">
        <v>1</v>
      </c>
      <c r="D21" s="52">
        <f t="array" ref="D21">IF(
    VLOOKUP(
        $A21,
        _xlfn._xlws.FILTER(
            INDIRECT("'"&amp;D$1&amp;"'!A2:G1000"), (INDIRECT("'"&amp;D$1&amp;"'!B2:B1000")=$B21) * (INDIRECT("'"&amp;D$1&amp;"'!C2:C1000")=$C21)
        ),
        5,
        FALSE
    )="",
    "",
    VLOOKUP(
        $A21,
        _xlfn._xlws.FILTER(
            INDIRECT("'"&amp;D$1&amp;"'!A2:G1000"), (INDIRECT("'"&amp;D$1&amp;"'!B2:B1000")=$B21) * (INDIRECT("'"&amp;D$1&amp;"'!C2:C1000")=$C21)
        ),7,
        FALSE
    )
)</f>
        <v/>
      </c>
      <c r="E21" s="52">
        <f t="array" ref="E21">IF(
    VLOOKUP(
        $A21,
        _xlfn._xlws.FILTER(
            INDIRECT("'"&amp;E$1&amp;"'!A2:G1000"), (INDIRECT("'"&amp;E$1&amp;"'!B2:B1000")=$B21) * (INDIRECT("'"&amp;E$1&amp;"'!C2:C1000")=$C21)
        ),
        5,
        FALSE
    )="",
    "",
    VLOOKUP(
        $A21,
        _xlfn._xlws.FILTER(
            INDIRECT("'"&amp;E$1&amp;"'!A2:G1000"), (INDIRECT("'"&amp;E$1&amp;"'!B2:B1000")=$B21) * (INDIRECT("'"&amp;E$1&amp;"'!C2:C1000")=$C21)
        ),7,
        FALSE
    )
)</f>
        <v/>
      </c>
      <c r="F21" s="52">
        <f t="array" ref="F21">IF(
    VLOOKUP(
        $A21,
        _xlfn._xlws.FILTER(
            INDIRECT("'"&amp;F$1&amp;"'!A2:G1000"), (INDIRECT("'"&amp;F$1&amp;"'!B2:B1000")=$B21) * (INDIRECT("'"&amp;F$1&amp;"'!C2:C1000")=$C21)
        ),
        5,
        FALSE
    )="",
    "",
    VLOOKUP(
        $A21,
        _xlfn._xlws.FILTER(
            INDIRECT("'"&amp;F$1&amp;"'!A2:G1000"), (INDIRECT("'"&amp;F$1&amp;"'!B2:B1000")=$B21) * (INDIRECT("'"&amp;F$1&amp;"'!C2:C1000")=$C21)
        ),7,
        FALSE
    )
)</f>
        <v/>
      </c>
      <c r="G21" s="52">
        <f t="array" ref="G21">IF(
    VLOOKUP(
        $A21,
        _xlfn._xlws.FILTER(
            INDIRECT("'"&amp;G$1&amp;"'!A2:G1000"), (INDIRECT("'"&amp;G$1&amp;"'!B2:B1000")=$B21) * (INDIRECT("'"&amp;G$1&amp;"'!C2:C1000")=$C21)
        ),
        5,
        FALSE
    )="",
    "",
    VLOOKUP(
        $A21,
        _xlfn._xlws.FILTER(
            INDIRECT("'"&amp;G$1&amp;"'!A2:G1000"), (INDIRECT("'"&amp;G$1&amp;"'!B2:B1000")=$B21) * (INDIRECT("'"&amp;G$1&amp;"'!C2:C1000")=$C21)
        ),7,
        FALSE
    )
)</f>
        <v/>
      </c>
      <c r="H21" s="52">
        <f t="array" ref="H21">IF(
    VLOOKUP(
        $A21,
        _xlfn._xlws.FILTER(
            INDIRECT("'"&amp;H$1&amp;"'!A2:G1000"), (INDIRECT("'"&amp;H$1&amp;"'!B2:B1000")=$B21) * (INDIRECT("'"&amp;H$1&amp;"'!C2:C1000")=$C21)
        ),
        5,
        FALSE
    )="",
    "",
    VLOOKUP(
        $A21,
        _xlfn._xlws.FILTER(
            INDIRECT("'"&amp;H$1&amp;"'!A2:G1000"), (INDIRECT("'"&amp;H$1&amp;"'!B2:B1000")=$B21) * (INDIRECT("'"&amp;H$1&amp;"'!C2:C1000")=$C21)
        ),7,
        FALSE
    )
)</f>
        <v/>
      </c>
      <c r="I21" s="52">
        <f t="array" ref="I21">IF(
    VLOOKUP(
        $A21,
        _xlfn._xlws.FILTER(
            INDIRECT("'"&amp;I$1&amp;"'!A2:G1000"), (INDIRECT("'"&amp;I$1&amp;"'!B2:B1000")=$B21) * (INDIRECT("'"&amp;I$1&amp;"'!C2:C1000")=$C21)
        ),
        5,
        FALSE
    )="",
    "",
    VLOOKUP(
        $A21,
        _xlfn._xlws.FILTER(
            INDIRECT("'"&amp;I$1&amp;"'!A2:G1000"), (INDIRECT("'"&amp;I$1&amp;"'!B2:B1000")=$B21) * (INDIRECT("'"&amp;I$1&amp;"'!C2:C1000")=$C21)
        ),7,
        FALSE
    )
)</f>
        <v/>
      </c>
      <c r="J21" s="52">
        <f t="array" ref="J21">IF(
    VLOOKUP(
        $A21,
        _xlfn._xlws.FILTER(
            INDIRECT("'"&amp;J$1&amp;"'!A2:G1000"), (INDIRECT("'"&amp;J$1&amp;"'!B2:B1000")=$B21) * (INDIRECT("'"&amp;J$1&amp;"'!C2:C1000")=$C21)
        ),
        5,
        FALSE
    )="",
    "",
    VLOOKUP(
        $A21,
        _xlfn._xlws.FILTER(
            INDIRECT("'"&amp;J$1&amp;"'!A2:G1000"), (INDIRECT("'"&amp;J$1&amp;"'!B2:B1000")=$B21) * (INDIRECT("'"&amp;J$1&amp;"'!C2:C1000")=$C21)
        ),7,
        FALSE
    )
)</f>
        <v/>
      </c>
      <c r="K21" s="52">
        <f t="array" ref="K21">IF(
    VLOOKUP(
        $A21,
        _xlfn._xlws.FILTER(
            INDIRECT("'"&amp;K$1&amp;"'!A2:G1000"), (INDIRECT("'"&amp;K$1&amp;"'!B2:B1000")=$B21) * (INDIRECT("'"&amp;K$1&amp;"'!C2:C1000")=$C21)
        ),
        5,
        FALSE
    )="",
    "",
    VLOOKUP(
        $A21,
        _xlfn._xlws.FILTER(
            INDIRECT("'"&amp;K$1&amp;"'!A2:G1000"), (INDIRECT("'"&amp;K$1&amp;"'!B2:B1000")=$B21) * (INDIRECT("'"&amp;K$1&amp;"'!C2:C1000")=$C21)
        ),7,
        FALSE
    )
)</f>
        <v/>
      </c>
      <c r="L21" s="52">
        <f t="array" ref="L21">IF(
    VLOOKUP(
        $A21,
        _xlfn._xlws.FILTER(
            INDIRECT("'"&amp;L$1&amp;"'!A2:G1000"), (INDIRECT("'"&amp;L$1&amp;"'!B2:B1000")=$B21) * (INDIRECT("'"&amp;L$1&amp;"'!C2:C1000")=$C21)
        ),
        5,
        FALSE
    )="",
    "",
    VLOOKUP(
        $A21,
        _xlfn._xlws.FILTER(
            INDIRECT("'"&amp;L$1&amp;"'!A2:G1000"), (INDIRECT("'"&amp;L$1&amp;"'!B2:B1000")=$B21) * (INDIRECT("'"&amp;L$1&amp;"'!C2:C1000")=$C21)
        ),7,
        FALSE
    )
)</f>
        <v/>
      </c>
      <c r="M21" s="52">
        <f t="array" ref="M21">IF(
    VLOOKUP(
        $A21,
        _xlfn._xlws.FILTER(
            INDIRECT("'"&amp;M$1&amp;"'!A2:G1000"), (INDIRECT("'"&amp;M$1&amp;"'!B2:B1000")=$B21) * (INDIRECT("'"&amp;M$1&amp;"'!C2:C1000")=$C21)
        ),
        5,
        FALSE
    )="",
    "",
    VLOOKUP(
        $A21,
        _xlfn._xlws.FILTER(
            INDIRECT("'"&amp;M$1&amp;"'!A2:G1000"), (INDIRECT("'"&amp;M$1&amp;"'!B2:B1000")=$B21) * (INDIRECT("'"&amp;M$1&amp;"'!C2:C1000")=$C21)
        ),7,
        FALSE
    )
)</f>
        <v/>
      </c>
      <c r="N21" s="52">
        <f t="array" ref="N21">IF(
    VLOOKUP(
        $A21,
        _xlfn._xlws.FILTER(
            INDIRECT("'"&amp;N$1&amp;"'!A2:G1000"), (INDIRECT("'"&amp;N$1&amp;"'!B2:B1000")=$B21) * (INDIRECT("'"&amp;N$1&amp;"'!C2:C1000")=$C21)
        ),
        5,
        FALSE
    )="",
    "",
    VLOOKUP(
        $A21,
        _xlfn._xlws.FILTER(
            INDIRECT("'"&amp;N$1&amp;"'!A2:G1000"), (INDIRECT("'"&amp;N$1&amp;"'!B2:B1000")=$B21) * (INDIRECT("'"&amp;N$1&amp;"'!C2:C1000")=$C21)
        ),7,
        FALSE
    )
)</f>
        <v/>
      </c>
      <c r="O21" s="52">
        <f t="array" ref="O21">IF(
    VLOOKUP(
        $A21,
        _xlfn._xlws.FILTER(
            INDIRECT("'"&amp;O$1&amp;"'!A2:G1000"), (INDIRECT("'"&amp;O$1&amp;"'!B2:B1000")=$B21) * (INDIRECT("'"&amp;O$1&amp;"'!C2:C1000")=$C21)
        ),
        5,
        FALSE
    )="",
    "",
    VLOOKUP(
        $A21,
        _xlfn._xlws.FILTER(
            INDIRECT("'"&amp;O$1&amp;"'!A2:G1000"), (INDIRECT("'"&amp;O$1&amp;"'!B2:B1000")=$B21) * (INDIRECT("'"&amp;O$1&amp;"'!C2:C1000")=$C21)
        ),7,
        FALSE
    )
)</f>
        <v/>
      </c>
    </row>
    <row r="22">
      <c r="A22" s="51" t="inlineStr">
        <is>
          <t>Comafen</t>
        </is>
      </c>
      <c r="B22" s="92" t="inlineStr">
        <is>
          <t>São Pedro do Paraná</t>
        </is>
      </c>
      <c r="C22" s="95" t="n">
        <v>1</v>
      </c>
      <c r="D22" s="52">
        <f t="array" ref="D22">IF(
    VLOOKUP(
        $A22,
        _xlfn._xlws.FILTER(
            INDIRECT("'"&amp;D$1&amp;"'!A2:G1000"), (INDIRECT("'"&amp;D$1&amp;"'!B2:B1000")=$B22) * (INDIRECT("'"&amp;D$1&amp;"'!C2:C1000")=$C22)
        ),
        5,
        FALSE
    )="",
    "",
    VLOOKUP(
        $A22,
        _xlfn._xlws.FILTER(
            INDIRECT("'"&amp;D$1&amp;"'!A2:G1000"), (INDIRECT("'"&amp;D$1&amp;"'!B2:B1000")=$B22) * (INDIRECT("'"&amp;D$1&amp;"'!C2:C1000")=$C22)
        ),7,
        FALSE
    )
)</f>
        <v/>
      </c>
      <c r="E22" s="52">
        <f t="array" ref="E22">IF(
    VLOOKUP(
        $A22,
        _xlfn._xlws.FILTER(
            INDIRECT("'"&amp;E$1&amp;"'!A2:G1000"), (INDIRECT("'"&amp;E$1&amp;"'!B2:B1000")=$B22) * (INDIRECT("'"&amp;E$1&amp;"'!C2:C1000")=$C22)
        ),
        5,
        FALSE
    )="",
    "",
    VLOOKUP(
        $A22,
        _xlfn._xlws.FILTER(
            INDIRECT("'"&amp;E$1&amp;"'!A2:G1000"), (INDIRECT("'"&amp;E$1&amp;"'!B2:B1000")=$B22) * (INDIRECT("'"&amp;E$1&amp;"'!C2:C1000")=$C22)
        ),7,
        FALSE
    )
)</f>
        <v/>
      </c>
      <c r="F22" s="52">
        <f t="array" ref="F22">IF(
    VLOOKUP(
        $A22,
        _xlfn._xlws.FILTER(
            INDIRECT("'"&amp;F$1&amp;"'!A2:G1000"), (INDIRECT("'"&amp;F$1&amp;"'!B2:B1000")=$B22) * (INDIRECT("'"&amp;F$1&amp;"'!C2:C1000")=$C22)
        ),
        5,
        FALSE
    )="",
    "",
    VLOOKUP(
        $A22,
        _xlfn._xlws.FILTER(
            INDIRECT("'"&amp;F$1&amp;"'!A2:G1000"), (INDIRECT("'"&amp;F$1&amp;"'!B2:B1000")=$B22) * (INDIRECT("'"&amp;F$1&amp;"'!C2:C1000")=$C22)
        ),7,
        FALSE
    )
)</f>
        <v/>
      </c>
      <c r="G22" s="52">
        <f t="array" ref="G22">IF(
    VLOOKUP(
        $A22,
        _xlfn._xlws.FILTER(
            INDIRECT("'"&amp;G$1&amp;"'!A2:G1000"), (INDIRECT("'"&amp;G$1&amp;"'!B2:B1000")=$B22) * (INDIRECT("'"&amp;G$1&amp;"'!C2:C1000")=$C22)
        ),
        5,
        FALSE
    )="",
    "",
    VLOOKUP(
        $A22,
        _xlfn._xlws.FILTER(
            INDIRECT("'"&amp;G$1&amp;"'!A2:G1000"), (INDIRECT("'"&amp;G$1&amp;"'!B2:B1000")=$B22) * (INDIRECT("'"&amp;G$1&amp;"'!C2:C1000")=$C22)
        ),7,
        FALSE
    )
)</f>
        <v/>
      </c>
      <c r="H22" s="52">
        <f t="array" ref="H22">IF(
    VLOOKUP(
        $A22,
        _xlfn._xlws.FILTER(
            INDIRECT("'"&amp;H$1&amp;"'!A2:G1000"), (INDIRECT("'"&amp;H$1&amp;"'!B2:B1000")=$B22) * (INDIRECT("'"&amp;H$1&amp;"'!C2:C1000")=$C22)
        ),
        5,
        FALSE
    )="",
    "",
    VLOOKUP(
        $A22,
        _xlfn._xlws.FILTER(
            INDIRECT("'"&amp;H$1&amp;"'!A2:G1000"), (INDIRECT("'"&amp;H$1&amp;"'!B2:B1000")=$B22) * (INDIRECT("'"&amp;H$1&amp;"'!C2:C1000")=$C22)
        ),7,
        FALSE
    )
)</f>
        <v/>
      </c>
      <c r="I22" s="52">
        <f t="array" ref="I22">IF(
    VLOOKUP(
        $A22,
        _xlfn._xlws.FILTER(
            INDIRECT("'"&amp;I$1&amp;"'!A2:G1000"), (INDIRECT("'"&amp;I$1&amp;"'!B2:B1000")=$B22) * (INDIRECT("'"&amp;I$1&amp;"'!C2:C1000")=$C22)
        ),
        5,
        FALSE
    )="",
    "",
    VLOOKUP(
        $A22,
        _xlfn._xlws.FILTER(
            INDIRECT("'"&amp;I$1&amp;"'!A2:G1000"), (INDIRECT("'"&amp;I$1&amp;"'!B2:B1000")=$B22) * (INDIRECT("'"&amp;I$1&amp;"'!C2:C1000")=$C22)
        ),7,
        FALSE
    )
)</f>
        <v/>
      </c>
      <c r="J22" s="52">
        <f t="array" ref="J22">IF(
    VLOOKUP(
        $A22,
        _xlfn._xlws.FILTER(
            INDIRECT("'"&amp;J$1&amp;"'!A2:G1000"), (INDIRECT("'"&amp;J$1&amp;"'!B2:B1000")=$B22) * (INDIRECT("'"&amp;J$1&amp;"'!C2:C1000")=$C22)
        ),
        5,
        FALSE
    )="",
    "",
    VLOOKUP(
        $A22,
        _xlfn._xlws.FILTER(
            INDIRECT("'"&amp;J$1&amp;"'!A2:G1000"), (INDIRECT("'"&amp;J$1&amp;"'!B2:B1000")=$B22) * (INDIRECT("'"&amp;J$1&amp;"'!C2:C1000")=$C22)
        ),7,
        FALSE
    )
)</f>
        <v/>
      </c>
      <c r="K22" s="52">
        <f t="array" ref="K22">IF(
    VLOOKUP(
        $A22,
        _xlfn._xlws.FILTER(
            INDIRECT("'"&amp;K$1&amp;"'!A2:G1000"), (INDIRECT("'"&amp;K$1&amp;"'!B2:B1000")=$B22) * (INDIRECT("'"&amp;K$1&amp;"'!C2:C1000")=$C22)
        ),
        5,
        FALSE
    )="",
    "",
    VLOOKUP(
        $A22,
        _xlfn._xlws.FILTER(
            INDIRECT("'"&amp;K$1&amp;"'!A2:G1000"), (INDIRECT("'"&amp;K$1&amp;"'!B2:B1000")=$B22) * (INDIRECT("'"&amp;K$1&amp;"'!C2:C1000")=$C22)
        ),7,
        FALSE
    )
)</f>
        <v/>
      </c>
      <c r="L22" s="52">
        <f t="array" ref="L22">IF(
    VLOOKUP(
        $A22,
        _xlfn._xlws.FILTER(
            INDIRECT("'"&amp;L$1&amp;"'!A2:G1000"), (INDIRECT("'"&amp;L$1&amp;"'!B2:B1000")=$B22) * (INDIRECT("'"&amp;L$1&amp;"'!C2:C1000")=$C22)
        ),
        5,
        FALSE
    )="",
    "",
    VLOOKUP(
        $A22,
        _xlfn._xlws.FILTER(
            INDIRECT("'"&amp;L$1&amp;"'!A2:G1000"), (INDIRECT("'"&amp;L$1&amp;"'!B2:B1000")=$B22) * (INDIRECT("'"&amp;L$1&amp;"'!C2:C1000")=$C22)
        ),7,
        FALSE
    )
)</f>
        <v/>
      </c>
      <c r="M22" s="52">
        <f t="array" ref="M22">IF(
    VLOOKUP(
        $A22,
        _xlfn._xlws.FILTER(
            INDIRECT("'"&amp;M$1&amp;"'!A2:G1000"), (INDIRECT("'"&amp;M$1&amp;"'!B2:B1000")=$B22) * (INDIRECT("'"&amp;M$1&amp;"'!C2:C1000")=$C22)
        ),
        5,
        FALSE
    )="",
    "",
    VLOOKUP(
        $A22,
        _xlfn._xlws.FILTER(
            INDIRECT("'"&amp;M$1&amp;"'!A2:G1000"), (INDIRECT("'"&amp;M$1&amp;"'!B2:B1000")=$B22) * (INDIRECT("'"&amp;M$1&amp;"'!C2:C1000")=$C22)
        ),7,
        FALSE
    )
)</f>
        <v/>
      </c>
      <c r="N22" s="52">
        <f t="array" ref="N22">IF(
    VLOOKUP(
        $A22,
        _xlfn._xlws.FILTER(
            INDIRECT("'"&amp;N$1&amp;"'!A2:G1000"), (INDIRECT("'"&amp;N$1&amp;"'!B2:B1000")=$B22) * (INDIRECT("'"&amp;N$1&amp;"'!C2:C1000")=$C22)
        ),
        5,
        FALSE
    )="",
    "",
    VLOOKUP(
        $A22,
        _xlfn._xlws.FILTER(
            INDIRECT("'"&amp;N$1&amp;"'!A2:G1000"), (INDIRECT("'"&amp;N$1&amp;"'!B2:B1000")=$B22) * (INDIRECT("'"&amp;N$1&amp;"'!C2:C1000")=$C22)
        ),7,
        FALSE
    )
)</f>
        <v/>
      </c>
      <c r="O22" s="52">
        <f t="array" ref="O22">IF(
    VLOOKUP(
        $A22,
        _xlfn._xlws.FILTER(
            INDIRECT("'"&amp;O$1&amp;"'!A2:G1000"), (INDIRECT("'"&amp;O$1&amp;"'!B2:B1000")=$B22) * (INDIRECT("'"&amp;O$1&amp;"'!C2:C1000")=$C22)
        ),
        5,
        FALSE
    )="",
    "",
    VLOOKUP(
        $A22,
        _xlfn._xlws.FILTER(
            INDIRECT("'"&amp;O$1&amp;"'!A2:G1000"), (INDIRECT("'"&amp;O$1&amp;"'!B2:B1000")=$B22) * (INDIRECT("'"&amp;O$1&amp;"'!C2:C1000")=$C22)
        ),7,
        FALSE
    )
)</f>
        <v/>
      </c>
    </row>
    <row r="23">
      <c r="B23" s="94" t="n"/>
    </row>
    <row r="24" ht="15.75" customHeight="1">
      <c r="A24" s="89" t="inlineStr">
        <is>
          <t>Regional</t>
        </is>
      </c>
      <c r="B24" s="89" t="inlineStr">
        <is>
          <t>Municípios</t>
        </is>
      </c>
      <c r="C24" s="89" t="inlineStr">
        <is>
          <t>UVR</t>
        </is>
      </c>
      <c r="D24" s="97" t="inlineStr">
        <is>
          <t>01.25</t>
        </is>
      </c>
      <c r="E24" s="97" t="inlineStr">
        <is>
          <t>02.25</t>
        </is>
      </c>
      <c r="F24" s="97" t="inlineStr">
        <is>
          <t>03.25</t>
        </is>
      </c>
      <c r="G24" s="97" t="inlineStr">
        <is>
          <t>04.25</t>
        </is>
      </c>
      <c r="H24" s="97" t="inlineStr">
        <is>
          <t>05.25</t>
        </is>
      </c>
      <c r="I24" s="97" t="inlineStr">
        <is>
          <t>06.25</t>
        </is>
      </c>
      <c r="J24" s="97" t="inlineStr">
        <is>
          <t>07.25</t>
        </is>
      </c>
      <c r="K24" s="97" t="inlineStr">
        <is>
          <t>08.25</t>
        </is>
      </c>
      <c r="L24" s="97" t="inlineStr">
        <is>
          <t>09.25</t>
        </is>
      </c>
      <c r="M24" s="97" t="inlineStr">
        <is>
          <t>10.25</t>
        </is>
      </c>
      <c r="N24" s="97" t="inlineStr">
        <is>
          <t>11.25</t>
        </is>
      </c>
      <c r="O24" s="97" t="inlineStr">
        <is>
          <t>12.25</t>
        </is>
      </c>
    </row>
    <row r="25">
      <c r="A25" s="54" t="inlineStr">
        <is>
          <t>Cibax</t>
        </is>
      </c>
      <c r="B25" s="92" t="inlineStr">
        <is>
          <t>Alto Piquiri</t>
        </is>
      </c>
      <c r="C25" s="95" t="n">
        <v>1</v>
      </c>
      <c r="D25" s="52">
        <f t="array" ref="D25">IF(
    VLOOKUP(
        $A25,
        _xlfn._xlws.FILTER(
            INDIRECT("'"&amp;D$1&amp;"'!A2:G1000"), (INDIRECT("'"&amp;D$1&amp;"'!B2:B1000")=$B25) * (INDIRECT("'"&amp;D$1&amp;"'!C2:C1000")=$C25)
        ),
        5,
        FALSE
    )="",
    "",
    VLOOKUP(
        $A25,
        _xlfn._xlws.FILTER(
            INDIRECT("'"&amp;D$1&amp;"'!A2:G1000"), (INDIRECT("'"&amp;D$1&amp;"'!B2:B1000")=$B25) * (INDIRECT("'"&amp;D$1&amp;"'!C2:C1000")=$C25)
        ),7,
        FALSE
    )
)</f>
        <v/>
      </c>
      <c r="E25" s="52">
        <f t="array" ref="E25">IF(
    VLOOKUP(
        $A25,
        _xlfn._xlws.FILTER(
            INDIRECT("'"&amp;E$1&amp;"'!A2:G1000"), (INDIRECT("'"&amp;E$1&amp;"'!B2:B1000")=$B25) * (INDIRECT("'"&amp;E$1&amp;"'!C2:C1000")=$C25)
        ),
        5,
        FALSE
    )="",
    "",
    VLOOKUP(
        $A25,
        _xlfn._xlws.FILTER(
            INDIRECT("'"&amp;E$1&amp;"'!A2:G1000"), (INDIRECT("'"&amp;E$1&amp;"'!B2:B1000")=$B25) * (INDIRECT("'"&amp;E$1&amp;"'!C2:C1000")=$C25)
        ),7,
        FALSE
    )
)</f>
        <v/>
      </c>
      <c r="F25" s="52">
        <f t="array" ref="F25">IF(
    VLOOKUP(
        $A25,
        _xlfn._xlws.FILTER(
            INDIRECT("'"&amp;F$1&amp;"'!A2:G1000"), (INDIRECT("'"&amp;F$1&amp;"'!B2:B1000")=$B25) * (INDIRECT("'"&amp;F$1&amp;"'!C2:C1000")=$C25)
        ),
        5,
        FALSE
    )="",
    "",
    VLOOKUP(
        $A25,
        _xlfn._xlws.FILTER(
            INDIRECT("'"&amp;F$1&amp;"'!A2:G1000"), (INDIRECT("'"&amp;F$1&amp;"'!B2:B1000")=$B25) * (INDIRECT("'"&amp;F$1&amp;"'!C2:C1000")=$C25)
        ),7,
        FALSE
    )
)</f>
        <v/>
      </c>
      <c r="G25" s="52">
        <f t="array" ref="G25">IF(
    VLOOKUP(
        $A25,
        _xlfn._xlws.FILTER(
            INDIRECT("'"&amp;G$1&amp;"'!A2:G1000"), (INDIRECT("'"&amp;G$1&amp;"'!B2:B1000")=$B25) * (INDIRECT("'"&amp;G$1&amp;"'!C2:C1000")=$C25)
        ),
        5,
        FALSE
    )="",
    "",
    VLOOKUP(
        $A25,
        _xlfn._xlws.FILTER(
            INDIRECT("'"&amp;G$1&amp;"'!A2:G1000"), (INDIRECT("'"&amp;G$1&amp;"'!B2:B1000")=$B25) * (INDIRECT("'"&amp;G$1&amp;"'!C2:C1000")=$C25)
        ),7,
        FALSE
    )
)</f>
        <v/>
      </c>
      <c r="H25" s="52">
        <f t="array" ref="H25">IF(
    VLOOKUP(
        $A25,
        _xlfn._xlws.FILTER(
            INDIRECT("'"&amp;H$1&amp;"'!A2:G1000"), (INDIRECT("'"&amp;H$1&amp;"'!B2:B1000")=$B25) * (INDIRECT("'"&amp;H$1&amp;"'!C2:C1000")=$C25)
        ),
        5,
        FALSE
    )="",
    "",
    VLOOKUP(
        $A25,
        _xlfn._xlws.FILTER(
            INDIRECT("'"&amp;H$1&amp;"'!A2:G1000"), (INDIRECT("'"&amp;H$1&amp;"'!B2:B1000")=$B25) * (INDIRECT("'"&amp;H$1&amp;"'!C2:C1000")=$C25)
        ),7,
        FALSE
    )
)</f>
        <v/>
      </c>
      <c r="I25" s="52">
        <f t="array" ref="I25">IF(
    VLOOKUP(
        $A25,
        _xlfn._xlws.FILTER(
            INDIRECT("'"&amp;I$1&amp;"'!A2:G1000"), (INDIRECT("'"&amp;I$1&amp;"'!B2:B1000")=$B25) * (INDIRECT("'"&amp;I$1&amp;"'!C2:C1000")=$C25)
        ),
        5,
        FALSE
    )="",
    "",
    VLOOKUP(
        $A25,
        _xlfn._xlws.FILTER(
            INDIRECT("'"&amp;I$1&amp;"'!A2:G1000"), (INDIRECT("'"&amp;I$1&amp;"'!B2:B1000")=$B25) * (INDIRECT("'"&amp;I$1&amp;"'!C2:C1000")=$C25)
        ),7,
        FALSE
    )
)</f>
        <v/>
      </c>
      <c r="J25" s="52">
        <f t="array" ref="J25">IF(
    VLOOKUP(
        $A25,
        _xlfn._xlws.FILTER(
            INDIRECT("'"&amp;J$1&amp;"'!A2:G1000"), (INDIRECT("'"&amp;J$1&amp;"'!B2:B1000")=$B25) * (INDIRECT("'"&amp;J$1&amp;"'!C2:C1000")=$C25)
        ),
        5,
        FALSE
    )="",
    "",
    VLOOKUP(
        $A25,
        _xlfn._xlws.FILTER(
            INDIRECT("'"&amp;J$1&amp;"'!A2:G1000"), (INDIRECT("'"&amp;J$1&amp;"'!B2:B1000")=$B25) * (INDIRECT("'"&amp;J$1&amp;"'!C2:C1000")=$C25)
        ),7,
        FALSE
    )
)</f>
        <v/>
      </c>
      <c r="K25" s="52">
        <f t="array" ref="K25">IF(
    VLOOKUP(
        $A25,
        _xlfn._xlws.FILTER(
            INDIRECT("'"&amp;K$1&amp;"'!A2:G1000"), (INDIRECT("'"&amp;K$1&amp;"'!B2:B1000")=$B25) * (INDIRECT("'"&amp;K$1&amp;"'!C2:C1000")=$C25)
        ),
        5,
        FALSE
    )="",
    "",
    VLOOKUP(
        $A25,
        _xlfn._xlws.FILTER(
            INDIRECT("'"&amp;K$1&amp;"'!A2:G1000"), (INDIRECT("'"&amp;K$1&amp;"'!B2:B1000")=$B25) * (INDIRECT("'"&amp;K$1&amp;"'!C2:C1000")=$C25)
        ),7,
        FALSE
    )
)</f>
        <v/>
      </c>
      <c r="L25" s="52">
        <f t="array" ref="L25">IF(
    VLOOKUP(
        $A25,
        _xlfn._xlws.FILTER(
            INDIRECT("'"&amp;L$1&amp;"'!A2:G1000"), (INDIRECT("'"&amp;L$1&amp;"'!B2:B1000")=$B25) * (INDIRECT("'"&amp;L$1&amp;"'!C2:C1000")=$C25)
        ),
        5,
        FALSE
    )="",
    "",
    VLOOKUP(
        $A25,
        _xlfn._xlws.FILTER(
            INDIRECT("'"&amp;L$1&amp;"'!A2:G1000"), (INDIRECT("'"&amp;L$1&amp;"'!B2:B1000")=$B25) * (INDIRECT("'"&amp;L$1&amp;"'!C2:C1000")=$C25)
        ),7,
        FALSE
    )
)</f>
        <v/>
      </c>
      <c r="M25" s="52">
        <f t="array" ref="M25">IF(
    VLOOKUP(
        $A25,
        _xlfn._xlws.FILTER(
            INDIRECT("'"&amp;M$1&amp;"'!A2:G1000"), (INDIRECT("'"&amp;M$1&amp;"'!B2:B1000")=$B25) * (INDIRECT("'"&amp;M$1&amp;"'!C2:C1000")=$C25)
        ),
        5,
        FALSE
    )="",
    "",
    VLOOKUP(
        $A25,
        _xlfn._xlws.FILTER(
            INDIRECT("'"&amp;M$1&amp;"'!A2:G1000"), (INDIRECT("'"&amp;M$1&amp;"'!B2:B1000")=$B25) * (INDIRECT("'"&amp;M$1&amp;"'!C2:C1000")=$C25)
        ),7,
        FALSE
    )
)</f>
        <v/>
      </c>
      <c r="N25" s="52">
        <f t="array" ref="N25">IF(
    VLOOKUP(
        $A25,
        _xlfn._xlws.FILTER(
            INDIRECT("'"&amp;N$1&amp;"'!A2:G1000"), (INDIRECT("'"&amp;N$1&amp;"'!B2:B1000")=$B25) * (INDIRECT("'"&amp;N$1&amp;"'!C2:C1000")=$C25)
        ),
        5,
        FALSE
    )="",
    "",
    VLOOKUP(
        $A25,
        _xlfn._xlws.FILTER(
            INDIRECT("'"&amp;N$1&amp;"'!A2:G1000"), (INDIRECT("'"&amp;N$1&amp;"'!B2:B1000")=$B25) * (INDIRECT("'"&amp;N$1&amp;"'!C2:C1000")=$C25)
        ),7,
        FALSE
    )
)</f>
        <v/>
      </c>
      <c r="O25" s="52">
        <f t="array" ref="O25">IF(
    VLOOKUP(
        $A25,
        _xlfn._xlws.FILTER(
            INDIRECT("'"&amp;O$1&amp;"'!A2:G1000"), (INDIRECT("'"&amp;O$1&amp;"'!B2:B1000")=$B25) * (INDIRECT("'"&amp;O$1&amp;"'!C2:C1000")=$C25)
        ),
        5,
        FALSE
    )="",
    "",
    VLOOKUP(
        $A25,
        _xlfn._xlws.FILTER(
            INDIRECT("'"&amp;O$1&amp;"'!A2:G1000"), (INDIRECT("'"&amp;O$1&amp;"'!B2:B1000")=$B25) * (INDIRECT("'"&amp;O$1&amp;"'!C2:C1000")=$C25)
        ),7,
        FALSE
    )
)</f>
        <v/>
      </c>
    </row>
    <row r="26">
      <c r="A26" s="54" t="inlineStr">
        <is>
          <t>Cibax</t>
        </is>
      </c>
      <c r="B26" s="92" t="inlineStr">
        <is>
          <t>Cafezal do Sul</t>
        </is>
      </c>
      <c r="C26" s="95" t="n">
        <v>1</v>
      </c>
      <c r="D26" s="52">
        <f t="array" ref="D26">IF(
    VLOOKUP(
        $A26,
        _xlfn._xlws.FILTER(
            INDIRECT("'"&amp;D$1&amp;"'!A2:G1000"), (INDIRECT("'"&amp;D$1&amp;"'!B2:B1000")=$B26) * (INDIRECT("'"&amp;D$1&amp;"'!C2:C1000")=$C26)
        ),
        5,
        FALSE
    )="",
    "",
    VLOOKUP(
        $A26,
        _xlfn._xlws.FILTER(
            INDIRECT("'"&amp;D$1&amp;"'!A2:G1000"), (INDIRECT("'"&amp;D$1&amp;"'!B2:B1000")=$B26) * (INDIRECT("'"&amp;D$1&amp;"'!C2:C1000")=$C26)
        ),7,
        FALSE
    )
)</f>
        <v/>
      </c>
      <c r="E26" s="52">
        <f t="array" ref="E26">IF(
    VLOOKUP(
        $A26,
        _xlfn._xlws.FILTER(
            INDIRECT("'"&amp;E$1&amp;"'!A2:G1000"), (INDIRECT("'"&amp;E$1&amp;"'!B2:B1000")=$B26) * (INDIRECT("'"&amp;E$1&amp;"'!C2:C1000")=$C26)
        ),
        5,
        FALSE
    )="",
    "",
    VLOOKUP(
        $A26,
        _xlfn._xlws.FILTER(
            INDIRECT("'"&amp;E$1&amp;"'!A2:G1000"), (INDIRECT("'"&amp;E$1&amp;"'!B2:B1000")=$B26) * (INDIRECT("'"&amp;E$1&amp;"'!C2:C1000")=$C26)
        ),7,
        FALSE
    )
)</f>
        <v/>
      </c>
      <c r="F26" s="52">
        <f t="array" ref="F26">IF(
    VLOOKUP(
        $A26,
        _xlfn._xlws.FILTER(
            INDIRECT("'"&amp;F$1&amp;"'!A2:G1000"), (INDIRECT("'"&amp;F$1&amp;"'!B2:B1000")=$B26) * (INDIRECT("'"&amp;F$1&amp;"'!C2:C1000")=$C26)
        ),
        5,
        FALSE
    )="",
    "",
    VLOOKUP(
        $A26,
        _xlfn._xlws.FILTER(
            INDIRECT("'"&amp;F$1&amp;"'!A2:G1000"), (INDIRECT("'"&amp;F$1&amp;"'!B2:B1000")=$B26) * (INDIRECT("'"&amp;F$1&amp;"'!C2:C1000")=$C26)
        ),7,
        FALSE
    )
)</f>
        <v/>
      </c>
      <c r="G26" s="52">
        <f t="array" ref="G26">IF(
    VLOOKUP(
        $A26,
        _xlfn._xlws.FILTER(
            INDIRECT("'"&amp;G$1&amp;"'!A2:G1000"), (INDIRECT("'"&amp;G$1&amp;"'!B2:B1000")=$B26) * (INDIRECT("'"&amp;G$1&amp;"'!C2:C1000")=$C26)
        ),
        5,
        FALSE
    )="",
    "",
    VLOOKUP(
        $A26,
        _xlfn._xlws.FILTER(
            INDIRECT("'"&amp;G$1&amp;"'!A2:G1000"), (INDIRECT("'"&amp;G$1&amp;"'!B2:B1000")=$B26) * (INDIRECT("'"&amp;G$1&amp;"'!C2:C1000")=$C26)
        ),7,
        FALSE
    )
)</f>
        <v/>
      </c>
      <c r="H26" s="52">
        <f t="array" ref="H26">IF(
    VLOOKUP(
        $A26,
        _xlfn._xlws.FILTER(
            INDIRECT("'"&amp;H$1&amp;"'!A2:G1000"), (INDIRECT("'"&amp;H$1&amp;"'!B2:B1000")=$B26) * (INDIRECT("'"&amp;H$1&amp;"'!C2:C1000")=$C26)
        ),
        5,
        FALSE
    )="",
    "",
    VLOOKUP(
        $A26,
        _xlfn._xlws.FILTER(
            INDIRECT("'"&amp;H$1&amp;"'!A2:G1000"), (INDIRECT("'"&amp;H$1&amp;"'!B2:B1000")=$B26) * (INDIRECT("'"&amp;H$1&amp;"'!C2:C1000")=$C26)
        ),7,
        FALSE
    )
)</f>
        <v/>
      </c>
      <c r="I26" s="52">
        <f t="array" ref="I26">IF(
    VLOOKUP(
        $A26,
        _xlfn._xlws.FILTER(
            INDIRECT("'"&amp;I$1&amp;"'!A2:G1000"), (INDIRECT("'"&amp;I$1&amp;"'!B2:B1000")=$B26) * (INDIRECT("'"&amp;I$1&amp;"'!C2:C1000")=$C26)
        ),
        5,
        FALSE
    )="",
    "",
    VLOOKUP(
        $A26,
        _xlfn._xlws.FILTER(
            INDIRECT("'"&amp;I$1&amp;"'!A2:G1000"), (INDIRECT("'"&amp;I$1&amp;"'!B2:B1000")=$B26) * (INDIRECT("'"&amp;I$1&amp;"'!C2:C1000")=$C26)
        ),7,
        FALSE
    )
)</f>
        <v/>
      </c>
      <c r="J26" s="52">
        <f t="array" ref="J26">IF(
    VLOOKUP(
        $A26,
        _xlfn._xlws.FILTER(
            INDIRECT("'"&amp;J$1&amp;"'!A2:G1000"), (INDIRECT("'"&amp;J$1&amp;"'!B2:B1000")=$B26) * (INDIRECT("'"&amp;J$1&amp;"'!C2:C1000")=$C26)
        ),
        5,
        FALSE
    )="",
    "",
    VLOOKUP(
        $A26,
        _xlfn._xlws.FILTER(
            INDIRECT("'"&amp;J$1&amp;"'!A2:G1000"), (INDIRECT("'"&amp;J$1&amp;"'!B2:B1000")=$B26) * (INDIRECT("'"&amp;J$1&amp;"'!C2:C1000")=$C26)
        ),7,
        FALSE
    )
)</f>
        <v/>
      </c>
      <c r="K26" s="52">
        <f t="array" ref="K26">IF(
    VLOOKUP(
        $A26,
        _xlfn._xlws.FILTER(
            INDIRECT("'"&amp;K$1&amp;"'!A2:G1000"), (INDIRECT("'"&amp;K$1&amp;"'!B2:B1000")=$B26) * (INDIRECT("'"&amp;K$1&amp;"'!C2:C1000")=$C26)
        ),
        5,
        FALSE
    )="",
    "",
    VLOOKUP(
        $A26,
        _xlfn._xlws.FILTER(
            INDIRECT("'"&amp;K$1&amp;"'!A2:G1000"), (INDIRECT("'"&amp;K$1&amp;"'!B2:B1000")=$B26) * (INDIRECT("'"&amp;K$1&amp;"'!C2:C1000")=$C26)
        ),7,
        FALSE
    )
)</f>
        <v/>
      </c>
      <c r="L26" s="52">
        <f t="array" ref="L26">IF(
    VLOOKUP(
        $A26,
        _xlfn._xlws.FILTER(
            INDIRECT("'"&amp;L$1&amp;"'!A2:G1000"), (INDIRECT("'"&amp;L$1&amp;"'!B2:B1000")=$B26) * (INDIRECT("'"&amp;L$1&amp;"'!C2:C1000")=$C26)
        ),
        5,
        FALSE
    )="",
    "",
    VLOOKUP(
        $A26,
        _xlfn._xlws.FILTER(
            INDIRECT("'"&amp;L$1&amp;"'!A2:G1000"), (INDIRECT("'"&amp;L$1&amp;"'!B2:B1000")=$B26) * (INDIRECT("'"&amp;L$1&amp;"'!C2:C1000")=$C26)
        ),7,
        FALSE
    )
)</f>
        <v/>
      </c>
      <c r="M26" s="52">
        <f t="array" ref="M26">IF(
    VLOOKUP(
        $A26,
        _xlfn._xlws.FILTER(
            INDIRECT("'"&amp;M$1&amp;"'!A2:G1000"), (INDIRECT("'"&amp;M$1&amp;"'!B2:B1000")=$B26) * (INDIRECT("'"&amp;M$1&amp;"'!C2:C1000")=$C26)
        ),
        5,
        FALSE
    )="",
    "",
    VLOOKUP(
        $A26,
        _xlfn._xlws.FILTER(
            INDIRECT("'"&amp;M$1&amp;"'!A2:G1000"), (INDIRECT("'"&amp;M$1&amp;"'!B2:B1000")=$B26) * (INDIRECT("'"&amp;M$1&amp;"'!C2:C1000")=$C26)
        ),7,
        FALSE
    )
)</f>
        <v/>
      </c>
      <c r="N26" s="52">
        <f t="array" ref="N26">IF(
    VLOOKUP(
        $A26,
        _xlfn._xlws.FILTER(
            INDIRECT("'"&amp;N$1&amp;"'!A2:G1000"), (INDIRECT("'"&amp;N$1&amp;"'!B2:B1000")=$B26) * (INDIRECT("'"&amp;N$1&amp;"'!C2:C1000")=$C26)
        ),
        5,
        FALSE
    )="",
    "",
    VLOOKUP(
        $A26,
        _xlfn._xlws.FILTER(
            INDIRECT("'"&amp;N$1&amp;"'!A2:G1000"), (INDIRECT("'"&amp;N$1&amp;"'!B2:B1000")=$B26) * (INDIRECT("'"&amp;N$1&amp;"'!C2:C1000")=$C26)
        ),7,
        FALSE
    )
)</f>
        <v/>
      </c>
      <c r="O26" s="52">
        <f t="array" ref="O26">IF(
    VLOOKUP(
        $A26,
        _xlfn._xlws.FILTER(
            INDIRECT("'"&amp;O$1&amp;"'!A2:G1000"), (INDIRECT("'"&amp;O$1&amp;"'!B2:B1000")=$B26) * (INDIRECT("'"&amp;O$1&amp;"'!C2:C1000")=$C26)
        ),
        5,
        FALSE
    )="",
    "",
    VLOOKUP(
        $A26,
        _xlfn._xlws.FILTER(
            INDIRECT("'"&amp;O$1&amp;"'!A2:G1000"), (INDIRECT("'"&amp;O$1&amp;"'!B2:B1000")=$B26) * (INDIRECT("'"&amp;O$1&amp;"'!C2:C1000")=$C26)
        ),7,
        FALSE
    )
)</f>
        <v/>
      </c>
    </row>
    <row r="27">
      <c r="A27" s="54" t="inlineStr">
        <is>
          <t>Cibax</t>
        </is>
      </c>
      <c r="B27" s="92" t="inlineStr">
        <is>
          <t>Cruzeiro do Oeste</t>
        </is>
      </c>
      <c r="C27" s="95" t="n">
        <v>1</v>
      </c>
      <c r="D27" s="52">
        <f t="array" ref="D27">IF(
    VLOOKUP(
        $A27,
        _xlfn._xlws.FILTER(
            INDIRECT("'"&amp;D$1&amp;"'!A2:G1000"), (INDIRECT("'"&amp;D$1&amp;"'!B2:B1000")=$B27) * (INDIRECT("'"&amp;D$1&amp;"'!C2:C1000")=$C27)
        ),
        5,
        FALSE
    )="",
    "",
    VLOOKUP(
        $A27,
        _xlfn._xlws.FILTER(
            INDIRECT("'"&amp;D$1&amp;"'!A2:G1000"), (INDIRECT("'"&amp;D$1&amp;"'!B2:B1000")=$B27) * (INDIRECT("'"&amp;D$1&amp;"'!C2:C1000")=$C27)
        ),7,
        FALSE
    )
)</f>
        <v/>
      </c>
      <c r="E27" s="52">
        <f t="array" ref="E27">IF(
    VLOOKUP(
        $A27,
        _xlfn._xlws.FILTER(
            INDIRECT("'"&amp;E$1&amp;"'!A2:G1000"), (INDIRECT("'"&amp;E$1&amp;"'!B2:B1000")=$B27) * (INDIRECT("'"&amp;E$1&amp;"'!C2:C1000")=$C27)
        ),
        5,
        FALSE
    )="",
    "",
    VLOOKUP(
        $A27,
        _xlfn._xlws.FILTER(
            INDIRECT("'"&amp;E$1&amp;"'!A2:G1000"), (INDIRECT("'"&amp;E$1&amp;"'!B2:B1000")=$B27) * (INDIRECT("'"&amp;E$1&amp;"'!C2:C1000")=$C27)
        ),7,
        FALSE
    )
)</f>
        <v/>
      </c>
      <c r="F27" s="52">
        <f t="array" ref="F27">IF(
    VLOOKUP(
        $A27,
        _xlfn._xlws.FILTER(
            INDIRECT("'"&amp;F$1&amp;"'!A2:G1000"), (INDIRECT("'"&amp;F$1&amp;"'!B2:B1000")=$B27) * (INDIRECT("'"&amp;F$1&amp;"'!C2:C1000")=$C27)
        ),
        5,
        FALSE
    )="",
    "",
    VLOOKUP(
        $A27,
        _xlfn._xlws.FILTER(
            INDIRECT("'"&amp;F$1&amp;"'!A2:G1000"), (INDIRECT("'"&amp;F$1&amp;"'!B2:B1000")=$B27) * (INDIRECT("'"&amp;F$1&amp;"'!C2:C1000")=$C27)
        ),7,
        FALSE
    )
)</f>
        <v/>
      </c>
      <c r="G27" s="52">
        <f t="array" ref="G27">IF(
    VLOOKUP(
        $A27,
        _xlfn._xlws.FILTER(
            INDIRECT("'"&amp;G$1&amp;"'!A2:G1000"), (INDIRECT("'"&amp;G$1&amp;"'!B2:B1000")=$B27) * (INDIRECT("'"&amp;G$1&amp;"'!C2:C1000")=$C27)
        ),
        5,
        FALSE
    )="",
    "",
    VLOOKUP(
        $A27,
        _xlfn._xlws.FILTER(
            INDIRECT("'"&amp;G$1&amp;"'!A2:G1000"), (INDIRECT("'"&amp;G$1&amp;"'!B2:B1000")=$B27) * (INDIRECT("'"&amp;G$1&amp;"'!C2:C1000")=$C27)
        ),7,
        FALSE
    )
)</f>
        <v/>
      </c>
      <c r="H27" s="52">
        <f t="array" ref="H27">IF(
    VLOOKUP(
        $A27,
        _xlfn._xlws.FILTER(
            INDIRECT("'"&amp;H$1&amp;"'!A2:G1000"), (INDIRECT("'"&amp;H$1&amp;"'!B2:B1000")=$B27) * (INDIRECT("'"&amp;H$1&amp;"'!C2:C1000")=$C27)
        ),
        5,
        FALSE
    )="",
    "",
    VLOOKUP(
        $A27,
        _xlfn._xlws.FILTER(
            INDIRECT("'"&amp;H$1&amp;"'!A2:G1000"), (INDIRECT("'"&amp;H$1&amp;"'!B2:B1000")=$B27) * (INDIRECT("'"&amp;H$1&amp;"'!C2:C1000")=$C27)
        ),7,
        FALSE
    )
)</f>
        <v/>
      </c>
      <c r="I27" s="52">
        <f t="array" ref="I27">IF(
    VLOOKUP(
        $A27,
        _xlfn._xlws.FILTER(
            INDIRECT("'"&amp;I$1&amp;"'!A2:G1000"), (INDIRECT("'"&amp;I$1&amp;"'!B2:B1000")=$B27) * (INDIRECT("'"&amp;I$1&amp;"'!C2:C1000")=$C27)
        ),
        5,
        FALSE
    )="",
    "",
    VLOOKUP(
        $A27,
        _xlfn._xlws.FILTER(
            INDIRECT("'"&amp;I$1&amp;"'!A2:G1000"), (INDIRECT("'"&amp;I$1&amp;"'!B2:B1000")=$B27) * (INDIRECT("'"&amp;I$1&amp;"'!C2:C1000")=$C27)
        ),7,
        FALSE
    )
)</f>
        <v/>
      </c>
      <c r="J27" s="52">
        <f t="array" ref="J27">IF(
    VLOOKUP(
        $A27,
        _xlfn._xlws.FILTER(
            INDIRECT("'"&amp;J$1&amp;"'!A2:G1000"), (INDIRECT("'"&amp;J$1&amp;"'!B2:B1000")=$B27) * (INDIRECT("'"&amp;J$1&amp;"'!C2:C1000")=$C27)
        ),
        5,
        FALSE
    )="",
    "",
    VLOOKUP(
        $A27,
        _xlfn._xlws.FILTER(
            INDIRECT("'"&amp;J$1&amp;"'!A2:G1000"), (INDIRECT("'"&amp;J$1&amp;"'!B2:B1000")=$B27) * (INDIRECT("'"&amp;J$1&amp;"'!C2:C1000")=$C27)
        ),7,
        FALSE
    )
)</f>
        <v/>
      </c>
      <c r="K27" s="52">
        <f t="array" ref="K27">IF(
    VLOOKUP(
        $A27,
        _xlfn._xlws.FILTER(
            INDIRECT("'"&amp;K$1&amp;"'!A2:G1000"), (INDIRECT("'"&amp;K$1&amp;"'!B2:B1000")=$B27) * (INDIRECT("'"&amp;K$1&amp;"'!C2:C1000")=$C27)
        ),
        5,
        FALSE
    )="",
    "",
    VLOOKUP(
        $A27,
        _xlfn._xlws.FILTER(
            INDIRECT("'"&amp;K$1&amp;"'!A2:G1000"), (INDIRECT("'"&amp;K$1&amp;"'!B2:B1000")=$B27) * (INDIRECT("'"&amp;K$1&amp;"'!C2:C1000")=$C27)
        ),7,
        FALSE
    )
)</f>
        <v/>
      </c>
      <c r="L27" s="52">
        <f t="array" ref="L27">IF(
    VLOOKUP(
        $A27,
        _xlfn._xlws.FILTER(
            INDIRECT("'"&amp;L$1&amp;"'!A2:G1000"), (INDIRECT("'"&amp;L$1&amp;"'!B2:B1000")=$B27) * (INDIRECT("'"&amp;L$1&amp;"'!C2:C1000")=$C27)
        ),
        5,
        FALSE
    )="",
    "",
    VLOOKUP(
        $A27,
        _xlfn._xlws.FILTER(
            INDIRECT("'"&amp;L$1&amp;"'!A2:G1000"), (INDIRECT("'"&amp;L$1&amp;"'!B2:B1000")=$B27) * (INDIRECT("'"&amp;L$1&amp;"'!C2:C1000")=$C27)
        ),7,
        FALSE
    )
)</f>
        <v/>
      </c>
      <c r="M27" s="52">
        <f t="array" ref="M27">IF(
    VLOOKUP(
        $A27,
        _xlfn._xlws.FILTER(
            INDIRECT("'"&amp;M$1&amp;"'!A2:G1000"), (INDIRECT("'"&amp;M$1&amp;"'!B2:B1000")=$B27) * (INDIRECT("'"&amp;M$1&amp;"'!C2:C1000")=$C27)
        ),
        5,
        FALSE
    )="",
    "",
    VLOOKUP(
        $A27,
        _xlfn._xlws.FILTER(
            INDIRECT("'"&amp;M$1&amp;"'!A2:G1000"), (INDIRECT("'"&amp;M$1&amp;"'!B2:B1000")=$B27) * (INDIRECT("'"&amp;M$1&amp;"'!C2:C1000")=$C27)
        ),7,
        FALSE
    )
)</f>
        <v/>
      </c>
      <c r="N27" s="52">
        <f t="array" ref="N27">IF(
    VLOOKUP(
        $A27,
        _xlfn._xlws.FILTER(
            INDIRECT("'"&amp;N$1&amp;"'!A2:G1000"), (INDIRECT("'"&amp;N$1&amp;"'!B2:B1000")=$B27) * (INDIRECT("'"&amp;N$1&amp;"'!C2:C1000")=$C27)
        ),
        5,
        FALSE
    )="",
    "",
    VLOOKUP(
        $A27,
        _xlfn._xlws.FILTER(
            INDIRECT("'"&amp;N$1&amp;"'!A2:G1000"), (INDIRECT("'"&amp;N$1&amp;"'!B2:B1000")=$B27) * (INDIRECT("'"&amp;N$1&amp;"'!C2:C1000")=$C27)
        ),7,
        FALSE
    )
)</f>
        <v/>
      </c>
      <c r="O27" s="52">
        <f t="array" ref="O27">IF(
    VLOOKUP(
        $A27,
        _xlfn._xlws.FILTER(
            INDIRECT("'"&amp;O$1&amp;"'!A2:G1000"), (INDIRECT("'"&amp;O$1&amp;"'!B2:B1000")=$B27) * (INDIRECT("'"&amp;O$1&amp;"'!C2:C1000")=$C27)
        ),
        5,
        FALSE
    )="",
    "",
    VLOOKUP(
        $A27,
        _xlfn._xlws.FILTER(
            INDIRECT("'"&amp;O$1&amp;"'!A2:G1000"), (INDIRECT("'"&amp;O$1&amp;"'!B2:B1000")=$B27) * (INDIRECT("'"&amp;O$1&amp;"'!C2:C1000")=$C27)
        ),7,
        FALSE
    )
)</f>
        <v/>
      </c>
    </row>
    <row r="28">
      <c r="A28" s="54" t="inlineStr">
        <is>
          <t>Cibax</t>
        </is>
      </c>
      <c r="B28" s="92" t="inlineStr">
        <is>
          <t>Iporã</t>
        </is>
      </c>
      <c r="C28" s="95" t="n">
        <v>1</v>
      </c>
      <c r="D28" s="52">
        <f t="array" ref="D28">IF(
    VLOOKUP(
        $A28,
        _xlfn._xlws.FILTER(
            INDIRECT("'"&amp;D$1&amp;"'!A2:G1000"), (INDIRECT("'"&amp;D$1&amp;"'!B2:B1000")=$B28) * (INDIRECT("'"&amp;D$1&amp;"'!C2:C1000")=$C28)
        ),
        5,
        FALSE
    )="",
    "",
    VLOOKUP(
        $A28,
        _xlfn._xlws.FILTER(
            INDIRECT("'"&amp;D$1&amp;"'!A2:G1000"), (INDIRECT("'"&amp;D$1&amp;"'!B2:B1000")=$B28) * (INDIRECT("'"&amp;D$1&amp;"'!C2:C1000")=$C28)
        ),7,
        FALSE
    )
)</f>
        <v/>
      </c>
      <c r="E28" s="52">
        <f t="array" ref="E28">IF(
    VLOOKUP(
        $A28,
        _xlfn._xlws.FILTER(
            INDIRECT("'"&amp;E$1&amp;"'!A2:G1000"), (INDIRECT("'"&amp;E$1&amp;"'!B2:B1000")=$B28) * (INDIRECT("'"&amp;E$1&amp;"'!C2:C1000")=$C28)
        ),
        5,
        FALSE
    )="",
    "",
    VLOOKUP(
        $A28,
        _xlfn._xlws.FILTER(
            INDIRECT("'"&amp;E$1&amp;"'!A2:G1000"), (INDIRECT("'"&amp;E$1&amp;"'!B2:B1000")=$B28) * (INDIRECT("'"&amp;E$1&amp;"'!C2:C1000")=$C28)
        ),7,
        FALSE
    )
)</f>
        <v/>
      </c>
      <c r="F28" s="52">
        <f t="array" ref="F28">IF(
    VLOOKUP(
        $A28,
        _xlfn._xlws.FILTER(
            INDIRECT("'"&amp;F$1&amp;"'!A2:G1000"), (INDIRECT("'"&amp;F$1&amp;"'!B2:B1000")=$B28) * (INDIRECT("'"&amp;F$1&amp;"'!C2:C1000")=$C28)
        ),
        5,
        FALSE
    )="",
    "",
    VLOOKUP(
        $A28,
        _xlfn._xlws.FILTER(
            INDIRECT("'"&amp;F$1&amp;"'!A2:G1000"), (INDIRECT("'"&amp;F$1&amp;"'!B2:B1000")=$B28) * (INDIRECT("'"&amp;F$1&amp;"'!C2:C1000")=$C28)
        ),7,
        FALSE
    )
)</f>
        <v/>
      </c>
      <c r="G28" s="52">
        <f t="array" ref="G28">IF(
    VLOOKUP(
        $A28,
        _xlfn._xlws.FILTER(
            INDIRECT("'"&amp;G$1&amp;"'!A2:G1000"), (INDIRECT("'"&amp;G$1&amp;"'!B2:B1000")=$B28) * (INDIRECT("'"&amp;G$1&amp;"'!C2:C1000")=$C28)
        ),
        5,
        FALSE
    )="",
    "",
    VLOOKUP(
        $A28,
        _xlfn._xlws.FILTER(
            INDIRECT("'"&amp;G$1&amp;"'!A2:G1000"), (INDIRECT("'"&amp;G$1&amp;"'!B2:B1000")=$B28) * (INDIRECT("'"&amp;G$1&amp;"'!C2:C1000")=$C28)
        ),7,
        FALSE
    )
)</f>
        <v/>
      </c>
      <c r="H28" s="52">
        <f t="array" ref="H28">IF(
    VLOOKUP(
        $A28,
        _xlfn._xlws.FILTER(
            INDIRECT("'"&amp;H$1&amp;"'!A2:G1000"), (INDIRECT("'"&amp;H$1&amp;"'!B2:B1000")=$B28) * (INDIRECT("'"&amp;H$1&amp;"'!C2:C1000")=$C28)
        ),
        5,
        FALSE
    )="",
    "",
    VLOOKUP(
        $A28,
        _xlfn._xlws.FILTER(
            INDIRECT("'"&amp;H$1&amp;"'!A2:G1000"), (INDIRECT("'"&amp;H$1&amp;"'!B2:B1000")=$B28) * (INDIRECT("'"&amp;H$1&amp;"'!C2:C1000")=$C28)
        ),7,
        FALSE
    )
)</f>
        <v/>
      </c>
      <c r="I28" s="52">
        <f t="array" ref="I28">IF(
    VLOOKUP(
        $A28,
        _xlfn._xlws.FILTER(
            INDIRECT("'"&amp;I$1&amp;"'!A2:G1000"), (INDIRECT("'"&amp;I$1&amp;"'!B2:B1000")=$B28) * (INDIRECT("'"&amp;I$1&amp;"'!C2:C1000")=$C28)
        ),
        5,
        FALSE
    )="",
    "",
    VLOOKUP(
        $A28,
        _xlfn._xlws.FILTER(
            INDIRECT("'"&amp;I$1&amp;"'!A2:G1000"), (INDIRECT("'"&amp;I$1&amp;"'!B2:B1000")=$B28) * (INDIRECT("'"&amp;I$1&amp;"'!C2:C1000")=$C28)
        ),7,
        FALSE
    )
)</f>
        <v/>
      </c>
      <c r="J28" s="52">
        <f t="array" ref="J28">IF(
    VLOOKUP(
        $A28,
        _xlfn._xlws.FILTER(
            INDIRECT("'"&amp;J$1&amp;"'!A2:G1000"), (INDIRECT("'"&amp;J$1&amp;"'!B2:B1000")=$B28) * (INDIRECT("'"&amp;J$1&amp;"'!C2:C1000")=$C28)
        ),
        5,
        FALSE
    )="",
    "",
    VLOOKUP(
        $A28,
        _xlfn._xlws.FILTER(
            INDIRECT("'"&amp;J$1&amp;"'!A2:G1000"), (INDIRECT("'"&amp;J$1&amp;"'!B2:B1000")=$B28) * (INDIRECT("'"&amp;J$1&amp;"'!C2:C1000")=$C28)
        ),7,
        FALSE
    )
)</f>
        <v/>
      </c>
      <c r="K28" s="52">
        <f t="array" ref="K28">IF(
    VLOOKUP(
        $A28,
        _xlfn._xlws.FILTER(
            INDIRECT("'"&amp;K$1&amp;"'!A2:G1000"), (INDIRECT("'"&amp;K$1&amp;"'!B2:B1000")=$B28) * (INDIRECT("'"&amp;K$1&amp;"'!C2:C1000")=$C28)
        ),
        5,
        FALSE
    )="",
    "",
    VLOOKUP(
        $A28,
        _xlfn._xlws.FILTER(
            INDIRECT("'"&amp;K$1&amp;"'!A2:G1000"), (INDIRECT("'"&amp;K$1&amp;"'!B2:B1000")=$B28) * (INDIRECT("'"&amp;K$1&amp;"'!C2:C1000")=$C28)
        ),7,
        FALSE
    )
)</f>
        <v/>
      </c>
      <c r="L28" s="52">
        <f t="array" ref="L28">IF(
    VLOOKUP(
        $A28,
        _xlfn._xlws.FILTER(
            INDIRECT("'"&amp;L$1&amp;"'!A2:G1000"), (INDIRECT("'"&amp;L$1&amp;"'!B2:B1000")=$B28) * (INDIRECT("'"&amp;L$1&amp;"'!C2:C1000")=$C28)
        ),
        5,
        FALSE
    )="",
    "",
    VLOOKUP(
        $A28,
        _xlfn._xlws.FILTER(
            INDIRECT("'"&amp;L$1&amp;"'!A2:G1000"), (INDIRECT("'"&amp;L$1&amp;"'!B2:B1000")=$B28) * (INDIRECT("'"&amp;L$1&amp;"'!C2:C1000")=$C28)
        ),7,
        FALSE
    )
)</f>
        <v/>
      </c>
      <c r="M28" s="52">
        <f t="array" ref="M28">IF(
    VLOOKUP(
        $A28,
        _xlfn._xlws.FILTER(
            INDIRECT("'"&amp;M$1&amp;"'!A2:G1000"), (INDIRECT("'"&amp;M$1&amp;"'!B2:B1000")=$B28) * (INDIRECT("'"&amp;M$1&amp;"'!C2:C1000")=$C28)
        ),
        5,
        FALSE
    )="",
    "",
    VLOOKUP(
        $A28,
        _xlfn._xlws.FILTER(
            INDIRECT("'"&amp;M$1&amp;"'!A2:G1000"), (INDIRECT("'"&amp;M$1&amp;"'!B2:B1000")=$B28) * (INDIRECT("'"&amp;M$1&amp;"'!C2:C1000")=$C28)
        ),7,
        FALSE
    )
)</f>
        <v/>
      </c>
      <c r="N28" s="52">
        <f t="array" ref="N28">IF(
    VLOOKUP(
        $A28,
        _xlfn._xlws.FILTER(
            INDIRECT("'"&amp;N$1&amp;"'!A2:G1000"), (INDIRECT("'"&amp;N$1&amp;"'!B2:B1000")=$B28) * (INDIRECT("'"&amp;N$1&amp;"'!C2:C1000")=$C28)
        ),
        5,
        FALSE
    )="",
    "",
    VLOOKUP(
        $A28,
        _xlfn._xlws.FILTER(
            INDIRECT("'"&amp;N$1&amp;"'!A2:G1000"), (INDIRECT("'"&amp;N$1&amp;"'!B2:B1000")=$B28) * (INDIRECT("'"&amp;N$1&amp;"'!C2:C1000")=$C28)
        ),7,
        FALSE
    )
)</f>
        <v/>
      </c>
      <c r="O28" s="52">
        <f t="array" ref="O28">IF(
    VLOOKUP(
        $A28,
        _xlfn._xlws.FILTER(
            INDIRECT("'"&amp;O$1&amp;"'!A2:G1000"), (INDIRECT("'"&amp;O$1&amp;"'!B2:B1000")=$B28) * (INDIRECT("'"&amp;O$1&amp;"'!C2:C1000")=$C28)
        ),
        5,
        FALSE
    )="",
    "",
    VLOOKUP(
        $A28,
        _xlfn._xlws.FILTER(
            INDIRECT("'"&amp;O$1&amp;"'!A2:G1000"), (INDIRECT("'"&amp;O$1&amp;"'!B2:B1000")=$B28) * (INDIRECT("'"&amp;O$1&amp;"'!C2:C1000")=$C28)
        ),7,
        FALSE
    )
)</f>
        <v/>
      </c>
    </row>
    <row r="29">
      <c r="A29" s="54" t="inlineStr">
        <is>
          <t>Cibax</t>
        </is>
      </c>
      <c r="B29" s="96" t="inlineStr">
        <is>
          <t>Ivaté</t>
        </is>
      </c>
      <c r="C29" s="95" t="n">
        <v>1</v>
      </c>
      <c r="D29" s="52">
        <f t="array" ref="D29">IF(
    VLOOKUP(
        $A29,
        _xlfn._xlws.FILTER(
            INDIRECT("'"&amp;D$1&amp;"'!A2:G1000"), (INDIRECT("'"&amp;D$1&amp;"'!B2:B1000")=$B29) * (INDIRECT("'"&amp;D$1&amp;"'!C2:C1000")=$C29)
        ),
        5,
        FALSE
    )="",
    "",
    VLOOKUP(
        $A29,
        _xlfn._xlws.FILTER(
            INDIRECT("'"&amp;D$1&amp;"'!A2:G1000"), (INDIRECT("'"&amp;D$1&amp;"'!B2:B1000")=$B29) * (INDIRECT("'"&amp;D$1&amp;"'!C2:C1000")=$C29)
        ),7,
        FALSE
    )
)</f>
        <v/>
      </c>
      <c r="E29" s="52">
        <f t="array" ref="E29">IF(
    VLOOKUP(
        $A29,
        _xlfn._xlws.FILTER(
            INDIRECT("'"&amp;E$1&amp;"'!A2:G1000"), (INDIRECT("'"&amp;E$1&amp;"'!B2:B1000")=$B29) * (INDIRECT("'"&amp;E$1&amp;"'!C2:C1000")=$C29)
        ),
        5,
        FALSE
    )="",
    "",
    VLOOKUP(
        $A29,
        _xlfn._xlws.FILTER(
            INDIRECT("'"&amp;E$1&amp;"'!A2:G1000"), (INDIRECT("'"&amp;E$1&amp;"'!B2:B1000")=$B29) * (INDIRECT("'"&amp;E$1&amp;"'!C2:C1000")=$C29)
        ),7,
        FALSE
    )
)</f>
        <v/>
      </c>
      <c r="F29" s="52">
        <f t="array" ref="F29">IF(
    VLOOKUP(
        $A29,
        _xlfn._xlws.FILTER(
            INDIRECT("'"&amp;F$1&amp;"'!A2:G1000"), (INDIRECT("'"&amp;F$1&amp;"'!B2:B1000")=$B29) * (INDIRECT("'"&amp;F$1&amp;"'!C2:C1000")=$C29)
        ),
        5,
        FALSE
    )="",
    "",
    VLOOKUP(
        $A29,
        _xlfn._xlws.FILTER(
            INDIRECT("'"&amp;F$1&amp;"'!A2:G1000"), (INDIRECT("'"&amp;F$1&amp;"'!B2:B1000")=$B29) * (INDIRECT("'"&amp;F$1&amp;"'!C2:C1000")=$C29)
        ),7,
        FALSE
    )
)</f>
        <v/>
      </c>
      <c r="G29" s="52">
        <f t="array" ref="G29">IF(
    VLOOKUP(
        $A29,
        _xlfn._xlws.FILTER(
            INDIRECT("'"&amp;G$1&amp;"'!A2:G1000"), (INDIRECT("'"&amp;G$1&amp;"'!B2:B1000")=$B29) * (INDIRECT("'"&amp;G$1&amp;"'!C2:C1000")=$C29)
        ),
        5,
        FALSE
    )="",
    "",
    VLOOKUP(
        $A29,
        _xlfn._xlws.FILTER(
            INDIRECT("'"&amp;G$1&amp;"'!A2:G1000"), (INDIRECT("'"&amp;G$1&amp;"'!B2:B1000")=$B29) * (INDIRECT("'"&amp;G$1&amp;"'!C2:C1000")=$C29)
        ),7,
        FALSE
    )
)</f>
        <v/>
      </c>
      <c r="H29" s="52">
        <f t="array" ref="H29">IF(
    VLOOKUP(
        $A29,
        _xlfn._xlws.FILTER(
            INDIRECT("'"&amp;H$1&amp;"'!A2:G1000"), (INDIRECT("'"&amp;H$1&amp;"'!B2:B1000")=$B29) * (INDIRECT("'"&amp;H$1&amp;"'!C2:C1000")=$C29)
        ),
        5,
        FALSE
    )="",
    "",
    VLOOKUP(
        $A29,
        _xlfn._xlws.FILTER(
            INDIRECT("'"&amp;H$1&amp;"'!A2:G1000"), (INDIRECT("'"&amp;H$1&amp;"'!B2:B1000")=$B29) * (INDIRECT("'"&amp;H$1&amp;"'!C2:C1000")=$C29)
        ),7,
        FALSE
    )
)</f>
        <v/>
      </c>
      <c r="I29" s="52">
        <f t="array" ref="I29">IF(
    VLOOKUP(
        $A29,
        _xlfn._xlws.FILTER(
            INDIRECT("'"&amp;I$1&amp;"'!A2:G1000"), (INDIRECT("'"&amp;I$1&amp;"'!B2:B1000")=$B29) * (INDIRECT("'"&amp;I$1&amp;"'!C2:C1000")=$C29)
        ),
        5,
        FALSE
    )="",
    "",
    VLOOKUP(
        $A29,
        _xlfn._xlws.FILTER(
            INDIRECT("'"&amp;I$1&amp;"'!A2:G1000"), (INDIRECT("'"&amp;I$1&amp;"'!B2:B1000")=$B29) * (INDIRECT("'"&amp;I$1&amp;"'!C2:C1000")=$C29)
        ),7,
        FALSE
    )
)</f>
        <v/>
      </c>
      <c r="J29" s="52">
        <f t="array" ref="J29">IF(
    VLOOKUP(
        $A29,
        _xlfn._xlws.FILTER(
            INDIRECT("'"&amp;J$1&amp;"'!A2:G1000"), (INDIRECT("'"&amp;J$1&amp;"'!B2:B1000")=$B29) * (INDIRECT("'"&amp;J$1&amp;"'!C2:C1000")=$C29)
        ),
        5,
        FALSE
    )="",
    "",
    VLOOKUP(
        $A29,
        _xlfn._xlws.FILTER(
            INDIRECT("'"&amp;J$1&amp;"'!A2:G1000"), (INDIRECT("'"&amp;J$1&amp;"'!B2:B1000")=$B29) * (INDIRECT("'"&amp;J$1&amp;"'!C2:C1000")=$C29)
        ),7,
        FALSE
    )
)</f>
        <v/>
      </c>
      <c r="K29" s="52">
        <f t="array" ref="K29">IF(
    VLOOKUP(
        $A29,
        _xlfn._xlws.FILTER(
            INDIRECT("'"&amp;K$1&amp;"'!A2:G1000"), (INDIRECT("'"&amp;K$1&amp;"'!B2:B1000")=$B29) * (INDIRECT("'"&amp;K$1&amp;"'!C2:C1000")=$C29)
        ),
        5,
        FALSE
    )="",
    "",
    VLOOKUP(
        $A29,
        _xlfn._xlws.FILTER(
            INDIRECT("'"&amp;K$1&amp;"'!A2:G1000"), (INDIRECT("'"&amp;K$1&amp;"'!B2:B1000")=$B29) * (INDIRECT("'"&amp;K$1&amp;"'!C2:C1000")=$C29)
        ),7,
        FALSE
    )
)</f>
        <v/>
      </c>
      <c r="L29" s="52">
        <f t="array" ref="L29">IF(
    VLOOKUP(
        $A29,
        _xlfn._xlws.FILTER(
            INDIRECT("'"&amp;L$1&amp;"'!A2:G1000"), (INDIRECT("'"&amp;L$1&amp;"'!B2:B1000")=$B29) * (INDIRECT("'"&amp;L$1&amp;"'!C2:C1000")=$C29)
        ),
        5,
        FALSE
    )="",
    "",
    VLOOKUP(
        $A29,
        _xlfn._xlws.FILTER(
            INDIRECT("'"&amp;L$1&amp;"'!A2:G1000"), (INDIRECT("'"&amp;L$1&amp;"'!B2:B1000")=$B29) * (INDIRECT("'"&amp;L$1&amp;"'!C2:C1000")=$C29)
        ),7,
        FALSE
    )
)</f>
        <v/>
      </c>
      <c r="M29" s="52">
        <f t="array" ref="M29">IF(
    VLOOKUP(
        $A29,
        _xlfn._xlws.FILTER(
            INDIRECT("'"&amp;M$1&amp;"'!A2:G1000"), (INDIRECT("'"&amp;M$1&amp;"'!B2:B1000")=$B29) * (INDIRECT("'"&amp;M$1&amp;"'!C2:C1000")=$C29)
        ),
        5,
        FALSE
    )="",
    "",
    VLOOKUP(
        $A29,
        _xlfn._xlws.FILTER(
            INDIRECT("'"&amp;M$1&amp;"'!A2:G1000"), (INDIRECT("'"&amp;M$1&amp;"'!B2:B1000")=$B29) * (INDIRECT("'"&amp;M$1&amp;"'!C2:C1000")=$C29)
        ),7,
        FALSE
    )
)</f>
        <v/>
      </c>
      <c r="N29" s="52">
        <f t="array" ref="N29">IF(
    VLOOKUP(
        $A29,
        _xlfn._xlws.FILTER(
            INDIRECT("'"&amp;N$1&amp;"'!A2:G1000"), (INDIRECT("'"&amp;N$1&amp;"'!B2:B1000")=$B29) * (INDIRECT("'"&amp;N$1&amp;"'!C2:C1000")=$C29)
        ),
        5,
        FALSE
    )="",
    "",
    VLOOKUP(
        $A29,
        _xlfn._xlws.FILTER(
            INDIRECT("'"&amp;N$1&amp;"'!A2:G1000"), (INDIRECT("'"&amp;N$1&amp;"'!B2:B1000")=$B29) * (INDIRECT("'"&amp;N$1&amp;"'!C2:C1000")=$C29)
        ),7,
        FALSE
    )
)</f>
        <v/>
      </c>
      <c r="O29" s="52">
        <f t="array" ref="O29">IF(
    VLOOKUP(
        $A29,
        _xlfn._xlws.FILTER(
            INDIRECT("'"&amp;O$1&amp;"'!A2:G1000"), (INDIRECT("'"&amp;O$1&amp;"'!B2:B1000")=$B29) * (INDIRECT("'"&amp;O$1&amp;"'!C2:C1000")=$C29)
        ),
        5,
        FALSE
    )="",
    "",
    VLOOKUP(
        $A29,
        _xlfn._xlws.FILTER(
            INDIRECT("'"&amp;O$1&amp;"'!A2:G1000"), (INDIRECT("'"&amp;O$1&amp;"'!B2:B1000")=$B29) * (INDIRECT("'"&amp;O$1&amp;"'!C2:C1000")=$C29)
        ),7,
        FALSE
    )
)</f>
        <v/>
      </c>
    </row>
    <row r="30">
      <c r="A30" s="54" t="inlineStr">
        <is>
          <t>Cibax</t>
        </is>
      </c>
      <c r="B30" s="92" t="inlineStr">
        <is>
          <t>Mariluz</t>
        </is>
      </c>
      <c r="C30" s="95" t="n">
        <v>1</v>
      </c>
      <c r="D30" s="52">
        <f t="array" ref="D30">IF(
    VLOOKUP(
        $A30,
        _xlfn._xlws.FILTER(
            INDIRECT("'"&amp;D$1&amp;"'!A2:G1000"), (INDIRECT("'"&amp;D$1&amp;"'!B2:B1000")=$B30) * (INDIRECT("'"&amp;D$1&amp;"'!C2:C1000")=$C30)
        ),
        5,
        FALSE
    )="",
    "",
    VLOOKUP(
        $A30,
        _xlfn._xlws.FILTER(
            INDIRECT("'"&amp;D$1&amp;"'!A2:G1000"), (INDIRECT("'"&amp;D$1&amp;"'!B2:B1000")=$B30) * (INDIRECT("'"&amp;D$1&amp;"'!C2:C1000")=$C30)
        ),7,
        FALSE
    )
)</f>
        <v/>
      </c>
      <c r="E30" s="52">
        <f t="array" ref="E30">IF(
    VLOOKUP(
        $A30,
        _xlfn._xlws.FILTER(
            INDIRECT("'"&amp;E$1&amp;"'!A2:G1000"), (INDIRECT("'"&amp;E$1&amp;"'!B2:B1000")=$B30) * (INDIRECT("'"&amp;E$1&amp;"'!C2:C1000")=$C30)
        ),
        5,
        FALSE
    )="",
    "",
    VLOOKUP(
        $A30,
        _xlfn._xlws.FILTER(
            INDIRECT("'"&amp;E$1&amp;"'!A2:G1000"), (INDIRECT("'"&amp;E$1&amp;"'!B2:B1000")=$B30) * (INDIRECT("'"&amp;E$1&amp;"'!C2:C1000")=$C30)
        ),7,
        FALSE
    )
)</f>
        <v/>
      </c>
      <c r="F30" s="52">
        <f t="array" ref="F30">IF(
    VLOOKUP(
        $A30,
        _xlfn._xlws.FILTER(
            INDIRECT("'"&amp;F$1&amp;"'!A2:G1000"), (INDIRECT("'"&amp;F$1&amp;"'!B2:B1000")=$B30) * (INDIRECT("'"&amp;F$1&amp;"'!C2:C1000")=$C30)
        ),
        5,
        FALSE
    )="",
    "",
    VLOOKUP(
        $A30,
        _xlfn._xlws.FILTER(
            INDIRECT("'"&amp;F$1&amp;"'!A2:G1000"), (INDIRECT("'"&amp;F$1&amp;"'!B2:B1000")=$B30) * (INDIRECT("'"&amp;F$1&amp;"'!C2:C1000")=$C30)
        ),7,
        FALSE
    )
)</f>
        <v/>
      </c>
      <c r="G30" s="52">
        <f t="array" ref="G30">IF(
    VLOOKUP(
        $A30,
        _xlfn._xlws.FILTER(
            INDIRECT("'"&amp;G$1&amp;"'!A2:G1000"), (INDIRECT("'"&amp;G$1&amp;"'!B2:B1000")=$B30) * (INDIRECT("'"&amp;G$1&amp;"'!C2:C1000")=$C30)
        ),
        5,
        FALSE
    )="",
    "",
    VLOOKUP(
        $A30,
        _xlfn._xlws.FILTER(
            INDIRECT("'"&amp;G$1&amp;"'!A2:G1000"), (INDIRECT("'"&amp;G$1&amp;"'!B2:B1000")=$B30) * (INDIRECT("'"&amp;G$1&amp;"'!C2:C1000")=$C30)
        ),7,
        FALSE
    )
)</f>
        <v/>
      </c>
      <c r="H30" s="52">
        <f t="array" ref="H30">IF(
    VLOOKUP(
        $A30,
        _xlfn._xlws.FILTER(
            INDIRECT("'"&amp;H$1&amp;"'!A2:G1000"), (INDIRECT("'"&amp;H$1&amp;"'!B2:B1000")=$B30) * (INDIRECT("'"&amp;H$1&amp;"'!C2:C1000")=$C30)
        ),
        5,
        FALSE
    )="",
    "",
    VLOOKUP(
        $A30,
        _xlfn._xlws.FILTER(
            INDIRECT("'"&amp;H$1&amp;"'!A2:G1000"), (INDIRECT("'"&amp;H$1&amp;"'!B2:B1000")=$B30) * (INDIRECT("'"&amp;H$1&amp;"'!C2:C1000")=$C30)
        ),7,
        FALSE
    )
)</f>
        <v/>
      </c>
      <c r="I30" s="52">
        <f t="array" ref="I30">IF(
    VLOOKUP(
        $A30,
        _xlfn._xlws.FILTER(
            INDIRECT("'"&amp;I$1&amp;"'!A2:G1000"), (INDIRECT("'"&amp;I$1&amp;"'!B2:B1000")=$B30) * (INDIRECT("'"&amp;I$1&amp;"'!C2:C1000")=$C30)
        ),
        5,
        FALSE
    )="",
    "",
    VLOOKUP(
        $A30,
        _xlfn._xlws.FILTER(
            INDIRECT("'"&amp;I$1&amp;"'!A2:G1000"), (INDIRECT("'"&amp;I$1&amp;"'!B2:B1000")=$B30) * (INDIRECT("'"&amp;I$1&amp;"'!C2:C1000")=$C30)
        ),7,
        FALSE
    )
)</f>
        <v/>
      </c>
      <c r="J30" s="52">
        <f t="array" ref="J30">IF(
    VLOOKUP(
        $A30,
        _xlfn._xlws.FILTER(
            INDIRECT("'"&amp;J$1&amp;"'!A2:G1000"), (INDIRECT("'"&amp;J$1&amp;"'!B2:B1000")=$B30) * (INDIRECT("'"&amp;J$1&amp;"'!C2:C1000")=$C30)
        ),
        5,
        FALSE
    )="",
    "",
    VLOOKUP(
        $A30,
        _xlfn._xlws.FILTER(
            INDIRECT("'"&amp;J$1&amp;"'!A2:G1000"), (INDIRECT("'"&amp;J$1&amp;"'!B2:B1000")=$B30) * (INDIRECT("'"&amp;J$1&amp;"'!C2:C1000")=$C30)
        ),7,
        FALSE
    )
)</f>
        <v/>
      </c>
      <c r="K30" s="52">
        <f t="array" ref="K30">IF(
    VLOOKUP(
        $A30,
        _xlfn._xlws.FILTER(
            INDIRECT("'"&amp;K$1&amp;"'!A2:G1000"), (INDIRECT("'"&amp;K$1&amp;"'!B2:B1000")=$B30) * (INDIRECT("'"&amp;K$1&amp;"'!C2:C1000")=$C30)
        ),
        5,
        FALSE
    )="",
    "",
    VLOOKUP(
        $A30,
        _xlfn._xlws.FILTER(
            INDIRECT("'"&amp;K$1&amp;"'!A2:G1000"), (INDIRECT("'"&amp;K$1&amp;"'!B2:B1000")=$B30) * (INDIRECT("'"&amp;K$1&amp;"'!C2:C1000")=$C30)
        ),7,
        FALSE
    )
)</f>
        <v/>
      </c>
      <c r="L30" s="52">
        <f t="array" ref="L30">IF(
    VLOOKUP(
        $A30,
        _xlfn._xlws.FILTER(
            INDIRECT("'"&amp;L$1&amp;"'!A2:G1000"), (INDIRECT("'"&amp;L$1&amp;"'!B2:B1000")=$B30) * (INDIRECT("'"&amp;L$1&amp;"'!C2:C1000")=$C30)
        ),
        5,
        FALSE
    )="",
    "",
    VLOOKUP(
        $A30,
        _xlfn._xlws.FILTER(
            INDIRECT("'"&amp;L$1&amp;"'!A2:G1000"), (INDIRECT("'"&amp;L$1&amp;"'!B2:B1000")=$B30) * (INDIRECT("'"&amp;L$1&amp;"'!C2:C1000")=$C30)
        ),7,
        FALSE
    )
)</f>
        <v/>
      </c>
      <c r="M30" s="52">
        <f t="array" ref="M30">IF(
    VLOOKUP(
        $A30,
        _xlfn._xlws.FILTER(
            INDIRECT("'"&amp;M$1&amp;"'!A2:G1000"), (INDIRECT("'"&amp;M$1&amp;"'!B2:B1000")=$B30) * (INDIRECT("'"&amp;M$1&amp;"'!C2:C1000")=$C30)
        ),
        5,
        FALSE
    )="",
    "",
    VLOOKUP(
        $A30,
        _xlfn._xlws.FILTER(
            INDIRECT("'"&amp;M$1&amp;"'!A2:G1000"), (INDIRECT("'"&amp;M$1&amp;"'!B2:B1000")=$B30) * (INDIRECT("'"&amp;M$1&amp;"'!C2:C1000")=$C30)
        ),7,
        FALSE
    )
)</f>
        <v/>
      </c>
      <c r="N30" s="52">
        <f t="array" ref="N30">IF(
    VLOOKUP(
        $A30,
        _xlfn._xlws.FILTER(
            INDIRECT("'"&amp;N$1&amp;"'!A2:G1000"), (INDIRECT("'"&amp;N$1&amp;"'!B2:B1000")=$B30) * (INDIRECT("'"&amp;N$1&amp;"'!C2:C1000")=$C30)
        ),
        5,
        FALSE
    )="",
    "",
    VLOOKUP(
        $A30,
        _xlfn._xlws.FILTER(
            INDIRECT("'"&amp;N$1&amp;"'!A2:G1000"), (INDIRECT("'"&amp;N$1&amp;"'!B2:B1000")=$B30) * (INDIRECT("'"&amp;N$1&amp;"'!C2:C1000")=$C30)
        ),7,
        FALSE
    )
)</f>
        <v/>
      </c>
      <c r="O30" s="52">
        <f t="array" ref="O30">IF(
    VLOOKUP(
        $A30,
        _xlfn._xlws.FILTER(
            INDIRECT("'"&amp;O$1&amp;"'!A2:G1000"), (INDIRECT("'"&amp;O$1&amp;"'!B2:B1000")=$B30) * (INDIRECT("'"&amp;O$1&amp;"'!C2:C1000")=$C30)
        ),
        5,
        FALSE
    )="",
    "",
    VLOOKUP(
        $A30,
        _xlfn._xlws.FILTER(
            INDIRECT("'"&amp;O$1&amp;"'!A2:G1000"), (INDIRECT("'"&amp;O$1&amp;"'!B2:B1000")=$B30) * (INDIRECT("'"&amp;O$1&amp;"'!C2:C1000")=$C30)
        ),7,
        FALSE
    )
)</f>
        <v/>
      </c>
    </row>
    <row r="31">
      <c r="A31" s="54" t="inlineStr">
        <is>
          <t>Cibax</t>
        </is>
      </c>
      <c r="B31" s="92" t="inlineStr">
        <is>
          <t>Perobal</t>
        </is>
      </c>
      <c r="C31" s="95" t="n">
        <v>1</v>
      </c>
      <c r="D31" s="52">
        <f t="array" ref="D31">IF(
    VLOOKUP(
        $A31,
        _xlfn._xlws.FILTER(
            INDIRECT("'"&amp;D$1&amp;"'!A2:G1000"), (INDIRECT("'"&amp;D$1&amp;"'!B2:B1000")=$B31) * (INDIRECT("'"&amp;D$1&amp;"'!C2:C1000")=$C31)
        ),
        5,
        FALSE
    )="",
    "",
    VLOOKUP(
        $A31,
        _xlfn._xlws.FILTER(
            INDIRECT("'"&amp;D$1&amp;"'!A2:G1000"), (INDIRECT("'"&amp;D$1&amp;"'!B2:B1000")=$B31) * (INDIRECT("'"&amp;D$1&amp;"'!C2:C1000")=$C31)
        ),7,
        FALSE
    )
)</f>
        <v/>
      </c>
      <c r="E31" s="52">
        <f t="array" ref="E31">IF(
    VLOOKUP(
        $A31,
        _xlfn._xlws.FILTER(
            INDIRECT("'"&amp;E$1&amp;"'!A2:G1000"), (INDIRECT("'"&amp;E$1&amp;"'!B2:B1000")=$B31) * (INDIRECT("'"&amp;E$1&amp;"'!C2:C1000")=$C31)
        ),
        5,
        FALSE
    )="",
    "",
    VLOOKUP(
        $A31,
        _xlfn._xlws.FILTER(
            INDIRECT("'"&amp;E$1&amp;"'!A2:G1000"), (INDIRECT("'"&amp;E$1&amp;"'!B2:B1000")=$B31) * (INDIRECT("'"&amp;E$1&amp;"'!C2:C1000")=$C31)
        ),7,
        FALSE
    )
)</f>
        <v/>
      </c>
      <c r="F31" s="52">
        <f t="array" ref="F31">IF(
    VLOOKUP(
        $A31,
        _xlfn._xlws.FILTER(
            INDIRECT("'"&amp;F$1&amp;"'!A2:G1000"), (INDIRECT("'"&amp;F$1&amp;"'!B2:B1000")=$B31) * (INDIRECT("'"&amp;F$1&amp;"'!C2:C1000")=$C31)
        ),
        5,
        FALSE
    )="",
    "",
    VLOOKUP(
        $A31,
        _xlfn._xlws.FILTER(
            INDIRECT("'"&amp;F$1&amp;"'!A2:G1000"), (INDIRECT("'"&amp;F$1&amp;"'!B2:B1000")=$B31) * (INDIRECT("'"&amp;F$1&amp;"'!C2:C1000")=$C31)
        ),7,
        FALSE
    )
)</f>
        <v/>
      </c>
      <c r="G31" s="52">
        <f t="array" ref="G31">IF(
    VLOOKUP(
        $A31,
        _xlfn._xlws.FILTER(
            INDIRECT("'"&amp;G$1&amp;"'!A2:G1000"), (INDIRECT("'"&amp;G$1&amp;"'!B2:B1000")=$B31) * (INDIRECT("'"&amp;G$1&amp;"'!C2:C1000")=$C31)
        ),
        5,
        FALSE
    )="",
    "",
    VLOOKUP(
        $A31,
        _xlfn._xlws.FILTER(
            INDIRECT("'"&amp;G$1&amp;"'!A2:G1000"), (INDIRECT("'"&amp;G$1&amp;"'!B2:B1000")=$B31) * (INDIRECT("'"&amp;G$1&amp;"'!C2:C1000")=$C31)
        ),7,
        FALSE
    )
)</f>
        <v/>
      </c>
      <c r="H31" s="52">
        <f t="array" ref="H31">IF(
    VLOOKUP(
        $A31,
        _xlfn._xlws.FILTER(
            INDIRECT("'"&amp;H$1&amp;"'!A2:G1000"), (INDIRECT("'"&amp;H$1&amp;"'!B2:B1000")=$B31) * (INDIRECT("'"&amp;H$1&amp;"'!C2:C1000")=$C31)
        ),
        5,
        FALSE
    )="",
    "",
    VLOOKUP(
        $A31,
        _xlfn._xlws.FILTER(
            INDIRECT("'"&amp;H$1&amp;"'!A2:G1000"), (INDIRECT("'"&amp;H$1&amp;"'!B2:B1000")=$B31) * (INDIRECT("'"&amp;H$1&amp;"'!C2:C1000")=$C31)
        ),7,
        FALSE
    )
)</f>
        <v/>
      </c>
      <c r="I31" s="52">
        <f t="array" ref="I31">IF(
    VLOOKUP(
        $A31,
        _xlfn._xlws.FILTER(
            INDIRECT("'"&amp;I$1&amp;"'!A2:G1000"), (INDIRECT("'"&amp;I$1&amp;"'!B2:B1000")=$B31) * (INDIRECT("'"&amp;I$1&amp;"'!C2:C1000")=$C31)
        ),
        5,
        FALSE
    )="",
    "",
    VLOOKUP(
        $A31,
        _xlfn._xlws.FILTER(
            INDIRECT("'"&amp;I$1&amp;"'!A2:G1000"), (INDIRECT("'"&amp;I$1&amp;"'!B2:B1000")=$B31) * (INDIRECT("'"&amp;I$1&amp;"'!C2:C1000")=$C31)
        ),7,
        FALSE
    )
)</f>
        <v/>
      </c>
      <c r="J31" s="52">
        <f t="array" ref="J31">IF(
    VLOOKUP(
        $A31,
        _xlfn._xlws.FILTER(
            INDIRECT("'"&amp;J$1&amp;"'!A2:G1000"), (INDIRECT("'"&amp;J$1&amp;"'!B2:B1000")=$B31) * (INDIRECT("'"&amp;J$1&amp;"'!C2:C1000")=$C31)
        ),
        5,
        FALSE
    )="",
    "",
    VLOOKUP(
        $A31,
        _xlfn._xlws.FILTER(
            INDIRECT("'"&amp;J$1&amp;"'!A2:G1000"), (INDIRECT("'"&amp;J$1&amp;"'!B2:B1000")=$B31) * (INDIRECT("'"&amp;J$1&amp;"'!C2:C1000")=$C31)
        ),7,
        FALSE
    )
)</f>
        <v/>
      </c>
      <c r="K31" s="52">
        <f t="array" ref="K31">IF(
    VLOOKUP(
        $A31,
        _xlfn._xlws.FILTER(
            INDIRECT("'"&amp;K$1&amp;"'!A2:G1000"), (INDIRECT("'"&amp;K$1&amp;"'!B2:B1000")=$B31) * (INDIRECT("'"&amp;K$1&amp;"'!C2:C1000")=$C31)
        ),
        5,
        FALSE
    )="",
    "",
    VLOOKUP(
        $A31,
        _xlfn._xlws.FILTER(
            INDIRECT("'"&amp;K$1&amp;"'!A2:G1000"), (INDIRECT("'"&amp;K$1&amp;"'!B2:B1000")=$B31) * (INDIRECT("'"&amp;K$1&amp;"'!C2:C1000")=$C31)
        ),7,
        FALSE
    )
)</f>
        <v/>
      </c>
      <c r="L31" s="52">
        <f t="array" ref="L31">IF(
    VLOOKUP(
        $A31,
        _xlfn._xlws.FILTER(
            INDIRECT("'"&amp;L$1&amp;"'!A2:G1000"), (INDIRECT("'"&amp;L$1&amp;"'!B2:B1000")=$B31) * (INDIRECT("'"&amp;L$1&amp;"'!C2:C1000")=$C31)
        ),
        5,
        FALSE
    )="",
    "",
    VLOOKUP(
        $A31,
        _xlfn._xlws.FILTER(
            INDIRECT("'"&amp;L$1&amp;"'!A2:G1000"), (INDIRECT("'"&amp;L$1&amp;"'!B2:B1000")=$B31) * (INDIRECT("'"&amp;L$1&amp;"'!C2:C1000")=$C31)
        ),7,
        FALSE
    )
)</f>
        <v/>
      </c>
      <c r="M31" s="52">
        <f t="array" ref="M31">IF(
    VLOOKUP(
        $A31,
        _xlfn._xlws.FILTER(
            INDIRECT("'"&amp;M$1&amp;"'!A2:G1000"), (INDIRECT("'"&amp;M$1&amp;"'!B2:B1000")=$B31) * (INDIRECT("'"&amp;M$1&amp;"'!C2:C1000")=$C31)
        ),
        5,
        FALSE
    )="",
    "",
    VLOOKUP(
        $A31,
        _xlfn._xlws.FILTER(
            INDIRECT("'"&amp;M$1&amp;"'!A2:G1000"), (INDIRECT("'"&amp;M$1&amp;"'!B2:B1000")=$B31) * (INDIRECT("'"&amp;M$1&amp;"'!C2:C1000")=$C31)
        ),7,
        FALSE
    )
)</f>
        <v/>
      </c>
      <c r="N31" s="52">
        <f t="array" ref="N31">IF(
    VLOOKUP(
        $A31,
        _xlfn._xlws.FILTER(
            INDIRECT("'"&amp;N$1&amp;"'!A2:G1000"), (INDIRECT("'"&amp;N$1&amp;"'!B2:B1000")=$B31) * (INDIRECT("'"&amp;N$1&amp;"'!C2:C1000")=$C31)
        ),
        5,
        FALSE
    )="",
    "",
    VLOOKUP(
        $A31,
        _xlfn._xlws.FILTER(
            INDIRECT("'"&amp;N$1&amp;"'!A2:G1000"), (INDIRECT("'"&amp;N$1&amp;"'!B2:B1000")=$B31) * (INDIRECT("'"&amp;N$1&amp;"'!C2:C1000")=$C31)
        ),7,
        FALSE
    )
)</f>
        <v/>
      </c>
      <c r="O31" s="52">
        <f t="array" ref="O31">IF(
    VLOOKUP(
        $A31,
        _xlfn._xlws.FILTER(
            INDIRECT("'"&amp;O$1&amp;"'!A2:G1000"), (INDIRECT("'"&amp;O$1&amp;"'!B2:B1000")=$B31) * (INDIRECT("'"&amp;O$1&amp;"'!C2:C1000")=$C31)
        ),
        5,
        FALSE
    )="",
    "",
    VLOOKUP(
        $A31,
        _xlfn._xlws.FILTER(
            INDIRECT("'"&amp;O$1&amp;"'!A2:G1000"), (INDIRECT("'"&amp;O$1&amp;"'!B2:B1000")=$B31) * (INDIRECT("'"&amp;O$1&amp;"'!C2:C1000")=$C31)
        ),7,
        FALSE
    )
)</f>
        <v/>
      </c>
    </row>
    <row r="32">
      <c r="A32" s="54" t="inlineStr">
        <is>
          <t>Cibax</t>
        </is>
      </c>
      <c r="B32" s="92" t="inlineStr">
        <is>
          <t>Pérola</t>
        </is>
      </c>
      <c r="C32" s="95" t="n">
        <v>1</v>
      </c>
      <c r="D32" s="52">
        <f t="array" ref="D32">IF(
    VLOOKUP(
        $A32,
        _xlfn._xlws.FILTER(
            INDIRECT("'"&amp;D$1&amp;"'!A2:G1000"), (INDIRECT("'"&amp;D$1&amp;"'!B2:B1000")=$B32) * (INDIRECT("'"&amp;D$1&amp;"'!C2:C1000")=$C32)
        ),
        5,
        FALSE
    )="",
    "",
    VLOOKUP(
        $A32,
        _xlfn._xlws.FILTER(
            INDIRECT("'"&amp;D$1&amp;"'!A2:G1000"), (INDIRECT("'"&amp;D$1&amp;"'!B2:B1000")=$B32) * (INDIRECT("'"&amp;D$1&amp;"'!C2:C1000")=$C32)
        ),7,
        FALSE
    )
)</f>
        <v/>
      </c>
      <c r="E32" s="52">
        <f t="array" ref="E32">IF(
    VLOOKUP(
        $A32,
        _xlfn._xlws.FILTER(
            INDIRECT("'"&amp;E$1&amp;"'!A2:G1000"), (INDIRECT("'"&amp;E$1&amp;"'!B2:B1000")=$B32) * (INDIRECT("'"&amp;E$1&amp;"'!C2:C1000")=$C32)
        ),
        5,
        FALSE
    )="",
    "",
    VLOOKUP(
        $A32,
        _xlfn._xlws.FILTER(
            INDIRECT("'"&amp;E$1&amp;"'!A2:G1000"), (INDIRECT("'"&amp;E$1&amp;"'!B2:B1000")=$B32) * (INDIRECT("'"&amp;E$1&amp;"'!C2:C1000")=$C32)
        ),7,
        FALSE
    )
)</f>
        <v/>
      </c>
      <c r="F32" s="52">
        <f t="array" ref="F32">IF(
    VLOOKUP(
        $A32,
        _xlfn._xlws.FILTER(
            INDIRECT("'"&amp;F$1&amp;"'!A2:G1000"), (INDIRECT("'"&amp;F$1&amp;"'!B2:B1000")=$B32) * (INDIRECT("'"&amp;F$1&amp;"'!C2:C1000")=$C32)
        ),
        5,
        FALSE
    )="",
    "",
    VLOOKUP(
        $A32,
        _xlfn._xlws.FILTER(
            INDIRECT("'"&amp;F$1&amp;"'!A2:G1000"), (INDIRECT("'"&amp;F$1&amp;"'!B2:B1000")=$B32) * (INDIRECT("'"&amp;F$1&amp;"'!C2:C1000")=$C32)
        ),7,
        FALSE
    )
)</f>
        <v/>
      </c>
      <c r="G32" s="52">
        <f t="array" ref="G32">IF(
    VLOOKUP(
        $A32,
        _xlfn._xlws.FILTER(
            INDIRECT("'"&amp;G$1&amp;"'!A2:G1000"), (INDIRECT("'"&amp;G$1&amp;"'!B2:B1000")=$B32) * (INDIRECT("'"&amp;G$1&amp;"'!C2:C1000")=$C32)
        ),
        5,
        FALSE
    )="",
    "",
    VLOOKUP(
        $A32,
        _xlfn._xlws.FILTER(
            INDIRECT("'"&amp;G$1&amp;"'!A2:G1000"), (INDIRECT("'"&amp;G$1&amp;"'!B2:B1000")=$B32) * (INDIRECT("'"&amp;G$1&amp;"'!C2:C1000")=$C32)
        ),7,
        FALSE
    )
)</f>
        <v/>
      </c>
      <c r="H32" s="52">
        <f t="array" ref="H32">IF(
    VLOOKUP(
        $A32,
        _xlfn._xlws.FILTER(
            INDIRECT("'"&amp;H$1&amp;"'!A2:G1000"), (INDIRECT("'"&amp;H$1&amp;"'!B2:B1000")=$B32) * (INDIRECT("'"&amp;H$1&amp;"'!C2:C1000")=$C32)
        ),
        5,
        FALSE
    )="",
    "",
    VLOOKUP(
        $A32,
        _xlfn._xlws.FILTER(
            INDIRECT("'"&amp;H$1&amp;"'!A2:G1000"), (INDIRECT("'"&amp;H$1&amp;"'!B2:B1000")=$B32) * (INDIRECT("'"&amp;H$1&amp;"'!C2:C1000")=$C32)
        ),7,
        FALSE
    )
)</f>
        <v/>
      </c>
      <c r="I32" s="52">
        <f t="array" ref="I32">IF(
    VLOOKUP(
        $A32,
        _xlfn._xlws.FILTER(
            INDIRECT("'"&amp;I$1&amp;"'!A2:G1000"), (INDIRECT("'"&amp;I$1&amp;"'!B2:B1000")=$B32) * (INDIRECT("'"&amp;I$1&amp;"'!C2:C1000")=$C32)
        ),
        5,
        FALSE
    )="",
    "",
    VLOOKUP(
        $A32,
        _xlfn._xlws.FILTER(
            INDIRECT("'"&amp;I$1&amp;"'!A2:G1000"), (INDIRECT("'"&amp;I$1&amp;"'!B2:B1000")=$B32) * (INDIRECT("'"&amp;I$1&amp;"'!C2:C1000")=$C32)
        ),7,
        FALSE
    )
)</f>
        <v/>
      </c>
      <c r="J32" s="52">
        <f t="array" ref="J32">IF(
    VLOOKUP(
        $A32,
        _xlfn._xlws.FILTER(
            INDIRECT("'"&amp;J$1&amp;"'!A2:G1000"), (INDIRECT("'"&amp;J$1&amp;"'!B2:B1000")=$B32) * (INDIRECT("'"&amp;J$1&amp;"'!C2:C1000")=$C32)
        ),
        5,
        FALSE
    )="",
    "",
    VLOOKUP(
        $A32,
        _xlfn._xlws.FILTER(
            INDIRECT("'"&amp;J$1&amp;"'!A2:G1000"), (INDIRECT("'"&amp;J$1&amp;"'!B2:B1000")=$B32) * (INDIRECT("'"&amp;J$1&amp;"'!C2:C1000")=$C32)
        ),7,
        FALSE
    )
)</f>
        <v/>
      </c>
      <c r="K32" s="52">
        <f t="array" ref="K32">IF(
    VLOOKUP(
        $A32,
        _xlfn._xlws.FILTER(
            INDIRECT("'"&amp;K$1&amp;"'!A2:G1000"), (INDIRECT("'"&amp;K$1&amp;"'!B2:B1000")=$B32) * (INDIRECT("'"&amp;K$1&amp;"'!C2:C1000")=$C32)
        ),
        5,
        FALSE
    )="",
    "",
    VLOOKUP(
        $A32,
        _xlfn._xlws.FILTER(
            INDIRECT("'"&amp;K$1&amp;"'!A2:G1000"), (INDIRECT("'"&amp;K$1&amp;"'!B2:B1000")=$B32) * (INDIRECT("'"&amp;K$1&amp;"'!C2:C1000")=$C32)
        ),7,
        FALSE
    )
)</f>
        <v/>
      </c>
      <c r="L32" s="52">
        <f t="array" ref="L32">IF(
    VLOOKUP(
        $A32,
        _xlfn._xlws.FILTER(
            INDIRECT("'"&amp;L$1&amp;"'!A2:G1000"), (INDIRECT("'"&amp;L$1&amp;"'!B2:B1000")=$B32) * (INDIRECT("'"&amp;L$1&amp;"'!C2:C1000")=$C32)
        ),
        5,
        FALSE
    )="",
    "",
    VLOOKUP(
        $A32,
        _xlfn._xlws.FILTER(
            INDIRECT("'"&amp;L$1&amp;"'!A2:G1000"), (INDIRECT("'"&amp;L$1&amp;"'!B2:B1000")=$B32) * (INDIRECT("'"&amp;L$1&amp;"'!C2:C1000")=$C32)
        ),7,
        FALSE
    )
)</f>
        <v/>
      </c>
      <c r="M32" s="52">
        <f t="array" ref="M32">IF(
    VLOOKUP(
        $A32,
        _xlfn._xlws.FILTER(
            INDIRECT("'"&amp;M$1&amp;"'!A2:G1000"), (INDIRECT("'"&amp;M$1&amp;"'!B2:B1000")=$B32) * (INDIRECT("'"&amp;M$1&amp;"'!C2:C1000")=$C32)
        ),
        5,
        FALSE
    )="",
    "",
    VLOOKUP(
        $A32,
        _xlfn._xlws.FILTER(
            INDIRECT("'"&amp;M$1&amp;"'!A2:G1000"), (INDIRECT("'"&amp;M$1&amp;"'!B2:B1000")=$B32) * (INDIRECT("'"&amp;M$1&amp;"'!C2:C1000")=$C32)
        ),7,
        FALSE
    )
)</f>
        <v/>
      </c>
      <c r="N32" s="52">
        <f t="array" ref="N32">IF(
    VLOOKUP(
        $A32,
        _xlfn._xlws.FILTER(
            INDIRECT("'"&amp;N$1&amp;"'!A2:G1000"), (INDIRECT("'"&amp;N$1&amp;"'!B2:B1000")=$B32) * (INDIRECT("'"&amp;N$1&amp;"'!C2:C1000")=$C32)
        ),
        5,
        FALSE
    )="",
    "",
    VLOOKUP(
        $A32,
        _xlfn._xlws.FILTER(
            INDIRECT("'"&amp;N$1&amp;"'!A2:G1000"), (INDIRECT("'"&amp;N$1&amp;"'!B2:B1000")=$B32) * (INDIRECT("'"&amp;N$1&amp;"'!C2:C1000")=$C32)
        ),7,
        FALSE
    )
)</f>
        <v/>
      </c>
      <c r="O32" s="52">
        <f t="array" ref="O32">IF(
    VLOOKUP(
        $A32,
        _xlfn._xlws.FILTER(
            INDIRECT("'"&amp;O$1&amp;"'!A2:G1000"), (INDIRECT("'"&amp;O$1&amp;"'!B2:B1000")=$B32) * (INDIRECT("'"&amp;O$1&amp;"'!C2:C1000")=$C32)
        ),
        5,
        FALSE
    )="",
    "",
    VLOOKUP(
        $A32,
        _xlfn._xlws.FILTER(
            INDIRECT("'"&amp;O$1&amp;"'!A2:G1000"), (INDIRECT("'"&amp;O$1&amp;"'!B2:B1000")=$B32) * (INDIRECT("'"&amp;O$1&amp;"'!C2:C1000")=$C32)
        ),7,
        FALSE
    )
)</f>
        <v/>
      </c>
    </row>
    <row r="33" ht="15.75" customHeight="1">
      <c r="A33" s="54" t="inlineStr">
        <is>
          <t>Cibax</t>
        </is>
      </c>
      <c r="B33" s="92" t="inlineStr">
        <is>
          <t>Umuarama</t>
        </is>
      </c>
      <c r="C33" s="95" t="n">
        <v>1</v>
      </c>
      <c r="D33" s="52">
        <f t="array" ref="D33">IF(
    VLOOKUP(
        $A33,
        _xlfn._xlws.FILTER(
            INDIRECT("'"&amp;D$1&amp;"'!A2:G1000"), (INDIRECT("'"&amp;D$1&amp;"'!B2:B1000")=$B33) * (INDIRECT("'"&amp;D$1&amp;"'!C2:C1000")=$C33)
        ),
        5,
        FALSE
    )="",
    "",
    VLOOKUP(
        $A33,
        _xlfn._xlws.FILTER(
            INDIRECT("'"&amp;D$1&amp;"'!A2:G1000"), (INDIRECT("'"&amp;D$1&amp;"'!B2:B1000")=$B33) * (INDIRECT("'"&amp;D$1&amp;"'!C2:C1000")=$C33)
        ),7,
        FALSE
    )
)</f>
        <v/>
      </c>
      <c r="E33" s="52">
        <f t="array" ref="E33">IF(
    VLOOKUP(
        $A33,
        _xlfn._xlws.FILTER(
            INDIRECT("'"&amp;E$1&amp;"'!A2:G1000"), (INDIRECT("'"&amp;E$1&amp;"'!B2:B1000")=$B33) * (INDIRECT("'"&amp;E$1&amp;"'!C2:C1000")=$C33)
        ),
        5,
        FALSE
    )="",
    "",
    VLOOKUP(
        $A33,
        _xlfn._xlws.FILTER(
            INDIRECT("'"&amp;E$1&amp;"'!A2:G1000"), (INDIRECT("'"&amp;E$1&amp;"'!B2:B1000")=$B33) * (INDIRECT("'"&amp;E$1&amp;"'!C2:C1000")=$C33)
        ),7,
        FALSE
    )
)</f>
        <v/>
      </c>
      <c r="F33" s="52">
        <f t="array" ref="F33">IF(
    VLOOKUP(
        $A33,
        _xlfn._xlws.FILTER(
            INDIRECT("'"&amp;F$1&amp;"'!A2:G1000"), (INDIRECT("'"&amp;F$1&amp;"'!B2:B1000")=$B33) * (INDIRECT("'"&amp;F$1&amp;"'!C2:C1000")=$C33)
        ),
        5,
        FALSE
    )="",
    "",
    VLOOKUP(
        $A33,
        _xlfn._xlws.FILTER(
            INDIRECT("'"&amp;F$1&amp;"'!A2:G1000"), (INDIRECT("'"&amp;F$1&amp;"'!B2:B1000")=$B33) * (INDIRECT("'"&amp;F$1&amp;"'!C2:C1000")=$C33)
        ),7,
        FALSE
    )
)</f>
        <v/>
      </c>
      <c r="G33" s="52">
        <f t="array" ref="G33">IF(
    VLOOKUP(
        $A33,
        _xlfn._xlws.FILTER(
            INDIRECT("'"&amp;G$1&amp;"'!A2:G1000"), (INDIRECT("'"&amp;G$1&amp;"'!B2:B1000")=$B33) * (INDIRECT("'"&amp;G$1&amp;"'!C2:C1000")=$C33)
        ),
        5,
        FALSE
    )="",
    "",
    VLOOKUP(
        $A33,
        _xlfn._xlws.FILTER(
            INDIRECT("'"&amp;G$1&amp;"'!A2:G1000"), (INDIRECT("'"&amp;G$1&amp;"'!B2:B1000")=$B33) * (INDIRECT("'"&amp;G$1&amp;"'!C2:C1000")=$C33)
        ),7,
        FALSE
    )
)</f>
        <v/>
      </c>
      <c r="H33" s="52">
        <f t="array" ref="H33">IF(
    VLOOKUP(
        $A33,
        _xlfn._xlws.FILTER(
            INDIRECT("'"&amp;H$1&amp;"'!A2:G1000"), (INDIRECT("'"&amp;H$1&amp;"'!B2:B1000")=$B33) * (INDIRECT("'"&amp;H$1&amp;"'!C2:C1000")=$C33)
        ),
        5,
        FALSE
    )="",
    "",
    VLOOKUP(
        $A33,
        _xlfn._xlws.FILTER(
            INDIRECT("'"&amp;H$1&amp;"'!A2:G1000"), (INDIRECT("'"&amp;H$1&amp;"'!B2:B1000")=$B33) * (INDIRECT("'"&amp;H$1&amp;"'!C2:C1000")=$C33)
        ),7,
        FALSE
    )
)</f>
        <v/>
      </c>
      <c r="I33" s="52">
        <f t="array" ref="I33">IF(
    VLOOKUP(
        $A33,
        _xlfn._xlws.FILTER(
            INDIRECT("'"&amp;I$1&amp;"'!A2:G1000"), (INDIRECT("'"&amp;I$1&amp;"'!B2:B1000")=$B33) * (INDIRECT("'"&amp;I$1&amp;"'!C2:C1000")=$C33)
        ),
        5,
        FALSE
    )="",
    "",
    VLOOKUP(
        $A33,
        _xlfn._xlws.FILTER(
            INDIRECT("'"&amp;I$1&amp;"'!A2:G1000"), (INDIRECT("'"&amp;I$1&amp;"'!B2:B1000")=$B33) * (INDIRECT("'"&amp;I$1&amp;"'!C2:C1000")=$C33)
        ),7,
        FALSE
    )
)</f>
        <v/>
      </c>
      <c r="J33" s="52">
        <f t="array" ref="J33">IF(
    VLOOKUP(
        $A33,
        _xlfn._xlws.FILTER(
            INDIRECT("'"&amp;J$1&amp;"'!A2:G1000"), (INDIRECT("'"&amp;J$1&amp;"'!B2:B1000")=$B33) * (INDIRECT("'"&amp;J$1&amp;"'!C2:C1000")=$C33)
        ),
        5,
        FALSE
    )="",
    "",
    VLOOKUP(
        $A33,
        _xlfn._xlws.FILTER(
            INDIRECT("'"&amp;J$1&amp;"'!A2:G1000"), (INDIRECT("'"&amp;J$1&amp;"'!B2:B1000")=$B33) * (INDIRECT("'"&amp;J$1&amp;"'!C2:C1000")=$C33)
        ),7,
        FALSE
    )
)</f>
        <v/>
      </c>
      <c r="K33" s="52">
        <f t="array" ref="K33">IF(
    VLOOKUP(
        $A33,
        _xlfn._xlws.FILTER(
            INDIRECT("'"&amp;K$1&amp;"'!A2:G1000"), (INDIRECT("'"&amp;K$1&amp;"'!B2:B1000")=$B33) * (INDIRECT("'"&amp;K$1&amp;"'!C2:C1000")=$C33)
        ),
        5,
        FALSE
    )="",
    "",
    VLOOKUP(
        $A33,
        _xlfn._xlws.FILTER(
            INDIRECT("'"&amp;K$1&amp;"'!A2:G1000"), (INDIRECT("'"&amp;K$1&amp;"'!B2:B1000")=$B33) * (INDIRECT("'"&amp;K$1&amp;"'!C2:C1000")=$C33)
        ),7,
        FALSE
    )
)</f>
        <v/>
      </c>
      <c r="L33" s="52">
        <f t="array" ref="L33">IF(
    VLOOKUP(
        $A33,
        _xlfn._xlws.FILTER(
            INDIRECT("'"&amp;L$1&amp;"'!A2:G1000"), (INDIRECT("'"&amp;L$1&amp;"'!B2:B1000")=$B33) * (INDIRECT("'"&amp;L$1&amp;"'!C2:C1000")=$C33)
        ),
        5,
        FALSE
    )="",
    "",
    VLOOKUP(
        $A33,
        _xlfn._xlws.FILTER(
            INDIRECT("'"&amp;L$1&amp;"'!A2:G1000"), (INDIRECT("'"&amp;L$1&amp;"'!B2:B1000")=$B33) * (INDIRECT("'"&amp;L$1&amp;"'!C2:C1000")=$C33)
        ),7,
        FALSE
    )
)</f>
        <v/>
      </c>
      <c r="M33" s="52">
        <f t="array" ref="M33">IF(
    VLOOKUP(
        $A33,
        _xlfn._xlws.FILTER(
            INDIRECT("'"&amp;M$1&amp;"'!A2:G1000"), (INDIRECT("'"&amp;M$1&amp;"'!B2:B1000")=$B33) * (INDIRECT("'"&amp;M$1&amp;"'!C2:C1000")=$C33)
        ),
        5,
        FALSE
    )="",
    "",
    VLOOKUP(
        $A33,
        _xlfn._xlws.FILTER(
            INDIRECT("'"&amp;M$1&amp;"'!A2:G1000"), (INDIRECT("'"&amp;M$1&amp;"'!B2:B1000")=$B33) * (INDIRECT("'"&amp;M$1&amp;"'!C2:C1000")=$C33)
        ),7,
        FALSE
    )
)</f>
        <v/>
      </c>
      <c r="N33" s="52">
        <f t="array" ref="N33">IF(
    VLOOKUP(
        $A33,
        _xlfn._xlws.FILTER(
            INDIRECT("'"&amp;N$1&amp;"'!A2:G1000"), (INDIRECT("'"&amp;N$1&amp;"'!B2:B1000")=$B33) * (INDIRECT("'"&amp;N$1&amp;"'!C2:C1000")=$C33)
        ),
        5,
        FALSE
    )="",
    "",
    VLOOKUP(
        $A33,
        _xlfn._xlws.FILTER(
            INDIRECT("'"&amp;N$1&amp;"'!A2:G1000"), (INDIRECT("'"&amp;N$1&amp;"'!B2:B1000")=$B33) * (INDIRECT("'"&amp;N$1&amp;"'!C2:C1000")=$C33)
        ),7,
        FALSE
    )
)</f>
        <v/>
      </c>
      <c r="O33" s="52">
        <f t="array" ref="O33">IF(
    VLOOKUP(
        $A33,
        _xlfn._xlws.FILTER(
            INDIRECT("'"&amp;O$1&amp;"'!A2:G1000"), (INDIRECT("'"&amp;O$1&amp;"'!B2:B1000")=$B33) * (INDIRECT("'"&amp;O$1&amp;"'!C2:C1000")=$C33)
        ),
        5,
        FALSE
    )="",
    "",
    VLOOKUP(
        $A33,
        _xlfn._xlws.FILTER(
            INDIRECT("'"&amp;O$1&amp;"'!A2:G1000"), (INDIRECT("'"&amp;O$1&amp;"'!B2:B1000")=$B33) * (INDIRECT("'"&amp;O$1&amp;"'!C2:C1000")=$C33)
        ),7,
        FALSE
    )
)</f>
        <v/>
      </c>
    </row>
    <row r="34" ht="15.75" customHeight="1">
      <c r="A34" s="54" t="inlineStr">
        <is>
          <t>Cibax</t>
        </is>
      </c>
      <c r="B34" s="92" t="inlineStr">
        <is>
          <t>Xambre</t>
        </is>
      </c>
      <c r="C34" s="95" t="n">
        <v>1</v>
      </c>
      <c r="D34" s="52">
        <f t="array" ref="D34">IF(
    VLOOKUP(
        $A34,
        _xlfn._xlws.FILTER(
            INDIRECT("'"&amp;D$1&amp;"'!A2:G1000"), (INDIRECT("'"&amp;D$1&amp;"'!B2:B1000")=$B34) * (INDIRECT("'"&amp;D$1&amp;"'!C2:C1000")=$C34)
        ),
        5,
        FALSE
    )="",
    "",
    VLOOKUP(
        $A34,
        _xlfn._xlws.FILTER(
            INDIRECT("'"&amp;D$1&amp;"'!A2:G1000"), (INDIRECT("'"&amp;D$1&amp;"'!B2:B1000")=$B34) * (INDIRECT("'"&amp;D$1&amp;"'!C2:C1000")=$C34)
        ),7,
        FALSE
    )
)</f>
        <v/>
      </c>
      <c r="E34" s="52">
        <f t="array" ref="E34">IF(
    VLOOKUP(
        $A34,
        _xlfn._xlws.FILTER(
            INDIRECT("'"&amp;E$1&amp;"'!A2:G1000"), (INDIRECT("'"&amp;E$1&amp;"'!B2:B1000")=$B34) * (INDIRECT("'"&amp;E$1&amp;"'!C2:C1000")=$C34)
        ),
        5,
        FALSE
    )="",
    "",
    VLOOKUP(
        $A34,
        _xlfn._xlws.FILTER(
            INDIRECT("'"&amp;E$1&amp;"'!A2:G1000"), (INDIRECT("'"&amp;E$1&amp;"'!B2:B1000")=$B34) * (INDIRECT("'"&amp;E$1&amp;"'!C2:C1000")=$C34)
        ),7,
        FALSE
    )
)</f>
        <v/>
      </c>
      <c r="F34" s="52">
        <f t="array" ref="F34">IF(
    VLOOKUP(
        $A34,
        _xlfn._xlws.FILTER(
            INDIRECT("'"&amp;F$1&amp;"'!A2:G1000"), (INDIRECT("'"&amp;F$1&amp;"'!B2:B1000")=$B34) * (INDIRECT("'"&amp;F$1&amp;"'!C2:C1000")=$C34)
        ),
        5,
        FALSE
    )="",
    "",
    VLOOKUP(
        $A34,
        _xlfn._xlws.FILTER(
            INDIRECT("'"&amp;F$1&amp;"'!A2:G1000"), (INDIRECT("'"&amp;F$1&amp;"'!B2:B1000")=$B34) * (INDIRECT("'"&amp;F$1&amp;"'!C2:C1000")=$C34)
        ),7,
        FALSE
    )
)</f>
        <v/>
      </c>
      <c r="G34" s="52">
        <f t="array" ref="G34">IF(
    VLOOKUP(
        $A34,
        _xlfn._xlws.FILTER(
            INDIRECT("'"&amp;G$1&amp;"'!A2:G1000"), (INDIRECT("'"&amp;G$1&amp;"'!B2:B1000")=$B34) * (INDIRECT("'"&amp;G$1&amp;"'!C2:C1000")=$C34)
        ),
        5,
        FALSE
    )="",
    "",
    VLOOKUP(
        $A34,
        _xlfn._xlws.FILTER(
            INDIRECT("'"&amp;G$1&amp;"'!A2:G1000"), (INDIRECT("'"&amp;G$1&amp;"'!B2:B1000")=$B34) * (INDIRECT("'"&amp;G$1&amp;"'!C2:C1000")=$C34)
        ),7,
        FALSE
    )
)</f>
        <v/>
      </c>
      <c r="H34" s="52">
        <f t="array" ref="H34">IF(
    VLOOKUP(
        $A34,
        _xlfn._xlws.FILTER(
            INDIRECT("'"&amp;H$1&amp;"'!A2:G1000"), (INDIRECT("'"&amp;H$1&amp;"'!B2:B1000")=$B34) * (INDIRECT("'"&amp;H$1&amp;"'!C2:C1000")=$C34)
        ),
        5,
        FALSE
    )="",
    "",
    VLOOKUP(
        $A34,
        _xlfn._xlws.FILTER(
            INDIRECT("'"&amp;H$1&amp;"'!A2:G1000"), (INDIRECT("'"&amp;H$1&amp;"'!B2:B1000")=$B34) * (INDIRECT("'"&amp;H$1&amp;"'!C2:C1000")=$C34)
        ),7,
        FALSE
    )
)</f>
        <v/>
      </c>
      <c r="I34" s="52">
        <f t="array" ref="I34">IF(
    VLOOKUP(
        $A34,
        _xlfn._xlws.FILTER(
            INDIRECT("'"&amp;I$1&amp;"'!A2:G1000"), (INDIRECT("'"&amp;I$1&amp;"'!B2:B1000")=$B34) * (INDIRECT("'"&amp;I$1&amp;"'!C2:C1000")=$C34)
        ),
        5,
        FALSE
    )="",
    "",
    VLOOKUP(
        $A34,
        _xlfn._xlws.FILTER(
            INDIRECT("'"&amp;I$1&amp;"'!A2:G1000"), (INDIRECT("'"&amp;I$1&amp;"'!B2:B1000")=$B34) * (INDIRECT("'"&amp;I$1&amp;"'!C2:C1000")=$C34)
        ),7,
        FALSE
    )
)</f>
        <v/>
      </c>
      <c r="J34" s="52">
        <f t="array" ref="J34">IF(
    VLOOKUP(
        $A34,
        _xlfn._xlws.FILTER(
            INDIRECT("'"&amp;J$1&amp;"'!A2:G1000"), (INDIRECT("'"&amp;J$1&amp;"'!B2:B1000")=$B34) * (INDIRECT("'"&amp;J$1&amp;"'!C2:C1000")=$C34)
        ),
        5,
        FALSE
    )="",
    "",
    VLOOKUP(
        $A34,
        _xlfn._xlws.FILTER(
            INDIRECT("'"&amp;J$1&amp;"'!A2:G1000"), (INDIRECT("'"&amp;J$1&amp;"'!B2:B1000")=$B34) * (INDIRECT("'"&amp;J$1&amp;"'!C2:C1000")=$C34)
        ),7,
        FALSE
    )
)</f>
        <v/>
      </c>
      <c r="K34" s="52">
        <f t="array" ref="K34">IF(
    VLOOKUP(
        $A34,
        _xlfn._xlws.FILTER(
            INDIRECT("'"&amp;K$1&amp;"'!A2:G1000"), (INDIRECT("'"&amp;K$1&amp;"'!B2:B1000")=$B34) * (INDIRECT("'"&amp;K$1&amp;"'!C2:C1000")=$C34)
        ),
        5,
        FALSE
    )="",
    "",
    VLOOKUP(
        $A34,
        _xlfn._xlws.FILTER(
            INDIRECT("'"&amp;K$1&amp;"'!A2:G1000"), (INDIRECT("'"&amp;K$1&amp;"'!B2:B1000")=$B34) * (INDIRECT("'"&amp;K$1&amp;"'!C2:C1000")=$C34)
        ),7,
        FALSE
    )
)</f>
        <v/>
      </c>
      <c r="L34" s="52">
        <f t="array" ref="L34">IF(
    VLOOKUP(
        $A34,
        _xlfn._xlws.FILTER(
            INDIRECT("'"&amp;L$1&amp;"'!A2:G1000"), (INDIRECT("'"&amp;L$1&amp;"'!B2:B1000")=$B34) * (INDIRECT("'"&amp;L$1&amp;"'!C2:C1000")=$C34)
        ),
        5,
        FALSE
    )="",
    "",
    VLOOKUP(
        $A34,
        _xlfn._xlws.FILTER(
            INDIRECT("'"&amp;L$1&amp;"'!A2:G1000"), (INDIRECT("'"&amp;L$1&amp;"'!B2:B1000")=$B34) * (INDIRECT("'"&amp;L$1&amp;"'!C2:C1000")=$C34)
        ),7,
        FALSE
    )
)</f>
        <v/>
      </c>
      <c r="M34" s="52">
        <f t="array" ref="M34">IF(
    VLOOKUP(
        $A34,
        _xlfn._xlws.FILTER(
            INDIRECT("'"&amp;M$1&amp;"'!A2:G1000"), (INDIRECT("'"&amp;M$1&amp;"'!B2:B1000")=$B34) * (INDIRECT("'"&amp;M$1&amp;"'!C2:C1000")=$C34)
        ),
        5,
        FALSE
    )="",
    "",
    VLOOKUP(
        $A34,
        _xlfn._xlws.FILTER(
            INDIRECT("'"&amp;M$1&amp;"'!A2:G1000"), (INDIRECT("'"&amp;M$1&amp;"'!B2:B1000")=$B34) * (INDIRECT("'"&amp;M$1&amp;"'!C2:C1000")=$C34)
        ),7,
        FALSE
    )
)</f>
        <v/>
      </c>
      <c r="N34" s="52">
        <f t="array" ref="N34">IF(
    VLOOKUP(
        $A34,
        _xlfn._xlws.FILTER(
            INDIRECT("'"&amp;N$1&amp;"'!A2:G1000"), (INDIRECT("'"&amp;N$1&amp;"'!B2:B1000")=$B34) * (INDIRECT("'"&amp;N$1&amp;"'!C2:C1000")=$C34)
        ),
        5,
        FALSE
    )="",
    "",
    VLOOKUP(
        $A34,
        _xlfn._xlws.FILTER(
            INDIRECT("'"&amp;N$1&amp;"'!A2:G1000"), (INDIRECT("'"&amp;N$1&amp;"'!B2:B1000")=$B34) * (INDIRECT("'"&amp;N$1&amp;"'!C2:C1000")=$C34)
        ),7,
        FALSE
    )
)</f>
        <v/>
      </c>
      <c r="O34" s="52">
        <f t="array" ref="O34">IF(
    VLOOKUP(
        $A34,
        _xlfn._xlws.FILTER(
            INDIRECT("'"&amp;O$1&amp;"'!A2:G1000"), (INDIRECT("'"&amp;O$1&amp;"'!B2:B1000")=$B34) * (INDIRECT("'"&amp;O$1&amp;"'!C2:C1000")=$C34)
        ),
        5,
        FALSE
    )="",
    "",
    VLOOKUP(
        $A34,
        _xlfn._xlws.FILTER(
            INDIRECT("'"&amp;O$1&amp;"'!A2:G1000"), (INDIRECT("'"&amp;O$1&amp;"'!B2:B1000")=$B34) * (INDIRECT("'"&amp;O$1&amp;"'!C2:C1000")=$C34)
        ),7,
        FALSE
    )
)</f>
        <v/>
      </c>
    </row>
    <row r="35">
      <c r="B35" s="94" t="n"/>
    </row>
    <row r="36" ht="15.75" customHeight="1">
      <c r="A36" s="89" t="inlineStr">
        <is>
          <t>Regional</t>
        </is>
      </c>
      <c r="B36" s="89" t="inlineStr">
        <is>
          <t>Municípios</t>
        </is>
      </c>
      <c r="C36" s="89" t="inlineStr">
        <is>
          <t>UVR</t>
        </is>
      </c>
      <c r="D36" s="97" t="inlineStr">
        <is>
          <t>01.25</t>
        </is>
      </c>
      <c r="E36" s="97" t="inlineStr">
        <is>
          <t>02.25</t>
        </is>
      </c>
      <c r="F36" s="97" t="inlineStr">
        <is>
          <t>03.25</t>
        </is>
      </c>
      <c r="G36" s="97" t="inlineStr">
        <is>
          <t>04.25</t>
        </is>
      </c>
      <c r="H36" s="97" t="inlineStr">
        <is>
          <t>05.25</t>
        </is>
      </c>
      <c r="I36" s="97" t="inlineStr">
        <is>
          <t>06.25</t>
        </is>
      </c>
      <c r="J36" s="97" t="inlineStr">
        <is>
          <t>07.25</t>
        </is>
      </c>
      <c r="K36" s="97" t="inlineStr">
        <is>
          <t>08.25</t>
        </is>
      </c>
      <c r="L36" s="97" t="inlineStr">
        <is>
          <t>09.25</t>
        </is>
      </c>
      <c r="M36" s="97" t="inlineStr">
        <is>
          <t>10.25</t>
        </is>
      </c>
      <c r="N36" s="97" t="inlineStr">
        <is>
          <t>11.25</t>
        </is>
      </c>
      <c r="O36" s="97" t="inlineStr">
        <is>
          <t>12.25</t>
        </is>
      </c>
    </row>
    <row r="37">
      <c r="A37" s="56" t="inlineStr">
        <is>
          <t>Cifra</t>
        </is>
      </c>
      <c r="B37" s="92" t="inlineStr">
        <is>
          <t>Bela Vista da Caroba</t>
        </is>
      </c>
      <c r="C37" s="95" t="n">
        <v>1</v>
      </c>
      <c r="D37" s="52">
        <f t="array" ref="D37">IF(
    VLOOKUP(
        $A37,
        _xlfn._xlws.FILTER(
            INDIRECT("'"&amp;D$1&amp;"'!A2:G1000"), (INDIRECT("'"&amp;D$1&amp;"'!B2:B1000")=$B37) * (INDIRECT("'"&amp;D$1&amp;"'!C2:C1000")=$C37)
        ),
        5,
        FALSE
    )="",
    "",
    VLOOKUP(
        $A37,
        _xlfn._xlws.FILTER(
            INDIRECT("'"&amp;D$1&amp;"'!A2:G1000"), (INDIRECT("'"&amp;D$1&amp;"'!B2:B1000")=$B37) * (INDIRECT("'"&amp;D$1&amp;"'!C2:C1000")=$C37)
        ),7,
        FALSE
    )
)</f>
        <v/>
      </c>
      <c r="E37" s="52">
        <f t="array" ref="E37">IF(
    VLOOKUP(
        $A37,
        _xlfn._xlws.FILTER(
            INDIRECT("'"&amp;E$1&amp;"'!A2:G1000"), (INDIRECT("'"&amp;E$1&amp;"'!B2:B1000")=$B37) * (INDIRECT("'"&amp;E$1&amp;"'!C2:C1000")=$C37)
        ),
        5,
        FALSE
    )="",
    "",
    VLOOKUP(
        $A37,
        _xlfn._xlws.FILTER(
            INDIRECT("'"&amp;E$1&amp;"'!A2:G1000"), (INDIRECT("'"&amp;E$1&amp;"'!B2:B1000")=$B37) * (INDIRECT("'"&amp;E$1&amp;"'!C2:C1000")=$C37)
        ),7,
        FALSE
    )
)</f>
        <v/>
      </c>
      <c r="F37" s="52">
        <f t="array" ref="F37">IF(
    VLOOKUP(
        $A37,
        _xlfn._xlws.FILTER(
            INDIRECT("'"&amp;F$1&amp;"'!A2:G1000"), (INDIRECT("'"&amp;F$1&amp;"'!B2:B1000")=$B37) * (INDIRECT("'"&amp;F$1&amp;"'!C2:C1000")=$C37)
        ),
        5,
        FALSE
    )="",
    "",
    VLOOKUP(
        $A37,
        _xlfn._xlws.FILTER(
            INDIRECT("'"&amp;F$1&amp;"'!A2:G1000"), (INDIRECT("'"&amp;F$1&amp;"'!B2:B1000")=$B37) * (INDIRECT("'"&amp;F$1&amp;"'!C2:C1000")=$C37)
        ),7,
        FALSE
    )
)</f>
        <v/>
      </c>
      <c r="G37" s="52">
        <f t="array" ref="G37">IF(
    VLOOKUP(
        $A37,
        _xlfn._xlws.FILTER(
            INDIRECT("'"&amp;G$1&amp;"'!A2:G1000"), (INDIRECT("'"&amp;G$1&amp;"'!B2:B1000")=$B37) * (INDIRECT("'"&amp;G$1&amp;"'!C2:C1000")=$C37)
        ),
        5,
        FALSE
    )="",
    "",
    VLOOKUP(
        $A37,
        _xlfn._xlws.FILTER(
            INDIRECT("'"&amp;G$1&amp;"'!A2:G1000"), (INDIRECT("'"&amp;G$1&amp;"'!B2:B1000")=$B37) * (INDIRECT("'"&amp;G$1&amp;"'!C2:C1000")=$C37)
        ),7,
        FALSE
    )
)</f>
        <v/>
      </c>
      <c r="H37" s="52">
        <f t="array" ref="H37">IF(
    VLOOKUP(
        $A37,
        _xlfn._xlws.FILTER(
            INDIRECT("'"&amp;H$1&amp;"'!A2:G1000"), (INDIRECT("'"&amp;H$1&amp;"'!B2:B1000")=$B37) * (INDIRECT("'"&amp;H$1&amp;"'!C2:C1000")=$C37)
        ),
        5,
        FALSE
    )="",
    "",
    VLOOKUP(
        $A37,
        _xlfn._xlws.FILTER(
            INDIRECT("'"&amp;H$1&amp;"'!A2:G1000"), (INDIRECT("'"&amp;H$1&amp;"'!B2:B1000")=$B37) * (INDIRECT("'"&amp;H$1&amp;"'!C2:C1000")=$C37)
        ),7,
        FALSE
    )
)</f>
        <v/>
      </c>
      <c r="I37" s="52">
        <f t="array" ref="I37">IF(
    VLOOKUP(
        $A37,
        _xlfn._xlws.FILTER(
            INDIRECT("'"&amp;I$1&amp;"'!A2:G1000"), (INDIRECT("'"&amp;I$1&amp;"'!B2:B1000")=$B37) * (INDIRECT("'"&amp;I$1&amp;"'!C2:C1000")=$C37)
        ),
        5,
        FALSE
    )="",
    "",
    VLOOKUP(
        $A37,
        _xlfn._xlws.FILTER(
            INDIRECT("'"&amp;I$1&amp;"'!A2:G1000"), (INDIRECT("'"&amp;I$1&amp;"'!B2:B1000")=$B37) * (INDIRECT("'"&amp;I$1&amp;"'!C2:C1000")=$C37)
        ),7,
        FALSE
    )
)</f>
        <v/>
      </c>
      <c r="J37" s="52">
        <f t="array" ref="J37">IF(
    VLOOKUP(
        $A37,
        _xlfn._xlws.FILTER(
            INDIRECT("'"&amp;J$1&amp;"'!A2:G1000"), (INDIRECT("'"&amp;J$1&amp;"'!B2:B1000")=$B37) * (INDIRECT("'"&amp;J$1&amp;"'!C2:C1000")=$C37)
        ),
        5,
        FALSE
    )="",
    "",
    VLOOKUP(
        $A37,
        _xlfn._xlws.FILTER(
            INDIRECT("'"&amp;J$1&amp;"'!A2:G1000"), (INDIRECT("'"&amp;J$1&amp;"'!B2:B1000")=$B37) * (INDIRECT("'"&amp;J$1&amp;"'!C2:C1000")=$C37)
        ),7,
        FALSE
    )
)</f>
        <v/>
      </c>
      <c r="K37" s="52">
        <f t="array" ref="K37">IF(
    VLOOKUP(
        $A37,
        _xlfn._xlws.FILTER(
            INDIRECT("'"&amp;K$1&amp;"'!A2:G1000"), (INDIRECT("'"&amp;K$1&amp;"'!B2:B1000")=$B37) * (INDIRECT("'"&amp;K$1&amp;"'!C2:C1000")=$C37)
        ),
        5,
        FALSE
    )="",
    "",
    VLOOKUP(
        $A37,
        _xlfn._xlws.FILTER(
            INDIRECT("'"&amp;K$1&amp;"'!A2:G1000"), (INDIRECT("'"&amp;K$1&amp;"'!B2:B1000")=$B37) * (INDIRECT("'"&amp;K$1&amp;"'!C2:C1000")=$C37)
        ),7,
        FALSE
    )
)</f>
        <v/>
      </c>
      <c r="L37" s="52">
        <f t="array" ref="L37">IF(
    VLOOKUP(
        $A37,
        _xlfn._xlws.FILTER(
            INDIRECT("'"&amp;L$1&amp;"'!A2:G1000"), (INDIRECT("'"&amp;L$1&amp;"'!B2:B1000")=$B37) * (INDIRECT("'"&amp;L$1&amp;"'!C2:C1000")=$C37)
        ),
        5,
        FALSE
    )="",
    "",
    VLOOKUP(
        $A37,
        _xlfn._xlws.FILTER(
            INDIRECT("'"&amp;L$1&amp;"'!A2:G1000"), (INDIRECT("'"&amp;L$1&amp;"'!B2:B1000")=$B37) * (INDIRECT("'"&amp;L$1&amp;"'!C2:C1000")=$C37)
        ),7,
        FALSE
    )
)</f>
        <v/>
      </c>
      <c r="M37" s="52">
        <f t="array" ref="M37">IF(
    VLOOKUP(
        $A37,
        _xlfn._xlws.FILTER(
            INDIRECT("'"&amp;M$1&amp;"'!A2:G1000"), (INDIRECT("'"&amp;M$1&amp;"'!B2:B1000")=$B37) * (INDIRECT("'"&amp;M$1&amp;"'!C2:C1000")=$C37)
        ),
        5,
        FALSE
    )="",
    "",
    VLOOKUP(
        $A37,
        _xlfn._xlws.FILTER(
            INDIRECT("'"&amp;M$1&amp;"'!A2:G1000"), (INDIRECT("'"&amp;M$1&amp;"'!B2:B1000")=$B37) * (INDIRECT("'"&amp;M$1&amp;"'!C2:C1000")=$C37)
        ),7,
        FALSE
    )
)</f>
        <v/>
      </c>
      <c r="N37" s="52">
        <f t="array" ref="N37">IF(
    VLOOKUP(
        $A37,
        _xlfn._xlws.FILTER(
            INDIRECT("'"&amp;N$1&amp;"'!A2:G1000"), (INDIRECT("'"&amp;N$1&amp;"'!B2:B1000")=$B37) * (INDIRECT("'"&amp;N$1&amp;"'!C2:C1000")=$C37)
        ),
        5,
        FALSE
    )="",
    "",
    VLOOKUP(
        $A37,
        _xlfn._xlws.FILTER(
            INDIRECT("'"&amp;N$1&amp;"'!A2:G1000"), (INDIRECT("'"&amp;N$1&amp;"'!B2:B1000")=$B37) * (INDIRECT("'"&amp;N$1&amp;"'!C2:C1000")=$C37)
        ),7,
        FALSE
    )
)</f>
        <v/>
      </c>
      <c r="O37" s="52">
        <f t="array" ref="O37">IF(
    VLOOKUP(
        $A37,
        _xlfn._xlws.FILTER(
            INDIRECT("'"&amp;O$1&amp;"'!A2:G1000"), (INDIRECT("'"&amp;O$1&amp;"'!B2:B1000")=$B37) * (INDIRECT("'"&amp;O$1&amp;"'!C2:C1000")=$C37)
        ),
        5,
        FALSE
    )="",
    "",
    VLOOKUP(
        $A37,
        _xlfn._xlws.FILTER(
            INDIRECT("'"&amp;O$1&amp;"'!A2:G1000"), (INDIRECT("'"&amp;O$1&amp;"'!B2:B1000")=$B37) * (INDIRECT("'"&amp;O$1&amp;"'!C2:C1000")=$C37)
        ),7,
        FALSE
    )
)</f>
        <v/>
      </c>
    </row>
    <row r="38">
      <c r="A38" s="56" t="inlineStr">
        <is>
          <t>Cifra</t>
        </is>
      </c>
      <c r="B38" s="92" t="inlineStr">
        <is>
          <t>Perola d'Oeste</t>
        </is>
      </c>
      <c r="C38" s="95" t="n">
        <v>1</v>
      </c>
      <c r="D38" s="52">
        <f t="array" ref="D38">IF(
    VLOOKUP(
        $A38,
        _xlfn._xlws.FILTER(
            INDIRECT("'"&amp;D$1&amp;"'!A2:G1000"), (INDIRECT("'"&amp;D$1&amp;"'!B2:B1000")=$B38) * (INDIRECT("'"&amp;D$1&amp;"'!C2:C1000")=$C38)
        ),
        5,
        FALSE
    )="",
    "",
    VLOOKUP(
        $A38,
        _xlfn._xlws.FILTER(
            INDIRECT("'"&amp;D$1&amp;"'!A2:G1000"), (INDIRECT("'"&amp;D$1&amp;"'!B2:B1000")=$B38) * (INDIRECT("'"&amp;D$1&amp;"'!C2:C1000")=$C38)
        ),7,
        FALSE
    )
)</f>
        <v/>
      </c>
      <c r="E38" s="52">
        <f t="array" ref="E38">IF(
    VLOOKUP(
        $A38,
        _xlfn._xlws.FILTER(
            INDIRECT("'"&amp;E$1&amp;"'!A2:G1000"), (INDIRECT("'"&amp;E$1&amp;"'!B2:B1000")=$B38) * (INDIRECT("'"&amp;E$1&amp;"'!C2:C1000")=$C38)
        ),
        5,
        FALSE
    )="",
    "",
    VLOOKUP(
        $A38,
        _xlfn._xlws.FILTER(
            INDIRECT("'"&amp;E$1&amp;"'!A2:G1000"), (INDIRECT("'"&amp;E$1&amp;"'!B2:B1000")=$B38) * (INDIRECT("'"&amp;E$1&amp;"'!C2:C1000")=$C38)
        ),7,
        FALSE
    )
)</f>
        <v/>
      </c>
      <c r="F38" s="52">
        <f t="array" ref="F38">IF(
    VLOOKUP(
        $A38,
        _xlfn._xlws.FILTER(
            INDIRECT("'"&amp;F$1&amp;"'!A2:G1000"), (INDIRECT("'"&amp;F$1&amp;"'!B2:B1000")=$B38) * (INDIRECT("'"&amp;F$1&amp;"'!C2:C1000")=$C38)
        ),
        5,
        FALSE
    )="",
    "",
    VLOOKUP(
        $A38,
        _xlfn._xlws.FILTER(
            INDIRECT("'"&amp;F$1&amp;"'!A2:G1000"), (INDIRECT("'"&amp;F$1&amp;"'!B2:B1000")=$B38) * (INDIRECT("'"&amp;F$1&amp;"'!C2:C1000")=$C38)
        ),7,
        FALSE
    )
)</f>
        <v/>
      </c>
      <c r="G38" s="52">
        <f t="array" ref="G38">IF(
    VLOOKUP(
        $A38,
        _xlfn._xlws.FILTER(
            INDIRECT("'"&amp;G$1&amp;"'!A2:G1000"), (INDIRECT("'"&amp;G$1&amp;"'!B2:B1000")=$B38) * (INDIRECT("'"&amp;G$1&amp;"'!C2:C1000")=$C38)
        ),
        5,
        FALSE
    )="",
    "",
    VLOOKUP(
        $A38,
        _xlfn._xlws.FILTER(
            INDIRECT("'"&amp;G$1&amp;"'!A2:G1000"), (INDIRECT("'"&amp;G$1&amp;"'!B2:B1000")=$B38) * (INDIRECT("'"&amp;G$1&amp;"'!C2:C1000")=$C38)
        ),7,
        FALSE
    )
)</f>
        <v/>
      </c>
      <c r="H38" s="52">
        <f t="array" ref="H38">IF(
    VLOOKUP(
        $A38,
        _xlfn._xlws.FILTER(
            INDIRECT("'"&amp;H$1&amp;"'!A2:G1000"), (INDIRECT("'"&amp;H$1&amp;"'!B2:B1000")=$B38) * (INDIRECT("'"&amp;H$1&amp;"'!C2:C1000")=$C38)
        ),
        5,
        FALSE
    )="",
    "",
    VLOOKUP(
        $A38,
        _xlfn._xlws.FILTER(
            INDIRECT("'"&amp;H$1&amp;"'!A2:G1000"), (INDIRECT("'"&amp;H$1&amp;"'!B2:B1000")=$B38) * (INDIRECT("'"&amp;H$1&amp;"'!C2:C1000")=$C38)
        ),7,
        FALSE
    )
)</f>
        <v/>
      </c>
      <c r="I38" s="52">
        <f t="array" ref="I38">IF(
    VLOOKUP(
        $A38,
        _xlfn._xlws.FILTER(
            INDIRECT("'"&amp;I$1&amp;"'!A2:G1000"), (INDIRECT("'"&amp;I$1&amp;"'!B2:B1000")=$B38) * (INDIRECT("'"&amp;I$1&amp;"'!C2:C1000")=$C38)
        ),
        5,
        FALSE
    )="",
    "",
    VLOOKUP(
        $A38,
        _xlfn._xlws.FILTER(
            INDIRECT("'"&amp;I$1&amp;"'!A2:G1000"), (INDIRECT("'"&amp;I$1&amp;"'!B2:B1000")=$B38) * (INDIRECT("'"&amp;I$1&amp;"'!C2:C1000")=$C38)
        ),7,
        FALSE
    )
)</f>
        <v/>
      </c>
      <c r="J38" s="52">
        <f t="array" ref="J38">IF(
    VLOOKUP(
        $A38,
        _xlfn._xlws.FILTER(
            INDIRECT("'"&amp;J$1&amp;"'!A2:G1000"), (INDIRECT("'"&amp;J$1&amp;"'!B2:B1000")=$B38) * (INDIRECT("'"&amp;J$1&amp;"'!C2:C1000")=$C38)
        ),
        5,
        FALSE
    )="",
    "",
    VLOOKUP(
        $A38,
        _xlfn._xlws.FILTER(
            INDIRECT("'"&amp;J$1&amp;"'!A2:G1000"), (INDIRECT("'"&amp;J$1&amp;"'!B2:B1000")=$B38) * (INDIRECT("'"&amp;J$1&amp;"'!C2:C1000")=$C38)
        ),7,
        FALSE
    )
)</f>
        <v/>
      </c>
      <c r="K38" s="52">
        <f t="array" ref="K38">IF(
    VLOOKUP(
        $A38,
        _xlfn._xlws.FILTER(
            INDIRECT("'"&amp;K$1&amp;"'!A2:G1000"), (INDIRECT("'"&amp;K$1&amp;"'!B2:B1000")=$B38) * (INDIRECT("'"&amp;K$1&amp;"'!C2:C1000")=$C38)
        ),
        5,
        FALSE
    )="",
    "",
    VLOOKUP(
        $A38,
        _xlfn._xlws.FILTER(
            INDIRECT("'"&amp;K$1&amp;"'!A2:G1000"), (INDIRECT("'"&amp;K$1&amp;"'!B2:B1000")=$B38) * (INDIRECT("'"&amp;K$1&amp;"'!C2:C1000")=$C38)
        ),7,
        FALSE
    )
)</f>
        <v/>
      </c>
      <c r="L38" s="52">
        <f t="array" ref="L38">IF(
    VLOOKUP(
        $A38,
        _xlfn._xlws.FILTER(
            INDIRECT("'"&amp;L$1&amp;"'!A2:G1000"), (INDIRECT("'"&amp;L$1&amp;"'!B2:B1000")=$B38) * (INDIRECT("'"&amp;L$1&amp;"'!C2:C1000")=$C38)
        ),
        5,
        FALSE
    )="",
    "",
    VLOOKUP(
        $A38,
        _xlfn._xlws.FILTER(
            INDIRECT("'"&amp;L$1&amp;"'!A2:G1000"), (INDIRECT("'"&amp;L$1&amp;"'!B2:B1000")=$B38) * (INDIRECT("'"&amp;L$1&amp;"'!C2:C1000")=$C38)
        ),7,
        FALSE
    )
)</f>
        <v/>
      </c>
      <c r="M38" s="52">
        <f t="array" ref="M38">IF(
    VLOOKUP(
        $A38,
        _xlfn._xlws.FILTER(
            INDIRECT("'"&amp;M$1&amp;"'!A2:G1000"), (INDIRECT("'"&amp;M$1&amp;"'!B2:B1000")=$B38) * (INDIRECT("'"&amp;M$1&amp;"'!C2:C1000")=$C38)
        ),
        5,
        FALSE
    )="",
    "",
    VLOOKUP(
        $A38,
        _xlfn._xlws.FILTER(
            INDIRECT("'"&amp;M$1&amp;"'!A2:G1000"), (INDIRECT("'"&amp;M$1&amp;"'!B2:B1000")=$B38) * (INDIRECT("'"&amp;M$1&amp;"'!C2:C1000")=$C38)
        ),7,
        FALSE
    )
)</f>
        <v/>
      </c>
      <c r="N38" s="52">
        <f t="array" ref="N38">IF(
    VLOOKUP(
        $A38,
        _xlfn._xlws.FILTER(
            INDIRECT("'"&amp;N$1&amp;"'!A2:G1000"), (INDIRECT("'"&amp;N$1&amp;"'!B2:B1000")=$B38) * (INDIRECT("'"&amp;N$1&amp;"'!C2:C1000")=$C38)
        ),
        5,
        FALSE
    )="",
    "",
    VLOOKUP(
        $A38,
        _xlfn._xlws.FILTER(
            INDIRECT("'"&amp;N$1&amp;"'!A2:G1000"), (INDIRECT("'"&amp;N$1&amp;"'!B2:B1000")=$B38) * (INDIRECT("'"&amp;N$1&amp;"'!C2:C1000")=$C38)
        ),7,
        FALSE
    )
)</f>
        <v/>
      </c>
      <c r="O38" s="52">
        <f t="array" ref="O38">IF(
    VLOOKUP(
        $A38,
        _xlfn._xlws.FILTER(
            INDIRECT("'"&amp;O$1&amp;"'!A2:G1000"), (INDIRECT("'"&amp;O$1&amp;"'!B2:B1000")=$B38) * (INDIRECT("'"&amp;O$1&amp;"'!C2:C1000")=$C38)
        ),
        5,
        FALSE
    )="",
    "",
    VLOOKUP(
        $A38,
        _xlfn._xlws.FILTER(
            INDIRECT("'"&amp;O$1&amp;"'!A2:G1000"), (INDIRECT("'"&amp;O$1&amp;"'!B2:B1000")=$B38) * (INDIRECT("'"&amp;O$1&amp;"'!C2:C1000")=$C38)
        ),7,
        FALSE
    )
)</f>
        <v/>
      </c>
    </row>
    <row r="39">
      <c r="A39" s="56" t="inlineStr">
        <is>
          <t>Cifra</t>
        </is>
      </c>
      <c r="B39" s="92" t="inlineStr">
        <is>
          <t>Planalto</t>
        </is>
      </c>
      <c r="C39" s="95" t="n">
        <v>1</v>
      </c>
      <c r="D39" s="52">
        <f t="array" ref="D39">IF(
    VLOOKUP(
        $A39,
        _xlfn._xlws.FILTER(
            INDIRECT("'"&amp;D$1&amp;"'!A2:G1000"), (INDIRECT("'"&amp;D$1&amp;"'!B2:B1000")=$B39) * (INDIRECT("'"&amp;D$1&amp;"'!C2:C1000")=$C39)
        ),
        5,
        FALSE
    )="",
    "",
    VLOOKUP(
        $A39,
        _xlfn._xlws.FILTER(
            INDIRECT("'"&amp;D$1&amp;"'!A2:G1000"), (INDIRECT("'"&amp;D$1&amp;"'!B2:B1000")=$B39) * (INDIRECT("'"&amp;D$1&amp;"'!C2:C1000")=$C39)
        ),7,
        FALSE
    )
)</f>
        <v/>
      </c>
      <c r="E39" s="52">
        <f t="array" ref="E39">IF(
    VLOOKUP(
        $A39,
        _xlfn._xlws.FILTER(
            INDIRECT("'"&amp;E$1&amp;"'!A2:G1000"), (INDIRECT("'"&amp;E$1&amp;"'!B2:B1000")=$B39) * (INDIRECT("'"&amp;E$1&amp;"'!C2:C1000")=$C39)
        ),
        5,
        FALSE
    )="",
    "",
    VLOOKUP(
        $A39,
        _xlfn._xlws.FILTER(
            INDIRECT("'"&amp;E$1&amp;"'!A2:G1000"), (INDIRECT("'"&amp;E$1&amp;"'!B2:B1000")=$B39) * (INDIRECT("'"&amp;E$1&amp;"'!C2:C1000")=$C39)
        ),7,
        FALSE
    )
)</f>
        <v/>
      </c>
      <c r="F39" s="52">
        <f t="array" ref="F39">IF(
    VLOOKUP(
        $A39,
        _xlfn._xlws.FILTER(
            INDIRECT("'"&amp;F$1&amp;"'!A2:G1000"), (INDIRECT("'"&amp;F$1&amp;"'!B2:B1000")=$B39) * (INDIRECT("'"&amp;F$1&amp;"'!C2:C1000")=$C39)
        ),
        5,
        FALSE
    )="",
    "",
    VLOOKUP(
        $A39,
        _xlfn._xlws.FILTER(
            INDIRECT("'"&amp;F$1&amp;"'!A2:G1000"), (INDIRECT("'"&amp;F$1&amp;"'!B2:B1000")=$B39) * (INDIRECT("'"&amp;F$1&amp;"'!C2:C1000")=$C39)
        ),7,
        FALSE
    )
)</f>
        <v/>
      </c>
      <c r="G39" s="52">
        <f t="array" ref="G39">IF(
    VLOOKUP(
        $A39,
        _xlfn._xlws.FILTER(
            INDIRECT("'"&amp;G$1&amp;"'!A2:G1000"), (INDIRECT("'"&amp;G$1&amp;"'!B2:B1000")=$B39) * (INDIRECT("'"&amp;G$1&amp;"'!C2:C1000")=$C39)
        ),
        5,
        FALSE
    )="",
    "",
    VLOOKUP(
        $A39,
        _xlfn._xlws.FILTER(
            INDIRECT("'"&amp;G$1&amp;"'!A2:G1000"), (INDIRECT("'"&amp;G$1&amp;"'!B2:B1000")=$B39) * (INDIRECT("'"&amp;G$1&amp;"'!C2:C1000")=$C39)
        ),7,
        FALSE
    )
)</f>
        <v/>
      </c>
      <c r="H39" s="52">
        <f t="array" ref="H39">IF(
    VLOOKUP(
        $A39,
        _xlfn._xlws.FILTER(
            INDIRECT("'"&amp;H$1&amp;"'!A2:G1000"), (INDIRECT("'"&amp;H$1&amp;"'!B2:B1000")=$B39) * (INDIRECT("'"&amp;H$1&amp;"'!C2:C1000")=$C39)
        ),
        5,
        FALSE
    )="",
    "",
    VLOOKUP(
        $A39,
        _xlfn._xlws.FILTER(
            INDIRECT("'"&amp;H$1&amp;"'!A2:G1000"), (INDIRECT("'"&amp;H$1&amp;"'!B2:B1000")=$B39) * (INDIRECT("'"&amp;H$1&amp;"'!C2:C1000")=$C39)
        ),7,
        FALSE
    )
)</f>
        <v/>
      </c>
      <c r="I39" s="52">
        <f t="array" ref="I39">IF(
    VLOOKUP(
        $A39,
        _xlfn._xlws.FILTER(
            INDIRECT("'"&amp;I$1&amp;"'!A2:G1000"), (INDIRECT("'"&amp;I$1&amp;"'!B2:B1000")=$B39) * (INDIRECT("'"&amp;I$1&amp;"'!C2:C1000")=$C39)
        ),
        5,
        FALSE
    )="",
    "",
    VLOOKUP(
        $A39,
        _xlfn._xlws.FILTER(
            INDIRECT("'"&amp;I$1&amp;"'!A2:G1000"), (INDIRECT("'"&amp;I$1&amp;"'!B2:B1000")=$B39) * (INDIRECT("'"&amp;I$1&amp;"'!C2:C1000")=$C39)
        ),7,
        FALSE
    )
)</f>
        <v/>
      </c>
      <c r="J39" s="52">
        <f t="array" ref="J39">IF(
    VLOOKUP(
        $A39,
        _xlfn._xlws.FILTER(
            INDIRECT("'"&amp;J$1&amp;"'!A2:G1000"), (INDIRECT("'"&amp;J$1&amp;"'!B2:B1000")=$B39) * (INDIRECT("'"&amp;J$1&amp;"'!C2:C1000")=$C39)
        ),
        5,
        FALSE
    )="",
    "",
    VLOOKUP(
        $A39,
        _xlfn._xlws.FILTER(
            INDIRECT("'"&amp;J$1&amp;"'!A2:G1000"), (INDIRECT("'"&amp;J$1&amp;"'!B2:B1000")=$B39) * (INDIRECT("'"&amp;J$1&amp;"'!C2:C1000")=$C39)
        ),7,
        FALSE
    )
)</f>
        <v/>
      </c>
      <c r="K39" s="52">
        <f t="array" ref="K39">IF(
    VLOOKUP(
        $A39,
        _xlfn._xlws.FILTER(
            INDIRECT("'"&amp;K$1&amp;"'!A2:G1000"), (INDIRECT("'"&amp;K$1&amp;"'!B2:B1000")=$B39) * (INDIRECT("'"&amp;K$1&amp;"'!C2:C1000")=$C39)
        ),
        5,
        FALSE
    )="",
    "",
    VLOOKUP(
        $A39,
        _xlfn._xlws.FILTER(
            INDIRECT("'"&amp;K$1&amp;"'!A2:G1000"), (INDIRECT("'"&amp;K$1&amp;"'!B2:B1000")=$B39) * (INDIRECT("'"&amp;K$1&amp;"'!C2:C1000")=$C39)
        ),7,
        FALSE
    )
)</f>
        <v/>
      </c>
      <c r="L39" s="52">
        <f t="array" ref="L39">IF(
    VLOOKUP(
        $A39,
        _xlfn._xlws.FILTER(
            INDIRECT("'"&amp;L$1&amp;"'!A2:G1000"), (INDIRECT("'"&amp;L$1&amp;"'!B2:B1000")=$B39) * (INDIRECT("'"&amp;L$1&amp;"'!C2:C1000")=$C39)
        ),
        5,
        FALSE
    )="",
    "",
    VLOOKUP(
        $A39,
        _xlfn._xlws.FILTER(
            INDIRECT("'"&amp;L$1&amp;"'!A2:G1000"), (INDIRECT("'"&amp;L$1&amp;"'!B2:B1000")=$B39) * (INDIRECT("'"&amp;L$1&amp;"'!C2:C1000")=$C39)
        ),7,
        FALSE
    )
)</f>
        <v/>
      </c>
      <c r="M39" s="52">
        <f t="array" ref="M39">IF(
    VLOOKUP(
        $A39,
        _xlfn._xlws.FILTER(
            INDIRECT("'"&amp;M$1&amp;"'!A2:G1000"), (INDIRECT("'"&amp;M$1&amp;"'!B2:B1000")=$B39) * (INDIRECT("'"&amp;M$1&amp;"'!C2:C1000")=$C39)
        ),
        5,
        FALSE
    )="",
    "",
    VLOOKUP(
        $A39,
        _xlfn._xlws.FILTER(
            INDIRECT("'"&amp;M$1&amp;"'!A2:G1000"), (INDIRECT("'"&amp;M$1&amp;"'!B2:B1000")=$B39) * (INDIRECT("'"&amp;M$1&amp;"'!C2:C1000")=$C39)
        ),7,
        FALSE
    )
)</f>
        <v/>
      </c>
      <c r="N39" s="52">
        <f t="array" ref="N39">IF(
    VLOOKUP(
        $A39,
        _xlfn._xlws.FILTER(
            INDIRECT("'"&amp;N$1&amp;"'!A2:G1000"), (INDIRECT("'"&amp;N$1&amp;"'!B2:B1000")=$B39) * (INDIRECT("'"&amp;N$1&amp;"'!C2:C1000")=$C39)
        ),
        5,
        FALSE
    )="",
    "",
    VLOOKUP(
        $A39,
        _xlfn._xlws.FILTER(
            INDIRECT("'"&amp;N$1&amp;"'!A2:G1000"), (INDIRECT("'"&amp;N$1&amp;"'!B2:B1000")=$B39) * (INDIRECT("'"&amp;N$1&amp;"'!C2:C1000")=$C39)
        ),7,
        FALSE
    )
)</f>
        <v/>
      </c>
      <c r="O39" s="52">
        <f t="array" ref="O39">IF(
    VLOOKUP(
        $A39,
        _xlfn._xlws.FILTER(
            INDIRECT("'"&amp;O$1&amp;"'!A2:G1000"), (INDIRECT("'"&amp;O$1&amp;"'!B2:B1000")=$B39) * (INDIRECT("'"&amp;O$1&amp;"'!C2:C1000")=$C39)
        ),
        5,
        FALSE
    )="",
    "",
    VLOOKUP(
        $A39,
        _xlfn._xlws.FILTER(
            INDIRECT("'"&amp;O$1&amp;"'!A2:G1000"), (INDIRECT("'"&amp;O$1&amp;"'!B2:B1000")=$B39) * (INDIRECT("'"&amp;O$1&amp;"'!C2:C1000")=$C39)
        ),7,
        FALSE
    )
)</f>
        <v/>
      </c>
    </row>
    <row r="40">
      <c r="A40" s="56" t="inlineStr">
        <is>
          <t>Cifra</t>
        </is>
      </c>
      <c r="B40" s="92" t="inlineStr">
        <is>
          <t>Santo Antonio do Sudoeste</t>
        </is>
      </c>
      <c r="C40" s="95" t="n">
        <v>1</v>
      </c>
      <c r="D40" s="52">
        <f t="array" ref="D40">IF(
    VLOOKUP(
        $A40,
        _xlfn._xlws.FILTER(
            INDIRECT("'"&amp;D$1&amp;"'!A2:G1000"), (INDIRECT("'"&amp;D$1&amp;"'!B2:B1000")=$B40) * (INDIRECT("'"&amp;D$1&amp;"'!C2:C1000")=$C40)
        ),
        5,
        FALSE
    )="",
    "",
    VLOOKUP(
        $A40,
        _xlfn._xlws.FILTER(
            INDIRECT("'"&amp;D$1&amp;"'!A2:G1000"), (INDIRECT("'"&amp;D$1&amp;"'!B2:B1000")=$B40) * (INDIRECT("'"&amp;D$1&amp;"'!C2:C1000")=$C40)
        ),7,
        FALSE
    )
)</f>
        <v/>
      </c>
      <c r="E40" s="52">
        <f t="array" ref="E40">IF(
    VLOOKUP(
        $A40,
        _xlfn._xlws.FILTER(
            INDIRECT("'"&amp;E$1&amp;"'!A2:G1000"), (INDIRECT("'"&amp;E$1&amp;"'!B2:B1000")=$B40) * (INDIRECT("'"&amp;E$1&amp;"'!C2:C1000")=$C40)
        ),
        5,
        FALSE
    )="",
    "",
    VLOOKUP(
        $A40,
        _xlfn._xlws.FILTER(
            INDIRECT("'"&amp;E$1&amp;"'!A2:G1000"), (INDIRECT("'"&amp;E$1&amp;"'!B2:B1000")=$B40) * (INDIRECT("'"&amp;E$1&amp;"'!C2:C1000")=$C40)
        ),7,
        FALSE
    )
)</f>
        <v/>
      </c>
      <c r="F40" s="52">
        <f t="array" ref="F40">IF(
    VLOOKUP(
        $A40,
        _xlfn._xlws.FILTER(
            INDIRECT("'"&amp;F$1&amp;"'!A2:G1000"), (INDIRECT("'"&amp;F$1&amp;"'!B2:B1000")=$B40) * (INDIRECT("'"&amp;F$1&amp;"'!C2:C1000")=$C40)
        ),
        5,
        FALSE
    )="",
    "",
    VLOOKUP(
        $A40,
        _xlfn._xlws.FILTER(
            INDIRECT("'"&amp;F$1&amp;"'!A2:G1000"), (INDIRECT("'"&amp;F$1&amp;"'!B2:B1000")=$B40) * (INDIRECT("'"&amp;F$1&amp;"'!C2:C1000")=$C40)
        ),7,
        FALSE
    )
)</f>
        <v/>
      </c>
      <c r="G40" s="52">
        <f t="array" ref="G40">IF(
    VLOOKUP(
        $A40,
        _xlfn._xlws.FILTER(
            INDIRECT("'"&amp;G$1&amp;"'!A2:G1000"), (INDIRECT("'"&amp;G$1&amp;"'!B2:B1000")=$B40) * (INDIRECT("'"&amp;G$1&amp;"'!C2:C1000")=$C40)
        ),
        5,
        FALSE
    )="",
    "",
    VLOOKUP(
        $A40,
        _xlfn._xlws.FILTER(
            INDIRECT("'"&amp;G$1&amp;"'!A2:G1000"), (INDIRECT("'"&amp;G$1&amp;"'!B2:B1000")=$B40) * (INDIRECT("'"&amp;G$1&amp;"'!C2:C1000")=$C40)
        ),7,
        FALSE
    )
)</f>
        <v/>
      </c>
      <c r="H40" s="52">
        <f t="array" ref="H40">IF(
    VLOOKUP(
        $A40,
        _xlfn._xlws.FILTER(
            INDIRECT("'"&amp;H$1&amp;"'!A2:G1000"), (INDIRECT("'"&amp;H$1&amp;"'!B2:B1000")=$B40) * (INDIRECT("'"&amp;H$1&amp;"'!C2:C1000")=$C40)
        ),
        5,
        FALSE
    )="",
    "",
    VLOOKUP(
        $A40,
        _xlfn._xlws.FILTER(
            INDIRECT("'"&amp;H$1&amp;"'!A2:G1000"), (INDIRECT("'"&amp;H$1&amp;"'!B2:B1000")=$B40) * (INDIRECT("'"&amp;H$1&amp;"'!C2:C1000")=$C40)
        ),7,
        FALSE
    )
)</f>
        <v/>
      </c>
      <c r="I40" s="52">
        <f t="array" ref="I40">IF(
    VLOOKUP(
        $A40,
        _xlfn._xlws.FILTER(
            INDIRECT("'"&amp;I$1&amp;"'!A2:G1000"), (INDIRECT("'"&amp;I$1&amp;"'!B2:B1000")=$B40) * (INDIRECT("'"&amp;I$1&amp;"'!C2:C1000")=$C40)
        ),
        5,
        FALSE
    )="",
    "",
    VLOOKUP(
        $A40,
        _xlfn._xlws.FILTER(
            INDIRECT("'"&amp;I$1&amp;"'!A2:G1000"), (INDIRECT("'"&amp;I$1&amp;"'!B2:B1000")=$B40) * (INDIRECT("'"&amp;I$1&amp;"'!C2:C1000")=$C40)
        ),7,
        FALSE
    )
)</f>
        <v/>
      </c>
      <c r="J40" s="52">
        <f t="array" ref="J40">IF(
    VLOOKUP(
        $A40,
        _xlfn._xlws.FILTER(
            INDIRECT("'"&amp;J$1&amp;"'!A2:G1000"), (INDIRECT("'"&amp;J$1&amp;"'!B2:B1000")=$B40) * (INDIRECT("'"&amp;J$1&amp;"'!C2:C1000")=$C40)
        ),
        5,
        FALSE
    )="",
    "",
    VLOOKUP(
        $A40,
        _xlfn._xlws.FILTER(
            INDIRECT("'"&amp;J$1&amp;"'!A2:G1000"), (INDIRECT("'"&amp;J$1&amp;"'!B2:B1000")=$B40) * (INDIRECT("'"&amp;J$1&amp;"'!C2:C1000")=$C40)
        ),7,
        FALSE
    )
)</f>
        <v/>
      </c>
      <c r="K40" s="52">
        <f t="array" ref="K40">IF(
    VLOOKUP(
        $A40,
        _xlfn._xlws.FILTER(
            INDIRECT("'"&amp;K$1&amp;"'!A2:G1000"), (INDIRECT("'"&amp;K$1&amp;"'!B2:B1000")=$B40) * (INDIRECT("'"&amp;K$1&amp;"'!C2:C1000")=$C40)
        ),
        5,
        FALSE
    )="",
    "",
    VLOOKUP(
        $A40,
        _xlfn._xlws.FILTER(
            INDIRECT("'"&amp;K$1&amp;"'!A2:G1000"), (INDIRECT("'"&amp;K$1&amp;"'!B2:B1000")=$B40) * (INDIRECT("'"&amp;K$1&amp;"'!C2:C1000")=$C40)
        ),7,
        FALSE
    )
)</f>
        <v/>
      </c>
      <c r="L40" s="52">
        <f t="array" ref="L40">IF(
    VLOOKUP(
        $A40,
        _xlfn._xlws.FILTER(
            INDIRECT("'"&amp;L$1&amp;"'!A2:G1000"), (INDIRECT("'"&amp;L$1&amp;"'!B2:B1000")=$B40) * (INDIRECT("'"&amp;L$1&amp;"'!C2:C1000")=$C40)
        ),
        5,
        FALSE
    )="",
    "",
    VLOOKUP(
        $A40,
        _xlfn._xlws.FILTER(
            INDIRECT("'"&amp;L$1&amp;"'!A2:G1000"), (INDIRECT("'"&amp;L$1&amp;"'!B2:B1000")=$B40) * (INDIRECT("'"&amp;L$1&amp;"'!C2:C1000")=$C40)
        ),7,
        FALSE
    )
)</f>
        <v/>
      </c>
      <c r="M40" s="52">
        <f t="array" ref="M40">IF(
    VLOOKUP(
        $A40,
        _xlfn._xlws.FILTER(
            INDIRECT("'"&amp;M$1&amp;"'!A2:G1000"), (INDIRECT("'"&amp;M$1&amp;"'!B2:B1000")=$B40) * (INDIRECT("'"&amp;M$1&amp;"'!C2:C1000")=$C40)
        ),
        5,
        FALSE
    )="",
    "",
    VLOOKUP(
        $A40,
        _xlfn._xlws.FILTER(
            INDIRECT("'"&amp;M$1&amp;"'!A2:G1000"), (INDIRECT("'"&amp;M$1&amp;"'!B2:B1000")=$B40) * (INDIRECT("'"&amp;M$1&amp;"'!C2:C1000")=$C40)
        ),7,
        FALSE
    )
)</f>
        <v/>
      </c>
      <c r="N40" s="52">
        <f t="array" ref="N40">IF(
    VLOOKUP(
        $A40,
        _xlfn._xlws.FILTER(
            INDIRECT("'"&amp;N$1&amp;"'!A2:G1000"), (INDIRECT("'"&amp;N$1&amp;"'!B2:B1000")=$B40) * (INDIRECT("'"&amp;N$1&amp;"'!C2:C1000")=$C40)
        ),
        5,
        FALSE
    )="",
    "",
    VLOOKUP(
        $A40,
        _xlfn._xlws.FILTER(
            INDIRECT("'"&amp;N$1&amp;"'!A2:G1000"), (INDIRECT("'"&amp;N$1&amp;"'!B2:B1000")=$B40) * (INDIRECT("'"&amp;N$1&amp;"'!C2:C1000")=$C40)
        ),7,
        FALSE
    )
)</f>
        <v/>
      </c>
      <c r="O40" s="52">
        <f t="array" ref="O40">IF(
    VLOOKUP(
        $A40,
        _xlfn._xlws.FILTER(
            INDIRECT("'"&amp;O$1&amp;"'!A2:G1000"), (INDIRECT("'"&amp;O$1&amp;"'!B2:B1000")=$B40) * (INDIRECT("'"&amp;O$1&amp;"'!C2:C1000")=$C40)
        ),
        5,
        FALSE
    )="",
    "",
    VLOOKUP(
        $A40,
        _xlfn._xlws.FILTER(
            INDIRECT("'"&amp;O$1&amp;"'!A2:G1000"), (INDIRECT("'"&amp;O$1&amp;"'!B2:B1000")=$B40) * (INDIRECT("'"&amp;O$1&amp;"'!C2:C1000")=$C40)
        ),7,
        FALSE
    )
)</f>
        <v/>
      </c>
    </row>
    <row r="41">
      <c r="B41" s="94" t="n"/>
    </row>
    <row r="42" ht="15.75" customHeight="1">
      <c r="A42" s="89" t="inlineStr">
        <is>
          <t>Regional</t>
        </is>
      </c>
      <c r="B42" s="89" t="inlineStr">
        <is>
          <t>Municípios</t>
        </is>
      </c>
      <c r="C42" s="89" t="inlineStr">
        <is>
          <t>UVR</t>
        </is>
      </c>
      <c r="D42" s="97" t="inlineStr">
        <is>
          <t>01.25</t>
        </is>
      </c>
      <c r="E42" s="97" t="inlineStr">
        <is>
          <t>02.25</t>
        </is>
      </c>
      <c r="F42" s="97" t="inlineStr">
        <is>
          <t>03.25</t>
        </is>
      </c>
      <c r="G42" s="97" t="inlineStr">
        <is>
          <t>04.25</t>
        </is>
      </c>
      <c r="H42" s="97" t="inlineStr">
        <is>
          <t>05.25</t>
        </is>
      </c>
      <c r="I42" s="97" t="inlineStr">
        <is>
          <t>06.25</t>
        </is>
      </c>
      <c r="J42" s="97" t="inlineStr">
        <is>
          <t>07.25</t>
        </is>
      </c>
      <c r="K42" s="97" t="inlineStr">
        <is>
          <t>08.25</t>
        </is>
      </c>
      <c r="L42" s="97" t="inlineStr">
        <is>
          <t>09.25</t>
        </is>
      </c>
      <c r="M42" s="97" t="inlineStr">
        <is>
          <t>10.25</t>
        </is>
      </c>
      <c r="N42" s="97" t="inlineStr">
        <is>
          <t>11.25</t>
        </is>
      </c>
      <c r="O42" s="97" t="inlineStr">
        <is>
          <t>12.25</t>
        </is>
      </c>
    </row>
    <row r="43">
      <c r="A43" s="58" t="inlineStr">
        <is>
          <t>Conisul</t>
        </is>
      </c>
      <c r="B43" s="92" t="inlineStr">
        <is>
          <t>Amambai</t>
        </is>
      </c>
      <c r="C43" s="95" t="n">
        <v>1</v>
      </c>
      <c r="D43" s="52">
        <f t="array" ref="D43">IF(
    VLOOKUP(
        $A43,
        _xlfn._xlws.FILTER(
            INDIRECT("'"&amp;D$1&amp;"'!A2:G1000"), (INDIRECT("'"&amp;D$1&amp;"'!B2:B1000")=$B43) * (INDIRECT("'"&amp;D$1&amp;"'!C2:C1000")=$C43)
        ),
        5,
        FALSE
    )="",
    "",
    VLOOKUP(
        $A43,
        _xlfn._xlws.FILTER(
            INDIRECT("'"&amp;D$1&amp;"'!A2:G1000"), (INDIRECT("'"&amp;D$1&amp;"'!B2:B1000")=$B43) * (INDIRECT("'"&amp;D$1&amp;"'!C2:C1000")=$C43)
        ),7,
        FALSE
    )
)</f>
        <v/>
      </c>
      <c r="E43" s="52">
        <f t="array" ref="E43">IF(
    VLOOKUP(
        $A43,
        _xlfn._xlws.FILTER(
            INDIRECT("'"&amp;E$1&amp;"'!A2:G1000"), (INDIRECT("'"&amp;E$1&amp;"'!B2:B1000")=$B43) * (INDIRECT("'"&amp;E$1&amp;"'!C2:C1000")=$C43)
        ),
        5,
        FALSE
    )="",
    "",
    VLOOKUP(
        $A43,
        _xlfn._xlws.FILTER(
            INDIRECT("'"&amp;E$1&amp;"'!A2:G1000"), (INDIRECT("'"&amp;E$1&amp;"'!B2:B1000")=$B43) * (INDIRECT("'"&amp;E$1&amp;"'!C2:C1000")=$C43)
        ),7,
        FALSE
    )
)</f>
        <v/>
      </c>
      <c r="F43" s="52">
        <f t="array" ref="F43">IF(
    VLOOKUP(
        $A43,
        _xlfn._xlws.FILTER(
            INDIRECT("'"&amp;F$1&amp;"'!A2:G1000"), (INDIRECT("'"&amp;F$1&amp;"'!B2:B1000")=$B43) * (INDIRECT("'"&amp;F$1&amp;"'!C2:C1000")=$C43)
        ),
        5,
        FALSE
    )="",
    "",
    VLOOKUP(
        $A43,
        _xlfn._xlws.FILTER(
            INDIRECT("'"&amp;F$1&amp;"'!A2:G1000"), (INDIRECT("'"&amp;F$1&amp;"'!B2:B1000")=$B43) * (INDIRECT("'"&amp;F$1&amp;"'!C2:C1000")=$C43)
        ),7,
        FALSE
    )
)</f>
        <v/>
      </c>
      <c r="G43" s="52">
        <f t="array" ref="G43">IF(
    VLOOKUP(
        $A43,
        _xlfn._xlws.FILTER(
            INDIRECT("'"&amp;G$1&amp;"'!A2:G1000"), (INDIRECT("'"&amp;G$1&amp;"'!B2:B1000")=$B43) * (INDIRECT("'"&amp;G$1&amp;"'!C2:C1000")=$C43)
        ),
        5,
        FALSE
    )="",
    "",
    VLOOKUP(
        $A43,
        _xlfn._xlws.FILTER(
            INDIRECT("'"&amp;G$1&amp;"'!A2:G1000"), (INDIRECT("'"&amp;G$1&amp;"'!B2:B1000")=$B43) * (INDIRECT("'"&amp;G$1&amp;"'!C2:C1000")=$C43)
        ),7,
        FALSE
    )
)</f>
        <v/>
      </c>
      <c r="H43" s="52">
        <f t="array" ref="H43">IF(
    VLOOKUP(
        $A43,
        _xlfn._xlws.FILTER(
            INDIRECT("'"&amp;H$1&amp;"'!A2:G1000"), (INDIRECT("'"&amp;H$1&amp;"'!B2:B1000")=$B43) * (INDIRECT("'"&amp;H$1&amp;"'!C2:C1000")=$C43)
        ),
        5,
        FALSE
    )="",
    "",
    VLOOKUP(
        $A43,
        _xlfn._xlws.FILTER(
            INDIRECT("'"&amp;H$1&amp;"'!A2:G1000"), (INDIRECT("'"&amp;H$1&amp;"'!B2:B1000")=$B43) * (INDIRECT("'"&amp;H$1&amp;"'!C2:C1000")=$C43)
        ),7,
        FALSE
    )
)</f>
        <v/>
      </c>
      <c r="I43" s="52">
        <f t="array" ref="I43">IF(
    VLOOKUP(
        $A43,
        _xlfn._xlws.FILTER(
            INDIRECT("'"&amp;I$1&amp;"'!A2:G1000"), (INDIRECT("'"&amp;I$1&amp;"'!B2:B1000")=$B43) * (INDIRECT("'"&amp;I$1&amp;"'!C2:C1000")=$C43)
        ),
        5,
        FALSE
    )="",
    "",
    VLOOKUP(
        $A43,
        _xlfn._xlws.FILTER(
            INDIRECT("'"&amp;I$1&amp;"'!A2:G1000"), (INDIRECT("'"&amp;I$1&amp;"'!B2:B1000")=$B43) * (INDIRECT("'"&amp;I$1&amp;"'!C2:C1000")=$C43)
        ),7,
        FALSE
    )
)</f>
        <v/>
      </c>
      <c r="J43" s="52">
        <f t="array" ref="J43">IF(
    VLOOKUP(
        $A43,
        _xlfn._xlws.FILTER(
            INDIRECT("'"&amp;J$1&amp;"'!A2:G1000"), (INDIRECT("'"&amp;J$1&amp;"'!B2:B1000")=$B43) * (INDIRECT("'"&amp;J$1&amp;"'!C2:C1000")=$C43)
        ),
        5,
        FALSE
    )="",
    "",
    VLOOKUP(
        $A43,
        _xlfn._xlws.FILTER(
            INDIRECT("'"&amp;J$1&amp;"'!A2:G1000"), (INDIRECT("'"&amp;J$1&amp;"'!B2:B1000")=$B43) * (INDIRECT("'"&amp;J$1&amp;"'!C2:C1000")=$C43)
        ),7,
        FALSE
    )
)</f>
        <v/>
      </c>
      <c r="K43" s="52">
        <f t="array" ref="K43">IF(
    VLOOKUP(
        $A43,
        _xlfn._xlws.FILTER(
            INDIRECT("'"&amp;K$1&amp;"'!A2:G1000"), (INDIRECT("'"&amp;K$1&amp;"'!B2:B1000")=$B43) * (INDIRECT("'"&amp;K$1&amp;"'!C2:C1000")=$C43)
        ),
        5,
        FALSE
    )="",
    "",
    VLOOKUP(
        $A43,
        _xlfn._xlws.FILTER(
            INDIRECT("'"&amp;K$1&amp;"'!A2:G1000"), (INDIRECT("'"&amp;K$1&amp;"'!B2:B1000")=$B43) * (INDIRECT("'"&amp;K$1&amp;"'!C2:C1000")=$C43)
        ),7,
        FALSE
    )
)</f>
        <v/>
      </c>
      <c r="L43" s="52">
        <f t="array" ref="L43">IF(
    VLOOKUP(
        $A43,
        _xlfn._xlws.FILTER(
            INDIRECT("'"&amp;L$1&amp;"'!A2:G1000"), (INDIRECT("'"&amp;L$1&amp;"'!B2:B1000")=$B43) * (INDIRECT("'"&amp;L$1&amp;"'!C2:C1000")=$C43)
        ),
        5,
        FALSE
    )="",
    "",
    VLOOKUP(
        $A43,
        _xlfn._xlws.FILTER(
            INDIRECT("'"&amp;L$1&amp;"'!A2:G1000"), (INDIRECT("'"&amp;L$1&amp;"'!B2:B1000")=$B43) * (INDIRECT("'"&amp;L$1&amp;"'!C2:C1000")=$C43)
        ),7,
        FALSE
    )
)</f>
        <v/>
      </c>
      <c r="M43" s="52">
        <f t="array" ref="M43">IF(
    VLOOKUP(
        $A43,
        _xlfn._xlws.FILTER(
            INDIRECT("'"&amp;M$1&amp;"'!A2:G1000"), (INDIRECT("'"&amp;M$1&amp;"'!B2:B1000")=$B43) * (INDIRECT("'"&amp;M$1&amp;"'!C2:C1000")=$C43)
        ),
        5,
        FALSE
    )="",
    "",
    VLOOKUP(
        $A43,
        _xlfn._xlws.FILTER(
            INDIRECT("'"&amp;M$1&amp;"'!A2:G1000"), (INDIRECT("'"&amp;M$1&amp;"'!B2:B1000")=$B43) * (INDIRECT("'"&amp;M$1&amp;"'!C2:C1000")=$C43)
        ),7,
        FALSE
    )
)</f>
        <v/>
      </c>
      <c r="N43" s="52">
        <f t="array" ref="N43">IF(
    VLOOKUP(
        $A43,
        _xlfn._xlws.FILTER(
            INDIRECT("'"&amp;N$1&amp;"'!A2:G1000"), (INDIRECT("'"&amp;N$1&amp;"'!B2:B1000")=$B43) * (INDIRECT("'"&amp;N$1&amp;"'!C2:C1000")=$C43)
        ),
        5,
        FALSE
    )="",
    "",
    VLOOKUP(
        $A43,
        _xlfn._xlws.FILTER(
            INDIRECT("'"&amp;N$1&amp;"'!A2:G1000"), (INDIRECT("'"&amp;N$1&amp;"'!B2:B1000")=$B43) * (INDIRECT("'"&amp;N$1&amp;"'!C2:C1000")=$C43)
        ),7,
        FALSE
    )
)</f>
        <v/>
      </c>
      <c r="O43" s="52">
        <f t="array" ref="O43">IF(
    VLOOKUP(
        $A43,
        _xlfn._xlws.FILTER(
            INDIRECT("'"&amp;O$1&amp;"'!A2:G1000"), (INDIRECT("'"&amp;O$1&amp;"'!B2:B1000")=$B43) * (INDIRECT("'"&amp;O$1&amp;"'!C2:C1000")=$C43)
        ),
        5,
        FALSE
    )="",
    "",
    VLOOKUP(
        $A43,
        _xlfn._xlws.FILTER(
            INDIRECT("'"&amp;O$1&amp;"'!A2:G1000"), (INDIRECT("'"&amp;O$1&amp;"'!B2:B1000")=$B43) * (INDIRECT("'"&amp;O$1&amp;"'!C2:C1000")=$C43)
        ),7,
        FALSE
    )
)</f>
        <v/>
      </c>
    </row>
    <row r="44">
      <c r="A44" s="58" t="inlineStr">
        <is>
          <t>Conisul</t>
        </is>
      </c>
      <c r="B44" s="92" t="inlineStr">
        <is>
          <t>Aral Moreira</t>
        </is>
      </c>
      <c r="C44" s="95" t="n">
        <v>1</v>
      </c>
      <c r="D44" s="52">
        <f t="array" ref="D44">IF(
    VLOOKUP(
        $A44,
        _xlfn._xlws.FILTER(
            INDIRECT("'"&amp;D$1&amp;"'!A2:G1000"), (INDIRECT("'"&amp;D$1&amp;"'!B2:B1000")=$B44) * (INDIRECT("'"&amp;D$1&amp;"'!C2:C1000")=$C44)
        ),
        5,
        FALSE
    )="",
    "",
    VLOOKUP(
        $A44,
        _xlfn._xlws.FILTER(
            INDIRECT("'"&amp;D$1&amp;"'!A2:G1000"), (INDIRECT("'"&amp;D$1&amp;"'!B2:B1000")=$B44) * (INDIRECT("'"&amp;D$1&amp;"'!C2:C1000")=$C44)
        ),7,
        FALSE
    )
)</f>
        <v/>
      </c>
      <c r="E44" s="52">
        <f t="array" ref="E44">IF(
    VLOOKUP(
        $A44,
        _xlfn._xlws.FILTER(
            INDIRECT("'"&amp;E$1&amp;"'!A2:G1000"), (INDIRECT("'"&amp;E$1&amp;"'!B2:B1000")=$B44) * (INDIRECT("'"&amp;E$1&amp;"'!C2:C1000")=$C44)
        ),
        5,
        FALSE
    )="",
    "",
    VLOOKUP(
        $A44,
        _xlfn._xlws.FILTER(
            INDIRECT("'"&amp;E$1&amp;"'!A2:G1000"), (INDIRECT("'"&amp;E$1&amp;"'!B2:B1000")=$B44) * (INDIRECT("'"&amp;E$1&amp;"'!C2:C1000")=$C44)
        ),7,
        FALSE
    )
)</f>
        <v/>
      </c>
      <c r="F44" s="52">
        <f t="array" ref="F44">IF(
    VLOOKUP(
        $A44,
        _xlfn._xlws.FILTER(
            INDIRECT("'"&amp;F$1&amp;"'!A2:G1000"), (INDIRECT("'"&amp;F$1&amp;"'!B2:B1000")=$B44) * (INDIRECT("'"&amp;F$1&amp;"'!C2:C1000")=$C44)
        ),
        5,
        FALSE
    )="",
    "",
    VLOOKUP(
        $A44,
        _xlfn._xlws.FILTER(
            INDIRECT("'"&amp;F$1&amp;"'!A2:G1000"), (INDIRECT("'"&amp;F$1&amp;"'!B2:B1000")=$B44) * (INDIRECT("'"&amp;F$1&amp;"'!C2:C1000")=$C44)
        ),7,
        FALSE
    )
)</f>
        <v/>
      </c>
      <c r="G44" s="52">
        <f t="array" ref="G44">IF(
    VLOOKUP(
        $A44,
        _xlfn._xlws.FILTER(
            INDIRECT("'"&amp;G$1&amp;"'!A2:G1000"), (INDIRECT("'"&amp;G$1&amp;"'!B2:B1000")=$B44) * (INDIRECT("'"&amp;G$1&amp;"'!C2:C1000")=$C44)
        ),
        5,
        FALSE
    )="",
    "",
    VLOOKUP(
        $A44,
        _xlfn._xlws.FILTER(
            INDIRECT("'"&amp;G$1&amp;"'!A2:G1000"), (INDIRECT("'"&amp;G$1&amp;"'!B2:B1000")=$B44) * (INDIRECT("'"&amp;G$1&amp;"'!C2:C1000")=$C44)
        ),7,
        FALSE
    )
)</f>
        <v/>
      </c>
      <c r="H44" s="52">
        <f t="array" ref="H44">IF(
    VLOOKUP(
        $A44,
        _xlfn._xlws.FILTER(
            INDIRECT("'"&amp;H$1&amp;"'!A2:G1000"), (INDIRECT("'"&amp;H$1&amp;"'!B2:B1000")=$B44) * (INDIRECT("'"&amp;H$1&amp;"'!C2:C1000")=$C44)
        ),
        5,
        FALSE
    )="",
    "",
    VLOOKUP(
        $A44,
        _xlfn._xlws.FILTER(
            INDIRECT("'"&amp;H$1&amp;"'!A2:G1000"), (INDIRECT("'"&amp;H$1&amp;"'!B2:B1000")=$B44) * (INDIRECT("'"&amp;H$1&amp;"'!C2:C1000")=$C44)
        ),7,
        FALSE
    )
)</f>
        <v/>
      </c>
      <c r="I44" s="52">
        <f t="array" ref="I44">IF(
    VLOOKUP(
        $A44,
        _xlfn._xlws.FILTER(
            INDIRECT("'"&amp;I$1&amp;"'!A2:G1000"), (INDIRECT("'"&amp;I$1&amp;"'!B2:B1000")=$B44) * (INDIRECT("'"&amp;I$1&amp;"'!C2:C1000")=$C44)
        ),
        5,
        FALSE
    )="",
    "",
    VLOOKUP(
        $A44,
        _xlfn._xlws.FILTER(
            INDIRECT("'"&amp;I$1&amp;"'!A2:G1000"), (INDIRECT("'"&amp;I$1&amp;"'!B2:B1000")=$B44) * (INDIRECT("'"&amp;I$1&amp;"'!C2:C1000")=$C44)
        ),7,
        FALSE
    )
)</f>
        <v/>
      </c>
      <c r="J44" s="52">
        <f t="array" ref="J44">IF(
    VLOOKUP(
        $A44,
        _xlfn._xlws.FILTER(
            INDIRECT("'"&amp;J$1&amp;"'!A2:G1000"), (INDIRECT("'"&amp;J$1&amp;"'!B2:B1000")=$B44) * (INDIRECT("'"&amp;J$1&amp;"'!C2:C1000")=$C44)
        ),
        5,
        FALSE
    )="",
    "",
    VLOOKUP(
        $A44,
        _xlfn._xlws.FILTER(
            INDIRECT("'"&amp;J$1&amp;"'!A2:G1000"), (INDIRECT("'"&amp;J$1&amp;"'!B2:B1000")=$B44) * (INDIRECT("'"&amp;J$1&amp;"'!C2:C1000")=$C44)
        ),7,
        FALSE
    )
)</f>
        <v/>
      </c>
      <c r="K44" s="52">
        <f t="array" ref="K44">IF(
    VLOOKUP(
        $A44,
        _xlfn._xlws.FILTER(
            INDIRECT("'"&amp;K$1&amp;"'!A2:G1000"), (INDIRECT("'"&amp;K$1&amp;"'!B2:B1000")=$B44) * (INDIRECT("'"&amp;K$1&amp;"'!C2:C1000")=$C44)
        ),
        5,
        FALSE
    )="",
    "",
    VLOOKUP(
        $A44,
        _xlfn._xlws.FILTER(
            INDIRECT("'"&amp;K$1&amp;"'!A2:G1000"), (INDIRECT("'"&amp;K$1&amp;"'!B2:B1000")=$B44) * (INDIRECT("'"&amp;K$1&amp;"'!C2:C1000")=$C44)
        ),7,
        FALSE
    )
)</f>
        <v/>
      </c>
      <c r="L44" s="52">
        <f t="array" ref="L44">IF(
    VLOOKUP(
        $A44,
        _xlfn._xlws.FILTER(
            INDIRECT("'"&amp;L$1&amp;"'!A2:G1000"), (INDIRECT("'"&amp;L$1&amp;"'!B2:B1000")=$B44) * (INDIRECT("'"&amp;L$1&amp;"'!C2:C1000")=$C44)
        ),
        5,
        FALSE
    )="",
    "",
    VLOOKUP(
        $A44,
        _xlfn._xlws.FILTER(
            INDIRECT("'"&amp;L$1&amp;"'!A2:G1000"), (INDIRECT("'"&amp;L$1&amp;"'!B2:B1000")=$B44) * (INDIRECT("'"&amp;L$1&amp;"'!C2:C1000")=$C44)
        ),7,
        FALSE
    )
)</f>
        <v/>
      </c>
      <c r="M44" s="52">
        <f t="array" ref="M44">IF(
    VLOOKUP(
        $A44,
        _xlfn._xlws.FILTER(
            INDIRECT("'"&amp;M$1&amp;"'!A2:G1000"), (INDIRECT("'"&amp;M$1&amp;"'!B2:B1000")=$B44) * (INDIRECT("'"&amp;M$1&amp;"'!C2:C1000")=$C44)
        ),
        5,
        FALSE
    )="",
    "",
    VLOOKUP(
        $A44,
        _xlfn._xlws.FILTER(
            INDIRECT("'"&amp;M$1&amp;"'!A2:G1000"), (INDIRECT("'"&amp;M$1&amp;"'!B2:B1000")=$B44) * (INDIRECT("'"&amp;M$1&amp;"'!C2:C1000")=$C44)
        ),7,
        FALSE
    )
)</f>
        <v/>
      </c>
      <c r="N44" s="52">
        <f t="array" ref="N44">IF(
    VLOOKUP(
        $A44,
        _xlfn._xlws.FILTER(
            INDIRECT("'"&amp;N$1&amp;"'!A2:G1000"), (INDIRECT("'"&amp;N$1&amp;"'!B2:B1000")=$B44) * (INDIRECT("'"&amp;N$1&amp;"'!C2:C1000")=$C44)
        ),
        5,
        FALSE
    )="",
    "",
    VLOOKUP(
        $A44,
        _xlfn._xlws.FILTER(
            INDIRECT("'"&amp;N$1&amp;"'!A2:G1000"), (INDIRECT("'"&amp;N$1&amp;"'!B2:B1000")=$B44) * (INDIRECT("'"&amp;N$1&amp;"'!C2:C1000")=$C44)
        ),7,
        FALSE
    )
)</f>
        <v/>
      </c>
      <c r="O44" s="52">
        <f t="array" ref="O44">IF(
    VLOOKUP(
        $A44,
        _xlfn._xlws.FILTER(
            INDIRECT("'"&amp;O$1&amp;"'!A2:G1000"), (INDIRECT("'"&amp;O$1&amp;"'!B2:B1000")=$B44) * (INDIRECT("'"&amp;O$1&amp;"'!C2:C1000")=$C44)
        ),
        5,
        FALSE
    )="",
    "",
    VLOOKUP(
        $A44,
        _xlfn._xlws.FILTER(
            INDIRECT("'"&amp;O$1&amp;"'!A2:G1000"), (INDIRECT("'"&amp;O$1&amp;"'!B2:B1000")=$B44) * (INDIRECT("'"&amp;O$1&amp;"'!C2:C1000")=$C44)
        ),7,
        FALSE
    )
)</f>
        <v/>
      </c>
    </row>
    <row r="45">
      <c r="A45" s="58" t="inlineStr">
        <is>
          <t>Conisul</t>
        </is>
      </c>
      <c r="B45" s="92" t="inlineStr">
        <is>
          <t>Caarapó</t>
        </is>
      </c>
      <c r="C45" s="95" t="n">
        <v>1</v>
      </c>
      <c r="D45" s="52">
        <f t="array" ref="D45">IF(
    VLOOKUP(
        $A45,
        _xlfn._xlws.FILTER(
            INDIRECT("'"&amp;D$1&amp;"'!A2:G1000"), (INDIRECT("'"&amp;D$1&amp;"'!B2:B1000")=$B45) * (INDIRECT("'"&amp;D$1&amp;"'!C2:C1000")=$C45)
        ),
        5,
        FALSE
    )="",
    "",
    VLOOKUP(
        $A45,
        _xlfn._xlws.FILTER(
            INDIRECT("'"&amp;D$1&amp;"'!A2:G1000"), (INDIRECT("'"&amp;D$1&amp;"'!B2:B1000")=$B45) * (INDIRECT("'"&amp;D$1&amp;"'!C2:C1000")=$C45)
        ),7,
        FALSE
    )
)</f>
        <v/>
      </c>
      <c r="E45" s="52">
        <f t="array" ref="E45">IF(
    VLOOKUP(
        $A45,
        _xlfn._xlws.FILTER(
            INDIRECT("'"&amp;E$1&amp;"'!A2:G1000"), (INDIRECT("'"&amp;E$1&amp;"'!B2:B1000")=$B45) * (INDIRECT("'"&amp;E$1&amp;"'!C2:C1000")=$C45)
        ),
        5,
        FALSE
    )="",
    "",
    VLOOKUP(
        $A45,
        _xlfn._xlws.FILTER(
            INDIRECT("'"&amp;E$1&amp;"'!A2:G1000"), (INDIRECT("'"&amp;E$1&amp;"'!B2:B1000")=$B45) * (INDIRECT("'"&amp;E$1&amp;"'!C2:C1000")=$C45)
        ),7,
        FALSE
    )
)</f>
        <v/>
      </c>
      <c r="F45" s="52">
        <f t="array" ref="F45">IF(
    VLOOKUP(
        $A45,
        _xlfn._xlws.FILTER(
            INDIRECT("'"&amp;F$1&amp;"'!A2:G1000"), (INDIRECT("'"&amp;F$1&amp;"'!B2:B1000")=$B45) * (INDIRECT("'"&amp;F$1&amp;"'!C2:C1000")=$C45)
        ),
        5,
        FALSE
    )="",
    "",
    VLOOKUP(
        $A45,
        _xlfn._xlws.FILTER(
            INDIRECT("'"&amp;F$1&amp;"'!A2:G1000"), (INDIRECT("'"&amp;F$1&amp;"'!B2:B1000")=$B45) * (INDIRECT("'"&amp;F$1&amp;"'!C2:C1000")=$C45)
        ),7,
        FALSE
    )
)</f>
        <v/>
      </c>
      <c r="G45" s="52">
        <f t="array" ref="G45">IF(
    VLOOKUP(
        $A45,
        _xlfn._xlws.FILTER(
            INDIRECT("'"&amp;G$1&amp;"'!A2:G1000"), (INDIRECT("'"&amp;G$1&amp;"'!B2:B1000")=$B45) * (INDIRECT("'"&amp;G$1&amp;"'!C2:C1000")=$C45)
        ),
        5,
        FALSE
    )="",
    "",
    VLOOKUP(
        $A45,
        _xlfn._xlws.FILTER(
            INDIRECT("'"&amp;G$1&amp;"'!A2:G1000"), (INDIRECT("'"&amp;G$1&amp;"'!B2:B1000")=$B45) * (INDIRECT("'"&amp;G$1&amp;"'!C2:C1000")=$C45)
        ),7,
        FALSE
    )
)</f>
        <v/>
      </c>
      <c r="H45" s="52">
        <f t="array" ref="H45">IF(
    VLOOKUP(
        $A45,
        _xlfn._xlws.FILTER(
            INDIRECT("'"&amp;H$1&amp;"'!A2:G1000"), (INDIRECT("'"&amp;H$1&amp;"'!B2:B1000")=$B45) * (INDIRECT("'"&amp;H$1&amp;"'!C2:C1000")=$C45)
        ),
        5,
        FALSE
    )="",
    "",
    VLOOKUP(
        $A45,
        _xlfn._xlws.FILTER(
            INDIRECT("'"&amp;H$1&amp;"'!A2:G1000"), (INDIRECT("'"&amp;H$1&amp;"'!B2:B1000")=$B45) * (INDIRECT("'"&amp;H$1&amp;"'!C2:C1000")=$C45)
        ),7,
        FALSE
    )
)</f>
        <v/>
      </c>
      <c r="I45" s="52">
        <f t="array" ref="I45">IF(
    VLOOKUP(
        $A45,
        _xlfn._xlws.FILTER(
            INDIRECT("'"&amp;I$1&amp;"'!A2:G1000"), (INDIRECT("'"&amp;I$1&amp;"'!B2:B1000")=$B45) * (INDIRECT("'"&amp;I$1&amp;"'!C2:C1000")=$C45)
        ),
        5,
        FALSE
    )="",
    "",
    VLOOKUP(
        $A45,
        _xlfn._xlws.FILTER(
            INDIRECT("'"&amp;I$1&amp;"'!A2:G1000"), (INDIRECT("'"&amp;I$1&amp;"'!B2:B1000")=$B45) * (INDIRECT("'"&amp;I$1&amp;"'!C2:C1000")=$C45)
        ),7,
        FALSE
    )
)</f>
        <v/>
      </c>
      <c r="J45" s="52">
        <f t="array" ref="J45">IF(
    VLOOKUP(
        $A45,
        _xlfn._xlws.FILTER(
            INDIRECT("'"&amp;J$1&amp;"'!A2:G1000"), (INDIRECT("'"&amp;J$1&amp;"'!B2:B1000")=$B45) * (INDIRECT("'"&amp;J$1&amp;"'!C2:C1000")=$C45)
        ),
        5,
        FALSE
    )="",
    "",
    VLOOKUP(
        $A45,
        _xlfn._xlws.FILTER(
            INDIRECT("'"&amp;J$1&amp;"'!A2:G1000"), (INDIRECT("'"&amp;J$1&amp;"'!B2:B1000")=$B45) * (INDIRECT("'"&amp;J$1&amp;"'!C2:C1000")=$C45)
        ),7,
        FALSE
    )
)</f>
        <v/>
      </c>
      <c r="K45" s="52">
        <f t="array" ref="K45">IF(
    VLOOKUP(
        $A45,
        _xlfn._xlws.FILTER(
            INDIRECT("'"&amp;K$1&amp;"'!A2:G1000"), (INDIRECT("'"&amp;K$1&amp;"'!B2:B1000")=$B45) * (INDIRECT("'"&amp;K$1&amp;"'!C2:C1000")=$C45)
        ),
        5,
        FALSE
    )="",
    "",
    VLOOKUP(
        $A45,
        _xlfn._xlws.FILTER(
            INDIRECT("'"&amp;K$1&amp;"'!A2:G1000"), (INDIRECT("'"&amp;K$1&amp;"'!B2:B1000")=$B45) * (INDIRECT("'"&amp;K$1&amp;"'!C2:C1000")=$C45)
        ),7,
        FALSE
    )
)</f>
        <v/>
      </c>
      <c r="L45" s="52">
        <f t="array" ref="L45">IF(
    VLOOKUP(
        $A45,
        _xlfn._xlws.FILTER(
            INDIRECT("'"&amp;L$1&amp;"'!A2:G1000"), (INDIRECT("'"&amp;L$1&amp;"'!B2:B1000")=$B45) * (INDIRECT("'"&amp;L$1&amp;"'!C2:C1000")=$C45)
        ),
        5,
        FALSE
    )="",
    "",
    VLOOKUP(
        $A45,
        _xlfn._xlws.FILTER(
            INDIRECT("'"&amp;L$1&amp;"'!A2:G1000"), (INDIRECT("'"&amp;L$1&amp;"'!B2:B1000")=$B45) * (INDIRECT("'"&amp;L$1&amp;"'!C2:C1000")=$C45)
        ),7,
        FALSE
    )
)</f>
        <v/>
      </c>
      <c r="M45" s="52">
        <f t="array" ref="M45">IF(
    VLOOKUP(
        $A45,
        _xlfn._xlws.FILTER(
            INDIRECT("'"&amp;M$1&amp;"'!A2:G1000"), (INDIRECT("'"&amp;M$1&amp;"'!B2:B1000")=$B45) * (INDIRECT("'"&amp;M$1&amp;"'!C2:C1000")=$C45)
        ),
        5,
        FALSE
    )="",
    "",
    VLOOKUP(
        $A45,
        _xlfn._xlws.FILTER(
            INDIRECT("'"&amp;M$1&amp;"'!A2:G1000"), (INDIRECT("'"&amp;M$1&amp;"'!B2:B1000")=$B45) * (INDIRECT("'"&amp;M$1&amp;"'!C2:C1000")=$C45)
        ),7,
        FALSE
    )
)</f>
        <v/>
      </c>
      <c r="N45" s="52">
        <f t="array" ref="N45">IF(
    VLOOKUP(
        $A45,
        _xlfn._xlws.FILTER(
            INDIRECT("'"&amp;N$1&amp;"'!A2:G1000"), (INDIRECT("'"&amp;N$1&amp;"'!B2:B1000")=$B45) * (INDIRECT("'"&amp;N$1&amp;"'!C2:C1000")=$C45)
        ),
        5,
        FALSE
    )="",
    "",
    VLOOKUP(
        $A45,
        _xlfn._xlws.FILTER(
            INDIRECT("'"&amp;N$1&amp;"'!A2:G1000"), (INDIRECT("'"&amp;N$1&amp;"'!B2:B1000")=$B45) * (INDIRECT("'"&amp;N$1&amp;"'!C2:C1000")=$C45)
        ),7,
        FALSE
    )
)</f>
        <v/>
      </c>
      <c r="O45" s="52">
        <f t="array" ref="O45">IF(
    VLOOKUP(
        $A45,
        _xlfn._xlws.FILTER(
            INDIRECT("'"&amp;O$1&amp;"'!A2:G1000"), (INDIRECT("'"&amp;O$1&amp;"'!B2:B1000")=$B45) * (INDIRECT("'"&amp;O$1&amp;"'!C2:C1000")=$C45)
        ),
        5,
        FALSE
    )="",
    "",
    VLOOKUP(
        $A45,
        _xlfn._xlws.FILTER(
            INDIRECT("'"&amp;O$1&amp;"'!A2:G1000"), (INDIRECT("'"&amp;O$1&amp;"'!B2:B1000")=$B45) * (INDIRECT("'"&amp;O$1&amp;"'!C2:C1000")=$C45)
        ),7,
        FALSE
    )
)</f>
        <v/>
      </c>
    </row>
    <row r="46">
      <c r="A46" s="58" t="inlineStr">
        <is>
          <t>Conisul</t>
        </is>
      </c>
      <c r="B46" s="92" t="inlineStr">
        <is>
          <t>Coronel Sapucaia</t>
        </is>
      </c>
      <c r="C46" s="95" t="n">
        <v>1</v>
      </c>
      <c r="D46" s="52">
        <f t="array" ref="D46">IF(
    VLOOKUP(
        $A46,
        _xlfn._xlws.FILTER(
            INDIRECT("'"&amp;D$1&amp;"'!A2:G1000"), (INDIRECT("'"&amp;D$1&amp;"'!B2:B1000")=$B46) * (INDIRECT("'"&amp;D$1&amp;"'!C2:C1000")=$C46)
        ),
        5,
        FALSE
    )="",
    "",
    VLOOKUP(
        $A46,
        _xlfn._xlws.FILTER(
            INDIRECT("'"&amp;D$1&amp;"'!A2:G1000"), (INDIRECT("'"&amp;D$1&amp;"'!B2:B1000")=$B46) * (INDIRECT("'"&amp;D$1&amp;"'!C2:C1000")=$C46)
        ),7,
        FALSE
    )
)</f>
        <v/>
      </c>
      <c r="E46" s="52">
        <f t="array" ref="E46">IF(
    VLOOKUP(
        $A46,
        _xlfn._xlws.FILTER(
            INDIRECT("'"&amp;E$1&amp;"'!A2:G1000"), (INDIRECT("'"&amp;E$1&amp;"'!B2:B1000")=$B46) * (INDIRECT("'"&amp;E$1&amp;"'!C2:C1000")=$C46)
        ),
        5,
        FALSE
    )="",
    "",
    VLOOKUP(
        $A46,
        _xlfn._xlws.FILTER(
            INDIRECT("'"&amp;E$1&amp;"'!A2:G1000"), (INDIRECT("'"&amp;E$1&amp;"'!B2:B1000")=$B46) * (INDIRECT("'"&amp;E$1&amp;"'!C2:C1000")=$C46)
        ),7,
        FALSE
    )
)</f>
        <v/>
      </c>
      <c r="F46" s="52">
        <f t="array" ref="F46">IF(
    VLOOKUP(
        $A46,
        _xlfn._xlws.FILTER(
            INDIRECT("'"&amp;F$1&amp;"'!A2:G1000"), (INDIRECT("'"&amp;F$1&amp;"'!B2:B1000")=$B46) * (INDIRECT("'"&amp;F$1&amp;"'!C2:C1000")=$C46)
        ),
        5,
        FALSE
    )="",
    "",
    VLOOKUP(
        $A46,
        _xlfn._xlws.FILTER(
            INDIRECT("'"&amp;F$1&amp;"'!A2:G1000"), (INDIRECT("'"&amp;F$1&amp;"'!B2:B1000")=$B46) * (INDIRECT("'"&amp;F$1&amp;"'!C2:C1000")=$C46)
        ),7,
        FALSE
    )
)</f>
        <v/>
      </c>
      <c r="G46" s="52">
        <f t="array" ref="G46">IF(
    VLOOKUP(
        $A46,
        _xlfn._xlws.FILTER(
            INDIRECT("'"&amp;G$1&amp;"'!A2:G1000"), (INDIRECT("'"&amp;G$1&amp;"'!B2:B1000")=$B46) * (INDIRECT("'"&amp;G$1&amp;"'!C2:C1000")=$C46)
        ),
        5,
        FALSE
    )="",
    "",
    VLOOKUP(
        $A46,
        _xlfn._xlws.FILTER(
            INDIRECT("'"&amp;G$1&amp;"'!A2:G1000"), (INDIRECT("'"&amp;G$1&amp;"'!B2:B1000")=$B46) * (INDIRECT("'"&amp;G$1&amp;"'!C2:C1000")=$C46)
        ),7,
        FALSE
    )
)</f>
        <v/>
      </c>
      <c r="H46" s="52">
        <f t="array" ref="H46">IF(
    VLOOKUP(
        $A46,
        _xlfn._xlws.FILTER(
            INDIRECT("'"&amp;H$1&amp;"'!A2:G1000"), (INDIRECT("'"&amp;H$1&amp;"'!B2:B1000")=$B46) * (INDIRECT("'"&amp;H$1&amp;"'!C2:C1000")=$C46)
        ),
        5,
        FALSE
    )="",
    "",
    VLOOKUP(
        $A46,
        _xlfn._xlws.FILTER(
            INDIRECT("'"&amp;H$1&amp;"'!A2:G1000"), (INDIRECT("'"&amp;H$1&amp;"'!B2:B1000")=$B46) * (INDIRECT("'"&amp;H$1&amp;"'!C2:C1000")=$C46)
        ),7,
        FALSE
    )
)</f>
        <v/>
      </c>
      <c r="I46" s="52">
        <f t="array" ref="I46">IF(
    VLOOKUP(
        $A46,
        _xlfn._xlws.FILTER(
            INDIRECT("'"&amp;I$1&amp;"'!A2:G1000"), (INDIRECT("'"&amp;I$1&amp;"'!B2:B1000")=$B46) * (INDIRECT("'"&amp;I$1&amp;"'!C2:C1000")=$C46)
        ),
        5,
        FALSE
    )="",
    "",
    VLOOKUP(
        $A46,
        _xlfn._xlws.FILTER(
            INDIRECT("'"&amp;I$1&amp;"'!A2:G1000"), (INDIRECT("'"&amp;I$1&amp;"'!B2:B1000")=$B46) * (INDIRECT("'"&amp;I$1&amp;"'!C2:C1000")=$C46)
        ),7,
        FALSE
    )
)</f>
        <v/>
      </c>
      <c r="J46" s="52">
        <f t="array" ref="J46">IF(
    VLOOKUP(
        $A46,
        _xlfn._xlws.FILTER(
            INDIRECT("'"&amp;J$1&amp;"'!A2:G1000"), (INDIRECT("'"&amp;J$1&amp;"'!B2:B1000")=$B46) * (INDIRECT("'"&amp;J$1&amp;"'!C2:C1000")=$C46)
        ),
        5,
        FALSE
    )="",
    "",
    VLOOKUP(
        $A46,
        _xlfn._xlws.FILTER(
            INDIRECT("'"&amp;J$1&amp;"'!A2:G1000"), (INDIRECT("'"&amp;J$1&amp;"'!B2:B1000")=$B46) * (INDIRECT("'"&amp;J$1&amp;"'!C2:C1000")=$C46)
        ),7,
        FALSE
    )
)</f>
        <v/>
      </c>
      <c r="K46" s="52">
        <f t="array" ref="K46">IF(
    VLOOKUP(
        $A46,
        _xlfn._xlws.FILTER(
            INDIRECT("'"&amp;K$1&amp;"'!A2:G1000"), (INDIRECT("'"&amp;K$1&amp;"'!B2:B1000")=$B46) * (INDIRECT("'"&amp;K$1&amp;"'!C2:C1000")=$C46)
        ),
        5,
        FALSE
    )="",
    "",
    VLOOKUP(
        $A46,
        _xlfn._xlws.FILTER(
            INDIRECT("'"&amp;K$1&amp;"'!A2:G1000"), (INDIRECT("'"&amp;K$1&amp;"'!B2:B1000")=$B46) * (INDIRECT("'"&amp;K$1&amp;"'!C2:C1000")=$C46)
        ),7,
        FALSE
    )
)</f>
        <v/>
      </c>
      <c r="L46" s="52">
        <f t="array" ref="L46">IF(
    VLOOKUP(
        $A46,
        _xlfn._xlws.FILTER(
            INDIRECT("'"&amp;L$1&amp;"'!A2:G1000"), (INDIRECT("'"&amp;L$1&amp;"'!B2:B1000")=$B46) * (INDIRECT("'"&amp;L$1&amp;"'!C2:C1000")=$C46)
        ),
        5,
        FALSE
    )="",
    "",
    VLOOKUP(
        $A46,
        _xlfn._xlws.FILTER(
            INDIRECT("'"&amp;L$1&amp;"'!A2:G1000"), (INDIRECT("'"&amp;L$1&amp;"'!B2:B1000")=$B46) * (INDIRECT("'"&amp;L$1&amp;"'!C2:C1000")=$C46)
        ),7,
        FALSE
    )
)</f>
        <v/>
      </c>
      <c r="M46" s="52">
        <f t="array" ref="M46">IF(
    VLOOKUP(
        $A46,
        _xlfn._xlws.FILTER(
            INDIRECT("'"&amp;M$1&amp;"'!A2:G1000"), (INDIRECT("'"&amp;M$1&amp;"'!B2:B1000")=$B46) * (INDIRECT("'"&amp;M$1&amp;"'!C2:C1000")=$C46)
        ),
        5,
        FALSE
    )="",
    "",
    VLOOKUP(
        $A46,
        _xlfn._xlws.FILTER(
            INDIRECT("'"&amp;M$1&amp;"'!A2:G1000"), (INDIRECT("'"&amp;M$1&amp;"'!B2:B1000")=$B46) * (INDIRECT("'"&amp;M$1&amp;"'!C2:C1000")=$C46)
        ),7,
        FALSE
    )
)</f>
        <v/>
      </c>
      <c r="N46" s="52">
        <f t="array" ref="N46">IF(
    VLOOKUP(
        $A46,
        _xlfn._xlws.FILTER(
            INDIRECT("'"&amp;N$1&amp;"'!A2:G1000"), (INDIRECT("'"&amp;N$1&amp;"'!B2:B1000")=$B46) * (INDIRECT("'"&amp;N$1&amp;"'!C2:C1000")=$C46)
        ),
        5,
        FALSE
    )="",
    "",
    VLOOKUP(
        $A46,
        _xlfn._xlws.FILTER(
            INDIRECT("'"&amp;N$1&amp;"'!A2:G1000"), (INDIRECT("'"&amp;N$1&amp;"'!B2:B1000")=$B46) * (INDIRECT("'"&amp;N$1&amp;"'!C2:C1000")=$C46)
        ),7,
        FALSE
    )
)</f>
        <v/>
      </c>
      <c r="O46" s="52">
        <f t="array" ref="O46">IF(
    VLOOKUP(
        $A46,
        _xlfn._xlws.FILTER(
            INDIRECT("'"&amp;O$1&amp;"'!A2:G1000"), (INDIRECT("'"&amp;O$1&amp;"'!B2:B1000")=$B46) * (INDIRECT("'"&amp;O$1&amp;"'!C2:C1000")=$C46)
        ),
        5,
        FALSE
    )="",
    "",
    VLOOKUP(
        $A46,
        _xlfn._xlws.FILTER(
            INDIRECT("'"&amp;O$1&amp;"'!A2:G1000"), (INDIRECT("'"&amp;O$1&amp;"'!B2:B1000")=$B46) * (INDIRECT("'"&amp;O$1&amp;"'!C2:C1000")=$C46)
        ),7,
        FALSE
    )
)</f>
        <v/>
      </c>
    </row>
    <row r="47">
      <c r="A47" s="58" t="inlineStr">
        <is>
          <t>Conisul</t>
        </is>
      </c>
      <c r="B47" s="92" t="inlineStr">
        <is>
          <t>Eldorado</t>
        </is>
      </c>
      <c r="C47" s="95" t="n">
        <v>1</v>
      </c>
      <c r="D47" s="52">
        <f t="array" ref="D47">IF(
    VLOOKUP(
        $A47,
        _xlfn._xlws.FILTER(
            INDIRECT("'"&amp;D$1&amp;"'!A2:G1000"), (INDIRECT("'"&amp;D$1&amp;"'!B2:B1000")=$B47) * (INDIRECT("'"&amp;D$1&amp;"'!C2:C1000")=$C47)
        ),
        5,
        FALSE
    )="",
    "",
    VLOOKUP(
        $A47,
        _xlfn._xlws.FILTER(
            INDIRECT("'"&amp;D$1&amp;"'!A2:G1000"), (INDIRECT("'"&amp;D$1&amp;"'!B2:B1000")=$B47) * (INDIRECT("'"&amp;D$1&amp;"'!C2:C1000")=$C47)
        ),7,
        FALSE
    )
)</f>
        <v/>
      </c>
      <c r="E47" s="52">
        <f t="array" ref="E47">IF(
    VLOOKUP(
        $A47,
        _xlfn._xlws.FILTER(
            INDIRECT("'"&amp;E$1&amp;"'!A2:G1000"), (INDIRECT("'"&amp;E$1&amp;"'!B2:B1000")=$B47) * (INDIRECT("'"&amp;E$1&amp;"'!C2:C1000")=$C47)
        ),
        5,
        FALSE
    )="",
    "",
    VLOOKUP(
        $A47,
        _xlfn._xlws.FILTER(
            INDIRECT("'"&amp;E$1&amp;"'!A2:G1000"), (INDIRECT("'"&amp;E$1&amp;"'!B2:B1000")=$B47) * (INDIRECT("'"&amp;E$1&amp;"'!C2:C1000")=$C47)
        ),7,
        FALSE
    )
)</f>
        <v/>
      </c>
      <c r="F47" s="52">
        <f t="array" ref="F47">IF(
    VLOOKUP(
        $A47,
        _xlfn._xlws.FILTER(
            INDIRECT("'"&amp;F$1&amp;"'!A2:G1000"), (INDIRECT("'"&amp;F$1&amp;"'!B2:B1000")=$B47) * (INDIRECT("'"&amp;F$1&amp;"'!C2:C1000")=$C47)
        ),
        5,
        FALSE
    )="",
    "",
    VLOOKUP(
        $A47,
        _xlfn._xlws.FILTER(
            INDIRECT("'"&amp;F$1&amp;"'!A2:G1000"), (INDIRECT("'"&amp;F$1&amp;"'!B2:B1000")=$B47) * (INDIRECT("'"&amp;F$1&amp;"'!C2:C1000")=$C47)
        ),7,
        FALSE
    )
)</f>
        <v/>
      </c>
      <c r="G47" s="52">
        <f t="array" ref="G47">IF(
    VLOOKUP(
        $A47,
        _xlfn._xlws.FILTER(
            INDIRECT("'"&amp;G$1&amp;"'!A2:G1000"), (INDIRECT("'"&amp;G$1&amp;"'!B2:B1000")=$B47) * (INDIRECT("'"&amp;G$1&amp;"'!C2:C1000")=$C47)
        ),
        5,
        FALSE
    )="",
    "",
    VLOOKUP(
        $A47,
        _xlfn._xlws.FILTER(
            INDIRECT("'"&amp;G$1&amp;"'!A2:G1000"), (INDIRECT("'"&amp;G$1&amp;"'!B2:B1000")=$B47) * (INDIRECT("'"&amp;G$1&amp;"'!C2:C1000")=$C47)
        ),7,
        FALSE
    )
)</f>
        <v/>
      </c>
      <c r="H47" s="52">
        <f t="array" ref="H47">IF(
    VLOOKUP(
        $A47,
        _xlfn._xlws.FILTER(
            INDIRECT("'"&amp;H$1&amp;"'!A2:G1000"), (INDIRECT("'"&amp;H$1&amp;"'!B2:B1000")=$B47) * (INDIRECT("'"&amp;H$1&amp;"'!C2:C1000")=$C47)
        ),
        5,
        FALSE
    )="",
    "",
    VLOOKUP(
        $A47,
        _xlfn._xlws.FILTER(
            INDIRECT("'"&amp;H$1&amp;"'!A2:G1000"), (INDIRECT("'"&amp;H$1&amp;"'!B2:B1000")=$B47) * (INDIRECT("'"&amp;H$1&amp;"'!C2:C1000")=$C47)
        ),7,
        FALSE
    )
)</f>
        <v/>
      </c>
      <c r="I47" s="52">
        <f t="array" ref="I47">IF(
    VLOOKUP(
        $A47,
        _xlfn._xlws.FILTER(
            INDIRECT("'"&amp;I$1&amp;"'!A2:G1000"), (INDIRECT("'"&amp;I$1&amp;"'!B2:B1000")=$B47) * (INDIRECT("'"&amp;I$1&amp;"'!C2:C1000")=$C47)
        ),
        5,
        FALSE
    )="",
    "",
    VLOOKUP(
        $A47,
        _xlfn._xlws.FILTER(
            INDIRECT("'"&amp;I$1&amp;"'!A2:G1000"), (INDIRECT("'"&amp;I$1&amp;"'!B2:B1000")=$B47) * (INDIRECT("'"&amp;I$1&amp;"'!C2:C1000")=$C47)
        ),7,
        FALSE
    )
)</f>
        <v/>
      </c>
      <c r="J47" s="52">
        <f t="array" ref="J47">IF(
    VLOOKUP(
        $A47,
        _xlfn._xlws.FILTER(
            INDIRECT("'"&amp;J$1&amp;"'!A2:G1000"), (INDIRECT("'"&amp;J$1&amp;"'!B2:B1000")=$B47) * (INDIRECT("'"&amp;J$1&amp;"'!C2:C1000")=$C47)
        ),
        5,
        FALSE
    )="",
    "",
    VLOOKUP(
        $A47,
        _xlfn._xlws.FILTER(
            INDIRECT("'"&amp;J$1&amp;"'!A2:G1000"), (INDIRECT("'"&amp;J$1&amp;"'!B2:B1000")=$B47) * (INDIRECT("'"&amp;J$1&amp;"'!C2:C1000")=$C47)
        ),7,
        FALSE
    )
)</f>
        <v/>
      </c>
      <c r="K47" s="52">
        <f t="array" ref="K47">IF(
    VLOOKUP(
        $A47,
        _xlfn._xlws.FILTER(
            INDIRECT("'"&amp;K$1&amp;"'!A2:G1000"), (INDIRECT("'"&amp;K$1&amp;"'!B2:B1000")=$B47) * (INDIRECT("'"&amp;K$1&amp;"'!C2:C1000")=$C47)
        ),
        5,
        FALSE
    )="",
    "",
    VLOOKUP(
        $A47,
        _xlfn._xlws.FILTER(
            INDIRECT("'"&amp;K$1&amp;"'!A2:G1000"), (INDIRECT("'"&amp;K$1&amp;"'!B2:B1000")=$B47) * (INDIRECT("'"&amp;K$1&amp;"'!C2:C1000")=$C47)
        ),7,
        FALSE
    )
)</f>
        <v/>
      </c>
      <c r="L47" s="52">
        <f t="array" ref="L47">IF(
    VLOOKUP(
        $A47,
        _xlfn._xlws.FILTER(
            INDIRECT("'"&amp;L$1&amp;"'!A2:G1000"), (INDIRECT("'"&amp;L$1&amp;"'!B2:B1000")=$B47) * (INDIRECT("'"&amp;L$1&amp;"'!C2:C1000")=$C47)
        ),
        5,
        FALSE
    )="",
    "",
    VLOOKUP(
        $A47,
        _xlfn._xlws.FILTER(
            INDIRECT("'"&amp;L$1&amp;"'!A2:G1000"), (INDIRECT("'"&amp;L$1&amp;"'!B2:B1000")=$B47) * (INDIRECT("'"&amp;L$1&amp;"'!C2:C1000")=$C47)
        ),7,
        FALSE
    )
)</f>
        <v/>
      </c>
      <c r="M47" s="52">
        <f t="array" ref="M47">IF(
    VLOOKUP(
        $A47,
        _xlfn._xlws.FILTER(
            INDIRECT("'"&amp;M$1&amp;"'!A2:G1000"), (INDIRECT("'"&amp;M$1&amp;"'!B2:B1000")=$B47) * (INDIRECT("'"&amp;M$1&amp;"'!C2:C1000")=$C47)
        ),
        5,
        FALSE
    )="",
    "",
    VLOOKUP(
        $A47,
        _xlfn._xlws.FILTER(
            INDIRECT("'"&amp;M$1&amp;"'!A2:G1000"), (INDIRECT("'"&amp;M$1&amp;"'!B2:B1000")=$B47) * (INDIRECT("'"&amp;M$1&amp;"'!C2:C1000")=$C47)
        ),7,
        FALSE
    )
)</f>
        <v/>
      </c>
      <c r="N47" s="52">
        <f t="array" ref="N47">IF(
    VLOOKUP(
        $A47,
        _xlfn._xlws.FILTER(
            INDIRECT("'"&amp;N$1&amp;"'!A2:G1000"), (INDIRECT("'"&amp;N$1&amp;"'!B2:B1000")=$B47) * (INDIRECT("'"&amp;N$1&amp;"'!C2:C1000")=$C47)
        ),
        5,
        FALSE
    )="",
    "",
    VLOOKUP(
        $A47,
        _xlfn._xlws.FILTER(
            INDIRECT("'"&amp;N$1&amp;"'!A2:G1000"), (INDIRECT("'"&amp;N$1&amp;"'!B2:B1000")=$B47) * (INDIRECT("'"&amp;N$1&amp;"'!C2:C1000")=$C47)
        ),7,
        FALSE
    )
)</f>
        <v/>
      </c>
      <c r="O47" s="52">
        <f t="array" ref="O47">IF(
    VLOOKUP(
        $A47,
        _xlfn._xlws.FILTER(
            INDIRECT("'"&amp;O$1&amp;"'!A2:G1000"), (INDIRECT("'"&amp;O$1&amp;"'!B2:B1000")=$B47) * (INDIRECT("'"&amp;O$1&amp;"'!C2:C1000")=$C47)
        ),
        5,
        FALSE
    )="",
    "",
    VLOOKUP(
        $A47,
        _xlfn._xlws.FILTER(
            INDIRECT("'"&amp;O$1&amp;"'!A2:G1000"), (INDIRECT("'"&amp;O$1&amp;"'!B2:B1000")=$B47) * (INDIRECT("'"&amp;O$1&amp;"'!C2:C1000")=$C47)
        ),7,
        FALSE
    )
)</f>
        <v/>
      </c>
    </row>
    <row r="48">
      <c r="A48" s="58" t="inlineStr">
        <is>
          <t>Conisul</t>
        </is>
      </c>
      <c r="B48" s="92" t="inlineStr">
        <is>
          <t>Iguatemi</t>
        </is>
      </c>
      <c r="C48" s="95" t="n">
        <v>1</v>
      </c>
      <c r="D48" s="52">
        <f t="array" ref="D48">IF(
    VLOOKUP(
        $A48,
        _xlfn._xlws.FILTER(
            INDIRECT("'"&amp;D$1&amp;"'!A2:G1000"), (INDIRECT("'"&amp;D$1&amp;"'!B2:B1000")=$B48) * (INDIRECT("'"&amp;D$1&amp;"'!C2:C1000")=$C48)
        ),
        5,
        FALSE
    )="",
    "",
    VLOOKUP(
        $A48,
        _xlfn._xlws.FILTER(
            INDIRECT("'"&amp;D$1&amp;"'!A2:G1000"), (INDIRECT("'"&amp;D$1&amp;"'!B2:B1000")=$B48) * (INDIRECT("'"&amp;D$1&amp;"'!C2:C1000")=$C48)
        ),7,
        FALSE
    )
)</f>
        <v/>
      </c>
      <c r="E48" s="52">
        <f t="array" ref="E48">IF(
    VLOOKUP(
        $A48,
        _xlfn._xlws.FILTER(
            INDIRECT("'"&amp;E$1&amp;"'!A2:G1000"), (INDIRECT("'"&amp;E$1&amp;"'!B2:B1000")=$B48) * (INDIRECT("'"&amp;E$1&amp;"'!C2:C1000")=$C48)
        ),
        5,
        FALSE
    )="",
    "",
    VLOOKUP(
        $A48,
        _xlfn._xlws.FILTER(
            INDIRECT("'"&amp;E$1&amp;"'!A2:G1000"), (INDIRECT("'"&amp;E$1&amp;"'!B2:B1000")=$B48) * (INDIRECT("'"&amp;E$1&amp;"'!C2:C1000")=$C48)
        ),7,
        FALSE
    )
)</f>
        <v/>
      </c>
      <c r="F48" s="52">
        <f t="array" ref="F48">IF(
    VLOOKUP(
        $A48,
        _xlfn._xlws.FILTER(
            INDIRECT("'"&amp;F$1&amp;"'!A2:G1000"), (INDIRECT("'"&amp;F$1&amp;"'!B2:B1000")=$B48) * (INDIRECT("'"&amp;F$1&amp;"'!C2:C1000")=$C48)
        ),
        5,
        FALSE
    )="",
    "",
    VLOOKUP(
        $A48,
        _xlfn._xlws.FILTER(
            INDIRECT("'"&amp;F$1&amp;"'!A2:G1000"), (INDIRECT("'"&amp;F$1&amp;"'!B2:B1000")=$B48) * (INDIRECT("'"&amp;F$1&amp;"'!C2:C1000")=$C48)
        ),7,
        FALSE
    )
)</f>
        <v/>
      </c>
      <c r="G48" s="52">
        <f t="array" ref="G48">IF(
    VLOOKUP(
        $A48,
        _xlfn._xlws.FILTER(
            INDIRECT("'"&amp;G$1&amp;"'!A2:G1000"), (INDIRECT("'"&amp;G$1&amp;"'!B2:B1000")=$B48) * (INDIRECT("'"&amp;G$1&amp;"'!C2:C1000")=$C48)
        ),
        5,
        FALSE
    )="",
    "",
    VLOOKUP(
        $A48,
        _xlfn._xlws.FILTER(
            INDIRECT("'"&amp;G$1&amp;"'!A2:G1000"), (INDIRECT("'"&amp;G$1&amp;"'!B2:B1000")=$B48) * (INDIRECT("'"&amp;G$1&amp;"'!C2:C1000")=$C48)
        ),7,
        FALSE
    )
)</f>
        <v/>
      </c>
      <c r="H48" s="52">
        <f t="array" ref="H48">IF(
    VLOOKUP(
        $A48,
        _xlfn._xlws.FILTER(
            INDIRECT("'"&amp;H$1&amp;"'!A2:G1000"), (INDIRECT("'"&amp;H$1&amp;"'!B2:B1000")=$B48) * (INDIRECT("'"&amp;H$1&amp;"'!C2:C1000")=$C48)
        ),
        5,
        FALSE
    )="",
    "",
    VLOOKUP(
        $A48,
        _xlfn._xlws.FILTER(
            INDIRECT("'"&amp;H$1&amp;"'!A2:G1000"), (INDIRECT("'"&amp;H$1&amp;"'!B2:B1000")=$B48) * (INDIRECT("'"&amp;H$1&amp;"'!C2:C1000")=$C48)
        ),7,
        FALSE
    )
)</f>
        <v/>
      </c>
      <c r="I48" s="52">
        <f t="array" ref="I48">IF(
    VLOOKUP(
        $A48,
        _xlfn._xlws.FILTER(
            INDIRECT("'"&amp;I$1&amp;"'!A2:G1000"), (INDIRECT("'"&amp;I$1&amp;"'!B2:B1000")=$B48) * (INDIRECT("'"&amp;I$1&amp;"'!C2:C1000")=$C48)
        ),
        5,
        FALSE
    )="",
    "",
    VLOOKUP(
        $A48,
        _xlfn._xlws.FILTER(
            INDIRECT("'"&amp;I$1&amp;"'!A2:G1000"), (INDIRECT("'"&amp;I$1&amp;"'!B2:B1000")=$B48) * (INDIRECT("'"&amp;I$1&amp;"'!C2:C1000")=$C48)
        ),7,
        FALSE
    )
)</f>
        <v/>
      </c>
      <c r="J48" s="52">
        <f t="array" ref="J48">IF(
    VLOOKUP(
        $A48,
        _xlfn._xlws.FILTER(
            INDIRECT("'"&amp;J$1&amp;"'!A2:G1000"), (INDIRECT("'"&amp;J$1&amp;"'!B2:B1000")=$B48) * (INDIRECT("'"&amp;J$1&amp;"'!C2:C1000")=$C48)
        ),
        5,
        FALSE
    )="",
    "",
    VLOOKUP(
        $A48,
        _xlfn._xlws.FILTER(
            INDIRECT("'"&amp;J$1&amp;"'!A2:G1000"), (INDIRECT("'"&amp;J$1&amp;"'!B2:B1000")=$B48) * (INDIRECT("'"&amp;J$1&amp;"'!C2:C1000")=$C48)
        ),7,
        FALSE
    )
)</f>
        <v/>
      </c>
      <c r="K48" s="52">
        <f t="array" ref="K48">IF(
    VLOOKUP(
        $A48,
        _xlfn._xlws.FILTER(
            INDIRECT("'"&amp;K$1&amp;"'!A2:G1000"), (INDIRECT("'"&amp;K$1&amp;"'!B2:B1000")=$B48) * (INDIRECT("'"&amp;K$1&amp;"'!C2:C1000")=$C48)
        ),
        5,
        FALSE
    )="",
    "",
    VLOOKUP(
        $A48,
        _xlfn._xlws.FILTER(
            INDIRECT("'"&amp;K$1&amp;"'!A2:G1000"), (INDIRECT("'"&amp;K$1&amp;"'!B2:B1000")=$B48) * (INDIRECT("'"&amp;K$1&amp;"'!C2:C1000")=$C48)
        ),7,
        FALSE
    )
)</f>
        <v/>
      </c>
      <c r="L48" s="52">
        <f t="array" ref="L48">IF(
    VLOOKUP(
        $A48,
        _xlfn._xlws.FILTER(
            INDIRECT("'"&amp;L$1&amp;"'!A2:G1000"), (INDIRECT("'"&amp;L$1&amp;"'!B2:B1000")=$B48) * (INDIRECT("'"&amp;L$1&amp;"'!C2:C1000")=$C48)
        ),
        5,
        FALSE
    )="",
    "",
    VLOOKUP(
        $A48,
        _xlfn._xlws.FILTER(
            INDIRECT("'"&amp;L$1&amp;"'!A2:G1000"), (INDIRECT("'"&amp;L$1&amp;"'!B2:B1000")=$B48) * (INDIRECT("'"&amp;L$1&amp;"'!C2:C1000")=$C48)
        ),7,
        FALSE
    )
)</f>
        <v/>
      </c>
      <c r="M48" s="52">
        <f t="array" ref="M48">IF(
    VLOOKUP(
        $A48,
        _xlfn._xlws.FILTER(
            INDIRECT("'"&amp;M$1&amp;"'!A2:G1000"), (INDIRECT("'"&amp;M$1&amp;"'!B2:B1000")=$B48) * (INDIRECT("'"&amp;M$1&amp;"'!C2:C1000")=$C48)
        ),
        5,
        FALSE
    )="",
    "",
    VLOOKUP(
        $A48,
        _xlfn._xlws.FILTER(
            INDIRECT("'"&amp;M$1&amp;"'!A2:G1000"), (INDIRECT("'"&amp;M$1&amp;"'!B2:B1000")=$B48) * (INDIRECT("'"&amp;M$1&amp;"'!C2:C1000")=$C48)
        ),7,
        FALSE
    )
)</f>
        <v/>
      </c>
      <c r="N48" s="52">
        <f t="array" ref="N48">IF(
    VLOOKUP(
        $A48,
        _xlfn._xlws.FILTER(
            INDIRECT("'"&amp;N$1&amp;"'!A2:G1000"), (INDIRECT("'"&amp;N$1&amp;"'!B2:B1000")=$B48) * (INDIRECT("'"&amp;N$1&amp;"'!C2:C1000")=$C48)
        ),
        5,
        FALSE
    )="",
    "",
    VLOOKUP(
        $A48,
        _xlfn._xlws.FILTER(
            INDIRECT("'"&amp;N$1&amp;"'!A2:G1000"), (INDIRECT("'"&amp;N$1&amp;"'!B2:B1000")=$B48) * (INDIRECT("'"&amp;N$1&amp;"'!C2:C1000")=$C48)
        ),7,
        FALSE
    )
)</f>
        <v/>
      </c>
      <c r="O48" s="52">
        <f t="array" ref="O48">IF(
    VLOOKUP(
        $A48,
        _xlfn._xlws.FILTER(
            INDIRECT("'"&amp;O$1&amp;"'!A2:G1000"), (INDIRECT("'"&amp;O$1&amp;"'!B2:B1000")=$B48) * (INDIRECT("'"&amp;O$1&amp;"'!C2:C1000")=$C48)
        ),
        5,
        FALSE
    )="",
    "",
    VLOOKUP(
        $A48,
        _xlfn._xlws.FILTER(
            INDIRECT("'"&amp;O$1&amp;"'!A2:G1000"), (INDIRECT("'"&amp;O$1&amp;"'!B2:B1000")=$B48) * (INDIRECT("'"&amp;O$1&amp;"'!C2:C1000")=$C48)
        ),7,
        FALSE
    )
)</f>
        <v/>
      </c>
    </row>
    <row r="49" ht="15.75" customHeight="1">
      <c r="A49" s="58" t="inlineStr">
        <is>
          <t>Conisul</t>
        </is>
      </c>
      <c r="B49" s="92" t="inlineStr">
        <is>
          <t>Itaquiraí</t>
        </is>
      </c>
      <c r="C49" s="95" t="n">
        <v>1</v>
      </c>
      <c r="D49" s="52">
        <f t="array" ref="D49">IF(
    VLOOKUP(
        $A49,
        _xlfn._xlws.FILTER(
            INDIRECT("'"&amp;D$1&amp;"'!A2:G1000"), (INDIRECT("'"&amp;D$1&amp;"'!B2:B1000")=$B49) * (INDIRECT("'"&amp;D$1&amp;"'!C2:C1000")=$C49)
        ),
        5,
        FALSE
    )="",
    "",
    VLOOKUP(
        $A49,
        _xlfn._xlws.FILTER(
            INDIRECT("'"&amp;D$1&amp;"'!A2:G1000"), (INDIRECT("'"&amp;D$1&amp;"'!B2:B1000")=$B49) * (INDIRECT("'"&amp;D$1&amp;"'!C2:C1000")=$C49)
        ),7,
        FALSE
    )
)</f>
        <v/>
      </c>
      <c r="E49" s="52">
        <f t="array" ref="E49">IF(
    VLOOKUP(
        $A49,
        _xlfn._xlws.FILTER(
            INDIRECT("'"&amp;E$1&amp;"'!A2:G1000"), (INDIRECT("'"&amp;E$1&amp;"'!B2:B1000")=$B49) * (INDIRECT("'"&amp;E$1&amp;"'!C2:C1000")=$C49)
        ),
        5,
        FALSE
    )="",
    "",
    VLOOKUP(
        $A49,
        _xlfn._xlws.FILTER(
            INDIRECT("'"&amp;E$1&amp;"'!A2:G1000"), (INDIRECT("'"&amp;E$1&amp;"'!B2:B1000")=$B49) * (INDIRECT("'"&amp;E$1&amp;"'!C2:C1000")=$C49)
        ),7,
        FALSE
    )
)</f>
        <v/>
      </c>
      <c r="F49" s="52">
        <f t="array" ref="F49">IF(
    VLOOKUP(
        $A49,
        _xlfn._xlws.FILTER(
            INDIRECT("'"&amp;F$1&amp;"'!A2:G1000"), (INDIRECT("'"&amp;F$1&amp;"'!B2:B1000")=$B49) * (INDIRECT("'"&amp;F$1&amp;"'!C2:C1000")=$C49)
        ),
        5,
        FALSE
    )="",
    "",
    VLOOKUP(
        $A49,
        _xlfn._xlws.FILTER(
            INDIRECT("'"&amp;F$1&amp;"'!A2:G1000"), (INDIRECT("'"&amp;F$1&amp;"'!B2:B1000")=$B49) * (INDIRECT("'"&amp;F$1&amp;"'!C2:C1000")=$C49)
        ),7,
        FALSE
    )
)</f>
        <v/>
      </c>
      <c r="G49" s="52">
        <f t="array" ref="G49">IF(
    VLOOKUP(
        $A49,
        _xlfn._xlws.FILTER(
            INDIRECT("'"&amp;G$1&amp;"'!A2:G1000"), (INDIRECT("'"&amp;G$1&amp;"'!B2:B1000")=$B49) * (INDIRECT("'"&amp;G$1&amp;"'!C2:C1000")=$C49)
        ),
        5,
        FALSE
    )="",
    "",
    VLOOKUP(
        $A49,
        _xlfn._xlws.FILTER(
            INDIRECT("'"&amp;G$1&amp;"'!A2:G1000"), (INDIRECT("'"&amp;G$1&amp;"'!B2:B1000")=$B49) * (INDIRECT("'"&amp;G$1&amp;"'!C2:C1000")=$C49)
        ),7,
        FALSE
    )
)</f>
        <v/>
      </c>
      <c r="H49" s="52">
        <f t="array" ref="H49">IF(
    VLOOKUP(
        $A49,
        _xlfn._xlws.FILTER(
            INDIRECT("'"&amp;H$1&amp;"'!A2:G1000"), (INDIRECT("'"&amp;H$1&amp;"'!B2:B1000")=$B49) * (INDIRECT("'"&amp;H$1&amp;"'!C2:C1000")=$C49)
        ),
        5,
        FALSE
    )="",
    "",
    VLOOKUP(
        $A49,
        _xlfn._xlws.FILTER(
            INDIRECT("'"&amp;H$1&amp;"'!A2:G1000"), (INDIRECT("'"&amp;H$1&amp;"'!B2:B1000")=$B49) * (INDIRECT("'"&amp;H$1&amp;"'!C2:C1000")=$C49)
        ),7,
        FALSE
    )
)</f>
        <v/>
      </c>
      <c r="I49" s="52">
        <f t="array" ref="I49">IF(
    VLOOKUP(
        $A49,
        _xlfn._xlws.FILTER(
            INDIRECT("'"&amp;I$1&amp;"'!A2:G1000"), (INDIRECT("'"&amp;I$1&amp;"'!B2:B1000")=$B49) * (INDIRECT("'"&amp;I$1&amp;"'!C2:C1000")=$C49)
        ),
        5,
        FALSE
    )="",
    "",
    VLOOKUP(
        $A49,
        _xlfn._xlws.FILTER(
            INDIRECT("'"&amp;I$1&amp;"'!A2:G1000"), (INDIRECT("'"&amp;I$1&amp;"'!B2:B1000")=$B49) * (INDIRECT("'"&amp;I$1&amp;"'!C2:C1000")=$C49)
        ),7,
        FALSE
    )
)</f>
        <v/>
      </c>
      <c r="J49" s="52">
        <f t="array" ref="J49">IF(
    VLOOKUP(
        $A49,
        _xlfn._xlws.FILTER(
            INDIRECT("'"&amp;J$1&amp;"'!A2:G1000"), (INDIRECT("'"&amp;J$1&amp;"'!B2:B1000")=$B49) * (INDIRECT("'"&amp;J$1&amp;"'!C2:C1000")=$C49)
        ),
        5,
        FALSE
    )="",
    "",
    VLOOKUP(
        $A49,
        _xlfn._xlws.FILTER(
            INDIRECT("'"&amp;J$1&amp;"'!A2:G1000"), (INDIRECT("'"&amp;J$1&amp;"'!B2:B1000")=$B49) * (INDIRECT("'"&amp;J$1&amp;"'!C2:C1000")=$C49)
        ),7,
        FALSE
    )
)</f>
        <v/>
      </c>
      <c r="K49" s="52">
        <f t="array" ref="K49">IF(
    VLOOKUP(
        $A49,
        _xlfn._xlws.FILTER(
            INDIRECT("'"&amp;K$1&amp;"'!A2:G1000"), (INDIRECT("'"&amp;K$1&amp;"'!B2:B1000")=$B49) * (INDIRECT("'"&amp;K$1&amp;"'!C2:C1000")=$C49)
        ),
        5,
        FALSE
    )="",
    "",
    VLOOKUP(
        $A49,
        _xlfn._xlws.FILTER(
            INDIRECT("'"&amp;K$1&amp;"'!A2:G1000"), (INDIRECT("'"&amp;K$1&amp;"'!B2:B1000")=$B49) * (INDIRECT("'"&amp;K$1&amp;"'!C2:C1000")=$C49)
        ),7,
        FALSE
    )
)</f>
        <v/>
      </c>
      <c r="L49" s="52">
        <f t="array" ref="L49">IF(
    VLOOKUP(
        $A49,
        _xlfn._xlws.FILTER(
            INDIRECT("'"&amp;L$1&amp;"'!A2:G1000"), (INDIRECT("'"&amp;L$1&amp;"'!B2:B1000")=$B49) * (INDIRECT("'"&amp;L$1&amp;"'!C2:C1000")=$C49)
        ),
        5,
        FALSE
    )="",
    "",
    VLOOKUP(
        $A49,
        _xlfn._xlws.FILTER(
            INDIRECT("'"&amp;L$1&amp;"'!A2:G1000"), (INDIRECT("'"&amp;L$1&amp;"'!B2:B1000")=$B49) * (INDIRECT("'"&amp;L$1&amp;"'!C2:C1000")=$C49)
        ),7,
        FALSE
    )
)</f>
        <v/>
      </c>
      <c r="M49" s="52">
        <f t="array" ref="M49">IF(
    VLOOKUP(
        $A49,
        _xlfn._xlws.FILTER(
            INDIRECT("'"&amp;M$1&amp;"'!A2:G1000"), (INDIRECT("'"&amp;M$1&amp;"'!B2:B1000")=$B49) * (INDIRECT("'"&amp;M$1&amp;"'!C2:C1000")=$C49)
        ),
        5,
        FALSE
    )="",
    "",
    VLOOKUP(
        $A49,
        _xlfn._xlws.FILTER(
            INDIRECT("'"&amp;M$1&amp;"'!A2:G1000"), (INDIRECT("'"&amp;M$1&amp;"'!B2:B1000")=$B49) * (INDIRECT("'"&amp;M$1&amp;"'!C2:C1000")=$C49)
        ),7,
        FALSE
    )
)</f>
        <v/>
      </c>
      <c r="N49" s="52">
        <f t="array" ref="N49">IF(
    VLOOKUP(
        $A49,
        _xlfn._xlws.FILTER(
            INDIRECT("'"&amp;N$1&amp;"'!A2:G1000"), (INDIRECT("'"&amp;N$1&amp;"'!B2:B1000")=$B49) * (INDIRECT("'"&amp;N$1&amp;"'!C2:C1000")=$C49)
        ),
        5,
        FALSE
    )="",
    "",
    VLOOKUP(
        $A49,
        _xlfn._xlws.FILTER(
            INDIRECT("'"&amp;N$1&amp;"'!A2:G1000"), (INDIRECT("'"&amp;N$1&amp;"'!B2:B1000")=$B49) * (INDIRECT("'"&amp;N$1&amp;"'!C2:C1000")=$C49)
        ),7,
        FALSE
    )
)</f>
        <v/>
      </c>
      <c r="O49" s="52">
        <f t="array" ref="O49">IF(
    VLOOKUP(
        $A49,
        _xlfn._xlws.FILTER(
            INDIRECT("'"&amp;O$1&amp;"'!A2:G1000"), (INDIRECT("'"&amp;O$1&amp;"'!B2:B1000")=$B49) * (INDIRECT("'"&amp;O$1&amp;"'!C2:C1000")=$C49)
        ),
        5,
        FALSE
    )="",
    "",
    VLOOKUP(
        $A49,
        _xlfn._xlws.FILTER(
            INDIRECT("'"&amp;O$1&amp;"'!A2:G1000"), (INDIRECT("'"&amp;O$1&amp;"'!B2:B1000")=$B49) * (INDIRECT("'"&amp;O$1&amp;"'!C2:C1000")=$C49)
        ),7,
        FALSE
    )
)</f>
        <v/>
      </c>
    </row>
    <row r="50">
      <c r="A50" s="58" t="inlineStr">
        <is>
          <t>Conisul</t>
        </is>
      </c>
      <c r="B50" s="92" t="inlineStr">
        <is>
          <t>Japorã</t>
        </is>
      </c>
      <c r="C50" s="95" t="n">
        <v>1</v>
      </c>
      <c r="D50" s="52">
        <f t="array" ref="D50">IF(
    VLOOKUP(
        $A50,
        _xlfn._xlws.FILTER(
            INDIRECT("'"&amp;D$1&amp;"'!A2:G1000"), (INDIRECT("'"&amp;D$1&amp;"'!B2:B1000")=$B50) * (INDIRECT("'"&amp;D$1&amp;"'!C2:C1000")=$C50)
        ),
        5,
        FALSE
    )="",
    "",
    VLOOKUP(
        $A50,
        _xlfn._xlws.FILTER(
            INDIRECT("'"&amp;D$1&amp;"'!A2:G1000"), (INDIRECT("'"&amp;D$1&amp;"'!B2:B1000")=$B50) * (INDIRECT("'"&amp;D$1&amp;"'!C2:C1000")=$C50)
        ),7,
        FALSE
    )
)</f>
        <v/>
      </c>
      <c r="E50" s="52">
        <f t="array" ref="E50">IF(
    VLOOKUP(
        $A50,
        _xlfn._xlws.FILTER(
            INDIRECT("'"&amp;E$1&amp;"'!A2:G1000"), (INDIRECT("'"&amp;E$1&amp;"'!B2:B1000")=$B50) * (INDIRECT("'"&amp;E$1&amp;"'!C2:C1000")=$C50)
        ),
        5,
        FALSE
    )="",
    "",
    VLOOKUP(
        $A50,
        _xlfn._xlws.FILTER(
            INDIRECT("'"&amp;E$1&amp;"'!A2:G1000"), (INDIRECT("'"&amp;E$1&amp;"'!B2:B1000")=$B50) * (INDIRECT("'"&amp;E$1&amp;"'!C2:C1000")=$C50)
        ),7,
        FALSE
    )
)</f>
        <v/>
      </c>
      <c r="F50" s="52">
        <f t="array" ref="F50">IF(
    VLOOKUP(
        $A50,
        _xlfn._xlws.FILTER(
            INDIRECT("'"&amp;F$1&amp;"'!A2:G1000"), (INDIRECT("'"&amp;F$1&amp;"'!B2:B1000")=$B50) * (INDIRECT("'"&amp;F$1&amp;"'!C2:C1000")=$C50)
        ),
        5,
        FALSE
    )="",
    "",
    VLOOKUP(
        $A50,
        _xlfn._xlws.FILTER(
            INDIRECT("'"&amp;F$1&amp;"'!A2:G1000"), (INDIRECT("'"&amp;F$1&amp;"'!B2:B1000")=$B50) * (INDIRECT("'"&amp;F$1&amp;"'!C2:C1000")=$C50)
        ),7,
        FALSE
    )
)</f>
        <v/>
      </c>
      <c r="G50" s="52">
        <f t="array" ref="G50">IF(
    VLOOKUP(
        $A50,
        _xlfn._xlws.FILTER(
            INDIRECT("'"&amp;G$1&amp;"'!A2:G1000"), (INDIRECT("'"&amp;G$1&amp;"'!B2:B1000")=$B50) * (INDIRECT("'"&amp;G$1&amp;"'!C2:C1000")=$C50)
        ),
        5,
        FALSE
    )="",
    "",
    VLOOKUP(
        $A50,
        _xlfn._xlws.FILTER(
            INDIRECT("'"&amp;G$1&amp;"'!A2:G1000"), (INDIRECT("'"&amp;G$1&amp;"'!B2:B1000")=$B50) * (INDIRECT("'"&amp;G$1&amp;"'!C2:C1000")=$C50)
        ),7,
        FALSE
    )
)</f>
        <v/>
      </c>
      <c r="H50" s="52">
        <f t="array" ref="H50">IF(
    VLOOKUP(
        $A50,
        _xlfn._xlws.FILTER(
            INDIRECT("'"&amp;H$1&amp;"'!A2:G1000"), (INDIRECT("'"&amp;H$1&amp;"'!B2:B1000")=$B50) * (INDIRECT("'"&amp;H$1&amp;"'!C2:C1000")=$C50)
        ),
        5,
        FALSE
    )="",
    "",
    VLOOKUP(
        $A50,
        _xlfn._xlws.FILTER(
            INDIRECT("'"&amp;H$1&amp;"'!A2:G1000"), (INDIRECT("'"&amp;H$1&amp;"'!B2:B1000")=$B50) * (INDIRECT("'"&amp;H$1&amp;"'!C2:C1000")=$C50)
        ),7,
        FALSE
    )
)</f>
        <v/>
      </c>
      <c r="I50" s="52">
        <f t="array" ref="I50">IF(
    VLOOKUP(
        $A50,
        _xlfn._xlws.FILTER(
            INDIRECT("'"&amp;I$1&amp;"'!A2:G1000"), (INDIRECT("'"&amp;I$1&amp;"'!B2:B1000")=$B50) * (INDIRECT("'"&amp;I$1&amp;"'!C2:C1000")=$C50)
        ),
        5,
        FALSE
    )="",
    "",
    VLOOKUP(
        $A50,
        _xlfn._xlws.FILTER(
            INDIRECT("'"&amp;I$1&amp;"'!A2:G1000"), (INDIRECT("'"&amp;I$1&amp;"'!B2:B1000")=$B50) * (INDIRECT("'"&amp;I$1&amp;"'!C2:C1000")=$C50)
        ),7,
        FALSE
    )
)</f>
        <v/>
      </c>
      <c r="J50" s="52">
        <f t="array" ref="J50">IF(
    VLOOKUP(
        $A50,
        _xlfn._xlws.FILTER(
            INDIRECT("'"&amp;J$1&amp;"'!A2:G1000"), (INDIRECT("'"&amp;J$1&amp;"'!B2:B1000")=$B50) * (INDIRECT("'"&amp;J$1&amp;"'!C2:C1000")=$C50)
        ),
        5,
        FALSE
    )="",
    "",
    VLOOKUP(
        $A50,
        _xlfn._xlws.FILTER(
            INDIRECT("'"&amp;J$1&amp;"'!A2:G1000"), (INDIRECT("'"&amp;J$1&amp;"'!B2:B1000")=$B50) * (INDIRECT("'"&amp;J$1&amp;"'!C2:C1000")=$C50)
        ),7,
        FALSE
    )
)</f>
        <v/>
      </c>
      <c r="K50" s="52">
        <f t="array" ref="K50">IF(
    VLOOKUP(
        $A50,
        _xlfn._xlws.FILTER(
            INDIRECT("'"&amp;K$1&amp;"'!A2:G1000"), (INDIRECT("'"&amp;K$1&amp;"'!B2:B1000")=$B50) * (INDIRECT("'"&amp;K$1&amp;"'!C2:C1000")=$C50)
        ),
        5,
        FALSE
    )="",
    "",
    VLOOKUP(
        $A50,
        _xlfn._xlws.FILTER(
            INDIRECT("'"&amp;K$1&amp;"'!A2:G1000"), (INDIRECT("'"&amp;K$1&amp;"'!B2:B1000")=$B50) * (INDIRECT("'"&amp;K$1&amp;"'!C2:C1000")=$C50)
        ),7,
        FALSE
    )
)</f>
        <v/>
      </c>
      <c r="L50" s="52">
        <f t="array" ref="L50">IF(
    VLOOKUP(
        $A50,
        _xlfn._xlws.FILTER(
            INDIRECT("'"&amp;L$1&amp;"'!A2:G1000"), (INDIRECT("'"&amp;L$1&amp;"'!B2:B1000")=$B50) * (INDIRECT("'"&amp;L$1&amp;"'!C2:C1000")=$C50)
        ),
        5,
        FALSE
    )="",
    "",
    VLOOKUP(
        $A50,
        _xlfn._xlws.FILTER(
            INDIRECT("'"&amp;L$1&amp;"'!A2:G1000"), (INDIRECT("'"&amp;L$1&amp;"'!B2:B1000")=$B50) * (INDIRECT("'"&amp;L$1&amp;"'!C2:C1000")=$C50)
        ),7,
        FALSE
    )
)</f>
        <v/>
      </c>
      <c r="M50" s="52">
        <f t="array" ref="M50">IF(
    VLOOKUP(
        $A50,
        _xlfn._xlws.FILTER(
            INDIRECT("'"&amp;M$1&amp;"'!A2:G1000"), (INDIRECT("'"&amp;M$1&amp;"'!B2:B1000")=$B50) * (INDIRECT("'"&amp;M$1&amp;"'!C2:C1000")=$C50)
        ),
        5,
        FALSE
    )="",
    "",
    VLOOKUP(
        $A50,
        _xlfn._xlws.FILTER(
            INDIRECT("'"&amp;M$1&amp;"'!A2:G1000"), (INDIRECT("'"&amp;M$1&amp;"'!B2:B1000")=$B50) * (INDIRECT("'"&amp;M$1&amp;"'!C2:C1000")=$C50)
        ),7,
        FALSE
    )
)</f>
        <v/>
      </c>
      <c r="N50" s="52">
        <f t="array" ref="N50">IF(
    VLOOKUP(
        $A50,
        _xlfn._xlws.FILTER(
            INDIRECT("'"&amp;N$1&amp;"'!A2:G1000"), (INDIRECT("'"&amp;N$1&amp;"'!B2:B1000")=$B50) * (INDIRECT("'"&amp;N$1&amp;"'!C2:C1000")=$C50)
        ),
        5,
        FALSE
    )="",
    "",
    VLOOKUP(
        $A50,
        _xlfn._xlws.FILTER(
            INDIRECT("'"&amp;N$1&amp;"'!A2:G1000"), (INDIRECT("'"&amp;N$1&amp;"'!B2:B1000")=$B50) * (INDIRECT("'"&amp;N$1&amp;"'!C2:C1000")=$C50)
        ),7,
        FALSE
    )
)</f>
        <v/>
      </c>
      <c r="O50" s="52">
        <f t="array" ref="O50">IF(
    VLOOKUP(
        $A50,
        _xlfn._xlws.FILTER(
            INDIRECT("'"&amp;O$1&amp;"'!A2:G1000"), (INDIRECT("'"&amp;O$1&amp;"'!B2:B1000")=$B50) * (INDIRECT("'"&amp;O$1&amp;"'!C2:C1000")=$C50)
        ),
        5,
        FALSE
    )="",
    "",
    VLOOKUP(
        $A50,
        _xlfn._xlws.FILTER(
            INDIRECT("'"&amp;O$1&amp;"'!A2:G1000"), (INDIRECT("'"&amp;O$1&amp;"'!B2:B1000")=$B50) * (INDIRECT("'"&amp;O$1&amp;"'!C2:C1000")=$C50)
        ),7,
        FALSE
    )
)</f>
        <v/>
      </c>
    </row>
    <row r="51">
      <c r="A51" s="58" t="inlineStr">
        <is>
          <t>Conisul</t>
        </is>
      </c>
      <c r="B51" s="92" t="inlineStr">
        <is>
          <t>Juti</t>
        </is>
      </c>
      <c r="C51" s="95" t="n">
        <v>1</v>
      </c>
      <c r="D51" s="52">
        <f t="array" ref="D51">IF(
    VLOOKUP(
        $A51,
        _xlfn._xlws.FILTER(
            INDIRECT("'"&amp;D$1&amp;"'!A2:G1000"), (INDIRECT("'"&amp;D$1&amp;"'!B2:B1000")=$B51) * (INDIRECT("'"&amp;D$1&amp;"'!C2:C1000")=$C51)
        ),
        5,
        FALSE
    )="",
    "",
    VLOOKUP(
        $A51,
        _xlfn._xlws.FILTER(
            INDIRECT("'"&amp;D$1&amp;"'!A2:G1000"), (INDIRECT("'"&amp;D$1&amp;"'!B2:B1000")=$B51) * (INDIRECT("'"&amp;D$1&amp;"'!C2:C1000")=$C51)
        ),7,
        FALSE
    )
)</f>
        <v/>
      </c>
      <c r="E51" s="52">
        <f t="array" ref="E51">IF(
    VLOOKUP(
        $A51,
        _xlfn._xlws.FILTER(
            INDIRECT("'"&amp;E$1&amp;"'!A2:G1000"), (INDIRECT("'"&amp;E$1&amp;"'!B2:B1000")=$B51) * (INDIRECT("'"&amp;E$1&amp;"'!C2:C1000")=$C51)
        ),
        5,
        FALSE
    )="",
    "",
    VLOOKUP(
        $A51,
        _xlfn._xlws.FILTER(
            INDIRECT("'"&amp;E$1&amp;"'!A2:G1000"), (INDIRECT("'"&amp;E$1&amp;"'!B2:B1000")=$B51) * (INDIRECT("'"&amp;E$1&amp;"'!C2:C1000")=$C51)
        ),7,
        FALSE
    )
)</f>
        <v/>
      </c>
      <c r="F51" s="52">
        <f t="array" ref="F51">IF(
    VLOOKUP(
        $A51,
        _xlfn._xlws.FILTER(
            INDIRECT("'"&amp;F$1&amp;"'!A2:G1000"), (INDIRECT("'"&amp;F$1&amp;"'!B2:B1000")=$B51) * (INDIRECT("'"&amp;F$1&amp;"'!C2:C1000")=$C51)
        ),
        5,
        FALSE
    )="",
    "",
    VLOOKUP(
        $A51,
        _xlfn._xlws.FILTER(
            INDIRECT("'"&amp;F$1&amp;"'!A2:G1000"), (INDIRECT("'"&amp;F$1&amp;"'!B2:B1000")=$B51) * (INDIRECT("'"&amp;F$1&amp;"'!C2:C1000")=$C51)
        ),7,
        FALSE
    )
)</f>
        <v/>
      </c>
      <c r="G51" s="52">
        <f t="array" ref="G51">IF(
    VLOOKUP(
        $A51,
        _xlfn._xlws.FILTER(
            INDIRECT("'"&amp;G$1&amp;"'!A2:G1000"), (INDIRECT("'"&amp;G$1&amp;"'!B2:B1000")=$B51) * (INDIRECT("'"&amp;G$1&amp;"'!C2:C1000")=$C51)
        ),
        5,
        FALSE
    )="",
    "",
    VLOOKUP(
        $A51,
        _xlfn._xlws.FILTER(
            INDIRECT("'"&amp;G$1&amp;"'!A2:G1000"), (INDIRECT("'"&amp;G$1&amp;"'!B2:B1000")=$B51) * (INDIRECT("'"&amp;G$1&amp;"'!C2:C1000")=$C51)
        ),7,
        FALSE
    )
)</f>
        <v/>
      </c>
      <c r="H51" s="52">
        <f t="array" ref="H51">IF(
    VLOOKUP(
        $A51,
        _xlfn._xlws.FILTER(
            INDIRECT("'"&amp;H$1&amp;"'!A2:G1000"), (INDIRECT("'"&amp;H$1&amp;"'!B2:B1000")=$B51) * (INDIRECT("'"&amp;H$1&amp;"'!C2:C1000")=$C51)
        ),
        5,
        FALSE
    )="",
    "",
    VLOOKUP(
        $A51,
        _xlfn._xlws.FILTER(
            INDIRECT("'"&amp;H$1&amp;"'!A2:G1000"), (INDIRECT("'"&amp;H$1&amp;"'!B2:B1000")=$B51) * (INDIRECT("'"&amp;H$1&amp;"'!C2:C1000")=$C51)
        ),7,
        FALSE
    )
)</f>
        <v/>
      </c>
      <c r="I51" s="52">
        <f t="array" ref="I51">IF(
    VLOOKUP(
        $A51,
        _xlfn._xlws.FILTER(
            INDIRECT("'"&amp;I$1&amp;"'!A2:G1000"), (INDIRECT("'"&amp;I$1&amp;"'!B2:B1000")=$B51) * (INDIRECT("'"&amp;I$1&amp;"'!C2:C1000")=$C51)
        ),
        5,
        FALSE
    )="",
    "",
    VLOOKUP(
        $A51,
        _xlfn._xlws.FILTER(
            INDIRECT("'"&amp;I$1&amp;"'!A2:G1000"), (INDIRECT("'"&amp;I$1&amp;"'!B2:B1000")=$B51) * (INDIRECT("'"&amp;I$1&amp;"'!C2:C1000")=$C51)
        ),7,
        FALSE
    )
)</f>
        <v/>
      </c>
      <c r="J51" s="52">
        <f t="array" ref="J51">IF(
    VLOOKUP(
        $A51,
        _xlfn._xlws.FILTER(
            INDIRECT("'"&amp;J$1&amp;"'!A2:G1000"), (INDIRECT("'"&amp;J$1&amp;"'!B2:B1000")=$B51) * (INDIRECT("'"&amp;J$1&amp;"'!C2:C1000")=$C51)
        ),
        5,
        FALSE
    )="",
    "",
    VLOOKUP(
        $A51,
        _xlfn._xlws.FILTER(
            INDIRECT("'"&amp;J$1&amp;"'!A2:G1000"), (INDIRECT("'"&amp;J$1&amp;"'!B2:B1000")=$B51) * (INDIRECT("'"&amp;J$1&amp;"'!C2:C1000")=$C51)
        ),7,
        FALSE
    )
)</f>
        <v/>
      </c>
      <c r="K51" s="52">
        <f t="array" ref="K51">IF(
    VLOOKUP(
        $A51,
        _xlfn._xlws.FILTER(
            INDIRECT("'"&amp;K$1&amp;"'!A2:G1000"), (INDIRECT("'"&amp;K$1&amp;"'!B2:B1000")=$B51) * (INDIRECT("'"&amp;K$1&amp;"'!C2:C1000")=$C51)
        ),
        5,
        FALSE
    )="",
    "",
    VLOOKUP(
        $A51,
        _xlfn._xlws.FILTER(
            INDIRECT("'"&amp;K$1&amp;"'!A2:G1000"), (INDIRECT("'"&amp;K$1&amp;"'!B2:B1000")=$B51) * (INDIRECT("'"&amp;K$1&amp;"'!C2:C1000")=$C51)
        ),7,
        FALSE
    )
)</f>
        <v/>
      </c>
      <c r="L51" s="52">
        <f t="array" ref="L51">IF(
    VLOOKUP(
        $A51,
        _xlfn._xlws.FILTER(
            INDIRECT("'"&amp;L$1&amp;"'!A2:G1000"), (INDIRECT("'"&amp;L$1&amp;"'!B2:B1000")=$B51) * (INDIRECT("'"&amp;L$1&amp;"'!C2:C1000")=$C51)
        ),
        5,
        FALSE
    )="",
    "",
    VLOOKUP(
        $A51,
        _xlfn._xlws.FILTER(
            INDIRECT("'"&amp;L$1&amp;"'!A2:G1000"), (INDIRECT("'"&amp;L$1&amp;"'!B2:B1000")=$B51) * (INDIRECT("'"&amp;L$1&amp;"'!C2:C1000")=$C51)
        ),7,
        FALSE
    )
)</f>
        <v/>
      </c>
      <c r="M51" s="52">
        <f t="array" ref="M51">IF(
    VLOOKUP(
        $A51,
        _xlfn._xlws.FILTER(
            INDIRECT("'"&amp;M$1&amp;"'!A2:G1000"), (INDIRECT("'"&amp;M$1&amp;"'!B2:B1000")=$B51) * (INDIRECT("'"&amp;M$1&amp;"'!C2:C1000")=$C51)
        ),
        5,
        FALSE
    )="",
    "",
    VLOOKUP(
        $A51,
        _xlfn._xlws.FILTER(
            INDIRECT("'"&amp;M$1&amp;"'!A2:G1000"), (INDIRECT("'"&amp;M$1&amp;"'!B2:B1000")=$B51) * (INDIRECT("'"&amp;M$1&amp;"'!C2:C1000")=$C51)
        ),7,
        FALSE
    )
)</f>
        <v/>
      </c>
      <c r="N51" s="52">
        <f t="array" ref="N51">IF(
    VLOOKUP(
        $A51,
        _xlfn._xlws.FILTER(
            INDIRECT("'"&amp;N$1&amp;"'!A2:G1000"), (INDIRECT("'"&amp;N$1&amp;"'!B2:B1000")=$B51) * (INDIRECT("'"&amp;N$1&amp;"'!C2:C1000")=$C51)
        ),
        5,
        FALSE
    )="",
    "",
    VLOOKUP(
        $A51,
        _xlfn._xlws.FILTER(
            INDIRECT("'"&amp;N$1&amp;"'!A2:G1000"), (INDIRECT("'"&amp;N$1&amp;"'!B2:B1000")=$B51) * (INDIRECT("'"&amp;N$1&amp;"'!C2:C1000")=$C51)
        ),7,
        FALSE
    )
)</f>
        <v/>
      </c>
      <c r="O51" s="52">
        <f t="array" ref="O51">IF(
    VLOOKUP(
        $A51,
        _xlfn._xlws.FILTER(
            INDIRECT("'"&amp;O$1&amp;"'!A2:G1000"), (INDIRECT("'"&amp;O$1&amp;"'!B2:B1000")=$B51) * (INDIRECT("'"&amp;O$1&amp;"'!C2:C1000")=$C51)
        ),
        5,
        FALSE
    )="",
    "",
    VLOOKUP(
        $A51,
        _xlfn._xlws.FILTER(
            INDIRECT("'"&amp;O$1&amp;"'!A2:G1000"), (INDIRECT("'"&amp;O$1&amp;"'!B2:B1000")=$B51) * (INDIRECT("'"&amp;O$1&amp;"'!C2:C1000")=$C51)
        ),7,
        FALSE
    )
)</f>
        <v/>
      </c>
    </row>
    <row r="52">
      <c r="A52" s="58" t="inlineStr">
        <is>
          <t>Conisul</t>
        </is>
      </c>
      <c r="B52" s="92" t="inlineStr">
        <is>
          <t>Naviraí</t>
        </is>
      </c>
      <c r="C52" s="95" t="n">
        <v>1</v>
      </c>
      <c r="D52" s="52">
        <f t="array" ref="D52">IF(
    VLOOKUP(
        $A52,
        _xlfn._xlws.FILTER(
            INDIRECT("'"&amp;D$1&amp;"'!A2:G1000"), (INDIRECT("'"&amp;D$1&amp;"'!B2:B1000")=$B52) * (INDIRECT("'"&amp;D$1&amp;"'!C2:C1000")=$C52)
        ),
        5,
        FALSE
    )="",
    "",
    VLOOKUP(
        $A52,
        _xlfn._xlws.FILTER(
            INDIRECT("'"&amp;D$1&amp;"'!A2:G1000"), (INDIRECT("'"&amp;D$1&amp;"'!B2:B1000")=$B52) * (INDIRECT("'"&amp;D$1&amp;"'!C2:C1000")=$C52)
        ),7,
        FALSE
    )
)</f>
        <v/>
      </c>
      <c r="E52" s="52">
        <f t="array" ref="E52">IF(
    VLOOKUP(
        $A52,
        _xlfn._xlws.FILTER(
            INDIRECT("'"&amp;E$1&amp;"'!A2:G1000"), (INDIRECT("'"&amp;E$1&amp;"'!B2:B1000")=$B52) * (INDIRECT("'"&amp;E$1&amp;"'!C2:C1000")=$C52)
        ),
        5,
        FALSE
    )="",
    "",
    VLOOKUP(
        $A52,
        _xlfn._xlws.FILTER(
            INDIRECT("'"&amp;E$1&amp;"'!A2:G1000"), (INDIRECT("'"&amp;E$1&amp;"'!B2:B1000")=$B52) * (INDIRECT("'"&amp;E$1&amp;"'!C2:C1000")=$C52)
        ),7,
        FALSE
    )
)</f>
        <v/>
      </c>
      <c r="F52" s="52">
        <f t="array" ref="F52">IF(
    VLOOKUP(
        $A52,
        _xlfn._xlws.FILTER(
            INDIRECT("'"&amp;F$1&amp;"'!A2:G1000"), (INDIRECT("'"&amp;F$1&amp;"'!B2:B1000")=$B52) * (INDIRECT("'"&amp;F$1&amp;"'!C2:C1000")=$C52)
        ),
        5,
        FALSE
    )="",
    "",
    VLOOKUP(
        $A52,
        _xlfn._xlws.FILTER(
            INDIRECT("'"&amp;F$1&amp;"'!A2:G1000"), (INDIRECT("'"&amp;F$1&amp;"'!B2:B1000")=$B52) * (INDIRECT("'"&amp;F$1&amp;"'!C2:C1000")=$C52)
        ),7,
        FALSE
    )
)</f>
        <v/>
      </c>
      <c r="G52" s="52">
        <f t="array" ref="G52">IF(
    VLOOKUP(
        $A52,
        _xlfn._xlws.FILTER(
            INDIRECT("'"&amp;G$1&amp;"'!A2:G1000"), (INDIRECT("'"&amp;G$1&amp;"'!B2:B1000")=$B52) * (INDIRECT("'"&amp;G$1&amp;"'!C2:C1000")=$C52)
        ),
        5,
        FALSE
    )="",
    "",
    VLOOKUP(
        $A52,
        _xlfn._xlws.FILTER(
            INDIRECT("'"&amp;G$1&amp;"'!A2:G1000"), (INDIRECT("'"&amp;G$1&amp;"'!B2:B1000")=$B52) * (INDIRECT("'"&amp;G$1&amp;"'!C2:C1000")=$C52)
        ),7,
        FALSE
    )
)</f>
        <v/>
      </c>
      <c r="H52" s="52">
        <f t="array" ref="H52">IF(
    VLOOKUP(
        $A52,
        _xlfn._xlws.FILTER(
            INDIRECT("'"&amp;H$1&amp;"'!A2:G1000"), (INDIRECT("'"&amp;H$1&amp;"'!B2:B1000")=$B52) * (INDIRECT("'"&amp;H$1&amp;"'!C2:C1000")=$C52)
        ),
        5,
        FALSE
    )="",
    "",
    VLOOKUP(
        $A52,
        _xlfn._xlws.FILTER(
            INDIRECT("'"&amp;H$1&amp;"'!A2:G1000"), (INDIRECT("'"&amp;H$1&amp;"'!B2:B1000")=$B52) * (INDIRECT("'"&amp;H$1&amp;"'!C2:C1000")=$C52)
        ),7,
        FALSE
    )
)</f>
        <v/>
      </c>
      <c r="I52" s="52">
        <f t="array" ref="I52">IF(
    VLOOKUP(
        $A52,
        _xlfn._xlws.FILTER(
            INDIRECT("'"&amp;I$1&amp;"'!A2:G1000"), (INDIRECT("'"&amp;I$1&amp;"'!B2:B1000")=$B52) * (INDIRECT("'"&amp;I$1&amp;"'!C2:C1000")=$C52)
        ),
        5,
        FALSE
    )="",
    "",
    VLOOKUP(
        $A52,
        _xlfn._xlws.FILTER(
            INDIRECT("'"&amp;I$1&amp;"'!A2:G1000"), (INDIRECT("'"&amp;I$1&amp;"'!B2:B1000")=$B52) * (INDIRECT("'"&amp;I$1&amp;"'!C2:C1000")=$C52)
        ),7,
        FALSE
    )
)</f>
        <v/>
      </c>
      <c r="J52" s="52">
        <f t="array" ref="J52">IF(
    VLOOKUP(
        $A52,
        _xlfn._xlws.FILTER(
            INDIRECT("'"&amp;J$1&amp;"'!A2:G1000"), (INDIRECT("'"&amp;J$1&amp;"'!B2:B1000")=$B52) * (INDIRECT("'"&amp;J$1&amp;"'!C2:C1000")=$C52)
        ),
        5,
        FALSE
    )="",
    "",
    VLOOKUP(
        $A52,
        _xlfn._xlws.FILTER(
            INDIRECT("'"&amp;J$1&amp;"'!A2:G1000"), (INDIRECT("'"&amp;J$1&amp;"'!B2:B1000")=$B52) * (INDIRECT("'"&amp;J$1&amp;"'!C2:C1000")=$C52)
        ),7,
        FALSE
    )
)</f>
        <v/>
      </c>
      <c r="K52" s="52">
        <f t="array" ref="K52">IF(
    VLOOKUP(
        $A52,
        _xlfn._xlws.FILTER(
            INDIRECT("'"&amp;K$1&amp;"'!A2:G1000"), (INDIRECT("'"&amp;K$1&amp;"'!B2:B1000")=$B52) * (INDIRECT("'"&amp;K$1&amp;"'!C2:C1000")=$C52)
        ),
        5,
        FALSE
    )="",
    "",
    VLOOKUP(
        $A52,
        _xlfn._xlws.FILTER(
            INDIRECT("'"&amp;K$1&amp;"'!A2:G1000"), (INDIRECT("'"&amp;K$1&amp;"'!B2:B1000")=$B52) * (INDIRECT("'"&amp;K$1&amp;"'!C2:C1000")=$C52)
        ),7,
        FALSE
    )
)</f>
        <v/>
      </c>
      <c r="L52" s="52">
        <f t="array" ref="L52">IF(
    VLOOKUP(
        $A52,
        _xlfn._xlws.FILTER(
            INDIRECT("'"&amp;L$1&amp;"'!A2:G1000"), (INDIRECT("'"&amp;L$1&amp;"'!B2:B1000")=$B52) * (INDIRECT("'"&amp;L$1&amp;"'!C2:C1000")=$C52)
        ),
        5,
        FALSE
    )="",
    "",
    VLOOKUP(
        $A52,
        _xlfn._xlws.FILTER(
            INDIRECT("'"&amp;L$1&amp;"'!A2:G1000"), (INDIRECT("'"&amp;L$1&amp;"'!B2:B1000")=$B52) * (INDIRECT("'"&amp;L$1&amp;"'!C2:C1000")=$C52)
        ),7,
        FALSE
    )
)</f>
        <v/>
      </c>
      <c r="M52" s="52">
        <f t="array" ref="M52">IF(
    VLOOKUP(
        $A52,
        _xlfn._xlws.FILTER(
            INDIRECT("'"&amp;M$1&amp;"'!A2:G1000"), (INDIRECT("'"&amp;M$1&amp;"'!B2:B1000")=$B52) * (INDIRECT("'"&amp;M$1&amp;"'!C2:C1000")=$C52)
        ),
        5,
        FALSE
    )="",
    "",
    VLOOKUP(
        $A52,
        _xlfn._xlws.FILTER(
            INDIRECT("'"&amp;M$1&amp;"'!A2:G1000"), (INDIRECT("'"&amp;M$1&amp;"'!B2:B1000")=$B52) * (INDIRECT("'"&amp;M$1&amp;"'!C2:C1000")=$C52)
        ),7,
        FALSE
    )
)</f>
        <v/>
      </c>
      <c r="N52" s="52">
        <f t="array" ref="N52">IF(
    VLOOKUP(
        $A52,
        _xlfn._xlws.FILTER(
            INDIRECT("'"&amp;N$1&amp;"'!A2:G1000"), (INDIRECT("'"&amp;N$1&amp;"'!B2:B1000")=$B52) * (INDIRECT("'"&amp;N$1&amp;"'!C2:C1000")=$C52)
        ),
        5,
        FALSE
    )="",
    "",
    VLOOKUP(
        $A52,
        _xlfn._xlws.FILTER(
            INDIRECT("'"&amp;N$1&amp;"'!A2:G1000"), (INDIRECT("'"&amp;N$1&amp;"'!B2:B1000")=$B52) * (INDIRECT("'"&amp;N$1&amp;"'!C2:C1000")=$C52)
        ),7,
        FALSE
    )
)</f>
        <v/>
      </c>
      <c r="O52" s="52">
        <f t="array" ref="O52">IF(
    VLOOKUP(
        $A52,
        _xlfn._xlws.FILTER(
            INDIRECT("'"&amp;O$1&amp;"'!A2:G1000"), (INDIRECT("'"&amp;O$1&amp;"'!B2:B1000")=$B52) * (INDIRECT("'"&amp;O$1&amp;"'!C2:C1000")=$C52)
        ),
        5,
        FALSE
    )="",
    "",
    VLOOKUP(
        $A52,
        _xlfn._xlws.FILTER(
            INDIRECT("'"&amp;O$1&amp;"'!A2:G1000"), (INDIRECT("'"&amp;O$1&amp;"'!B2:B1000")=$B52) * (INDIRECT("'"&amp;O$1&amp;"'!C2:C1000")=$C52)
        ),7,
        FALSE
    )
)</f>
        <v/>
      </c>
    </row>
    <row r="53">
      <c r="A53" s="58" t="inlineStr">
        <is>
          <t>Conisul</t>
        </is>
      </c>
      <c r="B53" s="92" t="inlineStr">
        <is>
          <t>Paranhos</t>
        </is>
      </c>
      <c r="C53" s="95" t="n">
        <v>1</v>
      </c>
      <c r="D53" s="52">
        <f t="array" ref="D53">IF(
    VLOOKUP(
        $A53,
        _xlfn._xlws.FILTER(
            INDIRECT("'"&amp;D$1&amp;"'!A2:G1000"), (INDIRECT("'"&amp;D$1&amp;"'!B2:B1000")=$B53) * (INDIRECT("'"&amp;D$1&amp;"'!C2:C1000")=$C53)
        ),
        5,
        FALSE
    )="",
    "",
    VLOOKUP(
        $A53,
        _xlfn._xlws.FILTER(
            INDIRECT("'"&amp;D$1&amp;"'!A2:G1000"), (INDIRECT("'"&amp;D$1&amp;"'!B2:B1000")=$B53) * (INDIRECT("'"&amp;D$1&amp;"'!C2:C1000")=$C53)
        ),7,
        FALSE
    )
)</f>
        <v/>
      </c>
      <c r="E53" s="52">
        <f t="array" ref="E53">IF(
    VLOOKUP(
        $A53,
        _xlfn._xlws.FILTER(
            INDIRECT("'"&amp;E$1&amp;"'!A2:G1000"), (INDIRECT("'"&amp;E$1&amp;"'!B2:B1000")=$B53) * (INDIRECT("'"&amp;E$1&amp;"'!C2:C1000")=$C53)
        ),
        5,
        FALSE
    )="",
    "",
    VLOOKUP(
        $A53,
        _xlfn._xlws.FILTER(
            INDIRECT("'"&amp;E$1&amp;"'!A2:G1000"), (INDIRECT("'"&amp;E$1&amp;"'!B2:B1000")=$B53) * (INDIRECT("'"&amp;E$1&amp;"'!C2:C1000")=$C53)
        ),7,
        FALSE
    )
)</f>
        <v/>
      </c>
      <c r="F53" s="52">
        <f t="array" ref="F53">IF(
    VLOOKUP(
        $A53,
        _xlfn._xlws.FILTER(
            INDIRECT("'"&amp;F$1&amp;"'!A2:G1000"), (INDIRECT("'"&amp;F$1&amp;"'!B2:B1000")=$B53) * (INDIRECT("'"&amp;F$1&amp;"'!C2:C1000")=$C53)
        ),
        5,
        FALSE
    )="",
    "",
    VLOOKUP(
        $A53,
        _xlfn._xlws.FILTER(
            INDIRECT("'"&amp;F$1&amp;"'!A2:G1000"), (INDIRECT("'"&amp;F$1&amp;"'!B2:B1000")=$B53) * (INDIRECT("'"&amp;F$1&amp;"'!C2:C1000")=$C53)
        ),7,
        FALSE
    )
)</f>
        <v/>
      </c>
      <c r="G53" s="52">
        <f t="array" ref="G53">IF(
    VLOOKUP(
        $A53,
        _xlfn._xlws.FILTER(
            INDIRECT("'"&amp;G$1&amp;"'!A2:G1000"), (INDIRECT("'"&amp;G$1&amp;"'!B2:B1000")=$B53) * (INDIRECT("'"&amp;G$1&amp;"'!C2:C1000")=$C53)
        ),
        5,
        FALSE
    )="",
    "",
    VLOOKUP(
        $A53,
        _xlfn._xlws.FILTER(
            INDIRECT("'"&amp;G$1&amp;"'!A2:G1000"), (INDIRECT("'"&amp;G$1&amp;"'!B2:B1000")=$B53) * (INDIRECT("'"&amp;G$1&amp;"'!C2:C1000")=$C53)
        ),7,
        FALSE
    )
)</f>
        <v/>
      </c>
      <c r="H53" s="52">
        <f t="array" ref="H53">IF(
    VLOOKUP(
        $A53,
        _xlfn._xlws.FILTER(
            INDIRECT("'"&amp;H$1&amp;"'!A2:G1000"), (INDIRECT("'"&amp;H$1&amp;"'!B2:B1000")=$B53) * (INDIRECT("'"&amp;H$1&amp;"'!C2:C1000")=$C53)
        ),
        5,
        FALSE
    )="",
    "",
    VLOOKUP(
        $A53,
        _xlfn._xlws.FILTER(
            INDIRECT("'"&amp;H$1&amp;"'!A2:G1000"), (INDIRECT("'"&amp;H$1&amp;"'!B2:B1000")=$B53) * (INDIRECT("'"&amp;H$1&amp;"'!C2:C1000")=$C53)
        ),7,
        FALSE
    )
)</f>
        <v/>
      </c>
      <c r="I53" s="52">
        <f t="array" ref="I53">IF(
    VLOOKUP(
        $A53,
        _xlfn._xlws.FILTER(
            INDIRECT("'"&amp;I$1&amp;"'!A2:G1000"), (INDIRECT("'"&amp;I$1&amp;"'!B2:B1000")=$B53) * (INDIRECT("'"&amp;I$1&amp;"'!C2:C1000")=$C53)
        ),
        5,
        FALSE
    )="",
    "",
    VLOOKUP(
        $A53,
        _xlfn._xlws.FILTER(
            INDIRECT("'"&amp;I$1&amp;"'!A2:G1000"), (INDIRECT("'"&amp;I$1&amp;"'!B2:B1000")=$B53) * (INDIRECT("'"&amp;I$1&amp;"'!C2:C1000")=$C53)
        ),7,
        FALSE
    )
)</f>
        <v/>
      </c>
      <c r="J53" s="52">
        <f t="array" ref="J53">IF(
    VLOOKUP(
        $A53,
        _xlfn._xlws.FILTER(
            INDIRECT("'"&amp;J$1&amp;"'!A2:G1000"), (INDIRECT("'"&amp;J$1&amp;"'!B2:B1000")=$B53) * (INDIRECT("'"&amp;J$1&amp;"'!C2:C1000")=$C53)
        ),
        5,
        FALSE
    )="",
    "",
    VLOOKUP(
        $A53,
        _xlfn._xlws.FILTER(
            INDIRECT("'"&amp;J$1&amp;"'!A2:G1000"), (INDIRECT("'"&amp;J$1&amp;"'!B2:B1000")=$B53) * (INDIRECT("'"&amp;J$1&amp;"'!C2:C1000")=$C53)
        ),7,
        FALSE
    )
)</f>
        <v/>
      </c>
      <c r="K53" s="52">
        <f t="array" ref="K53">IF(
    VLOOKUP(
        $A53,
        _xlfn._xlws.FILTER(
            INDIRECT("'"&amp;K$1&amp;"'!A2:G1000"), (INDIRECT("'"&amp;K$1&amp;"'!B2:B1000")=$B53) * (INDIRECT("'"&amp;K$1&amp;"'!C2:C1000")=$C53)
        ),
        5,
        FALSE
    )="",
    "",
    VLOOKUP(
        $A53,
        _xlfn._xlws.FILTER(
            INDIRECT("'"&amp;K$1&amp;"'!A2:G1000"), (INDIRECT("'"&amp;K$1&amp;"'!B2:B1000")=$B53) * (INDIRECT("'"&amp;K$1&amp;"'!C2:C1000")=$C53)
        ),7,
        FALSE
    )
)</f>
        <v/>
      </c>
      <c r="L53" s="52">
        <f t="array" ref="L53">IF(
    VLOOKUP(
        $A53,
        _xlfn._xlws.FILTER(
            INDIRECT("'"&amp;L$1&amp;"'!A2:G1000"), (INDIRECT("'"&amp;L$1&amp;"'!B2:B1000")=$B53) * (INDIRECT("'"&amp;L$1&amp;"'!C2:C1000")=$C53)
        ),
        5,
        FALSE
    )="",
    "",
    VLOOKUP(
        $A53,
        _xlfn._xlws.FILTER(
            INDIRECT("'"&amp;L$1&amp;"'!A2:G1000"), (INDIRECT("'"&amp;L$1&amp;"'!B2:B1000")=$B53) * (INDIRECT("'"&amp;L$1&amp;"'!C2:C1000")=$C53)
        ),7,
        FALSE
    )
)</f>
        <v/>
      </c>
      <c r="M53" s="52">
        <f t="array" ref="M53">IF(
    VLOOKUP(
        $A53,
        _xlfn._xlws.FILTER(
            INDIRECT("'"&amp;M$1&amp;"'!A2:G1000"), (INDIRECT("'"&amp;M$1&amp;"'!B2:B1000")=$B53) * (INDIRECT("'"&amp;M$1&amp;"'!C2:C1000")=$C53)
        ),
        5,
        FALSE
    )="",
    "",
    VLOOKUP(
        $A53,
        _xlfn._xlws.FILTER(
            INDIRECT("'"&amp;M$1&amp;"'!A2:G1000"), (INDIRECT("'"&amp;M$1&amp;"'!B2:B1000")=$B53) * (INDIRECT("'"&amp;M$1&amp;"'!C2:C1000")=$C53)
        ),7,
        FALSE
    )
)</f>
        <v/>
      </c>
      <c r="N53" s="52">
        <f t="array" ref="N53">IF(
    VLOOKUP(
        $A53,
        _xlfn._xlws.FILTER(
            INDIRECT("'"&amp;N$1&amp;"'!A2:G1000"), (INDIRECT("'"&amp;N$1&amp;"'!B2:B1000")=$B53) * (INDIRECT("'"&amp;N$1&amp;"'!C2:C1000")=$C53)
        ),
        5,
        FALSE
    )="",
    "",
    VLOOKUP(
        $A53,
        _xlfn._xlws.FILTER(
            INDIRECT("'"&amp;N$1&amp;"'!A2:G1000"), (INDIRECT("'"&amp;N$1&amp;"'!B2:B1000")=$B53) * (INDIRECT("'"&amp;N$1&amp;"'!C2:C1000")=$C53)
        ),7,
        FALSE
    )
)</f>
        <v/>
      </c>
      <c r="O53" s="52">
        <f t="array" ref="O53">IF(
    VLOOKUP(
        $A53,
        _xlfn._xlws.FILTER(
            INDIRECT("'"&amp;O$1&amp;"'!A2:G1000"), (INDIRECT("'"&amp;O$1&amp;"'!B2:B1000")=$B53) * (INDIRECT("'"&amp;O$1&amp;"'!C2:C1000")=$C53)
        ),
        5,
        FALSE
    )="",
    "",
    VLOOKUP(
        $A53,
        _xlfn._xlws.FILTER(
            INDIRECT("'"&amp;O$1&amp;"'!A2:G1000"), (INDIRECT("'"&amp;O$1&amp;"'!B2:B1000")=$B53) * (INDIRECT("'"&amp;O$1&amp;"'!C2:C1000")=$C53)
        ),7,
        FALSE
    )
)</f>
        <v/>
      </c>
    </row>
    <row r="54">
      <c r="A54" s="58" t="inlineStr">
        <is>
          <t>Conisul</t>
        </is>
      </c>
      <c r="B54" s="92" t="inlineStr">
        <is>
          <t>Sete Quedas</t>
        </is>
      </c>
      <c r="C54" s="95" t="n">
        <v>1</v>
      </c>
      <c r="D54" s="52">
        <f t="array" ref="D54">IF(
    VLOOKUP(
        $A54,
        _xlfn._xlws.FILTER(
            INDIRECT("'"&amp;D$1&amp;"'!A2:G1000"), (INDIRECT("'"&amp;D$1&amp;"'!B2:B1000")=$B54) * (INDIRECT("'"&amp;D$1&amp;"'!C2:C1000")=$C54)
        ),
        5,
        FALSE
    )="",
    "",
    VLOOKUP(
        $A54,
        _xlfn._xlws.FILTER(
            INDIRECT("'"&amp;D$1&amp;"'!A2:G1000"), (INDIRECT("'"&amp;D$1&amp;"'!B2:B1000")=$B54) * (INDIRECT("'"&amp;D$1&amp;"'!C2:C1000")=$C54)
        ),7,
        FALSE
    )
)</f>
        <v/>
      </c>
      <c r="E54" s="52">
        <f t="array" ref="E54">IF(
    VLOOKUP(
        $A54,
        _xlfn._xlws.FILTER(
            INDIRECT("'"&amp;E$1&amp;"'!A2:G1000"), (INDIRECT("'"&amp;E$1&amp;"'!B2:B1000")=$B54) * (INDIRECT("'"&amp;E$1&amp;"'!C2:C1000")=$C54)
        ),
        5,
        FALSE
    )="",
    "",
    VLOOKUP(
        $A54,
        _xlfn._xlws.FILTER(
            INDIRECT("'"&amp;E$1&amp;"'!A2:G1000"), (INDIRECT("'"&amp;E$1&amp;"'!B2:B1000")=$B54) * (INDIRECT("'"&amp;E$1&amp;"'!C2:C1000")=$C54)
        ),7,
        FALSE
    )
)</f>
        <v/>
      </c>
      <c r="F54" s="52">
        <f t="array" ref="F54">IF(
    VLOOKUP(
        $A54,
        _xlfn._xlws.FILTER(
            INDIRECT("'"&amp;F$1&amp;"'!A2:G1000"), (INDIRECT("'"&amp;F$1&amp;"'!B2:B1000")=$B54) * (INDIRECT("'"&amp;F$1&amp;"'!C2:C1000")=$C54)
        ),
        5,
        FALSE
    )="",
    "",
    VLOOKUP(
        $A54,
        _xlfn._xlws.FILTER(
            INDIRECT("'"&amp;F$1&amp;"'!A2:G1000"), (INDIRECT("'"&amp;F$1&amp;"'!B2:B1000")=$B54) * (INDIRECT("'"&amp;F$1&amp;"'!C2:C1000")=$C54)
        ),7,
        FALSE
    )
)</f>
        <v/>
      </c>
      <c r="G54" s="52">
        <f t="array" ref="G54">IF(
    VLOOKUP(
        $A54,
        _xlfn._xlws.FILTER(
            INDIRECT("'"&amp;G$1&amp;"'!A2:G1000"), (INDIRECT("'"&amp;G$1&amp;"'!B2:B1000")=$B54) * (INDIRECT("'"&amp;G$1&amp;"'!C2:C1000")=$C54)
        ),
        5,
        FALSE
    )="",
    "",
    VLOOKUP(
        $A54,
        _xlfn._xlws.FILTER(
            INDIRECT("'"&amp;G$1&amp;"'!A2:G1000"), (INDIRECT("'"&amp;G$1&amp;"'!B2:B1000")=$B54) * (INDIRECT("'"&amp;G$1&amp;"'!C2:C1000")=$C54)
        ),7,
        FALSE
    )
)</f>
        <v/>
      </c>
      <c r="H54" s="52">
        <f t="array" ref="H54">IF(
    VLOOKUP(
        $A54,
        _xlfn._xlws.FILTER(
            INDIRECT("'"&amp;H$1&amp;"'!A2:G1000"), (INDIRECT("'"&amp;H$1&amp;"'!B2:B1000")=$B54) * (INDIRECT("'"&amp;H$1&amp;"'!C2:C1000")=$C54)
        ),
        5,
        FALSE
    )="",
    "",
    VLOOKUP(
        $A54,
        _xlfn._xlws.FILTER(
            INDIRECT("'"&amp;H$1&amp;"'!A2:G1000"), (INDIRECT("'"&amp;H$1&amp;"'!B2:B1000")=$B54) * (INDIRECT("'"&amp;H$1&amp;"'!C2:C1000")=$C54)
        ),7,
        FALSE
    )
)</f>
        <v/>
      </c>
      <c r="I54" s="52">
        <f t="array" ref="I54">IF(
    VLOOKUP(
        $A54,
        _xlfn._xlws.FILTER(
            INDIRECT("'"&amp;I$1&amp;"'!A2:G1000"), (INDIRECT("'"&amp;I$1&amp;"'!B2:B1000")=$B54) * (INDIRECT("'"&amp;I$1&amp;"'!C2:C1000")=$C54)
        ),
        5,
        FALSE
    )="",
    "",
    VLOOKUP(
        $A54,
        _xlfn._xlws.FILTER(
            INDIRECT("'"&amp;I$1&amp;"'!A2:G1000"), (INDIRECT("'"&amp;I$1&amp;"'!B2:B1000")=$B54) * (INDIRECT("'"&amp;I$1&amp;"'!C2:C1000")=$C54)
        ),7,
        FALSE
    )
)</f>
        <v/>
      </c>
      <c r="J54" s="52">
        <f t="array" ref="J54">IF(
    VLOOKUP(
        $A54,
        _xlfn._xlws.FILTER(
            INDIRECT("'"&amp;J$1&amp;"'!A2:G1000"), (INDIRECT("'"&amp;J$1&amp;"'!B2:B1000")=$B54) * (INDIRECT("'"&amp;J$1&amp;"'!C2:C1000")=$C54)
        ),
        5,
        FALSE
    )="",
    "",
    VLOOKUP(
        $A54,
        _xlfn._xlws.FILTER(
            INDIRECT("'"&amp;J$1&amp;"'!A2:G1000"), (INDIRECT("'"&amp;J$1&amp;"'!B2:B1000")=$B54) * (INDIRECT("'"&amp;J$1&amp;"'!C2:C1000")=$C54)
        ),7,
        FALSE
    )
)</f>
        <v/>
      </c>
      <c r="K54" s="52">
        <f t="array" ref="K54">IF(
    VLOOKUP(
        $A54,
        _xlfn._xlws.FILTER(
            INDIRECT("'"&amp;K$1&amp;"'!A2:G1000"), (INDIRECT("'"&amp;K$1&amp;"'!B2:B1000")=$B54) * (INDIRECT("'"&amp;K$1&amp;"'!C2:C1000")=$C54)
        ),
        5,
        FALSE
    )="",
    "",
    VLOOKUP(
        $A54,
        _xlfn._xlws.FILTER(
            INDIRECT("'"&amp;K$1&amp;"'!A2:G1000"), (INDIRECT("'"&amp;K$1&amp;"'!B2:B1000")=$B54) * (INDIRECT("'"&amp;K$1&amp;"'!C2:C1000")=$C54)
        ),7,
        FALSE
    )
)</f>
        <v/>
      </c>
      <c r="L54" s="52">
        <f t="array" ref="L54">IF(
    VLOOKUP(
        $A54,
        _xlfn._xlws.FILTER(
            INDIRECT("'"&amp;L$1&amp;"'!A2:G1000"), (INDIRECT("'"&amp;L$1&amp;"'!B2:B1000")=$B54) * (INDIRECT("'"&amp;L$1&amp;"'!C2:C1000")=$C54)
        ),
        5,
        FALSE
    )="",
    "",
    VLOOKUP(
        $A54,
        _xlfn._xlws.FILTER(
            INDIRECT("'"&amp;L$1&amp;"'!A2:G1000"), (INDIRECT("'"&amp;L$1&amp;"'!B2:B1000")=$B54) * (INDIRECT("'"&amp;L$1&amp;"'!C2:C1000")=$C54)
        ),7,
        FALSE
    )
)</f>
        <v/>
      </c>
      <c r="M54" s="52">
        <f t="array" ref="M54">IF(
    VLOOKUP(
        $A54,
        _xlfn._xlws.FILTER(
            INDIRECT("'"&amp;M$1&amp;"'!A2:G1000"), (INDIRECT("'"&amp;M$1&amp;"'!B2:B1000")=$B54) * (INDIRECT("'"&amp;M$1&amp;"'!C2:C1000")=$C54)
        ),
        5,
        FALSE
    )="",
    "",
    VLOOKUP(
        $A54,
        _xlfn._xlws.FILTER(
            INDIRECT("'"&amp;M$1&amp;"'!A2:G1000"), (INDIRECT("'"&amp;M$1&amp;"'!B2:B1000")=$B54) * (INDIRECT("'"&amp;M$1&amp;"'!C2:C1000")=$C54)
        ),7,
        FALSE
    )
)</f>
        <v/>
      </c>
      <c r="N54" s="52">
        <f t="array" ref="N54">IF(
    VLOOKUP(
        $A54,
        _xlfn._xlws.FILTER(
            INDIRECT("'"&amp;N$1&amp;"'!A2:G1000"), (INDIRECT("'"&amp;N$1&amp;"'!B2:B1000")=$B54) * (INDIRECT("'"&amp;N$1&amp;"'!C2:C1000")=$C54)
        ),
        5,
        FALSE
    )="",
    "",
    VLOOKUP(
        $A54,
        _xlfn._xlws.FILTER(
            INDIRECT("'"&amp;N$1&amp;"'!A2:G1000"), (INDIRECT("'"&amp;N$1&amp;"'!B2:B1000")=$B54) * (INDIRECT("'"&amp;N$1&amp;"'!C2:C1000")=$C54)
        ),7,
        FALSE
    )
)</f>
        <v/>
      </c>
      <c r="O54" s="52">
        <f t="array" ref="O54">IF(
    VLOOKUP(
        $A54,
        _xlfn._xlws.FILTER(
            INDIRECT("'"&amp;O$1&amp;"'!A2:G1000"), (INDIRECT("'"&amp;O$1&amp;"'!B2:B1000")=$B54) * (INDIRECT("'"&amp;O$1&amp;"'!C2:C1000")=$C54)
        ),
        5,
        FALSE
    )="",
    "",
    VLOOKUP(
        $A54,
        _xlfn._xlws.FILTER(
            INDIRECT("'"&amp;O$1&amp;"'!A2:G1000"), (INDIRECT("'"&amp;O$1&amp;"'!B2:B1000")=$B54) * (INDIRECT("'"&amp;O$1&amp;"'!C2:C1000")=$C54)
        ),7,
        FALSE
    )
)</f>
        <v/>
      </c>
    </row>
    <row r="55">
      <c r="A55" s="58" t="inlineStr">
        <is>
          <t>Conisul</t>
        </is>
      </c>
      <c r="B55" s="92" t="inlineStr">
        <is>
          <t>Tacuru</t>
        </is>
      </c>
      <c r="C55" s="95" t="n">
        <v>1</v>
      </c>
      <c r="D55" s="52">
        <f t="array" ref="D55">IF(
    VLOOKUP(
        $A55,
        _xlfn._xlws.FILTER(
            INDIRECT("'"&amp;D$1&amp;"'!A2:G1000"), (INDIRECT("'"&amp;D$1&amp;"'!B2:B1000")=$B55) * (INDIRECT("'"&amp;D$1&amp;"'!C2:C1000")=$C55)
        ),
        5,
        FALSE
    )="",
    "",
    VLOOKUP(
        $A55,
        _xlfn._xlws.FILTER(
            INDIRECT("'"&amp;D$1&amp;"'!A2:G1000"), (INDIRECT("'"&amp;D$1&amp;"'!B2:B1000")=$B55) * (INDIRECT("'"&amp;D$1&amp;"'!C2:C1000")=$C55)
        ),7,
        FALSE
    )
)</f>
        <v/>
      </c>
      <c r="E55" s="52">
        <f t="array" ref="E55">IF(
    VLOOKUP(
        $A55,
        _xlfn._xlws.FILTER(
            INDIRECT("'"&amp;E$1&amp;"'!A2:G1000"), (INDIRECT("'"&amp;E$1&amp;"'!B2:B1000")=$B55) * (INDIRECT("'"&amp;E$1&amp;"'!C2:C1000")=$C55)
        ),
        5,
        FALSE
    )="",
    "",
    VLOOKUP(
        $A55,
        _xlfn._xlws.FILTER(
            INDIRECT("'"&amp;E$1&amp;"'!A2:G1000"), (INDIRECT("'"&amp;E$1&amp;"'!B2:B1000")=$B55) * (INDIRECT("'"&amp;E$1&amp;"'!C2:C1000")=$C55)
        ),7,
        FALSE
    )
)</f>
        <v/>
      </c>
      <c r="F55" s="52">
        <f t="array" ref="F55">IF(
    VLOOKUP(
        $A55,
        _xlfn._xlws.FILTER(
            INDIRECT("'"&amp;F$1&amp;"'!A2:G1000"), (INDIRECT("'"&amp;F$1&amp;"'!B2:B1000")=$B55) * (INDIRECT("'"&amp;F$1&amp;"'!C2:C1000")=$C55)
        ),
        5,
        FALSE
    )="",
    "",
    VLOOKUP(
        $A55,
        _xlfn._xlws.FILTER(
            INDIRECT("'"&amp;F$1&amp;"'!A2:G1000"), (INDIRECT("'"&amp;F$1&amp;"'!B2:B1000")=$B55) * (INDIRECT("'"&amp;F$1&amp;"'!C2:C1000")=$C55)
        ),7,
        FALSE
    )
)</f>
        <v/>
      </c>
      <c r="G55" s="52">
        <f t="array" ref="G55">IF(
    VLOOKUP(
        $A55,
        _xlfn._xlws.FILTER(
            INDIRECT("'"&amp;G$1&amp;"'!A2:G1000"), (INDIRECT("'"&amp;G$1&amp;"'!B2:B1000")=$B55) * (INDIRECT("'"&amp;G$1&amp;"'!C2:C1000")=$C55)
        ),
        5,
        FALSE
    )="",
    "",
    VLOOKUP(
        $A55,
        _xlfn._xlws.FILTER(
            INDIRECT("'"&amp;G$1&amp;"'!A2:G1000"), (INDIRECT("'"&amp;G$1&amp;"'!B2:B1000")=$B55) * (INDIRECT("'"&amp;G$1&amp;"'!C2:C1000")=$C55)
        ),7,
        FALSE
    )
)</f>
        <v/>
      </c>
      <c r="H55" s="52">
        <f t="array" ref="H55">IF(
    VLOOKUP(
        $A55,
        _xlfn._xlws.FILTER(
            INDIRECT("'"&amp;H$1&amp;"'!A2:G1000"), (INDIRECT("'"&amp;H$1&amp;"'!B2:B1000")=$B55) * (INDIRECT("'"&amp;H$1&amp;"'!C2:C1000")=$C55)
        ),
        5,
        FALSE
    )="",
    "",
    VLOOKUP(
        $A55,
        _xlfn._xlws.FILTER(
            INDIRECT("'"&amp;H$1&amp;"'!A2:G1000"), (INDIRECT("'"&amp;H$1&amp;"'!B2:B1000")=$B55) * (INDIRECT("'"&amp;H$1&amp;"'!C2:C1000")=$C55)
        ),7,
        FALSE
    )
)</f>
        <v/>
      </c>
      <c r="I55" s="52">
        <f t="array" ref="I55">IF(
    VLOOKUP(
        $A55,
        _xlfn._xlws.FILTER(
            INDIRECT("'"&amp;I$1&amp;"'!A2:G1000"), (INDIRECT("'"&amp;I$1&amp;"'!B2:B1000")=$B55) * (INDIRECT("'"&amp;I$1&amp;"'!C2:C1000")=$C55)
        ),
        5,
        FALSE
    )="",
    "",
    VLOOKUP(
        $A55,
        _xlfn._xlws.FILTER(
            INDIRECT("'"&amp;I$1&amp;"'!A2:G1000"), (INDIRECT("'"&amp;I$1&amp;"'!B2:B1000")=$B55) * (INDIRECT("'"&amp;I$1&amp;"'!C2:C1000")=$C55)
        ),7,
        FALSE
    )
)</f>
        <v/>
      </c>
      <c r="J55" s="52">
        <f t="array" ref="J55">IF(
    VLOOKUP(
        $A55,
        _xlfn._xlws.FILTER(
            INDIRECT("'"&amp;J$1&amp;"'!A2:G1000"), (INDIRECT("'"&amp;J$1&amp;"'!B2:B1000")=$B55) * (INDIRECT("'"&amp;J$1&amp;"'!C2:C1000")=$C55)
        ),
        5,
        FALSE
    )="",
    "",
    VLOOKUP(
        $A55,
        _xlfn._xlws.FILTER(
            INDIRECT("'"&amp;J$1&amp;"'!A2:G1000"), (INDIRECT("'"&amp;J$1&amp;"'!B2:B1000")=$B55) * (INDIRECT("'"&amp;J$1&amp;"'!C2:C1000")=$C55)
        ),7,
        FALSE
    )
)</f>
        <v/>
      </c>
      <c r="K55" s="52">
        <f t="array" ref="K55">IF(
    VLOOKUP(
        $A55,
        _xlfn._xlws.FILTER(
            INDIRECT("'"&amp;K$1&amp;"'!A2:G1000"), (INDIRECT("'"&amp;K$1&amp;"'!B2:B1000")=$B55) * (INDIRECT("'"&amp;K$1&amp;"'!C2:C1000")=$C55)
        ),
        5,
        FALSE
    )="",
    "",
    VLOOKUP(
        $A55,
        _xlfn._xlws.FILTER(
            INDIRECT("'"&amp;K$1&amp;"'!A2:G1000"), (INDIRECT("'"&amp;K$1&amp;"'!B2:B1000")=$B55) * (INDIRECT("'"&amp;K$1&amp;"'!C2:C1000")=$C55)
        ),7,
        FALSE
    )
)</f>
        <v/>
      </c>
      <c r="L55" s="52">
        <f t="array" ref="L55">IF(
    VLOOKUP(
        $A55,
        _xlfn._xlws.FILTER(
            INDIRECT("'"&amp;L$1&amp;"'!A2:G1000"), (INDIRECT("'"&amp;L$1&amp;"'!B2:B1000")=$B55) * (INDIRECT("'"&amp;L$1&amp;"'!C2:C1000")=$C55)
        ),
        5,
        FALSE
    )="",
    "",
    VLOOKUP(
        $A55,
        _xlfn._xlws.FILTER(
            INDIRECT("'"&amp;L$1&amp;"'!A2:G1000"), (INDIRECT("'"&amp;L$1&amp;"'!B2:B1000")=$B55) * (INDIRECT("'"&amp;L$1&amp;"'!C2:C1000")=$C55)
        ),7,
        FALSE
    )
)</f>
        <v/>
      </c>
      <c r="M55" s="52">
        <f t="array" ref="M55">IF(
    VLOOKUP(
        $A55,
        _xlfn._xlws.FILTER(
            INDIRECT("'"&amp;M$1&amp;"'!A2:G1000"), (INDIRECT("'"&amp;M$1&amp;"'!B2:B1000")=$B55) * (INDIRECT("'"&amp;M$1&amp;"'!C2:C1000")=$C55)
        ),
        5,
        FALSE
    )="",
    "",
    VLOOKUP(
        $A55,
        _xlfn._xlws.FILTER(
            INDIRECT("'"&amp;M$1&amp;"'!A2:G1000"), (INDIRECT("'"&amp;M$1&amp;"'!B2:B1000")=$B55) * (INDIRECT("'"&amp;M$1&amp;"'!C2:C1000")=$C55)
        ),7,
        FALSE
    )
)</f>
        <v/>
      </c>
      <c r="N55" s="52">
        <f t="array" ref="N55">IF(
    VLOOKUP(
        $A55,
        _xlfn._xlws.FILTER(
            INDIRECT("'"&amp;N$1&amp;"'!A2:G1000"), (INDIRECT("'"&amp;N$1&amp;"'!B2:B1000")=$B55) * (INDIRECT("'"&amp;N$1&amp;"'!C2:C1000")=$C55)
        ),
        5,
        FALSE
    )="",
    "",
    VLOOKUP(
        $A55,
        _xlfn._xlws.FILTER(
            INDIRECT("'"&amp;N$1&amp;"'!A2:G1000"), (INDIRECT("'"&amp;N$1&amp;"'!B2:B1000")=$B55) * (INDIRECT("'"&amp;N$1&amp;"'!C2:C1000")=$C55)
        ),7,
        FALSE
    )
)</f>
        <v/>
      </c>
      <c r="O55" s="52">
        <f t="array" ref="O55">IF(
    VLOOKUP(
        $A55,
        _xlfn._xlws.FILTER(
            INDIRECT("'"&amp;O$1&amp;"'!A2:G1000"), (INDIRECT("'"&amp;O$1&amp;"'!B2:B1000")=$B55) * (INDIRECT("'"&amp;O$1&amp;"'!C2:C1000")=$C55)
        ),
        5,
        FALSE
    )="",
    "",
    VLOOKUP(
        $A55,
        _xlfn._xlws.FILTER(
            INDIRECT("'"&amp;O$1&amp;"'!A2:G1000"), (INDIRECT("'"&amp;O$1&amp;"'!B2:B1000")=$B55) * (INDIRECT("'"&amp;O$1&amp;"'!C2:C1000")=$C55)
        ),7,
        FALSE
    )
)</f>
        <v/>
      </c>
    </row>
    <row r="65" ht="15.75" customHeight="1"/>
  </sheetData>
  <conditionalFormatting sqref="D2:O9 D12:O22 D25:O34 D37:O40 D43:O55">
    <cfRule type="cellIs" priority="11" operator="equal" dxfId="13">
      <formula>"Sim"</formula>
    </cfRule>
    <cfRule type="cellIs" priority="12" operator="equal" dxfId="14">
      <formula>"Não"</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t="inlineStr">
        <is>
          <t>Danúbia Hotrich dos Santos Silva</t>
        </is>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t="inlineStr">
        <is>
          <t>Beatriz Piffer</t>
        </is>
      </c>
      <c r="E3" s="101" t="inlineStr">
        <is>
          <t>Sem Técnico</t>
        </is>
      </c>
      <c r="F3" s="100" t="n"/>
      <c r="G3" s="102" t="inlineStr">
        <is>
          <t>Sim</t>
        </is>
      </c>
      <c r="H3" s="100" t="n"/>
      <c r="I3" s="100" t="n"/>
      <c r="J3" s="100" t="inlineStr">
        <is>
          <t>Não</t>
        </is>
      </c>
      <c r="K3" s="100" t="n"/>
    </row>
    <row r="4">
      <c r="A4" s="104" t="inlineStr">
        <is>
          <t>Cifra</t>
        </is>
      </c>
      <c r="B4" s="100" t="inlineStr">
        <is>
          <t>Bela Vista da Caroba</t>
        </is>
      </c>
      <c r="C4" s="100" t="n">
        <v>1</v>
      </c>
      <c r="D4" s="100" t="n"/>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t="inlineStr">
        <is>
          <t>Ana Paula Freire</t>
        </is>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t="inlineStr">
        <is>
          <t>Leonardo Zavilenski Fogaça</t>
        </is>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t="inlineStr">
        <is>
          <t>Armindo Ferreira da Silva</t>
        </is>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t="inlineStr">
        <is>
          <t>Henderson Heim</t>
        </is>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t="inlineStr">
        <is>
          <t>Helton Pinto de Castro</t>
        </is>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t="inlineStr">
        <is>
          <t>Jose roberto pogioli</t>
        </is>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t="inlineStr">
        <is>
          <t>Analigia de Santana Abreu</t>
        </is>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t="inlineStr">
        <is>
          <t xml:space="preserve">Anderson Bergamasco Hryczyna </t>
        </is>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t="inlineStr">
        <is>
          <t>Andressa da Silva</t>
        </is>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t="inlineStr">
        <is>
          <t>Isadora Gil</t>
        </is>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t="inlineStr">
        <is>
          <t>Marcella Regyna Scarassatti</t>
        </is>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t="inlineStr">
        <is>
          <t>Emerson Henrique Moreira</t>
        </is>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t="inlineStr">
        <is>
          <t>Fabio Soares Clemente</t>
        </is>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t="inlineStr">
        <is>
          <t>Valdirlei de Araujo</t>
        </is>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t="inlineStr">
        <is>
          <t>Glassys Louise de Souza Cortez</t>
        </is>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t="inlineStr">
        <is>
          <t>Octavio Fellipe j Barbosa</t>
        </is>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t="inlineStr">
        <is>
          <t>Rony Eduardo Souza Terra</t>
        </is>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t="n"/>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t="inlineStr">
        <is>
          <t>Angelo Cesar Favaro</t>
        </is>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t="n"/>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t="inlineStr">
        <is>
          <t>Ana Julia Pereira</t>
        </is>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t="inlineStr">
        <is>
          <t>Aparecido dos Santos</t>
        </is>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t="inlineStr">
        <is>
          <t>Joao Lucas Côrtes Silva Freitas</t>
        </is>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t="inlineStr">
        <is>
          <t>Jose Antonio Pinheiro Munhoz</t>
        </is>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t="n"/>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t="inlineStr">
        <is>
          <t>Alana Bardela dos Santos</t>
        </is>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t="inlineStr">
        <is>
          <t>Diogo Augusto Graeff Vizini</t>
        </is>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t="inlineStr">
        <is>
          <t>Tiago Cabrera de Oliveira</t>
        </is>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t="inlineStr">
        <is>
          <t>Vanessa Diovana Biassi Soares</t>
        </is>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t="inlineStr">
        <is>
          <t>Carlos Eduardo Meira Freire</t>
        </is>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t="inlineStr">
        <is>
          <t>Vania Tomazelli de Lima</t>
        </is>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t="inlineStr">
        <is>
          <t>Jose Elias Calonga Cunha</t>
        </is>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t="inlineStr">
        <is>
          <t>Gustavo Becker Modesto Silva</t>
        </is>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t="inlineStr">
        <is>
          <t>Wendel Ortiz dos Santos</t>
        </is>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t="inlineStr">
        <is>
          <t>Edvaldo José de Souza</t>
        </is>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t="inlineStr">
        <is>
          <t>Sirlei Aparecida Costa Souza</t>
        </is>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t="inlineStr">
        <is>
          <t>Fredson Julio de Oliveira</t>
        </is>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t="inlineStr">
        <is>
          <t>Mayara Cristina Neves Abel</t>
        </is>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t="inlineStr">
        <is>
          <t>Leandra Aymê Alves Elias Assumpcao</t>
        </is>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t="inlineStr">
        <is>
          <t>Camila Bomfim de Carvalho Ferreira</t>
        </is>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t="inlineStr">
        <is>
          <t>Paulo Ricardo Klaus</t>
        </is>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t="n"/>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t="inlineStr">
        <is>
          <t>Adiel Correia Nogueira</t>
        </is>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8" t="inlineStr">
        <is>
          <t>Enviado</t>
        </is>
      </c>
      <c r="F42" s="100" t="inlineStr">
        <is>
          <t>01/10/2025</t>
        </is>
      </c>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29/10/2025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27"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8" t="inlineStr">
        <is>
          <t>Enviado</t>
        </is>
      </c>
      <c r="F3" s="100" t="inlineStr">
        <is>
          <t>15/10/2025</t>
        </is>
      </c>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06/10/2025</t>
        </is>
      </c>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8" t="inlineStr">
        <is>
          <t>Enviado</t>
        </is>
      </c>
      <c r="F6" s="100" t="inlineStr">
        <is>
          <t>10/10/2025</t>
        </is>
      </c>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1" t="inlineStr">
        <is>
          <t>Atrasado &gt;= 2</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8" t="inlineStr">
        <is>
          <t>Enviado</t>
        </is>
      </c>
      <c r="F8" s="100" t="inlineStr">
        <is>
          <t>23/09/2025</t>
        </is>
      </c>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1" t="inlineStr">
        <is>
          <t>Atrasado &gt;= 2</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8" t="inlineStr">
        <is>
          <t>Enviado</t>
        </is>
      </c>
      <c r="F10" s="100" t="inlineStr">
        <is>
          <t>30/09/2025</t>
        </is>
      </c>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23/09/2025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28/10/2025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1" t="inlineStr">
        <is>
          <t>Atrasado &gt;= 2</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11" t="inlineStr">
        <is>
          <t>Atrasado &gt;= 2</t>
        </is>
      </c>
      <c r="F14" s="100" t="n"/>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11" t="inlineStr">
        <is>
          <t>Atrasado &gt;= 2</t>
        </is>
      </c>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1" t="inlineStr">
        <is>
          <t>Atrasado &gt;= 2</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1" t="inlineStr">
        <is>
          <t>Atrasado &gt;= 2</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11" t="inlineStr">
        <is>
          <t>Atrasado &gt;= 2</t>
        </is>
      </c>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19/09/2025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8" t="inlineStr">
        <is>
          <t>Enviado</t>
        </is>
      </c>
      <c r="F21" s="100" t="inlineStr">
        <is>
          <t>08/10/2025</t>
        </is>
      </c>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1" t="inlineStr">
        <is>
          <t>Atrasado &gt;= 2</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11" t="inlineStr">
        <is>
          <t>Atrasado &gt;= 2</t>
        </is>
      </c>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1" t="inlineStr">
        <is>
          <t>Atrasado &gt;= 2</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8" t="inlineStr">
        <is>
          <t>Enviado</t>
        </is>
      </c>
      <c r="F27" s="100" t="inlineStr">
        <is>
          <t>01/10/2025</t>
        </is>
      </c>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8" t="inlineStr">
        <is>
          <t>Enviado</t>
        </is>
      </c>
      <c r="F28" s="100" t="inlineStr">
        <is>
          <t>26/09/2025</t>
        </is>
      </c>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1" t="inlineStr">
        <is>
          <t>Atrasado &gt;= 2</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1" t="inlineStr">
        <is>
          <t>Atrasado &gt;= 2</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11" t="inlineStr">
        <is>
          <t>Atrasado &gt;= 2</t>
        </is>
      </c>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30/09/2025</t>
        </is>
      </c>
      <c r="G33" s="102" t="inlineStr">
        <is>
          <t>Sim</t>
        </is>
      </c>
      <c r="H33" s="100" t="n"/>
      <c r="I33" s="100" t="n">
        <v>394</v>
      </c>
      <c r="J33" s="100" t="inlineStr">
        <is>
          <t>Sim</t>
        </is>
      </c>
      <c r="K33" s="100" t="inlineStr">
        <is>
          <t>Deletado 5394</t>
        </is>
      </c>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25/09/2025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8" t="inlineStr">
        <is>
          <t>Enviado</t>
        </is>
      </c>
      <c r="F35" s="100" t="inlineStr">
        <is>
          <t>01/10/2025</t>
        </is>
      </c>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1" t="inlineStr">
        <is>
          <t>Atrasado &gt;= 2</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8" t="inlineStr">
        <is>
          <t>Enviado</t>
        </is>
      </c>
      <c r="F37" s="100" t="inlineStr">
        <is>
          <t>31/10/2025</t>
        </is>
      </c>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1" t="inlineStr">
        <is>
          <t>Atrasado &gt;= 2</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22/09/2025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1" t="inlineStr">
        <is>
          <t>Atrasado &gt;= 2</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29/10/2025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1" t="inlineStr">
        <is>
          <t>Atrasado &gt;= 2</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8" t="inlineStr">
        <is>
          <t>Enviado</t>
        </is>
      </c>
      <c r="F43" s="100" t="inlineStr">
        <is>
          <t>30/09/2025</t>
        </is>
      </c>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12" t="inlineStr">
        <is>
          <t>Duplicado</t>
        </is>
      </c>
      <c r="F44" s="100" t="inlineStr">
        <is>
          <t>26/09/2025, 26/09/2025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1" t="inlineStr">
        <is>
          <t>Atrasado &gt;= 2</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22/09/2025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8" t="inlineStr">
        <is>
          <t>Enviado</t>
        </is>
      </c>
      <c r="F3" s="100" t="inlineStr">
        <is>
          <t>24/11/2025</t>
        </is>
      </c>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30/09/2025</t>
        </is>
      </c>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8" t="inlineStr">
        <is>
          <t>Enviado</t>
        </is>
      </c>
      <c r="F6" s="100" t="inlineStr">
        <is>
          <t>01/10/2025</t>
        </is>
      </c>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1" t="inlineStr">
        <is>
          <t>Atrasado &gt;= 2</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11" t="inlineStr">
        <is>
          <t>Atrasado &gt;= 2</t>
        </is>
      </c>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1" t="inlineStr">
        <is>
          <t>Atrasado &gt;= 2</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8" t="inlineStr">
        <is>
          <t>Enviado</t>
        </is>
      </c>
      <c r="F10" s="100" t="inlineStr">
        <is>
          <t>10/11/2025</t>
        </is>
      </c>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14/10/2025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30/09/2025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1" t="inlineStr">
        <is>
          <t>Atrasado &gt;= 2</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8" t="inlineStr">
        <is>
          <t>Enviado</t>
        </is>
      </c>
      <c r="F14" s="100" t="inlineStr">
        <is>
          <t>31/10/2025</t>
        </is>
      </c>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11" t="inlineStr">
        <is>
          <t>Atrasado &gt;= 2</t>
        </is>
      </c>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1" t="inlineStr">
        <is>
          <t>Atrasado &gt;= 2</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1" t="inlineStr">
        <is>
          <t>Atrasado &gt;= 2</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11" t="inlineStr">
        <is>
          <t>Atrasado &gt;= 2</t>
        </is>
      </c>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16/10/2025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8" t="inlineStr">
        <is>
          <t>Enviado</t>
        </is>
      </c>
      <c r="F21" s="100" t="inlineStr">
        <is>
          <t>03/10/2025</t>
        </is>
      </c>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1" t="inlineStr">
        <is>
          <t>Atrasado &gt;= 2</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8" t="inlineStr">
        <is>
          <t>Enviado</t>
        </is>
      </c>
      <c r="F25" s="100" t="inlineStr">
        <is>
          <t>13/10/2025</t>
        </is>
      </c>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1" t="inlineStr">
        <is>
          <t>Atrasado &gt;= 2</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8" t="inlineStr">
        <is>
          <t>Enviado</t>
        </is>
      </c>
      <c r="F27" s="100" t="inlineStr">
        <is>
          <t>14/11/2025</t>
        </is>
      </c>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11" t="inlineStr">
        <is>
          <t>Atrasado &gt;= 2</t>
        </is>
      </c>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1" t="inlineStr">
        <is>
          <t>Atrasado &gt;= 2</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1" t="inlineStr">
        <is>
          <t>Atrasado &gt;= 2</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8" t="inlineStr">
        <is>
          <t>Enviado</t>
        </is>
      </c>
      <c r="F32" s="100" t="inlineStr">
        <is>
          <t>09/10/2025</t>
        </is>
      </c>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10/10/2025</t>
        </is>
      </c>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10/10/2025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11" t="inlineStr">
        <is>
          <t>Atrasado &gt;= 2</t>
        </is>
      </c>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1" t="inlineStr">
        <is>
          <t>Atrasado &gt;= 2</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8" t="inlineStr">
        <is>
          <t>Enviado</t>
        </is>
      </c>
      <c r="F37" s="100" t="inlineStr">
        <is>
          <t>31/10/2025</t>
        </is>
      </c>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1" t="inlineStr">
        <is>
          <t>Atrasado &gt;= 2</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10/11/2025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1" t="inlineStr">
        <is>
          <t>Atrasado &gt;= 2</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07/10/2025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1" t="inlineStr">
        <is>
          <t>Atrasado &gt;= 2</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8" t="inlineStr">
        <is>
          <t>Enviado</t>
        </is>
      </c>
      <c r="F43" s="100" t="inlineStr">
        <is>
          <t>29/10/2025</t>
        </is>
      </c>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8" t="inlineStr">
        <is>
          <t>Enviado</t>
        </is>
      </c>
      <c r="F44" s="100" t="inlineStr">
        <is>
          <t>10/10/2025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1" t="inlineStr">
        <is>
          <t>Atrasado &gt;= 2</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08/10/2025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8" t="inlineStr">
        <is>
          <t>Enviado</t>
        </is>
      </c>
      <c r="F3" s="100" t="inlineStr">
        <is>
          <t>24/11/2025</t>
        </is>
      </c>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04/11/2025</t>
        </is>
      </c>
      <c r="G5" s="109" t="inlineStr">
        <is>
          <t>Não</t>
        </is>
      </c>
      <c r="H5" s="100" t="n"/>
      <c r="I5" s="100" t="inlineStr">
        <is>
          <t>ID 5564</t>
        </is>
      </c>
      <c r="J5" s="100" t="inlineStr">
        <is>
          <t>Sim</t>
        </is>
      </c>
      <c r="K5" s="100" t="inlineStr">
        <is>
          <t>Deletado 5564</t>
        </is>
      </c>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8" t="inlineStr">
        <is>
          <t>Enviado</t>
        </is>
      </c>
      <c r="F6" s="100" t="inlineStr">
        <is>
          <t>14/11/2025</t>
        </is>
      </c>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8" t="inlineStr">
        <is>
          <t>Enviado</t>
        </is>
      </c>
      <c r="F7" s="100" t="inlineStr">
        <is>
          <t>14/11/2025</t>
        </is>
      </c>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11" t="inlineStr">
        <is>
          <t>Atrasado &gt;= 2</t>
        </is>
      </c>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1" t="inlineStr">
        <is>
          <t>Atrasado &gt;= 2</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11" t="inlineStr">
        <is>
          <t>Atrasado &gt;= 2</t>
        </is>
      </c>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10/11/2025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10/11/2025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1" t="inlineStr">
        <is>
          <t>Atrasado &gt;= 2</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8" t="inlineStr">
        <is>
          <t>Enviado</t>
        </is>
      </c>
      <c r="F14" s="100" t="inlineStr">
        <is>
          <t>03/11/2025</t>
        </is>
      </c>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8" t="inlineStr">
        <is>
          <t>Enviado</t>
        </is>
      </c>
      <c r="F15" s="100" t="inlineStr">
        <is>
          <t>10/11/2025</t>
        </is>
      </c>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1" t="inlineStr">
        <is>
          <t>Atrasado &gt;= 2</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1" t="inlineStr">
        <is>
          <t>Atrasado &gt;= 2</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8" t="inlineStr">
        <is>
          <t>Enviado</t>
        </is>
      </c>
      <c r="F18" s="100" t="inlineStr">
        <is>
          <t>28/10/2025</t>
        </is>
      </c>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04/11/2025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8" t="inlineStr">
        <is>
          <t>Enviado</t>
        </is>
      </c>
      <c r="F21" s="100" t="inlineStr">
        <is>
          <t>17/11/2025</t>
        </is>
      </c>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1" t="inlineStr">
        <is>
          <t>Atrasado &gt;= 2</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11" t="inlineStr">
        <is>
          <t>Atrasado &gt;= 2</t>
        </is>
      </c>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1" t="inlineStr">
        <is>
          <t>Atrasado &gt;= 2</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11" t="inlineStr">
        <is>
          <t>Atrasado &gt;= 2</t>
        </is>
      </c>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11" t="inlineStr">
        <is>
          <t>Atrasado &gt;= 2</t>
        </is>
      </c>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1" t="inlineStr">
        <is>
          <t>Atrasado &gt;= 2</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1" t="inlineStr">
        <is>
          <t>Atrasado &gt;= 2</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8" t="inlineStr">
        <is>
          <t>Enviado</t>
        </is>
      </c>
      <c r="F32" s="100" t="inlineStr">
        <is>
          <t>13/11/2025</t>
        </is>
      </c>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10/11/2025</t>
        </is>
      </c>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10/11/2025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11" t="inlineStr">
        <is>
          <t>Atrasado &gt;= 2</t>
        </is>
      </c>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1" t="inlineStr">
        <is>
          <t>Atrasado &gt;= 2</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11" t="inlineStr">
        <is>
          <t>Atrasado &gt;= 2</t>
        </is>
      </c>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1" t="inlineStr">
        <is>
          <t>Atrasado &gt;= 2</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10/11/2025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1" t="inlineStr">
        <is>
          <t>Atrasado &gt;= 2</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11" t="inlineStr">
        <is>
          <t>Atrasado &gt;= 2</t>
        </is>
      </c>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1" t="inlineStr">
        <is>
          <t>Atrasado &gt;= 2</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8" t="inlineStr">
        <is>
          <t>Enviado</t>
        </is>
      </c>
      <c r="F43" s="100" t="inlineStr">
        <is>
          <t>26/11/2025</t>
        </is>
      </c>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8" t="inlineStr">
        <is>
          <t>Enviado</t>
        </is>
      </c>
      <c r="F44" s="100" t="inlineStr">
        <is>
          <t>06/11/2025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1" t="inlineStr">
        <is>
          <t>Atrasado &gt;= 2</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06/11/2025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13" t="inlineStr">
        <is>
          <t>Atrasado</t>
        </is>
      </c>
      <c r="F3" s="100" t="n"/>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02/12/2025</t>
        </is>
      </c>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13" t="inlineStr">
        <is>
          <t>Atrasado</t>
        </is>
      </c>
      <c r="F6" s="100" t="n"/>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3" t="inlineStr">
        <is>
          <t>Atrasado</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13" t="inlineStr">
        <is>
          <t>Atrasado</t>
        </is>
      </c>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3" t="inlineStr">
        <is>
          <t>Atrasado</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13" t="inlineStr">
        <is>
          <t>Atrasado</t>
        </is>
      </c>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13" t="inlineStr">
        <is>
          <t>Atrasado</t>
        </is>
      </c>
      <c r="F11" s="100" t="n"/>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08/12/2025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3" t="inlineStr">
        <is>
          <t>Atrasado</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8" t="inlineStr">
        <is>
          <t>Enviado</t>
        </is>
      </c>
      <c r="F14" s="100" t="inlineStr">
        <is>
          <t>04/12/2025</t>
        </is>
      </c>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13" t="inlineStr">
        <is>
          <t>Atrasado</t>
        </is>
      </c>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3" t="inlineStr">
        <is>
          <t>Atrasado</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3" t="inlineStr">
        <is>
          <t>Atrasado</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13" t="inlineStr">
        <is>
          <t>Atrasado</t>
        </is>
      </c>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02/12/2025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13" t="inlineStr">
        <is>
          <t>Atrasado</t>
        </is>
      </c>
      <c r="F21" s="100" t="n"/>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3" t="inlineStr">
        <is>
          <t>Atrasado</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13" t="inlineStr">
        <is>
          <t>Atrasado</t>
        </is>
      </c>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3" t="inlineStr">
        <is>
          <t>Atrasado</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13" t="inlineStr">
        <is>
          <t>Atrasado</t>
        </is>
      </c>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13" t="inlineStr">
        <is>
          <t>Atrasado</t>
        </is>
      </c>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3" t="inlineStr">
        <is>
          <t>Atrasado</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3" t="inlineStr">
        <is>
          <t>Atrasado</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13" t="inlineStr">
        <is>
          <t>Atrasado</t>
        </is>
      </c>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13" t="inlineStr">
        <is>
          <t>Atrasado</t>
        </is>
      </c>
      <c r="F33" s="100" t="n"/>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04/12/2025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13" t="inlineStr">
        <is>
          <t>Atrasado</t>
        </is>
      </c>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3" t="inlineStr">
        <is>
          <t>Atrasado</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13" t="inlineStr">
        <is>
          <t>Atrasado</t>
        </is>
      </c>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3" t="inlineStr">
        <is>
          <t>Atrasado</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13" t="inlineStr">
        <is>
          <t>Atrasado</t>
        </is>
      </c>
      <c r="F39" s="100" t="n"/>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3" t="inlineStr">
        <is>
          <t>Atrasado</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13" t="inlineStr">
        <is>
          <t>Atrasado</t>
        </is>
      </c>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3" t="inlineStr">
        <is>
          <t>Atrasado</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13" t="inlineStr">
        <is>
          <t>Atrasado</t>
        </is>
      </c>
      <c r="F43" s="100" t="n"/>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8" t="inlineStr">
        <is>
          <t>Enviado</t>
        </is>
      </c>
      <c r="F44" s="100" t="inlineStr">
        <is>
          <t>09/12/2025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3" t="inlineStr">
        <is>
          <t>Atrasado</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13" t="inlineStr">
        <is>
          <t>Atrasado</t>
        </is>
      </c>
      <c r="F47" s="100" t="n"/>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0" t="n"/>
      <c r="F3" s="100" t="n"/>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0" t="n"/>
      <c r="F5" s="100" t="n"/>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0" t="n"/>
      <c r="F6" s="100" t="n"/>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0" t="n"/>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0" t="n"/>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0" t="n"/>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0" t="n"/>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0" t="n"/>
      <c r="F11" s="100" t="n"/>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0" t="n"/>
      <c r="F12" s="100" t="n"/>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0" t="n"/>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0" t="n"/>
      <c r="F14" s="100" t="n"/>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0" t="n"/>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0" t="n"/>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0" t="n"/>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0" t="n"/>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0" t="n"/>
      <c r="F19" s="100" t="n"/>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0" t="n"/>
      <c r="F21" s="100" t="n"/>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0" t="n"/>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0" t="n"/>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0" t="n"/>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0" t="n"/>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0" t="n"/>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0" t="n"/>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0" t="n"/>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0" t="n"/>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0" t="n"/>
      <c r="F33" s="100" t="n"/>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0" t="n"/>
      <c r="F34" s="100" t="n"/>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0" t="n"/>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0" t="n"/>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0" t="n"/>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0" t="n"/>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0" t="n"/>
      <c r="F39" s="100" t="n"/>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0" t="n"/>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0" t="n"/>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0" t="n"/>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0" t="n"/>
      <c r="F43" s="100" t="n"/>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0" t="n"/>
      <c r="F44" s="100" t="n"/>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0" t="n"/>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0" t="n"/>
      <c r="F47" s="100" t="n"/>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
  <sheetViews>
    <sheetView workbookViewId="0">
      <pane xSplit="3" topLeftCell="D1" activePane="topRight" state="frozen"/>
      <selection pane="topRight" activeCell="A1" sqref="A1"/>
    </sheetView>
  </sheetViews>
  <sheetFormatPr baseColWidth="8" defaultRowHeight="15"/>
  <sheetData>
    <row r="1">
      <c r="A1" s="98" t="inlineStr">
        <is>
          <t>Regional</t>
        </is>
      </c>
      <c r="B1" s="98" t="inlineStr">
        <is>
          <t>Município</t>
        </is>
      </c>
      <c r="C1" s="98" t="inlineStr">
        <is>
          <t>UVR</t>
        </is>
      </c>
      <c r="D1" s="98" t="inlineStr">
        <is>
          <t>Técnico de UVR</t>
        </is>
      </c>
      <c r="E1" s="98" t="inlineStr">
        <is>
          <t>Data de Envio</t>
        </is>
      </c>
      <c r="F1" s="98" t="inlineStr">
        <is>
          <t>Mês de referência</t>
        </is>
      </c>
      <c r="G1" s="98" t="inlineStr">
        <is>
          <t>Validado pelo Regional</t>
        </is>
      </c>
      <c r="H1" s="98" t="inlineStr">
        <is>
          <t>Observações</t>
        </is>
      </c>
      <c r="I1" s="98" t="inlineStr">
        <is>
          <t>Formulários para Deletar (ID)</t>
        </is>
      </c>
      <c r="J1" s="98" t="inlineStr">
        <is>
          <t>Validado Equipe de TI</t>
        </is>
      </c>
      <c r="K1" s="98" t="inlineStr">
        <is>
          <t>Resposta Equipe de TI</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2025-12-11T11:06:19Z</dcterms:created>
  <dcterms:modified xsi:type="dcterms:W3CDTF">2025-12-11T11:06:29Z</dcterms:modified>
</cp:coreProperties>
</file>