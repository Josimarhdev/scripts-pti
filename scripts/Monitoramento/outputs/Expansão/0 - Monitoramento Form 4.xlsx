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Regionais" sheetId="3" state="visible" r:id="rId3"/>
    <sheet name="01.25" sheetId="4" state="visible" r:id="rId4"/>
    <sheet name="02.25" sheetId="5" state="visible" r:id="rId5"/>
    <sheet name="03.25" sheetId="6" state="visible" r:id="rId6"/>
    <sheet name="04.25" sheetId="7" state="visible" r:id="rId7"/>
    <sheet name="05.25" sheetId="8" state="visible" r:id="rId8"/>
    <sheet name="06.25" sheetId="9" state="visible" r:id="rId9"/>
    <sheet name="07.25" sheetId="10" state="visible" r:id="rId10"/>
    <sheet name="08.25" sheetId="11" state="visible" r:id="rId11"/>
    <sheet name="09.25" sheetId="12" state="visible" r:id="rId12"/>
    <sheet name="10.25" sheetId="13" state="visible" r:id="rId13"/>
    <sheet name="11.25" sheetId="14" state="visible" r:id="rId14"/>
    <sheet name="12.25" sheetId="15" state="visible" r:id="rId15"/>
    <sheet name="Irregulares" sheetId="16" state="visible"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24519" fullCalcOnLoad="1"/>
</workbook>
</file>

<file path=xl/styles.xml><?xml version="1.0" encoding="utf-8"?>
<styleSheet xmlns="http://schemas.openxmlformats.org/spreadsheetml/2006/main">
  <numFmts count="1">
    <numFmt numFmtId="164" formatCode="0.0%"/>
  </numFmts>
  <fonts count="23">
    <font>
      <name val="Calibri"/>
      <family val="2"/>
      <color theme="1"/>
      <sz val="11"/>
      <scheme val="minor"/>
    </font>
    <font>
      <name val="Aptos Narrow"/>
      <color theme="0"/>
      <sz val="14"/>
    </font>
    <font>
      <name val="Aptos Narrow"/>
      <b val="1"/>
      <color theme="0"/>
      <sz val="14"/>
    </font>
    <font>
      <name val="Aptos Narrow"/>
      <color theme="0"/>
      <sz val="12"/>
    </font>
    <font>
      <name val="Aptos Narrow"/>
      <color theme="1"/>
      <sz val="12"/>
    </font>
    <font>
      <name val="Calibri"/>
      <color theme="1"/>
      <sz val="11"/>
    </font>
    <font>
      <name val="Calibri"/>
      <b val="1"/>
      <color theme="1"/>
      <sz val="11"/>
    </font>
    <font>
      <name val="Calibri"/>
      <sz val="11"/>
    </font>
    <font>
      <name val="Aptos Narrow"/>
      <b val="1"/>
      <color theme="1"/>
      <sz val="12"/>
    </font>
    <font>
      <name val="Calibri"/>
      <color theme="0"/>
      <sz val="14"/>
    </font>
    <font>
      <name val="Calibri"/>
      <color theme="0"/>
      <sz val="16"/>
    </font>
    <font>
      <name val="Calibri"/>
      <color theme="1"/>
      <sz val="18"/>
    </font>
    <font>
      <name val="Calibri"/>
      <color theme="0"/>
      <sz val="12"/>
    </font>
    <font>
      <name val="Arial"/>
      <b val="1"/>
      <sz val="10"/>
    </font>
    <font>
      <name val="Arial"/>
      <b val="1"/>
      <color rgb="FFFFFFFF"/>
      <sz val="8"/>
    </font>
    <font>
      <name val="Calibri"/>
      <b val="1"/>
      <color theme="0"/>
      <sz val="11"/>
    </font>
    <font>
      <name val="Arial"/>
      <color rgb="FF000000"/>
      <sz val="9"/>
    </font>
    <font>
      <name val="Arial"/>
      <sz val="10"/>
    </font>
    <font>
      <name val="Arial"/>
      <color theme="1"/>
      <sz val="11"/>
    </font>
    <font>
      <name val="Arial"/>
      <color rgb="FF000000"/>
      <sz val="11"/>
    </font>
    <font>
      <name val="Arial"/>
      <b val="1"/>
      <color rgb="00FFFFFF"/>
      <sz val="11"/>
    </font>
    <font>
      <name val="Arial"/>
      <sz val="11"/>
    </font>
    <font>
      <name val="Arial"/>
      <color rgb="00FFFFFF"/>
      <sz val="11"/>
    </font>
  </fonts>
  <fills count="73">
    <fill>
      <patternFill/>
    </fill>
    <fill>
      <patternFill patternType="gray125"/>
    </fill>
    <fill>
      <patternFill patternType="solid">
        <fgColor theme="4" tint="-0.249977111117893"/>
        <bgColor indexed="64"/>
      </patternFill>
    </fill>
    <fill>
      <patternFill patternType="solid">
        <fgColor theme="3" tint="0.249977111117893"/>
        <bgColor indexed="64"/>
      </patternFill>
    </fill>
    <fill>
      <patternFill patternType="solid">
        <fgColor theme="6" tint="0.3999755851924192"/>
        <bgColor indexed="64"/>
      </patternFill>
    </fill>
    <fill>
      <patternFill patternType="solid">
        <fgColor rgb="FFFFFF99"/>
        <bgColor rgb="FFFFFF99"/>
      </patternFill>
    </fill>
    <fill>
      <patternFill patternType="solid">
        <fgColor rgb="FFFFFF00"/>
        <bgColor indexed="64"/>
      </patternFill>
    </fill>
    <fill>
      <patternFill patternType="solid">
        <fgColor rgb="FFF5C6AB"/>
        <bgColor indexed="64"/>
      </patternFill>
    </fill>
    <fill>
      <patternFill patternType="solid">
        <fgColor rgb="FFB2FFFF"/>
        <bgColor rgb="FFB2FFFF"/>
      </patternFill>
    </fill>
    <fill>
      <patternFill patternType="solid">
        <fgColor rgb="FF00B0F0"/>
        <bgColor indexed="64"/>
      </patternFill>
    </fill>
    <fill>
      <patternFill patternType="solid">
        <fgColor rgb="FFFF8585"/>
        <bgColor indexed="64"/>
      </patternFill>
    </fill>
    <fill>
      <patternFill patternType="solid">
        <fgColor rgb="FFF1E0C6"/>
        <bgColor rgb="FFF1E0C6"/>
      </patternFill>
    </fill>
    <fill>
      <patternFill patternType="solid">
        <fgColor theme="9" tint="-0.249977111117893"/>
        <bgColor indexed="64"/>
      </patternFill>
    </fill>
    <fill>
      <patternFill patternType="solid">
        <fgColor rgb="FFB8CCE4"/>
        <bgColor indexed="64"/>
      </patternFill>
    </fill>
    <fill>
      <patternFill patternType="solid">
        <fgColor rgb="FF00B050"/>
        <bgColor indexed="64"/>
      </patternFill>
    </fill>
    <fill>
      <patternFill patternType="solid">
        <fgColor rgb="FFCCC0DA"/>
        <bgColor indexed="64"/>
      </patternFill>
    </fill>
    <fill>
      <patternFill patternType="solid">
        <fgColor rgb="FFA9C5E6"/>
        <bgColor rgb="FFA9C5E6"/>
      </patternFill>
    </fill>
    <fill>
      <patternFill patternType="solid">
        <fgColor theme="3" tint="0.3999755851924192"/>
        <bgColor indexed="64"/>
      </patternFill>
    </fill>
    <fill>
      <patternFill patternType="solid">
        <fgColor rgb="FFD9D9D9"/>
        <bgColor indexed="64"/>
      </patternFill>
    </fill>
    <fill>
      <patternFill patternType="solid">
        <fgColor rgb="FFFFCCFF"/>
        <bgColor rgb="FFFFCCFF"/>
      </patternFill>
    </fill>
    <fill>
      <patternFill patternType="solid">
        <fgColor rgb="FFFF00FB"/>
        <bgColor indexed="64"/>
      </patternFill>
    </fill>
    <fill>
      <patternFill patternType="solid">
        <fgColor rgb="FFB879D1"/>
        <bgColor indexed="64"/>
      </patternFill>
    </fill>
    <fill>
      <patternFill patternType="solid">
        <fgColor rgb="FF9B59B6"/>
        <bgColor rgb="FF9B59B6"/>
      </patternFill>
    </fill>
    <fill>
      <patternFill patternType="solid">
        <fgColor rgb="FF244062"/>
        <bgColor indexed="64"/>
      </patternFill>
    </fill>
    <fill>
      <patternFill patternType="solid">
        <fgColor theme="4" tint="0.3999755851924192"/>
        <bgColor indexed="64"/>
      </patternFill>
    </fill>
    <fill>
      <patternFill patternType="solid">
        <fgColor rgb="FF95B3D7"/>
        <bgColor indexed="64"/>
      </patternFill>
    </fill>
    <fill>
      <patternFill patternType="solid">
        <fgColor rgb="FF366092"/>
        <bgColor indexed="64"/>
      </patternFill>
    </fill>
    <fill>
      <patternFill patternType="solid">
        <fgColor rgb="FFC4D79B"/>
        <bgColor indexed="64"/>
      </patternFill>
    </fill>
    <fill>
      <patternFill patternType="solid">
        <fgColor rgb="FFBFBFBF"/>
        <bgColor indexed="64"/>
      </patternFill>
    </fill>
    <fill>
      <patternFill patternType="solid">
        <fgColor rgb="FF0070C0"/>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theme="4" tint="0.7999816888943144"/>
        <bgColor theme="4" tint="0.7999816888943144"/>
      </patternFill>
    </fill>
    <fill>
      <patternFill patternType="solid">
        <fgColor theme="8" tint="0.7999816888943144"/>
        <bgColor indexed="64"/>
      </patternFill>
    </fill>
    <fill>
      <patternFill patternType="solid">
        <fgColor rgb="FFC680FF"/>
        <bgColor indexed="64"/>
      </patternFill>
    </fill>
    <fill>
      <patternFill patternType="solid">
        <fgColor rgb="FF4D93D9"/>
        <bgColor indexed="64"/>
      </patternFill>
    </fill>
    <fill>
      <patternFill patternType="solid">
        <fgColor theme="3" tint="0.749992370372631"/>
        <bgColor indexed="64"/>
      </patternFill>
    </fill>
    <fill>
      <patternFill patternType="solid">
        <fgColor rgb="FFFFF7C9"/>
        <bgColor indexed="64"/>
      </patternFill>
    </fill>
    <fill>
      <patternFill patternType="solid">
        <fgColor rgb="FF91F0D3"/>
        <bgColor indexed="64"/>
      </patternFill>
    </fill>
    <fill>
      <patternFill patternType="solid">
        <fgColor rgb="FF94DCF8"/>
        <bgColor indexed="64"/>
      </patternFill>
    </fill>
    <fill>
      <patternFill patternType="solid">
        <fgColor theme="7" tint="0.5999938962981048"/>
        <bgColor indexed="64"/>
      </patternFill>
    </fill>
    <fill>
      <patternFill patternType="solid">
        <fgColor rgb="FFEBC99F"/>
        <bgColor indexed="64"/>
      </patternFill>
    </fill>
    <fill>
      <patternFill patternType="solid">
        <fgColor rgb="FFFFC000"/>
        <bgColor indexed="64"/>
      </patternFill>
    </fill>
    <fill>
      <patternFill patternType="solid">
        <fgColor rgb="FFFF0000"/>
        <bgColor indexed="64"/>
      </patternFill>
    </fill>
    <fill>
      <patternFill patternType="solid">
        <fgColor rgb="FFA3DDFF"/>
        <bgColor indexed="64"/>
      </patternFill>
    </fill>
    <fill>
      <patternFill patternType="solid">
        <fgColor theme="9" tint="0.5999938962981048"/>
        <bgColor indexed="64"/>
      </patternFill>
    </fill>
    <fill>
      <patternFill patternType="solid">
        <fgColor rgb="FFFFD2DE"/>
        <bgColor indexed="64"/>
      </patternFill>
    </fill>
    <fill>
      <patternFill patternType="solid">
        <fgColor theme="8" tint="0.5999938962981048"/>
        <bgColor indexed="64"/>
      </patternFill>
    </fill>
    <fill>
      <patternFill patternType="solid">
        <fgColor rgb="FFE49EDD"/>
        <bgColor indexed="64"/>
      </patternFill>
    </fill>
    <fill>
      <patternFill patternType="solid">
        <fgColor theme="5" tint="0.7999816888943144"/>
        <bgColor indexed="64"/>
      </patternFill>
    </fill>
    <fill>
      <patternFill patternType="solid">
        <fgColor theme="5" tint="0.5999938962981048"/>
        <bgColor indexed="64"/>
      </patternFill>
    </fill>
    <fill>
      <patternFill patternType="solid">
        <fgColor rgb="00003366"/>
        <bgColor rgb="00003366"/>
      </patternFill>
    </fill>
    <fill>
      <patternFill patternType="solid">
        <fgColor rgb="FFB879D1"/>
        <bgColor rgb="FFB879D1"/>
      </patternFill>
    </fill>
    <fill>
      <patternFill patternType="solid">
        <fgColor rgb="FFA020F0"/>
        <bgColor rgb="FFA020F0"/>
      </patternFill>
    </fill>
    <fill>
      <patternFill patternType="solid">
        <fgColor rgb="FF66FF66"/>
        <bgColor rgb="FF66FF66"/>
      </patternFill>
    </fill>
    <fill>
      <patternFill patternType="solid">
        <fgColor rgb="0066FF66"/>
        <bgColor rgb="0066FF66"/>
      </patternFill>
    </fill>
    <fill>
      <patternFill patternType="solid">
        <fgColor rgb="00B879D1"/>
        <bgColor rgb="00B879D1"/>
      </patternFill>
    </fill>
    <fill>
      <patternFill patternType="solid">
        <fgColor rgb="FF006400"/>
        <bgColor rgb="FF006400"/>
      </patternFill>
    </fill>
    <fill>
      <patternFill patternType="solid">
        <fgColor rgb="00FFCCFF"/>
        <bgColor rgb="00FFCCFF"/>
      </patternFill>
    </fill>
    <fill>
      <patternFill patternType="solid">
        <fgColor rgb="00B2FFFF"/>
        <bgColor rgb="00B2FFFF"/>
      </patternFill>
    </fill>
    <fill>
      <patternFill patternType="solid">
        <fgColor rgb="00A9C5E6"/>
        <bgColor rgb="00A9C5E6"/>
      </patternFill>
    </fill>
    <fill>
      <patternFill patternType="solid">
        <fgColor rgb="00FFFF99"/>
        <bgColor rgb="00FFFF99"/>
      </patternFill>
    </fill>
    <fill>
      <patternFill patternType="solid">
        <fgColor rgb="FFFF6666"/>
        <bgColor rgb="FFFF6666"/>
      </patternFill>
    </fill>
    <fill>
      <patternFill patternType="solid">
        <fgColor rgb="00FF6666"/>
        <bgColor rgb="00FF6666"/>
      </patternFill>
    </fill>
    <fill>
      <patternFill patternType="solid">
        <fgColor rgb="FF808080"/>
        <bgColor rgb="FF808080"/>
      </patternFill>
    </fill>
    <fill>
      <patternFill patternType="solid">
        <fgColor rgb="00A020F0"/>
        <bgColor rgb="00A020F0"/>
      </patternFill>
    </fill>
    <fill>
      <patternFill patternType="solid">
        <fgColor rgb="00006400"/>
        <bgColor rgb="00006400"/>
      </patternFill>
    </fill>
    <fill>
      <patternFill patternType="solid">
        <fgColor rgb="00808080"/>
        <bgColor rgb="00808080"/>
      </patternFill>
    </fill>
    <fill>
      <patternFill patternType="solid">
        <fgColor rgb="FFFF0000"/>
        <bgColor rgb="FFFF0000"/>
      </patternFill>
    </fill>
    <fill>
      <patternFill patternType="solid">
        <fgColor rgb="00FF0000"/>
        <bgColor rgb="00FF0000"/>
      </patternFill>
    </fill>
    <fill>
      <patternFill patternType="solid">
        <fgColor rgb="FFFF6400"/>
        <bgColor rgb="FFFF6400"/>
      </patternFill>
    </fill>
    <fill>
      <patternFill patternType="solid">
        <fgColor rgb="00FF6400"/>
        <bgColor rgb="00FF6400"/>
      </patternFill>
    </fill>
  </fills>
  <borders count="2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bottom style="thin">
        <color rgb="FF000000"/>
      </bottom>
    </border>
    <border>
      <left style="thin">
        <color rgb="FF000000"/>
      </left>
      <right/>
      <top style="thin">
        <color rgb="FF000000"/>
      </top>
      <bottom/>
    </border>
    <border>
      <left style="thin">
        <color rgb="FF000000"/>
      </left>
      <right/>
      <top/>
      <bottom style="thin">
        <color rgb="FF000000"/>
      </bottom>
    </border>
    <border>
      <left/>
      <right style="thin">
        <color rgb="FF000000"/>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30">
    <xf numFmtId="0" fontId="0" fillId="0" borderId="0" pivotButton="0" quotePrefix="0" xfId="0"/>
    <xf numFmtId="0" fontId="1" fillId="2" borderId="1" applyAlignment="1" pivotButton="0" quotePrefix="0" xfId="0">
      <alignment horizontal="center" vertical="center"/>
    </xf>
    <xf numFmtId="49" fontId="1" fillId="2" borderId="2" applyAlignment="1" pivotButton="0" quotePrefix="0" xfId="0">
      <alignment horizontal="center" vertical="center"/>
    </xf>
    <xf numFmtId="0" fontId="2" fillId="2" borderId="2" applyAlignment="1" pivotButton="0" quotePrefix="0" xfId="0">
      <alignment horizontal="center" vertical="center"/>
    </xf>
    <xf numFmtId="0" fontId="3" fillId="3" borderId="1" applyAlignment="1" pivotButton="0" quotePrefix="0" xfId="0">
      <alignment horizontal="center" vertical="center"/>
    </xf>
    <xf numFmtId="0" fontId="4" fillId="4" borderId="3" applyAlignment="1" pivotButton="0" quotePrefix="0" xfId="0">
      <alignment horizontal="center" vertical="center"/>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4" fillId="7" borderId="3" applyAlignment="1" pivotButton="0" quotePrefix="0" xfId="0">
      <alignment horizontal="center" vertical="center"/>
    </xf>
    <xf numFmtId="0" fontId="5" fillId="7"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3" applyAlignment="1" pivotButton="0" quotePrefix="0" xfId="0">
      <alignment horizontal="center" vertical="center"/>
    </xf>
    <xf numFmtId="0" fontId="5" fillId="10" borderId="1" applyAlignment="1" pivotButton="0" quotePrefix="0" xfId="0">
      <alignment horizontal="center" vertical="center"/>
    </xf>
    <xf numFmtId="0" fontId="6" fillId="10" borderId="1" applyAlignment="1" pivotButton="0" quotePrefix="0" xfId="0">
      <alignment horizontal="center" vertical="center"/>
    </xf>
    <xf numFmtId="0" fontId="7" fillId="11" borderId="1" applyAlignment="1" pivotButton="0" quotePrefix="0" xfId="0">
      <alignment horizontal="center" vertical="center"/>
    </xf>
    <xf numFmtId="0" fontId="5" fillId="12" borderId="1" applyAlignment="1" pivotButton="0" quotePrefix="0" xfId="0">
      <alignment horizontal="center" vertical="center"/>
    </xf>
    <xf numFmtId="0" fontId="4" fillId="13" borderId="3" applyAlignment="1" pivotButton="0" quotePrefix="0" xfId="0">
      <alignment horizontal="center" vertical="center"/>
    </xf>
    <xf numFmtId="0" fontId="5" fillId="13" borderId="1" applyAlignment="1" pivotButton="0" quotePrefix="0" xfId="0">
      <alignment horizontal="center" vertical="center"/>
    </xf>
    <xf numFmtId="0" fontId="6" fillId="13" borderId="1" applyAlignment="1" pivotButton="0" quotePrefix="0" xfId="0">
      <alignment horizontal="center" vertical="center"/>
    </xf>
    <xf numFmtId="0" fontId="7" fillId="4" borderId="1" applyAlignment="1" pivotButton="0" quotePrefix="0" xfId="0">
      <alignment horizontal="center" vertical="center"/>
    </xf>
    <xf numFmtId="0" fontId="7" fillId="14" borderId="1" applyAlignment="1" pivotButton="0" quotePrefix="0" xfId="0">
      <alignment horizontal="center" vertical="center"/>
    </xf>
    <xf numFmtId="0" fontId="4" fillId="15" borderId="1" applyAlignment="1" pivotButton="0" quotePrefix="0" xfId="0">
      <alignment horizontal="center" vertical="center"/>
    </xf>
    <xf numFmtId="0" fontId="5" fillId="15" borderId="1" applyAlignment="1" pivotButton="0" quotePrefix="0" xfId="0">
      <alignment horizontal="center" vertical="center"/>
    </xf>
    <xf numFmtId="0" fontId="6" fillId="15" borderId="1" applyAlignment="1" pivotButton="0" quotePrefix="0" xfId="0">
      <alignment horizontal="center" vertical="center"/>
    </xf>
    <xf numFmtId="0" fontId="7" fillId="16" borderId="1" applyAlignment="1" pivotButton="0" quotePrefix="0" xfId="0">
      <alignment horizontal="center" vertical="center"/>
    </xf>
    <xf numFmtId="0" fontId="7" fillId="17" borderId="1" applyAlignment="1" pivotButton="0" quotePrefix="0" xfId="0">
      <alignment horizontal="center" vertical="center"/>
    </xf>
    <xf numFmtId="0" fontId="4" fillId="18" borderId="3" applyAlignment="1" pivotButton="0" quotePrefix="0" xfId="0">
      <alignment horizontal="center" vertical="center"/>
    </xf>
    <xf numFmtId="0" fontId="5" fillId="18" borderId="1" applyAlignment="1" pivotButton="0" quotePrefix="0" xfId="0">
      <alignment horizontal="center" vertical="center"/>
    </xf>
    <xf numFmtId="0" fontId="6" fillId="18" borderId="1" applyAlignment="1" pivotButton="0" quotePrefix="0" xfId="0">
      <alignment horizontal="center" vertical="center"/>
    </xf>
    <xf numFmtId="0" fontId="7" fillId="19" borderId="1" applyAlignment="1" pivotButton="0" quotePrefix="0" xfId="0">
      <alignment horizontal="center" vertical="center"/>
    </xf>
    <xf numFmtId="0" fontId="7" fillId="20" borderId="1" applyAlignment="1" pivotButton="0" quotePrefix="0" xfId="0">
      <alignment horizontal="center" vertical="center"/>
    </xf>
    <xf numFmtId="0" fontId="8" fillId="0" borderId="3" applyAlignment="1" pivotButton="0" quotePrefix="0" xfId="0">
      <alignment horizontal="center" vertical="center"/>
    </xf>
    <xf numFmtId="0" fontId="6" fillId="0" borderId="1" applyAlignment="1" pivotButton="0" quotePrefix="0" xfId="0">
      <alignment horizontal="center" vertical="center"/>
    </xf>
    <xf numFmtId="0" fontId="7" fillId="21" borderId="1" applyAlignment="1" pivotButton="0" quotePrefix="0" xfId="0">
      <alignment horizontal="center" vertical="center"/>
    </xf>
    <xf numFmtId="0" fontId="7" fillId="22" borderId="1" applyAlignment="1" pivotButton="0" quotePrefix="0" xfId="0">
      <alignment horizontal="center" vertical="center"/>
    </xf>
    <xf numFmtId="0" fontId="5" fillId="18" borderId="4" applyAlignment="1" pivotButton="0" quotePrefix="0" xfId="0">
      <alignment vertical="center"/>
    </xf>
    <xf numFmtId="0" fontId="9" fillId="23" borderId="2" applyAlignment="1" pivotButton="0" quotePrefix="0" xfId="0">
      <alignment horizontal="center" vertical="center" wrapText="1"/>
    </xf>
    <xf numFmtId="0" fontId="0" fillId="0" borderId="15" pivotButton="0" quotePrefix="0" xfId="0"/>
    <xf numFmtId="0" fontId="9" fillId="23" borderId="1" applyAlignment="1" pivotButton="0" quotePrefix="0" xfId="0">
      <alignment horizontal="center" vertical="center"/>
    </xf>
    <xf numFmtId="0" fontId="0" fillId="0" borderId="17" pivotButton="0" quotePrefix="0" xfId="0"/>
    <xf numFmtId="0" fontId="0" fillId="0" borderId="16" pivotButton="0" quotePrefix="0" xfId="0"/>
    <xf numFmtId="0" fontId="5" fillId="18" borderId="4" pivotButton="0" quotePrefix="0" xfId="0"/>
    <xf numFmtId="0" fontId="10" fillId="23" borderId="1" applyAlignment="1" pivotButton="0" quotePrefix="0" xfId="0">
      <alignment horizontal="center" vertical="center"/>
    </xf>
    <xf numFmtId="49" fontId="11" fillId="24" borderId="1" applyAlignment="1" pivotButton="0" quotePrefix="0" xfId="0">
      <alignment horizontal="center" vertical="center"/>
    </xf>
    <xf numFmtId="0" fontId="12" fillId="2" borderId="1" applyAlignment="1" pivotButton="0" quotePrefix="0" xfId="0">
      <alignment horizontal="center" vertical="center"/>
    </xf>
    <xf numFmtId="0" fontId="5" fillId="14" borderId="1" applyAlignment="1" pivotButton="0" quotePrefix="0" xfId="0">
      <alignment horizontal="center" vertical="center"/>
    </xf>
    <xf numFmtId="0" fontId="5" fillId="25" borderId="1" applyAlignment="1" pivotButton="0" quotePrefix="0" xfId="0">
      <alignment horizontal="center" vertical="center"/>
    </xf>
    <xf numFmtId="0" fontId="0" fillId="0" borderId="18" pivotButton="0" quotePrefix="0" xfId="0"/>
    <xf numFmtId="0" fontId="0" fillId="0" borderId="19" pivotButton="0" quotePrefix="0" xfId="0"/>
    <xf numFmtId="0" fontId="12" fillId="26" borderId="1" applyAlignment="1" pivotButton="0" quotePrefix="0" xfId="0">
      <alignment horizontal="center" vertical="center"/>
    </xf>
    <xf numFmtId="0" fontId="5" fillId="27" borderId="1" applyAlignment="1" pivotButton="0" quotePrefix="0" xfId="0">
      <alignment horizontal="center" vertical="center"/>
    </xf>
    <xf numFmtId="0" fontId="5" fillId="0" borderId="10" applyAlignment="1" pivotButton="0" quotePrefix="0" xfId="0">
      <alignment horizontal="center" vertical="center"/>
    </xf>
    <xf numFmtId="0" fontId="5" fillId="27" borderId="10" applyAlignment="1" pivotButton="0" quotePrefix="0" xfId="0">
      <alignment horizontal="center" vertical="center"/>
    </xf>
    <xf numFmtId="164" fontId="5" fillId="27" borderId="10" applyAlignment="1" pivotButton="0" quotePrefix="0" xfId="0">
      <alignment horizontal="center" vertical="center"/>
    </xf>
    <xf numFmtId="0" fontId="5" fillId="0" borderId="1" applyAlignment="1" pivotButton="0" quotePrefix="0" xfId="0">
      <alignment horizontal="center" vertical="center"/>
    </xf>
    <xf numFmtId="164" fontId="5" fillId="7" borderId="1" applyAlignment="1" pivotButton="0" quotePrefix="0" xfId="0">
      <alignment horizontal="center" vertical="center"/>
    </xf>
    <xf numFmtId="164" fontId="5" fillId="10" borderId="1" applyAlignment="1" pivotButton="0" quotePrefix="0" xfId="0">
      <alignment horizontal="center" vertical="center"/>
    </xf>
    <xf numFmtId="0" fontId="7" fillId="4" borderId="3" applyAlignment="1" pivotButton="0" quotePrefix="0" xfId="0">
      <alignment horizontal="center" vertical="center"/>
    </xf>
    <xf numFmtId="164" fontId="5" fillId="13" borderId="1" applyAlignment="1" pivotButton="0" quotePrefix="0" xfId="0">
      <alignment horizontal="center" vertical="center"/>
    </xf>
    <xf numFmtId="164" fontId="5" fillId="15" borderId="1" applyAlignment="1" pivotButton="0" quotePrefix="0" xfId="0">
      <alignment horizontal="center" vertical="center"/>
    </xf>
    <xf numFmtId="0" fontId="5" fillId="18" borderId="2" applyAlignment="1" pivotButton="0" quotePrefix="0" xfId="0">
      <alignment horizontal="center" vertical="center"/>
    </xf>
    <xf numFmtId="164" fontId="5" fillId="18" borderId="2" applyAlignment="1" pivotButton="0" quotePrefix="0" xfId="0">
      <alignment horizontal="center" vertical="center"/>
    </xf>
    <xf numFmtId="0" fontId="5" fillId="0" borderId="11" applyAlignment="1" pivotButton="0" quotePrefix="0" xfId="0">
      <alignment horizontal="center" vertical="center"/>
    </xf>
    <xf numFmtId="10" fontId="5" fillId="0" borderId="2" applyAlignment="1" pivotButton="0" quotePrefix="0" xfId="0">
      <alignment horizontal="center" vertical="center"/>
    </xf>
    <xf numFmtId="0" fontId="5" fillId="27" borderId="1" applyAlignment="1" pivotButton="0" quotePrefix="0" xfId="0">
      <alignment horizontal="center"/>
    </xf>
    <xf numFmtId="0" fontId="5" fillId="10" borderId="1" applyAlignment="1" pivotButton="0" quotePrefix="0" xfId="0">
      <alignment horizontal="center"/>
    </xf>
    <xf numFmtId="164" fontId="5" fillId="0" borderId="1" applyAlignment="1" pivotButton="0" quotePrefix="0" xfId="0">
      <alignment horizontal="center" vertical="center"/>
    </xf>
    <xf numFmtId="164" fontId="5" fillId="0" borderId="1" applyAlignment="1" pivotButton="0" quotePrefix="0" xfId="0">
      <alignment horizontal="center"/>
    </xf>
    <xf numFmtId="0" fontId="5" fillId="0" borderId="3" applyAlignment="1" pivotButton="0" quotePrefix="0" xfId="0">
      <alignment horizontal="center" vertical="center"/>
    </xf>
    <xf numFmtId="10" fontId="5" fillId="0" borderId="1" applyAlignment="1" pivotButton="0" quotePrefix="0" xfId="0">
      <alignment horizontal="center" vertical="center"/>
    </xf>
    <xf numFmtId="0" fontId="0" fillId="0" borderId="20" pivotButton="0" quotePrefix="0" xfId="0"/>
    <xf numFmtId="0" fontId="0" fillId="0" borderId="21" pivotButton="0" quotePrefix="0" xfId="0"/>
    <xf numFmtId="0" fontId="5" fillId="0" borderId="4" pivotButton="0" quotePrefix="0" xfId="0"/>
    <xf numFmtId="0" fontId="13" fillId="28" borderId="1" applyAlignment="1" pivotButton="0" quotePrefix="0" xfId="0">
      <alignment horizontal="center" vertical="center" wrapText="1"/>
    </xf>
    <xf numFmtId="0" fontId="14" fillId="29" borderId="1" applyAlignment="1" pivotButton="0" quotePrefix="0" xfId="0">
      <alignment horizontal="center" vertical="center" wrapText="1"/>
    </xf>
    <xf numFmtId="0" fontId="14" fillId="30" borderId="1" applyAlignment="1" pivotButton="0" quotePrefix="0" xfId="0">
      <alignment horizontal="center" vertical="center" wrapText="1"/>
    </xf>
    <xf numFmtId="0" fontId="15" fillId="31" borderId="4" applyAlignment="1" pivotButton="0" quotePrefix="0" xfId="0">
      <alignment horizontal="center" vertical="center"/>
    </xf>
    <xf numFmtId="0" fontId="16" fillId="0" borderId="1" applyAlignment="1" pivotButton="0" quotePrefix="0" xfId="0">
      <alignment horizontal="center" vertical="center" wrapText="1"/>
    </xf>
    <xf numFmtId="0" fontId="17" fillId="32" borderId="1" applyAlignment="1" pivotButton="0" quotePrefix="0" xfId="0">
      <alignment horizontal="center" vertical="center" wrapText="1"/>
    </xf>
    <xf numFmtId="0" fontId="5" fillId="0" borderId="1" pivotButton="0" quotePrefix="0" xfId="0"/>
    <xf numFmtId="0" fontId="12" fillId="3" borderId="3" applyAlignment="1" pivotButton="0" quotePrefix="0" xfId="0">
      <alignment horizontal="center" vertical="center"/>
    </xf>
    <xf numFmtId="0" fontId="7" fillId="0" borderId="1" applyAlignment="1" pivotButton="0" quotePrefix="0" xfId="0">
      <alignment horizontal="center" vertical="center"/>
    </xf>
    <xf numFmtId="0" fontId="18" fillId="33" borderId="1" applyAlignment="1" pivotButton="0" quotePrefix="0" xfId="0">
      <alignment horizontal="center" vertical="center"/>
    </xf>
    <xf numFmtId="0" fontId="18" fillId="34" borderId="1" applyAlignment="1" pivotButton="0" quotePrefix="0" xfId="0">
      <alignment horizontal="center" vertical="center"/>
    </xf>
    <xf numFmtId="0" fontId="18" fillId="35" borderId="1" applyAlignment="1" pivotButton="0" quotePrefix="0" xfId="0">
      <alignment horizontal="center" vertical="center"/>
    </xf>
    <xf numFmtId="0" fontId="19" fillId="36" borderId="1" applyAlignment="1" pivotButton="0" quotePrefix="0" xfId="0">
      <alignment horizontal="center" vertical="center"/>
    </xf>
    <xf numFmtId="0" fontId="18" fillId="37" borderId="1" applyAlignment="1" pivotButton="0" quotePrefix="0" xfId="0">
      <alignment horizontal="center" vertical="center"/>
    </xf>
    <xf numFmtId="0" fontId="18" fillId="38" borderId="1" applyAlignment="1" pivotButton="0" quotePrefix="0" xfId="0">
      <alignment horizontal="center" vertical="center"/>
    </xf>
    <xf numFmtId="0" fontId="18" fillId="6" borderId="1" applyAlignment="1" pivotButton="0" quotePrefix="0" xfId="0">
      <alignment horizontal="center" vertical="center"/>
    </xf>
    <xf numFmtId="0" fontId="19" fillId="6" borderId="1" applyAlignment="1" pivotButton="0" quotePrefix="0" xfId="0">
      <alignment horizontal="center" vertical="center"/>
    </xf>
    <xf numFmtId="0" fontId="18" fillId="39" borderId="1" applyAlignment="1" pivotButton="0" quotePrefix="0" xfId="0">
      <alignment horizontal="center" vertical="center"/>
    </xf>
    <xf numFmtId="0" fontId="18" fillId="4" borderId="1" applyAlignment="1" pivotButton="0" quotePrefix="0" xfId="0">
      <alignment horizontal="center" vertical="center"/>
    </xf>
    <xf numFmtId="0" fontId="19" fillId="40" borderId="1" applyAlignment="1" pivotButton="0" quotePrefix="0" xfId="0">
      <alignment horizontal="center" vertical="center"/>
    </xf>
    <xf numFmtId="0" fontId="18" fillId="41" borderId="1" applyAlignment="1" pivotButton="0" quotePrefix="0" xfId="0">
      <alignment horizontal="center" vertical="center"/>
    </xf>
    <xf numFmtId="0" fontId="18" fillId="42" borderId="1" applyAlignment="1" pivotButton="0" quotePrefix="0" xfId="0">
      <alignment horizontal="center" vertical="center"/>
    </xf>
    <xf numFmtId="0" fontId="18" fillId="43" borderId="1" applyAlignment="1" pivotButton="0" quotePrefix="0" xfId="0">
      <alignment horizontal="center" vertical="center"/>
    </xf>
    <xf numFmtId="0" fontId="19" fillId="44" borderId="1" applyAlignment="1" pivotButton="0" quotePrefix="0" xfId="0">
      <alignment horizontal="center" vertical="center"/>
    </xf>
    <xf numFmtId="0" fontId="18" fillId="10" borderId="1" applyAlignment="1" pivotButton="0" quotePrefix="0" xfId="0">
      <alignment horizontal="center" vertical="center"/>
    </xf>
    <xf numFmtId="0" fontId="18" fillId="45" borderId="1" applyAlignment="1" pivotButton="0" quotePrefix="0" xfId="0">
      <alignment horizontal="center" vertical="center"/>
    </xf>
    <xf numFmtId="0" fontId="18" fillId="24" borderId="1" applyAlignment="1" pivotButton="0" quotePrefix="0" xfId="0">
      <alignment horizontal="center" vertical="center"/>
    </xf>
    <xf numFmtId="0" fontId="19" fillId="4" borderId="1" applyAlignment="1" pivotButton="0" quotePrefix="0" xfId="0">
      <alignment horizontal="center" vertical="center"/>
    </xf>
    <xf numFmtId="0" fontId="18" fillId="46" borderId="1" applyAlignment="1" pivotButton="0" quotePrefix="0" xfId="0">
      <alignment horizontal="center" vertical="center"/>
    </xf>
    <xf numFmtId="0" fontId="18" fillId="47" borderId="1" applyAlignment="1" pivotButton="0" quotePrefix="0" xfId="0">
      <alignment horizontal="center" vertical="center"/>
    </xf>
    <xf numFmtId="0" fontId="19" fillId="48" borderId="1" applyAlignment="1" pivotButton="0" quotePrefix="0" xfId="0">
      <alignment horizontal="center" vertical="center"/>
    </xf>
    <xf numFmtId="0" fontId="19" fillId="49" borderId="1" applyAlignment="1" pivotButton="0" quotePrefix="0" xfId="0">
      <alignment horizontal="center" vertical="center"/>
    </xf>
    <xf numFmtId="0" fontId="18" fillId="50" borderId="1" applyAlignment="1" pivotButton="0" quotePrefix="0" xfId="0">
      <alignment horizontal="center" vertical="center"/>
    </xf>
    <xf numFmtId="0" fontId="19" fillId="43" borderId="1" applyAlignment="1" pivotButton="0" quotePrefix="0" xfId="0">
      <alignment horizontal="center" vertical="center"/>
    </xf>
    <xf numFmtId="0" fontId="18" fillId="51" borderId="1" applyAlignment="1" pivotButton="0" quotePrefix="0" xfId="0">
      <alignment horizontal="center" vertical="center"/>
    </xf>
    <xf numFmtId="0" fontId="20" fillId="52" borderId="22" applyAlignment="1" pivotButton="0" quotePrefix="0" xfId="0">
      <alignment horizontal="center" vertical="center"/>
    </xf>
    <xf numFmtId="0" fontId="21" fillId="57" borderId="22" applyAlignment="1" pivotButton="0" quotePrefix="0" xfId="0">
      <alignment horizontal="center" vertical="center"/>
    </xf>
    <xf numFmtId="0" fontId="21" fillId="0" borderId="22" applyAlignment="1" pivotButton="0" quotePrefix="0" xfId="0">
      <alignment horizontal="center" vertical="center"/>
    </xf>
    <xf numFmtId="0" fontId="22" fillId="66" borderId="22" applyAlignment="1" pivotButton="0" quotePrefix="0" xfId="0">
      <alignment horizontal="center" vertical="center"/>
    </xf>
    <xf numFmtId="0" fontId="21" fillId="56" borderId="22" applyAlignment="1" pivotButton="0" quotePrefix="0" xfId="0">
      <alignment horizontal="center" vertical="center"/>
    </xf>
    <xf numFmtId="0" fontId="22" fillId="67" borderId="22" applyAlignment="1" pivotButton="0" quotePrefix="0" xfId="0">
      <alignment horizontal="center" vertical="center"/>
    </xf>
    <xf numFmtId="0" fontId="21" fillId="59" borderId="22" applyAlignment="1" pivotButton="0" quotePrefix="0" xfId="0">
      <alignment horizontal="center" vertical="center"/>
    </xf>
    <xf numFmtId="0" fontId="21" fillId="60" borderId="22" applyAlignment="1" pivotButton="0" quotePrefix="0" xfId="0">
      <alignment horizontal="center" vertical="center"/>
    </xf>
    <xf numFmtId="0" fontId="21" fillId="61" borderId="22" applyAlignment="1" pivotButton="0" quotePrefix="0" xfId="0">
      <alignment horizontal="center" vertical="center"/>
    </xf>
    <xf numFmtId="0" fontId="21" fillId="4" borderId="22" applyAlignment="1" pivotButton="0" quotePrefix="0" xfId="0">
      <alignment horizontal="center" vertical="center"/>
    </xf>
    <xf numFmtId="0" fontId="21" fillId="62" borderId="22" applyAlignment="1" pivotButton="0" quotePrefix="0" xfId="0">
      <alignment horizontal="center" vertical="center"/>
    </xf>
    <xf numFmtId="0" fontId="21" fillId="64" borderId="22" applyAlignment="1" pivotButton="0" quotePrefix="0" xfId="0">
      <alignment horizontal="center" vertical="center"/>
    </xf>
    <xf numFmtId="0" fontId="21" fillId="11" borderId="22" applyAlignment="1" pivotButton="0" quotePrefix="0" xfId="0">
      <alignment horizontal="center" vertical="center"/>
    </xf>
    <xf numFmtId="0" fontId="22" fillId="68" borderId="22" applyAlignment="1" pivotButton="0" quotePrefix="0" xfId="0">
      <alignment horizontal="center" vertical="center"/>
    </xf>
    <xf numFmtId="0" fontId="21" fillId="0" borderId="22" applyAlignment="1" pivotButton="0" quotePrefix="0" xfId="0">
      <alignment horizontal="center"/>
    </xf>
    <xf numFmtId="0" fontId="22" fillId="70" borderId="22" applyAlignment="1" pivotButton="0" quotePrefix="0" xfId="0">
      <alignment horizontal="center" vertical="center"/>
    </xf>
    <xf numFmtId="0" fontId="21" fillId="0" borderId="22" pivotButton="0" quotePrefix="0" xfId="0"/>
    <xf numFmtId="0" fontId="22" fillId="72" borderId="22" applyAlignment="1" pivotButton="0" quotePrefix="0" xfId="0">
      <alignment horizontal="center" vertical="center"/>
    </xf>
  </cellXfs>
  <cellStyles count="1">
    <cellStyle name="Normal" xfId="0" builtinId="0" hidden="0"/>
  </cellStyles>
  <dxfs count="28">
    <dxf>
      <font>
        <color theme="1"/>
      </font>
      <fill>
        <patternFill patternType="solid">
          <bgColor rgb="FFFFFF99"/>
        </patternFill>
      </fill>
    </dxf>
    <dxf>
      <font>
        <color theme="1"/>
      </font>
      <fill>
        <patternFill patternType="solid">
          <bgColor rgb="FFB2FFF7"/>
        </patternFill>
      </fill>
    </dxf>
    <dxf>
      <font>
        <color theme="1"/>
      </font>
      <fill>
        <patternFill patternType="solid">
          <bgColor rgb="FFF1E0C6"/>
        </patternFill>
      </fill>
    </dxf>
    <dxf>
      <font>
        <color theme="1"/>
      </font>
      <fill>
        <patternFill patternType="solid">
          <bgColor rgb="FFC4D79B"/>
        </patternFill>
      </fill>
    </dxf>
    <dxf>
      <font>
        <color theme="1"/>
      </font>
      <fill>
        <patternFill patternType="solid">
          <bgColor rgb="FFA9C5E6"/>
        </patternFill>
      </fill>
    </dxf>
    <dxf>
      <font>
        <color theme="1"/>
      </font>
      <fill>
        <patternFill patternType="solid">
          <bgColor rgb="FFFFCCFF"/>
        </patternFill>
      </fill>
    </dxf>
    <dxf>
      <font>
        <color theme="1"/>
      </font>
      <fill>
        <patternFill patternType="solid">
          <bgColor rgb="FFB879D1"/>
        </patternFill>
      </fill>
    </dxf>
    <dxf>
      <fill>
        <patternFill patternType="solid">
          <bgColor rgb="FFD15A5A"/>
        </patternFill>
      </fill>
    </dxf>
    <dxf>
      <font>
        <color theme="1"/>
      </font>
      <fill>
        <patternFill patternType="solid">
          <bgColor rgb="FFFFC000"/>
        </patternFill>
      </fill>
    </dxf>
    <dxf>
      <font>
        <color theme="1"/>
      </font>
      <fill>
        <patternFill patternType="solid">
          <bgColor rgb="FFBDE83C"/>
        </patternFill>
      </fill>
    </dxf>
    <dxf>
      <font>
        <color theme="1"/>
      </font>
      <fill>
        <patternFill patternType="solid">
          <bgColor rgb="FF00B050"/>
        </patternFill>
      </fill>
    </dxf>
    <dxf>
      <font>
        <color theme="0"/>
      </font>
      <fill>
        <patternFill patternType="solid">
          <bgColor rgb="FF7030A0"/>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theme="8" tint="-0.249977111117893"/>
        </patternFill>
      </fill>
    </dxf>
    <dxf>
      <font>
        <color theme="0"/>
      </font>
      <fill>
        <patternFill patternType="solid">
          <bgColor theme="1" tint="0.499984740745262"/>
        </patternFill>
      </fill>
    </dxf>
    <dxf>
      <font>
        <color rgb="FF9C0006"/>
      </font>
      <fill>
        <patternFill>
          <bgColor rgb="FFFFC7CE"/>
        </patternFill>
      </fill>
    </dxf>
    <dxf>
      <font>
        <color rgb="FF006100"/>
      </font>
      <fill>
        <patternFill>
          <bgColor rgb="FFC6EFCE"/>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FF0000"/>
          <bgColor rgb="00FF00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
  <sheetViews>
    <sheetView workbookViewId="0">
      <selection activeCell="A1" sqref="A1"/>
    </sheetView>
  </sheetViews>
  <sheetFormatPr baseColWidth="8" defaultRowHeight="15"/>
  <cols>
    <col width="18.28515625" customWidth="1" min="1" max="1"/>
    <col width="12.5703125" customWidth="1" min="2" max="2"/>
    <col width="16.140625" customWidth="1" min="3" max="3"/>
    <col width="17.42578125" customWidth="1" min="18" max="18"/>
    <col width="16.28515625" customWidth="1" min="20" max="20"/>
  </cols>
  <sheetData>
    <row r="1" ht="18.75" customHeight="1">
      <c r="A1" s="1" t="inlineStr">
        <is>
          <t>Categoria</t>
        </is>
      </c>
      <c r="B1" s="2" t="inlineStr">
        <is>
          <t>01.25</t>
        </is>
      </c>
      <c r="C1" s="2" t="inlineStr">
        <is>
          <t>02.25</t>
        </is>
      </c>
      <c r="D1" s="2" t="inlineStr">
        <is>
          <t>03.25</t>
        </is>
      </c>
      <c r="E1" s="2" t="inlineStr">
        <is>
          <t>04.25</t>
        </is>
      </c>
      <c r="F1" s="2" t="inlineStr">
        <is>
          <t>05.25</t>
        </is>
      </c>
      <c r="G1" s="2" t="inlineStr">
        <is>
          <t>06.25</t>
        </is>
      </c>
      <c r="H1" s="2" t="inlineStr">
        <is>
          <t>07.25</t>
        </is>
      </c>
      <c r="I1" s="2" t="inlineStr">
        <is>
          <t>08.25</t>
        </is>
      </c>
      <c r="J1" s="2" t="inlineStr">
        <is>
          <t>09.25</t>
        </is>
      </c>
      <c r="K1" s="2" t="inlineStr">
        <is>
          <t>10.25</t>
        </is>
      </c>
      <c r="L1" s="2" t="inlineStr">
        <is>
          <t>11.25</t>
        </is>
      </c>
      <c r="M1" s="2" t="inlineStr">
        <is>
          <t>12.25</t>
        </is>
      </c>
      <c r="N1" s="3" t="inlineStr">
        <is>
          <t>Total</t>
        </is>
      </c>
      <c r="R1" s="4" t="inlineStr">
        <is>
          <t>Pólo</t>
        </is>
      </c>
      <c r="S1" s="4" t="inlineStr">
        <is>
          <t>Regional</t>
        </is>
      </c>
    </row>
    <row r="2" ht="15.75" customHeight="1">
      <c r="A2" s="5" t="inlineStr">
        <is>
          <t>Enviado</t>
        </is>
      </c>
      <c r="B2" s="6">
        <f>COUNTIF(INDIRECT(B$1&amp;"!E2:E1000"),$A2)</f>
        <v/>
      </c>
      <c r="C2" s="6">
        <f>COUNTIF(INDIRECT(C$1&amp;"!E2:E1000"),$A2)</f>
        <v/>
      </c>
      <c r="D2" s="6">
        <f>COUNTIF(INDIRECT(D$1&amp;"!E2:E1000"),$A2)</f>
        <v/>
      </c>
      <c r="E2" s="6">
        <f>COUNTIF(INDIRECT(E$1&amp;"!E2:E1000"),$A2)</f>
        <v/>
      </c>
      <c r="F2" s="6">
        <f>COUNTIF(INDIRECT(F$1&amp;"!E2:E1000"),$A2)</f>
        <v/>
      </c>
      <c r="G2" s="6">
        <f>COUNTIF(INDIRECT(G$1&amp;"!E2:E1000"),$A2)</f>
        <v/>
      </c>
      <c r="H2" s="6">
        <f>COUNTIF(INDIRECT(H$1&amp;"!E2:E1000"),$A2)</f>
        <v/>
      </c>
      <c r="I2" s="6">
        <f>COUNTIF(INDIRECT(I$1&amp;"!E2:E1000"),$A2)</f>
        <v/>
      </c>
      <c r="J2" s="6">
        <f>COUNTIF(INDIRECT(J$1&amp;"!E2:E1000"),$A2)</f>
        <v/>
      </c>
      <c r="K2" s="6">
        <f>COUNTIF(INDIRECT(K$1&amp;"!E2:E1000"),$A2)</f>
        <v/>
      </c>
      <c r="L2" s="6">
        <f>COUNTIF(INDIRECT(L$1&amp;"!E2:E1000"),$A2)</f>
        <v/>
      </c>
      <c r="M2" s="6">
        <f>COUNTIF(INDIRECT(M$1&amp;"!E2:E1000"),$A2)</f>
        <v/>
      </c>
      <c r="N2" s="7">
        <f>SUM(B2:M2)</f>
        <v/>
      </c>
      <c r="R2" s="8" t="inlineStr">
        <is>
          <t>Curitiba</t>
        </is>
      </c>
      <c r="S2" s="9" t="inlineStr">
        <is>
          <t>Kelly</t>
        </is>
      </c>
    </row>
    <row r="3" ht="15.75" customHeight="1">
      <c r="A3" s="10" t="inlineStr">
        <is>
          <t>Atrasado</t>
        </is>
      </c>
      <c r="B3" s="11">
        <f>COUNTIF(INDIRECT(B$1&amp;"!E2:E1000"),$A3)</f>
        <v/>
      </c>
      <c r="C3" s="11">
        <f>COUNTIF(INDIRECT(C$1&amp;"!E2:E1000"),$A3)</f>
        <v/>
      </c>
      <c r="D3" s="11">
        <f>COUNTIF(INDIRECT(D$1&amp;"!E2:E1000"),$A3)</f>
        <v/>
      </c>
      <c r="E3" s="11">
        <f>COUNTIF(INDIRECT(E$1&amp;"!E2:E1000"),$A3)</f>
        <v/>
      </c>
      <c r="F3" s="11">
        <f>COUNTIF(INDIRECT(F$1&amp;"!E2:E1000"),$A3)</f>
        <v/>
      </c>
      <c r="G3" s="11">
        <f>COUNTIF(INDIRECT(G$1&amp;"!E2:E1000"),$A3)</f>
        <v/>
      </c>
      <c r="H3" s="11">
        <f>COUNTIF(INDIRECT(H$1&amp;"!E2:E1000"),$A3)</f>
        <v/>
      </c>
      <c r="I3" s="11">
        <f>COUNTIF(INDIRECT(I$1&amp;"!E2:E1000"),$A3)</f>
        <v/>
      </c>
      <c r="J3" s="11">
        <f>COUNTIF(INDIRECT(J$1&amp;"!E2:E1000"),$A3)</f>
        <v/>
      </c>
      <c r="K3" s="11">
        <f>COUNTIF(INDIRECT(K$1&amp;"!E2:E1000"),$A3)</f>
        <v/>
      </c>
      <c r="L3" s="11">
        <f>COUNTIF(INDIRECT(L$1&amp;"!E2:E1000"),$A3)</f>
        <v/>
      </c>
      <c r="M3" s="11">
        <f>COUNTIF(INDIRECT(M$1&amp;"!E2:E1000"),$A3)</f>
        <v/>
      </c>
      <c r="N3" s="12">
        <f>SUM(B3:M3)</f>
        <v/>
      </c>
      <c r="R3" s="13" t="inlineStr">
        <is>
          <t>Francisco Beltrão</t>
        </is>
      </c>
      <c r="S3" s="14" t="inlineStr">
        <is>
          <t>Vanessa</t>
        </is>
      </c>
    </row>
    <row r="4" ht="15.75" customHeight="1">
      <c r="A4" s="15" t="inlineStr">
        <is>
          <t>Atrasado &gt;= 2</t>
        </is>
      </c>
      <c r="B4" s="16">
        <f>COUNTIF(INDIRECT(B$1&amp;"!E2:E1000"),$A4)</f>
        <v/>
      </c>
      <c r="C4" s="16">
        <f>COUNTIF(INDIRECT(C$1&amp;"!E2:E1000"),$A4)</f>
        <v/>
      </c>
      <c r="D4" s="16">
        <f>COUNTIF(INDIRECT(D$1&amp;"!E2:E1000"),$A4)</f>
        <v/>
      </c>
      <c r="E4" s="16">
        <f>COUNTIF(INDIRECT(E$1&amp;"!E2:E1000"),$A4)</f>
        <v/>
      </c>
      <c r="F4" s="16">
        <f>COUNTIF(INDIRECT(F$1&amp;"!E2:E1000"),$A4)</f>
        <v/>
      </c>
      <c r="G4" s="16">
        <f>COUNTIF(INDIRECT(G$1&amp;"!E2:E1000"),$A4)</f>
        <v/>
      </c>
      <c r="H4" s="16">
        <f>COUNTIF(INDIRECT(H$1&amp;"!E2:E1000"),$A4)</f>
        <v/>
      </c>
      <c r="I4" s="16">
        <f>COUNTIF(INDIRECT(I$1&amp;"!E2:E1000"),$A4)</f>
        <v/>
      </c>
      <c r="J4" s="16">
        <f>COUNTIF(INDIRECT(J$1&amp;"!E2:E1000"),$A4)</f>
        <v/>
      </c>
      <c r="K4" s="16">
        <f>COUNTIF(INDIRECT(K$1&amp;"!E2:E1000"),$A4)</f>
        <v/>
      </c>
      <c r="L4" s="16">
        <f>COUNTIF(INDIRECT(L$1&amp;"!E2:E1000"),$A4)</f>
        <v/>
      </c>
      <c r="M4" s="16">
        <f>COUNTIF(INDIRECT(M$1&amp;"!E2:E1000"),$A4)</f>
        <v/>
      </c>
      <c r="N4" s="17">
        <f>SUM(B4:M4)</f>
        <v/>
      </c>
      <c r="R4" s="18" t="inlineStr">
        <is>
          <t>Guarapuava I</t>
        </is>
      </c>
      <c r="S4" s="19" t="inlineStr">
        <is>
          <t>Juliane</t>
        </is>
      </c>
    </row>
    <row r="5" ht="15.75" customHeight="1">
      <c r="A5" s="20" t="inlineStr">
        <is>
          <t>Duplicado</t>
        </is>
      </c>
      <c r="B5" s="21">
        <f>COUNTIF(INDIRECT(B$1&amp;"!E2:E1000"),$A5)</f>
        <v/>
      </c>
      <c r="C5" s="21">
        <f>COUNTIF(INDIRECT(C$1&amp;"!E2:E1000"),$A5)</f>
        <v/>
      </c>
      <c r="D5" s="21">
        <f>COUNTIF(INDIRECT(D$1&amp;"!E2:E1000"),$A5)</f>
        <v/>
      </c>
      <c r="E5" s="21">
        <f>COUNTIF(INDIRECT(E$1&amp;"!E2:E1000"),$A5)</f>
        <v/>
      </c>
      <c r="F5" s="21">
        <f>COUNTIF(INDIRECT(F$1&amp;"!E2:E1000"),$A5)</f>
        <v/>
      </c>
      <c r="G5" s="21">
        <f>COUNTIF(INDIRECT(G$1&amp;"!E2:E1000"),$A5)</f>
        <v/>
      </c>
      <c r="H5" s="21">
        <f>COUNTIF(INDIRECT(H$1&amp;"!E2:E1000"),$A5)</f>
        <v/>
      </c>
      <c r="I5" s="21">
        <f>COUNTIF(INDIRECT(I$1&amp;"!E2:E1000"),$A5)</f>
        <v/>
      </c>
      <c r="J5" s="21">
        <f>COUNTIF(INDIRECT(J$1&amp;"!E2:E1000"),$A5)</f>
        <v/>
      </c>
      <c r="K5" s="21">
        <f>COUNTIF(INDIRECT(K$1&amp;"!E2:E1000"),$A5)</f>
        <v/>
      </c>
      <c r="L5" s="21">
        <f>COUNTIF(INDIRECT(L$1&amp;"!E2:E1000"),$A5)</f>
        <v/>
      </c>
      <c r="M5" s="21">
        <f>COUNTIF(INDIRECT(M$1&amp;"!E2:E1000"),$A5)</f>
        <v/>
      </c>
      <c r="N5" s="22">
        <f>SUM(B5:M5)</f>
        <v/>
      </c>
      <c r="R5" s="23" t="inlineStr">
        <is>
          <t>Guarapuava II</t>
        </is>
      </c>
      <c r="S5" s="24" t="inlineStr">
        <is>
          <t>Aramis</t>
        </is>
      </c>
    </row>
    <row r="6" ht="15.75" customHeight="1">
      <c r="A6" s="25" t="inlineStr">
        <is>
          <t>Outras Ocorrências</t>
        </is>
      </c>
      <c r="B6" s="26">
        <f>COUNTIF(INDIRECT(B$1&amp;"!E2:E1000"),$A6)</f>
        <v/>
      </c>
      <c r="C6" s="26">
        <f>COUNTIF(INDIRECT(C$1&amp;"!E2:E1000"),$A6)</f>
        <v/>
      </c>
      <c r="D6" s="26">
        <f>COUNTIF(INDIRECT(D$1&amp;"!E2:E1000"),$A6)</f>
        <v/>
      </c>
      <c r="E6" s="26">
        <f>COUNTIF(INDIRECT(E$1&amp;"!E2:E1000"),$A6)</f>
        <v/>
      </c>
      <c r="F6" s="26">
        <f>COUNTIF(INDIRECT(F$1&amp;"!E2:E1000"),$A6)</f>
        <v/>
      </c>
      <c r="G6" s="26">
        <f>COUNTIF(INDIRECT(G$1&amp;"!E2:E1000"),$A6)</f>
        <v/>
      </c>
      <c r="H6" s="26">
        <f>COUNTIF(INDIRECT(H$1&amp;"!E2:E1000"),$A6)</f>
        <v/>
      </c>
      <c r="I6" s="26">
        <f>COUNTIF(INDIRECT(I$1&amp;"!E2:E1000"),$A6)</f>
        <v/>
      </c>
      <c r="J6" s="26">
        <f>COUNTIF(INDIRECT(J$1&amp;"!E2:E1000"),$A6)</f>
        <v/>
      </c>
      <c r="K6" s="26">
        <f>COUNTIF(INDIRECT(K$1&amp;"!E2:E1000"),$A6)</f>
        <v/>
      </c>
      <c r="L6" s="26">
        <f>COUNTIF(INDIRECT(L$1&amp;"!E2:E1000"),$A6)</f>
        <v/>
      </c>
      <c r="M6" s="26">
        <f>COUNTIF(INDIRECT(M$1&amp;"!E2:E1000"),$A6)</f>
        <v/>
      </c>
      <c r="N6" s="27">
        <f>SUM(B6:M6)</f>
        <v/>
      </c>
      <c r="R6" s="28" t="inlineStr">
        <is>
          <t>Londrina</t>
        </is>
      </c>
      <c r="S6" s="29" t="inlineStr">
        <is>
          <t>Johvanny</t>
        </is>
      </c>
    </row>
    <row r="7" ht="15.75" customHeight="1">
      <c r="A7" s="30" t="inlineStr">
        <is>
          <t>Sem Técnico</t>
        </is>
      </c>
      <c r="B7" s="31">
        <f>COUNTIF(INDIRECT(B$1&amp;"!E2:E1000"),$A7)</f>
        <v/>
      </c>
      <c r="C7" s="31">
        <f>COUNTIF(INDIRECT(C$1&amp;"!E2:E1000"),$A7)</f>
        <v/>
      </c>
      <c r="D7" s="31">
        <f>COUNTIF(INDIRECT(D$1&amp;"!E2:E1000"),$A7)</f>
        <v/>
      </c>
      <c r="E7" s="31">
        <f>COUNTIF(INDIRECT(E$1&amp;"!E2:E1000"),$A7)</f>
        <v/>
      </c>
      <c r="F7" s="31">
        <f>COUNTIF(INDIRECT(F$1&amp;"!E2:E1000"),$A7)</f>
        <v/>
      </c>
      <c r="G7" s="31">
        <f>COUNTIF(INDIRECT(G$1&amp;"!E2:E1000"),$A7)</f>
        <v/>
      </c>
      <c r="H7" s="31">
        <f>COUNTIF(INDIRECT(H$1&amp;"!E2:E1000"),$A7)</f>
        <v/>
      </c>
      <c r="I7" s="31">
        <f>COUNTIF(INDIRECT(I$1&amp;"!E2:E1000"),$A7)</f>
        <v/>
      </c>
      <c r="J7" s="31">
        <f>COUNTIF(INDIRECT(J$1&amp;"!E2:E1000"),$A7)</f>
        <v/>
      </c>
      <c r="K7" s="31">
        <f>COUNTIF(INDIRECT(K$1&amp;"!E2:E1000"),$A7)</f>
        <v/>
      </c>
      <c r="L7" s="31">
        <f>COUNTIF(INDIRECT(L$1&amp;"!E2:E1000"),$A7)</f>
        <v/>
      </c>
      <c r="M7" s="31">
        <f>COUNTIF(INDIRECT(M$1&amp;"!E2:E1000"),$A7)</f>
        <v/>
      </c>
      <c r="N7" s="32">
        <f>SUM(B7:M7)</f>
        <v/>
      </c>
      <c r="R7" s="33" t="inlineStr">
        <is>
          <t>Maringá</t>
        </is>
      </c>
      <c r="S7" s="34" t="inlineStr">
        <is>
          <t>Diana</t>
        </is>
      </c>
    </row>
    <row r="8" ht="15.75" customHeight="1">
      <c r="A8" s="35" t="inlineStr">
        <is>
          <t>Total</t>
        </is>
      </c>
      <c r="B8" s="36">
        <f>SUM(B2:B7)</f>
        <v/>
      </c>
      <c r="C8" s="36">
        <f>SUM(C2:C7)</f>
        <v/>
      </c>
      <c r="D8" s="36">
        <f>SUM(D2:D7)</f>
        <v/>
      </c>
      <c r="E8" s="36">
        <f>SUM(E2:E7)</f>
        <v/>
      </c>
      <c r="F8" s="36">
        <f>SUM(F2:F7)</f>
        <v/>
      </c>
      <c r="G8" s="36">
        <f>SUM(G2:G7)</f>
        <v/>
      </c>
      <c r="H8" s="36">
        <f>SUM(H2:H7)</f>
        <v/>
      </c>
      <c r="I8" s="36">
        <f>SUM(I2:I7)</f>
        <v/>
      </c>
      <c r="J8" s="36">
        <f>SUM(J2:J7)</f>
        <v/>
      </c>
      <c r="K8" s="36">
        <f>SUM(K2:K7)</f>
        <v/>
      </c>
      <c r="L8" s="36">
        <f>SUM(L2:L7)</f>
        <v/>
      </c>
      <c r="M8" s="36">
        <f>SUM(M2:M7)</f>
        <v/>
      </c>
      <c r="N8" s="36">
        <f>SUM(B8:M8)</f>
        <v/>
      </c>
      <c r="R8" s="37" t="inlineStr">
        <is>
          <t>Paranavaí</t>
        </is>
      </c>
      <c r="S8" s="38" t="inlineStr">
        <is>
          <t>Mário</t>
        </is>
      </c>
    </row>
    <row r="9"/>
    <row r="10">
      <c r="A10" s="39" t="n"/>
      <c r="B10" s="39" t="n"/>
      <c r="C10" s="39" t="n"/>
      <c r="D10" s="39" t="n"/>
      <c r="E10" s="39" t="n"/>
      <c r="F10" s="39" t="n"/>
      <c r="G10" s="39" t="n"/>
      <c r="H10" s="39" t="n"/>
      <c r="I10" s="39" t="n"/>
      <c r="J10" s="39" t="n"/>
      <c r="K10" s="39" t="n"/>
      <c r="L10" s="39" t="n"/>
      <c r="M10" s="39" t="n"/>
      <c r="N10" s="39" t="n"/>
      <c r="O10" s="39" t="n"/>
      <c r="P10" s="39" t="n"/>
      <c r="Q10" s="39" t="n"/>
      <c r="R10" s="39" t="n"/>
      <c r="S10" s="39" t="n"/>
      <c r="T10" s="39" t="n"/>
      <c r="U10" s="39" t="n"/>
    </row>
    <row r="11" ht="23.25" customHeight="1">
      <c r="A11" s="40" t="inlineStr">
        <is>
          <t>Digite o Mês de Referência</t>
        </is>
      </c>
      <c r="B11" s="41" t="n"/>
      <c r="C11" s="42" t="inlineStr">
        <is>
          <t>Mês de Referência</t>
        </is>
      </c>
      <c r="D11" s="43" t="n"/>
      <c r="E11" s="43" t="n"/>
      <c r="F11" s="43" t="n"/>
      <c r="G11" s="43" t="n"/>
      <c r="H11" s="43" t="n"/>
      <c r="I11" s="44" t="n"/>
      <c r="J11" s="39" t="n"/>
      <c r="K11" s="42" t="inlineStr">
        <is>
          <t>Acumulado (Total)</t>
        </is>
      </c>
      <c r="L11" s="43" t="n"/>
      <c r="M11" s="43" t="n"/>
      <c r="N11" s="43" t="n"/>
      <c r="O11" s="43" t="n"/>
      <c r="P11" s="44" t="n"/>
      <c r="Q11" s="45" t="n"/>
      <c r="R11" s="46" t="inlineStr">
        <is>
          <t>Resumo por Regional</t>
        </is>
      </c>
      <c r="S11" s="43" t="n"/>
      <c r="T11" s="44" t="n"/>
      <c r="U11" s="39" t="n"/>
    </row>
    <row r="12" ht="15.75" customHeight="1">
      <c r="A12" s="47" t="inlineStr">
        <is>
          <t>10.25</t>
        </is>
      </c>
      <c r="B12" s="41" t="n"/>
      <c r="C12" s="48" t="inlineStr">
        <is>
          <t>Monitoramento (Envios)</t>
        </is>
      </c>
      <c r="D12" s="43" t="n"/>
      <c r="E12" s="43" t="n"/>
      <c r="F12" s="43" t="n"/>
      <c r="G12" s="43" t="n"/>
      <c r="H12" s="43" t="n"/>
      <c r="I12" s="44" t="n"/>
      <c r="J12" s="39" t="n"/>
      <c r="K12" s="48" t="inlineStr">
        <is>
          <t>Monitoramento (Envios)</t>
        </is>
      </c>
      <c r="L12" s="43" t="n"/>
      <c r="M12" s="43" t="n"/>
      <c r="N12" s="43" t="n"/>
      <c r="O12" s="43" t="n"/>
      <c r="P12" s="44" t="n"/>
      <c r="Q12" s="45" t="n"/>
      <c r="R12" s="49" t="inlineStr">
        <is>
          <t>Regional</t>
        </is>
      </c>
      <c r="S12" s="44" t="n"/>
      <c r="T12" s="50" t="inlineStr">
        <is>
          <t>Curitiba</t>
        </is>
      </c>
      <c r="U12" s="39" t="n"/>
    </row>
    <row r="13" ht="15.75" customHeight="1">
      <c r="A13" s="51" t="n"/>
      <c r="B13" s="52" t="n"/>
      <c r="C13" s="49" t="inlineStr">
        <is>
          <t>Regional</t>
        </is>
      </c>
      <c r="D13" s="49" t="inlineStr">
        <is>
          <t>Envi.</t>
        </is>
      </c>
      <c r="E13" s="49" t="inlineStr">
        <is>
          <t>Atra.</t>
        </is>
      </c>
      <c r="F13" s="49" t="inlineStr">
        <is>
          <t>Atra. &gt;= 2</t>
        </is>
      </c>
      <c r="G13" s="49" t="inlineStr">
        <is>
          <t>Dup.</t>
        </is>
      </c>
      <c r="H13" s="49" t="inlineStr">
        <is>
          <t>Out. Ocor.</t>
        </is>
      </c>
      <c r="I13" s="49" t="inlineStr">
        <is>
          <t>Sem Tec.</t>
        </is>
      </c>
      <c r="J13" s="39" t="n"/>
      <c r="K13" s="49" t="inlineStr">
        <is>
          <t>Envi.</t>
        </is>
      </c>
      <c r="L13" s="49" t="inlineStr">
        <is>
          <t>Atra.</t>
        </is>
      </c>
      <c r="M13" s="49" t="inlineStr">
        <is>
          <t>Atra. &gt;= 2</t>
        </is>
      </c>
      <c r="N13" s="49" t="inlineStr">
        <is>
          <t>Dup.</t>
        </is>
      </c>
      <c r="O13" s="49" t="inlineStr">
        <is>
          <t>Out. Ocor.</t>
        </is>
      </c>
      <c r="P13" s="49" t="inlineStr">
        <is>
          <t>Sem Tec.</t>
        </is>
      </c>
      <c r="Q13" s="45" t="n"/>
      <c r="R13" s="53">
        <f>_xlfn.CONCAT("Envios - Mês de Referência - ", A12)</f>
        <v/>
      </c>
      <c r="S13" s="43" t="n"/>
      <c r="T13" s="44" t="n"/>
      <c r="U13" s="39" t="n"/>
    </row>
    <row r="14" ht="15" customHeight="1">
      <c r="A14" s="51" t="n"/>
      <c r="B14" s="52" t="n"/>
      <c r="C14" s="8" t="inlineStr">
        <is>
          <t>Curitiba</t>
        </is>
      </c>
      <c r="D14" s="54">
        <f t="array" ref="D14">IFERROR(ROWS(_xlfn._xlws.FILTER(INDIRECT($A$12&amp;"!A2:E100"),(INDIRECT($A$12&amp;"!A2:A100")=$C14)*(INDIRECT($A$12&amp;"!E2:E100")="Enviado"))), 0)</f>
        <v/>
      </c>
      <c r="E14" s="11">
        <f t="array" ref="E14">IFERROR(ROWS(_xlfn._xlws.FILTER(INDIRECT($A$12&amp;"!A2:E100"),(INDIRECT($A$12&amp;"!A2:A100")=$C14)*(INDIRECT($A$12&amp;"!E2:E100")="Atrasado"))), 0)</f>
        <v/>
      </c>
      <c r="F14" s="16">
        <f t="array" ref="F14">IFERROR(ROWS(_xlfn._xlws.FILTER(INDIRECT($A$12&amp;"!A2:E100"),(INDIRECT($A$12&amp;"!A2:A100")=$C14)*(INDIRECT($A$12&amp;"!E2:E100")="Atrasado &gt;= 2"))), 0)</f>
        <v/>
      </c>
      <c r="G14" s="21">
        <f t="array" ref="G14">IFERROR(ROWS(_xlfn._xlws.FILTER(INDIRECT($A$12&amp;"!A2:E100"),(INDIRECT($A$12&amp;"!A2:A100")=$C14)*(INDIRECT($A$12&amp;"!E2:E100")="Duplicado"))), 0)</f>
        <v/>
      </c>
      <c r="H14" s="26">
        <f t="array" ref="H14">IFERROR(ROWS(_xlfn._xlws.FILTER(INDIRECT($A$12&amp;"!A2:E100"),(INDIRECT($A$12&amp;"!A2:A100")=$C14)*(INDIRECT($A$12&amp;"!E2:E100")="Outras Ocorrências"))), 0)</f>
        <v/>
      </c>
      <c r="I14" s="31">
        <f t="array" ref="I14">IFERROR(ROWS(_xlfn._xlws.FILTER(INDIRECT($A$12&amp;"!A2:E100"),(INDIRECT($A$12&amp;"!A2:A100")=$C14)*(INDIRECT($A$12&amp;"!E2:E100")="Sem Técnico"))), 0)</f>
        <v/>
      </c>
      <c r="J14" s="39" t="n"/>
      <c r="K14" s="54">
        <f>COUNTIF(INDIRECT("Monitoramento!$D$2:$P$14"), "Enviado")</f>
        <v/>
      </c>
      <c r="L14" s="11">
        <f>COUNTIF(INDIRECT("Monitoramento!$D$2:$P$14"), "Atrasado")</f>
        <v/>
      </c>
      <c r="M14" s="16">
        <f>COUNTIF(INDIRECT("Monitoramento!$D$2:$P$14"), "Atrasado &gt;= 2")</f>
        <v/>
      </c>
      <c r="N14" s="21">
        <f>COUNTIF(INDIRECT("Monitoramento!$D$2:$P$14"), "Duplicado")</f>
        <v/>
      </c>
      <c r="O14" s="26">
        <f>COUNTIF(INDIRECT("Monitoramento!$D$2:$P$14"), "Outras Ocorrências")</f>
        <v/>
      </c>
      <c r="P14" s="31">
        <f>COUNTIF(INDIRECT("Monitoramento!$D$2:$P$14"), "Sem Técnico")</f>
        <v/>
      </c>
      <c r="Q14" s="45" t="n"/>
      <c r="R14" s="55" t="inlineStr">
        <is>
          <t>Enviados</t>
        </is>
      </c>
      <c r="S14" s="56">
        <f>VLOOKUP($T$12,$C$14:$I$18,2, FALSE)</f>
        <v/>
      </c>
      <c r="T14" s="57">
        <f>S14/SUM($S$14:$S$19)</f>
        <v/>
      </c>
      <c r="U14" s="39" t="n"/>
    </row>
    <row r="15" ht="15" customHeight="1">
      <c r="A15" s="51" t="n"/>
      <c r="B15" s="52" t="n"/>
      <c r="C15" s="13" t="inlineStr">
        <is>
          <t>Francisco Beltrão</t>
        </is>
      </c>
      <c r="D15" s="54">
        <f t="array" ref="D15">IFERROR(ROWS(_xlfn._xlws.FILTER(INDIRECT($A$12&amp;"!A2:E100"),(INDIRECT($A$12&amp;"!A2:A100")=$C15)*(INDIRECT($A$12&amp;"!E2:E100")="Enviado"))), 0)</f>
        <v/>
      </c>
      <c r="E15" s="11">
        <f t="array" ref="E15">IFERROR(ROWS(_xlfn._xlws.FILTER(INDIRECT($A$12&amp;"!A2:E100"),(INDIRECT($A$12&amp;"!A2:A100")=$C15)*(INDIRECT($A$12&amp;"!E2:E100")="Atrasado"))), 0)</f>
        <v/>
      </c>
      <c r="F15" s="16">
        <f t="array" ref="F15">IFERROR(ROWS(_xlfn._xlws.FILTER(INDIRECT($A$12&amp;"!A2:E100"),(INDIRECT($A$12&amp;"!A2:A100")=$C15)*(INDIRECT($A$12&amp;"!E2:E100")="Atrasado &gt;= 2"))), 0)</f>
        <v/>
      </c>
      <c r="G15" s="21">
        <f t="array" ref="G15">IFERROR(ROWS(_xlfn._xlws.FILTER(INDIRECT($A$12&amp;"!A2:E100"),(INDIRECT($A$12&amp;"!A2:A100")=$C15)*(INDIRECT($A$12&amp;"!E2:E100")="Duplicado"))), 0)</f>
        <v/>
      </c>
      <c r="H15" s="26">
        <f t="array" ref="H15">IFERROR(ROWS(_xlfn._xlws.FILTER(INDIRECT($A$12&amp;"!A2:E100"),(INDIRECT($A$12&amp;"!A2:A100")=$C15)*(INDIRECT($A$12&amp;"!E2:E100")="Outras Ocorrências"))), 0)</f>
        <v/>
      </c>
      <c r="I15" s="31">
        <f t="array" ref="I15">IFERROR(ROWS(_xlfn._xlws.FILTER(INDIRECT($A$12&amp;"!A2:E100"),(INDIRECT($A$12&amp;"!A2:A100")=$C15)*(INDIRECT($A$12&amp;"!E2:E100")="Sem Técnico"))), 0)</f>
        <v/>
      </c>
      <c r="J15" s="39" t="n"/>
      <c r="K15" s="54">
        <f>COUNTIF(INDIRECT("Monitoramento!$D$17:$P$26"), "Enviado")</f>
        <v/>
      </c>
      <c r="L15" s="11">
        <f>COUNTIF(INDIRECT("Monitoramento!$D$17:$P$26"), "Atrasado")</f>
        <v/>
      </c>
      <c r="M15" s="16">
        <f>COUNTIF(INDIRECT("Monitoramento!$D$17:$P$26"), "Atrasado &gt;= 2")</f>
        <v/>
      </c>
      <c r="N15" s="21">
        <f>COUNTIF(INDIRECT("Monitoramento!$D$17:$P$26"), "Duplicado")</f>
        <v/>
      </c>
      <c r="O15" s="26">
        <f>COUNTIF(INDIRECT("Monitoramento!$D$17:$P$26"), "Outras Ocorrências")</f>
        <v/>
      </c>
      <c r="P15" s="31">
        <f>COUNTIF(INDIRECT("Monitoramento!$D$17:$P$26"), "Sem Técnico")</f>
        <v/>
      </c>
      <c r="Q15" s="45" t="n"/>
      <c r="R15" s="58" t="inlineStr">
        <is>
          <t>Atrasados</t>
        </is>
      </c>
      <c r="S15" s="11">
        <f>VLOOKUP($T$12,$C$14:$I$18,3,FALSE)</f>
        <v/>
      </c>
      <c r="T15" s="59">
        <f>S15/SUM($S$14:$S$19)</f>
        <v/>
      </c>
      <c r="U15" s="39" t="n"/>
    </row>
    <row r="16" ht="15" customHeight="1">
      <c r="A16" s="51" t="n"/>
      <c r="B16" s="52" t="n"/>
      <c r="C16" s="18" t="inlineStr">
        <is>
          <t>Guarapuava I</t>
        </is>
      </c>
      <c r="D16" s="54">
        <f t="array" ref="D16">IFERROR(ROWS(_xlfn._xlws.FILTER(INDIRECT($A$12&amp;"!A2:E100"),(INDIRECT($A$12&amp;"!A2:A100")=$C16)*(INDIRECT($A$12&amp;"!E2:E100")="Enviado"))), 0)</f>
        <v/>
      </c>
      <c r="E16" s="11">
        <f t="array" ref="E16">IFERROR(ROWS(_xlfn._xlws.FILTER(INDIRECT($A$12&amp;"!A2:E100"),(INDIRECT($A$12&amp;"!A2:A100")=$C16)*(INDIRECT($A$12&amp;"!E2:E100")="Atrasado"))), 0)</f>
        <v/>
      </c>
      <c r="F16" s="16">
        <f t="array" ref="F16">IFERROR(ROWS(_xlfn._xlws.FILTER(INDIRECT($A$12&amp;"!A2:E100"),(INDIRECT($A$12&amp;"!A2:A100")=$C16)*(INDIRECT($A$12&amp;"!E2:E100")="Atrasado &gt;= 2"))), 0)</f>
        <v/>
      </c>
      <c r="G16" s="21">
        <f t="array" ref="G16">IFERROR(ROWS(_xlfn._xlws.FILTER(INDIRECT($A$12&amp;"!A2:E100"),(INDIRECT($A$12&amp;"!A2:A100")=$C16)*(INDIRECT($A$12&amp;"!E2:E100")="Duplicado"))), 0)</f>
        <v/>
      </c>
      <c r="H16" s="26">
        <f t="array" ref="H16">IFERROR(ROWS(_xlfn._xlws.FILTER(INDIRECT($A$12&amp;"!A2:E100"),(INDIRECT($A$12&amp;"!A2:A100")=$C16)*(INDIRECT($A$12&amp;"!E2:E100")="Outras Ocorrências"))), 0)</f>
        <v/>
      </c>
      <c r="I16" s="31">
        <f t="array" ref="I16">IFERROR(ROWS(_xlfn._xlws.FILTER(INDIRECT($A$12&amp;"!A2:E100"),(INDIRECT($A$12&amp;"!A2:A100")=$C16)*(INDIRECT($A$12&amp;"!E2:E100")="Sem Técnico"))), 0)</f>
        <v/>
      </c>
      <c r="J16" s="39" t="n"/>
      <c r="K16" s="54">
        <f>COUNTIF(INDIRECT("Monitoramento!$D$29:$P$30"), "Enviado")</f>
        <v/>
      </c>
      <c r="L16" s="11">
        <f>COUNTIF(INDIRECT("Monitoramento!$D$29:$P$30"), "Atrasado")</f>
        <v/>
      </c>
      <c r="M16" s="16">
        <f>COUNTIF(INDIRECT("Monitoramento!$D$29:$P$30"), "Atrasado &gt;= 2")</f>
        <v/>
      </c>
      <c r="N16" s="21">
        <f>COUNTIF(INDIRECT("Monitoramento!$D$29:$P$30"), "Duplicado")</f>
        <v/>
      </c>
      <c r="O16" s="26">
        <f>COUNTIF(INDIRECT("Monitoramento!$D$29:$P$30"), "Outras Ocorrências")</f>
        <v/>
      </c>
      <c r="P16" s="31">
        <f>COUNTIF(INDIRECT("Monitoramento!$D$29:$P$30"), "Sem Técnico")</f>
        <v/>
      </c>
      <c r="Q16" s="45" t="n"/>
      <c r="R16" s="58" t="inlineStr">
        <is>
          <t>Atrasados &gt;= 2</t>
        </is>
      </c>
      <c r="S16" s="16">
        <f>VLOOKUP($T$12,$C$14:$I$18,4,FALSE)</f>
        <v/>
      </c>
      <c r="T16" s="60">
        <f>S16/SUM($S$14:$S$19)</f>
        <v/>
      </c>
      <c r="U16" s="39" t="n"/>
    </row>
    <row r="17" ht="15" customHeight="1">
      <c r="A17" s="51" t="n"/>
      <c r="B17" s="52" t="n"/>
      <c r="C17" s="61" t="inlineStr">
        <is>
          <t>Guarapuava II</t>
        </is>
      </c>
      <c r="D17" s="54">
        <f t="array" ref="D17">IFERROR(ROWS(_xlfn._xlws.FILTER(INDIRECT($A$12&amp;"!A2:E100"),(INDIRECT($A$12&amp;"!A2:A100")=$C17)*(INDIRECT($A$12&amp;"!E2:E100")="Enviado"))), 0)</f>
        <v/>
      </c>
      <c r="E17" s="11">
        <f t="array" ref="E17">IFERROR(ROWS(_xlfn._xlws.FILTER(INDIRECT($A$12&amp;"!A2:E100"),(INDIRECT($A$12&amp;"!A2:A100")=$C17)*(INDIRECT($A$12&amp;"!E2:E100")="Atrasado"))), 0)</f>
        <v/>
      </c>
      <c r="F17" s="16">
        <f t="array" ref="F17">IFERROR(ROWS(_xlfn._xlws.FILTER(INDIRECT($A$12&amp;"!A2:E100"),(INDIRECT($A$12&amp;"!A2:A100")=$C17)*(INDIRECT($A$12&amp;"!E2:E100")="Atrasado &gt;= 2"))), 0)</f>
        <v/>
      </c>
      <c r="G17" s="21">
        <f t="array" ref="G17">IFERROR(ROWS(_xlfn._xlws.FILTER(INDIRECT($A$12&amp;"!A2:E100"),(INDIRECT($A$12&amp;"!A2:A100")=$C17)*(INDIRECT($A$12&amp;"!E2:E100")="Duplicado"))), 0)</f>
        <v/>
      </c>
      <c r="H17" s="26">
        <f t="array" ref="H17">IFERROR(ROWS(_xlfn._xlws.FILTER(INDIRECT($A$12&amp;"!A2:E100"),(INDIRECT($A$12&amp;"!A2:A100")=$C17)*(INDIRECT($A$12&amp;"!E2:E100")="Outras Ocorrências"))), 0)</f>
        <v/>
      </c>
      <c r="I17" s="31">
        <f t="array" ref="I17">IFERROR(ROWS(_xlfn._xlws.FILTER(INDIRECT($A$12&amp;"!A2:E100"),(INDIRECT($A$12&amp;"!A2:A100")=$C17)*(INDIRECT($A$12&amp;"!E2:E100")="Sem Técnico"))), 0)</f>
        <v/>
      </c>
      <c r="J17" s="39" t="n"/>
      <c r="K17" s="54">
        <f>COUNTIF(INDIRECT("Monitoramento!$D$33:$P$39"), "Enviado")</f>
        <v/>
      </c>
      <c r="L17" s="11">
        <f>COUNTIF(INDIRECT("Monitoramento!$D$33:$P$39"), "Atrasado")</f>
        <v/>
      </c>
      <c r="M17" s="16">
        <f>COUNTIF(INDIRECT("Monitoramento!$D$33:$P$39"), "Atrasado &gt;= 2")</f>
        <v/>
      </c>
      <c r="N17" s="21">
        <f>COUNTIF(INDIRECT("Monitoramento!$D$33:$P$39"), "Duplicado")</f>
        <v/>
      </c>
      <c r="O17" s="26">
        <f>COUNTIF(INDIRECT("Monitoramento!$D$33:$P$39"), "Outras Ocorrências")</f>
        <v/>
      </c>
      <c r="P17" s="31">
        <f>COUNTIF(INDIRECT("Monitoramento!$D$33:$P$39"), "Sem Técnico")</f>
        <v/>
      </c>
      <c r="Q17" s="45" t="n"/>
      <c r="R17" s="58" t="inlineStr">
        <is>
          <t>Duplicados</t>
        </is>
      </c>
      <c r="S17" s="21">
        <f>VLOOKUP($T$12,$C$14:$I$18,5,FALSE)</f>
        <v/>
      </c>
      <c r="T17" s="62">
        <f>S17/SUM($S$14:$S$19)</f>
        <v/>
      </c>
      <c r="U17" s="39" t="n"/>
    </row>
    <row r="18" ht="15" customHeight="1">
      <c r="A18" s="51" t="n"/>
      <c r="B18" s="52" t="n"/>
      <c r="C18" s="28" t="inlineStr">
        <is>
          <t>Londrina</t>
        </is>
      </c>
      <c r="D18" s="54">
        <f t="array" ref="D18">IFERROR(ROWS(_xlfn._xlws.FILTER(INDIRECT($A$12&amp;"!A2:E100"),(INDIRECT($A$12&amp;"!A2:A100")=$C18)*(INDIRECT($A$12&amp;"!E2:E100")="Enviado"))), 0)</f>
        <v/>
      </c>
      <c r="E18" s="11">
        <f t="array" ref="E18">IFERROR(ROWS(_xlfn._xlws.FILTER(INDIRECT($A$12&amp;"!A2:E100"),(INDIRECT($A$12&amp;"!A2:A100")=$C18)*(INDIRECT($A$12&amp;"!E2:E100")="Atrasado"))), 0)</f>
        <v/>
      </c>
      <c r="F18" s="16">
        <f t="array" ref="F18">IFERROR(ROWS(_xlfn._xlws.FILTER(INDIRECT($A$12&amp;"!A2:E100"),(INDIRECT($A$12&amp;"!A2:A100")=$C18)*(INDIRECT($A$12&amp;"!E2:E100")="Atrasado &gt;= 2"))), 0)</f>
        <v/>
      </c>
      <c r="G18" s="21">
        <f t="array" ref="G18">IFERROR(ROWS(_xlfn._xlws.FILTER(INDIRECT($A$12&amp;"!A2:E100"),(INDIRECT($A$12&amp;"!A2:A100")=$C18)*(INDIRECT($A$12&amp;"!E2:E100")="Duplicado"))), 0)</f>
        <v/>
      </c>
      <c r="H18" s="26">
        <f t="array" ref="H18">IFERROR(ROWS(_xlfn._xlws.FILTER(INDIRECT($A$12&amp;"!A2:E100"),(INDIRECT($A$12&amp;"!A2:A100")=$C18)*(INDIRECT($A$12&amp;"!E2:E100")="Outras Ocorrências"))), 0)</f>
        <v/>
      </c>
      <c r="I18" s="31">
        <f t="array" ref="I18">IFERROR(ROWS(_xlfn._xlws.FILTER(INDIRECT($A$12&amp;"!A2:E100"),(INDIRECT($A$12&amp;"!A2:A100")=$C18)*(INDIRECT($A$12&amp;"!E2:E100")="Sem Técnico"))), 0)</f>
        <v/>
      </c>
      <c r="J18" s="39" t="n"/>
      <c r="K18" s="54">
        <f>COUNTIF(INDIRECT("Monitoramento!$D$42:$P$49"), "Enviado")</f>
        <v/>
      </c>
      <c r="L18" s="11">
        <f>COUNTIF(INDIRECT("Monitoramento!$D$42:$P$49"), "Atrasado")</f>
        <v/>
      </c>
      <c r="M18" s="16">
        <f>COUNTIF(INDIRECT("Monitoramento!$D$42:$P$49"), "Atrasado &gt;= 2")</f>
        <v/>
      </c>
      <c r="N18" s="21">
        <f>COUNTIF(INDIRECT("Monitoramento!$D$42:$P$49"), "Duplicado")</f>
        <v/>
      </c>
      <c r="O18" s="26">
        <f>COUNTIF(INDIRECT("Monitoramento!$D$42:$P$49"), "Outras Ocorrências")</f>
        <v/>
      </c>
      <c r="P18" s="31">
        <f>COUNTIF(INDIRECT("Monitoramento!$D$42:$P$49"), "Sem Técnico")</f>
        <v/>
      </c>
      <c r="Q18" s="45" t="n"/>
      <c r="R18" s="58" t="inlineStr">
        <is>
          <t>Outas Ocorrências</t>
        </is>
      </c>
      <c r="S18" s="26">
        <f>VLOOKUP($T$12,$C$14:$I$18,6,FALSE)</f>
        <v/>
      </c>
      <c r="T18" s="63">
        <f>S18/SUM($S$14:$S$19)</f>
        <v/>
      </c>
      <c r="U18" s="39" t="n"/>
    </row>
    <row r="19" ht="15" customHeight="1">
      <c r="A19" s="51" t="n"/>
      <c r="B19" s="52" t="n"/>
      <c r="C19" s="33" t="inlineStr">
        <is>
          <t>Maringá</t>
        </is>
      </c>
      <c r="D19" s="54">
        <f t="array" ref="D19">IFERROR(ROWS(_xlfn._xlws.FILTER(INDIRECT($A$12&amp;"!A2:E100"),(INDIRECT($A$12&amp;"!A2:A100")=$C19)*(INDIRECT($A$12&amp;"!E2:E100")="Enviado"))), 0)</f>
        <v/>
      </c>
      <c r="E19" s="11">
        <f t="array" ref="E19">IFERROR(ROWS(_xlfn._xlws.FILTER(INDIRECT($A$12&amp;"!A2:E100"),(INDIRECT($A$12&amp;"!A2:A100")=$C19)*(INDIRECT($A$12&amp;"!E2:E100")="Atrasado"))), 0)</f>
        <v/>
      </c>
      <c r="F19" s="16">
        <f t="array" ref="F19">IFERROR(ROWS(_xlfn._xlws.FILTER(INDIRECT($A$12&amp;"!A2:E100"),(INDIRECT($A$12&amp;"!A2:A100")=$C19)*(INDIRECT($A$12&amp;"!E2:E100")="Atrasado &gt;= 2"))), 0)</f>
        <v/>
      </c>
      <c r="G19" s="21">
        <f t="array" ref="G19">IFERROR(ROWS(_xlfn._xlws.FILTER(INDIRECT($A$12&amp;"!A2:E100"),(INDIRECT($A$12&amp;"!A2:A100")=$C19)*(INDIRECT($A$12&amp;"!E2:E100")="Duplicado"))), 0)</f>
        <v/>
      </c>
      <c r="H19" s="26">
        <f t="array" ref="H19">IFERROR(ROWS(_xlfn._xlws.FILTER(INDIRECT($A$12&amp;"!A2:E100"),(INDIRECT($A$12&amp;"!A2:A100")=$C19)*(INDIRECT($A$12&amp;"!E2:E100")="Outras Ocorrências"))), 0)</f>
        <v/>
      </c>
      <c r="I19" s="31">
        <f t="array" ref="I19">IFERROR(ROWS(_xlfn._xlws.FILTER(INDIRECT($A$12&amp;"!A2:E100"),(INDIRECT($A$12&amp;"!A2:A100")=$C19)*(INDIRECT($A$12&amp;"!E2:E100")="Sem Técnico"))), 0)</f>
        <v/>
      </c>
      <c r="J19" s="39" t="n"/>
      <c r="K19" s="54">
        <f>COUNTIF(INDIRECT("Monitoramento!$D$52:$P$60"), "Enviado")</f>
        <v/>
      </c>
      <c r="L19" s="11">
        <f>COUNTIF(INDIRECT("Monitoramento!$D$52:$P$60"), "Atrasado")</f>
        <v/>
      </c>
      <c r="M19" s="16">
        <f>COUNTIF(INDIRECT("Monitoramento!$D$52:$P$60"), "Atrasado &gt;= 2")</f>
        <v/>
      </c>
      <c r="N19" s="21">
        <f>COUNTIF(INDIRECT("Monitoramento!$D$52:$P$60"), "Duplicado")</f>
        <v/>
      </c>
      <c r="O19" s="26">
        <f>COUNTIF(INDIRECT("Monitoramento!$D$52:$P$60"), "Outras Ocorrências")</f>
        <v/>
      </c>
      <c r="P19" s="31">
        <f>COUNTIF(INDIRECT("Monitoramento!$D$52:$P$60"), "Sem Técnico")</f>
        <v/>
      </c>
      <c r="Q19" s="45" t="n"/>
      <c r="R19" s="58" t="inlineStr">
        <is>
          <t>Sem Técnico</t>
        </is>
      </c>
      <c r="S19" s="64">
        <f>VLOOKUP($T$12,$C$14:$I$18,7,FALSE)</f>
        <v/>
      </c>
      <c r="T19" s="65">
        <f>S19/SUM($S$14:$S$19)</f>
        <v/>
      </c>
      <c r="U19" s="39" t="n"/>
    </row>
    <row r="20" ht="15.75" customHeight="1">
      <c r="A20" s="51" t="n"/>
      <c r="B20" s="52" t="n"/>
      <c r="C20" s="37" t="inlineStr">
        <is>
          <t>Paranavaí</t>
        </is>
      </c>
      <c r="D20" s="54">
        <f t="array" ref="D20">IFERROR(ROWS(_xlfn._xlws.FILTER(INDIRECT($A$12&amp;"!A2:E100"),(INDIRECT($A$12&amp;"!A2:A100")=$C20)*(INDIRECT($A$12&amp;"!E2:E100")="Enviado"))), 0)</f>
        <v/>
      </c>
      <c r="E20" s="11">
        <f t="array" ref="E20">IFERROR(ROWS(_xlfn._xlws.FILTER(INDIRECT($A$12&amp;"!A2:E100"),(INDIRECT($A$12&amp;"!A2:A100")=$C20)*(INDIRECT($A$12&amp;"!E2:E100")="Atrasado"))), 0)</f>
        <v/>
      </c>
      <c r="F20" s="16">
        <f t="array" ref="F20">IFERROR(ROWS(_xlfn._xlws.FILTER(INDIRECT($A$12&amp;"!A2:E100"),(INDIRECT($A$12&amp;"!A2:A100")=$C20)*(INDIRECT($A$12&amp;"!E2:E100")="Atrasado &gt;= 2"))), 0)</f>
        <v/>
      </c>
      <c r="G20" s="21">
        <f t="array" ref="G20">IFERROR(ROWS(_xlfn._xlws.FILTER(INDIRECT($A$12&amp;"!A2:E100"),(INDIRECT($A$12&amp;"!A2:A100")=$C20)*(INDIRECT($A$12&amp;"!E2:E100")="Duplicado"))), 0)</f>
        <v/>
      </c>
      <c r="H20" s="26">
        <f t="array" ref="H20">IFERROR(ROWS(_xlfn._xlws.FILTER(INDIRECT($A$12&amp;"!A2:E100"),(INDIRECT($A$12&amp;"!A2:A100")=$C20)*(INDIRECT($A$12&amp;"!E2:E100")="Outras Ocorrências"))), 0)</f>
        <v/>
      </c>
      <c r="I20" s="31">
        <f t="array" ref="I20">IFERROR(ROWS(_xlfn._xlws.FILTER(INDIRECT($A$12&amp;"!A2:E100"),(INDIRECT($A$12&amp;"!A2:A100")=$C20)*(INDIRECT($A$12&amp;"!E2:E100")="Sem Técnico"))), 0)</f>
        <v/>
      </c>
      <c r="J20" s="39" t="n"/>
      <c r="K20" s="54">
        <f>COUNTIF(INDIRECT("Monitoramento!$D$63:$Q$70"), "Enviado")</f>
        <v/>
      </c>
      <c r="L20" s="11">
        <f>COUNTIF(INDIRECT("Monitoramento!$D$63:$Q$70"), "Atrasado")</f>
        <v/>
      </c>
      <c r="M20" s="16">
        <f>COUNTIF(INDIRECT("Monitoramento!$D$63:$Q$70"), "Atrasado &gt;= 2")</f>
        <v/>
      </c>
      <c r="N20" s="21">
        <f>COUNTIF(INDIRECT("Monitoramento!$D$63:$Q$70"), "Duplicado")</f>
        <v/>
      </c>
      <c r="O20" s="26">
        <f>COUNTIF(INDIRECT("Monitoramento!$D$63:$Q$70"), "Outras Ocorrências")</f>
        <v/>
      </c>
      <c r="P20" s="31">
        <f>COUNTIF(INDIRECT("Monitoramento!$D$63:$Q$70"), "Sem Técnico")</f>
        <v/>
      </c>
      <c r="Q20" s="45" t="n"/>
      <c r="R20" s="66" t="inlineStr">
        <is>
          <t>% Validação</t>
        </is>
      </c>
      <c r="S20" s="67">
        <f>VLOOKUP($T$12,$C$23:$I$27,7,FALSE)</f>
        <v/>
      </c>
      <c r="T20" s="41" t="n"/>
      <c r="U20" s="39" t="n"/>
    </row>
    <row r="21" ht="15.75" customHeight="1">
      <c r="A21" s="51" t="n"/>
      <c r="B21" s="52" t="n"/>
      <c r="C21" s="48" t="inlineStr">
        <is>
          <t>Regionais (Validações)</t>
        </is>
      </c>
      <c r="D21" s="43" t="n"/>
      <c r="E21" s="43" t="n"/>
      <c r="F21" s="43" t="n"/>
      <c r="G21" s="43" t="n"/>
      <c r="H21" s="43" t="n"/>
      <c r="I21" s="44" t="n"/>
      <c r="J21" s="39" t="n"/>
      <c r="K21" s="48" t="inlineStr">
        <is>
          <t>Regionais (Validações)</t>
        </is>
      </c>
      <c r="L21" s="43" t="n"/>
      <c r="M21" s="43" t="n"/>
      <c r="N21" s="43" t="n"/>
      <c r="O21" s="43" t="n"/>
      <c r="P21" s="44" t="n"/>
      <c r="Q21" s="45" t="n"/>
      <c r="R21" s="53" t="inlineStr">
        <is>
          <t>Envios - Acumulado (Total)</t>
        </is>
      </c>
      <c r="S21" s="43" t="n"/>
      <c r="T21" s="44" t="n"/>
      <c r="U21" s="39" t="n"/>
    </row>
    <row r="22" ht="15" customHeight="1">
      <c r="A22" s="51" t="n"/>
      <c r="B22" s="52" t="n"/>
      <c r="C22" s="49" t="inlineStr">
        <is>
          <t>Regional</t>
        </is>
      </c>
      <c r="D22" s="44" t="n"/>
      <c r="E22" s="49" t="inlineStr">
        <is>
          <t>Validados</t>
        </is>
      </c>
      <c r="F22" s="44" t="n"/>
      <c r="G22" s="49" t="inlineStr">
        <is>
          <t>Não Validados</t>
        </is>
      </c>
      <c r="H22" s="44" t="n"/>
      <c r="I22" s="49" t="inlineStr">
        <is>
          <t>% Val.</t>
        </is>
      </c>
      <c r="J22" s="39" t="n"/>
      <c r="K22" s="49" t="inlineStr">
        <is>
          <t>Validados</t>
        </is>
      </c>
      <c r="L22" s="44" t="n"/>
      <c r="M22" s="49" t="inlineStr">
        <is>
          <t>Não Validados</t>
        </is>
      </c>
      <c r="N22" s="44" t="n"/>
      <c r="O22" s="49" t="inlineStr">
        <is>
          <t>% Validados</t>
        </is>
      </c>
      <c r="P22" s="44" t="n"/>
      <c r="Q22" s="45" t="n"/>
      <c r="R22" s="55" t="inlineStr">
        <is>
          <t>Enviados</t>
        </is>
      </c>
      <c r="S22" s="56">
        <f>VLOOKUP($T$12,$C$13:$P$18,9,FALSE)</f>
        <v/>
      </c>
      <c r="T22" s="57">
        <f>S22/SUM($S$22:$S$27)</f>
        <v/>
      </c>
      <c r="U22" s="39" t="n"/>
    </row>
    <row r="23" ht="15" customHeight="1">
      <c r="A23" s="51" t="n"/>
      <c r="B23" s="52" t="n"/>
      <c r="C23" s="8" t="inlineStr">
        <is>
          <t>Curitiba</t>
        </is>
      </c>
      <c r="D23" s="44" t="n"/>
      <c r="E23" s="68">
        <f t="array" ref="E23">IFERROR(ROWS(_xlfn._xlws.FILTER(INDIRECT($A$12&amp;"!A2:E100"),(INDIRECT($A$12&amp;"!A2:A100")=$C23)*(INDIRECT($A$12&amp;"!G2:G100")="Sim"))), 0)</f>
        <v/>
      </c>
      <c r="F23" s="44" t="n"/>
      <c r="G23" s="69">
        <f t="array" ref="G23">IFERROR(ROWS(_xlfn._xlws.FILTER(INDIRECT($A$12&amp;"!A2:E100"),(INDIRECT($A$12&amp;"!A2:A100")=$C23)*(INDIRECT($A$12&amp;"!G2:G100")="Não")))-E14, 0)</f>
        <v/>
      </c>
      <c r="H23" s="44" t="n"/>
      <c r="I23" s="70">
        <f>IFERROR(E23/SUM(E23:H23),0)</f>
        <v/>
      </c>
      <c r="J23" s="39" t="n"/>
      <c r="K23" s="68">
        <f>COUNTIF(INDIRECT("Regionais!D2:P14"), "Sim")</f>
        <v/>
      </c>
      <c r="L23" s="44" t="n"/>
      <c r="M23" s="69">
        <f>COUNTIF(INDIRECT("Regionais!D2:P14"), "Não")-SUM(L14:M14)</f>
        <v/>
      </c>
      <c r="N23" s="44" t="n"/>
      <c r="O23" s="71">
        <f>IFERROR(K23/SUM(K23:N23), 0)</f>
        <v/>
      </c>
      <c r="P23" s="44" t="n"/>
      <c r="Q23" s="45" t="n"/>
      <c r="R23" s="58" t="inlineStr">
        <is>
          <t>Atrasados</t>
        </is>
      </c>
      <c r="S23" s="11">
        <f>VLOOKUP($T$12,$C$13:$P$18,10,FALSE)</f>
        <v/>
      </c>
      <c r="T23" s="59">
        <f>S23/SUM($S$22:$S$27)</f>
        <v/>
      </c>
      <c r="U23" s="39" t="n"/>
    </row>
    <row r="24" ht="15" customHeight="1">
      <c r="A24" s="51" t="n"/>
      <c r="B24" s="52" t="n"/>
      <c r="C24" s="13" t="inlineStr">
        <is>
          <t>Francisco Beltrão</t>
        </is>
      </c>
      <c r="D24" s="44" t="n"/>
      <c r="E24" s="68">
        <f t="array" ref="E24">IFERROR(ROWS(_xlfn._xlws.FILTER(INDIRECT($A$12&amp;"!A2:E100"),(INDIRECT($A$12&amp;"!A2:A100")=$C24)*(INDIRECT($A$12&amp;"!G2:G100")="Sim"))), 0)</f>
        <v/>
      </c>
      <c r="F24" s="44" t="n"/>
      <c r="G24" s="69">
        <f t="array" ref="G24">IFERROR(ROWS(_xlfn._xlws.FILTER(INDIRECT($A$12&amp;"!A2:E100"),(INDIRECT($A$12&amp;"!A2:A100")=$C24)*(INDIRECT($A$12&amp;"!G2:G100")="Não")))-E15, 0)</f>
        <v/>
      </c>
      <c r="H24" s="44" t="n"/>
      <c r="I24" s="70">
        <f>IFERROR(E24/SUM(E24:H24),0)</f>
        <v/>
      </c>
      <c r="J24" s="39" t="n"/>
      <c r="K24" s="68">
        <f>COUNTIF(INDIRECT("Regionais!D17:P26"), "Sim")</f>
        <v/>
      </c>
      <c r="L24" s="44" t="n"/>
      <c r="M24" s="69">
        <f>COUNTIF(INDIRECT("Regionais!D17:P26"), "Não")-SUM(L15:M15)</f>
        <v/>
      </c>
      <c r="N24" s="44" t="n"/>
      <c r="O24" s="71">
        <f>IFERROR(K24/SUM(K24:N24), 0)</f>
        <v/>
      </c>
      <c r="P24" s="44" t="n"/>
      <c r="Q24" s="45" t="n"/>
      <c r="R24" s="58" t="inlineStr">
        <is>
          <t>Atrasados &gt;= 2</t>
        </is>
      </c>
      <c r="S24" s="16">
        <f>VLOOKUP($T$12,$C$13:$P$18,11,FALSE)</f>
        <v/>
      </c>
      <c r="T24" s="60">
        <f>S24/SUM($S$22:$S$27)</f>
        <v/>
      </c>
      <c r="U24" s="39" t="n"/>
    </row>
    <row r="25" ht="15" customHeight="1">
      <c r="A25" s="51" t="n"/>
      <c r="B25" s="52" t="n"/>
      <c r="C25" s="18" t="inlineStr">
        <is>
          <t>Guarapuava I</t>
        </is>
      </c>
      <c r="D25" s="44" t="n"/>
      <c r="E25" s="68">
        <f t="array" ref="E25">IFERROR(ROWS(_xlfn._xlws.FILTER(INDIRECT($A$12&amp;"!A2:E100"),(INDIRECT($A$12&amp;"!A2:A100")=$C25)*(INDIRECT($A$12&amp;"!G2:G100")="Sim"))), 0)</f>
        <v/>
      </c>
      <c r="F25" s="44" t="n"/>
      <c r="G25" s="69">
        <f t="array" ref="G25">IFERROR(ROWS(_xlfn._xlws.FILTER(INDIRECT($A$12&amp;"!A2:E100"),(INDIRECT($A$12&amp;"!A2:A100")=$C25)*(INDIRECT($A$12&amp;"!G2:G100")="Não")))-E16, 0)</f>
        <v/>
      </c>
      <c r="H25" s="44" t="n"/>
      <c r="I25" s="70">
        <f>IFERROR(E25/SUM(E25:H25),0)</f>
        <v/>
      </c>
      <c r="J25" s="39" t="n"/>
      <c r="K25" s="68">
        <f>COUNTIF(INDIRECT("Regionais!D29:P30"), "Sim")</f>
        <v/>
      </c>
      <c r="L25" s="44" t="n"/>
      <c r="M25" s="69">
        <f>COUNTIF(INDIRECT("Regionais!D29:P30"), "Não")-SUM(L16:M16)</f>
        <v/>
      </c>
      <c r="N25" s="44" t="n"/>
      <c r="O25" s="71">
        <f>IFERROR(K25/SUM(K25:N25), 0)</f>
        <v/>
      </c>
      <c r="P25" s="44" t="n"/>
      <c r="Q25" s="45" t="n"/>
      <c r="R25" s="58" t="inlineStr">
        <is>
          <t>Duplicados</t>
        </is>
      </c>
      <c r="S25" s="21">
        <f>VLOOKUP($T$12,$C$13:$P$18,12,FALSE)</f>
        <v/>
      </c>
      <c r="T25" s="62">
        <f>S25/SUM($S$22:$S$27)</f>
        <v/>
      </c>
      <c r="U25" s="39" t="n"/>
    </row>
    <row r="26" ht="15" customHeight="1">
      <c r="A26" s="51" t="n"/>
      <c r="B26" s="52" t="n"/>
      <c r="C26" s="23" t="inlineStr">
        <is>
          <t>Guarapuava II</t>
        </is>
      </c>
      <c r="D26" s="44" t="n"/>
      <c r="E26" s="68">
        <f t="array" ref="E26">IFERROR(ROWS(_xlfn._xlws.FILTER(INDIRECT($A$12&amp;"!A2:E100"),(INDIRECT($A$12&amp;"!A2:A100")=$C26)*(INDIRECT($A$12&amp;"!G2:G100")="Sim"))), 0)</f>
        <v/>
      </c>
      <c r="F26" s="44" t="n"/>
      <c r="G26" s="69">
        <f t="array" ref="G26">IFERROR(ROWS(_xlfn._xlws.FILTER(INDIRECT($A$12&amp;"!A2:E100"),(INDIRECT($A$12&amp;"!A2:A100")=$C26)*(INDIRECT($A$12&amp;"!G2:G100")="Não")))-E17, 0)</f>
        <v/>
      </c>
      <c r="H26" s="44" t="n"/>
      <c r="I26" s="70">
        <f>IFERROR(E26/SUM(E26:H26),0)</f>
        <v/>
      </c>
      <c r="J26" s="39" t="n"/>
      <c r="K26" s="68">
        <f>COUNTIF(INDIRECT("Regionais!D33:P39"), "Sim")</f>
        <v/>
      </c>
      <c r="L26" s="44" t="n"/>
      <c r="M26" s="69">
        <f>COUNTIF(INDIRECT("Regionais!D33:P39"), "Não")-SUM(L17:M17)</f>
        <v/>
      </c>
      <c r="N26" s="44" t="n"/>
      <c r="O26" s="71">
        <f>IFERROR(K26/SUM(K26:N26), 0)</f>
        <v/>
      </c>
      <c r="P26" s="44" t="n"/>
      <c r="Q26" s="45" t="n"/>
      <c r="R26" s="58" t="inlineStr">
        <is>
          <t>Outas Ocorrências</t>
        </is>
      </c>
      <c r="S26" s="26">
        <f>VLOOKUP($T$12,$C$13:$P$18,13,FALSE)</f>
        <v/>
      </c>
      <c r="T26" s="63">
        <f>S26/SUM($S$22:$S$27)</f>
        <v/>
      </c>
      <c r="U26" s="39" t="n"/>
    </row>
    <row r="27" ht="15" customHeight="1">
      <c r="A27" s="51" t="n"/>
      <c r="B27" s="52" t="n"/>
      <c r="C27" s="28" t="inlineStr">
        <is>
          <t>Londrina</t>
        </is>
      </c>
      <c r="D27" s="44" t="n"/>
      <c r="E27" s="68">
        <f t="array" ref="E27">IFERROR(ROWS(_xlfn._xlws.FILTER(INDIRECT($A$12&amp;"!A2:E100"),(INDIRECT($A$12&amp;"!A2:A100")=$C27)*(INDIRECT($A$12&amp;"!G2:G100")="Sim"))), 0)</f>
        <v/>
      </c>
      <c r="F27" s="44" t="n"/>
      <c r="G27" s="69">
        <f t="array" ref="G27">IFERROR(ROWS(_xlfn._xlws.FILTER(INDIRECT($A$12&amp;"!A2:E100"),(INDIRECT($A$12&amp;"!A2:A100")=$C27)*(INDIRECT($A$12&amp;"!G2:G100")="Não")))-E18, 0)</f>
        <v/>
      </c>
      <c r="H27" s="44" t="n"/>
      <c r="I27" s="70">
        <f>IFERROR(E27/SUM(E27:H27),0)</f>
        <v/>
      </c>
      <c r="J27" s="39" t="n"/>
      <c r="K27" s="68">
        <f>COUNTIF(INDIRECT("Regionais!D42:P49"), "Sim")</f>
        <v/>
      </c>
      <c r="L27" s="44" t="n"/>
      <c r="M27" s="69">
        <f>COUNTIF(INDIRECT("Regionais!D42:P49"), "Não")-SUM(L18:M18)</f>
        <v/>
      </c>
      <c r="N27" s="44" t="n"/>
      <c r="O27" s="71">
        <f>IFERROR(K27/SUM(K27:N27), 0)</f>
        <v/>
      </c>
      <c r="P27" s="44" t="n"/>
      <c r="Q27" s="45" t="n"/>
      <c r="R27" s="58" t="inlineStr">
        <is>
          <t>Sem Técnico</t>
        </is>
      </c>
      <c r="S27" s="64">
        <f>VLOOKUP($T$12,$C$13:$P$18,14,FALSE)</f>
        <v/>
      </c>
      <c r="T27" s="65">
        <f>S27/SUM($S$22:$S$27)</f>
        <v/>
      </c>
      <c r="U27" s="39" t="n"/>
    </row>
    <row r="28" ht="15" customHeight="1">
      <c r="A28" s="51" t="n"/>
      <c r="B28" s="52" t="n"/>
      <c r="C28" s="33" t="inlineStr">
        <is>
          <t>Maringá</t>
        </is>
      </c>
      <c r="D28" s="44" t="n"/>
      <c r="E28" s="68">
        <f t="array" ref="E28">IFERROR(ROWS(_xlfn._xlws.FILTER(INDIRECT($A$12&amp;"!A2:E100"),(INDIRECT($A$12&amp;"!A2:A100")=$C28)*(INDIRECT($A$12&amp;"!G2:G100")="Sim"))), 0)</f>
        <v/>
      </c>
      <c r="F28" s="44" t="n"/>
      <c r="G28" s="69">
        <f t="array" ref="G28">IFERROR(ROWS(_xlfn._xlws.FILTER(INDIRECT($A$12&amp;"!A2:E100"),(INDIRECT($A$12&amp;"!A2:A100")=$C28)*(INDIRECT($A$12&amp;"!G2:G100")="Não")))-E19, 0)</f>
        <v/>
      </c>
      <c r="H28" s="44" t="n"/>
      <c r="I28" s="70">
        <f>IFERROR(E28/SUM(E28:H28),0)</f>
        <v/>
      </c>
      <c r="J28" s="39" t="n"/>
      <c r="K28" s="68">
        <f>COUNTIF(INDIRECT("Regionais!D52:P60"), "Sim")</f>
        <v/>
      </c>
      <c r="L28" s="44" t="n"/>
      <c r="M28" s="69">
        <f>COUNTIF(INDIRECT("Regionais!D52:P60"), "Não")-SUM(L19:M19)</f>
        <v/>
      </c>
      <c r="N28" s="44" t="n"/>
      <c r="O28" s="71">
        <f>IFERROR(K28/SUM(K28:N28), 0)</f>
        <v/>
      </c>
      <c r="P28" s="44" t="n"/>
      <c r="Q28" s="45" t="n"/>
      <c r="R28" s="72" t="inlineStr">
        <is>
          <t>% Validação</t>
        </is>
      </c>
      <c r="S28" s="73">
        <f>VLOOKUP($T$12,$C$22:$P$29,13,FALSE)</f>
        <v/>
      </c>
      <c r="T28" s="44" t="n"/>
      <c r="U28" s="39" t="n"/>
    </row>
    <row r="29">
      <c r="A29" s="74" t="n"/>
      <c r="B29" s="75" t="n"/>
      <c r="C29" s="37" t="inlineStr">
        <is>
          <t>Paranavaí</t>
        </is>
      </c>
      <c r="D29" s="44" t="n"/>
      <c r="E29" s="68">
        <f t="array" ref="E29">IFERROR(ROWS(_xlfn._xlws.FILTER(INDIRECT($A$12&amp;"!A2:E100"),(INDIRECT($A$12&amp;"!A2:A100")=$C29)*(INDIRECT($A$12&amp;"!G2:G100")="Sim"))), 0)</f>
        <v/>
      </c>
      <c r="F29" s="44" t="n"/>
      <c r="G29" s="69">
        <f t="array" ref="G29">IFERROR(ROWS(_xlfn._xlws.FILTER(INDIRECT($A$12&amp;"!A2:E100"),(INDIRECT($A$12&amp;"!A2:A100")=$C29)*(INDIRECT($A$12&amp;"!G2:G100")="Não")))-E20, 0)</f>
        <v/>
      </c>
      <c r="H29" s="44" t="n"/>
      <c r="I29" s="70">
        <f>IFERROR(E29/SUM(E29:H29),0)</f>
        <v/>
      </c>
      <c r="J29" s="39" t="n"/>
      <c r="K29" s="68">
        <f>COUNTIF(INDIRECT("Regionais!D63:P70"), "Sim")</f>
        <v/>
      </c>
      <c r="L29" s="44" t="n"/>
      <c r="M29" s="69">
        <f>COUNTIF(INDIRECT("Regionais!D63:P70"), "Não")-SUM(L20:M20)</f>
        <v/>
      </c>
      <c r="N29" s="44" t="n"/>
      <c r="O29" s="71">
        <f>IFERROR(K29/SUM(K29:N29), 0)</f>
        <v/>
      </c>
      <c r="P29" s="44" t="n"/>
      <c r="Q29" s="39" t="n"/>
      <c r="R29" s="39" t="n"/>
      <c r="S29" s="39" t="n"/>
      <c r="T29" s="39" t="n"/>
      <c r="U29" s="39" t="n"/>
    </row>
    <row r="30">
      <c r="A30" s="39" t="n"/>
      <c r="B30" s="39" t="n"/>
      <c r="C30" s="39" t="n"/>
      <c r="D30" s="39" t="n"/>
      <c r="E30" s="39" t="n"/>
      <c r="F30" s="39" t="n"/>
      <c r="G30" s="39" t="n"/>
      <c r="H30" s="39" t="n"/>
      <c r="I30" s="39" t="n"/>
      <c r="J30" s="39" t="n"/>
      <c r="K30" s="39" t="n"/>
      <c r="L30" s="39" t="n"/>
      <c r="M30" s="39" t="n"/>
      <c r="N30" s="39" t="n"/>
      <c r="O30" s="39" t="n"/>
      <c r="P30" s="39" t="n"/>
      <c r="Q30" s="39" t="n"/>
      <c r="R30" s="39" t="n"/>
      <c r="S30" s="39" t="n"/>
      <c r="T30" s="39" t="n"/>
      <c r="U30" s="39" t="n"/>
    </row>
    <row r="31"/>
    <row r="32">
      <c r="C32" s="76" t="n"/>
      <c r="D32" s="76" t="n"/>
      <c r="E32" s="76" t="n"/>
      <c r="F32" s="76" t="n"/>
      <c r="G32" s="76" t="n"/>
    </row>
    <row r="33">
      <c r="B33" s="76" t="n"/>
      <c r="C33" s="77" t="inlineStr">
        <is>
          <t xml:space="preserve">Formulários </t>
        </is>
      </c>
      <c r="D33" s="44" t="n"/>
      <c r="E33" s="78" t="inlineStr">
        <is>
          <t xml:space="preserve">Enviado </t>
        </is>
      </c>
      <c r="F33" s="78" t="inlineStr">
        <is>
          <t xml:space="preserve">Atrasado </t>
        </is>
      </c>
      <c r="G33" s="78" t="inlineStr">
        <is>
          <t xml:space="preserve">Sem Téc </t>
        </is>
      </c>
      <c r="H33" s="79" t="inlineStr">
        <is>
          <t>Outras</t>
        </is>
      </c>
      <c r="I33" s="80" t="inlineStr">
        <is>
          <t>Total</t>
        </is>
      </c>
    </row>
    <row r="34">
      <c r="B34" s="76" t="n"/>
      <c r="C34" s="81" t="inlineStr">
        <is>
          <t>4 - Receitas (11/24)</t>
        </is>
      </c>
      <c r="D34" s="44" t="n"/>
      <c r="E34" s="82" t="inlineStr">
        <is>
          <t>-</t>
        </is>
      </c>
      <c r="F34" s="82" t="inlineStr">
        <is>
          <t>-</t>
        </is>
      </c>
      <c r="G34" s="82" t="inlineStr">
        <is>
          <t>-</t>
        </is>
      </c>
      <c r="H34" s="82" t="inlineStr">
        <is>
          <t>-</t>
        </is>
      </c>
      <c r="I34" s="83" t="n"/>
    </row>
    <row r="35">
      <c r="B35" s="76" t="n"/>
      <c r="C35" s="81" t="inlineStr">
        <is>
          <t>4 - Receitas (12/24)</t>
        </is>
      </c>
      <c r="D35" s="44" t="n"/>
      <c r="E35" s="82" t="inlineStr">
        <is>
          <t>-</t>
        </is>
      </c>
      <c r="F35" s="82" t="inlineStr">
        <is>
          <t>-</t>
        </is>
      </c>
      <c r="G35" s="82" t="inlineStr">
        <is>
          <t>-</t>
        </is>
      </c>
      <c r="H35" s="82" t="inlineStr">
        <is>
          <t>-</t>
        </is>
      </c>
      <c r="I35" s="83" t="n"/>
    </row>
    <row r="36" ht="15" customHeight="1">
      <c r="B36" s="76" t="n"/>
      <c r="C36" s="81" t="inlineStr">
        <is>
          <t>4 - Receitas (01/25)</t>
        </is>
      </c>
      <c r="D36" s="44" t="n"/>
      <c r="E36" s="82">
        <f>B$2+B$5</f>
        <v/>
      </c>
      <c r="F36" s="82">
        <f>B$3+B$4</f>
        <v/>
      </c>
      <c r="G36" s="82">
        <f>B$7</f>
        <v/>
      </c>
      <c r="H36" s="82">
        <f>B6</f>
        <v/>
      </c>
      <c r="I36" s="58">
        <f>SUM(E36:H36)</f>
        <v/>
      </c>
    </row>
    <row r="37">
      <c r="B37" s="76" t="n"/>
      <c r="C37" s="81" t="inlineStr">
        <is>
          <t>4 - Receitas (02/25)</t>
        </is>
      </c>
      <c r="D37" s="44" t="n"/>
      <c r="E37" s="82">
        <f>C$2+C$5</f>
        <v/>
      </c>
      <c r="F37" s="82">
        <f>C$3+C$4</f>
        <v/>
      </c>
      <c r="G37" s="82">
        <f>C$7</f>
        <v/>
      </c>
      <c r="H37" s="82">
        <f>C$6</f>
        <v/>
      </c>
      <c r="I37" s="58">
        <f>SUM(E37:H37)</f>
        <v/>
      </c>
    </row>
    <row r="38">
      <c r="B38" s="76" t="n"/>
      <c r="C38" s="81" t="inlineStr">
        <is>
          <t>4 - Receitas (03/25)</t>
        </is>
      </c>
      <c r="D38" s="44" t="n"/>
      <c r="E38" s="82">
        <f>D$2+D$5</f>
        <v/>
      </c>
      <c r="F38" s="82">
        <f>D$3+D$4</f>
        <v/>
      </c>
      <c r="G38" s="82">
        <f>D$7</f>
        <v/>
      </c>
      <c r="H38" s="82">
        <f>D$6</f>
        <v/>
      </c>
      <c r="I38" s="58">
        <f>SUM(E38:H38)</f>
        <v/>
      </c>
    </row>
    <row r="39">
      <c r="B39" s="76" t="n"/>
      <c r="C39" s="81" t="inlineStr">
        <is>
          <t>4 - Receitas (04/25)</t>
        </is>
      </c>
      <c r="D39" s="44" t="n"/>
      <c r="E39" s="82">
        <f>E$2+E$5</f>
        <v/>
      </c>
      <c r="F39" s="82">
        <f>E$3+E$4</f>
        <v/>
      </c>
      <c r="G39" s="82">
        <f>E$7</f>
        <v/>
      </c>
      <c r="H39" s="82">
        <f>E$6</f>
        <v/>
      </c>
      <c r="I39" s="58">
        <f>SUM(E39:H39)</f>
        <v/>
      </c>
    </row>
    <row r="40">
      <c r="B40" s="76" t="n"/>
      <c r="C40" s="81" t="inlineStr">
        <is>
          <t>4 - Receitas (05/25)</t>
        </is>
      </c>
      <c r="D40" s="44" t="n"/>
      <c r="E40" s="82">
        <f>F$2+F$5</f>
        <v/>
      </c>
      <c r="F40" s="82">
        <f>F$3+F$4</f>
        <v/>
      </c>
      <c r="G40" s="82">
        <f>F$7</f>
        <v/>
      </c>
      <c r="H40" s="82">
        <f>F$6</f>
        <v/>
      </c>
      <c r="I40" s="58">
        <f>SUM(E40:H40)</f>
        <v/>
      </c>
    </row>
    <row r="41">
      <c r="B41" s="76" t="n"/>
      <c r="C41" s="81" t="inlineStr">
        <is>
          <t>4 - Receitas (06/25)</t>
        </is>
      </c>
      <c r="D41" s="44" t="n"/>
      <c r="E41" s="82">
        <f>G$2+G$5</f>
        <v/>
      </c>
      <c r="F41" s="82">
        <f>G$3+G$4</f>
        <v/>
      </c>
      <c r="G41" s="82">
        <f>G$7</f>
        <v/>
      </c>
      <c r="H41" s="82">
        <f>G$6</f>
        <v/>
      </c>
      <c r="I41" s="58">
        <f>SUM(E41:H41)</f>
        <v/>
      </c>
    </row>
    <row r="42">
      <c r="B42" s="76" t="n"/>
      <c r="C42" s="81" t="inlineStr">
        <is>
          <t>4 - Receitas (07/25)</t>
        </is>
      </c>
      <c r="D42" s="44" t="n"/>
      <c r="E42" s="82">
        <f>H$2+H$5</f>
        <v/>
      </c>
      <c r="F42" s="82">
        <f>H$3+H$4</f>
        <v/>
      </c>
      <c r="G42" s="82">
        <f>H$7</f>
        <v/>
      </c>
      <c r="H42" s="82">
        <f>H$6</f>
        <v/>
      </c>
      <c r="I42" s="58">
        <f>SUM(E42:H42)</f>
        <v/>
      </c>
    </row>
    <row r="43">
      <c r="B43" s="76" t="n"/>
      <c r="C43" s="81" t="inlineStr">
        <is>
          <t>4 - Receitas (08/25)</t>
        </is>
      </c>
      <c r="D43" s="44" t="n"/>
      <c r="E43" s="82">
        <f>I$2+I$5</f>
        <v/>
      </c>
      <c r="F43" s="82">
        <f>I$3+I$4</f>
        <v/>
      </c>
      <c r="G43" s="82">
        <f>I$7</f>
        <v/>
      </c>
      <c r="H43" s="82">
        <f>I$6</f>
        <v/>
      </c>
      <c r="I43" s="58">
        <f>SUM(E43:H43)</f>
        <v/>
      </c>
    </row>
    <row r="44">
      <c r="B44" s="76" t="n"/>
      <c r="C44" s="81" t="inlineStr">
        <is>
          <t>4 - Receitas (09/25)</t>
        </is>
      </c>
      <c r="D44" s="44" t="n"/>
      <c r="E44" s="82">
        <f>J$2+J$5</f>
        <v/>
      </c>
      <c r="F44" s="82">
        <f>J$3+J$4</f>
        <v/>
      </c>
      <c r="G44" s="82">
        <f>J$7</f>
        <v/>
      </c>
      <c r="H44" s="82">
        <f>J$6</f>
        <v/>
      </c>
      <c r="I44" s="58">
        <f>SUM(E44:H44)</f>
        <v/>
      </c>
    </row>
    <row r="45">
      <c r="B45" s="76" t="n"/>
      <c r="C45" s="81" t="inlineStr">
        <is>
          <t>4 - Receitas (10/25)</t>
        </is>
      </c>
      <c r="D45" s="44" t="n"/>
      <c r="E45" s="82">
        <f>K$2+K$5</f>
        <v/>
      </c>
      <c r="F45" s="82">
        <f>K$3+K$4</f>
        <v/>
      </c>
      <c r="G45" s="82">
        <f>K$7</f>
        <v/>
      </c>
      <c r="H45" s="82">
        <f>K$6</f>
        <v/>
      </c>
      <c r="I45" s="58">
        <f>SUM(E45:H45)</f>
        <v/>
      </c>
    </row>
    <row r="46">
      <c r="B46" s="76" t="n"/>
      <c r="C46" s="81" t="inlineStr">
        <is>
          <t>4 - Receitas (11/25)</t>
        </is>
      </c>
      <c r="D46" s="44" t="n"/>
      <c r="E46" s="82">
        <f>L$2+L$5</f>
        <v/>
      </c>
      <c r="F46" s="82">
        <f>L$3+L$4</f>
        <v/>
      </c>
      <c r="G46" s="82">
        <f>L$7</f>
        <v/>
      </c>
      <c r="H46" s="82">
        <f>L$6</f>
        <v/>
      </c>
      <c r="I46" s="58">
        <f>SUM(E46:H46)</f>
        <v/>
      </c>
    </row>
    <row r="47">
      <c r="B47" s="76" t="n"/>
      <c r="C47" s="81" t="inlineStr">
        <is>
          <t>4 - Receitas (12/25)</t>
        </is>
      </c>
      <c r="D47" s="44" t="n"/>
      <c r="E47" s="82">
        <f>M$2+M$5</f>
        <v/>
      </c>
      <c r="F47" s="82">
        <f>M$3+M$4</f>
        <v/>
      </c>
      <c r="G47" s="82">
        <f>M$7</f>
        <v/>
      </c>
      <c r="H47" s="82">
        <f>M$6</f>
        <v/>
      </c>
      <c r="I47" s="58">
        <f>SUM(E47:H47)</f>
        <v/>
      </c>
    </row>
    <row r="48">
      <c r="C48" s="76" t="n"/>
      <c r="D48" s="76" t="n"/>
      <c r="E48" s="76" t="n"/>
      <c r="F48" s="76" t="n"/>
      <c r="G48" s="76" t="n"/>
    </row>
  </sheetData>
  <mergeCells count="77">
    <mergeCell ref="K24:L24"/>
    <mergeCell ref="E23:F23"/>
    <mergeCell ref="G23:H23"/>
    <mergeCell ref="K12:P12"/>
    <mergeCell ref="K26:L26"/>
    <mergeCell ref="C41:D41"/>
    <mergeCell ref="O26:P26"/>
    <mergeCell ref="R12:S12"/>
    <mergeCell ref="C43:D43"/>
    <mergeCell ref="M25:N25"/>
    <mergeCell ref="O25:P25"/>
    <mergeCell ref="C27:D27"/>
    <mergeCell ref="E27:F27"/>
    <mergeCell ref="C36:D36"/>
    <mergeCell ref="O27:P27"/>
    <mergeCell ref="S20:T20"/>
    <mergeCell ref="C21:I21"/>
    <mergeCell ref="K28:L28"/>
    <mergeCell ref="C28:D28"/>
    <mergeCell ref="E22:F22"/>
    <mergeCell ref="G22:H22"/>
    <mergeCell ref="A11:B11"/>
    <mergeCell ref="C45:D45"/>
    <mergeCell ref="C47:D47"/>
    <mergeCell ref="O29:P29"/>
    <mergeCell ref="C40:D40"/>
    <mergeCell ref="G24:H24"/>
    <mergeCell ref="K27:L27"/>
    <mergeCell ref="M27:N27"/>
    <mergeCell ref="E26:F26"/>
    <mergeCell ref="G26:H26"/>
    <mergeCell ref="M24:N24"/>
    <mergeCell ref="R11:T11"/>
    <mergeCell ref="E25:F25"/>
    <mergeCell ref="G25:H25"/>
    <mergeCell ref="R13:T13"/>
    <mergeCell ref="C12:I12"/>
    <mergeCell ref="K21:P21"/>
    <mergeCell ref="C34:D34"/>
    <mergeCell ref="K25:L25"/>
    <mergeCell ref="O28:P28"/>
    <mergeCell ref="R21:T21"/>
    <mergeCell ref="K29:L29"/>
    <mergeCell ref="C29:D29"/>
    <mergeCell ref="E29:F29"/>
    <mergeCell ref="C44:D44"/>
    <mergeCell ref="C22:D22"/>
    <mergeCell ref="S28:T28"/>
    <mergeCell ref="O22:P22"/>
    <mergeCell ref="C46:D46"/>
    <mergeCell ref="K23:L23"/>
    <mergeCell ref="C23:D23"/>
    <mergeCell ref="M26:N26"/>
    <mergeCell ref="A12:B29"/>
    <mergeCell ref="C38:D38"/>
    <mergeCell ref="M29:N29"/>
    <mergeCell ref="M23:N23"/>
    <mergeCell ref="O23:P23"/>
    <mergeCell ref="K11:P11"/>
    <mergeCell ref="C11:I11"/>
    <mergeCell ref="C24:D24"/>
    <mergeCell ref="E24:F24"/>
    <mergeCell ref="C33:D33"/>
    <mergeCell ref="C42:D42"/>
    <mergeCell ref="G27:H27"/>
    <mergeCell ref="O24:P24"/>
    <mergeCell ref="C26:D26"/>
    <mergeCell ref="C35:D35"/>
    <mergeCell ref="C25:D25"/>
    <mergeCell ref="E28:F28"/>
    <mergeCell ref="G28:H28"/>
    <mergeCell ref="K22:L22"/>
    <mergeCell ref="M22:N22"/>
    <mergeCell ref="M28:N28"/>
    <mergeCell ref="C39:D39"/>
    <mergeCell ref="G29:H29"/>
    <mergeCell ref="C37:D37"/>
  </mergeCells>
  <conditionalFormatting sqref="T12">
    <cfRule type="cellIs" priority="7" operator="equal" dxfId="0">
      <formula>"Curitiba"</formula>
    </cfRule>
    <cfRule type="cellIs" priority="8" operator="equal" dxfId="1">
      <formula>"Francisco Beltrão"</formula>
    </cfRule>
    <cfRule type="cellIs" priority="9" operator="equal" dxfId="2">
      <formula>"Guarapuava I"</formula>
    </cfRule>
    <cfRule type="cellIs" priority="10" operator="equal" dxfId="3">
      <formula>"Guarapuava II"</formula>
    </cfRule>
    <cfRule type="cellIs" priority="11" operator="equal" dxfId="4">
      <formula>"Londrina"</formula>
    </cfRule>
    <cfRule type="cellIs" priority="13" operator="equal" dxfId="5">
      <formula>"Máringa"</formula>
    </cfRule>
    <cfRule type="cellIs" priority="14" operator="equal" dxfId="6">
      <formula>"Paranavaí"</formula>
    </cfRule>
  </conditionalFormatting>
  <conditionalFormatting sqref="I23:I29 O23:O29 S20 S28">
    <cfRule type="cellIs" priority="3" operator="lessThanOrEqual" dxfId="7">
      <formula>0.25</formula>
    </cfRule>
    <cfRule type="cellIs" priority="4" operator="lessThanOrEqual" dxfId="8">
      <formula>0.5</formula>
    </cfRule>
    <cfRule type="cellIs" priority="5" operator="lessThanOrEqual" dxfId="9">
      <formula>0.75</formula>
    </cfRule>
    <cfRule type="cellIs" priority="6" operator="lessThanOrEqual" dxfId="10">
      <formula>1</formula>
    </cfRule>
  </conditionalFormatting>
  <dataValidations count="2">
    <dataValidation sqref="A12" showDropDown="0" showInputMessage="1" showErrorMessage="1" allowBlank="0" type="list">
      <formula1>"11.24,12.24,01.25,02.25,03.25,04.25,05.25,06.25,07.25,08.25,09.25,10.25,11.25,12.25"</formula1>
    </dataValidation>
    <dataValidation sqref="T12" showDropDown="0" showInputMessage="1" showErrorMessage="1" allowBlank="0" type="list">
      <formula1>$C$14:$C$20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18.5703125" customWidth="1" min="1" max="1"/>
    <col width="31.140625" customWidth="1" min="2" max="2"/>
    <col width="8.5703125" customWidth="1" min="3" max="3"/>
    <col width="14.5703125" customWidth="1" min="4" max="4"/>
    <col width="9.140625" customWidth="1" min="16" max="16"/>
    <col width="18.42578125" customWidth="1" min="18" max="18"/>
    <col width="22" customWidth="1" min="19" max="19"/>
    <col width="7.5703125" customWidth="1" min="20" max="20"/>
  </cols>
  <sheetData>
    <row r="1" ht="15.75" customHeight="1">
      <c r="A1" s="9" t="inlineStr">
        <is>
          <t>Kelly</t>
        </is>
      </c>
      <c r="B1" s="84" t="inlineStr">
        <is>
          <t>Municípios</t>
        </is>
      </c>
      <c r="C1" s="84" t="inlineStr">
        <is>
          <t>UVR</t>
        </is>
      </c>
      <c r="D1" s="4" t="inlineStr">
        <is>
          <t>01.25</t>
        </is>
      </c>
      <c r="E1" s="4" t="inlineStr">
        <is>
          <t>02.25</t>
        </is>
      </c>
      <c r="F1" s="4" t="inlineStr">
        <is>
          <t>03.25</t>
        </is>
      </c>
      <c r="G1" s="4" t="inlineStr">
        <is>
          <t>04.25</t>
        </is>
      </c>
      <c r="H1" s="4" t="inlineStr">
        <is>
          <t>05.25</t>
        </is>
      </c>
      <c r="I1" s="4" t="inlineStr">
        <is>
          <t>06.25</t>
        </is>
      </c>
      <c r="J1" s="4" t="inlineStr">
        <is>
          <t>07.25</t>
        </is>
      </c>
      <c r="K1" s="4" t="inlineStr">
        <is>
          <t>08.25</t>
        </is>
      </c>
      <c r="L1" s="4" t="inlineStr">
        <is>
          <t>09.25</t>
        </is>
      </c>
      <c r="M1" s="4" t="inlineStr">
        <is>
          <t>10.25</t>
        </is>
      </c>
      <c r="N1" s="4" t="inlineStr">
        <is>
          <t>11.25</t>
        </is>
      </c>
      <c r="O1" s="4" t="inlineStr">
        <is>
          <t>12.25</t>
        </is>
      </c>
    </row>
    <row r="2">
      <c r="A2" s="8" t="inlineStr">
        <is>
          <t>Curitiba</t>
        </is>
      </c>
      <c r="B2" s="58" t="inlineStr">
        <is>
          <t>Campo Largo</t>
        </is>
      </c>
      <c r="C2" s="85" t="inlineStr">
        <is>
          <t>01</t>
        </is>
      </c>
      <c r="D2" s="86">
        <f t="array" ref="D2">IF(
    VLOOKUP(
        $A2,
        _xlfn._xlws.FILTER(
            INDIRECT("'"&amp;D$62&amp;"'!A2:E1000"), (INDIRECT("'"&amp;D$62&amp;"'!B2:B1000")=$B2) * (INDIRECT("'"&amp;D$62&amp;"'!C2:C1000")=$C2)
        ),
        5,
        FALSE
    )=0,
    "",
    VLOOKUP(
        $A2,
        _xlfn._xlws.FILTER(
            INDIRECT("'"&amp;D$62&amp;"'!A2:E1000"), (INDIRECT("'"&amp;D$62&amp;"'!B2:B1000")=$B2) * (INDIRECT("'"&amp;D$62&amp;"'!C2:C1000")=$C2)
        ),
        5,
        FALSE
    )
)</f>
        <v/>
      </c>
      <c r="E2" s="86">
        <f t="array" ref="E2">IF(
    VLOOKUP(
        $A2,
        _xlfn._xlws.FILTER(
            INDIRECT("'"&amp;E$62&amp;"'!A2:E1000"), (INDIRECT("'"&amp;E$62&amp;"'!B2:B1000")=$B2) * (INDIRECT("'"&amp;E$62&amp;"'!C2:C1000")=$C2)
        ),
        5,
        FALSE
    )=0,
    "",
    VLOOKUP(
        $A2,
        _xlfn._xlws.FILTER(
            INDIRECT("'"&amp;E$62&amp;"'!A2:E1000"), (INDIRECT("'"&amp;E$62&amp;"'!B2:B1000")=$B2) * (INDIRECT("'"&amp;E$62&amp;"'!C2:C1000")=$C2)
        ),
        5,
        FALSE
    )
)</f>
        <v/>
      </c>
      <c r="F2" s="86">
        <f t="array" ref="F2">IF(
    VLOOKUP(
        $A2,
        _xlfn._xlws.FILTER(
            INDIRECT("'"&amp;F$62&amp;"'!A2:E1000"), (INDIRECT("'"&amp;F$62&amp;"'!B2:B1000")=$B2) * (INDIRECT("'"&amp;F$62&amp;"'!C2:C1000")=$C2)
        ),
        5,
        FALSE
    )=0,
    "",
    VLOOKUP(
        $A2,
        _xlfn._xlws.FILTER(
            INDIRECT("'"&amp;F$62&amp;"'!A2:E1000"), (INDIRECT("'"&amp;F$62&amp;"'!B2:B1000")=$B2) * (INDIRECT("'"&amp;F$62&amp;"'!C2:C1000")=$C2)
        ),
        5,
        FALSE
    )
)</f>
        <v/>
      </c>
      <c r="G2" s="86">
        <f t="array" ref="G2">IF(
    VLOOKUP(
        $A2,
        _xlfn._xlws.FILTER(
            INDIRECT("'"&amp;G$62&amp;"'!A2:E1000"), (INDIRECT("'"&amp;G$62&amp;"'!B2:B1000")=$B2) * (INDIRECT("'"&amp;G$62&amp;"'!C2:C1000")=$C2)
        ),
        5,
        FALSE
    )=0,
    "",
    VLOOKUP(
        $A2,
        _xlfn._xlws.FILTER(
            INDIRECT("'"&amp;G$62&amp;"'!A2:E1000"), (INDIRECT("'"&amp;G$62&amp;"'!B2:B1000")=$B2) * (INDIRECT("'"&amp;G$62&amp;"'!C2:C1000")=$C2)
        ),
        5,
        FALSE
    )
)</f>
        <v/>
      </c>
      <c r="H2" s="86">
        <f t="array" ref="H2">IF(
    VLOOKUP(
        $A2,
        _xlfn._xlws.FILTER(
            INDIRECT("'"&amp;H$62&amp;"'!A2:E1000"), (INDIRECT("'"&amp;H$62&amp;"'!B2:B1000")=$B2) * (INDIRECT("'"&amp;H$62&amp;"'!C2:C1000")=$C2)
        ),
        5,
        FALSE
    )=0,
    "",
    VLOOKUP(
        $A2,
        _xlfn._xlws.FILTER(
            INDIRECT("'"&amp;H$62&amp;"'!A2:E1000"), (INDIRECT("'"&amp;H$62&amp;"'!B2:B1000")=$B2) * (INDIRECT("'"&amp;H$62&amp;"'!C2:C1000")=$C2)
        ),
        5,
        FALSE
    )
)</f>
        <v/>
      </c>
      <c r="I2" s="86">
        <f t="array" ref="I2">IF(
    VLOOKUP(
        $A2,
        _xlfn._xlws.FILTER(
            INDIRECT("'"&amp;I$62&amp;"'!A2:E1000"), (INDIRECT("'"&amp;I$62&amp;"'!B2:B1000")=$B2) * (INDIRECT("'"&amp;I$62&amp;"'!C2:C1000")=$C2)
        ),
        5,
        FALSE
    )=0,
    "",
    VLOOKUP(
        $A2,
        _xlfn._xlws.FILTER(
            INDIRECT("'"&amp;I$62&amp;"'!A2:E1000"), (INDIRECT("'"&amp;I$62&amp;"'!B2:B1000")=$B2) * (INDIRECT("'"&amp;I$62&amp;"'!C2:C1000")=$C2)
        ),
        5,
        FALSE
    )
)</f>
        <v/>
      </c>
      <c r="J2" s="86">
        <f t="array" ref="J2">IF(
    VLOOKUP(
        $A2,
        _xlfn._xlws.FILTER(
            INDIRECT("'"&amp;J$62&amp;"'!A2:E1000"), (INDIRECT("'"&amp;J$62&amp;"'!B2:B1000")=$B2) * (INDIRECT("'"&amp;J$62&amp;"'!C2:C1000")=$C2)
        ),
        5,
        FALSE
    )=0,
    "",
    VLOOKUP(
        $A2,
        _xlfn._xlws.FILTER(
            INDIRECT("'"&amp;J$62&amp;"'!A2:E1000"), (INDIRECT("'"&amp;J$62&amp;"'!B2:B1000")=$B2) * (INDIRECT("'"&amp;J$62&amp;"'!C2:C1000")=$C2)
        ),
        5,
        FALSE
    )
)</f>
        <v/>
      </c>
      <c r="K2" s="86">
        <f t="array" ref="K2">IF(
    VLOOKUP(
        $A2,
        _xlfn._xlws.FILTER(
            INDIRECT("'"&amp;K$62&amp;"'!A2:E1000"), (INDIRECT("'"&amp;K$62&amp;"'!B2:B1000")=$B2) * (INDIRECT("'"&amp;K$62&amp;"'!C2:C1000")=$C2)
        ),
        5,
        FALSE
    )=0,
    "",
    VLOOKUP(
        $A2,
        _xlfn._xlws.FILTER(
            INDIRECT("'"&amp;K$62&amp;"'!A2:E1000"), (INDIRECT("'"&amp;K$62&amp;"'!B2:B1000")=$B2) * (INDIRECT("'"&amp;K$62&amp;"'!C2:C1000")=$C2)
        ),
        5,
        FALSE
    )
)</f>
        <v/>
      </c>
      <c r="L2" s="86">
        <f t="array" ref="L2">IF(
    VLOOKUP(
        $A2,
        _xlfn._xlws.FILTER(
            INDIRECT("'"&amp;L$62&amp;"'!A2:E1000"), (INDIRECT("'"&amp;L$62&amp;"'!B2:B1000")=$B2) * (INDIRECT("'"&amp;L$62&amp;"'!C2:C1000")=$C2)
        ),
        5,
        FALSE
    )=0,
    "",
    VLOOKUP(
        $A2,
        _xlfn._xlws.FILTER(
            INDIRECT("'"&amp;L$62&amp;"'!A2:E1000"), (INDIRECT("'"&amp;L$62&amp;"'!B2:B1000")=$B2) * (INDIRECT("'"&amp;L$62&amp;"'!C2:C1000")=$C2)
        ),
        5,
        FALSE
    )
)</f>
        <v/>
      </c>
      <c r="M2" s="86">
        <f t="array" ref="M2">IF(
    VLOOKUP(
        $A2,
        _xlfn._xlws.FILTER(
            INDIRECT("'"&amp;M$62&amp;"'!A2:E1000"), (INDIRECT("'"&amp;M$62&amp;"'!B2:B1000")=$B2) * (INDIRECT("'"&amp;M$62&amp;"'!C2:C1000")=$C2)
        ),
        5,
        FALSE
    )=0,
    "",
    VLOOKUP(
        $A2,
        _xlfn._xlws.FILTER(
            INDIRECT("'"&amp;M$62&amp;"'!A2:E1000"), (INDIRECT("'"&amp;M$62&amp;"'!B2:B1000")=$B2) * (INDIRECT("'"&amp;M$62&amp;"'!C2:C1000")=$C2)
        ),
        5,
        FALSE
    )
)</f>
        <v/>
      </c>
      <c r="N2" s="86">
        <f t="array" ref="N2">IF(
    VLOOKUP(
        $A2,
        _xlfn._xlws.FILTER(
            INDIRECT("'"&amp;N$62&amp;"'!A2:E1000"), (INDIRECT("'"&amp;N$62&amp;"'!B2:B1000")=$B2) * (INDIRECT("'"&amp;N$62&amp;"'!C2:C1000")=$C2)
        ),
        5,
        FALSE
    )=0,
    "",
    VLOOKUP(
        $A2,
        _xlfn._xlws.FILTER(
            INDIRECT("'"&amp;N$62&amp;"'!A2:E1000"), (INDIRECT("'"&amp;N$62&amp;"'!B2:B1000")=$B2) * (INDIRECT("'"&amp;N$62&amp;"'!C2:C1000")=$C2)
        ),
        5,
        FALSE
    )
)</f>
        <v/>
      </c>
      <c r="O2" s="86">
        <f t="array" ref="O2">IF(
    VLOOKUP(
        $A2,
        _xlfn._xlws.FILTER(
            INDIRECT("'"&amp;O$62&amp;"'!A2:E1000"), (INDIRECT("'"&amp;O$62&amp;"'!B2:B1000")=$B2) * (INDIRECT("'"&amp;O$62&amp;"'!C2:C1000")=$C2)
        ),
        5,
        FALSE
    )=0,
    "",
    VLOOKUP(
        $A2,
        _xlfn._xlws.FILTER(
            INDIRECT("'"&amp;O$62&amp;"'!A2:E1000"), (INDIRECT("'"&amp;O$62&amp;"'!B2:B1000")=$B2) * (INDIRECT("'"&amp;O$62&amp;"'!C2:C1000")=$C2)
        ),
        5,
        FALSE
    )
)</f>
        <v/>
      </c>
    </row>
    <row r="3">
      <c r="A3" s="8" t="inlineStr">
        <is>
          <t>Curitiba</t>
        </is>
      </c>
      <c r="B3" s="58" t="inlineStr">
        <is>
          <t>Campo Largo</t>
        </is>
      </c>
      <c r="C3" s="85" t="inlineStr">
        <is>
          <t>02</t>
        </is>
      </c>
      <c r="D3" s="86">
        <f t="array" ref="D3">IF(
    VLOOKUP(
        $A3,
        _xlfn._xlws.FILTER(
            INDIRECT("'"&amp;D$62&amp;"'!A2:E1000"), (INDIRECT("'"&amp;D$62&amp;"'!B2:B1000")=$B3) * (INDIRECT("'"&amp;D$62&amp;"'!C2:C1000")=$C3)
        ),
        5,
        FALSE
    )=0,
    "",
    VLOOKUP(
        $A3,
        _xlfn._xlws.FILTER(
            INDIRECT("'"&amp;D$62&amp;"'!A2:E1000"), (INDIRECT("'"&amp;D$62&amp;"'!B2:B1000")=$B3) * (INDIRECT("'"&amp;D$62&amp;"'!C2:C1000")=$C3)
        ),
        5,
        FALSE
    )
)</f>
        <v/>
      </c>
      <c r="E3" s="86">
        <f t="array" ref="E3">IF(
    VLOOKUP(
        $A3,
        _xlfn._xlws.FILTER(
            INDIRECT("'"&amp;E$62&amp;"'!A2:E1000"), (INDIRECT("'"&amp;E$62&amp;"'!B2:B1000")=$B3) * (INDIRECT("'"&amp;E$62&amp;"'!C2:C1000")=$C3)
        ),
        5,
        FALSE
    )=0,
    "",
    VLOOKUP(
        $A3,
        _xlfn._xlws.FILTER(
            INDIRECT("'"&amp;E$62&amp;"'!A2:E1000"), (INDIRECT("'"&amp;E$62&amp;"'!B2:B1000")=$B3) * (INDIRECT("'"&amp;E$62&amp;"'!C2:C1000")=$C3)
        ),
        5,
        FALSE
    )
)</f>
        <v/>
      </c>
      <c r="F3" s="86">
        <f t="array" ref="F3">IF(
    VLOOKUP(
        $A3,
        _xlfn._xlws.FILTER(
            INDIRECT("'"&amp;F$62&amp;"'!A2:E1000"), (INDIRECT("'"&amp;F$62&amp;"'!B2:B1000")=$B3) * (INDIRECT("'"&amp;F$62&amp;"'!C2:C1000")=$C3)
        ),
        5,
        FALSE
    )=0,
    "",
    VLOOKUP(
        $A3,
        _xlfn._xlws.FILTER(
            INDIRECT("'"&amp;F$62&amp;"'!A2:E1000"), (INDIRECT("'"&amp;F$62&amp;"'!B2:B1000")=$B3) * (INDIRECT("'"&amp;F$62&amp;"'!C2:C1000")=$C3)
        ),
        5,
        FALSE
    )
)</f>
        <v/>
      </c>
      <c r="G3" s="86">
        <f t="array" ref="G3">IF(
    VLOOKUP(
        $A3,
        _xlfn._xlws.FILTER(
            INDIRECT("'"&amp;G$62&amp;"'!A2:E1000"), (INDIRECT("'"&amp;G$62&amp;"'!B2:B1000")=$B3) * (INDIRECT("'"&amp;G$62&amp;"'!C2:C1000")=$C3)
        ),
        5,
        FALSE
    )=0,
    "",
    VLOOKUP(
        $A3,
        _xlfn._xlws.FILTER(
            INDIRECT("'"&amp;G$62&amp;"'!A2:E1000"), (INDIRECT("'"&amp;G$62&amp;"'!B2:B1000")=$B3) * (INDIRECT("'"&amp;G$62&amp;"'!C2:C1000")=$C3)
        ),
        5,
        FALSE
    )
)</f>
        <v/>
      </c>
      <c r="H3" s="86">
        <f t="array" ref="H3">IF(
    VLOOKUP(
        $A3,
        _xlfn._xlws.FILTER(
            INDIRECT("'"&amp;H$62&amp;"'!A2:E1000"), (INDIRECT("'"&amp;H$62&amp;"'!B2:B1000")=$B3) * (INDIRECT("'"&amp;H$62&amp;"'!C2:C1000")=$C3)
        ),
        5,
        FALSE
    )=0,
    "",
    VLOOKUP(
        $A3,
        _xlfn._xlws.FILTER(
            INDIRECT("'"&amp;H$62&amp;"'!A2:E1000"), (INDIRECT("'"&amp;H$62&amp;"'!B2:B1000")=$B3) * (INDIRECT("'"&amp;H$62&amp;"'!C2:C1000")=$C3)
        ),
        5,
        FALSE
    )
)</f>
        <v/>
      </c>
      <c r="I3" s="86">
        <f t="array" ref="I3">IF(
    VLOOKUP(
        $A3,
        _xlfn._xlws.FILTER(
            INDIRECT("'"&amp;I$62&amp;"'!A2:E1000"), (INDIRECT("'"&amp;I$62&amp;"'!B2:B1000")=$B3) * (INDIRECT("'"&amp;I$62&amp;"'!C2:C1000")=$C3)
        ),
        5,
        FALSE
    )=0,
    "",
    VLOOKUP(
        $A3,
        _xlfn._xlws.FILTER(
            INDIRECT("'"&amp;I$62&amp;"'!A2:E1000"), (INDIRECT("'"&amp;I$62&amp;"'!B2:B1000")=$B3) * (INDIRECT("'"&amp;I$62&amp;"'!C2:C1000")=$C3)
        ),
        5,
        FALSE
    )
)</f>
        <v/>
      </c>
      <c r="J3" s="86">
        <f t="array" ref="J3">IF(
    VLOOKUP(
        $A3,
        _xlfn._xlws.FILTER(
            INDIRECT("'"&amp;J$62&amp;"'!A2:E1000"), (INDIRECT("'"&amp;J$62&amp;"'!B2:B1000")=$B3) * (INDIRECT("'"&amp;J$62&amp;"'!C2:C1000")=$C3)
        ),
        5,
        FALSE
    )=0,
    "",
    VLOOKUP(
        $A3,
        _xlfn._xlws.FILTER(
            INDIRECT("'"&amp;J$62&amp;"'!A2:E1000"), (INDIRECT("'"&amp;J$62&amp;"'!B2:B1000")=$B3) * (INDIRECT("'"&amp;J$62&amp;"'!C2:C1000")=$C3)
        ),
        5,
        FALSE
    )
)</f>
        <v/>
      </c>
      <c r="K3" s="86">
        <f t="array" ref="K3">IF(
    VLOOKUP(
        $A3,
        _xlfn._xlws.FILTER(
            INDIRECT("'"&amp;K$62&amp;"'!A2:E1000"), (INDIRECT("'"&amp;K$62&amp;"'!B2:B1000")=$B3) * (INDIRECT("'"&amp;K$62&amp;"'!C2:C1000")=$C3)
        ),
        5,
        FALSE
    )=0,
    "",
    VLOOKUP(
        $A3,
        _xlfn._xlws.FILTER(
            INDIRECT("'"&amp;K$62&amp;"'!A2:E1000"), (INDIRECT("'"&amp;K$62&amp;"'!B2:B1000")=$B3) * (INDIRECT("'"&amp;K$62&amp;"'!C2:C1000")=$C3)
        ),
        5,
        FALSE
    )
)</f>
        <v/>
      </c>
      <c r="L3" s="86">
        <f t="array" ref="L3">IF(
    VLOOKUP(
        $A3,
        _xlfn._xlws.FILTER(
            INDIRECT("'"&amp;L$62&amp;"'!A2:E1000"), (INDIRECT("'"&amp;L$62&amp;"'!B2:B1000")=$B3) * (INDIRECT("'"&amp;L$62&amp;"'!C2:C1000")=$C3)
        ),
        5,
        FALSE
    )=0,
    "",
    VLOOKUP(
        $A3,
        _xlfn._xlws.FILTER(
            INDIRECT("'"&amp;L$62&amp;"'!A2:E1000"), (INDIRECT("'"&amp;L$62&amp;"'!B2:B1000")=$B3) * (INDIRECT("'"&amp;L$62&amp;"'!C2:C1000")=$C3)
        ),
        5,
        FALSE
    )
)</f>
        <v/>
      </c>
      <c r="M3" s="86">
        <f t="array" ref="M3">IF(
    VLOOKUP(
        $A3,
        _xlfn._xlws.FILTER(
            INDIRECT("'"&amp;M$62&amp;"'!A2:E1000"), (INDIRECT("'"&amp;M$62&amp;"'!B2:B1000")=$B3) * (INDIRECT("'"&amp;M$62&amp;"'!C2:C1000")=$C3)
        ),
        5,
        FALSE
    )=0,
    "",
    VLOOKUP(
        $A3,
        _xlfn._xlws.FILTER(
            INDIRECT("'"&amp;M$62&amp;"'!A2:E1000"), (INDIRECT("'"&amp;M$62&amp;"'!B2:B1000")=$B3) * (INDIRECT("'"&amp;M$62&amp;"'!C2:C1000")=$C3)
        ),
        5,
        FALSE
    )
)</f>
        <v/>
      </c>
      <c r="N3" s="86">
        <f t="array" ref="N3">IF(
    VLOOKUP(
        $A3,
        _xlfn._xlws.FILTER(
            INDIRECT("'"&amp;N$62&amp;"'!A2:E1000"), (INDIRECT("'"&amp;N$62&amp;"'!B2:B1000")=$B3) * (INDIRECT("'"&amp;N$62&amp;"'!C2:C1000")=$C3)
        ),
        5,
        FALSE
    )=0,
    "",
    VLOOKUP(
        $A3,
        _xlfn._xlws.FILTER(
            INDIRECT("'"&amp;N$62&amp;"'!A2:E1000"), (INDIRECT("'"&amp;N$62&amp;"'!B2:B1000")=$B3) * (INDIRECT("'"&amp;N$62&amp;"'!C2:C1000")=$C3)
        ),
        5,
        FALSE
    )
)</f>
        <v/>
      </c>
      <c r="O3" s="86">
        <f t="array" ref="O3">IF(
    VLOOKUP(
        $A3,
        _xlfn._xlws.FILTER(
            INDIRECT("'"&amp;O$62&amp;"'!A2:E1000"), (INDIRECT("'"&amp;O$62&amp;"'!B2:B1000")=$B3) * (INDIRECT("'"&amp;O$62&amp;"'!C2:C1000")=$C3)
        ),
        5,
        FALSE
    )=0,
    "",
    VLOOKUP(
        $A3,
        _xlfn._xlws.FILTER(
            INDIRECT("'"&amp;O$62&amp;"'!A2:E1000"), (INDIRECT("'"&amp;O$62&amp;"'!B2:B1000")=$B3) * (INDIRECT("'"&amp;O$62&amp;"'!C2:C1000")=$C3)
        ),
        5,
        FALSE
    )
)</f>
        <v/>
      </c>
    </row>
    <row r="4">
      <c r="A4" s="8" t="inlineStr">
        <is>
          <t>Curitiba</t>
        </is>
      </c>
      <c r="B4" s="58" t="inlineStr">
        <is>
          <t>Campo Largo</t>
        </is>
      </c>
      <c r="C4" s="85" t="inlineStr">
        <is>
          <t>03</t>
        </is>
      </c>
      <c r="D4" s="86">
        <f t="array" ref="D4">IF(
    VLOOKUP(
        $A4,
        _xlfn._xlws.FILTER(
            INDIRECT("'"&amp;D$62&amp;"'!A2:E1000"), (INDIRECT("'"&amp;D$62&amp;"'!B2:B1000")=$B4) * (INDIRECT("'"&amp;D$62&amp;"'!C2:C1000")=$C4)
        ),
        5,
        FALSE
    )=0,
    "",
    VLOOKUP(
        $A4,
        _xlfn._xlws.FILTER(
            INDIRECT("'"&amp;D$62&amp;"'!A2:E1000"), (INDIRECT("'"&amp;D$62&amp;"'!B2:B1000")=$B4) * (INDIRECT("'"&amp;D$62&amp;"'!C2:C1000")=$C4)
        ),
        5,
        FALSE
    )
)</f>
        <v/>
      </c>
      <c r="E4" s="86">
        <f t="array" ref="E4">IF(
    VLOOKUP(
        $A4,
        _xlfn._xlws.FILTER(
            INDIRECT("'"&amp;E$62&amp;"'!A2:E1000"), (INDIRECT("'"&amp;E$62&amp;"'!B2:B1000")=$B4) * (INDIRECT("'"&amp;E$62&amp;"'!C2:C1000")=$C4)
        ),
        5,
        FALSE
    )=0,
    "",
    VLOOKUP(
        $A4,
        _xlfn._xlws.FILTER(
            INDIRECT("'"&amp;E$62&amp;"'!A2:E1000"), (INDIRECT("'"&amp;E$62&amp;"'!B2:B1000")=$B4) * (INDIRECT("'"&amp;E$62&amp;"'!C2:C1000")=$C4)
        ),
        5,
        FALSE
    )
)</f>
        <v/>
      </c>
      <c r="F4" s="86">
        <f t="array" ref="F4">IF(
    VLOOKUP(
        $A4,
        _xlfn._xlws.FILTER(
            INDIRECT("'"&amp;F$62&amp;"'!A2:E1000"), (INDIRECT("'"&amp;F$62&amp;"'!B2:B1000")=$B4) * (INDIRECT("'"&amp;F$62&amp;"'!C2:C1000")=$C4)
        ),
        5,
        FALSE
    )=0,
    "",
    VLOOKUP(
        $A4,
        _xlfn._xlws.FILTER(
            INDIRECT("'"&amp;F$62&amp;"'!A2:E1000"), (INDIRECT("'"&amp;F$62&amp;"'!B2:B1000")=$B4) * (INDIRECT("'"&amp;F$62&amp;"'!C2:C1000")=$C4)
        ),
        5,
        FALSE
    )
)</f>
        <v/>
      </c>
      <c r="G4" s="86">
        <f t="array" ref="G4">IF(
    VLOOKUP(
        $A4,
        _xlfn._xlws.FILTER(
            INDIRECT("'"&amp;G$62&amp;"'!A2:E1000"), (INDIRECT("'"&amp;G$62&amp;"'!B2:B1000")=$B4) * (INDIRECT("'"&amp;G$62&amp;"'!C2:C1000")=$C4)
        ),
        5,
        FALSE
    )=0,
    "",
    VLOOKUP(
        $A4,
        _xlfn._xlws.FILTER(
            INDIRECT("'"&amp;G$62&amp;"'!A2:E1000"), (INDIRECT("'"&amp;G$62&amp;"'!B2:B1000")=$B4) * (INDIRECT("'"&amp;G$62&amp;"'!C2:C1000")=$C4)
        ),
        5,
        FALSE
    )
)</f>
        <v/>
      </c>
      <c r="H4" s="86">
        <f t="array" ref="H4">IF(
    VLOOKUP(
        $A4,
        _xlfn._xlws.FILTER(
            INDIRECT("'"&amp;H$62&amp;"'!A2:E1000"), (INDIRECT("'"&amp;H$62&amp;"'!B2:B1000")=$B4) * (INDIRECT("'"&amp;H$62&amp;"'!C2:C1000")=$C4)
        ),
        5,
        FALSE
    )=0,
    "",
    VLOOKUP(
        $A4,
        _xlfn._xlws.FILTER(
            INDIRECT("'"&amp;H$62&amp;"'!A2:E1000"), (INDIRECT("'"&amp;H$62&amp;"'!B2:B1000")=$B4) * (INDIRECT("'"&amp;H$62&amp;"'!C2:C1000")=$C4)
        ),
        5,
        FALSE
    )
)</f>
        <v/>
      </c>
      <c r="I4" s="86">
        <f t="array" ref="I4">IF(
    VLOOKUP(
        $A4,
        _xlfn._xlws.FILTER(
            INDIRECT("'"&amp;I$62&amp;"'!A2:E1000"), (INDIRECT("'"&amp;I$62&amp;"'!B2:B1000")=$B4) * (INDIRECT("'"&amp;I$62&amp;"'!C2:C1000")=$C4)
        ),
        5,
        FALSE
    )=0,
    "",
    VLOOKUP(
        $A4,
        _xlfn._xlws.FILTER(
            INDIRECT("'"&amp;I$62&amp;"'!A2:E1000"), (INDIRECT("'"&amp;I$62&amp;"'!B2:B1000")=$B4) * (INDIRECT("'"&amp;I$62&amp;"'!C2:C1000")=$C4)
        ),
        5,
        FALSE
    )
)</f>
        <v/>
      </c>
      <c r="J4" s="86">
        <f t="array" ref="J4">IF(
    VLOOKUP(
        $A4,
        _xlfn._xlws.FILTER(
            INDIRECT("'"&amp;J$62&amp;"'!A2:E1000"), (INDIRECT("'"&amp;J$62&amp;"'!B2:B1000")=$B4) * (INDIRECT("'"&amp;J$62&amp;"'!C2:C1000")=$C4)
        ),
        5,
        FALSE
    )=0,
    "",
    VLOOKUP(
        $A4,
        _xlfn._xlws.FILTER(
            INDIRECT("'"&amp;J$62&amp;"'!A2:E1000"), (INDIRECT("'"&amp;J$62&amp;"'!B2:B1000")=$B4) * (INDIRECT("'"&amp;J$62&amp;"'!C2:C1000")=$C4)
        ),
        5,
        FALSE
    )
)</f>
        <v/>
      </c>
      <c r="K4" s="86">
        <f t="array" ref="K4">IF(
    VLOOKUP(
        $A4,
        _xlfn._xlws.FILTER(
            INDIRECT("'"&amp;K$62&amp;"'!A2:E1000"), (INDIRECT("'"&amp;K$62&amp;"'!B2:B1000")=$B4) * (INDIRECT("'"&amp;K$62&amp;"'!C2:C1000")=$C4)
        ),
        5,
        FALSE
    )=0,
    "",
    VLOOKUP(
        $A4,
        _xlfn._xlws.FILTER(
            INDIRECT("'"&amp;K$62&amp;"'!A2:E1000"), (INDIRECT("'"&amp;K$62&amp;"'!B2:B1000")=$B4) * (INDIRECT("'"&amp;K$62&amp;"'!C2:C1000")=$C4)
        ),
        5,
        FALSE
    )
)</f>
        <v/>
      </c>
      <c r="L4" s="86">
        <f t="array" ref="L4">IF(
    VLOOKUP(
        $A4,
        _xlfn._xlws.FILTER(
            INDIRECT("'"&amp;L$62&amp;"'!A2:E1000"), (INDIRECT("'"&amp;L$62&amp;"'!B2:B1000")=$B4) * (INDIRECT("'"&amp;L$62&amp;"'!C2:C1000")=$C4)
        ),
        5,
        FALSE
    )=0,
    "",
    VLOOKUP(
        $A4,
        _xlfn._xlws.FILTER(
            INDIRECT("'"&amp;L$62&amp;"'!A2:E1000"), (INDIRECT("'"&amp;L$62&amp;"'!B2:B1000")=$B4) * (INDIRECT("'"&amp;L$62&amp;"'!C2:C1000")=$C4)
        ),
        5,
        FALSE
    )
)</f>
        <v/>
      </c>
      <c r="M4" s="86">
        <f t="array" ref="M4">IF(
    VLOOKUP(
        $A4,
        _xlfn._xlws.FILTER(
            INDIRECT("'"&amp;M$62&amp;"'!A2:E1000"), (INDIRECT("'"&amp;M$62&amp;"'!B2:B1000")=$B4) * (INDIRECT("'"&amp;M$62&amp;"'!C2:C1000")=$C4)
        ),
        5,
        FALSE
    )=0,
    "",
    VLOOKUP(
        $A4,
        _xlfn._xlws.FILTER(
            INDIRECT("'"&amp;M$62&amp;"'!A2:E1000"), (INDIRECT("'"&amp;M$62&amp;"'!B2:B1000")=$B4) * (INDIRECT("'"&amp;M$62&amp;"'!C2:C1000")=$C4)
        ),
        5,
        FALSE
    )
)</f>
        <v/>
      </c>
      <c r="N4" s="86">
        <f t="array" ref="N4">IF(
    VLOOKUP(
        $A4,
        _xlfn._xlws.FILTER(
            INDIRECT("'"&amp;N$62&amp;"'!A2:E1000"), (INDIRECT("'"&amp;N$62&amp;"'!B2:B1000")=$B4) * (INDIRECT("'"&amp;N$62&amp;"'!C2:C1000")=$C4)
        ),
        5,
        FALSE
    )=0,
    "",
    VLOOKUP(
        $A4,
        _xlfn._xlws.FILTER(
            INDIRECT("'"&amp;N$62&amp;"'!A2:E1000"), (INDIRECT("'"&amp;N$62&amp;"'!B2:B1000")=$B4) * (INDIRECT("'"&amp;N$62&amp;"'!C2:C1000")=$C4)
        ),
        5,
        FALSE
    )
)</f>
        <v/>
      </c>
      <c r="O4" s="86">
        <f t="array" ref="O4">IF(
    VLOOKUP(
        $A4,
        _xlfn._xlws.FILTER(
            INDIRECT("'"&amp;O$62&amp;"'!A2:E1000"), (INDIRECT("'"&amp;O$62&amp;"'!B2:B1000")=$B4) * (INDIRECT("'"&amp;O$62&amp;"'!C2:C1000")=$C4)
        ),
        5,
        FALSE
    )=0,
    "",
    VLOOKUP(
        $A4,
        _xlfn._xlws.FILTER(
            INDIRECT("'"&amp;O$62&amp;"'!A2:E1000"), (INDIRECT("'"&amp;O$62&amp;"'!B2:B1000")=$B4) * (INDIRECT("'"&amp;O$62&amp;"'!C2:C1000")=$C4)
        ),
        5,
        FALSE
    )
)</f>
        <v/>
      </c>
    </row>
    <row r="5">
      <c r="A5" s="8" t="inlineStr">
        <is>
          <t>Curitiba</t>
        </is>
      </c>
      <c r="B5" s="58" t="inlineStr">
        <is>
          <t>Campo Largo</t>
        </is>
      </c>
      <c r="C5" s="85" t="inlineStr">
        <is>
          <t>04</t>
        </is>
      </c>
      <c r="D5" s="86">
        <f t="array" ref="D5">IF(
    VLOOKUP(
        $A5,
        _xlfn._xlws.FILTER(
            INDIRECT("'"&amp;D$62&amp;"'!A2:E1000"), (INDIRECT("'"&amp;D$62&amp;"'!B2:B1000")=$B5) * (INDIRECT("'"&amp;D$62&amp;"'!C2:C1000")=$C5)
        ),
        5,
        FALSE
    )=0,
    "",
    VLOOKUP(
        $A5,
        _xlfn._xlws.FILTER(
            INDIRECT("'"&amp;D$62&amp;"'!A2:E1000"), (INDIRECT("'"&amp;D$62&amp;"'!B2:B1000")=$B5) * (INDIRECT("'"&amp;D$62&amp;"'!C2:C1000")=$C5)
        ),
        5,
        FALSE
    )
)</f>
        <v/>
      </c>
      <c r="E5" s="86">
        <f t="array" ref="E5">IF(
    VLOOKUP(
        $A5,
        _xlfn._xlws.FILTER(
            INDIRECT("'"&amp;E$62&amp;"'!A2:E1000"), (INDIRECT("'"&amp;E$62&amp;"'!B2:B1000")=$B5) * (INDIRECT("'"&amp;E$62&amp;"'!C2:C1000")=$C5)
        ),
        5,
        FALSE
    )=0,
    "",
    VLOOKUP(
        $A5,
        _xlfn._xlws.FILTER(
            INDIRECT("'"&amp;E$62&amp;"'!A2:E1000"), (INDIRECT("'"&amp;E$62&amp;"'!B2:B1000")=$B5) * (INDIRECT("'"&amp;E$62&amp;"'!C2:C1000")=$C5)
        ),
        5,
        FALSE
    )
)</f>
        <v/>
      </c>
      <c r="F5" s="86">
        <f t="array" ref="F5">IF(
    VLOOKUP(
        $A5,
        _xlfn._xlws.FILTER(
            INDIRECT("'"&amp;F$62&amp;"'!A2:E1000"), (INDIRECT("'"&amp;F$62&amp;"'!B2:B1000")=$B5) * (INDIRECT("'"&amp;F$62&amp;"'!C2:C1000")=$C5)
        ),
        5,
        FALSE
    )=0,
    "",
    VLOOKUP(
        $A5,
        _xlfn._xlws.FILTER(
            INDIRECT("'"&amp;F$62&amp;"'!A2:E1000"), (INDIRECT("'"&amp;F$62&amp;"'!B2:B1000")=$B5) * (INDIRECT("'"&amp;F$62&amp;"'!C2:C1000")=$C5)
        ),
        5,
        FALSE
    )
)</f>
        <v/>
      </c>
      <c r="G5" s="86">
        <f t="array" ref="G5">IF(
    VLOOKUP(
        $A5,
        _xlfn._xlws.FILTER(
            INDIRECT("'"&amp;G$62&amp;"'!A2:E1000"), (INDIRECT("'"&amp;G$62&amp;"'!B2:B1000")=$B5) * (INDIRECT("'"&amp;G$62&amp;"'!C2:C1000")=$C5)
        ),
        5,
        FALSE
    )=0,
    "",
    VLOOKUP(
        $A5,
        _xlfn._xlws.FILTER(
            INDIRECT("'"&amp;G$62&amp;"'!A2:E1000"), (INDIRECT("'"&amp;G$62&amp;"'!B2:B1000")=$B5) * (INDIRECT("'"&amp;G$62&amp;"'!C2:C1000")=$C5)
        ),
        5,
        FALSE
    )
)</f>
        <v/>
      </c>
      <c r="H5" s="86">
        <f t="array" ref="H5">IF(
    VLOOKUP(
        $A5,
        _xlfn._xlws.FILTER(
            INDIRECT("'"&amp;H$62&amp;"'!A2:E1000"), (INDIRECT("'"&amp;H$62&amp;"'!B2:B1000")=$B5) * (INDIRECT("'"&amp;H$62&amp;"'!C2:C1000")=$C5)
        ),
        5,
        FALSE
    )=0,
    "",
    VLOOKUP(
        $A5,
        _xlfn._xlws.FILTER(
            INDIRECT("'"&amp;H$62&amp;"'!A2:E1000"), (INDIRECT("'"&amp;H$62&amp;"'!B2:B1000")=$B5) * (INDIRECT("'"&amp;H$62&amp;"'!C2:C1000")=$C5)
        ),
        5,
        FALSE
    )
)</f>
        <v/>
      </c>
      <c r="I5" s="86">
        <f t="array" ref="I5">IF(
    VLOOKUP(
        $A5,
        _xlfn._xlws.FILTER(
            INDIRECT("'"&amp;I$62&amp;"'!A2:E1000"), (INDIRECT("'"&amp;I$62&amp;"'!B2:B1000")=$B5) * (INDIRECT("'"&amp;I$62&amp;"'!C2:C1000")=$C5)
        ),
        5,
        FALSE
    )=0,
    "",
    VLOOKUP(
        $A5,
        _xlfn._xlws.FILTER(
            INDIRECT("'"&amp;I$62&amp;"'!A2:E1000"), (INDIRECT("'"&amp;I$62&amp;"'!B2:B1000")=$B5) * (INDIRECT("'"&amp;I$62&amp;"'!C2:C1000")=$C5)
        ),
        5,
        FALSE
    )
)</f>
        <v/>
      </c>
      <c r="J5" s="86">
        <f t="array" ref="J5">IF(
    VLOOKUP(
        $A5,
        _xlfn._xlws.FILTER(
            INDIRECT("'"&amp;J$62&amp;"'!A2:E1000"), (INDIRECT("'"&amp;J$62&amp;"'!B2:B1000")=$B5) * (INDIRECT("'"&amp;J$62&amp;"'!C2:C1000")=$C5)
        ),
        5,
        FALSE
    )=0,
    "",
    VLOOKUP(
        $A5,
        _xlfn._xlws.FILTER(
            INDIRECT("'"&amp;J$62&amp;"'!A2:E1000"), (INDIRECT("'"&amp;J$62&amp;"'!B2:B1000")=$B5) * (INDIRECT("'"&amp;J$62&amp;"'!C2:C1000")=$C5)
        ),
        5,
        FALSE
    )
)</f>
        <v/>
      </c>
      <c r="K5" s="86">
        <f t="array" ref="K5">IF(
    VLOOKUP(
        $A5,
        _xlfn._xlws.FILTER(
            INDIRECT("'"&amp;K$62&amp;"'!A2:E1000"), (INDIRECT("'"&amp;K$62&amp;"'!B2:B1000")=$B5) * (INDIRECT("'"&amp;K$62&amp;"'!C2:C1000")=$C5)
        ),
        5,
        FALSE
    )=0,
    "",
    VLOOKUP(
        $A5,
        _xlfn._xlws.FILTER(
            INDIRECT("'"&amp;K$62&amp;"'!A2:E1000"), (INDIRECT("'"&amp;K$62&amp;"'!B2:B1000")=$B5) * (INDIRECT("'"&amp;K$62&amp;"'!C2:C1000")=$C5)
        ),
        5,
        FALSE
    )
)</f>
        <v/>
      </c>
      <c r="L5" s="86">
        <f t="array" ref="L5">IF(
    VLOOKUP(
        $A5,
        _xlfn._xlws.FILTER(
            INDIRECT("'"&amp;L$62&amp;"'!A2:E1000"), (INDIRECT("'"&amp;L$62&amp;"'!B2:B1000")=$B5) * (INDIRECT("'"&amp;L$62&amp;"'!C2:C1000")=$C5)
        ),
        5,
        FALSE
    )=0,
    "",
    VLOOKUP(
        $A5,
        _xlfn._xlws.FILTER(
            INDIRECT("'"&amp;L$62&amp;"'!A2:E1000"), (INDIRECT("'"&amp;L$62&amp;"'!B2:B1000")=$B5) * (INDIRECT("'"&amp;L$62&amp;"'!C2:C1000")=$C5)
        ),
        5,
        FALSE
    )
)</f>
        <v/>
      </c>
      <c r="M5" s="86">
        <f t="array" ref="M5">IF(
    VLOOKUP(
        $A5,
        _xlfn._xlws.FILTER(
            INDIRECT("'"&amp;M$62&amp;"'!A2:E1000"), (INDIRECT("'"&amp;M$62&amp;"'!B2:B1000")=$B5) * (INDIRECT("'"&amp;M$62&amp;"'!C2:C1000")=$C5)
        ),
        5,
        FALSE
    )=0,
    "",
    VLOOKUP(
        $A5,
        _xlfn._xlws.FILTER(
            INDIRECT("'"&amp;M$62&amp;"'!A2:E1000"), (INDIRECT("'"&amp;M$62&amp;"'!B2:B1000")=$B5) * (INDIRECT("'"&amp;M$62&amp;"'!C2:C1000")=$C5)
        ),
        5,
        FALSE
    )
)</f>
        <v/>
      </c>
      <c r="N5" s="86">
        <f t="array" ref="N5">IF(
    VLOOKUP(
        $A5,
        _xlfn._xlws.FILTER(
            INDIRECT("'"&amp;N$62&amp;"'!A2:E1000"), (INDIRECT("'"&amp;N$62&amp;"'!B2:B1000")=$B5) * (INDIRECT("'"&amp;N$62&amp;"'!C2:C1000")=$C5)
        ),
        5,
        FALSE
    )=0,
    "",
    VLOOKUP(
        $A5,
        _xlfn._xlws.FILTER(
            INDIRECT("'"&amp;N$62&amp;"'!A2:E1000"), (INDIRECT("'"&amp;N$62&amp;"'!B2:B1000")=$B5) * (INDIRECT("'"&amp;N$62&amp;"'!C2:C1000")=$C5)
        ),
        5,
        FALSE
    )
)</f>
        <v/>
      </c>
      <c r="O5" s="86">
        <f t="array" ref="O5">IF(
    VLOOKUP(
        $A5,
        _xlfn._xlws.FILTER(
            INDIRECT("'"&amp;O$62&amp;"'!A2:E1000"), (INDIRECT("'"&amp;O$62&amp;"'!B2:B1000")=$B5) * (INDIRECT("'"&amp;O$62&amp;"'!C2:C1000")=$C5)
        ),
        5,
        FALSE
    )=0,
    "",
    VLOOKUP(
        $A5,
        _xlfn._xlws.FILTER(
            INDIRECT("'"&amp;O$62&amp;"'!A2:E1000"), (INDIRECT("'"&amp;O$62&amp;"'!B2:B1000")=$B5) * (INDIRECT("'"&amp;O$62&amp;"'!C2:C1000")=$C5)
        ),
        5,
        FALSE
    )
)</f>
        <v/>
      </c>
    </row>
    <row r="6">
      <c r="A6" s="8" t="inlineStr">
        <is>
          <t>Curitiba</t>
        </is>
      </c>
      <c r="B6" s="58" t="inlineStr">
        <is>
          <t>Campo Largo</t>
        </is>
      </c>
      <c r="C6" s="85" t="inlineStr">
        <is>
          <t>05</t>
        </is>
      </c>
      <c r="D6" s="86">
        <f t="array" ref="D6">IF(
    VLOOKUP(
        $A6,
        _xlfn._xlws.FILTER(
            INDIRECT("'"&amp;D$62&amp;"'!A2:E1000"), (INDIRECT("'"&amp;D$62&amp;"'!B2:B1000")=$B6) * (INDIRECT("'"&amp;D$62&amp;"'!C2:C1000")=$C6)
        ),
        5,
        FALSE
    )=0,
    "",
    VLOOKUP(
        $A6,
        _xlfn._xlws.FILTER(
            INDIRECT("'"&amp;D$62&amp;"'!A2:E1000"), (INDIRECT("'"&amp;D$62&amp;"'!B2:B1000")=$B6) * (INDIRECT("'"&amp;D$62&amp;"'!C2:C1000")=$C6)
        ),
        5,
        FALSE
    )
)</f>
        <v/>
      </c>
      <c r="E6" s="86">
        <f t="array" ref="E6">IF(
    VLOOKUP(
        $A6,
        _xlfn._xlws.FILTER(
            INDIRECT("'"&amp;E$62&amp;"'!A2:E1000"), (INDIRECT("'"&amp;E$62&amp;"'!B2:B1000")=$B6) * (INDIRECT("'"&amp;E$62&amp;"'!C2:C1000")=$C6)
        ),
        5,
        FALSE
    )=0,
    "",
    VLOOKUP(
        $A6,
        _xlfn._xlws.FILTER(
            INDIRECT("'"&amp;E$62&amp;"'!A2:E1000"), (INDIRECT("'"&amp;E$62&amp;"'!B2:B1000")=$B6) * (INDIRECT("'"&amp;E$62&amp;"'!C2:C1000")=$C6)
        ),
        5,
        FALSE
    )
)</f>
        <v/>
      </c>
      <c r="F6" s="86">
        <f t="array" ref="F6">IF(
    VLOOKUP(
        $A6,
        _xlfn._xlws.FILTER(
            INDIRECT("'"&amp;F$62&amp;"'!A2:E1000"), (INDIRECT("'"&amp;F$62&amp;"'!B2:B1000")=$B6) * (INDIRECT("'"&amp;F$62&amp;"'!C2:C1000")=$C6)
        ),
        5,
        FALSE
    )=0,
    "",
    VLOOKUP(
        $A6,
        _xlfn._xlws.FILTER(
            INDIRECT("'"&amp;F$62&amp;"'!A2:E1000"), (INDIRECT("'"&amp;F$62&amp;"'!B2:B1000")=$B6) * (INDIRECT("'"&amp;F$62&amp;"'!C2:C1000")=$C6)
        ),
        5,
        FALSE
    )
)</f>
        <v/>
      </c>
      <c r="G6" s="86">
        <f t="array" ref="G6">IF(
    VLOOKUP(
        $A6,
        _xlfn._xlws.FILTER(
            INDIRECT("'"&amp;G$62&amp;"'!A2:E1000"), (INDIRECT("'"&amp;G$62&amp;"'!B2:B1000")=$B6) * (INDIRECT("'"&amp;G$62&amp;"'!C2:C1000")=$C6)
        ),
        5,
        FALSE
    )=0,
    "",
    VLOOKUP(
        $A6,
        _xlfn._xlws.FILTER(
            INDIRECT("'"&amp;G$62&amp;"'!A2:E1000"), (INDIRECT("'"&amp;G$62&amp;"'!B2:B1000")=$B6) * (INDIRECT("'"&amp;G$62&amp;"'!C2:C1000")=$C6)
        ),
        5,
        FALSE
    )
)</f>
        <v/>
      </c>
      <c r="H6" s="86">
        <f t="array" ref="H6">IF(
    VLOOKUP(
        $A6,
        _xlfn._xlws.FILTER(
            INDIRECT("'"&amp;H$62&amp;"'!A2:E1000"), (INDIRECT("'"&amp;H$62&amp;"'!B2:B1000")=$B6) * (INDIRECT("'"&amp;H$62&amp;"'!C2:C1000")=$C6)
        ),
        5,
        FALSE
    )=0,
    "",
    VLOOKUP(
        $A6,
        _xlfn._xlws.FILTER(
            INDIRECT("'"&amp;H$62&amp;"'!A2:E1000"), (INDIRECT("'"&amp;H$62&amp;"'!B2:B1000")=$B6) * (INDIRECT("'"&amp;H$62&amp;"'!C2:C1000")=$C6)
        ),
        5,
        FALSE
    )
)</f>
        <v/>
      </c>
      <c r="I6" s="86">
        <f t="array" ref="I6">IF(
    VLOOKUP(
        $A6,
        _xlfn._xlws.FILTER(
            INDIRECT("'"&amp;I$62&amp;"'!A2:E1000"), (INDIRECT("'"&amp;I$62&amp;"'!B2:B1000")=$B6) * (INDIRECT("'"&amp;I$62&amp;"'!C2:C1000")=$C6)
        ),
        5,
        FALSE
    )=0,
    "",
    VLOOKUP(
        $A6,
        _xlfn._xlws.FILTER(
            INDIRECT("'"&amp;I$62&amp;"'!A2:E1000"), (INDIRECT("'"&amp;I$62&amp;"'!B2:B1000")=$B6) * (INDIRECT("'"&amp;I$62&amp;"'!C2:C1000")=$C6)
        ),
        5,
        FALSE
    )
)</f>
        <v/>
      </c>
      <c r="J6" s="86">
        <f t="array" ref="J6">IF(
    VLOOKUP(
        $A6,
        _xlfn._xlws.FILTER(
            INDIRECT("'"&amp;J$62&amp;"'!A2:E1000"), (INDIRECT("'"&amp;J$62&amp;"'!B2:B1000")=$B6) * (INDIRECT("'"&amp;J$62&amp;"'!C2:C1000")=$C6)
        ),
        5,
        FALSE
    )=0,
    "",
    VLOOKUP(
        $A6,
        _xlfn._xlws.FILTER(
            INDIRECT("'"&amp;J$62&amp;"'!A2:E1000"), (INDIRECT("'"&amp;J$62&amp;"'!B2:B1000")=$B6) * (INDIRECT("'"&amp;J$62&amp;"'!C2:C1000")=$C6)
        ),
        5,
        FALSE
    )
)</f>
        <v/>
      </c>
      <c r="K6" s="86">
        <f t="array" ref="K6">IF(
    VLOOKUP(
        $A6,
        _xlfn._xlws.FILTER(
            INDIRECT("'"&amp;K$62&amp;"'!A2:E1000"), (INDIRECT("'"&amp;K$62&amp;"'!B2:B1000")=$B6) * (INDIRECT("'"&amp;K$62&amp;"'!C2:C1000")=$C6)
        ),
        5,
        FALSE
    )=0,
    "",
    VLOOKUP(
        $A6,
        _xlfn._xlws.FILTER(
            INDIRECT("'"&amp;K$62&amp;"'!A2:E1000"), (INDIRECT("'"&amp;K$62&amp;"'!B2:B1000")=$B6) * (INDIRECT("'"&amp;K$62&amp;"'!C2:C1000")=$C6)
        ),
        5,
        FALSE
    )
)</f>
        <v/>
      </c>
      <c r="L6" s="86">
        <f t="array" ref="L6">IF(
    VLOOKUP(
        $A6,
        _xlfn._xlws.FILTER(
            INDIRECT("'"&amp;L$62&amp;"'!A2:E1000"), (INDIRECT("'"&amp;L$62&amp;"'!B2:B1000")=$B6) * (INDIRECT("'"&amp;L$62&amp;"'!C2:C1000")=$C6)
        ),
        5,
        FALSE
    )=0,
    "",
    VLOOKUP(
        $A6,
        _xlfn._xlws.FILTER(
            INDIRECT("'"&amp;L$62&amp;"'!A2:E1000"), (INDIRECT("'"&amp;L$62&amp;"'!B2:B1000")=$B6) * (INDIRECT("'"&amp;L$62&amp;"'!C2:C1000")=$C6)
        ),
        5,
        FALSE
    )
)</f>
        <v/>
      </c>
      <c r="M6" s="86">
        <f t="array" ref="M6">IF(
    VLOOKUP(
        $A6,
        _xlfn._xlws.FILTER(
            INDIRECT("'"&amp;M$62&amp;"'!A2:E1000"), (INDIRECT("'"&amp;M$62&amp;"'!B2:B1000")=$B6) * (INDIRECT("'"&amp;M$62&amp;"'!C2:C1000")=$C6)
        ),
        5,
        FALSE
    )=0,
    "",
    VLOOKUP(
        $A6,
        _xlfn._xlws.FILTER(
            INDIRECT("'"&amp;M$62&amp;"'!A2:E1000"), (INDIRECT("'"&amp;M$62&amp;"'!B2:B1000")=$B6) * (INDIRECT("'"&amp;M$62&amp;"'!C2:C1000")=$C6)
        ),
        5,
        FALSE
    )
)</f>
        <v/>
      </c>
      <c r="N6" s="86">
        <f t="array" ref="N6">IF(
    VLOOKUP(
        $A6,
        _xlfn._xlws.FILTER(
            INDIRECT("'"&amp;N$62&amp;"'!A2:E1000"), (INDIRECT("'"&amp;N$62&amp;"'!B2:B1000")=$B6) * (INDIRECT("'"&amp;N$62&amp;"'!C2:C1000")=$C6)
        ),
        5,
        FALSE
    )=0,
    "",
    VLOOKUP(
        $A6,
        _xlfn._xlws.FILTER(
            INDIRECT("'"&amp;N$62&amp;"'!A2:E1000"), (INDIRECT("'"&amp;N$62&amp;"'!B2:B1000")=$B6) * (INDIRECT("'"&amp;N$62&amp;"'!C2:C1000")=$C6)
        ),
        5,
        FALSE
    )
)</f>
        <v/>
      </c>
      <c r="O6" s="86">
        <f t="array" ref="O6">IF(
    VLOOKUP(
        $A6,
        _xlfn._xlws.FILTER(
            INDIRECT("'"&amp;O$62&amp;"'!A2:E1000"), (INDIRECT("'"&amp;O$62&amp;"'!B2:B1000")=$B6) * (INDIRECT("'"&amp;O$62&amp;"'!C2:C1000")=$C6)
        ),
        5,
        FALSE
    )=0,
    "",
    VLOOKUP(
        $A6,
        _xlfn._xlws.FILTER(
            INDIRECT("'"&amp;O$62&amp;"'!A2:E1000"), (INDIRECT("'"&amp;O$62&amp;"'!B2:B1000")=$B6) * (INDIRECT("'"&amp;O$62&amp;"'!C2:C1000")=$C6)
        ),
        5,
        FALSE
    )
)</f>
        <v/>
      </c>
    </row>
    <row r="7">
      <c r="A7" s="8" t="inlineStr">
        <is>
          <t>Curitiba</t>
        </is>
      </c>
      <c r="B7" s="58" t="inlineStr">
        <is>
          <t>Campo Magro</t>
        </is>
      </c>
      <c r="C7" s="85" t="inlineStr">
        <is>
          <t>01</t>
        </is>
      </c>
      <c r="D7" s="86">
        <f t="array" ref="D7">IF(
    VLOOKUP(
        $A7,
        _xlfn._xlws.FILTER(
            INDIRECT("'"&amp;D$62&amp;"'!A2:E1000"), (INDIRECT("'"&amp;D$62&amp;"'!B2:B1000")=$B7) * (INDIRECT("'"&amp;D$62&amp;"'!C2:C1000")=$C7)
        ),
        5,
        FALSE
    )=0,
    "",
    VLOOKUP(
        $A7,
        _xlfn._xlws.FILTER(
            INDIRECT("'"&amp;D$62&amp;"'!A2:E1000"), (INDIRECT("'"&amp;D$62&amp;"'!B2:B1000")=$B7) * (INDIRECT("'"&amp;D$62&amp;"'!C2:C1000")=$C7)
        ),
        5,
        FALSE
    )
)</f>
        <v/>
      </c>
      <c r="E7" s="86">
        <f t="array" ref="E7">IF(
    VLOOKUP(
        $A7,
        _xlfn._xlws.FILTER(
            INDIRECT("'"&amp;E$62&amp;"'!A2:E1000"), (INDIRECT("'"&amp;E$62&amp;"'!B2:B1000")=$B7) * (INDIRECT("'"&amp;E$62&amp;"'!C2:C1000")=$C7)
        ),
        5,
        FALSE
    )=0,
    "",
    VLOOKUP(
        $A7,
        _xlfn._xlws.FILTER(
            INDIRECT("'"&amp;E$62&amp;"'!A2:E1000"), (INDIRECT("'"&amp;E$62&amp;"'!B2:B1000")=$B7) * (INDIRECT("'"&amp;E$62&amp;"'!C2:C1000")=$C7)
        ),
        5,
        FALSE
    )
)</f>
        <v/>
      </c>
      <c r="F7" s="86">
        <f t="array" ref="F7">IF(
    VLOOKUP(
        $A7,
        _xlfn._xlws.FILTER(
            INDIRECT("'"&amp;F$62&amp;"'!A2:E1000"), (INDIRECT("'"&amp;F$62&amp;"'!B2:B1000")=$B7) * (INDIRECT("'"&amp;F$62&amp;"'!C2:C1000")=$C7)
        ),
        5,
        FALSE
    )=0,
    "",
    VLOOKUP(
        $A7,
        _xlfn._xlws.FILTER(
            INDIRECT("'"&amp;F$62&amp;"'!A2:E1000"), (INDIRECT("'"&amp;F$62&amp;"'!B2:B1000")=$B7) * (INDIRECT("'"&amp;F$62&amp;"'!C2:C1000")=$C7)
        ),
        5,
        FALSE
    )
)</f>
        <v/>
      </c>
      <c r="G7" s="86">
        <f t="array" ref="G7">IF(
    VLOOKUP(
        $A7,
        _xlfn._xlws.FILTER(
            INDIRECT("'"&amp;G$62&amp;"'!A2:E1000"), (INDIRECT("'"&amp;G$62&amp;"'!B2:B1000")=$B7) * (INDIRECT("'"&amp;G$62&amp;"'!C2:C1000")=$C7)
        ),
        5,
        FALSE
    )=0,
    "",
    VLOOKUP(
        $A7,
        _xlfn._xlws.FILTER(
            INDIRECT("'"&amp;G$62&amp;"'!A2:E1000"), (INDIRECT("'"&amp;G$62&amp;"'!B2:B1000")=$B7) * (INDIRECT("'"&amp;G$62&amp;"'!C2:C1000")=$C7)
        ),
        5,
        FALSE
    )
)</f>
        <v/>
      </c>
      <c r="H7" s="86">
        <f t="array" ref="H7">IF(
    VLOOKUP(
        $A7,
        _xlfn._xlws.FILTER(
            INDIRECT("'"&amp;H$62&amp;"'!A2:E1000"), (INDIRECT("'"&amp;H$62&amp;"'!B2:B1000")=$B7) * (INDIRECT("'"&amp;H$62&amp;"'!C2:C1000")=$C7)
        ),
        5,
        FALSE
    )=0,
    "",
    VLOOKUP(
        $A7,
        _xlfn._xlws.FILTER(
            INDIRECT("'"&amp;H$62&amp;"'!A2:E1000"), (INDIRECT("'"&amp;H$62&amp;"'!B2:B1000")=$B7) * (INDIRECT("'"&amp;H$62&amp;"'!C2:C1000")=$C7)
        ),
        5,
        FALSE
    )
)</f>
        <v/>
      </c>
      <c r="I7" s="86">
        <f t="array" ref="I7">IF(
    VLOOKUP(
        $A7,
        _xlfn._xlws.FILTER(
            INDIRECT("'"&amp;I$62&amp;"'!A2:E1000"), (INDIRECT("'"&amp;I$62&amp;"'!B2:B1000")=$B7) * (INDIRECT("'"&amp;I$62&amp;"'!C2:C1000")=$C7)
        ),
        5,
        FALSE
    )=0,
    "",
    VLOOKUP(
        $A7,
        _xlfn._xlws.FILTER(
            INDIRECT("'"&amp;I$62&amp;"'!A2:E1000"), (INDIRECT("'"&amp;I$62&amp;"'!B2:B1000")=$B7) * (INDIRECT("'"&amp;I$62&amp;"'!C2:C1000")=$C7)
        ),
        5,
        FALSE
    )
)</f>
        <v/>
      </c>
      <c r="J7" s="86">
        <f t="array" ref="J7">IF(
    VLOOKUP(
        $A7,
        _xlfn._xlws.FILTER(
            INDIRECT("'"&amp;J$62&amp;"'!A2:E1000"), (INDIRECT("'"&amp;J$62&amp;"'!B2:B1000")=$B7) * (INDIRECT("'"&amp;J$62&amp;"'!C2:C1000")=$C7)
        ),
        5,
        FALSE
    )=0,
    "",
    VLOOKUP(
        $A7,
        _xlfn._xlws.FILTER(
            INDIRECT("'"&amp;J$62&amp;"'!A2:E1000"), (INDIRECT("'"&amp;J$62&amp;"'!B2:B1000")=$B7) * (INDIRECT("'"&amp;J$62&amp;"'!C2:C1000")=$C7)
        ),
        5,
        FALSE
    )
)</f>
        <v/>
      </c>
      <c r="K7" s="86">
        <f t="array" ref="K7">IF(
    VLOOKUP(
        $A7,
        _xlfn._xlws.FILTER(
            INDIRECT("'"&amp;K$62&amp;"'!A2:E1000"), (INDIRECT("'"&amp;K$62&amp;"'!B2:B1000")=$B7) * (INDIRECT("'"&amp;K$62&amp;"'!C2:C1000")=$C7)
        ),
        5,
        FALSE
    )=0,
    "",
    VLOOKUP(
        $A7,
        _xlfn._xlws.FILTER(
            INDIRECT("'"&amp;K$62&amp;"'!A2:E1000"), (INDIRECT("'"&amp;K$62&amp;"'!B2:B1000")=$B7) * (INDIRECT("'"&amp;K$62&amp;"'!C2:C1000")=$C7)
        ),
        5,
        FALSE
    )
)</f>
        <v/>
      </c>
      <c r="L7" s="86">
        <f t="array" ref="L7">IF(
    VLOOKUP(
        $A7,
        _xlfn._xlws.FILTER(
            INDIRECT("'"&amp;L$62&amp;"'!A2:E1000"), (INDIRECT("'"&amp;L$62&amp;"'!B2:B1000")=$B7) * (INDIRECT("'"&amp;L$62&amp;"'!C2:C1000")=$C7)
        ),
        5,
        FALSE
    )=0,
    "",
    VLOOKUP(
        $A7,
        _xlfn._xlws.FILTER(
            INDIRECT("'"&amp;L$62&amp;"'!A2:E1000"), (INDIRECT("'"&amp;L$62&amp;"'!B2:B1000")=$B7) * (INDIRECT("'"&amp;L$62&amp;"'!C2:C1000")=$C7)
        ),
        5,
        FALSE
    )
)</f>
        <v/>
      </c>
      <c r="M7" s="86">
        <f t="array" ref="M7">IF(
    VLOOKUP(
        $A7,
        _xlfn._xlws.FILTER(
            INDIRECT("'"&amp;M$62&amp;"'!A2:E1000"), (INDIRECT("'"&amp;M$62&amp;"'!B2:B1000")=$B7) * (INDIRECT("'"&amp;M$62&amp;"'!C2:C1000")=$C7)
        ),
        5,
        FALSE
    )=0,
    "",
    VLOOKUP(
        $A7,
        _xlfn._xlws.FILTER(
            INDIRECT("'"&amp;M$62&amp;"'!A2:E1000"), (INDIRECT("'"&amp;M$62&amp;"'!B2:B1000")=$B7) * (INDIRECT("'"&amp;M$62&amp;"'!C2:C1000")=$C7)
        ),
        5,
        FALSE
    )
)</f>
        <v/>
      </c>
      <c r="N7" s="86">
        <f t="array" ref="N7">IF(
    VLOOKUP(
        $A7,
        _xlfn._xlws.FILTER(
            INDIRECT("'"&amp;N$62&amp;"'!A2:E1000"), (INDIRECT("'"&amp;N$62&amp;"'!B2:B1000")=$B7) * (INDIRECT("'"&amp;N$62&amp;"'!C2:C1000")=$C7)
        ),
        5,
        FALSE
    )=0,
    "",
    VLOOKUP(
        $A7,
        _xlfn._xlws.FILTER(
            INDIRECT("'"&amp;N$62&amp;"'!A2:E1000"), (INDIRECT("'"&amp;N$62&amp;"'!B2:B1000")=$B7) * (INDIRECT("'"&amp;N$62&amp;"'!C2:C1000")=$C7)
        ),
        5,
        FALSE
    )
)</f>
        <v/>
      </c>
      <c r="O7" s="86">
        <f t="array" ref="O7">IF(
    VLOOKUP(
        $A7,
        _xlfn._xlws.FILTER(
            INDIRECT("'"&amp;O$62&amp;"'!A2:E1000"), (INDIRECT("'"&amp;O$62&amp;"'!B2:B1000")=$B7) * (INDIRECT("'"&amp;O$62&amp;"'!C2:C1000")=$C7)
        ),
        5,
        FALSE
    )=0,
    "",
    VLOOKUP(
        $A7,
        _xlfn._xlws.FILTER(
            INDIRECT("'"&amp;O$62&amp;"'!A2:E1000"), (INDIRECT("'"&amp;O$62&amp;"'!B2:B1000")=$B7) * (INDIRECT("'"&amp;O$62&amp;"'!C2:C1000")=$C7)
        ),
        5,
        FALSE
    )
)</f>
        <v/>
      </c>
    </row>
    <row r="8">
      <c r="A8" s="8" t="inlineStr">
        <is>
          <t>Curitiba</t>
        </is>
      </c>
      <c r="B8" s="58" t="inlineStr">
        <is>
          <t>Cerro Azul</t>
        </is>
      </c>
      <c r="C8" s="85" t="inlineStr">
        <is>
          <t>01</t>
        </is>
      </c>
      <c r="D8" s="86">
        <f t="array" ref="D8">IF(
    VLOOKUP(
        $A8,
        _xlfn._xlws.FILTER(
            INDIRECT("'"&amp;D$62&amp;"'!A2:E1000"), (INDIRECT("'"&amp;D$62&amp;"'!B2:B1000")=$B8) * (INDIRECT("'"&amp;D$62&amp;"'!C2:C1000")=$C8)
        ),
        5,
        FALSE
    )=0,
    "",
    VLOOKUP(
        $A8,
        _xlfn._xlws.FILTER(
            INDIRECT("'"&amp;D$62&amp;"'!A2:E1000"), (INDIRECT("'"&amp;D$62&amp;"'!B2:B1000")=$B8) * (INDIRECT("'"&amp;D$62&amp;"'!C2:C1000")=$C8)
        ),
        5,
        FALSE
    )
)</f>
        <v/>
      </c>
      <c r="E8" s="86">
        <f t="array" ref="E8">IF(
    VLOOKUP(
        $A8,
        _xlfn._xlws.FILTER(
            INDIRECT("'"&amp;E$62&amp;"'!A2:E1000"), (INDIRECT("'"&amp;E$62&amp;"'!B2:B1000")=$B8) * (INDIRECT("'"&amp;E$62&amp;"'!C2:C1000")=$C8)
        ),
        5,
        FALSE
    )=0,
    "",
    VLOOKUP(
        $A8,
        _xlfn._xlws.FILTER(
            INDIRECT("'"&amp;E$62&amp;"'!A2:E1000"), (INDIRECT("'"&amp;E$62&amp;"'!B2:B1000")=$B8) * (INDIRECT("'"&amp;E$62&amp;"'!C2:C1000")=$C8)
        ),
        5,
        FALSE
    )
)</f>
        <v/>
      </c>
      <c r="F8" s="86">
        <f t="array" ref="F8">IF(
    VLOOKUP(
        $A8,
        _xlfn._xlws.FILTER(
            INDIRECT("'"&amp;F$62&amp;"'!A2:E1000"), (INDIRECT("'"&amp;F$62&amp;"'!B2:B1000")=$B8) * (INDIRECT("'"&amp;F$62&amp;"'!C2:C1000")=$C8)
        ),
        5,
        FALSE
    )=0,
    "",
    VLOOKUP(
        $A8,
        _xlfn._xlws.FILTER(
            INDIRECT("'"&amp;F$62&amp;"'!A2:E1000"), (INDIRECT("'"&amp;F$62&amp;"'!B2:B1000")=$B8) * (INDIRECT("'"&amp;F$62&amp;"'!C2:C1000")=$C8)
        ),
        5,
        FALSE
    )
)</f>
        <v/>
      </c>
      <c r="G8" s="86">
        <f t="array" ref="G8">IF(
    VLOOKUP(
        $A8,
        _xlfn._xlws.FILTER(
            INDIRECT("'"&amp;G$62&amp;"'!A2:E1000"), (INDIRECT("'"&amp;G$62&amp;"'!B2:B1000")=$B8) * (INDIRECT("'"&amp;G$62&amp;"'!C2:C1000")=$C8)
        ),
        5,
        FALSE
    )=0,
    "",
    VLOOKUP(
        $A8,
        _xlfn._xlws.FILTER(
            INDIRECT("'"&amp;G$62&amp;"'!A2:E1000"), (INDIRECT("'"&amp;G$62&amp;"'!B2:B1000")=$B8) * (INDIRECT("'"&amp;G$62&amp;"'!C2:C1000")=$C8)
        ),
        5,
        FALSE
    )
)</f>
        <v/>
      </c>
      <c r="H8" s="86">
        <f t="array" ref="H8">IF(
    VLOOKUP(
        $A8,
        _xlfn._xlws.FILTER(
            INDIRECT("'"&amp;H$62&amp;"'!A2:E1000"), (INDIRECT("'"&amp;H$62&amp;"'!B2:B1000")=$B8) * (INDIRECT("'"&amp;H$62&amp;"'!C2:C1000")=$C8)
        ),
        5,
        FALSE
    )=0,
    "",
    VLOOKUP(
        $A8,
        _xlfn._xlws.FILTER(
            INDIRECT("'"&amp;H$62&amp;"'!A2:E1000"), (INDIRECT("'"&amp;H$62&amp;"'!B2:B1000")=$B8) * (INDIRECT("'"&amp;H$62&amp;"'!C2:C1000")=$C8)
        ),
        5,
        FALSE
    )
)</f>
        <v/>
      </c>
      <c r="I8" s="86">
        <f t="array" ref="I8">IF(
    VLOOKUP(
        $A8,
        _xlfn._xlws.FILTER(
            INDIRECT("'"&amp;I$62&amp;"'!A2:E1000"), (INDIRECT("'"&amp;I$62&amp;"'!B2:B1000")=$B8) * (INDIRECT("'"&amp;I$62&amp;"'!C2:C1000")=$C8)
        ),
        5,
        FALSE
    )=0,
    "",
    VLOOKUP(
        $A8,
        _xlfn._xlws.FILTER(
            INDIRECT("'"&amp;I$62&amp;"'!A2:E1000"), (INDIRECT("'"&amp;I$62&amp;"'!B2:B1000")=$B8) * (INDIRECT("'"&amp;I$62&amp;"'!C2:C1000")=$C8)
        ),
        5,
        FALSE
    )
)</f>
        <v/>
      </c>
      <c r="J8" s="86">
        <f t="array" ref="J8">IF(
    VLOOKUP(
        $A8,
        _xlfn._xlws.FILTER(
            INDIRECT("'"&amp;J$62&amp;"'!A2:E1000"), (INDIRECT("'"&amp;J$62&amp;"'!B2:B1000")=$B8) * (INDIRECT("'"&amp;J$62&amp;"'!C2:C1000")=$C8)
        ),
        5,
        FALSE
    )=0,
    "",
    VLOOKUP(
        $A8,
        _xlfn._xlws.FILTER(
            INDIRECT("'"&amp;J$62&amp;"'!A2:E1000"), (INDIRECT("'"&amp;J$62&amp;"'!B2:B1000")=$B8) * (INDIRECT("'"&amp;J$62&amp;"'!C2:C1000")=$C8)
        ),
        5,
        FALSE
    )
)</f>
        <v/>
      </c>
      <c r="K8" s="86">
        <f t="array" ref="K8">IF(
    VLOOKUP(
        $A8,
        _xlfn._xlws.FILTER(
            INDIRECT("'"&amp;K$62&amp;"'!A2:E1000"), (INDIRECT("'"&amp;K$62&amp;"'!B2:B1000")=$B8) * (INDIRECT("'"&amp;K$62&amp;"'!C2:C1000")=$C8)
        ),
        5,
        FALSE
    )=0,
    "",
    VLOOKUP(
        $A8,
        _xlfn._xlws.FILTER(
            INDIRECT("'"&amp;K$62&amp;"'!A2:E1000"), (INDIRECT("'"&amp;K$62&amp;"'!B2:B1000")=$B8) * (INDIRECT("'"&amp;K$62&amp;"'!C2:C1000")=$C8)
        ),
        5,
        FALSE
    )
)</f>
        <v/>
      </c>
      <c r="L8" s="86">
        <f t="array" ref="L8">IF(
    VLOOKUP(
        $A8,
        _xlfn._xlws.FILTER(
            INDIRECT("'"&amp;L$62&amp;"'!A2:E1000"), (INDIRECT("'"&amp;L$62&amp;"'!B2:B1000")=$B8) * (INDIRECT("'"&amp;L$62&amp;"'!C2:C1000")=$C8)
        ),
        5,
        FALSE
    )=0,
    "",
    VLOOKUP(
        $A8,
        _xlfn._xlws.FILTER(
            INDIRECT("'"&amp;L$62&amp;"'!A2:E1000"), (INDIRECT("'"&amp;L$62&amp;"'!B2:B1000")=$B8) * (INDIRECT("'"&amp;L$62&amp;"'!C2:C1000")=$C8)
        ),
        5,
        FALSE
    )
)</f>
        <v/>
      </c>
      <c r="M8" s="86">
        <f t="array" ref="M8">IF(
    VLOOKUP(
        $A8,
        _xlfn._xlws.FILTER(
            INDIRECT("'"&amp;M$62&amp;"'!A2:E1000"), (INDIRECT("'"&amp;M$62&amp;"'!B2:B1000")=$B8) * (INDIRECT("'"&amp;M$62&amp;"'!C2:C1000")=$C8)
        ),
        5,
        FALSE
    )=0,
    "",
    VLOOKUP(
        $A8,
        _xlfn._xlws.FILTER(
            INDIRECT("'"&amp;M$62&amp;"'!A2:E1000"), (INDIRECT("'"&amp;M$62&amp;"'!B2:B1000")=$B8) * (INDIRECT("'"&amp;M$62&amp;"'!C2:C1000")=$C8)
        ),
        5,
        FALSE
    )
)</f>
        <v/>
      </c>
      <c r="N8" s="86">
        <f t="array" ref="N8">IF(
    VLOOKUP(
        $A8,
        _xlfn._xlws.FILTER(
            INDIRECT("'"&amp;N$62&amp;"'!A2:E1000"), (INDIRECT("'"&amp;N$62&amp;"'!B2:B1000")=$B8) * (INDIRECT("'"&amp;N$62&amp;"'!C2:C1000")=$C8)
        ),
        5,
        FALSE
    )=0,
    "",
    VLOOKUP(
        $A8,
        _xlfn._xlws.FILTER(
            INDIRECT("'"&amp;N$62&amp;"'!A2:E1000"), (INDIRECT("'"&amp;N$62&amp;"'!B2:B1000")=$B8) * (INDIRECT("'"&amp;N$62&amp;"'!C2:C1000")=$C8)
        ),
        5,
        FALSE
    )
)</f>
        <v/>
      </c>
      <c r="O8" s="86">
        <f t="array" ref="O8">IF(
    VLOOKUP(
        $A8,
        _xlfn._xlws.FILTER(
            INDIRECT("'"&amp;O$62&amp;"'!A2:E1000"), (INDIRECT("'"&amp;O$62&amp;"'!B2:B1000")=$B8) * (INDIRECT("'"&amp;O$62&amp;"'!C2:C1000")=$C8)
        ),
        5,
        FALSE
    )=0,
    "",
    VLOOKUP(
        $A8,
        _xlfn._xlws.FILTER(
            INDIRECT("'"&amp;O$62&amp;"'!A2:E1000"), (INDIRECT("'"&amp;O$62&amp;"'!B2:B1000")=$B8) * (INDIRECT("'"&amp;O$62&amp;"'!C2:C1000")=$C8)
        ),
        5,
        FALSE
    )
)</f>
        <v/>
      </c>
    </row>
    <row r="9">
      <c r="A9" s="8" t="inlineStr">
        <is>
          <t>Curitiba</t>
        </is>
      </c>
      <c r="B9" s="58" t="inlineStr">
        <is>
          <t>Lapa</t>
        </is>
      </c>
      <c r="C9" s="85" t="inlineStr">
        <is>
          <t>01</t>
        </is>
      </c>
      <c r="D9" s="86">
        <f t="array" ref="D9">IF(
    VLOOKUP(
        $A9,
        _xlfn._xlws.FILTER(
            INDIRECT("'"&amp;D$62&amp;"'!A2:E1000"), (INDIRECT("'"&amp;D$62&amp;"'!B2:B1000")=$B9) * (INDIRECT("'"&amp;D$62&amp;"'!C2:C1000")=$C9)
        ),
        5,
        FALSE
    )=0,
    "",
    VLOOKUP(
        $A9,
        _xlfn._xlws.FILTER(
            INDIRECT("'"&amp;D$62&amp;"'!A2:E1000"), (INDIRECT("'"&amp;D$62&amp;"'!B2:B1000")=$B9) * (INDIRECT("'"&amp;D$62&amp;"'!C2:C1000")=$C9)
        ),
        5,
        FALSE
    )
)</f>
        <v/>
      </c>
      <c r="E9" s="86">
        <f t="array" ref="E9">IF(
    VLOOKUP(
        $A9,
        _xlfn._xlws.FILTER(
            INDIRECT("'"&amp;E$62&amp;"'!A2:E1000"), (INDIRECT("'"&amp;E$62&amp;"'!B2:B1000")=$B9) * (INDIRECT("'"&amp;E$62&amp;"'!C2:C1000")=$C9)
        ),
        5,
        FALSE
    )=0,
    "",
    VLOOKUP(
        $A9,
        _xlfn._xlws.FILTER(
            INDIRECT("'"&amp;E$62&amp;"'!A2:E1000"), (INDIRECT("'"&amp;E$62&amp;"'!B2:B1000")=$B9) * (INDIRECT("'"&amp;E$62&amp;"'!C2:C1000")=$C9)
        ),
        5,
        FALSE
    )
)</f>
        <v/>
      </c>
      <c r="F9" s="86">
        <f t="array" ref="F9">IF(
    VLOOKUP(
        $A9,
        _xlfn._xlws.FILTER(
            INDIRECT("'"&amp;F$62&amp;"'!A2:E1000"), (INDIRECT("'"&amp;F$62&amp;"'!B2:B1000")=$B9) * (INDIRECT("'"&amp;F$62&amp;"'!C2:C1000")=$C9)
        ),
        5,
        FALSE
    )=0,
    "",
    VLOOKUP(
        $A9,
        _xlfn._xlws.FILTER(
            INDIRECT("'"&amp;F$62&amp;"'!A2:E1000"), (INDIRECT("'"&amp;F$62&amp;"'!B2:B1000")=$B9) * (INDIRECT("'"&amp;F$62&amp;"'!C2:C1000")=$C9)
        ),
        5,
        FALSE
    )
)</f>
        <v/>
      </c>
      <c r="G9" s="86">
        <f t="array" ref="G9">IF(
    VLOOKUP(
        $A9,
        _xlfn._xlws.FILTER(
            INDIRECT("'"&amp;G$62&amp;"'!A2:E1000"), (INDIRECT("'"&amp;G$62&amp;"'!B2:B1000")=$B9) * (INDIRECT("'"&amp;G$62&amp;"'!C2:C1000")=$C9)
        ),
        5,
        FALSE
    )=0,
    "",
    VLOOKUP(
        $A9,
        _xlfn._xlws.FILTER(
            INDIRECT("'"&amp;G$62&amp;"'!A2:E1000"), (INDIRECT("'"&amp;G$62&amp;"'!B2:B1000")=$B9) * (INDIRECT("'"&amp;G$62&amp;"'!C2:C1000")=$C9)
        ),
        5,
        FALSE
    )
)</f>
        <v/>
      </c>
      <c r="H9" s="86">
        <f t="array" ref="H9">IF(
    VLOOKUP(
        $A9,
        _xlfn._xlws.FILTER(
            INDIRECT("'"&amp;H$62&amp;"'!A2:E1000"), (INDIRECT("'"&amp;H$62&amp;"'!B2:B1000")=$B9) * (INDIRECT("'"&amp;H$62&amp;"'!C2:C1000")=$C9)
        ),
        5,
        FALSE
    )=0,
    "",
    VLOOKUP(
        $A9,
        _xlfn._xlws.FILTER(
            INDIRECT("'"&amp;H$62&amp;"'!A2:E1000"), (INDIRECT("'"&amp;H$62&amp;"'!B2:B1000")=$B9) * (INDIRECT("'"&amp;H$62&amp;"'!C2:C1000")=$C9)
        ),
        5,
        FALSE
    )
)</f>
        <v/>
      </c>
      <c r="I9" s="86">
        <f t="array" ref="I9">IF(
    VLOOKUP(
        $A9,
        _xlfn._xlws.FILTER(
            INDIRECT("'"&amp;I$62&amp;"'!A2:E1000"), (INDIRECT("'"&amp;I$62&amp;"'!B2:B1000")=$B9) * (INDIRECT("'"&amp;I$62&amp;"'!C2:C1000")=$C9)
        ),
        5,
        FALSE
    )=0,
    "",
    VLOOKUP(
        $A9,
        _xlfn._xlws.FILTER(
            INDIRECT("'"&amp;I$62&amp;"'!A2:E1000"), (INDIRECT("'"&amp;I$62&amp;"'!B2:B1000")=$B9) * (INDIRECT("'"&amp;I$62&amp;"'!C2:C1000")=$C9)
        ),
        5,
        FALSE
    )
)</f>
        <v/>
      </c>
      <c r="J9" s="86">
        <f t="array" ref="J9">IF(
    VLOOKUP(
        $A9,
        _xlfn._xlws.FILTER(
            INDIRECT("'"&amp;J$62&amp;"'!A2:E1000"), (INDIRECT("'"&amp;J$62&amp;"'!B2:B1000")=$B9) * (INDIRECT("'"&amp;J$62&amp;"'!C2:C1000")=$C9)
        ),
        5,
        FALSE
    )=0,
    "",
    VLOOKUP(
        $A9,
        _xlfn._xlws.FILTER(
            INDIRECT("'"&amp;J$62&amp;"'!A2:E1000"), (INDIRECT("'"&amp;J$62&amp;"'!B2:B1000")=$B9) * (INDIRECT("'"&amp;J$62&amp;"'!C2:C1000")=$C9)
        ),
        5,
        FALSE
    )
)</f>
        <v/>
      </c>
      <c r="K9" s="86">
        <f t="array" ref="K9">IF(
    VLOOKUP(
        $A9,
        _xlfn._xlws.FILTER(
            INDIRECT("'"&amp;K$62&amp;"'!A2:E1000"), (INDIRECT("'"&amp;K$62&amp;"'!B2:B1000")=$B9) * (INDIRECT("'"&amp;K$62&amp;"'!C2:C1000")=$C9)
        ),
        5,
        FALSE
    )=0,
    "",
    VLOOKUP(
        $A9,
        _xlfn._xlws.FILTER(
            INDIRECT("'"&amp;K$62&amp;"'!A2:E1000"), (INDIRECT("'"&amp;K$62&amp;"'!B2:B1000")=$B9) * (INDIRECT("'"&amp;K$62&amp;"'!C2:C1000")=$C9)
        ),
        5,
        FALSE
    )
)</f>
        <v/>
      </c>
      <c r="L9" s="86">
        <f t="array" ref="L9">IF(
    VLOOKUP(
        $A9,
        _xlfn._xlws.FILTER(
            INDIRECT("'"&amp;L$62&amp;"'!A2:E1000"), (INDIRECT("'"&amp;L$62&amp;"'!B2:B1000")=$B9) * (INDIRECT("'"&amp;L$62&amp;"'!C2:C1000")=$C9)
        ),
        5,
        FALSE
    )=0,
    "",
    VLOOKUP(
        $A9,
        _xlfn._xlws.FILTER(
            INDIRECT("'"&amp;L$62&amp;"'!A2:E1000"), (INDIRECT("'"&amp;L$62&amp;"'!B2:B1000")=$B9) * (INDIRECT("'"&amp;L$62&amp;"'!C2:C1000")=$C9)
        ),
        5,
        FALSE
    )
)</f>
        <v/>
      </c>
      <c r="M9" s="86">
        <f t="array" ref="M9">IF(
    VLOOKUP(
        $A9,
        _xlfn._xlws.FILTER(
            INDIRECT("'"&amp;M$62&amp;"'!A2:E1000"), (INDIRECT("'"&amp;M$62&amp;"'!B2:B1000")=$B9) * (INDIRECT("'"&amp;M$62&amp;"'!C2:C1000")=$C9)
        ),
        5,
        FALSE
    )=0,
    "",
    VLOOKUP(
        $A9,
        _xlfn._xlws.FILTER(
            INDIRECT("'"&amp;M$62&amp;"'!A2:E1000"), (INDIRECT("'"&amp;M$62&amp;"'!B2:B1000")=$B9) * (INDIRECT("'"&amp;M$62&amp;"'!C2:C1000")=$C9)
        ),
        5,
        FALSE
    )
)</f>
        <v/>
      </c>
      <c r="N9" s="86">
        <f t="array" ref="N9">IF(
    VLOOKUP(
        $A9,
        _xlfn._xlws.FILTER(
            INDIRECT("'"&amp;N$62&amp;"'!A2:E1000"), (INDIRECT("'"&amp;N$62&amp;"'!B2:B1000")=$B9) * (INDIRECT("'"&amp;N$62&amp;"'!C2:C1000")=$C9)
        ),
        5,
        FALSE
    )=0,
    "",
    VLOOKUP(
        $A9,
        _xlfn._xlws.FILTER(
            INDIRECT("'"&amp;N$62&amp;"'!A2:E1000"), (INDIRECT("'"&amp;N$62&amp;"'!B2:B1000")=$B9) * (INDIRECT("'"&amp;N$62&amp;"'!C2:C1000")=$C9)
        ),
        5,
        FALSE
    )
)</f>
        <v/>
      </c>
      <c r="O9" s="86">
        <f t="array" ref="O9">IF(
    VLOOKUP(
        $A9,
        _xlfn._xlws.FILTER(
            INDIRECT("'"&amp;O$62&amp;"'!A2:E1000"), (INDIRECT("'"&amp;O$62&amp;"'!B2:B1000")=$B9) * (INDIRECT("'"&amp;O$62&amp;"'!C2:C1000")=$C9)
        ),
        5,
        FALSE
    )=0,
    "",
    VLOOKUP(
        $A9,
        _xlfn._xlws.FILTER(
            INDIRECT("'"&amp;O$62&amp;"'!A2:E1000"), (INDIRECT("'"&amp;O$62&amp;"'!B2:B1000")=$B9) * (INDIRECT("'"&amp;O$62&amp;"'!C2:C1000")=$C9)
        ),
        5,
        FALSE
    )
)</f>
        <v/>
      </c>
    </row>
    <row r="10">
      <c r="A10" s="8" t="inlineStr">
        <is>
          <t>Curitiba</t>
        </is>
      </c>
      <c r="B10" s="58" t="inlineStr">
        <is>
          <t>Rio Branco Do Sul</t>
        </is>
      </c>
      <c r="C10" s="85" t="inlineStr">
        <is>
          <t>01</t>
        </is>
      </c>
      <c r="D10" s="86">
        <f t="array" ref="D10">IF(
    VLOOKUP(
        $A10,
        _xlfn._xlws.FILTER(
            INDIRECT("'"&amp;D$62&amp;"'!A2:E1000"), (INDIRECT("'"&amp;D$62&amp;"'!B2:B1000")=$B10) * (INDIRECT("'"&amp;D$62&amp;"'!C2:C1000")=$C10)
        ),
        5,
        FALSE
    )=0,
    "",
    VLOOKUP(
        $A10,
        _xlfn._xlws.FILTER(
            INDIRECT("'"&amp;D$62&amp;"'!A2:E1000"), (INDIRECT("'"&amp;D$62&amp;"'!B2:B1000")=$B10) * (INDIRECT("'"&amp;D$62&amp;"'!C2:C1000")=$C10)
        ),
        5,
        FALSE
    )
)</f>
        <v/>
      </c>
      <c r="E10" s="86">
        <f t="array" ref="E10">IF(
    VLOOKUP(
        $A10,
        _xlfn._xlws.FILTER(
            INDIRECT("'"&amp;E$62&amp;"'!A2:E1000"), (INDIRECT("'"&amp;E$62&amp;"'!B2:B1000")=$B10) * (INDIRECT("'"&amp;E$62&amp;"'!C2:C1000")=$C10)
        ),
        5,
        FALSE
    )=0,
    "",
    VLOOKUP(
        $A10,
        _xlfn._xlws.FILTER(
            INDIRECT("'"&amp;E$62&amp;"'!A2:E1000"), (INDIRECT("'"&amp;E$62&amp;"'!B2:B1000")=$B10) * (INDIRECT("'"&amp;E$62&amp;"'!C2:C1000")=$C10)
        ),
        5,
        FALSE
    )
)</f>
        <v/>
      </c>
      <c r="F10" s="86">
        <f t="array" ref="F10">IF(
    VLOOKUP(
        $A10,
        _xlfn._xlws.FILTER(
            INDIRECT("'"&amp;F$62&amp;"'!A2:E1000"), (INDIRECT("'"&amp;F$62&amp;"'!B2:B1000")=$B10) * (INDIRECT("'"&amp;F$62&amp;"'!C2:C1000")=$C10)
        ),
        5,
        FALSE
    )=0,
    "",
    VLOOKUP(
        $A10,
        _xlfn._xlws.FILTER(
            INDIRECT("'"&amp;F$62&amp;"'!A2:E1000"), (INDIRECT("'"&amp;F$62&amp;"'!B2:B1000")=$B10) * (INDIRECT("'"&amp;F$62&amp;"'!C2:C1000")=$C10)
        ),
        5,
        FALSE
    )
)</f>
        <v/>
      </c>
      <c r="G10" s="86">
        <f t="array" ref="G10">IF(
    VLOOKUP(
        $A10,
        _xlfn._xlws.FILTER(
            INDIRECT("'"&amp;G$62&amp;"'!A2:E1000"), (INDIRECT("'"&amp;G$62&amp;"'!B2:B1000")=$B10) * (INDIRECT("'"&amp;G$62&amp;"'!C2:C1000")=$C10)
        ),
        5,
        FALSE
    )=0,
    "",
    VLOOKUP(
        $A10,
        _xlfn._xlws.FILTER(
            INDIRECT("'"&amp;G$62&amp;"'!A2:E1000"), (INDIRECT("'"&amp;G$62&amp;"'!B2:B1000")=$B10) * (INDIRECT("'"&amp;G$62&amp;"'!C2:C1000")=$C10)
        ),
        5,
        FALSE
    )
)</f>
        <v/>
      </c>
      <c r="H10" s="86">
        <f t="array" ref="H10">IF(
    VLOOKUP(
        $A10,
        _xlfn._xlws.FILTER(
            INDIRECT("'"&amp;H$62&amp;"'!A2:E1000"), (INDIRECT("'"&amp;H$62&amp;"'!B2:B1000")=$B10) * (INDIRECT("'"&amp;H$62&amp;"'!C2:C1000")=$C10)
        ),
        5,
        FALSE
    )=0,
    "",
    VLOOKUP(
        $A10,
        _xlfn._xlws.FILTER(
            INDIRECT("'"&amp;H$62&amp;"'!A2:E1000"), (INDIRECT("'"&amp;H$62&amp;"'!B2:B1000")=$B10) * (INDIRECT("'"&amp;H$62&amp;"'!C2:C1000")=$C10)
        ),
        5,
        FALSE
    )
)</f>
        <v/>
      </c>
      <c r="I10" s="86">
        <f t="array" ref="I10">IF(
    VLOOKUP(
        $A10,
        _xlfn._xlws.FILTER(
            INDIRECT("'"&amp;I$62&amp;"'!A2:E1000"), (INDIRECT("'"&amp;I$62&amp;"'!B2:B1000")=$B10) * (INDIRECT("'"&amp;I$62&amp;"'!C2:C1000")=$C10)
        ),
        5,
        FALSE
    )=0,
    "",
    VLOOKUP(
        $A10,
        _xlfn._xlws.FILTER(
            INDIRECT("'"&amp;I$62&amp;"'!A2:E1000"), (INDIRECT("'"&amp;I$62&amp;"'!B2:B1000")=$B10) * (INDIRECT("'"&amp;I$62&amp;"'!C2:C1000")=$C10)
        ),
        5,
        FALSE
    )
)</f>
        <v/>
      </c>
      <c r="J10" s="86">
        <f t="array" ref="J10">IF(
    VLOOKUP(
        $A10,
        _xlfn._xlws.FILTER(
            INDIRECT("'"&amp;J$62&amp;"'!A2:E1000"), (INDIRECT("'"&amp;J$62&amp;"'!B2:B1000")=$B10) * (INDIRECT("'"&amp;J$62&amp;"'!C2:C1000")=$C10)
        ),
        5,
        FALSE
    )=0,
    "",
    VLOOKUP(
        $A10,
        _xlfn._xlws.FILTER(
            INDIRECT("'"&amp;J$62&amp;"'!A2:E1000"), (INDIRECT("'"&amp;J$62&amp;"'!B2:B1000")=$B10) * (INDIRECT("'"&amp;J$62&amp;"'!C2:C1000")=$C10)
        ),
        5,
        FALSE
    )
)</f>
        <v/>
      </c>
      <c r="K10" s="86">
        <f t="array" ref="K10">IF(
    VLOOKUP(
        $A10,
        _xlfn._xlws.FILTER(
            INDIRECT("'"&amp;K$62&amp;"'!A2:E1000"), (INDIRECT("'"&amp;K$62&amp;"'!B2:B1000")=$B10) * (INDIRECT("'"&amp;K$62&amp;"'!C2:C1000")=$C10)
        ),
        5,
        FALSE
    )=0,
    "",
    VLOOKUP(
        $A10,
        _xlfn._xlws.FILTER(
            INDIRECT("'"&amp;K$62&amp;"'!A2:E1000"), (INDIRECT("'"&amp;K$62&amp;"'!B2:B1000")=$B10) * (INDIRECT("'"&amp;K$62&amp;"'!C2:C1000")=$C10)
        ),
        5,
        FALSE
    )
)</f>
        <v/>
      </c>
      <c r="L10" s="86">
        <f t="array" ref="L10">IF(
    VLOOKUP(
        $A10,
        _xlfn._xlws.FILTER(
            INDIRECT("'"&amp;L$62&amp;"'!A2:E1000"), (INDIRECT("'"&amp;L$62&amp;"'!B2:B1000")=$B10) * (INDIRECT("'"&amp;L$62&amp;"'!C2:C1000")=$C10)
        ),
        5,
        FALSE
    )=0,
    "",
    VLOOKUP(
        $A10,
        _xlfn._xlws.FILTER(
            INDIRECT("'"&amp;L$62&amp;"'!A2:E1000"), (INDIRECT("'"&amp;L$62&amp;"'!B2:B1000")=$B10) * (INDIRECT("'"&amp;L$62&amp;"'!C2:C1000")=$C10)
        ),
        5,
        FALSE
    )
)</f>
        <v/>
      </c>
      <c r="M10" s="86">
        <f t="array" ref="M10">IF(
    VLOOKUP(
        $A10,
        _xlfn._xlws.FILTER(
            INDIRECT("'"&amp;M$62&amp;"'!A2:E1000"), (INDIRECT("'"&amp;M$62&amp;"'!B2:B1000")=$B10) * (INDIRECT("'"&amp;M$62&amp;"'!C2:C1000")=$C10)
        ),
        5,
        FALSE
    )=0,
    "",
    VLOOKUP(
        $A10,
        _xlfn._xlws.FILTER(
            INDIRECT("'"&amp;M$62&amp;"'!A2:E1000"), (INDIRECT("'"&amp;M$62&amp;"'!B2:B1000")=$B10) * (INDIRECT("'"&amp;M$62&amp;"'!C2:C1000")=$C10)
        ),
        5,
        FALSE
    )
)</f>
        <v/>
      </c>
      <c r="N10" s="86">
        <f t="array" ref="N10">IF(
    VLOOKUP(
        $A10,
        _xlfn._xlws.FILTER(
            INDIRECT("'"&amp;N$62&amp;"'!A2:E1000"), (INDIRECT("'"&amp;N$62&amp;"'!B2:B1000")=$B10) * (INDIRECT("'"&amp;N$62&amp;"'!C2:C1000")=$C10)
        ),
        5,
        FALSE
    )=0,
    "",
    VLOOKUP(
        $A10,
        _xlfn._xlws.FILTER(
            INDIRECT("'"&amp;N$62&amp;"'!A2:E1000"), (INDIRECT("'"&amp;N$62&amp;"'!B2:B1000")=$B10) * (INDIRECT("'"&amp;N$62&amp;"'!C2:C1000")=$C10)
        ),
        5,
        FALSE
    )
)</f>
        <v/>
      </c>
      <c r="O10" s="86">
        <f t="array" ref="O10">IF(
    VLOOKUP(
        $A10,
        _xlfn._xlws.FILTER(
            INDIRECT("'"&amp;O$62&amp;"'!A2:E1000"), (INDIRECT("'"&amp;O$62&amp;"'!B2:B1000")=$B10) * (INDIRECT("'"&amp;O$62&amp;"'!C2:C1000")=$C10)
        ),
        5,
        FALSE
    )=0,
    "",
    VLOOKUP(
        $A10,
        _xlfn._xlws.FILTER(
            INDIRECT("'"&amp;O$62&amp;"'!A2:E1000"), (INDIRECT("'"&amp;O$62&amp;"'!B2:B1000")=$B10) * (INDIRECT("'"&amp;O$62&amp;"'!C2:C1000")=$C10)
        ),
        5,
        FALSE
    )
)</f>
        <v/>
      </c>
    </row>
    <row r="11">
      <c r="A11" s="8" t="inlineStr">
        <is>
          <t>Curitiba</t>
        </is>
      </c>
      <c r="B11" s="58" t="inlineStr">
        <is>
          <t>Rio Branco Do Sul</t>
        </is>
      </c>
      <c r="C11" s="85" t="inlineStr">
        <is>
          <t>02</t>
        </is>
      </c>
      <c r="D11" s="86">
        <f t="array" ref="D11">IF(
    VLOOKUP(
        $A11,
        _xlfn._xlws.FILTER(
            INDIRECT("'"&amp;D$62&amp;"'!A2:E1000"), (INDIRECT("'"&amp;D$62&amp;"'!B2:B1000")=$B11) * (INDIRECT("'"&amp;D$62&amp;"'!C2:C1000")=$C11)
        ),
        5,
        FALSE
    )=0,
    "",
    VLOOKUP(
        $A11,
        _xlfn._xlws.FILTER(
            INDIRECT("'"&amp;D$62&amp;"'!A2:E1000"), (INDIRECT("'"&amp;D$62&amp;"'!B2:B1000")=$B11) * (INDIRECT("'"&amp;D$62&amp;"'!C2:C1000")=$C11)
        ),
        5,
        FALSE
    )
)</f>
        <v/>
      </c>
      <c r="E11" s="86">
        <f t="array" ref="E11">IF(
    VLOOKUP(
        $A11,
        _xlfn._xlws.FILTER(
            INDIRECT("'"&amp;E$62&amp;"'!A2:E1000"), (INDIRECT("'"&amp;E$62&amp;"'!B2:B1000")=$B11) * (INDIRECT("'"&amp;E$62&amp;"'!C2:C1000")=$C11)
        ),
        5,
        FALSE
    )=0,
    "",
    VLOOKUP(
        $A11,
        _xlfn._xlws.FILTER(
            INDIRECT("'"&amp;E$62&amp;"'!A2:E1000"), (INDIRECT("'"&amp;E$62&amp;"'!B2:B1000")=$B11) * (INDIRECT("'"&amp;E$62&amp;"'!C2:C1000")=$C11)
        ),
        5,
        FALSE
    )
)</f>
        <v/>
      </c>
      <c r="F11" s="86">
        <f t="array" ref="F11">IF(
    VLOOKUP(
        $A11,
        _xlfn._xlws.FILTER(
            INDIRECT("'"&amp;F$62&amp;"'!A2:E1000"), (INDIRECT("'"&amp;F$62&amp;"'!B2:B1000")=$B11) * (INDIRECT("'"&amp;F$62&amp;"'!C2:C1000")=$C11)
        ),
        5,
        FALSE
    )=0,
    "",
    VLOOKUP(
        $A11,
        _xlfn._xlws.FILTER(
            INDIRECT("'"&amp;F$62&amp;"'!A2:E1000"), (INDIRECT("'"&amp;F$62&amp;"'!B2:B1000")=$B11) * (INDIRECT("'"&amp;F$62&amp;"'!C2:C1000")=$C11)
        ),
        5,
        FALSE
    )
)</f>
        <v/>
      </c>
      <c r="G11" s="86">
        <f t="array" ref="G11">IF(
    VLOOKUP(
        $A11,
        _xlfn._xlws.FILTER(
            INDIRECT("'"&amp;G$62&amp;"'!A2:E1000"), (INDIRECT("'"&amp;G$62&amp;"'!B2:B1000")=$B11) * (INDIRECT("'"&amp;G$62&amp;"'!C2:C1000")=$C11)
        ),
        5,
        FALSE
    )=0,
    "",
    VLOOKUP(
        $A11,
        _xlfn._xlws.FILTER(
            INDIRECT("'"&amp;G$62&amp;"'!A2:E1000"), (INDIRECT("'"&amp;G$62&amp;"'!B2:B1000")=$B11) * (INDIRECT("'"&amp;G$62&amp;"'!C2:C1000")=$C11)
        ),
        5,
        FALSE
    )
)</f>
        <v/>
      </c>
      <c r="H11" s="86">
        <f t="array" ref="H11">IF(
    VLOOKUP(
        $A11,
        _xlfn._xlws.FILTER(
            INDIRECT("'"&amp;H$62&amp;"'!A2:E1000"), (INDIRECT("'"&amp;H$62&amp;"'!B2:B1000")=$B11) * (INDIRECT("'"&amp;H$62&amp;"'!C2:C1000")=$C11)
        ),
        5,
        FALSE
    )=0,
    "",
    VLOOKUP(
        $A11,
        _xlfn._xlws.FILTER(
            INDIRECT("'"&amp;H$62&amp;"'!A2:E1000"), (INDIRECT("'"&amp;H$62&amp;"'!B2:B1000")=$B11) * (INDIRECT("'"&amp;H$62&amp;"'!C2:C1000")=$C11)
        ),
        5,
        FALSE
    )
)</f>
        <v/>
      </c>
      <c r="I11" s="86">
        <f t="array" ref="I11">IF(
    VLOOKUP(
        $A11,
        _xlfn._xlws.FILTER(
            INDIRECT("'"&amp;I$62&amp;"'!A2:E1000"), (INDIRECT("'"&amp;I$62&amp;"'!B2:B1000")=$B11) * (INDIRECT("'"&amp;I$62&amp;"'!C2:C1000")=$C11)
        ),
        5,
        FALSE
    )=0,
    "",
    VLOOKUP(
        $A11,
        _xlfn._xlws.FILTER(
            INDIRECT("'"&amp;I$62&amp;"'!A2:E1000"), (INDIRECT("'"&amp;I$62&amp;"'!B2:B1000")=$B11) * (INDIRECT("'"&amp;I$62&amp;"'!C2:C1000")=$C11)
        ),
        5,
        FALSE
    )
)</f>
        <v/>
      </c>
      <c r="J11" s="86">
        <f t="array" ref="J11">IF(
    VLOOKUP(
        $A11,
        _xlfn._xlws.FILTER(
            INDIRECT("'"&amp;J$62&amp;"'!A2:E1000"), (INDIRECT("'"&amp;J$62&amp;"'!B2:B1000")=$B11) * (INDIRECT("'"&amp;J$62&amp;"'!C2:C1000")=$C11)
        ),
        5,
        FALSE
    )=0,
    "",
    VLOOKUP(
        $A11,
        _xlfn._xlws.FILTER(
            INDIRECT("'"&amp;J$62&amp;"'!A2:E1000"), (INDIRECT("'"&amp;J$62&amp;"'!B2:B1000")=$B11) * (INDIRECT("'"&amp;J$62&amp;"'!C2:C1000")=$C11)
        ),
        5,
        FALSE
    )
)</f>
        <v/>
      </c>
      <c r="K11" s="86">
        <f t="array" ref="K11">IF(
    VLOOKUP(
        $A11,
        _xlfn._xlws.FILTER(
            INDIRECT("'"&amp;K$62&amp;"'!A2:E1000"), (INDIRECT("'"&amp;K$62&amp;"'!B2:B1000")=$B11) * (INDIRECT("'"&amp;K$62&amp;"'!C2:C1000")=$C11)
        ),
        5,
        FALSE
    )=0,
    "",
    VLOOKUP(
        $A11,
        _xlfn._xlws.FILTER(
            INDIRECT("'"&amp;K$62&amp;"'!A2:E1000"), (INDIRECT("'"&amp;K$62&amp;"'!B2:B1000")=$B11) * (INDIRECT("'"&amp;K$62&amp;"'!C2:C1000")=$C11)
        ),
        5,
        FALSE
    )
)</f>
        <v/>
      </c>
      <c r="L11" s="86">
        <f t="array" ref="L11">IF(
    VLOOKUP(
        $A11,
        _xlfn._xlws.FILTER(
            INDIRECT("'"&amp;L$62&amp;"'!A2:E1000"), (INDIRECT("'"&amp;L$62&amp;"'!B2:B1000")=$B11) * (INDIRECT("'"&amp;L$62&amp;"'!C2:C1000")=$C11)
        ),
        5,
        FALSE
    )=0,
    "",
    VLOOKUP(
        $A11,
        _xlfn._xlws.FILTER(
            INDIRECT("'"&amp;L$62&amp;"'!A2:E1000"), (INDIRECT("'"&amp;L$62&amp;"'!B2:B1000")=$B11) * (INDIRECT("'"&amp;L$62&amp;"'!C2:C1000")=$C11)
        ),
        5,
        FALSE
    )
)</f>
        <v/>
      </c>
      <c r="M11" s="86">
        <f t="array" ref="M11">IF(
    VLOOKUP(
        $A11,
        _xlfn._xlws.FILTER(
            INDIRECT("'"&amp;M$62&amp;"'!A2:E1000"), (INDIRECT("'"&amp;M$62&amp;"'!B2:B1000")=$B11) * (INDIRECT("'"&amp;M$62&amp;"'!C2:C1000")=$C11)
        ),
        5,
        FALSE
    )=0,
    "",
    VLOOKUP(
        $A11,
        _xlfn._xlws.FILTER(
            INDIRECT("'"&amp;M$62&amp;"'!A2:E1000"), (INDIRECT("'"&amp;M$62&amp;"'!B2:B1000")=$B11) * (INDIRECT("'"&amp;M$62&amp;"'!C2:C1000")=$C11)
        ),
        5,
        FALSE
    )
)</f>
        <v/>
      </c>
      <c r="N11" s="86">
        <f t="array" ref="N11">IF(
    VLOOKUP(
        $A11,
        _xlfn._xlws.FILTER(
            INDIRECT("'"&amp;N$62&amp;"'!A2:E1000"), (INDIRECT("'"&amp;N$62&amp;"'!B2:B1000")=$B11) * (INDIRECT("'"&amp;N$62&amp;"'!C2:C1000")=$C11)
        ),
        5,
        FALSE
    )=0,
    "",
    VLOOKUP(
        $A11,
        _xlfn._xlws.FILTER(
            INDIRECT("'"&amp;N$62&amp;"'!A2:E1000"), (INDIRECT("'"&amp;N$62&amp;"'!B2:B1000")=$B11) * (INDIRECT("'"&amp;N$62&amp;"'!C2:C1000")=$C11)
        ),
        5,
        FALSE
    )
)</f>
        <v/>
      </c>
      <c r="O11" s="86">
        <f t="array" ref="O11">IF(
    VLOOKUP(
        $A11,
        _xlfn._xlws.FILTER(
            INDIRECT("'"&amp;O$62&amp;"'!A2:E1000"), (INDIRECT("'"&amp;O$62&amp;"'!B2:B1000")=$B11) * (INDIRECT("'"&amp;O$62&amp;"'!C2:C1000")=$C11)
        ),
        5,
        FALSE
    )=0,
    "",
    VLOOKUP(
        $A11,
        _xlfn._xlws.FILTER(
            INDIRECT("'"&amp;O$62&amp;"'!A2:E1000"), (INDIRECT("'"&amp;O$62&amp;"'!B2:B1000")=$B11) * (INDIRECT("'"&amp;O$62&amp;"'!C2:C1000")=$C11)
        ),
        5,
        FALSE
    )
)</f>
        <v/>
      </c>
    </row>
    <row r="12">
      <c r="A12" s="8" t="inlineStr">
        <is>
          <t>Curitiba</t>
        </is>
      </c>
      <c r="B12" s="58" t="inlineStr">
        <is>
          <t>Rio Negro</t>
        </is>
      </c>
      <c r="C12" s="85" t="inlineStr">
        <is>
          <t>01</t>
        </is>
      </c>
      <c r="D12" s="86">
        <f t="array" ref="D12">IF(
    VLOOKUP(
        $A12,
        _xlfn._xlws.FILTER(
            INDIRECT("'"&amp;D$62&amp;"'!A2:E1000"), (INDIRECT("'"&amp;D$62&amp;"'!B2:B1000")=$B12) * (INDIRECT("'"&amp;D$62&amp;"'!C2:C1000")=$C12)
        ),
        5,
        FALSE
    )=0,
    "",
    VLOOKUP(
        $A12,
        _xlfn._xlws.FILTER(
            INDIRECT("'"&amp;D$62&amp;"'!A2:E1000"), (INDIRECT("'"&amp;D$62&amp;"'!B2:B1000")=$B12) * (INDIRECT("'"&amp;D$62&amp;"'!C2:C1000")=$C12)
        ),
        5,
        FALSE
    )
)</f>
        <v/>
      </c>
      <c r="E12" s="86">
        <f t="array" ref="E12">IF(
    VLOOKUP(
        $A12,
        _xlfn._xlws.FILTER(
            INDIRECT("'"&amp;E$62&amp;"'!A2:E1000"), (INDIRECT("'"&amp;E$62&amp;"'!B2:B1000")=$B12) * (INDIRECT("'"&amp;E$62&amp;"'!C2:C1000")=$C12)
        ),
        5,
        FALSE
    )=0,
    "",
    VLOOKUP(
        $A12,
        _xlfn._xlws.FILTER(
            INDIRECT("'"&amp;E$62&amp;"'!A2:E1000"), (INDIRECT("'"&amp;E$62&amp;"'!B2:B1000")=$B12) * (INDIRECT("'"&amp;E$62&amp;"'!C2:C1000")=$C12)
        ),
        5,
        FALSE
    )
)</f>
        <v/>
      </c>
      <c r="F12" s="86">
        <f t="array" ref="F12">IF(
    VLOOKUP(
        $A12,
        _xlfn._xlws.FILTER(
            INDIRECT("'"&amp;F$62&amp;"'!A2:E1000"), (INDIRECT("'"&amp;F$62&amp;"'!B2:B1000")=$B12) * (INDIRECT("'"&amp;F$62&amp;"'!C2:C1000")=$C12)
        ),
        5,
        FALSE
    )=0,
    "",
    VLOOKUP(
        $A12,
        _xlfn._xlws.FILTER(
            INDIRECT("'"&amp;F$62&amp;"'!A2:E1000"), (INDIRECT("'"&amp;F$62&amp;"'!B2:B1000")=$B12) * (INDIRECT("'"&amp;F$62&amp;"'!C2:C1000")=$C12)
        ),
        5,
        FALSE
    )
)</f>
        <v/>
      </c>
      <c r="G12" s="86">
        <f t="array" ref="G12">IF(
    VLOOKUP(
        $A12,
        _xlfn._xlws.FILTER(
            INDIRECT("'"&amp;G$62&amp;"'!A2:E1000"), (INDIRECT("'"&amp;G$62&amp;"'!B2:B1000")=$B12) * (INDIRECT("'"&amp;G$62&amp;"'!C2:C1000")=$C12)
        ),
        5,
        FALSE
    )=0,
    "",
    VLOOKUP(
        $A12,
        _xlfn._xlws.FILTER(
            INDIRECT("'"&amp;G$62&amp;"'!A2:E1000"), (INDIRECT("'"&amp;G$62&amp;"'!B2:B1000")=$B12) * (INDIRECT("'"&amp;G$62&amp;"'!C2:C1000")=$C12)
        ),
        5,
        FALSE
    )
)</f>
        <v/>
      </c>
      <c r="H12" s="86">
        <f t="array" ref="H12">IF(
    VLOOKUP(
        $A12,
        _xlfn._xlws.FILTER(
            INDIRECT("'"&amp;H$62&amp;"'!A2:E1000"), (INDIRECT("'"&amp;H$62&amp;"'!B2:B1000")=$B12) * (INDIRECT("'"&amp;H$62&amp;"'!C2:C1000")=$C12)
        ),
        5,
        FALSE
    )=0,
    "",
    VLOOKUP(
        $A12,
        _xlfn._xlws.FILTER(
            INDIRECT("'"&amp;H$62&amp;"'!A2:E1000"), (INDIRECT("'"&amp;H$62&amp;"'!B2:B1000")=$B12) * (INDIRECT("'"&amp;H$62&amp;"'!C2:C1000")=$C12)
        ),
        5,
        FALSE
    )
)</f>
        <v/>
      </c>
      <c r="I12" s="86">
        <f t="array" ref="I12">IF(
    VLOOKUP(
        $A12,
        _xlfn._xlws.FILTER(
            INDIRECT("'"&amp;I$62&amp;"'!A2:E1000"), (INDIRECT("'"&amp;I$62&amp;"'!B2:B1000")=$B12) * (INDIRECT("'"&amp;I$62&amp;"'!C2:C1000")=$C12)
        ),
        5,
        FALSE
    )=0,
    "",
    VLOOKUP(
        $A12,
        _xlfn._xlws.FILTER(
            INDIRECT("'"&amp;I$62&amp;"'!A2:E1000"), (INDIRECT("'"&amp;I$62&amp;"'!B2:B1000")=$B12) * (INDIRECT("'"&amp;I$62&amp;"'!C2:C1000")=$C12)
        ),
        5,
        FALSE
    )
)</f>
        <v/>
      </c>
      <c r="J12" s="86">
        <f t="array" ref="J12">IF(
    VLOOKUP(
        $A12,
        _xlfn._xlws.FILTER(
            INDIRECT("'"&amp;J$62&amp;"'!A2:E1000"), (INDIRECT("'"&amp;J$62&amp;"'!B2:B1000")=$B12) * (INDIRECT("'"&amp;J$62&amp;"'!C2:C1000")=$C12)
        ),
        5,
        FALSE
    )=0,
    "",
    VLOOKUP(
        $A12,
        _xlfn._xlws.FILTER(
            INDIRECT("'"&amp;J$62&amp;"'!A2:E1000"), (INDIRECT("'"&amp;J$62&amp;"'!B2:B1000")=$B12) * (INDIRECT("'"&amp;J$62&amp;"'!C2:C1000")=$C12)
        ),
        5,
        FALSE
    )
)</f>
        <v/>
      </c>
      <c r="K12" s="86">
        <f t="array" ref="K12">IF(
    VLOOKUP(
        $A12,
        _xlfn._xlws.FILTER(
            INDIRECT("'"&amp;K$62&amp;"'!A2:E1000"), (INDIRECT("'"&amp;K$62&amp;"'!B2:B1000")=$B12) * (INDIRECT("'"&amp;K$62&amp;"'!C2:C1000")=$C12)
        ),
        5,
        FALSE
    )=0,
    "",
    VLOOKUP(
        $A12,
        _xlfn._xlws.FILTER(
            INDIRECT("'"&amp;K$62&amp;"'!A2:E1000"), (INDIRECT("'"&amp;K$62&amp;"'!B2:B1000")=$B12) * (INDIRECT("'"&amp;K$62&amp;"'!C2:C1000")=$C12)
        ),
        5,
        FALSE
    )
)</f>
        <v/>
      </c>
      <c r="L12" s="86">
        <f t="array" ref="L12">IF(
    VLOOKUP(
        $A12,
        _xlfn._xlws.FILTER(
            INDIRECT("'"&amp;L$62&amp;"'!A2:E1000"), (INDIRECT("'"&amp;L$62&amp;"'!B2:B1000")=$B12) * (INDIRECT("'"&amp;L$62&amp;"'!C2:C1000")=$C12)
        ),
        5,
        FALSE
    )=0,
    "",
    VLOOKUP(
        $A12,
        _xlfn._xlws.FILTER(
            INDIRECT("'"&amp;L$62&amp;"'!A2:E1000"), (INDIRECT("'"&amp;L$62&amp;"'!B2:B1000")=$B12) * (INDIRECT("'"&amp;L$62&amp;"'!C2:C1000")=$C12)
        ),
        5,
        FALSE
    )
)</f>
        <v/>
      </c>
      <c r="M12" s="86">
        <f t="array" ref="M12">IF(
    VLOOKUP(
        $A12,
        _xlfn._xlws.FILTER(
            INDIRECT("'"&amp;M$62&amp;"'!A2:E1000"), (INDIRECT("'"&amp;M$62&amp;"'!B2:B1000")=$B12) * (INDIRECT("'"&amp;M$62&amp;"'!C2:C1000")=$C12)
        ),
        5,
        FALSE
    )=0,
    "",
    VLOOKUP(
        $A12,
        _xlfn._xlws.FILTER(
            INDIRECT("'"&amp;M$62&amp;"'!A2:E1000"), (INDIRECT("'"&amp;M$62&amp;"'!B2:B1000")=$B12) * (INDIRECT("'"&amp;M$62&amp;"'!C2:C1000")=$C12)
        ),
        5,
        FALSE
    )
)</f>
        <v/>
      </c>
      <c r="N12" s="86">
        <f t="array" ref="N12">IF(
    VLOOKUP(
        $A12,
        _xlfn._xlws.FILTER(
            INDIRECT("'"&amp;N$62&amp;"'!A2:E1000"), (INDIRECT("'"&amp;N$62&amp;"'!B2:B1000")=$B12) * (INDIRECT("'"&amp;N$62&amp;"'!C2:C1000")=$C12)
        ),
        5,
        FALSE
    )=0,
    "",
    VLOOKUP(
        $A12,
        _xlfn._xlws.FILTER(
            INDIRECT("'"&amp;N$62&amp;"'!A2:E1000"), (INDIRECT("'"&amp;N$62&amp;"'!B2:B1000")=$B12) * (INDIRECT("'"&amp;N$62&amp;"'!C2:C1000")=$C12)
        ),
        5,
        FALSE
    )
)</f>
        <v/>
      </c>
      <c r="O12" s="86">
        <f t="array" ref="O12">IF(
    VLOOKUP(
        $A12,
        _xlfn._xlws.FILTER(
            INDIRECT("'"&amp;O$62&amp;"'!A2:E1000"), (INDIRECT("'"&amp;O$62&amp;"'!B2:B1000")=$B12) * (INDIRECT("'"&amp;O$62&amp;"'!C2:C1000")=$C12)
        ),
        5,
        FALSE
    )=0,
    "",
    VLOOKUP(
        $A12,
        _xlfn._xlws.FILTER(
            INDIRECT("'"&amp;O$62&amp;"'!A2:E1000"), (INDIRECT("'"&amp;O$62&amp;"'!B2:B1000")=$B12) * (INDIRECT("'"&amp;O$62&amp;"'!C2:C1000")=$C12)
        ),
        5,
        FALSE
    )
)</f>
        <v/>
      </c>
    </row>
    <row r="13">
      <c r="A13" s="8" t="inlineStr">
        <is>
          <t>Curitiba</t>
        </is>
      </c>
      <c r="B13" s="58" t="inlineStr">
        <is>
          <t>São João Do Triunfo</t>
        </is>
      </c>
      <c r="C13" s="85" t="inlineStr">
        <is>
          <t>01</t>
        </is>
      </c>
      <c r="D13" s="86">
        <f t="array" ref="D13">IF(
    VLOOKUP(
        $A13,
        _xlfn._xlws.FILTER(
            INDIRECT("'"&amp;D$62&amp;"'!A2:E1000"), (INDIRECT("'"&amp;D$62&amp;"'!B2:B1000")=$B13) * (INDIRECT("'"&amp;D$62&amp;"'!C2:C1000")=$C13)
        ),
        5,
        FALSE
    )=0,
    "",
    VLOOKUP(
        $A13,
        _xlfn._xlws.FILTER(
            INDIRECT("'"&amp;D$62&amp;"'!A2:E1000"), (INDIRECT("'"&amp;D$62&amp;"'!B2:B1000")=$B13) * (INDIRECT("'"&amp;D$62&amp;"'!C2:C1000")=$C13)
        ),
        5,
        FALSE
    )
)</f>
        <v/>
      </c>
      <c r="E13" s="86">
        <f t="array" ref="E13">IF(
    VLOOKUP(
        $A13,
        _xlfn._xlws.FILTER(
            INDIRECT("'"&amp;E$62&amp;"'!A2:E1000"), (INDIRECT("'"&amp;E$62&amp;"'!B2:B1000")=$B13) * (INDIRECT("'"&amp;E$62&amp;"'!C2:C1000")=$C13)
        ),
        5,
        FALSE
    )=0,
    "",
    VLOOKUP(
        $A13,
        _xlfn._xlws.FILTER(
            INDIRECT("'"&amp;E$62&amp;"'!A2:E1000"), (INDIRECT("'"&amp;E$62&amp;"'!B2:B1000")=$B13) * (INDIRECT("'"&amp;E$62&amp;"'!C2:C1000")=$C13)
        ),
        5,
        FALSE
    )
)</f>
        <v/>
      </c>
      <c r="F13" s="86">
        <f t="array" ref="F13">IF(
    VLOOKUP(
        $A13,
        _xlfn._xlws.FILTER(
            INDIRECT("'"&amp;F$62&amp;"'!A2:E1000"), (INDIRECT("'"&amp;F$62&amp;"'!B2:B1000")=$B13) * (INDIRECT("'"&amp;F$62&amp;"'!C2:C1000")=$C13)
        ),
        5,
        FALSE
    )=0,
    "",
    VLOOKUP(
        $A13,
        _xlfn._xlws.FILTER(
            INDIRECT("'"&amp;F$62&amp;"'!A2:E1000"), (INDIRECT("'"&amp;F$62&amp;"'!B2:B1000")=$B13) * (INDIRECT("'"&amp;F$62&amp;"'!C2:C1000")=$C13)
        ),
        5,
        FALSE
    )
)</f>
        <v/>
      </c>
      <c r="G13" s="86">
        <f t="array" ref="G13">IF(
    VLOOKUP(
        $A13,
        _xlfn._xlws.FILTER(
            INDIRECT("'"&amp;G$62&amp;"'!A2:E1000"), (INDIRECT("'"&amp;G$62&amp;"'!B2:B1000")=$B13) * (INDIRECT("'"&amp;G$62&amp;"'!C2:C1000")=$C13)
        ),
        5,
        FALSE
    )=0,
    "",
    VLOOKUP(
        $A13,
        _xlfn._xlws.FILTER(
            INDIRECT("'"&amp;G$62&amp;"'!A2:E1000"), (INDIRECT("'"&amp;G$62&amp;"'!B2:B1000")=$B13) * (INDIRECT("'"&amp;G$62&amp;"'!C2:C1000")=$C13)
        ),
        5,
        FALSE
    )
)</f>
        <v/>
      </c>
      <c r="H13" s="86">
        <f t="array" ref="H13">IF(
    VLOOKUP(
        $A13,
        _xlfn._xlws.FILTER(
            INDIRECT("'"&amp;H$62&amp;"'!A2:E1000"), (INDIRECT("'"&amp;H$62&amp;"'!B2:B1000")=$B13) * (INDIRECT("'"&amp;H$62&amp;"'!C2:C1000")=$C13)
        ),
        5,
        FALSE
    )=0,
    "",
    VLOOKUP(
        $A13,
        _xlfn._xlws.FILTER(
            INDIRECT("'"&amp;H$62&amp;"'!A2:E1000"), (INDIRECT("'"&amp;H$62&amp;"'!B2:B1000")=$B13) * (INDIRECT("'"&amp;H$62&amp;"'!C2:C1000")=$C13)
        ),
        5,
        FALSE
    )
)</f>
        <v/>
      </c>
      <c r="I13" s="86">
        <f t="array" ref="I13">IF(
    VLOOKUP(
        $A13,
        _xlfn._xlws.FILTER(
            INDIRECT("'"&amp;I$62&amp;"'!A2:E1000"), (INDIRECT("'"&amp;I$62&amp;"'!B2:B1000")=$B13) * (INDIRECT("'"&amp;I$62&amp;"'!C2:C1000")=$C13)
        ),
        5,
        FALSE
    )=0,
    "",
    VLOOKUP(
        $A13,
        _xlfn._xlws.FILTER(
            INDIRECT("'"&amp;I$62&amp;"'!A2:E1000"), (INDIRECT("'"&amp;I$62&amp;"'!B2:B1000")=$B13) * (INDIRECT("'"&amp;I$62&amp;"'!C2:C1000")=$C13)
        ),
        5,
        FALSE
    )
)</f>
        <v/>
      </c>
      <c r="J13" s="86">
        <f t="array" ref="J13">IF(
    VLOOKUP(
        $A13,
        _xlfn._xlws.FILTER(
            INDIRECT("'"&amp;J$62&amp;"'!A2:E1000"), (INDIRECT("'"&amp;J$62&amp;"'!B2:B1000")=$B13) * (INDIRECT("'"&amp;J$62&amp;"'!C2:C1000")=$C13)
        ),
        5,
        FALSE
    )=0,
    "",
    VLOOKUP(
        $A13,
        _xlfn._xlws.FILTER(
            INDIRECT("'"&amp;J$62&amp;"'!A2:E1000"), (INDIRECT("'"&amp;J$62&amp;"'!B2:B1000")=$B13) * (INDIRECT("'"&amp;J$62&amp;"'!C2:C1000")=$C13)
        ),
        5,
        FALSE
    )
)</f>
        <v/>
      </c>
      <c r="K13" s="86">
        <f t="array" ref="K13">IF(
    VLOOKUP(
        $A13,
        _xlfn._xlws.FILTER(
            INDIRECT("'"&amp;K$62&amp;"'!A2:E1000"), (INDIRECT("'"&amp;K$62&amp;"'!B2:B1000")=$B13) * (INDIRECT("'"&amp;K$62&amp;"'!C2:C1000")=$C13)
        ),
        5,
        FALSE
    )=0,
    "",
    VLOOKUP(
        $A13,
        _xlfn._xlws.FILTER(
            INDIRECT("'"&amp;K$62&amp;"'!A2:E1000"), (INDIRECT("'"&amp;K$62&amp;"'!B2:B1000")=$B13) * (INDIRECT("'"&amp;K$62&amp;"'!C2:C1000")=$C13)
        ),
        5,
        FALSE
    )
)</f>
        <v/>
      </c>
      <c r="L13" s="86">
        <f t="array" ref="L13">IF(
    VLOOKUP(
        $A13,
        _xlfn._xlws.FILTER(
            INDIRECT("'"&amp;L$62&amp;"'!A2:E1000"), (INDIRECT("'"&amp;L$62&amp;"'!B2:B1000")=$B13) * (INDIRECT("'"&amp;L$62&amp;"'!C2:C1000")=$C13)
        ),
        5,
        FALSE
    )=0,
    "",
    VLOOKUP(
        $A13,
        _xlfn._xlws.FILTER(
            INDIRECT("'"&amp;L$62&amp;"'!A2:E1000"), (INDIRECT("'"&amp;L$62&amp;"'!B2:B1000")=$B13) * (INDIRECT("'"&amp;L$62&amp;"'!C2:C1000")=$C13)
        ),
        5,
        FALSE
    )
)</f>
        <v/>
      </c>
      <c r="M13" s="86">
        <f t="array" ref="M13">IF(
    VLOOKUP(
        $A13,
        _xlfn._xlws.FILTER(
            INDIRECT("'"&amp;M$62&amp;"'!A2:E1000"), (INDIRECT("'"&amp;M$62&amp;"'!B2:B1000")=$B13) * (INDIRECT("'"&amp;M$62&amp;"'!C2:C1000")=$C13)
        ),
        5,
        FALSE
    )=0,
    "",
    VLOOKUP(
        $A13,
        _xlfn._xlws.FILTER(
            INDIRECT("'"&amp;M$62&amp;"'!A2:E1000"), (INDIRECT("'"&amp;M$62&amp;"'!B2:B1000")=$B13) * (INDIRECT("'"&amp;M$62&amp;"'!C2:C1000")=$C13)
        ),
        5,
        FALSE
    )
)</f>
        <v/>
      </c>
      <c r="N13" s="86">
        <f t="array" ref="N13">IF(
    VLOOKUP(
        $A13,
        _xlfn._xlws.FILTER(
            INDIRECT("'"&amp;N$62&amp;"'!A2:E1000"), (INDIRECT("'"&amp;N$62&amp;"'!B2:B1000")=$B13) * (INDIRECT("'"&amp;N$62&amp;"'!C2:C1000")=$C13)
        ),
        5,
        FALSE
    )=0,
    "",
    VLOOKUP(
        $A13,
        _xlfn._xlws.FILTER(
            INDIRECT("'"&amp;N$62&amp;"'!A2:E1000"), (INDIRECT("'"&amp;N$62&amp;"'!B2:B1000")=$B13) * (INDIRECT("'"&amp;N$62&amp;"'!C2:C1000")=$C13)
        ),
        5,
        FALSE
    )
)</f>
        <v/>
      </c>
      <c r="O13" s="86">
        <f t="array" ref="O13">IF(
    VLOOKUP(
        $A13,
        _xlfn._xlws.FILTER(
            INDIRECT("'"&amp;O$62&amp;"'!A2:E1000"), (INDIRECT("'"&amp;O$62&amp;"'!B2:B1000")=$B13) * (INDIRECT("'"&amp;O$62&amp;"'!C2:C1000")=$C13)
        ),
        5,
        FALSE
    )=0,
    "",
    VLOOKUP(
        $A13,
        _xlfn._xlws.FILTER(
            INDIRECT("'"&amp;O$62&amp;"'!A2:E1000"), (INDIRECT("'"&amp;O$62&amp;"'!B2:B1000")=$B13) * (INDIRECT("'"&amp;O$62&amp;"'!C2:C1000")=$C13)
        ),
        5,
        FALSE
    )
)</f>
        <v/>
      </c>
    </row>
    <row r="14">
      <c r="A14" s="8" t="inlineStr">
        <is>
          <t>Curitiba</t>
        </is>
      </c>
      <c r="B14" s="58" t="inlineStr">
        <is>
          <t>Tijucas Do Sul</t>
        </is>
      </c>
      <c r="C14" s="85" t="inlineStr">
        <is>
          <t>01</t>
        </is>
      </c>
      <c r="D14" s="86">
        <f t="array" ref="D14">IF(
    VLOOKUP(
        $A14,
        _xlfn._xlws.FILTER(
            INDIRECT("'"&amp;D$62&amp;"'!A2:E1000"), (INDIRECT("'"&amp;D$62&amp;"'!B2:B1000")=$B14) * (INDIRECT("'"&amp;D$62&amp;"'!C2:C1000")=$C14)
        ),
        5,
        FALSE
    )=0,
    "",
    VLOOKUP(
        $A14,
        _xlfn._xlws.FILTER(
            INDIRECT("'"&amp;D$62&amp;"'!A2:E1000"), (INDIRECT("'"&amp;D$62&amp;"'!B2:B1000")=$B14) * (INDIRECT("'"&amp;D$62&amp;"'!C2:C1000")=$C14)
        ),
        5,
        FALSE
    )
)</f>
        <v/>
      </c>
      <c r="E14" s="86">
        <f t="array" ref="E14">IF(
    VLOOKUP(
        $A14,
        _xlfn._xlws.FILTER(
            INDIRECT("'"&amp;E$62&amp;"'!A2:E1000"), (INDIRECT("'"&amp;E$62&amp;"'!B2:B1000")=$B14) * (INDIRECT("'"&amp;E$62&amp;"'!C2:C1000")=$C14)
        ),
        5,
        FALSE
    )=0,
    "",
    VLOOKUP(
        $A14,
        _xlfn._xlws.FILTER(
            INDIRECT("'"&amp;E$62&amp;"'!A2:E1000"), (INDIRECT("'"&amp;E$62&amp;"'!B2:B1000")=$B14) * (INDIRECT("'"&amp;E$62&amp;"'!C2:C1000")=$C14)
        ),
        5,
        FALSE
    )
)</f>
        <v/>
      </c>
      <c r="F14" s="86">
        <f t="array" ref="F14">IF(
    VLOOKUP(
        $A14,
        _xlfn._xlws.FILTER(
            INDIRECT("'"&amp;F$62&amp;"'!A2:E1000"), (INDIRECT("'"&amp;F$62&amp;"'!B2:B1000")=$B14) * (INDIRECT("'"&amp;F$62&amp;"'!C2:C1000")=$C14)
        ),
        5,
        FALSE
    )=0,
    "",
    VLOOKUP(
        $A14,
        _xlfn._xlws.FILTER(
            INDIRECT("'"&amp;F$62&amp;"'!A2:E1000"), (INDIRECT("'"&amp;F$62&amp;"'!B2:B1000")=$B14) * (INDIRECT("'"&amp;F$62&amp;"'!C2:C1000")=$C14)
        ),
        5,
        FALSE
    )
)</f>
        <v/>
      </c>
      <c r="G14" s="86">
        <f t="array" ref="G14">IF(
    VLOOKUP(
        $A14,
        _xlfn._xlws.FILTER(
            INDIRECT("'"&amp;G$62&amp;"'!A2:E1000"), (INDIRECT("'"&amp;G$62&amp;"'!B2:B1000")=$B14) * (INDIRECT("'"&amp;G$62&amp;"'!C2:C1000")=$C14)
        ),
        5,
        FALSE
    )=0,
    "",
    VLOOKUP(
        $A14,
        _xlfn._xlws.FILTER(
            INDIRECT("'"&amp;G$62&amp;"'!A2:E1000"), (INDIRECT("'"&amp;G$62&amp;"'!B2:B1000")=$B14) * (INDIRECT("'"&amp;G$62&amp;"'!C2:C1000")=$C14)
        ),
        5,
        FALSE
    )
)</f>
        <v/>
      </c>
      <c r="H14" s="86">
        <f t="array" ref="H14">IF(
    VLOOKUP(
        $A14,
        _xlfn._xlws.FILTER(
            INDIRECT("'"&amp;H$62&amp;"'!A2:E1000"), (INDIRECT("'"&amp;H$62&amp;"'!B2:B1000")=$B14) * (INDIRECT("'"&amp;H$62&amp;"'!C2:C1000")=$C14)
        ),
        5,
        FALSE
    )=0,
    "",
    VLOOKUP(
        $A14,
        _xlfn._xlws.FILTER(
            INDIRECT("'"&amp;H$62&amp;"'!A2:E1000"), (INDIRECT("'"&amp;H$62&amp;"'!B2:B1000")=$B14) * (INDIRECT("'"&amp;H$62&amp;"'!C2:C1000")=$C14)
        ),
        5,
        FALSE
    )
)</f>
        <v/>
      </c>
      <c r="I14" s="86">
        <f t="array" ref="I14">IF(
    VLOOKUP(
        $A14,
        _xlfn._xlws.FILTER(
            INDIRECT("'"&amp;I$62&amp;"'!A2:E1000"), (INDIRECT("'"&amp;I$62&amp;"'!B2:B1000")=$B14) * (INDIRECT("'"&amp;I$62&amp;"'!C2:C1000")=$C14)
        ),
        5,
        FALSE
    )=0,
    "",
    VLOOKUP(
        $A14,
        _xlfn._xlws.FILTER(
            INDIRECT("'"&amp;I$62&amp;"'!A2:E1000"), (INDIRECT("'"&amp;I$62&amp;"'!B2:B1000")=$B14) * (INDIRECT("'"&amp;I$62&amp;"'!C2:C1000")=$C14)
        ),
        5,
        FALSE
    )
)</f>
        <v/>
      </c>
      <c r="J14" s="86">
        <f t="array" ref="J14">IF(
    VLOOKUP(
        $A14,
        _xlfn._xlws.FILTER(
            INDIRECT("'"&amp;J$62&amp;"'!A2:E1000"), (INDIRECT("'"&amp;J$62&amp;"'!B2:B1000")=$B14) * (INDIRECT("'"&amp;J$62&amp;"'!C2:C1000")=$C14)
        ),
        5,
        FALSE
    )=0,
    "",
    VLOOKUP(
        $A14,
        _xlfn._xlws.FILTER(
            INDIRECT("'"&amp;J$62&amp;"'!A2:E1000"), (INDIRECT("'"&amp;J$62&amp;"'!B2:B1000")=$B14) * (INDIRECT("'"&amp;J$62&amp;"'!C2:C1000")=$C14)
        ),
        5,
        FALSE
    )
)</f>
        <v/>
      </c>
      <c r="K14" s="86">
        <f t="array" ref="K14">IF(
    VLOOKUP(
        $A14,
        _xlfn._xlws.FILTER(
            INDIRECT("'"&amp;K$62&amp;"'!A2:E1000"), (INDIRECT("'"&amp;K$62&amp;"'!B2:B1000")=$B14) * (INDIRECT("'"&amp;K$62&amp;"'!C2:C1000")=$C14)
        ),
        5,
        FALSE
    )=0,
    "",
    VLOOKUP(
        $A14,
        _xlfn._xlws.FILTER(
            INDIRECT("'"&amp;K$62&amp;"'!A2:E1000"), (INDIRECT("'"&amp;K$62&amp;"'!B2:B1000")=$B14) * (INDIRECT("'"&amp;K$62&amp;"'!C2:C1000")=$C14)
        ),
        5,
        FALSE
    )
)</f>
        <v/>
      </c>
      <c r="L14" s="86">
        <f t="array" ref="L14">IF(
    VLOOKUP(
        $A14,
        _xlfn._xlws.FILTER(
            INDIRECT("'"&amp;L$62&amp;"'!A2:E1000"), (INDIRECT("'"&amp;L$62&amp;"'!B2:B1000")=$B14) * (INDIRECT("'"&amp;L$62&amp;"'!C2:C1000")=$C14)
        ),
        5,
        FALSE
    )=0,
    "",
    VLOOKUP(
        $A14,
        _xlfn._xlws.FILTER(
            INDIRECT("'"&amp;L$62&amp;"'!A2:E1000"), (INDIRECT("'"&amp;L$62&amp;"'!B2:B1000")=$B14) * (INDIRECT("'"&amp;L$62&amp;"'!C2:C1000")=$C14)
        ),
        5,
        FALSE
    )
)</f>
        <v/>
      </c>
      <c r="M14" s="86">
        <f t="array" ref="M14">IF(
    VLOOKUP(
        $A14,
        _xlfn._xlws.FILTER(
            INDIRECT("'"&amp;M$62&amp;"'!A2:E1000"), (INDIRECT("'"&amp;M$62&amp;"'!B2:B1000")=$B14) * (INDIRECT("'"&amp;M$62&amp;"'!C2:C1000")=$C14)
        ),
        5,
        FALSE
    )=0,
    "",
    VLOOKUP(
        $A14,
        _xlfn._xlws.FILTER(
            INDIRECT("'"&amp;M$62&amp;"'!A2:E1000"), (INDIRECT("'"&amp;M$62&amp;"'!B2:B1000")=$B14) * (INDIRECT("'"&amp;M$62&amp;"'!C2:C1000")=$C14)
        ),
        5,
        FALSE
    )
)</f>
        <v/>
      </c>
      <c r="N14" s="86">
        <f t="array" ref="N14">IF(
    VLOOKUP(
        $A14,
        _xlfn._xlws.FILTER(
            INDIRECT("'"&amp;N$62&amp;"'!A2:E1000"), (INDIRECT("'"&amp;N$62&amp;"'!B2:B1000")=$B14) * (INDIRECT("'"&amp;N$62&amp;"'!C2:C1000")=$C14)
        ),
        5,
        FALSE
    )=0,
    "",
    VLOOKUP(
        $A14,
        _xlfn._xlws.FILTER(
            INDIRECT("'"&amp;N$62&amp;"'!A2:E1000"), (INDIRECT("'"&amp;N$62&amp;"'!B2:B1000")=$B14) * (INDIRECT("'"&amp;N$62&amp;"'!C2:C1000")=$C14)
        ),
        5,
        FALSE
    )
)</f>
        <v/>
      </c>
      <c r="O14" s="86">
        <f t="array" ref="O14">IF(
    VLOOKUP(
        $A14,
        _xlfn._xlws.FILTER(
            INDIRECT("'"&amp;O$62&amp;"'!A2:E1000"), (INDIRECT("'"&amp;O$62&amp;"'!B2:B1000")=$B14) * (INDIRECT("'"&amp;O$62&amp;"'!C2:C1000")=$C14)
        ),
        5,
        FALSE
    )=0,
    "",
    VLOOKUP(
        $A14,
        _xlfn._xlws.FILTER(
            INDIRECT("'"&amp;O$62&amp;"'!A2:E1000"), (INDIRECT("'"&amp;O$62&amp;"'!B2:B1000")=$B14) * (INDIRECT("'"&amp;O$62&amp;"'!C2:C1000")=$C14)
        ),
        5,
        FALSE
    )
)</f>
        <v/>
      </c>
    </row>
    <row r="15"/>
    <row r="16" ht="15.75" customHeight="1">
      <c r="A16" s="14" t="inlineStr">
        <is>
          <t>Vanessa</t>
        </is>
      </c>
      <c r="B16" s="84" t="inlineStr">
        <is>
          <t>Municípios</t>
        </is>
      </c>
      <c r="C16" s="84" t="inlineStr">
        <is>
          <t>UVR</t>
        </is>
      </c>
      <c r="D16" s="4" t="inlineStr">
        <is>
          <t>01.25</t>
        </is>
      </c>
      <c r="E16" s="4" t="inlineStr">
        <is>
          <t>02.25</t>
        </is>
      </c>
      <c r="F16" s="4" t="inlineStr">
        <is>
          <t>03.25</t>
        </is>
      </c>
      <c r="G16" s="4" t="inlineStr">
        <is>
          <t>04.25</t>
        </is>
      </c>
      <c r="H16" s="4" t="inlineStr">
        <is>
          <t>05.25</t>
        </is>
      </c>
      <c r="I16" s="4" t="inlineStr">
        <is>
          <t>06.25</t>
        </is>
      </c>
      <c r="J16" s="4" t="inlineStr">
        <is>
          <t>07.25</t>
        </is>
      </c>
      <c r="K16" s="4" t="inlineStr">
        <is>
          <t>08.25</t>
        </is>
      </c>
      <c r="L16" s="4" t="inlineStr">
        <is>
          <t>09.25</t>
        </is>
      </c>
      <c r="M16" s="4" t="inlineStr">
        <is>
          <t>10.25</t>
        </is>
      </c>
      <c r="N16" s="4" t="inlineStr">
        <is>
          <t>11.25</t>
        </is>
      </c>
      <c r="O16" s="4" t="inlineStr">
        <is>
          <t>12.25</t>
        </is>
      </c>
    </row>
    <row r="17">
      <c r="A17" s="13" t="inlineStr">
        <is>
          <t>Francisco Beltrão</t>
        </is>
      </c>
      <c r="B17" s="58" t="inlineStr">
        <is>
          <t>Barracão</t>
        </is>
      </c>
      <c r="C17" s="85" t="inlineStr">
        <is>
          <t>01</t>
        </is>
      </c>
      <c r="D17" s="86">
        <f t="array" ref="D17">IF(
    VLOOKUP(
        $A17,
        _xlfn._xlws.FILTER(
            INDIRECT("'"&amp;D$62&amp;"'!A2:E1000"), (INDIRECT("'"&amp;D$62&amp;"'!B2:B1000")=$B17) * (INDIRECT("'"&amp;D$62&amp;"'!C2:C1000")=$C17)
        ),
        5,
        FALSE
    )=0,
    "",
    VLOOKUP(
        $A17,
        _xlfn._xlws.FILTER(
            INDIRECT("'"&amp;D$62&amp;"'!A2:E1000"), (INDIRECT("'"&amp;D$62&amp;"'!B2:B1000")=$B17) * (INDIRECT("'"&amp;D$62&amp;"'!C2:C1000")=$C17)
        ),
        5,
        FALSE
    )
)</f>
        <v/>
      </c>
      <c r="E17" s="86">
        <f t="array" ref="E17">IF(
    VLOOKUP(
        $A17,
        _xlfn._xlws.FILTER(
            INDIRECT("'"&amp;E$62&amp;"'!A2:E1000"), (INDIRECT("'"&amp;E$62&amp;"'!B2:B1000")=$B17) * (INDIRECT("'"&amp;E$62&amp;"'!C2:C1000")=$C17)
        ),
        5,
        FALSE
    )=0,
    "",
    VLOOKUP(
        $A17,
        _xlfn._xlws.FILTER(
            INDIRECT("'"&amp;E$62&amp;"'!A2:E1000"), (INDIRECT("'"&amp;E$62&amp;"'!B2:B1000")=$B17) * (INDIRECT("'"&amp;E$62&amp;"'!C2:C1000")=$C17)
        ),
        5,
        FALSE
    )
)</f>
        <v/>
      </c>
      <c r="F17" s="86">
        <f t="array" ref="F17">IF(
    VLOOKUP(
        $A17,
        _xlfn._xlws.FILTER(
            INDIRECT("'"&amp;F$62&amp;"'!A2:E1000"), (INDIRECT("'"&amp;F$62&amp;"'!B2:B1000")=$B17) * (INDIRECT("'"&amp;F$62&amp;"'!C2:C1000")=$C17)
        ),
        5,
        FALSE
    )=0,
    "",
    VLOOKUP(
        $A17,
        _xlfn._xlws.FILTER(
            INDIRECT("'"&amp;F$62&amp;"'!A2:E1000"), (INDIRECT("'"&amp;F$62&amp;"'!B2:B1000")=$B17) * (INDIRECT("'"&amp;F$62&amp;"'!C2:C1000")=$C17)
        ),
        5,
        FALSE
    )
)</f>
        <v/>
      </c>
      <c r="G17" s="86">
        <f t="array" ref="G17">IF(
    VLOOKUP(
        $A17,
        _xlfn._xlws.FILTER(
            INDIRECT("'"&amp;G$62&amp;"'!A2:E1000"), (INDIRECT("'"&amp;G$62&amp;"'!B2:B1000")=$B17) * (INDIRECT("'"&amp;G$62&amp;"'!C2:C1000")=$C17)
        ),
        5,
        FALSE
    )=0,
    "",
    VLOOKUP(
        $A17,
        _xlfn._xlws.FILTER(
            INDIRECT("'"&amp;G$62&amp;"'!A2:E1000"), (INDIRECT("'"&amp;G$62&amp;"'!B2:B1000")=$B17) * (INDIRECT("'"&amp;G$62&amp;"'!C2:C1000")=$C17)
        ),
        5,
        FALSE
    )
)</f>
        <v/>
      </c>
      <c r="H17" s="86">
        <f t="array" ref="H17">IF(
    VLOOKUP(
        $A17,
        _xlfn._xlws.FILTER(
            INDIRECT("'"&amp;H$62&amp;"'!A2:E1000"), (INDIRECT("'"&amp;H$62&amp;"'!B2:B1000")=$B17) * (INDIRECT("'"&amp;H$62&amp;"'!C2:C1000")=$C17)
        ),
        5,
        FALSE
    )=0,
    "",
    VLOOKUP(
        $A17,
        _xlfn._xlws.FILTER(
            INDIRECT("'"&amp;H$62&amp;"'!A2:E1000"), (INDIRECT("'"&amp;H$62&amp;"'!B2:B1000")=$B17) * (INDIRECT("'"&amp;H$62&amp;"'!C2:C1000")=$C17)
        ),
        5,
        FALSE
    )
)</f>
        <v/>
      </c>
      <c r="I17" s="86">
        <f t="array" ref="I17">IF(
    VLOOKUP(
        $A17,
        _xlfn._xlws.FILTER(
            INDIRECT("'"&amp;I$62&amp;"'!A2:E1000"), (INDIRECT("'"&amp;I$62&amp;"'!B2:B1000")=$B17) * (INDIRECT("'"&amp;I$62&amp;"'!C2:C1000")=$C17)
        ),
        5,
        FALSE
    )=0,
    "",
    VLOOKUP(
        $A17,
        _xlfn._xlws.FILTER(
            INDIRECT("'"&amp;I$62&amp;"'!A2:E1000"), (INDIRECT("'"&amp;I$62&amp;"'!B2:B1000")=$B17) * (INDIRECT("'"&amp;I$62&amp;"'!C2:C1000")=$C17)
        ),
        5,
        FALSE
    )
)</f>
        <v/>
      </c>
      <c r="J17" s="86">
        <f t="array" ref="J17">IF(
    VLOOKUP(
        $A17,
        _xlfn._xlws.FILTER(
            INDIRECT("'"&amp;J$62&amp;"'!A2:E1000"), (INDIRECT("'"&amp;J$62&amp;"'!B2:B1000")=$B17) * (INDIRECT("'"&amp;J$62&amp;"'!C2:C1000")=$C17)
        ),
        5,
        FALSE
    )=0,
    "",
    VLOOKUP(
        $A17,
        _xlfn._xlws.FILTER(
            INDIRECT("'"&amp;J$62&amp;"'!A2:E1000"), (INDIRECT("'"&amp;J$62&amp;"'!B2:B1000")=$B17) * (INDIRECT("'"&amp;J$62&amp;"'!C2:C1000")=$C17)
        ),
        5,
        FALSE
    )
)</f>
        <v/>
      </c>
      <c r="K17" s="86">
        <f t="array" ref="K17">IF(
    VLOOKUP(
        $A17,
        _xlfn._xlws.FILTER(
            INDIRECT("'"&amp;K$62&amp;"'!A2:E1000"), (INDIRECT("'"&amp;K$62&amp;"'!B2:B1000")=$B17) * (INDIRECT("'"&amp;K$62&amp;"'!C2:C1000")=$C17)
        ),
        5,
        FALSE
    )=0,
    "",
    VLOOKUP(
        $A17,
        _xlfn._xlws.FILTER(
            INDIRECT("'"&amp;K$62&amp;"'!A2:E1000"), (INDIRECT("'"&amp;K$62&amp;"'!B2:B1000")=$B17) * (INDIRECT("'"&amp;K$62&amp;"'!C2:C1000")=$C17)
        ),
        5,
        FALSE
    )
)</f>
        <v/>
      </c>
      <c r="L17" s="86">
        <f t="array" ref="L17">IF(
    VLOOKUP(
        $A17,
        _xlfn._xlws.FILTER(
            INDIRECT("'"&amp;L$62&amp;"'!A2:E1000"), (INDIRECT("'"&amp;L$62&amp;"'!B2:B1000")=$B17) * (INDIRECT("'"&amp;L$62&amp;"'!C2:C1000")=$C17)
        ),
        5,
        FALSE
    )=0,
    "",
    VLOOKUP(
        $A17,
        _xlfn._xlws.FILTER(
            INDIRECT("'"&amp;L$62&amp;"'!A2:E1000"), (INDIRECT("'"&amp;L$62&amp;"'!B2:B1000")=$B17) * (INDIRECT("'"&amp;L$62&amp;"'!C2:C1000")=$C17)
        ),
        5,
        FALSE
    )
)</f>
        <v/>
      </c>
      <c r="M17" s="86">
        <f t="array" ref="M17">IF(
    VLOOKUP(
        $A17,
        _xlfn._xlws.FILTER(
            INDIRECT("'"&amp;M$62&amp;"'!A2:E1000"), (INDIRECT("'"&amp;M$62&amp;"'!B2:B1000")=$B17) * (INDIRECT("'"&amp;M$62&amp;"'!C2:C1000")=$C17)
        ),
        5,
        FALSE
    )=0,
    "",
    VLOOKUP(
        $A17,
        _xlfn._xlws.FILTER(
            INDIRECT("'"&amp;M$62&amp;"'!A2:E1000"), (INDIRECT("'"&amp;M$62&amp;"'!B2:B1000")=$B17) * (INDIRECT("'"&amp;M$62&amp;"'!C2:C1000")=$C17)
        ),
        5,
        FALSE
    )
)</f>
        <v/>
      </c>
      <c r="N17" s="86">
        <f t="array" ref="N17">IF(
    VLOOKUP(
        $A17,
        _xlfn._xlws.FILTER(
            INDIRECT("'"&amp;N$62&amp;"'!A2:E1000"), (INDIRECT("'"&amp;N$62&amp;"'!B2:B1000")=$B17) * (INDIRECT("'"&amp;N$62&amp;"'!C2:C1000")=$C17)
        ),
        5,
        FALSE
    )=0,
    "",
    VLOOKUP(
        $A17,
        _xlfn._xlws.FILTER(
            INDIRECT("'"&amp;N$62&amp;"'!A2:E1000"), (INDIRECT("'"&amp;N$62&amp;"'!B2:B1000")=$B17) * (INDIRECT("'"&amp;N$62&amp;"'!C2:C1000")=$C17)
        ),
        5,
        FALSE
    )
)</f>
        <v/>
      </c>
      <c r="O17" s="86">
        <f t="array" ref="O17">IF(
    VLOOKUP(
        $A17,
        _xlfn._xlws.FILTER(
            INDIRECT("'"&amp;O$62&amp;"'!A2:E1000"), (INDIRECT("'"&amp;O$62&amp;"'!B2:B1000")=$B17) * (INDIRECT("'"&amp;O$62&amp;"'!C2:C1000")=$C17)
        ),
        5,
        FALSE
    )=0,
    "",
    VLOOKUP(
        $A17,
        _xlfn._xlws.FILTER(
            INDIRECT("'"&amp;O$62&amp;"'!A2:E1000"), (INDIRECT("'"&amp;O$62&amp;"'!B2:B1000")=$B17) * (INDIRECT("'"&amp;O$62&amp;"'!C2:C1000")=$C17)
        ),
        5,
        FALSE
    )
)</f>
        <v/>
      </c>
    </row>
    <row r="18">
      <c r="A18" s="13" t="inlineStr">
        <is>
          <t>Francisco Beltrão</t>
        </is>
      </c>
      <c r="B18" s="58" t="inlineStr">
        <is>
          <t>Capanema</t>
        </is>
      </c>
      <c r="C18" s="85" t="inlineStr">
        <is>
          <t>01</t>
        </is>
      </c>
      <c r="D18" s="86">
        <f t="array" ref="D18">IF(
    VLOOKUP(
        $A18,
        _xlfn._xlws.FILTER(
            INDIRECT("'"&amp;D$62&amp;"'!A2:E1000"), (INDIRECT("'"&amp;D$62&amp;"'!B2:B1000")=$B18) * (INDIRECT("'"&amp;D$62&amp;"'!C2:C1000")=$C18)
        ),
        5,
        FALSE
    )=0,
    "",
    VLOOKUP(
        $A18,
        _xlfn._xlws.FILTER(
            INDIRECT("'"&amp;D$62&amp;"'!A2:E1000"), (INDIRECT("'"&amp;D$62&amp;"'!B2:B1000")=$B18) * (INDIRECT("'"&amp;D$62&amp;"'!C2:C1000")=$C18)
        ),
        5,
        FALSE
    )
)</f>
        <v/>
      </c>
      <c r="E18" s="86">
        <f t="array" ref="E18">IF(
    VLOOKUP(
        $A18,
        _xlfn._xlws.FILTER(
            INDIRECT("'"&amp;E$62&amp;"'!A2:E1000"), (INDIRECT("'"&amp;E$62&amp;"'!B2:B1000")=$B18) * (INDIRECT("'"&amp;E$62&amp;"'!C2:C1000")=$C18)
        ),
        5,
        FALSE
    )=0,
    "",
    VLOOKUP(
        $A18,
        _xlfn._xlws.FILTER(
            INDIRECT("'"&amp;E$62&amp;"'!A2:E1000"), (INDIRECT("'"&amp;E$62&amp;"'!B2:B1000")=$B18) * (INDIRECT("'"&amp;E$62&amp;"'!C2:C1000")=$C18)
        ),
        5,
        FALSE
    )
)</f>
        <v/>
      </c>
      <c r="F18" s="86">
        <f t="array" ref="F18">IF(
    VLOOKUP(
        $A18,
        _xlfn._xlws.FILTER(
            INDIRECT("'"&amp;F$62&amp;"'!A2:E1000"), (INDIRECT("'"&amp;F$62&amp;"'!B2:B1000")=$B18) * (INDIRECT("'"&amp;F$62&amp;"'!C2:C1000")=$C18)
        ),
        5,
        FALSE
    )=0,
    "",
    VLOOKUP(
        $A18,
        _xlfn._xlws.FILTER(
            INDIRECT("'"&amp;F$62&amp;"'!A2:E1000"), (INDIRECT("'"&amp;F$62&amp;"'!B2:B1000")=$B18) * (INDIRECT("'"&amp;F$62&amp;"'!C2:C1000")=$C18)
        ),
        5,
        FALSE
    )
)</f>
        <v/>
      </c>
      <c r="G18" s="86">
        <f t="array" ref="G18">IF(
    VLOOKUP(
        $A18,
        _xlfn._xlws.FILTER(
            INDIRECT("'"&amp;G$62&amp;"'!A2:E1000"), (INDIRECT("'"&amp;G$62&amp;"'!B2:B1000")=$B18) * (INDIRECT("'"&amp;G$62&amp;"'!C2:C1000")=$C18)
        ),
        5,
        FALSE
    )=0,
    "",
    VLOOKUP(
        $A18,
        _xlfn._xlws.FILTER(
            INDIRECT("'"&amp;G$62&amp;"'!A2:E1000"), (INDIRECT("'"&amp;G$62&amp;"'!B2:B1000")=$B18) * (INDIRECT("'"&amp;G$62&amp;"'!C2:C1000")=$C18)
        ),
        5,
        FALSE
    )
)</f>
        <v/>
      </c>
      <c r="H18" s="86">
        <f t="array" ref="H18">IF(
    VLOOKUP(
        $A18,
        _xlfn._xlws.FILTER(
            INDIRECT("'"&amp;H$62&amp;"'!A2:E1000"), (INDIRECT("'"&amp;H$62&amp;"'!B2:B1000")=$B18) * (INDIRECT("'"&amp;H$62&amp;"'!C2:C1000")=$C18)
        ),
        5,
        FALSE
    )=0,
    "",
    VLOOKUP(
        $A18,
        _xlfn._xlws.FILTER(
            INDIRECT("'"&amp;H$62&amp;"'!A2:E1000"), (INDIRECT("'"&amp;H$62&amp;"'!B2:B1000")=$B18) * (INDIRECT("'"&amp;H$62&amp;"'!C2:C1000")=$C18)
        ),
        5,
        FALSE
    )
)</f>
        <v/>
      </c>
      <c r="I18" s="86">
        <f t="array" ref="I18">IF(
    VLOOKUP(
        $A18,
        _xlfn._xlws.FILTER(
            INDIRECT("'"&amp;I$62&amp;"'!A2:E1000"), (INDIRECT("'"&amp;I$62&amp;"'!B2:B1000")=$B18) * (INDIRECT("'"&amp;I$62&amp;"'!C2:C1000")=$C18)
        ),
        5,
        FALSE
    )=0,
    "",
    VLOOKUP(
        $A18,
        _xlfn._xlws.FILTER(
            INDIRECT("'"&amp;I$62&amp;"'!A2:E1000"), (INDIRECT("'"&amp;I$62&amp;"'!B2:B1000")=$B18) * (INDIRECT("'"&amp;I$62&amp;"'!C2:C1000")=$C18)
        ),
        5,
        FALSE
    )
)</f>
        <v/>
      </c>
      <c r="J18" s="86">
        <f t="array" ref="J18">IF(
    VLOOKUP(
        $A18,
        _xlfn._xlws.FILTER(
            INDIRECT("'"&amp;J$62&amp;"'!A2:E1000"), (INDIRECT("'"&amp;J$62&amp;"'!B2:B1000")=$B18) * (INDIRECT("'"&amp;J$62&amp;"'!C2:C1000")=$C18)
        ),
        5,
        FALSE
    )=0,
    "",
    VLOOKUP(
        $A18,
        _xlfn._xlws.FILTER(
            INDIRECT("'"&amp;J$62&amp;"'!A2:E1000"), (INDIRECT("'"&amp;J$62&amp;"'!B2:B1000")=$B18) * (INDIRECT("'"&amp;J$62&amp;"'!C2:C1000")=$C18)
        ),
        5,
        FALSE
    )
)</f>
        <v/>
      </c>
      <c r="K18" s="86">
        <f t="array" ref="K18">IF(
    VLOOKUP(
        $A18,
        _xlfn._xlws.FILTER(
            INDIRECT("'"&amp;K$62&amp;"'!A2:E1000"), (INDIRECT("'"&amp;K$62&amp;"'!B2:B1000")=$B18) * (INDIRECT("'"&amp;K$62&amp;"'!C2:C1000")=$C18)
        ),
        5,
        FALSE
    )=0,
    "",
    VLOOKUP(
        $A18,
        _xlfn._xlws.FILTER(
            INDIRECT("'"&amp;K$62&amp;"'!A2:E1000"), (INDIRECT("'"&amp;K$62&amp;"'!B2:B1000")=$B18) * (INDIRECT("'"&amp;K$62&amp;"'!C2:C1000")=$C18)
        ),
        5,
        FALSE
    )
)</f>
        <v/>
      </c>
      <c r="L18" s="86">
        <f t="array" ref="L18">IF(
    VLOOKUP(
        $A18,
        _xlfn._xlws.FILTER(
            INDIRECT("'"&amp;L$62&amp;"'!A2:E1000"), (INDIRECT("'"&amp;L$62&amp;"'!B2:B1000")=$B18) * (INDIRECT("'"&amp;L$62&amp;"'!C2:C1000")=$C18)
        ),
        5,
        FALSE
    )=0,
    "",
    VLOOKUP(
        $A18,
        _xlfn._xlws.FILTER(
            INDIRECT("'"&amp;L$62&amp;"'!A2:E1000"), (INDIRECT("'"&amp;L$62&amp;"'!B2:B1000")=$B18) * (INDIRECT("'"&amp;L$62&amp;"'!C2:C1000")=$C18)
        ),
        5,
        FALSE
    )
)</f>
        <v/>
      </c>
      <c r="M18" s="86">
        <f t="array" ref="M18">IF(
    VLOOKUP(
        $A18,
        _xlfn._xlws.FILTER(
            INDIRECT("'"&amp;M$62&amp;"'!A2:E1000"), (INDIRECT("'"&amp;M$62&amp;"'!B2:B1000")=$B18) * (INDIRECT("'"&amp;M$62&amp;"'!C2:C1000")=$C18)
        ),
        5,
        FALSE
    )=0,
    "",
    VLOOKUP(
        $A18,
        _xlfn._xlws.FILTER(
            INDIRECT("'"&amp;M$62&amp;"'!A2:E1000"), (INDIRECT("'"&amp;M$62&amp;"'!B2:B1000")=$B18) * (INDIRECT("'"&amp;M$62&amp;"'!C2:C1000")=$C18)
        ),
        5,
        FALSE
    )
)</f>
        <v/>
      </c>
      <c r="N18" s="86">
        <f t="array" ref="N18">IF(
    VLOOKUP(
        $A18,
        _xlfn._xlws.FILTER(
            INDIRECT("'"&amp;N$62&amp;"'!A2:E1000"), (INDIRECT("'"&amp;N$62&amp;"'!B2:B1000")=$B18) * (INDIRECT("'"&amp;N$62&amp;"'!C2:C1000")=$C18)
        ),
        5,
        FALSE
    )=0,
    "",
    VLOOKUP(
        $A18,
        _xlfn._xlws.FILTER(
            INDIRECT("'"&amp;N$62&amp;"'!A2:E1000"), (INDIRECT("'"&amp;N$62&amp;"'!B2:B1000")=$B18) * (INDIRECT("'"&amp;N$62&amp;"'!C2:C1000")=$C18)
        ),
        5,
        FALSE
    )
)</f>
        <v/>
      </c>
      <c r="O18" s="86">
        <f t="array" ref="O18">IF(
    VLOOKUP(
        $A18,
        _xlfn._xlws.FILTER(
            INDIRECT("'"&amp;O$62&amp;"'!A2:E1000"), (INDIRECT("'"&amp;O$62&amp;"'!B2:B1000")=$B18) * (INDIRECT("'"&amp;O$62&amp;"'!C2:C1000")=$C18)
        ),
        5,
        FALSE
    )=0,
    "",
    VLOOKUP(
        $A18,
        _xlfn._xlws.FILTER(
            INDIRECT("'"&amp;O$62&amp;"'!A2:E1000"), (INDIRECT("'"&amp;O$62&amp;"'!B2:B1000")=$B18) * (INDIRECT("'"&amp;O$62&amp;"'!C2:C1000")=$C18)
        ),
        5,
        FALSE
    )
)</f>
        <v/>
      </c>
    </row>
    <row r="19">
      <c r="A19" s="13" t="inlineStr">
        <is>
          <t>Francisco Beltrão</t>
        </is>
      </c>
      <c r="B19" s="58" t="inlineStr">
        <is>
          <t>Coronel Vivida</t>
        </is>
      </c>
      <c r="C19" s="85" t="inlineStr">
        <is>
          <t>01</t>
        </is>
      </c>
      <c r="D19" s="86">
        <f t="array" ref="D19">IF(
    VLOOKUP(
        $A19,
        _xlfn._xlws.FILTER(
            INDIRECT("'"&amp;D$62&amp;"'!A2:E1000"), (INDIRECT("'"&amp;D$62&amp;"'!B2:B1000")=$B19) * (INDIRECT("'"&amp;D$62&amp;"'!C2:C1000")=$C19)
        ),
        5,
        FALSE
    )=0,
    "",
    VLOOKUP(
        $A19,
        _xlfn._xlws.FILTER(
            INDIRECT("'"&amp;D$62&amp;"'!A2:E1000"), (INDIRECT("'"&amp;D$62&amp;"'!B2:B1000")=$B19) * (INDIRECT("'"&amp;D$62&amp;"'!C2:C1000")=$C19)
        ),
        5,
        FALSE
    )
)</f>
        <v/>
      </c>
      <c r="E19" s="86">
        <f t="array" ref="E19">IF(
    VLOOKUP(
        $A19,
        _xlfn._xlws.FILTER(
            INDIRECT("'"&amp;E$62&amp;"'!A2:E1000"), (INDIRECT("'"&amp;E$62&amp;"'!B2:B1000")=$B19) * (INDIRECT("'"&amp;E$62&amp;"'!C2:C1000")=$C19)
        ),
        5,
        FALSE
    )=0,
    "",
    VLOOKUP(
        $A19,
        _xlfn._xlws.FILTER(
            INDIRECT("'"&amp;E$62&amp;"'!A2:E1000"), (INDIRECT("'"&amp;E$62&amp;"'!B2:B1000")=$B19) * (INDIRECT("'"&amp;E$62&amp;"'!C2:C1000")=$C19)
        ),
        5,
        FALSE
    )
)</f>
        <v/>
      </c>
      <c r="F19" s="86">
        <f t="array" ref="F19">IF(
    VLOOKUP(
        $A19,
        _xlfn._xlws.FILTER(
            INDIRECT("'"&amp;F$62&amp;"'!A2:E1000"), (INDIRECT("'"&amp;F$62&amp;"'!B2:B1000")=$B19) * (INDIRECT("'"&amp;F$62&amp;"'!C2:C1000")=$C19)
        ),
        5,
        FALSE
    )=0,
    "",
    VLOOKUP(
        $A19,
        _xlfn._xlws.FILTER(
            INDIRECT("'"&amp;F$62&amp;"'!A2:E1000"), (INDIRECT("'"&amp;F$62&amp;"'!B2:B1000")=$B19) * (INDIRECT("'"&amp;F$62&amp;"'!C2:C1000")=$C19)
        ),
        5,
        FALSE
    )
)</f>
        <v/>
      </c>
      <c r="G19" s="86">
        <f t="array" ref="G19">IF(
    VLOOKUP(
        $A19,
        _xlfn._xlws.FILTER(
            INDIRECT("'"&amp;G$62&amp;"'!A2:E1000"), (INDIRECT("'"&amp;G$62&amp;"'!B2:B1000")=$B19) * (INDIRECT("'"&amp;G$62&amp;"'!C2:C1000")=$C19)
        ),
        5,
        FALSE
    )=0,
    "",
    VLOOKUP(
        $A19,
        _xlfn._xlws.FILTER(
            INDIRECT("'"&amp;G$62&amp;"'!A2:E1000"), (INDIRECT("'"&amp;G$62&amp;"'!B2:B1000")=$B19) * (INDIRECT("'"&amp;G$62&amp;"'!C2:C1000")=$C19)
        ),
        5,
        FALSE
    )
)</f>
        <v/>
      </c>
      <c r="H19" s="86">
        <f t="array" ref="H19">IF(
    VLOOKUP(
        $A19,
        _xlfn._xlws.FILTER(
            INDIRECT("'"&amp;H$62&amp;"'!A2:E1000"), (INDIRECT("'"&amp;H$62&amp;"'!B2:B1000")=$B19) * (INDIRECT("'"&amp;H$62&amp;"'!C2:C1000")=$C19)
        ),
        5,
        FALSE
    )=0,
    "",
    VLOOKUP(
        $A19,
        _xlfn._xlws.FILTER(
            INDIRECT("'"&amp;H$62&amp;"'!A2:E1000"), (INDIRECT("'"&amp;H$62&amp;"'!B2:B1000")=$B19) * (INDIRECT("'"&amp;H$62&amp;"'!C2:C1000")=$C19)
        ),
        5,
        FALSE
    )
)</f>
        <v/>
      </c>
      <c r="I19" s="86">
        <f t="array" ref="I19">IF(
    VLOOKUP(
        $A19,
        _xlfn._xlws.FILTER(
            INDIRECT("'"&amp;I$62&amp;"'!A2:E1000"), (INDIRECT("'"&amp;I$62&amp;"'!B2:B1000")=$B19) * (INDIRECT("'"&amp;I$62&amp;"'!C2:C1000")=$C19)
        ),
        5,
        FALSE
    )=0,
    "",
    VLOOKUP(
        $A19,
        _xlfn._xlws.FILTER(
            INDIRECT("'"&amp;I$62&amp;"'!A2:E1000"), (INDIRECT("'"&amp;I$62&amp;"'!B2:B1000")=$B19) * (INDIRECT("'"&amp;I$62&amp;"'!C2:C1000")=$C19)
        ),
        5,
        FALSE
    )
)</f>
        <v/>
      </c>
      <c r="J19" s="86">
        <f t="array" ref="J19">IF(
    VLOOKUP(
        $A19,
        _xlfn._xlws.FILTER(
            INDIRECT("'"&amp;J$62&amp;"'!A2:E1000"), (INDIRECT("'"&amp;J$62&amp;"'!B2:B1000")=$B19) * (INDIRECT("'"&amp;J$62&amp;"'!C2:C1000")=$C19)
        ),
        5,
        FALSE
    )=0,
    "",
    VLOOKUP(
        $A19,
        _xlfn._xlws.FILTER(
            INDIRECT("'"&amp;J$62&amp;"'!A2:E1000"), (INDIRECT("'"&amp;J$62&amp;"'!B2:B1000")=$B19) * (INDIRECT("'"&amp;J$62&amp;"'!C2:C1000")=$C19)
        ),
        5,
        FALSE
    )
)</f>
        <v/>
      </c>
      <c r="K19" s="86">
        <f t="array" ref="K19">IF(
    VLOOKUP(
        $A19,
        _xlfn._xlws.FILTER(
            INDIRECT("'"&amp;K$62&amp;"'!A2:E1000"), (INDIRECT("'"&amp;K$62&amp;"'!B2:B1000")=$B19) * (INDIRECT("'"&amp;K$62&amp;"'!C2:C1000")=$C19)
        ),
        5,
        FALSE
    )=0,
    "",
    VLOOKUP(
        $A19,
        _xlfn._xlws.FILTER(
            INDIRECT("'"&amp;K$62&amp;"'!A2:E1000"), (INDIRECT("'"&amp;K$62&amp;"'!B2:B1000")=$B19) * (INDIRECT("'"&amp;K$62&amp;"'!C2:C1000")=$C19)
        ),
        5,
        FALSE
    )
)</f>
        <v/>
      </c>
      <c r="L19" s="86">
        <f t="array" ref="L19">IF(
    VLOOKUP(
        $A19,
        _xlfn._xlws.FILTER(
            INDIRECT("'"&amp;L$62&amp;"'!A2:E1000"), (INDIRECT("'"&amp;L$62&amp;"'!B2:B1000")=$B19) * (INDIRECT("'"&amp;L$62&amp;"'!C2:C1000")=$C19)
        ),
        5,
        FALSE
    )=0,
    "",
    VLOOKUP(
        $A19,
        _xlfn._xlws.FILTER(
            INDIRECT("'"&amp;L$62&amp;"'!A2:E1000"), (INDIRECT("'"&amp;L$62&amp;"'!B2:B1000")=$B19) * (INDIRECT("'"&amp;L$62&amp;"'!C2:C1000")=$C19)
        ),
        5,
        FALSE
    )
)</f>
        <v/>
      </c>
      <c r="M19" s="86">
        <f t="array" ref="M19">IF(
    VLOOKUP(
        $A19,
        _xlfn._xlws.FILTER(
            INDIRECT("'"&amp;M$62&amp;"'!A2:E1000"), (INDIRECT("'"&amp;M$62&amp;"'!B2:B1000")=$B19) * (INDIRECT("'"&amp;M$62&amp;"'!C2:C1000")=$C19)
        ),
        5,
        FALSE
    )=0,
    "",
    VLOOKUP(
        $A19,
        _xlfn._xlws.FILTER(
            INDIRECT("'"&amp;M$62&amp;"'!A2:E1000"), (INDIRECT("'"&amp;M$62&amp;"'!B2:B1000")=$B19) * (INDIRECT("'"&amp;M$62&amp;"'!C2:C1000")=$C19)
        ),
        5,
        FALSE
    )
)</f>
        <v/>
      </c>
      <c r="N19" s="86">
        <f t="array" ref="N19">IF(
    VLOOKUP(
        $A19,
        _xlfn._xlws.FILTER(
            INDIRECT("'"&amp;N$62&amp;"'!A2:E1000"), (INDIRECT("'"&amp;N$62&amp;"'!B2:B1000")=$B19) * (INDIRECT("'"&amp;N$62&amp;"'!C2:C1000")=$C19)
        ),
        5,
        FALSE
    )=0,
    "",
    VLOOKUP(
        $A19,
        _xlfn._xlws.FILTER(
            INDIRECT("'"&amp;N$62&amp;"'!A2:E1000"), (INDIRECT("'"&amp;N$62&amp;"'!B2:B1000")=$B19) * (INDIRECT("'"&amp;N$62&amp;"'!C2:C1000")=$C19)
        ),
        5,
        FALSE
    )
)</f>
        <v/>
      </c>
      <c r="O19" s="86">
        <f t="array" ref="O19">IF(
    VLOOKUP(
        $A19,
        _xlfn._xlws.FILTER(
            INDIRECT("'"&amp;O$62&amp;"'!A2:E1000"), (INDIRECT("'"&amp;O$62&amp;"'!B2:B1000")=$B19) * (INDIRECT("'"&amp;O$62&amp;"'!C2:C1000")=$C19)
        ),
        5,
        FALSE
    )=0,
    "",
    VLOOKUP(
        $A19,
        _xlfn._xlws.FILTER(
            INDIRECT("'"&amp;O$62&amp;"'!A2:E1000"), (INDIRECT("'"&amp;O$62&amp;"'!B2:B1000")=$B19) * (INDIRECT("'"&amp;O$62&amp;"'!C2:C1000")=$C19)
        ),
        5,
        FALSE
    )
)</f>
        <v/>
      </c>
    </row>
    <row r="20">
      <c r="A20" s="13" t="inlineStr">
        <is>
          <t>Francisco Beltrão</t>
        </is>
      </c>
      <c r="B20" s="58" t="inlineStr">
        <is>
          <t>Enéas Marques</t>
        </is>
      </c>
      <c r="C20" s="85" t="inlineStr">
        <is>
          <t>01</t>
        </is>
      </c>
      <c r="D20" s="86">
        <f t="array" ref="D20">IF(
    VLOOKUP(
        $A20,
        _xlfn._xlws.FILTER(
            INDIRECT("'"&amp;D$62&amp;"'!A2:E1000"), (INDIRECT("'"&amp;D$62&amp;"'!B2:B1000")=$B20) * (INDIRECT("'"&amp;D$62&amp;"'!C2:C1000")=$C20)
        ),
        5,
        FALSE
    )=0,
    "",
    VLOOKUP(
        $A20,
        _xlfn._xlws.FILTER(
            INDIRECT("'"&amp;D$62&amp;"'!A2:E1000"), (INDIRECT("'"&amp;D$62&amp;"'!B2:B1000")=$B20) * (INDIRECT("'"&amp;D$62&amp;"'!C2:C1000")=$C20)
        ),
        5,
        FALSE
    )
)</f>
        <v/>
      </c>
      <c r="E20" s="86">
        <f t="array" ref="E20">IF(
    VLOOKUP(
        $A20,
        _xlfn._xlws.FILTER(
            INDIRECT("'"&amp;E$62&amp;"'!A2:E1000"), (INDIRECT("'"&amp;E$62&amp;"'!B2:B1000")=$B20) * (INDIRECT("'"&amp;E$62&amp;"'!C2:C1000")=$C20)
        ),
        5,
        FALSE
    )=0,
    "",
    VLOOKUP(
        $A20,
        _xlfn._xlws.FILTER(
            INDIRECT("'"&amp;E$62&amp;"'!A2:E1000"), (INDIRECT("'"&amp;E$62&amp;"'!B2:B1000")=$B20) * (INDIRECT("'"&amp;E$62&amp;"'!C2:C1000")=$C20)
        ),
        5,
        FALSE
    )
)</f>
        <v/>
      </c>
      <c r="F20" s="86">
        <f t="array" ref="F20">IF(
    VLOOKUP(
        $A20,
        _xlfn._xlws.FILTER(
            INDIRECT("'"&amp;F$62&amp;"'!A2:E1000"), (INDIRECT("'"&amp;F$62&amp;"'!B2:B1000")=$B20) * (INDIRECT("'"&amp;F$62&amp;"'!C2:C1000")=$C20)
        ),
        5,
        FALSE
    )=0,
    "",
    VLOOKUP(
        $A20,
        _xlfn._xlws.FILTER(
            INDIRECT("'"&amp;F$62&amp;"'!A2:E1000"), (INDIRECT("'"&amp;F$62&amp;"'!B2:B1000")=$B20) * (INDIRECT("'"&amp;F$62&amp;"'!C2:C1000")=$C20)
        ),
        5,
        FALSE
    )
)</f>
        <v/>
      </c>
      <c r="G20" s="86">
        <f t="array" ref="G20">IF(
    VLOOKUP(
        $A20,
        _xlfn._xlws.FILTER(
            INDIRECT("'"&amp;G$62&amp;"'!A2:E1000"), (INDIRECT("'"&amp;G$62&amp;"'!B2:B1000")=$B20) * (INDIRECT("'"&amp;G$62&amp;"'!C2:C1000")=$C20)
        ),
        5,
        FALSE
    )=0,
    "",
    VLOOKUP(
        $A20,
        _xlfn._xlws.FILTER(
            INDIRECT("'"&amp;G$62&amp;"'!A2:E1000"), (INDIRECT("'"&amp;G$62&amp;"'!B2:B1000")=$B20) * (INDIRECT("'"&amp;G$62&amp;"'!C2:C1000")=$C20)
        ),
        5,
        FALSE
    )
)</f>
        <v/>
      </c>
      <c r="H20" s="86">
        <f t="array" ref="H20">IF(
    VLOOKUP(
        $A20,
        _xlfn._xlws.FILTER(
            INDIRECT("'"&amp;H$62&amp;"'!A2:E1000"), (INDIRECT("'"&amp;H$62&amp;"'!B2:B1000")=$B20) * (INDIRECT("'"&amp;H$62&amp;"'!C2:C1000")=$C20)
        ),
        5,
        FALSE
    )=0,
    "",
    VLOOKUP(
        $A20,
        _xlfn._xlws.FILTER(
            INDIRECT("'"&amp;H$62&amp;"'!A2:E1000"), (INDIRECT("'"&amp;H$62&amp;"'!B2:B1000")=$B20) * (INDIRECT("'"&amp;H$62&amp;"'!C2:C1000")=$C20)
        ),
        5,
        FALSE
    )
)</f>
        <v/>
      </c>
      <c r="I20" s="86">
        <f t="array" ref="I20">IF(
    VLOOKUP(
        $A20,
        _xlfn._xlws.FILTER(
            INDIRECT("'"&amp;I$62&amp;"'!A2:E1000"), (INDIRECT("'"&amp;I$62&amp;"'!B2:B1000")=$B20) * (INDIRECT("'"&amp;I$62&amp;"'!C2:C1000")=$C20)
        ),
        5,
        FALSE
    )=0,
    "",
    VLOOKUP(
        $A20,
        _xlfn._xlws.FILTER(
            INDIRECT("'"&amp;I$62&amp;"'!A2:E1000"), (INDIRECT("'"&amp;I$62&amp;"'!B2:B1000")=$B20) * (INDIRECT("'"&amp;I$62&amp;"'!C2:C1000")=$C20)
        ),
        5,
        FALSE
    )
)</f>
        <v/>
      </c>
      <c r="J20" s="86">
        <f t="array" ref="J20">IF(
    VLOOKUP(
        $A20,
        _xlfn._xlws.FILTER(
            INDIRECT("'"&amp;J$62&amp;"'!A2:E1000"), (INDIRECT("'"&amp;J$62&amp;"'!B2:B1000")=$B20) * (INDIRECT("'"&amp;J$62&amp;"'!C2:C1000")=$C20)
        ),
        5,
        FALSE
    )=0,
    "",
    VLOOKUP(
        $A20,
        _xlfn._xlws.FILTER(
            INDIRECT("'"&amp;J$62&amp;"'!A2:E1000"), (INDIRECT("'"&amp;J$62&amp;"'!B2:B1000")=$B20) * (INDIRECT("'"&amp;J$62&amp;"'!C2:C1000")=$C20)
        ),
        5,
        FALSE
    )
)</f>
        <v/>
      </c>
      <c r="K20" s="86">
        <f t="array" ref="K20">IF(
    VLOOKUP(
        $A20,
        _xlfn._xlws.FILTER(
            INDIRECT("'"&amp;K$62&amp;"'!A2:E1000"), (INDIRECT("'"&amp;K$62&amp;"'!B2:B1000")=$B20) * (INDIRECT("'"&amp;K$62&amp;"'!C2:C1000")=$C20)
        ),
        5,
        FALSE
    )=0,
    "",
    VLOOKUP(
        $A20,
        _xlfn._xlws.FILTER(
            INDIRECT("'"&amp;K$62&amp;"'!A2:E1000"), (INDIRECT("'"&amp;K$62&amp;"'!B2:B1000")=$B20) * (INDIRECT("'"&amp;K$62&amp;"'!C2:C1000")=$C20)
        ),
        5,
        FALSE
    )
)</f>
        <v/>
      </c>
      <c r="L20" s="86">
        <f t="array" ref="L20">IF(
    VLOOKUP(
        $A20,
        _xlfn._xlws.FILTER(
            INDIRECT("'"&amp;L$62&amp;"'!A2:E1000"), (INDIRECT("'"&amp;L$62&amp;"'!B2:B1000")=$B20) * (INDIRECT("'"&amp;L$62&amp;"'!C2:C1000")=$C20)
        ),
        5,
        FALSE
    )=0,
    "",
    VLOOKUP(
        $A20,
        _xlfn._xlws.FILTER(
            INDIRECT("'"&amp;L$62&amp;"'!A2:E1000"), (INDIRECT("'"&amp;L$62&amp;"'!B2:B1000")=$B20) * (INDIRECT("'"&amp;L$62&amp;"'!C2:C1000")=$C20)
        ),
        5,
        FALSE
    )
)</f>
        <v/>
      </c>
      <c r="M20" s="86">
        <f t="array" ref="M20">IF(
    VLOOKUP(
        $A20,
        _xlfn._xlws.FILTER(
            INDIRECT("'"&amp;M$62&amp;"'!A2:E1000"), (INDIRECT("'"&amp;M$62&amp;"'!B2:B1000")=$B20) * (INDIRECT("'"&amp;M$62&amp;"'!C2:C1000")=$C20)
        ),
        5,
        FALSE
    )=0,
    "",
    VLOOKUP(
        $A20,
        _xlfn._xlws.FILTER(
            INDIRECT("'"&amp;M$62&amp;"'!A2:E1000"), (INDIRECT("'"&amp;M$62&amp;"'!B2:B1000")=$B20) * (INDIRECT("'"&amp;M$62&amp;"'!C2:C1000")=$C20)
        ),
        5,
        FALSE
    )
)</f>
        <v/>
      </c>
      <c r="N20" s="86">
        <f t="array" ref="N20">IF(
    VLOOKUP(
        $A20,
        _xlfn._xlws.FILTER(
            INDIRECT("'"&amp;N$62&amp;"'!A2:E1000"), (INDIRECT("'"&amp;N$62&amp;"'!B2:B1000")=$B20) * (INDIRECT("'"&amp;N$62&amp;"'!C2:C1000")=$C20)
        ),
        5,
        FALSE
    )=0,
    "",
    VLOOKUP(
        $A20,
        _xlfn._xlws.FILTER(
            INDIRECT("'"&amp;N$62&amp;"'!A2:E1000"), (INDIRECT("'"&amp;N$62&amp;"'!B2:B1000")=$B20) * (INDIRECT("'"&amp;N$62&amp;"'!C2:C1000")=$C20)
        ),
        5,
        FALSE
    )
)</f>
        <v/>
      </c>
      <c r="O20" s="86">
        <f t="array" ref="O20">IF(
    VLOOKUP(
        $A20,
        _xlfn._xlws.FILTER(
            INDIRECT("'"&amp;O$62&amp;"'!A2:E1000"), (INDIRECT("'"&amp;O$62&amp;"'!B2:B1000")=$B20) * (INDIRECT("'"&amp;O$62&amp;"'!C2:C1000")=$C20)
        ),
        5,
        FALSE
    )=0,
    "",
    VLOOKUP(
        $A20,
        _xlfn._xlws.FILTER(
            INDIRECT("'"&amp;O$62&amp;"'!A2:E1000"), (INDIRECT("'"&amp;O$62&amp;"'!B2:B1000")=$B20) * (INDIRECT("'"&amp;O$62&amp;"'!C2:C1000")=$C20)
        ),
        5,
        FALSE
    )
)</f>
        <v/>
      </c>
    </row>
    <row r="21">
      <c r="A21" s="13" t="inlineStr">
        <is>
          <t>Francisco Beltrão</t>
        </is>
      </c>
      <c r="B21" s="58" t="inlineStr">
        <is>
          <t>Francisco Beltrão</t>
        </is>
      </c>
      <c r="C21" s="85" t="inlineStr">
        <is>
          <t>01</t>
        </is>
      </c>
      <c r="D21" s="86">
        <f t="array" ref="D21">IF(
    VLOOKUP(
        $A21,
        _xlfn._xlws.FILTER(
            INDIRECT("'"&amp;D$62&amp;"'!A2:E1000"), (INDIRECT("'"&amp;D$62&amp;"'!B2:B1000")=$B21) * (INDIRECT("'"&amp;D$62&amp;"'!C2:C1000")=$C21)
        ),
        5,
        FALSE
    )=0,
    "",
    VLOOKUP(
        $A21,
        _xlfn._xlws.FILTER(
            INDIRECT("'"&amp;D$62&amp;"'!A2:E1000"), (INDIRECT("'"&amp;D$62&amp;"'!B2:B1000")=$B21) * (INDIRECT("'"&amp;D$62&amp;"'!C2:C1000")=$C21)
        ),
        5,
        FALSE
    )
)</f>
        <v/>
      </c>
      <c r="E21" s="86">
        <f t="array" ref="E21">IF(
    VLOOKUP(
        $A21,
        _xlfn._xlws.FILTER(
            INDIRECT("'"&amp;E$62&amp;"'!A2:E1000"), (INDIRECT("'"&amp;E$62&amp;"'!B2:B1000")=$B21) * (INDIRECT("'"&amp;E$62&amp;"'!C2:C1000")=$C21)
        ),
        5,
        FALSE
    )=0,
    "",
    VLOOKUP(
        $A21,
        _xlfn._xlws.FILTER(
            INDIRECT("'"&amp;E$62&amp;"'!A2:E1000"), (INDIRECT("'"&amp;E$62&amp;"'!B2:B1000")=$B21) * (INDIRECT("'"&amp;E$62&amp;"'!C2:C1000")=$C21)
        ),
        5,
        FALSE
    )
)</f>
        <v/>
      </c>
      <c r="F21" s="86">
        <f t="array" ref="F21">IF(
    VLOOKUP(
        $A21,
        _xlfn._xlws.FILTER(
            INDIRECT("'"&amp;F$62&amp;"'!A2:E1000"), (INDIRECT("'"&amp;F$62&amp;"'!B2:B1000")=$B21) * (INDIRECT("'"&amp;F$62&amp;"'!C2:C1000")=$C21)
        ),
        5,
        FALSE
    )=0,
    "",
    VLOOKUP(
        $A21,
        _xlfn._xlws.FILTER(
            INDIRECT("'"&amp;F$62&amp;"'!A2:E1000"), (INDIRECT("'"&amp;F$62&amp;"'!B2:B1000")=$B21) * (INDIRECT("'"&amp;F$62&amp;"'!C2:C1000")=$C21)
        ),
        5,
        FALSE
    )
)</f>
        <v/>
      </c>
      <c r="G21" s="86">
        <f t="array" ref="G21">IF(
    VLOOKUP(
        $A21,
        _xlfn._xlws.FILTER(
            INDIRECT("'"&amp;G$62&amp;"'!A2:E1000"), (INDIRECT("'"&amp;G$62&amp;"'!B2:B1000")=$B21) * (INDIRECT("'"&amp;G$62&amp;"'!C2:C1000")=$C21)
        ),
        5,
        FALSE
    )=0,
    "",
    VLOOKUP(
        $A21,
        _xlfn._xlws.FILTER(
            INDIRECT("'"&amp;G$62&amp;"'!A2:E1000"), (INDIRECT("'"&amp;G$62&amp;"'!B2:B1000")=$B21) * (INDIRECT("'"&amp;G$62&amp;"'!C2:C1000")=$C21)
        ),
        5,
        FALSE
    )
)</f>
        <v/>
      </c>
      <c r="H21" s="86">
        <f t="array" ref="H21">IF(
    VLOOKUP(
        $A21,
        _xlfn._xlws.FILTER(
            INDIRECT("'"&amp;H$62&amp;"'!A2:E1000"), (INDIRECT("'"&amp;H$62&amp;"'!B2:B1000")=$B21) * (INDIRECT("'"&amp;H$62&amp;"'!C2:C1000")=$C21)
        ),
        5,
        FALSE
    )=0,
    "",
    VLOOKUP(
        $A21,
        _xlfn._xlws.FILTER(
            INDIRECT("'"&amp;H$62&amp;"'!A2:E1000"), (INDIRECT("'"&amp;H$62&amp;"'!B2:B1000")=$B21) * (INDIRECT("'"&amp;H$62&amp;"'!C2:C1000")=$C21)
        ),
        5,
        FALSE
    )
)</f>
        <v/>
      </c>
      <c r="I21" s="86">
        <f t="array" ref="I21">IF(
    VLOOKUP(
        $A21,
        _xlfn._xlws.FILTER(
            INDIRECT("'"&amp;I$62&amp;"'!A2:E1000"), (INDIRECT("'"&amp;I$62&amp;"'!B2:B1000")=$B21) * (INDIRECT("'"&amp;I$62&amp;"'!C2:C1000")=$C21)
        ),
        5,
        FALSE
    )=0,
    "",
    VLOOKUP(
        $A21,
        _xlfn._xlws.FILTER(
            INDIRECT("'"&amp;I$62&amp;"'!A2:E1000"), (INDIRECT("'"&amp;I$62&amp;"'!B2:B1000")=$B21) * (INDIRECT("'"&amp;I$62&amp;"'!C2:C1000")=$C21)
        ),
        5,
        FALSE
    )
)</f>
        <v/>
      </c>
      <c r="J21" s="86">
        <f t="array" ref="J21">IF(
    VLOOKUP(
        $A21,
        _xlfn._xlws.FILTER(
            INDIRECT("'"&amp;J$62&amp;"'!A2:E1000"), (INDIRECT("'"&amp;J$62&amp;"'!B2:B1000")=$B21) * (INDIRECT("'"&amp;J$62&amp;"'!C2:C1000")=$C21)
        ),
        5,
        FALSE
    )=0,
    "",
    VLOOKUP(
        $A21,
        _xlfn._xlws.FILTER(
            INDIRECT("'"&amp;J$62&amp;"'!A2:E1000"), (INDIRECT("'"&amp;J$62&amp;"'!B2:B1000")=$B21) * (INDIRECT("'"&amp;J$62&amp;"'!C2:C1000")=$C21)
        ),
        5,
        FALSE
    )
)</f>
        <v/>
      </c>
      <c r="K21" s="86">
        <f t="array" ref="K21">IF(
    VLOOKUP(
        $A21,
        _xlfn._xlws.FILTER(
            INDIRECT("'"&amp;K$62&amp;"'!A2:E1000"), (INDIRECT("'"&amp;K$62&amp;"'!B2:B1000")=$B21) * (INDIRECT("'"&amp;K$62&amp;"'!C2:C1000")=$C21)
        ),
        5,
        FALSE
    )=0,
    "",
    VLOOKUP(
        $A21,
        _xlfn._xlws.FILTER(
            INDIRECT("'"&amp;K$62&amp;"'!A2:E1000"), (INDIRECT("'"&amp;K$62&amp;"'!B2:B1000")=$B21) * (INDIRECT("'"&amp;K$62&amp;"'!C2:C1000")=$C21)
        ),
        5,
        FALSE
    )
)</f>
        <v/>
      </c>
      <c r="L21" s="86">
        <f t="array" ref="L21">IF(
    VLOOKUP(
        $A21,
        _xlfn._xlws.FILTER(
            INDIRECT("'"&amp;L$62&amp;"'!A2:E1000"), (INDIRECT("'"&amp;L$62&amp;"'!B2:B1000")=$B21) * (INDIRECT("'"&amp;L$62&amp;"'!C2:C1000")=$C21)
        ),
        5,
        FALSE
    )=0,
    "",
    VLOOKUP(
        $A21,
        _xlfn._xlws.FILTER(
            INDIRECT("'"&amp;L$62&amp;"'!A2:E1000"), (INDIRECT("'"&amp;L$62&amp;"'!B2:B1000")=$B21) * (INDIRECT("'"&amp;L$62&amp;"'!C2:C1000")=$C21)
        ),
        5,
        FALSE
    )
)</f>
        <v/>
      </c>
      <c r="M21" s="86">
        <f t="array" ref="M21">IF(
    VLOOKUP(
        $A21,
        _xlfn._xlws.FILTER(
            INDIRECT("'"&amp;M$62&amp;"'!A2:E1000"), (INDIRECT("'"&amp;M$62&amp;"'!B2:B1000")=$B21) * (INDIRECT("'"&amp;M$62&amp;"'!C2:C1000")=$C21)
        ),
        5,
        FALSE
    )=0,
    "",
    VLOOKUP(
        $A21,
        _xlfn._xlws.FILTER(
            INDIRECT("'"&amp;M$62&amp;"'!A2:E1000"), (INDIRECT("'"&amp;M$62&amp;"'!B2:B1000")=$B21) * (INDIRECT("'"&amp;M$62&amp;"'!C2:C1000")=$C21)
        ),
        5,
        FALSE
    )
)</f>
        <v/>
      </c>
      <c r="N21" s="86">
        <f t="array" ref="N21">IF(
    VLOOKUP(
        $A21,
        _xlfn._xlws.FILTER(
            INDIRECT("'"&amp;N$62&amp;"'!A2:E1000"), (INDIRECT("'"&amp;N$62&amp;"'!B2:B1000")=$B21) * (INDIRECT("'"&amp;N$62&amp;"'!C2:C1000")=$C21)
        ),
        5,
        FALSE
    )=0,
    "",
    VLOOKUP(
        $A21,
        _xlfn._xlws.FILTER(
            INDIRECT("'"&amp;N$62&amp;"'!A2:E1000"), (INDIRECT("'"&amp;N$62&amp;"'!B2:B1000")=$B21) * (INDIRECT("'"&amp;N$62&amp;"'!C2:C1000")=$C21)
        ),
        5,
        FALSE
    )
)</f>
        <v/>
      </c>
      <c r="O21" s="86">
        <f t="array" ref="O21">IF(
    VLOOKUP(
        $A21,
        _xlfn._xlws.FILTER(
            INDIRECT("'"&amp;O$62&amp;"'!A2:E1000"), (INDIRECT("'"&amp;O$62&amp;"'!B2:B1000")=$B21) * (INDIRECT("'"&amp;O$62&amp;"'!C2:C1000")=$C21)
        ),
        5,
        FALSE
    )=0,
    "",
    VLOOKUP(
        $A21,
        _xlfn._xlws.FILTER(
            INDIRECT("'"&amp;O$62&amp;"'!A2:E1000"), (INDIRECT("'"&amp;O$62&amp;"'!B2:B1000")=$B21) * (INDIRECT("'"&amp;O$62&amp;"'!C2:C1000")=$C21)
        ),
        5,
        FALSE
    )
)</f>
        <v/>
      </c>
    </row>
    <row r="22">
      <c r="A22" s="13" t="inlineStr">
        <is>
          <t>Francisco Beltrão</t>
        </is>
      </c>
      <c r="B22" s="58" t="inlineStr">
        <is>
          <t>Francisco Beltrão</t>
        </is>
      </c>
      <c r="C22" s="85" t="inlineStr">
        <is>
          <t>02</t>
        </is>
      </c>
      <c r="D22" s="86">
        <f t="array" ref="D22">IF(
    VLOOKUP(
        $A22,
        _xlfn._xlws.FILTER(
            INDIRECT("'"&amp;D$62&amp;"'!A2:E1000"), (INDIRECT("'"&amp;D$62&amp;"'!B2:B1000")=$B22) * (INDIRECT("'"&amp;D$62&amp;"'!C2:C1000")=$C22)
        ),
        5,
        FALSE
    )=0,
    "",
    VLOOKUP(
        $A22,
        _xlfn._xlws.FILTER(
            INDIRECT("'"&amp;D$62&amp;"'!A2:E1000"), (INDIRECT("'"&amp;D$62&amp;"'!B2:B1000")=$B22) * (INDIRECT("'"&amp;D$62&amp;"'!C2:C1000")=$C22)
        ),
        5,
        FALSE
    )
)</f>
        <v/>
      </c>
      <c r="E22" s="86">
        <f t="array" ref="E22">IF(
    VLOOKUP(
        $A22,
        _xlfn._xlws.FILTER(
            INDIRECT("'"&amp;E$62&amp;"'!A2:E1000"), (INDIRECT("'"&amp;E$62&amp;"'!B2:B1000")=$B22) * (INDIRECT("'"&amp;E$62&amp;"'!C2:C1000")=$C22)
        ),
        5,
        FALSE
    )=0,
    "",
    VLOOKUP(
        $A22,
        _xlfn._xlws.FILTER(
            INDIRECT("'"&amp;E$62&amp;"'!A2:E1000"), (INDIRECT("'"&amp;E$62&amp;"'!B2:B1000")=$B22) * (INDIRECT("'"&amp;E$62&amp;"'!C2:C1000")=$C22)
        ),
        5,
        FALSE
    )
)</f>
        <v/>
      </c>
      <c r="F22" s="86">
        <f t="array" ref="F22">IF(
    VLOOKUP(
        $A22,
        _xlfn._xlws.FILTER(
            INDIRECT("'"&amp;F$62&amp;"'!A2:E1000"), (INDIRECT("'"&amp;F$62&amp;"'!B2:B1000")=$B22) * (INDIRECT("'"&amp;F$62&amp;"'!C2:C1000")=$C22)
        ),
        5,
        FALSE
    )=0,
    "",
    VLOOKUP(
        $A22,
        _xlfn._xlws.FILTER(
            INDIRECT("'"&amp;F$62&amp;"'!A2:E1000"), (INDIRECT("'"&amp;F$62&amp;"'!B2:B1000")=$B22) * (INDIRECT("'"&amp;F$62&amp;"'!C2:C1000")=$C22)
        ),
        5,
        FALSE
    )
)</f>
        <v/>
      </c>
      <c r="G22" s="86">
        <f t="array" ref="G22">IF(
    VLOOKUP(
        $A22,
        _xlfn._xlws.FILTER(
            INDIRECT("'"&amp;G$62&amp;"'!A2:E1000"), (INDIRECT("'"&amp;G$62&amp;"'!B2:B1000")=$B22) * (INDIRECT("'"&amp;G$62&amp;"'!C2:C1000")=$C22)
        ),
        5,
        FALSE
    )=0,
    "",
    VLOOKUP(
        $A22,
        _xlfn._xlws.FILTER(
            INDIRECT("'"&amp;G$62&amp;"'!A2:E1000"), (INDIRECT("'"&amp;G$62&amp;"'!B2:B1000")=$B22) * (INDIRECT("'"&amp;G$62&amp;"'!C2:C1000")=$C22)
        ),
        5,
        FALSE
    )
)</f>
        <v/>
      </c>
      <c r="H22" s="86">
        <f t="array" ref="H22">IF(
    VLOOKUP(
        $A22,
        _xlfn._xlws.FILTER(
            INDIRECT("'"&amp;H$62&amp;"'!A2:E1000"), (INDIRECT("'"&amp;H$62&amp;"'!B2:B1000")=$B22) * (INDIRECT("'"&amp;H$62&amp;"'!C2:C1000")=$C22)
        ),
        5,
        FALSE
    )=0,
    "",
    VLOOKUP(
        $A22,
        _xlfn._xlws.FILTER(
            INDIRECT("'"&amp;H$62&amp;"'!A2:E1000"), (INDIRECT("'"&amp;H$62&amp;"'!B2:B1000")=$B22) * (INDIRECT("'"&amp;H$62&amp;"'!C2:C1000")=$C22)
        ),
        5,
        FALSE
    )
)</f>
        <v/>
      </c>
      <c r="I22" s="86">
        <f t="array" ref="I22">IF(
    VLOOKUP(
        $A22,
        _xlfn._xlws.FILTER(
            INDIRECT("'"&amp;I$62&amp;"'!A2:E1000"), (INDIRECT("'"&amp;I$62&amp;"'!B2:B1000")=$B22) * (INDIRECT("'"&amp;I$62&amp;"'!C2:C1000")=$C22)
        ),
        5,
        FALSE
    )=0,
    "",
    VLOOKUP(
        $A22,
        _xlfn._xlws.FILTER(
            INDIRECT("'"&amp;I$62&amp;"'!A2:E1000"), (INDIRECT("'"&amp;I$62&amp;"'!B2:B1000")=$B22) * (INDIRECT("'"&amp;I$62&amp;"'!C2:C1000")=$C22)
        ),
        5,
        FALSE
    )
)</f>
        <v/>
      </c>
      <c r="J22" s="86">
        <f t="array" ref="J22">IF(
    VLOOKUP(
        $A22,
        _xlfn._xlws.FILTER(
            INDIRECT("'"&amp;J$62&amp;"'!A2:E1000"), (INDIRECT("'"&amp;J$62&amp;"'!B2:B1000")=$B22) * (INDIRECT("'"&amp;J$62&amp;"'!C2:C1000")=$C22)
        ),
        5,
        FALSE
    )=0,
    "",
    VLOOKUP(
        $A22,
        _xlfn._xlws.FILTER(
            INDIRECT("'"&amp;J$62&amp;"'!A2:E1000"), (INDIRECT("'"&amp;J$62&amp;"'!B2:B1000")=$B22) * (INDIRECT("'"&amp;J$62&amp;"'!C2:C1000")=$C22)
        ),
        5,
        FALSE
    )
)</f>
        <v/>
      </c>
      <c r="K22" s="86">
        <f t="array" ref="K22">IF(
    VLOOKUP(
        $A22,
        _xlfn._xlws.FILTER(
            INDIRECT("'"&amp;K$62&amp;"'!A2:E1000"), (INDIRECT("'"&amp;K$62&amp;"'!B2:B1000")=$B22) * (INDIRECT("'"&amp;K$62&amp;"'!C2:C1000")=$C22)
        ),
        5,
        FALSE
    )=0,
    "",
    VLOOKUP(
        $A22,
        _xlfn._xlws.FILTER(
            INDIRECT("'"&amp;K$62&amp;"'!A2:E1000"), (INDIRECT("'"&amp;K$62&amp;"'!B2:B1000")=$B22) * (INDIRECT("'"&amp;K$62&amp;"'!C2:C1000")=$C22)
        ),
        5,
        FALSE
    )
)</f>
        <v/>
      </c>
      <c r="L22" s="86">
        <f t="array" ref="L22">IF(
    VLOOKUP(
        $A22,
        _xlfn._xlws.FILTER(
            INDIRECT("'"&amp;L$62&amp;"'!A2:E1000"), (INDIRECT("'"&amp;L$62&amp;"'!B2:B1000")=$B22) * (INDIRECT("'"&amp;L$62&amp;"'!C2:C1000")=$C22)
        ),
        5,
        FALSE
    )=0,
    "",
    VLOOKUP(
        $A22,
        _xlfn._xlws.FILTER(
            INDIRECT("'"&amp;L$62&amp;"'!A2:E1000"), (INDIRECT("'"&amp;L$62&amp;"'!B2:B1000")=$B22) * (INDIRECT("'"&amp;L$62&amp;"'!C2:C1000")=$C22)
        ),
        5,
        FALSE
    )
)</f>
        <v/>
      </c>
      <c r="M22" s="86">
        <f t="array" ref="M22">IF(
    VLOOKUP(
        $A22,
        _xlfn._xlws.FILTER(
            INDIRECT("'"&amp;M$62&amp;"'!A2:E1000"), (INDIRECT("'"&amp;M$62&amp;"'!B2:B1000")=$B22) * (INDIRECT("'"&amp;M$62&amp;"'!C2:C1000")=$C22)
        ),
        5,
        FALSE
    )=0,
    "",
    VLOOKUP(
        $A22,
        _xlfn._xlws.FILTER(
            INDIRECT("'"&amp;M$62&amp;"'!A2:E1000"), (INDIRECT("'"&amp;M$62&amp;"'!B2:B1000")=$B22) * (INDIRECT("'"&amp;M$62&amp;"'!C2:C1000")=$C22)
        ),
        5,
        FALSE
    )
)</f>
        <v/>
      </c>
      <c r="N22" s="86">
        <f t="array" ref="N22">IF(
    VLOOKUP(
        $A22,
        _xlfn._xlws.FILTER(
            INDIRECT("'"&amp;N$62&amp;"'!A2:E1000"), (INDIRECT("'"&amp;N$62&amp;"'!B2:B1000")=$B22) * (INDIRECT("'"&amp;N$62&amp;"'!C2:C1000")=$C22)
        ),
        5,
        FALSE
    )=0,
    "",
    VLOOKUP(
        $A22,
        _xlfn._xlws.FILTER(
            INDIRECT("'"&amp;N$62&amp;"'!A2:E1000"), (INDIRECT("'"&amp;N$62&amp;"'!B2:B1000")=$B22) * (INDIRECT("'"&amp;N$62&amp;"'!C2:C1000")=$C22)
        ),
        5,
        FALSE
    )
)</f>
        <v/>
      </c>
      <c r="O22" s="86">
        <f t="array" ref="O22">IF(
    VLOOKUP(
        $A22,
        _xlfn._xlws.FILTER(
            INDIRECT("'"&amp;O$62&amp;"'!A2:E1000"), (INDIRECT("'"&amp;O$62&amp;"'!B2:B1000")=$B22) * (INDIRECT("'"&amp;O$62&amp;"'!C2:C1000")=$C22)
        ),
        5,
        FALSE
    )=0,
    "",
    VLOOKUP(
        $A22,
        _xlfn._xlws.FILTER(
            INDIRECT("'"&amp;O$62&amp;"'!A2:E1000"), (INDIRECT("'"&amp;O$62&amp;"'!B2:B1000")=$B22) * (INDIRECT("'"&amp;O$62&amp;"'!C2:C1000")=$C22)
        ),
        5,
        FALSE
    )
)</f>
        <v/>
      </c>
    </row>
    <row r="23">
      <c r="A23" s="13" t="inlineStr">
        <is>
          <t>Francisco Beltrão</t>
        </is>
      </c>
      <c r="B23" s="58" t="inlineStr">
        <is>
          <t>Francisco Beltrão</t>
        </is>
      </c>
      <c r="C23" s="85" t="inlineStr">
        <is>
          <t>03</t>
        </is>
      </c>
      <c r="D23" s="86">
        <f t="array" ref="D23">IF(
    VLOOKUP(
        $A23,
        _xlfn._xlws.FILTER(
            INDIRECT("'"&amp;D$62&amp;"'!A2:E1000"), (INDIRECT("'"&amp;D$62&amp;"'!B2:B1000")=$B23) * (INDIRECT("'"&amp;D$62&amp;"'!C2:C1000")=$C23)
        ),
        5,
        FALSE
    )=0,
    "",
    VLOOKUP(
        $A23,
        _xlfn._xlws.FILTER(
            INDIRECT("'"&amp;D$62&amp;"'!A2:E1000"), (INDIRECT("'"&amp;D$62&amp;"'!B2:B1000")=$B23) * (INDIRECT("'"&amp;D$62&amp;"'!C2:C1000")=$C23)
        ),
        5,
        FALSE
    )
)</f>
        <v/>
      </c>
      <c r="E23" s="86">
        <f t="array" ref="E23">IF(
    VLOOKUP(
        $A23,
        _xlfn._xlws.FILTER(
            INDIRECT("'"&amp;E$62&amp;"'!A2:E1000"), (INDIRECT("'"&amp;E$62&amp;"'!B2:B1000")=$B23) * (INDIRECT("'"&amp;E$62&amp;"'!C2:C1000")=$C23)
        ),
        5,
        FALSE
    )=0,
    "",
    VLOOKUP(
        $A23,
        _xlfn._xlws.FILTER(
            INDIRECT("'"&amp;E$62&amp;"'!A2:E1000"), (INDIRECT("'"&amp;E$62&amp;"'!B2:B1000")=$B23) * (INDIRECT("'"&amp;E$62&amp;"'!C2:C1000")=$C23)
        ),
        5,
        FALSE
    )
)</f>
        <v/>
      </c>
      <c r="F23" s="86">
        <f t="array" ref="F23">IF(
    VLOOKUP(
        $A23,
        _xlfn._xlws.FILTER(
            INDIRECT("'"&amp;F$62&amp;"'!A2:E1000"), (INDIRECT("'"&amp;F$62&amp;"'!B2:B1000")=$B23) * (INDIRECT("'"&amp;F$62&amp;"'!C2:C1000")=$C23)
        ),
        5,
        FALSE
    )=0,
    "",
    VLOOKUP(
        $A23,
        _xlfn._xlws.FILTER(
            INDIRECT("'"&amp;F$62&amp;"'!A2:E1000"), (INDIRECT("'"&amp;F$62&amp;"'!B2:B1000")=$B23) * (INDIRECT("'"&amp;F$62&amp;"'!C2:C1000")=$C23)
        ),
        5,
        FALSE
    )
)</f>
        <v/>
      </c>
      <c r="G23" s="86">
        <f t="array" ref="G23">IF(
    VLOOKUP(
        $A23,
        _xlfn._xlws.FILTER(
            INDIRECT("'"&amp;G$62&amp;"'!A2:E1000"), (INDIRECT("'"&amp;G$62&amp;"'!B2:B1000")=$B23) * (INDIRECT("'"&amp;G$62&amp;"'!C2:C1000")=$C23)
        ),
        5,
        FALSE
    )=0,
    "",
    VLOOKUP(
        $A23,
        _xlfn._xlws.FILTER(
            INDIRECT("'"&amp;G$62&amp;"'!A2:E1000"), (INDIRECT("'"&amp;G$62&amp;"'!B2:B1000")=$B23) * (INDIRECT("'"&amp;G$62&amp;"'!C2:C1000")=$C23)
        ),
        5,
        FALSE
    )
)</f>
        <v/>
      </c>
      <c r="H23" s="86">
        <f t="array" ref="H23">IF(
    VLOOKUP(
        $A23,
        _xlfn._xlws.FILTER(
            INDIRECT("'"&amp;H$62&amp;"'!A2:E1000"), (INDIRECT("'"&amp;H$62&amp;"'!B2:B1000")=$B23) * (INDIRECT("'"&amp;H$62&amp;"'!C2:C1000")=$C23)
        ),
        5,
        FALSE
    )=0,
    "",
    VLOOKUP(
        $A23,
        _xlfn._xlws.FILTER(
            INDIRECT("'"&amp;H$62&amp;"'!A2:E1000"), (INDIRECT("'"&amp;H$62&amp;"'!B2:B1000")=$B23) * (INDIRECT("'"&amp;H$62&amp;"'!C2:C1000")=$C23)
        ),
        5,
        FALSE
    )
)</f>
        <v/>
      </c>
      <c r="I23" s="86">
        <f t="array" ref="I23">IF(
    VLOOKUP(
        $A23,
        _xlfn._xlws.FILTER(
            INDIRECT("'"&amp;I$62&amp;"'!A2:E1000"), (INDIRECT("'"&amp;I$62&amp;"'!B2:B1000")=$B23) * (INDIRECT("'"&amp;I$62&amp;"'!C2:C1000")=$C23)
        ),
        5,
        FALSE
    )=0,
    "",
    VLOOKUP(
        $A23,
        _xlfn._xlws.FILTER(
            INDIRECT("'"&amp;I$62&amp;"'!A2:E1000"), (INDIRECT("'"&amp;I$62&amp;"'!B2:B1000")=$B23) * (INDIRECT("'"&amp;I$62&amp;"'!C2:C1000")=$C23)
        ),
        5,
        FALSE
    )
)</f>
        <v/>
      </c>
      <c r="J23" s="86">
        <f t="array" ref="J23">IF(
    VLOOKUP(
        $A23,
        _xlfn._xlws.FILTER(
            INDIRECT("'"&amp;J$62&amp;"'!A2:E1000"), (INDIRECT("'"&amp;J$62&amp;"'!B2:B1000")=$B23) * (INDIRECT("'"&amp;J$62&amp;"'!C2:C1000")=$C23)
        ),
        5,
        FALSE
    )=0,
    "",
    VLOOKUP(
        $A23,
        _xlfn._xlws.FILTER(
            INDIRECT("'"&amp;J$62&amp;"'!A2:E1000"), (INDIRECT("'"&amp;J$62&amp;"'!B2:B1000")=$B23) * (INDIRECT("'"&amp;J$62&amp;"'!C2:C1000")=$C23)
        ),
        5,
        FALSE
    )
)</f>
        <v/>
      </c>
      <c r="K23" s="86">
        <f t="array" ref="K23">IF(
    VLOOKUP(
        $A23,
        _xlfn._xlws.FILTER(
            INDIRECT("'"&amp;K$62&amp;"'!A2:E1000"), (INDIRECT("'"&amp;K$62&amp;"'!B2:B1000")=$B23) * (INDIRECT("'"&amp;K$62&amp;"'!C2:C1000")=$C23)
        ),
        5,
        FALSE
    )=0,
    "",
    VLOOKUP(
        $A23,
        _xlfn._xlws.FILTER(
            INDIRECT("'"&amp;K$62&amp;"'!A2:E1000"), (INDIRECT("'"&amp;K$62&amp;"'!B2:B1000")=$B23) * (INDIRECT("'"&amp;K$62&amp;"'!C2:C1000")=$C23)
        ),
        5,
        FALSE
    )
)</f>
        <v/>
      </c>
      <c r="L23" s="86">
        <f t="array" ref="L23">IF(
    VLOOKUP(
        $A23,
        _xlfn._xlws.FILTER(
            INDIRECT("'"&amp;L$62&amp;"'!A2:E1000"), (INDIRECT("'"&amp;L$62&amp;"'!B2:B1000")=$B23) * (INDIRECT("'"&amp;L$62&amp;"'!C2:C1000")=$C23)
        ),
        5,
        FALSE
    )=0,
    "",
    VLOOKUP(
        $A23,
        _xlfn._xlws.FILTER(
            INDIRECT("'"&amp;L$62&amp;"'!A2:E1000"), (INDIRECT("'"&amp;L$62&amp;"'!B2:B1000")=$B23) * (INDIRECT("'"&amp;L$62&amp;"'!C2:C1000")=$C23)
        ),
        5,
        FALSE
    )
)</f>
        <v/>
      </c>
      <c r="M23" s="86">
        <f t="array" ref="M23">IF(
    VLOOKUP(
        $A23,
        _xlfn._xlws.FILTER(
            INDIRECT("'"&amp;M$62&amp;"'!A2:E1000"), (INDIRECT("'"&amp;M$62&amp;"'!B2:B1000")=$B23) * (INDIRECT("'"&amp;M$62&amp;"'!C2:C1000")=$C23)
        ),
        5,
        FALSE
    )=0,
    "",
    VLOOKUP(
        $A23,
        _xlfn._xlws.FILTER(
            INDIRECT("'"&amp;M$62&amp;"'!A2:E1000"), (INDIRECT("'"&amp;M$62&amp;"'!B2:B1000")=$B23) * (INDIRECT("'"&amp;M$62&amp;"'!C2:C1000")=$C23)
        ),
        5,
        FALSE
    )
)</f>
        <v/>
      </c>
      <c r="N23" s="86">
        <f t="array" ref="N23">IF(
    VLOOKUP(
        $A23,
        _xlfn._xlws.FILTER(
            INDIRECT("'"&amp;N$62&amp;"'!A2:E1000"), (INDIRECT("'"&amp;N$62&amp;"'!B2:B1000")=$B23) * (INDIRECT("'"&amp;N$62&amp;"'!C2:C1000")=$C23)
        ),
        5,
        FALSE
    )=0,
    "",
    VLOOKUP(
        $A23,
        _xlfn._xlws.FILTER(
            INDIRECT("'"&amp;N$62&amp;"'!A2:E1000"), (INDIRECT("'"&amp;N$62&amp;"'!B2:B1000")=$B23) * (INDIRECT("'"&amp;N$62&amp;"'!C2:C1000")=$C23)
        ),
        5,
        FALSE
    )
)</f>
        <v/>
      </c>
      <c r="O23" s="86">
        <f t="array" ref="O23">IF(
    VLOOKUP(
        $A23,
        _xlfn._xlws.FILTER(
            INDIRECT("'"&amp;O$62&amp;"'!A2:E1000"), (INDIRECT("'"&amp;O$62&amp;"'!B2:B1000")=$B23) * (INDIRECT("'"&amp;O$62&amp;"'!C2:C1000")=$C23)
        ),
        5,
        FALSE
    )=0,
    "",
    VLOOKUP(
        $A23,
        _xlfn._xlws.FILTER(
            INDIRECT("'"&amp;O$62&amp;"'!A2:E1000"), (INDIRECT("'"&amp;O$62&amp;"'!B2:B1000")=$B23) * (INDIRECT("'"&amp;O$62&amp;"'!C2:C1000")=$C23)
        ),
        5,
        FALSE
    )
)</f>
        <v/>
      </c>
    </row>
    <row r="24">
      <c r="A24" s="13" t="inlineStr">
        <is>
          <t>Francisco Beltrão</t>
        </is>
      </c>
      <c r="B24" s="58" t="inlineStr">
        <is>
          <t>Marmeleiro</t>
        </is>
      </c>
      <c r="C24" s="85" t="inlineStr">
        <is>
          <t>01</t>
        </is>
      </c>
      <c r="D24" s="86">
        <f t="array" ref="D24">IF(
    VLOOKUP(
        $A24,
        _xlfn._xlws.FILTER(
            INDIRECT("'"&amp;D$62&amp;"'!A2:E1000"), (INDIRECT("'"&amp;D$62&amp;"'!B2:B1000")=$B24) * (INDIRECT("'"&amp;D$62&amp;"'!C2:C1000")=$C24)
        ),
        5,
        FALSE
    )=0,
    "",
    VLOOKUP(
        $A24,
        _xlfn._xlws.FILTER(
            INDIRECT("'"&amp;D$62&amp;"'!A2:E1000"), (INDIRECT("'"&amp;D$62&amp;"'!B2:B1000")=$B24) * (INDIRECT("'"&amp;D$62&amp;"'!C2:C1000")=$C24)
        ),
        5,
        FALSE
    )
)</f>
        <v/>
      </c>
      <c r="E24" s="86">
        <f t="array" ref="E24">IF(
    VLOOKUP(
        $A24,
        _xlfn._xlws.FILTER(
            INDIRECT("'"&amp;E$62&amp;"'!A2:E1000"), (INDIRECT("'"&amp;E$62&amp;"'!B2:B1000")=$B24) * (INDIRECT("'"&amp;E$62&amp;"'!C2:C1000")=$C24)
        ),
        5,
        FALSE
    )=0,
    "",
    VLOOKUP(
        $A24,
        _xlfn._xlws.FILTER(
            INDIRECT("'"&amp;E$62&amp;"'!A2:E1000"), (INDIRECT("'"&amp;E$62&amp;"'!B2:B1000")=$B24) * (INDIRECT("'"&amp;E$62&amp;"'!C2:C1000")=$C24)
        ),
        5,
        FALSE
    )
)</f>
        <v/>
      </c>
      <c r="F24" s="86">
        <f t="array" ref="F24">IF(
    VLOOKUP(
        $A24,
        _xlfn._xlws.FILTER(
            INDIRECT("'"&amp;F$62&amp;"'!A2:E1000"), (INDIRECT("'"&amp;F$62&amp;"'!B2:B1000")=$B24) * (INDIRECT("'"&amp;F$62&amp;"'!C2:C1000")=$C24)
        ),
        5,
        FALSE
    )=0,
    "",
    VLOOKUP(
        $A24,
        _xlfn._xlws.FILTER(
            INDIRECT("'"&amp;F$62&amp;"'!A2:E1000"), (INDIRECT("'"&amp;F$62&amp;"'!B2:B1000")=$B24) * (INDIRECT("'"&amp;F$62&amp;"'!C2:C1000")=$C24)
        ),
        5,
        FALSE
    )
)</f>
        <v/>
      </c>
      <c r="G24" s="86">
        <f t="array" ref="G24">IF(
    VLOOKUP(
        $A24,
        _xlfn._xlws.FILTER(
            INDIRECT("'"&amp;G$62&amp;"'!A2:E1000"), (INDIRECT("'"&amp;G$62&amp;"'!B2:B1000")=$B24) * (INDIRECT("'"&amp;G$62&amp;"'!C2:C1000")=$C24)
        ),
        5,
        FALSE
    )=0,
    "",
    VLOOKUP(
        $A24,
        _xlfn._xlws.FILTER(
            INDIRECT("'"&amp;G$62&amp;"'!A2:E1000"), (INDIRECT("'"&amp;G$62&amp;"'!B2:B1000")=$B24) * (INDIRECT("'"&amp;G$62&amp;"'!C2:C1000")=$C24)
        ),
        5,
        FALSE
    )
)</f>
        <v/>
      </c>
      <c r="H24" s="86">
        <f t="array" ref="H24">IF(
    VLOOKUP(
        $A24,
        _xlfn._xlws.FILTER(
            INDIRECT("'"&amp;H$62&amp;"'!A2:E1000"), (INDIRECT("'"&amp;H$62&amp;"'!B2:B1000")=$B24) * (INDIRECT("'"&amp;H$62&amp;"'!C2:C1000")=$C24)
        ),
        5,
        FALSE
    )=0,
    "",
    VLOOKUP(
        $A24,
        _xlfn._xlws.FILTER(
            INDIRECT("'"&amp;H$62&amp;"'!A2:E1000"), (INDIRECT("'"&amp;H$62&amp;"'!B2:B1000")=$B24) * (INDIRECT("'"&amp;H$62&amp;"'!C2:C1000")=$C24)
        ),
        5,
        FALSE
    )
)</f>
        <v/>
      </c>
      <c r="I24" s="86">
        <f t="array" ref="I24">IF(
    VLOOKUP(
        $A24,
        _xlfn._xlws.FILTER(
            INDIRECT("'"&amp;I$62&amp;"'!A2:E1000"), (INDIRECT("'"&amp;I$62&amp;"'!B2:B1000")=$B24) * (INDIRECT("'"&amp;I$62&amp;"'!C2:C1000")=$C24)
        ),
        5,
        FALSE
    )=0,
    "",
    VLOOKUP(
        $A24,
        _xlfn._xlws.FILTER(
            INDIRECT("'"&amp;I$62&amp;"'!A2:E1000"), (INDIRECT("'"&amp;I$62&amp;"'!B2:B1000")=$B24) * (INDIRECT("'"&amp;I$62&amp;"'!C2:C1000")=$C24)
        ),
        5,
        FALSE
    )
)</f>
        <v/>
      </c>
      <c r="J24" s="86">
        <f t="array" ref="J24">IF(
    VLOOKUP(
        $A24,
        _xlfn._xlws.FILTER(
            INDIRECT("'"&amp;J$62&amp;"'!A2:E1000"), (INDIRECT("'"&amp;J$62&amp;"'!B2:B1000")=$B24) * (INDIRECT("'"&amp;J$62&amp;"'!C2:C1000")=$C24)
        ),
        5,
        FALSE
    )=0,
    "",
    VLOOKUP(
        $A24,
        _xlfn._xlws.FILTER(
            INDIRECT("'"&amp;J$62&amp;"'!A2:E1000"), (INDIRECT("'"&amp;J$62&amp;"'!B2:B1000")=$B24) * (INDIRECT("'"&amp;J$62&amp;"'!C2:C1000")=$C24)
        ),
        5,
        FALSE
    )
)</f>
        <v/>
      </c>
      <c r="K24" s="86">
        <f t="array" ref="K24">IF(
    VLOOKUP(
        $A24,
        _xlfn._xlws.FILTER(
            INDIRECT("'"&amp;K$62&amp;"'!A2:E1000"), (INDIRECT("'"&amp;K$62&amp;"'!B2:B1000")=$B24) * (INDIRECT("'"&amp;K$62&amp;"'!C2:C1000")=$C24)
        ),
        5,
        FALSE
    )=0,
    "",
    VLOOKUP(
        $A24,
        _xlfn._xlws.FILTER(
            INDIRECT("'"&amp;K$62&amp;"'!A2:E1000"), (INDIRECT("'"&amp;K$62&amp;"'!B2:B1000")=$B24) * (INDIRECT("'"&amp;K$62&amp;"'!C2:C1000")=$C24)
        ),
        5,
        FALSE
    )
)</f>
        <v/>
      </c>
      <c r="L24" s="86">
        <f t="array" ref="L24">IF(
    VLOOKUP(
        $A24,
        _xlfn._xlws.FILTER(
            INDIRECT("'"&amp;L$62&amp;"'!A2:E1000"), (INDIRECT("'"&amp;L$62&amp;"'!B2:B1000")=$B24) * (INDIRECT("'"&amp;L$62&amp;"'!C2:C1000")=$C24)
        ),
        5,
        FALSE
    )=0,
    "",
    VLOOKUP(
        $A24,
        _xlfn._xlws.FILTER(
            INDIRECT("'"&amp;L$62&amp;"'!A2:E1000"), (INDIRECT("'"&amp;L$62&amp;"'!B2:B1000")=$B24) * (INDIRECT("'"&amp;L$62&amp;"'!C2:C1000")=$C24)
        ),
        5,
        FALSE
    )
)</f>
        <v/>
      </c>
      <c r="M24" s="86">
        <f t="array" ref="M24">IF(
    VLOOKUP(
        $A24,
        _xlfn._xlws.FILTER(
            INDIRECT("'"&amp;M$62&amp;"'!A2:E1000"), (INDIRECT("'"&amp;M$62&amp;"'!B2:B1000")=$B24) * (INDIRECT("'"&amp;M$62&amp;"'!C2:C1000")=$C24)
        ),
        5,
        FALSE
    )=0,
    "",
    VLOOKUP(
        $A24,
        _xlfn._xlws.FILTER(
            INDIRECT("'"&amp;M$62&amp;"'!A2:E1000"), (INDIRECT("'"&amp;M$62&amp;"'!B2:B1000")=$B24) * (INDIRECT("'"&amp;M$62&amp;"'!C2:C1000")=$C24)
        ),
        5,
        FALSE
    )
)</f>
        <v/>
      </c>
      <c r="N24" s="86">
        <f t="array" ref="N24">IF(
    VLOOKUP(
        $A24,
        _xlfn._xlws.FILTER(
            INDIRECT("'"&amp;N$62&amp;"'!A2:E1000"), (INDIRECT("'"&amp;N$62&amp;"'!B2:B1000")=$B24) * (INDIRECT("'"&amp;N$62&amp;"'!C2:C1000")=$C24)
        ),
        5,
        FALSE
    )=0,
    "",
    VLOOKUP(
        $A24,
        _xlfn._xlws.FILTER(
            INDIRECT("'"&amp;N$62&amp;"'!A2:E1000"), (INDIRECT("'"&amp;N$62&amp;"'!B2:B1000")=$B24) * (INDIRECT("'"&amp;N$62&amp;"'!C2:C1000")=$C24)
        ),
        5,
        FALSE
    )
)</f>
        <v/>
      </c>
      <c r="O24" s="86">
        <f t="array" ref="O24">IF(
    VLOOKUP(
        $A24,
        _xlfn._xlws.FILTER(
            INDIRECT("'"&amp;O$62&amp;"'!A2:E1000"), (INDIRECT("'"&amp;O$62&amp;"'!B2:B1000")=$B24) * (INDIRECT("'"&amp;O$62&amp;"'!C2:C1000")=$C24)
        ),
        5,
        FALSE
    )=0,
    "",
    VLOOKUP(
        $A24,
        _xlfn._xlws.FILTER(
            INDIRECT("'"&amp;O$62&amp;"'!A2:E1000"), (INDIRECT("'"&amp;O$62&amp;"'!B2:B1000")=$B24) * (INDIRECT("'"&amp;O$62&amp;"'!C2:C1000")=$C24)
        ),
        5,
        FALSE
    )
)</f>
        <v/>
      </c>
    </row>
    <row r="25">
      <c r="A25" s="13" t="inlineStr">
        <is>
          <t>Francisco Beltrão</t>
        </is>
      </c>
      <c r="B25" s="58" t="inlineStr">
        <is>
          <t>Realeza</t>
        </is>
      </c>
      <c r="C25" s="85" t="inlineStr">
        <is>
          <t>01</t>
        </is>
      </c>
      <c r="D25" s="86">
        <f t="array" ref="D25">IF(
    VLOOKUP(
        $A25,
        _xlfn._xlws.FILTER(
            INDIRECT("'"&amp;D$62&amp;"'!A2:E1000"), (INDIRECT("'"&amp;D$62&amp;"'!B2:B1000")=$B25) * (INDIRECT("'"&amp;D$62&amp;"'!C2:C1000")=$C25)
        ),
        5,
        FALSE
    )=0,
    "",
    VLOOKUP(
        $A25,
        _xlfn._xlws.FILTER(
            INDIRECT("'"&amp;D$62&amp;"'!A2:E1000"), (INDIRECT("'"&amp;D$62&amp;"'!B2:B1000")=$B25) * (INDIRECT("'"&amp;D$62&amp;"'!C2:C1000")=$C25)
        ),
        5,
        FALSE
    )
)</f>
        <v/>
      </c>
      <c r="E25" s="86">
        <f t="array" ref="E25">IF(
    VLOOKUP(
        $A25,
        _xlfn._xlws.FILTER(
            INDIRECT("'"&amp;E$62&amp;"'!A2:E1000"), (INDIRECT("'"&amp;E$62&amp;"'!B2:B1000")=$B25) * (INDIRECT("'"&amp;E$62&amp;"'!C2:C1000")=$C25)
        ),
        5,
        FALSE
    )=0,
    "",
    VLOOKUP(
        $A25,
        _xlfn._xlws.FILTER(
            INDIRECT("'"&amp;E$62&amp;"'!A2:E1000"), (INDIRECT("'"&amp;E$62&amp;"'!B2:B1000")=$B25) * (INDIRECT("'"&amp;E$62&amp;"'!C2:C1000")=$C25)
        ),
        5,
        FALSE
    )
)</f>
        <v/>
      </c>
      <c r="F25" s="86">
        <f t="array" ref="F25">IF(
    VLOOKUP(
        $A25,
        _xlfn._xlws.FILTER(
            INDIRECT("'"&amp;F$62&amp;"'!A2:E1000"), (INDIRECT("'"&amp;F$62&amp;"'!B2:B1000")=$B25) * (INDIRECT("'"&amp;F$62&amp;"'!C2:C1000")=$C25)
        ),
        5,
        FALSE
    )=0,
    "",
    VLOOKUP(
        $A25,
        _xlfn._xlws.FILTER(
            INDIRECT("'"&amp;F$62&amp;"'!A2:E1000"), (INDIRECT("'"&amp;F$62&amp;"'!B2:B1000")=$B25) * (INDIRECT("'"&amp;F$62&amp;"'!C2:C1000")=$C25)
        ),
        5,
        FALSE
    )
)</f>
        <v/>
      </c>
      <c r="G25" s="86">
        <f t="array" ref="G25">IF(
    VLOOKUP(
        $A25,
        _xlfn._xlws.FILTER(
            INDIRECT("'"&amp;G$62&amp;"'!A2:E1000"), (INDIRECT("'"&amp;G$62&amp;"'!B2:B1000")=$B25) * (INDIRECT("'"&amp;G$62&amp;"'!C2:C1000")=$C25)
        ),
        5,
        FALSE
    )=0,
    "",
    VLOOKUP(
        $A25,
        _xlfn._xlws.FILTER(
            INDIRECT("'"&amp;G$62&amp;"'!A2:E1000"), (INDIRECT("'"&amp;G$62&amp;"'!B2:B1000")=$B25) * (INDIRECT("'"&amp;G$62&amp;"'!C2:C1000")=$C25)
        ),
        5,
        FALSE
    )
)</f>
        <v/>
      </c>
      <c r="H25" s="86">
        <f t="array" ref="H25">IF(
    VLOOKUP(
        $A25,
        _xlfn._xlws.FILTER(
            INDIRECT("'"&amp;H$62&amp;"'!A2:E1000"), (INDIRECT("'"&amp;H$62&amp;"'!B2:B1000")=$B25) * (INDIRECT("'"&amp;H$62&amp;"'!C2:C1000")=$C25)
        ),
        5,
        FALSE
    )=0,
    "",
    VLOOKUP(
        $A25,
        _xlfn._xlws.FILTER(
            INDIRECT("'"&amp;H$62&amp;"'!A2:E1000"), (INDIRECT("'"&amp;H$62&amp;"'!B2:B1000")=$B25) * (INDIRECT("'"&amp;H$62&amp;"'!C2:C1000")=$C25)
        ),
        5,
        FALSE
    )
)</f>
        <v/>
      </c>
      <c r="I25" s="86">
        <f t="array" ref="I25">IF(
    VLOOKUP(
        $A25,
        _xlfn._xlws.FILTER(
            INDIRECT("'"&amp;I$62&amp;"'!A2:E1000"), (INDIRECT("'"&amp;I$62&amp;"'!B2:B1000")=$B25) * (INDIRECT("'"&amp;I$62&amp;"'!C2:C1000")=$C25)
        ),
        5,
        FALSE
    )=0,
    "",
    VLOOKUP(
        $A25,
        _xlfn._xlws.FILTER(
            INDIRECT("'"&amp;I$62&amp;"'!A2:E1000"), (INDIRECT("'"&amp;I$62&amp;"'!B2:B1000")=$B25) * (INDIRECT("'"&amp;I$62&amp;"'!C2:C1000")=$C25)
        ),
        5,
        FALSE
    )
)</f>
        <v/>
      </c>
      <c r="J25" s="86">
        <f t="array" ref="J25">IF(
    VLOOKUP(
        $A25,
        _xlfn._xlws.FILTER(
            INDIRECT("'"&amp;J$62&amp;"'!A2:E1000"), (INDIRECT("'"&amp;J$62&amp;"'!B2:B1000")=$B25) * (INDIRECT("'"&amp;J$62&amp;"'!C2:C1000")=$C25)
        ),
        5,
        FALSE
    )=0,
    "",
    VLOOKUP(
        $A25,
        _xlfn._xlws.FILTER(
            INDIRECT("'"&amp;J$62&amp;"'!A2:E1000"), (INDIRECT("'"&amp;J$62&amp;"'!B2:B1000")=$B25) * (INDIRECT("'"&amp;J$62&amp;"'!C2:C1000")=$C25)
        ),
        5,
        FALSE
    )
)</f>
        <v/>
      </c>
      <c r="K25" s="86">
        <f t="array" ref="K25">IF(
    VLOOKUP(
        $A25,
        _xlfn._xlws.FILTER(
            INDIRECT("'"&amp;K$62&amp;"'!A2:E1000"), (INDIRECT("'"&amp;K$62&amp;"'!B2:B1000")=$B25) * (INDIRECT("'"&amp;K$62&amp;"'!C2:C1000")=$C25)
        ),
        5,
        FALSE
    )=0,
    "",
    VLOOKUP(
        $A25,
        _xlfn._xlws.FILTER(
            INDIRECT("'"&amp;K$62&amp;"'!A2:E1000"), (INDIRECT("'"&amp;K$62&amp;"'!B2:B1000")=$B25) * (INDIRECT("'"&amp;K$62&amp;"'!C2:C1000")=$C25)
        ),
        5,
        FALSE
    )
)</f>
        <v/>
      </c>
      <c r="L25" s="86">
        <f t="array" ref="L25">IF(
    VLOOKUP(
        $A25,
        _xlfn._xlws.FILTER(
            INDIRECT("'"&amp;L$62&amp;"'!A2:E1000"), (INDIRECT("'"&amp;L$62&amp;"'!B2:B1000")=$B25) * (INDIRECT("'"&amp;L$62&amp;"'!C2:C1000")=$C25)
        ),
        5,
        FALSE
    )=0,
    "",
    VLOOKUP(
        $A25,
        _xlfn._xlws.FILTER(
            INDIRECT("'"&amp;L$62&amp;"'!A2:E1000"), (INDIRECT("'"&amp;L$62&amp;"'!B2:B1000")=$B25) * (INDIRECT("'"&amp;L$62&amp;"'!C2:C1000")=$C25)
        ),
        5,
        FALSE
    )
)</f>
        <v/>
      </c>
      <c r="M25" s="86">
        <f t="array" ref="M25">IF(
    VLOOKUP(
        $A25,
        _xlfn._xlws.FILTER(
            INDIRECT("'"&amp;M$62&amp;"'!A2:E1000"), (INDIRECT("'"&amp;M$62&amp;"'!B2:B1000")=$B25) * (INDIRECT("'"&amp;M$62&amp;"'!C2:C1000")=$C25)
        ),
        5,
        FALSE
    )=0,
    "",
    VLOOKUP(
        $A25,
        _xlfn._xlws.FILTER(
            INDIRECT("'"&amp;M$62&amp;"'!A2:E1000"), (INDIRECT("'"&amp;M$62&amp;"'!B2:B1000")=$B25) * (INDIRECT("'"&amp;M$62&amp;"'!C2:C1000")=$C25)
        ),
        5,
        FALSE
    )
)</f>
        <v/>
      </c>
      <c r="N25" s="86">
        <f t="array" ref="N25">IF(
    VLOOKUP(
        $A25,
        _xlfn._xlws.FILTER(
            INDIRECT("'"&amp;N$62&amp;"'!A2:E1000"), (INDIRECT("'"&amp;N$62&amp;"'!B2:B1000")=$B25) * (INDIRECT("'"&amp;N$62&amp;"'!C2:C1000")=$C25)
        ),
        5,
        FALSE
    )=0,
    "",
    VLOOKUP(
        $A25,
        _xlfn._xlws.FILTER(
            INDIRECT("'"&amp;N$62&amp;"'!A2:E1000"), (INDIRECT("'"&amp;N$62&amp;"'!B2:B1000")=$B25) * (INDIRECT("'"&amp;N$62&amp;"'!C2:C1000")=$C25)
        ),
        5,
        FALSE
    )
)</f>
        <v/>
      </c>
      <c r="O25" s="86">
        <f t="array" ref="O25">IF(
    VLOOKUP(
        $A25,
        _xlfn._xlws.FILTER(
            INDIRECT("'"&amp;O$62&amp;"'!A2:E1000"), (INDIRECT("'"&amp;O$62&amp;"'!B2:B1000")=$B25) * (INDIRECT("'"&amp;O$62&amp;"'!C2:C1000")=$C25)
        ),
        5,
        FALSE
    )=0,
    "",
    VLOOKUP(
        $A25,
        _xlfn._xlws.FILTER(
            INDIRECT("'"&amp;O$62&amp;"'!A2:E1000"), (INDIRECT("'"&amp;O$62&amp;"'!B2:B1000")=$B25) * (INDIRECT("'"&amp;O$62&amp;"'!C2:C1000")=$C25)
        ),
        5,
        FALSE
    )
)</f>
        <v/>
      </c>
    </row>
    <row r="26">
      <c r="A26" s="13" t="inlineStr">
        <is>
          <t>Francisco Beltrão</t>
        </is>
      </c>
      <c r="B26" s="58" t="inlineStr">
        <is>
          <t>Salgado Filho</t>
        </is>
      </c>
      <c r="C26" s="85" t="inlineStr">
        <is>
          <t>01</t>
        </is>
      </c>
      <c r="D26" s="86">
        <f t="array" ref="D26">IF(
    VLOOKUP(
        $A26,
        _xlfn._xlws.FILTER(
            INDIRECT("'"&amp;D$62&amp;"'!A2:E1000"), (INDIRECT("'"&amp;D$62&amp;"'!B2:B1000")=$B26) * (INDIRECT("'"&amp;D$62&amp;"'!C2:C1000")=$C26)
        ),
        5,
        FALSE
    )=0,
    "",
    VLOOKUP(
        $A26,
        _xlfn._xlws.FILTER(
            INDIRECT("'"&amp;D$62&amp;"'!A2:E1000"), (INDIRECT("'"&amp;D$62&amp;"'!B2:B1000")=$B26) * (INDIRECT("'"&amp;D$62&amp;"'!C2:C1000")=$C26)
        ),
        5,
        FALSE
    )
)</f>
        <v/>
      </c>
      <c r="E26" s="86">
        <f t="array" ref="E26">IF(
    VLOOKUP(
        $A26,
        _xlfn._xlws.FILTER(
            INDIRECT("'"&amp;E$62&amp;"'!A2:E1000"), (INDIRECT("'"&amp;E$62&amp;"'!B2:B1000")=$B26) * (INDIRECT("'"&amp;E$62&amp;"'!C2:C1000")=$C26)
        ),
        5,
        FALSE
    )=0,
    "",
    VLOOKUP(
        $A26,
        _xlfn._xlws.FILTER(
            INDIRECT("'"&amp;E$62&amp;"'!A2:E1000"), (INDIRECT("'"&amp;E$62&amp;"'!B2:B1000")=$B26) * (INDIRECT("'"&amp;E$62&amp;"'!C2:C1000")=$C26)
        ),
        5,
        FALSE
    )
)</f>
        <v/>
      </c>
      <c r="F26" s="86">
        <f t="array" ref="F26">IF(
    VLOOKUP(
        $A26,
        _xlfn._xlws.FILTER(
            INDIRECT("'"&amp;F$62&amp;"'!A2:E1000"), (INDIRECT("'"&amp;F$62&amp;"'!B2:B1000")=$B26) * (INDIRECT("'"&amp;F$62&amp;"'!C2:C1000")=$C26)
        ),
        5,
        FALSE
    )=0,
    "",
    VLOOKUP(
        $A26,
        _xlfn._xlws.FILTER(
            INDIRECT("'"&amp;F$62&amp;"'!A2:E1000"), (INDIRECT("'"&amp;F$62&amp;"'!B2:B1000")=$B26) * (INDIRECT("'"&amp;F$62&amp;"'!C2:C1000")=$C26)
        ),
        5,
        FALSE
    )
)</f>
        <v/>
      </c>
      <c r="G26" s="86">
        <f t="array" ref="G26">IF(
    VLOOKUP(
        $A26,
        _xlfn._xlws.FILTER(
            INDIRECT("'"&amp;G$62&amp;"'!A2:E1000"), (INDIRECT("'"&amp;G$62&amp;"'!B2:B1000")=$B26) * (INDIRECT("'"&amp;G$62&amp;"'!C2:C1000")=$C26)
        ),
        5,
        FALSE
    )=0,
    "",
    VLOOKUP(
        $A26,
        _xlfn._xlws.FILTER(
            INDIRECT("'"&amp;G$62&amp;"'!A2:E1000"), (INDIRECT("'"&amp;G$62&amp;"'!B2:B1000")=$B26) * (INDIRECT("'"&amp;G$62&amp;"'!C2:C1000")=$C26)
        ),
        5,
        FALSE
    )
)</f>
        <v/>
      </c>
      <c r="H26" s="86">
        <f t="array" ref="H26">IF(
    VLOOKUP(
        $A26,
        _xlfn._xlws.FILTER(
            INDIRECT("'"&amp;H$62&amp;"'!A2:E1000"), (INDIRECT("'"&amp;H$62&amp;"'!B2:B1000")=$B26) * (INDIRECT("'"&amp;H$62&amp;"'!C2:C1000")=$C26)
        ),
        5,
        FALSE
    )=0,
    "",
    VLOOKUP(
        $A26,
        _xlfn._xlws.FILTER(
            INDIRECT("'"&amp;H$62&amp;"'!A2:E1000"), (INDIRECT("'"&amp;H$62&amp;"'!B2:B1000")=$B26) * (INDIRECT("'"&amp;H$62&amp;"'!C2:C1000")=$C26)
        ),
        5,
        FALSE
    )
)</f>
        <v/>
      </c>
      <c r="I26" s="86">
        <f t="array" ref="I26">IF(
    VLOOKUP(
        $A26,
        _xlfn._xlws.FILTER(
            INDIRECT("'"&amp;I$62&amp;"'!A2:E1000"), (INDIRECT("'"&amp;I$62&amp;"'!B2:B1000")=$B26) * (INDIRECT("'"&amp;I$62&amp;"'!C2:C1000")=$C26)
        ),
        5,
        FALSE
    )=0,
    "",
    VLOOKUP(
        $A26,
        _xlfn._xlws.FILTER(
            INDIRECT("'"&amp;I$62&amp;"'!A2:E1000"), (INDIRECT("'"&amp;I$62&amp;"'!B2:B1000")=$B26) * (INDIRECT("'"&amp;I$62&amp;"'!C2:C1000")=$C26)
        ),
        5,
        FALSE
    )
)</f>
        <v/>
      </c>
      <c r="J26" s="86">
        <f t="array" ref="J26">IF(
    VLOOKUP(
        $A26,
        _xlfn._xlws.FILTER(
            INDIRECT("'"&amp;J$62&amp;"'!A2:E1000"), (INDIRECT("'"&amp;J$62&amp;"'!B2:B1000")=$B26) * (INDIRECT("'"&amp;J$62&amp;"'!C2:C1000")=$C26)
        ),
        5,
        FALSE
    )=0,
    "",
    VLOOKUP(
        $A26,
        _xlfn._xlws.FILTER(
            INDIRECT("'"&amp;J$62&amp;"'!A2:E1000"), (INDIRECT("'"&amp;J$62&amp;"'!B2:B1000")=$B26) * (INDIRECT("'"&amp;J$62&amp;"'!C2:C1000")=$C26)
        ),
        5,
        FALSE
    )
)</f>
        <v/>
      </c>
      <c r="K26" s="86">
        <f t="array" ref="K26">IF(
    VLOOKUP(
        $A26,
        _xlfn._xlws.FILTER(
            INDIRECT("'"&amp;K$62&amp;"'!A2:E1000"), (INDIRECT("'"&amp;K$62&amp;"'!B2:B1000")=$B26) * (INDIRECT("'"&amp;K$62&amp;"'!C2:C1000")=$C26)
        ),
        5,
        FALSE
    )=0,
    "",
    VLOOKUP(
        $A26,
        _xlfn._xlws.FILTER(
            INDIRECT("'"&amp;K$62&amp;"'!A2:E1000"), (INDIRECT("'"&amp;K$62&amp;"'!B2:B1000")=$B26) * (INDIRECT("'"&amp;K$62&amp;"'!C2:C1000")=$C26)
        ),
        5,
        FALSE
    )
)</f>
        <v/>
      </c>
      <c r="L26" s="86">
        <f t="array" ref="L26">IF(
    VLOOKUP(
        $A26,
        _xlfn._xlws.FILTER(
            INDIRECT("'"&amp;L$62&amp;"'!A2:E1000"), (INDIRECT("'"&amp;L$62&amp;"'!B2:B1000")=$B26) * (INDIRECT("'"&amp;L$62&amp;"'!C2:C1000")=$C26)
        ),
        5,
        FALSE
    )=0,
    "",
    VLOOKUP(
        $A26,
        _xlfn._xlws.FILTER(
            INDIRECT("'"&amp;L$62&amp;"'!A2:E1000"), (INDIRECT("'"&amp;L$62&amp;"'!B2:B1000")=$B26) * (INDIRECT("'"&amp;L$62&amp;"'!C2:C1000")=$C26)
        ),
        5,
        FALSE
    )
)</f>
        <v/>
      </c>
      <c r="M26" s="86">
        <f t="array" ref="M26">IF(
    VLOOKUP(
        $A26,
        _xlfn._xlws.FILTER(
            INDIRECT("'"&amp;M$62&amp;"'!A2:E1000"), (INDIRECT("'"&amp;M$62&amp;"'!B2:B1000")=$B26) * (INDIRECT("'"&amp;M$62&amp;"'!C2:C1000")=$C26)
        ),
        5,
        FALSE
    )=0,
    "",
    VLOOKUP(
        $A26,
        _xlfn._xlws.FILTER(
            INDIRECT("'"&amp;M$62&amp;"'!A2:E1000"), (INDIRECT("'"&amp;M$62&amp;"'!B2:B1000")=$B26) * (INDIRECT("'"&amp;M$62&amp;"'!C2:C1000")=$C26)
        ),
        5,
        FALSE
    )
)</f>
        <v/>
      </c>
      <c r="N26" s="86">
        <f t="array" ref="N26">IF(
    VLOOKUP(
        $A26,
        _xlfn._xlws.FILTER(
            INDIRECT("'"&amp;N$62&amp;"'!A2:E1000"), (INDIRECT("'"&amp;N$62&amp;"'!B2:B1000")=$B26) * (INDIRECT("'"&amp;N$62&amp;"'!C2:C1000")=$C26)
        ),
        5,
        FALSE
    )=0,
    "",
    VLOOKUP(
        $A26,
        _xlfn._xlws.FILTER(
            INDIRECT("'"&amp;N$62&amp;"'!A2:E1000"), (INDIRECT("'"&amp;N$62&amp;"'!B2:B1000")=$B26) * (INDIRECT("'"&amp;N$62&amp;"'!C2:C1000")=$C26)
        ),
        5,
        FALSE
    )
)</f>
        <v/>
      </c>
      <c r="O26" s="86">
        <f t="array" ref="O26">IF(
    VLOOKUP(
        $A26,
        _xlfn._xlws.FILTER(
            INDIRECT("'"&amp;O$62&amp;"'!A2:E1000"), (INDIRECT("'"&amp;O$62&amp;"'!B2:B1000")=$B26) * (INDIRECT("'"&amp;O$62&amp;"'!C2:C1000")=$C26)
        ),
        5,
        FALSE
    )=0,
    "",
    VLOOKUP(
        $A26,
        _xlfn._xlws.FILTER(
            INDIRECT("'"&amp;O$62&amp;"'!A2:E1000"), (INDIRECT("'"&amp;O$62&amp;"'!B2:B1000")=$B26) * (INDIRECT("'"&amp;O$62&amp;"'!C2:C1000")=$C26)
        ),
        5,
        FALSE
    )
)</f>
        <v/>
      </c>
    </row>
    <row r="27" ht="15.75" customHeight="1">
      <c r="A27" s="76" t="n"/>
      <c r="B27" s="76" t="n"/>
      <c r="C27" s="76" t="n"/>
    </row>
    <row r="28" ht="15.75" customHeight="1">
      <c r="A28" s="19" t="inlineStr">
        <is>
          <t>Juliane</t>
        </is>
      </c>
      <c r="B28" s="84" t="inlineStr">
        <is>
          <t>Municípios</t>
        </is>
      </c>
      <c r="C28" s="84" t="inlineStr">
        <is>
          <t>UVR</t>
        </is>
      </c>
      <c r="D28" s="4" t="inlineStr">
        <is>
          <t>01.25</t>
        </is>
      </c>
      <c r="E28" s="4" t="inlineStr">
        <is>
          <t>02.25</t>
        </is>
      </c>
      <c r="F28" s="4" t="inlineStr">
        <is>
          <t>03.25</t>
        </is>
      </c>
      <c r="G28" s="4" t="inlineStr">
        <is>
          <t>04.25</t>
        </is>
      </c>
      <c r="H28" s="4" t="inlineStr">
        <is>
          <t>05.25</t>
        </is>
      </c>
      <c r="I28" s="4" t="inlineStr">
        <is>
          <t>06.25</t>
        </is>
      </c>
      <c r="J28" s="4" t="inlineStr">
        <is>
          <t>07.25</t>
        </is>
      </c>
      <c r="K28" s="4" t="inlineStr">
        <is>
          <t>08.25</t>
        </is>
      </c>
      <c r="L28" s="4" t="inlineStr">
        <is>
          <t>09.25</t>
        </is>
      </c>
      <c r="M28" s="4" t="inlineStr">
        <is>
          <t>10.25</t>
        </is>
      </c>
      <c r="N28" s="4" t="inlineStr">
        <is>
          <t>11.25</t>
        </is>
      </c>
      <c r="O28" s="4" t="inlineStr">
        <is>
          <t>12.25</t>
        </is>
      </c>
    </row>
    <row r="29">
      <c r="A29" s="18" t="inlineStr">
        <is>
          <t>Guarapuava I</t>
        </is>
      </c>
      <c r="B29" s="58" t="inlineStr">
        <is>
          <t>General Carneiro</t>
        </is>
      </c>
      <c r="C29" s="85" t="inlineStr">
        <is>
          <t>01</t>
        </is>
      </c>
      <c r="D29" s="86">
        <f t="array" ref="D29">IF(
    VLOOKUP(
        $A29,
        _xlfn._xlws.FILTER(
            INDIRECT("'"&amp;D$62&amp;"'!A2:E1000"), (INDIRECT("'"&amp;D$62&amp;"'!B2:B1000")=$B29) * (INDIRECT("'"&amp;D$62&amp;"'!C2:C1000")=$C29)
        ),
        5,
        FALSE
    )=0,
    "",
    VLOOKUP(
        $A29,
        _xlfn._xlws.FILTER(
            INDIRECT("'"&amp;D$62&amp;"'!A2:E1000"), (INDIRECT("'"&amp;D$62&amp;"'!B2:B1000")=$B29) * (INDIRECT("'"&amp;D$62&amp;"'!C2:C1000")=$C29)
        ),
        5,
        FALSE
    )
)</f>
        <v/>
      </c>
      <c r="E29" s="86">
        <f t="array" ref="E29">IF(
    VLOOKUP(
        $A29,
        _xlfn._xlws.FILTER(
            INDIRECT("'"&amp;E$62&amp;"'!A2:E1000"), (INDIRECT("'"&amp;E$62&amp;"'!B2:B1000")=$B29) * (INDIRECT("'"&amp;E$62&amp;"'!C2:C1000")=$C29)
        ),
        5,
        FALSE
    )=0,
    "",
    VLOOKUP(
        $A29,
        _xlfn._xlws.FILTER(
            INDIRECT("'"&amp;E$62&amp;"'!A2:E1000"), (INDIRECT("'"&amp;E$62&amp;"'!B2:B1000")=$B29) * (INDIRECT("'"&amp;E$62&amp;"'!C2:C1000")=$C29)
        ),
        5,
        FALSE
    )
)</f>
        <v/>
      </c>
      <c r="F29" s="86">
        <f t="array" ref="F29">IF(
    VLOOKUP(
        $A29,
        _xlfn._xlws.FILTER(
            INDIRECT("'"&amp;F$62&amp;"'!A2:E1000"), (INDIRECT("'"&amp;F$62&amp;"'!B2:B1000")=$B29) * (INDIRECT("'"&amp;F$62&amp;"'!C2:C1000")=$C29)
        ),
        5,
        FALSE
    )=0,
    "",
    VLOOKUP(
        $A29,
        _xlfn._xlws.FILTER(
            INDIRECT("'"&amp;F$62&amp;"'!A2:E1000"), (INDIRECT("'"&amp;F$62&amp;"'!B2:B1000")=$B29) * (INDIRECT("'"&amp;F$62&amp;"'!C2:C1000")=$C29)
        ),
        5,
        FALSE
    )
)</f>
        <v/>
      </c>
      <c r="G29" s="86">
        <f t="array" ref="G29">IF(
    VLOOKUP(
        $A29,
        _xlfn._xlws.FILTER(
            INDIRECT("'"&amp;G$62&amp;"'!A2:E1000"), (INDIRECT("'"&amp;G$62&amp;"'!B2:B1000")=$B29) * (INDIRECT("'"&amp;G$62&amp;"'!C2:C1000")=$C29)
        ),
        5,
        FALSE
    )=0,
    "",
    VLOOKUP(
        $A29,
        _xlfn._xlws.FILTER(
            INDIRECT("'"&amp;G$62&amp;"'!A2:E1000"), (INDIRECT("'"&amp;G$62&amp;"'!B2:B1000")=$B29) * (INDIRECT("'"&amp;G$62&amp;"'!C2:C1000")=$C29)
        ),
        5,
        FALSE
    )
)</f>
        <v/>
      </c>
      <c r="H29" s="86">
        <f t="array" ref="H29">IF(
    VLOOKUP(
        $A29,
        _xlfn._xlws.FILTER(
            INDIRECT("'"&amp;H$62&amp;"'!A2:E1000"), (INDIRECT("'"&amp;H$62&amp;"'!B2:B1000")=$B29) * (INDIRECT("'"&amp;H$62&amp;"'!C2:C1000")=$C29)
        ),
        5,
        FALSE
    )=0,
    "",
    VLOOKUP(
        $A29,
        _xlfn._xlws.FILTER(
            INDIRECT("'"&amp;H$62&amp;"'!A2:E1000"), (INDIRECT("'"&amp;H$62&amp;"'!B2:B1000")=$B29) * (INDIRECT("'"&amp;H$62&amp;"'!C2:C1000")=$C29)
        ),
        5,
        FALSE
    )
)</f>
        <v/>
      </c>
      <c r="I29" s="86">
        <f t="array" ref="I29">IF(
    VLOOKUP(
        $A29,
        _xlfn._xlws.FILTER(
            INDIRECT("'"&amp;I$62&amp;"'!A2:E1000"), (INDIRECT("'"&amp;I$62&amp;"'!B2:B1000")=$B29) * (INDIRECT("'"&amp;I$62&amp;"'!C2:C1000")=$C29)
        ),
        5,
        FALSE
    )=0,
    "",
    VLOOKUP(
        $A29,
        _xlfn._xlws.FILTER(
            INDIRECT("'"&amp;I$62&amp;"'!A2:E1000"), (INDIRECT("'"&amp;I$62&amp;"'!B2:B1000")=$B29) * (INDIRECT("'"&amp;I$62&amp;"'!C2:C1000")=$C29)
        ),
        5,
        FALSE
    )
)</f>
        <v/>
      </c>
      <c r="J29" s="86">
        <f t="array" ref="J29">IF(
    VLOOKUP(
        $A29,
        _xlfn._xlws.FILTER(
            INDIRECT("'"&amp;J$62&amp;"'!A2:E1000"), (INDIRECT("'"&amp;J$62&amp;"'!B2:B1000")=$B29) * (INDIRECT("'"&amp;J$62&amp;"'!C2:C1000")=$C29)
        ),
        5,
        FALSE
    )=0,
    "",
    VLOOKUP(
        $A29,
        _xlfn._xlws.FILTER(
            INDIRECT("'"&amp;J$62&amp;"'!A2:E1000"), (INDIRECT("'"&amp;J$62&amp;"'!B2:B1000")=$B29) * (INDIRECT("'"&amp;J$62&amp;"'!C2:C1000")=$C29)
        ),
        5,
        FALSE
    )
)</f>
        <v/>
      </c>
      <c r="K29" s="86">
        <f t="array" ref="K29">IF(
    VLOOKUP(
        $A29,
        _xlfn._xlws.FILTER(
            INDIRECT("'"&amp;K$62&amp;"'!A2:E1000"), (INDIRECT("'"&amp;K$62&amp;"'!B2:B1000")=$B29) * (INDIRECT("'"&amp;K$62&amp;"'!C2:C1000")=$C29)
        ),
        5,
        FALSE
    )=0,
    "",
    VLOOKUP(
        $A29,
        _xlfn._xlws.FILTER(
            INDIRECT("'"&amp;K$62&amp;"'!A2:E1000"), (INDIRECT("'"&amp;K$62&amp;"'!B2:B1000")=$B29) * (INDIRECT("'"&amp;K$62&amp;"'!C2:C1000")=$C29)
        ),
        5,
        FALSE
    )
)</f>
        <v/>
      </c>
      <c r="L29" s="86">
        <f t="array" ref="L29">IF(
    VLOOKUP(
        $A29,
        _xlfn._xlws.FILTER(
            INDIRECT("'"&amp;L$62&amp;"'!A2:E1000"), (INDIRECT("'"&amp;L$62&amp;"'!B2:B1000")=$B29) * (INDIRECT("'"&amp;L$62&amp;"'!C2:C1000")=$C29)
        ),
        5,
        FALSE
    )=0,
    "",
    VLOOKUP(
        $A29,
        _xlfn._xlws.FILTER(
            INDIRECT("'"&amp;L$62&amp;"'!A2:E1000"), (INDIRECT("'"&amp;L$62&amp;"'!B2:B1000")=$B29) * (INDIRECT("'"&amp;L$62&amp;"'!C2:C1000")=$C29)
        ),
        5,
        FALSE
    )
)</f>
        <v/>
      </c>
      <c r="M29" s="86">
        <f t="array" ref="M29">IF(
    VLOOKUP(
        $A29,
        _xlfn._xlws.FILTER(
            INDIRECT("'"&amp;M$62&amp;"'!A2:E1000"), (INDIRECT("'"&amp;M$62&amp;"'!B2:B1000")=$B29) * (INDIRECT("'"&amp;M$62&amp;"'!C2:C1000")=$C29)
        ),
        5,
        FALSE
    )=0,
    "",
    VLOOKUP(
        $A29,
        _xlfn._xlws.FILTER(
            INDIRECT("'"&amp;M$62&amp;"'!A2:E1000"), (INDIRECT("'"&amp;M$62&amp;"'!B2:B1000")=$B29) * (INDIRECT("'"&amp;M$62&amp;"'!C2:C1000")=$C29)
        ),
        5,
        FALSE
    )
)</f>
        <v/>
      </c>
      <c r="N29" s="86">
        <f t="array" ref="N29">IF(
    VLOOKUP(
        $A29,
        _xlfn._xlws.FILTER(
            INDIRECT("'"&amp;N$62&amp;"'!A2:E1000"), (INDIRECT("'"&amp;N$62&amp;"'!B2:B1000")=$B29) * (INDIRECT("'"&amp;N$62&amp;"'!C2:C1000")=$C29)
        ),
        5,
        FALSE
    )=0,
    "",
    VLOOKUP(
        $A29,
        _xlfn._xlws.FILTER(
            INDIRECT("'"&amp;N$62&amp;"'!A2:E1000"), (INDIRECT("'"&amp;N$62&amp;"'!B2:B1000")=$B29) * (INDIRECT("'"&amp;N$62&amp;"'!C2:C1000")=$C29)
        ),
        5,
        FALSE
    )
)</f>
        <v/>
      </c>
      <c r="O29" s="86">
        <f t="array" ref="O29">IF(
    VLOOKUP(
        $A29,
        _xlfn._xlws.FILTER(
            INDIRECT("'"&amp;O$62&amp;"'!A2:E1000"), (INDIRECT("'"&amp;O$62&amp;"'!B2:B1000")=$B29) * (INDIRECT("'"&amp;O$62&amp;"'!C2:C1000")=$C29)
        ),
        5,
        FALSE
    )=0,
    "",
    VLOOKUP(
        $A29,
        _xlfn._xlws.FILTER(
            INDIRECT("'"&amp;O$62&amp;"'!A2:E1000"), (INDIRECT("'"&amp;O$62&amp;"'!B2:B1000")=$B29) * (INDIRECT("'"&amp;O$62&amp;"'!C2:C1000")=$C29)
        ),
        5,
        FALSE
    )
)</f>
        <v/>
      </c>
    </row>
    <row r="30">
      <c r="A30" s="18" t="inlineStr">
        <is>
          <t>Guarapuava I</t>
        </is>
      </c>
      <c r="B30" s="58" t="inlineStr">
        <is>
          <t>Reserva Do Iguaçu</t>
        </is>
      </c>
      <c r="C30" s="85" t="inlineStr">
        <is>
          <t>01</t>
        </is>
      </c>
      <c r="D30" s="86">
        <f t="array" ref="D30">IF(
    VLOOKUP(
        $A30,
        _xlfn._xlws.FILTER(
            INDIRECT("'"&amp;D$62&amp;"'!A2:E1000"), (INDIRECT("'"&amp;D$62&amp;"'!B2:B1000")=$B30) * (INDIRECT("'"&amp;D$62&amp;"'!C2:C1000")=$C30)
        ),
        5,
        FALSE
    )=0,
    "",
    VLOOKUP(
        $A30,
        _xlfn._xlws.FILTER(
            INDIRECT("'"&amp;D$62&amp;"'!A2:E1000"), (INDIRECT("'"&amp;D$62&amp;"'!B2:B1000")=$B30) * (INDIRECT("'"&amp;D$62&amp;"'!C2:C1000")=$C30)
        ),
        5,
        FALSE
    )
)</f>
        <v/>
      </c>
      <c r="E30" s="86">
        <f t="array" ref="E30">IF(
    VLOOKUP(
        $A30,
        _xlfn._xlws.FILTER(
            INDIRECT("'"&amp;E$62&amp;"'!A2:E1000"), (INDIRECT("'"&amp;E$62&amp;"'!B2:B1000")=$B30) * (INDIRECT("'"&amp;E$62&amp;"'!C2:C1000")=$C30)
        ),
        5,
        FALSE
    )=0,
    "",
    VLOOKUP(
        $A30,
        _xlfn._xlws.FILTER(
            INDIRECT("'"&amp;E$62&amp;"'!A2:E1000"), (INDIRECT("'"&amp;E$62&amp;"'!B2:B1000")=$B30) * (INDIRECT("'"&amp;E$62&amp;"'!C2:C1000")=$C30)
        ),
        5,
        FALSE
    )
)</f>
        <v/>
      </c>
      <c r="F30" s="86">
        <f t="array" ref="F30">IF(
    VLOOKUP(
        $A30,
        _xlfn._xlws.FILTER(
            INDIRECT("'"&amp;F$62&amp;"'!A2:E1000"), (INDIRECT("'"&amp;F$62&amp;"'!B2:B1000")=$B30) * (INDIRECT("'"&amp;F$62&amp;"'!C2:C1000")=$C30)
        ),
        5,
        FALSE
    )=0,
    "",
    VLOOKUP(
        $A30,
        _xlfn._xlws.FILTER(
            INDIRECT("'"&amp;F$62&amp;"'!A2:E1000"), (INDIRECT("'"&amp;F$62&amp;"'!B2:B1000")=$B30) * (INDIRECT("'"&amp;F$62&amp;"'!C2:C1000")=$C30)
        ),
        5,
        FALSE
    )
)</f>
        <v/>
      </c>
      <c r="G30" s="86">
        <f t="array" ref="G30">IF(
    VLOOKUP(
        $A30,
        _xlfn._xlws.FILTER(
            INDIRECT("'"&amp;G$62&amp;"'!A2:E1000"), (INDIRECT("'"&amp;G$62&amp;"'!B2:B1000")=$B30) * (INDIRECT("'"&amp;G$62&amp;"'!C2:C1000")=$C30)
        ),
        5,
        FALSE
    )=0,
    "",
    VLOOKUP(
        $A30,
        _xlfn._xlws.FILTER(
            INDIRECT("'"&amp;G$62&amp;"'!A2:E1000"), (INDIRECT("'"&amp;G$62&amp;"'!B2:B1000")=$B30) * (INDIRECT("'"&amp;G$62&amp;"'!C2:C1000")=$C30)
        ),
        5,
        FALSE
    )
)</f>
        <v/>
      </c>
      <c r="H30" s="86">
        <f t="array" ref="H30">IF(
    VLOOKUP(
        $A30,
        _xlfn._xlws.FILTER(
            INDIRECT("'"&amp;H$62&amp;"'!A2:E1000"), (INDIRECT("'"&amp;H$62&amp;"'!B2:B1000")=$B30) * (INDIRECT("'"&amp;H$62&amp;"'!C2:C1000")=$C30)
        ),
        5,
        FALSE
    )=0,
    "",
    VLOOKUP(
        $A30,
        _xlfn._xlws.FILTER(
            INDIRECT("'"&amp;H$62&amp;"'!A2:E1000"), (INDIRECT("'"&amp;H$62&amp;"'!B2:B1000")=$B30) * (INDIRECT("'"&amp;H$62&amp;"'!C2:C1000")=$C30)
        ),
        5,
        FALSE
    )
)</f>
        <v/>
      </c>
      <c r="I30" s="86">
        <f t="array" ref="I30">IF(
    VLOOKUP(
        $A30,
        _xlfn._xlws.FILTER(
            INDIRECT("'"&amp;I$62&amp;"'!A2:E1000"), (INDIRECT("'"&amp;I$62&amp;"'!B2:B1000")=$B30) * (INDIRECT("'"&amp;I$62&amp;"'!C2:C1000")=$C30)
        ),
        5,
        FALSE
    )=0,
    "",
    VLOOKUP(
        $A30,
        _xlfn._xlws.FILTER(
            INDIRECT("'"&amp;I$62&amp;"'!A2:E1000"), (INDIRECT("'"&amp;I$62&amp;"'!B2:B1000")=$B30) * (INDIRECT("'"&amp;I$62&amp;"'!C2:C1000")=$C30)
        ),
        5,
        FALSE
    )
)</f>
        <v/>
      </c>
      <c r="J30" s="86">
        <f t="array" ref="J30">IF(
    VLOOKUP(
        $A30,
        _xlfn._xlws.FILTER(
            INDIRECT("'"&amp;J$62&amp;"'!A2:E1000"), (INDIRECT("'"&amp;J$62&amp;"'!B2:B1000")=$B30) * (INDIRECT("'"&amp;J$62&amp;"'!C2:C1000")=$C30)
        ),
        5,
        FALSE
    )=0,
    "",
    VLOOKUP(
        $A30,
        _xlfn._xlws.FILTER(
            INDIRECT("'"&amp;J$62&amp;"'!A2:E1000"), (INDIRECT("'"&amp;J$62&amp;"'!B2:B1000")=$B30) * (INDIRECT("'"&amp;J$62&amp;"'!C2:C1000")=$C30)
        ),
        5,
        FALSE
    )
)</f>
        <v/>
      </c>
      <c r="K30" s="86">
        <f t="array" ref="K30">IF(
    VLOOKUP(
        $A30,
        _xlfn._xlws.FILTER(
            INDIRECT("'"&amp;K$62&amp;"'!A2:E1000"), (INDIRECT("'"&amp;K$62&amp;"'!B2:B1000")=$B30) * (INDIRECT("'"&amp;K$62&amp;"'!C2:C1000")=$C30)
        ),
        5,
        FALSE
    )=0,
    "",
    VLOOKUP(
        $A30,
        _xlfn._xlws.FILTER(
            INDIRECT("'"&amp;K$62&amp;"'!A2:E1000"), (INDIRECT("'"&amp;K$62&amp;"'!B2:B1000")=$B30) * (INDIRECT("'"&amp;K$62&amp;"'!C2:C1000")=$C30)
        ),
        5,
        FALSE
    )
)</f>
        <v/>
      </c>
      <c r="L30" s="86">
        <f t="array" ref="L30">IF(
    VLOOKUP(
        $A30,
        _xlfn._xlws.FILTER(
            INDIRECT("'"&amp;L$62&amp;"'!A2:E1000"), (INDIRECT("'"&amp;L$62&amp;"'!B2:B1000")=$B30) * (INDIRECT("'"&amp;L$62&amp;"'!C2:C1000")=$C30)
        ),
        5,
        FALSE
    )=0,
    "",
    VLOOKUP(
        $A30,
        _xlfn._xlws.FILTER(
            INDIRECT("'"&amp;L$62&amp;"'!A2:E1000"), (INDIRECT("'"&amp;L$62&amp;"'!B2:B1000")=$B30) * (INDIRECT("'"&amp;L$62&amp;"'!C2:C1000")=$C30)
        ),
        5,
        FALSE
    )
)</f>
        <v/>
      </c>
      <c r="M30" s="86">
        <f t="array" ref="M30">IF(
    VLOOKUP(
        $A30,
        _xlfn._xlws.FILTER(
            INDIRECT("'"&amp;M$62&amp;"'!A2:E1000"), (INDIRECT("'"&amp;M$62&amp;"'!B2:B1000")=$B30) * (INDIRECT("'"&amp;M$62&amp;"'!C2:C1000")=$C30)
        ),
        5,
        FALSE
    )=0,
    "",
    VLOOKUP(
        $A30,
        _xlfn._xlws.FILTER(
            INDIRECT("'"&amp;M$62&amp;"'!A2:E1000"), (INDIRECT("'"&amp;M$62&amp;"'!B2:B1000")=$B30) * (INDIRECT("'"&amp;M$62&amp;"'!C2:C1000")=$C30)
        ),
        5,
        FALSE
    )
)</f>
        <v/>
      </c>
      <c r="N30" s="86">
        <f t="array" ref="N30">IF(
    VLOOKUP(
        $A30,
        _xlfn._xlws.FILTER(
            INDIRECT("'"&amp;N$62&amp;"'!A2:E1000"), (INDIRECT("'"&amp;N$62&amp;"'!B2:B1000")=$B30) * (INDIRECT("'"&amp;N$62&amp;"'!C2:C1000")=$C30)
        ),
        5,
        FALSE
    )=0,
    "",
    VLOOKUP(
        $A30,
        _xlfn._xlws.FILTER(
            INDIRECT("'"&amp;N$62&amp;"'!A2:E1000"), (INDIRECT("'"&amp;N$62&amp;"'!B2:B1000")=$B30) * (INDIRECT("'"&amp;N$62&amp;"'!C2:C1000")=$C30)
        ),
        5,
        FALSE
    )
)</f>
        <v/>
      </c>
      <c r="O30" s="86">
        <f t="array" ref="O30">IF(
    VLOOKUP(
        $A30,
        _xlfn._xlws.FILTER(
            INDIRECT("'"&amp;O$62&amp;"'!A2:E1000"), (INDIRECT("'"&amp;O$62&amp;"'!B2:B1000")=$B30) * (INDIRECT("'"&amp;O$62&amp;"'!C2:C1000")=$C30)
        ),
        5,
        FALSE
    )=0,
    "",
    VLOOKUP(
        $A30,
        _xlfn._xlws.FILTER(
            INDIRECT("'"&amp;O$62&amp;"'!A2:E1000"), (INDIRECT("'"&amp;O$62&amp;"'!B2:B1000")=$B30) * (INDIRECT("'"&amp;O$62&amp;"'!C2:C1000")=$C30)
        ),
        5,
        FALSE
    )
)</f>
        <v/>
      </c>
    </row>
    <row r="31"/>
    <row r="32" ht="15.75" customHeight="1">
      <c r="A32" s="24" t="inlineStr">
        <is>
          <t>Aramis</t>
        </is>
      </c>
      <c r="B32" s="84" t="inlineStr">
        <is>
          <t>Municípios</t>
        </is>
      </c>
      <c r="C32" s="84" t="inlineStr">
        <is>
          <t>UVR</t>
        </is>
      </c>
      <c r="D32" s="4" t="inlineStr">
        <is>
          <t>01.25</t>
        </is>
      </c>
      <c r="E32" s="4" t="inlineStr">
        <is>
          <t>02.25</t>
        </is>
      </c>
      <c r="F32" s="4" t="inlineStr">
        <is>
          <t>03.25</t>
        </is>
      </c>
      <c r="G32" s="4" t="inlineStr">
        <is>
          <t>04.25</t>
        </is>
      </c>
      <c r="H32" s="4" t="inlineStr">
        <is>
          <t>05.25</t>
        </is>
      </c>
      <c r="I32" s="4" t="inlineStr">
        <is>
          <t>06.25</t>
        </is>
      </c>
      <c r="J32" s="4" t="inlineStr">
        <is>
          <t>07.25</t>
        </is>
      </c>
      <c r="K32" s="4" t="inlineStr">
        <is>
          <t>08.25</t>
        </is>
      </c>
      <c r="L32" s="4" t="inlineStr">
        <is>
          <t>09.25</t>
        </is>
      </c>
      <c r="M32" s="4" t="inlineStr">
        <is>
          <t>10.25</t>
        </is>
      </c>
      <c r="N32" s="4" t="inlineStr">
        <is>
          <t>11.25</t>
        </is>
      </c>
      <c r="O32" s="4" t="inlineStr">
        <is>
          <t>12.25</t>
        </is>
      </c>
    </row>
    <row r="33">
      <c r="A33" s="61" t="inlineStr">
        <is>
          <t>Guarapuava II</t>
        </is>
      </c>
      <c r="B33" s="58" t="inlineStr">
        <is>
          <t>Campina Da Lagoa</t>
        </is>
      </c>
      <c r="C33" s="85" t="inlineStr">
        <is>
          <t>01</t>
        </is>
      </c>
      <c r="D33" s="86">
        <f t="array" ref="D33">IF(
    VLOOKUP(
        $A33,
        _xlfn._xlws.FILTER(
            INDIRECT("'"&amp;D$62&amp;"'!A2:E1000"), (INDIRECT("'"&amp;D$62&amp;"'!B2:B1000")=$B33) * (INDIRECT("'"&amp;D$62&amp;"'!C2:C1000")=$C33)
        ),
        5,
        FALSE
    )=0,
    "",
    VLOOKUP(
        $A33,
        _xlfn._xlws.FILTER(
            INDIRECT("'"&amp;D$62&amp;"'!A2:E1000"), (INDIRECT("'"&amp;D$62&amp;"'!B2:B1000")=$B33) * (INDIRECT("'"&amp;D$62&amp;"'!C2:C1000")=$C33)
        ),
        5,
        FALSE
    )
)</f>
        <v/>
      </c>
      <c r="E33" s="86">
        <f t="array" ref="E33">IF(
    VLOOKUP(
        $A33,
        _xlfn._xlws.FILTER(
            INDIRECT("'"&amp;E$62&amp;"'!A2:E1000"), (INDIRECT("'"&amp;E$62&amp;"'!B2:B1000")=$B33) * (INDIRECT("'"&amp;E$62&amp;"'!C2:C1000")=$C33)
        ),
        5,
        FALSE
    )=0,
    "",
    VLOOKUP(
        $A33,
        _xlfn._xlws.FILTER(
            INDIRECT("'"&amp;E$62&amp;"'!A2:E1000"), (INDIRECT("'"&amp;E$62&amp;"'!B2:B1000")=$B33) * (INDIRECT("'"&amp;E$62&amp;"'!C2:C1000")=$C33)
        ),
        5,
        FALSE
    )
)</f>
        <v/>
      </c>
      <c r="F33" s="86">
        <f t="array" ref="F33">IF(
    VLOOKUP(
        $A33,
        _xlfn._xlws.FILTER(
            INDIRECT("'"&amp;F$62&amp;"'!A2:E1000"), (INDIRECT("'"&amp;F$62&amp;"'!B2:B1000")=$B33) * (INDIRECT("'"&amp;F$62&amp;"'!C2:C1000")=$C33)
        ),
        5,
        FALSE
    )=0,
    "",
    VLOOKUP(
        $A33,
        _xlfn._xlws.FILTER(
            INDIRECT("'"&amp;F$62&amp;"'!A2:E1000"), (INDIRECT("'"&amp;F$62&amp;"'!B2:B1000")=$B33) * (INDIRECT("'"&amp;F$62&amp;"'!C2:C1000")=$C33)
        ),
        5,
        FALSE
    )
)</f>
        <v/>
      </c>
      <c r="G33" s="86">
        <f t="array" ref="G33">IF(
    VLOOKUP(
        $A33,
        _xlfn._xlws.FILTER(
            INDIRECT("'"&amp;G$62&amp;"'!A2:E1000"), (INDIRECT("'"&amp;G$62&amp;"'!B2:B1000")=$B33) * (INDIRECT("'"&amp;G$62&amp;"'!C2:C1000")=$C33)
        ),
        5,
        FALSE
    )=0,
    "",
    VLOOKUP(
        $A33,
        _xlfn._xlws.FILTER(
            INDIRECT("'"&amp;G$62&amp;"'!A2:E1000"), (INDIRECT("'"&amp;G$62&amp;"'!B2:B1000")=$B33) * (INDIRECT("'"&amp;G$62&amp;"'!C2:C1000")=$C33)
        ),
        5,
        FALSE
    )
)</f>
        <v/>
      </c>
      <c r="H33" s="86">
        <f t="array" ref="H33">IF(
    VLOOKUP(
        $A33,
        _xlfn._xlws.FILTER(
            INDIRECT("'"&amp;H$62&amp;"'!A2:E1000"), (INDIRECT("'"&amp;H$62&amp;"'!B2:B1000")=$B33) * (INDIRECT("'"&amp;H$62&amp;"'!C2:C1000")=$C33)
        ),
        5,
        FALSE
    )=0,
    "",
    VLOOKUP(
        $A33,
        _xlfn._xlws.FILTER(
            INDIRECT("'"&amp;H$62&amp;"'!A2:E1000"), (INDIRECT("'"&amp;H$62&amp;"'!B2:B1000")=$B33) * (INDIRECT("'"&amp;H$62&amp;"'!C2:C1000")=$C33)
        ),
        5,
        FALSE
    )
)</f>
        <v/>
      </c>
      <c r="I33" s="86">
        <f t="array" ref="I33">IF(
    VLOOKUP(
        $A33,
        _xlfn._xlws.FILTER(
            INDIRECT("'"&amp;I$62&amp;"'!A2:E1000"), (INDIRECT("'"&amp;I$62&amp;"'!B2:B1000")=$B33) * (INDIRECT("'"&amp;I$62&amp;"'!C2:C1000")=$C33)
        ),
        5,
        FALSE
    )=0,
    "",
    VLOOKUP(
        $A33,
        _xlfn._xlws.FILTER(
            INDIRECT("'"&amp;I$62&amp;"'!A2:E1000"), (INDIRECT("'"&amp;I$62&amp;"'!B2:B1000")=$B33) * (INDIRECT("'"&amp;I$62&amp;"'!C2:C1000")=$C33)
        ),
        5,
        FALSE
    )
)</f>
        <v/>
      </c>
      <c r="J33" s="86">
        <f t="array" ref="J33">IF(
    VLOOKUP(
        $A33,
        _xlfn._xlws.FILTER(
            INDIRECT("'"&amp;J$62&amp;"'!A2:E1000"), (INDIRECT("'"&amp;J$62&amp;"'!B2:B1000")=$B33) * (INDIRECT("'"&amp;J$62&amp;"'!C2:C1000")=$C33)
        ),
        5,
        FALSE
    )=0,
    "",
    VLOOKUP(
        $A33,
        _xlfn._xlws.FILTER(
            INDIRECT("'"&amp;J$62&amp;"'!A2:E1000"), (INDIRECT("'"&amp;J$62&amp;"'!B2:B1000")=$B33) * (INDIRECT("'"&amp;J$62&amp;"'!C2:C1000")=$C33)
        ),
        5,
        FALSE
    )
)</f>
        <v/>
      </c>
      <c r="K33" s="86">
        <f t="array" ref="K33">IF(
    VLOOKUP(
        $A33,
        _xlfn._xlws.FILTER(
            INDIRECT("'"&amp;K$62&amp;"'!A2:E1000"), (INDIRECT("'"&amp;K$62&amp;"'!B2:B1000")=$B33) * (INDIRECT("'"&amp;K$62&amp;"'!C2:C1000")=$C33)
        ),
        5,
        FALSE
    )=0,
    "",
    VLOOKUP(
        $A33,
        _xlfn._xlws.FILTER(
            INDIRECT("'"&amp;K$62&amp;"'!A2:E1000"), (INDIRECT("'"&amp;K$62&amp;"'!B2:B1000")=$B33) * (INDIRECT("'"&amp;K$62&amp;"'!C2:C1000")=$C33)
        ),
        5,
        FALSE
    )
)</f>
        <v/>
      </c>
      <c r="L33" s="86">
        <f t="array" ref="L33">IF(
    VLOOKUP(
        $A33,
        _xlfn._xlws.FILTER(
            INDIRECT("'"&amp;L$62&amp;"'!A2:E1000"), (INDIRECT("'"&amp;L$62&amp;"'!B2:B1000")=$B33) * (INDIRECT("'"&amp;L$62&amp;"'!C2:C1000")=$C33)
        ),
        5,
        FALSE
    )=0,
    "",
    VLOOKUP(
        $A33,
        _xlfn._xlws.FILTER(
            INDIRECT("'"&amp;L$62&amp;"'!A2:E1000"), (INDIRECT("'"&amp;L$62&amp;"'!B2:B1000")=$B33) * (INDIRECT("'"&amp;L$62&amp;"'!C2:C1000")=$C33)
        ),
        5,
        FALSE
    )
)</f>
        <v/>
      </c>
      <c r="M33" s="86">
        <f t="array" ref="M33">IF(
    VLOOKUP(
        $A33,
        _xlfn._xlws.FILTER(
            INDIRECT("'"&amp;M$62&amp;"'!A2:E1000"), (INDIRECT("'"&amp;M$62&amp;"'!B2:B1000")=$B33) * (INDIRECT("'"&amp;M$62&amp;"'!C2:C1000")=$C33)
        ),
        5,
        FALSE
    )=0,
    "",
    VLOOKUP(
        $A33,
        _xlfn._xlws.FILTER(
            INDIRECT("'"&amp;M$62&amp;"'!A2:E1000"), (INDIRECT("'"&amp;M$62&amp;"'!B2:B1000")=$B33) * (INDIRECT("'"&amp;M$62&amp;"'!C2:C1000")=$C33)
        ),
        5,
        FALSE
    )
)</f>
        <v/>
      </c>
      <c r="N33" s="86">
        <f t="array" ref="N33">IF(
    VLOOKUP(
        $A33,
        _xlfn._xlws.FILTER(
            INDIRECT("'"&amp;N$62&amp;"'!A2:E1000"), (INDIRECT("'"&amp;N$62&amp;"'!B2:B1000")=$B33) * (INDIRECT("'"&amp;N$62&amp;"'!C2:C1000")=$C33)
        ),
        5,
        FALSE
    )=0,
    "",
    VLOOKUP(
        $A33,
        _xlfn._xlws.FILTER(
            INDIRECT("'"&amp;N$62&amp;"'!A2:E1000"), (INDIRECT("'"&amp;N$62&amp;"'!B2:B1000")=$B33) * (INDIRECT("'"&amp;N$62&amp;"'!C2:C1000")=$C33)
        ),
        5,
        FALSE
    )
)</f>
        <v/>
      </c>
      <c r="O33" s="86">
        <f t="array" ref="O33">IF(
    VLOOKUP(
        $A33,
        _xlfn._xlws.FILTER(
            INDIRECT("'"&amp;O$62&amp;"'!A2:E1000"), (INDIRECT("'"&amp;O$62&amp;"'!B2:B1000")=$B33) * (INDIRECT("'"&amp;O$62&amp;"'!C2:C1000")=$C33)
        ),
        5,
        FALSE
    )=0,
    "",
    VLOOKUP(
        $A33,
        _xlfn._xlws.FILTER(
            INDIRECT("'"&amp;O$62&amp;"'!A2:E1000"), (INDIRECT("'"&amp;O$62&amp;"'!B2:B1000")=$B33) * (INDIRECT("'"&amp;O$62&amp;"'!C2:C1000")=$C33)
        ),
        5,
        FALSE
    )
)</f>
        <v/>
      </c>
    </row>
    <row r="34">
      <c r="A34" s="61" t="inlineStr">
        <is>
          <t>Guarapuava II</t>
        </is>
      </c>
      <c r="B34" s="58" t="inlineStr">
        <is>
          <t>Laranjeiras Do Sul</t>
        </is>
      </c>
      <c r="C34" s="85" t="inlineStr">
        <is>
          <t>01</t>
        </is>
      </c>
      <c r="D34" s="86">
        <f t="array" ref="D34">IF(
    VLOOKUP(
        $A34,
        _xlfn._xlws.FILTER(
            INDIRECT("'"&amp;D$62&amp;"'!A2:E1000"), (INDIRECT("'"&amp;D$62&amp;"'!B2:B1000")=$B34) * (INDIRECT("'"&amp;D$62&amp;"'!C2:C1000")=$C34)
        ),
        5,
        FALSE
    )=0,
    "",
    VLOOKUP(
        $A34,
        _xlfn._xlws.FILTER(
            INDIRECT("'"&amp;D$62&amp;"'!A2:E1000"), (INDIRECT("'"&amp;D$62&amp;"'!B2:B1000")=$B34) * (INDIRECT("'"&amp;D$62&amp;"'!C2:C1000")=$C34)
        ),
        5,
        FALSE
    )
)</f>
        <v/>
      </c>
      <c r="E34" s="86">
        <f t="array" ref="E34">IF(
    VLOOKUP(
        $A34,
        _xlfn._xlws.FILTER(
            INDIRECT("'"&amp;E$62&amp;"'!A2:E1000"), (INDIRECT("'"&amp;E$62&amp;"'!B2:B1000")=$B34) * (INDIRECT("'"&amp;E$62&amp;"'!C2:C1000")=$C34)
        ),
        5,
        FALSE
    )=0,
    "",
    VLOOKUP(
        $A34,
        _xlfn._xlws.FILTER(
            INDIRECT("'"&amp;E$62&amp;"'!A2:E1000"), (INDIRECT("'"&amp;E$62&amp;"'!B2:B1000")=$B34) * (INDIRECT("'"&amp;E$62&amp;"'!C2:C1000")=$C34)
        ),
        5,
        FALSE
    )
)</f>
        <v/>
      </c>
      <c r="F34" s="86">
        <f t="array" ref="F34">IF(
    VLOOKUP(
        $A34,
        _xlfn._xlws.FILTER(
            INDIRECT("'"&amp;F$62&amp;"'!A2:E1000"), (INDIRECT("'"&amp;F$62&amp;"'!B2:B1000")=$B34) * (INDIRECT("'"&amp;F$62&amp;"'!C2:C1000")=$C34)
        ),
        5,
        FALSE
    )=0,
    "",
    VLOOKUP(
        $A34,
        _xlfn._xlws.FILTER(
            INDIRECT("'"&amp;F$62&amp;"'!A2:E1000"), (INDIRECT("'"&amp;F$62&amp;"'!B2:B1000")=$B34) * (INDIRECT("'"&amp;F$62&amp;"'!C2:C1000")=$C34)
        ),
        5,
        FALSE
    )
)</f>
        <v/>
      </c>
      <c r="G34" s="86">
        <f t="array" ref="G34">IF(
    VLOOKUP(
        $A34,
        _xlfn._xlws.FILTER(
            INDIRECT("'"&amp;G$62&amp;"'!A2:E1000"), (INDIRECT("'"&amp;G$62&amp;"'!B2:B1000")=$B34) * (INDIRECT("'"&amp;G$62&amp;"'!C2:C1000")=$C34)
        ),
        5,
        FALSE
    )=0,
    "",
    VLOOKUP(
        $A34,
        _xlfn._xlws.FILTER(
            INDIRECT("'"&amp;G$62&amp;"'!A2:E1000"), (INDIRECT("'"&amp;G$62&amp;"'!B2:B1000")=$B34) * (INDIRECT("'"&amp;G$62&amp;"'!C2:C1000")=$C34)
        ),
        5,
        FALSE
    )
)</f>
        <v/>
      </c>
      <c r="H34" s="86">
        <f t="array" ref="H34">IF(
    VLOOKUP(
        $A34,
        _xlfn._xlws.FILTER(
            INDIRECT("'"&amp;H$62&amp;"'!A2:E1000"), (INDIRECT("'"&amp;H$62&amp;"'!B2:B1000")=$B34) * (INDIRECT("'"&amp;H$62&amp;"'!C2:C1000")=$C34)
        ),
        5,
        FALSE
    )=0,
    "",
    VLOOKUP(
        $A34,
        _xlfn._xlws.FILTER(
            INDIRECT("'"&amp;H$62&amp;"'!A2:E1000"), (INDIRECT("'"&amp;H$62&amp;"'!B2:B1000")=$B34) * (INDIRECT("'"&amp;H$62&amp;"'!C2:C1000")=$C34)
        ),
        5,
        FALSE
    )
)</f>
        <v/>
      </c>
      <c r="I34" s="86">
        <f t="array" ref="I34">IF(
    VLOOKUP(
        $A34,
        _xlfn._xlws.FILTER(
            INDIRECT("'"&amp;I$62&amp;"'!A2:E1000"), (INDIRECT("'"&amp;I$62&amp;"'!B2:B1000")=$B34) * (INDIRECT("'"&amp;I$62&amp;"'!C2:C1000")=$C34)
        ),
        5,
        FALSE
    )=0,
    "",
    VLOOKUP(
        $A34,
        _xlfn._xlws.FILTER(
            INDIRECT("'"&amp;I$62&amp;"'!A2:E1000"), (INDIRECT("'"&amp;I$62&amp;"'!B2:B1000")=$B34) * (INDIRECT("'"&amp;I$62&amp;"'!C2:C1000")=$C34)
        ),
        5,
        FALSE
    )
)</f>
        <v/>
      </c>
      <c r="J34" s="86">
        <f t="array" ref="J34">IF(
    VLOOKUP(
        $A34,
        _xlfn._xlws.FILTER(
            INDIRECT("'"&amp;J$62&amp;"'!A2:E1000"), (INDIRECT("'"&amp;J$62&amp;"'!B2:B1000")=$B34) * (INDIRECT("'"&amp;J$62&amp;"'!C2:C1000")=$C34)
        ),
        5,
        FALSE
    )=0,
    "",
    VLOOKUP(
        $A34,
        _xlfn._xlws.FILTER(
            INDIRECT("'"&amp;J$62&amp;"'!A2:E1000"), (INDIRECT("'"&amp;J$62&amp;"'!B2:B1000")=$B34) * (INDIRECT("'"&amp;J$62&amp;"'!C2:C1000")=$C34)
        ),
        5,
        FALSE
    )
)</f>
        <v/>
      </c>
      <c r="K34" s="86">
        <f t="array" ref="K34">IF(
    VLOOKUP(
        $A34,
        _xlfn._xlws.FILTER(
            INDIRECT("'"&amp;K$62&amp;"'!A2:E1000"), (INDIRECT("'"&amp;K$62&amp;"'!B2:B1000")=$B34) * (INDIRECT("'"&amp;K$62&amp;"'!C2:C1000")=$C34)
        ),
        5,
        FALSE
    )=0,
    "",
    VLOOKUP(
        $A34,
        _xlfn._xlws.FILTER(
            INDIRECT("'"&amp;K$62&amp;"'!A2:E1000"), (INDIRECT("'"&amp;K$62&amp;"'!B2:B1000")=$B34) * (INDIRECT("'"&amp;K$62&amp;"'!C2:C1000")=$C34)
        ),
        5,
        FALSE
    )
)</f>
        <v/>
      </c>
      <c r="L34" s="86">
        <f t="array" ref="L34">IF(
    VLOOKUP(
        $A34,
        _xlfn._xlws.FILTER(
            INDIRECT("'"&amp;L$62&amp;"'!A2:E1000"), (INDIRECT("'"&amp;L$62&amp;"'!B2:B1000")=$B34) * (INDIRECT("'"&amp;L$62&amp;"'!C2:C1000")=$C34)
        ),
        5,
        FALSE
    )=0,
    "",
    VLOOKUP(
        $A34,
        _xlfn._xlws.FILTER(
            INDIRECT("'"&amp;L$62&amp;"'!A2:E1000"), (INDIRECT("'"&amp;L$62&amp;"'!B2:B1000")=$B34) * (INDIRECT("'"&amp;L$62&amp;"'!C2:C1000")=$C34)
        ),
        5,
        FALSE
    )
)</f>
        <v/>
      </c>
      <c r="M34" s="86">
        <f t="array" ref="M34">IF(
    VLOOKUP(
        $A34,
        _xlfn._xlws.FILTER(
            INDIRECT("'"&amp;M$62&amp;"'!A2:E1000"), (INDIRECT("'"&amp;M$62&amp;"'!B2:B1000")=$B34) * (INDIRECT("'"&amp;M$62&amp;"'!C2:C1000")=$C34)
        ),
        5,
        FALSE
    )=0,
    "",
    VLOOKUP(
        $A34,
        _xlfn._xlws.FILTER(
            INDIRECT("'"&amp;M$62&amp;"'!A2:E1000"), (INDIRECT("'"&amp;M$62&amp;"'!B2:B1000")=$B34) * (INDIRECT("'"&amp;M$62&amp;"'!C2:C1000")=$C34)
        ),
        5,
        FALSE
    )
)</f>
        <v/>
      </c>
      <c r="N34" s="86">
        <f t="array" ref="N34">IF(
    VLOOKUP(
        $A34,
        _xlfn._xlws.FILTER(
            INDIRECT("'"&amp;N$62&amp;"'!A2:E1000"), (INDIRECT("'"&amp;N$62&amp;"'!B2:B1000")=$B34) * (INDIRECT("'"&amp;N$62&amp;"'!C2:C1000")=$C34)
        ),
        5,
        FALSE
    )=0,
    "",
    VLOOKUP(
        $A34,
        _xlfn._xlws.FILTER(
            INDIRECT("'"&amp;N$62&amp;"'!A2:E1000"), (INDIRECT("'"&amp;N$62&amp;"'!B2:B1000")=$B34) * (INDIRECT("'"&amp;N$62&amp;"'!C2:C1000")=$C34)
        ),
        5,
        FALSE
    )
)</f>
        <v/>
      </c>
      <c r="O34" s="86">
        <f t="array" ref="O34">IF(
    VLOOKUP(
        $A34,
        _xlfn._xlws.FILTER(
            INDIRECT("'"&amp;O$62&amp;"'!A2:E1000"), (INDIRECT("'"&amp;O$62&amp;"'!B2:B1000")=$B34) * (INDIRECT("'"&amp;O$62&amp;"'!C2:C1000")=$C34)
        ),
        5,
        FALSE
    )=0,
    "",
    VLOOKUP(
        $A34,
        _xlfn._xlws.FILTER(
            INDIRECT("'"&amp;O$62&amp;"'!A2:E1000"), (INDIRECT("'"&amp;O$62&amp;"'!B2:B1000")=$B34) * (INDIRECT("'"&amp;O$62&amp;"'!C2:C1000")=$C34)
        ),
        5,
        FALSE
    )
)</f>
        <v/>
      </c>
    </row>
    <row r="35">
      <c r="A35" s="61" t="inlineStr">
        <is>
          <t>Guarapuava II</t>
        </is>
      </c>
      <c r="B35" s="58" t="inlineStr">
        <is>
          <t>Mato Rico</t>
        </is>
      </c>
      <c r="C35" s="85" t="inlineStr">
        <is>
          <t>01</t>
        </is>
      </c>
      <c r="D35" s="86">
        <f t="array" ref="D35">IF(
    VLOOKUP(
        $A35,
        _xlfn._xlws.FILTER(
            INDIRECT("'"&amp;D$62&amp;"'!A2:E1000"), (INDIRECT("'"&amp;D$62&amp;"'!B2:B1000")=$B35) * (INDIRECT("'"&amp;D$62&amp;"'!C2:C1000")=$C35)
        ),
        5,
        FALSE
    )=0,
    "",
    VLOOKUP(
        $A35,
        _xlfn._xlws.FILTER(
            INDIRECT("'"&amp;D$62&amp;"'!A2:E1000"), (INDIRECT("'"&amp;D$62&amp;"'!B2:B1000")=$B35) * (INDIRECT("'"&amp;D$62&amp;"'!C2:C1000")=$C35)
        ),
        5,
        FALSE
    )
)</f>
        <v/>
      </c>
      <c r="E35" s="86">
        <f t="array" ref="E35">IF(
    VLOOKUP(
        $A35,
        _xlfn._xlws.FILTER(
            INDIRECT("'"&amp;E$62&amp;"'!A2:E1000"), (INDIRECT("'"&amp;E$62&amp;"'!B2:B1000")=$B35) * (INDIRECT("'"&amp;E$62&amp;"'!C2:C1000")=$C35)
        ),
        5,
        FALSE
    )=0,
    "",
    VLOOKUP(
        $A35,
        _xlfn._xlws.FILTER(
            INDIRECT("'"&amp;E$62&amp;"'!A2:E1000"), (INDIRECT("'"&amp;E$62&amp;"'!B2:B1000")=$B35) * (INDIRECT("'"&amp;E$62&amp;"'!C2:C1000")=$C35)
        ),
        5,
        FALSE
    )
)</f>
        <v/>
      </c>
      <c r="F35" s="86">
        <f t="array" ref="F35">IF(
    VLOOKUP(
        $A35,
        _xlfn._xlws.FILTER(
            INDIRECT("'"&amp;F$62&amp;"'!A2:E1000"), (INDIRECT("'"&amp;F$62&amp;"'!B2:B1000")=$B35) * (INDIRECT("'"&amp;F$62&amp;"'!C2:C1000")=$C35)
        ),
        5,
        FALSE
    )=0,
    "",
    VLOOKUP(
        $A35,
        _xlfn._xlws.FILTER(
            INDIRECT("'"&amp;F$62&amp;"'!A2:E1000"), (INDIRECT("'"&amp;F$62&amp;"'!B2:B1000")=$B35) * (INDIRECT("'"&amp;F$62&amp;"'!C2:C1000")=$C35)
        ),
        5,
        FALSE
    )
)</f>
        <v/>
      </c>
      <c r="G35" s="86">
        <f t="array" ref="G35">IF(
    VLOOKUP(
        $A35,
        _xlfn._xlws.FILTER(
            INDIRECT("'"&amp;G$62&amp;"'!A2:E1000"), (INDIRECT("'"&amp;G$62&amp;"'!B2:B1000")=$B35) * (INDIRECT("'"&amp;G$62&amp;"'!C2:C1000")=$C35)
        ),
        5,
        FALSE
    )=0,
    "",
    VLOOKUP(
        $A35,
        _xlfn._xlws.FILTER(
            INDIRECT("'"&amp;G$62&amp;"'!A2:E1000"), (INDIRECT("'"&amp;G$62&amp;"'!B2:B1000")=$B35) * (INDIRECT("'"&amp;G$62&amp;"'!C2:C1000")=$C35)
        ),
        5,
        FALSE
    )
)</f>
        <v/>
      </c>
      <c r="H35" s="86">
        <f t="array" ref="H35">IF(
    VLOOKUP(
        $A35,
        _xlfn._xlws.FILTER(
            INDIRECT("'"&amp;H$62&amp;"'!A2:E1000"), (INDIRECT("'"&amp;H$62&amp;"'!B2:B1000")=$B35) * (INDIRECT("'"&amp;H$62&amp;"'!C2:C1000")=$C35)
        ),
        5,
        FALSE
    )=0,
    "",
    VLOOKUP(
        $A35,
        _xlfn._xlws.FILTER(
            INDIRECT("'"&amp;H$62&amp;"'!A2:E1000"), (INDIRECT("'"&amp;H$62&amp;"'!B2:B1000")=$B35) * (INDIRECT("'"&amp;H$62&amp;"'!C2:C1000")=$C35)
        ),
        5,
        FALSE
    )
)</f>
        <v/>
      </c>
      <c r="I35" s="86">
        <f t="array" ref="I35">IF(
    VLOOKUP(
        $A35,
        _xlfn._xlws.FILTER(
            INDIRECT("'"&amp;I$62&amp;"'!A2:E1000"), (INDIRECT("'"&amp;I$62&amp;"'!B2:B1000")=$B35) * (INDIRECT("'"&amp;I$62&amp;"'!C2:C1000")=$C35)
        ),
        5,
        FALSE
    )=0,
    "",
    VLOOKUP(
        $A35,
        _xlfn._xlws.FILTER(
            INDIRECT("'"&amp;I$62&amp;"'!A2:E1000"), (INDIRECT("'"&amp;I$62&amp;"'!B2:B1000")=$B35) * (INDIRECT("'"&amp;I$62&amp;"'!C2:C1000")=$C35)
        ),
        5,
        FALSE
    )
)</f>
        <v/>
      </c>
      <c r="J35" s="86">
        <f t="array" ref="J35">IF(
    VLOOKUP(
        $A35,
        _xlfn._xlws.FILTER(
            INDIRECT("'"&amp;J$62&amp;"'!A2:E1000"), (INDIRECT("'"&amp;J$62&amp;"'!B2:B1000")=$B35) * (INDIRECT("'"&amp;J$62&amp;"'!C2:C1000")=$C35)
        ),
        5,
        FALSE
    )=0,
    "",
    VLOOKUP(
        $A35,
        _xlfn._xlws.FILTER(
            INDIRECT("'"&amp;J$62&amp;"'!A2:E1000"), (INDIRECT("'"&amp;J$62&amp;"'!B2:B1000")=$B35) * (INDIRECT("'"&amp;J$62&amp;"'!C2:C1000")=$C35)
        ),
        5,
        FALSE
    )
)</f>
        <v/>
      </c>
      <c r="K35" s="86">
        <f t="array" ref="K35">IF(
    VLOOKUP(
        $A35,
        _xlfn._xlws.FILTER(
            INDIRECT("'"&amp;K$62&amp;"'!A2:E1000"), (INDIRECT("'"&amp;K$62&amp;"'!B2:B1000")=$B35) * (INDIRECT("'"&amp;K$62&amp;"'!C2:C1000")=$C35)
        ),
        5,
        FALSE
    )=0,
    "",
    VLOOKUP(
        $A35,
        _xlfn._xlws.FILTER(
            INDIRECT("'"&amp;K$62&amp;"'!A2:E1000"), (INDIRECT("'"&amp;K$62&amp;"'!B2:B1000")=$B35) * (INDIRECT("'"&amp;K$62&amp;"'!C2:C1000")=$C35)
        ),
        5,
        FALSE
    )
)</f>
        <v/>
      </c>
      <c r="L35" s="86">
        <f t="array" ref="L35">IF(
    VLOOKUP(
        $A35,
        _xlfn._xlws.FILTER(
            INDIRECT("'"&amp;L$62&amp;"'!A2:E1000"), (INDIRECT("'"&amp;L$62&amp;"'!B2:B1000")=$B35) * (INDIRECT("'"&amp;L$62&amp;"'!C2:C1000")=$C35)
        ),
        5,
        FALSE
    )=0,
    "",
    VLOOKUP(
        $A35,
        _xlfn._xlws.FILTER(
            INDIRECT("'"&amp;L$62&amp;"'!A2:E1000"), (INDIRECT("'"&amp;L$62&amp;"'!B2:B1000")=$B35) * (INDIRECT("'"&amp;L$62&amp;"'!C2:C1000")=$C35)
        ),
        5,
        FALSE
    )
)</f>
        <v/>
      </c>
      <c r="M35" s="86">
        <f t="array" ref="M35">IF(
    VLOOKUP(
        $A35,
        _xlfn._xlws.FILTER(
            INDIRECT("'"&amp;M$62&amp;"'!A2:E1000"), (INDIRECT("'"&amp;M$62&amp;"'!B2:B1000")=$B35) * (INDIRECT("'"&amp;M$62&amp;"'!C2:C1000")=$C35)
        ),
        5,
        FALSE
    )=0,
    "",
    VLOOKUP(
        $A35,
        _xlfn._xlws.FILTER(
            INDIRECT("'"&amp;M$62&amp;"'!A2:E1000"), (INDIRECT("'"&amp;M$62&amp;"'!B2:B1000")=$B35) * (INDIRECT("'"&amp;M$62&amp;"'!C2:C1000")=$C35)
        ),
        5,
        FALSE
    )
)</f>
        <v/>
      </c>
      <c r="N35" s="86">
        <f t="array" ref="N35">IF(
    VLOOKUP(
        $A35,
        _xlfn._xlws.FILTER(
            INDIRECT("'"&amp;N$62&amp;"'!A2:E1000"), (INDIRECT("'"&amp;N$62&amp;"'!B2:B1000")=$B35) * (INDIRECT("'"&amp;N$62&amp;"'!C2:C1000")=$C35)
        ),
        5,
        FALSE
    )=0,
    "",
    VLOOKUP(
        $A35,
        _xlfn._xlws.FILTER(
            INDIRECT("'"&amp;N$62&amp;"'!A2:E1000"), (INDIRECT("'"&amp;N$62&amp;"'!B2:B1000")=$B35) * (INDIRECT("'"&amp;N$62&amp;"'!C2:C1000")=$C35)
        ),
        5,
        FALSE
    )
)</f>
        <v/>
      </c>
      <c r="O35" s="86">
        <f t="array" ref="O35">IF(
    VLOOKUP(
        $A35,
        _xlfn._xlws.FILTER(
            INDIRECT("'"&amp;O$62&amp;"'!A2:E1000"), (INDIRECT("'"&amp;O$62&amp;"'!B2:B1000")=$B35) * (INDIRECT("'"&amp;O$62&amp;"'!C2:C1000")=$C35)
        ),
        5,
        FALSE
    )=0,
    "",
    VLOOKUP(
        $A35,
        _xlfn._xlws.FILTER(
            INDIRECT("'"&amp;O$62&amp;"'!A2:E1000"), (INDIRECT("'"&amp;O$62&amp;"'!B2:B1000")=$B35) * (INDIRECT("'"&amp;O$62&amp;"'!C2:C1000")=$C35)
        ),
        5,
        FALSE
    )
)</f>
        <v/>
      </c>
    </row>
    <row r="36">
      <c r="A36" s="61" t="inlineStr">
        <is>
          <t>Guarapuava II</t>
        </is>
      </c>
      <c r="B36" s="58" t="inlineStr">
        <is>
          <t>Palmital</t>
        </is>
      </c>
      <c r="C36" s="85" t="inlineStr">
        <is>
          <t>01</t>
        </is>
      </c>
      <c r="D36" s="86">
        <f t="array" ref="D36">IF(
    VLOOKUP(
        $A36,
        _xlfn._xlws.FILTER(
            INDIRECT("'"&amp;D$62&amp;"'!A2:E1000"), (INDIRECT("'"&amp;D$62&amp;"'!B2:B1000")=$B36) * (INDIRECT("'"&amp;D$62&amp;"'!C2:C1000")=$C36)
        ),
        5,
        FALSE
    )=0,
    "",
    VLOOKUP(
        $A36,
        _xlfn._xlws.FILTER(
            INDIRECT("'"&amp;D$62&amp;"'!A2:E1000"), (INDIRECT("'"&amp;D$62&amp;"'!B2:B1000")=$B36) * (INDIRECT("'"&amp;D$62&amp;"'!C2:C1000")=$C36)
        ),
        5,
        FALSE
    )
)</f>
        <v/>
      </c>
      <c r="E36" s="86">
        <f t="array" ref="E36">IF(
    VLOOKUP(
        $A36,
        _xlfn._xlws.FILTER(
            INDIRECT("'"&amp;E$62&amp;"'!A2:E1000"), (INDIRECT("'"&amp;E$62&amp;"'!B2:B1000")=$B36) * (INDIRECT("'"&amp;E$62&amp;"'!C2:C1000")=$C36)
        ),
        5,
        FALSE
    )=0,
    "",
    VLOOKUP(
        $A36,
        _xlfn._xlws.FILTER(
            INDIRECT("'"&amp;E$62&amp;"'!A2:E1000"), (INDIRECT("'"&amp;E$62&amp;"'!B2:B1000")=$B36) * (INDIRECT("'"&amp;E$62&amp;"'!C2:C1000")=$C36)
        ),
        5,
        FALSE
    )
)</f>
        <v/>
      </c>
      <c r="F36" s="86">
        <f t="array" ref="F36">IF(
    VLOOKUP(
        $A36,
        _xlfn._xlws.FILTER(
            INDIRECT("'"&amp;F$62&amp;"'!A2:E1000"), (INDIRECT("'"&amp;F$62&amp;"'!B2:B1000")=$B36) * (INDIRECT("'"&amp;F$62&amp;"'!C2:C1000")=$C36)
        ),
        5,
        FALSE
    )=0,
    "",
    VLOOKUP(
        $A36,
        _xlfn._xlws.FILTER(
            INDIRECT("'"&amp;F$62&amp;"'!A2:E1000"), (INDIRECT("'"&amp;F$62&amp;"'!B2:B1000")=$B36) * (INDIRECT("'"&amp;F$62&amp;"'!C2:C1000")=$C36)
        ),
        5,
        FALSE
    )
)</f>
        <v/>
      </c>
      <c r="G36" s="86">
        <f t="array" ref="G36">IF(
    VLOOKUP(
        $A36,
        _xlfn._xlws.FILTER(
            INDIRECT("'"&amp;G$62&amp;"'!A2:E1000"), (INDIRECT("'"&amp;G$62&amp;"'!B2:B1000")=$B36) * (INDIRECT("'"&amp;G$62&amp;"'!C2:C1000")=$C36)
        ),
        5,
        FALSE
    )=0,
    "",
    VLOOKUP(
        $A36,
        _xlfn._xlws.FILTER(
            INDIRECT("'"&amp;G$62&amp;"'!A2:E1000"), (INDIRECT("'"&amp;G$62&amp;"'!B2:B1000")=$B36) * (INDIRECT("'"&amp;G$62&amp;"'!C2:C1000")=$C36)
        ),
        5,
        FALSE
    )
)</f>
        <v/>
      </c>
      <c r="H36" s="86">
        <f t="array" ref="H36">IF(
    VLOOKUP(
        $A36,
        _xlfn._xlws.FILTER(
            INDIRECT("'"&amp;H$62&amp;"'!A2:E1000"), (INDIRECT("'"&amp;H$62&amp;"'!B2:B1000")=$B36) * (INDIRECT("'"&amp;H$62&amp;"'!C2:C1000")=$C36)
        ),
        5,
        FALSE
    )=0,
    "",
    VLOOKUP(
        $A36,
        _xlfn._xlws.FILTER(
            INDIRECT("'"&amp;H$62&amp;"'!A2:E1000"), (INDIRECT("'"&amp;H$62&amp;"'!B2:B1000")=$B36) * (INDIRECT("'"&amp;H$62&amp;"'!C2:C1000")=$C36)
        ),
        5,
        FALSE
    )
)</f>
        <v/>
      </c>
      <c r="I36" s="86">
        <f t="array" ref="I36">IF(
    VLOOKUP(
        $A36,
        _xlfn._xlws.FILTER(
            INDIRECT("'"&amp;I$62&amp;"'!A2:E1000"), (INDIRECT("'"&amp;I$62&amp;"'!B2:B1000")=$B36) * (INDIRECT("'"&amp;I$62&amp;"'!C2:C1000")=$C36)
        ),
        5,
        FALSE
    )=0,
    "",
    VLOOKUP(
        $A36,
        _xlfn._xlws.FILTER(
            INDIRECT("'"&amp;I$62&amp;"'!A2:E1000"), (INDIRECT("'"&amp;I$62&amp;"'!B2:B1000")=$B36) * (INDIRECT("'"&amp;I$62&amp;"'!C2:C1000")=$C36)
        ),
        5,
        FALSE
    )
)</f>
        <v/>
      </c>
      <c r="J36" s="86">
        <f t="array" ref="J36">IF(
    VLOOKUP(
        $A36,
        _xlfn._xlws.FILTER(
            INDIRECT("'"&amp;J$62&amp;"'!A2:E1000"), (INDIRECT("'"&amp;J$62&amp;"'!B2:B1000")=$B36) * (INDIRECT("'"&amp;J$62&amp;"'!C2:C1000")=$C36)
        ),
        5,
        FALSE
    )=0,
    "",
    VLOOKUP(
        $A36,
        _xlfn._xlws.FILTER(
            INDIRECT("'"&amp;J$62&amp;"'!A2:E1000"), (INDIRECT("'"&amp;J$62&amp;"'!B2:B1000")=$B36) * (INDIRECT("'"&amp;J$62&amp;"'!C2:C1000")=$C36)
        ),
        5,
        FALSE
    )
)</f>
        <v/>
      </c>
      <c r="K36" s="86">
        <f t="array" ref="K36">IF(
    VLOOKUP(
        $A36,
        _xlfn._xlws.FILTER(
            INDIRECT("'"&amp;K$62&amp;"'!A2:E1000"), (INDIRECT("'"&amp;K$62&amp;"'!B2:B1000")=$B36) * (INDIRECT("'"&amp;K$62&amp;"'!C2:C1000")=$C36)
        ),
        5,
        FALSE
    )=0,
    "",
    VLOOKUP(
        $A36,
        _xlfn._xlws.FILTER(
            INDIRECT("'"&amp;K$62&amp;"'!A2:E1000"), (INDIRECT("'"&amp;K$62&amp;"'!B2:B1000")=$B36) * (INDIRECT("'"&amp;K$62&amp;"'!C2:C1000")=$C36)
        ),
        5,
        FALSE
    )
)</f>
        <v/>
      </c>
      <c r="L36" s="86">
        <f t="array" ref="L36">IF(
    VLOOKUP(
        $A36,
        _xlfn._xlws.FILTER(
            INDIRECT("'"&amp;L$62&amp;"'!A2:E1000"), (INDIRECT("'"&amp;L$62&amp;"'!B2:B1000")=$B36) * (INDIRECT("'"&amp;L$62&amp;"'!C2:C1000")=$C36)
        ),
        5,
        FALSE
    )=0,
    "",
    VLOOKUP(
        $A36,
        _xlfn._xlws.FILTER(
            INDIRECT("'"&amp;L$62&amp;"'!A2:E1000"), (INDIRECT("'"&amp;L$62&amp;"'!B2:B1000")=$B36) * (INDIRECT("'"&amp;L$62&amp;"'!C2:C1000")=$C36)
        ),
        5,
        FALSE
    )
)</f>
        <v/>
      </c>
      <c r="M36" s="86">
        <f t="array" ref="M36">IF(
    VLOOKUP(
        $A36,
        _xlfn._xlws.FILTER(
            INDIRECT("'"&amp;M$62&amp;"'!A2:E1000"), (INDIRECT("'"&amp;M$62&amp;"'!B2:B1000")=$B36) * (INDIRECT("'"&amp;M$62&amp;"'!C2:C1000")=$C36)
        ),
        5,
        FALSE
    )=0,
    "",
    VLOOKUP(
        $A36,
        _xlfn._xlws.FILTER(
            INDIRECT("'"&amp;M$62&amp;"'!A2:E1000"), (INDIRECT("'"&amp;M$62&amp;"'!B2:B1000")=$B36) * (INDIRECT("'"&amp;M$62&amp;"'!C2:C1000")=$C36)
        ),
        5,
        FALSE
    )
)</f>
        <v/>
      </c>
      <c r="N36" s="86">
        <f t="array" ref="N36">IF(
    VLOOKUP(
        $A36,
        _xlfn._xlws.FILTER(
            INDIRECT("'"&amp;N$62&amp;"'!A2:E1000"), (INDIRECT("'"&amp;N$62&amp;"'!B2:B1000")=$B36) * (INDIRECT("'"&amp;N$62&amp;"'!C2:C1000")=$C36)
        ),
        5,
        FALSE
    )=0,
    "",
    VLOOKUP(
        $A36,
        _xlfn._xlws.FILTER(
            INDIRECT("'"&amp;N$62&amp;"'!A2:E1000"), (INDIRECT("'"&amp;N$62&amp;"'!B2:B1000")=$B36) * (INDIRECT("'"&amp;N$62&amp;"'!C2:C1000")=$C36)
        ),
        5,
        FALSE
    )
)</f>
        <v/>
      </c>
      <c r="O36" s="86">
        <f t="array" ref="O36">IF(
    VLOOKUP(
        $A36,
        _xlfn._xlws.FILTER(
            INDIRECT("'"&amp;O$62&amp;"'!A2:E1000"), (INDIRECT("'"&amp;O$62&amp;"'!B2:B1000")=$B36) * (INDIRECT("'"&amp;O$62&amp;"'!C2:C1000")=$C36)
        ),
        5,
        FALSE
    )=0,
    "",
    VLOOKUP(
        $A36,
        _xlfn._xlws.FILTER(
            INDIRECT("'"&amp;O$62&amp;"'!A2:E1000"), (INDIRECT("'"&amp;O$62&amp;"'!B2:B1000")=$B36) * (INDIRECT("'"&amp;O$62&amp;"'!C2:C1000")=$C36)
        ),
        5,
        FALSE
    )
)</f>
        <v/>
      </c>
    </row>
    <row r="37">
      <c r="A37" s="61" t="inlineStr">
        <is>
          <t>Guarapuava II</t>
        </is>
      </c>
      <c r="B37" s="58" t="inlineStr">
        <is>
          <t>Quedas Do Iguaçu</t>
        </is>
      </c>
      <c r="C37" s="85" t="inlineStr">
        <is>
          <t>01</t>
        </is>
      </c>
      <c r="D37" s="86">
        <f t="array" ref="D37">IF(
    VLOOKUP(
        $A37,
        _xlfn._xlws.FILTER(
            INDIRECT("'"&amp;D$62&amp;"'!A2:E1000"), (INDIRECT("'"&amp;D$62&amp;"'!B2:B1000")=$B37) * (INDIRECT("'"&amp;D$62&amp;"'!C2:C1000")=$C37)
        ),
        5,
        FALSE
    )=0,
    "",
    VLOOKUP(
        $A37,
        _xlfn._xlws.FILTER(
            INDIRECT("'"&amp;D$62&amp;"'!A2:E1000"), (INDIRECT("'"&amp;D$62&amp;"'!B2:B1000")=$B37) * (INDIRECT("'"&amp;D$62&amp;"'!C2:C1000")=$C37)
        ),
        5,
        FALSE
    )
)</f>
        <v/>
      </c>
      <c r="E37" s="86">
        <f t="array" ref="E37">IF(
    VLOOKUP(
        $A37,
        _xlfn._xlws.FILTER(
            INDIRECT("'"&amp;E$62&amp;"'!A2:E1000"), (INDIRECT("'"&amp;E$62&amp;"'!B2:B1000")=$B37) * (INDIRECT("'"&amp;E$62&amp;"'!C2:C1000")=$C37)
        ),
        5,
        FALSE
    )=0,
    "",
    VLOOKUP(
        $A37,
        _xlfn._xlws.FILTER(
            INDIRECT("'"&amp;E$62&amp;"'!A2:E1000"), (INDIRECT("'"&amp;E$62&amp;"'!B2:B1000")=$B37) * (INDIRECT("'"&amp;E$62&amp;"'!C2:C1000")=$C37)
        ),
        5,
        FALSE
    )
)</f>
        <v/>
      </c>
      <c r="F37" s="86">
        <f t="array" ref="F37">IF(
    VLOOKUP(
        $A37,
        _xlfn._xlws.FILTER(
            INDIRECT("'"&amp;F$62&amp;"'!A2:E1000"), (INDIRECT("'"&amp;F$62&amp;"'!B2:B1000")=$B37) * (INDIRECT("'"&amp;F$62&amp;"'!C2:C1000")=$C37)
        ),
        5,
        FALSE
    )=0,
    "",
    VLOOKUP(
        $A37,
        _xlfn._xlws.FILTER(
            INDIRECT("'"&amp;F$62&amp;"'!A2:E1000"), (INDIRECT("'"&amp;F$62&amp;"'!B2:B1000")=$B37) * (INDIRECT("'"&amp;F$62&amp;"'!C2:C1000")=$C37)
        ),
        5,
        FALSE
    )
)</f>
        <v/>
      </c>
      <c r="G37" s="86">
        <f t="array" ref="G37">IF(
    VLOOKUP(
        $A37,
        _xlfn._xlws.FILTER(
            INDIRECT("'"&amp;G$62&amp;"'!A2:E1000"), (INDIRECT("'"&amp;G$62&amp;"'!B2:B1000")=$B37) * (INDIRECT("'"&amp;G$62&amp;"'!C2:C1000")=$C37)
        ),
        5,
        FALSE
    )=0,
    "",
    VLOOKUP(
        $A37,
        _xlfn._xlws.FILTER(
            INDIRECT("'"&amp;G$62&amp;"'!A2:E1000"), (INDIRECT("'"&amp;G$62&amp;"'!B2:B1000")=$B37) * (INDIRECT("'"&amp;G$62&amp;"'!C2:C1000")=$C37)
        ),
        5,
        FALSE
    )
)</f>
        <v/>
      </c>
      <c r="H37" s="86">
        <f t="array" ref="H37">IF(
    VLOOKUP(
        $A37,
        _xlfn._xlws.FILTER(
            INDIRECT("'"&amp;H$62&amp;"'!A2:E1000"), (INDIRECT("'"&amp;H$62&amp;"'!B2:B1000")=$B37) * (INDIRECT("'"&amp;H$62&amp;"'!C2:C1000")=$C37)
        ),
        5,
        FALSE
    )=0,
    "",
    VLOOKUP(
        $A37,
        _xlfn._xlws.FILTER(
            INDIRECT("'"&amp;H$62&amp;"'!A2:E1000"), (INDIRECT("'"&amp;H$62&amp;"'!B2:B1000")=$B37) * (INDIRECT("'"&amp;H$62&amp;"'!C2:C1000")=$C37)
        ),
        5,
        FALSE
    )
)</f>
        <v/>
      </c>
      <c r="I37" s="86">
        <f t="array" ref="I37">IF(
    VLOOKUP(
        $A37,
        _xlfn._xlws.FILTER(
            INDIRECT("'"&amp;I$62&amp;"'!A2:E1000"), (INDIRECT("'"&amp;I$62&amp;"'!B2:B1000")=$B37) * (INDIRECT("'"&amp;I$62&amp;"'!C2:C1000")=$C37)
        ),
        5,
        FALSE
    )=0,
    "",
    VLOOKUP(
        $A37,
        _xlfn._xlws.FILTER(
            INDIRECT("'"&amp;I$62&amp;"'!A2:E1000"), (INDIRECT("'"&amp;I$62&amp;"'!B2:B1000")=$B37) * (INDIRECT("'"&amp;I$62&amp;"'!C2:C1000")=$C37)
        ),
        5,
        FALSE
    )
)</f>
        <v/>
      </c>
      <c r="J37" s="86">
        <f t="array" ref="J37">IF(
    VLOOKUP(
        $A37,
        _xlfn._xlws.FILTER(
            INDIRECT("'"&amp;J$62&amp;"'!A2:E1000"), (INDIRECT("'"&amp;J$62&amp;"'!B2:B1000")=$B37) * (INDIRECT("'"&amp;J$62&amp;"'!C2:C1000")=$C37)
        ),
        5,
        FALSE
    )=0,
    "",
    VLOOKUP(
        $A37,
        _xlfn._xlws.FILTER(
            INDIRECT("'"&amp;J$62&amp;"'!A2:E1000"), (INDIRECT("'"&amp;J$62&amp;"'!B2:B1000")=$B37) * (INDIRECT("'"&amp;J$62&amp;"'!C2:C1000")=$C37)
        ),
        5,
        FALSE
    )
)</f>
        <v/>
      </c>
      <c r="K37" s="86">
        <f t="array" ref="K37">IF(
    VLOOKUP(
        $A37,
        _xlfn._xlws.FILTER(
            INDIRECT("'"&amp;K$62&amp;"'!A2:E1000"), (INDIRECT("'"&amp;K$62&amp;"'!B2:B1000")=$B37) * (INDIRECT("'"&amp;K$62&amp;"'!C2:C1000")=$C37)
        ),
        5,
        FALSE
    )=0,
    "",
    VLOOKUP(
        $A37,
        _xlfn._xlws.FILTER(
            INDIRECT("'"&amp;K$62&amp;"'!A2:E1000"), (INDIRECT("'"&amp;K$62&amp;"'!B2:B1000")=$B37) * (INDIRECT("'"&amp;K$62&amp;"'!C2:C1000")=$C37)
        ),
        5,
        FALSE
    )
)</f>
        <v/>
      </c>
      <c r="L37" s="86">
        <f t="array" ref="L37">IF(
    VLOOKUP(
        $A37,
        _xlfn._xlws.FILTER(
            INDIRECT("'"&amp;L$62&amp;"'!A2:E1000"), (INDIRECT("'"&amp;L$62&amp;"'!B2:B1000")=$B37) * (INDIRECT("'"&amp;L$62&amp;"'!C2:C1000")=$C37)
        ),
        5,
        FALSE
    )=0,
    "",
    VLOOKUP(
        $A37,
        _xlfn._xlws.FILTER(
            INDIRECT("'"&amp;L$62&amp;"'!A2:E1000"), (INDIRECT("'"&amp;L$62&amp;"'!B2:B1000")=$B37) * (INDIRECT("'"&amp;L$62&amp;"'!C2:C1000")=$C37)
        ),
        5,
        FALSE
    )
)</f>
        <v/>
      </c>
      <c r="M37" s="86">
        <f t="array" ref="M37">IF(
    VLOOKUP(
        $A37,
        _xlfn._xlws.FILTER(
            INDIRECT("'"&amp;M$62&amp;"'!A2:E1000"), (INDIRECT("'"&amp;M$62&amp;"'!B2:B1000")=$B37) * (INDIRECT("'"&amp;M$62&amp;"'!C2:C1000")=$C37)
        ),
        5,
        FALSE
    )=0,
    "",
    VLOOKUP(
        $A37,
        _xlfn._xlws.FILTER(
            INDIRECT("'"&amp;M$62&amp;"'!A2:E1000"), (INDIRECT("'"&amp;M$62&amp;"'!B2:B1000")=$B37) * (INDIRECT("'"&amp;M$62&amp;"'!C2:C1000")=$C37)
        ),
        5,
        FALSE
    )
)</f>
        <v/>
      </c>
      <c r="N37" s="86">
        <f t="array" ref="N37">IF(
    VLOOKUP(
        $A37,
        _xlfn._xlws.FILTER(
            INDIRECT("'"&amp;N$62&amp;"'!A2:E1000"), (INDIRECT("'"&amp;N$62&amp;"'!B2:B1000")=$B37) * (INDIRECT("'"&amp;N$62&amp;"'!C2:C1000")=$C37)
        ),
        5,
        FALSE
    )=0,
    "",
    VLOOKUP(
        $A37,
        _xlfn._xlws.FILTER(
            INDIRECT("'"&amp;N$62&amp;"'!A2:E1000"), (INDIRECT("'"&amp;N$62&amp;"'!B2:B1000")=$B37) * (INDIRECT("'"&amp;N$62&amp;"'!C2:C1000")=$C37)
        ),
        5,
        FALSE
    )
)</f>
        <v/>
      </c>
      <c r="O37" s="86">
        <f t="array" ref="O37">IF(
    VLOOKUP(
        $A37,
        _xlfn._xlws.FILTER(
            INDIRECT("'"&amp;O$62&amp;"'!A2:E1000"), (INDIRECT("'"&amp;O$62&amp;"'!B2:B1000")=$B37) * (INDIRECT("'"&amp;O$62&amp;"'!C2:C1000")=$C37)
        ),
        5,
        FALSE
    )=0,
    "",
    VLOOKUP(
        $A37,
        _xlfn._xlws.FILTER(
            INDIRECT("'"&amp;O$62&amp;"'!A2:E1000"), (INDIRECT("'"&amp;O$62&amp;"'!B2:B1000")=$B37) * (INDIRECT("'"&amp;O$62&amp;"'!C2:C1000")=$C37)
        ),
        5,
        FALSE
    )
)</f>
        <v/>
      </c>
    </row>
    <row r="38">
      <c r="A38" s="61" t="inlineStr">
        <is>
          <t>Guarapuava II</t>
        </is>
      </c>
      <c r="B38" s="58" t="inlineStr">
        <is>
          <t>Santa Maria Do Oeste</t>
        </is>
      </c>
      <c r="C38" s="85" t="inlineStr">
        <is>
          <t>01</t>
        </is>
      </c>
      <c r="D38" s="86">
        <f t="array" ref="D38">IF(
    VLOOKUP(
        $A38,
        _xlfn._xlws.FILTER(
            INDIRECT("'"&amp;D$62&amp;"'!A2:E1000"), (INDIRECT("'"&amp;D$62&amp;"'!B2:B1000")=$B38) * (INDIRECT("'"&amp;D$62&amp;"'!C2:C1000")=$C38)
        ),
        5,
        FALSE
    )=0,
    "",
    VLOOKUP(
        $A38,
        _xlfn._xlws.FILTER(
            INDIRECT("'"&amp;D$62&amp;"'!A2:E1000"), (INDIRECT("'"&amp;D$62&amp;"'!B2:B1000")=$B38) * (INDIRECT("'"&amp;D$62&amp;"'!C2:C1000")=$C38)
        ),
        5,
        FALSE
    )
)</f>
        <v/>
      </c>
      <c r="E38" s="86">
        <f t="array" ref="E38">IF(
    VLOOKUP(
        $A38,
        _xlfn._xlws.FILTER(
            INDIRECT("'"&amp;E$62&amp;"'!A2:E1000"), (INDIRECT("'"&amp;E$62&amp;"'!B2:B1000")=$B38) * (INDIRECT("'"&amp;E$62&amp;"'!C2:C1000")=$C38)
        ),
        5,
        FALSE
    )=0,
    "",
    VLOOKUP(
        $A38,
        _xlfn._xlws.FILTER(
            INDIRECT("'"&amp;E$62&amp;"'!A2:E1000"), (INDIRECT("'"&amp;E$62&amp;"'!B2:B1000")=$B38) * (INDIRECT("'"&amp;E$62&amp;"'!C2:C1000")=$C38)
        ),
        5,
        FALSE
    )
)</f>
        <v/>
      </c>
      <c r="F38" s="86">
        <f t="array" ref="F38">IF(
    VLOOKUP(
        $A38,
        _xlfn._xlws.FILTER(
            INDIRECT("'"&amp;F$62&amp;"'!A2:E1000"), (INDIRECT("'"&amp;F$62&amp;"'!B2:B1000")=$B38) * (INDIRECT("'"&amp;F$62&amp;"'!C2:C1000")=$C38)
        ),
        5,
        FALSE
    )=0,
    "",
    VLOOKUP(
        $A38,
        _xlfn._xlws.FILTER(
            INDIRECT("'"&amp;F$62&amp;"'!A2:E1000"), (INDIRECT("'"&amp;F$62&amp;"'!B2:B1000")=$B38) * (INDIRECT("'"&amp;F$62&amp;"'!C2:C1000")=$C38)
        ),
        5,
        FALSE
    )
)</f>
        <v/>
      </c>
      <c r="G38" s="86">
        <f t="array" ref="G38">IF(
    VLOOKUP(
        $A38,
        _xlfn._xlws.FILTER(
            INDIRECT("'"&amp;G$62&amp;"'!A2:E1000"), (INDIRECT("'"&amp;G$62&amp;"'!B2:B1000")=$B38) * (INDIRECT("'"&amp;G$62&amp;"'!C2:C1000")=$C38)
        ),
        5,
        FALSE
    )=0,
    "",
    VLOOKUP(
        $A38,
        _xlfn._xlws.FILTER(
            INDIRECT("'"&amp;G$62&amp;"'!A2:E1000"), (INDIRECT("'"&amp;G$62&amp;"'!B2:B1000")=$B38) * (INDIRECT("'"&amp;G$62&amp;"'!C2:C1000")=$C38)
        ),
        5,
        FALSE
    )
)</f>
        <v/>
      </c>
      <c r="H38" s="86">
        <f t="array" ref="H38">IF(
    VLOOKUP(
        $A38,
        _xlfn._xlws.FILTER(
            INDIRECT("'"&amp;H$62&amp;"'!A2:E1000"), (INDIRECT("'"&amp;H$62&amp;"'!B2:B1000")=$B38) * (INDIRECT("'"&amp;H$62&amp;"'!C2:C1000")=$C38)
        ),
        5,
        FALSE
    )=0,
    "",
    VLOOKUP(
        $A38,
        _xlfn._xlws.FILTER(
            INDIRECT("'"&amp;H$62&amp;"'!A2:E1000"), (INDIRECT("'"&amp;H$62&amp;"'!B2:B1000")=$B38) * (INDIRECT("'"&amp;H$62&amp;"'!C2:C1000")=$C38)
        ),
        5,
        FALSE
    )
)</f>
        <v/>
      </c>
      <c r="I38" s="86">
        <f t="array" ref="I38">IF(
    VLOOKUP(
        $A38,
        _xlfn._xlws.FILTER(
            INDIRECT("'"&amp;I$62&amp;"'!A2:E1000"), (INDIRECT("'"&amp;I$62&amp;"'!B2:B1000")=$B38) * (INDIRECT("'"&amp;I$62&amp;"'!C2:C1000")=$C38)
        ),
        5,
        FALSE
    )=0,
    "",
    VLOOKUP(
        $A38,
        _xlfn._xlws.FILTER(
            INDIRECT("'"&amp;I$62&amp;"'!A2:E1000"), (INDIRECT("'"&amp;I$62&amp;"'!B2:B1000")=$B38) * (INDIRECT("'"&amp;I$62&amp;"'!C2:C1000")=$C38)
        ),
        5,
        FALSE
    )
)</f>
        <v/>
      </c>
      <c r="J38" s="86">
        <f t="array" ref="J38">IF(
    VLOOKUP(
        $A38,
        _xlfn._xlws.FILTER(
            INDIRECT("'"&amp;J$62&amp;"'!A2:E1000"), (INDIRECT("'"&amp;J$62&amp;"'!B2:B1000")=$B38) * (INDIRECT("'"&amp;J$62&amp;"'!C2:C1000")=$C38)
        ),
        5,
        FALSE
    )=0,
    "",
    VLOOKUP(
        $A38,
        _xlfn._xlws.FILTER(
            INDIRECT("'"&amp;J$62&amp;"'!A2:E1000"), (INDIRECT("'"&amp;J$62&amp;"'!B2:B1000")=$B38) * (INDIRECT("'"&amp;J$62&amp;"'!C2:C1000")=$C38)
        ),
        5,
        FALSE
    )
)</f>
        <v/>
      </c>
      <c r="K38" s="86">
        <f t="array" ref="K38">IF(
    VLOOKUP(
        $A38,
        _xlfn._xlws.FILTER(
            INDIRECT("'"&amp;K$62&amp;"'!A2:E1000"), (INDIRECT("'"&amp;K$62&amp;"'!B2:B1000")=$B38) * (INDIRECT("'"&amp;K$62&amp;"'!C2:C1000")=$C38)
        ),
        5,
        FALSE
    )=0,
    "",
    VLOOKUP(
        $A38,
        _xlfn._xlws.FILTER(
            INDIRECT("'"&amp;K$62&amp;"'!A2:E1000"), (INDIRECT("'"&amp;K$62&amp;"'!B2:B1000")=$B38) * (INDIRECT("'"&amp;K$62&amp;"'!C2:C1000")=$C38)
        ),
        5,
        FALSE
    )
)</f>
        <v/>
      </c>
      <c r="L38" s="86">
        <f t="array" ref="L38">IF(
    VLOOKUP(
        $A38,
        _xlfn._xlws.FILTER(
            INDIRECT("'"&amp;L$62&amp;"'!A2:E1000"), (INDIRECT("'"&amp;L$62&amp;"'!B2:B1000")=$B38) * (INDIRECT("'"&amp;L$62&amp;"'!C2:C1000")=$C38)
        ),
        5,
        FALSE
    )=0,
    "",
    VLOOKUP(
        $A38,
        _xlfn._xlws.FILTER(
            INDIRECT("'"&amp;L$62&amp;"'!A2:E1000"), (INDIRECT("'"&amp;L$62&amp;"'!B2:B1000")=$B38) * (INDIRECT("'"&amp;L$62&amp;"'!C2:C1000")=$C38)
        ),
        5,
        FALSE
    )
)</f>
        <v/>
      </c>
      <c r="M38" s="86">
        <f t="array" ref="M38">IF(
    VLOOKUP(
        $A38,
        _xlfn._xlws.FILTER(
            INDIRECT("'"&amp;M$62&amp;"'!A2:E1000"), (INDIRECT("'"&amp;M$62&amp;"'!B2:B1000")=$B38) * (INDIRECT("'"&amp;M$62&amp;"'!C2:C1000")=$C38)
        ),
        5,
        FALSE
    )=0,
    "",
    VLOOKUP(
        $A38,
        _xlfn._xlws.FILTER(
            INDIRECT("'"&amp;M$62&amp;"'!A2:E1000"), (INDIRECT("'"&amp;M$62&amp;"'!B2:B1000")=$B38) * (INDIRECT("'"&amp;M$62&amp;"'!C2:C1000")=$C38)
        ),
        5,
        FALSE
    )
)</f>
        <v/>
      </c>
      <c r="N38" s="86">
        <f t="array" ref="N38">IF(
    VLOOKUP(
        $A38,
        _xlfn._xlws.FILTER(
            INDIRECT("'"&amp;N$62&amp;"'!A2:E1000"), (INDIRECT("'"&amp;N$62&amp;"'!B2:B1000")=$B38) * (INDIRECT("'"&amp;N$62&amp;"'!C2:C1000")=$C38)
        ),
        5,
        FALSE
    )=0,
    "",
    VLOOKUP(
        $A38,
        _xlfn._xlws.FILTER(
            INDIRECT("'"&amp;N$62&amp;"'!A2:E1000"), (INDIRECT("'"&amp;N$62&amp;"'!B2:B1000")=$B38) * (INDIRECT("'"&amp;N$62&amp;"'!C2:C1000")=$C38)
        ),
        5,
        FALSE
    )
)</f>
        <v/>
      </c>
      <c r="O38" s="86">
        <f t="array" ref="O38">IF(
    VLOOKUP(
        $A38,
        _xlfn._xlws.FILTER(
            INDIRECT("'"&amp;O$62&amp;"'!A2:E1000"), (INDIRECT("'"&amp;O$62&amp;"'!B2:B1000")=$B38) * (INDIRECT("'"&amp;O$62&amp;"'!C2:C1000")=$C38)
        ),
        5,
        FALSE
    )=0,
    "",
    VLOOKUP(
        $A38,
        _xlfn._xlws.FILTER(
            INDIRECT("'"&amp;O$62&amp;"'!A2:E1000"), (INDIRECT("'"&amp;O$62&amp;"'!B2:B1000")=$B38) * (INDIRECT("'"&amp;O$62&amp;"'!C2:C1000")=$C38)
        ),
        5,
        FALSE
    )
)</f>
        <v/>
      </c>
    </row>
    <row r="39">
      <c r="A39" s="61" t="inlineStr">
        <is>
          <t>Guarapuava II</t>
        </is>
      </c>
      <c r="B39" s="58" t="inlineStr">
        <is>
          <t>São João</t>
        </is>
      </c>
      <c r="C39" s="85" t="inlineStr">
        <is>
          <t>01</t>
        </is>
      </c>
      <c r="D39" s="86">
        <f t="array" ref="D39">IF(
    VLOOKUP(
        $A39,
        _xlfn._xlws.FILTER(
            INDIRECT("'"&amp;D$62&amp;"'!A2:E1000"), (INDIRECT("'"&amp;D$62&amp;"'!B2:B1000")=$B39) * (INDIRECT("'"&amp;D$62&amp;"'!C2:C1000")=$C39)
        ),
        5,
        FALSE
    )=0,
    "",
    VLOOKUP(
        $A39,
        _xlfn._xlws.FILTER(
            INDIRECT("'"&amp;D$62&amp;"'!A2:E1000"), (INDIRECT("'"&amp;D$62&amp;"'!B2:B1000")=$B39) * (INDIRECT("'"&amp;D$62&amp;"'!C2:C1000")=$C39)
        ),
        5,
        FALSE
    )
)</f>
        <v/>
      </c>
      <c r="E39" s="86">
        <f t="array" ref="E39">IF(
    VLOOKUP(
        $A39,
        _xlfn._xlws.FILTER(
            INDIRECT("'"&amp;E$62&amp;"'!A2:E1000"), (INDIRECT("'"&amp;E$62&amp;"'!B2:B1000")=$B39) * (INDIRECT("'"&amp;E$62&amp;"'!C2:C1000")=$C39)
        ),
        5,
        FALSE
    )=0,
    "",
    VLOOKUP(
        $A39,
        _xlfn._xlws.FILTER(
            INDIRECT("'"&amp;E$62&amp;"'!A2:E1000"), (INDIRECT("'"&amp;E$62&amp;"'!B2:B1000")=$B39) * (INDIRECT("'"&amp;E$62&amp;"'!C2:C1000")=$C39)
        ),
        5,
        FALSE
    )
)</f>
        <v/>
      </c>
      <c r="F39" s="86">
        <f t="array" ref="F39">IF(
    VLOOKUP(
        $A39,
        _xlfn._xlws.FILTER(
            INDIRECT("'"&amp;F$62&amp;"'!A2:E1000"), (INDIRECT("'"&amp;F$62&amp;"'!B2:B1000")=$B39) * (INDIRECT("'"&amp;F$62&amp;"'!C2:C1000")=$C39)
        ),
        5,
        FALSE
    )=0,
    "",
    VLOOKUP(
        $A39,
        _xlfn._xlws.FILTER(
            INDIRECT("'"&amp;F$62&amp;"'!A2:E1000"), (INDIRECT("'"&amp;F$62&amp;"'!B2:B1000")=$B39) * (INDIRECT("'"&amp;F$62&amp;"'!C2:C1000")=$C39)
        ),
        5,
        FALSE
    )
)</f>
        <v/>
      </c>
      <c r="G39" s="86">
        <f t="array" ref="G39">IF(
    VLOOKUP(
        $A39,
        _xlfn._xlws.FILTER(
            INDIRECT("'"&amp;G$62&amp;"'!A2:E1000"), (INDIRECT("'"&amp;G$62&amp;"'!B2:B1000")=$B39) * (INDIRECT("'"&amp;G$62&amp;"'!C2:C1000")=$C39)
        ),
        5,
        FALSE
    )=0,
    "",
    VLOOKUP(
        $A39,
        _xlfn._xlws.FILTER(
            INDIRECT("'"&amp;G$62&amp;"'!A2:E1000"), (INDIRECT("'"&amp;G$62&amp;"'!B2:B1000")=$B39) * (INDIRECT("'"&amp;G$62&amp;"'!C2:C1000")=$C39)
        ),
        5,
        FALSE
    )
)</f>
        <v/>
      </c>
      <c r="H39" s="86">
        <f t="array" ref="H39">IF(
    VLOOKUP(
        $A39,
        _xlfn._xlws.FILTER(
            INDIRECT("'"&amp;H$62&amp;"'!A2:E1000"), (INDIRECT("'"&amp;H$62&amp;"'!B2:B1000")=$B39) * (INDIRECT("'"&amp;H$62&amp;"'!C2:C1000")=$C39)
        ),
        5,
        FALSE
    )=0,
    "",
    VLOOKUP(
        $A39,
        _xlfn._xlws.FILTER(
            INDIRECT("'"&amp;H$62&amp;"'!A2:E1000"), (INDIRECT("'"&amp;H$62&amp;"'!B2:B1000")=$B39) * (INDIRECT("'"&amp;H$62&amp;"'!C2:C1000")=$C39)
        ),
        5,
        FALSE
    )
)</f>
        <v/>
      </c>
      <c r="I39" s="86">
        <f t="array" ref="I39">IF(
    VLOOKUP(
        $A39,
        _xlfn._xlws.FILTER(
            INDIRECT("'"&amp;I$62&amp;"'!A2:E1000"), (INDIRECT("'"&amp;I$62&amp;"'!B2:B1000")=$B39) * (INDIRECT("'"&amp;I$62&amp;"'!C2:C1000")=$C39)
        ),
        5,
        FALSE
    )=0,
    "",
    VLOOKUP(
        $A39,
        _xlfn._xlws.FILTER(
            INDIRECT("'"&amp;I$62&amp;"'!A2:E1000"), (INDIRECT("'"&amp;I$62&amp;"'!B2:B1000")=$B39) * (INDIRECT("'"&amp;I$62&amp;"'!C2:C1000")=$C39)
        ),
        5,
        FALSE
    )
)</f>
        <v/>
      </c>
      <c r="J39" s="86">
        <f t="array" ref="J39">IF(
    VLOOKUP(
        $A39,
        _xlfn._xlws.FILTER(
            INDIRECT("'"&amp;J$62&amp;"'!A2:E1000"), (INDIRECT("'"&amp;J$62&amp;"'!B2:B1000")=$B39) * (INDIRECT("'"&amp;J$62&amp;"'!C2:C1000")=$C39)
        ),
        5,
        FALSE
    )=0,
    "",
    VLOOKUP(
        $A39,
        _xlfn._xlws.FILTER(
            INDIRECT("'"&amp;J$62&amp;"'!A2:E1000"), (INDIRECT("'"&amp;J$62&amp;"'!B2:B1000")=$B39) * (INDIRECT("'"&amp;J$62&amp;"'!C2:C1000")=$C39)
        ),
        5,
        FALSE
    )
)</f>
        <v/>
      </c>
      <c r="K39" s="86">
        <f t="array" ref="K39">IF(
    VLOOKUP(
        $A39,
        _xlfn._xlws.FILTER(
            INDIRECT("'"&amp;K$62&amp;"'!A2:E1000"), (INDIRECT("'"&amp;K$62&amp;"'!B2:B1000")=$B39) * (INDIRECT("'"&amp;K$62&amp;"'!C2:C1000")=$C39)
        ),
        5,
        FALSE
    )=0,
    "",
    VLOOKUP(
        $A39,
        _xlfn._xlws.FILTER(
            INDIRECT("'"&amp;K$62&amp;"'!A2:E1000"), (INDIRECT("'"&amp;K$62&amp;"'!B2:B1000")=$B39) * (INDIRECT("'"&amp;K$62&amp;"'!C2:C1000")=$C39)
        ),
        5,
        FALSE
    )
)</f>
        <v/>
      </c>
      <c r="L39" s="86">
        <f t="array" ref="L39">IF(
    VLOOKUP(
        $A39,
        _xlfn._xlws.FILTER(
            INDIRECT("'"&amp;L$62&amp;"'!A2:E1000"), (INDIRECT("'"&amp;L$62&amp;"'!B2:B1000")=$B39) * (INDIRECT("'"&amp;L$62&amp;"'!C2:C1000")=$C39)
        ),
        5,
        FALSE
    )=0,
    "",
    VLOOKUP(
        $A39,
        _xlfn._xlws.FILTER(
            INDIRECT("'"&amp;L$62&amp;"'!A2:E1000"), (INDIRECT("'"&amp;L$62&amp;"'!B2:B1000")=$B39) * (INDIRECT("'"&amp;L$62&amp;"'!C2:C1000")=$C39)
        ),
        5,
        FALSE
    )
)</f>
        <v/>
      </c>
      <c r="M39" s="86">
        <f t="array" ref="M39">IF(
    VLOOKUP(
        $A39,
        _xlfn._xlws.FILTER(
            INDIRECT("'"&amp;M$62&amp;"'!A2:E1000"), (INDIRECT("'"&amp;M$62&amp;"'!B2:B1000")=$B39) * (INDIRECT("'"&amp;M$62&amp;"'!C2:C1000")=$C39)
        ),
        5,
        FALSE
    )=0,
    "",
    VLOOKUP(
        $A39,
        _xlfn._xlws.FILTER(
            INDIRECT("'"&amp;M$62&amp;"'!A2:E1000"), (INDIRECT("'"&amp;M$62&amp;"'!B2:B1000")=$B39) * (INDIRECT("'"&amp;M$62&amp;"'!C2:C1000")=$C39)
        ),
        5,
        FALSE
    )
)</f>
        <v/>
      </c>
      <c r="N39" s="86">
        <f t="array" ref="N39">IF(
    VLOOKUP(
        $A39,
        _xlfn._xlws.FILTER(
            INDIRECT("'"&amp;N$62&amp;"'!A2:E1000"), (INDIRECT("'"&amp;N$62&amp;"'!B2:B1000")=$B39) * (INDIRECT("'"&amp;N$62&amp;"'!C2:C1000")=$C39)
        ),
        5,
        FALSE
    )=0,
    "",
    VLOOKUP(
        $A39,
        _xlfn._xlws.FILTER(
            INDIRECT("'"&amp;N$62&amp;"'!A2:E1000"), (INDIRECT("'"&amp;N$62&amp;"'!B2:B1000")=$B39) * (INDIRECT("'"&amp;N$62&amp;"'!C2:C1000")=$C39)
        ),
        5,
        FALSE
    )
)</f>
        <v/>
      </c>
      <c r="O39" s="86">
        <f t="array" ref="O39">IF(
    VLOOKUP(
        $A39,
        _xlfn._xlws.FILTER(
            INDIRECT("'"&amp;O$62&amp;"'!A2:E1000"), (INDIRECT("'"&amp;O$62&amp;"'!B2:B1000")=$B39) * (INDIRECT("'"&amp;O$62&amp;"'!C2:C1000")=$C39)
        ),
        5,
        FALSE
    )=0,
    "",
    VLOOKUP(
        $A39,
        _xlfn._xlws.FILTER(
            INDIRECT("'"&amp;O$62&amp;"'!A2:E1000"), (INDIRECT("'"&amp;O$62&amp;"'!B2:B1000")=$B39) * (INDIRECT("'"&amp;O$62&amp;"'!C2:C1000")=$C39)
        ),
        5,
        FALSE
    )
)</f>
        <v/>
      </c>
    </row>
    <row r="40"/>
    <row r="41" ht="15.75" customHeight="1">
      <c r="A41" s="29" t="inlineStr">
        <is>
          <t>Johvanny</t>
        </is>
      </c>
      <c r="B41" s="84" t="inlineStr">
        <is>
          <t>Municípios</t>
        </is>
      </c>
      <c r="C41" s="84" t="inlineStr">
        <is>
          <t>UVR</t>
        </is>
      </c>
      <c r="D41" s="4" t="inlineStr">
        <is>
          <t>01.25</t>
        </is>
      </c>
      <c r="E41" s="4" t="inlineStr">
        <is>
          <t>02.25</t>
        </is>
      </c>
      <c r="F41" s="4" t="inlineStr">
        <is>
          <t>03.25</t>
        </is>
      </c>
      <c r="G41" s="4" t="inlineStr">
        <is>
          <t>04.25</t>
        </is>
      </c>
      <c r="H41" s="4" t="inlineStr">
        <is>
          <t>05.25</t>
        </is>
      </c>
      <c r="I41" s="4" t="inlineStr">
        <is>
          <t>06.25</t>
        </is>
      </c>
      <c r="J41" s="4" t="inlineStr">
        <is>
          <t>07.25</t>
        </is>
      </c>
      <c r="K41" s="4" t="inlineStr">
        <is>
          <t>08.25</t>
        </is>
      </c>
      <c r="L41" s="4" t="inlineStr">
        <is>
          <t>09.25</t>
        </is>
      </c>
      <c r="M41" s="4" t="inlineStr">
        <is>
          <t>10.25</t>
        </is>
      </c>
      <c r="N41" s="4" t="inlineStr">
        <is>
          <t>11.25</t>
        </is>
      </c>
      <c r="O41" s="4" t="inlineStr">
        <is>
          <t>12.25</t>
        </is>
      </c>
    </row>
    <row r="42" ht="15.75" customHeight="1">
      <c r="A42" s="28" t="inlineStr">
        <is>
          <t>Londrina</t>
        </is>
      </c>
      <c r="B42" s="58" t="inlineStr">
        <is>
          <t>Cambará</t>
        </is>
      </c>
      <c r="C42" s="85" t="inlineStr">
        <is>
          <t>01</t>
        </is>
      </c>
      <c r="D42" s="86">
        <f t="array" ref="D42">IF(
    VLOOKUP(
        $A42,
        _xlfn._xlws.FILTER(
            INDIRECT("'"&amp;D$62&amp;"'!A2:E1000"), (INDIRECT("'"&amp;D$62&amp;"'!B2:B1000")=$B42) * (INDIRECT("'"&amp;D$62&amp;"'!C2:C1000")=$C42)
        ),
        5,
        FALSE
    )=0,
    "",
    VLOOKUP(
        $A42,
        _xlfn._xlws.FILTER(
            INDIRECT("'"&amp;D$62&amp;"'!A2:E1000"), (INDIRECT("'"&amp;D$62&amp;"'!B2:B1000")=$B42) * (INDIRECT("'"&amp;D$62&amp;"'!C2:C1000")=$C42)
        ),
        5,
        FALSE
    )
)</f>
        <v/>
      </c>
      <c r="E42" s="86">
        <f t="array" ref="E42">IF(
    VLOOKUP(
        $A42,
        _xlfn._xlws.FILTER(
            INDIRECT("'"&amp;E$62&amp;"'!A2:E1000"), (INDIRECT("'"&amp;E$62&amp;"'!B2:B1000")=$B42) * (INDIRECT("'"&amp;E$62&amp;"'!C2:C1000")=$C42)
        ),
        5,
        FALSE
    )=0,
    "",
    VLOOKUP(
        $A42,
        _xlfn._xlws.FILTER(
            INDIRECT("'"&amp;E$62&amp;"'!A2:E1000"), (INDIRECT("'"&amp;E$62&amp;"'!B2:B1000")=$B42) * (INDIRECT("'"&amp;E$62&amp;"'!C2:C1000")=$C42)
        ),
        5,
        FALSE
    )
)</f>
        <v/>
      </c>
      <c r="F42" s="86">
        <f t="array" ref="F42">IF(
    VLOOKUP(
        $A42,
        _xlfn._xlws.FILTER(
            INDIRECT("'"&amp;F$62&amp;"'!A2:E1000"), (INDIRECT("'"&amp;F$62&amp;"'!B2:B1000")=$B42) * (INDIRECT("'"&amp;F$62&amp;"'!C2:C1000")=$C42)
        ),
        5,
        FALSE
    )=0,
    "",
    VLOOKUP(
        $A42,
        _xlfn._xlws.FILTER(
            INDIRECT("'"&amp;F$62&amp;"'!A2:E1000"), (INDIRECT("'"&amp;F$62&amp;"'!B2:B1000")=$B42) * (INDIRECT("'"&amp;F$62&amp;"'!C2:C1000")=$C42)
        ),
        5,
        FALSE
    )
)</f>
        <v/>
      </c>
      <c r="G42" s="86">
        <f t="array" ref="G42">IF(
    VLOOKUP(
        $A42,
        _xlfn._xlws.FILTER(
            INDIRECT("'"&amp;G$62&amp;"'!A2:E1000"), (INDIRECT("'"&amp;G$62&amp;"'!B2:B1000")=$B42) * (INDIRECT("'"&amp;G$62&amp;"'!C2:C1000")=$C42)
        ),
        5,
        FALSE
    )=0,
    "",
    VLOOKUP(
        $A42,
        _xlfn._xlws.FILTER(
            INDIRECT("'"&amp;G$62&amp;"'!A2:E1000"), (INDIRECT("'"&amp;G$62&amp;"'!B2:B1000")=$B42) * (INDIRECT("'"&amp;G$62&amp;"'!C2:C1000")=$C42)
        ),
        5,
        FALSE
    )
)</f>
        <v/>
      </c>
      <c r="H42" s="86">
        <f t="array" ref="H42">IF(
    VLOOKUP(
        $A42,
        _xlfn._xlws.FILTER(
            INDIRECT("'"&amp;H$62&amp;"'!A2:E1000"), (INDIRECT("'"&amp;H$62&amp;"'!B2:B1000")=$B42) * (INDIRECT("'"&amp;H$62&amp;"'!C2:C1000")=$C42)
        ),
        5,
        FALSE
    )=0,
    "",
    VLOOKUP(
        $A42,
        _xlfn._xlws.FILTER(
            INDIRECT("'"&amp;H$62&amp;"'!A2:E1000"), (INDIRECT("'"&amp;H$62&amp;"'!B2:B1000")=$B42) * (INDIRECT("'"&amp;H$62&amp;"'!C2:C1000")=$C42)
        ),
        5,
        FALSE
    )
)</f>
        <v/>
      </c>
      <c r="I42" s="86">
        <f t="array" ref="I42">IF(
    VLOOKUP(
        $A42,
        _xlfn._xlws.FILTER(
            INDIRECT("'"&amp;I$62&amp;"'!A2:E1000"), (INDIRECT("'"&amp;I$62&amp;"'!B2:B1000")=$B42) * (INDIRECT("'"&amp;I$62&amp;"'!C2:C1000")=$C42)
        ),
        5,
        FALSE
    )=0,
    "",
    VLOOKUP(
        $A42,
        _xlfn._xlws.FILTER(
            INDIRECT("'"&amp;I$62&amp;"'!A2:E1000"), (INDIRECT("'"&amp;I$62&amp;"'!B2:B1000")=$B42) * (INDIRECT("'"&amp;I$62&amp;"'!C2:C1000")=$C42)
        ),
        5,
        FALSE
    )
)</f>
        <v/>
      </c>
      <c r="J42" s="86">
        <f t="array" ref="J42">IF(
    VLOOKUP(
        $A42,
        _xlfn._xlws.FILTER(
            INDIRECT("'"&amp;J$62&amp;"'!A2:E1000"), (INDIRECT("'"&amp;J$62&amp;"'!B2:B1000")=$B42) * (INDIRECT("'"&amp;J$62&amp;"'!C2:C1000")=$C42)
        ),
        5,
        FALSE
    )=0,
    "",
    VLOOKUP(
        $A42,
        _xlfn._xlws.FILTER(
            INDIRECT("'"&amp;J$62&amp;"'!A2:E1000"), (INDIRECT("'"&amp;J$62&amp;"'!B2:B1000")=$B42) * (INDIRECT("'"&amp;J$62&amp;"'!C2:C1000")=$C42)
        ),
        5,
        FALSE
    )
)</f>
        <v/>
      </c>
      <c r="K42" s="86">
        <f t="array" ref="K42">IF(
    VLOOKUP(
        $A42,
        _xlfn._xlws.FILTER(
            INDIRECT("'"&amp;K$62&amp;"'!A2:E1000"), (INDIRECT("'"&amp;K$62&amp;"'!B2:B1000")=$B42) * (INDIRECT("'"&amp;K$62&amp;"'!C2:C1000")=$C42)
        ),
        5,
        FALSE
    )=0,
    "",
    VLOOKUP(
        $A42,
        _xlfn._xlws.FILTER(
            INDIRECT("'"&amp;K$62&amp;"'!A2:E1000"), (INDIRECT("'"&amp;K$62&amp;"'!B2:B1000")=$B42) * (INDIRECT("'"&amp;K$62&amp;"'!C2:C1000")=$C42)
        ),
        5,
        FALSE
    )
)</f>
        <v/>
      </c>
      <c r="L42" s="86">
        <f t="array" ref="L42">IF(
    VLOOKUP(
        $A42,
        _xlfn._xlws.FILTER(
            INDIRECT("'"&amp;L$62&amp;"'!A2:E1000"), (INDIRECT("'"&amp;L$62&amp;"'!B2:B1000")=$B42) * (INDIRECT("'"&amp;L$62&amp;"'!C2:C1000")=$C42)
        ),
        5,
        FALSE
    )=0,
    "",
    VLOOKUP(
        $A42,
        _xlfn._xlws.FILTER(
            INDIRECT("'"&amp;L$62&amp;"'!A2:E1000"), (INDIRECT("'"&amp;L$62&amp;"'!B2:B1000")=$B42) * (INDIRECT("'"&amp;L$62&amp;"'!C2:C1000")=$C42)
        ),
        5,
        FALSE
    )
)</f>
        <v/>
      </c>
      <c r="M42" s="86">
        <f t="array" ref="M42">IF(
    VLOOKUP(
        $A42,
        _xlfn._xlws.FILTER(
            INDIRECT("'"&amp;M$62&amp;"'!A2:E1000"), (INDIRECT("'"&amp;M$62&amp;"'!B2:B1000")=$B42) * (INDIRECT("'"&amp;M$62&amp;"'!C2:C1000")=$C42)
        ),
        5,
        FALSE
    )=0,
    "",
    VLOOKUP(
        $A42,
        _xlfn._xlws.FILTER(
            INDIRECT("'"&amp;M$62&amp;"'!A2:E1000"), (INDIRECT("'"&amp;M$62&amp;"'!B2:B1000")=$B42) * (INDIRECT("'"&amp;M$62&amp;"'!C2:C1000")=$C42)
        ),
        5,
        FALSE
    )
)</f>
        <v/>
      </c>
      <c r="N42" s="86">
        <f t="array" ref="N42">IF(
    VLOOKUP(
        $A42,
        _xlfn._xlws.FILTER(
            INDIRECT("'"&amp;N$62&amp;"'!A2:E1000"), (INDIRECT("'"&amp;N$62&amp;"'!B2:B1000")=$B42) * (INDIRECT("'"&amp;N$62&amp;"'!C2:C1000")=$C42)
        ),
        5,
        FALSE
    )=0,
    "",
    VLOOKUP(
        $A42,
        _xlfn._xlws.FILTER(
            INDIRECT("'"&amp;N$62&amp;"'!A2:E1000"), (INDIRECT("'"&amp;N$62&amp;"'!B2:B1000")=$B42) * (INDIRECT("'"&amp;N$62&amp;"'!C2:C1000")=$C42)
        ),
        5,
        FALSE
    )
)</f>
        <v/>
      </c>
      <c r="O42" s="86">
        <f t="array" ref="O42">IF(
    VLOOKUP(
        $A42,
        _xlfn._xlws.FILTER(
            INDIRECT("'"&amp;O$62&amp;"'!A2:E1000"), (INDIRECT("'"&amp;O$62&amp;"'!B2:B1000")=$B42) * (INDIRECT("'"&amp;O$62&amp;"'!C2:C1000")=$C42)
        ),
        5,
        FALSE
    )=0,
    "",
    VLOOKUP(
        $A42,
        _xlfn._xlws.FILTER(
            INDIRECT("'"&amp;O$62&amp;"'!A2:E1000"), (INDIRECT("'"&amp;O$62&amp;"'!B2:B1000")=$B42) * (INDIRECT("'"&amp;O$62&amp;"'!C2:C1000")=$C42)
        ),
        5,
        FALSE
    )
)</f>
        <v/>
      </c>
    </row>
    <row r="43">
      <c r="A43" s="28" t="inlineStr">
        <is>
          <t>Londrina</t>
        </is>
      </c>
      <c r="B43" s="58" t="inlineStr">
        <is>
          <t>Ibaiti</t>
        </is>
      </c>
      <c r="C43" s="85" t="inlineStr">
        <is>
          <t>01</t>
        </is>
      </c>
      <c r="D43" s="86">
        <f t="array" ref="D43">IF(
    VLOOKUP(
        $A43,
        _xlfn._xlws.FILTER(
            INDIRECT("'"&amp;D$62&amp;"'!A2:E1000"), (INDIRECT("'"&amp;D$62&amp;"'!B2:B1000")=$B43) * (INDIRECT("'"&amp;D$62&amp;"'!C2:C1000")=$C43)
        ),
        5,
        FALSE
    )=0,
    "",
    VLOOKUP(
        $A43,
        _xlfn._xlws.FILTER(
            INDIRECT("'"&amp;D$62&amp;"'!A2:E1000"), (INDIRECT("'"&amp;D$62&amp;"'!B2:B1000")=$B43) * (INDIRECT("'"&amp;D$62&amp;"'!C2:C1000")=$C43)
        ),
        5,
        FALSE
    )
)</f>
        <v/>
      </c>
      <c r="E43" s="86">
        <f t="array" ref="E43">IF(
    VLOOKUP(
        $A43,
        _xlfn._xlws.FILTER(
            INDIRECT("'"&amp;E$62&amp;"'!A2:E1000"), (INDIRECT("'"&amp;E$62&amp;"'!B2:B1000")=$B43) * (INDIRECT("'"&amp;E$62&amp;"'!C2:C1000")=$C43)
        ),
        5,
        FALSE
    )=0,
    "",
    VLOOKUP(
        $A43,
        _xlfn._xlws.FILTER(
            INDIRECT("'"&amp;E$62&amp;"'!A2:E1000"), (INDIRECT("'"&amp;E$62&amp;"'!B2:B1000")=$B43) * (INDIRECT("'"&amp;E$62&amp;"'!C2:C1000")=$C43)
        ),
        5,
        FALSE
    )
)</f>
        <v/>
      </c>
      <c r="F43" s="86">
        <f t="array" ref="F43">IF(
    VLOOKUP(
        $A43,
        _xlfn._xlws.FILTER(
            INDIRECT("'"&amp;F$62&amp;"'!A2:E1000"), (INDIRECT("'"&amp;F$62&amp;"'!B2:B1000")=$B43) * (INDIRECT("'"&amp;F$62&amp;"'!C2:C1000")=$C43)
        ),
        5,
        FALSE
    )=0,
    "",
    VLOOKUP(
        $A43,
        _xlfn._xlws.FILTER(
            INDIRECT("'"&amp;F$62&amp;"'!A2:E1000"), (INDIRECT("'"&amp;F$62&amp;"'!B2:B1000")=$B43) * (INDIRECT("'"&amp;F$62&amp;"'!C2:C1000")=$C43)
        ),
        5,
        FALSE
    )
)</f>
        <v/>
      </c>
      <c r="G43" s="86">
        <f t="array" ref="G43">IF(
    VLOOKUP(
        $A43,
        _xlfn._xlws.FILTER(
            INDIRECT("'"&amp;G$62&amp;"'!A2:E1000"), (INDIRECT("'"&amp;G$62&amp;"'!B2:B1000")=$B43) * (INDIRECT("'"&amp;G$62&amp;"'!C2:C1000")=$C43)
        ),
        5,
        FALSE
    )=0,
    "",
    VLOOKUP(
        $A43,
        _xlfn._xlws.FILTER(
            INDIRECT("'"&amp;G$62&amp;"'!A2:E1000"), (INDIRECT("'"&amp;G$62&amp;"'!B2:B1000")=$B43) * (INDIRECT("'"&amp;G$62&amp;"'!C2:C1000")=$C43)
        ),
        5,
        FALSE
    )
)</f>
        <v/>
      </c>
      <c r="H43" s="86">
        <f t="array" ref="H43">IF(
    VLOOKUP(
        $A43,
        _xlfn._xlws.FILTER(
            INDIRECT("'"&amp;H$62&amp;"'!A2:E1000"), (INDIRECT("'"&amp;H$62&amp;"'!B2:B1000")=$B43) * (INDIRECT("'"&amp;H$62&amp;"'!C2:C1000")=$C43)
        ),
        5,
        FALSE
    )=0,
    "",
    VLOOKUP(
        $A43,
        _xlfn._xlws.FILTER(
            INDIRECT("'"&amp;H$62&amp;"'!A2:E1000"), (INDIRECT("'"&amp;H$62&amp;"'!B2:B1000")=$B43) * (INDIRECT("'"&amp;H$62&amp;"'!C2:C1000")=$C43)
        ),
        5,
        FALSE
    )
)</f>
        <v/>
      </c>
      <c r="I43" s="86">
        <f t="array" ref="I43">IF(
    VLOOKUP(
        $A43,
        _xlfn._xlws.FILTER(
            INDIRECT("'"&amp;I$62&amp;"'!A2:E1000"), (INDIRECT("'"&amp;I$62&amp;"'!B2:B1000")=$B43) * (INDIRECT("'"&amp;I$62&amp;"'!C2:C1000")=$C43)
        ),
        5,
        FALSE
    )=0,
    "",
    VLOOKUP(
        $A43,
        _xlfn._xlws.FILTER(
            INDIRECT("'"&amp;I$62&amp;"'!A2:E1000"), (INDIRECT("'"&amp;I$62&amp;"'!B2:B1000")=$B43) * (INDIRECT("'"&amp;I$62&amp;"'!C2:C1000")=$C43)
        ),
        5,
        FALSE
    )
)</f>
        <v/>
      </c>
      <c r="J43" s="86">
        <f t="array" ref="J43">IF(
    VLOOKUP(
        $A43,
        _xlfn._xlws.FILTER(
            INDIRECT("'"&amp;J$62&amp;"'!A2:E1000"), (INDIRECT("'"&amp;J$62&amp;"'!B2:B1000")=$B43) * (INDIRECT("'"&amp;J$62&amp;"'!C2:C1000")=$C43)
        ),
        5,
        FALSE
    )=0,
    "",
    VLOOKUP(
        $A43,
        _xlfn._xlws.FILTER(
            INDIRECT("'"&amp;J$62&amp;"'!A2:E1000"), (INDIRECT("'"&amp;J$62&amp;"'!B2:B1000")=$B43) * (INDIRECT("'"&amp;J$62&amp;"'!C2:C1000")=$C43)
        ),
        5,
        FALSE
    )
)</f>
        <v/>
      </c>
      <c r="K43" s="86">
        <f t="array" ref="K43">IF(
    VLOOKUP(
        $A43,
        _xlfn._xlws.FILTER(
            INDIRECT("'"&amp;K$62&amp;"'!A2:E1000"), (INDIRECT("'"&amp;K$62&amp;"'!B2:B1000")=$B43) * (INDIRECT("'"&amp;K$62&amp;"'!C2:C1000")=$C43)
        ),
        5,
        FALSE
    )=0,
    "",
    VLOOKUP(
        $A43,
        _xlfn._xlws.FILTER(
            INDIRECT("'"&amp;K$62&amp;"'!A2:E1000"), (INDIRECT("'"&amp;K$62&amp;"'!B2:B1000")=$B43) * (INDIRECT("'"&amp;K$62&amp;"'!C2:C1000")=$C43)
        ),
        5,
        FALSE
    )
)</f>
        <v/>
      </c>
      <c r="L43" s="86">
        <f t="array" ref="L43">IF(
    VLOOKUP(
        $A43,
        _xlfn._xlws.FILTER(
            INDIRECT("'"&amp;L$62&amp;"'!A2:E1000"), (INDIRECT("'"&amp;L$62&amp;"'!B2:B1000")=$B43) * (INDIRECT("'"&amp;L$62&amp;"'!C2:C1000")=$C43)
        ),
        5,
        FALSE
    )=0,
    "",
    VLOOKUP(
        $A43,
        _xlfn._xlws.FILTER(
            INDIRECT("'"&amp;L$62&amp;"'!A2:E1000"), (INDIRECT("'"&amp;L$62&amp;"'!B2:B1000")=$B43) * (INDIRECT("'"&amp;L$62&amp;"'!C2:C1000")=$C43)
        ),
        5,
        FALSE
    )
)</f>
        <v/>
      </c>
      <c r="M43" s="86">
        <f t="array" ref="M43">IF(
    VLOOKUP(
        $A43,
        _xlfn._xlws.FILTER(
            INDIRECT("'"&amp;M$62&amp;"'!A2:E1000"), (INDIRECT("'"&amp;M$62&amp;"'!B2:B1000")=$B43) * (INDIRECT("'"&amp;M$62&amp;"'!C2:C1000")=$C43)
        ),
        5,
        FALSE
    )=0,
    "",
    VLOOKUP(
        $A43,
        _xlfn._xlws.FILTER(
            INDIRECT("'"&amp;M$62&amp;"'!A2:E1000"), (INDIRECT("'"&amp;M$62&amp;"'!B2:B1000")=$B43) * (INDIRECT("'"&amp;M$62&amp;"'!C2:C1000")=$C43)
        ),
        5,
        FALSE
    )
)</f>
        <v/>
      </c>
      <c r="N43" s="86">
        <f t="array" ref="N43">IF(
    VLOOKUP(
        $A43,
        _xlfn._xlws.FILTER(
            INDIRECT("'"&amp;N$62&amp;"'!A2:E1000"), (INDIRECT("'"&amp;N$62&amp;"'!B2:B1000")=$B43) * (INDIRECT("'"&amp;N$62&amp;"'!C2:C1000")=$C43)
        ),
        5,
        FALSE
    )=0,
    "",
    VLOOKUP(
        $A43,
        _xlfn._xlws.FILTER(
            INDIRECT("'"&amp;N$62&amp;"'!A2:E1000"), (INDIRECT("'"&amp;N$62&amp;"'!B2:B1000")=$B43) * (INDIRECT("'"&amp;N$62&amp;"'!C2:C1000")=$C43)
        ),
        5,
        FALSE
    )
)</f>
        <v/>
      </c>
      <c r="O43" s="86">
        <f t="array" ref="O43">IF(
    VLOOKUP(
        $A43,
        _xlfn._xlws.FILTER(
            INDIRECT("'"&amp;O$62&amp;"'!A2:E1000"), (INDIRECT("'"&amp;O$62&amp;"'!B2:B1000")=$B43) * (INDIRECT("'"&amp;O$62&amp;"'!C2:C1000")=$C43)
        ),
        5,
        FALSE
    )=0,
    "",
    VLOOKUP(
        $A43,
        _xlfn._xlws.FILTER(
            INDIRECT("'"&amp;O$62&amp;"'!A2:E1000"), (INDIRECT("'"&amp;O$62&amp;"'!B2:B1000")=$B43) * (INDIRECT("'"&amp;O$62&amp;"'!C2:C1000")=$C43)
        ),
        5,
        FALSE
    )
)</f>
        <v/>
      </c>
    </row>
    <row r="44">
      <c r="A44" s="28" t="inlineStr">
        <is>
          <t>Londrina</t>
        </is>
      </c>
      <c r="B44" s="58" t="inlineStr">
        <is>
          <t>Jaguapitã</t>
        </is>
      </c>
      <c r="C44" s="85" t="inlineStr">
        <is>
          <t>01</t>
        </is>
      </c>
      <c r="D44" s="86">
        <f t="array" ref="D44">IF(
    VLOOKUP(
        $A44,
        _xlfn._xlws.FILTER(
            INDIRECT("'"&amp;D$62&amp;"'!A2:E1000"), (INDIRECT("'"&amp;D$62&amp;"'!B2:B1000")=$B44) * (INDIRECT("'"&amp;D$62&amp;"'!C2:C1000")=$C44)
        ),
        5,
        FALSE
    )=0,
    "",
    VLOOKUP(
        $A44,
        _xlfn._xlws.FILTER(
            INDIRECT("'"&amp;D$62&amp;"'!A2:E1000"), (INDIRECT("'"&amp;D$62&amp;"'!B2:B1000")=$B44) * (INDIRECT("'"&amp;D$62&amp;"'!C2:C1000")=$C44)
        ),
        5,
        FALSE
    )
)</f>
        <v/>
      </c>
      <c r="E44" s="86">
        <f t="array" ref="E44">IF(
    VLOOKUP(
        $A44,
        _xlfn._xlws.FILTER(
            INDIRECT("'"&amp;E$62&amp;"'!A2:E1000"), (INDIRECT("'"&amp;E$62&amp;"'!B2:B1000")=$B44) * (INDIRECT("'"&amp;E$62&amp;"'!C2:C1000")=$C44)
        ),
        5,
        FALSE
    )=0,
    "",
    VLOOKUP(
        $A44,
        _xlfn._xlws.FILTER(
            INDIRECT("'"&amp;E$62&amp;"'!A2:E1000"), (INDIRECT("'"&amp;E$62&amp;"'!B2:B1000")=$B44) * (INDIRECT("'"&amp;E$62&amp;"'!C2:C1000")=$C44)
        ),
        5,
        FALSE
    )
)</f>
        <v/>
      </c>
      <c r="F44" s="86">
        <f t="array" ref="F44">IF(
    VLOOKUP(
        $A44,
        _xlfn._xlws.FILTER(
            INDIRECT("'"&amp;F$62&amp;"'!A2:E1000"), (INDIRECT("'"&amp;F$62&amp;"'!B2:B1000")=$B44) * (INDIRECT("'"&amp;F$62&amp;"'!C2:C1000")=$C44)
        ),
        5,
        FALSE
    )=0,
    "",
    VLOOKUP(
        $A44,
        _xlfn._xlws.FILTER(
            INDIRECT("'"&amp;F$62&amp;"'!A2:E1000"), (INDIRECT("'"&amp;F$62&amp;"'!B2:B1000")=$B44) * (INDIRECT("'"&amp;F$62&amp;"'!C2:C1000")=$C44)
        ),
        5,
        FALSE
    )
)</f>
        <v/>
      </c>
      <c r="G44" s="86">
        <f t="array" ref="G44">IF(
    VLOOKUP(
        $A44,
        _xlfn._xlws.FILTER(
            INDIRECT("'"&amp;G$62&amp;"'!A2:E1000"), (INDIRECT("'"&amp;G$62&amp;"'!B2:B1000")=$B44) * (INDIRECT("'"&amp;G$62&amp;"'!C2:C1000")=$C44)
        ),
        5,
        FALSE
    )=0,
    "",
    VLOOKUP(
        $A44,
        _xlfn._xlws.FILTER(
            INDIRECT("'"&amp;G$62&amp;"'!A2:E1000"), (INDIRECT("'"&amp;G$62&amp;"'!B2:B1000")=$B44) * (INDIRECT("'"&amp;G$62&amp;"'!C2:C1000")=$C44)
        ),
        5,
        FALSE
    )
)</f>
        <v/>
      </c>
      <c r="H44" s="86">
        <f t="array" ref="H44">IF(
    VLOOKUP(
        $A44,
        _xlfn._xlws.FILTER(
            INDIRECT("'"&amp;H$62&amp;"'!A2:E1000"), (INDIRECT("'"&amp;H$62&amp;"'!B2:B1000")=$B44) * (INDIRECT("'"&amp;H$62&amp;"'!C2:C1000")=$C44)
        ),
        5,
        FALSE
    )=0,
    "",
    VLOOKUP(
        $A44,
        _xlfn._xlws.FILTER(
            INDIRECT("'"&amp;H$62&amp;"'!A2:E1000"), (INDIRECT("'"&amp;H$62&amp;"'!B2:B1000")=$B44) * (INDIRECT("'"&amp;H$62&amp;"'!C2:C1000")=$C44)
        ),
        5,
        FALSE
    )
)</f>
        <v/>
      </c>
      <c r="I44" s="86">
        <f t="array" ref="I44">IF(
    VLOOKUP(
        $A44,
        _xlfn._xlws.FILTER(
            INDIRECT("'"&amp;I$62&amp;"'!A2:E1000"), (INDIRECT("'"&amp;I$62&amp;"'!B2:B1000")=$B44) * (INDIRECT("'"&amp;I$62&amp;"'!C2:C1000")=$C44)
        ),
        5,
        FALSE
    )=0,
    "",
    VLOOKUP(
        $A44,
        _xlfn._xlws.FILTER(
            INDIRECT("'"&amp;I$62&amp;"'!A2:E1000"), (INDIRECT("'"&amp;I$62&amp;"'!B2:B1000")=$B44) * (INDIRECT("'"&amp;I$62&amp;"'!C2:C1000")=$C44)
        ),
        5,
        FALSE
    )
)</f>
        <v/>
      </c>
      <c r="J44" s="86">
        <f t="array" ref="J44">IF(
    VLOOKUP(
        $A44,
        _xlfn._xlws.FILTER(
            INDIRECT("'"&amp;J$62&amp;"'!A2:E1000"), (INDIRECT("'"&amp;J$62&amp;"'!B2:B1000")=$B44) * (INDIRECT("'"&amp;J$62&amp;"'!C2:C1000")=$C44)
        ),
        5,
        FALSE
    )=0,
    "",
    VLOOKUP(
        $A44,
        _xlfn._xlws.FILTER(
            INDIRECT("'"&amp;J$62&amp;"'!A2:E1000"), (INDIRECT("'"&amp;J$62&amp;"'!B2:B1000")=$B44) * (INDIRECT("'"&amp;J$62&amp;"'!C2:C1000")=$C44)
        ),
        5,
        FALSE
    )
)</f>
        <v/>
      </c>
      <c r="K44" s="86">
        <f t="array" ref="K44">IF(
    VLOOKUP(
        $A44,
        _xlfn._xlws.FILTER(
            INDIRECT("'"&amp;K$62&amp;"'!A2:E1000"), (INDIRECT("'"&amp;K$62&amp;"'!B2:B1000")=$B44) * (INDIRECT("'"&amp;K$62&amp;"'!C2:C1000")=$C44)
        ),
        5,
        FALSE
    )=0,
    "",
    VLOOKUP(
        $A44,
        _xlfn._xlws.FILTER(
            INDIRECT("'"&amp;K$62&amp;"'!A2:E1000"), (INDIRECT("'"&amp;K$62&amp;"'!B2:B1000")=$B44) * (INDIRECT("'"&amp;K$62&amp;"'!C2:C1000")=$C44)
        ),
        5,
        FALSE
    )
)</f>
        <v/>
      </c>
      <c r="L44" s="86">
        <f t="array" ref="L44">IF(
    VLOOKUP(
        $A44,
        _xlfn._xlws.FILTER(
            INDIRECT("'"&amp;L$62&amp;"'!A2:E1000"), (INDIRECT("'"&amp;L$62&amp;"'!B2:B1000")=$B44) * (INDIRECT("'"&amp;L$62&amp;"'!C2:C1000")=$C44)
        ),
        5,
        FALSE
    )=0,
    "",
    VLOOKUP(
        $A44,
        _xlfn._xlws.FILTER(
            INDIRECT("'"&amp;L$62&amp;"'!A2:E1000"), (INDIRECT("'"&amp;L$62&amp;"'!B2:B1000")=$B44) * (INDIRECT("'"&amp;L$62&amp;"'!C2:C1000")=$C44)
        ),
        5,
        FALSE
    )
)</f>
        <v/>
      </c>
      <c r="M44" s="86">
        <f t="array" ref="M44">IF(
    VLOOKUP(
        $A44,
        _xlfn._xlws.FILTER(
            INDIRECT("'"&amp;M$62&amp;"'!A2:E1000"), (INDIRECT("'"&amp;M$62&amp;"'!B2:B1000")=$B44) * (INDIRECT("'"&amp;M$62&amp;"'!C2:C1000")=$C44)
        ),
        5,
        FALSE
    )=0,
    "",
    VLOOKUP(
        $A44,
        _xlfn._xlws.FILTER(
            INDIRECT("'"&amp;M$62&amp;"'!A2:E1000"), (INDIRECT("'"&amp;M$62&amp;"'!B2:B1000")=$B44) * (INDIRECT("'"&amp;M$62&amp;"'!C2:C1000")=$C44)
        ),
        5,
        FALSE
    )
)</f>
        <v/>
      </c>
      <c r="N44" s="86">
        <f t="array" ref="N44">IF(
    VLOOKUP(
        $A44,
        _xlfn._xlws.FILTER(
            INDIRECT("'"&amp;N$62&amp;"'!A2:E1000"), (INDIRECT("'"&amp;N$62&amp;"'!B2:B1000")=$B44) * (INDIRECT("'"&amp;N$62&amp;"'!C2:C1000")=$C44)
        ),
        5,
        FALSE
    )=0,
    "",
    VLOOKUP(
        $A44,
        _xlfn._xlws.FILTER(
            INDIRECT("'"&amp;N$62&amp;"'!A2:E1000"), (INDIRECT("'"&amp;N$62&amp;"'!B2:B1000")=$B44) * (INDIRECT("'"&amp;N$62&amp;"'!C2:C1000")=$C44)
        ),
        5,
        FALSE
    )
)</f>
        <v/>
      </c>
      <c r="O44" s="86">
        <f t="array" ref="O44">IF(
    VLOOKUP(
        $A44,
        _xlfn._xlws.FILTER(
            INDIRECT("'"&amp;O$62&amp;"'!A2:E1000"), (INDIRECT("'"&amp;O$62&amp;"'!B2:B1000")=$B44) * (INDIRECT("'"&amp;O$62&amp;"'!C2:C1000")=$C44)
        ),
        5,
        FALSE
    )=0,
    "",
    VLOOKUP(
        $A44,
        _xlfn._xlws.FILTER(
            INDIRECT("'"&amp;O$62&amp;"'!A2:E1000"), (INDIRECT("'"&amp;O$62&amp;"'!B2:B1000")=$B44) * (INDIRECT("'"&amp;O$62&amp;"'!C2:C1000")=$C44)
        ),
        5,
        FALSE
    )
)</f>
        <v/>
      </c>
    </row>
    <row r="45">
      <c r="A45" s="28" t="inlineStr">
        <is>
          <t>Londrina</t>
        </is>
      </c>
      <c r="B45" s="58" t="inlineStr">
        <is>
          <t>Jaguariaíva</t>
        </is>
      </c>
      <c r="C45" s="85" t="inlineStr">
        <is>
          <t>01</t>
        </is>
      </c>
      <c r="D45" s="86">
        <f t="array" ref="D45">IF(
    VLOOKUP(
        $A45,
        _xlfn._xlws.FILTER(
            INDIRECT("'"&amp;D$62&amp;"'!A2:E1000"), (INDIRECT("'"&amp;D$62&amp;"'!B2:B1000")=$B45) * (INDIRECT("'"&amp;D$62&amp;"'!C2:C1000")=$C45)
        ),
        5,
        FALSE
    )=0,
    "",
    VLOOKUP(
        $A45,
        _xlfn._xlws.FILTER(
            INDIRECT("'"&amp;D$62&amp;"'!A2:E1000"), (INDIRECT("'"&amp;D$62&amp;"'!B2:B1000")=$B45) * (INDIRECT("'"&amp;D$62&amp;"'!C2:C1000")=$C45)
        ),
        5,
        FALSE
    )
)</f>
        <v/>
      </c>
      <c r="E45" s="86">
        <f t="array" ref="E45">IF(
    VLOOKUP(
        $A45,
        _xlfn._xlws.FILTER(
            INDIRECT("'"&amp;E$62&amp;"'!A2:E1000"), (INDIRECT("'"&amp;E$62&amp;"'!B2:B1000")=$B45) * (INDIRECT("'"&amp;E$62&amp;"'!C2:C1000")=$C45)
        ),
        5,
        FALSE
    )=0,
    "",
    VLOOKUP(
        $A45,
        _xlfn._xlws.FILTER(
            INDIRECT("'"&amp;E$62&amp;"'!A2:E1000"), (INDIRECT("'"&amp;E$62&amp;"'!B2:B1000")=$B45) * (INDIRECT("'"&amp;E$62&amp;"'!C2:C1000")=$C45)
        ),
        5,
        FALSE
    )
)</f>
        <v/>
      </c>
      <c r="F45" s="86">
        <f t="array" ref="F45">IF(
    VLOOKUP(
        $A45,
        _xlfn._xlws.FILTER(
            INDIRECT("'"&amp;F$62&amp;"'!A2:E1000"), (INDIRECT("'"&amp;F$62&amp;"'!B2:B1000")=$B45) * (INDIRECT("'"&amp;F$62&amp;"'!C2:C1000")=$C45)
        ),
        5,
        FALSE
    )=0,
    "",
    VLOOKUP(
        $A45,
        _xlfn._xlws.FILTER(
            INDIRECT("'"&amp;F$62&amp;"'!A2:E1000"), (INDIRECT("'"&amp;F$62&amp;"'!B2:B1000")=$B45) * (INDIRECT("'"&amp;F$62&amp;"'!C2:C1000")=$C45)
        ),
        5,
        FALSE
    )
)</f>
        <v/>
      </c>
      <c r="G45" s="86">
        <f t="array" ref="G45">IF(
    VLOOKUP(
        $A45,
        _xlfn._xlws.FILTER(
            INDIRECT("'"&amp;G$62&amp;"'!A2:E1000"), (INDIRECT("'"&amp;G$62&amp;"'!B2:B1000")=$B45) * (INDIRECT("'"&amp;G$62&amp;"'!C2:C1000")=$C45)
        ),
        5,
        FALSE
    )=0,
    "",
    VLOOKUP(
        $A45,
        _xlfn._xlws.FILTER(
            INDIRECT("'"&amp;G$62&amp;"'!A2:E1000"), (INDIRECT("'"&amp;G$62&amp;"'!B2:B1000")=$B45) * (INDIRECT("'"&amp;G$62&amp;"'!C2:C1000")=$C45)
        ),
        5,
        FALSE
    )
)</f>
        <v/>
      </c>
      <c r="H45" s="86">
        <f t="array" ref="H45">IF(
    VLOOKUP(
        $A45,
        _xlfn._xlws.FILTER(
            INDIRECT("'"&amp;H$62&amp;"'!A2:E1000"), (INDIRECT("'"&amp;H$62&amp;"'!B2:B1000")=$B45) * (INDIRECT("'"&amp;H$62&amp;"'!C2:C1000")=$C45)
        ),
        5,
        FALSE
    )=0,
    "",
    VLOOKUP(
        $A45,
        _xlfn._xlws.FILTER(
            INDIRECT("'"&amp;H$62&amp;"'!A2:E1000"), (INDIRECT("'"&amp;H$62&amp;"'!B2:B1000")=$B45) * (INDIRECT("'"&amp;H$62&amp;"'!C2:C1000")=$C45)
        ),
        5,
        FALSE
    )
)</f>
        <v/>
      </c>
      <c r="I45" s="86">
        <f t="array" ref="I45">IF(
    VLOOKUP(
        $A45,
        _xlfn._xlws.FILTER(
            INDIRECT("'"&amp;I$62&amp;"'!A2:E1000"), (INDIRECT("'"&amp;I$62&amp;"'!B2:B1000")=$B45) * (INDIRECT("'"&amp;I$62&amp;"'!C2:C1000")=$C45)
        ),
        5,
        FALSE
    )=0,
    "",
    VLOOKUP(
        $A45,
        _xlfn._xlws.FILTER(
            INDIRECT("'"&amp;I$62&amp;"'!A2:E1000"), (INDIRECT("'"&amp;I$62&amp;"'!B2:B1000")=$B45) * (INDIRECT("'"&amp;I$62&amp;"'!C2:C1000")=$C45)
        ),
        5,
        FALSE
    )
)</f>
        <v/>
      </c>
      <c r="J45" s="86">
        <f t="array" ref="J45">IF(
    VLOOKUP(
        $A45,
        _xlfn._xlws.FILTER(
            INDIRECT("'"&amp;J$62&amp;"'!A2:E1000"), (INDIRECT("'"&amp;J$62&amp;"'!B2:B1000")=$B45) * (INDIRECT("'"&amp;J$62&amp;"'!C2:C1000")=$C45)
        ),
        5,
        FALSE
    )=0,
    "",
    VLOOKUP(
        $A45,
        _xlfn._xlws.FILTER(
            INDIRECT("'"&amp;J$62&amp;"'!A2:E1000"), (INDIRECT("'"&amp;J$62&amp;"'!B2:B1000")=$B45) * (INDIRECT("'"&amp;J$62&amp;"'!C2:C1000")=$C45)
        ),
        5,
        FALSE
    )
)</f>
        <v/>
      </c>
      <c r="K45" s="86">
        <f t="array" ref="K45">IF(
    VLOOKUP(
        $A45,
        _xlfn._xlws.FILTER(
            INDIRECT("'"&amp;K$62&amp;"'!A2:E1000"), (INDIRECT("'"&amp;K$62&amp;"'!B2:B1000")=$B45) * (INDIRECT("'"&amp;K$62&amp;"'!C2:C1000")=$C45)
        ),
        5,
        FALSE
    )=0,
    "",
    VLOOKUP(
        $A45,
        _xlfn._xlws.FILTER(
            INDIRECT("'"&amp;K$62&amp;"'!A2:E1000"), (INDIRECT("'"&amp;K$62&amp;"'!B2:B1000")=$B45) * (INDIRECT("'"&amp;K$62&amp;"'!C2:C1000")=$C45)
        ),
        5,
        FALSE
    )
)</f>
        <v/>
      </c>
      <c r="L45" s="86">
        <f t="array" ref="L45">IF(
    VLOOKUP(
        $A45,
        _xlfn._xlws.FILTER(
            INDIRECT("'"&amp;L$62&amp;"'!A2:E1000"), (INDIRECT("'"&amp;L$62&amp;"'!B2:B1000")=$B45) * (INDIRECT("'"&amp;L$62&amp;"'!C2:C1000")=$C45)
        ),
        5,
        FALSE
    )=0,
    "",
    VLOOKUP(
        $A45,
        _xlfn._xlws.FILTER(
            INDIRECT("'"&amp;L$62&amp;"'!A2:E1000"), (INDIRECT("'"&amp;L$62&amp;"'!B2:B1000")=$B45) * (INDIRECT("'"&amp;L$62&amp;"'!C2:C1000")=$C45)
        ),
        5,
        FALSE
    )
)</f>
        <v/>
      </c>
      <c r="M45" s="86">
        <f t="array" ref="M45">IF(
    VLOOKUP(
        $A45,
        _xlfn._xlws.FILTER(
            INDIRECT("'"&amp;M$62&amp;"'!A2:E1000"), (INDIRECT("'"&amp;M$62&amp;"'!B2:B1000")=$B45) * (INDIRECT("'"&amp;M$62&amp;"'!C2:C1000")=$C45)
        ),
        5,
        FALSE
    )=0,
    "",
    VLOOKUP(
        $A45,
        _xlfn._xlws.FILTER(
            INDIRECT("'"&amp;M$62&amp;"'!A2:E1000"), (INDIRECT("'"&amp;M$62&amp;"'!B2:B1000")=$B45) * (INDIRECT("'"&amp;M$62&amp;"'!C2:C1000")=$C45)
        ),
        5,
        FALSE
    )
)</f>
        <v/>
      </c>
      <c r="N45" s="86">
        <f t="array" ref="N45">IF(
    VLOOKUP(
        $A45,
        _xlfn._xlws.FILTER(
            INDIRECT("'"&amp;N$62&amp;"'!A2:E1000"), (INDIRECT("'"&amp;N$62&amp;"'!B2:B1000")=$B45) * (INDIRECT("'"&amp;N$62&amp;"'!C2:C1000")=$C45)
        ),
        5,
        FALSE
    )=0,
    "",
    VLOOKUP(
        $A45,
        _xlfn._xlws.FILTER(
            INDIRECT("'"&amp;N$62&amp;"'!A2:E1000"), (INDIRECT("'"&amp;N$62&amp;"'!B2:B1000")=$B45) * (INDIRECT("'"&amp;N$62&amp;"'!C2:C1000")=$C45)
        ),
        5,
        FALSE
    )
)</f>
        <v/>
      </c>
      <c r="O45" s="86">
        <f t="array" ref="O45">IF(
    VLOOKUP(
        $A45,
        _xlfn._xlws.FILTER(
            INDIRECT("'"&amp;O$62&amp;"'!A2:E1000"), (INDIRECT("'"&amp;O$62&amp;"'!B2:B1000")=$B45) * (INDIRECT("'"&amp;O$62&amp;"'!C2:C1000")=$C45)
        ),
        5,
        FALSE
    )=0,
    "",
    VLOOKUP(
        $A45,
        _xlfn._xlws.FILTER(
            INDIRECT("'"&amp;O$62&amp;"'!A2:E1000"), (INDIRECT("'"&amp;O$62&amp;"'!B2:B1000")=$B45) * (INDIRECT("'"&amp;O$62&amp;"'!C2:C1000")=$C45)
        ),
        5,
        FALSE
    )
)</f>
        <v/>
      </c>
    </row>
    <row r="46">
      <c r="A46" s="28" t="inlineStr">
        <is>
          <t>Londrina</t>
        </is>
      </c>
      <c r="B46" s="58" t="inlineStr">
        <is>
          <t>Ortigueira</t>
        </is>
      </c>
      <c r="C46" s="85" t="inlineStr">
        <is>
          <t>01</t>
        </is>
      </c>
      <c r="D46" s="86">
        <f t="array" ref="D46">IF(
    VLOOKUP(
        $A46,
        _xlfn._xlws.FILTER(
            INDIRECT("'"&amp;D$62&amp;"'!A2:E1000"), (INDIRECT("'"&amp;D$62&amp;"'!B2:B1000")=$B46) * (INDIRECT("'"&amp;D$62&amp;"'!C2:C1000")=$C46)
        ),
        5,
        FALSE
    )=0,
    "",
    VLOOKUP(
        $A46,
        _xlfn._xlws.FILTER(
            INDIRECT("'"&amp;D$62&amp;"'!A2:E1000"), (INDIRECT("'"&amp;D$62&amp;"'!B2:B1000")=$B46) * (INDIRECT("'"&amp;D$62&amp;"'!C2:C1000")=$C46)
        ),
        5,
        FALSE
    )
)</f>
        <v/>
      </c>
      <c r="E46" s="86">
        <f t="array" ref="E46">IF(
    VLOOKUP(
        $A46,
        _xlfn._xlws.FILTER(
            INDIRECT("'"&amp;E$62&amp;"'!A2:E1000"), (INDIRECT("'"&amp;E$62&amp;"'!B2:B1000")=$B46) * (INDIRECT("'"&amp;E$62&amp;"'!C2:C1000")=$C46)
        ),
        5,
        FALSE
    )=0,
    "",
    VLOOKUP(
        $A46,
        _xlfn._xlws.FILTER(
            INDIRECT("'"&amp;E$62&amp;"'!A2:E1000"), (INDIRECT("'"&amp;E$62&amp;"'!B2:B1000")=$B46) * (INDIRECT("'"&amp;E$62&amp;"'!C2:C1000")=$C46)
        ),
        5,
        FALSE
    )
)</f>
        <v/>
      </c>
      <c r="F46" s="86">
        <f t="array" ref="F46">IF(
    VLOOKUP(
        $A46,
        _xlfn._xlws.FILTER(
            INDIRECT("'"&amp;F$62&amp;"'!A2:E1000"), (INDIRECT("'"&amp;F$62&amp;"'!B2:B1000")=$B46) * (INDIRECT("'"&amp;F$62&amp;"'!C2:C1000")=$C46)
        ),
        5,
        FALSE
    )=0,
    "",
    VLOOKUP(
        $A46,
        _xlfn._xlws.FILTER(
            INDIRECT("'"&amp;F$62&amp;"'!A2:E1000"), (INDIRECT("'"&amp;F$62&amp;"'!B2:B1000")=$B46) * (INDIRECT("'"&amp;F$62&amp;"'!C2:C1000")=$C46)
        ),
        5,
        FALSE
    )
)</f>
        <v/>
      </c>
      <c r="G46" s="86">
        <f t="array" ref="G46">IF(
    VLOOKUP(
        $A46,
        _xlfn._xlws.FILTER(
            INDIRECT("'"&amp;G$62&amp;"'!A2:E1000"), (INDIRECT("'"&amp;G$62&amp;"'!B2:B1000")=$B46) * (INDIRECT("'"&amp;G$62&amp;"'!C2:C1000")=$C46)
        ),
        5,
        FALSE
    )=0,
    "",
    VLOOKUP(
        $A46,
        _xlfn._xlws.FILTER(
            INDIRECT("'"&amp;G$62&amp;"'!A2:E1000"), (INDIRECT("'"&amp;G$62&amp;"'!B2:B1000")=$B46) * (INDIRECT("'"&amp;G$62&amp;"'!C2:C1000")=$C46)
        ),
        5,
        FALSE
    )
)</f>
        <v/>
      </c>
      <c r="H46" s="86">
        <f t="array" ref="H46">IF(
    VLOOKUP(
        $A46,
        _xlfn._xlws.FILTER(
            INDIRECT("'"&amp;H$62&amp;"'!A2:E1000"), (INDIRECT("'"&amp;H$62&amp;"'!B2:B1000")=$B46) * (INDIRECT("'"&amp;H$62&amp;"'!C2:C1000")=$C46)
        ),
        5,
        FALSE
    )=0,
    "",
    VLOOKUP(
        $A46,
        _xlfn._xlws.FILTER(
            INDIRECT("'"&amp;H$62&amp;"'!A2:E1000"), (INDIRECT("'"&amp;H$62&amp;"'!B2:B1000")=$B46) * (INDIRECT("'"&amp;H$62&amp;"'!C2:C1000")=$C46)
        ),
        5,
        FALSE
    )
)</f>
        <v/>
      </c>
      <c r="I46" s="86">
        <f t="array" ref="I46">IF(
    VLOOKUP(
        $A46,
        _xlfn._xlws.FILTER(
            INDIRECT("'"&amp;I$62&amp;"'!A2:E1000"), (INDIRECT("'"&amp;I$62&amp;"'!B2:B1000")=$B46) * (INDIRECT("'"&amp;I$62&amp;"'!C2:C1000")=$C46)
        ),
        5,
        FALSE
    )=0,
    "",
    VLOOKUP(
        $A46,
        _xlfn._xlws.FILTER(
            INDIRECT("'"&amp;I$62&amp;"'!A2:E1000"), (INDIRECT("'"&amp;I$62&amp;"'!B2:B1000")=$B46) * (INDIRECT("'"&amp;I$62&amp;"'!C2:C1000")=$C46)
        ),
        5,
        FALSE
    )
)</f>
        <v/>
      </c>
      <c r="J46" s="86">
        <f t="array" ref="J46">IF(
    VLOOKUP(
        $A46,
        _xlfn._xlws.FILTER(
            INDIRECT("'"&amp;J$62&amp;"'!A2:E1000"), (INDIRECT("'"&amp;J$62&amp;"'!B2:B1000")=$B46) * (INDIRECT("'"&amp;J$62&amp;"'!C2:C1000")=$C46)
        ),
        5,
        FALSE
    )=0,
    "",
    VLOOKUP(
        $A46,
        _xlfn._xlws.FILTER(
            INDIRECT("'"&amp;J$62&amp;"'!A2:E1000"), (INDIRECT("'"&amp;J$62&amp;"'!B2:B1000")=$B46) * (INDIRECT("'"&amp;J$62&amp;"'!C2:C1000")=$C46)
        ),
        5,
        FALSE
    )
)</f>
        <v/>
      </c>
      <c r="K46" s="86">
        <f t="array" ref="K46">IF(
    VLOOKUP(
        $A46,
        _xlfn._xlws.FILTER(
            INDIRECT("'"&amp;K$62&amp;"'!A2:E1000"), (INDIRECT("'"&amp;K$62&amp;"'!B2:B1000")=$B46) * (INDIRECT("'"&amp;K$62&amp;"'!C2:C1000")=$C46)
        ),
        5,
        FALSE
    )=0,
    "",
    VLOOKUP(
        $A46,
        _xlfn._xlws.FILTER(
            INDIRECT("'"&amp;K$62&amp;"'!A2:E1000"), (INDIRECT("'"&amp;K$62&amp;"'!B2:B1000")=$B46) * (INDIRECT("'"&amp;K$62&amp;"'!C2:C1000")=$C46)
        ),
        5,
        FALSE
    )
)</f>
        <v/>
      </c>
      <c r="L46" s="86">
        <f t="array" ref="L46">IF(
    VLOOKUP(
        $A46,
        _xlfn._xlws.FILTER(
            INDIRECT("'"&amp;L$62&amp;"'!A2:E1000"), (INDIRECT("'"&amp;L$62&amp;"'!B2:B1000")=$B46) * (INDIRECT("'"&amp;L$62&amp;"'!C2:C1000")=$C46)
        ),
        5,
        FALSE
    )=0,
    "",
    VLOOKUP(
        $A46,
        _xlfn._xlws.FILTER(
            INDIRECT("'"&amp;L$62&amp;"'!A2:E1000"), (INDIRECT("'"&amp;L$62&amp;"'!B2:B1000")=$B46) * (INDIRECT("'"&amp;L$62&amp;"'!C2:C1000")=$C46)
        ),
        5,
        FALSE
    )
)</f>
        <v/>
      </c>
      <c r="M46" s="86">
        <f t="array" ref="M46">IF(
    VLOOKUP(
        $A46,
        _xlfn._xlws.FILTER(
            INDIRECT("'"&amp;M$62&amp;"'!A2:E1000"), (INDIRECT("'"&amp;M$62&amp;"'!B2:B1000")=$B46) * (INDIRECT("'"&amp;M$62&amp;"'!C2:C1000")=$C46)
        ),
        5,
        FALSE
    )=0,
    "",
    VLOOKUP(
        $A46,
        _xlfn._xlws.FILTER(
            INDIRECT("'"&amp;M$62&amp;"'!A2:E1000"), (INDIRECT("'"&amp;M$62&amp;"'!B2:B1000")=$B46) * (INDIRECT("'"&amp;M$62&amp;"'!C2:C1000")=$C46)
        ),
        5,
        FALSE
    )
)</f>
        <v/>
      </c>
      <c r="N46" s="86">
        <f t="array" ref="N46">IF(
    VLOOKUP(
        $A46,
        _xlfn._xlws.FILTER(
            INDIRECT("'"&amp;N$62&amp;"'!A2:E1000"), (INDIRECT("'"&amp;N$62&amp;"'!B2:B1000")=$B46) * (INDIRECT("'"&amp;N$62&amp;"'!C2:C1000")=$C46)
        ),
        5,
        FALSE
    )=0,
    "",
    VLOOKUP(
        $A46,
        _xlfn._xlws.FILTER(
            INDIRECT("'"&amp;N$62&amp;"'!A2:E1000"), (INDIRECT("'"&amp;N$62&amp;"'!B2:B1000")=$B46) * (INDIRECT("'"&amp;N$62&amp;"'!C2:C1000")=$C46)
        ),
        5,
        FALSE
    )
)</f>
        <v/>
      </c>
      <c r="O46" s="86">
        <f t="array" ref="O46">IF(
    VLOOKUP(
        $A46,
        _xlfn._xlws.FILTER(
            INDIRECT("'"&amp;O$62&amp;"'!A2:E1000"), (INDIRECT("'"&amp;O$62&amp;"'!B2:B1000")=$B46) * (INDIRECT("'"&amp;O$62&amp;"'!C2:C1000")=$C46)
        ),
        5,
        FALSE
    )=0,
    "",
    VLOOKUP(
        $A46,
        _xlfn._xlws.FILTER(
            INDIRECT("'"&amp;O$62&amp;"'!A2:E1000"), (INDIRECT("'"&amp;O$62&amp;"'!B2:B1000")=$B46) * (INDIRECT("'"&amp;O$62&amp;"'!C2:C1000")=$C46)
        ),
        5,
        FALSE
    )
)</f>
        <v/>
      </c>
    </row>
    <row r="47">
      <c r="A47" s="28" t="inlineStr">
        <is>
          <t>Londrina</t>
        </is>
      </c>
      <c r="B47" s="58" t="inlineStr">
        <is>
          <t>Ribeirão Claro</t>
        </is>
      </c>
      <c r="C47" s="85" t="inlineStr">
        <is>
          <t>01</t>
        </is>
      </c>
      <c r="D47" s="86">
        <f t="array" ref="D47">IF(
    VLOOKUP(
        $A47,
        _xlfn._xlws.FILTER(
            INDIRECT("'"&amp;D$62&amp;"'!A2:E1000"), (INDIRECT("'"&amp;D$62&amp;"'!B2:B1000")=$B47) * (INDIRECT("'"&amp;D$62&amp;"'!C2:C1000")=$C47)
        ),
        5,
        FALSE
    )=0,
    "",
    VLOOKUP(
        $A47,
        _xlfn._xlws.FILTER(
            INDIRECT("'"&amp;D$62&amp;"'!A2:E1000"), (INDIRECT("'"&amp;D$62&amp;"'!B2:B1000")=$B47) * (INDIRECT("'"&amp;D$62&amp;"'!C2:C1000")=$C47)
        ),
        5,
        FALSE
    )
)</f>
        <v/>
      </c>
      <c r="E47" s="86">
        <f t="array" ref="E47">IF(
    VLOOKUP(
        $A47,
        _xlfn._xlws.FILTER(
            INDIRECT("'"&amp;E$62&amp;"'!A2:E1000"), (INDIRECT("'"&amp;E$62&amp;"'!B2:B1000")=$B47) * (INDIRECT("'"&amp;E$62&amp;"'!C2:C1000")=$C47)
        ),
        5,
        FALSE
    )=0,
    "",
    VLOOKUP(
        $A47,
        _xlfn._xlws.FILTER(
            INDIRECT("'"&amp;E$62&amp;"'!A2:E1000"), (INDIRECT("'"&amp;E$62&amp;"'!B2:B1000")=$B47) * (INDIRECT("'"&amp;E$62&amp;"'!C2:C1000")=$C47)
        ),
        5,
        FALSE
    )
)</f>
        <v/>
      </c>
      <c r="F47" s="86">
        <f t="array" ref="F47">IF(
    VLOOKUP(
        $A47,
        _xlfn._xlws.FILTER(
            INDIRECT("'"&amp;F$62&amp;"'!A2:E1000"), (INDIRECT("'"&amp;F$62&amp;"'!B2:B1000")=$B47) * (INDIRECT("'"&amp;F$62&amp;"'!C2:C1000")=$C47)
        ),
        5,
        FALSE
    )=0,
    "",
    VLOOKUP(
        $A47,
        _xlfn._xlws.FILTER(
            INDIRECT("'"&amp;F$62&amp;"'!A2:E1000"), (INDIRECT("'"&amp;F$62&amp;"'!B2:B1000")=$B47) * (INDIRECT("'"&amp;F$62&amp;"'!C2:C1000")=$C47)
        ),
        5,
        FALSE
    )
)</f>
        <v/>
      </c>
      <c r="G47" s="86">
        <f t="array" ref="G47">IF(
    VLOOKUP(
        $A47,
        _xlfn._xlws.FILTER(
            INDIRECT("'"&amp;G$62&amp;"'!A2:E1000"), (INDIRECT("'"&amp;G$62&amp;"'!B2:B1000")=$B47) * (INDIRECT("'"&amp;G$62&amp;"'!C2:C1000")=$C47)
        ),
        5,
        FALSE
    )=0,
    "",
    VLOOKUP(
        $A47,
        _xlfn._xlws.FILTER(
            INDIRECT("'"&amp;G$62&amp;"'!A2:E1000"), (INDIRECT("'"&amp;G$62&amp;"'!B2:B1000")=$B47) * (INDIRECT("'"&amp;G$62&amp;"'!C2:C1000")=$C47)
        ),
        5,
        FALSE
    )
)</f>
        <v/>
      </c>
      <c r="H47" s="86">
        <f t="array" ref="H47">IF(
    VLOOKUP(
        $A47,
        _xlfn._xlws.FILTER(
            INDIRECT("'"&amp;H$62&amp;"'!A2:E1000"), (INDIRECT("'"&amp;H$62&amp;"'!B2:B1000")=$B47) * (INDIRECT("'"&amp;H$62&amp;"'!C2:C1000")=$C47)
        ),
        5,
        FALSE
    )=0,
    "",
    VLOOKUP(
        $A47,
        _xlfn._xlws.FILTER(
            INDIRECT("'"&amp;H$62&amp;"'!A2:E1000"), (INDIRECT("'"&amp;H$62&amp;"'!B2:B1000")=$B47) * (INDIRECT("'"&amp;H$62&amp;"'!C2:C1000")=$C47)
        ),
        5,
        FALSE
    )
)</f>
        <v/>
      </c>
      <c r="I47" s="86">
        <f t="array" ref="I47">IF(
    VLOOKUP(
        $A47,
        _xlfn._xlws.FILTER(
            INDIRECT("'"&amp;I$62&amp;"'!A2:E1000"), (INDIRECT("'"&amp;I$62&amp;"'!B2:B1000")=$B47) * (INDIRECT("'"&amp;I$62&amp;"'!C2:C1000")=$C47)
        ),
        5,
        FALSE
    )=0,
    "",
    VLOOKUP(
        $A47,
        _xlfn._xlws.FILTER(
            INDIRECT("'"&amp;I$62&amp;"'!A2:E1000"), (INDIRECT("'"&amp;I$62&amp;"'!B2:B1000")=$B47) * (INDIRECT("'"&amp;I$62&amp;"'!C2:C1000")=$C47)
        ),
        5,
        FALSE
    )
)</f>
        <v/>
      </c>
      <c r="J47" s="86">
        <f t="array" ref="J47">IF(
    VLOOKUP(
        $A47,
        _xlfn._xlws.FILTER(
            INDIRECT("'"&amp;J$62&amp;"'!A2:E1000"), (INDIRECT("'"&amp;J$62&amp;"'!B2:B1000")=$B47) * (INDIRECT("'"&amp;J$62&amp;"'!C2:C1000")=$C47)
        ),
        5,
        FALSE
    )=0,
    "",
    VLOOKUP(
        $A47,
        _xlfn._xlws.FILTER(
            INDIRECT("'"&amp;J$62&amp;"'!A2:E1000"), (INDIRECT("'"&amp;J$62&amp;"'!B2:B1000")=$B47) * (INDIRECT("'"&amp;J$62&amp;"'!C2:C1000")=$C47)
        ),
        5,
        FALSE
    )
)</f>
        <v/>
      </c>
      <c r="K47" s="86">
        <f t="array" ref="K47">IF(
    VLOOKUP(
        $A47,
        _xlfn._xlws.FILTER(
            INDIRECT("'"&amp;K$62&amp;"'!A2:E1000"), (INDIRECT("'"&amp;K$62&amp;"'!B2:B1000")=$B47) * (INDIRECT("'"&amp;K$62&amp;"'!C2:C1000")=$C47)
        ),
        5,
        FALSE
    )=0,
    "",
    VLOOKUP(
        $A47,
        _xlfn._xlws.FILTER(
            INDIRECT("'"&amp;K$62&amp;"'!A2:E1000"), (INDIRECT("'"&amp;K$62&amp;"'!B2:B1000")=$B47) * (INDIRECT("'"&amp;K$62&amp;"'!C2:C1000")=$C47)
        ),
        5,
        FALSE
    )
)</f>
        <v/>
      </c>
      <c r="L47" s="86">
        <f t="array" ref="L47">IF(
    VLOOKUP(
        $A47,
        _xlfn._xlws.FILTER(
            INDIRECT("'"&amp;L$62&amp;"'!A2:E1000"), (INDIRECT("'"&amp;L$62&amp;"'!B2:B1000")=$B47) * (INDIRECT("'"&amp;L$62&amp;"'!C2:C1000")=$C47)
        ),
        5,
        FALSE
    )=0,
    "",
    VLOOKUP(
        $A47,
        _xlfn._xlws.FILTER(
            INDIRECT("'"&amp;L$62&amp;"'!A2:E1000"), (INDIRECT("'"&amp;L$62&amp;"'!B2:B1000")=$B47) * (INDIRECT("'"&amp;L$62&amp;"'!C2:C1000")=$C47)
        ),
        5,
        FALSE
    )
)</f>
        <v/>
      </c>
      <c r="M47" s="86">
        <f t="array" ref="M47">IF(
    VLOOKUP(
        $A47,
        _xlfn._xlws.FILTER(
            INDIRECT("'"&amp;M$62&amp;"'!A2:E1000"), (INDIRECT("'"&amp;M$62&amp;"'!B2:B1000")=$B47) * (INDIRECT("'"&amp;M$62&amp;"'!C2:C1000")=$C47)
        ),
        5,
        FALSE
    )=0,
    "",
    VLOOKUP(
        $A47,
        _xlfn._xlws.FILTER(
            INDIRECT("'"&amp;M$62&amp;"'!A2:E1000"), (INDIRECT("'"&amp;M$62&amp;"'!B2:B1000")=$B47) * (INDIRECT("'"&amp;M$62&amp;"'!C2:C1000")=$C47)
        ),
        5,
        FALSE
    )
)</f>
        <v/>
      </c>
      <c r="N47" s="86">
        <f t="array" ref="N47">IF(
    VLOOKUP(
        $A47,
        _xlfn._xlws.FILTER(
            INDIRECT("'"&amp;N$62&amp;"'!A2:E1000"), (INDIRECT("'"&amp;N$62&amp;"'!B2:B1000")=$B47) * (INDIRECT("'"&amp;N$62&amp;"'!C2:C1000")=$C47)
        ),
        5,
        FALSE
    )=0,
    "",
    VLOOKUP(
        $A47,
        _xlfn._xlws.FILTER(
            INDIRECT("'"&amp;N$62&amp;"'!A2:E1000"), (INDIRECT("'"&amp;N$62&amp;"'!B2:B1000")=$B47) * (INDIRECT("'"&amp;N$62&amp;"'!C2:C1000")=$C47)
        ),
        5,
        FALSE
    )
)</f>
        <v/>
      </c>
      <c r="O47" s="86">
        <f t="array" ref="O47">IF(
    VLOOKUP(
        $A47,
        _xlfn._xlws.FILTER(
            INDIRECT("'"&amp;O$62&amp;"'!A2:E1000"), (INDIRECT("'"&amp;O$62&amp;"'!B2:B1000")=$B47) * (INDIRECT("'"&amp;O$62&amp;"'!C2:C1000")=$C47)
        ),
        5,
        FALSE
    )=0,
    "",
    VLOOKUP(
        $A47,
        _xlfn._xlws.FILTER(
            INDIRECT("'"&amp;O$62&amp;"'!A2:E1000"), (INDIRECT("'"&amp;O$62&amp;"'!B2:B1000")=$B47) * (INDIRECT("'"&amp;O$62&amp;"'!C2:C1000")=$C47)
        ),
        5,
        FALSE
    )
)</f>
        <v/>
      </c>
    </row>
    <row r="48">
      <c r="A48" s="28" t="inlineStr">
        <is>
          <t>Londrina</t>
        </is>
      </c>
      <c r="B48" s="58" t="inlineStr">
        <is>
          <t>Santa Mariana</t>
        </is>
      </c>
      <c r="C48" s="85" t="inlineStr">
        <is>
          <t>01</t>
        </is>
      </c>
      <c r="D48" s="86">
        <f t="array" ref="D48">IF(
    VLOOKUP(
        $A48,
        _xlfn._xlws.FILTER(
            INDIRECT("'"&amp;D$62&amp;"'!A2:E1000"), (INDIRECT("'"&amp;D$62&amp;"'!B2:B1000")=$B48) * (INDIRECT("'"&amp;D$62&amp;"'!C2:C1000")=$C48)
        ),
        5,
        FALSE
    )=0,
    "",
    VLOOKUP(
        $A48,
        _xlfn._xlws.FILTER(
            INDIRECT("'"&amp;D$62&amp;"'!A2:E1000"), (INDIRECT("'"&amp;D$62&amp;"'!B2:B1000")=$B48) * (INDIRECT("'"&amp;D$62&amp;"'!C2:C1000")=$C48)
        ),
        5,
        FALSE
    )
)</f>
        <v/>
      </c>
      <c r="E48" s="86">
        <f t="array" ref="E48">IF(
    VLOOKUP(
        $A48,
        _xlfn._xlws.FILTER(
            INDIRECT("'"&amp;E$62&amp;"'!A2:E1000"), (INDIRECT("'"&amp;E$62&amp;"'!B2:B1000")=$B48) * (INDIRECT("'"&amp;E$62&amp;"'!C2:C1000")=$C48)
        ),
        5,
        FALSE
    )=0,
    "",
    VLOOKUP(
        $A48,
        _xlfn._xlws.FILTER(
            INDIRECT("'"&amp;E$62&amp;"'!A2:E1000"), (INDIRECT("'"&amp;E$62&amp;"'!B2:B1000")=$B48) * (INDIRECT("'"&amp;E$62&amp;"'!C2:C1000")=$C48)
        ),
        5,
        FALSE
    )
)</f>
        <v/>
      </c>
      <c r="F48" s="86">
        <f t="array" ref="F48">IF(
    VLOOKUP(
        $A48,
        _xlfn._xlws.FILTER(
            INDIRECT("'"&amp;F$62&amp;"'!A2:E1000"), (INDIRECT("'"&amp;F$62&amp;"'!B2:B1000")=$B48) * (INDIRECT("'"&amp;F$62&amp;"'!C2:C1000")=$C48)
        ),
        5,
        FALSE
    )=0,
    "",
    VLOOKUP(
        $A48,
        _xlfn._xlws.FILTER(
            INDIRECT("'"&amp;F$62&amp;"'!A2:E1000"), (INDIRECT("'"&amp;F$62&amp;"'!B2:B1000")=$B48) * (INDIRECT("'"&amp;F$62&amp;"'!C2:C1000")=$C48)
        ),
        5,
        FALSE
    )
)</f>
        <v/>
      </c>
      <c r="G48" s="86">
        <f t="array" ref="G48">IF(
    VLOOKUP(
        $A48,
        _xlfn._xlws.FILTER(
            INDIRECT("'"&amp;G$62&amp;"'!A2:E1000"), (INDIRECT("'"&amp;G$62&amp;"'!B2:B1000")=$B48) * (INDIRECT("'"&amp;G$62&amp;"'!C2:C1000")=$C48)
        ),
        5,
        FALSE
    )=0,
    "",
    VLOOKUP(
        $A48,
        _xlfn._xlws.FILTER(
            INDIRECT("'"&amp;G$62&amp;"'!A2:E1000"), (INDIRECT("'"&amp;G$62&amp;"'!B2:B1000")=$B48) * (INDIRECT("'"&amp;G$62&amp;"'!C2:C1000")=$C48)
        ),
        5,
        FALSE
    )
)</f>
        <v/>
      </c>
      <c r="H48" s="86">
        <f t="array" ref="H48">IF(
    VLOOKUP(
        $A48,
        _xlfn._xlws.FILTER(
            INDIRECT("'"&amp;H$62&amp;"'!A2:E1000"), (INDIRECT("'"&amp;H$62&amp;"'!B2:B1000")=$B48) * (INDIRECT("'"&amp;H$62&amp;"'!C2:C1000")=$C48)
        ),
        5,
        FALSE
    )=0,
    "",
    VLOOKUP(
        $A48,
        _xlfn._xlws.FILTER(
            INDIRECT("'"&amp;H$62&amp;"'!A2:E1000"), (INDIRECT("'"&amp;H$62&amp;"'!B2:B1000")=$B48) * (INDIRECT("'"&amp;H$62&amp;"'!C2:C1000")=$C48)
        ),
        5,
        FALSE
    )
)</f>
        <v/>
      </c>
      <c r="I48" s="86">
        <f t="array" ref="I48">IF(
    VLOOKUP(
        $A48,
        _xlfn._xlws.FILTER(
            INDIRECT("'"&amp;I$62&amp;"'!A2:E1000"), (INDIRECT("'"&amp;I$62&amp;"'!B2:B1000")=$B48) * (INDIRECT("'"&amp;I$62&amp;"'!C2:C1000")=$C48)
        ),
        5,
        FALSE
    )=0,
    "",
    VLOOKUP(
        $A48,
        _xlfn._xlws.FILTER(
            INDIRECT("'"&amp;I$62&amp;"'!A2:E1000"), (INDIRECT("'"&amp;I$62&amp;"'!B2:B1000")=$B48) * (INDIRECT("'"&amp;I$62&amp;"'!C2:C1000")=$C48)
        ),
        5,
        FALSE
    )
)</f>
        <v/>
      </c>
      <c r="J48" s="86">
        <f t="array" ref="J48">IF(
    VLOOKUP(
        $A48,
        _xlfn._xlws.FILTER(
            INDIRECT("'"&amp;J$62&amp;"'!A2:E1000"), (INDIRECT("'"&amp;J$62&amp;"'!B2:B1000")=$B48) * (INDIRECT("'"&amp;J$62&amp;"'!C2:C1000")=$C48)
        ),
        5,
        FALSE
    )=0,
    "",
    VLOOKUP(
        $A48,
        _xlfn._xlws.FILTER(
            INDIRECT("'"&amp;J$62&amp;"'!A2:E1000"), (INDIRECT("'"&amp;J$62&amp;"'!B2:B1000")=$B48) * (INDIRECT("'"&amp;J$62&amp;"'!C2:C1000")=$C48)
        ),
        5,
        FALSE
    )
)</f>
        <v/>
      </c>
      <c r="K48" s="86">
        <f t="array" ref="K48">IF(
    VLOOKUP(
        $A48,
        _xlfn._xlws.FILTER(
            INDIRECT("'"&amp;K$62&amp;"'!A2:E1000"), (INDIRECT("'"&amp;K$62&amp;"'!B2:B1000")=$B48) * (INDIRECT("'"&amp;K$62&amp;"'!C2:C1000")=$C48)
        ),
        5,
        FALSE
    )=0,
    "",
    VLOOKUP(
        $A48,
        _xlfn._xlws.FILTER(
            INDIRECT("'"&amp;K$62&amp;"'!A2:E1000"), (INDIRECT("'"&amp;K$62&amp;"'!B2:B1000")=$B48) * (INDIRECT("'"&amp;K$62&amp;"'!C2:C1000")=$C48)
        ),
        5,
        FALSE
    )
)</f>
        <v/>
      </c>
      <c r="L48" s="86">
        <f t="array" ref="L48">IF(
    VLOOKUP(
        $A48,
        _xlfn._xlws.FILTER(
            INDIRECT("'"&amp;L$62&amp;"'!A2:E1000"), (INDIRECT("'"&amp;L$62&amp;"'!B2:B1000")=$B48) * (INDIRECT("'"&amp;L$62&amp;"'!C2:C1000")=$C48)
        ),
        5,
        FALSE
    )=0,
    "",
    VLOOKUP(
        $A48,
        _xlfn._xlws.FILTER(
            INDIRECT("'"&amp;L$62&amp;"'!A2:E1000"), (INDIRECT("'"&amp;L$62&amp;"'!B2:B1000")=$B48) * (INDIRECT("'"&amp;L$62&amp;"'!C2:C1000")=$C48)
        ),
        5,
        FALSE
    )
)</f>
        <v/>
      </c>
      <c r="M48" s="86">
        <f t="array" ref="M48">IF(
    VLOOKUP(
        $A48,
        _xlfn._xlws.FILTER(
            INDIRECT("'"&amp;M$62&amp;"'!A2:E1000"), (INDIRECT("'"&amp;M$62&amp;"'!B2:B1000")=$B48) * (INDIRECT("'"&amp;M$62&amp;"'!C2:C1000")=$C48)
        ),
        5,
        FALSE
    )=0,
    "",
    VLOOKUP(
        $A48,
        _xlfn._xlws.FILTER(
            INDIRECT("'"&amp;M$62&amp;"'!A2:E1000"), (INDIRECT("'"&amp;M$62&amp;"'!B2:B1000")=$B48) * (INDIRECT("'"&amp;M$62&amp;"'!C2:C1000")=$C48)
        ),
        5,
        FALSE
    )
)</f>
        <v/>
      </c>
      <c r="N48" s="86">
        <f t="array" ref="N48">IF(
    VLOOKUP(
        $A48,
        _xlfn._xlws.FILTER(
            INDIRECT("'"&amp;N$62&amp;"'!A2:E1000"), (INDIRECT("'"&amp;N$62&amp;"'!B2:B1000")=$B48) * (INDIRECT("'"&amp;N$62&amp;"'!C2:C1000")=$C48)
        ),
        5,
        FALSE
    )=0,
    "",
    VLOOKUP(
        $A48,
        _xlfn._xlws.FILTER(
            INDIRECT("'"&amp;N$62&amp;"'!A2:E1000"), (INDIRECT("'"&amp;N$62&amp;"'!B2:B1000")=$B48) * (INDIRECT("'"&amp;N$62&amp;"'!C2:C1000")=$C48)
        ),
        5,
        FALSE
    )
)</f>
        <v/>
      </c>
      <c r="O48" s="86">
        <f t="array" ref="O48">IF(
    VLOOKUP(
        $A48,
        _xlfn._xlws.FILTER(
            INDIRECT("'"&amp;O$62&amp;"'!A2:E1000"), (INDIRECT("'"&amp;O$62&amp;"'!B2:B1000")=$B48) * (INDIRECT("'"&amp;O$62&amp;"'!C2:C1000")=$C48)
        ),
        5,
        FALSE
    )=0,
    "",
    VLOOKUP(
        $A48,
        _xlfn._xlws.FILTER(
            INDIRECT("'"&amp;O$62&amp;"'!A2:E1000"), (INDIRECT("'"&amp;O$62&amp;"'!B2:B1000")=$B48) * (INDIRECT("'"&amp;O$62&amp;"'!C2:C1000")=$C48)
        ),
        5,
        FALSE
    )
)</f>
        <v/>
      </c>
    </row>
    <row r="49">
      <c r="A49" s="28" t="inlineStr">
        <is>
          <t>Londrina</t>
        </is>
      </c>
      <c r="B49" s="58" t="inlineStr">
        <is>
          <t>Santana Do Itararé</t>
        </is>
      </c>
      <c r="C49" s="85" t="inlineStr">
        <is>
          <t>01</t>
        </is>
      </c>
      <c r="D49" s="86">
        <f t="array" ref="D49">IF(
    VLOOKUP(
        $A49,
        _xlfn._xlws.FILTER(
            INDIRECT("'"&amp;D$62&amp;"'!A2:E1000"), (INDIRECT("'"&amp;D$62&amp;"'!B2:B1000")=$B49) * (INDIRECT("'"&amp;D$62&amp;"'!C2:C1000")=$C49)
        ),
        5,
        FALSE
    )=0,
    "",
    VLOOKUP(
        $A49,
        _xlfn._xlws.FILTER(
            INDIRECT("'"&amp;D$62&amp;"'!A2:E1000"), (INDIRECT("'"&amp;D$62&amp;"'!B2:B1000")=$B49) * (INDIRECT("'"&amp;D$62&amp;"'!C2:C1000")=$C49)
        ),
        5,
        FALSE
    )
)</f>
        <v/>
      </c>
      <c r="E49" s="86">
        <f t="array" ref="E49">IF(
    VLOOKUP(
        $A49,
        _xlfn._xlws.FILTER(
            INDIRECT("'"&amp;E$62&amp;"'!A2:E1000"), (INDIRECT("'"&amp;E$62&amp;"'!B2:B1000")=$B49) * (INDIRECT("'"&amp;E$62&amp;"'!C2:C1000")=$C49)
        ),
        5,
        FALSE
    )=0,
    "",
    VLOOKUP(
        $A49,
        _xlfn._xlws.FILTER(
            INDIRECT("'"&amp;E$62&amp;"'!A2:E1000"), (INDIRECT("'"&amp;E$62&amp;"'!B2:B1000")=$B49) * (INDIRECT("'"&amp;E$62&amp;"'!C2:C1000")=$C49)
        ),
        5,
        FALSE
    )
)</f>
        <v/>
      </c>
      <c r="F49" s="86">
        <f t="array" ref="F49">IF(
    VLOOKUP(
        $A49,
        _xlfn._xlws.FILTER(
            INDIRECT("'"&amp;F$62&amp;"'!A2:E1000"), (INDIRECT("'"&amp;F$62&amp;"'!B2:B1000")=$B49) * (INDIRECT("'"&amp;F$62&amp;"'!C2:C1000")=$C49)
        ),
        5,
        FALSE
    )=0,
    "",
    VLOOKUP(
        $A49,
        _xlfn._xlws.FILTER(
            INDIRECT("'"&amp;F$62&amp;"'!A2:E1000"), (INDIRECT("'"&amp;F$62&amp;"'!B2:B1000")=$B49) * (INDIRECT("'"&amp;F$62&amp;"'!C2:C1000")=$C49)
        ),
        5,
        FALSE
    )
)</f>
        <v/>
      </c>
      <c r="G49" s="86">
        <f t="array" ref="G49">IF(
    VLOOKUP(
        $A49,
        _xlfn._xlws.FILTER(
            INDIRECT("'"&amp;G$62&amp;"'!A2:E1000"), (INDIRECT("'"&amp;G$62&amp;"'!B2:B1000")=$B49) * (INDIRECT("'"&amp;G$62&amp;"'!C2:C1000")=$C49)
        ),
        5,
        FALSE
    )=0,
    "",
    VLOOKUP(
        $A49,
        _xlfn._xlws.FILTER(
            INDIRECT("'"&amp;G$62&amp;"'!A2:E1000"), (INDIRECT("'"&amp;G$62&amp;"'!B2:B1000")=$B49) * (INDIRECT("'"&amp;G$62&amp;"'!C2:C1000")=$C49)
        ),
        5,
        FALSE
    )
)</f>
        <v/>
      </c>
      <c r="H49" s="86">
        <f t="array" ref="H49">IF(
    VLOOKUP(
        $A49,
        _xlfn._xlws.FILTER(
            INDIRECT("'"&amp;H$62&amp;"'!A2:E1000"), (INDIRECT("'"&amp;H$62&amp;"'!B2:B1000")=$B49) * (INDIRECT("'"&amp;H$62&amp;"'!C2:C1000")=$C49)
        ),
        5,
        FALSE
    )=0,
    "",
    VLOOKUP(
        $A49,
        _xlfn._xlws.FILTER(
            INDIRECT("'"&amp;H$62&amp;"'!A2:E1000"), (INDIRECT("'"&amp;H$62&amp;"'!B2:B1000")=$B49) * (INDIRECT("'"&amp;H$62&amp;"'!C2:C1000")=$C49)
        ),
        5,
        FALSE
    )
)</f>
        <v/>
      </c>
      <c r="I49" s="86">
        <f t="array" ref="I49">IF(
    VLOOKUP(
        $A49,
        _xlfn._xlws.FILTER(
            INDIRECT("'"&amp;I$62&amp;"'!A2:E1000"), (INDIRECT("'"&amp;I$62&amp;"'!B2:B1000")=$B49) * (INDIRECT("'"&amp;I$62&amp;"'!C2:C1000")=$C49)
        ),
        5,
        FALSE
    )=0,
    "",
    VLOOKUP(
        $A49,
        _xlfn._xlws.FILTER(
            INDIRECT("'"&amp;I$62&amp;"'!A2:E1000"), (INDIRECT("'"&amp;I$62&amp;"'!B2:B1000")=$B49) * (INDIRECT("'"&amp;I$62&amp;"'!C2:C1000")=$C49)
        ),
        5,
        FALSE
    )
)</f>
        <v/>
      </c>
      <c r="J49" s="86">
        <f t="array" ref="J49">IF(
    VLOOKUP(
        $A49,
        _xlfn._xlws.FILTER(
            INDIRECT("'"&amp;J$62&amp;"'!A2:E1000"), (INDIRECT("'"&amp;J$62&amp;"'!B2:B1000")=$B49) * (INDIRECT("'"&amp;J$62&amp;"'!C2:C1000")=$C49)
        ),
        5,
        FALSE
    )=0,
    "",
    VLOOKUP(
        $A49,
        _xlfn._xlws.FILTER(
            INDIRECT("'"&amp;J$62&amp;"'!A2:E1000"), (INDIRECT("'"&amp;J$62&amp;"'!B2:B1000")=$B49) * (INDIRECT("'"&amp;J$62&amp;"'!C2:C1000")=$C49)
        ),
        5,
        FALSE
    )
)</f>
        <v/>
      </c>
      <c r="K49" s="86">
        <f t="array" ref="K49">IF(
    VLOOKUP(
        $A49,
        _xlfn._xlws.FILTER(
            INDIRECT("'"&amp;K$62&amp;"'!A2:E1000"), (INDIRECT("'"&amp;K$62&amp;"'!B2:B1000")=$B49) * (INDIRECT("'"&amp;K$62&amp;"'!C2:C1000")=$C49)
        ),
        5,
        FALSE
    )=0,
    "",
    VLOOKUP(
        $A49,
        _xlfn._xlws.FILTER(
            INDIRECT("'"&amp;K$62&amp;"'!A2:E1000"), (INDIRECT("'"&amp;K$62&amp;"'!B2:B1000")=$B49) * (INDIRECT("'"&amp;K$62&amp;"'!C2:C1000")=$C49)
        ),
        5,
        FALSE
    )
)</f>
        <v/>
      </c>
      <c r="L49" s="86">
        <f t="array" ref="L49">IF(
    VLOOKUP(
        $A49,
        _xlfn._xlws.FILTER(
            INDIRECT("'"&amp;L$62&amp;"'!A2:E1000"), (INDIRECT("'"&amp;L$62&amp;"'!B2:B1000")=$B49) * (INDIRECT("'"&amp;L$62&amp;"'!C2:C1000")=$C49)
        ),
        5,
        FALSE
    )=0,
    "",
    VLOOKUP(
        $A49,
        _xlfn._xlws.FILTER(
            INDIRECT("'"&amp;L$62&amp;"'!A2:E1000"), (INDIRECT("'"&amp;L$62&amp;"'!B2:B1000")=$B49) * (INDIRECT("'"&amp;L$62&amp;"'!C2:C1000")=$C49)
        ),
        5,
        FALSE
    )
)</f>
        <v/>
      </c>
      <c r="M49" s="86">
        <f t="array" ref="M49">IF(
    VLOOKUP(
        $A49,
        _xlfn._xlws.FILTER(
            INDIRECT("'"&amp;M$62&amp;"'!A2:E1000"), (INDIRECT("'"&amp;M$62&amp;"'!B2:B1000")=$B49) * (INDIRECT("'"&amp;M$62&amp;"'!C2:C1000")=$C49)
        ),
        5,
        FALSE
    )=0,
    "",
    VLOOKUP(
        $A49,
        _xlfn._xlws.FILTER(
            INDIRECT("'"&amp;M$62&amp;"'!A2:E1000"), (INDIRECT("'"&amp;M$62&amp;"'!B2:B1000")=$B49) * (INDIRECT("'"&amp;M$62&amp;"'!C2:C1000")=$C49)
        ),
        5,
        FALSE
    )
)</f>
        <v/>
      </c>
      <c r="N49" s="86">
        <f t="array" ref="N49">IF(
    VLOOKUP(
        $A49,
        _xlfn._xlws.FILTER(
            INDIRECT("'"&amp;N$62&amp;"'!A2:E1000"), (INDIRECT("'"&amp;N$62&amp;"'!B2:B1000")=$B49) * (INDIRECT("'"&amp;N$62&amp;"'!C2:C1000")=$C49)
        ),
        5,
        FALSE
    )=0,
    "",
    VLOOKUP(
        $A49,
        _xlfn._xlws.FILTER(
            INDIRECT("'"&amp;N$62&amp;"'!A2:E1000"), (INDIRECT("'"&amp;N$62&amp;"'!B2:B1000")=$B49) * (INDIRECT("'"&amp;N$62&amp;"'!C2:C1000")=$C49)
        ),
        5,
        FALSE
    )
)</f>
        <v/>
      </c>
      <c r="O49" s="86">
        <f t="array" ref="O49">IF(
    VLOOKUP(
        $A49,
        _xlfn._xlws.FILTER(
            INDIRECT("'"&amp;O$62&amp;"'!A2:E1000"), (INDIRECT("'"&amp;O$62&amp;"'!B2:B1000")=$B49) * (INDIRECT("'"&amp;O$62&amp;"'!C2:C1000")=$C49)
        ),
        5,
        FALSE
    )=0,
    "",
    VLOOKUP(
        $A49,
        _xlfn._xlws.FILTER(
            INDIRECT("'"&amp;O$62&amp;"'!A2:E1000"), (INDIRECT("'"&amp;O$62&amp;"'!B2:B1000")=$B49) * (INDIRECT("'"&amp;O$62&amp;"'!C2:C1000")=$C49)
        ),
        5,
        FALSE
    )
)</f>
        <v/>
      </c>
    </row>
    <row r="50"/>
    <row r="51" ht="15.75" customHeight="1">
      <c r="A51" s="34" t="inlineStr">
        <is>
          <t>Diana</t>
        </is>
      </c>
      <c r="B51" s="84" t="inlineStr">
        <is>
          <t>Municípios</t>
        </is>
      </c>
      <c r="C51" s="84" t="inlineStr">
        <is>
          <t>UVR</t>
        </is>
      </c>
      <c r="D51" s="4" t="inlineStr">
        <is>
          <t>01.25</t>
        </is>
      </c>
      <c r="E51" s="4" t="inlineStr">
        <is>
          <t>02.25</t>
        </is>
      </c>
      <c r="F51" s="4" t="inlineStr">
        <is>
          <t>03.25</t>
        </is>
      </c>
      <c r="G51" s="4" t="inlineStr">
        <is>
          <t>04.25</t>
        </is>
      </c>
      <c r="H51" s="4" t="inlineStr">
        <is>
          <t>05.25</t>
        </is>
      </c>
      <c r="I51" s="4" t="inlineStr">
        <is>
          <t>06.25</t>
        </is>
      </c>
      <c r="J51" s="4" t="inlineStr">
        <is>
          <t>07.25</t>
        </is>
      </c>
      <c r="K51" s="4" t="inlineStr">
        <is>
          <t>08.25</t>
        </is>
      </c>
      <c r="L51" s="4" t="inlineStr">
        <is>
          <t>09.25</t>
        </is>
      </c>
      <c r="M51" s="4" t="inlineStr">
        <is>
          <t>10.25</t>
        </is>
      </c>
      <c r="N51" s="4" t="inlineStr">
        <is>
          <t>11.25</t>
        </is>
      </c>
      <c r="O51" s="4" t="inlineStr">
        <is>
          <t>12.25</t>
        </is>
      </c>
    </row>
    <row r="52" ht="15.75" customHeight="1">
      <c r="A52" s="33" t="inlineStr">
        <is>
          <t>Maringá</t>
        </is>
      </c>
      <c r="B52" s="85" t="inlineStr">
        <is>
          <t>Apucarana</t>
        </is>
      </c>
      <c r="C52" s="85" t="inlineStr">
        <is>
          <t>01</t>
        </is>
      </c>
      <c r="D52" s="86">
        <f t="array" ref="D52">IF(
    VLOOKUP(
        $A52,
        _xlfn._xlws.FILTER(
            INDIRECT("'"&amp;D$62&amp;"'!A2:E1000"), (INDIRECT("'"&amp;D$62&amp;"'!B2:B1000")=$B52) * (INDIRECT("'"&amp;D$62&amp;"'!C2:C1000")=$C52)
        ),
        5,
        FALSE
    )=0,
    "",
    VLOOKUP(
        $A52,
        _xlfn._xlws.FILTER(
            INDIRECT("'"&amp;D$62&amp;"'!A2:E1000"), (INDIRECT("'"&amp;D$62&amp;"'!B2:B1000")=$B52) * (INDIRECT("'"&amp;D$62&amp;"'!C2:C1000")=$C52)
        ),
        5,
        FALSE
    )
)</f>
        <v/>
      </c>
      <c r="E52" s="86">
        <f t="array" ref="E52">IF(
    VLOOKUP(
        $A52,
        _xlfn._xlws.FILTER(
            INDIRECT("'"&amp;E$62&amp;"'!A2:E1000"), (INDIRECT("'"&amp;E$62&amp;"'!B2:B1000")=$B52) * (INDIRECT("'"&amp;E$62&amp;"'!C2:C1000")=$C52)
        ),
        5,
        FALSE
    )=0,
    "",
    VLOOKUP(
        $A52,
        _xlfn._xlws.FILTER(
            INDIRECT("'"&amp;E$62&amp;"'!A2:E1000"), (INDIRECT("'"&amp;E$62&amp;"'!B2:B1000")=$B52) * (INDIRECT("'"&amp;E$62&amp;"'!C2:C1000")=$C52)
        ),
        5,
        FALSE
    )
)</f>
        <v/>
      </c>
      <c r="F52" s="86">
        <f t="array" ref="F52">IF(
    VLOOKUP(
        $A52,
        _xlfn._xlws.FILTER(
            INDIRECT("'"&amp;F$62&amp;"'!A2:E1000"), (INDIRECT("'"&amp;F$62&amp;"'!B2:B1000")=$B52) * (INDIRECT("'"&amp;F$62&amp;"'!C2:C1000")=$C52)
        ),
        5,
        FALSE
    )=0,
    "",
    VLOOKUP(
        $A52,
        _xlfn._xlws.FILTER(
            INDIRECT("'"&amp;F$62&amp;"'!A2:E1000"), (INDIRECT("'"&amp;F$62&amp;"'!B2:B1000")=$B52) * (INDIRECT("'"&amp;F$62&amp;"'!C2:C1000")=$C52)
        ),
        5,
        FALSE
    )
)</f>
        <v/>
      </c>
      <c r="G52" s="86">
        <f t="array" ref="G52">IF(
    VLOOKUP(
        $A52,
        _xlfn._xlws.FILTER(
            INDIRECT("'"&amp;G$62&amp;"'!A2:E1000"), (INDIRECT("'"&amp;G$62&amp;"'!B2:B1000")=$B52) * (INDIRECT("'"&amp;G$62&amp;"'!C2:C1000")=$C52)
        ),
        5,
        FALSE
    )=0,
    "",
    VLOOKUP(
        $A52,
        _xlfn._xlws.FILTER(
            INDIRECT("'"&amp;G$62&amp;"'!A2:E1000"), (INDIRECT("'"&amp;G$62&amp;"'!B2:B1000")=$B52) * (INDIRECT("'"&amp;G$62&amp;"'!C2:C1000")=$C52)
        ),
        5,
        FALSE
    )
)</f>
        <v/>
      </c>
      <c r="H52" s="86">
        <f t="array" ref="H52">IF(
    VLOOKUP(
        $A52,
        _xlfn._xlws.FILTER(
            INDIRECT("'"&amp;H$62&amp;"'!A2:E1000"), (INDIRECT("'"&amp;H$62&amp;"'!B2:B1000")=$B52) * (INDIRECT("'"&amp;H$62&amp;"'!C2:C1000")=$C52)
        ),
        5,
        FALSE
    )=0,
    "",
    VLOOKUP(
        $A52,
        _xlfn._xlws.FILTER(
            INDIRECT("'"&amp;H$62&amp;"'!A2:E1000"), (INDIRECT("'"&amp;H$62&amp;"'!B2:B1000")=$B52) * (INDIRECT("'"&amp;H$62&amp;"'!C2:C1000")=$C52)
        ),
        5,
        FALSE
    )
)</f>
        <v/>
      </c>
      <c r="I52" s="86">
        <f t="array" ref="I52">IF(
    VLOOKUP(
        $A52,
        _xlfn._xlws.FILTER(
            INDIRECT("'"&amp;I$62&amp;"'!A2:E1000"), (INDIRECT("'"&amp;I$62&amp;"'!B2:B1000")=$B52) * (INDIRECT("'"&amp;I$62&amp;"'!C2:C1000")=$C52)
        ),
        5,
        FALSE
    )=0,
    "",
    VLOOKUP(
        $A52,
        _xlfn._xlws.FILTER(
            INDIRECT("'"&amp;I$62&amp;"'!A2:E1000"), (INDIRECT("'"&amp;I$62&amp;"'!B2:B1000")=$B52) * (INDIRECT("'"&amp;I$62&amp;"'!C2:C1000")=$C52)
        ),
        5,
        FALSE
    )
)</f>
        <v/>
      </c>
      <c r="J52" s="86">
        <f t="array" ref="J52">IF(
    VLOOKUP(
        $A52,
        _xlfn._xlws.FILTER(
            INDIRECT("'"&amp;J$62&amp;"'!A2:E1000"), (INDIRECT("'"&amp;J$62&amp;"'!B2:B1000")=$B52) * (INDIRECT("'"&amp;J$62&amp;"'!C2:C1000")=$C52)
        ),
        5,
        FALSE
    )=0,
    "",
    VLOOKUP(
        $A52,
        _xlfn._xlws.FILTER(
            INDIRECT("'"&amp;J$62&amp;"'!A2:E1000"), (INDIRECT("'"&amp;J$62&amp;"'!B2:B1000")=$B52) * (INDIRECT("'"&amp;J$62&amp;"'!C2:C1000")=$C52)
        ),
        5,
        FALSE
    )
)</f>
        <v/>
      </c>
      <c r="K52" s="86">
        <f t="array" ref="K52">IF(
    VLOOKUP(
        $A52,
        _xlfn._xlws.FILTER(
            INDIRECT("'"&amp;K$62&amp;"'!A2:E1000"), (INDIRECT("'"&amp;K$62&amp;"'!B2:B1000")=$B52) * (INDIRECT("'"&amp;K$62&amp;"'!C2:C1000")=$C52)
        ),
        5,
        FALSE
    )=0,
    "",
    VLOOKUP(
        $A52,
        _xlfn._xlws.FILTER(
            INDIRECT("'"&amp;K$62&amp;"'!A2:E1000"), (INDIRECT("'"&amp;K$62&amp;"'!B2:B1000")=$B52) * (INDIRECT("'"&amp;K$62&amp;"'!C2:C1000")=$C52)
        ),
        5,
        FALSE
    )
)</f>
        <v/>
      </c>
      <c r="L52" s="86">
        <f t="array" ref="L52">IF(
    VLOOKUP(
        $A52,
        _xlfn._xlws.FILTER(
            INDIRECT("'"&amp;L$62&amp;"'!A2:E1000"), (INDIRECT("'"&amp;L$62&amp;"'!B2:B1000")=$B52) * (INDIRECT("'"&amp;L$62&amp;"'!C2:C1000")=$C52)
        ),
        5,
        FALSE
    )=0,
    "",
    VLOOKUP(
        $A52,
        _xlfn._xlws.FILTER(
            INDIRECT("'"&amp;L$62&amp;"'!A2:E1000"), (INDIRECT("'"&amp;L$62&amp;"'!B2:B1000")=$B52) * (INDIRECT("'"&amp;L$62&amp;"'!C2:C1000")=$C52)
        ),
        5,
        FALSE
    )
)</f>
        <v/>
      </c>
      <c r="M52" s="86">
        <f t="array" ref="M52">IF(
    VLOOKUP(
        $A52,
        _xlfn._xlws.FILTER(
            INDIRECT("'"&amp;M$62&amp;"'!A2:E1000"), (INDIRECT("'"&amp;M$62&amp;"'!B2:B1000")=$B52) * (INDIRECT("'"&amp;M$62&amp;"'!C2:C1000")=$C52)
        ),
        5,
        FALSE
    )=0,
    "",
    VLOOKUP(
        $A52,
        _xlfn._xlws.FILTER(
            INDIRECT("'"&amp;M$62&amp;"'!A2:E1000"), (INDIRECT("'"&amp;M$62&amp;"'!B2:B1000")=$B52) * (INDIRECT("'"&amp;M$62&amp;"'!C2:C1000")=$C52)
        ),
        5,
        FALSE
    )
)</f>
        <v/>
      </c>
      <c r="N52" s="86">
        <f t="array" ref="N52">IF(
    VLOOKUP(
        $A52,
        _xlfn._xlws.FILTER(
            INDIRECT("'"&amp;N$62&amp;"'!A2:E1000"), (INDIRECT("'"&amp;N$62&amp;"'!B2:B1000")=$B52) * (INDIRECT("'"&amp;N$62&amp;"'!C2:C1000")=$C52)
        ),
        5,
        FALSE
    )=0,
    "",
    VLOOKUP(
        $A52,
        _xlfn._xlws.FILTER(
            INDIRECT("'"&amp;N$62&amp;"'!A2:E1000"), (INDIRECT("'"&amp;N$62&amp;"'!B2:B1000")=$B52) * (INDIRECT("'"&amp;N$62&amp;"'!C2:C1000")=$C52)
        ),
        5,
        FALSE
    )
)</f>
        <v/>
      </c>
      <c r="O52" s="86">
        <f t="array" ref="O52">IF(
    VLOOKUP(
        $A52,
        _xlfn._xlws.FILTER(
            INDIRECT("'"&amp;O$62&amp;"'!A2:E1000"), (INDIRECT("'"&amp;O$62&amp;"'!B2:B1000")=$B52) * (INDIRECT("'"&amp;O$62&amp;"'!C2:C1000")=$C52)
        ),
        5,
        FALSE
    )=0,
    "",
    VLOOKUP(
        $A52,
        _xlfn._xlws.FILTER(
            INDIRECT("'"&amp;O$62&amp;"'!A2:E1000"), (INDIRECT("'"&amp;O$62&amp;"'!B2:B1000")=$B52) * (INDIRECT("'"&amp;O$62&amp;"'!C2:C1000")=$C52)
        ),
        5,
        FALSE
    )
)</f>
        <v/>
      </c>
    </row>
    <row r="53">
      <c r="A53" s="33" t="inlineStr">
        <is>
          <t>Maringá</t>
        </is>
      </c>
      <c r="B53" s="85" t="inlineStr">
        <is>
          <t>Atalaia</t>
        </is>
      </c>
      <c r="C53" s="85" t="inlineStr">
        <is>
          <t>01</t>
        </is>
      </c>
      <c r="D53" s="86">
        <f t="array" ref="D53">IF(
    VLOOKUP(
        $A53,
        _xlfn._xlws.FILTER(
            INDIRECT("'"&amp;D$62&amp;"'!A2:E1000"), (INDIRECT("'"&amp;D$62&amp;"'!B2:B1000")=$B53) * (INDIRECT("'"&amp;D$62&amp;"'!C2:C1000")=$C53)
        ),
        5,
        FALSE
    )=0,
    "",
    VLOOKUP(
        $A53,
        _xlfn._xlws.FILTER(
            INDIRECT("'"&amp;D$62&amp;"'!A2:E1000"), (INDIRECT("'"&amp;D$62&amp;"'!B2:B1000")=$B53) * (INDIRECT("'"&amp;D$62&amp;"'!C2:C1000")=$C53)
        ),
        5,
        FALSE
    )
)</f>
        <v/>
      </c>
      <c r="E53" s="86">
        <f t="array" ref="E53">IF(
    VLOOKUP(
        $A53,
        _xlfn._xlws.FILTER(
            INDIRECT("'"&amp;E$62&amp;"'!A2:E1000"), (INDIRECT("'"&amp;E$62&amp;"'!B2:B1000")=$B53) * (INDIRECT("'"&amp;E$62&amp;"'!C2:C1000")=$C53)
        ),
        5,
        FALSE
    )=0,
    "",
    VLOOKUP(
        $A53,
        _xlfn._xlws.FILTER(
            INDIRECT("'"&amp;E$62&amp;"'!A2:E1000"), (INDIRECT("'"&amp;E$62&amp;"'!B2:B1000")=$B53) * (INDIRECT("'"&amp;E$62&amp;"'!C2:C1000")=$C53)
        ),
        5,
        FALSE
    )
)</f>
        <v/>
      </c>
      <c r="F53" s="86">
        <f t="array" ref="F53">IF(
    VLOOKUP(
        $A53,
        _xlfn._xlws.FILTER(
            INDIRECT("'"&amp;F$62&amp;"'!A2:E1000"), (INDIRECT("'"&amp;F$62&amp;"'!B2:B1000")=$B53) * (INDIRECT("'"&amp;F$62&amp;"'!C2:C1000")=$C53)
        ),
        5,
        FALSE
    )=0,
    "",
    VLOOKUP(
        $A53,
        _xlfn._xlws.FILTER(
            INDIRECT("'"&amp;F$62&amp;"'!A2:E1000"), (INDIRECT("'"&amp;F$62&amp;"'!B2:B1000")=$B53) * (INDIRECT("'"&amp;F$62&amp;"'!C2:C1000")=$C53)
        ),
        5,
        FALSE
    )
)</f>
        <v/>
      </c>
      <c r="G53" s="86">
        <f t="array" ref="G53">IF(
    VLOOKUP(
        $A53,
        _xlfn._xlws.FILTER(
            INDIRECT("'"&amp;G$62&amp;"'!A2:E1000"), (INDIRECT("'"&amp;G$62&amp;"'!B2:B1000")=$B53) * (INDIRECT("'"&amp;G$62&amp;"'!C2:C1000")=$C53)
        ),
        5,
        FALSE
    )=0,
    "",
    VLOOKUP(
        $A53,
        _xlfn._xlws.FILTER(
            INDIRECT("'"&amp;G$62&amp;"'!A2:E1000"), (INDIRECT("'"&amp;G$62&amp;"'!B2:B1000")=$B53) * (INDIRECT("'"&amp;G$62&amp;"'!C2:C1000")=$C53)
        ),
        5,
        FALSE
    )
)</f>
        <v/>
      </c>
      <c r="H53" s="86">
        <f t="array" ref="H53">IF(
    VLOOKUP(
        $A53,
        _xlfn._xlws.FILTER(
            INDIRECT("'"&amp;H$62&amp;"'!A2:E1000"), (INDIRECT("'"&amp;H$62&amp;"'!B2:B1000")=$B53) * (INDIRECT("'"&amp;H$62&amp;"'!C2:C1000")=$C53)
        ),
        5,
        FALSE
    )=0,
    "",
    VLOOKUP(
        $A53,
        _xlfn._xlws.FILTER(
            INDIRECT("'"&amp;H$62&amp;"'!A2:E1000"), (INDIRECT("'"&amp;H$62&amp;"'!B2:B1000")=$B53) * (INDIRECT("'"&amp;H$62&amp;"'!C2:C1000")=$C53)
        ),
        5,
        FALSE
    )
)</f>
        <v/>
      </c>
      <c r="I53" s="86">
        <f t="array" ref="I53">IF(
    VLOOKUP(
        $A53,
        _xlfn._xlws.FILTER(
            INDIRECT("'"&amp;I$62&amp;"'!A2:E1000"), (INDIRECT("'"&amp;I$62&amp;"'!B2:B1000")=$B53) * (INDIRECT("'"&amp;I$62&amp;"'!C2:C1000")=$C53)
        ),
        5,
        FALSE
    )=0,
    "",
    VLOOKUP(
        $A53,
        _xlfn._xlws.FILTER(
            INDIRECT("'"&amp;I$62&amp;"'!A2:E1000"), (INDIRECT("'"&amp;I$62&amp;"'!B2:B1000")=$B53) * (INDIRECT("'"&amp;I$62&amp;"'!C2:C1000")=$C53)
        ),
        5,
        FALSE
    )
)</f>
        <v/>
      </c>
      <c r="J53" s="86">
        <f t="array" ref="J53">IF(
    VLOOKUP(
        $A53,
        _xlfn._xlws.FILTER(
            INDIRECT("'"&amp;J$62&amp;"'!A2:E1000"), (INDIRECT("'"&amp;J$62&amp;"'!B2:B1000")=$B53) * (INDIRECT("'"&amp;J$62&amp;"'!C2:C1000")=$C53)
        ),
        5,
        FALSE
    )=0,
    "",
    VLOOKUP(
        $A53,
        _xlfn._xlws.FILTER(
            INDIRECT("'"&amp;J$62&amp;"'!A2:E1000"), (INDIRECT("'"&amp;J$62&amp;"'!B2:B1000")=$B53) * (INDIRECT("'"&amp;J$62&amp;"'!C2:C1000")=$C53)
        ),
        5,
        FALSE
    )
)</f>
        <v/>
      </c>
      <c r="K53" s="86">
        <f t="array" ref="K53">IF(
    VLOOKUP(
        $A53,
        _xlfn._xlws.FILTER(
            INDIRECT("'"&amp;K$62&amp;"'!A2:E1000"), (INDIRECT("'"&amp;K$62&amp;"'!B2:B1000")=$B53) * (INDIRECT("'"&amp;K$62&amp;"'!C2:C1000")=$C53)
        ),
        5,
        FALSE
    )=0,
    "",
    VLOOKUP(
        $A53,
        _xlfn._xlws.FILTER(
            INDIRECT("'"&amp;K$62&amp;"'!A2:E1000"), (INDIRECT("'"&amp;K$62&amp;"'!B2:B1000")=$B53) * (INDIRECT("'"&amp;K$62&amp;"'!C2:C1000")=$C53)
        ),
        5,
        FALSE
    )
)</f>
        <v/>
      </c>
      <c r="L53" s="86">
        <f t="array" ref="L53">IF(
    VLOOKUP(
        $A53,
        _xlfn._xlws.FILTER(
            INDIRECT("'"&amp;L$62&amp;"'!A2:E1000"), (INDIRECT("'"&amp;L$62&amp;"'!B2:B1000")=$B53) * (INDIRECT("'"&amp;L$62&amp;"'!C2:C1000")=$C53)
        ),
        5,
        FALSE
    )=0,
    "",
    VLOOKUP(
        $A53,
        _xlfn._xlws.FILTER(
            INDIRECT("'"&amp;L$62&amp;"'!A2:E1000"), (INDIRECT("'"&amp;L$62&amp;"'!B2:B1000")=$B53) * (INDIRECT("'"&amp;L$62&amp;"'!C2:C1000")=$C53)
        ),
        5,
        FALSE
    )
)</f>
        <v/>
      </c>
      <c r="M53" s="86">
        <f t="array" ref="M53">IF(
    VLOOKUP(
        $A53,
        _xlfn._xlws.FILTER(
            INDIRECT("'"&amp;M$62&amp;"'!A2:E1000"), (INDIRECT("'"&amp;M$62&amp;"'!B2:B1000")=$B53) * (INDIRECT("'"&amp;M$62&amp;"'!C2:C1000")=$C53)
        ),
        5,
        FALSE
    )=0,
    "",
    VLOOKUP(
        $A53,
        _xlfn._xlws.FILTER(
            INDIRECT("'"&amp;M$62&amp;"'!A2:E1000"), (INDIRECT("'"&amp;M$62&amp;"'!B2:B1000")=$B53) * (INDIRECT("'"&amp;M$62&amp;"'!C2:C1000")=$C53)
        ),
        5,
        FALSE
    )
)</f>
        <v/>
      </c>
      <c r="N53" s="86">
        <f t="array" ref="N53">IF(
    VLOOKUP(
        $A53,
        _xlfn._xlws.FILTER(
            INDIRECT("'"&amp;N$62&amp;"'!A2:E1000"), (INDIRECT("'"&amp;N$62&amp;"'!B2:B1000")=$B53) * (INDIRECT("'"&amp;N$62&amp;"'!C2:C1000")=$C53)
        ),
        5,
        FALSE
    )=0,
    "",
    VLOOKUP(
        $A53,
        _xlfn._xlws.FILTER(
            INDIRECT("'"&amp;N$62&amp;"'!A2:E1000"), (INDIRECT("'"&amp;N$62&amp;"'!B2:B1000")=$B53) * (INDIRECT("'"&amp;N$62&amp;"'!C2:C1000")=$C53)
        ),
        5,
        FALSE
    )
)</f>
        <v/>
      </c>
      <c r="O53" s="86">
        <f t="array" ref="O53">IF(
    VLOOKUP(
        $A53,
        _xlfn._xlws.FILTER(
            INDIRECT("'"&amp;O$62&amp;"'!A2:E1000"), (INDIRECT("'"&amp;O$62&amp;"'!B2:B1000")=$B53) * (INDIRECT("'"&amp;O$62&amp;"'!C2:C1000")=$C53)
        ),
        5,
        FALSE
    )=0,
    "",
    VLOOKUP(
        $A53,
        _xlfn._xlws.FILTER(
            INDIRECT("'"&amp;O$62&amp;"'!A2:E1000"), (INDIRECT("'"&amp;O$62&amp;"'!B2:B1000")=$B53) * (INDIRECT("'"&amp;O$62&amp;"'!C2:C1000")=$C53)
        ),
        5,
        FALSE
    )
)</f>
        <v/>
      </c>
    </row>
    <row r="54">
      <c r="A54" s="33" t="inlineStr">
        <is>
          <t>Maringá</t>
        </is>
      </c>
      <c r="B54" s="85" t="inlineStr">
        <is>
          <t>Borrazópolis</t>
        </is>
      </c>
      <c r="C54" s="85" t="inlineStr">
        <is>
          <t>01</t>
        </is>
      </c>
      <c r="D54" s="86">
        <f t="array" ref="D54">IF(
    VLOOKUP(
        $A54,
        _xlfn._xlws.FILTER(
            INDIRECT("'"&amp;D$62&amp;"'!A2:E1000"), (INDIRECT("'"&amp;D$62&amp;"'!B2:B1000")=$B54) * (INDIRECT("'"&amp;D$62&amp;"'!C2:C1000")=$C54)
        ),
        5,
        FALSE
    )=0,
    "",
    VLOOKUP(
        $A54,
        _xlfn._xlws.FILTER(
            INDIRECT("'"&amp;D$62&amp;"'!A2:E1000"), (INDIRECT("'"&amp;D$62&amp;"'!B2:B1000")=$B54) * (INDIRECT("'"&amp;D$62&amp;"'!C2:C1000")=$C54)
        ),
        5,
        FALSE
    )
)</f>
        <v/>
      </c>
      <c r="E54" s="86">
        <f t="array" ref="E54">IF(
    VLOOKUP(
        $A54,
        _xlfn._xlws.FILTER(
            INDIRECT("'"&amp;E$62&amp;"'!A2:E1000"), (INDIRECT("'"&amp;E$62&amp;"'!B2:B1000")=$B54) * (INDIRECT("'"&amp;E$62&amp;"'!C2:C1000")=$C54)
        ),
        5,
        FALSE
    )=0,
    "",
    VLOOKUP(
        $A54,
        _xlfn._xlws.FILTER(
            INDIRECT("'"&amp;E$62&amp;"'!A2:E1000"), (INDIRECT("'"&amp;E$62&amp;"'!B2:B1000")=$B54) * (INDIRECT("'"&amp;E$62&amp;"'!C2:C1000")=$C54)
        ),
        5,
        FALSE
    )
)</f>
        <v/>
      </c>
      <c r="F54" s="86">
        <f t="array" ref="F54">IF(
    VLOOKUP(
        $A54,
        _xlfn._xlws.FILTER(
            INDIRECT("'"&amp;F$62&amp;"'!A2:E1000"), (INDIRECT("'"&amp;F$62&amp;"'!B2:B1000")=$B54) * (INDIRECT("'"&amp;F$62&amp;"'!C2:C1000")=$C54)
        ),
        5,
        FALSE
    )=0,
    "",
    VLOOKUP(
        $A54,
        _xlfn._xlws.FILTER(
            INDIRECT("'"&amp;F$62&amp;"'!A2:E1000"), (INDIRECT("'"&amp;F$62&amp;"'!B2:B1000")=$B54) * (INDIRECT("'"&amp;F$62&amp;"'!C2:C1000")=$C54)
        ),
        5,
        FALSE
    )
)</f>
        <v/>
      </c>
      <c r="G54" s="86">
        <f t="array" ref="G54">IF(
    VLOOKUP(
        $A54,
        _xlfn._xlws.FILTER(
            INDIRECT("'"&amp;G$62&amp;"'!A2:E1000"), (INDIRECT("'"&amp;G$62&amp;"'!B2:B1000")=$B54) * (INDIRECT("'"&amp;G$62&amp;"'!C2:C1000")=$C54)
        ),
        5,
        FALSE
    )=0,
    "",
    VLOOKUP(
        $A54,
        _xlfn._xlws.FILTER(
            INDIRECT("'"&amp;G$62&amp;"'!A2:E1000"), (INDIRECT("'"&amp;G$62&amp;"'!B2:B1000")=$B54) * (INDIRECT("'"&amp;G$62&amp;"'!C2:C1000")=$C54)
        ),
        5,
        FALSE
    )
)</f>
        <v/>
      </c>
      <c r="H54" s="86">
        <f t="array" ref="H54">IF(
    VLOOKUP(
        $A54,
        _xlfn._xlws.FILTER(
            INDIRECT("'"&amp;H$62&amp;"'!A2:E1000"), (INDIRECT("'"&amp;H$62&amp;"'!B2:B1000")=$B54) * (INDIRECT("'"&amp;H$62&amp;"'!C2:C1000")=$C54)
        ),
        5,
        FALSE
    )=0,
    "",
    VLOOKUP(
        $A54,
        _xlfn._xlws.FILTER(
            INDIRECT("'"&amp;H$62&amp;"'!A2:E1000"), (INDIRECT("'"&amp;H$62&amp;"'!B2:B1000")=$B54) * (INDIRECT("'"&amp;H$62&amp;"'!C2:C1000")=$C54)
        ),
        5,
        FALSE
    )
)</f>
        <v/>
      </c>
      <c r="I54" s="86">
        <f t="array" ref="I54">IF(
    VLOOKUP(
        $A54,
        _xlfn._xlws.FILTER(
            INDIRECT("'"&amp;I$62&amp;"'!A2:E1000"), (INDIRECT("'"&amp;I$62&amp;"'!B2:B1000")=$B54) * (INDIRECT("'"&amp;I$62&amp;"'!C2:C1000")=$C54)
        ),
        5,
        FALSE
    )=0,
    "",
    VLOOKUP(
        $A54,
        _xlfn._xlws.FILTER(
            INDIRECT("'"&amp;I$62&amp;"'!A2:E1000"), (INDIRECT("'"&amp;I$62&amp;"'!B2:B1000")=$B54) * (INDIRECT("'"&amp;I$62&amp;"'!C2:C1000")=$C54)
        ),
        5,
        FALSE
    )
)</f>
        <v/>
      </c>
      <c r="J54" s="86">
        <f t="array" ref="J54">IF(
    VLOOKUP(
        $A54,
        _xlfn._xlws.FILTER(
            INDIRECT("'"&amp;J$62&amp;"'!A2:E1000"), (INDIRECT("'"&amp;J$62&amp;"'!B2:B1000")=$B54) * (INDIRECT("'"&amp;J$62&amp;"'!C2:C1000")=$C54)
        ),
        5,
        FALSE
    )=0,
    "",
    VLOOKUP(
        $A54,
        _xlfn._xlws.FILTER(
            INDIRECT("'"&amp;J$62&amp;"'!A2:E1000"), (INDIRECT("'"&amp;J$62&amp;"'!B2:B1000")=$B54) * (INDIRECT("'"&amp;J$62&amp;"'!C2:C1000")=$C54)
        ),
        5,
        FALSE
    )
)</f>
        <v/>
      </c>
      <c r="K54" s="86">
        <f t="array" ref="K54">IF(
    VLOOKUP(
        $A54,
        _xlfn._xlws.FILTER(
            INDIRECT("'"&amp;K$62&amp;"'!A2:E1000"), (INDIRECT("'"&amp;K$62&amp;"'!B2:B1000")=$B54) * (INDIRECT("'"&amp;K$62&amp;"'!C2:C1000")=$C54)
        ),
        5,
        FALSE
    )=0,
    "",
    VLOOKUP(
        $A54,
        _xlfn._xlws.FILTER(
            INDIRECT("'"&amp;K$62&amp;"'!A2:E1000"), (INDIRECT("'"&amp;K$62&amp;"'!B2:B1000")=$B54) * (INDIRECT("'"&amp;K$62&amp;"'!C2:C1000")=$C54)
        ),
        5,
        FALSE
    )
)</f>
        <v/>
      </c>
      <c r="L54" s="86">
        <f t="array" ref="L54">IF(
    VLOOKUP(
        $A54,
        _xlfn._xlws.FILTER(
            INDIRECT("'"&amp;L$62&amp;"'!A2:E1000"), (INDIRECT("'"&amp;L$62&amp;"'!B2:B1000")=$B54) * (INDIRECT("'"&amp;L$62&amp;"'!C2:C1000")=$C54)
        ),
        5,
        FALSE
    )=0,
    "",
    VLOOKUP(
        $A54,
        _xlfn._xlws.FILTER(
            INDIRECT("'"&amp;L$62&amp;"'!A2:E1000"), (INDIRECT("'"&amp;L$62&amp;"'!B2:B1000")=$B54) * (INDIRECT("'"&amp;L$62&amp;"'!C2:C1000")=$C54)
        ),
        5,
        FALSE
    )
)</f>
        <v/>
      </c>
      <c r="M54" s="86">
        <f t="array" ref="M54">IF(
    VLOOKUP(
        $A54,
        _xlfn._xlws.FILTER(
            INDIRECT("'"&amp;M$62&amp;"'!A2:E1000"), (INDIRECT("'"&amp;M$62&amp;"'!B2:B1000")=$B54) * (INDIRECT("'"&amp;M$62&amp;"'!C2:C1000")=$C54)
        ),
        5,
        FALSE
    )=0,
    "",
    VLOOKUP(
        $A54,
        _xlfn._xlws.FILTER(
            INDIRECT("'"&amp;M$62&amp;"'!A2:E1000"), (INDIRECT("'"&amp;M$62&amp;"'!B2:B1000")=$B54) * (INDIRECT("'"&amp;M$62&amp;"'!C2:C1000")=$C54)
        ),
        5,
        FALSE
    )
)</f>
        <v/>
      </c>
      <c r="N54" s="86">
        <f t="array" ref="N54">IF(
    VLOOKUP(
        $A54,
        _xlfn._xlws.FILTER(
            INDIRECT("'"&amp;N$62&amp;"'!A2:E1000"), (INDIRECT("'"&amp;N$62&amp;"'!B2:B1000")=$B54) * (INDIRECT("'"&amp;N$62&amp;"'!C2:C1000")=$C54)
        ),
        5,
        FALSE
    )=0,
    "",
    VLOOKUP(
        $A54,
        _xlfn._xlws.FILTER(
            INDIRECT("'"&amp;N$62&amp;"'!A2:E1000"), (INDIRECT("'"&amp;N$62&amp;"'!B2:B1000")=$B54) * (INDIRECT("'"&amp;N$62&amp;"'!C2:C1000")=$C54)
        ),
        5,
        FALSE
    )
)</f>
        <v/>
      </c>
      <c r="O54" s="86">
        <f t="array" ref="O54">IF(
    VLOOKUP(
        $A54,
        _xlfn._xlws.FILTER(
            INDIRECT("'"&amp;O$62&amp;"'!A2:E1000"), (INDIRECT("'"&amp;O$62&amp;"'!B2:B1000")=$B54) * (INDIRECT("'"&amp;O$62&amp;"'!C2:C1000")=$C54)
        ),
        5,
        FALSE
    )=0,
    "",
    VLOOKUP(
        $A54,
        _xlfn._xlws.FILTER(
            INDIRECT("'"&amp;O$62&amp;"'!A2:E1000"), (INDIRECT("'"&amp;O$62&amp;"'!B2:B1000")=$B54) * (INDIRECT("'"&amp;O$62&amp;"'!C2:C1000")=$C54)
        ),
        5,
        FALSE
    )
)</f>
        <v/>
      </c>
    </row>
    <row r="55">
      <c r="A55" s="33" t="inlineStr">
        <is>
          <t>Maringá</t>
        </is>
      </c>
      <c r="B55" s="85" t="inlineStr">
        <is>
          <t>Jardim Alegre</t>
        </is>
      </c>
      <c r="C55" s="85" t="inlineStr">
        <is>
          <t>01</t>
        </is>
      </c>
      <c r="D55" s="86">
        <f t="array" ref="D55">IF(
    VLOOKUP(
        $A55,
        _xlfn._xlws.FILTER(
            INDIRECT("'"&amp;D$62&amp;"'!A2:E1000"), (INDIRECT("'"&amp;D$62&amp;"'!B2:B1000")=$B55) * (INDIRECT("'"&amp;D$62&amp;"'!C2:C1000")=$C55)
        ),
        5,
        FALSE
    )=0,
    "",
    VLOOKUP(
        $A55,
        _xlfn._xlws.FILTER(
            INDIRECT("'"&amp;D$62&amp;"'!A2:E1000"), (INDIRECT("'"&amp;D$62&amp;"'!B2:B1000")=$B55) * (INDIRECT("'"&amp;D$62&amp;"'!C2:C1000")=$C55)
        ),
        5,
        FALSE
    )
)</f>
        <v/>
      </c>
      <c r="E55" s="86">
        <f t="array" ref="E55">IF(
    VLOOKUP(
        $A55,
        _xlfn._xlws.FILTER(
            INDIRECT("'"&amp;E$62&amp;"'!A2:E1000"), (INDIRECT("'"&amp;E$62&amp;"'!B2:B1000")=$B55) * (INDIRECT("'"&amp;E$62&amp;"'!C2:C1000")=$C55)
        ),
        5,
        FALSE
    )=0,
    "",
    VLOOKUP(
        $A55,
        _xlfn._xlws.FILTER(
            INDIRECT("'"&amp;E$62&amp;"'!A2:E1000"), (INDIRECT("'"&amp;E$62&amp;"'!B2:B1000")=$B55) * (INDIRECT("'"&amp;E$62&amp;"'!C2:C1000")=$C55)
        ),
        5,
        FALSE
    )
)</f>
        <v/>
      </c>
      <c r="F55" s="86">
        <f t="array" ref="F55">IF(
    VLOOKUP(
        $A55,
        _xlfn._xlws.FILTER(
            INDIRECT("'"&amp;F$62&amp;"'!A2:E1000"), (INDIRECT("'"&amp;F$62&amp;"'!B2:B1000")=$B55) * (INDIRECT("'"&amp;F$62&amp;"'!C2:C1000")=$C55)
        ),
        5,
        FALSE
    )=0,
    "",
    VLOOKUP(
        $A55,
        _xlfn._xlws.FILTER(
            INDIRECT("'"&amp;F$62&amp;"'!A2:E1000"), (INDIRECT("'"&amp;F$62&amp;"'!B2:B1000")=$B55) * (INDIRECT("'"&amp;F$62&amp;"'!C2:C1000")=$C55)
        ),
        5,
        FALSE
    )
)</f>
        <v/>
      </c>
      <c r="G55" s="86">
        <f t="array" ref="G55">IF(
    VLOOKUP(
        $A55,
        _xlfn._xlws.FILTER(
            INDIRECT("'"&amp;G$62&amp;"'!A2:E1000"), (INDIRECT("'"&amp;G$62&amp;"'!B2:B1000")=$B55) * (INDIRECT("'"&amp;G$62&amp;"'!C2:C1000")=$C55)
        ),
        5,
        FALSE
    )=0,
    "",
    VLOOKUP(
        $A55,
        _xlfn._xlws.FILTER(
            INDIRECT("'"&amp;G$62&amp;"'!A2:E1000"), (INDIRECT("'"&amp;G$62&amp;"'!B2:B1000")=$B55) * (INDIRECT("'"&amp;G$62&amp;"'!C2:C1000")=$C55)
        ),
        5,
        FALSE
    )
)</f>
        <v/>
      </c>
      <c r="H55" s="86">
        <f t="array" ref="H55">IF(
    VLOOKUP(
        $A55,
        _xlfn._xlws.FILTER(
            INDIRECT("'"&amp;H$62&amp;"'!A2:E1000"), (INDIRECT("'"&amp;H$62&amp;"'!B2:B1000")=$B55) * (INDIRECT("'"&amp;H$62&amp;"'!C2:C1000")=$C55)
        ),
        5,
        FALSE
    )=0,
    "",
    VLOOKUP(
        $A55,
        _xlfn._xlws.FILTER(
            INDIRECT("'"&amp;H$62&amp;"'!A2:E1000"), (INDIRECT("'"&amp;H$62&amp;"'!B2:B1000")=$B55) * (INDIRECT("'"&amp;H$62&amp;"'!C2:C1000")=$C55)
        ),
        5,
        FALSE
    )
)</f>
        <v/>
      </c>
      <c r="I55" s="86">
        <f t="array" ref="I55">IF(
    VLOOKUP(
        $A55,
        _xlfn._xlws.FILTER(
            INDIRECT("'"&amp;I$62&amp;"'!A2:E1000"), (INDIRECT("'"&amp;I$62&amp;"'!B2:B1000")=$B55) * (INDIRECT("'"&amp;I$62&amp;"'!C2:C1000")=$C55)
        ),
        5,
        FALSE
    )=0,
    "",
    VLOOKUP(
        $A55,
        _xlfn._xlws.FILTER(
            INDIRECT("'"&amp;I$62&amp;"'!A2:E1000"), (INDIRECT("'"&amp;I$62&amp;"'!B2:B1000")=$B55) * (INDIRECT("'"&amp;I$62&amp;"'!C2:C1000")=$C55)
        ),
        5,
        FALSE
    )
)</f>
        <v/>
      </c>
      <c r="J55" s="86">
        <f t="array" ref="J55">IF(
    VLOOKUP(
        $A55,
        _xlfn._xlws.FILTER(
            INDIRECT("'"&amp;J$62&amp;"'!A2:E1000"), (INDIRECT("'"&amp;J$62&amp;"'!B2:B1000")=$B55) * (INDIRECT("'"&amp;J$62&amp;"'!C2:C1000")=$C55)
        ),
        5,
        FALSE
    )=0,
    "",
    VLOOKUP(
        $A55,
        _xlfn._xlws.FILTER(
            INDIRECT("'"&amp;J$62&amp;"'!A2:E1000"), (INDIRECT("'"&amp;J$62&amp;"'!B2:B1000")=$B55) * (INDIRECT("'"&amp;J$62&amp;"'!C2:C1000")=$C55)
        ),
        5,
        FALSE
    )
)</f>
        <v/>
      </c>
      <c r="K55" s="86">
        <f t="array" ref="K55">IF(
    VLOOKUP(
        $A55,
        _xlfn._xlws.FILTER(
            INDIRECT("'"&amp;K$62&amp;"'!A2:E1000"), (INDIRECT("'"&amp;K$62&amp;"'!B2:B1000")=$B55) * (INDIRECT("'"&amp;K$62&amp;"'!C2:C1000")=$C55)
        ),
        5,
        FALSE
    )=0,
    "",
    VLOOKUP(
        $A55,
        _xlfn._xlws.FILTER(
            INDIRECT("'"&amp;K$62&amp;"'!A2:E1000"), (INDIRECT("'"&amp;K$62&amp;"'!B2:B1000")=$B55) * (INDIRECT("'"&amp;K$62&amp;"'!C2:C1000")=$C55)
        ),
        5,
        FALSE
    )
)</f>
        <v/>
      </c>
      <c r="L55" s="86">
        <f t="array" ref="L55">IF(
    VLOOKUP(
        $A55,
        _xlfn._xlws.FILTER(
            INDIRECT("'"&amp;L$62&amp;"'!A2:E1000"), (INDIRECT("'"&amp;L$62&amp;"'!B2:B1000")=$B55) * (INDIRECT("'"&amp;L$62&amp;"'!C2:C1000")=$C55)
        ),
        5,
        FALSE
    )=0,
    "",
    VLOOKUP(
        $A55,
        _xlfn._xlws.FILTER(
            INDIRECT("'"&amp;L$62&amp;"'!A2:E1000"), (INDIRECT("'"&amp;L$62&amp;"'!B2:B1000")=$B55) * (INDIRECT("'"&amp;L$62&amp;"'!C2:C1000")=$C55)
        ),
        5,
        FALSE
    )
)</f>
        <v/>
      </c>
      <c r="M55" s="86">
        <f t="array" ref="M55">IF(
    VLOOKUP(
        $A55,
        _xlfn._xlws.FILTER(
            INDIRECT("'"&amp;M$62&amp;"'!A2:E1000"), (INDIRECT("'"&amp;M$62&amp;"'!B2:B1000")=$B55) * (INDIRECT("'"&amp;M$62&amp;"'!C2:C1000")=$C55)
        ),
        5,
        FALSE
    )=0,
    "",
    VLOOKUP(
        $A55,
        _xlfn._xlws.FILTER(
            INDIRECT("'"&amp;M$62&amp;"'!A2:E1000"), (INDIRECT("'"&amp;M$62&amp;"'!B2:B1000")=$B55) * (INDIRECT("'"&amp;M$62&amp;"'!C2:C1000")=$C55)
        ),
        5,
        FALSE
    )
)</f>
        <v/>
      </c>
      <c r="N55" s="86">
        <f t="array" ref="N55">IF(
    VLOOKUP(
        $A55,
        _xlfn._xlws.FILTER(
            INDIRECT("'"&amp;N$62&amp;"'!A2:E1000"), (INDIRECT("'"&amp;N$62&amp;"'!B2:B1000")=$B55) * (INDIRECT("'"&amp;N$62&amp;"'!C2:C1000")=$C55)
        ),
        5,
        FALSE
    )=0,
    "",
    VLOOKUP(
        $A55,
        _xlfn._xlws.FILTER(
            INDIRECT("'"&amp;N$62&amp;"'!A2:E1000"), (INDIRECT("'"&amp;N$62&amp;"'!B2:B1000")=$B55) * (INDIRECT("'"&amp;N$62&amp;"'!C2:C1000")=$C55)
        ),
        5,
        FALSE
    )
)</f>
        <v/>
      </c>
      <c r="O55" s="86">
        <f t="array" ref="O55">IF(
    VLOOKUP(
        $A55,
        _xlfn._xlws.FILTER(
            INDIRECT("'"&amp;O$62&amp;"'!A2:E1000"), (INDIRECT("'"&amp;O$62&amp;"'!B2:B1000")=$B55) * (INDIRECT("'"&amp;O$62&amp;"'!C2:C1000")=$C55)
        ),
        5,
        FALSE
    )=0,
    "",
    VLOOKUP(
        $A55,
        _xlfn._xlws.FILTER(
            INDIRECT("'"&amp;O$62&amp;"'!A2:E1000"), (INDIRECT("'"&amp;O$62&amp;"'!B2:B1000")=$B55) * (INDIRECT("'"&amp;O$62&amp;"'!C2:C1000")=$C55)
        ),
        5,
        FALSE
    )
)</f>
        <v/>
      </c>
    </row>
    <row r="56">
      <c r="A56" s="33" t="inlineStr">
        <is>
          <t>Maringá</t>
        </is>
      </c>
      <c r="B56" s="85" t="inlineStr">
        <is>
          <t>Kaloré</t>
        </is>
      </c>
      <c r="C56" s="85" t="inlineStr">
        <is>
          <t>01</t>
        </is>
      </c>
      <c r="D56" s="86">
        <f t="array" ref="D56">IF(
    VLOOKUP(
        $A56,
        _xlfn._xlws.FILTER(
            INDIRECT("'"&amp;D$62&amp;"'!A2:E1000"), (INDIRECT("'"&amp;D$62&amp;"'!B2:B1000")=$B56) * (INDIRECT("'"&amp;D$62&amp;"'!C2:C1000")=$C56)
        ),
        5,
        FALSE
    )=0,
    "",
    VLOOKUP(
        $A56,
        _xlfn._xlws.FILTER(
            INDIRECT("'"&amp;D$62&amp;"'!A2:E1000"), (INDIRECT("'"&amp;D$62&amp;"'!B2:B1000")=$B56) * (INDIRECT("'"&amp;D$62&amp;"'!C2:C1000")=$C56)
        ),
        5,
        FALSE
    )
)</f>
        <v/>
      </c>
      <c r="E56" s="86">
        <f t="array" ref="E56">IF(
    VLOOKUP(
        $A56,
        _xlfn._xlws.FILTER(
            INDIRECT("'"&amp;E$62&amp;"'!A2:E1000"), (INDIRECT("'"&amp;E$62&amp;"'!B2:B1000")=$B56) * (INDIRECT("'"&amp;E$62&amp;"'!C2:C1000")=$C56)
        ),
        5,
        FALSE
    )=0,
    "",
    VLOOKUP(
        $A56,
        _xlfn._xlws.FILTER(
            INDIRECT("'"&amp;E$62&amp;"'!A2:E1000"), (INDIRECT("'"&amp;E$62&amp;"'!B2:B1000")=$B56) * (INDIRECT("'"&amp;E$62&amp;"'!C2:C1000")=$C56)
        ),
        5,
        FALSE
    )
)</f>
        <v/>
      </c>
      <c r="F56" s="86">
        <f t="array" ref="F56">IF(
    VLOOKUP(
        $A56,
        _xlfn._xlws.FILTER(
            INDIRECT("'"&amp;F$62&amp;"'!A2:E1000"), (INDIRECT("'"&amp;F$62&amp;"'!B2:B1000")=$B56) * (INDIRECT("'"&amp;F$62&amp;"'!C2:C1000")=$C56)
        ),
        5,
        FALSE
    )=0,
    "",
    VLOOKUP(
        $A56,
        _xlfn._xlws.FILTER(
            INDIRECT("'"&amp;F$62&amp;"'!A2:E1000"), (INDIRECT("'"&amp;F$62&amp;"'!B2:B1000")=$B56) * (INDIRECT("'"&amp;F$62&amp;"'!C2:C1000")=$C56)
        ),
        5,
        FALSE
    )
)</f>
        <v/>
      </c>
      <c r="G56" s="86">
        <f t="array" ref="G56">IF(
    VLOOKUP(
        $A56,
        _xlfn._xlws.FILTER(
            INDIRECT("'"&amp;G$62&amp;"'!A2:E1000"), (INDIRECT("'"&amp;G$62&amp;"'!B2:B1000")=$B56) * (INDIRECT("'"&amp;G$62&amp;"'!C2:C1000")=$C56)
        ),
        5,
        FALSE
    )=0,
    "",
    VLOOKUP(
        $A56,
        _xlfn._xlws.FILTER(
            INDIRECT("'"&amp;G$62&amp;"'!A2:E1000"), (INDIRECT("'"&amp;G$62&amp;"'!B2:B1000")=$B56) * (INDIRECT("'"&amp;G$62&amp;"'!C2:C1000")=$C56)
        ),
        5,
        FALSE
    )
)</f>
        <v/>
      </c>
      <c r="H56" s="86">
        <f t="array" ref="H56">IF(
    VLOOKUP(
        $A56,
        _xlfn._xlws.FILTER(
            INDIRECT("'"&amp;H$62&amp;"'!A2:E1000"), (INDIRECT("'"&amp;H$62&amp;"'!B2:B1000")=$B56) * (INDIRECT("'"&amp;H$62&amp;"'!C2:C1000")=$C56)
        ),
        5,
        FALSE
    )=0,
    "",
    VLOOKUP(
        $A56,
        _xlfn._xlws.FILTER(
            INDIRECT("'"&amp;H$62&amp;"'!A2:E1000"), (INDIRECT("'"&amp;H$62&amp;"'!B2:B1000")=$B56) * (INDIRECT("'"&amp;H$62&amp;"'!C2:C1000")=$C56)
        ),
        5,
        FALSE
    )
)</f>
        <v/>
      </c>
      <c r="I56" s="86">
        <f t="array" ref="I56">IF(
    VLOOKUP(
        $A56,
        _xlfn._xlws.FILTER(
            INDIRECT("'"&amp;I$62&amp;"'!A2:E1000"), (INDIRECT("'"&amp;I$62&amp;"'!B2:B1000")=$B56) * (INDIRECT("'"&amp;I$62&amp;"'!C2:C1000")=$C56)
        ),
        5,
        FALSE
    )=0,
    "",
    VLOOKUP(
        $A56,
        _xlfn._xlws.FILTER(
            INDIRECT("'"&amp;I$62&amp;"'!A2:E1000"), (INDIRECT("'"&amp;I$62&amp;"'!B2:B1000")=$B56) * (INDIRECT("'"&amp;I$62&amp;"'!C2:C1000")=$C56)
        ),
        5,
        FALSE
    )
)</f>
        <v/>
      </c>
      <c r="J56" s="86">
        <f t="array" ref="J56">IF(
    VLOOKUP(
        $A56,
        _xlfn._xlws.FILTER(
            INDIRECT("'"&amp;J$62&amp;"'!A2:E1000"), (INDIRECT("'"&amp;J$62&amp;"'!B2:B1000")=$B56) * (INDIRECT("'"&amp;J$62&amp;"'!C2:C1000")=$C56)
        ),
        5,
        FALSE
    )=0,
    "",
    VLOOKUP(
        $A56,
        _xlfn._xlws.FILTER(
            INDIRECT("'"&amp;J$62&amp;"'!A2:E1000"), (INDIRECT("'"&amp;J$62&amp;"'!B2:B1000")=$B56) * (INDIRECT("'"&amp;J$62&amp;"'!C2:C1000")=$C56)
        ),
        5,
        FALSE
    )
)</f>
        <v/>
      </c>
      <c r="K56" s="86">
        <f t="array" ref="K56">IF(
    VLOOKUP(
        $A56,
        _xlfn._xlws.FILTER(
            INDIRECT("'"&amp;K$62&amp;"'!A2:E1000"), (INDIRECT("'"&amp;K$62&amp;"'!B2:B1000")=$B56) * (INDIRECT("'"&amp;K$62&amp;"'!C2:C1000")=$C56)
        ),
        5,
        FALSE
    )=0,
    "",
    VLOOKUP(
        $A56,
        _xlfn._xlws.FILTER(
            INDIRECT("'"&amp;K$62&amp;"'!A2:E1000"), (INDIRECT("'"&amp;K$62&amp;"'!B2:B1000")=$B56) * (INDIRECT("'"&amp;K$62&amp;"'!C2:C1000")=$C56)
        ),
        5,
        FALSE
    )
)</f>
        <v/>
      </c>
      <c r="L56" s="86">
        <f t="array" ref="L56">IF(
    VLOOKUP(
        $A56,
        _xlfn._xlws.FILTER(
            INDIRECT("'"&amp;L$62&amp;"'!A2:E1000"), (INDIRECT("'"&amp;L$62&amp;"'!B2:B1000")=$B56) * (INDIRECT("'"&amp;L$62&amp;"'!C2:C1000")=$C56)
        ),
        5,
        FALSE
    )=0,
    "",
    VLOOKUP(
        $A56,
        _xlfn._xlws.FILTER(
            INDIRECT("'"&amp;L$62&amp;"'!A2:E1000"), (INDIRECT("'"&amp;L$62&amp;"'!B2:B1000")=$B56) * (INDIRECT("'"&amp;L$62&amp;"'!C2:C1000")=$C56)
        ),
        5,
        FALSE
    )
)</f>
        <v/>
      </c>
      <c r="M56" s="86">
        <f t="array" ref="M56">IF(
    VLOOKUP(
        $A56,
        _xlfn._xlws.FILTER(
            INDIRECT("'"&amp;M$62&amp;"'!A2:E1000"), (INDIRECT("'"&amp;M$62&amp;"'!B2:B1000")=$B56) * (INDIRECT("'"&amp;M$62&amp;"'!C2:C1000")=$C56)
        ),
        5,
        FALSE
    )=0,
    "",
    VLOOKUP(
        $A56,
        _xlfn._xlws.FILTER(
            INDIRECT("'"&amp;M$62&amp;"'!A2:E1000"), (INDIRECT("'"&amp;M$62&amp;"'!B2:B1000")=$B56) * (INDIRECT("'"&amp;M$62&amp;"'!C2:C1000")=$C56)
        ),
        5,
        FALSE
    )
)</f>
        <v/>
      </c>
      <c r="N56" s="86">
        <f t="array" ref="N56">IF(
    VLOOKUP(
        $A56,
        _xlfn._xlws.FILTER(
            INDIRECT("'"&amp;N$62&amp;"'!A2:E1000"), (INDIRECT("'"&amp;N$62&amp;"'!B2:B1000")=$B56) * (INDIRECT("'"&amp;N$62&amp;"'!C2:C1000")=$C56)
        ),
        5,
        FALSE
    )=0,
    "",
    VLOOKUP(
        $A56,
        _xlfn._xlws.FILTER(
            INDIRECT("'"&amp;N$62&amp;"'!A2:E1000"), (INDIRECT("'"&amp;N$62&amp;"'!B2:B1000")=$B56) * (INDIRECT("'"&amp;N$62&amp;"'!C2:C1000")=$C56)
        ),
        5,
        FALSE
    )
)</f>
        <v/>
      </c>
      <c r="O56" s="86">
        <f t="array" ref="O56">IF(
    VLOOKUP(
        $A56,
        _xlfn._xlws.FILTER(
            INDIRECT("'"&amp;O$62&amp;"'!A2:E1000"), (INDIRECT("'"&amp;O$62&amp;"'!B2:B1000")=$B56) * (INDIRECT("'"&amp;O$62&amp;"'!C2:C1000")=$C56)
        ),
        5,
        FALSE
    )=0,
    "",
    VLOOKUP(
        $A56,
        _xlfn._xlws.FILTER(
            INDIRECT("'"&amp;O$62&amp;"'!A2:E1000"), (INDIRECT("'"&amp;O$62&amp;"'!B2:B1000")=$B56) * (INDIRECT("'"&amp;O$62&amp;"'!C2:C1000")=$C56)
        ),
        5,
        FALSE
    )
)</f>
        <v/>
      </c>
    </row>
    <row r="57">
      <c r="A57" s="33" t="inlineStr">
        <is>
          <t>Maringá</t>
        </is>
      </c>
      <c r="B57" s="85" t="inlineStr">
        <is>
          <t>Mandaguari</t>
        </is>
      </c>
      <c r="C57" s="85" t="inlineStr">
        <is>
          <t>01</t>
        </is>
      </c>
      <c r="D57" s="86">
        <f t="array" ref="D57">IF(
    VLOOKUP(
        $A57,
        _xlfn._xlws.FILTER(
            INDIRECT("'"&amp;D$62&amp;"'!A2:E1000"), (INDIRECT("'"&amp;D$62&amp;"'!B2:B1000")=$B57) * (INDIRECT("'"&amp;D$62&amp;"'!C2:C1000")=$C57)
        ),
        5,
        FALSE
    )=0,
    "",
    VLOOKUP(
        $A57,
        _xlfn._xlws.FILTER(
            INDIRECT("'"&amp;D$62&amp;"'!A2:E1000"), (INDIRECT("'"&amp;D$62&amp;"'!B2:B1000")=$B57) * (INDIRECT("'"&amp;D$62&amp;"'!C2:C1000")=$C57)
        ),
        5,
        FALSE
    )
)</f>
        <v/>
      </c>
      <c r="E57" s="86">
        <f t="array" ref="E57">IF(
    VLOOKUP(
        $A57,
        _xlfn._xlws.FILTER(
            INDIRECT("'"&amp;E$62&amp;"'!A2:E1000"), (INDIRECT("'"&amp;E$62&amp;"'!B2:B1000")=$B57) * (INDIRECT("'"&amp;E$62&amp;"'!C2:C1000")=$C57)
        ),
        5,
        FALSE
    )=0,
    "",
    VLOOKUP(
        $A57,
        _xlfn._xlws.FILTER(
            INDIRECT("'"&amp;E$62&amp;"'!A2:E1000"), (INDIRECT("'"&amp;E$62&amp;"'!B2:B1000")=$B57) * (INDIRECT("'"&amp;E$62&amp;"'!C2:C1000")=$C57)
        ),
        5,
        FALSE
    )
)</f>
        <v/>
      </c>
      <c r="F57" s="86">
        <f t="array" ref="F57">IF(
    VLOOKUP(
        $A57,
        _xlfn._xlws.FILTER(
            INDIRECT("'"&amp;F$62&amp;"'!A2:E1000"), (INDIRECT("'"&amp;F$62&amp;"'!B2:B1000")=$B57) * (INDIRECT("'"&amp;F$62&amp;"'!C2:C1000")=$C57)
        ),
        5,
        FALSE
    )=0,
    "",
    VLOOKUP(
        $A57,
        _xlfn._xlws.FILTER(
            INDIRECT("'"&amp;F$62&amp;"'!A2:E1000"), (INDIRECT("'"&amp;F$62&amp;"'!B2:B1000")=$B57) * (INDIRECT("'"&amp;F$62&amp;"'!C2:C1000")=$C57)
        ),
        5,
        FALSE
    )
)</f>
        <v/>
      </c>
      <c r="G57" s="86">
        <f t="array" ref="G57">IF(
    VLOOKUP(
        $A57,
        _xlfn._xlws.FILTER(
            INDIRECT("'"&amp;G$62&amp;"'!A2:E1000"), (INDIRECT("'"&amp;G$62&amp;"'!B2:B1000")=$B57) * (INDIRECT("'"&amp;G$62&amp;"'!C2:C1000")=$C57)
        ),
        5,
        FALSE
    )=0,
    "",
    VLOOKUP(
        $A57,
        _xlfn._xlws.FILTER(
            INDIRECT("'"&amp;G$62&amp;"'!A2:E1000"), (INDIRECT("'"&amp;G$62&amp;"'!B2:B1000")=$B57) * (INDIRECT("'"&amp;G$62&amp;"'!C2:C1000")=$C57)
        ),
        5,
        FALSE
    )
)</f>
        <v/>
      </c>
      <c r="H57" s="86">
        <f t="array" ref="H57">IF(
    VLOOKUP(
        $A57,
        _xlfn._xlws.FILTER(
            INDIRECT("'"&amp;H$62&amp;"'!A2:E1000"), (INDIRECT("'"&amp;H$62&amp;"'!B2:B1000")=$B57) * (INDIRECT("'"&amp;H$62&amp;"'!C2:C1000")=$C57)
        ),
        5,
        FALSE
    )=0,
    "",
    VLOOKUP(
        $A57,
        _xlfn._xlws.FILTER(
            INDIRECT("'"&amp;H$62&amp;"'!A2:E1000"), (INDIRECT("'"&amp;H$62&amp;"'!B2:B1000")=$B57) * (INDIRECT("'"&amp;H$62&amp;"'!C2:C1000")=$C57)
        ),
        5,
        FALSE
    )
)</f>
        <v/>
      </c>
      <c r="I57" s="86">
        <f t="array" ref="I57">IF(
    VLOOKUP(
        $A57,
        _xlfn._xlws.FILTER(
            INDIRECT("'"&amp;I$62&amp;"'!A2:E1000"), (INDIRECT("'"&amp;I$62&amp;"'!B2:B1000")=$B57) * (INDIRECT("'"&amp;I$62&amp;"'!C2:C1000")=$C57)
        ),
        5,
        FALSE
    )=0,
    "",
    VLOOKUP(
        $A57,
        _xlfn._xlws.FILTER(
            INDIRECT("'"&amp;I$62&amp;"'!A2:E1000"), (INDIRECT("'"&amp;I$62&amp;"'!B2:B1000")=$B57) * (INDIRECT("'"&amp;I$62&amp;"'!C2:C1000")=$C57)
        ),
        5,
        FALSE
    )
)</f>
        <v/>
      </c>
      <c r="J57" s="86">
        <f t="array" ref="J57">IF(
    VLOOKUP(
        $A57,
        _xlfn._xlws.FILTER(
            INDIRECT("'"&amp;J$62&amp;"'!A2:E1000"), (INDIRECT("'"&amp;J$62&amp;"'!B2:B1000")=$B57) * (INDIRECT("'"&amp;J$62&amp;"'!C2:C1000")=$C57)
        ),
        5,
        FALSE
    )=0,
    "",
    VLOOKUP(
        $A57,
        _xlfn._xlws.FILTER(
            INDIRECT("'"&amp;J$62&amp;"'!A2:E1000"), (INDIRECT("'"&amp;J$62&amp;"'!B2:B1000")=$B57) * (INDIRECT("'"&amp;J$62&amp;"'!C2:C1000")=$C57)
        ),
        5,
        FALSE
    )
)</f>
        <v/>
      </c>
      <c r="K57" s="86">
        <f t="array" ref="K57">IF(
    VLOOKUP(
        $A57,
        _xlfn._xlws.FILTER(
            INDIRECT("'"&amp;K$62&amp;"'!A2:E1000"), (INDIRECT("'"&amp;K$62&amp;"'!B2:B1000")=$B57) * (INDIRECT("'"&amp;K$62&amp;"'!C2:C1000")=$C57)
        ),
        5,
        FALSE
    )=0,
    "",
    VLOOKUP(
        $A57,
        _xlfn._xlws.FILTER(
            INDIRECT("'"&amp;K$62&amp;"'!A2:E1000"), (INDIRECT("'"&amp;K$62&amp;"'!B2:B1000")=$B57) * (INDIRECT("'"&amp;K$62&amp;"'!C2:C1000")=$C57)
        ),
        5,
        FALSE
    )
)</f>
        <v/>
      </c>
      <c r="L57" s="86">
        <f t="array" ref="L57">IF(
    VLOOKUP(
        $A57,
        _xlfn._xlws.FILTER(
            INDIRECT("'"&amp;L$62&amp;"'!A2:E1000"), (INDIRECT("'"&amp;L$62&amp;"'!B2:B1000")=$B57) * (INDIRECT("'"&amp;L$62&amp;"'!C2:C1000")=$C57)
        ),
        5,
        FALSE
    )=0,
    "",
    VLOOKUP(
        $A57,
        _xlfn._xlws.FILTER(
            INDIRECT("'"&amp;L$62&amp;"'!A2:E1000"), (INDIRECT("'"&amp;L$62&amp;"'!B2:B1000")=$B57) * (INDIRECT("'"&amp;L$62&amp;"'!C2:C1000")=$C57)
        ),
        5,
        FALSE
    )
)</f>
        <v/>
      </c>
      <c r="M57" s="86">
        <f t="array" ref="M57">IF(
    VLOOKUP(
        $A57,
        _xlfn._xlws.FILTER(
            INDIRECT("'"&amp;M$62&amp;"'!A2:E1000"), (INDIRECT("'"&amp;M$62&amp;"'!B2:B1000")=$B57) * (INDIRECT("'"&amp;M$62&amp;"'!C2:C1000")=$C57)
        ),
        5,
        FALSE
    )=0,
    "",
    VLOOKUP(
        $A57,
        _xlfn._xlws.FILTER(
            INDIRECT("'"&amp;M$62&amp;"'!A2:E1000"), (INDIRECT("'"&amp;M$62&amp;"'!B2:B1000")=$B57) * (INDIRECT("'"&amp;M$62&amp;"'!C2:C1000")=$C57)
        ),
        5,
        FALSE
    )
)</f>
        <v/>
      </c>
      <c r="N57" s="86">
        <f t="array" ref="N57">IF(
    VLOOKUP(
        $A57,
        _xlfn._xlws.FILTER(
            INDIRECT("'"&amp;N$62&amp;"'!A2:E1000"), (INDIRECT("'"&amp;N$62&amp;"'!B2:B1000")=$B57) * (INDIRECT("'"&amp;N$62&amp;"'!C2:C1000")=$C57)
        ),
        5,
        FALSE
    )=0,
    "",
    VLOOKUP(
        $A57,
        _xlfn._xlws.FILTER(
            INDIRECT("'"&amp;N$62&amp;"'!A2:E1000"), (INDIRECT("'"&amp;N$62&amp;"'!B2:B1000")=$B57) * (INDIRECT("'"&amp;N$62&amp;"'!C2:C1000")=$C57)
        ),
        5,
        FALSE
    )
)</f>
        <v/>
      </c>
      <c r="O57" s="86">
        <f t="array" ref="O57">IF(
    VLOOKUP(
        $A57,
        _xlfn._xlws.FILTER(
            INDIRECT("'"&amp;O$62&amp;"'!A2:E1000"), (INDIRECT("'"&amp;O$62&amp;"'!B2:B1000")=$B57) * (INDIRECT("'"&amp;O$62&amp;"'!C2:C1000")=$C57)
        ),
        5,
        FALSE
    )=0,
    "",
    VLOOKUP(
        $A57,
        _xlfn._xlws.FILTER(
            INDIRECT("'"&amp;O$62&amp;"'!A2:E1000"), (INDIRECT("'"&amp;O$62&amp;"'!B2:B1000")=$B57) * (INDIRECT("'"&amp;O$62&amp;"'!C2:C1000")=$C57)
        ),
        5,
        FALSE
    )
)</f>
        <v/>
      </c>
    </row>
    <row r="58">
      <c r="A58" s="33" t="inlineStr">
        <is>
          <t>Maringá</t>
        </is>
      </c>
      <c r="B58" s="85" t="inlineStr">
        <is>
          <t>Nova Tebas</t>
        </is>
      </c>
      <c r="C58" s="85" t="inlineStr">
        <is>
          <t>01</t>
        </is>
      </c>
      <c r="D58" s="86">
        <f t="array" ref="D58">IF(
    VLOOKUP(
        $A58,
        _xlfn._xlws.FILTER(
            INDIRECT("'"&amp;D$62&amp;"'!A2:E1000"), (INDIRECT("'"&amp;D$62&amp;"'!B2:B1000")=$B58) * (INDIRECT("'"&amp;D$62&amp;"'!C2:C1000")=$C58)
        ),
        5,
        FALSE
    )=0,
    "",
    VLOOKUP(
        $A58,
        _xlfn._xlws.FILTER(
            INDIRECT("'"&amp;D$62&amp;"'!A2:E1000"), (INDIRECT("'"&amp;D$62&amp;"'!B2:B1000")=$B58) * (INDIRECT("'"&amp;D$62&amp;"'!C2:C1000")=$C58)
        ),
        5,
        FALSE
    )
)</f>
        <v/>
      </c>
      <c r="E58" s="86">
        <f t="array" ref="E58">IF(
    VLOOKUP(
        $A58,
        _xlfn._xlws.FILTER(
            INDIRECT("'"&amp;E$62&amp;"'!A2:E1000"), (INDIRECT("'"&amp;E$62&amp;"'!B2:B1000")=$B58) * (INDIRECT("'"&amp;E$62&amp;"'!C2:C1000")=$C58)
        ),
        5,
        FALSE
    )=0,
    "",
    VLOOKUP(
        $A58,
        _xlfn._xlws.FILTER(
            INDIRECT("'"&amp;E$62&amp;"'!A2:E1000"), (INDIRECT("'"&amp;E$62&amp;"'!B2:B1000")=$B58) * (INDIRECT("'"&amp;E$62&amp;"'!C2:C1000")=$C58)
        ),
        5,
        FALSE
    )
)</f>
        <v/>
      </c>
      <c r="F58" s="86">
        <f t="array" ref="F58">IF(
    VLOOKUP(
        $A58,
        _xlfn._xlws.FILTER(
            INDIRECT("'"&amp;F$62&amp;"'!A2:E1000"), (INDIRECT("'"&amp;F$62&amp;"'!B2:B1000")=$B58) * (INDIRECT("'"&amp;F$62&amp;"'!C2:C1000")=$C58)
        ),
        5,
        FALSE
    )=0,
    "",
    VLOOKUP(
        $A58,
        _xlfn._xlws.FILTER(
            INDIRECT("'"&amp;F$62&amp;"'!A2:E1000"), (INDIRECT("'"&amp;F$62&amp;"'!B2:B1000")=$B58) * (INDIRECT("'"&amp;F$62&amp;"'!C2:C1000")=$C58)
        ),
        5,
        FALSE
    )
)</f>
        <v/>
      </c>
      <c r="G58" s="86">
        <f t="array" ref="G58">IF(
    VLOOKUP(
        $A58,
        _xlfn._xlws.FILTER(
            INDIRECT("'"&amp;G$62&amp;"'!A2:E1000"), (INDIRECT("'"&amp;G$62&amp;"'!B2:B1000")=$B58) * (INDIRECT("'"&amp;G$62&amp;"'!C2:C1000")=$C58)
        ),
        5,
        FALSE
    )=0,
    "",
    VLOOKUP(
        $A58,
        _xlfn._xlws.FILTER(
            INDIRECT("'"&amp;G$62&amp;"'!A2:E1000"), (INDIRECT("'"&amp;G$62&amp;"'!B2:B1000")=$B58) * (INDIRECT("'"&amp;G$62&amp;"'!C2:C1000")=$C58)
        ),
        5,
        FALSE
    )
)</f>
        <v/>
      </c>
      <c r="H58" s="86">
        <f t="array" ref="H58">IF(
    VLOOKUP(
        $A58,
        _xlfn._xlws.FILTER(
            INDIRECT("'"&amp;H$62&amp;"'!A2:E1000"), (INDIRECT("'"&amp;H$62&amp;"'!B2:B1000")=$B58) * (INDIRECT("'"&amp;H$62&amp;"'!C2:C1000")=$C58)
        ),
        5,
        FALSE
    )=0,
    "",
    VLOOKUP(
        $A58,
        _xlfn._xlws.FILTER(
            INDIRECT("'"&amp;H$62&amp;"'!A2:E1000"), (INDIRECT("'"&amp;H$62&amp;"'!B2:B1000")=$B58) * (INDIRECT("'"&amp;H$62&amp;"'!C2:C1000")=$C58)
        ),
        5,
        FALSE
    )
)</f>
        <v/>
      </c>
      <c r="I58" s="86">
        <f t="array" ref="I58">IF(
    VLOOKUP(
        $A58,
        _xlfn._xlws.FILTER(
            INDIRECT("'"&amp;I$62&amp;"'!A2:E1000"), (INDIRECT("'"&amp;I$62&amp;"'!B2:B1000")=$B58) * (INDIRECT("'"&amp;I$62&amp;"'!C2:C1000")=$C58)
        ),
        5,
        FALSE
    )=0,
    "",
    VLOOKUP(
        $A58,
        _xlfn._xlws.FILTER(
            INDIRECT("'"&amp;I$62&amp;"'!A2:E1000"), (INDIRECT("'"&amp;I$62&amp;"'!B2:B1000")=$B58) * (INDIRECT("'"&amp;I$62&amp;"'!C2:C1000")=$C58)
        ),
        5,
        FALSE
    )
)</f>
        <v/>
      </c>
      <c r="J58" s="86">
        <f t="array" ref="J58">IF(
    VLOOKUP(
        $A58,
        _xlfn._xlws.FILTER(
            INDIRECT("'"&amp;J$62&amp;"'!A2:E1000"), (INDIRECT("'"&amp;J$62&amp;"'!B2:B1000")=$B58) * (INDIRECT("'"&amp;J$62&amp;"'!C2:C1000")=$C58)
        ),
        5,
        FALSE
    )=0,
    "",
    VLOOKUP(
        $A58,
        _xlfn._xlws.FILTER(
            INDIRECT("'"&amp;J$62&amp;"'!A2:E1000"), (INDIRECT("'"&amp;J$62&amp;"'!B2:B1000")=$B58) * (INDIRECT("'"&amp;J$62&amp;"'!C2:C1000")=$C58)
        ),
        5,
        FALSE
    )
)</f>
        <v/>
      </c>
      <c r="K58" s="86">
        <f t="array" ref="K58">IF(
    VLOOKUP(
        $A58,
        _xlfn._xlws.FILTER(
            INDIRECT("'"&amp;K$62&amp;"'!A2:E1000"), (INDIRECT("'"&amp;K$62&amp;"'!B2:B1000")=$B58) * (INDIRECT("'"&amp;K$62&amp;"'!C2:C1000")=$C58)
        ),
        5,
        FALSE
    )=0,
    "",
    VLOOKUP(
        $A58,
        _xlfn._xlws.FILTER(
            INDIRECT("'"&amp;K$62&amp;"'!A2:E1000"), (INDIRECT("'"&amp;K$62&amp;"'!B2:B1000")=$B58) * (INDIRECT("'"&amp;K$62&amp;"'!C2:C1000")=$C58)
        ),
        5,
        FALSE
    )
)</f>
        <v/>
      </c>
      <c r="L58" s="86">
        <f t="array" ref="L58">IF(
    VLOOKUP(
        $A58,
        _xlfn._xlws.FILTER(
            INDIRECT("'"&amp;L$62&amp;"'!A2:E1000"), (INDIRECT("'"&amp;L$62&amp;"'!B2:B1000")=$B58) * (INDIRECT("'"&amp;L$62&amp;"'!C2:C1000")=$C58)
        ),
        5,
        FALSE
    )=0,
    "",
    VLOOKUP(
        $A58,
        _xlfn._xlws.FILTER(
            INDIRECT("'"&amp;L$62&amp;"'!A2:E1000"), (INDIRECT("'"&amp;L$62&amp;"'!B2:B1000")=$B58) * (INDIRECT("'"&amp;L$62&amp;"'!C2:C1000")=$C58)
        ),
        5,
        FALSE
    )
)</f>
        <v/>
      </c>
      <c r="M58" s="86">
        <f t="array" ref="M58">IF(
    VLOOKUP(
        $A58,
        _xlfn._xlws.FILTER(
            INDIRECT("'"&amp;M$62&amp;"'!A2:E1000"), (INDIRECT("'"&amp;M$62&amp;"'!B2:B1000")=$B58) * (INDIRECT("'"&amp;M$62&amp;"'!C2:C1000")=$C58)
        ),
        5,
        FALSE
    )=0,
    "",
    VLOOKUP(
        $A58,
        _xlfn._xlws.FILTER(
            INDIRECT("'"&amp;M$62&amp;"'!A2:E1000"), (INDIRECT("'"&amp;M$62&amp;"'!B2:B1000")=$B58) * (INDIRECT("'"&amp;M$62&amp;"'!C2:C1000")=$C58)
        ),
        5,
        FALSE
    )
)</f>
        <v/>
      </c>
      <c r="N58" s="86">
        <f t="array" ref="N58">IF(
    VLOOKUP(
        $A58,
        _xlfn._xlws.FILTER(
            INDIRECT("'"&amp;N$62&amp;"'!A2:E1000"), (INDIRECT("'"&amp;N$62&amp;"'!B2:B1000")=$B58) * (INDIRECT("'"&amp;N$62&amp;"'!C2:C1000")=$C58)
        ),
        5,
        FALSE
    )=0,
    "",
    VLOOKUP(
        $A58,
        _xlfn._xlws.FILTER(
            INDIRECT("'"&amp;N$62&amp;"'!A2:E1000"), (INDIRECT("'"&amp;N$62&amp;"'!B2:B1000")=$B58) * (INDIRECT("'"&amp;N$62&amp;"'!C2:C1000")=$C58)
        ),
        5,
        FALSE
    )
)</f>
        <v/>
      </c>
      <c r="O58" s="86">
        <f t="array" ref="O58">IF(
    VLOOKUP(
        $A58,
        _xlfn._xlws.FILTER(
            INDIRECT("'"&amp;O$62&amp;"'!A2:E1000"), (INDIRECT("'"&amp;O$62&amp;"'!B2:B1000")=$B58) * (INDIRECT("'"&amp;O$62&amp;"'!C2:C1000")=$C58)
        ),
        5,
        FALSE
    )=0,
    "",
    VLOOKUP(
        $A58,
        _xlfn._xlws.FILTER(
            INDIRECT("'"&amp;O$62&amp;"'!A2:E1000"), (INDIRECT("'"&amp;O$62&amp;"'!B2:B1000")=$B58) * (INDIRECT("'"&amp;O$62&amp;"'!C2:C1000")=$C58)
        ),
        5,
        FALSE
    )
)</f>
        <v/>
      </c>
    </row>
    <row r="59">
      <c r="A59" s="33" t="inlineStr">
        <is>
          <t>Maringá</t>
        </is>
      </c>
      <c r="B59" s="85" t="inlineStr">
        <is>
          <t>Presidente Castelo Branco</t>
        </is>
      </c>
      <c r="C59" s="85" t="inlineStr">
        <is>
          <t>01</t>
        </is>
      </c>
      <c r="D59" s="86">
        <f t="array" ref="D59">IF(
    VLOOKUP(
        $A59,
        _xlfn._xlws.FILTER(
            INDIRECT("'"&amp;D$62&amp;"'!A2:E1000"), (INDIRECT("'"&amp;D$62&amp;"'!B2:B1000")=$B59) * (INDIRECT("'"&amp;D$62&amp;"'!C2:C1000")=$C59)
        ),
        5,
        FALSE
    )=0,
    "",
    VLOOKUP(
        $A59,
        _xlfn._xlws.FILTER(
            INDIRECT("'"&amp;D$62&amp;"'!A2:E1000"), (INDIRECT("'"&amp;D$62&amp;"'!B2:B1000")=$B59) * (INDIRECT("'"&amp;D$62&amp;"'!C2:C1000")=$C59)
        ),
        5,
        FALSE
    )
)</f>
        <v/>
      </c>
      <c r="E59" s="86">
        <f t="array" ref="E59">IF(
    VLOOKUP(
        $A59,
        _xlfn._xlws.FILTER(
            INDIRECT("'"&amp;E$62&amp;"'!A2:E1000"), (INDIRECT("'"&amp;E$62&amp;"'!B2:B1000")=$B59) * (INDIRECT("'"&amp;E$62&amp;"'!C2:C1000")=$C59)
        ),
        5,
        FALSE
    )=0,
    "",
    VLOOKUP(
        $A59,
        _xlfn._xlws.FILTER(
            INDIRECT("'"&amp;E$62&amp;"'!A2:E1000"), (INDIRECT("'"&amp;E$62&amp;"'!B2:B1000")=$B59) * (INDIRECT("'"&amp;E$62&amp;"'!C2:C1000")=$C59)
        ),
        5,
        FALSE
    )
)</f>
        <v/>
      </c>
      <c r="F59" s="86">
        <f t="array" ref="F59">IF(
    VLOOKUP(
        $A59,
        _xlfn._xlws.FILTER(
            INDIRECT("'"&amp;F$62&amp;"'!A2:E1000"), (INDIRECT("'"&amp;F$62&amp;"'!B2:B1000")=$B59) * (INDIRECT("'"&amp;F$62&amp;"'!C2:C1000")=$C59)
        ),
        5,
        FALSE
    )=0,
    "",
    VLOOKUP(
        $A59,
        _xlfn._xlws.FILTER(
            INDIRECT("'"&amp;F$62&amp;"'!A2:E1000"), (INDIRECT("'"&amp;F$62&amp;"'!B2:B1000")=$B59) * (INDIRECT("'"&amp;F$62&amp;"'!C2:C1000")=$C59)
        ),
        5,
        FALSE
    )
)</f>
        <v/>
      </c>
      <c r="G59" s="86">
        <f t="array" ref="G59">IF(
    VLOOKUP(
        $A59,
        _xlfn._xlws.FILTER(
            INDIRECT("'"&amp;G$62&amp;"'!A2:E1000"), (INDIRECT("'"&amp;G$62&amp;"'!B2:B1000")=$B59) * (INDIRECT("'"&amp;G$62&amp;"'!C2:C1000")=$C59)
        ),
        5,
        FALSE
    )=0,
    "",
    VLOOKUP(
        $A59,
        _xlfn._xlws.FILTER(
            INDIRECT("'"&amp;G$62&amp;"'!A2:E1000"), (INDIRECT("'"&amp;G$62&amp;"'!B2:B1000")=$B59) * (INDIRECT("'"&amp;G$62&amp;"'!C2:C1000")=$C59)
        ),
        5,
        FALSE
    )
)</f>
        <v/>
      </c>
      <c r="H59" s="86">
        <f t="array" ref="H59">IF(
    VLOOKUP(
        $A59,
        _xlfn._xlws.FILTER(
            INDIRECT("'"&amp;H$62&amp;"'!A2:E1000"), (INDIRECT("'"&amp;H$62&amp;"'!B2:B1000")=$B59) * (INDIRECT("'"&amp;H$62&amp;"'!C2:C1000")=$C59)
        ),
        5,
        FALSE
    )=0,
    "",
    VLOOKUP(
        $A59,
        _xlfn._xlws.FILTER(
            INDIRECT("'"&amp;H$62&amp;"'!A2:E1000"), (INDIRECT("'"&amp;H$62&amp;"'!B2:B1000")=$B59) * (INDIRECT("'"&amp;H$62&amp;"'!C2:C1000")=$C59)
        ),
        5,
        FALSE
    )
)</f>
        <v/>
      </c>
      <c r="I59" s="86">
        <f t="array" ref="I59">IF(
    VLOOKUP(
        $A59,
        _xlfn._xlws.FILTER(
            INDIRECT("'"&amp;I$62&amp;"'!A2:E1000"), (INDIRECT("'"&amp;I$62&amp;"'!B2:B1000")=$B59) * (INDIRECT("'"&amp;I$62&amp;"'!C2:C1000")=$C59)
        ),
        5,
        FALSE
    )=0,
    "",
    VLOOKUP(
        $A59,
        _xlfn._xlws.FILTER(
            INDIRECT("'"&amp;I$62&amp;"'!A2:E1000"), (INDIRECT("'"&amp;I$62&amp;"'!B2:B1000")=$B59) * (INDIRECT("'"&amp;I$62&amp;"'!C2:C1000")=$C59)
        ),
        5,
        FALSE
    )
)</f>
        <v/>
      </c>
      <c r="J59" s="86">
        <f t="array" ref="J59">IF(
    VLOOKUP(
        $A59,
        _xlfn._xlws.FILTER(
            INDIRECT("'"&amp;J$62&amp;"'!A2:E1000"), (INDIRECT("'"&amp;J$62&amp;"'!B2:B1000")=$B59) * (INDIRECT("'"&amp;J$62&amp;"'!C2:C1000")=$C59)
        ),
        5,
        FALSE
    )=0,
    "",
    VLOOKUP(
        $A59,
        _xlfn._xlws.FILTER(
            INDIRECT("'"&amp;J$62&amp;"'!A2:E1000"), (INDIRECT("'"&amp;J$62&amp;"'!B2:B1000")=$B59) * (INDIRECT("'"&amp;J$62&amp;"'!C2:C1000")=$C59)
        ),
        5,
        FALSE
    )
)</f>
        <v/>
      </c>
      <c r="K59" s="86">
        <f t="array" ref="K59">IF(
    VLOOKUP(
        $A59,
        _xlfn._xlws.FILTER(
            INDIRECT("'"&amp;K$62&amp;"'!A2:E1000"), (INDIRECT("'"&amp;K$62&amp;"'!B2:B1000")=$B59) * (INDIRECT("'"&amp;K$62&amp;"'!C2:C1000")=$C59)
        ),
        5,
        FALSE
    )=0,
    "",
    VLOOKUP(
        $A59,
        _xlfn._xlws.FILTER(
            INDIRECT("'"&amp;K$62&amp;"'!A2:E1000"), (INDIRECT("'"&amp;K$62&amp;"'!B2:B1000")=$B59) * (INDIRECT("'"&amp;K$62&amp;"'!C2:C1000")=$C59)
        ),
        5,
        FALSE
    )
)</f>
        <v/>
      </c>
      <c r="L59" s="86">
        <f t="array" ref="L59">IF(
    VLOOKUP(
        $A59,
        _xlfn._xlws.FILTER(
            INDIRECT("'"&amp;L$62&amp;"'!A2:E1000"), (INDIRECT("'"&amp;L$62&amp;"'!B2:B1000")=$B59) * (INDIRECT("'"&amp;L$62&amp;"'!C2:C1000")=$C59)
        ),
        5,
        FALSE
    )=0,
    "",
    VLOOKUP(
        $A59,
        _xlfn._xlws.FILTER(
            INDIRECT("'"&amp;L$62&amp;"'!A2:E1000"), (INDIRECT("'"&amp;L$62&amp;"'!B2:B1000")=$B59) * (INDIRECT("'"&amp;L$62&amp;"'!C2:C1000")=$C59)
        ),
        5,
        FALSE
    )
)</f>
        <v/>
      </c>
      <c r="M59" s="86">
        <f t="array" ref="M59">IF(
    VLOOKUP(
        $A59,
        _xlfn._xlws.FILTER(
            INDIRECT("'"&amp;M$62&amp;"'!A2:E1000"), (INDIRECT("'"&amp;M$62&amp;"'!B2:B1000")=$B59) * (INDIRECT("'"&amp;M$62&amp;"'!C2:C1000")=$C59)
        ),
        5,
        FALSE
    )=0,
    "",
    VLOOKUP(
        $A59,
        _xlfn._xlws.FILTER(
            INDIRECT("'"&amp;M$62&amp;"'!A2:E1000"), (INDIRECT("'"&amp;M$62&amp;"'!B2:B1000")=$B59) * (INDIRECT("'"&amp;M$62&amp;"'!C2:C1000")=$C59)
        ),
        5,
        FALSE
    )
)</f>
        <v/>
      </c>
      <c r="N59" s="86">
        <f t="array" ref="N59">IF(
    VLOOKUP(
        $A59,
        _xlfn._xlws.FILTER(
            INDIRECT("'"&amp;N$62&amp;"'!A2:E1000"), (INDIRECT("'"&amp;N$62&amp;"'!B2:B1000")=$B59) * (INDIRECT("'"&amp;N$62&amp;"'!C2:C1000")=$C59)
        ),
        5,
        FALSE
    )=0,
    "",
    VLOOKUP(
        $A59,
        _xlfn._xlws.FILTER(
            INDIRECT("'"&amp;N$62&amp;"'!A2:E1000"), (INDIRECT("'"&amp;N$62&amp;"'!B2:B1000")=$B59) * (INDIRECT("'"&amp;N$62&amp;"'!C2:C1000")=$C59)
        ),
        5,
        FALSE
    )
)</f>
        <v/>
      </c>
      <c r="O59" s="86">
        <f t="array" ref="O59">IF(
    VLOOKUP(
        $A59,
        _xlfn._xlws.FILTER(
            INDIRECT("'"&amp;O$62&amp;"'!A2:E1000"), (INDIRECT("'"&amp;O$62&amp;"'!B2:B1000")=$B59) * (INDIRECT("'"&amp;O$62&amp;"'!C2:C1000")=$C59)
        ),
        5,
        FALSE
    )=0,
    "",
    VLOOKUP(
        $A59,
        _xlfn._xlws.FILTER(
            INDIRECT("'"&amp;O$62&amp;"'!A2:E1000"), (INDIRECT("'"&amp;O$62&amp;"'!B2:B1000")=$B59) * (INDIRECT("'"&amp;O$62&amp;"'!C2:C1000")=$C59)
        ),
        5,
        FALSE
    )
)</f>
        <v/>
      </c>
    </row>
    <row r="60">
      <c r="A60" s="33" t="inlineStr">
        <is>
          <t>Maringá</t>
        </is>
      </c>
      <c r="B60" s="85" t="inlineStr">
        <is>
          <t>São João Do Ivaí</t>
        </is>
      </c>
      <c r="C60" s="85" t="inlineStr">
        <is>
          <t>01</t>
        </is>
      </c>
      <c r="D60" s="86">
        <f t="array" ref="D60">IF(
    VLOOKUP(
        $A60,
        _xlfn._xlws.FILTER(
            INDIRECT("'"&amp;D$62&amp;"'!A2:E1000"), (INDIRECT("'"&amp;D$62&amp;"'!B2:B1000")=$B60) * (INDIRECT("'"&amp;D$62&amp;"'!C2:C1000")=$C60)
        ),
        5,
        FALSE
    )=0,
    "",
    VLOOKUP(
        $A60,
        _xlfn._xlws.FILTER(
            INDIRECT("'"&amp;D$62&amp;"'!A2:E1000"), (INDIRECT("'"&amp;D$62&amp;"'!B2:B1000")=$B60) * (INDIRECT("'"&amp;D$62&amp;"'!C2:C1000")=$C60)
        ),
        5,
        FALSE
    )
)</f>
        <v/>
      </c>
      <c r="E60" s="86">
        <f t="array" ref="E60">IF(
    VLOOKUP(
        $A60,
        _xlfn._xlws.FILTER(
            INDIRECT("'"&amp;E$62&amp;"'!A2:E1000"), (INDIRECT("'"&amp;E$62&amp;"'!B2:B1000")=$B60) * (INDIRECT("'"&amp;E$62&amp;"'!C2:C1000")=$C60)
        ),
        5,
        FALSE
    )=0,
    "",
    VLOOKUP(
        $A60,
        _xlfn._xlws.FILTER(
            INDIRECT("'"&amp;E$62&amp;"'!A2:E1000"), (INDIRECT("'"&amp;E$62&amp;"'!B2:B1000")=$B60) * (INDIRECT("'"&amp;E$62&amp;"'!C2:C1000")=$C60)
        ),
        5,
        FALSE
    )
)</f>
        <v/>
      </c>
      <c r="F60" s="86">
        <f t="array" ref="F60">IF(
    VLOOKUP(
        $A60,
        _xlfn._xlws.FILTER(
            INDIRECT("'"&amp;F$62&amp;"'!A2:E1000"), (INDIRECT("'"&amp;F$62&amp;"'!B2:B1000")=$B60) * (INDIRECT("'"&amp;F$62&amp;"'!C2:C1000")=$C60)
        ),
        5,
        FALSE
    )=0,
    "",
    VLOOKUP(
        $A60,
        _xlfn._xlws.FILTER(
            INDIRECT("'"&amp;F$62&amp;"'!A2:E1000"), (INDIRECT("'"&amp;F$62&amp;"'!B2:B1000")=$B60) * (INDIRECT("'"&amp;F$62&amp;"'!C2:C1000")=$C60)
        ),
        5,
        FALSE
    )
)</f>
        <v/>
      </c>
      <c r="G60" s="86">
        <f t="array" ref="G60">IF(
    VLOOKUP(
        $A60,
        _xlfn._xlws.FILTER(
            INDIRECT("'"&amp;G$62&amp;"'!A2:E1000"), (INDIRECT("'"&amp;G$62&amp;"'!B2:B1000")=$B60) * (INDIRECT("'"&amp;G$62&amp;"'!C2:C1000")=$C60)
        ),
        5,
        FALSE
    )=0,
    "",
    VLOOKUP(
        $A60,
        _xlfn._xlws.FILTER(
            INDIRECT("'"&amp;G$62&amp;"'!A2:E1000"), (INDIRECT("'"&amp;G$62&amp;"'!B2:B1000")=$B60) * (INDIRECT("'"&amp;G$62&amp;"'!C2:C1000")=$C60)
        ),
        5,
        FALSE
    )
)</f>
        <v/>
      </c>
      <c r="H60" s="86">
        <f t="array" ref="H60">IF(
    VLOOKUP(
        $A60,
        _xlfn._xlws.FILTER(
            INDIRECT("'"&amp;H$62&amp;"'!A2:E1000"), (INDIRECT("'"&amp;H$62&amp;"'!B2:B1000")=$B60) * (INDIRECT("'"&amp;H$62&amp;"'!C2:C1000")=$C60)
        ),
        5,
        FALSE
    )=0,
    "",
    VLOOKUP(
        $A60,
        _xlfn._xlws.FILTER(
            INDIRECT("'"&amp;H$62&amp;"'!A2:E1000"), (INDIRECT("'"&amp;H$62&amp;"'!B2:B1000")=$B60) * (INDIRECT("'"&amp;H$62&amp;"'!C2:C1000")=$C60)
        ),
        5,
        FALSE
    )
)</f>
        <v/>
      </c>
      <c r="I60" s="86">
        <f t="array" ref="I60">IF(
    VLOOKUP(
        $A60,
        _xlfn._xlws.FILTER(
            INDIRECT("'"&amp;I$62&amp;"'!A2:E1000"), (INDIRECT("'"&amp;I$62&amp;"'!B2:B1000")=$B60) * (INDIRECT("'"&amp;I$62&amp;"'!C2:C1000")=$C60)
        ),
        5,
        FALSE
    )=0,
    "",
    VLOOKUP(
        $A60,
        _xlfn._xlws.FILTER(
            INDIRECT("'"&amp;I$62&amp;"'!A2:E1000"), (INDIRECT("'"&amp;I$62&amp;"'!B2:B1000")=$B60) * (INDIRECT("'"&amp;I$62&amp;"'!C2:C1000")=$C60)
        ),
        5,
        FALSE
    )
)</f>
        <v/>
      </c>
      <c r="J60" s="86">
        <f t="array" ref="J60">IF(
    VLOOKUP(
        $A60,
        _xlfn._xlws.FILTER(
            INDIRECT("'"&amp;J$62&amp;"'!A2:E1000"), (INDIRECT("'"&amp;J$62&amp;"'!B2:B1000")=$B60) * (INDIRECT("'"&amp;J$62&amp;"'!C2:C1000")=$C60)
        ),
        5,
        FALSE
    )=0,
    "",
    VLOOKUP(
        $A60,
        _xlfn._xlws.FILTER(
            INDIRECT("'"&amp;J$62&amp;"'!A2:E1000"), (INDIRECT("'"&amp;J$62&amp;"'!B2:B1000")=$B60) * (INDIRECT("'"&amp;J$62&amp;"'!C2:C1000")=$C60)
        ),
        5,
        FALSE
    )
)</f>
        <v/>
      </c>
      <c r="K60" s="86">
        <f t="array" ref="K60">IF(
    VLOOKUP(
        $A60,
        _xlfn._xlws.FILTER(
            INDIRECT("'"&amp;K$62&amp;"'!A2:E1000"), (INDIRECT("'"&amp;K$62&amp;"'!B2:B1000")=$B60) * (INDIRECT("'"&amp;K$62&amp;"'!C2:C1000")=$C60)
        ),
        5,
        FALSE
    )=0,
    "",
    VLOOKUP(
        $A60,
        _xlfn._xlws.FILTER(
            INDIRECT("'"&amp;K$62&amp;"'!A2:E1000"), (INDIRECT("'"&amp;K$62&amp;"'!B2:B1000")=$B60) * (INDIRECT("'"&amp;K$62&amp;"'!C2:C1000")=$C60)
        ),
        5,
        FALSE
    )
)</f>
        <v/>
      </c>
      <c r="L60" s="86">
        <f t="array" ref="L60">IF(
    VLOOKUP(
        $A60,
        _xlfn._xlws.FILTER(
            INDIRECT("'"&amp;L$62&amp;"'!A2:E1000"), (INDIRECT("'"&amp;L$62&amp;"'!B2:B1000")=$B60) * (INDIRECT("'"&amp;L$62&amp;"'!C2:C1000")=$C60)
        ),
        5,
        FALSE
    )=0,
    "",
    VLOOKUP(
        $A60,
        _xlfn._xlws.FILTER(
            INDIRECT("'"&amp;L$62&amp;"'!A2:E1000"), (INDIRECT("'"&amp;L$62&amp;"'!B2:B1000")=$B60) * (INDIRECT("'"&amp;L$62&amp;"'!C2:C1000")=$C60)
        ),
        5,
        FALSE
    )
)</f>
        <v/>
      </c>
      <c r="M60" s="86">
        <f t="array" ref="M60">IF(
    VLOOKUP(
        $A60,
        _xlfn._xlws.FILTER(
            INDIRECT("'"&amp;M$62&amp;"'!A2:E1000"), (INDIRECT("'"&amp;M$62&amp;"'!B2:B1000")=$B60) * (INDIRECT("'"&amp;M$62&amp;"'!C2:C1000")=$C60)
        ),
        5,
        FALSE
    )=0,
    "",
    VLOOKUP(
        $A60,
        _xlfn._xlws.FILTER(
            INDIRECT("'"&amp;M$62&amp;"'!A2:E1000"), (INDIRECT("'"&amp;M$62&amp;"'!B2:B1000")=$B60) * (INDIRECT("'"&amp;M$62&amp;"'!C2:C1000")=$C60)
        ),
        5,
        FALSE
    )
)</f>
        <v/>
      </c>
      <c r="N60" s="86">
        <f t="array" ref="N60">IF(
    VLOOKUP(
        $A60,
        _xlfn._xlws.FILTER(
            INDIRECT("'"&amp;N$62&amp;"'!A2:E1000"), (INDIRECT("'"&amp;N$62&amp;"'!B2:B1000")=$B60) * (INDIRECT("'"&amp;N$62&amp;"'!C2:C1000")=$C60)
        ),
        5,
        FALSE
    )=0,
    "",
    VLOOKUP(
        $A60,
        _xlfn._xlws.FILTER(
            INDIRECT("'"&amp;N$62&amp;"'!A2:E1000"), (INDIRECT("'"&amp;N$62&amp;"'!B2:B1000")=$B60) * (INDIRECT("'"&amp;N$62&amp;"'!C2:C1000")=$C60)
        ),
        5,
        FALSE
    )
)</f>
        <v/>
      </c>
      <c r="O60" s="86">
        <f t="array" ref="O60">IF(
    VLOOKUP(
        $A60,
        _xlfn._xlws.FILTER(
            INDIRECT("'"&amp;O$62&amp;"'!A2:E1000"), (INDIRECT("'"&amp;O$62&amp;"'!B2:B1000")=$B60) * (INDIRECT("'"&amp;O$62&amp;"'!C2:C1000")=$C60)
        ),
        5,
        FALSE
    )=0,
    "",
    VLOOKUP(
        $A60,
        _xlfn._xlws.FILTER(
            INDIRECT("'"&amp;O$62&amp;"'!A2:E1000"), (INDIRECT("'"&amp;O$62&amp;"'!B2:B1000")=$B60) * (INDIRECT("'"&amp;O$62&amp;"'!C2:C1000")=$C60)
        ),
        5,
        FALSE
    )
)</f>
        <v/>
      </c>
    </row>
    <row r="61"/>
    <row r="62" ht="15.75" customHeight="1">
      <c r="A62" s="38" t="inlineStr">
        <is>
          <t>Mário</t>
        </is>
      </c>
      <c r="B62" s="84" t="inlineStr">
        <is>
          <t>Municípios</t>
        </is>
      </c>
      <c r="C62" s="84" t="inlineStr">
        <is>
          <t>UVR</t>
        </is>
      </c>
      <c r="D62" s="4" t="inlineStr">
        <is>
          <t>01.25</t>
        </is>
      </c>
      <c r="E62" s="4" t="inlineStr">
        <is>
          <t>02.25</t>
        </is>
      </c>
      <c r="F62" s="4" t="inlineStr">
        <is>
          <t>03.25</t>
        </is>
      </c>
      <c r="G62" s="4" t="inlineStr">
        <is>
          <t>04.25</t>
        </is>
      </c>
      <c r="H62" s="4" t="inlineStr">
        <is>
          <t>05.25</t>
        </is>
      </c>
      <c r="I62" s="4" t="inlineStr">
        <is>
          <t>06.25</t>
        </is>
      </c>
      <c r="J62" s="4" t="inlineStr">
        <is>
          <t>07.25</t>
        </is>
      </c>
      <c r="K62" s="4" t="inlineStr">
        <is>
          <t>08.25</t>
        </is>
      </c>
      <c r="L62" s="4" t="inlineStr">
        <is>
          <t>09.25</t>
        </is>
      </c>
      <c r="M62" s="4" t="inlineStr">
        <is>
          <t>10.25</t>
        </is>
      </c>
      <c r="N62" s="4" t="inlineStr">
        <is>
          <t>11.25</t>
        </is>
      </c>
      <c r="O62" s="4" t="inlineStr">
        <is>
          <t>12.25</t>
        </is>
      </c>
    </row>
    <row r="63">
      <c r="A63" s="37" t="inlineStr">
        <is>
          <t>Paranavaí</t>
        </is>
      </c>
      <c r="B63" s="85" t="inlineStr">
        <is>
          <t>Alto Paraná</t>
        </is>
      </c>
      <c r="C63" s="85" t="inlineStr">
        <is>
          <t>01</t>
        </is>
      </c>
      <c r="D63" s="86">
        <f t="array" ref="D63">IF(
    VLOOKUP(
        $A63,
        _xlfn._xlws.FILTER(
            INDIRECT("'"&amp;D$62&amp;"'!A2:E1000"), (INDIRECT("'"&amp;D$62&amp;"'!B2:B1000")=$B63) * (INDIRECT("'"&amp;D$62&amp;"'!C2:C1000")=$C63)
        ),
        5,
        FALSE
    )=0,
    "",
    VLOOKUP(
        $A63,
        _xlfn._xlws.FILTER(
            INDIRECT("'"&amp;D$62&amp;"'!A2:E1000"), (INDIRECT("'"&amp;D$62&amp;"'!B2:B1000")=$B63) * (INDIRECT("'"&amp;D$62&amp;"'!C2:C1000")=$C63)
        ),
        5,
        FALSE
    )
)</f>
        <v/>
      </c>
      <c r="E63" s="86">
        <f t="array" ref="E63">IF(
    VLOOKUP(
        $A63,
        _xlfn._xlws.FILTER(
            INDIRECT("'"&amp;E$62&amp;"'!A2:E1000"), (INDIRECT("'"&amp;E$62&amp;"'!B2:B1000")=$B63) * (INDIRECT("'"&amp;E$62&amp;"'!C2:C1000")=$C63)
        ),
        5,
        FALSE
    )=0,
    "",
    VLOOKUP(
        $A63,
        _xlfn._xlws.FILTER(
            INDIRECT("'"&amp;E$62&amp;"'!A2:E1000"), (INDIRECT("'"&amp;E$62&amp;"'!B2:B1000")=$B63) * (INDIRECT("'"&amp;E$62&amp;"'!C2:C1000")=$C63)
        ),
        5,
        FALSE
    )
)</f>
        <v/>
      </c>
      <c r="F63" s="86">
        <f t="array" ref="F63">IF(
    VLOOKUP(
        $A63,
        _xlfn._xlws.FILTER(
            INDIRECT("'"&amp;F$62&amp;"'!A2:E1000"), (INDIRECT("'"&amp;F$62&amp;"'!B2:B1000")=$B63) * (INDIRECT("'"&amp;F$62&amp;"'!C2:C1000")=$C63)
        ),
        5,
        FALSE
    )=0,
    "",
    VLOOKUP(
        $A63,
        _xlfn._xlws.FILTER(
            INDIRECT("'"&amp;F$62&amp;"'!A2:E1000"), (INDIRECT("'"&amp;F$62&amp;"'!B2:B1000")=$B63) * (INDIRECT("'"&amp;F$62&amp;"'!C2:C1000")=$C63)
        ),
        5,
        FALSE
    )
)</f>
        <v/>
      </c>
      <c r="G63" s="86">
        <f t="array" ref="G63">IF(
    VLOOKUP(
        $A63,
        _xlfn._xlws.FILTER(
            INDIRECT("'"&amp;G$62&amp;"'!A2:E1000"), (INDIRECT("'"&amp;G$62&amp;"'!B2:B1000")=$B63) * (INDIRECT("'"&amp;G$62&amp;"'!C2:C1000")=$C63)
        ),
        5,
        FALSE
    )=0,
    "",
    VLOOKUP(
        $A63,
        _xlfn._xlws.FILTER(
            INDIRECT("'"&amp;G$62&amp;"'!A2:E1000"), (INDIRECT("'"&amp;G$62&amp;"'!B2:B1000")=$B63) * (INDIRECT("'"&amp;G$62&amp;"'!C2:C1000")=$C63)
        ),
        5,
        FALSE
    )
)</f>
        <v/>
      </c>
      <c r="H63" s="86">
        <f t="array" ref="H63">IF(
    VLOOKUP(
        $A63,
        _xlfn._xlws.FILTER(
            INDIRECT("'"&amp;H$62&amp;"'!A2:E1000"), (INDIRECT("'"&amp;H$62&amp;"'!B2:B1000")=$B63) * (INDIRECT("'"&amp;H$62&amp;"'!C2:C1000")=$C63)
        ),
        5,
        FALSE
    )=0,
    "",
    VLOOKUP(
        $A63,
        _xlfn._xlws.FILTER(
            INDIRECT("'"&amp;H$62&amp;"'!A2:E1000"), (INDIRECT("'"&amp;H$62&amp;"'!B2:B1000")=$B63) * (INDIRECT("'"&amp;H$62&amp;"'!C2:C1000")=$C63)
        ),
        5,
        FALSE
    )
)</f>
        <v/>
      </c>
      <c r="I63" s="86">
        <f t="array" ref="I63">IF(
    VLOOKUP(
        $A63,
        _xlfn._xlws.FILTER(
            INDIRECT("'"&amp;I$62&amp;"'!A2:E1000"), (INDIRECT("'"&amp;I$62&amp;"'!B2:B1000")=$B63) * (INDIRECT("'"&amp;I$62&amp;"'!C2:C1000")=$C63)
        ),
        5,
        FALSE
    )=0,
    "",
    VLOOKUP(
        $A63,
        _xlfn._xlws.FILTER(
            INDIRECT("'"&amp;I$62&amp;"'!A2:E1000"), (INDIRECT("'"&amp;I$62&amp;"'!B2:B1000")=$B63) * (INDIRECT("'"&amp;I$62&amp;"'!C2:C1000")=$C63)
        ),
        5,
        FALSE
    )
)</f>
        <v/>
      </c>
      <c r="J63" s="86">
        <f t="array" ref="J63">IF(
    VLOOKUP(
        $A63,
        _xlfn._xlws.FILTER(
            INDIRECT("'"&amp;J$62&amp;"'!A2:E1000"), (INDIRECT("'"&amp;J$62&amp;"'!B2:B1000")=$B63) * (INDIRECT("'"&amp;J$62&amp;"'!C2:C1000")=$C63)
        ),
        5,
        FALSE
    )=0,
    "",
    VLOOKUP(
        $A63,
        _xlfn._xlws.FILTER(
            INDIRECT("'"&amp;J$62&amp;"'!A2:E1000"), (INDIRECT("'"&amp;J$62&amp;"'!B2:B1000")=$B63) * (INDIRECT("'"&amp;J$62&amp;"'!C2:C1000")=$C63)
        ),
        5,
        FALSE
    )
)</f>
        <v/>
      </c>
      <c r="K63" s="86">
        <f t="array" ref="K63">IF(
    VLOOKUP(
        $A63,
        _xlfn._xlws.FILTER(
            INDIRECT("'"&amp;K$62&amp;"'!A2:E1000"), (INDIRECT("'"&amp;K$62&amp;"'!B2:B1000")=$B63) * (INDIRECT("'"&amp;K$62&amp;"'!C2:C1000")=$C63)
        ),
        5,
        FALSE
    )=0,
    "",
    VLOOKUP(
        $A63,
        _xlfn._xlws.FILTER(
            INDIRECT("'"&amp;K$62&amp;"'!A2:E1000"), (INDIRECT("'"&amp;K$62&amp;"'!B2:B1000")=$B63) * (INDIRECT("'"&amp;K$62&amp;"'!C2:C1000")=$C63)
        ),
        5,
        FALSE
    )
)</f>
        <v/>
      </c>
      <c r="L63" s="86">
        <f t="array" ref="L63">IF(
    VLOOKUP(
        $A63,
        _xlfn._xlws.FILTER(
            INDIRECT("'"&amp;L$62&amp;"'!A2:E1000"), (INDIRECT("'"&amp;L$62&amp;"'!B2:B1000")=$B63) * (INDIRECT("'"&amp;L$62&amp;"'!C2:C1000")=$C63)
        ),
        5,
        FALSE
    )=0,
    "",
    VLOOKUP(
        $A63,
        _xlfn._xlws.FILTER(
            INDIRECT("'"&amp;L$62&amp;"'!A2:E1000"), (INDIRECT("'"&amp;L$62&amp;"'!B2:B1000")=$B63) * (INDIRECT("'"&amp;L$62&amp;"'!C2:C1000")=$C63)
        ),
        5,
        FALSE
    )
)</f>
        <v/>
      </c>
      <c r="M63" s="86">
        <f t="array" ref="M63">IF(
    VLOOKUP(
        $A63,
        _xlfn._xlws.FILTER(
            INDIRECT("'"&amp;M$62&amp;"'!A2:E1000"), (INDIRECT("'"&amp;M$62&amp;"'!B2:B1000")=$B63) * (INDIRECT("'"&amp;M$62&amp;"'!C2:C1000")=$C63)
        ),
        5,
        FALSE
    )=0,
    "",
    VLOOKUP(
        $A63,
        _xlfn._xlws.FILTER(
            INDIRECT("'"&amp;M$62&amp;"'!A2:E1000"), (INDIRECT("'"&amp;M$62&amp;"'!B2:B1000")=$B63) * (INDIRECT("'"&amp;M$62&amp;"'!C2:C1000")=$C63)
        ),
        5,
        FALSE
    )
)</f>
        <v/>
      </c>
      <c r="N63" s="86">
        <f t="array" ref="N63">IF(
    VLOOKUP(
        $A63,
        _xlfn._xlws.FILTER(
            INDIRECT("'"&amp;N$62&amp;"'!A2:E1000"), (INDIRECT("'"&amp;N$62&amp;"'!B2:B1000")=$B63) * (INDIRECT("'"&amp;N$62&amp;"'!C2:C1000")=$C63)
        ),
        5,
        FALSE
    )=0,
    "",
    VLOOKUP(
        $A63,
        _xlfn._xlws.FILTER(
            INDIRECT("'"&amp;N$62&amp;"'!A2:E1000"), (INDIRECT("'"&amp;N$62&amp;"'!B2:B1000")=$B63) * (INDIRECT("'"&amp;N$62&amp;"'!C2:C1000")=$C63)
        ),
        5,
        FALSE
    )
)</f>
        <v/>
      </c>
      <c r="O63" s="86">
        <f t="array" ref="O63">IF(
    VLOOKUP(
        $A63,
        _xlfn._xlws.FILTER(
            INDIRECT("'"&amp;O$62&amp;"'!A2:E1000"), (INDIRECT("'"&amp;O$62&amp;"'!B2:B1000")=$B63) * (INDIRECT("'"&amp;O$62&amp;"'!C2:C1000")=$C63)
        ),
        5,
        FALSE
    )=0,
    "",
    VLOOKUP(
        $A63,
        _xlfn._xlws.FILTER(
            INDIRECT("'"&amp;O$62&amp;"'!A2:E1000"), (INDIRECT("'"&amp;O$62&amp;"'!B2:B1000")=$B63) * (INDIRECT("'"&amp;O$62&amp;"'!C2:C1000")=$C63)
        ),
        5,
        FALSE
    )
)</f>
        <v/>
      </c>
      <c r="Q63" s="87" t="n"/>
      <c r="R63" s="88" t="inlineStr">
        <is>
          <t>Paranavai</t>
        </is>
      </c>
      <c r="S63" s="89" t="inlineStr">
        <is>
          <t>Paranavaí</t>
        </is>
      </c>
      <c r="T63" s="90" t="n"/>
    </row>
    <row r="64">
      <c r="A64" s="37" t="inlineStr">
        <is>
          <t>Paranavaí</t>
        </is>
      </c>
      <c r="B64" s="85" t="inlineStr">
        <is>
          <t>Amaporã</t>
        </is>
      </c>
      <c r="C64" s="85" t="inlineStr">
        <is>
          <t>01</t>
        </is>
      </c>
      <c r="D64" s="86">
        <f t="array" ref="D64">IF(
    VLOOKUP(
        $A64,
        _xlfn._xlws.FILTER(
            INDIRECT("'"&amp;D$62&amp;"'!A2:E1000"), (INDIRECT("'"&amp;D$62&amp;"'!B2:B1000")=$B64) * (INDIRECT("'"&amp;D$62&amp;"'!C2:C1000")=$C64)
        ),
        5,
        FALSE
    )=0,
    "",
    VLOOKUP(
        $A64,
        _xlfn._xlws.FILTER(
            INDIRECT("'"&amp;D$62&amp;"'!A2:E1000"), (INDIRECT("'"&amp;D$62&amp;"'!B2:B1000")=$B64) * (INDIRECT("'"&amp;D$62&amp;"'!C2:C1000")=$C64)
        ),
        5,
        FALSE
    )
)</f>
        <v/>
      </c>
      <c r="E64" s="86">
        <f t="array" ref="E64">IF(
    VLOOKUP(
        $A64,
        _xlfn._xlws.FILTER(
            INDIRECT("'"&amp;E$62&amp;"'!A2:E1000"), (INDIRECT("'"&amp;E$62&amp;"'!B2:B1000")=$B64) * (INDIRECT("'"&amp;E$62&amp;"'!C2:C1000")=$C64)
        ),
        5,
        FALSE
    )=0,
    "",
    VLOOKUP(
        $A64,
        _xlfn._xlws.FILTER(
            INDIRECT("'"&amp;E$62&amp;"'!A2:E1000"), (INDIRECT("'"&amp;E$62&amp;"'!B2:B1000")=$B64) * (INDIRECT("'"&amp;E$62&amp;"'!C2:C1000")=$C64)
        ),
        5,
        FALSE
    )
)</f>
        <v/>
      </c>
      <c r="F64" s="86">
        <f t="array" ref="F64">IF(
    VLOOKUP(
        $A64,
        _xlfn._xlws.FILTER(
            INDIRECT("'"&amp;F$62&amp;"'!A2:E1000"), (INDIRECT("'"&amp;F$62&amp;"'!B2:B1000")=$B64) * (INDIRECT("'"&amp;F$62&amp;"'!C2:C1000")=$C64)
        ),
        5,
        FALSE
    )=0,
    "",
    VLOOKUP(
        $A64,
        _xlfn._xlws.FILTER(
            INDIRECT("'"&amp;F$62&amp;"'!A2:E1000"), (INDIRECT("'"&amp;F$62&amp;"'!B2:B1000")=$B64) * (INDIRECT("'"&amp;F$62&amp;"'!C2:C1000")=$C64)
        ),
        5,
        FALSE
    )
)</f>
        <v/>
      </c>
      <c r="G64" s="86">
        <f t="array" ref="G64">IF(
    VLOOKUP(
        $A64,
        _xlfn._xlws.FILTER(
            INDIRECT("'"&amp;G$62&amp;"'!A2:E1000"), (INDIRECT("'"&amp;G$62&amp;"'!B2:B1000")=$B64) * (INDIRECT("'"&amp;G$62&amp;"'!C2:C1000")=$C64)
        ),
        5,
        FALSE
    )=0,
    "",
    VLOOKUP(
        $A64,
        _xlfn._xlws.FILTER(
            INDIRECT("'"&amp;G$62&amp;"'!A2:E1000"), (INDIRECT("'"&amp;G$62&amp;"'!B2:B1000")=$B64) * (INDIRECT("'"&amp;G$62&amp;"'!C2:C1000")=$C64)
        ),
        5,
        FALSE
    )
)</f>
        <v/>
      </c>
      <c r="H64" s="86">
        <f t="array" ref="H64">IF(
    VLOOKUP(
        $A64,
        _xlfn._xlws.FILTER(
            INDIRECT("'"&amp;H$62&amp;"'!A2:E1000"), (INDIRECT("'"&amp;H$62&amp;"'!B2:B1000")=$B64) * (INDIRECT("'"&amp;H$62&amp;"'!C2:C1000")=$C64)
        ),
        5,
        FALSE
    )=0,
    "",
    VLOOKUP(
        $A64,
        _xlfn._xlws.FILTER(
            INDIRECT("'"&amp;H$62&amp;"'!A2:E1000"), (INDIRECT("'"&amp;H$62&amp;"'!B2:B1000")=$B64) * (INDIRECT("'"&amp;H$62&amp;"'!C2:C1000")=$C64)
        ),
        5,
        FALSE
    )
)</f>
        <v/>
      </c>
      <c r="I64" s="86">
        <f t="array" ref="I64">IF(
    VLOOKUP(
        $A64,
        _xlfn._xlws.FILTER(
            INDIRECT("'"&amp;I$62&amp;"'!A2:E1000"), (INDIRECT("'"&amp;I$62&amp;"'!B2:B1000")=$B64) * (INDIRECT("'"&amp;I$62&amp;"'!C2:C1000")=$C64)
        ),
        5,
        FALSE
    )=0,
    "",
    VLOOKUP(
        $A64,
        _xlfn._xlws.FILTER(
            INDIRECT("'"&amp;I$62&amp;"'!A2:E1000"), (INDIRECT("'"&amp;I$62&amp;"'!B2:B1000")=$B64) * (INDIRECT("'"&amp;I$62&amp;"'!C2:C1000")=$C64)
        ),
        5,
        FALSE
    )
)</f>
        <v/>
      </c>
      <c r="J64" s="86">
        <f t="array" ref="J64">IF(
    VLOOKUP(
        $A64,
        _xlfn._xlws.FILTER(
            INDIRECT("'"&amp;J$62&amp;"'!A2:E1000"), (INDIRECT("'"&amp;J$62&amp;"'!B2:B1000")=$B64) * (INDIRECT("'"&amp;J$62&amp;"'!C2:C1000")=$C64)
        ),
        5,
        FALSE
    )=0,
    "",
    VLOOKUP(
        $A64,
        _xlfn._xlws.FILTER(
            INDIRECT("'"&amp;J$62&amp;"'!A2:E1000"), (INDIRECT("'"&amp;J$62&amp;"'!B2:B1000")=$B64) * (INDIRECT("'"&amp;J$62&amp;"'!C2:C1000")=$C64)
        ),
        5,
        FALSE
    )
)</f>
        <v/>
      </c>
      <c r="K64" s="86">
        <f t="array" ref="K64">IF(
    VLOOKUP(
        $A64,
        _xlfn._xlws.FILTER(
            INDIRECT("'"&amp;K$62&amp;"'!A2:E1000"), (INDIRECT("'"&amp;K$62&amp;"'!B2:B1000")=$B64) * (INDIRECT("'"&amp;K$62&amp;"'!C2:C1000")=$C64)
        ),
        5,
        FALSE
    )=0,
    "",
    VLOOKUP(
        $A64,
        _xlfn._xlws.FILTER(
            INDIRECT("'"&amp;K$62&amp;"'!A2:E1000"), (INDIRECT("'"&amp;K$62&amp;"'!B2:B1000")=$B64) * (INDIRECT("'"&amp;K$62&amp;"'!C2:C1000")=$C64)
        ),
        5,
        FALSE
    )
)</f>
        <v/>
      </c>
      <c r="L64" s="86">
        <f t="array" ref="L64">IF(
    VLOOKUP(
        $A64,
        _xlfn._xlws.FILTER(
            INDIRECT("'"&amp;L$62&amp;"'!A2:E1000"), (INDIRECT("'"&amp;L$62&amp;"'!B2:B1000")=$B64) * (INDIRECT("'"&amp;L$62&amp;"'!C2:C1000")=$C64)
        ),
        5,
        FALSE
    )=0,
    "",
    VLOOKUP(
        $A64,
        _xlfn._xlws.FILTER(
            INDIRECT("'"&amp;L$62&amp;"'!A2:E1000"), (INDIRECT("'"&amp;L$62&amp;"'!B2:B1000")=$B64) * (INDIRECT("'"&amp;L$62&amp;"'!C2:C1000")=$C64)
        ),
        5,
        FALSE
    )
)</f>
        <v/>
      </c>
      <c r="M64" s="86">
        <f t="array" ref="M64">IF(
    VLOOKUP(
        $A64,
        _xlfn._xlws.FILTER(
            INDIRECT("'"&amp;M$62&amp;"'!A2:E1000"), (INDIRECT("'"&amp;M$62&amp;"'!B2:B1000")=$B64) * (INDIRECT("'"&amp;M$62&amp;"'!C2:C1000")=$C64)
        ),
        5,
        FALSE
    )=0,
    "",
    VLOOKUP(
        $A64,
        _xlfn._xlws.FILTER(
            INDIRECT("'"&amp;M$62&amp;"'!A2:E1000"), (INDIRECT("'"&amp;M$62&amp;"'!B2:B1000")=$B64) * (INDIRECT("'"&amp;M$62&amp;"'!C2:C1000")=$C64)
        ),
        5,
        FALSE
    )
)</f>
        <v/>
      </c>
      <c r="N64" s="86">
        <f t="array" ref="N64">IF(
    VLOOKUP(
        $A64,
        _xlfn._xlws.FILTER(
            INDIRECT("'"&amp;N$62&amp;"'!A2:E1000"), (INDIRECT("'"&amp;N$62&amp;"'!B2:B1000")=$B64) * (INDIRECT("'"&amp;N$62&amp;"'!C2:C1000")=$C64)
        ),
        5,
        FALSE
    )=0,
    "",
    VLOOKUP(
        $A64,
        _xlfn._xlws.FILTER(
            INDIRECT("'"&amp;N$62&amp;"'!A2:E1000"), (INDIRECT("'"&amp;N$62&amp;"'!B2:B1000")=$B64) * (INDIRECT("'"&amp;N$62&amp;"'!C2:C1000")=$C64)
        ),
        5,
        FALSE
    )
)</f>
        <v/>
      </c>
      <c r="O64" s="86">
        <f t="array" ref="O64">IF(
    VLOOKUP(
        $A64,
        _xlfn._xlws.FILTER(
            INDIRECT("'"&amp;O$62&amp;"'!A2:E1000"), (INDIRECT("'"&amp;O$62&amp;"'!B2:B1000")=$B64) * (INDIRECT("'"&amp;O$62&amp;"'!C2:C1000")=$C64)
        ),
        5,
        FALSE
    )=0,
    "",
    VLOOKUP(
        $A64,
        _xlfn._xlws.FILTER(
            INDIRECT("'"&amp;O$62&amp;"'!A2:E1000"), (INDIRECT("'"&amp;O$62&amp;"'!B2:B1000")=$B64) * (INDIRECT("'"&amp;O$62&amp;"'!C2:C1000")=$C64)
        ),
        5,
        FALSE
    )
)</f>
        <v/>
      </c>
      <c r="Q64" s="91" t="n"/>
      <c r="R64" s="92" t="inlineStr">
        <is>
          <t>Curitiba</t>
        </is>
      </c>
      <c r="S64" s="93" t="inlineStr">
        <is>
          <t>Curitiba</t>
        </is>
      </c>
      <c r="T64" s="91" t="n"/>
    </row>
    <row r="65">
      <c r="A65" s="37" t="inlineStr">
        <is>
          <t>Paranavaí</t>
        </is>
      </c>
      <c r="B65" s="85" t="inlineStr">
        <is>
          <t>Colorado</t>
        </is>
      </c>
      <c r="C65" s="85" t="inlineStr">
        <is>
          <t>01</t>
        </is>
      </c>
      <c r="D65" s="86">
        <f t="array" ref="D65">IF(
    VLOOKUP(
        $A65,
        _xlfn._xlws.FILTER(
            INDIRECT("'"&amp;D$62&amp;"'!A2:E1000"), (INDIRECT("'"&amp;D$62&amp;"'!B2:B1000")=$B65) * (INDIRECT("'"&amp;D$62&amp;"'!C2:C1000")=$C65)
        ),
        5,
        FALSE
    )=0,
    "",
    VLOOKUP(
        $A65,
        _xlfn._xlws.FILTER(
            INDIRECT("'"&amp;D$62&amp;"'!A2:E1000"), (INDIRECT("'"&amp;D$62&amp;"'!B2:B1000")=$B65) * (INDIRECT("'"&amp;D$62&amp;"'!C2:C1000")=$C65)
        ),
        5,
        FALSE
    )
)</f>
        <v/>
      </c>
      <c r="E65" s="86">
        <f t="array" ref="E65">IF(
    VLOOKUP(
        $A65,
        _xlfn._xlws.FILTER(
            INDIRECT("'"&amp;E$62&amp;"'!A2:E1000"), (INDIRECT("'"&amp;E$62&amp;"'!B2:B1000")=$B65) * (INDIRECT("'"&amp;E$62&amp;"'!C2:C1000")=$C65)
        ),
        5,
        FALSE
    )=0,
    "",
    VLOOKUP(
        $A65,
        _xlfn._xlws.FILTER(
            INDIRECT("'"&amp;E$62&amp;"'!A2:E1000"), (INDIRECT("'"&amp;E$62&amp;"'!B2:B1000")=$B65) * (INDIRECT("'"&amp;E$62&amp;"'!C2:C1000")=$C65)
        ),
        5,
        FALSE
    )
)</f>
        <v/>
      </c>
      <c r="F65" s="86">
        <f t="array" ref="F65">IF(
    VLOOKUP(
        $A65,
        _xlfn._xlws.FILTER(
            INDIRECT("'"&amp;F$62&amp;"'!A2:E1000"), (INDIRECT("'"&amp;F$62&amp;"'!B2:B1000")=$B65) * (INDIRECT("'"&amp;F$62&amp;"'!C2:C1000")=$C65)
        ),
        5,
        FALSE
    )=0,
    "",
    VLOOKUP(
        $A65,
        _xlfn._xlws.FILTER(
            INDIRECT("'"&amp;F$62&amp;"'!A2:E1000"), (INDIRECT("'"&amp;F$62&amp;"'!B2:B1000")=$B65) * (INDIRECT("'"&amp;F$62&amp;"'!C2:C1000")=$C65)
        ),
        5,
        FALSE
    )
)</f>
        <v/>
      </c>
      <c r="G65" s="86">
        <f t="array" ref="G65">IF(
    VLOOKUP(
        $A65,
        _xlfn._xlws.FILTER(
            INDIRECT("'"&amp;G$62&amp;"'!A2:E1000"), (INDIRECT("'"&amp;G$62&amp;"'!B2:B1000")=$B65) * (INDIRECT("'"&amp;G$62&amp;"'!C2:C1000")=$C65)
        ),
        5,
        FALSE
    )=0,
    "",
    VLOOKUP(
        $A65,
        _xlfn._xlws.FILTER(
            INDIRECT("'"&amp;G$62&amp;"'!A2:E1000"), (INDIRECT("'"&amp;G$62&amp;"'!B2:B1000")=$B65) * (INDIRECT("'"&amp;G$62&amp;"'!C2:C1000")=$C65)
        ),
        5,
        FALSE
    )
)</f>
        <v/>
      </c>
      <c r="H65" s="86">
        <f t="array" ref="H65">IF(
    VLOOKUP(
        $A65,
        _xlfn._xlws.FILTER(
            INDIRECT("'"&amp;H$62&amp;"'!A2:E1000"), (INDIRECT("'"&amp;H$62&amp;"'!B2:B1000")=$B65) * (INDIRECT("'"&amp;H$62&amp;"'!C2:C1000")=$C65)
        ),
        5,
        FALSE
    )=0,
    "",
    VLOOKUP(
        $A65,
        _xlfn._xlws.FILTER(
            INDIRECT("'"&amp;H$62&amp;"'!A2:E1000"), (INDIRECT("'"&amp;H$62&amp;"'!B2:B1000")=$B65) * (INDIRECT("'"&amp;H$62&amp;"'!C2:C1000")=$C65)
        ),
        5,
        FALSE
    )
)</f>
        <v/>
      </c>
      <c r="I65" s="86">
        <f t="array" ref="I65">IF(
    VLOOKUP(
        $A65,
        _xlfn._xlws.FILTER(
            INDIRECT("'"&amp;I$62&amp;"'!A2:E1000"), (INDIRECT("'"&amp;I$62&amp;"'!B2:B1000")=$B65) * (INDIRECT("'"&amp;I$62&amp;"'!C2:C1000")=$C65)
        ),
        5,
        FALSE
    )=0,
    "",
    VLOOKUP(
        $A65,
        _xlfn._xlws.FILTER(
            INDIRECT("'"&amp;I$62&amp;"'!A2:E1000"), (INDIRECT("'"&amp;I$62&amp;"'!B2:B1000")=$B65) * (INDIRECT("'"&amp;I$62&amp;"'!C2:C1000")=$C65)
        ),
        5,
        FALSE
    )
)</f>
        <v/>
      </c>
      <c r="J65" s="86">
        <f t="array" ref="J65">IF(
    VLOOKUP(
        $A65,
        _xlfn._xlws.FILTER(
            INDIRECT("'"&amp;J$62&amp;"'!A2:E1000"), (INDIRECT("'"&amp;J$62&amp;"'!B2:B1000")=$B65) * (INDIRECT("'"&amp;J$62&amp;"'!C2:C1000")=$C65)
        ),
        5,
        FALSE
    )=0,
    "",
    VLOOKUP(
        $A65,
        _xlfn._xlws.FILTER(
            INDIRECT("'"&amp;J$62&amp;"'!A2:E1000"), (INDIRECT("'"&amp;J$62&amp;"'!B2:B1000")=$B65) * (INDIRECT("'"&amp;J$62&amp;"'!C2:C1000")=$C65)
        ),
        5,
        FALSE
    )
)</f>
        <v/>
      </c>
      <c r="K65" s="86">
        <f t="array" ref="K65">IF(
    VLOOKUP(
        $A65,
        _xlfn._xlws.FILTER(
            INDIRECT("'"&amp;K$62&amp;"'!A2:E1000"), (INDIRECT("'"&amp;K$62&amp;"'!B2:B1000")=$B65) * (INDIRECT("'"&amp;K$62&amp;"'!C2:C1000")=$C65)
        ),
        5,
        FALSE
    )=0,
    "",
    VLOOKUP(
        $A65,
        _xlfn._xlws.FILTER(
            INDIRECT("'"&amp;K$62&amp;"'!A2:E1000"), (INDIRECT("'"&amp;K$62&amp;"'!B2:B1000")=$B65) * (INDIRECT("'"&amp;K$62&amp;"'!C2:C1000")=$C65)
        ),
        5,
        FALSE
    )
)</f>
        <v/>
      </c>
      <c r="L65" s="86">
        <f t="array" ref="L65">IF(
    VLOOKUP(
        $A65,
        _xlfn._xlws.FILTER(
            INDIRECT("'"&amp;L$62&amp;"'!A2:E1000"), (INDIRECT("'"&amp;L$62&amp;"'!B2:B1000")=$B65) * (INDIRECT("'"&amp;L$62&amp;"'!C2:C1000")=$C65)
        ),
        5,
        FALSE
    )=0,
    "",
    VLOOKUP(
        $A65,
        _xlfn._xlws.FILTER(
            INDIRECT("'"&amp;L$62&amp;"'!A2:E1000"), (INDIRECT("'"&amp;L$62&amp;"'!B2:B1000")=$B65) * (INDIRECT("'"&amp;L$62&amp;"'!C2:C1000")=$C65)
        ),
        5,
        FALSE
    )
)</f>
        <v/>
      </c>
      <c r="M65" s="86">
        <f t="array" ref="M65">IF(
    VLOOKUP(
        $A65,
        _xlfn._xlws.FILTER(
            INDIRECT("'"&amp;M$62&amp;"'!A2:E1000"), (INDIRECT("'"&amp;M$62&amp;"'!B2:B1000")=$B65) * (INDIRECT("'"&amp;M$62&amp;"'!C2:C1000")=$C65)
        ),
        5,
        FALSE
    )=0,
    "",
    VLOOKUP(
        $A65,
        _xlfn._xlws.FILTER(
            INDIRECT("'"&amp;M$62&amp;"'!A2:E1000"), (INDIRECT("'"&amp;M$62&amp;"'!B2:B1000")=$B65) * (INDIRECT("'"&amp;M$62&amp;"'!C2:C1000")=$C65)
        ),
        5,
        FALSE
    )
)</f>
        <v/>
      </c>
      <c r="N65" s="86">
        <f t="array" ref="N65">IF(
    VLOOKUP(
        $A65,
        _xlfn._xlws.FILTER(
            INDIRECT("'"&amp;N$62&amp;"'!A2:E1000"), (INDIRECT("'"&amp;N$62&amp;"'!B2:B1000")=$B65) * (INDIRECT("'"&amp;N$62&amp;"'!C2:C1000")=$C65)
        ),
        5,
        FALSE
    )=0,
    "",
    VLOOKUP(
        $A65,
        _xlfn._xlws.FILTER(
            INDIRECT("'"&amp;N$62&amp;"'!A2:E1000"), (INDIRECT("'"&amp;N$62&amp;"'!B2:B1000")=$B65) * (INDIRECT("'"&amp;N$62&amp;"'!C2:C1000")=$C65)
        ),
        5,
        FALSE
    )
)</f>
        <v/>
      </c>
      <c r="O65" s="86">
        <f t="array" ref="O65">IF(
    VLOOKUP(
        $A65,
        _xlfn._xlws.FILTER(
            INDIRECT("'"&amp;O$62&amp;"'!A2:E1000"), (INDIRECT("'"&amp;O$62&amp;"'!B2:B1000")=$B65) * (INDIRECT("'"&amp;O$62&amp;"'!C2:C1000")=$C65)
        ),
        5,
        FALSE
    )=0,
    "",
    VLOOKUP(
        $A65,
        _xlfn._xlws.FILTER(
            INDIRECT("'"&amp;O$62&amp;"'!A2:E1000"), (INDIRECT("'"&amp;O$62&amp;"'!B2:B1000")=$B65) * (INDIRECT("'"&amp;O$62&amp;"'!C2:C1000")=$C65)
        ),
        5,
        FALSE
    )
)</f>
        <v/>
      </c>
      <c r="Q65" s="94" t="n"/>
      <c r="R65" s="95" t="inlineStr">
        <is>
          <t>Francisco Beltrão</t>
        </is>
      </c>
      <c r="S65" s="96" t="inlineStr">
        <is>
          <t>Francisco Beltrão</t>
        </is>
      </c>
      <c r="T65" s="97" t="n"/>
    </row>
    <row r="66">
      <c r="A66" s="37" t="inlineStr">
        <is>
          <t>Paranavaí</t>
        </is>
      </c>
      <c r="B66" s="85" t="inlineStr">
        <is>
          <t>Cruzeiro Do Sul</t>
        </is>
      </c>
      <c r="C66" s="85" t="inlineStr">
        <is>
          <t>01</t>
        </is>
      </c>
      <c r="D66" s="86">
        <f t="array" ref="D66">IF(
    VLOOKUP(
        $A66,
        _xlfn._xlws.FILTER(
            INDIRECT("'"&amp;D$62&amp;"'!A2:E1000"), (INDIRECT("'"&amp;D$62&amp;"'!B2:B1000")=$B66) * (INDIRECT("'"&amp;D$62&amp;"'!C2:C1000")=$C66)
        ),
        5,
        FALSE
    )=0,
    "",
    VLOOKUP(
        $A66,
        _xlfn._xlws.FILTER(
            INDIRECT("'"&amp;D$62&amp;"'!A2:E1000"), (INDIRECT("'"&amp;D$62&amp;"'!B2:B1000")=$B66) * (INDIRECT("'"&amp;D$62&amp;"'!C2:C1000")=$C66)
        ),
        5,
        FALSE
    )
)</f>
        <v/>
      </c>
      <c r="E66" s="86">
        <f t="array" ref="E66">IF(
    VLOOKUP(
        $A66,
        _xlfn._xlws.FILTER(
            INDIRECT("'"&amp;E$62&amp;"'!A2:E1000"), (INDIRECT("'"&amp;E$62&amp;"'!B2:B1000")=$B66) * (INDIRECT("'"&amp;E$62&amp;"'!C2:C1000")=$C66)
        ),
        5,
        FALSE
    )=0,
    "",
    VLOOKUP(
        $A66,
        _xlfn._xlws.FILTER(
            INDIRECT("'"&amp;E$62&amp;"'!A2:E1000"), (INDIRECT("'"&amp;E$62&amp;"'!B2:B1000")=$B66) * (INDIRECT("'"&amp;E$62&amp;"'!C2:C1000")=$C66)
        ),
        5,
        FALSE
    )
)</f>
        <v/>
      </c>
      <c r="F66" s="86">
        <f t="array" ref="F66">IF(
    VLOOKUP(
        $A66,
        _xlfn._xlws.FILTER(
            INDIRECT("'"&amp;F$62&amp;"'!A2:E1000"), (INDIRECT("'"&amp;F$62&amp;"'!B2:B1000")=$B66) * (INDIRECT("'"&amp;F$62&amp;"'!C2:C1000")=$C66)
        ),
        5,
        FALSE
    )=0,
    "",
    VLOOKUP(
        $A66,
        _xlfn._xlws.FILTER(
            INDIRECT("'"&amp;F$62&amp;"'!A2:E1000"), (INDIRECT("'"&amp;F$62&amp;"'!B2:B1000")=$B66) * (INDIRECT("'"&amp;F$62&amp;"'!C2:C1000")=$C66)
        ),
        5,
        FALSE
    )
)</f>
        <v/>
      </c>
      <c r="G66" s="86">
        <f t="array" ref="G66">IF(
    VLOOKUP(
        $A66,
        _xlfn._xlws.FILTER(
            INDIRECT("'"&amp;G$62&amp;"'!A2:E1000"), (INDIRECT("'"&amp;G$62&amp;"'!B2:B1000")=$B66) * (INDIRECT("'"&amp;G$62&amp;"'!C2:C1000")=$C66)
        ),
        5,
        FALSE
    )=0,
    "",
    VLOOKUP(
        $A66,
        _xlfn._xlws.FILTER(
            INDIRECT("'"&amp;G$62&amp;"'!A2:E1000"), (INDIRECT("'"&amp;G$62&amp;"'!B2:B1000")=$B66) * (INDIRECT("'"&amp;G$62&amp;"'!C2:C1000")=$C66)
        ),
        5,
        FALSE
    )
)</f>
        <v/>
      </c>
      <c r="H66" s="86">
        <f t="array" ref="H66">IF(
    VLOOKUP(
        $A66,
        _xlfn._xlws.FILTER(
            INDIRECT("'"&amp;H$62&amp;"'!A2:E1000"), (INDIRECT("'"&amp;H$62&amp;"'!B2:B1000")=$B66) * (INDIRECT("'"&amp;H$62&amp;"'!C2:C1000")=$C66)
        ),
        5,
        FALSE
    )=0,
    "",
    VLOOKUP(
        $A66,
        _xlfn._xlws.FILTER(
            INDIRECT("'"&amp;H$62&amp;"'!A2:E1000"), (INDIRECT("'"&amp;H$62&amp;"'!B2:B1000")=$B66) * (INDIRECT("'"&amp;H$62&amp;"'!C2:C1000")=$C66)
        ),
        5,
        FALSE
    )
)</f>
        <v/>
      </c>
      <c r="I66" s="86">
        <f t="array" ref="I66">IF(
    VLOOKUP(
        $A66,
        _xlfn._xlws.FILTER(
            INDIRECT("'"&amp;I$62&amp;"'!A2:E1000"), (INDIRECT("'"&amp;I$62&amp;"'!B2:B1000")=$B66) * (INDIRECT("'"&amp;I$62&amp;"'!C2:C1000")=$C66)
        ),
        5,
        FALSE
    )=0,
    "",
    VLOOKUP(
        $A66,
        _xlfn._xlws.FILTER(
            INDIRECT("'"&amp;I$62&amp;"'!A2:E1000"), (INDIRECT("'"&amp;I$62&amp;"'!B2:B1000")=$B66) * (INDIRECT("'"&amp;I$62&amp;"'!C2:C1000")=$C66)
        ),
        5,
        FALSE
    )
)</f>
        <v/>
      </c>
      <c r="J66" s="86">
        <f t="array" ref="J66">IF(
    VLOOKUP(
        $A66,
        _xlfn._xlws.FILTER(
            INDIRECT("'"&amp;J$62&amp;"'!A2:E1000"), (INDIRECT("'"&amp;J$62&amp;"'!B2:B1000")=$B66) * (INDIRECT("'"&amp;J$62&amp;"'!C2:C1000")=$C66)
        ),
        5,
        FALSE
    )=0,
    "",
    VLOOKUP(
        $A66,
        _xlfn._xlws.FILTER(
            INDIRECT("'"&amp;J$62&amp;"'!A2:E1000"), (INDIRECT("'"&amp;J$62&amp;"'!B2:B1000")=$B66) * (INDIRECT("'"&amp;J$62&amp;"'!C2:C1000")=$C66)
        ),
        5,
        FALSE
    )
)</f>
        <v/>
      </c>
      <c r="K66" s="86">
        <f t="array" ref="K66">IF(
    VLOOKUP(
        $A66,
        _xlfn._xlws.FILTER(
            INDIRECT("'"&amp;K$62&amp;"'!A2:E1000"), (INDIRECT("'"&amp;K$62&amp;"'!B2:B1000")=$B66) * (INDIRECT("'"&amp;K$62&amp;"'!C2:C1000")=$C66)
        ),
        5,
        FALSE
    )=0,
    "",
    VLOOKUP(
        $A66,
        _xlfn._xlws.FILTER(
            INDIRECT("'"&amp;K$62&amp;"'!A2:E1000"), (INDIRECT("'"&amp;K$62&amp;"'!B2:B1000")=$B66) * (INDIRECT("'"&amp;K$62&amp;"'!C2:C1000")=$C66)
        ),
        5,
        FALSE
    )
)</f>
        <v/>
      </c>
      <c r="L66" s="86">
        <f t="array" ref="L66">IF(
    VLOOKUP(
        $A66,
        _xlfn._xlws.FILTER(
            INDIRECT("'"&amp;L$62&amp;"'!A2:E1000"), (INDIRECT("'"&amp;L$62&amp;"'!B2:B1000")=$B66) * (INDIRECT("'"&amp;L$62&amp;"'!C2:C1000")=$C66)
        ),
        5,
        FALSE
    )=0,
    "",
    VLOOKUP(
        $A66,
        _xlfn._xlws.FILTER(
            INDIRECT("'"&amp;L$62&amp;"'!A2:E1000"), (INDIRECT("'"&amp;L$62&amp;"'!B2:B1000")=$B66) * (INDIRECT("'"&amp;L$62&amp;"'!C2:C1000")=$C66)
        ),
        5,
        FALSE
    )
)</f>
        <v/>
      </c>
      <c r="M66" s="86">
        <f t="array" ref="M66">IF(
    VLOOKUP(
        $A66,
        _xlfn._xlws.FILTER(
            INDIRECT("'"&amp;M$62&amp;"'!A2:E1000"), (INDIRECT("'"&amp;M$62&amp;"'!B2:B1000")=$B66) * (INDIRECT("'"&amp;M$62&amp;"'!C2:C1000")=$C66)
        ),
        5,
        FALSE
    )=0,
    "",
    VLOOKUP(
        $A66,
        _xlfn._xlws.FILTER(
            INDIRECT("'"&amp;M$62&amp;"'!A2:E1000"), (INDIRECT("'"&amp;M$62&amp;"'!B2:B1000")=$B66) * (INDIRECT("'"&amp;M$62&amp;"'!C2:C1000")=$C66)
        ),
        5,
        FALSE
    )
)</f>
        <v/>
      </c>
      <c r="N66" s="86">
        <f t="array" ref="N66">IF(
    VLOOKUP(
        $A66,
        _xlfn._xlws.FILTER(
            INDIRECT("'"&amp;N$62&amp;"'!A2:E1000"), (INDIRECT("'"&amp;N$62&amp;"'!B2:B1000")=$B66) * (INDIRECT("'"&amp;N$62&amp;"'!C2:C1000")=$C66)
        ),
        5,
        FALSE
    )=0,
    "",
    VLOOKUP(
        $A66,
        _xlfn._xlws.FILTER(
            INDIRECT("'"&amp;N$62&amp;"'!A2:E1000"), (INDIRECT("'"&amp;N$62&amp;"'!B2:B1000")=$B66) * (INDIRECT("'"&amp;N$62&amp;"'!C2:C1000")=$C66)
        ),
        5,
        FALSE
    )
)</f>
        <v/>
      </c>
      <c r="O66" s="86">
        <f t="array" ref="O66">IF(
    VLOOKUP(
        $A66,
        _xlfn._xlws.FILTER(
            INDIRECT("'"&amp;O$62&amp;"'!A2:E1000"), (INDIRECT("'"&amp;O$62&amp;"'!B2:B1000")=$B66) * (INDIRECT("'"&amp;O$62&amp;"'!C2:C1000")=$C66)
        ),
        5,
        FALSE
    )=0,
    "",
    VLOOKUP(
        $A66,
        _xlfn._xlws.FILTER(
            INDIRECT("'"&amp;O$62&amp;"'!A2:E1000"), (INDIRECT("'"&amp;O$62&amp;"'!B2:B1000")=$B66) * (INDIRECT("'"&amp;O$62&amp;"'!C2:C1000")=$C66)
        ),
        5,
        FALSE
    )
)</f>
        <v/>
      </c>
      <c r="Q66" s="98" t="n"/>
      <c r="R66" s="99" t="inlineStr">
        <is>
          <t>Guarapuava</t>
        </is>
      </c>
      <c r="S66" s="100" t="inlineStr">
        <is>
          <t>Guarapuava</t>
        </is>
      </c>
      <c r="T66" s="101" t="n"/>
    </row>
    <row r="67">
      <c r="A67" s="37" t="inlineStr">
        <is>
          <t>Paranavaí</t>
        </is>
      </c>
      <c r="B67" s="85" t="inlineStr">
        <is>
          <t>Mandaguaçu</t>
        </is>
      </c>
      <c r="C67" s="85" t="inlineStr">
        <is>
          <t>01</t>
        </is>
      </c>
      <c r="D67" s="86">
        <f t="array" ref="D67">IF(
    VLOOKUP(
        $A67,
        _xlfn._xlws.FILTER(
            INDIRECT("'"&amp;D$62&amp;"'!A2:E1000"), (INDIRECT("'"&amp;D$62&amp;"'!B2:B1000")=$B67) * (INDIRECT("'"&amp;D$62&amp;"'!C2:C1000")=$C67)
        ),
        5,
        FALSE
    )=0,
    "",
    VLOOKUP(
        $A67,
        _xlfn._xlws.FILTER(
            INDIRECT("'"&amp;D$62&amp;"'!A2:E1000"), (INDIRECT("'"&amp;D$62&amp;"'!B2:B1000")=$B67) * (INDIRECT("'"&amp;D$62&amp;"'!C2:C1000")=$C67)
        ),
        5,
        FALSE
    )
)</f>
        <v/>
      </c>
      <c r="E67" s="86">
        <f t="array" ref="E67">IF(
    VLOOKUP(
        $A67,
        _xlfn._xlws.FILTER(
            INDIRECT("'"&amp;E$62&amp;"'!A2:E1000"), (INDIRECT("'"&amp;E$62&amp;"'!B2:B1000")=$B67) * (INDIRECT("'"&amp;E$62&amp;"'!C2:C1000")=$C67)
        ),
        5,
        FALSE
    )=0,
    "",
    VLOOKUP(
        $A67,
        _xlfn._xlws.FILTER(
            INDIRECT("'"&amp;E$62&amp;"'!A2:E1000"), (INDIRECT("'"&amp;E$62&amp;"'!B2:B1000")=$B67) * (INDIRECT("'"&amp;E$62&amp;"'!C2:C1000")=$C67)
        ),
        5,
        FALSE
    )
)</f>
        <v/>
      </c>
      <c r="F67" s="86">
        <f t="array" ref="F67">IF(
    VLOOKUP(
        $A67,
        _xlfn._xlws.FILTER(
            INDIRECT("'"&amp;F$62&amp;"'!A2:E1000"), (INDIRECT("'"&amp;F$62&amp;"'!B2:B1000")=$B67) * (INDIRECT("'"&amp;F$62&amp;"'!C2:C1000")=$C67)
        ),
        5,
        FALSE
    )=0,
    "",
    VLOOKUP(
        $A67,
        _xlfn._xlws.FILTER(
            INDIRECT("'"&amp;F$62&amp;"'!A2:E1000"), (INDIRECT("'"&amp;F$62&amp;"'!B2:B1000")=$B67) * (INDIRECT("'"&amp;F$62&amp;"'!C2:C1000")=$C67)
        ),
        5,
        FALSE
    )
)</f>
        <v/>
      </c>
      <c r="G67" s="86">
        <f t="array" ref="G67">IF(
    VLOOKUP(
        $A67,
        _xlfn._xlws.FILTER(
            INDIRECT("'"&amp;G$62&amp;"'!A2:E1000"), (INDIRECT("'"&amp;G$62&amp;"'!B2:B1000")=$B67) * (INDIRECT("'"&amp;G$62&amp;"'!C2:C1000")=$C67)
        ),
        5,
        FALSE
    )=0,
    "",
    VLOOKUP(
        $A67,
        _xlfn._xlws.FILTER(
            INDIRECT("'"&amp;G$62&amp;"'!A2:E1000"), (INDIRECT("'"&amp;G$62&amp;"'!B2:B1000")=$B67) * (INDIRECT("'"&amp;G$62&amp;"'!C2:C1000")=$C67)
        ),
        5,
        FALSE
    )
)</f>
        <v/>
      </c>
      <c r="H67" s="86">
        <f t="array" ref="H67">IF(
    VLOOKUP(
        $A67,
        _xlfn._xlws.FILTER(
            INDIRECT("'"&amp;H$62&amp;"'!A2:E1000"), (INDIRECT("'"&amp;H$62&amp;"'!B2:B1000")=$B67) * (INDIRECT("'"&amp;H$62&amp;"'!C2:C1000")=$C67)
        ),
        5,
        FALSE
    )=0,
    "",
    VLOOKUP(
        $A67,
        _xlfn._xlws.FILTER(
            INDIRECT("'"&amp;H$62&amp;"'!A2:E1000"), (INDIRECT("'"&amp;H$62&amp;"'!B2:B1000")=$B67) * (INDIRECT("'"&amp;H$62&amp;"'!C2:C1000")=$C67)
        ),
        5,
        FALSE
    )
)</f>
        <v/>
      </c>
      <c r="I67" s="86">
        <f t="array" ref="I67">IF(
    VLOOKUP(
        $A67,
        _xlfn._xlws.FILTER(
            INDIRECT("'"&amp;I$62&amp;"'!A2:E1000"), (INDIRECT("'"&amp;I$62&amp;"'!B2:B1000")=$B67) * (INDIRECT("'"&amp;I$62&amp;"'!C2:C1000")=$C67)
        ),
        5,
        FALSE
    )=0,
    "",
    VLOOKUP(
        $A67,
        _xlfn._xlws.FILTER(
            INDIRECT("'"&amp;I$62&amp;"'!A2:E1000"), (INDIRECT("'"&amp;I$62&amp;"'!B2:B1000")=$B67) * (INDIRECT("'"&amp;I$62&amp;"'!C2:C1000")=$C67)
        ),
        5,
        FALSE
    )
)</f>
        <v/>
      </c>
      <c r="J67" s="86">
        <f t="array" ref="J67">IF(
    VLOOKUP(
        $A67,
        _xlfn._xlws.FILTER(
            INDIRECT("'"&amp;J$62&amp;"'!A2:E1000"), (INDIRECT("'"&amp;J$62&amp;"'!B2:B1000")=$B67) * (INDIRECT("'"&amp;J$62&amp;"'!C2:C1000")=$C67)
        ),
        5,
        FALSE
    )=0,
    "",
    VLOOKUP(
        $A67,
        _xlfn._xlws.FILTER(
            INDIRECT("'"&amp;J$62&amp;"'!A2:E1000"), (INDIRECT("'"&amp;J$62&amp;"'!B2:B1000")=$B67) * (INDIRECT("'"&amp;J$62&amp;"'!C2:C1000")=$C67)
        ),
        5,
        FALSE
    )
)</f>
        <v/>
      </c>
      <c r="K67" s="86">
        <f t="array" ref="K67">IF(
    VLOOKUP(
        $A67,
        _xlfn._xlws.FILTER(
            INDIRECT("'"&amp;K$62&amp;"'!A2:E1000"), (INDIRECT("'"&amp;K$62&amp;"'!B2:B1000")=$B67) * (INDIRECT("'"&amp;K$62&amp;"'!C2:C1000")=$C67)
        ),
        5,
        FALSE
    )=0,
    "",
    VLOOKUP(
        $A67,
        _xlfn._xlws.FILTER(
            INDIRECT("'"&amp;K$62&amp;"'!A2:E1000"), (INDIRECT("'"&amp;K$62&amp;"'!B2:B1000")=$B67) * (INDIRECT("'"&amp;K$62&amp;"'!C2:C1000")=$C67)
        ),
        5,
        FALSE
    )
)</f>
        <v/>
      </c>
      <c r="L67" s="86">
        <f t="array" ref="L67">IF(
    VLOOKUP(
        $A67,
        _xlfn._xlws.FILTER(
            INDIRECT("'"&amp;L$62&amp;"'!A2:E1000"), (INDIRECT("'"&amp;L$62&amp;"'!B2:B1000")=$B67) * (INDIRECT("'"&amp;L$62&amp;"'!C2:C1000")=$C67)
        ),
        5,
        FALSE
    )=0,
    "",
    VLOOKUP(
        $A67,
        _xlfn._xlws.FILTER(
            INDIRECT("'"&amp;L$62&amp;"'!A2:E1000"), (INDIRECT("'"&amp;L$62&amp;"'!B2:B1000")=$B67) * (INDIRECT("'"&amp;L$62&amp;"'!C2:C1000")=$C67)
        ),
        5,
        FALSE
    )
)</f>
        <v/>
      </c>
      <c r="M67" s="86">
        <f t="array" ref="M67">IF(
    VLOOKUP(
        $A67,
        _xlfn._xlws.FILTER(
            INDIRECT("'"&amp;M$62&amp;"'!A2:E1000"), (INDIRECT("'"&amp;M$62&amp;"'!B2:B1000")=$B67) * (INDIRECT("'"&amp;M$62&amp;"'!C2:C1000")=$C67)
        ),
        5,
        FALSE
    )=0,
    "",
    VLOOKUP(
        $A67,
        _xlfn._xlws.FILTER(
            INDIRECT("'"&amp;M$62&amp;"'!A2:E1000"), (INDIRECT("'"&amp;M$62&amp;"'!B2:B1000")=$B67) * (INDIRECT("'"&amp;M$62&amp;"'!C2:C1000")=$C67)
        ),
        5,
        FALSE
    )
)</f>
        <v/>
      </c>
      <c r="N67" s="86">
        <f t="array" ref="N67">IF(
    VLOOKUP(
        $A67,
        _xlfn._xlws.FILTER(
            INDIRECT("'"&amp;N$62&amp;"'!A2:E1000"), (INDIRECT("'"&amp;N$62&amp;"'!B2:B1000")=$B67) * (INDIRECT("'"&amp;N$62&amp;"'!C2:C1000")=$C67)
        ),
        5,
        FALSE
    )=0,
    "",
    VLOOKUP(
        $A67,
        _xlfn._xlws.FILTER(
            INDIRECT("'"&amp;N$62&amp;"'!A2:E1000"), (INDIRECT("'"&amp;N$62&amp;"'!B2:B1000")=$B67) * (INDIRECT("'"&amp;N$62&amp;"'!C2:C1000")=$C67)
        ),
        5,
        FALSE
    )
)</f>
        <v/>
      </c>
      <c r="O67" s="86">
        <f t="array" ref="O67">IF(
    VLOOKUP(
        $A67,
        _xlfn._xlws.FILTER(
            INDIRECT("'"&amp;O$62&amp;"'!A2:E1000"), (INDIRECT("'"&amp;O$62&amp;"'!B2:B1000")=$B67) * (INDIRECT("'"&amp;O$62&amp;"'!C2:C1000")=$C67)
        ),
        5,
        FALSE
    )=0,
    "",
    VLOOKUP(
        $A67,
        _xlfn._xlws.FILTER(
            INDIRECT("'"&amp;O$62&amp;"'!A2:E1000"), (INDIRECT("'"&amp;O$62&amp;"'!B2:B1000")=$B67) * (INDIRECT("'"&amp;O$62&amp;"'!C2:C1000")=$C67)
        ),
        5,
        FALSE
    )
)</f>
        <v/>
      </c>
      <c r="Q67" s="102" t="n"/>
      <c r="R67" s="103" t="inlineStr">
        <is>
          <t>Londrina</t>
        </is>
      </c>
      <c r="S67" s="104" t="inlineStr">
        <is>
          <t>Londrina</t>
        </is>
      </c>
      <c r="T67" s="105" t="n"/>
    </row>
    <row r="68">
      <c r="A68" s="37" t="inlineStr">
        <is>
          <t>Paranavaí</t>
        </is>
      </c>
      <c r="B68" s="85" t="inlineStr">
        <is>
          <t>Paraíso Do Norte</t>
        </is>
      </c>
      <c r="C68" s="85" t="inlineStr">
        <is>
          <t>01</t>
        </is>
      </c>
      <c r="D68" s="86">
        <f t="array" ref="D68">IF(
    VLOOKUP(
        $A68,
        _xlfn._xlws.FILTER(
            INDIRECT("'"&amp;D$62&amp;"'!A2:E1000"), (INDIRECT("'"&amp;D$62&amp;"'!B2:B1000")=$B68) * (INDIRECT("'"&amp;D$62&amp;"'!C2:C1000")=$C68)
        ),
        5,
        FALSE
    )=0,
    "",
    VLOOKUP(
        $A68,
        _xlfn._xlws.FILTER(
            INDIRECT("'"&amp;D$62&amp;"'!A2:E1000"), (INDIRECT("'"&amp;D$62&amp;"'!B2:B1000")=$B68) * (INDIRECT("'"&amp;D$62&amp;"'!C2:C1000")=$C68)
        ),
        5,
        FALSE
    )
)</f>
        <v/>
      </c>
      <c r="E68" s="86">
        <f t="array" ref="E68">IF(
    VLOOKUP(
        $A68,
        _xlfn._xlws.FILTER(
            INDIRECT("'"&amp;E$62&amp;"'!A2:E1000"), (INDIRECT("'"&amp;E$62&amp;"'!B2:B1000")=$B68) * (INDIRECT("'"&amp;E$62&amp;"'!C2:C1000")=$C68)
        ),
        5,
        FALSE
    )=0,
    "",
    VLOOKUP(
        $A68,
        _xlfn._xlws.FILTER(
            INDIRECT("'"&amp;E$62&amp;"'!A2:E1000"), (INDIRECT("'"&amp;E$62&amp;"'!B2:B1000")=$B68) * (INDIRECT("'"&amp;E$62&amp;"'!C2:C1000")=$C68)
        ),
        5,
        FALSE
    )
)</f>
        <v/>
      </c>
      <c r="F68" s="86">
        <f t="array" ref="F68">IF(
    VLOOKUP(
        $A68,
        _xlfn._xlws.FILTER(
            INDIRECT("'"&amp;F$62&amp;"'!A2:E1000"), (INDIRECT("'"&amp;F$62&amp;"'!B2:B1000")=$B68) * (INDIRECT("'"&amp;F$62&amp;"'!C2:C1000")=$C68)
        ),
        5,
        FALSE
    )=0,
    "",
    VLOOKUP(
        $A68,
        _xlfn._xlws.FILTER(
            INDIRECT("'"&amp;F$62&amp;"'!A2:E1000"), (INDIRECT("'"&amp;F$62&amp;"'!B2:B1000")=$B68) * (INDIRECT("'"&amp;F$62&amp;"'!C2:C1000")=$C68)
        ),
        5,
        FALSE
    )
)</f>
        <v/>
      </c>
      <c r="G68" s="86">
        <f t="array" ref="G68">IF(
    VLOOKUP(
        $A68,
        _xlfn._xlws.FILTER(
            INDIRECT("'"&amp;G$62&amp;"'!A2:E1000"), (INDIRECT("'"&amp;G$62&amp;"'!B2:B1000")=$B68) * (INDIRECT("'"&amp;G$62&amp;"'!C2:C1000")=$C68)
        ),
        5,
        FALSE
    )=0,
    "",
    VLOOKUP(
        $A68,
        _xlfn._xlws.FILTER(
            INDIRECT("'"&amp;G$62&amp;"'!A2:E1000"), (INDIRECT("'"&amp;G$62&amp;"'!B2:B1000")=$B68) * (INDIRECT("'"&amp;G$62&amp;"'!C2:C1000")=$C68)
        ),
        5,
        FALSE
    )
)</f>
        <v/>
      </c>
      <c r="H68" s="86">
        <f t="array" ref="H68">IF(
    VLOOKUP(
        $A68,
        _xlfn._xlws.FILTER(
            INDIRECT("'"&amp;H$62&amp;"'!A2:E1000"), (INDIRECT("'"&amp;H$62&amp;"'!B2:B1000")=$B68) * (INDIRECT("'"&amp;H$62&amp;"'!C2:C1000")=$C68)
        ),
        5,
        FALSE
    )=0,
    "",
    VLOOKUP(
        $A68,
        _xlfn._xlws.FILTER(
            INDIRECT("'"&amp;H$62&amp;"'!A2:E1000"), (INDIRECT("'"&amp;H$62&amp;"'!B2:B1000")=$B68) * (INDIRECT("'"&amp;H$62&amp;"'!C2:C1000")=$C68)
        ),
        5,
        FALSE
    )
)</f>
        <v/>
      </c>
      <c r="I68" s="86">
        <f t="array" ref="I68">IF(
    VLOOKUP(
        $A68,
        _xlfn._xlws.FILTER(
            INDIRECT("'"&amp;I$62&amp;"'!A2:E1000"), (INDIRECT("'"&amp;I$62&amp;"'!B2:B1000")=$B68) * (INDIRECT("'"&amp;I$62&amp;"'!C2:C1000")=$C68)
        ),
        5,
        FALSE
    )=0,
    "",
    VLOOKUP(
        $A68,
        _xlfn._xlws.FILTER(
            INDIRECT("'"&amp;I$62&amp;"'!A2:E1000"), (INDIRECT("'"&amp;I$62&amp;"'!B2:B1000")=$B68) * (INDIRECT("'"&amp;I$62&amp;"'!C2:C1000")=$C68)
        ),
        5,
        FALSE
    )
)</f>
        <v/>
      </c>
      <c r="J68" s="86">
        <f t="array" ref="J68">IF(
    VLOOKUP(
        $A68,
        _xlfn._xlws.FILTER(
            INDIRECT("'"&amp;J$62&amp;"'!A2:E1000"), (INDIRECT("'"&amp;J$62&amp;"'!B2:B1000")=$B68) * (INDIRECT("'"&amp;J$62&amp;"'!C2:C1000")=$C68)
        ),
        5,
        FALSE
    )=0,
    "",
    VLOOKUP(
        $A68,
        _xlfn._xlws.FILTER(
            INDIRECT("'"&amp;J$62&amp;"'!A2:E1000"), (INDIRECT("'"&amp;J$62&amp;"'!B2:B1000")=$B68) * (INDIRECT("'"&amp;J$62&amp;"'!C2:C1000")=$C68)
        ),
        5,
        FALSE
    )
)</f>
        <v/>
      </c>
      <c r="K68" s="86">
        <f t="array" ref="K68">IF(
    VLOOKUP(
        $A68,
        _xlfn._xlws.FILTER(
            INDIRECT("'"&amp;K$62&amp;"'!A2:E1000"), (INDIRECT("'"&amp;K$62&amp;"'!B2:B1000")=$B68) * (INDIRECT("'"&amp;K$62&amp;"'!C2:C1000")=$C68)
        ),
        5,
        FALSE
    )=0,
    "",
    VLOOKUP(
        $A68,
        _xlfn._xlws.FILTER(
            INDIRECT("'"&amp;K$62&amp;"'!A2:E1000"), (INDIRECT("'"&amp;K$62&amp;"'!B2:B1000")=$B68) * (INDIRECT("'"&amp;K$62&amp;"'!C2:C1000")=$C68)
        ),
        5,
        FALSE
    )
)</f>
        <v/>
      </c>
      <c r="L68" s="86">
        <f t="array" ref="L68">IF(
    VLOOKUP(
        $A68,
        _xlfn._xlws.FILTER(
            INDIRECT("'"&amp;L$62&amp;"'!A2:E1000"), (INDIRECT("'"&amp;L$62&amp;"'!B2:B1000")=$B68) * (INDIRECT("'"&amp;L$62&amp;"'!C2:C1000")=$C68)
        ),
        5,
        FALSE
    )=0,
    "",
    VLOOKUP(
        $A68,
        _xlfn._xlws.FILTER(
            INDIRECT("'"&amp;L$62&amp;"'!A2:E1000"), (INDIRECT("'"&amp;L$62&amp;"'!B2:B1000")=$B68) * (INDIRECT("'"&amp;L$62&amp;"'!C2:C1000")=$C68)
        ),
        5,
        FALSE
    )
)</f>
        <v/>
      </c>
      <c r="M68" s="86">
        <f t="array" ref="M68">IF(
    VLOOKUP(
        $A68,
        _xlfn._xlws.FILTER(
            INDIRECT("'"&amp;M$62&amp;"'!A2:E1000"), (INDIRECT("'"&amp;M$62&amp;"'!B2:B1000")=$B68) * (INDIRECT("'"&amp;M$62&amp;"'!C2:C1000")=$C68)
        ),
        5,
        FALSE
    )=0,
    "",
    VLOOKUP(
        $A68,
        _xlfn._xlws.FILTER(
            INDIRECT("'"&amp;M$62&amp;"'!A2:E1000"), (INDIRECT("'"&amp;M$62&amp;"'!B2:B1000")=$B68) * (INDIRECT("'"&amp;M$62&amp;"'!C2:C1000")=$C68)
        ),
        5,
        FALSE
    )
)</f>
        <v/>
      </c>
      <c r="N68" s="86">
        <f t="array" ref="N68">IF(
    VLOOKUP(
        $A68,
        _xlfn._xlws.FILTER(
            INDIRECT("'"&amp;N$62&amp;"'!A2:E1000"), (INDIRECT("'"&amp;N$62&amp;"'!B2:B1000")=$B68) * (INDIRECT("'"&amp;N$62&amp;"'!C2:C1000")=$C68)
        ),
        5,
        FALSE
    )=0,
    "",
    VLOOKUP(
        $A68,
        _xlfn._xlws.FILTER(
            INDIRECT("'"&amp;N$62&amp;"'!A2:E1000"), (INDIRECT("'"&amp;N$62&amp;"'!B2:B1000")=$B68) * (INDIRECT("'"&amp;N$62&amp;"'!C2:C1000")=$C68)
        ),
        5,
        FALSE
    )
)</f>
        <v/>
      </c>
      <c r="O68" s="86">
        <f t="array" ref="O68">IF(
    VLOOKUP(
        $A68,
        _xlfn._xlws.FILTER(
            INDIRECT("'"&amp;O$62&amp;"'!A2:E1000"), (INDIRECT("'"&amp;O$62&amp;"'!B2:B1000")=$B68) * (INDIRECT("'"&amp;O$62&amp;"'!C2:C1000")=$C68)
        ),
        5,
        FALSE
    )=0,
    "",
    VLOOKUP(
        $A68,
        _xlfn._xlws.FILTER(
            INDIRECT("'"&amp;O$62&amp;"'!A2:E1000"), (INDIRECT("'"&amp;O$62&amp;"'!B2:B1000")=$B68) * (INDIRECT("'"&amp;O$62&amp;"'!C2:C1000")=$C68)
        ),
        5,
        FALSE
    )
)</f>
        <v/>
      </c>
      <c r="Q68" s="106" t="n"/>
      <c r="R68" s="107" t="inlineStr">
        <is>
          <t>Maringá</t>
        </is>
      </c>
      <c r="S68" s="108" t="inlineStr">
        <is>
          <t>Maringá</t>
        </is>
      </c>
      <c r="T68" s="106" t="n"/>
    </row>
    <row r="69">
      <c r="A69" s="37" t="inlineStr">
        <is>
          <t>Paranavaí</t>
        </is>
      </c>
      <c r="B69" s="85" t="inlineStr">
        <is>
          <t>Santa Mônica</t>
        </is>
      </c>
      <c r="C69" s="85" t="inlineStr">
        <is>
          <t>01</t>
        </is>
      </c>
      <c r="D69" s="86">
        <f t="array" ref="D69">IF(
    VLOOKUP(
        $A69,
        _xlfn._xlws.FILTER(
            INDIRECT("'"&amp;D$62&amp;"'!A2:E1000"), (INDIRECT("'"&amp;D$62&amp;"'!B2:B1000")=$B69) * (INDIRECT("'"&amp;D$62&amp;"'!C2:C1000")=$C69)
        ),
        5,
        FALSE
    )=0,
    "",
    VLOOKUP(
        $A69,
        _xlfn._xlws.FILTER(
            INDIRECT("'"&amp;D$62&amp;"'!A2:E1000"), (INDIRECT("'"&amp;D$62&amp;"'!B2:B1000")=$B69) * (INDIRECT("'"&amp;D$62&amp;"'!C2:C1000")=$C69)
        ),
        5,
        FALSE
    )
)</f>
        <v/>
      </c>
      <c r="E69" s="86">
        <f t="array" ref="E69">IF(
    VLOOKUP(
        $A69,
        _xlfn._xlws.FILTER(
            INDIRECT("'"&amp;E$62&amp;"'!A2:E1000"), (INDIRECT("'"&amp;E$62&amp;"'!B2:B1000")=$B69) * (INDIRECT("'"&amp;E$62&amp;"'!C2:C1000")=$C69)
        ),
        5,
        FALSE
    )=0,
    "",
    VLOOKUP(
        $A69,
        _xlfn._xlws.FILTER(
            INDIRECT("'"&amp;E$62&amp;"'!A2:E1000"), (INDIRECT("'"&amp;E$62&amp;"'!B2:B1000")=$B69) * (INDIRECT("'"&amp;E$62&amp;"'!C2:C1000")=$C69)
        ),
        5,
        FALSE
    )
)</f>
        <v/>
      </c>
      <c r="F69" s="86">
        <f t="array" ref="F69">IF(
    VLOOKUP(
        $A69,
        _xlfn._xlws.FILTER(
            INDIRECT("'"&amp;F$62&amp;"'!A2:E1000"), (INDIRECT("'"&amp;F$62&amp;"'!B2:B1000")=$B69) * (INDIRECT("'"&amp;F$62&amp;"'!C2:C1000")=$C69)
        ),
        5,
        FALSE
    )=0,
    "",
    VLOOKUP(
        $A69,
        _xlfn._xlws.FILTER(
            INDIRECT("'"&amp;F$62&amp;"'!A2:E1000"), (INDIRECT("'"&amp;F$62&amp;"'!B2:B1000")=$B69) * (INDIRECT("'"&amp;F$62&amp;"'!C2:C1000")=$C69)
        ),
        5,
        FALSE
    )
)</f>
        <v/>
      </c>
      <c r="G69" s="86">
        <f t="array" ref="G69">IF(
    VLOOKUP(
        $A69,
        _xlfn._xlws.FILTER(
            INDIRECT("'"&amp;G$62&amp;"'!A2:E1000"), (INDIRECT("'"&amp;G$62&amp;"'!B2:B1000")=$B69) * (INDIRECT("'"&amp;G$62&amp;"'!C2:C1000")=$C69)
        ),
        5,
        FALSE
    )=0,
    "",
    VLOOKUP(
        $A69,
        _xlfn._xlws.FILTER(
            INDIRECT("'"&amp;G$62&amp;"'!A2:E1000"), (INDIRECT("'"&amp;G$62&amp;"'!B2:B1000")=$B69) * (INDIRECT("'"&amp;G$62&amp;"'!C2:C1000")=$C69)
        ),
        5,
        FALSE
    )
)</f>
        <v/>
      </c>
      <c r="H69" s="86">
        <f t="array" ref="H69">IF(
    VLOOKUP(
        $A69,
        _xlfn._xlws.FILTER(
            INDIRECT("'"&amp;H$62&amp;"'!A2:E1000"), (INDIRECT("'"&amp;H$62&amp;"'!B2:B1000")=$B69) * (INDIRECT("'"&amp;H$62&amp;"'!C2:C1000")=$C69)
        ),
        5,
        FALSE
    )=0,
    "",
    VLOOKUP(
        $A69,
        _xlfn._xlws.FILTER(
            INDIRECT("'"&amp;H$62&amp;"'!A2:E1000"), (INDIRECT("'"&amp;H$62&amp;"'!B2:B1000")=$B69) * (INDIRECT("'"&amp;H$62&amp;"'!C2:C1000")=$C69)
        ),
        5,
        FALSE
    )
)</f>
        <v/>
      </c>
      <c r="I69" s="86">
        <f t="array" ref="I69">IF(
    VLOOKUP(
        $A69,
        _xlfn._xlws.FILTER(
            INDIRECT("'"&amp;I$62&amp;"'!A2:E1000"), (INDIRECT("'"&amp;I$62&amp;"'!B2:B1000")=$B69) * (INDIRECT("'"&amp;I$62&amp;"'!C2:C1000")=$C69)
        ),
        5,
        FALSE
    )=0,
    "",
    VLOOKUP(
        $A69,
        _xlfn._xlws.FILTER(
            INDIRECT("'"&amp;I$62&amp;"'!A2:E1000"), (INDIRECT("'"&amp;I$62&amp;"'!B2:B1000")=$B69) * (INDIRECT("'"&amp;I$62&amp;"'!C2:C1000")=$C69)
        ),
        5,
        FALSE
    )
)</f>
        <v/>
      </c>
      <c r="J69" s="86">
        <f t="array" ref="J69">IF(
    VLOOKUP(
        $A69,
        _xlfn._xlws.FILTER(
            INDIRECT("'"&amp;J$62&amp;"'!A2:E1000"), (INDIRECT("'"&amp;J$62&amp;"'!B2:B1000")=$B69) * (INDIRECT("'"&amp;J$62&amp;"'!C2:C1000")=$C69)
        ),
        5,
        FALSE
    )=0,
    "",
    VLOOKUP(
        $A69,
        _xlfn._xlws.FILTER(
            INDIRECT("'"&amp;J$62&amp;"'!A2:E1000"), (INDIRECT("'"&amp;J$62&amp;"'!B2:B1000")=$B69) * (INDIRECT("'"&amp;J$62&amp;"'!C2:C1000")=$C69)
        ),
        5,
        FALSE
    )
)</f>
        <v/>
      </c>
      <c r="K69" s="86">
        <f t="array" ref="K69">IF(
    VLOOKUP(
        $A69,
        _xlfn._xlws.FILTER(
            INDIRECT("'"&amp;K$62&amp;"'!A2:E1000"), (INDIRECT("'"&amp;K$62&amp;"'!B2:B1000")=$B69) * (INDIRECT("'"&amp;K$62&amp;"'!C2:C1000")=$C69)
        ),
        5,
        FALSE
    )=0,
    "",
    VLOOKUP(
        $A69,
        _xlfn._xlws.FILTER(
            INDIRECT("'"&amp;K$62&amp;"'!A2:E1000"), (INDIRECT("'"&amp;K$62&amp;"'!B2:B1000")=$B69) * (INDIRECT("'"&amp;K$62&amp;"'!C2:C1000")=$C69)
        ),
        5,
        FALSE
    )
)</f>
        <v/>
      </c>
      <c r="L69" s="86">
        <f t="array" ref="L69">IF(
    VLOOKUP(
        $A69,
        _xlfn._xlws.FILTER(
            INDIRECT("'"&amp;L$62&amp;"'!A2:E1000"), (INDIRECT("'"&amp;L$62&amp;"'!B2:B1000")=$B69) * (INDIRECT("'"&amp;L$62&amp;"'!C2:C1000")=$C69)
        ),
        5,
        FALSE
    )=0,
    "",
    VLOOKUP(
        $A69,
        _xlfn._xlws.FILTER(
            INDIRECT("'"&amp;L$62&amp;"'!A2:E1000"), (INDIRECT("'"&amp;L$62&amp;"'!B2:B1000")=$B69) * (INDIRECT("'"&amp;L$62&amp;"'!C2:C1000")=$C69)
        ),
        5,
        FALSE
    )
)</f>
        <v/>
      </c>
      <c r="M69" s="86">
        <f t="array" ref="M69">IF(
    VLOOKUP(
        $A69,
        _xlfn._xlws.FILTER(
            INDIRECT("'"&amp;M$62&amp;"'!A2:E1000"), (INDIRECT("'"&amp;M$62&amp;"'!B2:B1000")=$B69) * (INDIRECT("'"&amp;M$62&amp;"'!C2:C1000")=$C69)
        ),
        5,
        FALSE
    )=0,
    "",
    VLOOKUP(
        $A69,
        _xlfn._xlws.FILTER(
            INDIRECT("'"&amp;M$62&amp;"'!A2:E1000"), (INDIRECT("'"&amp;M$62&amp;"'!B2:B1000")=$B69) * (INDIRECT("'"&amp;M$62&amp;"'!C2:C1000")=$C69)
        ),
        5,
        FALSE
    )
)</f>
        <v/>
      </c>
      <c r="N69" s="86">
        <f t="array" ref="N69">IF(
    VLOOKUP(
        $A69,
        _xlfn._xlws.FILTER(
            INDIRECT("'"&amp;N$62&amp;"'!A2:E1000"), (INDIRECT("'"&amp;N$62&amp;"'!B2:B1000")=$B69) * (INDIRECT("'"&amp;N$62&amp;"'!C2:C1000")=$C69)
        ),
        5,
        FALSE
    )=0,
    "",
    VLOOKUP(
        $A69,
        _xlfn._xlws.FILTER(
            INDIRECT("'"&amp;N$62&amp;"'!A2:E1000"), (INDIRECT("'"&amp;N$62&amp;"'!B2:B1000")=$B69) * (INDIRECT("'"&amp;N$62&amp;"'!C2:C1000")=$C69)
        ),
        5,
        FALSE
    )
)</f>
        <v/>
      </c>
      <c r="O69" s="86">
        <f t="array" ref="O69">IF(
    VLOOKUP(
        $A69,
        _xlfn._xlws.FILTER(
            INDIRECT("'"&amp;O$62&amp;"'!A2:E1000"), (INDIRECT("'"&amp;O$62&amp;"'!B2:B1000")=$B69) * (INDIRECT("'"&amp;O$62&amp;"'!C2:C1000")=$C69)
        ),
        5,
        FALSE
    )=0,
    "",
    VLOOKUP(
        $A69,
        _xlfn._xlws.FILTER(
            INDIRECT("'"&amp;O$62&amp;"'!A2:E1000"), (INDIRECT("'"&amp;O$62&amp;"'!B2:B1000")=$B69) * (INDIRECT("'"&amp;O$62&amp;"'!C2:C1000")=$C69)
        ),
        5,
        FALSE
    )
)</f>
        <v/>
      </c>
      <c r="Q69" s="109" t="n"/>
      <c r="R69" s="110" t="inlineStr">
        <is>
          <t>Laranjeiras do Sul</t>
        </is>
      </c>
      <c r="S69" s="110" t="inlineStr">
        <is>
          <t>Laranjeiras do Sul</t>
        </is>
      </c>
      <c r="T69" s="111" t="n"/>
    </row>
    <row r="70">
      <c r="A70" s="37" t="inlineStr">
        <is>
          <t>Paranavaí</t>
        </is>
      </c>
      <c r="B70" s="85" t="inlineStr">
        <is>
          <t>São João Do Caiuá</t>
        </is>
      </c>
      <c r="C70" s="85" t="inlineStr">
        <is>
          <t>01</t>
        </is>
      </c>
      <c r="D70" s="86">
        <f t="array" ref="D70">IF(
    VLOOKUP(
        $A70,
        _xlfn._xlws.FILTER(
            INDIRECT("'"&amp;D$62&amp;"'!A2:E1000"), (INDIRECT("'"&amp;D$62&amp;"'!B2:B1000")=$B70) * (INDIRECT("'"&amp;D$62&amp;"'!C2:C1000")=$C70)
        ),
        5,
        FALSE
    )=0,
    "",
    VLOOKUP(
        $A70,
        _xlfn._xlws.FILTER(
            INDIRECT("'"&amp;D$62&amp;"'!A2:E1000"), (INDIRECT("'"&amp;D$62&amp;"'!B2:B1000")=$B70) * (INDIRECT("'"&amp;D$62&amp;"'!C2:C1000")=$C70)
        ),
        5,
        FALSE
    )
)</f>
        <v/>
      </c>
      <c r="E70" s="86">
        <f t="array" ref="E70">IF(
    VLOOKUP(
        $A70,
        _xlfn._xlws.FILTER(
            INDIRECT("'"&amp;E$62&amp;"'!A2:E1000"), (INDIRECT("'"&amp;E$62&amp;"'!B2:B1000")=$B70) * (INDIRECT("'"&amp;E$62&amp;"'!C2:C1000")=$C70)
        ),
        5,
        FALSE
    )=0,
    "",
    VLOOKUP(
        $A70,
        _xlfn._xlws.FILTER(
            INDIRECT("'"&amp;E$62&amp;"'!A2:E1000"), (INDIRECT("'"&amp;E$62&amp;"'!B2:B1000")=$B70) * (INDIRECT("'"&amp;E$62&amp;"'!C2:C1000")=$C70)
        ),
        5,
        FALSE
    )
)</f>
        <v/>
      </c>
      <c r="F70" s="86">
        <f t="array" ref="F70">IF(
    VLOOKUP(
        $A70,
        _xlfn._xlws.FILTER(
            INDIRECT("'"&amp;F$62&amp;"'!A2:E1000"), (INDIRECT("'"&amp;F$62&amp;"'!B2:B1000")=$B70) * (INDIRECT("'"&amp;F$62&amp;"'!C2:C1000")=$C70)
        ),
        5,
        FALSE
    )=0,
    "",
    VLOOKUP(
        $A70,
        _xlfn._xlws.FILTER(
            INDIRECT("'"&amp;F$62&amp;"'!A2:E1000"), (INDIRECT("'"&amp;F$62&amp;"'!B2:B1000")=$B70) * (INDIRECT("'"&amp;F$62&amp;"'!C2:C1000")=$C70)
        ),
        5,
        FALSE
    )
)</f>
        <v/>
      </c>
      <c r="G70" s="86">
        <f t="array" ref="G70">IF(
    VLOOKUP(
        $A70,
        _xlfn._xlws.FILTER(
            INDIRECT("'"&amp;G$62&amp;"'!A2:E1000"), (INDIRECT("'"&amp;G$62&amp;"'!B2:B1000")=$B70) * (INDIRECT("'"&amp;G$62&amp;"'!C2:C1000")=$C70)
        ),
        5,
        FALSE
    )=0,
    "",
    VLOOKUP(
        $A70,
        _xlfn._xlws.FILTER(
            INDIRECT("'"&amp;G$62&amp;"'!A2:E1000"), (INDIRECT("'"&amp;G$62&amp;"'!B2:B1000")=$B70) * (INDIRECT("'"&amp;G$62&amp;"'!C2:C1000")=$C70)
        ),
        5,
        FALSE
    )
)</f>
        <v/>
      </c>
      <c r="H70" s="86">
        <f t="array" ref="H70">IF(
    VLOOKUP(
        $A70,
        _xlfn._xlws.FILTER(
            INDIRECT("'"&amp;H$62&amp;"'!A2:E1000"), (INDIRECT("'"&amp;H$62&amp;"'!B2:B1000")=$B70) * (INDIRECT("'"&amp;H$62&amp;"'!C2:C1000")=$C70)
        ),
        5,
        FALSE
    )=0,
    "",
    VLOOKUP(
        $A70,
        _xlfn._xlws.FILTER(
            INDIRECT("'"&amp;H$62&amp;"'!A2:E1000"), (INDIRECT("'"&amp;H$62&amp;"'!B2:B1000")=$B70) * (INDIRECT("'"&amp;H$62&amp;"'!C2:C1000")=$C70)
        ),
        5,
        FALSE
    )
)</f>
        <v/>
      </c>
      <c r="I70" s="86">
        <f t="array" ref="I70">IF(
    VLOOKUP(
        $A70,
        _xlfn._xlws.FILTER(
            INDIRECT("'"&amp;I$62&amp;"'!A2:E1000"), (INDIRECT("'"&amp;I$62&amp;"'!B2:B1000")=$B70) * (INDIRECT("'"&amp;I$62&amp;"'!C2:C1000")=$C70)
        ),
        5,
        FALSE
    )=0,
    "",
    VLOOKUP(
        $A70,
        _xlfn._xlws.FILTER(
            INDIRECT("'"&amp;I$62&amp;"'!A2:E1000"), (INDIRECT("'"&amp;I$62&amp;"'!B2:B1000")=$B70) * (INDIRECT("'"&amp;I$62&amp;"'!C2:C1000")=$C70)
        ),
        5,
        FALSE
    )
)</f>
        <v/>
      </c>
      <c r="J70" s="86">
        <f t="array" ref="J70">IF(
    VLOOKUP(
        $A70,
        _xlfn._xlws.FILTER(
            INDIRECT("'"&amp;J$62&amp;"'!A2:E1000"), (INDIRECT("'"&amp;J$62&amp;"'!B2:B1000")=$B70) * (INDIRECT("'"&amp;J$62&amp;"'!C2:C1000")=$C70)
        ),
        5,
        FALSE
    )=0,
    "",
    VLOOKUP(
        $A70,
        _xlfn._xlws.FILTER(
            INDIRECT("'"&amp;J$62&amp;"'!A2:E1000"), (INDIRECT("'"&amp;J$62&amp;"'!B2:B1000")=$B70) * (INDIRECT("'"&amp;J$62&amp;"'!C2:C1000")=$C70)
        ),
        5,
        FALSE
    )
)</f>
        <v/>
      </c>
      <c r="K70" s="86">
        <f t="array" ref="K70">IF(
    VLOOKUP(
        $A70,
        _xlfn._xlws.FILTER(
            INDIRECT("'"&amp;K$62&amp;"'!A2:E1000"), (INDIRECT("'"&amp;K$62&amp;"'!B2:B1000")=$B70) * (INDIRECT("'"&amp;K$62&amp;"'!C2:C1000")=$C70)
        ),
        5,
        FALSE
    )=0,
    "",
    VLOOKUP(
        $A70,
        _xlfn._xlws.FILTER(
            INDIRECT("'"&amp;K$62&amp;"'!A2:E1000"), (INDIRECT("'"&amp;K$62&amp;"'!B2:B1000")=$B70) * (INDIRECT("'"&amp;K$62&amp;"'!C2:C1000")=$C70)
        ),
        5,
        FALSE
    )
)</f>
        <v/>
      </c>
      <c r="L70" s="86">
        <f t="array" ref="L70">IF(
    VLOOKUP(
        $A70,
        _xlfn._xlws.FILTER(
            INDIRECT("'"&amp;L$62&amp;"'!A2:E1000"), (INDIRECT("'"&amp;L$62&amp;"'!B2:B1000")=$B70) * (INDIRECT("'"&amp;L$62&amp;"'!C2:C1000")=$C70)
        ),
        5,
        FALSE
    )=0,
    "",
    VLOOKUP(
        $A70,
        _xlfn._xlws.FILTER(
            INDIRECT("'"&amp;L$62&amp;"'!A2:E1000"), (INDIRECT("'"&amp;L$62&amp;"'!B2:B1000")=$B70) * (INDIRECT("'"&amp;L$62&amp;"'!C2:C1000")=$C70)
        ),
        5,
        FALSE
    )
)</f>
        <v/>
      </c>
      <c r="M70" s="86">
        <f t="array" ref="M70">IF(
    VLOOKUP(
        $A70,
        _xlfn._xlws.FILTER(
            INDIRECT("'"&amp;M$62&amp;"'!A2:E1000"), (INDIRECT("'"&amp;M$62&amp;"'!B2:B1000")=$B70) * (INDIRECT("'"&amp;M$62&amp;"'!C2:C1000")=$C70)
        ),
        5,
        FALSE
    )=0,
    "",
    VLOOKUP(
        $A70,
        _xlfn._xlws.FILTER(
            INDIRECT("'"&amp;M$62&amp;"'!A2:E1000"), (INDIRECT("'"&amp;M$62&amp;"'!B2:B1000")=$B70) * (INDIRECT("'"&amp;M$62&amp;"'!C2:C1000")=$C70)
        ),
        5,
        FALSE
    )
)</f>
        <v/>
      </c>
      <c r="N70" s="86">
        <f t="array" ref="N70">IF(
    VLOOKUP(
        $A70,
        _xlfn._xlws.FILTER(
            INDIRECT("'"&amp;N$62&amp;"'!A2:E1000"), (INDIRECT("'"&amp;N$62&amp;"'!B2:B1000")=$B70) * (INDIRECT("'"&amp;N$62&amp;"'!C2:C1000")=$C70)
        ),
        5,
        FALSE
    )=0,
    "",
    VLOOKUP(
        $A70,
        _xlfn._xlws.FILTER(
            INDIRECT("'"&amp;N$62&amp;"'!A2:E1000"), (INDIRECT("'"&amp;N$62&amp;"'!B2:B1000")=$B70) * (INDIRECT("'"&amp;N$62&amp;"'!C2:C1000")=$C70)
        ),
        5,
        FALSE
    )
)</f>
        <v/>
      </c>
      <c r="O70" s="86">
        <f t="array" ref="O70">IF(
    VLOOKUP(
        $A70,
        _xlfn._xlws.FILTER(
            INDIRECT("'"&amp;O$62&amp;"'!A2:E1000"), (INDIRECT("'"&amp;O$62&amp;"'!B2:B1000")=$B70) * (INDIRECT("'"&amp;O$62&amp;"'!C2:C1000")=$C70)
        ),
        5,
        FALSE
    )=0,
    "",
    VLOOKUP(
        $A70,
        _xlfn._xlws.FILTER(
            INDIRECT("'"&amp;O$62&amp;"'!A2:E1000"), (INDIRECT("'"&amp;O$62&amp;"'!B2:B1000")=$B70) * (INDIRECT("'"&amp;O$62&amp;"'!C2:C1000")=$C70)
        ),
        5,
        FALSE
    )
)</f>
        <v/>
      </c>
    </row>
  </sheetData>
  <conditionalFormatting sqref="D2:O70">
    <cfRule type="cellIs" priority="73" operator="equal" dxfId="11">
      <formula>"Outras Ocorrências"</formula>
    </cfRule>
    <cfRule type="cellIs" priority="67" operator="equal" dxfId="12">
      <formula>"Enviado"</formula>
    </cfRule>
    <cfRule type="cellIs" priority="68" operator="equal" dxfId="13">
      <formula>"Atrasado"</formula>
    </cfRule>
    <cfRule type="cellIs" priority="69" operator="equal" dxfId="14">
      <formula>"Atrasado &gt;= 2"</formula>
    </cfRule>
    <cfRule type="cellIs" priority="71" operator="equal" dxfId="15">
      <formula>"Duplicado"</formula>
    </cfRule>
    <cfRule type="cellIs" priority="72" operator="equal" dxfId="16">
      <formula>"Sem Técnico"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0"/>
  <sheetViews>
    <sheetView workbookViewId="0">
      <selection activeCell="A1" sqref="A1"/>
    </sheetView>
  </sheetViews>
  <sheetFormatPr baseColWidth="8" defaultRowHeight="15"/>
  <cols>
    <col width="18.5703125" customWidth="1" min="1" max="1"/>
    <col width="31.140625" customWidth="1" min="2" max="2"/>
    <col width="8.5703125" customWidth="1" min="3" max="3"/>
    <col width="9.140625" customWidth="1" min="4" max="4"/>
    <col width="8.85546875" customWidth="1" min="10" max="10"/>
    <col width="9.140625" customWidth="1" min="17" max="17"/>
    <col width="18.42578125" customWidth="1" min="19" max="19"/>
    <col width="19.7109375" customWidth="1" min="20" max="20"/>
    <col width="7.5703125" customWidth="1" min="21" max="21"/>
  </cols>
  <sheetData>
    <row r="1" ht="15.75" customHeight="1">
      <c r="A1" s="9" t="inlineStr">
        <is>
          <t>Kelly</t>
        </is>
      </c>
      <c r="B1" s="84" t="inlineStr">
        <is>
          <t>Municípios</t>
        </is>
      </c>
      <c r="C1" s="84" t="inlineStr">
        <is>
          <t>UVR</t>
        </is>
      </c>
      <c r="D1" s="4" t="inlineStr">
        <is>
          <t>01.25</t>
        </is>
      </c>
      <c r="E1" s="4" t="inlineStr">
        <is>
          <t>02.25</t>
        </is>
      </c>
      <c r="F1" s="4" t="inlineStr">
        <is>
          <t>03.25</t>
        </is>
      </c>
      <c r="G1" s="4" t="inlineStr">
        <is>
          <t>04.25</t>
        </is>
      </c>
      <c r="H1" s="4" t="inlineStr">
        <is>
          <t>05.25</t>
        </is>
      </c>
      <c r="I1" s="4" t="inlineStr">
        <is>
          <t>06.25</t>
        </is>
      </c>
      <c r="J1" s="4" t="inlineStr">
        <is>
          <t>07.25</t>
        </is>
      </c>
      <c r="K1" s="4" t="inlineStr">
        <is>
          <t>08.25</t>
        </is>
      </c>
      <c r="L1" s="4" t="inlineStr">
        <is>
          <t>09.25</t>
        </is>
      </c>
      <c r="M1" s="4" t="inlineStr">
        <is>
          <t>09.25</t>
        </is>
      </c>
      <c r="N1" s="4" t="inlineStr">
        <is>
          <t>10.25</t>
        </is>
      </c>
      <c r="O1" s="4" t="inlineStr">
        <is>
          <t>11.25</t>
        </is>
      </c>
      <c r="P1" s="4" t="inlineStr">
        <is>
          <t>12.25</t>
        </is>
      </c>
    </row>
    <row r="2">
      <c r="A2" s="8" t="inlineStr">
        <is>
          <t>Curitiba</t>
        </is>
      </c>
      <c r="B2" s="58" t="inlineStr">
        <is>
          <t>Campo Largo</t>
        </is>
      </c>
      <c r="C2" s="85" t="inlineStr">
        <is>
          <t>01</t>
        </is>
      </c>
      <c r="D2" s="58">
        <f t="array" ref="D2">IF(
    VLOOKUP(
        $A2,
        _xlfn._xlws.FILTER(
            INDIRECT("'"&amp;D$62&amp;"'!A2:G1000"), (INDIRECT("'"&amp;D$62&amp;"'!B2:B1000")=$B2) * (INDIRECT("'"&amp;D$62&amp;"'!C2:C1000")=$C2)
        ),
        5,
        FALSE
    )="",
    "",
    VLOOKUP(
        $A2,
        _xlfn._xlws.FILTER(
            INDIRECT("'"&amp;D$62&amp;"'!A2:G1000"), (INDIRECT("'"&amp;D$62&amp;"'!B2:B1000")=$B2) * (INDIRECT("'"&amp;D$62&amp;"'!C2:C1000")=$C2)
        ),
        7,
        FALSE
    )
)</f>
        <v/>
      </c>
      <c r="E2" s="58">
        <f t="array" ref="E2">IF(
    VLOOKUP(
        $A2,
        _xlfn._xlws.FILTER(
            INDIRECT("'"&amp;E$62&amp;"'!A2:G1000"), (INDIRECT("'"&amp;E$62&amp;"'!B2:B1000")=$B2) * (INDIRECT("'"&amp;E$62&amp;"'!C2:C1000")=$C2)
        ),
        5,
        FALSE
    )="",
    "",
    VLOOKUP(
        $A2,
        _xlfn._xlws.FILTER(
            INDIRECT("'"&amp;E$62&amp;"'!A2:G1000"), (INDIRECT("'"&amp;E$62&amp;"'!B2:B1000")=$B2) * (INDIRECT("'"&amp;E$62&amp;"'!C2:C1000")=$C2)
        ),
        7,
        FALSE
    )
)</f>
        <v/>
      </c>
      <c r="F2" s="58">
        <f t="array" ref="F2">IF(
    VLOOKUP(
        $A2,
        _xlfn._xlws.FILTER(
            INDIRECT("'"&amp;F$62&amp;"'!A2:G1000"), (INDIRECT("'"&amp;F$62&amp;"'!B2:B1000")=$B2) * (INDIRECT("'"&amp;F$62&amp;"'!C2:C1000")=$C2)
        ),
        5,
        FALSE
    )="",
    "",
    VLOOKUP(
        $A2,
        _xlfn._xlws.FILTER(
            INDIRECT("'"&amp;F$62&amp;"'!A2:G1000"), (INDIRECT("'"&amp;F$62&amp;"'!B2:B1000")=$B2) * (INDIRECT("'"&amp;F$62&amp;"'!C2:C1000")=$C2)
        ),
        7,
        FALSE
    )
)</f>
        <v/>
      </c>
      <c r="G2" s="58">
        <f t="array" ref="G2">IF(
    VLOOKUP(
        $A2,
        _xlfn._xlws.FILTER(
            INDIRECT("'"&amp;G$62&amp;"'!A2:G1000"), (INDIRECT("'"&amp;G$62&amp;"'!B2:B1000")=$B2) * (INDIRECT("'"&amp;G$62&amp;"'!C2:C1000")=$C2)
        ),
        5,
        FALSE
    )="",
    "",
    VLOOKUP(
        $A2,
        _xlfn._xlws.FILTER(
            INDIRECT("'"&amp;G$62&amp;"'!A2:G1000"), (INDIRECT("'"&amp;G$62&amp;"'!B2:B1000")=$B2) * (INDIRECT("'"&amp;G$62&amp;"'!C2:C1000")=$C2)
        ),
        7,
        FALSE
    )
)</f>
        <v/>
      </c>
      <c r="H2" s="58">
        <f t="array" ref="H2">IF(
    VLOOKUP(
        $A2,
        _xlfn._xlws.FILTER(
            INDIRECT("'"&amp;H$62&amp;"'!A2:G1000"), (INDIRECT("'"&amp;H$62&amp;"'!B2:B1000")=$B2) * (INDIRECT("'"&amp;H$62&amp;"'!C2:C1000")=$C2)
        ),
        5,
        FALSE
    )="",
    "",
    VLOOKUP(
        $A2,
        _xlfn._xlws.FILTER(
            INDIRECT("'"&amp;H$62&amp;"'!A2:G1000"), (INDIRECT("'"&amp;H$62&amp;"'!B2:B1000")=$B2) * (INDIRECT("'"&amp;H$62&amp;"'!C2:C1000")=$C2)
        ),
        7,
        FALSE
    )
)</f>
        <v/>
      </c>
      <c r="I2" s="58">
        <f t="array" ref="I2">IF(
    VLOOKUP(
        $A2,
        _xlfn._xlws.FILTER(
            INDIRECT("'"&amp;I$62&amp;"'!A2:G1000"), (INDIRECT("'"&amp;I$62&amp;"'!B2:B1000")=$B2) * (INDIRECT("'"&amp;I$62&amp;"'!C2:C1000")=$C2)
        ),
        5,
        FALSE
    )="",
    "",
    VLOOKUP(
        $A2,
        _xlfn._xlws.FILTER(
            INDIRECT("'"&amp;I$62&amp;"'!A2:G1000"), (INDIRECT("'"&amp;I$62&amp;"'!B2:B1000")=$B2) * (INDIRECT("'"&amp;I$62&amp;"'!C2:C1000")=$C2)
        ),
        7,
        FALSE
    )
)</f>
        <v/>
      </c>
      <c r="J2" s="58">
        <f t="array" ref="J2">IF(
    VLOOKUP(
        $A2,
        _xlfn._xlws.FILTER(
            INDIRECT("'"&amp;J$62&amp;"'!A2:G1000"), (INDIRECT("'"&amp;J$62&amp;"'!B2:B1000")=$B2) * (INDIRECT("'"&amp;J$62&amp;"'!C2:C1000")=$C2)
        ),
        5,
        FALSE
    )="",
    "",
    VLOOKUP(
        $A2,
        _xlfn._xlws.FILTER(
            INDIRECT("'"&amp;J$62&amp;"'!A2:G1000"), (INDIRECT("'"&amp;J$62&amp;"'!B2:B1000")=$B2) * (INDIRECT("'"&amp;J$62&amp;"'!C2:C1000")=$C2)
        ),
        7,
        FALSE
    )
)</f>
        <v/>
      </c>
      <c r="K2" s="58">
        <f t="array" ref="K2">IF(
    VLOOKUP(
        $A2,
        _xlfn._xlws.FILTER(
            INDIRECT("'"&amp;K$62&amp;"'!A2:G1000"), (INDIRECT("'"&amp;K$62&amp;"'!B2:B1000")=$B2) * (INDIRECT("'"&amp;K$62&amp;"'!C2:C1000")=$C2)
        ),
        5,
        FALSE
    )="",
    "",
    VLOOKUP(
        $A2,
        _xlfn._xlws.FILTER(
            INDIRECT("'"&amp;K$62&amp;"'!A2:G1000"), (INDIRECT("'"&amp;K$62&amp;"'!B2:B1000")=$B2) * (INDIRECT("'"&amp;K$62&amp;"'!C2:C1000")=$C2)
        ),
        7,
        FALSE
    )
)</f>
        <v/>
      </c>
      <c r="L2" s="58">
        <f t="array" ref="L2">IF(
    VLOOKUP(
        $A2,
        _xlfn._xlws.FILTER(
            INDIRECT("'"&amp;L$62&amp;"'!A2:G1000"), (INDIRECT("'"&amp;L$62&amp;"'!B2:B1000")=$B2) * (INDIRECT("'"&amp;L$62&amp;"'!C2:C1000")=$C2)
        ),
        5,
        FALSE
    )="",
    "",
    VLOOKUP(
        $A2,
        _xlfn._xlws.FILTER(
            INDIRECT("'"&amp;L$62&amp;"'!A2:G1000"), (INDIRECT("'"&amp;L$62&amp;"'!B2:B1000")=$B2) * (INDIRECT("'"&amp;L$62&amp;"'!C2:C1000")=$C2)
        ),
        7,
        FALSE
    )
)</f>
        <v/>
      </c>
      <c r="M2" s="58">
        <f t="array" ref="M2">IF(
    VLOOKUP(
        $A2,
        _xlfn._xlws.FILTER(
            INDIRECT("'"&amp;M$62&amp;"'!A2:G1000"), (INDIRECT("'"&amp;M$62&amp;"'!B2:B1000")=$B2) * (INDIRECT("'"&amp;M$62&amp;"'!C2:C1000")=$C2)
        ),
        5,
        FALSE
    )="",
    "",
    VLOOKUP(
        $A2,
        _xlfn._xlws.FILTER(
            INDIRECT("'"&amp;M$62&amp;"'!A2:G1000"), (INDIRECT("'"&amp;M$62&amp;"'!B2:B1000")=$B2) * (INDIRECT("'"&amp;M$62&amp;"'!C2:C1000")=$C2)
        ),
        7,
        FALSE
    )
)</f>
        <v/>
      </c>
      <c r="N2" s="58">
        <f t="array" ref="N2">IF(
    VLOOKUP(
        $A2,
        _xlfn._xlws.FILTER(
            INDIRECT("'"&amp;N$62&amp;"'!A2:G1000"), (INDIRECT("'"&amp;N$62&amp;"'!B2:B1000")=$B2) * (INDIRECT("'"&amp;N$62&amp;"'!C2:C1000")=$C2)
        ),
        5,
        FALSE
    )="",
    "",
    VLOOKUP(
        $A2,
        _xlfn._xlws.FILTER(
            INDIRECT("'"&amp;N$62&amp;"'!A2:G1000"), (INDIRECT("'"&amp;N$62&amp;"'!B2:B1000")=$B2) * (INDIRECT("'"&amp;N$62&amp;"'!C2:C1000")=$C2)
        ),
        7,
        FALSE
    )
)</f>
        <v/>
      </c>
      <c r="O2" s="58">
        <f t="array" ref="O2">IF(
    VLOOKUP(
        $A2,
        _xlfn._xlws.FILTER(
            INDIRECT("'"&amp;O$62&amp;"'!A2:G1000"), (INDIRECT("'"&amp;O$62&amp;"'!B2:B1000")=$B2) * (INDIRECT("'"&amp;O$62&amp;"'!C2:C1000")=$C2)
        ),
        5,
        FALSE
    )="",
    "",
    VLOOKUP(
        $A2,
        _xlfn._xlws.FILTER(
            INDIRECT("'"&amp;O$62&amp;"'!A2:G1000"), (INDIRECT("'"&amp;O$62&amp;"'!B2:B1000")=$B2) * (INDIRECT("'"&amp;O$62&amp;"'!C2:C1000")=$C2)
        ),
        7,
        FALSE
    )
)</f>
        <v/>
      </c>
      <c r="P2" s="58">
        <f t="array" ref="P2">IF(
    VLOOKUP(
        $A2,
        _xlfn._xlws.FILTER(
            INDIRECT("'"&amp;P$62&amp;"'!A2:G1000"), (INDIRECT("'"&amp;P$62&amp;"'!B2:B1000")=$B2) * (INDIRECT("'"&amp;P$62&amp;"'!C2:C1000")=$C2)
        ),
        5,
        FALSE
    )="",
    "",
    VLOOKUP(
        $A2,
        _xlfn._xlws.FILTER(
            INDIRECT("'"&amp;P$62&amp;"'!A2:G1000"), (INDIRECT("'"&amp;P$62&amp;"'!B2:B1000")=$B2) * (INDIRECT("'"&amp;P$62&amp;"'!C2:C1000")=$C2)
        ),
        7,
        FALSE
    )
)</f>
        <v/>
      </c>
    </row>
    <row r="3">
      <c r="A3" s="8" t="inlineStr">
        <is>
          <t>Curitiba</t>
        </is>
      </c>
      <c r="B3" s="58" t="inlineStr">
        <is>
          <t>Campo Largo</t>
        </is>
      </c>
      <c r="C3" s="85" t="inlineStr">
        <is>
          <t>02</t>
        </is>
      </c>
      <c r="D3" s="58">
        <f t="array" ref="D3">IF(
    VLOOKUP(
        $A3,
        _xlfn._xlws.FILTER(
            INDIRECT("'"&amp;D$62&amp;"'!A2:G1000"), (INDIRECT("'"&amp;D$62&amp;"'!B2:B1000")=$B3) * (INDIRECT("'"&amp;D$62&amp;"'!C2:C1000")=$C3)
        ),
        5,
        FALSE
    )="",
    "",
    VLOOKUP(
        $A3,
        _xlfn._xlws.FILTER(
            INDIRECT("'"&amp;D$62&amp;"'!A2:G1000"), (INDIRECT("'"&amp;D$62&amp;"'!B2:B1000")=$B3) * (INDIRECT("'"&amp;D$62&amp;"'!C2:C1000")=$C3)
        ),
        7,
        FALSE
    )
)</f>
        <v/>
      </c>
      <c r="E3" s="58">
        <f t="array" ref="E3">IF(
    VLOOKUP(
        $A3,
        _xlfn._xlws.FILTER(
            INDIRECT("'"&amp;E$62&amp;"'!A2:G1000"), (INDIRECT("'"&amp;E$62&amp;"'!B2:B1000")=$B3) * (INDIRECT("'"&amp;E$62&amp;"'!C2:C1000")=$C3)
        ),
        5,
        FALSE
    )="",
    "",
    VLOOKUP(
        $A3,
        _xlfn._xlws.FILTER(
            INDIRECT("'"&amp;E$62&amp;"'!A2:G1000"), (INDIRECT("'"&amp;E$62&amp;"'!B2:B1000")=$B3) * (INDIRECT("'"&amp;E$62&amp;"'!C2:C1000")=$C3)
        ),
        7,
        FALSE
    )
)</f>
        <v/>
      </c>
      <c r="F3" s="58">
        <f t="array" ref="F3">IF(
    VLOOKUP(
        $A3,
        _xlfn._xlws.FILTER(
            INDIRECT("'"&amp;F$62&amp;"'!A2:G1000"), (INDIRECT("'"&amp;F$62&amp;"'!B2:B1000")=$B3) * (INDIRECT("'"&amp;F$62&amp;"'!C2:C1000")=$C3)
        ),
        5,
        FALSE
    )="",
    "",
    VLOOKUP(
        $A3,
        _xlfn._xlws.FILTER(
            INDIRECT("'"&amp;F$62&amp;"'!A2:G1000"), (INDIRECT("'"&amp;F$62&amp;"'!B2:B1000")=$B3) * (INDIRECT("'"&amp;F$62&amp;"'!C2:C1000")=$C3)
        ),
        7,
        FALSE
    )
)</f>
        <v/>
      </c>
      <c r="G3" s="58">
        <f t="array" ref="G3">IF(
    VLOOKUP(
        $A3,
        _xlfn._xlws.FILTER(
            INDIRECT("'"&amp;G$62&amp;"'!A2:G1000"), (INDIRECT("'"&amp;G$62&amp;"'!B2:B1000")=$B3) * (INDIRECT("'"&amp;G$62&amp;"'!C2:C1000")=$C3)
        ),
        5,
        FALSE
    )="",
    "",
    VLOOKUP(
        $A3,
        _xlfn._xlws.FILTER(
            INDIRECT("'"&amp;G$62&amp;"'!A2:G1000"), (INDIRECT("'"&amp;G$62&amp;"'!B2:B1000")=$B3) * (INDIRECT("'"&amp;G$62&amp;"'!C2:C1000")=$C3)
        ),
        7,
        FALSE
    )
)</f>
        <v/>
      </c>
      <c r="H3" s="58">
        <f t="array" ref="H3">IF(
    VLOOKUP(
        $A3,
        _xlfn._xlws.FILTER(
            INDIRECT("'"&amp;H$62&amp;"'!A2:G1000"), (INDIRECT("'"&amp;H$62&amp;"'!B2:B1000")=$B3) * (INDIRECT("'"&amp;H$62&amp;"'!C2:C1000")=$C3)
        ),
        5,
        FALSE
    )="",
    "",
    VLOOKUP(
        $A3,
        _xlfn._xlws.FILTER(
            INDIRECT("'"&amp;H$62&amp;"'!A2:G1000"), (INDIRECT("'"&amp;H$62&amp;"'!B2:B1000")=$B3) * (INDIRECT("'"&amp;H$62&amp;"'!C2:C1000")=$C3)
        ),
        7,
        FALSE
    )
)</f>
        <v/>
      </c>
      <c r="I3" s="58">
        <f t="array" ref="I3">IF(
    VLOOKUP(
        $A3,
        _xlfn._xlws.FILTER(
            INDIRECT("'"&amp;I$62&amp;"'!A2:G1000"), (INDIRECT("'"&amp;I$62&amp;"'!B2:B1000")=$B3) * (INDIRECT("'"&amp;I$62&amp;"'!C2:C1000")=$C3)
        ),
        5,
        FALSE
    )="",
    "",
    VLOOKUP(
        $A3,
        _xlfn._xlws.FILTER(
            INDIRECT("'"&amp;I$62&amp;"'!A2:G1000"), (INDIRECT("'"&amp;I$62&amp;"'!B2:B1000")=$B3) * (INDIRECT("'"&amp;I$62&amp;"'!C2:C1000")=$C3)
        ),
        7,
        FALSE
    )
)</f>
        <v/>
      </c>
      <c r="J3" s="58">
        <f t="array" ref="J3">IF(
    VLOOKUP(
        $A3,
        _xlfn._xlws.FILTER(
            INDIRECT("'"&amp;J$62&amp;"'!A2:G1000"), (INDIRECT("'"&amp;J$62&amp;"'!B2:B1000")=$B3) * (INDIRECT("'"&amp;J$62&amp;"'!C2:C1000")=$C3)
        ),
        5,
        FALSE
    )="",
    "",
    VLOOKUP(
        $A3,
        _xlfn._xlws.FILTER(
            INDIRECT("'"&amp;J$62&amp;"'!A2:G1000"), (INDIRECT("'"&amp;J$62&amp;"'!B2:B1000")=$B3) * (INDIRECT("'"&amp;J$62&amp;"'!C2:C1000")=$C3)
        ),
        7,
        FALSE
    )
)</f>
        <v/>
      </c>
      <c r="K3" s="58">
        <f t="array" ref="K3">IF(
    VLOOKUP(
        $A3,
        _xlfn._xlws.FILTER(
            INDIRECT("'"&amp;K$62&amp;"'!A2:G1000"), (INDIRECT("'"&amp;K$62&amp;"'!B2:B1000")=$B3) * (INDIRECT("'"&amp;K$62&amp;"'!C2:C1000")=$C3)
        ),
        5,
        FALSE
    )="",
    "",
    VLOOKUP(
        $A3,
        _xlfn._xlws.FILTER(
            INDIRECT("'"&amp;K$62&amp;"'!A2:G1000"), (INDIRECT("'"&amp;K$62&amp;"'!B2:B1000")=$B3) * (INDIRECT("'"&amp;K$62&amp;"'!C2:C1000")=$C3)
        ),
        7,
        FALSE
    )
)</f>
        <v/>
      </c>
      <c r="L3" s="58">
        <f t="array" ref="L3">IF(
    VLOOKUP(
        $A3,
        _xlfn._xlws.FILTER(
            INDIRECT("'"&amp;L$62&amp;"'!A2:G1000"), (INDIRECT("'"&amp;L$62&amp;"'!B2:B1000")=$B3) * (INDIRECT("'"&amp;L$62&amp;"'!C2:C1000")=$C3)
        ),
        5,
        FALSE
    )="",
    "",
    VLOOKUP(
        $A3,
        _xlfn._xlws.FILTER(
            INDIRECT("'"&amp;L$62&amp;"'!A2:G1000"), (INDIRECT("'"&amp;L$62&amp;"'!B2:B1000")=$B3) * (INDIRECT("'"&amp;L$62&amp;"'!C2:C1000")=$C3)
        ),
        7,
        FALSE
    )
)</f>
        <v/>
      </c>
      <c r="M3" s="58">
        <f t="array" ref="M3">IF(
    VLOOKUP(
        $A3,
        _xlfn._xlws.FILTER(
            INDIRECT("'"&amp;M$62&amp;"'!A2:G1000"), (INDIRECT("'"&amp;M$62&amp;"'!B2:B1000")=$B3) * (INDIRECT("'"&amp;M$62&amp;"'!C2:C1000")=$C3)
        ),
        5,
        FALSE
    )="",
    "",
    VLOOKUP(
        $A3,
        _xlfn._xlws.FILTER(
            INDIRECT("'"&amp;M$62&amp;"'!A2:G1000"), (INDIRECT("'"&amp;M$62&amp;"'!B2:B1000")=$B3) * (INDIRECT("'"&amp;M$62&amp;"'!C2:C1000")=$C3)
        ),
        7,
        FALSE
    )
)</f>
        <v/>
      </c>
      <c r="N3" s="58">
        <f t="array" ref="N3">IF(
    VLOOKUP(
        $A3,
        _xlfn._xlws.FILTER(
            INDIRECT("'"&amp;N$62&amp;"'!A2:G1000"), (INDIRECT("'"&amp;N$62&amp;"'!B2:B1000")=$B3) * (INDIRECT("'"&amp;N$62&amp;"'!C2:C1000")=$C3)
        ),
        5,
        FALSE
    )="",
    "",
    VLOOKUP(
        $A3,
        _xlfn._xlws.FILTER(
            INDIRECT("'"&amp;N$62&amp;"'!A2:G1000"), (INDIRECT("'"&amp;N$62&amp;"'!B2:B1000")=$B3) * (INDIRECT("'"&amp;N$62&amp;"'!C2:C1000")=$C3)
        ),
        7,
        FALSE
    )
)</f>
        <v/>
      </c>
      <c r="O3" s="58">
        <f t="array" ref="O3">IF(
    VLOOKUP(
        $A3,
        _xlfn._xlws.FILTER(
            INDIRECT("'"&amp;O$62&amp;"'!A2:G1000"), (INDIRECT("'"&amp;O$62&amp;"'!B2:B1000")=$B3) * (INDIRECT("'"&amp;O$62&amp;"'!C2:C1000")=$C3)
        ),
        5,
        FALSE
    )="",
    "",
    VLOOKUP(
        $A3,
        _xlfn._xlws.FILTER(
            INDIRECT("'"&amp;O$62&amp;"'!A2:G1000"), (INDIRECT("'"&amp;O$62&amp;"'!B2:B1000")=$B3) * (INDIRECT("'"&amp;O$62&amp;"'!C2:C1000")=$C3)
        ),
        7,
        FALSE
    )
)</f>
        <v/>
      </c>
      <c r="P3" s="58">
        <f t="array" ref="P3">IF(
    VLOOKUP(
        $A3,
        _xlfn._xlws.FILTER(
            INDIRECT("'"&amp;P$62&amp;"'!A2:G1000"), (INDIRECT("'"&amp;P$62&amp;"'!B2:B1000")=$B3) * (INDIRECT("'"&amp;P$62&amp;"'!C2:C1000")=$C3)
        ),
        5,
        FALSE
    )="",
    "",
    VLOOKUP(
        $A3,
        _xlfn._xlws.FILTER(
            INDIRECT("'"&amp;P$62&amp;"'!A2:G1000"), (INDIRECT("'"&amp;P$62&amp;"'!B2:B1000")=$B3) * (INDIRECT("'"&amp;P$62&amp;"'!C2:C1000")=$C3)
        ),
        7,
        FALSE
    )
)</f>
        <v/>
      </c>
    </row>
    <row r="4">
      <c r="A4" s="8" t="inlineStr">
        <is>
          <t>Curitiba</t>
        </is>
      </c>
      <c r="B4" s="58" t="inlineStr">
        <is>
          <t>Campo Largo</t>
        </is>
      </c>
      <c r="C4" s="85" t="inlineStr">
        <is>
          <t>03</t>
        </is>
      </c>
      <c r="D4" s="58">
        <f t="array" ref="D4">IF(
    VLOOKUP(
        $A4,
        _xlfn._xlws.FILTER(
            INDIRECT("'"&amp;D$62&amp;"'!A2:G1000"), (INDIRECT("'"&amp;D$62&amp;"'!B2:B1000")=$B4) * (INDIRECT("'"&amp;D$62&amp;"'!C2:C1000")=$C4)
        ),
        5,
        FALSE
    )="",
    "",
    VLOOKUP(
        $A4,
        _xlfn._xlws.FILTER(
            INDIRECT("'"&amp;D$62&amp;"'!A2:G1000"), (INDIRECT("'"&amp;D$62&amp;"'!B2:B1000")=$B4) * (INDIRECT("'"&amp;D$62&amp;"'!C2:C1000")=$C4)
        ),
        7,
        FALSE
    )
)</f>
        <v/>
      </c>
      <c r="E4" s="58">
        <f t="array" ref="E4">IF(
    VLOOKUP(
        $A4,
        _xlfn._xlws.FILTER(
            INDIRECT("'"&amp;E$62&amp;"'!A2:G1000"), (INDIRECT("'"&amp;E$62&amp;"'!B2:B1000")=$B4) * (INDIRECT("'"&amp;E$62&amp;"'!C2:C1000")=$C4)
        ),
        5,
        FALSE
    )="",
    "",
    VLOOKUP(
        $A4,
        _xlfn._xlws.FILTER(
            INDIRECT("'"&amp;E$62&amp;"'!A2:G1000"), (INDIRECT("'"&amp;E$62&amp;"'!B2:B1000")=$B4) * (INDIRECT("'"&amp;E$62&amp;"'!C2:C1000")=$C4)
        ),
        7,
        FALSE
    )
)</f>
        <v/>
      </c>
      <c r="F4" s="58">
        <f t="array" ref="F4">IF(
    VLOOKUP(
        $A4,
        _xlfn._xlws.FILTER(
            INDIRECT("'"&amp;F$62&amp;"'!A2:G1000"), (INDIRECT("'"&amp;F$62&amp;"'!B2:B1000")=$B4) * (INDIRECT("'"&amp;F$62&amp;"'!C2:C1000")=$C4)
        ),
        5,
        FALSE
    )="",
    "",
    VLOOKUP(
        $A4,
        _xlfn._xlws.FILTER(
            INDIRECT("'"&amp;F$62&amp;"'!A2:G1000"), (INDIRECT("'"&amp;F$62&amp;"'!B2:B1000")=$B4) * (INDIRECT("'"&amp;F$62&amp;"'!C2:C1000")=$C4)
        ),
        7,
        FALSE
    )
)</f>
        <v/>
      </c>
      <c r="G4" s="58">
        <f t="array" ref="G4">IF(
    VLOOKUP(
        $A4,
        _xlfn._xlws.FILTER(
            INDIRECT("'"&amp;G$62&amp;"'!A2:G1000"), (INDIRECT("'"&amp;G$62&amp;"'!B2:B1000")=$B4) * (INDIRECT("'"&amp;G$62&amp;"'!C2:C1000")=$C4)
        ),
        5,
        FALSE
    )="",
    "",
    VLOOKUP(
        $A4,
        _xlfn._xlws.FILTER(
            INDIRECT("'"&amp;G$62&amp;"'!A2:G1000"), (INDIRECT("'"&amp;G$62&amp;"'!B2:B1000")=$B4) * (INDIRECT("'"&amp;G$62&amp;"'!C2:C1000")=$C4)
        ),
        7,
        FALSE
    )
)</f>
        <v/>
      </c>
      <c r="H4" s="58">
        <f t="array" ref="H4">IF(
    VLOOKUP(
        $A4,
        _xlfn._xlws.FILTER(
            INDIRECT("'"&amp;H$62&amp;"'!A2:G1000"), (INDIRECT("'"&amp;H$62&amp;"'!B2:B1000")=$B4) * (INDIRECT("'"&amp;H$62&amp;"'!C2:C1000")=$C4)
        ),
        5,
        FALSE
    )="",
    "",
    VLOOKUP(
        $A4,
        _xlfn._xlws.FILTER(
            INDIRECT("'"&amp;H$62&amp;"'!A2:G1000"), (INDIRECT("'"&amp;H$62&amp;"'!B2:B1000")=$B4) * (INDIRECT("'"&amp;H$62&amp;"'!C2:C1000")=$C4)
        ),
        7,
        FALSE
    )
)</f>
        <v/>
      </c>
      <c r="I4" s="58">
        <f t="array" ref="I4">IF(
    VLOOKUP(
        $A4,
        _xlfn._xlws.FILTER(
            INDIRECT("'"&amp;I$62&amp;"'!A2:G1000"), (INDIRECT("'"&amp;I$62&amp;"'!B2:B1000")=$B4) * (INDIRECT("'"&amp;I$62&amp;"'!C2:C1000")=$C4)
        ),
        5,
        FALSE
    )="",
    "",
    VLOOKUP(
        $A4,
        _xlfn._xlws.FILTER(
            INDIRECT("'"&amp;I$62&amp;"'!A2:G1000"), (INDIRECT("'"&amp;I$62&amp;"'!B2:B1000")=$B4) * (INDIRECT("'"&amp;I$62&amp;"'!C2:C1000")=$C4)
        ),
        7,
        FALSE
    )
)</f>
        <v/>
      </c>
      <c r="J4" s="58">
        <f t="array" ref="J4">IF(
    VLOOKUP(
        $A4,
        _xlfn._xlws.FILTER(
            INDIRECT("'"&amp;J$62&amp;"'!A2:G1000"), (INDIRECT("'"&amp;J$62&amp;"'!B2:B1000")=$B4) * (INDIRECT("'"&amp;J$62&amp;"'!C2:C1000")=$C4)
        ),
        5,
        FALSE
    )="",
    "",
    VLOOKUP(
        $A4,
        _xlfn._xlws.FILTER(
            INDIRECT("'"&amp;J$62&amp;"'!A2:G1000"), (INDIRECT("'"&amp;J$62&amp;"'!B2:B1000")=$B4) * (INDIRECT("'"&amp;J$62&amp;"'!C2:C1000")=$C4)
        ),
        7,
        FALSE
    )
)</f>
        <v/>
      </c>
      <c r="K4" s="58">
        <f t="array" ref="K4">IF(
    VLOOKUP(
        $A4,
        _xlfn._xlws.FILTER(
            INDIRECT("'"&amp;K$62&amp;"'!A2:G1000"), (INDIRECT("'"&amp;K$62&amp;"'!B2:B1000")=$B4) * (INDIRECT("'"&amp;K$62&amp;"'!C2:C1000")=$C4)
        ),
        5,
        FALSE
    )="",
    "",
    VLOOKUP(
        $A4,
        _xlfn._xlws.FILTER(
            INDIRECT("'"&amp;K$62&amp;"'!A2:G1000"), (INDIRECT("'"&amp;K$62&amp;"'!B2:B1000")=$B4) * (INDIRECT("'"&amp;K$62&amp;"'!C2:C1000")=$C4)
        ),
        7,
        FALSE
    )
)</f>
        <v/>
      </c>
      <c r="L4" s="58">
        <f t="array" ref="L4">IF(
    VLOOKUP(
        $A4,
        _xlfn._xlws.FILTER(
            INDIRECT("'"&amp;L$62&amp;"'!A2:G1000"), (INDIRECT("'"&amp;L$62&amp;"'!B2:B1000")=$B4) * (INDIRECT("'"&amp;L$62&amp;"'!C2:C1000")=$C4)
        ),
        5,
        FALSE
    )="",
    "",
    VLOOKUP(
        $A4,
        _xlfn._xlws.FILTER(
            INDIRECT("'"&amp;L$62&amp;"'!A2:G1000"), (INDIRECT("'"&amp;L$62&amp;"'!B2:B1000")=$B4) * (INDIRECT("'"&amp;L$62&amp;"'!C2:C1000")=$C4)
        ),
        7,
        FALSE
    )
)</f>
        <v/>
      </c>
      <c r="M4" s="58">
        <f t="array" ref="M4">IF(
    VLOOKUP(
        $A4,
        _xlfn._xlws.FILTER(
            INDIRECT("'"&amp;M$62&amp;"'!A2:G1000"), (INDIRECT("'"&amp;M$62&amp;"'!B2:B1000")=$B4) * (INDIRECT("'"&amp;M$62&amp;"'!C2:C1000")=$C4)
        ),
        5,
        FALSE
    )="",
    "",
    VLOOKUP(
        $A4,
        _xlfn._xlws.FILTER(
            INDIRECT("'"&amp;M$62&amp;"'!A2:G1000"), (INDIRECT("'"&amp;M$62&amp;"'!B2:B1000")=$B4) * (INDIRECT("'"&amp;M$62&amp;"'!C2:C1000")=$C4)
        ),
        7,
        FALSE
    )
)</f>
        <v/>
      </c>
      <c r="N4" s="58">
        <f t="array" ref="N4">IF(
    VLOOKUP(
        $A4,
        _xlfn._xlws.FILTER(
            INDIRECT("'"&amp;N$62&amp;"'!A2:G1000"), (INDIRECT("'"&amp;N$62&amp;"'!B2:B1000")=$B4) * (INDIRECT("'"&amp;N$62&amp;"'!C2:C1000")=$C4)
        ),
        5,
        FALSE
    )="",
    "",
    VLOOKUP(
        $A4,
        _xlfn._xlws.FILTER(
            INDIRECT("'"&amp;N$62&amp;"'!A2:G1000"), (INDIRECT("'"&amp;N$62&amp;"'!B2:B1000")=$B4) * (INDIRECT("'"&amp;N$62&amp;"'!C2:C1000")=$C4)
        ),
        7,
        FALSE
    )
)</f>
        <v/>
      </c>
      <c r="O4" s="58">
        <f t="array" ref="O4">IF(
    VLOOKUP(
        $A4,
        _xlfn._xlws.FILTER(
            INDIRECT("'"&amp;O$62&amp;"'!A2:G1000"), (INDIRECT("'"&amp;O$62&amp;"'!B2:B1000")=$B4) * (INDIRECT("'"&amp;O$62&amp;"'!C2:C1000")=$C4)
        ),
        5,
        FALSE
    )="",
    "",
    VLOOKUP(
        $A4,
        _xlfn._xlws.FILTER(
            INDIRECT("'"&amp;O$62&amp;"'!A2:G1000"), (INDIRECT("'"&amp;O$62&amp;"'!B2:B1000")=$B4) * (INDIRECT("'"&amp;O$62&amp;"'!C2:C1000")=$C4)
        ),
        7,
        FALSE
    )
)</f>
        <v/>
      </c>
      <c r="P4" s="58">
        <f t="array" ref="P4">IF(
    VLOOKUP(
        $A4,
        _xlfn._xlws.FILTER(
            INDIRECT("'"&amp;P$62&amp;"'!A2:G1000"), (INDIRECT("'"&amp;P$62&amp;"'!B2:B1000")=$B4) * (INDIRECT("'"&amp;P$62&amp;"'!C2:C1000")=$C4)
        ),
        5,
        FALSE
    )="",
    "",
    VLOOKUP(
        $A4,
        _xlfn._xlws.FILTER(
            INDIRECT("'"&amp;P$62&amp;"'!A2:G1000"), (INDIRECT("'"&amp;P$62&amp;"'!B2:B1000")=$B4) * (INDIRECT("'"&amp;P$62&amp;"'!C2:C1000")=$C4)
        ),
        7,
        FALSE
    )
)</f>
        <v/>
      </c>
    </row>
    <row r="5">
      <c r="A5" s="8" t="inlineStr">
        <is>
          <t>Curitiba</t>
        </is>
      </c>
      <c r="B5" s="58" t="inlineStr">
        <is>
          <t>Campo Largo</t>
        </is>
      </c>
      <c r="C5" s="85" t="inlineStr">
        <is>
          <t>04</t>
        </is>
      </c>
      <c r="D5" s="58">
        <f t="array" ref="D5">IF(
    VLOOKUP(
        $A5,
        _xlfn._xlws.FILTER(
            INDIRECT("'"&amp;D$62&amp;"'!A2:G1000"), (INDIRECT("'"&amp;D$62&amp;"'!B2:B1000")=$B5) * (INDIRECT("'"&amp;D$62&amp;"'!C2:C1000")=$C5)
        ),
        5,
        FALSE
    )="",
    "",
    VLOOKUP(
        $A5,
        _xlfn._xlws.FILTER(
            INDIRECT("'"&amp;D$62&amp;"'!A2:G1000"), (INDIRECT("'"&amp;D$62&amp;"'!B2:B1000")=$B5) * (INDIRECT("'"&amp;D$62&amp;"'!C2:C1000")=$C5)
        ),
        7,
        FALSE
    )
)</f>
        <v/>
      </c>
      <c r="E5" s="58">
        <f t="array" ref="E5">IF(
    VLOOKUP(
        $A5,
        _xlfn._xlws.FILTER(
            INDIRECT("'"&amp;E$62&amp;"'!A2:G1000"), (INDIRECT("'"&amp;E$62&amp;"'!B2:B1000")=$B5) * (INDIRECT("'"&amp;E$62&amp;"'!C2:C1000")=$C5)
        ),
        5,
        FALSE
    )="",
    "",
    VLOOKUP(
        $A5,
        _xlfn._xlws.FILTER(
            INDIRECT("'"&amp;E$62&amp;"'!A2:G1000"), (INDIRECT("'"&amp;E$62&amp;"'!B2:B1000")=$B5) * (INDIRECT("'"&amp;E$62&amp;"'!C2:C1000")=$C5)
        ),
        7,
        FALSE
    )
)</f>
        <v/>
      </c>
      <c r="F5" s="58">
        <f t="array" ref="F5">IF(
    VLOOKUP(
        $A5,
        _xlfn._xlws.FILTER(
            INDIRECT("'"&amp;F$62&amp;"'!A2:G1000"), (INDIRECT("'"&amp;F$62&amp;"'!B2:B1000")=$B5) * (INDIRECT("'"&amp;F$62&amp;"'!C2:C1000")=$C5)
        ),
        5,
        FALSE
    )="",
    "",
    VLOOKUP(
        $A5,
        _xlfn._xlws.FILTER(
            INDIRECT("'"&amp;F$62&amp;"'!A2:G1000"), (INDIRECT("'"&amp;F$62&amp;"'!B2:B1000")=$B5) * (INDIRECT("'"&amp;F$62&amp;"'!C2:C1000")=$C5)
        ),
        7,
        FALSE
    )
)</f>
        <v/>
      </c>
      <c r="G5" s="58">
        <f t="array" ref="G5">IF(
    VLOOKUP(
        $A5,
        _xlfn._xlws.FILTER(
            INDIRECT("'"&amp;G$62&amp;"'!A2:G1000"), (INDIRECT("'"&amp;G$62&amp;"'!B2:B1000")=$B5) * (INDIRECT("'"&amp;G$62&amp;"'!C2:C1000")=$C5)
        ),
        5,
        FALSE
    )="",
    "",
    VLOOKUP(
        $A5,
        _xlfn._xlws.FILTER(
            INDIRECT("'"&amp;G$62&amp;"'!A2:G1000"), (INDIRECT("'"&amp;G$62&amp;"'!B2:B1000")=$B5) * (INDIRECT("'"&amp;G$62&amp;"'!C2:C1000")=$C5)
        ),
        7,
        FALSE
    )
)</f>
        <v/>
      </c>
      <c r="H5" s="58">
        <f t="array" ref="H5">IF(
    VLOOKUP(
        $A5,
        _xlfn._xlws.FILTER(
            INDIRECT("'"&amp;H$62&amp;"'!A2:G1000"), (INDIRECT("'"&amp;H$62&amp;"'!B2:B1000")=$B5) * (INDIRECT("'"&amp;H$62&amp;"'!C2:C1000")=$C5)
        ),
        5,
        FALSE
    )="",
    "",
    VLOOKUP(
        $A5,
        _xlfn._xlws.FILTER(
            INDIRECT("'"&amp;H$62&amp;"'!A2:G1000"), (INDIRECT("'"&amp;H$62&amp;"'!B2:B1000")=$B5) * (INDIRECT("'"&amp;H$62&amp;"'!C2:C1000")=$C5)
        ),
        7,
        FALSE
    )
)</f>
        <v/>
      </c>
      <c r="I5" s="58">
        <f t="array" ref="I5">IF(
    VLOOKUP(
        $A5,
        _xlfn._xlws.FILTER(
            INDIRECT("'"&amp;I$62&amp;"'!A2:G1000"), (INDIRECT("'"&amp;I$62&amp;"'!B2:B1000")=$B5) * (INDIRECT("'"&amp;I$62&amp;"'!C2:C1000")=$C5)
        ),
        5,
        FALSE
    )="",
    "",
    VLOOKUP(
        $A5,
        _xlfn._xlws.FILTER(
            INDIRECT("'"&amp;I$62&amp;"'!A2:G1000"), (INDIRECT("'"&amp;I$62&amp;"'!B2:B1000")=$B5) * (INDIRECT("'"&amp;I$62&amp;"'!C2:C1000")=$C5)
        ),
        7,
        FALSE
    )
)</f>
        <v/>
      </c>
      <c r="J5" s="58">
        <f t="array" ref="J5">IF(
    VLOOKUP(
        $A5,
        _xlfn._xlws.FILTER(
            INDIRECT("'"&amp;J$62&amp;"'!A2:G1000"), (INDIRECT("'"&amp;J$62&amp;"'!B2:B1000")=$B5) * (INDIRECT("'"&amp;J$62&amp;"'!C2:C1000")=$C5)
        ),
        5,
        FALSE
    )="",
    "",
    VLOOKUP(
        $A5,
        _xlfn._xlws.FILTER(
            INDIRECT("'"&amp;J$62&amp;"'!A2:G1000"), (INDIRECT("'"&amp;J$62&amp;"'!B2:B1000")=$B5) * (INDIRECT("'"&amp;J$62&amp;"'!C2:C1000")=$C5)
        ),
        7,
        FALSE
    )
)</f>
        <v/>
      </c>
      <c r="K5" s="58">
        <f t="array" ref="K5">IF(
    VLOOKUP(
        $A5,
        _xlfn._xlws.FILTER(
            INDIRECT("'"&amp;K$62&amp;"'!A2:G1000"), (INDIRECT("'"&amp;K$62&amp;"'!B2:B1000")=$B5) * (INDIRECT("'"&amp;K$62&amp;"'!C2:C1000")=$C5)
        ),
        5,
        FALSE
    )="",
    "",
    VLOOKUP(
        $A5,
        _xlfn._xlws.FILTER(
            INDIRECT("'"&amp;K$62&amp;"'!A2:G1000"), (INDIRECT("'"&amp;K$62&amp;"'!B2:B1000")=$B5) * (INDIRECT("'"&amp;K$62&amp;"'!C2:C1000")=$C5)
        ),
        7,
        FALSE
    )
)</f>
        <v/>
      </c>
      <c r="L5" s="58">
        <f t="array" ref="L5">IF(
    VLOOKUP(
        $A5,
        _xlfn._xlws.FILTER(
            INDIRECT("'"&amp;L$62&amp;"'!A2:G1000"), (INDIRECT("'"&amp;L$62&amp;"'!B2:B1000")=$B5) * (INDIRECT("'"&amp;L$62&amp;"'!C2:C1000")=$C5)
        ),
        5,
        FALSE
    )="",
    "",
    VLOOKUP(
        $A5,
        _xlfn._xlws.FILTER(
            INDIRECT("'"&amp;L$62&amp;"'!A2:G1000"), (INDIRECT("'"&amp;L$62&amp;"'!B2:B1000")=$B5) * (INDIRECT("'"&amp;L$62&amp;"'!C2:C1000")=$C5)
        ),
        7,
        FALSE
    )
)</f>
        <v/>
      </c>
      <c r="M5" s="58">
        <f t="array" ref="M5">IF(
    VLOOKUP(
        $A5,
        _xlfn._xlws.FILTER(
            INDIRECT("'"&amp;M$62&amp;"'!A2:G1000"), (INDIRECT("'"&amp;M$62&amp;"'!B2:B1000")=$B5) * (INDIRECT("'"&amp;M$62&amp;"'!C2:C1000")=$C5)
        ),
        5,
        FALSE
    )="",
    "",
    VLOOKUP(
        $A5,
        _xlfn._xlws.FILTER(
            INDIRECT("'"&amp;M$62&amp;"'!A2:G1000"), (INDIRECT("'"&amp;M$62&amp;"'!B2:B1000")=$B5) * (INDIRECT("'"&amp;M$62&amp;"'!C2:C1000")=$C5)
        ),
        7,
        FALSE
    )
)</f>
        <v/>
      </c>
      <c r="N5" s="58">
        <f t="array" ref="N5">IF(
    VLOOKUP(
        $A5,
        _xlfn._xlws.FILTER(
            INDIRECT("'"&amp;N$62&amp;"'!A2:G1000"), (INDIRECT("'"&amp;N$62&amp;"'!B2:B1000")=$B5) * (INDIRECT("'"&amp;N$62&amp;"'!C2:C1000")=$C5)
        ),
        5,
        FALSE
    )="",
    "",
    VLOOKUP(
        $A5,
        _xlfn._xlws.FILTER(
            INDIRECT("'"&amp;N$62&amp;"'!A2:G1000"), (INDIRECT("'"&amp;N$62&amp;"'!B2:B1000")=$B5) * (INDIRECT("'"&amp;N$62&amp;"'!C2:C1000")=$C5)
        ),
        7,
        FALSE
    )
)</f>
        <v/>
      </c>
      <c r="O5" s="58">
        <f t="array" ref="O5">IF(
    VLOOKUP(
        $A5,
        _xlfn._xlws.FILTER(
            INDIRECT("'"&amp;O$62&amp;"'!A2:G1000"), (INDIRECT("'"&amp;O$62&amp;"'!B2:B1000")=$B5) * (INDIRECT("'"&amp;O$62&amp;"'!C2:C1000")=$C5)
        ),
        5,
        FALSE
    )="",
    "",
    VLOOKUP(
        $A5,
        _xlfn._xlws.FILTER(
            INDIRECT("'"&amp;O$62&amp;"'!A2:G1000"), (INDIRECT("'"&amp;O$62&amp;"'!B2:B1000")=$B5) * (INDIRECT("'"&amp;O$62&amp;"'!C2:C1000")=$C5)
        ),
        7,
        FALSE
    )
)</f>
        <v/>
      </c>
      <c r="P5" s="58">
        <f t="array" ref="P5">IF(
    VLOOKUP(
        $A5,
        _xlfn._xlws.FILTER(
            INDIRECT("'"&amp;P$62&amp;"'!A2:G1000"), (INDIRECT("'"&amp;P$62&amp;"'!B2:B1000")=$B5) * (INDIRECT("'"&amp;P$62&amp;"'!C2:C1000")=$C5)
        ),
        5,
        FALSE
    )="",
    "",
    VLOOKUP(
        $A5,
        _xlfn._xlws.FILTER(
            INDIRECT("'"&amp;P$62&amp;"'!A2:G1000"), (INDIRECT("'"&amp;P$62&amp;"'!B2:B1000")=$B5) * (INDIRECT("'"&amp;P$62&amp;"'!C2:C1000")=$C5)
        ),
        7,
        FALSE
    )
)</f>
        <v/>
      </c>
    </row>
    <row r="6">
      <c r="A6" s="8" t="inlineStr">
        <is>
          <t>Curitiba</t>
        </is>
      </c>
      <c r="B6" s="58" t="inlineStr">
        <is>
          <t>Campo Largo</t>
        </is>
      </c>
      <c r="C6" s="85" t="inlineStr">
        <is>
          <t>05</t>
        </is>
      </c>
      <c r="D6" s="58">
        <f t="array" ref="D6">IF(
    VLOOKUP(
        $A6,
        _xlfn._xlws.FILTER(
            INDIRECT("'"&amp;D$62&amp;"'!A2:G1000"), (INDIRECT("'"&amp;D$62&amp;"'!B2:B1000")=$B6) * (INDIRECT("'"&amp;D$62&amp;"'!C2:C1000")=$C6)
        ),
        5,
        FALSE
    )="",
    "",
    VLOOKUP(
        $A6,
        _xlfn._xlws.FILTER(
            INDIRECT("'"&amp;D$62&amp;"'!A2:G1000"), (INDIRECT("'"&amp;D$62&amp;"'!B2:B1000")=$B6) * (INDIRECT("'"&amp;D$62&amp;"'!C2:C1000")=$C6)
        ),
        7,
        FALSE
    )
)</f>
        <v/>
      </c>
      <c r="E6" s="58">
        <f t="array" ref="E6">IF(
    VLOOKUP(
        $A6,
        _xlfn._xlws.FILTER(
            INDIRECT("'"&amp;E$62&amp;"'!A2:G1000"), (INDIRECT("'"&amp;E$62&amp;"'!B2:B1000")=$B6) * (INDIRECT("'"&amp;E$62&amp;"'!C2:C1000")=$C6)
        ),
        5,
        FALSE
    )="",
    "",
    VLOOKUP(
        $A6,
        _xlfn._xlws.FILTER(
            INDIRECT("'"&amp;E$62&amp;"'!A2:G1000"), (INDIRECT("'"&amp;E$62&amp;"'!B2:B1000")=$B6) * (INDIRECT("'"&amp;E$62&amp;"'!C2:C1000")=$C6)
        ),
        7,
        FALSE
    )
)</f>
        <v/>
      </c>
      <c r="F6" s="58">
        <f t="array" ref="F6">IF(
    VLOOKUP(
        $A6,
        _xlfn._xlws.FILTER(
            INDIRECT("'"&amp;F$62&amp;"'!A2:G1000"), (INDIRECT("'"&amp;F$62&amp;"'!B2:B1000")=$B6) * (INDIRECT("'"&amp;F$62&amp;"'!C2:C1000")=$C6)
        ),
        5,
        FALSE
    )="",
    "",
    VLOOKUP(
        $A6,
        _xlfn._xlws.FILTER(
            INDIRECT("'"&amp;F$62&amp;"'!A2:G1000"), (INDIRECT("'"&amp;F$62&amp;"'!B2:B1000")=$B6) * (INDIRECT("'"&amp;F$62&amp;"'!C2:C1000")=$C6)
        ),
        7,
        FALSE
    )
)</f>
        <v/>
      </c>
      <c r="G6" s="58">
        <f t="array" ref="G6">IF(
    VLOOKUP(
        $A6,
        _xlfn._xlws.FILTER(
            INDIRECT("'"&amp;G$62&amp;"'!A2:G1000"), (INDIRECT("'"&amp;G$62&amp;"'!B2:B1000")=$B6) * (INDIRECT("'"&amp;G$62&amp;"'!C2:C1000")=$C6)
        ),
        5,
        FALSE
    )="",
    "",
    VLOOKUP(
        $A6,
        _xlfn._xlws.FILTER(
            INDIRECT("'"&amp;G$62&amp;"'!A2:G1000"), (INDIRECT("'"&amp;G$62&amp;"'!B2:B1000")=$B6) * (INDIRECT("'"&amp;G$62&amp;"'!C2:C1000")=$C6)
        ),
        7,
        FALSE
    )
)</f>
        <v/>
      </c>
      <c r="H6" s="58">
        <f t="array" ref="H6">IF(
    VLOOKUP(
        $A6,
        _xlfn._xlws.FILTER(
            INDIRECT("'"&amp;H$62&amp;"'!A2:G1000"), (INDIRECT("'"&amp;H$62&amp;"'!B2:B1000")=$B6) * (INDIRECT("'"&amp;H$62&amp;"'!C2:C1000")=$C6)
        ),
        5,
        FALSE
    )="",
    "",
    VLOOKUP(
        $A6,
        _xlfn._xlws.FILTER(
            INDIRECT("'"&amp;H$62&amp;"'!A2:G1000"), (INDIRECT("'"&amp;H$62&amp;"'!B2:B1000")=$B6) * (INDIRECT("'"&amp;H$62&amp;"'!C2:C1000")=$C6)
        ),
        7,
        FALSE
    )
)</f>
        <v/>
      </c>
      <c r="I6" s="58">
        <f t="array" ref="I6">IF(
    VLOOKUP(
        $A6,
        _xlfn._xlws.FILTER(
            INDIRECT("'"&amp;I$62&amp;"'!A2:G1000"), (INDIRECT("'"&amp;I$62&amp;"'!B2:B1000")=$B6) * (INDIRECT("'"&amp;I$62&amp;"'!C2:C1000")=$C6)
        ),
        5,
        FALSE
    )="",
    "",
    VLOOKUP(
        $A6,
        _xlfn._xlws.FILTER(
            INDIRECT("'"&amp;I$62&amp;"'!A2:G1000"), (INDIRECT("'"&amp;I$62&amp;"'!B2:B1000")=$B6) * (INDIRECT("'"&amp;I$62&amp;"'!C2:C1000")=$C6)
        ),
        7,
        FALSE
    )
)</f>
        <v/>
      </c>
      <c r="J6" s="58">
        <f t="array" ref="J6">IF(
    VLOOKUP(
        $A6,
        _xlfn._xlws.FILTER(
            INDIRECT("'"&amp;J$62&amp;"'!A2:G1000"), (INDIRECT("'"&amp;J$62&amp;"'!B2:B1000")=$B6) * (INDIRECT("'"&amp;J$62&amp;"'!C2:C1000")=$C6)
        ),
        5,
        FALSE
    )="",
    "",
    VLOOKUP(
        $A6,
        _xlfn._xlws.FILTER(
            INDIRECT("'"&amp;J$62&amp;"'!A2:G1000"), (INDIRECT("'"&amp;J$62&amp;"'!B2:B1000")=$B6) * (INDIRECT("'"&amp;J$62&amp;"'!C2:C1000")=$C6)
        ),
        7,
        FALSE
    )
)</f>
        <v/>
      </c>
      <c r="K6" s="58">
        <f t="array" ref="K6">IF(
    VLOOKUP(
        $A6,
        _xlfn._xlws.FILTER(
            INDIRECT("'"&amp;K$62&amp;"'!A2:G1000"), (INDIRECT("'"&amp;K$62&amp;"'!B2:B1000")=$B6) * (INDIRECT("'"&amp;K$62&amp;"'!C2:C1000")=$C6)
        ),
        5,
        FALSE
    )="",
    "",
    VLOOKUP(
        $A6,
        _xlfn._xlws.FILTER(
            INDIRECT("'"&amp;K$62&amp;"'!A2:G1000"), (INDIRECT("'"&amp;K$62&amp;"'!B2:B1000")=$B6) * (INDIRECT("'"&amp;K$62&amp;"'!C2:C1000")=$C6)
        ),
        7,
        FALSE
    )
)</f>
        <v/>
      </c>
      <c r="L6" s="58">
        <f t="array" ref="L6">IF(
    VLOOKUP(
        $A6,
        _xlfn._xlws.FILTER(
            INDIRECT("'"&amp;L$62&amp;"'!A2:G1000"), (INDIRECT("'"&amp;L$62&amp;"'!B2:B1000")=$B6) * (INDIRECT("'"&amp;L$62&amp;"'!C2:C1000")=$C6)
        ),
        5,
        FALSE
    )="",
    "",
    VLOOKUP(
        $A6,
        _xlfn._xlws.FILTER(
            INDIRECT("'"&amp;L$62&amp;"'!A2:G1000"), (INDIRECT("'"&amp;L$62&amp;"'!B2:B1000")=$B6) * (INDIRECT("'"&amp;L$62&amp;"'!C2:C1000")=$C6)
        ),
        7,
        FALSE
    )
)</f>
        <v/>
      </c>
      <c r="M6" s="58">
        <f t="array" ref="M6">IF(
    VLOOKUP(
        $A6,
        _xlfn._xlws.FILTER(
            INDIRECT("'"&amp;M$62&amp;"'!A2:G1000"), (INDIRECT("'"&amp;M$62&amp;"'!B2:B1000")=$B6) * (INDIRECT("'"&amp;M$62&amp;"'!C2:C1000")=$C6)
        ),
        5,
        FALSE
    )="",
    "",
    VLOOKUP(
        $A6,
        _xlfn._xlws.FILTER(
            INDIRECT("'"&amp;M$62&amp;"'!A2:G1000"), (INDIRECT("'"&amp;M$62&amp;"'!B2:B1000")=$B6) * (INDIRECT("'"&amp;M$62&amp;"'!C2:C1000")=$C6)
        ),
        7,
        FALSE
    )
)</f>
        <v/>
      </c>
      <c r="N6" s="58">
        <f t="array" ref="N6">IF(
    VLOOKUP(
        $A6,
        _xlfn._xlws.FILTER(
            INDIRECT("'"&amp;N$62&amp;"'!A2:G1000"), (INDIRECT("'"&amp;N$62&amp;"'!B2:B1000")=$B6) * (INDIRECT("'"&amp;N$62&amp;"'!C2:C1000")=$C6)
        ),
        5,
        FALSE
    )="",
    "",
    VLOOKUP(
        $A6,
        _xlfn._xlws.FILTER(
            INDIRECT("'"&amp;N$62&amp;"'!A2:G1000"), (INDIRECT("'"&amp;N$62&amp;"'!B2:B1000")=$B6) * (INDIRECT("'"&amp;N$62&amp;"'!C2:C1000")=$C6)
        ),
        7,
        FALSE
    )
)</f>
        <v/>
      </c>
      <c r="O6" s="58">
        <f t="array" ref="O6">IF(
    VLOOKUP(
        $A6,
        _xlfn._xlws.FILTER(
            INDIRECT("'"&amp;O$62&amp;"'!A2:G1000"), (INDIRECT("'"&amp;O$62&amp;"'!B2:B1000")=$B6) * (INDIRECT("'"&amp;O$62&amp;"'!C2:C1000")=$C6)
        ),
        5,
        FALSE
    )="",
    "",
    VLOOKUP(
        $A6,
        _xlfn._xlws.FILTER(
            INDIRECT("'"&amp;O$62&amp;"'!A2:G1000"), (INDIRECT("'"&amp;O$62&amp;"'!B2:B1000")=$B6) * (INDIRECT("'"&amp;O$62&amp;"'!C2:C1000")=$C6)
        ),
        7,
        FALSE
    )
)</f>
        <v/>
      </c>
      <c r="P6" s="58">
        <f t="array" ref="P6">IF(
    VLOOKUP(
        $A6,
        _xlfn._xlws.FILTER(
            INDIRECT("'"&amp;P$62&amp;"'!A2:G1000"), (INDIRECT("'"&amp;P$62&amp;"'!B2:B1000")=$B6) * (INDIRECT("'"&amp;P$62&amp;"'!C2:C1000")=$C6)
        ),
        5,
        FALSE
    )="",
    "",
    VLOOKUP(
        $A6,
        _xlfn._xlws.FILTER(
            INDIRECT("'"&amp;P$62&amp;"'!A2:G1000"), (INDIRECT("'"&amp;P$62&amp;"'!B2:B1000")=$B6) * (INDIRECT("'"&amp;P$62&amp;"'!C2:C1000")=$C6)
        ),
        7,
        FALSE
    )
)</f>
        <v/>
      </c>
    </row>
    <row r="7">
      <c r="A7" s="8" t="inlineStr">
        <is>
          <t>Curitiba</t>
        </is>
      </c>
      <c r="B7" s="58" t="inlineStr">
        <is>
          <t>Campo Magro</t>
        </is>
      </c>
      <c r="C7" s="85" t="inlineStr">
        <is>
          <t>01</t>
        </is>
      </c>
      <c r="D7" s="58">
        <f t="array" ref="D7">IF(
    VLOOKUP(
        $A7,
        _xlfn._xlws.FILTER(
            INDIRECT("'"&amp;D$62&amp;"'!A2:G1000"), (INDIRECT("'"&amp;D$62&amp;"'!B2:B1000")=$B7) * (INDIRECT("'"&amp;D$62&amp;"'!C2:C1000")=$C7)
        ),
        5,
        FALSE
    )="",
    "",
    VLOOKUP(
        $A7,
        _xlfn._xlws.FILTER(
            INDIRECT("'"&amp;D$62&amp;"'!A2:G1000"), (INDIRECT("'"&amp;D$62&amp;"'!B2:B1000")=$B7) * (INDIRECT("'"&amp;D$62&amp;"'!C2:C1000")=$C7)
        ),
        7,
        FALSE
    )
)</f>
        <v/>
      </c>
      <c r="E7" s="58">
        <f t="array" ref="E7">IF(
    VLOOKUP(
        $A7,
        _xlfn._xlws.FILTER(
            INDIRECT("'"&amp;E$62&amp;"'!A2:G1000"), (INDIRECT("'"&amp;E$62&amp;"'!B2:B1000")=$B7) * (INDIRECT("'"&amp;E$62&amp;"'!C2:C1000")=$C7)
        ),
        5,
        FALSE
    )="",
    "",
    VLOOKUP(
        $A7,
        _xlfn._xlws.FILTER(
            INDIRECT("'"&amp;E$62&amp;"'!A2:G1000"), (INDIRECT("'"&amp;E$62&amp;"'!B2:B1000")=$B7) * (INDIRECT("'"&amp;E$62&amp;"'!C2:C1000")=$C7)
        ),
        7,
        FALSE
    )
)</f>
        <v/>
      </c>
      <c r="F7" s="58">
        <f t="array" ref="F7">IF(
    VLOOKUP(
        $A7,
        _xlfn._xlws.FILTER(
            INDIRECT("'"&amp;F$62&amp;"'!A2:G1000"), (INDIRECT("'"&amp;F$62&amp;"'!B2:B1000")=$B7) * (INDIRECT("'"&amp;F$62&amp;"'!C2:C1000")=$C7)
        ),
        5,
        FALSE
    )="",
    "",
    VLOOKUP(
        $A7,
        _xlfn._xlws.FILTER(
            INDIRECT("'"&amp;F$62&amp;"'!A2:G1000"), (INDIRECT("'"&amp;F$62&amp;"'!B2:B1000")=$B7) * (INDIRECT("'"&amp;F$62&amp;"'!C2:C1000")=$C7)
        ),
        7,
        FALSE
    )
)</f>
        <v/>
      </c>
      <c r="G7" s="58">
        <f t="array" ref="G7">IF(
    VLOOKUP(
        $A7,
        _xlfn._xlws.FILTER(
            INDIRECT("'"&amp;G$62&amp;"'!A2:G1000"), (INDIRECT("'"&amp;G$62&amp;"'!B2:B1000")=$B7) * (INDIRECT("'"&amp;G$62&amp;"'!C2:C1000")=$C7)
        ),
        5,
        FALSE
    )="",
    "",
    VLOOKUP(
        $A7,
        _xlfn._xlws.FILTER(
            INDIRECT("'"&amp;G$62&amp;"'!A2:G1000"), (INDIRECT("'"&amp;G$62&amp;"'!B2:B1000")=$B7) * (INDIRECT("'"&amp;G$62&amp;"'!C2:C1000")=$C7)
        ),
        7,
        FALSE
    )
)</f>
        <v/>
      </c>
      <c r="H7" s="58">
        <f t="array" ref="H7">IF(
    VLOOKUP(
        $A7,
        _xlfn._xlws.FILTER(
            INDIRECT("'"&amp;H$62&amp;"'!A2:G1000"), (INDIRECT("'"&amp;H$62&amp;"'!B2:B1000")=$B7) * (INDIRECT("'"&amp;H$62&amp;"'!C2:C1000")=$C7)
        ),
        5,
        FALSE
    )="",
    "",
    VLOOKUP(
        $A7,
        _xlfn._xlws.FILTER(
            INDIRECT("'"&amp;H$62&amp;"'!A2:G1000"), (INDIRECT("'"&amp;H$62&amp;"'!B2:B1000")=$B7) * (INDIRECT("'"&amp;H$62&amp;"'!C2:C1000")=$C7)
        ),
        7,
        FALSE
    )
)</f>
        <v/>
      </c>
      <c r="I7" s="58">
        <f t="array" ref="I7">IF(
    VLOOKUP(
        $A7,
        _xlfn._xlws.FILTER(
            INDIRECT("'"&amp;I$62&amp;"'!A2:G1000"), (INDIRECT("'"&amp;I$62&amp;"'!B2:B1000")=$B7) * (INDIRECT("'"&amp;I$62&amp;"'!C2:C1000")=$C7)
        ),
        5,
        FALSE
    )="",
    "",
    VLOOKUP(
        $A7,
        _xlfn._xlws.FILTER(
            INDIRECT("'"&amp;I$62&amp;"'!A2:G1000"), (INDIRECT("'"&amp;I$62&amp;"'!B2:B1000")=$B7) * (INDIRECT("'"&amp;I$62&amp;"'!C2:C1000")=$C7)
        ),
        7,
        FALSE
    )
)</f>
        <v/>
      </c>
      <c r="J7" s="58">
        <f t="array" ref="J7">IF(
    VLOOKUP(
        $A7,
        _xlfn._xlws.FILTER(
            INDIRECT("'"&amp;J$62&amp;"'!A2:G1000"), (INDIRECT("'"&amp;J$62&amp;"'!B2:B1000")=$B7) * (INDIRECT("'"&amp;J$62&amp;"'!C2:C1000")=$C7)
        ),
        5,
        FALSE
    )="",
    "",
    VLOOKUP(
        $A7,
        _xlfn._xlws.FILTER(
            INDIRECT("'"&amp;J$62&amp;"'!A2:G1000"), (INDIRECT("'"&amp;J$62&amp;"'!B2:B1000")=$B7) * (INDIRECT("'"&amp;J$62&amp;"'!C2:C1000")=$C7)
        ),
        7,
        FALSE
    )
)</f>
        <v/>
      </c>
      <c r="K7" s="58">
        <f t="array" ref="K7">IF(
    VLOOKUP(
        $A7,
        _xlfn._xlws.FILTER(
            INDIRECT("'"&amp;K$62&amp;"'!A2:G1000"), (INDIRECT("'"&amp;K$62&amp;"'!B2:B1000")=$B7) * (INDIRECT("'"&amp;K$62&amp;"'!C2:C1000")=$C7)
        ),
        5,
        FALSE
    )="",
    "",
    VLOOKUP(
        $A7,
        _xlfn._xlws.FILTER(
            INDIRECT("'"&amp;K$62&amp;"'!A2:G1000"), (INDIRECT("'"&amp;K$62&amp;"'!B2:B1000")=$B7) * (INDIRECT("'"&amp;K$62&amp;"'!C2:C1000")=$C7)
        ),
        7,
        FALSE
    )
)</f>
        <v/>
      </c>
      <c r="L7" s="58">
        <f t="array" ref="L7">IF(
    VLOOKUP(
        $A7,
        _xlfn._xlws.FILTER(
            INDIRECT("'"&amp;L$62&amp;"'!A2:G1000"), (INDIRECT("'"&amp;L$62&amp;"'!B2:B1000")=$B7) * (INDIRECT("'"&amp;L$62&amp;"'!C2:C1000")=$C7)
        ),
        5,
        FALSE
    )="",
    "",
    VLOOKUP(
        $A7,
        _xlfn._xlws.FILTER(
            INDIRECT("'"&amp;L$62&amp;"'!A2:G1000"), (INDIRECT("'"&amp;L$62&amp;"'!B2:B1000")=$B7) * (INDIRECT("'"&amp;L$62&amp;"'!C2:C1000")=$C7)
        ),
        7,
        FALSE
    )
)</f>
        <v/>
      </c>
      <c r="M7" s="58">
        <f t="array" ref="M7">IF(
    VLOOKUP(
        $A7,
        _xlfn._xlws.FILTER(
            INDIRECT("'"&amp;M$62&amp;"'!A2:G1000"), (INDIRECT("'"&amp;M$62&amp;"'!B2:B1000")=$B7) * (INDIRECT("'"&amp;M$62&amp;"'!C2:C1000")=$C7)
        ),
        5,
        FALSE
    )="",
    "",
    VLOOKUP(
        $A7,
        _xlfn._xlws.FILTER(
            INDIRECT("'"&amp;M$62&amp;"'!A2:G1000"), (INDIRECT("'"&amp;M$62&amp;"'!B2:B1000")=$B7) * (INDIRECT("'"&amp;M$62&amp;"'!C2:C1000")=$C7)
        ),
        7,
        FALSE
    )
)</f>
        <v/>
      </c>
      <c r="N7" s="58">
        <f t="array" ref="N7">IF(
    VLOOKUP(
        $A7,
        _xlfn._xlws.FILTER(
            INDIRECT("'"&amp;N$62&amp;"'!A2:G1000"), (INDIRECT("'"&amp;N$62&amp;"'!B2:B1000")=$B7) * (INDIRECT("'"&amp;N$62&amp;"'!C2:C1000")=$C7)
        ),
        5,
        FALSE
    )="",
    "",
    VLOOKUP(
        $A7,
        _xlfn._xlws.FILTER(
            INDIRECT("'"&amp;N$62&amp;"'!A2:G1000"), (INDIRECT("'"&amp;N$62&amp;"'!B2:B1000")=$B7) * (INDIRECT("'"&amp;N$62&amp;"'!C2:C1000")=$C7)
        ),
        7,
        FALSE
    )
)</f>
        <v/>
      </c>
      <c r="O7" s="58">
        <f t="array" ref="O7">IF(
    VLOOKUP(
        $A7,
        _xlfn._xlws.FILTER(
            INDIRECT("'"&amp;O$62&amp;"'!A2:G1000"), (INDIRECT("'"&amp;O$62&amp;"'!B2:B1000")=$B7) * (INDIRECT("'"&amp;O$62&amp;"'!C2:C1000")=$C7)
        ),
        5,
        FALSE
    )="",
    "",
    VLOOKUP(
        $A7,
        _xlfn._xlws.FILTER(
            INDIRECT("'"&amp;O$62&amp;"'!A2:G1000"), (INDIRECT("'"&amp;O$62&amp;"'!B2:B1000")=$B7) * (INDIRECT("'"&amp;O$62&amp;"'!C2:C1000")=$C7)
        ),
        7,
        FALSE
    )
)</f>
        <v/>
      </c>
      <c r="P7" s="58">
        <f t="array" ref="P7">IF(
    VLOOKUP(
        $A7,
        _xlfn._xlws.FILTER(
            INDIRECT("'"&amp;P$62&amp;"'!A2:G1000"), (INDIRECT("'"&amp;P$62&amp;"'!B2:B1000")=$B7) * (INDIRECT("'"&amp;P$62&amp;"'!C2:C1000")=$C7)
        ),
        5,
        FALSE
    )="",
    "",
    VLOOKUP(
        $A7,
        _xlfn._xlws.FILTER(
            INDIRECT("'"&amp;P$62&amp;"'!A2:G1000"), (INDIRECT("'"&amp;P$62&amp;"'!B2:B1000")=$B7) * (INDIRECT("'"&amp;P$62&amp;"'!C2:C1000")=$C7)
        ),
        7,
        FALSE
    )
)</f>
        <v/>
      </c>
    </row>
    <row r="8">
      <c r="A8" s="8" t="inlineStr">
        <is>
          <t>Curitiba</t>
        </is>
      </c>
      <c r="B8" s="58" t="inlineStr">
        <is>
          <t>Cerro Azul</t>
        </is>
      </c>
      <c r="C8" s="85" t="inlineStr">
        <is>
          <t>01</t>
        </is>
      </c>
      <c r="D8" s="58">
        <f t="array" ref="D8">IF(
    VLOOKUP(
        $A8,
        _xlfn._xlws.FILTER(
            INDIRECT("'"&amp;D$62&amp;"'!A2:G1000"), (INDIRECT("'"&amp;D$62&amp;"'!B2:B1000")=$B8) * (INDIRECT("'"&amp;D$62&amp;"'!C2:C1000")=$C8)
        ),
        5,
        FALSE
    )="",
    "",
    VLOOKUP(
        $A8,
        _xlfn._xlws.FILTER(
            INDIRECT("'"&amp;D$62&amp;"'!A2:G1000"), (INDIRECT("'"&amp;D$62&amp;"'!B2:B1000")=$B8) * (INDIRECT("'"&amp;D$62&amp;"'!C2:C1000")=$C8)
        ),
        7,
        FALSE
    )
)</f>
        <v/>
      </c>
      <c r="E8" s="58">
        <f t="array" ref="E8">IF(
    VLOOKUP(
        $A8,
        _xlfn._xlws.FILTER(
            INDIRECT("'"&amp;E$62&amp;"'!A2:G1000"), (INDIRECT("'"&amp;E$62&amp;"'!B2:B1000")=$B8) * (INDIRECT("'"&amp;E$62&amp;"'!C2:C1000")=$C8)
        ),
        5,
        FALSE
    )="",
    "",
    VLOOKUP(
        $A8,
        _xlfn._xlws.FILTER(
            INDIRECT("'"&amp;E$62&amp;"'!A2:G1000"), (INDIRECT("'"&amp;E$62&amp;"'!B2:B1000")=$B8) * (INDIRECT("'"&amp;E$62&amp;"'!C2:C1000")=$C8)
        ),
        7,
        FALSE
    )
)</f>
        <v/>
      </c>
      <c r="F8" s="58">
        <f t="array" ref="F8">IF(
    VLOOKUP(
        $A8,
        _xlfn._xlws.FILTER(
            INDIRECT("'"&amp;F$62&amp;"'!A2:G1000"), (INDIRECT("'"&amp;F$62&amp;"'!B2:B1000")=$B8) * (INDIRECT("'"&amp;F$62&amp;"'!C2:C1000")=$C8)
        ),
        5,
        FALSE
    )="",
    "",
    VLOOKUP(
        $A8,
        _xlfn._xlws.FILTER(
            INDIRECT("'"&amp;F$62&amp;"'!A2:G1000"), (INDIRECT("'"&amp;F$62&amp;"'!B2:B1000")=$B8) * (INDIRECT("'"&amp;F$62&amp;"'!C2:C1000")=$C8)
        ),
        7,
        FALSE
    )
)</f>
        <v/>
      </c>
      <c r="G8" s="58">
        <f t="array" ref="G8">IF(
    VLOOKUP(
        $A8,
        _xlfn._xlws.FILTER(
            INDIRECT("'"&amp;G$62&amp;"'!A2:G1000"), (INDIRECT("'"&amp;G$62&amp;"'!B2:B1000")=$B8) * (INDIRECT("'"&amp;G$62&amp;"'!C2:C1000")=$C8)
        ),
        5,
        FALSE
    )="",
    "",
    VLOOKUP(
        $A8,
        _xlfn._xlws.FILTER(
            INDIRECT("'"&amp;G$62&amp;"'!A2:G1000"), (INDIRECT("'"&amp;G$62&amp;"'!B2:B1000")=$B8) * (INDIRECT("'"&amp;G$62&amp;"'!C2:C1000")=$C8)
        ),
        7,
        FALSE
    )
)</f>
        <v/>
      </c>
      <c r="H8" s="58">
        <f t="array" ref="H8">IF(
    VLOOKUP(
        $A8,
        _xlfn._xlws.FILTER(
            INDIRECT("'"&amp;H$62&amp;"'!A2:G1000"), (INDIRECT("'"&amp;H$62&amp;"'!B2:B1000")=$B8) * (INDIRECT("'"&amp;H$62&amp;"'!C2:C1000")=$C8)
        ),
        5,
        FALSE
    )="",
    "",
    VLOOKUP(
        $A8,
        _xlfn._xlws.FILTER(
            INDIRECT("'"&amp;H$62&amp;"'!A2:G1000"), (INDIRECT("'"&amp;H$62&amp;"'!B2:B1000")=$B8) * (INDIRECT("'"&amp;H$62&amp;"'!C2:C1000")=$C8)
        ),
        7,
        FALSE
    )
)</f>
        <v/>
      </c>
      <c r="I8" s="58">
        <f t="array" ref="I8">IF(
    VLOOKUP(
        $A8,
        _xlfn._xlws.FILTER(
            INDIRECT("'"&amp;I$62&amp;"'!A2:G1000"), (INDIRECT("'"&amp;I$62&amp;"'!B2:B1000")=$B8) * (INDIRECT("'"&amp;I$62&amp;"'!C2:C1000")=$C8)
        ),
        5,
        FALSE
    )="",
    "",
    VLOOKUP(
        $A8,
        _xlfn._xlws.FILTER(
            INDIRECT("'"&amp;I$62&amp;"'!A2:G1000"), (INDIRECT("'"&amp;I$62&amp;"'!B2:B1000")=$B8) * (INDIRECT("'"&amp;I$62&amp;"'!C2:C1000")=$C8)
        ),
        7,
        FALSE
    )
)</f>
        <v/>
      </c>
      <c r="J8" s="58">
        <f t="array" ref="J8">IF(
    VLOOKUP(
        $A8,
        _xlfn._xlws.FILTER(
            INDIRECT("'"&amp;J$62&amp;"'!A2:G1000"), (INDIRECT("'"&amp;J$62&amp;"'!B2:B1000")=$B8) * (INDIRECT("'"&amp;J$62&amp;"'!C2:C1000")=$C8)
        ),
        5,
        FALSE
    )="",
    "",
    VLOOKUP(
        $A8,
        _xlfn._xlws.FILTER(
            INDIRECT("'"&amp;J$62&amp;"'!A2:G1000"), (INDIRECT("'"&amp;J$62&amp;"'!B2:B1000")=$B8) * (INDIRECT("'"&amp;J$62&amp;"'!C2:C1000")=$C8)
        ),
        7,
        FALSE
    )
)</f>
        <v/>
      </c>
      <c r="K8" s="58">
        <f t="array" ref="K8">IF(
    VLOOKUP(
        $A8,
        _xlfn._xlws.FILTER(
            INDIRECT("'"&amp;K$62&amp;"'!A2:G1000"), (INDIRECT("'"&amp;K$62&amp;"'!B2:B1000")=$B8) * (INDIRECT("'"&amp;K$62&amp;"'!C2:C1000")=$C8)
        ),
        5,
        FALSE
    )="",
    "",
    VLOOKUP(
        $A8,
        _xlfn._xlws.FILTER(
            INDIRECT("'"&amp;K$62&amp;"'!A2:G1000"), (INDIRECT("'"&amp;K$62&amp;"'!B2:B1000")=$B8) * (INDIRECT("'"&amp;K$62&amp;"'!C2:C1000")=$C8)
        ),
        7,
        FALSE
    )
)</f>
        <v/>
      </c>
      <c r="L8" s="58">
        <f t="array" ref="L8">IF(
    VLOOKUP(
        $A8,
        _xlfn._xlws.FILTER(
            INDIRECT("'"&amp;L$62&amp;"'!A2:G1000"), (INDIRECT("'"&amp;L$62&amp;"'!B2:B1000")=$B8) * (INDIRECT("'"&amp;L$62&amp;"'!C2:C1000")=$C8)
        ),
        5,
        FALSE
    )="",
    "",
    VLOOKUP(
        $A8,
        _xlfn._xlws.FILTER(
            INDIRECT("'"&amp;L$62&amp;"'!A2:G1000"), (INDIRECT("'"&amp;L$62&amp;"'!B2:B1000")=$B8) * (INDIRECT("'"&amp;L$62&amp;"'!C2:C1000")=$C8)
        ),
        7,
        FALSE
    )
)</f>
        <v/>
      </c>
      <c r="M8" s="58">
        <f t="array" ref="M8">IF(
    VLOOKUP(
        $A8,
        _xlfn._xlws.FILTER(
            INDIRECT("'"&amp;M$62&amp;"'!A2:G1000"), (INDIRECT("'"&amp;M$62&amp;"'!B2:B1000")=$B8) * (INDIRECT("'"&amp;M$62&amp;"'!C2:C1000")=$C8)
        ),
        5,
        FALSE
    )="",
    "",
    VLOOKUP(
        $A8,
        _xlfn._xlws.FILTER(
            INDIRECT("'"&amp;M$62&amp;"'!A2:G1000"), (INDIRECT("'"&amp;M$62&amp;"'!B2:B1000")=$B8) * (INDIRECT("'"&amp;M$62&amp;"'!C2:C1000")=$C8)
        ),
        7,
        FALSE
    )
)</f>
        <v/>
      </c>
      <c r="N8" s="58">
        <f t="array" ref="N8">IF(
    VLOOKUP(
        $A8,
        _xlfn._xlws.FILTER(
            INDIRECT("'"&amp;N$62&amp;"'!A2:G1000"), (INDIRECT("'"&amp;N$62&amp;"'!B2:B1000")=$B8) * (INDIRECT("'"&amp;N$62&amp;"'!C2:C1000")=$C8)
        ),
        5,
        FALSE
    )="",
    "",
    VLOOKUP(
        $A8,
        _xlfn._xlws.FILTER(
            INDIRECT("'"&amp;N$62&amp;"'!A2:G1000"), (INDIRECT("'"&amp;N$62&amp;"'!B2:B1000")=$B8) * (INDIRECT("'"&amp;N$62&amp;"'!C2:C1000")=$C8)
        ),
        7,
        FALSE
    )
)</f>
        <v/>
      </c>
      <c r="O8" s="58">
        <f t="array" ref="O8">IF(
    VLOOKUP(
        $A8,
        _xlfn._xlws.FILTER(
            INDIRECT("'"&amp;O$62&amp;"'!A2:G1000"), (INDIRECT("'"&amp;O$62&amp;"'!B2:B1000")=$B8) * (INDIRECT("'"&amp;O$62&amp;"'!C2:C1000")=$C8)
        ),
        5,
        FALSE
    )="",
    "",
    VLOOKUP(
        $A8,
        _xlfn._xlws.FILTER(
            INDIRECT("'"&amp;O$62&amp;"'!A2:G1000"), (INDIRECT("'"&amp;O$62&amp;"'!B2:B1000")=$B8) * (INDIRECT("'"&amp;O$62&amp;"'!C2:C1000")=$C8)
        ),
        7,
        FALSE
    )
)</f>
        <v/>
      </c>
      <c r="P8" s="58">
        <f t="array" ref="P8">IF(
    VLOOKUP(
        $A8,
        _xlfn._xlws.FILTER(
            INDIRECT("'"&amp;P$62&amp;"'!A2:G1000"), (INDIRECT("'"&amp;P$62&amp;"'!B2:B1000")=$B8) * (INDIRECT("'"&amp;P$62&amp;"'!C2:C1000")=$C8)
        ),
        5,
        FALSE
    )="",
    "",
    VLOOKUP(
        $A8,
        _xlfn._xlws.FILTER(
            INDIRECT("'"&amp;P$62&amp;"'!A2:G1000"), (INDIRECT("'"&amp;P$62&amp;"'!B2:B1000")=$B8) * (INDIRECT("'"&amp;P$62&amp;"'!C2:C1000")=$C8)
        ),
        7,
        FALSE
    )
)</f>
        <v/>
      </c>
    </row>
    <row r="9">
      <c r="A9" s="8" t="inlineStr">
        <is>
          <t>Curitiba</t>
        </is>
      </c>
      <c r="B9" s="58" t="inlineStr">
        <is>
          <t>Lapa</t>
        </is>
      </c>
      <c r="C9" s="85" t="inlineStr">
        <is>
          <t>01</t>
        </is>
      </c>
      <c r="D9" s="58">
        <f t="array" ref="D9">IF(
    VLOOKUP(
        $A9,
        _xlfn._xlws.FILTER(
            INDIRECT("'"&amp;D$62&amp;"'!A2:G1000"), (INDIRECT("'"&amp;D$62&amp;"'!B2:B1000")=$B9) * (INDIRECT("'"&amp;D$62&amp;"'!C2:C1000")=$C9)
        ),
        5,
        FALSE
    )="",
    "",
    VLOOKUP(
        $A9,
        _xlfn._xlws.FILTER(
            INDIRECT("'"&amp;D$62&amp;"'!A2:G1000"), (INDIRECT("'"&amp;D$62&amp;"'!B2:B1000")=$B9) * (INDIRECT("'"&amp;D$62&amp;"'!C2:C1000")=$C9)
        ),
        7,
        FALSE
    )
)</f>
        <v/>
      </c>
      <c r="E9" s="58">
        <f t="array" ref="E9">IF(
    VLOOKUP(
        $A9,
        _xlfn._xlws.FILTER(
            INDIRECT("'"&amp;E$62&amp;"'!A2:G1000"), (INDIRECT("'"&amp;E$62&amp;"'!B2:B1000")=$B9) * (INDIRECT("'"&amp;E$62&amp;"'!C2:C1000")=$C9)
        ),
        5,
        FALSE
    )="",
    "",
    VLOOKUP(
        $A9,
        _xlfn._xlws.FILTER(
            INDIRECT("'"&amp;E$62&amp;"'!A2:G1000"), (INDIRECT("'"&amp;E$62&amp;"'!B2:B1000")=$B9) * (INDIRECT("'"&amp;E$62&amp;"'!C2:C1000")=$C9)
        ),
        7,
        FALSE
    )
)</f>
        <v/>
      </c>
      <c r="F9" s="58">
        <f t="array" ref="F9">IF(
    VLOOKUP(
        $A9,
        _xlfn._xlws.FILTER(
            INDIRECT("'"&amp;F$62&amp;"'!A2:G1000"), (INDIRECT("'"&amp;F$62&amp;"'!B2:B1000")=$B9) * (INDIRECT("'"&amp;F$62&amp;"'!C2:C1000")=$C9)
        ),
        5,
        FALSE
    )="",
    "",
    VLOOKUP(
        $A9,
        _xlfn._xlws.FILTER(
            INDIRECT("'"&amp;F$62&amp;"'!A2:G1000"), (INDIRECT("'"&amp;F$62&amp;"'!B2:B1000")=$B9) * (INDIRECT("'"&amp;F$62&amp;"'!C2:C1000")=$C9)
        ),
        7,
        FALSE
    )
)</f>
        <v/>
      </c>
      <c r="G9" s="58">
        <f t="array" ref="G9">IF(
    VLOOKUP(
        $A9,
        _xlfn._xlws.FILTER(
            INDIRECT("'"&amp;G$62&amp;"'!A2:G1000"), (INDIRECT("'"&amp;G$62&amp;"'!B2:B1000")=$B9) * (INDIRECT("'"&amp;G$62&amp;"'!C2:C1000")=$C9)
        ),
        5,
        FALSE
    )="",
    "",
    VLOOKUP(
        $A9,
        _xlfn._xlws.FILTER(
            INDIRECT("'"&amp;G$62&amp;"'!A2:G1000"), (INDIRECT("'"&amp;G$62&amp;"'!B2:B1000")=$B9) * (INDIRECT("'"&amp;G$62&amp;"'!C2:C1000")=$C9)
        ),
        7,
        FALSE
    )
)</f>
        <v/>
      </c>
      <c r="H9" s="58">
        <f t="array" ref="H9">IF(
    VLOOKUP(
        $A9,
        _xlfn._xlws.FILTER(
            INDIRECT("'"&amp;H$62&amp;"'!A2:G1000"), (INDIRECT("'"&amp;H$62&amp;"'!B2:B1000")=$B9) * (INDIRECT("'"&amp;H$62&amp;"'!C2:C1000")=$C9)
        ),
        5,
        FALSE
    )="",
    "",
    VLOOKUP(
        $A9,
        _xlfn._xlws.FILTER(
            INDIRECT("'"&amp;H$62&amp;"'!A2:G1000"), (INDIRECT("'"&amp;H$62&amp;"'!B2:B1000")=$B9) * (INDIRECT("'"&amp;H$62&amp;"'!C2:C1000")=$C9)
        ),
        7,
        FALSE
    )
)</f>
        <v/>
      </c>
      <c r="I9" s="58">
        <f t="array" ref="I9">IF(
    VLOOKUP(
        $A9,
        _xlfn._xlws.FILTER(
            INDIRECT("'"&amp;I$62&amp;"'!A2:G1000"), (INDIRECT("'"&amp;I$62&amp;"'!B2:B1000")=$B9) * (INDIRECT("'"&amp;I$62&amp;"'!C2:C1000")=$C9)
        ),
        5,
        FALSE
    )="",
    "",
    VLOOKUP(
        $A9,
        _xlfn._xlws.FILTER(
            INDIRECT("'"&amp;I$62&amp;"'!A2:G1000"), (INDIRECT("'"&amp;I$62&amp;"'!B2:B1000")=$B9) * (INDIRECT("'"&amp;I$62&amp;"'!C2:C1000")=$C9)
        ),
        7,
        FALSE
    )
)</f>
        <v/>
      </c>
      <c r="J9" s="58">
        <f t="array" ref="J9">IF(
    VLOOKUP(
        $A9,
        _xlfn._xlws.FILTER(
            INDIRECT("'"&amp;J$62&amp;"'!A2:G1000"), (INDIRECT("'"&amp;J$62&amp;"'!B2:B1000")=$B9) * (INDIRECT("'"&amp;J$62&amp;"'!C2:C1000")=$C9)
        ),
        5,
        FALSE
    )="",
    "",
    VLOOKUP(
        $A9,
        _xlfn._xlws.FILTER(
            INDIRECT("'"&amp;J$62&amp;"'!A2:G1000"), (INDIRECT("'"&amp;J$62&amp;"'!B2:B1000")=$B9) * (INDIRECT("'"&amp;J$62&amp;"'!C2:C1000")=$C9)
        ),
        7,
        FALSE
    )
)</f>
        <v/>
      </c>
      <c r="K9" s="58">
        <f t="array" ref="K9">IF(
    VLOOKUP(
        $A9,
        _xlfn._xlws.FILTER(
            INDIRECT("'"&amp;K$62&amp;"'!A2:G1000"), (INDIRECT("'"&amp;K$62&amp;"'!B2:B1000")=$B9) * (INDIRECT("'"&amp;K$62&amp;"'!C2:C1000")=$C9)
        ),
        5,
        FALSE
    )="",
    "",
    VLOOKUP(
        $A9,
        _xlfn._xlws.FILTER(
            INDIRECT("'"&amp;K$62&amp;"'!A2:G1000"), (INDIRECT("'"&amp;K$62&amp;"'!B2:B1000")=$B9) * (INDIRECT("'"&amp;K$62&amp;"'!C2:C1000")=$C9)
        ),
        7,
        FALSE
    )
)</f>
        <v/>
      </c>
      <c r="L9" s="58">
        <f t="array" ref="L9">IF(
    VLOOKUP(
        $A9,
        _xlfn._xlws.FILTER(
            INDIRECT("'"&amp;L$62&amp;"'!A2:G1000"), (INDIRECT("'"&amp;L$62&amp;"'!B2:B1000")=$B9) * (INDIRECT("'"&amp;L$62&amp;"'!C2:C1000")=$C9)
        ),
        5,
        FALSE
    )="",
    "",
    VLOOKUP(
        $A9,
        _xlfn._xlws.FILTER(
            INDIRECT("'"&amp;L$62&amp;"'!A2:G1000"), (INDIRECT("'"&amp;L$62&amp;"'!B2:B1000")=$B9) * (INDIRECT("'"&amp;L$62&amp;"'!C2:C1000")=$C9)
        ),
        7,
        FALSE
    )
)</f>
        <v/>
      </c>
      <c r="M9" s="58">
        <f t="array" ref="M9">IF(
    VLOOKUP(
        $A9,
        _xlfn._xlws.FILTER(
            INDIRECT("'"&amp;M$62&amp;"'!A2:G1000"), (INDIRECT("'"&amp;M$62&amp;"'!B2:B1000")=$B9) * (INDIRECT("'"&amp;M$62&amp;"'!C2:C1000")=$C9)
        ),
        5,
        FALSE
    )="",
    "",
    VLOOKUP(
        $A9,
        _xlfn._xlws.FILTER(
            INDIRECT("'"&amp;M$62&amp;"'!A2:G1000"), (INDIRECT("'"&amp;M$62&amp;"'!B2:B1000")=$B9) * (INDIRECT("'"&amp;M$62&amp;"'!C2:C1000")=$C9)
        ),
        7,
        FALSE
    )
)</f>
        <v/>
      </c>
      <c r="N9" s="58">
        <f t="array" ref="N9">IF(
    VLOOKUP(
        $A9,
        _xlfn._xlws.FILTER(
            INDIRECT("'"&amp;N$62&amp;"'!A2:G1000"), (INDIRECT("'"&amp;N$62&amp;"'!B2:B1000")=$B9) * (INDIRECT("'"&amp;N$62&amp;"'!C2:C1000")=$C9)
        ),
        5,
        FALSE
    )="",
    "",
    VLOOKUP(
        $A9,
        _xlfn._xlws.FILTER(
            INDIRECT("'"&amp;N$62&amp;"'!A2:G1000"), (INDIRECT("'"&amp;N$62&amp;"'!B2:B1000")=$B9) * (INDIRECT("'"&amp;N$62&amp;"'!C2:C1000")=$C9)
        ),
        7,
        FALSE
    )
)</f>
        <v/>
      </c>
      <c r="O9" s="58">
        <f t="array" ref="O9">IF(
    VLOOKUP(
        $A9,
        _xlfn._xlws.FILTER(
            INDIRECT("'"&amp;O$62&amp;"'!A2:G1000"), (INDIRECT("'"&amp;O$62&amp;"'!B2:B1000")=$B9) * (INDIRECT("'"&amp;O$62&amp;"'!C2:C1000")=$C9)
        ),
        5,
        FALSE
    )="",
    "",
    VLOOKUP(
        $A9,
        _xlfn._xlws.FILTER(
            INDIRECT("'"&amp;O$62&amp;"'!A2:G1000"), (INDIRECT("'"&amp;O$62&amp;"'!B2:B1000")=$B9) * (INDIRECT("'"&amp;O$62&amp;"'!C2:C1000")=$C9)
        ),
        7,
        FALSE
    )
)</f>
        <v/>
      </c>
      <c r="P9" s="58">
        <f t="array" ref="P9">IF(
    VLOOKUP(
        $A9,
        _xlfn._xlws.FILTER(
            INDIRECT("'"&amp;P$62&amp;"'!A2:G1000"), (INDIRECT("'"&amp;P$62&amp;"'!B2:B1000")=$B9) * (INDIRECT("'"&amp;P$62&amp;"'!C2:C1000")=$C9)
        ),
        5,
        FALSE
    )="",
    "",
    VLOOKUP(
        $A9,
        _xlfn._xlws.FILTER(
            INDIRECT("'"&amp;P$62&amp;"'!A2:G1000"), (INDIRECT("'"&amp;P$62&amp;"'!B2:B1000")=$B9) * (INDIRECT("'"&amp;P$62&amp;"'!C2:C1000")=$C9)
        ),
        7,
        FALSE
    )
)</f>
        <v/>
      </c>
    </row>
    <row r="10">
      <c r="A10" s="8" t="inlineStr">
        <is>
          <t>Curitiba</t>
        </is>
      </c>
      <c r="B10" s="58" t="inlineStr">
        <is>
          <t>Rio Branco Do Sul</t>
        </is>
      </c>
      <c r="C10" s="85" t="inlineStr">
        <is>
          <t>01</t>
        </is>
      </c>
      <c r="D10" s="58">
        <f t="array" ref="D10">IF(
    VLOOKUP(
        $A10,
        _xlfn._xlws.FILTER(
            INDIRECT("'"&amp;D$62&amp;"'!A2:G1000"), (INDIRECT("'"&amp;D$62&amp;"'!B2:B1000")=$B10) * (INDIRECT("'"&amp;D$62&amp;"'!C2:C1000")=$C10)
        ),
        5,
        FALSE
    )="",
    "",
    VLOOKUP(
        $A10,
        _xlfn._xlws.FILTER(
            INDIRECT("'"&amp;D$62&amp;"'!A2:G1000"), (INDIRECT("'"&amp;D$62&amp;"'!B2:B1000")=$B10) * (INDIRECT("'"&amp;D$62&amp;"'!C2:C1000")=$C10)
        ),
        7,
        FALSE
    )
)</f>
        <v/>
      </c>
      <c r="E10" s="58">
        <f t="array" ref="E10">IF(
    VLOOKUP(
        $A10,
        _xlfn._xlws.FILTER(
            INDIRECT("'"&amp;E$62&amp;"'!A2:G1000"), (INDIRECT("'"&amp;E$62&amp;"'!B2:B1000")=$B10) * (INDIRECT("'"&amp;E$62&amp;"'!C2:C1000")=$C10)
        ),
        5,
        FALSE
    )="",
    "",
    VLOOKUP(
        $A10,
        _xlfn._xlws.FILTER(
            INDIRECT("'"&amp;E$62&amp;"'!A2:G1000"), (INDIRECT("'"&amp;E$62&amp;"'!B2:B1000")=$B10) * (INDIRECT("'"&amp;E$62&amp;"'!C2:C1000")=$C10)
        ),
        7,
        FALSE
    )
)</f>
        <v/>
      </c>
      <c r="F10" s="58">
        <f t="array" ref="F10">IF(
    VLOOKUP(
        $A10,
        _xlfn._xlws.FILTER(
            INDIRECT("'"&amp;F$62&amp;"'!A2:G1000"), (INDIRECT("'"&amp;F$62&amp;"'!B2:B1000")=$B10) * (INDIRECT("'"&amp;F$62&amp;"'!C2:C1000")=$C10)
        ),
        5,
        FALSE
    )="",
    "",
    VLOOKUP(
        $A10,
        _xlfn._xlws.FILTER(
            INDIRECT("'"&amp;F$62&amp;"'!A2:G1000"), (INDIRECT("'"&amp;F$62&amp;"'!B2:B1000")=$B10) * (INDIRECT("'"&amp;F$62&amp;"'!C2:C1000")=$C10)
        ),
        7,
        FALSE
    )
)</f>
        <v/>
      </c>
      <c r="G10" s="58">
        <f t="array" ref="G10">IF(
    VLOOKUP(
        $A10,
        _xlfn._xlws.FILTER(
            INDIRECT("'"&amp;G$62&amp;"'!A2:G1000"), (INDIRECT("'"&amp;G$62&amp;"'!B2:B1000")=$B10) * (INDIRECT("'"&amp;G$62&amp;"'!C2:C1000")=$C10)
        ),
        5,
        FALSE
    )="",
    "",
    VLOOKUP(
        $A10,
        _xlfn._xlws.FILTER(
            INDIRECT("'"&amp;G$62&amp;"'!A2:G1000"), (INDIRECT("'"&amp;G$62&amp;"'!B2:B1000")=$B10) * (INDIRECT("'"&amp;G$62&amp;"'!C2:C1000")=$C10)
        ),
        7,
        FALSE
    )
)</f>
        <v/>
      </c>
      <c r="H10" s="58">
        <f t="array" ref="H10">IF(
    VLOOKUP(
        $A10,
        _xlfn._xlws.FILTER(
            INDIRECT("'"&amp;H$62&amp;"'!A2:G1000"), (INDIRECT("'"&amp;H$62&amp;"'!B2:B1000")=$B10) * (INDIRECT("'"&amp;H$62&amp;"'!C2:C1000")=$C10)
        ),
        5,
        FALSE
    )="",
    "",
    VLOOKUP(
        $A10,
        _xlfn._xlws.FILTER(
            INDIRECT("'"&amp;H$62&amp;"'!A2:G1000"), (INDIRECT("'"&amp;H$62&amp;"'!B2:B1000")=$B10) * (INDIRECT("'"&amp;H$62&amp;"'!C2:C1000")=$C10)
        ),
        7,
        FALSE
    )
)</f>
        <v/>
      </c>
      <c r="I10" s="58">
        <f t="array" ref="I10">IF(
    VLOOKUP(
        $A10,
        _xlfn._xlws.FILTER(
            INDIRECT("'"&amp;I$62&amp;"'!A2:G1000"), (INDIRECT("'"&amp;I$62&amp;"'!B2:B1000")=$B10) * (INDIRECT("'"&amp;I$62&amp;"'!C2:C1000")=$C10)
        ),
        5,
        FALSE
    )="",
    "",
    VLOOKUP(
        $A10,
        _xlfn._xlws.FILTER(
            INDIRECT("'"&amp;I$62&amp;"'!A2:G1000"), (INDIRECT("'"&amp;I$62&amp;"'!B2:B1000")=$B10) * (INDIRECT("'"&amp;I$62&amp;"'!C2:C1000")=$C10)
        ),
        7,
        FALSE
    )
)</f>
        <v/>
      </c>
      <c r="J10" s="58">
        <f t="array" ref="J10">IF(
    VLOOKUP(
        $A10,
        _xlfn._xlws.FILTER(
            INDIRECT("'"&amp;J$62&amp;"'!A2:G1000"), (INDIRECT("'"&amp;J$62&amp;"'!B2:B1000")=$B10) * (INDIRECT("'"&amp;J$62&amp;"'!C2:C1000")=$C10)
        ),
        5,
        FALSE
    )="",
    "",
    VLOOKUP(
        $A10,
        _xlfn._xlws.FILTER(
            INDIRECT("'"&amp;J$62&amp;"'!A2:G1000"), (INDIRECT("'"&amp;J$62&amp;"'!B2:B1000")=$B10) * (INDIRECT("'"&amp;J$62&amp;"'!C2:C1000")=$C10)
        ),
        7,
        FALSE
    )
)</f>
        <v/>
      </c>
      <c r="K10" s="58">
        <f t="array" ref="K10">IF(
    VLOOKUP(
        $A10,
        _xlfn._xlws.FILTER(
            INDIRECT("'"&amp;K$62&amp;"'!A2:G1000"), (INDIRECT("'"&amp;K$62&amp;"'!B2:B1000")=$B10) * (INDIRECT("'"&amp;K$62&amp;"'!C2:C1000")=$C10)
        ),
        5,
        FALSE
    )="",
    "",
    VLOOKUP(
        $A10,
        _xlfn._xlws.FILTER(
            INDIRECT("'"&amp;K$62&amp;"'!A2:G1000"), (INDIRECT("'"&amp;K$62&amp;"'!B2:B1000")=$B10) * (INDIRECT("'"&amp;K$62&amp;"'!C2:C1000")=$C10)
        ),
        7,
        FALSE
    )
)</f>
        <v/>
      </c>
      <c r="L10" s="58">
        <f t="array" ref="L10">IF(
    VLOOKUP(
        $A10,
        _xlfn._xlws.FILTER(
            INDIRECT("'"&amp;L$62&amp;"'!A2:G1000"), (INDIRECT("'"&amp;L$62&amp;"'!B2:B1000")=$B10) * (INDIRECT("'"&amp;L$62&amp;"'!C2:C1000")=$C10)
        ),
        5,
        FALSE
    )="",
    "",
    VLOOKUP(
        $A10,
        _xlfn._xlws.FILTER(
            INDIRECT("'"&amp;L$62&amp;"'!A2:G1000"), (INDIRECT("'"&amp;L$62&amp;"'!B2:B1000")=$B10) * (INDIRECT("'"&amp;L$62&amp;"'!C2:C1000")=$C10)
        ),
        7,
        FALSE
    )
)</f>
        <v/>
      </c>
      <c r="M10" s="58">
        <f t="array" ref="M10">IF(
    VLOOKUP(
        $A10,
        _xlfn._xlws.FILTER(
            INDIRECT("'"&amp;M$62&amp;"'!A2:G1000"), (INDIRECT("'"&amp;M$62&amp;"'!B2:B1000")=$B10) * (INDIRECT("'"&amp;M$62&amp;"'!C2:C1000")=$C10)
        ),
        5,
        FALSE
    )="",
    "",
    VLOOKUP(
        $A10,
        _xlfn._xlws.FILTER(
            INDIRECT("'"&amp;M$62&amp;"'!A2:G1000"), (INDIRECT("'"&amp;M$62&amp;"'!B2:B1000")=$B10) * (INDIRECT("'"&amp;M$62&amp;"'!C2:C1000")=$C10)
        ),
        7,
        FALSE
    )
)</f>
        <v/>
      </c>
      <c r="N10" s="58">
        <f t="array" ref="N10">IF(
    VLOOKUP(
        $A10,
        _xlfn._xlws.FILTER(
            INDIRECT("'"&amp;N$62&amp;"'!A2:G1000"), (INDIRECT("'"&amp;N$62&amp;"'!B2:B1000")=$B10) * (INDIRECT("'"&amp;N$62&amp;"'!C2:C1000")=$C10)
        ),
        5,
        FALSE
    )="",
    "",
    VLOOKUP(
        $A10,
        _xlfn._xlws.FILTER(
            INDIRECT("'"&amp;N$62&amp;"'!A2:G1000"), (INDIRECT("'"&amp;N$62&amp;"'!B2:B1000")=$B10) * (INDIRECT("'"&amp;N$62&amp;"'!C2:C1000")=$C10)
        ),
        7,
        FALSE
    )
)</f>
        <v/>
      </c>
      <c r="O10" s="58">
        <f t="array" ref="O10">IF(
    VLOOKUP(
        $A10,
        _xlfn._xlws.FILTER(
            INDIRECT("'"&amp;O$62&amp;"'!A2:G1000"), (INDIRECT("'"&amp;O$62&amp;"'!B2:B1000")=$B10) * (INDIRECT("'"&amp;O$62&amp;"'!C2:C1000")=$C10)
        ),
        5,
        FALSE
    )="",
    "",
    VLOOKUP(
        $A10,
        _xlfn._xlws.FILTER(
            INDIRECT("'"&amp;O$62&amp;"'!A2:G1000"), (INDIRECT("'"&amp;O$62&amp;"'!B2:B1000")=$B10) * (INDIRECT("'"&amp;O$62&amp;"'!C2:C1000")=$C10)
        ),
        7,
        FALSE
    )
)</f>
        <v/>
      </c>
      <c r="P10" s="58">
        <f t="array" ref="P10">IF(
    VLOOKUP(
        $A10,
        _xlfn._xlws.FILTER(
            INDIRECT("'"&amp;P$62&amp;"'!A2:G1000"), (INDIRECT("'"&amp;P$62&amp;"'!B2:B1000")=$B10) * (INDIRECT("'"&amp;P$62&amp;"'!C2:C1000")=$C10)
        ),
        5,
        FALSE
    )="",
    "",
    VLOOKUP(
        $A10,
        _xlfn._xlws.FILTER(
            INDIRECT("'"&amp;P$62&amp;"'!A2:G1000"), (INDIRECT("'"&amp;P$62&amp;"'!B2:B1000")=$B10) * (INDIRECT("'"&amp;P$62&amp;"'!C2:C1000")=$C10)
        ),
        7,
        FALSE
    )
)</f>
        <v/>
      </c>
    </row>
    <row r="11">
      <c r="A11" s="8" t="inlineStr">
        <is>
          <t>Curitiba</t>
        </is>
      </c>
      <c r="B11" s="58" t="inlineStr">
        <is>
          <t>Rio Branco Do Sul</t>
        </is>
      </c>
      <c r="C11" s="85" t="inlineStr">
        <is>
          <t>02</t>
        </is>
      </c>
      <c r="D11" s="58">
        <f t="array" ref="D11">IF(
    VLOOKUP(
        $A11,
        _xlfn._xlws.FILTER(
            INDIRECT("'"&amp;D$62&amp;"'!A2:G1000"), (INDIRECT("'"&amp;D$62&amp;"'!B2:B1000")=$B11) * (INDIRECT("'"&amp;D$62&amp;"'!C2:C1000")=$C11)
        ),
        5,
        FALSE
    )="",
    "",
    VLOOKUP(
        $A11,
        _xlfn._xlws.FILTER(
            INDIRECT("'"&amp;D$62&amp;"'!A2:G1000"), (INDIRECT("'"&amp;D$62&amp;"'!B2:B1000")=$B11) * (INDIRECT("'"&amp;D$62&amp;"'!C2:C1000")=$C11)
        ),
        7,
        FALSE
    )
)</f>
        <v/>
      </c>
      <c r="E11" s="58">
        <f t="array" ref="E11">IF(
    VLOOKUP(
        $A11,
        _xlfn._xlws.FILTER(
            INDIRECT("'"&amp;E$62&amp;"'!A2:G1000"), (INDIRECT("'"&amp;E$62&amp;"'!B2:B1000")=$B11) * (INDIRECT("'"&amp;E$62&amp;"'!C2:C1000")=$C11)
        ),
        5,
        FALSE
    )="",
    "",
    VLOOKUP(
        $A11,
        _xlfn._xlws.FILTER(
            INDIRECT("'"&amp;E$62&amp;"'!A2:G1000"), (INDIRECT("'"&amp;E$62&amp;"'!B2:B1000")=$B11) * (INDIRECT("'"&amp;E$62&amp;"'!C2:C1000")=$C11)
        ),
        7,
        FALSE
    )
)</f>
        <v/>
      </c>
      <c r="F11" s="58">
        <f t="array" ref="F11">IF(
    VLOOKUP(
        $A11,
        _xlfn._xlws.FILTER(
            INDIRECT("'"&amp;F$62&amp;"'!A2:G1000"), (INDIRECT("'"&amp;F$62&amp;"'!B2:B1000")=$B11) * (INDIRECT("'"&amp;F$62&amp;"'!C2:C1000")=$C11)
        ),
        5,
        FALSE
    )="",
    "",
    VLOOKUP(
        $A11,
        _xlfn._xlws.FILTER(
            INDIRECT("'"&amp;F$62&amp;"'!A2:G1000"), (INDIRECT("'"&amp;F$62&amp;"'!B2:B1000")=$B11) * (INDIRECT("'"&amp;F$62&amp;"'!C2:C1000")=$C11)
        ),
        7,
        FALSE
    )
)</f>
        <v/>
      </c>
      <c r="G11" s="58">
        <f t="array" ref="G11">IF(
    VLOOKUP(
        $A11,
        _xlfn._xlws.FILTER(
            INDIRECT("'"&amp;G$62&amp;"'!A2:G1000"), (INDIRECT("'"&amp;G$62&amp;"'!B2:B1000")=$B11) * (INDIRECT("'"&amp;G$62&amp;"'!C2:C1000")=$C11)
        ),
        5,
        FALSE
    )="",
    "",
    VLOOKUP(
        $A11,
        _xlfn._xlws.FILTER(
            INDIRECT("'"&amp;G$62&amp;"'!A2:G1000"), (INDIRECT("'"&amp;G$62&amp;"'!B2:B1000")=$B11) * (INDIRECT("'"&amp;G$62&amp;"'!C2:C1000")=$C11)
        ),
        7,
        FALSE
    )
)</f>
        <v/>
      </c>
      <c r="H11" s="58">
        <f t="array" ref="H11">IF(
    VLOOKUP(
        $A11,
        _xlfn._xlws.FILTER(
            INDIRECT("'"&amp;H$62&amp;"'!A2:G1000"), (INDIRECT("'"&amp;H$62&amp;"'!B2:B1000")=$B11) * (INDIRECT("'"&amp;H$62&amp;"'!C2:C1000")=$C11)
        ),
        5,
        FALSE
    )="",
    "",
    VLOOKUP(
        $A11,
        _xlfn._xlws.FILTER(
            INDIRECT("'"&amp;H$62&amp;"'!A2:G1000"), (INDIRECT("'"&amp;H$62&amp;"'!B2:B1000")=$B11) * (INDIRECT("'"&amp;H$62&amp;"'!C2:C1000")=$C11)
        ),
        7,
        FALSE
    )
)</f>
        <v/>
      </c>
      <c r="I11" s="58">
        <f t="array" ref="I11">IF(
    VLOOKUP(
        $A11,
        _xlfn._xlws.FILTER(
            INDIRECT("'"&amp;I$62&amp;"'!A2:G1000"), (INDIRECT("'"&amp;I$62&amp;"'!B2:B1000")=$B11) * (INDIRECT("'"&amp;I$62&amp;"'!C2:C1000")=$C11)
        ),
        5,
        FALSE
    )="",
    "",
    VLOOKUP(
        $A11,
        _xlfn._xlws.FILTER(
            INDIRECT("'"&amp;I$62&amp;"'!A2:G1000"), (INDIRECT("'"&amp;I$62&amp;"'!B2:B1000")=$B11) * (INDIRECT("'"&amp;I$62&amp;"'!C2:C1000")=$C11)
        ),
        7,
        FALSE
    )
)</f>
        <v/>
      </c>
      <c r="J11" s="58">
        <f t="array" ref="J11">IF(
    VLOOKUP(
        $A11,
        _xlfn._xlws.FILTER(
            INDIRECT("'"&amp;J$62&amp;"'!A2:G1000"), (INDIRECT("'"&amp;J$62&amp;"'!B2:B1000")=$B11) * (INDIRECT("'"&amp;J$62&amp;"'!C2:C1000")=$C11)
        ),
        5,
        FALSE
    )="",
    "",
    VLOOKUP(
        $A11,
        _xlfn._xlws.FILTER(
            INDIRECT("'"&amp;J$62&amp;"'!A2:G1000"), (INDIRECT("'"&amp;J$62&amp;"'!B2:B1000")=$B11) * (INDIRECT("'"&amp;J$62&amp;"'!C2:C1000")=$C11)
        ),
        7,
        FALSE
    )
)</f>
        <v/>
      </c>
      <c r="K11" s="58">
        <f t="array" ref="K11">IF(
    VLOOKUP(
        $A11,
        _xlfn._xlws.FILTER(
            INDIRECT("'"&amp;K$62&amp;"'!A2:G1000"), (INDIRECT("'"&amp;K$62&amp;"'!B2:B1000")=$B11) * (INDIRECT("'"&amp;K$62&amp;"'!C2:C1000")=$C11)
        ),
        5,
        FALSE
    )="",
    "",
    VLOOKUP(
        $A11,
        _xlfn._xlws.FILTER(
            INDIRECT("'"&amp;K$62&amp;"'!A2:G1000"), (INDIRECT("'"&amp;K$62&amp;"'!B2:B1000")=$B11) * (INDIRECT("'"&amp;K$62&amp;"'!C2:C1000")=$C11)
        ),
        7,
        FALSE
    )
)</f>
        <v/>
      </c>
      <c r="L11" s="58">
        <f t="array" ref="L11">IF(
    VLOOKUP(
        $A11,
        _xlfn._xlws.FILTER(
            INDIRECT("'"&amp;L$62&amp;"'!A2:G1000"), (INDIRECT("'"&amp;L$62&amp;"'!B2:B1000")=$B11) * (INDIRECT("'"&amp;L$62&amp;"'!C2:C1000")=$C11)
        ),
        5,
        FALSE
    )="",
    "",
    VLOOKUP(
        $A11,
        _xlfn._xlws.FILTER(
            INDIRECT("'"&amp;L$62&amp;"'!A2:G1000"), (INDIRECT("'"&amp;L$62&amp;"'!B2:B1000")=$B11) * (INDIRECT("'"&amp;L$62&amp;"'!C2:C1000")=$C11)
        ),
        7,
        FALSE
    )
)</f>
        <v/>
      </c>
      <c r="M11" s="58">
        <f t="array" ref="M11">IF(
    VLOOKUP(
        $A11,
        _xlfn._xlws.FILTER(
            INDIRECT("'"&amp;M$62&amp;"'!A2:G1000"), (INDIRECT("'"&amp;M$62&amp;"'!B2:B1000")=$B11) * (INDIRECT("'"&amp;M$62&amp;"'!C2:C1000")=$C11)
        ),
        5,
        FALSE
    )="",
    "",
    VLOOKUP(
        $A11,
        _xlfn._xlws.FILTER(
            INDIRECT("'"&amp;M$62&amp;"'!A2:G1000"), (INDIRECT("'"&amp;M$62&amp;"'!B2:B1000")=$B11) * (INDIRECT("'"&amp;M$62&amp;"'!C2:C1000")=$C11)
        ),
        7,
        FALSE
    )
)</f>
        <v/>
      </c>
      <c r="N11" s="58">
        <f t="array" ref="N11">IF(
    VLOOKUP(
        $A11,
        _xlfn._xlws.FILTER(
            INDIRECT("'"&amp;N$62&amp;"'!A2:G1000"), (INDIRECT("'"&amp;N$62&amp;"'!B2:B1000")=$B11) * (INDIRECT("'"&amp;N$62&amp;"'!C2:C1000")=$C11)
        ),
        5,
        FALSE
    )="",
    "",
    VLOOKUP(
        $A11,
        _xlfn._xlws.FILTER(
            INDIRECT("'"&amp;N$62&amp;"'!A2:G1000"), (INDIRECT("'"&amp;N$62&amp;"'!B2:B1000")=$B11) * (INDIRECT("'"&amp;N$62&amp;"'!C2:C1000")=$C11)
        ),
        7,
        FALSE
    )
)</f>
        <v/>
      </c>
      <c r="O11" s="58">
        <f t="array" ref="O11">IF(
    VLOOKUP(
        $A11,
        _xlfn._xlws.FILTER(
            INDIRECT("'"&amp;O$62&amp;"'!A2:G1000"), (INDIRECT("'"&amp;O$62&amp;"'!B2:B1000")=$B11) * (INDIRECT("'"&amp;O$62&amp;"'!C2:C1000")=$C11)
        ),
        5,
        FALSE
    )="",
    "",
    VLOOKUP(
        $A11,
        _xlfn._xlws.FILTER(
            INDIRECT("'"&amp;O$62&amp;"'!A2:G1000"), (INDIRECT("'"&amp;O$62&amp;"'!B2:B1000")=$B11) * (INDIRECT("'"&amp;O$62&amp;"'!C2:C1000")=$C11)
        ),
        7,
        FALSE
    )
)</f>
        <v/>
      </c>
      <c r="P11" s="58">
        <f t="array" ref="P11">IF(
    VLOOKUP(
        $A11,
        _xlfn._xlws.FILTER(
            INDIRECT("'"&amp;P$62&amp;"'!A2:G1000"), (INDIRECT("'"&amp;P$62&amp;"'!B2:B1000")=$B11) * (INDIRECT("'"&amp;P$62&amp;"'!C2:C1000")=$C11)
        ),
        5,
        FALSE
    )="",
    "",
    VLOOKUP(
        $A11,
        _xlfn._xlws.FILTER(
            INDIRECT("'"&amp;P$62&amp;"'!A2:G1000"), (INDIRECT("'"&amp;P$62&amp;"'!B2:B1000")=$B11) * (INDIRECT("'"&amp;P$62&amp;"'!C2:C1000")=$C11)
        ),
        7,
        FALSE
    )
)</f>
        <v/>
      </c>
    </row>
    <row r="12">
      <c r="A12" s="8" t="inlineStr">
        <is>
          <t>Curitiba</t>
        </is>
      </c>
      <c r="B12" s="58" t="inlineStr">
        <is>
          <t>Rio Negro</t>
        </is>
      </c>
      <c r="C12" s="85" t="inlineStr">
        <is>
          <t>01</t>
        </is>
      </c>
      <c r="D12" s="58">
        <f t="array" ref="D12">IF(
    VLOOKUP(
        $A12,
        _xlfn._xlws.FILTER(
            INDIRECT("'"&amp;D$62&amp;"'!A2:G1000"), (INDIRECT("'"&amp;D$62&amp;"'!B2:B1000")=$B12) * (INDIRECT("'"&amp;D$62&amp;"'!C2:C1000")=$C12)
        ),
        5,
        FALSE
    )="",
    "",
    VLOOKUP(
        $A12,
        _xlfn._xlws.FILTER(
            INDIRECT("'"&amp;D$62&amp;"'!A2:G1000"), (INDIRECT("'"&amp;D$62&amp;"'!B2:B1000")=$B12) * (INDIRECT("'"&amp;D$62&amp;"'!C2:C1000")=$C12)
        ),
        7,
        FALSE
    )
)</f>
        <v/>
      </c>
      <c r="E12" s="58">
        <f t="array" ref="E12">IF(
    VLOOKUP(
        $A12,
        _xlfn._xlws.FILTER(
            INDIRECT("'"&amp;E$62&amp;"'!A2:G1000"), (INDIRECT("'"&amp;E$62&amp;"'!B2:B1000")=$B12) * (INDIRECT("'"&amp;E$62&amp;"'!C2:C1000")=$C12)
        ),
        5,
        FALSE
    )="",
    "",
    VLOOKUP(
        $A12,
        _xlfn._xlws.FILTER(
            INDIRECT("'"&amp;E$62&amp;"'!A2:G1000"), (INDIRECT("'"&amp;E$62&amp;"'!B2:B1000")=$B12) * (INDIRECT("'"&amp;E$62&amp;"'!C2:C1000")=$C12)
        ),
        7,
        FALSE
    )
)</f>
        <v/>
      </c>
      <c r="F12" s="58">
        <f t="array" ref="F12">IF(
    VLOOKUP(
        $A12,
        _xlfn._xlws.FILTER(
            INDIRECT("'"&amp;F$62&amp;"'!A2:G1000"), (INDIRECT("'"&amp;F$62&amp;"'!B2:B1000")=$B12) * (INDIRECT("'"&amp;F$62&amp;"'!C2:C1000")=$C12)
        ),
        5,
        FALSE
    )="",
    "",
    VLOOKUP(
        $A12,
        _xlfn._xlws.FILTER(
            INDIRECT("'"&amp;F$62&amp;"'!A2:G1000"), (INDIRECT("'"&amp;F$62&amp;"'!B2:B1000")=$B12) * (INDIRECT("'"&amp;F$62&amp;"'!C2:C1000")=$C12)
        ),
        7,
        FALSE
    )
)</f>
        <v/>
      </c>
      <c r="G12" s="58">
        <f t="array" ref="G12">IF(
    VLOOKUP(
        $A12,
        _xlfn._xlws.FILTER(
            INDIRECT("'"&amp;G$62&amp;"'!A2:G1000"), (INDIRECT("'"&amp;G$62&amp;"'!B2:B1000")=$B12) * (INDIRECT("'"&amp;G$62&amp;"'!C2:C1000")=$C12)
        ),
        5,
        FALSE
    )="",
    "",
    VLOOKUP(
        $A12,
        _xlfn._xlws.FILTER(
            INDIRECT("'"&amp;G$62&amp;"'!A2:G1000"), (INDIRECT("'"&amp;G$62&amp;"'!B2:B1000")=$B12) * (INDIRECT("'"&amp;G$62&amp;"'!C2:C1000")=$C12)
        ),
        7,
        FALSE
    )
)</f>
        <v/>
      </c>
      <c r="H12" s="58">
        <f t="array" ref="H12">IF(
    VLOOKUP(
        $A12,
        _xlfn._xlws.FILTER(
            INDIRECT("'"&amp;H$62&amp;"'!A2:G1000"), (INDIRECT("'"&amp;H$62&amp;"'!B2:B1000")=$B12) * (INDIRECT("'"&amp;H$62&amp;"'!C2:C1000")=$C12)
        ),
        5,
        FALSE
    )="",
    "",
    VLOOKUP(
        $A12,
        _xlfn._xlws.FILTER(
            INDIRECT("'"&amp;H$62&amp;"'!A2:G1000"), (INDIRECT("'"&amp;H$62&amp;"'!B2:B1000")=$B12) * (INDIRECT("'"&amp;H$62&amp;"'!C2:C1000")=$C12)
        ),
        7,
        FALSE
    )
)</f>
        <v/>
      </c>
      <c r="I12" s="58">
        <f t="array" ref="I12">IF(
    VLOOKUP(
        $A12,
        _xlfn._xlws.FILTER(
            INDIRECT("'"&amp;I$62&amp;"'!A2:G1000"), (INDIRECT("'"&amp;I$62&amp;"'!B2:B1000")=$B12) * (INDIRECT("'"&amp;I$62&amp;"'!C2:C1000")=$C12)
        ),
        5,
        FALSE
    )="",
    "",
    VLOOKUP(
        $A12,
        _xlfn._xlws.FILTER(
            INDIRECT("'"&amp;I$62&amp;"'!A2:G1000"), (INDIRECT("'"&amp;I$62&amp;"'!B2:B1000")=$B12) * (INDIRECT("'"&amp;I$62&amp;"'!C2:C1000")=$C12)
        ),
        7,
        FALSE
    )
)</f>
        <v/>
      </c>
      <c r="J12" s="58">
        <f t="array" ref="J12">IF(
    VLOOKUP(
        $A12,
        _xlfn._xlws.FILTER(
            INDIRECT("'"&amp;J$62&amp;"'!A2:G1000"), (INDIRECT("'"&amp;J$62&amp;"'!B2:B1000")=$B12) * (INDIRECT("'"&amp;J$62&amp;"'!C2:C1000")=$C12)
        ),
        5,
        FALSE
    )="",
    "",
    VLOOKUP(
        $A12,
        _xlfn._xlws.FILTER(
            INDIRECT("'"&amp;J$62&amp;"'!A2:G1000"), (INDIRECT("'"&amp;J$62&amp;"'!B2:B1000")=$B12) * (INDIRECT("'"&amp;J$62&amp;"'!C2:C1000")=$C12)
        ),
        7,
        FALSE
    )
)</f>
        <v/>
      </c>
      <c r="K12" s="58">
        <f t="array" ref="K12">IF(
    VLOOKUP(
        $A12,
        _xlfn._xlws.FILTER(
            INDIRECT("'"&amp;K$62&amp;"'!A2:G1000"), (INDIRECT("'"&amp;K$62&amp;"'!B2:B1000")=$B12) * (INDIRECT("'"&amp;K$62&amp;"'!C2:C1000")=$C12)
        ),
        5,
        FALSE
    )="",
    "",
    VLOOKUP(
        $A12,
        _xlfn._xlws.FILTER(
            INDIRECT("'"&amp;K$62&amp;"'!A2:G1000"), (INDIRECT("'"&amp;K$62&amp;"'!B2:B1000")=$B12) * (INDIRECT("'"&amp;K$62&amp;"'!C2:C1000")=$C12)
        ),
        7,
        FALSE
    )
)</f>
        <v/>
      </c>
      <c r="L12" s="58">
        <f t="array" ref="L12">IF(
    VLOOKUP(
        $A12,
        _xlfn._xlws.FILTER(
            INDIRECT("'"&amp;L$62&amp;"'!A2:G1000"), (INDIRECT("'"&amp;L$62&amp;"'!B2:B1000")=$B12) * (INDIRECT("'"&amp;L$62&amp;"'!C2:C1000")=$C12)
        ),
        5,
        FALSE
    )="",
    "",
    VLOOKUP(
        $A12,
        _xlfn._xlws.FILTER(
            INDIRECT("'"&amp;L$62&amp;"'!A2:G1000"), (INDIRECT("'"&amp;L$62&amp;"'!B2:B1000")=$B12) * (INDIRECT("'"&amp;L$62&amp;"'!C2:C1000")=$C12)
        ),
        7,
        FALSE
    )
)</f>
        <v/>
      </c>
      <c r="M12" s="58">
        <f t="array" ref="M12">IF(
    VLOOKUP(
        $A12,
        _xlfn._xlws.FILTER(
            INDIRECT("'"&amp;M$62&amp;"'!A2:G1000"), (INDIRECT("'"&amp;M$62&amp;"'!B2:B1000")=$B12) * (INDIRECT("'"&amp;M$62&amp;"'!C2:C1000")=$C12)
        ),
        5,
        FALSE
    )="",
    "",
    VLOOKUP(
        $A12,
        _xlfn._xlws.FILTER(
            INDIRECT("'"&amp;M$62&amp;"'!A2:G1000"), (INDIRECT("'"&amp;M$62&amp;"'!B2:B1000")=$B12) * (INDIRECT("'"&amp;M$62&amp;"'!C2:C1000")=$C12)
        ),
        7,
        FALSE
    )
)</f>
        <v/>
      </c>
      <c r="N12" s="58">
        <f t="array" ref="N12">IF(
    VLOOKUP(
        $A12,
        _xlfn._xlws.FILTER(
            INDIRECT("'"&amp;N$62&amp;"'!A2:G1000"), (INDIRECT("'"&amp;N$62&amp;"'!B2:B1000")=$B12) * (INDIRECT("'"&amp;N$62&amp;"'!C2:C1000")=$C12)
        ),
        5,
        FALSE
    )="",
    "",
    VLOOKUP(
        $A12,
        _xlfn._xlws.FILTER(
            INDIRECT("'"&amp;N$62&amp;"'!A2:G1000"), (INDIRECT("'"&amp;N$62&amp;"'!B2:B1000")=$B12) * (INDIRECT("'"&amp;N$62&amp;"'!C2:C1000")=$C12)
        ),
        7,
        FALSE
    )
)</f>
        <v/>
      </c>
      <c r="O12" s="58">
        <f t="array" ref="O12">IF(
    VLOOKUP(
        $A12,
        _xlfn._xlws.FILTER(
            INDIRECT("'"&amp;O$62&amp;"'!A2:G1000"), (INDIRECT("'"&amp;O$62&amp;"'!B2:B1000")=$B12) * (INDIRECT("'"&amp;O$62&amp;"'!C2:C1000")=$C12)
        ),
        5,
        FALSE
    )="",
    "",
    VLOOKUP(
        $A12,
        _xlfn._xlws.FILTER(
            INDIRECT("'"&amp;O$62&amp;"'!A2:G1000"), (INDIRECT("'"&amp;O$62&amp;"'!B2:B1000")=$B12) * (INDIRECT("'"&amp;O$62&amp;"'!C2:C1000")=$C12)
        ),
        7,
        FALSE
    )
)</f>
        <v/>
      </c>
      <c r="P12" s="58">
        <f t="array" ref="P12">IF(
    VLOOKUP(
        $A12,
        _xlfn._xlws.FILTER(
            INDIRECT("'"&amp;P$62&amp;"'!A2:G1000"), (INDIRECT("'"&amp;P$62&amp;"'!B2:B1000")=$B12) * (INDIRECT("'"&amp;P$62&amp;"'!C2:C1000")=$C12)
        ),
        5,
        FALSE
    )="",
    "",
    VLOOKUP(
        $A12,
        _xlfn._xlws.FILTER(
            INDIRECT("'"&amp;P$62&amp;"'!A2:G1000"), (INDIRECT("'"&amp;P$62&amp;"'!B2:B1000")=$B12) * (INDIRECT("'"&amp;P$62&amp;"'!C2:C1000")=$C12)
        ),
        7,
        FALSE
    )
)</f>
        <v/>
      </c>
    </row>
    <row r="13">
      <c r="A13" s="8" t="inlineStr">
        <is>
          <t>Curitiba</t>
        </is>
      </c>
      <c r="B13" s="58" t="inlineStr">
        <is>
          <t>São João Do Triunfo</t>
        </is>
      </c>
      <c r="C13" s="85" t="inlineStr">
        <is>
          <t>01</t>
        </is>
      </c>
      <c r="D13" s="58">
        <f t="array" ref="D13">IF(
    VLOOKUP(
        $A13,
        _xlfn._xlws.FILTER(
            INDIRECT("'"&amp;D$62&amp;"'!A2:G1000"), (INDIRECT("'"&amp;D$62&amp;"'!B2:B1000")=$B13) * (INDIRECT("'"&amp;D$62&amp;"'!C2:C1000")=$C13)
        ),
        5,
        FALSE
    )="",
    "",
    VLOOKUP(
        $A13,
        _xlfn._xlws.FILTER(
            INDIRECT("'"&amp;D$62&amp;"'!A2:G1000"), (INDIRECT("'"&amp;D$62&amp;"'!B2:B1000")=$B13) * (INDIRECT("'"&amp;D$62&amp;"'!C2:C1000")=$C13)
        ),
        7,
        FALSE
    )
)</f>
        <v/>
      </c>
      <c r="E13" s="58">
        <f t="array" ref="E13">IF(
    VLOOKUP(
        $A13,
        _xlfn._xlws.FILTER(
            INDIRECT("'"&amp;E$62&amp;"'!A2:G1000"), (INDIRECT("'"&amp;E$62&amp;"'!B2:B1000")=$B13) * (INDIRECT("'"&amp;E$62&amp;"'!C2:C1000")=$C13)
        ),
        5,
        FALSE
    )="",
    "",
    VLOOKUP(
        $A13,
        _xlfn._xlws.FILTER(
            INDIRECT("'"&amp;E$62&amp;"'!A2:G1000"), (INDIRECT("'"&amp;E$62&amp;"'!B2:B1000")=$B13) * (INDIRECT("'"&amp;E$62&amp;"'!C2:C1000")=$C13)
        ),
        7,
        FALSE
    )
)</f>
        <v/>
      </c>
      <c r="F13" s="58">
        <f t="array" ref="F13">IF(
    VLOOKUP(
        $A13,
        _xlfn._xlws.FILTER(
            INDIRECT("'"&amp;F$62&amp;"'!A2:G1000"), (INDIRECT("'"&amp;F$62&amp;"'!B2:B1000")=$B13) * (INDIRECT("'"&amp;F$62&amp;"'!C2:C1000")=$C13)
        ),
        5,
        FALSE
    )="",
    "",
    VLOOKUP(
        $A13,
        _xlfn._xlws.FILTER(
            INDIRECT("'"&amp;F$62&amp;"'!A2:G1000"), (INDIRECT("'"&amp;F$62&amp;"'!B2:B1000")=$B13) * (INDIRECT("'"&amp;F$62&amp;"'!C2:C1000")=$C13)
        ),
        7,
        FALSE
    )
)</f>
        <v/>
      </c>
      <c r="G13" s="58">
        <f t="array" ref="G13">IF(
    VLOOKUP(
        $A13,
        _xlfn._xlws.FILTER(
            INDIRECT("'"&amp;G$62&amp;"'!A2:G1000"), (INDIRECT("'"&amp;G$62&amp;"'!B2:B1000")=$B13) * (INDIRECT("'"&amp;G$62&amp;"'!C2:C1000")=$C13)
        ),
        5,
        FALSE
    )="",
    "",
    VLOOKUP(
        $A13,
        _xlfn._xlws.FILTER(
            INDIRECT("'"&amp;G$62&amp;"'!A2:G1000"), (INDIRECT("'"&amp;G$62&amp;"'!B2:B1000")=$B13) * (INDIRECT("'"&amp;G$62&amp;"'!C2:C1000")=$C13)
        ),
        7,
        FALSE
    )
)</f>
        <v/>
      </c>
      <c r="H13" s="58">
        <f t="array" ref="H13">IF(
    VLOOKUP(
        $A13,
        _xlfn._xlws.FILTER(
            INDIRECT("'"&amp;H$62&amp;"'!A2:G1000"), (INDIRECT("'"&amp;H$62&amp;"'!B2:B1000")=$B13) * (INDIRECT("'"&amp;H$62&amp;"'!C2:C1000")=$C13)
        ),
        5,
        FALSE
    )="",
    "",
    VLOOKUP(
        $A13,
        _xlfn._xlws.FILTER(
            INDIRECT("'"&amp;H$62&amp;"'!A2:G1000"), (INDIRECT("'"&amp;H$62&amp;"'!B2:B1000")=$B13) * (INDIRECT("'"&amp;H$62&amp;"'!C2:C1000")=$C13)
        ),
        7,
        FALSE
    )
)</f>
        <v/>
      </c>
      <c r="I13" s="58">
        <f t="array" ref="I13">IF(
    VLOOKUP(
        $A13,
        _xlfn._xlws.FILTER(
            INDIRECT("'"&amp;I$62&amp;"'!A2:G1000"), (INDIRECT("'"&amp;I$62&amp;"'!B2:B1000")=$B13) * (INDIRECT("'"&amp;I$62&amp;"'!C2:C1000")=$C13)
        ),
        5,
        FALSE
    )="",
    "",
    VLOOKUP(
        $A13,
        _xlfn._xlws.FILTER(
            INDIRECT("'"&amp;I$62&amp;"'!A2:G1000"), (INDIRECT("'"&amp;I$62&amp;"'!B2:B1000")=$B13) * (INDIRECT("'"&amp;I$62&amp;"'!C2:C1000")=$C13)
        ),
        7,
        FALSE
    )
)</f>
        <v/>
      </c>
      <c r="J13" s="58">
        <f t="array" ref="J13">IF(
    VLOOKUP(
        $A13,
        _xlfn._xlws.FILTER(
            INDIRECT("'"&amp;J$62&amp;"'!A2:G1000"), (INDIRECT("'"&amp;J$62&amp;"'!B2:B1000")=$B13) * (INDIRECT("'"&amp;J$62&amp;"'!C2:C1000")=$C13)
        ),
        5,
        FALSE
    )="",
    "",
    VLOOKUP(
        $A13,
        _xlfn._xlws.FILTER(
            INDIRECT("'"&amp;J$62&amp;"'!A2:G1000"), (INDIRECT("'"&amp;J$62&amp;"'!B2:B1000")=$B13) * (INDIRECT("'"&amp;J$62&amp;"'!C2:C1000")=$C13)
        ),
        7,
        FALSE
    )
)</f>
        <v/>
      </c>
      <c r="K13" s="58">
        <f t="array" ref="K13">IF(
    VLOOKUP(
        $A13,
        _xlfn._xlws.FILTER(
            INDIRECT("'"&amp;K$62&amp;"'!A2:G1000"), (INDIRECT("'"&amp;K$62&amp;"'!B2:B1000")=$B13) * (INDIRECT("'"&amp;K$62&amp;"'!C2:C1000")=$C13)
        ),
        5,
        FALSE
    )="",
    "",
    VLOOKUP(
        $A13,
        _xlfn._xlws.FILTER(
            INDIRECT("'"&amp;K$62&amp;"'!A2:G1000"), (INDIRECT("'"&amp;K$62&amp;"'!B2:B1000")=$B13) * (INDIRECT("'"&amp;K$62&amp;"'!C2:C1000")=$C13)
        ),
        7,
        FALSE
    )
)</f>
        <v/>
      </c>
      <c r="L13" s="58">
        <f t="array" ref="L13">IF(
    VLOOKUP(
        $A13,
        _xlfn._xlws.FILTER(
            INDIRECT("'"&amp;L$62&amp;"'!A2:G1000"), (INDIRECT("'"&amp;L$62&amp;"'!B2:B1000")=$B13) * (INDIRECT("'"&amp;L$62&amp;"'!C2:C1000")=$C13)
        ),
        5,
        FALSE
    )="",
    "",
    VLOOKUP(
        $A13,
        _xlfn._xlws.FILTER(
            INDIRECT("'"&amp;L$62&amp;"'!A2:G1000"), (INDIRECT("'"&amp;L$62&amp;"'!B2:B1000")=$B13) * (INDIRECT("'"&amp;L$62&amp;"'!C2:C1000")=$C13)
        ),
        7,
        FALSE
    )
)</f>
        <v/>
      </c>
      <c r="M13" s="58">
        <f t="array" ref="M13">IF(
    VLOOKUP(
        $A13,
        _xlfn._xlws.FILTER(
            INDIRECT("'"&amp;M$62&amp;"'!A2:G1000"), (INDIRECT("'"&amp;M$62&amp;"'!B2:B1000")=$B13) * (INDIRECT("'"&amp;M$62&amp;"'!C2:C1000")=$C13)
        ),
        5,
        FALSE
    )="",
    "",
    VLOOKUP(
        $A13,
        _xlfn._xlws.FILTER(
            INDIRECT("'"&amp;M$62&amp;"'!A2:G1000"), (INDIRECT("'"&amp;M$62&amp;"'!B2:B1000")=$B13) * (INDIRECT("'"&amp;M$62&amp;"'!C2:C1000")=$C13)
        ),
        7,
        FALSE
    )
)</f>
        <v/>
      </c>
      <c r="N13" s="58">
        <f t="array" ref="N13">IF(
    VLOOKUP(
        $A13,
        _xlfn._xlws.FILTER(
            INDIRECT("'"&amp;N$62&amp;"'!A2:G1000"), (INDIRECT("'"&amp;N$62&amp;"'!B2:B1000")=$B13) * (INDIRECT("'"&amp;N$62&amp;"'!C2:C1000")=$C13)
        ),
        5,
        FALSE
    )="",
    "",
    VLOOKUP(
        $A13,
        _xlfn._xlws.FILTER(
            INDIRECT("'"&amp;N$62&amp;"'!A2:G1000"), (INDIRECT("'"&amp;N$62&amp;"'!B2:B1000")=$B13) * (INDIRECT("'"&amp;N$62&amp;"'!C2:C1000")=$C13)
        ),
        7,
        FALSE
    )
)</f>
        <v/>
      </c>
      <c r="O13" s="58">
        <f t="array" ref="O13">IF(
    VLOOKUP(
        $A13,
        _xlfn._xlws.FILTER(
            INDIRECT("'"&amp;O$62&amp;"'!A2:G1000"), (INDIRECT("'"&amp;O$62&amp;"'!B2:B1000")=$B13) * (INDIRECT("'"&amp;O$62&amp;"'!C2:C1000")=$C13)
        ),
        5,
        FALSE
    )="",
    "",
    VLOOKUP(
        $A13,
        _xlfn._xlws.FILTER(
            INDIRECT("'"&amp;O$62&amp;"'!A2:G1000"), (INDIRECT("'"&amp;O$62&amp;"'!B2:B1000")=$B13) * (INDIRECT("'"&amp;O$62&amp;"'!C2:C1000")=$C13)
        ),
        7,
        FALSE
    )
)</f>
        <v/>
      </c>
      <c r="P13" s="58">
        <f t="array" ref="P13">IF(
    VLOOKUP(
        $A13,
        _xlfn._xlws.FILTER(
            INDIRECT("'"&amp;P$62&amp;"'!A2:G1000"), (INDIRECT("'"&amp;P$62&amp;"'!B2:B1000")=$B13) * (INDIRECT("'"&amp;P$62&amp;"'!C2:C1000")=$C13)
        ),
        5,
        FALSE
    )="",
    "",
    VLOOKUP(
        $A13,
        _xlfn._xlws.FILTER(
            INDIRECT("'"&amp;P$62&amp;"'!A2:G1000"), (INDIRECT("'"&amp;P$62&amp;"'!B2:B1000")=$B13) * (INDIRECT("'"&amp;P$62&amp;"'!C2:C1000")=$C13)
        ),
        7,
        FALSE
    )
)</f>
        <v/>
      </c>
    </row>
    <row r="14">
      <c r="A14" s="8" t="inlineStr">
        <is>
          <t>Curitiba</t>
        </is>
      </c>
      <c r="B14" s="58" t="inlineStr">
        <is>
          <t>Tijucas Do Sul</t>
        </is>
      </c>
      <c r="C14" s="85" t="inlineStr">
        <is>
          <t>01</t>
        </is>
      </c>
      <c r="D14" s="58">
        <f t="array" ref="D14">IF(
    VLOOKUP(
        $A14,
        _xlfn._xlws.FILTER(
            INDIRECT("'"&amp;D$62&amp;"'!A2:G1000"), (INDIRECT("'"&amp;D$62&amp;"'!B2:B1000")=$B14) * (INDIRECT("'"&amp;D$62&amp;"'!C2:C1000")=$C14)
        ),
        5,
        FALSE
    )="",
    "",
    VLOOKUP(
        $A14,
        _xlfn._xlws.FILTER(
            INDIRECT("'"&amp;D$62&amp;"'!A2:G1000"), (INDIRECT("'"&amp;D$62&amp;"'!B2:B1000")=$B14) * (INDIRECT("'"&amp;D$62&amp;"'!C2:C1000")=$C14)
        ),
        7,
        FALSE
    )
)</f>
        <v/>
      </c>
      <c r="E14" s="58">
        <f t="array" ref="E14">IF(
    VLOOKUP(
        $A14,
        _xlfn._xlws.FILTER(
            INDIRECT("'"&amp;E$62&amp;"'!A2:G1000"), (INDIRECT("'"&amp;E$62&amp;"'!B2:B1000")=$B14) * (INDIRECT("'"&amp;E$62&amp;"'!C2:C1000")=$C14)
        ),
        5,
        FALSE
    )="",
    "",
    VLOOKUP(
        $A14,
        _xlfn._xlws.FILTER(
            INDIRECT("'"&amp;E$62&amp;"'!A2:G1000"), (INDIRECT("'"&amp;E$62&amp;"'!B2:B1000")=$B14) * (INDIRECT("'"&amp;E$62&amp;"'!C2:C1000")=$C14)
        ),
        7,
        FALSE
    )
)</f>
        <v/>
      </c>
      <c r="F14" s="58">
        <f t="array" ref="F14">IF(
    VLOOKUP(
        $A14,
        _xlfn._xlws.FILTER(
            INDIRECT("'"&amp;F$62&amp;"'!A2:G1000"), (INDIRECT("'"&amp;F$62&amp;"'!B2:B1000")=$B14) * (INDIRECT("'"&amp;F$62&amp;"'!C2:C1000")=$C14)
        ),
        5,
        FALSE
    )="",
    "",
    VLOOKUP(
        $A14,
        _xlfn._xlws.FILTER(
            INDIRECT("'"&amp;F$62&amp;"'!A2:G1000"), (INDIRECT("'"&amp;F$62&amp;"'!B2:B1000")=$B14) * (INDIRECT("'"&amp;F$62&amp;"'!C2:C1000")=$C14)
        ),
        7,
        FALSE
    )
)</f>
        <v/>
      </c>
      <c r="G14" s="58">
        <f t="array" ref="G14">IF(
    VLOOKUP(
        $A14,
        _xlfn._xlws.FILTER(
            INDIRECT("'"&amp;G$62&amp;"'!A2:G1000"), (INDIRECT("'"&amp;G$62&amp;"'!B2:B1000")=$B14) * (INDIRECT("'"&amp;G$62&amp;"'!C2:C1000")=$C14)
        ),
        5,
        FALSE
    )="",
    "",
    VLOOKUP(
        $A14,
        _xlfn._xlws.FILTER(
            INDIRECT("'"&amp;G$62&amp;"'!A2:G1000"), (INDIRECT("'"&amp;G$62&amp;"'!B2:B1000")=$B14) * (INDIRECT("'"&amp;G$62&amp;"'!C2:C1000")=$C14)
        ),
        7,
        FALSE
    )
)</f>
        <v/>
      </c>
      <c r="H14" s="58">
        <f t="array" ref="H14">IF(
    VLOOKUP(
        $A14,
        _xlfn._xlws.FILTER(
            INDIRECT("'"&amp;H$62&amp;"'!A2:G1000"), (INDIRECT("'"&amp;H$62&amp;"'!B2:B1000")=$B14) * (INDIRECT("'"&amp;H$62&amp;"'!C2:C1000")=$C14)
        ),
        5,
        FALSE
    )="",
    "",
    VLOOKUP(
        $A14,
        _xlfn._xlws.FILTER(
            INDIRECT("'"&amp;H$62&amp;"'!A2:G1000"), (INDIRECT("'"&amp;H$62&amp;"'!B2:B1000")=$B14) * (INDIRECT("'"&amp;H$62&amp;"'!C2:C1000")=$C14)
        ),
        7,
        FALSE
    )
)</f>
        <v/>
      </c>
      <c r="I14" s="58">
        <f t="array" ref="I14">IF(
    VLOOKUP(
        $A14,
        _xlfn._xlws.FILTER(
            INDIRECT("'"&amp;I$62&amp;"'!A2:G1000"), (INDIRECT("'"&amp;I$62&amp;"'!B2:B1000")=$B14) * (INDIRECT("'"&amp;I$62&amp;"'!C2:C1000")=$C14)
        ),
        5,
        FALSE
    )="",
    "",
    VLOOKUP(
        $A14,
        _xlfn._xlws.FILTER(
            INDIRECT("'"&amp;I$62&amp;"'!A2:G1000"), (INDIRECT("'"&amp;I$62&amp;"'!B2:B1000")=$B14) * (INDIRECT("'"&amp;I$62&amp;"'!C2:C1000")=$C14)
        ),
        7,
        FALSE
    )
)</f>
        <v/>
      </c>
      <c r="J14" s="58">
        <f t="array" ref="J14">IF(
    VLOOKUP(
        $A14,
        _xlfn._xlws.FILTER(
            INDIRECT("'"&amp;J$62&amp;"'!A2:G1000"), (INDIRECT("'"&amp;J$62&amp;"'!B2:B1000")=$B14) * (INDIRECT("'"&amp;J$62&amp;"'!C2:C1000")=$C14)
        ),
        5,
        FALSE
    )="",
    "",
    VLOOKUP(
        $A14,
        _xlfn._xlws.FILTER(
            INDIRECT("'"&amp;J$62&amp;"'!A2:G1000"), (INDIRECT("'"&amp;J$62&amp;"'!B2:B1000")=$B14) * (INDIRECT("'"&amp;J$62&amp;"'!C2:C1000")=$C14)
        ),
        7,
        FALSE
    )
)</f>
        <v/>
      </c>
      <c r="K14" s="58">
        <f t="array" ref="K14">IF(
    VLOOKUP(
        $A14,
        _xlfn._xlws.FILTER(
            INDIRECT("'"&amp;K$62&amp;"'!A2:G1000"), (INDIRECT("'"&amp;K$62&amp;"'!B2:B1000")=$B14) * (INDIRECT("'"&amp;K$62&amp;"'!C2:C1000")=$C14)
        ),
        5,
        FALSE
    )="",
    "",
    VLOOKUP(
        $A14,
        _xlfn._xlws.FILTER(
            INDIRECT("'"&amp;K$62&amp;"'!A2:G1000"), (INDIRECT("'"&amp;K$62&amp;"'!B2:B1000")=$B14) * (INDIRECT("'"&amp;K$62&amp;"'!C2:C1000")=$C14)
        ),
        7,
        FALSE
    )
)</f>
        <v/>
      </c>
      <c r="L14" s="58">
        <f t="array" ref="L14">IF(
    VLOOKUP(
        $A14,
        _xlfn._xlws.FILTER(
            INDIRECT("'"&amp;L$62&amp;"'!A2:G1000"), (INDIRECT("'"&amp;L$62&amp;"'!B2:B1000")=$B14) * (INDIRECT("'"&amp;L$62&amp;"'!C2:C1000")=$C14)
        ),
        5,
        FALSE
    )="",
    "",
    VLOOKUP(
        $A14,
        _xlfn._xlws.FILTER(
            INDIRECT("'"&amp;L$62&amp;"'!A2:G1000"), (INDIRECT("'"&amp;L$62&amp;"'!B2:B1000")=$B14) * (INDIRECT("'"&amp;L$62&amp;"'!C2:C1000")=$C14)
        ),
        7,
        FALSE
    )
)</f>
        <v/>
      </c>
      <c r="M14" s="58">
        <f t="array" ref="M14">IF(
    VLOOKUP(
        $A14,
        _xlfn._xlws.FILTER(
            INDIRECT("'"&amp;M$62&amp;"'!A2:G1000"), (INDIRECT("'"&amp;M$62&amp;"'!B2:B1000")=$B14) * (INDIRECT("'"&amp;M$62&amp;"'!C2:C1000")=$C14)
        ),
        5,
        FALSE
    )="",
    "",
    VLOOKUP(
        $A14,
        _xlfn._xlws.FILTER(
            INDIRECT("'"&amp;M$62&amp;"'!A2:G1000"), (INDIRECT("'"&amp;M$62&amp;"'!B2:B1000")=$B14) * (INDIRECT("'"&amp;M$62&amp;"'!C2:C1000")=$C14)
        ),
        7,
        FALSE
    )
)</f>
        <v/>
      </c>
      <c r="N14" s="58">
        <f t="array" ref="N14">IF(
    VLOOKUP(
        $A14,
        _xlfn._xlws.FILTER(
            INDIRECT("'"&amp;N$62&amp;"'!A2:G1000"), (INDIRECT("'"&amp;N$62&amp;"'!B2:B1000")=$B14) * (INDIRECT("'"&amp;N$62&amp;"'!C2:C1000")=$C14)
        ),
        5,
        FALSE
    )="",
    "",
    VLOOKUP(
        $A14,
        _xlfn._xlws.FILTER(
            INDIRECT("'"&amp;N$62&amp;"'!A2:G1000"), (INDIRECT("'"&amp;N$62&amp;"'!B2:B1000")=$B14) * (INDIRECT("'"&amp;N$62&amp;"'!C2:C1000")=$C14)
        ),
        7,
        FALSE
    )
)</f>
        <v/>
      </c>
      <c r="O14" s="58">
        <f t="array" ref="O14">IF(
    VLOOKUP(
        $A14,
        _xlfn._xlws.FILTER(
            INDIRECT("'"&amp;O$62&amp;"'!A2:G1000"), (INDIRECT("'"&amp;O$62&amp;"'!B2:B1000")=$B14) * (INDIRECT("'"&amp;O$62&amp;"'!C2:C1000")=$C14)
        ),
        5,
        FALSE
    )="",
    "",
    VLOOKUP(
        $A14,
        _xlfn._xlws.FILTER(
            INDIRECT("'"&amp;O$62&amp;"'!A2:G1000"), (INDIRECT("'"&amp;O$62&amp;"'!B2:B1000")=$B14) * (INDIRECT("'"&amp;O$62&amp;"'!C2:C1000")=$C14)
        ),
        7,
        FALSE
    )
)</f>
        <v/>
      </c>
      <c r="P14" s="58">
        <f t="array" ref="P14">IF(
    VLOOKUP(
        $A14,
        _xlfn._xlws.FILTER(
            INDIRECT("'"&amp;P$62&amp;"'!A2:G1000"), (INDIRECT("'"&amp;P$62&amp;"'!B2:B1000")=$B14) * (INDIRECT("'"&amp;P$62&amp;"'!C2:C1000")=$C14)
        ),
        5,
        FALSE
    )="",
    "",
    VLOOKUP(
        $A14,
        _xlfn._xlws.FILTER(
            INDIRECT("'"&amp;P$62&amp;"'!A2:G1000"), (INDIRECT("'"&amp;P$62&amp;"'!B2:B1000")=$B14) * (INDIRECT("'"&amp;P$62&amp;"'!C2:C1000")=$C14)
        ),
        7,
        FALSE
    )
)</f>
        <v/>
      </c>
    </row>
    <row r="15">
      <c r="A15" s="76" t="n"/>
      <c r="B15" s="76" t="n"/>
      <c r="C15" s="76" t="n"/>
      <c r="D15" s="76" t="n"/>
      <c r="E15" s="76" t="n"/>
      <c r="F15" s="76" t="n"/>
      <c r="G15" s="76" t="n"/>
      <c r="H15" s="76" t="n"/>
      <c r="I15" s="76" t="n"/>
      <c r="J15" s="76" t="n"/>
      <c r="K15" s="76" t="n"/>
      <c r="L15" s="76" t="n"/>
      <c r="M15" s="76" t="n"/>
      <c r="N15" s="76" t="n"/>
      <c r="O15" s="76" t="n"/>
      <c r="P15" s="76" t="n"/>
      <c r="Q15" s="76" t="n"/>
    </row>
    <row r="16" ht="15.75" customHeight="1">
      <c r="A16" s="14" t="inlineStr">
        <is>
          <t>Vanessa</t>
        </is>
      </c>
      <c r="B16" s="84" t="inlineStr">
        <is>
          <t>Municípios</t>
        </is>
      </c>
      <c r="C16" s="84" t="inlineStr">
        <is>
          <t>UVR</t>
        </is>
      </c>
      <c r="D16" s="4" t="inlineStr">
        <is>
          <t>01.25</t>
        </is>
      </c>
      <c r="E16" s="4" t="inlineStr">
        <is>
          <t>02.25</t>
        </is>
      </c>
      <c r="F16" s="4" t="inlineStr">
        <is>
          <t>03.25</t>
        </is>
      </c>
      <c r="G16" s="4" t="inlineStr">
        <is>
          <t>04.25</t>
        </is>
      </c>
      <c r="H16" s="4" t="inlineStr">
        <is>
          <t>05.25</t>
        </is>
      </c>
      <c r="I16" s="4" t="inlineStr">
        <is>
          <t>06.25</t>
        </is>
      </c>
      <c r="J16" s="4" t="inlineStr">
        <is>
          <t>07.25</t>
        </is>
      </c>
      <c r="K16" s="4" t="inlineStr">
        <is>
          <t>08.25</t>
        </is>
      </c>
      <c r="L16" s="4" t="inlineStr">
        <is>
          <t>09.25</t>
        </is>
      </c>
      <c r="M16" s="4" t="inlineStr">
        <is>
          <t>09.25</t>
        </is>
      </c>
      <c r="N16" s="4" t="inlineStr">
        <is>
          <t>10.25</t>
        </is>
      </c>
      <c r="O16" s="4" t="inlineStr">
        <is>
          <t>11.25</t>
        </is>
      </c>
      <c r="P16" s="4" t="inlineStr">
        <is>
          <t>12.25</t>
        </is>
      </c>
    </row>
    <row r="17">
      <c r="A17" s="13" t="inlineStr">
        <is>
          <t>Francisco Beltrão</t>
        </is>
      </c>
      <c r="B17" s="58" t="inlineStr">
        <is>
          <t>Barracão</t>
        </is>
      </c>
      <c r="C17" s="85" t="inlineStr">
        <is>
          <t>01</t>
        </is>
      </c>
      <c r="D17" s="58">
        <f t="array" ref="D17">IF(
    VLOOKUP(
        $A17,
        _xlfn._xlws.FILTER(
            INDIRECT("'"&amp;D$62&amp;"'!A2:G1000"), (INDIRECT("'"&amp;D$62&amp;"'!B2:B1000")=$B17) * (INDIRECT("'"&amp;D$62&amp;"'!C2:C1000")=$C17)
        ),
        5,
        FALSE
    )="",
    "",
    VLOOKUP(
        $A17,
        _xlfn._xlws.FILTER(
            INDIRECT("'"&amp;D$62&amp;"'!A2:G1000"), (INDIRECT("'"&amp;D$62&amp;"'!B2:B1000")=$B17) * (INDIRECT("'"&amp;D$62&amp;"'!C2:C1000")=$C17)
        ),
        7,
        FALSE
    )
)</f>
        <v/>
      </c>
      <c r="E17" s="58">
        <f t="array" ref="E17">IF(
    VLOOKUP(
        $A17,
        _xlfn._xlws.FILTER(
            INDIRECT("'"&amp;E$62&amp;"'!A2:G1000"), (INDIRECT("'"&amp;E$62&amp;"'!B2:B1000")=$B17) * (INDIRECT("'"&amp;E$62&amp;"'!C2:C1000")=$C17)
        ),
        5,
        FALSE
    )="",
    "",
    VLOOKUP(
        $A17,
        _xlfn._xlws.FILTER(
            INDIRECT("'"&amp;E$62&amp;"'!A2:G1000"), (INDIRECT("'"&amp;E$62&amp;"'!B2:B1000")=$B17) * (INDIRECT("'"&amp;E$62&amp;"'!C2:C1000")=$C17)
        ),
        7,
        FALSE
    )
)</f>
        <v/>
      </c>
      <c r="F17" s="58">
        <f t="array" ref="F17">IF(
    VLOOKUP(
        $A17,
        _xlfn._xlws.FILTER(
            INDIRECT("'"&amp;F$62&amp;"'!A2:G1000"), (INDIRECT("'"&amp;F$62&amp;"'!B2:B1000")=$B17) * (INDIRECT("'"&amp;F$62&amp;"'!C2:C1000")=$C17)
        ),
        5,
        FALSE
    )="",
    "",
    VLOOKUP(
        $A17,
        _xlfn._xlws.FILTER(
            INDIRECT("'"&amp;F$62&amp;"'!A2:G1000"), (INDIRECT("'"&amp;F$62&amp;"'!B2:B1000")=$B17) * (INDIRECT("'"&amp;F$62&amp;"'!C2:C1000")=$C17)
        ),
        7,
        FALSE
    )
)</f>
        <v/>
      </c>
      <c r="G17" s="58">
        <f t="array" ref="G17">IF(
    VLOOKUP(
        $A17,
        _xlfn._xlws.FILTER(
            INDIRECT("'"&amp;G$62&amp;"'!A2:G1000"), (INDIRECT("'"&amp;G$62&amp;"'!B2:B1000")=$B17) * (INDIRECT("'"&amp;G$62&amp;"'!C2:C1000")=$C17)
        ),
        5,
        FALSE
    )="",
    "",
    VLOOKUP(
        $A17,
        _xlfn._xlws.FILTER(
            INDIRECT("'"&amp;G$62&amp;"'!A2:G1000"), (INDIRECT("'"&amp;G$62&amp;"'!B2:B1000")=$B17) * (INDIRECT("'"&amp;G$62&amp;"'!C2:C1000")=$C17)
        ),
        7,
        FALSE
    )
)</f>
        <v/>
      </c>
      <c r="H17" s="58">
        <f t="array" ref="H17">IF(
    VLOOKUP(
        $A17,
        _xlfn._xlws.FILTER(
            INDIRECT("'"&amp;H$62&amp;"'!A2:G1000"), (INDIRECT("'"&amp;H$62&amp;"'!B2:B1000")=$B17) * (INDIRECT("'"&amp;H$62&amp;"'!C2:C1000")=$C17)
        ),
        5,
        FALSE
    )="",
    "",
    VLOOKUP(
        $A17,
        _xlfn._xlws.FILTER(
            INDIRECT("'"&amp;H$62&amp;"'!A2:G1000"), (INDIRECT("'"&amp;H$62&amp;"'!B2:B1000")=$B17) * (INDIRECT("'"&amp;H$62&amp;"'!C2:C1000")=$C17)
        ),
        7,
        FALSE
    )
)</f>
        <v/>
      </c>
      <c r="I17" s="58">
        <f t="array" ref="I17">IF(
    VLOOKUP(
        $A17,
        _xlfn._xlws.FILTER(
            INDIRECT("'"&amp;I$62&amp;"'!A2:G1000"), (INDIRECT("'"&amp;I$62&amp;"'!B2:B1000")=$B17) * (INDIRECT("'"&amp;I$62&amp;"'!C2:C1000")=$C17)
        ),
        5,
        FALSE
    )="",
    "",
    VLOOKUP(
        $A17,
        _xlfn._xlws.FILTER(
            INDIRECT("'"&amp;I$62&amp;"'!A2:G1000"), (INDIRECT("'"&amp;I$62&amp;"'!B2:B1000")=$B17) * (INDIRECT("'"&amp;I$62&amp;"'!C2:C1000")=$C17)
        ),
        7,
        FALSE
    )
)</f>
        <v/>
      </c>
      <c r="J17" s="58">
        <f t="array" ref="J17">IF(
    VLOOKUP(
        $A17,
        _xlfn._xlws.FILTER(
            INDIRECT("'"&amp;J$62&amp;"'!A2:G1000"), (INDIRECT("'"&amp;J$62&amp;"'!B2:B1000")=$B17) * (INDIRECT("'"&amp;J$62&amp;"'!C2:C1000")=$C17)
        ),
        5,
        FALSE
    )="",
    "",
    VLOOKUP(
        $A17,
        _xlfn._xlws.FILTER(
            INDIRECT("'"&amp;J$62&amp;"'!A2:G1000"), (INDIRECT("'"&amp;J$62&amp;"'!B2:B1000")=$B17) * (INDIRECT("'"&amp;J$62&amp;"'!C2:C1000")=$C17)
        ),
        7,
        FALSE
    )
)</f>
        <v/>
      </c>
      <c r="K17" s="58">
        <f t="array" ref="K17">IF(
    VLOOKUP(
        $A17,
        _xlfn._xlws.FILTER(
            INDIRECT("'"&amp;K$62&amp;"'!A2:G1000"), (INDIRECT("'"&amp;K$62&amp;"'!B2:B1000")=$B17) * (INDIRECT("'"&amp;K$62&amp;"'!C2:C1000")=$C17)
        ),
        5,
        FALSE
    )="",
    "",
    VLOOKUP(
        $A17,
        _xlfn._xlws.FILTER(
            INDIRECT("'"&amp;K$62&amp;"'!A2:G1000"), (INDIRECT("'"&amp;K$62&amp;"'!B2:B1000")=$B17) * (INDIRECT("'"&amp;K$62&amp;"'!C2:C1000")=$C17)
        ),
        7,
        FALSE
    )
)</f>
        <v/>
      </c>
      <c r="L17" s="58">
        <f t="array" ref="L17">IF(
    VLOOKUP(
        $A17,
        _xlfn._xlws.FILTER(
            INDIRECT("'"&amp;L$62&amp;"'!A2:G1000"), (INDIRECT("'"&amp;L$62&amp;"'!B2:B1000")=$B17) * (INDIRECT("'"&amp;L$62&amp;"'!C2:C1000")=$C17)
        ),
        5,
        FALSE
    )="",
    "",
    VLOOKUP(
        $A17,
        _xlfn._xlws.FILTER(
            INDIRECT("'"&amp;L$62&amp;"'!A2:G1000"), (INDIRECT("'"&amp;L$62&amp;"'!B2:B1000")=$B17) * (INDIRECT("'"&amp;L$62&amp;"'!C2:C1000")=$C17)
        ),
        7,
        FALSE
    )
)</f>
        <v/>
      </c>
      <c r="M17" s="58">
        <f t="array" ref="M17">IF(
    VLOOKUP(
        $A17,
        _xlfn._xlws.FILTER(
            INDIRECT("'"&amp;M$62&amp;"'!A2:G1000"), (INDIRECT("'"&amp;M$62&amp;"'!B2:B1000")=$B17) * (INDIRECT("'"&amp;M$62&amp;"'!C2:C1000")=$C17)
        ),
        5,
        FALSE
    )="",
    "",
    VLOOKUP(
        $A17,
        _xlfn._xlws.FILTER(
            INDIRECT("'"&amp;M$62&amp;"'!A2:G1000"), (INDIRECT("'"&amp;M$62&amp;"'!B2:B1000")=$B17) * (INDIRECT("'"&amp;M$62&amp;"'!C2:C1000")=$C17)
        ),
        7,
        FALSE
    )
)</f>
        <v/>
      </c>
      <c r="N17" s="58">
        <f t="array" ref="N17">IF(
    VLOOKUP(
        $A17,
        _xlfn._xlws.FILTER(
            INDIRECT("'"&amp;N$62&amp;"'!A2:G1000"), (INDIRECT("'"&amp;N$62&amp;"'!B2:B1000")=$B17) * (INDIRECT("'"&amp;N$62&amp;"'!C2:C1000")=$C17)
        ),
        5,
        FALSE
    )="",
    "",
    VLOOKUP(
        $A17,
        _xlfn._xlws.FILTER(
            INDIRECT("'"&amp;N$62&amp;"'!A2:G1000"), (INDIRECT("'"&amp;N$62&amp;"'!B2:B1000")=$B17) * (INDIRECT("'"&amp;N$62&amp;"'!C2:C1000")=$C17)
        ),
        7,
        FALSE
    )
)</f>
        <v/>
      </c>
      <c r="O17" s="58">
        <f t="array" ref="O17">IF(
    VLOOKUP(
        $A17,
        _xlfn._xlws.FILTER(
            INDIRECT("'"&amp;O$62&amp;"'!A2:G1000"), (INDIRECT("'"&amp;O$62&amp;"'!B2:B1000")=$B17) * (INDIRECT("'"&amp;O$62&amp;"'!C2:C1000")=$C17)
        ),
        5,
        FALSE
    )="",
    "",
    VLOOKUP(
        $A17,
        _xlfn._xlws.FILTER(
            INDIRECT("'"&amp;O$62&amp;"'!A2:G1000"), (INDIRECT("'"&amp;O$62&amp;"'!B2:B1000")=$B17) * (INDIRECT("'"&amp;O$62&amp;"'!C2:C1000")=$C17)
        ),
        7,
        FALSE
    )
)</f>
        <v/>
      </c>
      <c r="P17" s="58">
        <f t="array" ref="P17">IF(
    VLOOKUP(
        $A17,
        _xlfn._xlws.FILTER(
            INDIRECT("'"&amp;P$62&amp;"'!A2:G1000"), (INDIRECT("'"&amp;P$62&amp;"'!B2:B1000")=$B17) * (INDIRECT("'"&amp;P$62&amp;"'!C2:C1000")=$C17)
        ),
        5,
        FALSE
    )="",
    "",
    VLOOKUP(
        $A17,
        _xlfn._xlws.FILTER(
            INDIRECT("'"&amp;P$62&amp;"'!A2:G1000"), (INDIRECT("'"&amp;P$62&amp;"'!B2:B1000")=$B17) * (INDIRECT("'"&amp;P$62&amp;"'!C2:C1000")=$C17)
        ),
        7,
        FALSE
    )
)</f>
        <v/>
      </c>
    </row>
    <row r="18">
      <c r="A18" s="13" t="inlineStr">
        <is>
          <t>Francisco Beltrão</t>
        </is>
      </c>
      <c r="B18" s="58" t="inlineStr">
        <is>
          <t>Capanema</t>
        </is>
      </c>
      <c r="C18" s="85" t="inlineStr">
        <is>
          <t>01</t>
        </is>
      </c>
      <c r="D18" s="58">
        <f t="array" ref="D18">IF(
    VLOOKUP(
        $A18,
        _xlfn._xlws.FILTER(
            INDIRECT("'"&amp;D$62&amp;"'!A2:G1000"), (INDIRECT("'"&amp;D$62&amp;"'!B2:B1000")=$B18) * (INDIRECT("'"&amp;D$62&amp;"'!C2:C1000")=$C18)
        ),
        5,
        FALSE
    )="",
    "",
    VLOOKUP(
        $A18,
        _xlfn._xlws.FILTER(
            INDIRECT("'"&amp;D$62&amp;"'!A2:G1000"), (INDIRECT("'"&amp;D$62&amp;"'!B2:B1000")=$B18) * (INDIRECT("'"&amp;D$62&amp;"'!C2:C1000")=$C18)
        ),
        7,
        FALSE
    )
)</f>
        <v/>
      </c>
      <c r="E18" s="58">
        <f t="array" ref="E18">IF(
    VLOOKUP(
        $A18,
        _xlfn._xlws.FILTER(
            INDIRECT("'"&amp;E$62&amp;"'!A2:G1000"), (INDIRECT("'"&amp;E$62&amp;"'!B2:B1000")=$B18) * (INDIRECT("'"&amp;E$62&amp;"'!C2:C1000")=$C18)
        ),
        5,
        FALSE
    )="",
    "",
    VLOOKUP(
        $A18,
        _xlfn._xlws.FILTER(
            INDIRECT("'"&amp;E$62&amp;"'!A2:G1000"), (INDIRECT("'"&amp;E$62&amp;"'!B2:B1000")=$B18) * (INDIRECT("'"&amp;E$62&amp;"'!C2:C1000")=$C18)
        ),
        7,
        FALSE
    )
)</f>
        <v/>
      </c>
      <c r="F18" s="58">
        <f t="array" ref="F18">IF(
    VLOOKUP(
        $A18,
        _xlfn._xlws.FILTER(
            INDIRECT("'"&amp;F$62&amp;"'!A2:G1000"), (INDIRECT("'"&amp;F$62&amp;"'!B2:B1000")=$B18) * (INDIRECT("'"&amp;F$62&amp;"'!C2:C1000")=$C18)
        ),
        5,
        FALSE
    )="",
    "",
    VLOOKUP(
        $A18,
        _xlfn._xlws.FILTER(
            INDIRECT("'"&amp;F$62&amp;"'!A2:G1000"), (INDIRECT("'"&amp;F$62&amp;"'!B2:B1000")=$B18) * (INDIRECT("'"&amp;F$62&amp;"'!C2:C1000")=$C18)
        ),
        7,
        FALSE
    )
)</f>
        <v/>
      </c>
      <c r="G18" s="58">
        <f t="array" ref="G18">IF(
    VLOOKUP(
        $A18,
        _xlfn._xlws.FILTER(
            INDIRECT("'"&amp;G$62&amp;"'!A2:G1000"), (INDIRECT("'"&amp;G$62&amp;"'!B2:B1000")=$B18) * (INDIRECT("'"&amp;G$62&amp;"'!C2:C1000")=$C18)
        ),
        5,
        FALSE
    )="",
    "",
    VLOOKUP(
        $A18,
        _xlfn._xlws.FILTER(
            INDIRECT("'"&amp;G$62&amp;"'!A2:G1000"), (INDIRECT("'"&amp;G$62&amp;"'!B2:B1000")=$B18) * (INDIRECT("'"&amp;G$62&amp;"'!C2:C1000")=$C18)
        ),
        7,
        FALSE
    )
)</f>
        <v/>
      </c>
      <c r="H18" s="58">
        <f t="array" ref="H18">IF(
    VLOOKUP(
        $A18,
        _xlfn._xlws.FILTER(
            INDIRECT("'"&amp;H$62&amp;"'!A2:G1000"), (INDIRECT("'"&amp;H$62&amp;"'!B2:B1000")=$B18) * (INDIRECT("'"&amp;H$62&amp;"'!C2:C1000")=$C18)
        ),
        5,
        FALSE
    )="",
    "",
    VLOOKUP(
        $A18,
        _xlfn._xlws.FILTER(
            INDIRECT("'"&amp;H$62&amp;"'!A2:G1000"), (INDIRECT("'"&amp;H$62&amp;"'!B2:B1000")=$B18) * (INDIRECT("'"&amp;H$62&amp;"'!C2:C1000")=$C18)
        ),
        7,
        FALSE
    )
)</f>
        <v/>
      </c>
      <c r="I18" s="58">
        <f t="array" ref="I18">IF(
    VLOOKUP(
        $A18,
        _xlfn._xlws.FILTER(
            INDIRECT("'"&amp;I$62&amp;"'!A2:G1000"), (INDIRECT("'"&amp;I$62&amp;"'!B2:B1000")=$B18) * (INDIRECT("'"&amp;I$62&amp;"'!C2:C1000")=$C18)
        ),
        5,
        FALSE
    )="",
    "",
    VLOOKUP(
        $A18,
        _xlfn._xlws.FILTER(
            INDIRECT("'"&amp;I$62&amp;"'!A2:G1000"), (INDIRECT("'"&amp;I$62&amp;"'!B2:B1000")=$B18) * (INDIRECT("'"&amp;I$62&amp;"'!C2:C1000")=$C18)
        ),
        7,
        FALSE
    )
)</f>
        <v/>
      </c>
      <c r="J18" s="58">
        <f t="array" ref="J18">IF(
    VLOOKUP(
        $A18,
        _xlfn._xlws.FILTER(
            INDIRECT("'"&amp;J$62&amp;"'!A2:G1000"), (INDIRECT("'"&amp;J$62&amp;"'!B2:B1000")=$B18) * (INDIRECT("'"&amp;J$62&amp;"'!C2:C1000")=$C18)
        ),
        5,
        FALSE
    )="",
    "",
    VLOOKUP(
        $A18,
        _xlfn._xlws.FILTER(
            INDIRECT("'"&amp;J$62&amp;"'!A2:G1000"), (INDIRECT("'"&amp;J$62&amp;"'!B2:B1000")=$B18) * (INDIRECT("'"&amp;J$62&amp;"'!C2:C1000")=$C18)
        ),
        7,
        FALSE
    )
)</f>
        <v/>
      </c>
      <c r="K18" s="58">
        <f t="array" ref="K18">IF(
    VLOOKUP(
        $A18,
        _xlfn._xlws.FILTER(
            INDIRECT("'"&amp;K$62&amp;"'!A2:G1000"), (INDIRECT("'"&amp;K$62&amp;"'!B2:B1000")=$B18) * (INDIRECT("'"&amp;K$62&amp;"'!C2:C1000")=$C18)
        ),
        5,
        FALSE
    )="",
    "",
    VLOOKUP(
        $A18,
        _xlfn._xlws.FILTER(
            INDIRECT("'"&amp;K$62&amp;"'!A2:G1000"), (INDIRECT("'"&amp;K$62&amp;"'!B2:B1000")=$B18) * (INDIRECT("'"&amp;K$62&amp;"'!C2:C1000")=$C18)
        ),
        7,
        FALSE
    )
)</f>
        <v/>
      </c>
      <c r="L18" s="58">
        <f t="array" ref="L18">IF(
    VLOOKUP(
        $A18,
        _xlfn._xlws.FILTER(
            INDIRECT("'"&amp;L$62&amp;"'!A2:G1000"), (INDIRECT("'"&amp;L$62&amp;"'!B2:B1000")=$B18) * (INDIRECT("'"&amp;L$62&amp;"'!C2:C1000")=$C18)
        ),
        5,
        FALSE
    )="",
    "",
    VLOOKUP(
        $A18,
        _xlfn._xlws.FILTER(
            INDIRECT("'"&amp;L$62&amp;"'!A2:G1000"), (INDIRECT("'"&amp;L$62&amp;"'!B2:B1000")=$B18) * (INDIRECT("'"&amp;L$62&amp;"'!C2:C1000")=$C18)
        ),
        7,
        FALSE
    )
)</f>
        <v/>
      </c>
      <c r="M18" s="58">
        <f t="array" ref="M18">IF(
    VLOOKUP(
        $A18,
        _xlfn._xlws.FILTER(
            INDIRECT("'"&amp;M$62&amp;"'!A2:G1000"), (INDIRECT("'"&amp;M$62&amp;"'!B2:B1000")=$B18) * (INDIRECT("'"&amp;M$62&amp;"'!C2:C1000")=$C18)
        ),
        5,
        FALSE
    )="",
    "",
    VLOOKUP(
        $A18,
        _xlfn._xlws.FILTER(
            INDIRECT("'"&amp;M$62&amp;"'!A2:G1000"), (INDIRECT("'"&amp;M$62&amp;"'!B2:B1000")=$B18) * (INDIRECT("'"&amp;M$62&amp;"'!C2:C1000")=$C18)
        ),
        7,
        FALSE
    )
)</f>
        <v/>
      </c>
      <c r="N18" s="58">
        <f t="array" ref="N18">IF(
    VLOOKUP(
        $A18,
        _xlfn._xlws.FILTER(
            INDIRECT("'"&amp;N$62&amp;"'!A2:G1000"), (INDIRECT("'"&amp;N$62&amp;"'!B2:B1000")=$B18) * (INDIRECT("'"&amp;N$62&amp;"'!C2:C1000")=$C18)
        ),
        5,
        FALSE
    )="",
    "",
    VLOOKUP(
        $A18,
        _xlfn._xlws.FILTER(
            INDIRECT("'"&amp;N$62&amp;"'!A2:G1000"), (INDIRECT("'"&amp;N$62&amp;"'!B2:B1000")=$B18) * (INDIRECT("'"&amp;N$62&amp;"'!C2:C1000")=$C18)
        ),
        7,
        FALSE
    )
)</f>
        <v/>
      </c>
      <c r="O18" s="58">
        <f t="array" ref="O18">IF(
    VLOOKUP(
        $A18,
        _xlfn._xlws.FILTER(
            INDIRECT("'"&amp;O$62&amp;"'!A2:G1000"), (INDIRECT("'"&amp;O$62&amp;"'!B2:B1000")=$B18) * (INDIRECT("'"&amp;O$62&amp;"'!C2:C1000")=$C18)
        ),
        5,
        FALSE
    )="",
    "",
    VLOOKUP(
        $A18,
        _xlfn._xlws.FILTER(
            INDIRECT("'"&amp;O$62&amp;"'!A2:G1000"), (INDIRECT("'"&amp;O$62&amp;"'!B2:B1000")=$B18) * (INDIRECT("'"&amp;O$62&amp;"'!C2:C1000")=$C18)
        ),
        7,
        FALSE
    )
)</f>
        <v/>
      </c>
      <c r="P18" s="58">
        <f t="array" ref="P18">IF(
    VLOOKUP(
        $A18,
        _xlfn._xlws.FILTER(
            INDIRECT("'"&amp;P$62&amp;"'!A2:G1000"), (INDIRECT("'"&amp;P$62&amp;"'!B2:B1000")=$B18) * (INDIRECT("'"&amp;P$62&amp;"'!C2:C1000")=$C18)
        ),
        5,
        FALSE
    )="",
    "",
    VLOOKUP(
        $A18,
        _xlfn._xlws.FILTER(
            INDIRECT("'"&amp;P$62&amp;"'!A2:G1000"), (INDIRECT("'"&amp;P$62&amp;"'!B2:B1000")=$B18) * (INDIRECT("'"&amp;P$62&amp;"'!C2:C1000")=$C18)
        ),
        7,
        FALSE
    )
)</f>
        <v/>
      </c>
    </row>
    <row r="19">
      <c r="A19" s="13" t="inlineStr">
        <is>
          <t>Francisco Beltrão</t>
        </is>
      </c>
      <c r="B19" s="58" t="inlineStr">
        <is>
          <t>Coronel Vivida</t>
        </is>
      </c>
      <c r="C19" s="85" t="inlineStr">
        <is>
          <t>01</t>
        </is>
      </c>
      <c r="D19" s="58">
        <f t="array" ref="D19">IF(
    VLOOKUP(
        $A19,
        _xlfn._xlws.FILTER(
            INDIRECT("'"&amp;D$62&amp;"'!A2:G1000"), (INDIRECT("'"&amp;D$62&amp;"'!B2:B1000")=$B19) * (INDIRECT("'"&amp;D$62&amp;"'!C2:C1000")=$C19)
        ),
        5,
        FALSE
    )="",
    "",
    VLOOKUP(
        $A19,
        _xlfn._xlws.FILTER(
            INDIRECT("'"&amp;D$62&amp;"'!A2:G1000"), (INDIRECT("'"&amp;D$62&amp;"'!B2:B1000")=$B19) * (INDIRECT("'"&amp;D$62&amp;"'!C2:C1000")=$C19)
        ),
        7,
        FALSE
    )
)</f>
        <v/>
      </c>
      <c r="E19" s="58">
        <f t="array" ref="E19">IF(
    VLOOKUP(
        $A19,
        _xlfn._xlws.FILTER(
            INDIRECT("'"&amp;E$62&amp;"'!A2:G1000"), (INDIRECT("'"&amp;E$62&amp;"'!B2:B1000")=$B19) * (INDIRECT("'"&amp;E$62&amp;"'!C2:C1000")=$C19)
        ),
        5,
        FALSE
    )="",
    "",
    VLOOKUP(
        $A19,
        _xlfn._xlws.FILTER(
            INDIRECT("'"&amp;E$62&amp;"'!A2:G1000"), (INDIRECT("'"&amp;E$62&amp;"'!B2:B1000")=$B19) * (INDIRECT("'"&amp;E$62&amp;"'!C2:C1000")=$C19)
        ),
        7,
        FALSE
    )
)</f>
        <v/>
      </c>
      <c r="F19" s="58">
        <f t="array" ref="F19">IF(
    VLOOKUP(
        $A19,
        _xlfn._xlws.FILTER(
            INDIRECT("'"&amp;F$62&amp;"'!A2:G1000"), (INDIRECT("'"&amp;F$62&amp;"'!B2:B1000")=$B19) * (INDIRECT("'"&amp;F$62&amp;"'!C2:C1000")=$C19)
        ),
        5,
        FALSE
    )="",
    "",
    VLOOKUP(
        $A19,
        _xlfn._xlws.FILTER(
            INDIRECT("'"&amp;F$62&amp;"'!A2:G1000"), (INDIRECT("'"&amp;F$62&amp;"'!B2:B1000")=$B19) * (INDIRECT("'"&amp;F$62&amp;"'!C2:C1000")=$C19)
        ),
        7,
        FALSE
    )
)</f>
        <v/>
      </c>
      <c r="G19" s="58">
        <f t="array" ref="G19">IF(
    VLOOKUP(
        $A19,
        _xlfn._xlws.FILTER(
            INDIRECT("'"&amp;G$62&amp;"'!A2:G1000"), (INDIRECT("'"&amp;G$62&amp;"'!B2:B1000")=$B19) * (INDIRECT("'"&amp;G$62&amp;"'!C2:C1000")=$C19)
        ),
        5,
        FALSE
    )="",
    "",
    VLOOKUP(
        $A19,
        _xlfn._xlws.FILTER(
            INDIRECT("'"&amp;G$62&amp;"'!A2:G1000"), (INDIRECT("'"&amp;G$62&amp;"'!B2:B1000")=$B19) * (INDIRECT("'"&amp;G$62&amp;"'!C2:C1000")=$C19)
        ),
        7,
        FALSE
    )
)</f>
        <v/>
      </c>
      <c r="H19" s="58">
        <f t="array" ref="H19">IF(
    VLOOKUP(
        $A19,
        _xlfn._xlws.FILTER(
            INDIRECT("'"&amp;H$62&amp;"'!A2:G1000"), (INDIRECT("'"&amp;H$62&amp;"'!B2:B1000")=$B19) * (INDIRECT("'"&amp;H$62&amp;"'!C2:C1000")=$C19)
        ),
        5,
        FALSE
    )="",
    "",
    VLOOKUP(
        $A19,
        _xlfn._xlws.FILTER(
            INDIRECT("'"&amp;H$62&amp;"'!A2:G1000"), (INDIRECT("'"&amp;H$62&amp;"'!B2:B1000")=$B19) * (INDIRECT("'"&amp;H$62&amp;"'!C2:C1000")=$C19)
        ),
        7,
        FALSE
    )
)</f>
        <v/>
      </c>
      <c r="I19" s="58">
        <f t="array" ref="I19">IF(
    VLOOKUP(
        $A19,
        _xlfn._xlws.FILTER(
            INDIRECT("'"&amp;I$62&amp;"'!A2:G1000"), (INDIRECT("'"&amp;I$62&amp;"'!B2:B1000")=$B19) * (INDIRECT("'"&amp;I$62&amp;"'!C2:C1000")=$C19)
        ),
        5,
        FALSE
    )="",
    "",
    VLOOKUP(
        $A19,
        _xlfn._xlws.FILTER(
            INDIRECT("'"&amp;I$62&amp;"'!A2:G1000"), (INDIRECT("'"&amp;I$62&amp;"'!B2:B1000")=$B19) * (INDIRECT("'"&amp;I$62&amp;"'!C2:C1000")=$C19)
        ),
        7,
        FALSE
    )
)</f>
        <v/>
      </c>
      <c r="J19" s="58">
        <f t="array" ref="J19">IF(
    VLOOKUP(
        $A19,
        _xlfn._xlws.FILTER(
            INDIRECT("'"&amp;J$62&amp;"'!A2:G1000"), (INDIRECT("'"&amp;J$62&amp;"'!B2:B1000")=$B19) * (INDIRECT("'"&amp;J$62&amp;"'!C2:C1000")=$C19)
        ),
        5,
        FALSE
    )="",
    "",
    VLOOKUP(
        $A19,
        _xlfn._xlws.FILTER(
            INDIRECT("'"&amp;J$62&amp;"'!A2:G1000"), (INDIRECT("'"&amp;J$62&amp;"'!B2:B1000")=$B19) * (INDIRECT("'"&amp;J$62&amp;"'!C2:C1000")=$C19)
        ),
        7,
        FALSE
    )
)</f>
        <v/>
      </c>
      <c r="K19" s="58">
        <f t="array" ref="K19">IF(
    VLOOKUP(
        $A19,
        _xlfn._xlws.FILTER(
            INDIRECT("'"&amp;K$62&amp;"'!A2:G1000"), (INDIRECT("'"&amp;K$62&amp;"'!B2:B1000")=$B19) * (INDIRECT("'"&amp;K$62&amp;"'!C2:C1000")=$C19)
        ),
        5,
        FALSE
    )="",
    "",
    VLOOKUP(
        $A19,
        _xlfn._xlws.FILTER(
            INDIRECT("'"&amp;K$62&amp;"'!A2:G1000"), (INDIRECT("'"&amp;K$62&amp;"'!B2:B1000")=$B19) * (INDIRECT("'"&amp;K$62&amp;"'!C2:C1000")=$C19)
        ),
        7,
        FALSE
    )
)</f>
        <v/>
      </c>
      <c r="L19" s="58">
        <f t="array" ref="L19">IF(
    VLOOKUP(
        $A19,
        _xlfn._xlws.FILTER(
            INDIRECT("'"&amp;L$62&amp;"'!A2:G1000"), (INDIRECT("'"&amp;L$62&amp;"'!B2:B1000")=$B19) * (INDIRECT("'"&amp;L$62&amp;"'!C2:C1000")=$C19)
        ),
        5,
        FALSE
    )="",
    "",
    VLOOKUP(
        $A19,
        _xlfn._xlws.FILTER(
            INDIRECT("'"&amp;L$62&amp;"'!A2:G1000"), (INDIRECT("'"&amp;L$62&amp;"'!B2:B1000")=$B19) * (INDIRECT("'"&amp;L$62&amp;"'!C2:C1000")=$C19)
        ),
        7,
        FALSE
    )
)</f>
        <v/>
      </c>
      <c r="M19" s="58">
        <f t="array" ref="M19">IF(
    VLOOKUP(
        $A19,
        _xlfn._xlws.FILTER(
            INDIRECT("'"&amp;M$62&amp;"'!A2:G1000"), (INDIRECT("'"&amp;M$62&amp;"'!B2:B1000")=$B19) * (INDIRECT("'"&amp;M$62&amp;"'!C2:C1000")=$C19)
        ),
        5,
        FALSE
    )="",
    "",
    VLOOKUP(
        $A19,
        _xlfn._xlws.FILTER(
            INDIRECT("'"&amp;M$62&amp;"'!A2:G1000"), (INDIRECT("'"&amp;M$62&amp;"'!B2:B1000")=$B19) * (INDIRECT("'"&amp;M$62&amp;"'!C2:C1000")=$C19)
        ),
        7,
        FALSE
    )
)</f>
        <v/>
      </c>
      <c r="N19" s="58">
        <f t="array" ref="N19">IF(
    VLOOKUP(
        $A19,
        _xlfn._xlws.FILTER(
            INDIRECT("'"&amp;N$62&amp;"'!A2:G1000"), (INDIRECT("'"&amp;N$62&amp;"'!B2:B1000")=$B19) * (INDIRECT("'"&amp;N$62&amp;"'!C2:C1000")=$C19)
        ),
        5,
        FALSE
    )="",
    "",
    VLOOKUP(
        $A19,
        _xlfn._xlws.FILTER(
            INDIRECT("'"&amp;N$62&amp;"'!A2:G1000"), (INDIRECT("'"&amp;N$62&amp;"'!B2:B1000")=$B19) * (INDIRECT("'"&amp;N$62&amp;"'!C2:C1000")=$C19)
        ),
        7,
        FALSE
    )
)</f>
        <v/>
      </c>
      <c r="O19" s="58">
        <f t="array" ref="O19">IF(
    VLOOKUP(
        $A19,
        _xlfn._xlws.FILTER(
            INDIRECT("'"&amp;O$62&amp;"'!A2:G1000"), (INDIRECT("'"&amp;O$62&amp;"'!B2:B1000")=$B19) * (INDIRECT("'"&amp;O$62&amp;"'!C2:C1000")=$C19)
        ),
        5,
        FALSE
    )="",
    "",
    VLOOKUP(
        $A19,
        _xlfn._xlws.FILTER(
            INDIRECT("'"&amp;O$62&amp;"'!A2:G1000"), (INDIRECT("'"&amp;O$62&amp;"'!B2:B1000")=$B19) * (INDIRECT("'"&amp;O$62&amp;"'!C2:C1000")=$C19)
        ),
        7,
        FALSE
    )
)</f>
        <v/>
      </c>
      <c r="P19" s="58">
        <f t="array" ref="P19">IF(
    VLOOKUP(
        $A19,
        _xlfn._xlws.FILTER(
            INDIRECT("'"&amp;P$62&amp;"'!A2:G1000"), (INDIRECT("'"&amp;P$62&amp;"'!B2:B1000")=$B19) * (INDIRECT("'"&amp;P$62&amp;"'!C2:C1000")=$C19)
        ),
        5,
        FALSE
    )="",
    "",
    VLOOKUP(
        $A19,
        _xlfn._xlws.FILTER(
            INDIRECT("'"&amp;P$62&amp;"'!A2:G1000"), (INDIRECT("'"&amp;P$62&amp;"'!B2:B1000")=$B19) * (INDIRECT("'"&amp;P$62&amp;"'!C2:C1000")=$C19)
        ),
        7,
        FALSE
    )
)</f>
        <v/>
      </c>
    </row>
    <row r="20">
      <c r="A20" s="13" t="inlineStr">
        <is>
          <t>Francisco Beltrão</t>
        </is>
      </c>
      <c r="B20" s="58" t="inlineStr">
        <is>
          <t>Enéas Marques</t>
        </is>
      </c>
      <c r="C20" s="85" t="inlineStr">
        <is>
          <t>01</t>
        </is>
      </c>
      <c r="D20" s="58">
        <f t="array" ref="D20">IF(
    VLOOKUP(
        $A20,
        _xlfn._xlws.FILTER(
            INDIRECT("'"&amp;D$62&amp;"'!A2:G1000"), (INDIRECT("'"&amp;D$62&amp;"'!B2:B1000")=$B20) * (INDIRECT("'"&amp;D$62&amp;"'!C2:C1000")=$C20)
        ),
        5,
        FALSE
    )="",
    "",
    VLOOKUP(
        $A20,
        _xlfn._xlws.FILTER(
            INDIRECT("'"&amp;D$62&amp;"'!A2:G1000"), (INDIRECT("'"&amp;D$62&amp;"'!B2:B1000")=$B20) * (INDIRECT("'"&amp;D$62&amp;"'!C2:C1000")=$C20)
        ),
        7,
        FALSE
    )
)</f>
        <v/>
      </c>
      <c r="E20" s="58">
        <f t="array" ref="E20">IF(
    VLOOKUP(
        $A20,
        _xlfn._xlws.FILTER(
            INDIRECT("'"&amp;E$62&amp;"'!A2:G1000"), (INDIRECT("'"&amp;E$62&amp;"'!B2:B1000")=$B20) * (INDIRECT("'"&amp;E$62&amp;"'!C2:C1000")=$C20)
        ),
        5,
        FALSE
    )="",
    "",
    VLOOKUP(
        $A20,
        _xlfn._xlws.FILTER(
            INDIRECT("'"&amp;E$62&amp;"'!A2:G1000"), (INDIRECT("'"&amp;E$62&amp;"'!B2:B1000")=$B20) * (INDIRECT("'"&amp;E$62&amp;"'!C2:C1000")=$C20)
        ),
        7,
        FALSE
    )
)</f>
        <v/>
      </c>
      <c r="F20" s="58">
        <f t="array" ref="F20">IF(
    VLOOKUP(
        $A20,
        _xlfn._xlws.FILTER(
            INDIRECT("'"&amp;F$62&amp;"'!A2:G1000"), (INDIRECT("'"&amp;F$62&amp;"'!B2:B1000")=$B20) * (INDIRECT("'"&amp;F$62&amp;"'!C2:C1000")=$C20)
        ),
        5,
        FALSE
    )="",
    "",
    VLOOKUP(
        $A20,
        _xlfn._xlws.FILTER(
            INDIRECT("'"&amp;F$62&amp;"'!A2:G1000"), (INDIRECT("'"&amp;F$62&amp;"'!B2:B1000")=$B20) * (INDIRECT("'"&amp;F$62&amp;"'!C2:C1000")=$C20)
        ),
        7,
        FALSE
    )
)</f>
        <v/>
      </c>
      <c r="G20" s="58">
        <f t="array" ref="G20">IF(
    VLOOKUP(
        $A20,
        _xlfn._xlws.FILTER(
            INDIRECT("'"&amp;G$62&amp;"'!A2:G1000"), (INDIRECT("'"&amp;G$62&amp;"'!B2:B1000")=$B20) * (INDIRECT("'"&amp;G$62&amp;"'!C2:C1000")=$C20)
        ),
        5,
        FALSE
    )="",
    "",
    VLOOKUP(
        $A20,
        _xlfn._xlws.FILTER(
            INDIRECT("'"&amp;G$62&amp;"'!A2:G1000"), (INDIRECT("'"&amp;G$62&amp;"'!B2:B1000")=$B20) * (INDIRECT("'"&amp;G$62&amp;"'!C2:C1000")=$C20)
        ),
        7,
        FALSE
    )
)</f>
        <v/>
      </c>
      <c r="H20" s="58">
        <f t="array" ref="H20">IF(
    VLOOKUP(
        $A20,
        _xlfn._xlws.FILTER(
            INDIRECT("'"&amp;H$62&amp;"'!A2:G1000"), (INDIRECT("'"&amp;H$62&amp;"'!B2:B1000")=$B20) * (INDIRECT("'"&amp;H$62&amp;"'!C2:C1000")=$C20)
        ),
        5,
        FALSE
    )="",
    "",
    VLOOKUP(
        $A20,
        _xlfn._xlws.FILTER(
            INDIRECT("'"&amp;H$62&amp;"'!A2:G1000"), (INDIRECT("'"&amp;H$62&amp;"'!B2:B1000")=$B20) * (INDIRECT("'"&amp;H$62&amp;"'!C2:C1000")=$C20)
        ),
        7,
        FALSE
    )
)</f>
        <v/>
      </c>
      <c r="I20" s="58">
        <f t="array" ref="I20">IF(
    VLOOKUP(
        $A20,
        _xlfn._xlws.FILTER(
            INDIRECT("'"&amp;I$62&amp;"'!A2:G1000"), (INDIRECT("'"&amp;I$62&amp;"'!B2:B1000")=$B20) * (INDIRECT("'"&amp;I$62&amp;"'!C2:C1000")=$C20)
        ),
        5,
        FALSE
    )="",
    "",
    VLOOKUP(
        $A20,
        _xlfn._xlws.FILTER(
            INDIRECT("'"&amp;I$62&amp;"'!A2:G1000"), (INDIRECT("'"&amp;I$62&amp;"'!B2:B1000")=$B20) * (INDIRECT("'"&amp;I$62&amp;"'!C2:C1000")=$C20)
        ),
        7,
        FALSE
    )
)</f>
        <v/>
      </c>
      <c r="J20" s="58">
        <f t="array" ref="J20">IF(
    VLOOKUP(
        $A20,
        _xlfn._xlws.FILTER(
            INDIRECT("'"&amp;J$62&amp;"'!A2:G1000"), (INDIRECT("'"&amp;J$62&amp;"'!B2:B1000")=$B20) * (INDIRECT("'"&amp;J$62&amp;"'!C2:C1000")=$C20)
        ),
        5,
        FALSE
    )="",
    "",
    VLOOKUP(
        $A20,
        _xlfn._xlws.FILTER(
            INDIRECT("'"&amp;J$62&amp;"'!A2:G1000"), (INDIRECT("'"&amp;J$62&amp;"'!B2:B1000")=$B20) * (INDIRECT("'"&amp;J$62&amp;"'!C2:C1000")=$C20)
        ),
        7,
        FALSE
    )
)</f>
        <v/>
      </c>
      <c r="K20" s="58">
        <f t="array" ref="K20">IF(
    VLOOKUP(
        $A20,
        _xlfn._xlws.FILTER(
            INDIRECT("'"&amp;K$62&amp;"'!A2:G1000"), (INDIRECT("'"&amp;K$62&amp;"'!B2:B1000")=$B20) * (INDIRECT("'"&amp;K$62&amp;"'!C2:C1000")=$C20)
        ),
        5,
        FALSE
    )="",
    "",
    VLOOKUP(
        $A20,
        _xlfn._xlws.FILTER(
            INDIRECT("'"&amp;K$62&amp;"'!A2:G1000"), (INDIRECT("'"&amp;K$62&amp;"'!B2:B1000")=$B20) * (INDIRECT("'"&amp;K$62&amp;"'!C2:C1000")=$C20)
        ),
        7,
        FALSE
    )
)</f>
        <v/>
      </c>
      <c r="L20" s="58">
        <f t="array" ref="L20">IF(
    VLOOKUP(
        $A20,
        _xlfn._xlws.FILTER(
            INDIRECT("'"&amp;L$62&amp;"'!A2:G1000"), (INDIRECT("'"&amp;L$62&amp;"'!B2:B1000")=$B20) * (INDIRECT("'"&amp;L$62&amp;"'!C2:C1000")=$C20)
        ),
        5,
        FALSE
    )="",
    "",
    VLOOKUP(
        $A20,
        _xlfn._xlws.FILTER(
            INDIRECT("'"&amp;L$62&amp;"'!A2:G1000"), (INDIRECT("'"&amp;L$62&amp;"'!B2:B1000")=$B20) * (INDIRECT("'"&amp;L$62&amp;"'!C2:C1000")=$C20)
        ),
        7,
        FALSE
    )
)</f>
        <v/>
      </c>
      <c r="M20" s="58">
        <f t="array" ref="M20">IF(
    VLOOKUP(
        $A20,
        _xlfn._xlws.FILTER(
            INDIRECT("'"&amp;M$62&amp;"'!A2:G1000"), (INDIRECT("'"&amp;M$62&amp;"'!B2:B1000")=$B20) * (INDIRECT("'"&amp;M$62&amp;"'!C2:C1000")=$C20)
        ),
        5,
        FALSE
    )="",
    "",
    VLOOKUP(
        $A20,
        _xlfn._xlws.FILTER(
            INDIRECT("'"&amp;M$62&amp;"'!A2:G1000"), (INDIRECT("'"&amp;M$62&amp;"'!B2:B1000")=$B20) * (INDIRECT("'"&amp;M$62&amp;"'!C2:C1000")=$C20)
        ),
        7,
        FALSE
    )
)</f>
        <v/>
      </c>
      <c r="N20" s="58">
        <f t="array" ref="N20">IF(
    VLOOKUP(
        $A20,
        _xlfn._xlws.FILTER(
            INDIRECT("'"&amp;N$62&amp;"'!A2:G1000"), (INDIRECT("'"&amp;N$62&amp;"'!B2:B1000")=$B20) * (INDIRECT("'"&amp;N$62&amp;"'!C2:C1000")=$C20)
        ),
        5,
        FALSE
    )="",
    "",
    VLOOKUP(
        $A20,
        _xlfn._xlws.FILTER(
            INDIRECT("'"&amp;N$62&amp;"'!A2:G1000"), (INDIRECT("'"&amp;N$62&amp;"'!B2:B1000")=$B20) * (INDIRECT("'"&amp;N$62&amp;"'!C2:C1000")=$C20)
        ),
        7,
        FALSE
    )
)</f>
        <v/>
      </c>
      <c r="O20" s="58">
        <f t="array" ref="O20">IF(
    VLOOKUP(
        $A20,
        _xlfn._xlws.FILTER(
            INDIRECT("'"&amp;O$62&amp;"'!A2:G1000"), (INDIRECT("'"&amp;O$62&amp;"'!B2:B1000")=$B20) * (INDIRECT("'"&amp;O$62&amp;"'!C2:C1000")=$C20)
        ),
        5,
        FALSE
    )="",
    "",
    VLOOKUP(
        $A20,
        _xlfn._xlws.FILTER(
            INDIRECT("'"&amp;O$62&amp;"'!A2:G1000"), (INDIRECT("'"&amp;O$62&amp;"'!B2:B1000")=$B20) * (INDIRECT("'"&amp;O$62&amp;"'!C2:C1000")=$C20)
        ),
        7,
        FALSE
    )
)</f>
        <v/>
      </c>
      <c r="P20" s="58">
        <f t="array" ref="P20">IF(
    VLOOKUP(
        $A20,
        _xlfn._xlws.FILTER(
            INDIRECT("'"&amp;P$62&amp;"'!A2:G1000"), (INDIRECT("'"&amp;P$62&amp;"'!B2:B1000")=$B20) * (INDIRECT("'"&amp;P$62&amp;"'!C2:C1000")=$C20)
        ),
        5,
        FALSE
    )="",
    "",
    VLOOKUP(
        $A20,
        _xlfn._xlws.FILTER(
            INDIRECT("'"&amp;P$62&amp;"'!A2:G1000"), (INDIRECT("'"&amp;P$62&amp;"'!B2:B1000")=$B20) * (INDIRECT("'"&amp;P$62&amp;"'!C2:C1000")=$C20)
        ),
        7,
        FALSE
    )
)</f>
        <v/>
      </c>
    </row>
    <row r="21">
      <c r="A21" s="13" t="inlineStr">
        <is>
          <t>Francisco Beltrão</t>
        </is>
      </c>
      <c r="B21" s="58" t="inlineStr">
        <is>
          <t>Francisco Beltrão</t>
        </is>
      </c>
      <c r="C21" s="85" t="inlineStr">
        <is>
          <t>01</t>
        </is>
      </c>
      <c r="D21" s="58">
        <f t="array" ref="D21">IF(
    VLOOKUP(
        $A21,
        _xlfn._xlws.FILTER(
            INDIRECT("'"&amp;D$62&amp;"'!A2:G1000"), (INDIRECT("'"&amp;D$62&amp;"'!B2:B1000")=$B21) * (INDIRECT("'"&amp;D$62&amp;"'!C2:C1000")=$C21)
        ),
        5,
        FALSE
    )="",
    "",
    VLOOKUP(
        $A21,
        _xlfn._xlws.FILTER(
            INDIRECT("'"&amp;D$62&amp;"'!A2:G1000"), (INDIRECT("'"&amp;D$62&amp;"'!B2:B1000")=$B21) * (INDIRECT("'"&amp;D$62&amp;"'!C2:C1000")=$C21)
        ),
        7,
        FALSE
    )
)</f>
        <v/>
      </c>
      <c r="E21" s="58">
        <f t="array" ref="E21">IF(
    VLOOKUP(
        $A21,
        _xlfn._xlws.FILTER(
            INDIRECT("'"&amp;E$62&amp;"'!A2:G1000"), (INDIRECT("'"&amp;E$62&amp;"'!B2:B1000")=$B21) * (INDIRECT("'"&amp;E$62&amp;"'!C2:C1000")=$C21)
        ),
        5,
        FALSE
    )="",
    "",
    VLOOKUP(
        $A21,
        _xlfn._xlws.FILTER(
            INDIRECT("'"&amp;E$62&amp;"'!A2:G1000"), (INDIRECT("'"&amp;E$62&amp;"'!B2:B1000")=$B21) * (INDIRECT("'"&amp;E$62&amp;"'!C2:C1000")=$C21)
        ),
        7,
        FALSE
    )
)</f>
        <v/>
      </c>
      <c r="F21" s="58">
        <f t="array" ref="F21">IF(
    VLOOKUP(
        $A21,
        _xlfn._xlws.FILTER(
            INDIRECT("'"&amp;F$62&amp;"'!A2:G1000"), (INDIRECT("'"&amp;F$62&amp;"'!B2:B1000")=$B21) * (INDIRECT("'"&amp;F$62&amp;"'!C2:C1000")=$C21)
        ),
        5,
        FALSE
    )="",
    "",
    VLOOKUP(
        $A21,
        _xlfn._xlws.FILTER(
            INDIRECT("'"&amp;F$62&amp;"'!A2:G1000"), (INDIRECT("'"&amp;F$62&amp;"'!B2:B1000")=$B21) * (INDIRECT("'"&amp;F$62&amp;"'!C2:C1000")=$C21)
        ),
        7,
        FALSE
    )
)</f>
        <v/>
      </c>
      <c r="G21" s="58">
        <f t="array" ref="G21">IF(
    VLOOKUP(
        $A21,
        _xlfn._xlws.FILTER(
            INDIRECT("'"&amp;G$62&amp;"'!A2:G1000"), (INDIRECT("'"&amp;G$62&amp;"'!B2:B1000")=$B21) * (INDIRECT("'"&amp;G$62&amp;"'!C2:C1000")=$C21)
        ),
        5,
        FALSE
    )="",
    "",
    VLOOKUP(
        $A21,
        _xlfn._xlws.FILTER(
            INDIRECT("'"&amp;G$62&amp;"'!A2:G1000"), (INDIRECT("'"&amp;G$62&amp;"'!B2:B1000")=$B21) * (INDIRECT("'"&amp;G$62&amp;"'!C2:C1000")=$C21)
        ),
        7,
        FALSE
    )
)</f>
        <v/>
      </c>
      <c r="H21" s="58">
        <f t="array" ref="H21">IF(
    VLOOKUP(
        $A21,
        _xlfn._xlws.FILTER(
            INDIRECT("'"&amp;H$62&amp;"'!A2:G1000"), (INDIRECT("'"&amp;H$62&amp;"'!B2:B1000")=$B21) * (INDIRECT("'"&amp;H$62&amp;"'!C2:C1000")=$C21)
        ),
        5,
        FALSE
    )="",
    "",
    VLOOKUP(
        $A21,
        _xlfn._xlws.FILTER(
            INDIRECT("'"&amp;H$62&amp;"'!A2:G1000"), (INDIRECT("'"&amp;H$62&amp;"'!B2:B1000")=$B21) * (INDIRECT("'"&amp;H$62&amp;"'!C2:C1000")=$C21)
        ),
        7,
        FALSE
    )
)</f>
        <v/>
      </c>
      <c r="I21" s="58">
        <f t="array" ref="I21">IF(
    VLOOKUP(
        $A21,
        _xlfn._xlws.FILTER(
            INDIRECT("'"&amp;I$62&amp;"'!A2:G1000"), (INDIRECT("'"&amp;I$62&amp;"'!B2:B1000")=$B21) * (INDIRECT("'"&amp;I$62&amp;"'!C2:C1000")=$C21)
        ),
        5,
        FALSE
    )="",
    "",
    VLOOKUP(
        $A21,
        _xlfn._xlws.FILTER(
            INDIRECT("'"&amp;I$62&amp;"'!A2:G1000"), (INDIRECT("'"&amp;I$62&amp;"'!B2:B1000")=$B21) * (INDIRECT("'"&amp;I$62&amp;"'!C2:C1000")=$C21)
        ),
        7,
        FALSE
    )
)</f>
        <v/>
      </c>
      <c r="J21" s="58">
        <f t="array" ref="J21">IF(
    VLOOKUP(
        $A21,
        _xlfn._xlws.FILTER(
            INDIRECT("'"&amp;J$62&amp;"'!A2:G1000"), (INDIRECT("'"&amp;J$62&amp;"'!B2:B1000")=$B21) * (INDIRECT("'"&amp;J$62&amp;"'!C2:C1000")=$C21)
        ),
        5,
        FALSE
    )="",
    "",
    VLOOKUP(
        $A21,
        _xlfn._xlws.FILTER(
            INDIRECT("'"&amp;J$62&amp;"'!A2:G1000"), (INDIRECT("'"&amp;J$62&amp;"'!B2:B1000")=$B21) * (INDIRECT("'"&amp;J$62&amp;"'!C2:C1000")=$C21)
        ),
        7,
        FALSE
    )
)</f>
        <v/>
      </c>
      <c r="K21" s="58">
        <f t="array" ref="K21">IF(
    VLOOKUP(
        $A21,
        _xlfn._xlws.FILTER(
            INDIRECT("'"&amp;K$62&amp;"'!A2:G1000"), (INDIRECT("'"&amp;K$62&amp;"'!B2:B1000")=$B21) * (INDIRECT("'"&amp;K$62&amp;"'!C2:C1000")=$C21)
        ),
        5,
        FALSE
    )="",
    "",
    VLOOKUP(
        $A21,
        _xlfn._xlws.FILTER(
            INDIRECT("'"&amp;K$62&amp;"'!A2:G1000"), (INDIRECT("'"&amp;K$62&amp;"'!B2:B1000")=$B21) * (INDIRECT("'"&amp;K$62&amp;"'!C2:C1000")=$C21)
        ),
        7,
        FALSE
    )
)</f>
        <v/>
      </c>
      <c r="L21" s="58">
        <f t="array" ref="L21">IF(
    VLOOKUP(
        $A21,
        _xlfn._xlws.FILTER(
            INDIRECT("'"&amp;L$62&amp;"'!A2:G1000"), (INDIRECT("'"&amp;L$62&amp;"'!B2:B1000")=$B21) * (INDIRECT("'"&amp;L$62&amp;"'!C2:C1000")=$C21)
        ),
        5,
        FALSE
    )="",
    "",
    VLOOKUP(
        $A21,
        _xlfn._xlws.FILTER(
            INDIRECT("'"&amp;L$62&amp;"'!A2:G1000"), (INDIRECT("'"&amp;L$62&amp;"'!B2:B1000")=$B21) * (INDIRECT("'"&amp;L$62&amp;"'!C2:C1000")=$C21)
        ),
        7,
        FALSE
    )
)</f>
        <v/>
      </c>
      <c r="M21" s="58">
        <f t="array" ref="M21">IF(
    VLOOKUP(
        $A21,
        _xlfn._xlws.FILTER(
            INDIRECT("'"&amp;M$62&amp;"'!A2:G1000"), (INDIRECT("'"&amp;M$62&amp;"'!B2:B1000")=$B21) * (INDIRECT("'"&amp;M$62&amp;"'!C2:C1000")=$C21)
        ),
        5,
        FALSE
    )="",
    "",
    VLOOKUP(
        $A21,
        _xlfn._xlws.FILTER(
            INDIRECT("'"&amp;M$62&amp;"'!A2:G1000"), (INDIRECT("'"&amp;M$62&amp;"'!B2:B1000")=$B21) * (INDIRECT("'"&amp;M$62&amp;"'!C2:C1000")=$C21)
        ),
        7,
        FALSE
    )
)</f>
        <v/>
      </c>
      <c r="N21" s="58">
        <f t="array" ref="N21">IF(
    VLOOKUP(
        $A21,
        _xlfn._xlws.FILTER(
            INDIRECT("'"&amp;N$62&amp;"'!A2:G1000"), (INDIRECT("'"&amp;N$62&amp;"'!B2:B1000")=$B21) * (INDIRECT("'"&amp;N$62&amp;"'!C2:C1000")=$C21)
        ),
        5,
        FALSE
    )="",
    "",
    VLOOKUP(
        $A21,
        _xlfn._xlws.FILTER(
            INDIRECT("'"&amp;N$62&amp;"'!A2:G1000"), (INDIRECT("'"&amp;N$62&amp;"'!B2:B1000")=$B21) * (INDIRECT("'"&amp;N$62&amp;"'!C2:C1000")=$C21)
        ),
        7,
        FALSE
    )
)</f>
        <v/>
      </c>
      <c r="O21" s="58">
        <f t="array" ref="O21">IF(
    VLOOKUP(
        $A21,
        _xlfn._xlws.FILTER(
            INDIRECT("'"&amp;O$62&amp;"'!A2:G1000"), (INDIRECT("'"&amp;O$62&amp;"'!B2:B1000")=$B21) * (INDIRECT("'"&amp;O$62&amp;"'!C2:C1000")=$C21)
        ),
        5,
        FALSE
    )="",
    "",
    VLOOKUP(
        $A21,
        _xlfn._xlws.FILTER(
            INDIRECT("'"&amp;O$62&amp;"'!A2:G1000"), (INDIRECT("'"&amp;O$62&amp;"'!B2:B1000")=$B21) * (INDIRECT("'"&amp;O$62&amp;"'!C2:C1000")=$C21)
        ),
        7,
        FALSE
    )
)</f>
        <v/>
      </c>
      <c r="P21" s="58">
        <f t="array" ref="P21">IF(
    VLOOKUP(
        $A21,
        _xlfn._xlws.FILTER(
            INDIRECT("'"&amp;P$62&amp;"'!A2:G1000"), (INDIRECT("'"&amp;P$62&amp;"'!B2:B1000")=$B21) * (INDIRECT("'"&amp;P$62&amp;"'!C2:C1000")=$C21)
        ),
        5,
        FALSE
    )="",
    "",
    VLOOKUP(
        $A21,
        _xlfn._xlws.FILTER(
            INDIRECT("'"&amp;P$62&amp;"'!A2:G1000"), (INDIRECT("'"&amp;P$62&amp;"'!B2:B1000")=$B21) * (INDIRECT("'"&amp;P$62&amp;"'!C2:C1000")=$C21)
        ),
        7,
        FALSE
    )
)</f>
        <v/>
      </c>
    </row>
    <row r="22">
      <c r="A22" s="13" t="inlineStr">
        <is>
          <t>Francisco Beltrão</t>
        </is>
      </c>
      <c r="B22" s="58" t="inlineStr">
        <is>
          <t>Francisco Beltrão</t>
        </is>
      </c>
      <c r="C22" s="85" t="inlineStr">
        <is>
          <t>02</t>
        </is>
      </c>
      <c r="D22" s="58">
        <f t="array" ref="D22">IF(
    VLOOKUP(
        $A22,
        _xlfn._xlws.FILTER(
            INDIRECT("'"&amp;D$62&amp;"'!A2:G1000"), (INDIRECT("'"&amp;D$62&amp;"'!B2:B1000")=$B22) * (INDIRECT("'"&amp;D$62&amp;"'!C2:C1000")=$C22)
        ),
        5,
        FALSE
    )="",
    "",
    VLOOKUP(
        $A22,
        _xlfn._xlws.FILTER(
            INDIRECT("'"&amp;D$62&amp;"'!A2:G1000"), (INDIRECT("'"&amp;D$62&amp;"'!B2:B1000")=$B22) * (INDIRECT("'"&amp;D$62&amp;"'!C2:C1000")=$C22)
        ),
        7,
        FALSE
    )
)</f>
        <v/>
      </c>
      <c r="E22" s="58">
        <f t="array" ref="E22">IF(
    VLOOKUP(
        $A22,
        _xlfn._xlws.FILTER(
            INDIRECT("'"&amp;E$62&amp;"'!A2:G1000"), (INDIRECT("'"&amp;E$62&amp;"'!B2:B1000")=$B22) * (INDIRECT("'"&amp;E$62&amp;"'!C2:C1000")=$C22)
        ),
        5,
        FALSE
    )="",
    "",
    VLOOKUP(
        $A22,
        _xlfn._xlws.FILTER(
            INDIRECT("'"&amp;E$62&amp;"'!A2:G1000"), (INDIRECT("'"&amp;E$62&amp;"'!B2:B1000")=$B22) * (INDIRECT("'"&amp;E$62&amp;"'!C2:C1000")=$C22)
        ),
        7,
        FALSE
    )
)</f>
        <v/>
      </c>
      <c r="F22" s="58">
        <f t="array" ref="F22">IF(
    VLOOKUP(
        $A22,
        _xlfn._xlws.FILTER(
            INDIRECT("'"&amp;F$62&amp;"'!A2:G1000"), (INDIRECT("'"&amp;F$62&amp;"'!B2:B1000")=$B22) * (INDIRECT("'"&amp;F$62&amp;"'!C2:C1000")=$C22)
        ),
        5,
        FALSE
    )="",
    "",
    VLOOKUP(
        $A22,
        _xlfn._xlws.FILTER(
            INDIRECT("'"&amp;F$62&amp;"'!A2:G1000"), (INDIRECT("'"&amp;F$62&amp;"'!B2:B1000")=$B22) * (INDIRECT("'"&amp;F$62&amp;"'!C2:C1000")=$C22)
        ),
        7,
        FALSE
    )
)</f>
        <v/>
      </c>
      <c r="G22" s="58">
        <f t="array" ref="G22">IF(
    VLOOKUP(
        $A22,
        _xlfn._xlws.FILTER(
            INDIRECT("'"&amp;G$62&amp;"'!A2:G1000"), (INDIRECT("'"&amp;G$62&amp;"'!B2:B1000")=$B22) * (INDIRECT("'"&amp;G$62&amp;"'!C2:C1000")=$C22)
        ),
        5,
        FALSE
    )="",
    "",
    VLOOKUP(
        $A22,
        _xlfn._xlws.FILTER(
            INDIRECT("'"&amp;G$62&amp;"'!A2:G1000"), (INDIRECT("'"&amp;G$62&amp;"'!B2:B1000")=$B22) * (INDIRECT("'"&amp;G$62&amp;"'!C2:C1000")=$C22)
        ),
        7,
        FALSE
    )
)</f>
        <v/>
      </c>
      <c r="H22" s="58">
        <f t="array" ref="H22">IF(
    VLOOKUP(
        $A22,
        _xlfn._xlws.FILTER(
            INDIRECT("'"&amp;H$62&amp;"'!A2:G1000"), (INDIRECT("'"&amp;H$62&amp;"'!B2:B1000")=$B22) * (INDIRECT("'"&amp;H$62&amp;"'!C2:C1000")=$C22)
        ),
        5,
        FALSE
    )="",
    "",
    VLOOKUP(
        $A22,
        _xlfn._xlws.FILTER(
            INDIRECT("'"&amp;H$62&amp;"'!A2:G1000"), (INDIRECT("'"&amp;H$62&amp;"'!B2:B1000")=$B22) * (INDIRECT("'"&amp;H$62&amp;"'!C2:C1000")=$C22)
        ),
        7,
        FALSE
    )
)</f>
        <v/>
      </c>
      <c r="I22" s="58">
        <f t="array" ref="I22">IF(
    VLOOKUP(
        $A22,
        _xlfn._xlws.FILTER(
            INDIRECT("'"&amp;I$62&amp;"'!A2:G1000"), (INDIRECT("'"&amp;I$62&amp;"'!B2:B1000")=$B22) * (INDIRECT("'"&amp;I$62&amp;"'!C2:C1000")=$C22)
        ),
        5,
        FALSE
    )="",
    "",
    VLOOKUP(
        $A22,
        _xlfn._xlws.FILTER(
            INDIRECT("'"&amp;I$62&amp;"'!A2:G1000"), (INDIRECT("'"&amp;I$62&amp;"'!B2:B1000")=$B22) * (INDIRECT("'"&amp;I$62&amp;"'!C2:C1000")=$C22)
        ),
        7,
        FALSE
    )
)</f>
        <v/>
      </c>
      <c r="J22" s="58">
        <f t="array" ref="J22">IF(
    VLOOKUP(
        $A22,
        _xlfn._xlws.FILTER(
            INDIRECT("'"&amp;J$62&amp;"'!A2:G1000"), (INDIRECT("'"&amp;J$62&amp;"'!B2:B1000")=$B22) * (INDIRECT("'"&amp;J$62&amp;"'!C2:C1000")=$C22)
        ),
        5,
        FALSE
    )="",
    "",
    VLOOKUP(
        $A22,
        _xlfn._xlws.FILTER(
            INDIRECT("'"&amp;J$62&amp;"'!A2:G1000"), (INDIRECT("'"&amp;J$62&amp;"'!B2:B1000")=$B22) * (INDIRECT("'"&amp;J$62&amp;"'!C2:C1000")=$C22)
        ),
        7,
        FALSE
    )
)</f>
        <v/>
      </c>
      <c r="K22" s="58">
        <f t="array" ref="K22">IF(
    VLOOKUP(
        $A22,
        _xlfn._xlws.FILTER(
            INDIRECT("'"&amp;K$62&amp;"'!A2:G1000"), (INDIRECT("'"&amp;K$62&amp;"'!B2:B1000")=$B22) * (INDIRECT("'"&amp;K$62&amp;"'!C2:C1000")=$C22)
        ),
        5,
        FALSE
    )="",
    "",
    VLOOKUP(
        $A22,
        _xlfn._xlws.FILTER(
            INDIRECT("'"&amp;K$62&amp;"'!A2:G1000"), (INDIRECT("'"&amp;K$62&amp;"'!B2:B1000")=$B22) * (INDIRECT("'"&amp;K$62&amp;"'!C2:C1000")=$C22)
        ),
        7,
        FALSE
    )
)</f>
        <v/>
      </c>
      <c r="L22" s="58">
        <f t="array" ref="L22">IF(
    VLOOKUP(
        $A22,
        _xlfn._xlws.FILTER(
            INDIRECT("'"&amp;L$62&amp;"'!A2:G1000"), (INDIRECT("'"&amp;L$62&amp;"'!B2:B1000")=$B22) * (INDIRECT("'"&amp;L$62&amp;"'!C2:C1000")=$C22)
        ),
        5,
        FALSE
    )="",
    "",
    VLOOKUP(
        $A22,
        _xlfn._xlws.FILTER(
            INDIRECT("'"&amp;L$62&amp;"'!A2:G1000"), (INDIRECT("'"&amp;L$62&amp;"'!B2:B1000")=$B22) * (INDIRECT("'"&amp;L$62&amp;"'!C2:C1000")=$C22)
        ),
        7,
        FALSE
    )
)</f>
        <v/>
      </c>
      <c r="M22" s="58">
        <f t="array" ref="M22">IF(
    VLOOKUP(
        $A22,
        _xlfn._xlws.FILTER(
            INDIRECT("'"&amp;M$62&amp;"'!A2:G1000"), (INDIRECT("'"&amp;M$62&amp;"'!B2:B1000")=$B22) * (INDIRECT("'"&amp;M$62&amp;"'!C2:C1000")=$C22)
        ),
        5,
        FALSE
    )="",
    "",
    VLOOKUP(
        $A22,
        _xlfn._xlws.FILTER(
            INDIRECT("'"&amp;M$62&amp;"'!A2:G1000"), (INDIRECT("'"&amp;M$62&amp;"'!B2:B1000")=$B22) * (INDIRECT("'"&amp;M$62&amp;"'!C2:C1000")=$C22)
        ),
        7,
        FALSE
    )
)</f>
        <v/>
      </c>
      <c r="N22" s="58">
        <f t="array" ref="N22">IF(
    VLOOKUP(
        $A22,
        _xlfn._xlws.FILTER(
            INDIRECT("'"&amp;N$62&amp;"'!A2:G1000"), (INDIRECT("'"&amp;N$62&amp;"'!B2:B1000")=$B22) * (INDIRECT("'"&amp;N$62&amp;"'!C2:C1000")=$C22)
        ),
        5,
        FALSE
    )="",
    "",
    VLOOKUP(
        $A22,
        _xlfn._xlws.FILTER(
            INDIRECT("'"&amp;N$62&amp;"'!A2:G1000"), (INDIRECT("'"&amp;N$62&amp;"'!B2:B1000")=$B22) * (INDIRECT("'"&amp;N$62&amp;"'!C2:C1000")=$C22)
        ),
        7,
        FALSE
    )
)</f>
        <v/>
      </c>
      <c r="O22" s="58">
        <f t="array" ref="O22">IF(
    VLOOKUP(
        $A22,
        _xlfn._xlws.FILTER(
            INDIRECT("'"&amp;O$62&amp;"'!A2:G1000"), (INDIRECT("'"&amp;O$62&amp;"'!B2:B1000")=$B22) * (INDIRECT("'"&amp;O$62&amp;"'!C2:C1000")=$C22)
        ),
        5,
        FALSE
    )="",
    "",
    VLOOKUP(
        $A22,
        _xlfn._xlws.FILTER(
            INDIRECT("'"&amp;O$62&amp;"'!A2:G1000"), (INDIRECT("'"&amp;O$62&amp;"'!B2:B1000")=$B22) * (INDIRECT("'"&amp;O$62&amp;"'!C2:C1000")=$C22)
        ),
        7,
        FALSE
    )
)</f>
        <v/>
      </c>
      <c r="P22" s="58">
        <f t="array" ref="P22">IF(
    VLOOKUP(
        $A22,
        _xlfn._xlws.FILTER(
            INDIRECT("'"&amp;P$62&amp;"'!A2:G1000"), (INDIRECT("'"&amp;P$62&amp;"'!B2:B1000")=$B22) * (INDIRECT("'"&amp;P$62&amp;"'!C2:C1000")=$C22)
        ),
        5,
        FALSE
    )="",
    "",
    VLOOKUP(
        $A22,
        _xlfn._xlws.FILTER(
            INDIRECT("'"&amp;P$62&amp;"'!A2:G1000"), (INDIRECT("'"&amp;P$62&amp;"'!B2:B1000")=$B22) * (INDIRECT("'"&amp;P$62&amp;"'!C2:C1000")=$C22)
        ),
        7,
        FALSE
    )
)</f>
        <v/>
      </c>
    </row>
    <row r="23">
      <c r="A23" s="13" t="inlineStr">
        <is>
          <t>Francisco Beltrão</t>
        </is>
      </c>
      <c r="B23" s="58" t="inlineStr">
        <is>
          <t>Francisco Beltrão</t>
        </is>
      </c>
      <c r="C23" s="85" t="inlineStr">
        <is>
          <t>03</t>
        </is>
      </c>
      <c r="D23" s="58">
        <f t="array" ref="D23">IF(
    VLOOKUP(
        $A23,
        _xlfn._xlws.FILTER(
            INDIRECT("'"&amp;D$62&amp;"'!A2:G1000"), (INDIRECT("'"&amp;D$62&amp;"'!B2:B1000")=$B23) * (INDIRECT("'"&amp;D$62&amp;"'!C2:C1000")=$C23)
        ),
        5,
        FALSE
    )="",
    "",
    VLOOKUP(
        $A23,
        _xlfn._xlws.FILTER(
            INDIRECT("'"&amp;D$62&amp;"'!A2:G1000"), (INDIRECT("'"&amp;D$62&amp;"'!B2:B1000")=$B23) * (INDIRECT("'"&amp;D$62&amp;"'!C2:C1000")=$C23)
        ),
        7,
        FALSE
    )
)</f>
        <v/>
      </c>
      <c r="E23" s="58">
        <f t="array" ref="E23">IF(
    VLOOKUP(
        $A23,
        _xlfn._xlws.FILTER(
            INDIRECT("'"&amp;E$62&amp;"'!A2:G1000"), (INDIRECT("'"&amp;E$62&amp;"'!B2:B1000")=$B23) * (INDIRECT("'"&amp;E$62&amp;"'!C2:C1000")=$C23)
        ),
        5,
        FALSE
    )="",
    "",
    VLOOKUP(
        $A23,
        _xlfn._xlws.FILTER(
            INDIRECT("'"&amp;E$62&amp;"'!A2:G1000"), (INDIRECT("'"&amp;E$62&amp;"'!B2:B1000")=$B23) * (INDIRECT("'"&amp;E$62&amp;"'!C2:C1000")=$C23)
        ),
        7,
        FALSE
    )
)</f>
        <v/>
      </c>
      <c r="F23" s="58">
        <f t="array" ref="F23">IF(
    VLOOKUP(
        $A23,
        _xlfn._xlws.FILTER(
            INDIRECT("'"&amp;F$62&amp;"'!A2:G1000"), (INDIRECT("'"&amp;F$62&amp;"'!B2:B1000")=$B23) * (INDIRECT("'"&amp;F$62&amp;"'!C2:C1000")=$C23)
        ),
        5,
        FALSE
    )="",
    "",
    VLOOKUP(
        $A23,
        _xlfn._xlws.FILTER(
            INDIRECT("'"&amp;F$62&amp;"'!A2:G1000"), (INDIRECT("'"&amp;F$62&amp;"'!B2:B1000")=$B23) * (INDIRECT("'"&amp;F$62&amp;"'!C2:C1000")=$C23)
        ),
        7,
        FALSE
    )
)</f>
        <v/>
      </c>
      <c r="G23" s="58">
        <f t="array" ref="G23">IF(
    VLOOKUP(
        $A23,
        _xlfn._xlws.FILTER(
            INDIRECT("'"&amp;G$62&amp;"'!A2:G1000"), (INDIRECT("'"&amp;G$62&amp;"'!B2:B1000")=$B23) * (INDIRECT("'"&amp;G$62&amp;"'!C2:C1000")=$C23)
        ),
        5,
        FALSE
    )="",
    "",
    VLOOKUP(
        $A23,
        _xlfn._xlws.FILTER(
            INDIRECT("'"&amp;G$62&amp;"'!A2:G1000"), (INDIRECT("'"&amp;G$62&amp;"'!B2:B1000")=$B23) * (INDIRECT("'"&amp;G$62&amp;"'!C2:C1000")=$C23)
        ),
        7,
        FALSE
    )
)</f>
        <v/>
      </c>
      <c r="H23" s="58">
        <f t="array" ref="H23">IF(
    VLOOKUP(
        $A23,
        _xlfn._xlws.FILTER(
            INDIRECT("'"&amp;H$62&amp;"'!A2:G1000"), (INDIRECT("'"&amp;H$62&amp;"'!B2:B1000")=$B23) * (INDIRECT("'"&amp;H$62&amp;"'!C2:C1000")=$C23)
        ),
        5,
        FALSE
    )="",
    "",
    VLOOKUP(
        $A23,
        _xlfn._xlws.FILTER(
            INDIRECT("'"&amp;H$62&amp;"'!A2:G1000"), (INDIRECT("'"&amp;H$62&amp;"'!B2:B1000")=$B23) * (INDIRECT("'"&amp;H$62&amp;"'!C2:C1000")=$C23)
        ),
        7,
        FALSE
    )
)</f>
        <v/>
      </c>
      <c r="I23" s="58">
        <f t="array" ref="I23">IF(
    VLOOKUP(
        $A23,
        _xlfn._xlws.FILTER(
            INDIRECT("'"&amp;I$62&amp;"'!A2:G1000"), (INDIRECT("'"&amp;I$62&amp;"'!B2:B1000")=$B23) * (INDIRECT("'"&amp;I$62&amp;"'!C2:C1000")=$C23)
        ),
        5,
        FALSE
    )="",
    "",
    VLOOKUP(
        $A23,
        _xlfn._xlws.FILTER(
            INDIRECT("'"&amp;I$62&amp;"'!A2:G1000"), (INDIRECT("'"&amp;I$62&amp;"'!B2:B1000")=$B23) * (INDIRECT("'"&amp;I$62&amp;"'!C2:C1000")=$C23)
        ),
        7,
        FALSE
    )
)</f>
        <v/>
      </c>
      <c r="J23" s="58">
        <f t="array" ref="J23">IF(
    VLOOKUP(
        $A23,
        _xlfn._xlws.FILTER(
            INDIRECT("'"&amp;J$62&amp;"'!A2:G1000"), (INDIRECT("'"&amp;J$62&amp;"'!B2:B1000")=$B23) * (INDIRECT("'"&amp;J$62&amp;"'!C2:C1000")=$C23)
        ),
        5,
        FALSE
    )="",
    "",
    VLOOKUP(
        $A23,
        _xlfn._xlws.FILTER(
            INDIRECT("'"&amp;J$62&amp;"'!A2:G1000"), (INDIRECT("'"&amp;J$62&amp;"'!B2:B1000")=$B23) * (INDIRECT("'"&amp;J$62&amp;"'!C2:C1000")=$C23)
        ),
        7,
        FALSE
    )
)</f>
        <v/>
      </c>
      <c r="K23" s="58">
        <f t="array" ref="K23">IF(
    VLOOKUP(
        $A23,
        _xlfn._xlws.FILTER(
            INDIRECT("'"&amp;K$62&amp;"'!A2:G1000"), (INDIRECT("'"&amp;K$62&amp;"'!B2:B1000")=$B23) * (INDIRECT("'"&amp;K$62&amp;"'!C2:C1000")=$C23)
        ),
        5,
        FALSE
    )="",
    "",
    VLOOKUP(
        $A23,
        _xlfn._xlws.FILTER(
            INDIRECT("'"&amp;K$62&amp;"'!A2:G1000"), (INDIRECT("'"&amp;K$62&amp;"'!B2:B1000")=$B23) * (INDIRECT("'"&amp;K$62&amp;"'!C2:C1000")=$C23)
        ),
        7,
        FALSE
    )
)</f>
        <v/>
      </c>
      <c r="L23" s="58">
        <f t="array" ref="L23">IF(
    VLOOKUP(
        $A23,
        _xlfn._xlws.FILTER(
            INDIRECT("'"&amp;L$62&amp;"'!A2:G1000"), (INDIRECT("'"&amp;L$62&amp;"'!B2:B1000")=$B23) * (INDIRECT("'"&amp;L$62&amp;"'!C2:C1000")=$C23)
        ),
        5,
        FALSE
    )="",
    "",
    VLOOKUP(
        $A23,
        _xlfn._xlws.FILTER(
            INDIRECT("'"&amp;L$62&amp;"'!A2:G1000"), (INDIRECT("'"&amp;L$62&amp;"'!B2:B1000")=$B23) * (INDIRECT("'"&amp;L$62&amp;"'!C2:C1000")=$C23)
        ),
        7,
        FALSE
    )
)</f>
        <v/>
      </c>
      <c r="M23" s="58">
        <f t="array" ref="M23">IF(
    VLOOKUP(
        $A23,
        _xlfn._xlws.FILTER(
            INDIRECT("'"&amp;M$62&amp;"'!A2:G1000"), (INDIRECT("'"&amp;M$62&amp;"'!B2:B1000")=$B23) * (INDIRECT("'"&amp;M$62&amp;"'!C2:C1000")=$C23)
        ),
        5,
        FALSE
    )="",
    "",
    VLOOKUP(
        $A23,
        _xlfn._xlws.FILTER(
            INDIRECT("'"&amp;M$62&amp;"'!A2:G1000"), (INDIRECT("'"&amp;M$62&amp;"'!B2:B1000")=$B23) * (INDIRECT("'"&amp;M$62&amp;"'!C2:C1000")=$C23)
        ),
        7,
        FALSE
    )
)</f>
        <v/>
      </c>
      <c r="N23" s="58">
        <f t="array" ref="N23">IF(
    VLOOKUP(
        $A23,
        _xlfn._xlws.FILTER(
            INDIRECT("'"&amp;N$62&amp;"'!A2:G1000"), (INDIRECT("'"&amp;N$62&amp;"'!B2:B1000")=$B23) * (INDIRECT("'"&amp;N$62&amp;"'!C2:C1000")=$C23)
        ),
        5,
        FALSE
    )="",
    "",
    VLOOKUP(
        $A23,
        _xlfn._xlws.FILTER(
            INDIRECT("'"&amp;N$62&amp;"'!A2:G1000"), (INDIRECT("'"&amp;N$62&amp;"'!B2:B1000")=$B23) * (INDIRECT("'"&amp;N$62&amp;"'!C2:C1000")=$C23)
        ),
        7,
        FALSE
    )
)</f>
        <v/>
      </c>
      <c r="O23" s="58">
        <f t="array" ref="O23">IF(
    VLOOKUP(
        $A23,
        _xlfn._xlws.FILTER(
            INDIRECT("'"&amp;O$62&amp;"'!A2:G1000"), (INDIRECT("'"&amp;O$62&amp;"'!B2:B1000")=$B23) * (INDIRECT("'"&amp;O$62&amp;"'!C2:C1000")=$C23)
        ),
        5,
        FALSE
    )="",
    "",
    VLOOKUP(
        $A23,
        _xlfn._xlws.FILTER(
            INDIRECT("'"&amp;O$62&amp;"'!A2:G1000"), (INDIRECT("'"&amp;O$62&amp;"'!B2:B1000")=$B23) * (INDIRECT("'"&amp;O$62&amp;"'!C2:C1000")=$C23)
        ),
        7,
        FALSE
    )
)</f>
        <v/>
      </c>
      <c r="P23" s="58">
        <f t="array" ref="P23">IF(
    VLOOKUP(
        $A23,
        _xlfn._xlws.FILTER(
            INDIRECT("'"&amp;P$62&amp;"'!A2:G1000"), (INDIRECT("'"&amp;P$62&amp;"'!B2:B1000")=$B23) * (INDIRECT("'"&amp;P$62&amp;"'!C2:C1000")=$C23)
        ),
        5,
        FALSE
    )="",
    "",
    VLOOKUP(
        $A23,
        _xlfn._xlws.FILTER(
            INDIRECT("'"&amp;P$62&amp;"'!A2:G1000"), (INDIRECT("'"&amp;P$62&amp;"'!B2:B1000")=$B23) * (INDIRECT("'"&amp;P$62&amp;"'!C2:C1000")=$C23)
        ),
        7,
        FALSE
    )
)</f>
        <v/>
      </c>
    </row>
    <row r="24">
      <c r="A24" s="13" t="inlineStr">
        <is>
          <t>Francisco Beltrão</t>
        </is>
      </c>
      <c r="B24" s="58" t="inlineStr">
        <is>
          <t>Marmeleiro</t>
        </is>
      </c>
      <c r="C24" s="85" t="inlineStr">
        <is>
          <t>01</t>
        </is>
      </c>
      <c r="D24" s="58">
        <f t="array" ref="D24">IF(
    VLOOKUP(
        $A24,
        _xlfn._xlws.FILTER(
            INDIRECT("'"&amp;D$62&amp;"'!A2:G1000"), (INDIRECT("'"&amp;D$62&amp;"'!B2:B1000")=$B24) * (INDIRECT("'"&amp;D$62&amp;"'!C2:C1000")=$C24)
        ),
        5,
        FALSE
    )="",
    "",
    VLOOKUP(
        $A24,
        _xlfn._xlws.FILTER(
            INDIRECT("'"&amp;D$62&amp;"'!A2:G1000"), (INDIRECT("'"&amp;D$62&amp;"'!B2:B1000")=$B24) * (INDIRECT("'"&amp;D$62&amp;"'!C2:C1000")=$C24)
        ),
        7,
        FALSE
    )
)</f>
        <v/>
      </c>
      <c r="E24" s="58">
        <f t="array" ref="E24">IF(
    VLOOKUP(
        $A24,
        _xlfn._xlws.FILTER(
            INDIRECT("'"&amp;E$62&amp;"'!A2:G1000"), (INDIRECT("'"&amp;E$62&amp;"'!B2:B1000")=$B24) * (INDIRECT("'"&amp;E$62&amp;"'!C2:C1000")=$C24)
        ),
        5,
        FALSE
    )="",
    "",
    VLOOKUP(
        $A24,
        _xlfn._xlws.FILTER(
            INDIRECT("'"&amp;E$62&amp;"'!A2:G1000"), (INDIRECT("'"&amp;E$62&amp;"'!B2:B1000")=$B24) * (INDIRECT("'"&amp;E$62&amp;"'!C2:C1000")=$C24)
        ),
        7,
        FALSE
    )
)</f>
        <v/>
      </c>
      <c r="F24" s="58">
        <f t="array" ref="F24">IF(
    VLOOKUP(
        $A24,
        _xlfn._xlws.FILTER(
            INDIRECT("'"&amp;F$62&amp;"'!A2:G1000"), (INDIRECT("'"&amp;F$62&amp;"'!B2:B1000")=$B24) * (INDIRECT("'"&amp;F$62&amp;"'!C2:C1000")=$C24)
        ),
        5,
        FALSE
    )="",
    "",
    VLOOKUP(
        $A24,
        _xlfn._xlws.FILTER(
            INDIRECT("'"&amp;F$62&amp;"'!A2:G1000"), (INDIRECT("'"&amp;F$62&amp;"'!B2:B1000")=$B24) * (INDIRECT("'"&amp;F$62&amp;"'!C2:C1000")=$C24)
        ),
        7,
        FALSE
    )
)</f>
        <v/>
      </c>
      <c r="G24" s="58">
        <f t="array" ref="G24">IF(
    VLOOKUP(
        $A24,
        _xlfn._xlws.FILTER(
            INDIRECT("'"&amp;G$62&amp;"'!A2:G1000"), (INDIRECT("'"&amp;G$62&amp;"'!B2:B1000")=$B24) * (INDIRECT("'"&amp;G$62&amp;"'!C2:C1000")=$C24)
        ),
        5,
        FALSE
    )="",
    "",
    VLOOKUP(
        $A24,
        _xlfn._xlws.FILTER(
            INDIRECT("'"&amp;G$62&amp;"'!A2:G1000"), (INDIRECT("'"&amp;G$62&amp;"'!B2:B1000")=$B24) * (INDIRECT("'"&amp;G$62&amp;"'!C2:C1000")=$C24)
        ),
        7,
        FALSE
    )
)</f>
        <v/>
      </c>
      <c r="H24" s="58">
        <f t="array" ref="H24">IF(
    VLOOKUP(
        $A24,
        _xlfn._xlws.FILTER(
            INDIRECT("'"&amp;H$62&amp;"'!A2:G1000"), (INDIRECT("'"&amp;H$62&amp;"'!B2:B1000")=$B24) * (INDIRECT("'"&amp;H$62&amp;"'!C2:C1000")=$C24)
        ),
        5,
        FALSE
    )="",
    "",
    VLOOKUP(
        $A24,
        _xlfn._xlws.FILTER(
            INDIRECT("'"&amp;H$62&amp;"'!A2:G1000"), (INDIRECT("'"&amp;H$62&amp;"'!B2:B1000")=$B24) * (INDIRECT("'"&amp;H$62&amp;"'!C2:C1000")=$C24)
        ),
        7,
        FALSE
    )
)</f>
        <v/>
      </c>
      <c r="I24" s="58">
        <f t="array" ref="I24">IF(
    VLOOKUP(
        $A24,
        _xlfn._xlws.FILTER(
            INDIRECT("'"&amp;I$62&amp;"'!A2:G1000"), (INDIRECT("'"&amp;I$62&amp;"'!B2:B1000")=$B24) * (INDIRECT("'"&amp;I$62&amp;"'!C2:C1000")=$C24)
        ),
        5,
        FALSE
    )="",
    "",
    VLOOKUP(
        $A24,
        _xlfn._xlws.FILTER(
            INDIRECT("'"&amp;I$62&amp;"'!A2:G1000"), (INDIRECT("'"&amp;I$62&amp;"'!B2:B1000")=$B24) * (INDIRECT("'"&amp;I$62&amp;"'!C2:C1000")=$C24)
        ),
        7,
        FALSE
    )
)</f>
        <v/>
      </c>
      <c r="J24" s="58">
        <f t="array" ref="J24">IF(
    VLOOKUP(
        $A24,
        _xlfn._xlws.FILTER(
            INDIRECT("'"&amp;J$62&amp;"'!A2:G1000"), (INDIRECT("'"&amp;J$62&amp;"'!B2:B1000")=$B24) * (INDIRECT("'"&amp;J$62&amp;"'!C2:C1000")=$C24)
        ),
        5,
        FALSE
    )="",
    "",
    VLOOKUP(
        $A24,
        _xlfn._xlws.FILTER(
            INDIRECT("'"&amp;J$62&amp;"'!A2:G1000"), (INDIRECT("'"&amp;J$62&amp;"'!B2:B1000")=$B24) * (INDIRECT("'"&amp;J$62&amp;"'!C2:C1000")=$C24)
        ),
        7,
        FALSE
    )
)</f>
        <v/>
      </c>
      <c r="K24" s="58">
        <f t="array" ref="K24">IF(
    VLOOKUP(
        $A24,
        _xlfn._xlws.FILTER(
            INDIRECT("'"&amp;K$62&amp;"'!A2:G1000"), (INDIRECT("'"&amp;K$62&amp;"'!B2:B1000")=$B24) * (INDIRECT("'"&amp;K$62&amp;"'!C2:C1000")=$C24)
        ),
        5,
        FALSE
    )="",
    "",
    VLOOKUP(
        $A24,
        _xlfn._xlws.FILTER(
            INDIRECT("'"&amp;K$62&amp;"'!A2:G1000"), (INDIRECT("'"&amp;K$62&amp;"'!B2:B1000")=$B24) * (INDIRECT("'"&amp;K$62&amp;"'!C2:C1000")=$C24)
        ),
        7,
        FALSE
    )
)</f>
        <v/>
      </c>
      <c r="L24" s="58">
        <f t="array" ref="L24">IF(
    VLOOKUP(
        $A24,
        _xlfn._xlws.FILTER(
            INDIRECT("'"&amp;L$62&amp;"'!A2:G1000"), (INDIRECT("'"&amp;L$62&amp;"'!B2:B1000")=$B24) * (INDIRECT("'"&amp;L$62&amp;"'!C2:C1000")=$C24)
        ),
        5,
        FALSE
    )="",
    "",
    VLOOKUP(
        $A24,
        _xlfn._xlws.FILTER(
            INDIRECT("'"&amp;L$62&amp;"'!A2:G1000"), (INDIRECT("'"&amp;L$62&amp;"'!B2:B1000")=$B24) * (INDIRECT("'"&amp;L$62&amp;"'!C2:C1000")=$C24)
        ),
        7,
        FALSE
    )
)</f>
        <v/>
      </c>
      <c r="M24" s="58">
        <f t="array" ref="M24">IF(
    VLOOKUP(
        $A24,
        _xlfn._xlws.FILTER(
            INDIRECT("'"&amp;M$62&amp;"'!A2:G1000"), (INDIRECT("'"&amp;M$62&amp;"'!B2:B1000")=$B24) * (INDIRECT("'"&amp;M$62&amp;"'!C2:C1000")=$C24)
        ),
        5,
        FALSE
    )="",
    "",
    VLOOKUP(
        $A24,
        _xlfn._xlws.FILTER(
            INDIRECT("'"&amp;M$62&amp;"'!A2:G1000"), (INDIRECT("'"&amp;M$62&amp;"'!B2:B1000")=$B24) * (INDIRECT("'"&amp;M$62&amp;"'!C2:C1000")=$C24)
        ),
        7,
        FALSE
    )
)</f>
        <v/>
      </c>
      <c r="N24" s="58">
        <f t="array" ref="N24">IF(
    VLOOKUP(
        $A24,
        _xlfn._xlws.FILTER(
            INDIRECT("'"&amp;N$62&amp;"'!A2:G1000"), (INDIRECT("'"&amp;N$62&amp;"'!B2:B1000")=$B24) * (INDIRECT("'"&amp;N$62&amp;"'!C2:C1000")=$C24)
        ),
        5,
        FALSE
    )="",
    "",
    VLOOKUP(
        $A24,
        _xlfn._xlws.FILTER(
            INDIRECT("'"&amp;N$62&amp;"'!A2:G1000"), (INDIRECT("'"&amp;N$62&amp;"'!B2:B1000")=$B24) * (INDIRECT("'"&amp;N$62&amp;"'!C2:C1000")=$C24)
        ),
        7,
        FALSE
    )
)</f>
        <v/>
      </c>
      <c r="O24" s="58">
        <f t="array" ref="O24">IF(
    VLOOKUP(
        $A24,
        _xlfn._xlws.FILTER(
            INDIRECT("'"&amp;O$62&amp;"'!A2:G1000"), (INDIRECT("'"&amp;O$62&amp;"'!B2:B1000")=$B24) * (INDIRECT("'"&amp;O$62&amp;"'!C2:C1000")=$C24)
        ),
        5,
        FALSE
    )="",
    "",
    VLOOKUP(
        $A24,
        _xlfn._xlws.FILTER(
            INDIRECT("'"&amp;O$62&amp;"'!A2:G1000"), (INDIRECT("'"&amp;O$62&amp;"'!B2:B1000")=$B24) * (INDIRECT("'"&amp;O$62&amp;"'!C2:C1000")=$C24)
        ),
        7,
        FALSE
    )
)</f>
        <v/>
      </c>
      <c r="P24" s="58">
        <f t="array" ref="P24">IF(
    VLOOKUP(
        $A24,
        _xlfn._xlws.FILTER(
            INDIRECT("'"&amp;P$62&amp;"'!A2:G1000"), (INDIRECT("'"&amp;P$62&amp;"'!B2:B1000")=$B24) * (INDIRECT("'"&amp;P$62&amp;"'!C2:C1000")=$C24)
        ),
        5,
        FALSE
    )="",
    "",
    VLOOKUP(
        $A24,
        _xlfn._xlws.FILTER(
            INDIRECT("'"&amp;P$62&amp;"'!A2:G1000"), (INDIRECT("'"&amp;P$62&amp;"'!B2:B1000")=$B24) * (INDIRECT("'"&amp;P$62&amp;"'!C2:C1000")=$C24)
        ),
        7,
        FALSE
    )
)</f>
        <v/>
      </c>
    </row>
    <row r="25">
      <c r="A25" s="13" t="inlineStr">
        <is>
          <t>Francisco Beltrão</t>
        </is>
      </c>
      <c r="B25" s="58" t="inlineStr">
        <is>
          <t>Realeza</t>
        </is>
      </c>
      <c r="C25" s="85" t="inlineStr">
        <is>
          <t>01</t>
        </is>
      </c>
      <c r="D25" s="58">
        <f t="array" ref="D25">IF(
    VLOOKUP(
        $A25,
        _xlfn._xlws.FILTER(
            INDIRECT("'"&amp;D$62&amp;"'!A2:G1000"), (INDIRECT("'"&amp;D$62&amp;"'!B2:B1000")=$B25) * (INDIRECT("'"&amp;D$62&amp;"'!C2:C1000")=$C25)
        ),
        5,
        FALSE
    )="",
    "",
    VLOOKUP(
        $A25,
        _xlfn._xlws.FILTER(
            INDIRECT("'"&amp;D$62&amp;"'!A2:G1000"), (INDIRECT("'"&amp;D$62&amp;"'!B2:B1000")=$B25) * (INDIRECT("'"&amp;D$62&amp;"'!C2:C1000")=$C25)
        ),
        7,
        FALSE
    )
)</f>
        <v/>
      </c>
      <c r="E25" s="58">
        <f t="array" ref="E25">IF(
    VLOOKUP(
        $A25,
        _xlfn._xlws.FILTER(
            INDIRECT("'"&amp;E$62&amp;"'!A2:G1000"), (INDIRECT("'"&amp;E$62&amp;"'!B2:B1000")=$B25) * (INDIRECT("'"&amp;E$62&amp;"'!C2:C1000")=$C25)
        ),
        5,
        FALSE
    )="",
    "",
    VLOOKUP(
        $A25,
        _xlfn._xlws.FILTER(
            INDIRECT("'"&amp;E$62&amp;"'!A2:G1000"), (INDIRECT("'"&amp;E$62&amp;"'!B2:B1000")=$B25) * (INDIRECT("'"&amp;E$62&amp;"'!C2:C1000")=$C25)
        ),
        7,
        FALSE
    )
)</f>
        <v/>
      </c>
      <c r="F25" s="58">
        <f t="array" ref="F25">IF(
    VLOOKUP(
        $A25,
        _xlfn._xlws.FILTER(
            INDIRECT("'"&amp;F$62&amp;"'!A2:G1000"), (INDIRECT("'"&amp;F$62&amp;"'!B2:B1000")=$B25) * (INDIRECT("'"&amp;F$62&amp;"'!C2:C1000")=$C25)
        ),
        5,
        FALSE
    )="",
    "",
    VLOOKUP(
        $A25,
        _xlfn._xlws.FILTER(
            INDIRECT("'"&amp;F$62&amp;"'!A2:G1000"), (INDIRECT("'"&amp;F$62&amp;"'!B2:B1000")=$B25) * (INDIRECT("'"&amp;F$62&amp;"'!C2:C1000")=$C25)
        ),
        7,
        FALSE
    )
)</f>
        <v/>
      </c>
      <c r="G25" s="58">
        <f t="array" ref="G25">IF(
    VLOOKUP(
        $A25,
        _xlfn._xlws.FILTER(
            INDIRECT("'"&amp;G$62&amp;"'!A2:G1000"), (INDIRECT("'"&amp;G$62&amp;"'!B2:B1000")=$B25) * (INDIRECT("'"&amp;G$62&amp;"'!C2:C1000")=$C25)
        ),
        5,
        FALSE
    )="",
    "",
    VLOOKUP(
        $A25,
        _xlfn._xlws.FILTER(
            INDIRECT("'"&amp;G$62&amp;"'!A2:G1000"), (INDIRECT("'"&amp;G$62&amp;"'!B2:B1000")=$B25) * (INDIRECT("'"&amp;G$62&amp;"'!C2:C1000")=$C25)
        ),
        7,
        FALSE
    )
)</f>
        <v/>
      </c>
      <c r="H25" s="58">
        <f t="array" ref="H25">IF(
    VLOOKUP(
        $A25,
        _xlfn._xlws.FILTER(
            INDIRECT("'"&amp;H$62&amp;"'!A2:G1000"), (INDIRECT("'"&amp;H$62&amp;"'!B2:B1000")=$B25) * (INDIRECT("'"&amp;H$62&amp;"'!C2:C1000")=$C25)
        ),
        5,
        FALSE
    )="",
    "",
    VLOOKUP(
        $A25,
        _xlfn._xlws.FILTER(
            INDIRECT("'"&amp;H$62&amp;"'!A2:G1000"), (INDIRECT("'"&amp;H$62&amp;"'!B2:B1000")=$B25) * (INDIRECT("'"&amp;H$62&amp;"'!C2:C1000")=$C25)
        ),
        7,
        FALSE
    )
)</f>
        <v/>
      </c>
      <c r="I25" s="58">
        <f t="array" ref="I25">IF(
    VLOOKUP(
        $A25,
        _xlfn._xlws.FILTER(
            INDIRECT("'"&amp;I$62&amp;"'!A2:G1000"), (INDIRECT("'"&amp;I$62&amp;"'!B2:B1000")=$B25) * (INDIRECT("'"&amp;I$62&amp;"'!C2:C1000")=$C25)
        ),
        5,
        FALSE
    )="",
    "",
    VLOOKUP(
        $A25,
        _xlfn._xlws.FILTER(
            INDIRECT("'"&amp;I$62&amp;"'!A2:G1000"), (INDIRECT("'"&amp;I$62&amp;"'!B2:B1000")=$B25) * (INDIRECT("'"&amp;I$62&amp;"'!C2:C1000")=$C25)
        ),
        7,
        FALSE
    )
)</f>
        <v/>
      </c>
      <c r="J25" s="58">
        <f t="array" ref="J25">IF(
    VLOOKUP(
        $A25,
        _xlfn._xlws.FILTER(
            INDIRECT("'"&amp;J$62&amp;"'!A2:G1000"), (INDIRECT("'"&amp;J$62&amp;"'!B2:B1000")=$B25) * (INDIRECT("'"&amp;J$62&amp;"'!C2:C1000")=$C25)
        ),
        5,
        FALSE
    )="",
    "",
    VLOOKUP(
        $A25,
        _xlfn._xlws.FILTER(
            INDIRECT("'"&amp;J$62&amp;"'!A2:G1000"), (INDIRECT("'"&amp;J$62&amp;"'!B2:B1000")=$B25) * (INDIRECT("'"&amp;J$62&amp;"'!C2:C1000")=$C25)
        ),
        7,
        FALSE
    )
)</f>
        <v/>
      </c>
      <c r="K25" s="58">
        <f t="array" ref="K25">IF(
    VLOOKUP(
        $A25,
        _xlfn._xlws.FILTER(
            INDIRECT("'"&amp;K$62&amp;"'!A2:G1000"), (INDIRECT("'"&amp;K$62&amp;"'!B2:B1000")=$B25) * (INDIRECT("'"&amp;K$62&amp;"'!C2:C1000")=$C25)
        ),
        5,
        FALSE
    )="",
    "",
    VLOOKUP(
        $A25,
        _xlfn._xlws.FILTER(
            INDIRECT("'"&amp;K$62&amp;"'!A2:G1000"), (INDIRECT("'"&amp;K$62&amp;"'!B2:B1000")=$B25) * (INDIRECT("'"&amp;K$62&amp;"'!C2:C1000")=$C25)
        ),
        7,
        FALSE
    )
)</f>
        <v/>
      </c>
      <c r="L25" s="58">
        <f t="array" ref="L25">IF(
    VLOOKUP(
        $A25,
        _xlfn._xlws.FILTER(
            INDIRECT("'"&amp;L$62&amp;"'!A2:G1000"), (INDIRECT("'"&amp;L$62&amp;"'!B2:B1000")=$B25) * (INDIRECT("'"&amp;L$62&amp;"'!C2:C1000")=$C25)
        ),
        5,
        FALSE
    )="",
    "",
    VLOOKUP(
        $A25,
        _xlfn._xlws.FILTER(
            INDIRECT("'"&amp;L$62&amp;"'!A2:G1000"), (INDIRECT("'"&amp;L$62&amp;"'!B2:B1000")=$B25) * (INDIRECT("'"&amp;L$62&amp;"'!C2:C1000")=$C25)
        ),
        7,
        FALSE
    )
)</f>
        <v/>
      </c>
      <c r="M25" s="58">
        <f t="array" ref="M25">IF(
    VLOOKUP(
        $A25,
        _xlfn._xlws.FILTER(
            INDIRECT("'"&amp;M$62&amp;"'!A2:G1000"), (INDIRECT("'"&amp;M$62&amp;"'!B2:B1000")=$B25) * (INDIRECT("'"&amp;M$62&amp;"'!C2:C1000")=$C25)
        ),
        5,
        FALSE
    )="",
    "",
    VLOOKUP(
        $A25,
        _xlfn._xlws.FILTER(
            INDIRECT("'"&amp;M$62&amp;"'!A2:G1000"), (INDIRECT("'"&amp;M$62&amp;"'!B2:B1000")=$B25) * (INDIRECT("'"&amp;M$62&amp;"'!C2:C1000")=$C25)
        ),
        7,
        FALSE
    )
)</f>
        <v/>
      </c>
      <c r="N25" s="58">
        <f t="array" ref="N25">IF(
    VLOOKUP(
        $A25,
        _xlfn._xlws.FILTER(
            INDIRECT("'"&amp;N$62&amp;"'!A2:G1000"), (INDIRECT("'"&amp;N$62&amp;"'!B2:B1000")=$B25) * (INDIRECT("'"&amp;N$62&amp;"'!C2:C1000")=$C25)
        ),
        5,
        FALSE
    )="",
    "",
    VLOOKUP(
        $A25,
        _xlfn._xlws.FILTER(
            INDIRECT("'"&amp;N$62&amp;"'!A2:G1000"), (INDIRECT("'"&amp;N$62&amp;"'!B2:B1000")=$B25) * (INDIRECT("'"&amp;N$62&amp;"'!C2:C1000")=$C25)
        ),
        7,
        FALSE
    )
)</f>
        <v/>
      </c>
      <c r="O25" s="58">
        <f t="array" ref="O25">IF(
    VLOOKUP(
        $A25,
        _xlfn._xlws.FILTER(
            INDIRECT("'"&amp;O$62&amp;"'!A2:G1000"), (INDIRECT("'"&amp;O$62&amp;"'!B2:B1000")=$B25) * (INDIRECT("'"&amp;O$62&amp;"'!C2:C1000")=$C25)
        ),
        5,
        FALSE
    )="",
    "",
    VLOOKUP(
        $A25,
        _xlfn._xlws.FILTER(
            INDIRECT("'"&amp;O$62&amp;"'!A2:G1000"), (INDIRECT("'"&amp;O$62&amp;"'!B2:B1000")=$B25) * (INDIRECT("'"&amp;O$62&amp;"'!C2:C1000")=$C25)
        ),
        7,
        FALSE
    )
)</f>
        <v/>
      </c>
      <c r="P25" s="58">
        <f t="array" ref="P25">IF(
    VLOOKUP(
        $A25,
        _xlfn._xlws.FILTER(
            INDIRECT("'"&amp;P$62&amp;"'!A2:G1000"), (INDIRECT("'"&amp;P$62&amp;"'!B2:B1000")=$B25) * (INDIRECT("'"&amp;P$62&amp;"'!C2:C1000")=$C25)
        ),
        5,
        FALSE
    )="",
    "",
    VLOOKUP(
        $A25,
        _xlfn._xlws.FILTER(
            INDIRECT("'"&amp;P$62&amp;"'!A2:G1000"), (INDIRECT("'"&amp;P$62&amp;"'!B2:B1000")=$B25) * (INDIRECT("'"&amp;P$62&amp;"'!C2:C1000")=$C25)
        ),
        7,
        FALSE
    )
)</f>
        <v/>
      </c>
    </row>
    <row r="26">
      <c r="A26" s="13" t="inlineStr">
        <is>
          <t>Francisco Beltrão</t>
        </is>
      </c>
      <c r="B26" s="58" t="inlineStr">
        <is>
          <t>Salgado Filho</t>
        </is>
      </c>
      <c r="C26" s="85" t="inlineStr">
        <is>
          <t>01</t>
        </is>
      </c>
      <c r="D26" s="58">
        <f t="array" ref="D26">IF(
    VLOOKUP(
        $A26,
        _xlfn._xlws.FILTER(
            INDIRECT("'"&amp;D$62&amp;"'!A2:G1000"), (INDIRECT("'"&amp;D$62&amp;"'!B2:B1000")=$B26) * (INDIRECT("'"&amp;D$62&amp;"'!C2:C1000")=$C26)
        ),
        5,
        FALSE
    )="",
    "",
    VLOOKUP(
        $A26,
        _xlfn._xlws.FILTER(
            INDIRECT("'"&amp;D$62&amp;"'!A2:G1000"), (INDIRECT("'"&amp;D$62&amp;"'!B2:B1000")=$B26) * (INDIRECT("'"&amp;D$62&amp;"'!C2:C1000")=$C26)
        ),
        7,
        FALSE
    )
)</f>
        <v/>
      </c>
      <c r="E26" s="58">
        <f t="array" ref="E26">IF(
    VLOOKUP(
        $A26,
        _xlfn._xlws.FILTER(
            INDIRECT("'"&amp;E$62&amp;"'!A2:G1000"), (INDIRECT("'"&amp;E$62&amp;"'!B2:B1000")=$B26) * (INDIRECT("'"&amp;E$62&amp;"'!C2:C1000")=$C26)
        ),
        5,
        FALSE
    )="",
    "",
    VLOOKUP(
        $A26,
        _xlfn._xlws.FILTER(
            INDIRECT("'"&amp;E$62&amp;"'!A2:G1000"), (INDIRECT("'"&amp;E$62&amp;"'!B2:B1000")=$B26) * (INDIRECT("'"&amp;E$62&amp;"'!C2:C1000")=$C26)
        ),
        7,
        FALSE
    )
)</f>
        <v/>
      </c>
      <c r="F26" s="58">
        <f t="array" ref="F26">IF(
    VLOOKUP(
        $A26,
        _xlfn._xlws.FILTER(
            INDIRECT("'"&amp;F$62&amp;"'!A2:G1000"), (INDIRECT("'"&amp;F$62&amp;"'!B2:B1000")=$B26) * (INDIRECT("'"&amp;F$62&amp;"'!C2:C1000")=$C26)
        ),
        5,
        FALSE
    )="",
    "",
    VLOOKUP(
        $A26,
        _xlfn._xlws.FILTER(
            INDIRECT("'"&amp;F$62&amp;"'!A2:G1000"), (INDIRECT("'"&amp;F$62&amp;"'!B2:B1000")=$B26) * (INDIRECT("'"&amp;F$62&amp;"'!C2:C1000")=$C26)
        ),
        7,
        FALSE
    )
)</f>
        <v/>
      </c>
      <c r="G26" s="58">
        <f t="array" ref="G26">IF(
    VLOOKUP(
        $A26,
        _xlfn._xlws.FILTER(
            INDIRECT("'"&amp;G$62&amp;"'!A2:G1000"), (INDIRECT("'"&amp;G$62&amp;"'!B2:B1000")=$B26) * (INDIRECT("'"&amp;G$62&amp;"'!C2:C1000")=$C26)
        ),
        5,
        FALSE
    )="",
    "",
    VLOOKUP(
        $A26,
        _xlfn._xlws.FILTER(
            INDIRECT("'"&amp;G$62&amp;"'!A2:G1000"), (INDIRECT("'"&amp;G$62&amp;"'!B2:B1000")=$B26) * (INDIRECT("'"&amp;G$62&amp;"'!C2:C1000")=$C26)
        ),
        7,
        FALSE
    )
)</f>
        <v/>
      </c>
      <c r="H26" s="58">
        <f t="array" ref="H26">IF(
    VLOOKUP(
        $A26,
        _xlfn._xlws.FILTER(
            INDIRECT("'"&amp;H$62&amp;"'!A2:G1000"), (INDIRECT("'"&amp;H$62&amp;"'!B2:B1000")=$B26) * (INDIRECT("'"&amp;H$62&amp;"'!C2:C1000")=$C26)
        ),
        5,
        FALSE
    )="",
    "",
    VLOOKUP(
        $A26,
        _xlfn._xlws.FILTER(
            INDIRECT("'"&amp;H$62&amp;"'!A2:G1000"), (INDIRECT("'"&amp;H$62&amp;"'!B2:B1000")=$B26) * (INDIRECT("'"&amp;H$62&amp;"'!C2:C1000")=$C26)
        ),
        7,
        FALSE
    )
)</f>
        <v/>
      </c>
      <c r="I26" s="58">
        <f t="array" ref="I26">IF(
    VLOOKUP(
        $A26,
        _xlfn._xlws.FILTER(
            INDIRECT("'"&amp;I$62&amp;"'!A2:G1000"), (INDIRECT("'"&amp;I$62&amp;"'!B2:B1000")=$B26) * (INDIRECT("'"&amp;I$62&amp;"'!C2:C1000")=$C26)
        ),
        5,
        FALSE
    )="",
    "",
    VLOOKUP(
        $A26,
        _xlfn._xlws.FILTER(
            INDIRECT("'"&amp;I$62&amp;"'!A2:G1000"), (INDIRECT("'"&amp;I$62&amp;"'!B2:B1000")=$B26) * (INDIRECT("'"&amp;I$62&amp;"'!C2:C1000")=$C26)
        ),
        7,
        FALSE
    )
)</f>
        <v/>
      </c>
      <c r="J26" s="58">
        <f t="array" ref="J26">IF(
    VLOOKUP(
        $A26,
        _xlfn._xlws.FILTER(
            INDIRECT("'"&amp;J$62&amp;"'!A2:G1000"), (INDIRECT("'"&amp;J$62&amp;"'!B2:B1000")=$B26) * (INDIRECT("'"&amp;J$62&amp;"'!C2:C1000")=$C26)
        ),
        5,
        FALSE
    )="",
    "",
    VLOOKUP(
        $A26,
        _xlfn._xlws.FILTER(
            INDIRECT("'"&amp;J$62&amp;"'!A2:G1000"), (INDIRECT("'"&amp;J$62&amp;"'!B2:B1000")=$B26) * (INDIRECT("'"&amp;J$62&amp;"'!C2:C1000")=$C26)
        ),
        7,
        FALSE
    )
)</f>
        <v/>
      </c>
      <c r="K26" s="58">
        <f t="array" ref="K26">IF(
    VLOOKUP(
        $A26,
        _xlfn._xlws.FILTER(
            INDIRECT("'"&amp;K$62&amp;"'!A2:G1000"), (INDIRECT("'"&amp;K$62&amp;"'!B2:B1000")=$B26) * (INDIRECT("'"&amp;K$62&amp;"'!C2:C1000")=$C26)
        ),
        5,
        FALSE
    )="",
    "",
    VLOOKUP(
        $A26,
        _xlfn._xlws.FILTER(
            INDIRECT("'"&amp;K$62&amp;"'!A2:G1000"), (INDIRECT("'"&amp;K$62&amp;"'!B2:B1000")=$B26) * (INDIRECT("'"&amp;K$62&amp;"'!C2:C1000")=$C26)
        ),
        7,
        FALSE
    )
)</f>
        <v/>
      </c>
      <c r="L26" s="58">
        <f t="array" ref="L26">IF(
    VLOOKUP(
        $A26,
        _xlfn._xlws.FILTER(
            INDIRECT("'"&amp;L$62&amp;"'!A2:G1000"), (INDIRECT("'"&amp;L$62&amp;"'!B2:B1000")=$B26) * (INDIRECT("'"&amp;L$62&amp;"'!C2:C1000")=$C26)
        ),
        5,
        FALSE
    )="",
    "",
    VLOOKUP(
        $A26,
        _xlfn._xlws.FILTER(
            INDIRECT("'"&amp;L$62&amp;"'!A2:G1000"), (INDIRECT("'"&amp;L$62&amp;"'!B2:B1000")=$B26) * (INDIRECT("'"&amp;L$62&amp;"'!C2:C1000")=$C26)
        ),
        7,
        FALSE
    )
)</f>
        <v/>
      </c>
      <c r="M26" s="58">
        <f t="array" ref="M26">IF(
    VLOOKUP(
        $A26,
        _xlfn._xlws.FILTER(
            INDIRECT("'"&amp;M$62&amp;"'!A2:G1000"), (INDIRECT("'"&amp;M$62&amp;"'!B2:B1000")=$B26) * (INDIRECT("'"&amp;M$62&amp;"'!C2:C1000")=$C26)
        ),
        5,
        FALSE
    )="",
    "",
    VLOOKUP(
        $A26,
        _xlfn._xlws.FILTER(
            INDIRECT("'"&amp;M$62&amp;"'!A2:G1000"), (INDIRECT("'"&amp;M$62&amp;"'!B2:B1000")=$B26) * (INDIRECT("'"&amp;M$62&amp;"'!C2:C1000")=$C26)
        ),
        7,
        FALSE
    )
)</f>
        <v/>
      </c>
      <c r="N26" s="58">
        <f t="array" ref="N26">IF(
    VLOOKUP(
        $A26,
        _xlfn._xlws.FILTER(
            INDIRECT("'"&amp;N$62&amp;"'!A2:G1000"), (INDIRECT("'"&amp;N$62&amp;"'!B2:B1000")=$B26) * (INDIRECT("'"&amp;N$62&amp;"'!C2:C1000")=$C26)
        ),
        5,
        FALSE
    )="",
    "",
    VLOOKUP(
        $A26,
        _xlfn._xlws.FILTER(
            INDIRECT("'"&amp;N$62&amp;"'!A2:G1000"), (INDIRECT("'"&amp;N$62&amp;"'!B2:B1000")=$B26) * (INDIRECT("'"&amp;N$62&amp;"'!C2:C1000")=$C26)
        ),
        7,
        FALSE
    )
)</f>
        <v/>
      </c>
      <c r="O26" s="58">
        <f t="array" ref="O26">IF(
    VLOOKUP(
        $A26,
        _xlfn._xlws.FILTER(
            INDIRECT("'"&amp;O$62&amp;"'!A2:G1000"), (INDIRECT("'"&amp;O$62&amp;"'!B2:B1000")=$B26) * (INDIRECT("'"&amp;O$62&amp;"'!C2:C1000")=$C26)
        ),
        5,
        FALSE
    )="",
    "",
    VLOOKUP(
        $A26,
        _xlfn._xlws.FILTER(
            INDIRECT("'"&amp;O$62&amp;"'!A2:G1000"), (INDIRECT("'"&amp;O$62&amp;"'!B2:B1000")=$B26) * (INDIRECT("'"&amp;O$62&amp;"'!C2:C1000")=$C26)
        ),
        7,
        FALSE
    )
)</f>
        <v/>
      </c>
      <c r="P26" s="58">
        <f t="array" ref="P26">IF(
    VLOOKUP(
        $A26,
        _xlfn._xlws.FILTER(
            INDIRECT("'"&amp;P$62&amp;"'!A2:G1000"), (INDIRECT("'"&amp;P$62&amp;"'!B2:B1000")=$B26) * (INDIRECT("'"&amp;P$62&amp;"'!C2:C1000")=$C26)
        ),
        5,
        FALSE
    )="",
    "",
    VLOOKUP(
        $A26,
        _xlfn._xlws.FILTER(
            INDIRECT("'"&amp;P$62&amp;"'!A2:G1000"), (INDIRECT("'"&amp;P$62&amp;"'!B2:B1000")=$B26) * (INDIRECT("'"&amp;P$62&amp;"'!C2:C1000")=$C26)
        ),
        7,
        FALSE
    )
)</f>
        <v/>
      </c>
    </row>
    <row r="27" ht="15.75" customHeight="1">
      <c r="A27" s="76" t="n"/>
      <c r="B27" s="76" t="n"/>
      <c r="C27" s="76" t="n"/>
      <c r="D27" s="76" t="n"/>
      <c r="E27" s="76" t="n"/>
      <c r="F27" s="76" t="n"/>
      <c r="G27" s="76" t="n"/>
      <c r="H27" s="76" t="n"/>
      <c r="I27" s="76" t="n"/>
      <c r="J27" s="76" t="n"/>
      <c r="K27" s="76" t="n"/>
      <c r="L27" s="76" t="n"/>
      <c r="M27" s="76" t="n"/>
      <c r="N27" s="76" t="n"/>
      <c r="O27" s="76" t="n"/>
      <c r="P27" s="76" t="n"/>
    </row>
    <row r="28" ht="15.75" customHeight="1">
      <c r="A28" s="19" t="inlineStr">
        <is>
          <t>Juliane</t>
        </is>
      </c>
      <c r="B28" s="84" t="inlineStr">
        <is>
          <t>Municípios</t>
        </is>
      </c>
      <c r="C28" s="84" t="inlineStr">
        <is>
          <t>UVR</t>
        </is>
      </c>
      <c r="D28" s="4" t="inlineStr">
        <is>
          <t>01.25</t>
        </is>
      </c>
      <c r="E28" s="4" t="inlineStr">
        <is>
          <t>02.25</t>
        </is>
      </c>
      <c r="F28" s="4" t="inlineStr">
        <is>
          <t>03.25</t>
        </is>
      </c>
      <c r="G28" s="4" t="inlineStr">
        <is>
          <t>04.25</t>
        </is>
      </c>
      <c r="H28" s="4" t="inlineStr">
        <is>
          <t>05.25</t>
        </is>
      </c>
      <c r="I28" s="4" t="inlineStr">
        <is>
          <t>06.25</t>
        </is>
      </c>
      <c r="J28" s="4" t="inlineStr">
        <is>
          <t>07.25</t>
        </is>
      </c>
      <c r="K28" s="4" t="inlineStr">
        <is>
          <t>08.25</t>
        </is>
      </c>
      <c r="L28" s="4" t="inlineStr">
        <is>
          <t>09.25</t>
        </is>
      </c>
      <c r="M28" s="4" t="inlineStr">
        <is>
          <t>09.25</t>
        </is>
      </c>
      <c r="N28" s="4" t="inlineStr">
        <is>
          <t>10.25</t>
        </is>
      </c>
      <c r="O28" s="4" t="inlineStr">
        <is>
          <t>11.25</t>
        </is>
      </c>
      <c r="P28" s="4" t="inlineStr">
        <is>
          <t>12.25</t>
        </is>
      </c>
    </row>
    <row r="29">
      <c r="A29" s="18" t="inlineStr">
        <is>
          <t>Guarapuava I</t>
        </is>
      </c>
      <c r="B29" s="58" t="inlineStr">
        <is>
          <t>General Carneiro</t>
        </is>
      </c>
      <c r="C29" s="85" t="inlineStr">
        <is>
          <t>01</t>
        </is>
      </c>
      <c r="D29" s="58">
        <f t="array" ref="D29">IF(
    VLOOKUP(
        $A29,
        _xlfn._xlws.FILTER(
            INDIRECT("'"&amp;D$62&amp;"'!A2:G1000"), (INDIRECT("'"&amp;D$62&amp;"'!B2:B1000")=$B29) * (INDIRECT("'"&amp;D$62&amp;"'!C2:C1000")=$C29)
        ),
        5,
        FALSE
    )="",
    "",
    VLOOKUP(
        $A29,
        _xlfn._xlws.FILTER(
            INDIRECT("'"&amp;D$62&amp;"'!A2:G1000"), (INDIRECT("'"&amp;D$62&amp;"'!B2:B1000")=$B29) * (INDIRECT("'"&amp;D$62&amp;"'!C2:C1000")=$C29)
        ),
        7,
        FALSE
    )
)</f>
        <v/>
      </c>
      <c r="E29" s="58">
        <f t="array" ref="E29">IF(
    VLOOKUP(
        $A29,
        _xlfn._xlws.FILTER(
            INDIRECT("'"&amp;E$62&amp;"'!A2:G1000"), (INDIRECT("'"&amp;E$62&amp;"'!B2:B1000")=$B29) * (INDIRECT("'"&amp;E$62&amp;"'!C2:C1000")=$C29)
        ),
        5,
        FALSE
    )="",
    "",
    VLOOKUP(
        $A29,
        _xlfn._xlws.FILTER(
            INDIRECT("'"&amp;E$62&amp;"'!A2:G1000"), (INDIRECT("'"&amp;E$62&amp;"'!B2:B1000")=$B29) * (INDIRECT("'"&amp;E$62&amp;"'!C2:C1000")=$C29)
        ),
        7,
        FALSE
    )
)</f>
        <v/>
      </c>
      <c r="F29" s="58">
        <f t="array" ref="F29">IF(
    VLOOKUP(
        $A29,
        _xlfn._xlws.FILTER(
            INDIRECT("'"&amp;F$62&amp;"'!A2:G1000"), (INDIRECT("'"&amp;F$62&amp;"'!B2:B1000")=$B29) * (INDIRECT("'"&amp;F$62&amp;"'!C2:C1000")=$C29)
        ),
        5,
        FALSE
    )="",
    "",
    VLOOKUP(
        $A29,
        _xlfn._xlws.FILTER(
            INDIRECT("'"&amp;F$62&amp;"'!A2:G1000"), (INDIRECT("'"&amp;F$62&amp;"'!B2:B1000")=$B29) * (INDIRECT("'"&amp;F$62&amp;"'!C2:C1000")=$C29)
        ),
        7,
        FALSE
    )
)</f>
        <v/>
      </c>
      <c r="G29" s="58">
        <f t="array" ref="G29">IF(
    VLOOKUP(
        $A29,
        _xlfn._xlws.FILTER(
            INDIRECT("'"&amp;G$62&amp;"'!A2:G1000"), (INDIRECT("'"&amp;G$62&amp;"'!B2:B1000")=$B29) * (INDIRECT("'"&amp;G$62&amp;"'!C2:C1000")=$C29)
        ),
        5,
        FALSE
    )="",
    "",
    VLOOKUP(
        $A29,
        _xlfn._xlws.FILTER(
            INDIRECT("'"&amp;G$62&amp;"'!A2:G1000"), (INDIRECT("'"&amp;G$62&amp;"'!B2:B1000")=$B29) * (INDIRECT("'"&amp;G$62&amp;"'!C2:C1000")=$C29)
        ),
        7,
        FALSE
    )
)</f>
        <v/>
      </c>
      <c r="H29" s="58">
        <f t="array" ref="H29">IF(
    VLOOKUP(
        $A29,
        _xlfn._xlws.FILTER(
            INDIRECT("'"&amp;H$62&amp;"'!A2:G1000"), (INDIRECT("'"&amp;H$62&amp;"'!B2:B1000")=$B29) * (INDIRECT("'"&amp;H$62&amp;"'!C2:C1000")=$C29)
        ),
        5,
        FALSE
    )="",
    "",
    VLOOKUP(
        $A29,
        _xlfn._xlws.FILTER(
            INDIRECT("'"&amp;H$62&amp;"'!A2:G1000"), (INDIRECT("'"&amp;H$62&amp;"'!B2:B1000")=$B29) * (INDIRECT("'"&amp;H$62&amp;"'!C2:C1000")=$C29)
        ),
        7,
        FALSE
    )
)</f>
        <v/>
      </c>
      <c r="I29" s="58">
        <f t="array" ref="I29">IF(
    VLOOKUP(
        $A29,
        _xlfn._xlws.FILTER(
            INDIRECT("'"&amp;I$62&amp;"'!A2:G1000"), (INDIRECT("'"&amp;I$62&amp;"'!B2:B1000")=$B29) * (INDIRECT("'"&amp;I$62&amp;"'!C2:C1000")=$C29)
        ),
        5,
        FALSE
    )="",
    "",
    VLOOKUP(
        $A29,
        _xlfn._xlws.FILTER(
            INDIRECT("'"&amp;I$62&amp;"'!A2:G1000"), (INDIRECT("'"&amp;I$62&amp;"'!B2:B1000")=$B29) * (INDIRECT("'"&amp;I$62&amp;"'!C2:C1000")=$C29)
        ),
        7,
        FALSE
    )
)</f>
        <v/>
      </c>
      <c r="J29" s="58">
        <f t="array" ref="J29">IF(
    VLOOKUP(
        $A29,
        _xlfn._xlws.FILTER(
            INDIRECT("'"&amp;J$62&amp;"'!A2:G1000"), (INDIRECT("'"&amp;J$62&amp;"'!B2:B1000")=$B29) * (INDIRECT("'"&amp;J$62&amp;"'!C2:C1000")=$C29)
        ),
        5,
        FALSE
    )="",
    "",
    VLOOKUP(
        $A29,
        _xlfn._xlws.FILTER(
            INDIRECT("'"&amp;J$62&amp;"'!A2:G1000"), (INDIRECT("'"&amp;J$62&amp;"'!B2:B1000")=$B29) * (INDIRECT("'"&amp;J$62&amp;"'!C2:C1000")=$C29)
        ),
        7,
        FALSE
    )
)</f>
        <v/>
      </c>
      <c r="K29" s="58">
        <f t="array" ref="K29">IF(
    VLOOKUP(
        $A29,
        _xlfn._xlws.FILTER(
            INDIRECT("'"&amp;K$62&amp;"'!A2:G1000"), (INDIRECT("'"&amp;K$62&amp;"'!B2:B1000")=$B29) * (INDIRECT("'"&amp;K$62&amp;"'!C2:C1000")=$C29)
        ),
        5,
        FALSE
    )="",
    "",
    VLOOKUP(
        $A29,
        _xlfn._xlws.FILTER(
            INDIRECT("'"&amp;K$62&amp;"'!A2:G1000"), (INDIRECT("'"&amp;K$62&amp;"'!B2:B1000")=$B29) * (INDIRECT("'"&amp;K$62&amp;"'!C2:C1000")=$C29)
        ),
        7,
        FALSE
    )
)</f>
        <v/>
      </c>
      <c r="L29" s="58">
        <f t="array" ref="L29">IF(
    VLOOKUP(
        $A29,
        _xlfn._xlws.FILTER(
            INDIRECT("'"&amp;L$62&amp;"'!A2:G1000"), (INDIRECT("'"&amp;L$62&amp;"'!B2:B1000")=$B29) * (INDIRECT("'"&amp;L$62&amp;"'!C2:C1000")=$C29)
        ),
        5,
        FALSE
    )="",
    "",
    VLOOKUP(
        $A29,
        _xlfn._xlws.FILTER(
            INDIRECT("'"&amp;L$62&amp;"'!A2:G1000"), (INDIRECT("'"&amp;L$62&amp;"'!B2:B1000")=$B29) * (INDIRECT("'"&amp;L$62&amp;"'!C2:C1000")=$C29)
        ),
        7,
        FALSE
    )
)</f>
        <v/>
      </c>
      <c r="M29" s="58">
        <f t="array" ref="M29">IF(
    VLOOKUP(
        $A29,
        _xlfn._xlws.FILTER(
            INDIRECT("'"&amp;M$62&amp;"'!A2:G1000"), (INDIRECT("'"&amp;M$62&amp;"'!B2:B1000")=$B29) * (INDIRECT("'"&amp;M$62&amp;"'!C2:C1000")=$C29)
        ),
        5,
        FALSE
    )="",
    "",
    VLOOKUP(
        $A29,
        _xlfn._xlws.FILTER(
            INDIRECT("'"&amp;M$62&amp;"'!A2:G1000"), (INDIRECT("'"&amp;M$62&amp;"'!B2:B1000")=$B29) * (INDIRECT("'"&amp;M$62&amp;"'!C2:C1000")=$C29)
        ),
        7,
        FALSE
    )
)</f>
        <v/>
      </c>
      <c r="N29" s="58">
        <f t="array" ref="N29">IF(
    VLOOKUP(
        $A29,
        _xlfn._xlws.FILTER(
            INDIRECT("'"&amp;N$62&amp;"'!A2:G1000"), (INDIRECT("'"&amp;N$62&amp;"'!B2:B1000")=$B29) * (INDIRECT("'"&amp;N$62&amp;"'!C2:C1000")=$C29)
        ),
        5,
        FALSE
    )="",
    "",
    VLOOKUP(
        $A29,
        _xlfn._xlws.FILTER(
            INDIRECT("'"&amp;N$62&amp;"'!A2:G1000"), (INDIRECT("'"&amp;N$62&amp;"'!B2:B1000")=$B29) * (INDIRECT("'"&amp;N$62&amp;"'!C2:C1000")=$C29)
        ),
        7,
        FALSE
    )
)</f>
        <v/>
      </c>
      <c r="O29" s="58">
        <f t="array" ref="O29">IF(
    VLOOKUP(
        $A29,
        _xlfn._xlws.FILTER(
            INDIRECT("'"&amp;O$62&amp;"'!A2:G1000"), (INDIRECT("'"&amp;O$62&amp;"'!B2:B1000")=$B29) * (INDIRECT("'"&amp;O$62&amp;"'!C2:C1000")=$C29)
        ),
        5,
        FALSE
    )="",
    "",
    VLOOKUP(
        $A29,
        _xlfn._xlws.FILTER(
            INDIRECT("'"&amp;O$62&amp;"'!A2:G1000"), (INDIRECT("'"&amp;O$62&amp;"'!B2:B1000")=$B29) * (INDIRECT("'"&amp;O$62&amp;"'!C2:C1000")=$C29)
        ),
        7,
        FALSE
    )
)</f>
        <v/>
      </c>
      <c r="P29" s="58">
        <f t="array" ref="P29">IF(
    VLOOKUP(
        $A29,
        _xlfn._xlws.FILTER(
            INDIRECT("'"&amp;P$62&amp;"'!A2:G1000"), (INDIRECT("'"&amp;P$62&amp;"'!B2:B1000")=$B29) * (INDIRECT("'"&amp;P$62&amp;"'!C2:C1000")=$C29)
        ),
        5,
        FALSE
    )="",
    "",
    VLOOKUP(
        $A29,
        _xlfn._xlws.FILTER(
            INDIRECT("'"&amp;P$62&amp;"'!A2:G1000"), (INDIRECT("'"&amp;P$62&amp;"'!B2:B1000")=$B29) * (INDIRECT("'"&amp;P$62&amp;"'!C2:C1000")=$C29)
        ),
        7,
        FALSE
    )
)</f>
        <v/>
      </c>
    </row>
    <row r="30">
      <c r="A30" s="18" t="inlineStr">
        <is>
          <t>Guarapuava I</t>
        </is>
      </c>
      <c r="B30" s="58" t="inlineStr">
        <is>
          <t>Reserva Do Iguaçu</t>
        </is>
      </c>
      <c r="C30" s="85" t="inlineStr">
        <is>
          <t>01</t>
        </is>
      </c>
      <c r="D30" s="58">
        <f t="array" ref="D30">IF(
    VLOOKUP(
        $A30,
        _xlfn._xlws.FILTER(
            INDIRECT("'"&amp;D$62&amp;"'!A2:G1000"), (INDIRECT("'"&amp;D$62&amp;"'!B2:B1000")=$B30) * (INDIRECT("'"&amp;D$62&amp;"'!C2:C1000")=$C30)
        ),
        5,
        FALSE
    )="",
    "",
    VLOOKUP(
        $A30,
        _xlfn._xlws.FILTER(
            INDIRECT("'"&amp;D$62&amp;"'!A2:G1000"), (INDIRECT("'"&amp;D$62&amp;"'!B2:B1000")=$B30) * (INDIRECT("'"&amp;D$62&amp;"'!C2:C1000")=$C30)
        ),
        7,
        FALSE
    )
)</f>
        <v/>
      </c>
      <c r="E30" s="58">
        <f t="array" ref="E30">IF(
    VLOOKUP(
        $A30,
        _xlfn._xlws.FILTER(
            INDIRECT("'"&amp;E$62&amp;"'!A2:G1000"), (INDIRECT("'"&amp;E$62&amp;"'!B2:B1000")=$B30) * (INDIRECT("'"&amp;E$62&amp;"'!C2:C1000")=$C30)
        ),
        5,
        FALSE
    )="",
    "",
    VLOOKUP(
        $A30,
        _xlfn._xlws.FILTER(
            INDIRECT("'"&amp;E$62&amp;"'!A2:G1000"), (INDIRECT("'"&amp;E$62&amp;"'!B2:B1000")=$B30) * (INDIRECT("'"&amp;E$62&amp;"'!C2:C1000")=$C30)
        ),
        7,
        FALSE
    )
)</f>
        <v/>
      </c>
      <c r="F30" s="58">
        <f t="array" ref="F30">IF(
    VLOOKUP(
        $A30,
        _xlfn._xlws.FILTER(
            INDIRECT("'"&amp;F$62&amp;"'!A2:G1000"), (INDIRECT("'"&amp;F$62&amp;"'!B2:B1000")=$B30) * (INDIRECT("'"&amp;F$62&amp;"'!C2:C1000")=$C30)
        ),
        5,
        FALSE
    )="",
    "",
    VLOOKUP(
        $A30,
        _xlfn._xlws.FILTER(
            INDIRECT("'"&amp;F$62&amp;"'!A2:G1000"), (INDIRECT("'"&amp;F$62&amp;"'!B2:B1000")=$B30) * (INDIRECT("'"&amp;F$62&amp;"'!C2:C1000")=$C30)
        ),
        7,
        FALSE
    )
)</f>
        <v/>
      </c>
      <c r="G30" s="58">
        <f t="array" ref="G30">IF(
    VLOOKUP(
        $A30,
        _xlfn._xlws.FILTER(
            INDIRECT("'"&amp;G$62&amp;"'!A2:G1000"), (INDIRECT("'"&amp;G$62&amp;"'!B2:B1000")=$B30) * (INDIRECT("'"&amp;G$62&amp;"'!C2:C1000")=$C30)
        ),
        5,
        FALSE
    )="",
    "",
    VLOOKUP(
        $A30,
        _xlfn._xlws.FILTER(
            INDIRECT("'"&amp;G$62&amp;"'!A2:G1000"), (INDIRECT("'"&amp;G$62&amp;"'!B2:B1000")=$B30) * (INDIRECT("'"&amp;G$62&amp;"'!C2:C1000")=$C30)
        ),
        7,
        FALSE
    )
)</f>
        <v/>
      </c>
      <c r="H30" s="58">
        <f t="array" ref="H30">IF(
    VLOOKUP(
        $A30,
        _xlfn._xlws.FILTER(
            INDIRECT("'"&amp;H$62&amp;"'!A2:G1000"), (INDIRECT("'"&amp;H$62&amp;"'!B2:B1000")=$B30) * (INDIRECT("'"&amp;H$62&amp;"'!C2:C1000")=$C30)
        ),
        5,
        FALSE
    )="",
    "",
    VLOOKUP(
        $A30,
        _xlfn._xlws.FILTER(
            INDIRECT("'"&amp;H$62&amp;"'!A2:G1000"), (INDIRECT("'"&amp;H$62&amp;"'!B2:B1000")=$B30) * (INDIRECT("'"&amp;H$62&amp;"'!C2:C1000")=$C30)
        ),
        7,
        FALSE
    )
)</f>
        <v/>
      </c>
      <c r="I30" s="58">
        <f t="array" ref="I30">IF(
    VLOOKUP(
        $A30,
        _xlfn._xlws.FILTER(
            INDIRECT("'"&amp;I$62&amp;"'!A2:G1000"), (INDIRECT("'"&amp;I$62&amp;"'!B2:B1000")=$B30) * (INDIRECT("'"&amp;I$62&amp;"'!C2:C1000")=$C30)
        ),
        5,
        FALSE
    )="",
    "",
    VLOOKUP(
        $A30,
        _xlfn._xlws.FILTER(
            INDIRECT("'"&amp;I$62&amp;"'!A2:G1000"), (INDIRECT("'"&amp;I$62&amp;"'!B2:B1000")=$B30) * (INDIRECT("'"&amp;I$62&amp;"'!C2:C1000")=$C30)
        ),
        7,
        FALSE
    )
)</f>
        <v/>
      </c>
      <c r="J30" s="58">
        <f t="array" ref="J30">IF(
    VLOOKUP(
        $A30,
        _xlfn._xlws.FILTER(
            INDIRECT("'"&amp;J$62&amp;"'!A2:G1000"), (INDIRECT("'"&amp;J$62&amp;"'!B2:B1000")=$B30) * (INDIRECT("'"&amp;J$62&amp;"'!C2:C1000")=$C30)
        ),
        5,
        FALSE
    )="",
    "",
    VLOOKUP(
        $A30,
        _xlfn._xlws.FILTER(
            INDIRECT("'"&amp;J$62&amp;"'!A2:G1000"), (INDIRECT("'"&amp;J$62&amp;"'!B2:B1000")=$B30) * (INDIRECT("'"&amp;J$62&amp;"'!C2:C1000")=$C30)
        ),
        7,
        FALSE
    )
)</f>
        <v/>
      </c>
      <c r="K30" s="58">
        <f t="array" ref="K30">IF(
    VLOOKUP(
        $A30,
        _xlfn._xlws.FILTER(
            INDIRECT("'"&amp;K$62&amp;"'!A2:G1000"), (INDIRECT("'"&amp;K$62&amp;"'!B2:B1000")=$B30) * (INDIRECT("'"&amp;K$62&amp;"'!C2:C1000")=$C30)
        ),
        5,
        FALSE
    )="",
    "",
    VLOOKUP(
        $A30,
        _xlfn._xlws.FILTER(
            INDIRECT("'"&amp;K$62&amp;"'!A2:G1000"), (INDIRECT("'"&amp;K$62&amp;"'!B2:B1000")=$B30) * (INDIRECT("'"&amp;K$62&amp;"'!C2:C1000")=$C30)
        ),
        7,
        FALSE
    )
)</f>
        <v/>
      </c>
      <c r="L30" s="58">
        <f t="array" ref="L30">IF(
    VLOOKUP(
        $A30,
        _xlfn._xlws.FILTER(
            INDIRECT("'"&amp;L$62&amp;"'!A2:G1000"), (INDIRECT("'"&amp;L$62&amp;"'!B2:B1000")=$B30) * (INDIRECT("'"&amp;L$62&amp;"'!C2:C1000")=$C30)
        ),
        5,
        FALSE
    )="",
    "",
    VLOOKUP(
        $A30,
        _xlfn._xlws.FILTER(
            INDIRECT("'"&amp;L$62&amp;"'!A2:G1000"), (INDIRECT("'"&amp;L$62&amp;"'!B2:B1000")=$B30) * (INDIRECT("'"&amp;L$62&amp;"'!C2:C1000")=$C30)
        ),
        7,
        FALSE
    )
)</f>
        <v/>
      </c>
      <c r="M30" s="58">
        <f t="array" ref="M30">IF(
    VLOOKUP(
        $A30,
        _xlfn._xlws.FILTER(
            INDIRECT("'"&amp;M$62&amp;"'!A2:G1000"), (INDIRECT("'"&amp;M$62&amp;"'!B2:B1000")=$B30) * (INDIRECT("'"&amp;M$62&amp;"'!C2:C1000")=$C30)
        ),
        5,
        FALSE
    )="",
    "",
    VLOOKUP(
        $A30,
        _xlfn._xlws.FILTER(
            INDIRECT("'"&amp;M$62&amp;"'!A2:G1000"), (INDIRECT("'"&amp;M$62&amp;"'!B2:B1000")=$B30) * (INDIRECT("'"&amp;M$62&amp;"'!C2:C1000")=$C30)
        ),
        7,
        FALSE
    )
)</f>
        <v/>
      </c>
      <c r="N30" s="58">
        <f t="array" ref="N30">IF(
    VLOOKUP(
        $A30,
        _xlfn._xlws.FILTER(
            INDIRECT("'"&amp;N$62&amp;"'!A2:G1000"), (INDIRECT("'"&amp;N$62&amp;"'!B2:B1000")=$B30) * (INDIRECT("'"&amp;N$62&amp;"'!C2:C1000")=$C30)
        ),
        5,
        FALSE
    )="",
    "",
    VLOOKUP(
        $A30,
        _xlfn._xlws.FILTER(
            INDIRECT("'"&amp;N$62&amp;"'!A2:G1000"), (INDIRECT("'"&amp;N$62&amp;"'!B2:B1000")=$B30) * (INDIRECT("'"&amp;N$62&amp;"'!C2:C1000")=$C30)
        ),
        7,
        FALSE
    )
)</f>
        <v/>
      </c>
      <c r="O30" s="58">
        <f t="array" ref="O30">IF(
    VLOOKUP(
        $A30,
        _xlfn._xlws.FILTER(
            INDIRECT("'"&amp;O$62&amp;"'!A2:G1000"), (INDIRECT("'"&amp;O$62&amp;"'!B2:B1000")=$B30) * (INDIRECT("'"&amp;O$62&amp;"'!C2:C1000")=$C30)
        ),
        5,
        FALSE
    )="",
    "",
    VLOOKUP(
        $A30,
        _xlfn._xlws.FILTER(
            INDIRECT("'"&amp;O$62&amp;"'!A2:G1000"), (INDIRECT("'"&amp;O$62&amp;"'!B2:B1000")=$B30) * (INDIRECT("'"&amp;O$62&amp;"'!C2:C1000")=$C30)
        ),
        7,
        FALSE
    )
)</f>
        <v/>
      </c>
      <c r="P30" s="58">
        <f t="array" ref="P30">IF(
    VLOOKUP(
        $A30,
        _xlfn._xlws.FILTER(
            INDIRECT("'"&amp;P$62&amp;"'!A2:G1000"), (INDIRECT("'"&amp;P$62&amp;"'!B2:B1000")=$B30) * (INDIRECT("'"&amp;P$62&amp;"'!C2:C1000")=$C30)
        ),
        5,
        FALSE
    )="",
    "",
    VLOOKUP(
        $A30,
        _xlfn._xlws.FILTER(
            INDIRECT("'"&amp;P$62&amp;"'!A2:G1000"), (INDIRECT("'"&amp;P$62&amp;"'!B2:B1000")=$B30) * (INDIRECT("'"&amp;P$62&amp;"'!C2:C1000")=$C30)
        ),
        7,
        FALSE
    )
)</f>
        <v/>
      </c>
    </row>
    <row r="31">
      <c r="A31" s="76" t="n"/>
      <c r="B31" s="76" t="n"/>
      <c r="C31" s="76" t="n"/>
      <c r="D31" s="76" t="n"/>
      <c r="E31" s="76" t="n"/>
      <c r="F31" s="76" t="n"/>
      <c r="G31" s="76" t="n"/>
      <c r="H31" s="76" t="n"/>
      <c r="I31" s="76" t="n"/>
      <c r="J31" s="76" t="n"/>
      <c r="K31" s="76" t="n"/>
      <c r="L31" s="76" t="n"/>
      <c r="M31" s="76" t="n"/>
      <c r="N31" s="76" t="n"/>
      <c r="O31" s="76" t="n"/>
      <c r="P31" s="76" t="n"/>
    </row>
    <row r="32" ht="15.75" customHeight="1">
      <c r="A32" s="24" t="inlineStr">
        <is>
          <t>Aramis</t>
        </is>
      </c>
      <c r="B32" s="84" t="inlineStr">
        <is>
          <t>Municípios</t>
        </is>
      </c>
      <c r="C32" s="84" t="inlineStr">
        <is>
          <t>UVR</t>
        </is>
      </c>
      <c r="D32" s="4" t="inlineStr">
        <is>
          <t>01.25</t>
        </is>
      </c>
      <c r="E32" s="4" t="inlineStr">
        <is>
          <t>02.25</t>
        </is>
      </c>
      <c r="F32" s="4" t="inlineStr">
        <is>
          <t>03.25</t>
        </is>
      </c>
      <c r="G32" s="4" t="inlineStr">
        <is>
          <t>04.25</t>
        </is>
      </c>
      <c r="H32" s="4" t="inlineStr">
        <is>
          <t>05.25</t>
        </is>
      </c>
      <c r="I32" s="4" t="inlineStr">
        <is>
          <t>06.25</t>
        </is>
      </c>
      <c r="J32" s="4" t="inlineStr">
        <is>
          <t>07.25</t>
        </is>
      </c>
      <c r="K32" s="4" t="inlineStr">
        <is>
          <t>08.25</t>
        </is>
      </c>
      <c r="L32" s="4" t="inlineStr">
        <is>
          <t>09.25</t>
        </is>
      </c>
      <c r="M32" s="4" t="inlineStr">
        <is>
          <t>09.25</t>
        </is>
      </c>
      <c r="N32" s="4" t="inlineStr">
        <is>
          <t>10.25</t>
        </is>
      </c>
      <c r="O32" s="4" t="inlineStr">
        <is>
          <t>11.25</t>
        </is>
      </c>
      <c r="P32" s="4" t="inlineStr">
        <is>
          <t>12.25</t>
        </is>
      </c>
    </row>
    <row r="33">
      <c r="A33" s="61" t="inlineStr">
        <is>
          <t>Guarapuava II</t>
        </is>
      </c>
      <c r="B33" s="58" t="inlineStr">
        <is>
          <t>Campina Da Lagoa</t>
        </is>
      </c>
      <c r="C33" s="85" t="inlineStr">
        <is>
          <t>01</t>
        </is>
      </c>
      <c r="D33" s="58">
        <f t="array" ref="D33">IF(
    VLOOKUP(
        $A33,
        _xlfn._xlws.FILTER(
            INDIRECT("'"&amp;D$62&amp;"'!A2:G1000"), (INDIRECT("'"&amp;D$62&amp;"'!B2:B1000")=$B33) * (INDIRECT("'"&amp;D$62&amp;"'!C2:C1000")=$C33)
        ),
        5,
        FALSE
    )="",
    "",
    VLOOKUP(
        $A33,
        _xlfn._xlws.FILTER(
            INDIRECT("'"&amp;D$62&amp;"'!A2:G1000"), (INDIRECT("'"&amp;D$62&amp;"'!B2:B1000")=$B33) * (INDIRECT("'"&amp;D$62&amp;"'!C2:C1000")=$C33)
        ),
        7,
        FALSE
    )
)</f>
        <v/>
      </c>
      <c r="E33" s="58">
        <f t="array" ref="E33">IF(
    VLOOKUP(
        $A33,
        _xlfn._xlws.FILTER(
            INDIRECT("'"&amp;E$62&amp;"'!A2:G1000"), (INDIRECT("'"&amp;E$62&amp;"'!B2:B1000")=$B33) * (INDIRECT("'"&amp;E$62&amp;"'!C2:C1000")=$C33)
        ),
        5,
        FALSE
    )="",
    "",
    VLOOKUP(
        $A33,
        _xlfn._xlws.FILTER(
            INDIRECT("'"&amp;E$62&amp;"'!A2:G1000"), (INDIRECT("'"&amp;E$62&amp;"'!B2:B1000")=$B33) * (INDIRECT("'"&amp;E$62&amp;"'!C2:C1000")=$C33)
        ),
        7,
        FALSE
    )
)</f>
        <v/>
      </c>
      <c r="F33" s="58">
        <f t="array" ref="F33">IF(
    VLOOKUP(
        $A33,
        _xlfn._xlws.FILTER(
            INDIRECT("'"&amp;F$62&amp;"'!A2:G1000"), (INDIRECT("'"&amp;F$62&amp;"'!B2:B1000")=$B33) * (INDIRECT("'"&amp;F$62&amp;"'!C2:C1000")=$C33)
        ),
        5,
        FALSE
    )="",
    "",
    VLOOKUP(
        $A33,
        _xlfn._xlws.FILTER(
            INDIRECT("'"&amp;F$62&amp;"'!A2:G1000"), (INDIRECT("'"&amp;F$62&amp;"'!B2:B1000")=$B33) * (INDIRECT("'"&amp;F$62&amp;"'!C2:C1000")=$C33)
        ),
        7,
        FALSE
    )
)</f>
        <v/>
      </c>
      <c r="G33" s="58">
        <f t="array" ref="G33">IF(
    VLOOKUP(
        $A33,
        _xlfn._xlws.FILTER(
            INDIRECT("'"&amp;G$62&amp;"'!A2:G1000"), (INDIRECT("'"&amp;G$62&amp;"'!B2:B1000")=$B33) * (INDIRECT("'"&amp;G$62&amp;"'!C2:C1000")=$C33)
        ),
        5,
        FALSE
    )="",
    "",
    VLOOKUP(
        $A33,
        _xlfn._xlws.FILTER(
            INDIRECT("'"&amp;G$62&amp;"'!A2:G1000"), (INDIRECT("'"&amp;G$62&amp;"'!B2:B1000")=$B33) * (INDIRECT("'"&amp;G$62&amp;"'!C2:C1000")=$C33)
        ),
        7,
        FALSE
    )
)</f>
        <v/>
      </c>
      <c r="H33" s="58">
        <f t="array" ref="H33">IF(
    VLOOKUP(
        $A33,
        _xlfn._xlws.FILTER(
            INDIRECT("'"&amp;H$62&amp;"'!A2:G1000"), (INDIRECT("'"&amp;H$62&amp;"'!B2:B1000")=$B33) * (INDIRECT("'"&amp;H$62&amp;"'!C2:C1000")=$C33)
        ),
        5,
        FALSE
    )="",
    "",
    VLOOKUP(
        $A33,
        _xlfn._xlws.FILTER(
            INDIRECT("'"&amp;H$62&amp;"'!A2:G1000"), (INDIRECT("'"&amp;H$62&amp;"'!B2:B1000")=$B33) * (INDIRECT("'"&amp;H$62&amp;"'!C2:C1000")=$C33)
        ),
        7,
        FALSE
    )
)</f>
        <v/>
      </c>
      <c r="I33" s="58">
        <f t="array" ref="I33">IF(
    VLOOKUP(
        $A33,
        _xlfn._xlws.FILTER(
            INDIRECT("'"&amp;I$62&amp;"'!A2:G1000"), (INDIRECT("'"&amp;I$62&amp;"'!B2:B1000")=$B33) * (INDIRECT("'"&amp;I$62&amp;"'!C2:C1000")=$C33)
        ),
        5,
        FALSE
    )="",
    "",
    VLOOKUP(
        $A33,
        _xlfn._xlws.FILTER(
            INDIRECT("'"&amp;I$62&amp;"'!A2:G1000"), (INDIRECT("'"&amp;I$62&amp;"'!B2:B1000")=$B33) * (INDIRECT("'"&amp;I$62&amp;"'!C2:C1000")=$C33)
        ),
        7,
        FALSE
    )
)</f>
        <v/>
      </c>
      <c r="J33" s="58">
        <f t="array" ref="J33">IF(
    VLOOKUP(
        $A33,
        _xlfn._xlws.FILTER(
            INDIRECT("'"&amp;J$62&amp;"'!A2:G1000"), (INDIRECT("'"&amp;J$62&amp;"'!B2:B1000")=$B33) * (INDIRECT("'"&amp;J$62&amp;"'!C2:C1000")=$C33)
        ),
        5,
        FALSE
    )="",
    "",
    VLOOKUP(
        $A33,
        _xlfn._xlws.FILTER(
            INDIRECT("'"&amp;J$62&amp;"'!A2:G1000"), (INDIRECT("'"&amp;J$62&amp;"'!B2:B1000")=$B33) * (INDIRECT("'"&amp;J$62&amp;"'!C2:C1000")=$C33)
        ),
        7,
        FALSE
    )
)</f>
        <v/>
      </c>
      <c r="K33" s="58">
        <f t="array" ref="K33">IF(
    VLOOKUP(
        $A33,
        _xlfn._xlws.FILTER(
            INDIRECT("'"&amp;K$62&amp;"'!A2:G1000"), (INDIRECT("'"&amp;K$62&amp;"'!B2:B1000")=$B33) * (INDIRECT("'"&amp;K$62&amp;"'!C2:C1000")=$C33)
        ),
        5,
        FALSE
    )="",
    "",
    VLOOKUP(
        $A33,
        _xlfn._xlws.FILTER(
            INDIRECT("'"&amp;K$62&amp;"'!A2:G1000"), (INDIRECT("'"&amp;K$62&amp;"'!B2:B1000")=$B33) * (INDIRECT("'"&amp;K$62&amp;"'!C2:C1000")=$C33)
        ),
        7,
        FALSE
    )
)</f>
        <v/>
      </c>
      <c r="L33" s="58">
        <f t="array" ref="L33">IF(
    VLOOKUP(
        $A33,
        _xlfn._xlws.FILTER(
            INDIRECT("'"&amp;L$62&amp;"'!A2:G1000"), (INDIRECT("'"&amp;L$62&amp;"'!B2:B1000")=$B33) * (INDIRECT("'"&amp;L$62&amp;"'!C2:C1000")=$C33)
        ),
        5,
        FALSE
    )="",
    "",
    VLOOKUP(
        $A33,
        _xlfn._xlws.FILTER(
            INDIRECT("'"&amp;L$62&amp;"'!A2:G1000"), (INDIRECT("'"&amp;L$62&amp;"'!B2:B1000")=$B33) * (INDIRECT("'"&amp;L$62&amp;"'!C2:C1000")=$C33)
        ),
        7,
        FALSE
    )
)</f>
        <v/>
      </c>
      <c r="M33" s="58">
        <f t="array" ref="M33">IF(
    VLOOKUP(
        $A33,
        _xlfn._xlws.FILTER(
            INDIRECT("'"&amp;M$62&amp;"'!A2:G1000"), (INDIRECT("'"&amp;M$62&amp;"'!B2:B1000")=$B33) * (INDIRECT("'"&amp;M$62&amp;"'!C2:C1000")=$C33)
        ),
        5,
        FALSE
    )="",
    "",
    VLOOKUP(
        $A33,
        _xlfn._xlws.FILTER(
            INDIRECT("'"&amp;M$62&amp;"'!A2:G1000"), (INDIRECT("'"&amp;M$62&amp;"'!B2:B1000")=$B33) * (INDIRECT("'"&amp;M$62&amp;"'!C2:C1000")=$C33)
        ),
        7,
        FALSE
    )
)</f>
        <v/>
      </c>
      <c r="N33" s="58">
        <f t="array" ref="N33">IF(
    VLOOKUP(
        $A33,
        _xlfn._xlws.FILTER(
            INDIRECT("'"&amp;N$62&amp;"'!A2:G1000"), (INDIRECT("'"&amp;N$62&amp;"'!B2:B1000")=$B33) * (INDIRECT("'"&amp;N$62&amp;"'!C2:C1000")=$C33)
        ),
        5,
        FALSE
    )="",
    "",
    VLOOKUP(
        $A33,
        _xlfn._xlws.FILTER(
            INDIRECT("'"&amp;N$62&amp;"'!A2:G1000"), (INDIRECT("'"&amp;N$62&amp;"'!B2:B1000")=$B33) * (INDIRECT("'"&amp;N$62&amp;"'!C2:C1000")=$C33)
        ),
        7,
        FALSE
    )
)</f>
        <v/>
      </c>
      <c r="O33" s="58">
        <f t="array" ref="O33">IF(
    VLOOKUP(
        $A33,
        _xlfn._xlws.FILTER(
            INDIRECT("'"&amp;O$62&amp;"'!A2:G1000"), (INDIRECT("'"&amp;O$62&amp;"'!B2:B1000")=$B33) * (INDIRECT("'"&amp;O$62&amp;"'!C2:C1000")=$C33)
        ),
        5,
        FALSE
    )="",
    "",
    VLOOKUP(
        $A33,
        _xlfn._xlws.FILTER(
            INDIRECT("'"&amp;O$62&amp;"'!A2:G1000"), (INDIRECT("'"&amp;O$62&amp;"'!B2:B1000")=$B33) * (INDIRECT("'"&amp;O$62&amp;"'!C2:C1000")=$C33)
        ),
        7,
        FALSE
    )
)</f>
        <v/>
      </c>
      <c r="P33" s="58">
        <f t="array" ref="P33">IF(
    VLOOKUP(
        $A33,
        _xlfn._xlws.FILTER(
            INDIRECT("'"&amp;P$62&amp;"'!A2:G1000"), (INDIRECT("'"&amp;P$62&amp;"'!B2:B1000")=$B33) * (INDIRECT("'"&amp;P$62&amp;"'!C2:C1000")=$C33)
        ),
        5,
        FALSE
    )="",
    "",
    VLOOKUP(
        $A33,
        _xlfn._xlws.FILTER(
            INDIRECT("'"&amp;P$62&amp;"'!A2:G1000"), (INDIRECT("'"&amp;P$62&amp;"'!B2:B1000")=$B33) * (INDIRECT("'"&amp;P$62&amp;"'!C2:C1000")=$C33)
        ),
        7,
        FALSE
    )
)</f>
        <v/>
      </c>
    </row>
    <row r="34">
      <c r="A34" s="61" t="inlineStr">
        <is>
          <t>Guarapuava II</t>
        </is>
      </c>
      <c r="B34" s="58" t="inlineStr">
        <is>
          <t>Laranjeiras Do Sul</t>
        </is>
      </c>
      <c r="C34" s="85" t="inlineStr">
        <is>
          <t>01</t>
        </is>
      </c>
      <c r="D34" s="58">
        <f t="array" ref="D34">IF(
    VLOOKUP(
        $A34,
        _xlfn._xlws.FILTER(
            INDIRECT("'"&amp;D$62&amp;"'!A2:G1000"), (INDIRECT("'"&amp;D$62&amp;"'!B2:B1000")=$B34) * (INDIRECT("'"&amp;D$62&amp;"'!C2:C1000")=$C34)
        ),
        5,
        FALSE
    )="",
    "",
    VLOOKUP(
        $A34,
        _xlfn._xlws.FILTER(
            INDIRECT("'"&amp;D$62&amp;"'!A2:G1000"), (INDIRECT("'"&amp;D$62&amp;"'!B2:B1000")=$B34) * (INDIRECT("'"&amp;D$62&amp;"'!C2:C1000")=$C34)
        ),
        7,
        FALSE
    )
)</f>
        <v/>
      </c>
      <c r="E34" s="58">
        <f t="array" ref="E34">IF(
    VLOOKUP(
        $A34,
        _xlfn._xlws.FILTER(
            INDIRECT("'"&amp;E$62&amp;"'!A2:G1000"), (INDIRECT("'"&amp;E$62&amp;"'!B2:B1000")=$B34) * (INDIRECT("'"&amp;E$62&amp;"'!C2:C1000")=$C34)
        ),
        5,
        FALSE
    )="",
    "",
    VLOOKUP(
        $A34,
        _xlfn._xlws.FILTER(
            INDIRECT("'"&amp;E$62&amp;"'!A2:G1000"), (INDIRECT("'"&amp;E$62&amp;"'!B2:B1000")=$B34) * (INDIRECT("'"&amp;E$62&amp;"'!C2:C1000")=$C34)
        ),
        7,
        FALSE
    )
)</f>
        <v/>
      </c>
      <c r="F34" s="58">
        <f t="array" ref="F34">IF(
    VLOOKUP(
        $A34,
        _xlfn._xlws.FILTER(
            INDIRECT("'"&amp;F$62&amp;"'!A2:G1000"), (INDIRECT("'"&amp;F$62&amp;"'!B2:B1000")=$B34) * (INDIRECT("'"&amp;F$62&amp;"'!C2:C1000")=$C34)
        ),
        5,
        FALSE
    )="",
    "",
    VLOOKUP(
        $A34,
        _xlfn._xlws.FILTER(
            INDIRECT("'"&amp;F$62&amp;"'!A2:G1000"), (INDIRECT("'"&amp;F$62&amp;"'!B2:B1000")=$B34) * (INDIRECT("'"&amp;F$62&amp;"'!C2:C1000")=$C34)
        ),
        7,
        FALSE
    )
)</f>
        <v/>
      </c>
      <c r="G34" s="58">
        <f t="array" ref="G34">IF(
    VLOOKUP(
        $A34,
        _xlfn._xlws.FILTER(
            INDIRECT("'"&amp;G$62&amp;"'!A2:G1000"), (INDIRECT("'"&amp;G$62&amp;"'!B2:B1000")=$B34) * (INDIRECT("'"&amp;G$62&amp;"'!C2:C1000")=$C34)
        ),
        5,
        FALSE
    )="",
    "",
    VLOOKUP(
        $A34,
        _xlfn._xlws.FILTER(
            INDIRECT("'"&amp;G$62&amp;"'!A2:G1000"), (INDIRECT("'"&amp;G$62&amp;"'!B2:B1000")=$B34) * (INDIRECT("'"&amp;G$62&amp;"'!C2:C1000")=$C34)
        ),
        7,
        FALSE
    )
)</f>
        <v/>
      </c>
      <c r="H34" s="58">
        <f t="array" ref="H34">IF(
    VLOOKUP(
        $A34,
        _xlfn._xlws.FILTER(
            INDIRECT("'"&amp;H$62&amp;"'!A2:G1000"), (INDIRECT("'"&amp;H$62&amp;"'!B2:B1000")=$B34) * (INDIRECT("'"&amp;H$62&amp;"'!C2:C1000")=$C34)
        ),
        5,
        FALSE
    )="",
    "",
    VLOOKUP(
        $A34,
        _xlfn._xlws.FILTER(
            INDIRECT("'"&amp;H$62&amp;"'!A2:G1000"), (INDIRECT("'"&amp;H$62&amp;"'!B2:B1000")=$B34) * (INDIRECT("'"&amp;H$62&amp;"'!C2:C1000")=$C34)
        ),
        7,
        FALSE
    )
)</f>
        <v/>
      </c>
      <c r="I34" s="58">
        <f t="array" ref="I34">IF(
    VLOOKUP(
        $A34,
        _xlfn._xlws.FILTER(
            INDIRECT("'"&amp;I$62&amp;"'!A2:G1000"), (INDIRECT("'"&amp;I$62&amp;"'!B2:B1000")=$B34) * (INDIRECT("'"&amp;I$62&amp;"'!C2:C1000")=$C34)
        ),
        5,
        FALSE
    )="",
    "",
    VLOOKUP(
        $A34,
        _xlfn._xlws.FILTER(
            INDIRECT("'"&amp;I$62&amp;"'!A2:G1000"), (INDIRECT("'"&amp;I$62&amp;"'!B2:B1000")=$B34) * (INDIRECT("'"&amp;I$62&amp;"'!C2:C1000")=$C34)
        ),
        7,
        FALSE
    )
)</f>
        <v/>
      </c>
      <c r="J34" s="58">
        <f t="array" ref="J34">IF(
    VLOOKUP(
        $A34,
        _xlfn._xlws.FILTER(
            INDIRECT("'"&amp;J$62&amp;"'!A2:G1000"), (INDIRECT("'"&amp;J$62&amp;"'!B2:B1000")=$B34) * (INDIRECT("'"&amp;J$62&amp;"'!C2:C1000")=$C34)
        ),
        5,
        FALSE
    )="",
    "",
    VLOOKUP(
        $A34,
        _xlfn._xlws.FILTER(
            INDIRECT("'"&amp;J$62&amp;"'!A2:G1000"), (INDIRECT("'"&amp;J$62&amp;"'!B2:B1000")=$B34) * (INDIRECT("'"&amp;J$62&amp;"'!C2:C1000")=$C34)
        ),
        7,
        FALSE
    )
)</f>
        <v/>
      </c>
      <c r="K34" s="58">
        <f t="array" ref="K34">IF(
    VLOOKUP(
        $A34,
        _xlfn._xlws.FILTER(
            INDIRECT("'"&amp;K$62&amp;"'!A2:G1000"), (INDIRECT("'"&amp;K$62&amp;"'!B2:B1000")=$B34) * (INDIRECT("'"&amp;K$62&amp;"'!C2:C1000")=$C34)
        ),
        5,
        FALSE
    )="",
    "",
    VLOOKUP(
        $A34,
        _xlfn._xlws.FILTER(
            INDIRECT("'"&amp;K$62&amp;"'!A2:G1000"), (INDIRECT("'"&amp;K$62&amp;"'!B2:B1000")=$B34) * (INDIRECT("'"&amp;K$62&amp;"'!C2:C1000")=$C34)
        ),
        7,
        FALSE
    )
)</f>
        <v/>
      </c>
      <c r="L34" s="58">
        <f t="array" ref="L34">IF(
    VLOOKUP(
        $A34,
        _xlfn._xlws.FILTER(
            INDIRECT("'"&amp;L$62&amp;"'!A2:G1000"), (INDIRECT("'"&amp;L$62&amp;"'!B2:B1000")=$B34) * (INDIRECT("'"&amp;L$62&amp;"'!C2:C1000")=$C34)
        ),
        5,
        FALSE
    )="",
    "",
    VLOOKUP(
        $A34,
        _xlfn._xlws.FILTER(
            INDIRECT("'"&amp;L$62&amp;"'!A2:G1000"), (INDIRECT("'"&amp;L$62&amp;"'!B2:B1000")=$B34) * (INDIRECT("'"&amp;L$62&amp;"'!C2:C1000")=$C34)
        ),
        7,
        FALSE
    )
)</f>
        <v/>
      </c>
      <c r="M34" s="58">
        <f t="array" ref="M34">IF(
    VLOOKUP(
        $A34,
        _xlfn._xlws.FILTER(
            INDIRECT("'"&amp;M$62&amp;"'!A2:G1000"), (INDIRECT("'"&amp;M$62&amp;"'!B2:B1000")=$B34) * (INDIRECT("'"&amp;M$62&amp;"'!C2:C1000")=$C34)
        ),
        5,
        FALSE
    )="",
    "",
    VLOOKUP(
        $A34,
        _xlfn._xlws.FILTER(
            INDIRECT("'"&amp;M$62&amp;"'!A2:G1000"), (INDIRECT("'"&amp;M$62&amp;"'!B2:B1000")=$B34) * (INDIRECT("'"&amp;M$62&amp;"'!C2:C1000")=$C34)
        ),
        7,
        FALSE
    )
)</f>
        <v/>
      </c>
      <c r="N34" s="58">
        <f t="array" ref="N34">IF(
    VLOOKUP(
        $A34,
        _xlfn._xlws.FILTER(
            INDIRECT("'"&amp;N$62&amp;"'!A2:G1000"), (INDIRECT("'"&amp;N$62&amp;"'!B2:B1000")=$B34) * (INDIRECT("'"&amp;N$62&amp;"'!C2:C1000")=$C34)
        ),
        5,
        FALSE
    )="",
    "",
    VLOOKUP(
        $A34,
        _xlfn._xlws.FILTER(
            INDIRECT("'"&amp;N$62&amp;"'!A2:G1000"), (INDIRECT("'"&amp;N$62&amp;"'!B2:B1000")=$B34) * (INDIRECT("'"&amp;N$62&amp;"'!C2:C1000")=$C34)
        ),
        7,
        FALSE
    )
)</f>
        <v/>
      </c>
      <c r="O34" s="58">
        <f t="array" ref="O34">IF(
    VLOOKUP(
        $A34,
        _xlfn._xlws.FILTER(
            INDIRECT("'"&amp;O$62&amp;"'!A2:G1000"), (INDIRECT("'"&amp;O$62&amp;"'!B2:B1000")=$B34) * (INDIRECT("'"&amp;O$62&amp;"'!C2:C1000")=$C34)
        ),
        5,
        FALSE
    )="",
    "",
    VLOOKUP(
        $A34,
        _xlfn._xlws.FILTER(
            INDIRECT("'"&amp;O$62&amp;"'!A2:G1000"), (INDIRECT("'"&amp;O$62&amp;"'!B2:B1000")=$B34) * (INDIRECT("'"&amp;O$62&amp;"'!C2:C1000")=$C34)
        ),
        7,
        FALSE
    )
)</f>
        <v/>
      </c>
      <c r="P34" s="58">
        <f t="array" ref="P34">IF(
    VLOOKUP(
        $A34,
        _xlfn._xlws.FILTER(
            INDIRECT("'"&amp;P$62&amp;"'!A2:G1000"), (INDIRECT("'"&amp;P$62&amp;"'!B2:B1000")=$B34) * (INDIRECT("'"&amp;P$62&amp;"'!C2:C1000")=$C34)
        ),
        5,
        FALSE
    )="",
    "",
    VLOOKUP(
        $A34,
        _xlfn._xlws.FILTER(
            INDIRECT("'"&amp;P$62&amp;"'!A2:G1000"), (INDIRECT("'"&amp;P$62&amp;"'!B2:B1000")=$B34) * (INDIRECT("'"&amp;P$62&amp;"'!C2:C1000")=$C34)
        ),
        7,
        FALSE
    )
)</f>
        <v/>
      </c>
    </row>
    <row r="35">
      <c r="A35" s="61" t="inlineStr">
        <is>
          <t>Guarapuava II</t>
        </is>
      </c>
      <c r="B35" s="58" t="inlineStr">
        <is>
          <t>Mato Rico</t>
        </is>
      </c>
      <c r="C35" s="85" t="inlineStr">
        <is>
          <t>01</t>
        </is>
      </c>
      <c r="D35" s="58">
        <f t="array" ref="D35">IF(
    VLOOKUP(
        $A35,
        _xlfn._xlws.FILTER(
            INDIRECT("'"&amp;D$62&amp;"'!A2:G1000"), (INDIRECT("'"&amp;D$62&amp;"'!B2:B1000")=$B35) * (INDIRECT("'"&amp;D$62&amp;"'!C2:C1000")=$C35)
        ),
        5,
        FALSE
    )="",
    "",
    VLOOKUP(
        $A35,
        _xlfn._xlws.FILTER(
            INDIRECT("'"&amp;D$62&amp;"'!A2:G1000"), (INDIRECT("'"&amp;D$62&amp;"'!B2:B1000")=$B35) * (INDIRECT("'"&amp;D$62&amp;"'!C2:C1000")=$C35)
        ),
        7,
        FALSE
    )
)</f>
        <v/>
      </c>
      <c r="E35" s="58">
        <f t="array" ref="E35">IF(
    VLOOKUP(
        $A35,
        _xlfn._xlws.FILTER(
            INDIRECT("'"&amp;E$62&amp;"'!A2:G1000"), (INDIRECT("'"&amp;E$62&amp;"'!B2:B1000")=$B35) * (INDIRECT("'"&amp;E$62&amp;"'!C2:C1000")=$C35)
        ),
        5,
        FALSE
    )="",
    "",
    VLOOKUP(
        $A35,
        _xlfn._xlws.FILTER(
            INDIRECT("'"&amp;E$62&amp;"'!A2:G1000"), (INDIRECT("'"&amp;E$62&amp;"'!B2:B1000")=$B35) * (INDIRECT("'"&amp;E$62&amp;"'!C2:C1000")=$C35)
        ),
        7,
        FALSE
    )
)</f>
        <v/>
      </c>
      <c r="F35" s="58">
        <f t="array" ref="F35">IF(
    VLOOKUP(
        $A35,
        _xlfn._xlws.FILTER(
            INDIRECT("'"&amp;F$62&amp;"'!A2:G1000"), (INDIRECT("'"&amp;F$62&amp;"'!B2:B1000")=$B35) * (INDIRECT("'"&amp;F$62&amp;"'!C2:C1000")=$C35)
        ),
        5,
        FALSE
    )="",
    "",
    VLOOKUP(
        $A35,
        _xlfn._xlws.FILTER(
            INDIRECT("'"&amp;F$62&amp;"'!A2:G1000"), (INDIRECT("'"&amp;F$62&amp;"'!B2:B1000")=$B35) * (INDIRECT("'"&amp;F$62&amp;"'!C2:C1000")=$C35)
        ),
        7,
        FALSE
    )
)</f>
        <v/>
      </c>
      <c r="G35" s="58">
        <f t="array" ref="G35">IF(
    VLOOKUP(
        $A35,
        _xlfn._xlws.FILTER(
            INDIRECT("'"&amp;G$62&amp;"'!A2:G1000"), (INDIRECT("'"&amp;G$62&amp;"'!B2:B1000")=$B35) * (INDIRECT("'"&amp;G$62&amp;"'!C2:C1000")=$C35)
        ),
        5,
        FALSE
    )="",
    "",
    VLOOKUP(
        $A35,
        _xlfn._xlws.FILTER(
            INDIRECT("'"&amp;G$62&amp;"'!A2:G1000"), (INDIRECT("'"&amp;G$62&amp;"'!B2:B1000")=$B35) * (INDIRECT("'"&amp;G$62&amp;"'!C2:C1000")=$C35)
        ),
        7,
        FALSE
    )
)</f>
        <v/>
      </c>
      <c r="H35" s="58">
        <f t="array" ref="H35">IF(
    VLOOKUP(
        $A35,
        _xlfn._xlws.FILTER(
            INDIRECT("'"&amp;H$62&amp;"'!A2:G1000"), (INDIRECT("'"&amp;H$62&amp;"'!B2:B1000")=$B35) * (INDIRECT("'"&amp;H$62&amp;"'!C2:C1000")=$C35)
        ),
        5,
        FALSE
    )="",
    "",
    VLOOKUP(
        $A35,
        _xlfn._xlws.FILTER(
            INDIRECT("'"&amp;H$62&amp;"'!A2:G1000"), (INDIRECT("'"&amp;H$62&amp;"'!B2:B1000")=$B35) * (INDIRECT("'"&amp;H$62&amp;"'!C2:C1000")=$C35)
        ),
        7,
        FALSE
    )
)</f>
        <v/>
      </c>
      <c r="I35" s="58">
        <f t="array" ref="I35">IF(
    VLOOKUP(
        $A35,
        _xlfn._xlws.FILTER(
            INDIRECT("'"&amp;I$62&amp;"'!A2:G1000"), (INDIRECT("'"&amp;I$62&amp;"'!B2:B1000")=$B35) * (INDIRECT("'"&amp;I$62&amp;"'!C2:C1000")=$C35)
        ),
        5,
        FALSE
    )="",
    "",
    VLOOKUP(
        $A35,
        _xlfn._xlws.FILTER(
            INDIRECT("'"&amp;I$62&amp;"'!A2:G1000"), (INDIRECT("'"&amp;I$62&amp;"'!B2:B1000")=$B35) * (INDIRECT("'"&amp;I$62&amp;"'!C2:C1000")=$C35)
        ),
        7,
        FALSE
    )
)</f>
        <v/>
      </c>
      <c r="J35" s="58">
        <f t="array" ref="J35">IF(
    VLOOKUP(
        $A35,
        _xlfn._xlws.FILTER(
            INDIRECT("'"&amp;J$62&amp;"'!A2:G1000"), (INDIRECT("'"&amp;J$62&amp;"'!B2:B1000")=$B35) * (INDIRECT("'"&amp;J$62&amp;"'!C2:C1000")=$C35)
        ),
        5,
        FALSE
    )="",
    "",
    VLOOKUP(
        $A35,
        _xlfn._xlws.FILTER(
            INDIRECT("'"&amp;J$62&amp;"'!A2:G1000"), (INDIRECT("'"&amp;J$62&amp;"'!B2:B1000")=$B35) * (INDIRECT("'"&amp;J$62&amp;"'!C2:C1000")=$C35)
        ),
        7,
        FALSE
    )
)</f>
        <v/>
      </c>
      <c r="K35" s="58">
        <f t="array" ref="K35">IF(
    VLOOKUP(
        $A35,
        _xlfn._xlws.FILTER(
            INDIRECT("'"&amp;K$62&amp;"'!A2:G1000"), (INDIRECT("'"&amp;K$62&amp;"'!B2:B1000")=$B35) * (INDIRECT("'"&amp;K$62&amp;"'!C2:C1000")=$C35)
        ),
        5,
        FALSE
    )="",
    "",
    VLOOKUP(
        $A35,
        _xlfn._xlws.FILTER(
            INDIRECT("'"&amp;K$62&amp;"'!A2:G1000"), (INDIRECT("'"&amp;K$62&amp;"'!B2:B1000")=$B35) * (INDIRECT("'"&amp;K$62&amp;"'!C2:C1000")=$C35)
        ),
        7,
        FALSE
    )
)</f>
        <v/>
      </c>
      <c r="L35" s="58">
        <f t="array" ref="L35">IF(
    VLOOKUP(
        $A35,
        _xlfn._xlws.FILTER(
            INDIRECT("'"&amp;L$62&amp;"'!A2:G1000"), (INDIRECT("'"&amp;L$62&amp;"'!B2:B1000")=$B35) * (INDIRECT("'"&amp;L$62&amp;"'!C2:C1000")=$C35)
        ),
        5,
        FALSE
    )="",
    "",
    VLOOKUP(
        $A35,
        _xlfn._xlws.FILTER(
            INDIRECT("'"&amp;L$62&amp;"'!A2:G1000"), (INDIRECT("'"&amp;L$62&amp;"'!B2:B1000")=$B35) * (INDIRECT("'"&amp;L$62&amp;"'!C2:C1000")=$C35)
        ),
        7,
        FALSE
    )
)</f>
        <v/>
      </c>
      <c r="M35" s="58">
        <f t="array" ref="M35">IF(
    VLOOKUP(
        $A35,
        _xlfn._xlws.FILTER(
            INDIRECT("'"&amp;M$62&amp;"'!A2:G1000"), (INDIRECT("'"&amp;M$62&amp;"'!B2:B1000")=$B35) * (INDIRECT("'"&amp;M$62&amp;"'!C2:C1000")=$C35)
        ),
        5,
        FALSE
    )="",
    "",
    VLOOKUP(
        $A35,
        _xlfn._xlws.FILTER(
            INDIRECT("'"&amp;M$62&amp;"'!A2:G1000"), (INDIRECT("'"&amp;M$62&amp;"'!B2:B1000")=$B35) * (INDIRECT("'"&amp;M$62&amp;"'!C2:C1000")=$C35)
        ),
        7,
        FALSE
    )
)</f>
        <v/>
      </c>
      <c r="N35" s="58">
        <f t="array" ref="N35">IF(
    VLOOKUP(
        $A35,
        _xlfn._xlws.FILTER(
            INDIRECT("'"&amp;N$62&amp;"'!A2:G1000"), (INDIRECT("'"&amp;N$62&amp;"'!B2:B1000")=$B35) * (INDIRECT("'"&amp;N$62&amp;"'!C2:C1000")=$C35)
        ),
        5,
        FALSE
    )="",
    "",
    VLOOKUP(
        $A35,
        _xlfn._xlws.FILTER(
            INDIRECT("'"&amp;N$62&amp;"'!A2:G1000"), (INDIRECT("'"&amp;N$62&amp;"'!B2:B1000")=$B35) * (INDIRECT("'"&amp;N$62&amp;"'!C2:C1000")=$C35)
        ),
        7,
        FALSE
    )
)</f>
        <v/>
      </c>
      <c r="O35" s="58">
        <f t="array" ref="O35">IF(
    VLOOKUP(
        $A35,
        _xlfn._xlws.FILTER(
            INDIRECT("'"&amp;O$62&amp;"'!A2:G1000"), (INDIRECT("'"&amp;O$62&amp;"'!B2:B1000")=$B35) * (INDIRECT("'"&amp;O$62&amp;"'!C2:C1000")=$C35)
        ),
        5,
        FALSE
    )="",
    "",
    VLOOKUP(
        $A35,
        _xlfn._xlws.FILTER(
            INDIRECT("'"&amp;O$62&amp;"'!A2:G1000"), (INDIRECT("'"&amp;O$62&amp;"'!B2:B1000")=$B35) * (INDIRECT("'"&amp;O$62&amp;"'!C2:C1000")=$C35)
        ),
        7,
        FALSE
    )
)</f>
        <v/>
      </c>
      <c r="P35" s="58">
        <f t="array" ref="P35">IF(
    VLOOKUP(
        $A35,
        _xlfn._xlws.FILTER(
            INDIRECT("'"&amp;P$62&amp;"'!A2:G1000"), (INDIRECT("'"&amp;P$62&amp;"'!B2:B1000")=$B35) * (INDIRECT("'"&amp;P$62&amp;"'!C2:C1000")=$C35)
        ),
        5,
        FALSE
    )="",
    "",
    VLOOKUP(
        $A35,
        _xlfn._xlws.FILTER(
            INDIRECT("'"&amp;P$62&amp;"'!A2:G1000"), (INDIRECT("'"&amp;P$62&amp;"'!B2:B1000")=$B35) * (INDIRECT("'"&amp;P$62&amp;"'!C2:C1000")=$C35)
        ),
        7,
        FALSE
    )
)</f>
        <v/>
      </c>
    </row>
    <row r="36">
      <c r="A36" s="61" t="inlineStr">
        <is>
          <t>Guarapuava II</t>
        </is>
      </c>
      <c r="B36" s="58" t="inlineStr">
        <is>
          <t>Palmital</t>
        </is>
      </c>
      <c r="C36" s="85" t="inlineStr">
        <is>
          <t>01</t>
        </is>
      </c>
      <c r="D36" s="58">
        <f t="array" ref="D36">IF(
    VLOOKUP(
        $A36,
        _xlfn._xlws.FILTER(
            INDIRECT("'"&amp;D$62&amp;"'!A2:G1000"), (INDIRECT("'"&amp;D$62&amp;"'!B2:B1000")=$B36) * (INDIRECT("'"&amp;D$62&amp;"'!C2:C1000")=$C36)
        ),
        5,
        FALSE
    )="",
    "",
    VLOOKUP(
        $A36,
        _xlfn._xlws.FILTER(
            INDIRECT("'"&amp;D$62&amp;"'!A2:G1000"), (INDIRECT("'"&amp;D$62&amp;"'!B2:B1000")=$B36) * (INDIRECT("'"&amp;D$62&amp;"'!C2:C1000")=$C36)
        ),
        7,
        FALSE
    )
)</f>
        <v/>
      </c>
      <c r="E36" s="58">
        <f t="array" ref="E36">IF(
    VLOOKUP(
        $A36,
        _xlfn._xlws.FILTER(
            INDIRECT("'"&amp;E$62&amp;"'!A2:G1000"), (INDIRECT("'"&amp;E$62&amp;"'!B2:B1000")=$B36) * (INDIRECT("'"&amp;E$62&amp;"'!C2:C1000")=$C36)
        ),
        5,
        FALSE
    )="",
    "",
    VLOOKUP(
        $A36,
        _xlfn._xlws.FILTER(
            INDIRECT("'"&amp;E$62&amp;"'!A2:G1000"), (INDIRECT("'"&amp;E$62&amp;"'!B2:B1000")=$B36) * (INDIRECT("'"&amp;E$62&amp;"'!C2:C1000")=$C36)
        ),
        7,
        FALSE
    )
)</f>
        <v/>
      </c>
      <c r="F36" s="58">
        <f t="array" ref="F36">IF(
    VLOOKUP(
        $A36,
        _xlfn._xlws.FILTER(
            INDIRECT("'"&amp;F$62&amp;"'!A2:G1000"), (INDIRECT("'"&amp;F$62&amp;"'!B2:B1000")=$B36) * (INDIRECT("'"&amp;F$62&amp;"'!C2:C1000")=$C36)
        ),
        5,
        FALSE
    )="",
    "",
    VLOOKUP(
        $A36,
        _xlfn._xlws.FILTER(
            INDIRECT("'"&amp;F$62&amp;"'!A2:G1000"), (INDIRECT("'"&amp;F$62&amp;"'!B2:B1000")=$B36) * (INDIRECT("'"&amp;F$62&amp;"'!C2:C1000")=$C36)
        ),
        7,
        FALSE
    )
)</f>
        <v/>
      </c>
      <c r="G36" s="58">
        <f t="array" ref="G36">IF(
    VLOOKUP(
        $A36,
        _xlfn._xlws.FILTER(
            INDIRECT("'"&amp;G$62&amp;"'!A2:G1000"), (INDIRECT("'"&amp;G$62&amp;"'!B2:B1000")=$B36) * (INDIRECT("'"&amp;G$62&amp;"'!C2:C1000")=$C36)
        ),
        5,
        FALSE
    )="",
    "",
    VLOOKUP(
        $A36,
        _xlfn._xlws.FILTER(
            INDIRECT("'"&amp;G$62&amp;"'!A2:G1000"), (INDIRECT("'"&amp;G$62&amp;"'!B2:B1000")=$B36) * (INDIRECT("'"&amp;G$62&amp;"'!C2:C1000")=$C36)
        ),
        7,
        FALSE
    )
)</f>
        <v/>
      </c>
      <c r="H36" s="58">
        <f t="array" ref="H36">IF(
    VLOOKUP(
        $A36,
        _xlfn._xlws.FILTER(
            INDIRECT("'"&amp;H$62&amp;"'!A2:G1000"), (INDIRECT("'"&amp;H$62&amp;"'!B2:B1000")=$B36) * (INDIRECT("'"&amp;H$62&amp;"'!C2:C1000")=$C36)
        ),
        5,
        FALSE
    )="",
    "",
    VLOOKUP(
        $A36,
        _xlfn._xlws.FILTER(
            INDIRECT("'"&amp;H$62&amp;"'!A2:G1000"), (INDIRECT("'"&amp;H$62&amp;"'!B2:B1000")=$B36) * (INDIRECT("'"&amp;H$62&amp;"'!C2:C1000")=$C36)
        ),
        7,
        FALSE
    )
)</f>
        <v/>
      </c>
      <c r="I36" s="58">
        <f t="array" ref="I36">IF(
    VLOOKUP(
        $A36,
        _xlfn._xlws.FILTER(
            INDIRECT("'"&amp;I$62&amp;"'!A2:G1000"), (INDIRECT("'"&amp;I$62&amp;"'!B2:B1000")=$B36) * (INDIRECT("'"&amp;I$62&amp;"'!C2:C1000")=$C36)
        ),
        5,
        FALSE
    )="",
    "",
    VLOOKUP(
        $A36,
        _xlfn._xlws.FILTER(
            INDIRECT("'"&amp;I$62&amp;"'!A2:G1000"), (INDIRECT("'"&amp;I$62&amp;"'!B2:B1000")=$B36) * (INDIRECT("'"&amp;I$62&amp;"'!C2:C1000")=$C36)
        ),
        7,
        FALSE
    )
)</f>
        <v/>
      </c>
      <c r="J36" s="58">
        <f t="array" ref="J36">IF(
    VLOOKUP(
        $A36,
        _xlfn._xlws.FILTER(
            INDIRECT("'"&amp;J$62&amp;"'!A2:G1000"), (INDIRECT("'"&amp;J$62&amp;"'!B2:B1000")=$B36) * (INDIRECT("'"&amp;J$62&amp;"'!C2:C1000")=$C36)
        ),
        5,
        FALSE
    )="",
    "",
    VLOOKUP(
        $A36,
        _xlfn._xlws.FILTER(
            INDIRECT("'"&amp;J$62&amp;"'!A2:G1000"), (INDIRECT("'"&amp;J$62&amp;"'!B2:B1000")=$B36) * (INDIRECT("'"&amp;J$62&amp;"'!C2:C1000")=$C36)
        ),
        7,
        FALSE
    )
)</f>
        <v/>
      </c>
      <c r="K36" s="58">
        <f t="array" ref="K36">IF(
    VLOOKUP(
        $A36,
        _xlfn._xlws.FILTER(
            INDIRECT("'"&amp;K$62&amp;"'!A2:G1000"), (INDIRECT("'"&amp;K$62&amp;"'!B2:B1000")=$B36) * (INDIRECT("'"&amp;K$62&amp;"'!C2:C1000")=$C36)
        ),
        5,
        FALSE
    )="",
    "",
    VLOOKUP(
        $A36,
        _xlfn._xlws.FILTER(
            INDIRECT("'"&amp;K$62&amp;"'!A2:G1000"), (INDIRECT("'"&amp;K$62&amp;"'!B2:B1000")=$B36) * (INDIRECT("'"&amp;K$62&amp;"'!C2:C1000")=$C36)
        ),
        7,
        FALSE
    )
)</f>
        <v/>
      </c>
      <c r="L36" s="58">
        <f t="array" ref="L36">IF(
    VLOOKUP(
        $A36,
        _xlfn._xlws.FILTER(
            INDIRECT("'"&amp;L$62&amp;"'!A2:G1000"), (INDIRECT("'"&amp;L$62&amp;"'!B2:B1000")=$B36) * (INDIRECT("'"&amp;L$62&amp;"'!C2:C1000")=$C36)
        ),
        5,
        FALSE
    )="",
    "",
    VLOOKUP(
        $A36,
        _xlfn._xlws.FILTER(
            INDIRECT("'"&amp;L$62&amp;"'!A2:G1000"), (INDIRECT("'"&amp;L$62&amp;"'!B2:B1000")=$B36) * (INDIRECT("'"&amp;L$62&amp;"'!C2:C1000")=$C36)
        ),
        7,
        FALSE
    )
)</f>
        <v/>
      </c>
      <c r="M36" s="58">
        <f t="array" ref="M36">IF(
    VLOOKUP(
        $A36,
        _xlfn._xlws.FILTER(
            INDIRECT("'"&amp;M$62&amp;"'!A2:G1000"), (INDIRECT("'"&amp;M$62&amp;"'!B2:B1000")=$B36) * (INDIRECT("'"&amp;M$62&amp;"'!C2:C1000")=$C36)
        ),
        5,
        FALSE
    )="",
    "",
    VLOOKUP(
        $A36,
        _xlfn._xlws.FILTER(
            INDIRECT("'"&amp;M$62&amp;"'!A2:G1000"), (INDIRECT("'"&amp;M$62&amp;"'!B2:B1000")=$B36) * (INDIRECT("'"&amp;M$62&amp;"'!C2:C1000")=$C36)
        ),
        7,
        FALSE
    )
)</f>
        <v/>
      </c>
      <c r="N36" s="58">
        <f t="array" ref="N36">IF(
    VLOOKUP(
        $A36,
        _xlfn._xlws.FILTER(
            INDIRECT("'"&amp;N$62&amp;"'!A2:G1000"), (INDIRECT("'"&amp;N$62&amp;"'!B2:B1000")=$B36) * (INDIRECT("'"&amp;N$62&amp;"'!C2:C1000")=$C36)
        ),
        5,
        FALSE
    )="",
    "",
    VLOOKUP(
        $A36,
        _xlfn._xlws.FILTER(
            INDIRECT("'"&amp;N$62&amp;"'!A2:G1000"), (INDIRECT("'"&amp;N$62&amp;"'!B2:B1000")=$B36) * (INDIRECT("'"&amp;N$62&amp;"'!C2:C1000")=$C36)
        ),
        7,
        FALSE
    )
)</f>
        <v/>
      </c>
      <c r="O36" s="58">
        <f t="array" ref="O36">IF(
    VLOOKUP(
        $A36,
        _xlfn._xlws.FILTER(
            INDIRECT("'"&amp;O$62&amp;"'!A2:G1000"), (INDIRECT("'"&amp;O$62&amp;"'!B2:B1000")=$B36) * (INDIRECT("'"&amp;O$62&amp;"'!C2:C1000")=$C36)
        ),
        5,
        FALSE
    )="",
    "",
    VLOOKUP(
        $A36,
        _xlfn._xlws.FILTER(
            INDIRECT("'"&amp;O$62&amp;"'!A2:G1000"), (INDIRECT("'"&amp;O$62&amp;"'!B2:B1000")=$B36) * (INDIRECT("'"&amp;O$62&amp;"'!C2:C1000")=$C36)
        ),
        7,
        FALSE
    )
)</f>
        <v/>
      </c>
      <c r="P36" s="58">
        <f t="array" ref="P36">IF(
    VLOOKUP(
        $A36,
        _xlfn._xlws.FILTER(
            INDIRECT("'"&amp;P$62&amp;"'!A2:G1000"), (INDIRECT("'"&amp;P$62&amp;"'!B2:B1000")=$B36) * (INDIRECT("'"&amp;P$62&amp;"'!C2:C1000")=$C36)
        ),
        5,
        FALSE
    )="",
    "",
    VLOOKUP(
        $A36,
        _xlfn._xlws.FILTER(
            INDIRECT("'"&amp;P$62&amp;"'!A2:G1000"), (INDIRECT("'"&amp;P$62&amp;"'!B2:B1000")=$B36) * (INDIRECT("'"&amp;P$62&amp;"'!C2:C1000")=$C36)
        ),
        7,
        FALSE
    )
)</f>
        <v/>
      </c>
    </row>
    <row r="37">
      <c r="A37" s="61" t="inlineStr">
        <is>
          <t>Guarapuava II</t>
        </is>
      </c>
      <c r="B37" s="58" t="inlineStr">
        <is>
          <t>Quedas Do Iguaçu</t>
        </is>
      </c>
      <c r="C37" s="85" t="inlineStr">
        <is>
          <t>01</t>
        </is>
      </c>
      <c r="D37" s="58">
        <f t="array" ref="D37">IF(
    VLOOKUP(
        $A37,
        _xlfn._xlws.FILTER(
            INDIRECT("'"&amp;D$62&amp;"'!A2:G1000"), (INDIRECT("'"&amp;D$62&amp;"'!B2:B1000")=$B37) * (INDIRECT("'"&amp;D$62&amp;"'!C2:C1000")=$C37)
        ),
        5,
        FALSE
    )="",
    "",
    VLOOKUP(
        $A37,
        _xlfn._xlws.FILTER(
            INDIRECT("'"&amp;D$62&amp;"'!A2:G1000"), (INDIRECT("'"&amp;D$62&amp;"'!B2:B1000")=$B37) * (INDIRECT("'"&amp;D$62&amp;"'!C2:C1000")=$C37)
        ),
        7,
        FALSE
    )
)</f>
        <v/>
      </c>
      <c r="E37" s="58">
        <f t="array" ref="E37">IF(
    VLOOKUP(
        $A37,
        _xlfn._xlws.FILTER(
            INDIRECT("'"&amp;E$62&amp;"'!A2:G1000"), (INDIRECT("'"&amp;E$62&amp;"'!B2:B1000")=$B37) * (INDIRECT("'"&amp;E$62&amp;"'!C2:C1000")=$C37)
        ),
        5,
        FALSE
    )="",
    "",
    VLOOKUP(
        $A37,
        _xlfn._xlws.FILTER(
            INDIRECT("'"&amp;E$62&amp;"'!A2:G1000"), (INDIRECT("'"&amp;E$62&amp;"'!B2:B1000")=$B37) * (INDIRECT("'"&amp;E$62&amp;"'!C2:C1000")=$C37)
        ),
        7,
        FALSE
    )
)</f>
        <v/>
      </c>
      <c r="F37" s="58">
        <f t="array" ref="F37">IF(
    VLOOKUP(
        $A37,
        _xlfn._xlws.FILTER(
            INDIRECT("'"&amp;F$62&amp;"'!A2:G1000"), (INDIRECT("'"&amp;F$62&amp;"'!B2:B1000")=$B37) * (INDIRECT("'"&amp;F$62&amp;"'!C2:C1000")=$C37)
        ),
        5,
        FALSE
    )="",
    "",
    VLOOKUP(
        $A37,
        _xlfn._xlws.FILTER(
            INDIRECT("'"&amp;F$62&amp;"'!A2:G1000"), (INDIRECT("'"&amp;F$62&amp;"'!B2:B1000")=$B37) * (INDIRECT("'"&amp;F$62&amp;"'!C2:C1000")=$C37)
        ),
        7,
        FALSE
    )
)</f>
        <v/>
      </c>
      <c r="G37" s="58">
        <f t="array" ref="G37">IF(
    VLOOKUP(
        $A37,
        _xlfn._xlws.FILTER(
            INDIRECT("'"&amp;G$62&amp;"'!A2:G1000"), (INDIRECT("'"&amp;G$62&amp;"'!B2:B1000")=$B37) * (INDIRECT("'"&amp;G$62&amp;"'!C2:C1000")=$C37)
        ),
        5,
        FALSE
    )="",
    "",
    VLOOKUP(
        $A37,
        _xlfn._xlws.FILTER(
            INDIRECT("'"&amp;G$62&amp;"'!A2:G1000"), (INDIRECT("'"&amp;G$62&amp;"'!B2:B1000")=$B37) * (INDIRECT("'"&amp;G$62&amp;"'!C2:C1000")=$C37)
        ),
        7,
        FALSE
    )
)</f>
        <v/>
      </c>
      <c r="H37" s="58">
        <f t="array" ref="H37">IF(
    VLOOKUP(
        $A37,
        _xlfn._xlws.FILTER(
            INDIRECT("'"&amp;H$62&amp;"'!A2:G1000"), (INDIRECT("'"&amp;H$62&amp;"'!B2:B1000")=$B37) * (INDIRECT("'"&amp;H$62&amp;"'!C2:C1000")=$C37)
        ),
        5,
        FALSE
    )="",
    "",
    VLOOKUP(
        $A37,
        _xlfn._xlws.FILTER(
            INDIRECT("'"&amp;H$62&amp;"'!A2:G1000"), (INDIRECT("'"&amp;H$62&amp;"'!B2:B1000")=$B37) * (INDIRECT("'"&amp;H$62&amp;"'!C2:C1000")=$C37)
        ),
        7,
        FALSE
    )
)</f>
        <v/>
      </c>
      <c r="I37" s="58">
        <f t="array" ref="I37">IF(
    VLOOKUP(
        $A37,
        _xlfn._xlws.FILTER(
            INDIRECT("'"&amp;I$62&amp;"'!A2:G1000"), (INDIRECT("'"&amp;I$62&amp;"'!B2:B1000")=$B37) * (INDIRECT("'"&amp;I$62&amp;"'!C2:C1000")=$C37)
        ),
        5,
        FALSE
    )="",
    "",
    VLOOKUP(
        $A37,
        _xlfn._xlws.FILTER(
            INDIRECT("'"&amp;I$62&amp;"'!A2:G1000"), (INDIRECT("'"&amp;I$62&amp;"'!B2:B1000")=$B37) * (INDIRECT("'"&amp;I$62&amp;"'!C2:C1000")=$C37)
        ),
        7,
        FALSE
    )
)</f>
        <v/>
      </c>
      <c r="J37" s="58">
        <f t="array" ref="J37">IF(
    VLOOKUP(
        $A37,
        _xlfn._xlws.FILTER(
            INDIRECT("'"&amp;J$62&amp;"'!A2:G1000"), (INDIRECT("'"&amp;J$62&amp;"'!B2:B1000")=$B37) * (INDIRECT("'"&amp;J$62&amp;"'!C2:C1000")=$C37)
        ),
        5,
        FALSE
    )="",
    "",
    VLOOKUP(
        $A37,
        _xlfn._xlws.FILTER(
            INDIRECT("'"&amp;J$62&amp;"'!A2:G1000"), (INDIRECT("'"&amp;J$62&amp;"'!B2:B1000")=$B37) * (INDIRECT("'"&amp;J$62&amp;"'!C2:C1000")=$C37)
        ),
        7,
        FALSE
    )
)</f>
        <v/>
      </c>
      <c r="K37" s="58">
        <f t="array" ref="K37">IF(
    VLOOKUP(
        $A37,
        _xlfn._xlws.FILTER(
            INDIRECT("'"&amp;K$62&amp;"'!A2:G1000"), (INDIRECT("'"&amp;K$62&amp;"'!B2:B1000")=$B37) * (INDIRECT("'"&amp;K$62&amp;"'!C2:C1000")=$C37)
        ),
        5,
        FALSE
    )="",
    "",
    VLOOKUP(
        $A37,
        _xlfn._xlws.FILTER(
            INDIRECT("'"&amp;K$62&amp;"'!A2:G1000"), (INDIRECT("'"&amp;K$62&amp;"'!B2:B1000")=$B37) * (INDIRECT("'"&amp;K$62&amp;"'!C2:C1000")=$C37)
        ),
        7,
        FALSE
    )
)</f>
        <v/>
      </c>
      <c r="L37" s="58">
        <f t="array" ref="L37">IF(
    VLOOKUP(
        $A37,
        _xlfn._xlws.FILTER(
            INDIRECT("'"&amp;L$62&amp;"'!A2:G1000"), (INDIRECT("'"&amp;L$62&amp;"'!B2:B1000")=$B37) * (INDIRECT("'"&amp;L$62&amp;"'!C2:C1000")=$C37)
        ),
        5,
        FALSE
    )="",
    "",
    VLOOKUP(
        $A37,
        _xlfn._xlws.FILTER(
            INDIRECT("'"&amp;L$62&amp;"'!A2:G1000"), (INDIRECT("'"&amp;L$62&amp;"'!B2:B1000")=$B37) * (INDIRECT("'"&amp;L$62&amp;"'!C2:C1000")=$C37)
        ),
        7,
        FALSE
    )
)</f>
        <v/>
      </c>
      <c r="M37" s="58">
        <f t="array" ref="M37">IF(
    VLOOKUP(
        $A37,
        _xlfn._xlws.FILTER(
            INDIRECT("'"&amp;M$62&amp;"'!A2:G1000"), (INDIRECT("'"&amp;M$62&amp;"'!B2:B1000")=$B37) * (INDIRECT("'"&amp;M$62&amp;"'!C2:C1000")=$C37)
        ),
        5,
        FALSE
    )="",
    "",
    VLOOKUP(
        $A37,
        _xlfn._xlws.FILTER(
            INDIRECT("'"&amp;M$62&amp;"'!A2:G1000"), (INDIRECT("'"&amp;M$62&amp;"'!B2:B1000")=$B37) * (INDIRECT("'"&amp;M$62&amp;"'!C2:C1000")=$C37)
        ),
        7,
        FALSE
    )
)</f>
        <v/>
      </c>
      <c r="N37" s="58">
        <f t="array" ref="N37">IF(
    VLOOKUP(
        $A37,
        _xlfn._xlws.FILTER(
            INDIRECT("'"&amp;N$62&amp;"'!A2:G1000"), (INDIRECT("'"&amp;N$62&amp;"'!B2:B1000")=$B37) * (INDIRECT("'"&amp;N$62&amp;"'!C2:C1000")=$C37)
        ),
        5,
        FALSE
    )="",
    "",
    VLOOKUP(
        $A37,
        _xlfn._xlws.FILTER(
            INDIRECT("'"&amp;N$62&amp;"'!A2:G1000"), (INDIRECT("'"&amp;N$62&amp;"'!B2:B1000")=$B37) * (INDIRECT("'"&amp;N$62&amp;"'!C2:C1000")=$C37)
        ),
        7,
        FALSE
    )
)</f>
        <v/>
      </c>
      <c r="O37" s="58">
        <f t="array" ref="O37">IF(
    VLOOKUP(
        $A37,
        _xlfn._xlws.FILTER(
            INDIRECT("'"&amp;O$62&amp;"'!A2:G1000"), (INDIRECT("'"&amp;O$62&amp;"'!B2:B1000")=$B37) * (INDIRECT("'"&amp;O$62&amp;"'!C2:C1000")=$C37)
        ),
        5,
        FALSE
    )="",
    "",
    VLOOKUP(
        $A37,
        _xlfn._xlws.FILTER(
            INDIRECT("'"&amp;O$62&amp;"'!A2:G1000"), (INDIRECT("'"&amp;O$62&amp;"'!B2:B1000")=$B37) * (INDIRECT("'"&amp;O$62&amp;"'!C2:C1000")=$C37)
        ),
        7,
        FALSE
    )
)</f>
        <v/>
      </c>
      <c r="P37" s="58">
        <f t="array" ref="P37">IF(
    VLOOKUP(
        $A37,
        _xlfn._xlws.FILTER(
            INDIRECT("'"&amp;P$62&amp;"'!A2:G1000"), (INDIRECT("'"&amp;P$62&amp;"'!B2:B1000")=$B37) * (INDIRECT("'"&amp;P$62&amp;"'!C2:C1000")=$C37)
        ),
        5,
        FALSE
    )="",
    "",
    VLOOKUP(
        $A37,
        _xlfn._xlws.FILTER(
            INDIRECT("'"&amp;P$62&amp;"'!A2:G1000"), (INDIRECT("'"&amp;P$62&amp;"'!B2:B1000")=$B37) * (INDIRECT("'"&amp;P$62&amp;"'!C2:C1000")=$C37)
        ),
        7,
        FALSE
    )
)</f>
        <v/>
      </c>
    </row>
    <row r="38">
      <c r="A38" s="61" t="inlineStr">
        <is>
          <t>Guarapuava II</t>
        </is>
      </c>
      <c r="B38" s="58" t="inlineStr">
        <is>
          <t>Santa Maria Do Oeste</t>
        </is>
      </c>
      <c r="C38" s="85" t="inlineStr">
        <is>
          <t>01</t>
        </is>
      </c>
      <c r="D38" s="58">
        <f t="array" ref="D38">IF(
    VLOOKUP(
        $A38,
        _xlfn._xlws.FILTER(
            INDIRECT("'"&amp;D$62&amp;"'!A2:G1000"), (INDIRECT("'"&amp;D$62&amp;"'!B2:B1000")=$B38) * (INDIRECT("'"&amp;D$62&amp;"'!C2:C1000")=$C38)
        ),
        5,
        FALSE
    )="",
    "",
    VLOOKUP(
        $A38,
        _xlfn._xlws.FILTER(
            INDIRECT("'"&amp;D$62&amp;"'!A2:G1000"), (INDIRECT("'"&amp;D$62&amp;"'!B2:B1000")=$B38) * (INDIRECT("'"&amp;D$62&amp;"'!C2:C1000")=$C38)
        ),
        7,
        FALSE
    )
)</f>
        <v/>
      </c>
      <c r="E38" s="58">
        <f t="array" ref="E38">IF(
    VLOOKUP(
        $A38,
        _xlfn._xlws.FILTER(
            INDIRECT("'"&amp;E$62&amp;"'!A2:G1000"), (INDIRECT("'"&amp;E$62&amp;"'!B2:B1000")=$B38) * (INDIRECT("'"&amp;E$62&amp;"'!C2:C1000")=$C38)
        ),
        5,
        FALSE
    )="",
    "",
    VLOOKUP(
        $A38,
        _xlfn._xlws.FILTER(
            INDIRECT("'"&amp;E$62&amp;"'!A2:G1000"), (INDIRECT("'"&amp;E$62&amp;"'!B2:B1000")=$B38) * (INDIRECT("'"&amp;E$62&amp;"'!C2:C1000")=$C38)
        ),
        7,
        FALSE
    )
)</f>
        <v/>
      </c>
      <c r="F38" s="58">
        <f t="array" ref="F38">IF(
    VLOOKUP(
        $A38,
        _xlfn._xlws.FILTER(
            INDIRECT("'"&amp;F$62&amp;"'!A2:G1000"), (INDIRECT("'"&amp;F$62&amp;"'!B2:B1000")=$B38) * (INDIRECT("'"&amp;F$62&amp;"'!C2:C1000")=$C38)
        ),
        5,
        FALSE
    )="",
    "",
    VLOOKUP(
        $A38,
        _xlfn._xlws.FILTER(
            INDIRECT("'"&amp;F$62&amp;"'!A2:G1000"), (INDIRECT("'"&amp;F$62&amp;"'!B2:B1000")=$B38) * (INDIRECT("'"&amp;F$62&amp;"'!C2:C1000")=$C38)
        ),
        7,
        FALSE
    )
)</f>
        <v/>
      </c>
      <c r="G38" s="58">
        <f t="array" ref="G38">IF(
    VLOOKUP(
        $A38,
        _xlfn._xlws.FILTER(
            INDIRECT("'"&amp;G$62&amp;"'!A2:G1000"), (INDIRECT("'"&amp;G$62&amp;"'!B2:B1000")=$B38) * (INDIRECT("'"&amp;G$62&amp;"'!C2:C1000")=$C38)
        ),
        5,
        FALSE
    )="",
    "",
    VLOOKUP(
        $A38,
        _xlfn._xlws.FILTER(
            INDIRECT("'"&amp;G$62&amp;"'!A2:G1000"), (INDIRECT("'"&amp;G$62&amp;"'!B2:B1000")=$B38) * (INDIRECT("'"&amp;G$62&amp;"'!C2:C1000")=$C38)
        ),
        7,
        FALSE
    )
)</f>
        <v/>
      </c>
      <c r="H38" s="58">
        <f t="array" ref="H38">IF(
    VLOOKUP(
        $A38,
        _xlfn._xlws.FILTER(
            INDIRECT("'"&amp;H$62&amp;"'!A2:G1000"), (INDIRECT("'"&amp;H$62&amp;"'!B2:B1000")=$B38) * (INDIRECT("'"&amp;H$62&amp;"'!C2:C1000")=$C38)
        ),
        5,
        FALSE
    )="",
    "",
    VLOOKUP(
        $A38,
        _xlfn._xlws.FILTER(
            INDIRECT("'"&amp;H$62&amp;"'!A2:G1000"), (INDIRECT("'"&amp;H$62&amp;"'!B2:B1000")=$B38) * (INDIRECT("'"&amp;H$62&amp;"'!C2:C1000")=$C38)
        ),
        7,
        FALSE
    )
)</f>
        <v/>
      </c>
      <c r="I38" s="58">
        <f t="array" ref="I38">IF(
    VLOOKUP(
        $A38,
        _xlfn._xlws.FILTER(
            INDIRECT("'"&amp;I$62&amp;"'!A2:G1000"), (INDIRECT("'"&amp;I$62&amp;"'!B2:B1000")=$B38) * (INDIRECT("'"&amp;I$62&amp;"'!C2:C1000")=$C38)
        ),
        5,
        FALSE
    )="",
    "",
    VLOOKUP(
        $A38,
        _xlfn._xlws.FILTER(
            INDIRECT("'"&amp;I$62&amp;"'!A2:G1000"), (INDIRECT("'"&amp;I$62&amp;"'!B2:B1000")=$B38) * (INDIRECT("'"&amp;I$62&amp;"'!C2:C1000")=$C38)
        ),
        7,
        FALSE
    )
)</f>
        <v/>
      </c>
      <c r="J38" s="58">
        <f t="array" ref="J38">IF(
    VLOOKUP(
        $A38,
        _xlfn._xlws.FILTER(
            INDIRECT("'"&amp;J$62&amp;"'!A2:G1000"), (INDIRECT("'"&amp;J$62&amp;"'!B2:B1000")=$B38) * (INDIRECT("'"&amp;J$62&amp;"'!C2:C1000")=$C38)
        ),
        5,
        FALSE
    )="",
    "",
    VLOOKUP(
        $A38,
        _xlfn._xlws.FILTER(
            INDIRECT("'"&amp;J$62&amp;"'!A2:G1000"), (INDIRECT("'"&amp;J$62&amp;"'!B2:B1000")=$B38) * (INDIRECT("'"&amp;J$62&amp;"'!C2:C1000")=$C38)
        ),
        7,
        FALSE
    )
)</f>
        <v/>
      </c>
      <c r="K38" s="58">
        <f t="array" ref="K38">IF(
    VLOOKUP(
        $A38,
        _xlfn._xlws.FILTER(
            INDIRECT("'"&amp;K$62&amp;"'!A2:G1000"), (INDIRECT("'"&amp;K$62&amp;"'!B2:B1000")=$B38) * (INDIRECT("'"&amp;K$62&amp;"'!C2:C1000")=$C38)
        ),
        5,
        FALSE
    )="",
    "",
    VLOOKUP(
        $A38,
        _xlfn._xlws.FILTER(
            INDIRECT("'"&amp;K$62&amp;"'!A2:G1000"), (INDIRECT("'"&amp;K$62&amp;"'!B2:B1000")=$B38) * (INDIRECT("'"&amp;K$62&amp;"'!C2:C1000")=$C38)
        ),
        7,
        FALSE
    )
)</f>
        <v/>
      </c>
      <c r="L38" s="58">
        <f t="array" ref="L38">IF(
    VLOOKUP(
        $A38,
        _xlfn._xlws.FILTER(
            INDIRECT("'"&amp;L$62&amp;"'!A2:G1000"), (INDIRECT("'"&amp;L$62&amp;"'!B2:B1000")=$B38) * (INDIRECT("'"&amp;L$62&amp;"'!C2:C1000")=$C38)
        ),
        5,
        FALSE
    )="",
    "",
    VLOOKUP(
        $A38,
        _xlfn._xlws.FILTER(
            INDIRECT("'"&amp;L$62&amp;"'!A2:G1000"), (INDIRECT("'"&amp;L$62&amp;"'!B2:B1000")=$B38) * (INDIRECT("'"&amp;L$62&amp;"'!C2:C1000")=$C38)
        ),
        7,
        FALSE
    )
)</f>
        <v/>
      </c>
      <c r="M38" s="58">
        <f t="array" ref="M38">IF(
    VLOOKUP(
        $A38,
        _xlfn._xlws.FILTER(
            INDIRECT("'"&amp;M$62&amp;"'!A2:G1000"), (INDIRECT("'"&amp;M$62&amp;"'!B2:B1000")=$B38) * (INDIRECT("'"&amp;M$62&amp;"'!C2:C1000")=$C38)
        ),
        5,
        FALSE
    )="",
    "",
    VLOOKUP(
        $A38,
        _xlfn._xlws.FILTER(
            INDIRECT("'"&amp;M$62&amp;"'!A2:G1000"), (INDIRECT("'"&amp;M$62&amp;"'!B2:B1000")=$B38) * (INDIRECT("'"&amp;M$62&amp;"'!C2:C1000")=$C38)
        ),
        7,
        FALSE
    )
)</f>
        <v/>
      </c>
      <c r="N38" s="58">
        <f t="array" ref="N38">IF(
    VLOOKUP(
        $A38,
        _xlfn._xlws.FILTER(
            INDIRECT("'"&amp;N$62&amp;"'!A2:G1000"), (INDIRECT("'"&amp;N$62&amp;"'!B2:B1000")=$B38) * (INDIRECT("'"&amp;N$62&amp;"'!C2:C1000")=$C38)
        ),
        5,
        FALSE
    )="",
    "",
    VLOOKUP(
        $A38,
        _xlfn._xlws.FILTER(
            INDIRECT("'"&amp;N$62&amp;"'!A2:G1000"), (INDIRECT("'"&amp;N$62&amp;"'!B2:B1000")=$B38) * (INDIRECT("'"&amp;N$62&amp;"'!C2:C1000")=$C38)
        ),
        7,
        FALSE
    )
)</f>
        <v/>
      </c>
      <c r="O38" s="58">
        <f t="array" ref="O38">IF(
    VLOOKUP(
        $A38,
        _xlfn._xlws.FILTER(
            INDIRECT("'"&amp;O$62&amp;"'!A2:G1000"), (INDIRECT("'"&amp;O$62&amp;"'!B2:B1000")=$B38) * (INDIRECT("'"&amp;O$62&amp;"'!C2:C1000")=$C38)
        ),
        5,
        FALSE
    )="",
    "",
    VLOOKUP(
        $A38,
        _xlfn._xlws.FILTER(
            INDIRECT("'"&amp;O$62&amp;"'!A2:G1000"), (INDIRECT("'"&amp;O$62&amp;"'!B2:B1000")=$B38) * (INDIRECT("'"&amp;O$62&amp;"'!C2:C1000")=$C38)
        ),
        7,
        FALSE
    )
)</f>
        <v/>
      </c>
      <c r="P38" s="58">
        <f t="array" ref="P38">IF(
    VLOOKUP(
        $A38,
        _xlfn._xlws.FILTER(
            INDIRECT("'"&amp;P$62&amp;"'!A2:G1000"), (INDIRECT("'"&amp;P$62&amp;"'!B2:B1000")=$B38) * (INDIRECT("'"&amp;P$62&amp;"'!C2:C1000")=$C38)
        ),
        5,
        FALSE
    )="",
    "",
    VLOOKUP(
        $A38,
        _xlfn._xlws.FILTER(
            INDIRECT("'"&amp;P$62&amp;"'!A2:G1000"), (INDIRECT("'"&amp;P$62&amp;"'!B2:B1000")=$B38) * (INDIRECT("'"&amp;P$62&amp;"'!C2:C1000")=$C38)
        ),
        7,
        FALSE
    )
)</f>
        <v/>
      </c>
    </row>
    <row r="39">
      <c r="A39" s="61" t="inlineStr">
        <is>
          <t>Guarapuava II</t>
        </is>
      </c>
      <c r="B39" s="58" t="inlineStr">
        <is>
          <t>São João</t>
        </is>
      </c>
      <c r="C39" s="85" t="inlineStr">
        <is>
          <t>01</t>
        </is>
      </c>
      <c r="D39" s="58">
        <f t="array" ref="D39">IF(
    VLOOKUP(
        $A39,
        _xlfn._xlws.FILTER(
            INDIRECT("'"&amp;D$62&amp;"'!A2:G1000"), (INDIRECT("'"&amp;D$62&amp;"'!B2:B1000")=$B39) * (INDIRECT("'"&amp;D$62&amp;"'!C2:C1000")=$C39)
        ),
        5,
        FALSE
    )="",
    "",
    VLOOKUP(
        $A39,
        _xlfn._xlws.FILTER(
            INDIRECT("'"&amp;D$62&amp;"'!A2:G1000"), (INDIRECT("'"&amp;D$62&amp;"'!B2:B1000")=$B39) * (INDIRECT("'"&amp;D$62&amp;"'!C2:C1000")=$C39)
        ),
        7,
        FALSE
    )
)</f>
        <v/>
      </c>
      <c r="E39" s="58">
        <f t="array" ref="E39">IF(
    VLOOKUP(
        $A39,
        _xlfn._xlws.FILTER(
            INDIRECT("'"&amp;E$62&amp;"'!A2:G1000"), (INDIRECT("'"&amp;E$62&amp;"'!B2:B1000")=$B39) * (INDIRECT("'"&amp;E$62&amp;"'!C2:C1000")=$C39)
        ),
        5,
        FALSE
    )="",
    "",
    VLOOKUP(
        $A39,
        _xlfn._xlws.FILTER(
            INDIRECT("'"&amp;E$62&amp;"'!A2:G1000"), (INDIRECT("'"&amp;E$62&amp;"'!B2:B1000")=$B39) * (INDIRECT("'"&amp;E$62&amp;"'!C2:C1000")=$C39)
        ),
        7,
        FALSE
    )
)</f>
        <v/>
      </c>
      <c r="F39" s="58">
        <f t="array" ref="F39">IF(
    VLOOKUP(
        $A39,
        _xlfn._xlws.FILTER(
            INDIRECT("'"&amp;F$62&amp;"'!A2:G1000"), (INDIRECT("'"&amp;F$62&amp;"'!B2:B1000")=$B39) * (INDIRECT("'"&amp;F$62&amp;"'!C2:C1000")=$C39)
        ),
        5,
        FALSE
    )="",
    "",
    VLOOKUP(
        $A39,
        _xlfn._xlws.FILTER(
            INDIRECT("'"&amp;F$62&amp;"'!A2:G1000"), (INDIRECT("'"&amp;F$62&amp;"'!B2:B1000")=$B39) * (INDIRECT("'"&amp;F$62&amp;"'!C2:C1000")=$C39)
        ),
        7,
        FALSE
    )
)</f>
        <v/>
      </c>
      <c r="G39" s="58">
        <f t="array" ref="G39">IF(
    VLOOKUP(
        $A39,
        _xlfn._xlws.FILTER(
            INDIRECT("'"&amp;G$62&amp;"'!A2:G1000"), (INDIRECT("'"&amp;G$62&amp;"'!B2:B1000")=$B39) * (INDIRECT("'"&amp;G$62&amp;"'!C2:C1000")=$C39)
        ),
        5,
        FALSE
    )="",
    "",
    VLOOKUP(
        $A39,
        _xlfn._xlws.FILTER(
            INDIRECT("'"&amp;G$62&amp;"'!A2:G1000"), (INDIRECT("'"&amp;G$62&amp;"'!B2:B1000")=$B39) * (INDIRECT("'"&amp;G$62&amp;"'!C2:C1000")=$C39)
        ),
        7,
        FALSE
    )
)</f>
        <v/>
      </c>
      <c r="H39" s="58">
        <f t="array" ref="H39">IF(
    VLOOKUP(
        $A39,
        _xlfn._xlws.FILTER(
            INDIRECT("'"&amp;H$62&amp;"'!A2:G1000"), (INDIRECT("'"&amp;H$62&amp;"'!B2:B1000")=$B39) * (INDIRECT("'"&amp;H$62&amp;"'!C2:C1000")=$C39)
        ),
        5,
        FALSE
    )="",
    "",
    VLOOKUP(
        $A39,
        _xlfn._xlws.FILTER(
            INDIRECT("'"&amp;H$62&amp;"'!A2:G1000"), (INDIRECT("'"&amp;H$62&amp;"'!B2:B1000")=$B39) * (INDIRECT("'"&amp;H$62&amp;"'!C2:C1000")=$C39)
        ),
        7,
        FALSE
    )
)</f>
        <v/>
      </c>
      <c r="I39" s="58">
        <f t="array" ref="I39">IF(
    VLOOKUP(
        $A39,
        _xlfn._xlws.FILTER(
            INDIRECT("'"&amp;I$62&amp;"'!A2:G1000"), (INDIRECT("'"&amp;I$62&amp;"'!B2:B1000")=$B39) * (INDIRECT("'"&amp;I$62&amp;"'!C2:C1000")=$C39)
        ),
        5,
        FALSE
    )="",
    "",
    VLOOKUP(
        $A39,
        _xlfn._xlws.FILTER(
            INDIRECT("'"&amp;I$62&amp;"'!A2:G1000"), (INDIRECT("'"&amp;I$62&amp;"'!B2:B1000")=$B39) * (INDIRECT("'"&amp;I$62&amp;"'!C2:C1000")=$C39)
        ),
        7,
        FALSE
    )
)</f>
        <v/>
      </c>
      <c r="J39" s="58">
        <f t="array" ref="J39">IF(
    VLOOKUP(
        $A39,
        _xlfn._xlws.FILTER(
            INDIRECT("'"&amp;J$62&amp;"'!A2:G1000"), (INDIRECT("'"&amp;J$62&amp;"'!B2:B1000")=$B39) * (INDIRECT("'"&amp;J$62&amp;"'!C2:C1000")=$C39)
        ),
        5,
        FALSE
    )="",
    "",
    VLOOKUP(
        $A39,
        _xlfn._xlws.FILTER(
            INDIRECT("'"&amp;J$62&amp;"'!A2:G1000"), (INDIRECT("'"&amp;J$62&amp;"'!B2:B1000")=$B39) * (INDIRECT("'"&amp;J$62&amp;"'!C2:C1000")=$C39)
        ),
        7,
        FALSE
    )
)</f>
        <v/>
      </c>
      <c r="K39" s="58">
        <f t="array" ref="K39">IF(
    VLOOKUP(
        $A39,
        _xlfn._xlws.FILTER(
            INDIRECT("'"&amp;K$62&amp;"'!A2:G1000"), (INDIRECT("'"&amp;K$62&amp;"'!B2:B1000")=$B39) * (INDIRECT("'"&amp;K$62&amp;"'!C2:C1000")=$C39)
        ),
        5,
        FALSE
    )="",
    "",
    VLOOKUP(
        $A39,
        _xlfn._xlws.FILTER(
            INDIRECT("'"&amp;K$62&amp;"'!A2:G1000"), (INDIRECT("'"&amp;K$62&amp;"'!B2:B1000")=$B39) * (INDIRECT("'"&amp;K$62&amp;"'!C2:C1000")=$C39)
        ),
        7,
        FALSE
    )
)</f>
        <v/>
      </c>
      <c r="L39" s="58">
        <f t="array" ref="L39">IF(
    VLOOKUP(
        $A39,
        _xlfn._xlws.FILTER(
            INDIRECT("'"&amp;L$62&amp;"'!A2:G1000"), (INDIRECT("'"&amp;L$62&amp;"'!B2:B1000")=$B39) * (INDIRECT("'"&amp;L$62&amp;"'!C2:C1000")=$C39)
        ),
        5,
        FALSE
    )="",
    "",
    VLOOKUP(
        $A39,
        _xlfn._xlws.FILTER(
            INDIRECT("'"&amp;L$62&amp;"'!A2:G1000"), (INDIRECT("'"&amp;L$62&amp;"'!B2:B1000")=$B39) * (INDIRECT("'"&amp;L$62&amp;"'!C2:C1000")=$C39)
        ),
        7,
        FALSE
    )
)</f>
        <v/>
      </c>
      <c r="M39" s="58">
        <f t="array" ref="M39">IF(
    VLOOKUP(
        $A39,
        _xlfn._xlws.FILTER(
            INDIRECT("'"&amp;M$62&amp;"'!A2:G1000"), (INDIRECT("'"&amp;M$62&amp;"'!B2:B1000")=$B39) * (INDIRECT("'"&amp;M$62&amp;"'!C2:C1000")=$C39)
        ),
        5,
        FALSE
    )="",
    "",
    VLOOKUP(
        $A39,
        _xlfn._xlws.FILTER(
            INDIRECT("'"&amp;M$62&amp;"'!A2:G1000"), (INDIRECT("'"&amp;M$62&amp;"'!B2:B1000")=$B39) * (INDIRECT("'"&amp;M$62&amp;"'!C2:C1000")=$C39)
        ),
        7,
        FALSE
    )
)</f>
        <v/>
      </c>
      <c r="N39" s="58">
        <f t="array" ref="N39">IF(
    VLOOKUP(
        $A39,
        _xlfn._xlws.FILTER(
            INDIRECT("'"&amp;N$62&amp;"'!A2:G1000"), (INDIRECT("'"&amp;N$62&amp;"'!B2:B1000")=$B39) * (INDIRECT("'"&amp;N$62&amp;"'!C2:C1000")=$C39)
        ),
        5,
        FALSE
    )="",
    "",
    VLOOKUP(
        $A39,
        _xlfn._xlws.FILTER(
            INDIRECT("'"&amp;N$62&amp;"'!A2:G1000"), (INDIRECT("'"&amp;N$62&amp;"'!B2:B1000")=$B39) * (INDIRECT("'"&amp;N$62&amp;"'!C2:C1000")=$C39)
        ),
        7,
        FALSE
    )
)</f>
        <v/>
      </c>
      <c r="O39" s="58">
        <f t="array" ref="O39">IF(
    VLOOKUP(
        $A39,
        _xlfn._xlws.FILTER(
            INDIRECT("'"&amp;O$62&amp;"'!A2:G1000"), (INDIRECT("'"&amp;O$62&amp;"'!B2:B1000")=$B39) * (INDIRECT("'"&amp;O$62&amp;"'!C2:C1000")=$C39)
        ),
        5,
        FALSE
    )="",
    "",
    VLOOKUP(
        $A39,
        _xlfn._xlws.FILTER(
            INDIRECT("'"&amp;O$62&amp;"'!A2:G1000"), (INDIRECT("'"&amp;O$62&amp;"'!B2:B1000")=$B39) * (INDIRECT("'"&amp;O$62&amp;"'!C2:C1000")=$C39)
        ),
        7,
        FALSE
    )
)</f>
        <v/>
      </c>
      <c r="P39" s="58">
        <f t="array" ref="P39">IF(
    VLOOKUP(
        $A39,
        _xlfn._xlws.FILTER(
            INDIRECT("'"&amp;P$62&amp;"'!A2:G1000"), (INDIRECT("'"&amp;P$62&amp;"'!B2:B1000")=$B39) * (INDIRECT("'"&amp;P$62&amp;"'!C2:C1000")=$C39)
        ),
        5,
        FALSE
    )="",
    "",
    VLOOKUP(
        $A39,
        _xlfn._xlws.FILTER(
            INDIRECT("'"&amp;P$62&amp;"'!A2:G1000"), (INDIRECT("'"&amp;P$62&amp;"'!B2:B1000")=$B39) * (INDIRECT("'"&amp;P$62&amp;"'!C2:C1000")=$C39)
        ),
        7,
        FALSE
    )
)</f>
        <v/>
      </c>
    </row>
    <row r="40">
      <c r="A40" s="76" t="n"/>
      <c r="B40" s="76" t="n"/>
      <c r="C40" s="76" t="n"/>
      <c r="D40" s="76" t="n"/>
      <c r="E40" s="76" t="n"/>
      <c r="F40" s="76" t="n"/>
      <c r="G40" s="76" t="n"/>
      <c r="H40" s="76" t="n"/>
      <c r="I40" s="76" t="n"/>
      <c r="J40" s="76" t="n"/>
      <c r="K40" s="76" t="n"/>
      <c r="L40" s="76" t="n"/>
      <c r="M40" s="76" t="n"/>
      <c r="N40" s="76" t="n"/>
      <c r="O40" s="76" t="n"/>
      <c r="P40" s="76" t="n"/>
    </row>
    <row r="41" ht="15.75" customHeight="1">
      <c r="A41" s="29" t="inlineStr">
        <is>
          <t>Johvanny</t>
        </is>
      </c>
      <c r="B41" s="84" t="inlineStr">
        <is>
          <t>Municípios</t>
        </is>
      </c>
      <c r="C41" s="84" t="inlineStr">
        <is>
          <t>UVR</t>
        </is>
      </c>
      <c r="D41" s="4" t="inlineStr">
        <is>
          <t>01.25</t>
        </is>
      </c>
      <c r="E41" s="4" t="inlineStr">
        <is>
          <t>02.25</t>
        </is>
      </c>
      <c r="F41" s="4" t="inlineStr">
        <is>
          <t>03.25</t>
        </is>
      </c>
      <c r="G41" s="4" t="inlineStr">
        <is>
          <t>04.25</t>
        </is>
      </c>
      <c r="H41" s="4" t="inlineStr">
        <is>
          <t>05.25</t>
        </is>
      </c>
      <c r="I41" s="4" t="inlineStr">
        <is>
          <t>06.25</t>
        </is>
      </c>
      <c r="J41" s="4" t="inlineStr">
        <is>
          <t>07.25</t>
        </is>
      </c>
      <c r="K41" s="4" t="inlineStr">
        <is>
          <t>08.25</t>
        </is>
      </c>
      <c r="L41" s="4" t="inlineStr">
        <is>
          <t>09.25</t>
        </is>
      </c>
      <c r="M41" s="4" t="inlineStr">
        <is>
          <t>09.25</t>
        </is>
      </c>
      <c r="N41" s="4" t="inlineStr">
        <is>
          <t>10.25</t>
        </is>
      </c>
      <c r="O41" s="4" t="inlineStr">
        <is>
          <t>11.25</t>
        </is>
      </c>
      <c r="P41" s="4" t="inlineStr">
        <is>
          <t>12.25</t>
        </is>
      </c>
    </row>
    <row r="42" ht="15.75" customHeight="1">
      <c r="A42" s="28" t="inlineStr">
        <is>
          <t>Londrina</t>
        </is>
      </c>
      <c r="B42" s="58" t="inlineStr">
        <is>
          <t>Cambará</t>
        </is>
      </c>
      <c r="C42" s="85" t="inlineStr">
        <is>
          <t>01</t>
        </is>
      </c>
      <c r="D42" s="58">
        <f t="array" ref="D42">IF(
    VLOOKUP(
        $A42,
        _xlfn._xlws.FILTER(
            INDIRECT("'"&amp;D$62&amp;"'!A2:G1000"), (INDIRECT("'"&amp;D$62&amp;"'!B2:B1000")=$B42) * (INDIRECT("'"&amp;D$62&amp;"'!C2:C1000")=$C42)
        ),
        5,
        FALSE
    )="",
    "",
    VLOOKUP(
        $A42,
        _xlfn._xlws.FILTER(
            INDIRECT("'"&amp;D$62&amp;"'!A2:G1000"), (INDIRECT("'"&amp;D$62&amp;"'!B2:B1000")=$B42) * (INDIRECT("'"&amp;D$62&amp;"'!C2:C1000")=$C42)
        ),
        7,
        FALSE
    )
)</f>
        <v/>
      </c>
      <c r="E42" s="58">
        <f t="array" ref="E42">IF(
    VLOOKUP(
        $A42,
        _xlfn._xlws.FILTER(
            INDIRECT("'"&amp;E$62&amp;"'!A2:G1000"), (INDIRECT("'"&amp;E$62&amp;"'!B2:B1000")=$B42) * (INDIRECT("'"&amp;E$62&amp;"'!C2:C1000")=$C42)
        ),
        5,
        FALSE
    )="",
    "",
    VLOOKUP(
        $A42,
        _xlfn._xlws.FILTER(
            INDIRECT("'"&amp;E$62&amp;"'!A2:G1000"), (INDIRECT("'"&amp;E$62&amp;"'!B2:B1000")=$B42) * (INDIRECT("'"&amp;E$62&amp;"'!C2:C1000")=$C42)
        ),
        7,
        FALSE
    )
)</f>
        <v/>
      </c>
      <c r="F42" s="58">
        <f t="array" ref="F42">IF(
    VLOOKUP(
        $A42,
        _xlfn._xlws.FILTER(
            INDIRECT("'"&amp;F$62&amp;"'!A2:G1000"), (INDIRECT("'"&amp;F$62&amp;"'!B2:B1000")=$B42) * (INDIRECT("'"&amp;F$62&amp;"'!C2:C1000")=$C42)
        ),
        5,
        FALSE
    )="",
    "",
    VLOOKUP(
        $A42,
        _xlfn._xlws.FILTER(
            INDIRECT("'"&amp;F$62&amp;"'!A2:G1000"), (INDIRECT("'"&amp;F$62&amp;"'!B2:B1000")=$B42) * (INDIRECT("'"&amp;F$62&amp;"'!C2:C1000")=$C42)
        ),
        7,
        FALSE
    )
)</f>
        <v/>
      </c>
      <c r="G42" s="58">
        <f t="array" ref="G42">IF(
    VLOOKUP(
        $A42,
        _xlfn._xlws.FILTER(
            INDIRECT("'"&amp;G$62&amp;"'!A2:G1000"), (INDIRECT("'"&amp;G$62&amp;"'!B2:B1000")=$B42) * (INDIRECT("'"&amp;G$62&amp;"'!C2:C1000")=$C42)
        ),
        5,
        FALSE
    )="",
    "",
    VLOOKUP(
        $A42,
        _xlfn._xlws.FILTER(
            INDIRECT("'"&amp;G$62&amp;"'!A2:G1000"), (INDIRECT("'"&amp;G$62&amp;"'!B2:B1000")=$B42) * (INDIRECT("'"&amp;G$62&amp;"'!C2:C1000")=$C42)
        ),
        7,
        FALSE
    )
)</f>
        <v/>
      </c>
      <c r="H42" s="58">
        <f t="array" ref="H42">IF(
    VLOOKUP(
        $A42,
        _xlfn._xlws.FILTER(
            INDIRECT("'"&amp;H$62&amp;"'!A2:G1000"), (INDIRECT("'"&amp;H$62&amp;"'!B2:B1000")=$B42) * (INDIRECT("'"&amp;H$62&amp;"'!C2:C1000")=$C42)
        ),
        5,
        FALSE
    )="",
    "",
    VLOOKUP(
        $A42,
        _xlfn._xlws.FILTER(
            INDIRECT("'"&amp;H$62&amp;"'!A2:G1000"), (INDIRECT("'"&amp;H$62&amp;"'!B2:B1000")=$B42) * (INDIRECT("'"&amp;H$62&amp;"'!C2:C1000")=$C42)
        ),
        7,
        FALSE
    )
)</f>
        <v/>
      </c>
      <c r="I42" s="58">
        <f t="array" ref="I42">IF(
    VLOOKUP(
        $A42,
        _xlfn._xlws.FILTER(
            INDIRECT("'"&amp;I$62&amp;"'!A2:G1000"), (INDIRECT("'"&amp;I$62&amp;"'!B2:B1000")=$B42) * (INDIRECT("'"&amp;I$62&amp;"'!C2:C1000")=$C42)
        ),
        5,
        FALSE
    )="",
    "",
    VLOOKUP(
        $A42,
        _xlfn._xlws.FILTER(
            INDIRECT("'"&amp;I$62&amp;"'!A2:G1000"), (INDIRECT("'"&amp;I$62&amp;"'!B2:B1000")=$B42) * (INDIRECT("'"&amp;I$62&amp;"'!C2:C1000")=$C42)
        ),
        7,
        FALSE
    )
)</f>
        <v/>
      </c>
      <c r="J42" s="58">
        <f t="array" ref="J42">IF(
    VLOOKUP(
        $A42,
        _xlfn._xlws.FILTER(
            INDIRECT("'"&amp;J$62&amp;"'!A2:G1000"), (INDIRECT("'"&amp;J$62&amp;"'!B2:B1000")=$B42) * (INDIRECT("'"&amp;J$62&amp;"'!C2:C1000")=$C42)
        ),
        5,
        FALSE
    )="",
    "",
    VLOOKUP(
        $A42,
        _xlfn._xlws.FILTER(
            INDIRECT("'"&amp;J$62&amp;"'!A2:G1000"), (INDIRECT("'"&amp;J$62&amp;"'!B2:B1000")=$B42) * (INDIRECT("'"&amp;J$62&amp;"'!C2:C1000")=$C42)
        ),
        7,
        FALSE
    )
)</f>
        <v/>
      </c>
      <c r="K42" s="58">
        <f t="array" ref="K42">IF(
    VLOOKUP(
        $A42,
        _xlfn._xlws.FILTER(
            INDIRECT("'"&amp;K$62&amp;"'!A2:G1000"), (INDIRECT("'"&amp;K$62&amp;"'!B2:B1000")=$B42) * (INDIRECT("'"&amp;K$62&amp;"'!C2:C1000")=$C42)
        ),
        5,
        FALSE
    )="",
    "",
    VLOOKUP(
        $A42,
        _xlfn._xlws.FILTER(
            INDIRECT("'"&amp;K$62&amp;"'!A2:G1000"), (INDIRECT("'"&amp;K$62&amp;"'!B2:B1000")=$B42) * (INDIRECT("'"&amp;K$62&amp;"'!C2:C1000")=$C42)
        ),
        7,
        FALSE
    )
)</f>
        <v/>
      </c>
      <c r="L42" s="58">
        <f t="array" ref="L42">IF(
    VLOOKUP(
        $A42,
        _xlfn._xlws.FILTER(
            INDIRECT("'"&amp;L$62&amp;"'!A2:G1000"), (INDIRECT("'"&amp;L$62&amp;"'!B2:B1000")=$B42) * (INDIRECT("'"&amp;L$62&amp;"'!C2:C1000")=$C42)
        ),
        5,
        FALSE
    )="",
    "",
    VLOOKUP(
        $A42,
        _xlfn._xlws.FILTER(
            INDIRECT("'"&amp;L$62&amp;"'!A2:G1000"), (INDIRECT("'"&amp;L$62&amp;"'!B2:B1000")=$B42) * (INDIRECT("'"&amp;L$62&amp;"'!C2:C1000")=$C42)
        ),
        7,
        FALSE
    )
)</f>
        <v/>
      </c>
      <c r="M42" s="58">
        <f t="array" ref="M42">IF(
    VLOOKUP(
        $A42,
        _xlfn._xlws.FILTER(
            INDIRECT("'"&amp;M$62&amp;"'!A2:G1000"), (INDIRECT("'"&amp;M$62&amp;"'!B2:B1000")=$B42) * (INDIRECT("'"&amp;M$62&amp;"'!C2:C1000")=$C42)
        ),
        5,
        FALSE
    )="",
    "",
    VLOOKUP(
        $A42,
        _xlfn._xlws.FILTER(
            INDIRECT("'"&amp;M$62&amp;"'!A2:G1000"), (INDIRECT("'"&amp;M$62&amp;"'!B2:B1000")=$B42) * (INDIRECT("'"&amp;M$62&amp;"'!C2:C1000")=$C42)
        ),
        7,
        FALSE
    )
)</f>
        <v/>
      </c>
      <c r="N42" s="58">
        <f t="array" ref="N42">IF(
    VLOOKUP(
        $A42,
        _xlfn._xlws.FILTER(
            INDIRECT("'"&amp;N$62&amp;"'!A2:G1000"), (INDIRECT("'"&amp;N$62&amp;"'!B2:B1000")=$B42) * (INDIRECT("'"&amp;N$62&amp;"'!C2:C1000")=$C42)
        ),
        5,
        FALSE
    )="",
    "",
    VLOOKUP(
        $A42,
        _xlfn._xlws.FILTER(
            INDIRECT("'"&amp;N$62&amp;"'!A2:G1000"), (INDIRECT("'"&amp;N$62&amp;"'!B2:B1000")=$B42) * (INDIRECT("'"&amp;N$62&amp;"'!C2:C1000")=$C42)
        ),
        7,
        FALSE
    )
)</f>
        <v/>
      </c>
      <c r="O42" s="58">
        <f t="array" ref="O42">IF(
    VLOOKUP(
        $A42,
        _xlfn._xlws.FILTER(
            INDIRECT("'"&amp;O$62&amp;"'!A2:G1000"), (INDIRECT("'"&amp;O$62&amp;"'!B2:B1000")=$B42) * (INDIRECT("'"&amp;O$62&amp;"'!C2:C1000")=$C42)
        ),
        5,
        FALSE
    )="",
    "",
    VLOOKUP(
        $A42,
        _xlfn._xlws.FILTER(
            INDIRECT("'"&amp;O$62&amp;"'!A2:G1000"), (INDIRECT("'"&amp;O$62&amp;"'!B2:B1000")=$B42) * (INDIRECT("'"&amp;O$62&amp;"'!C2:C1000")=$C42)
        ),
        7,
        FALSE
    )
)</f>
        <v/>
      </c>
      <c r="P42" s="58">
        <f t="array" ref="P42">IF(
    VLOOKUP(
        $A42,
        _xlfn._xlws.FILTER(
            INDIRECT("'"&amp;P$62&amp;"'!A2:G1000"), (INDIRECT("'"&amp;P$62&amp;"'!B2:B1000")=$B42) * (INDIRECT("'"&amp;P$62&amp;"'!C2:C1000")=$C42)
        ),
        5,
        FALSE
    )="",
    "",
    VLOOKUP(
        $A42,
        _xlfn._xlws.FILTER(
            INDIRECT("'"&amp;P$62&amp;"'!A2:G1000"), (INDIRECT("'"&amp;P$62&amp;"'!B2:B1000")=$B42) * (INDIRECT("'"&amp;P$62&amp;"'!C2:C1000")=$C42)
        ),
        7,
        FALSE
    )
)</f>
        <v/>
      </c>
    </row>
    <row r="43">
      <c r="A43" s="28" t="inlineStr">
        <is>
          <t>Londrina</t>
        </is>
      </c>
      <c r="B43" s="58" t="inlineStr">
        <is>
          <t>Ibaiti</t>
        </is>
      </c>
      <c r="C43" s="85" t="inlineStr">
        <is>
          <t>01</t>
        </is>
      </c>
      <c r="D43" s="58">
        <f t="array" ref="D43">IF(
    VLOOKUP(
        $A43,
        _xlfn._xlws.FILTER(
            INDIRECT("'"&amp;D$62&amp;"'!A2:G1000"), (INDIRECT("'"&amp;D$62&amp;"'!B2:B1000")=$B43) * (INDIRECT("'"&amp;D$62&amp;"'!C2:C1000")=$C43)
        ),
        5,
        FALSE
    )="",
    "",
    VLOOKUP(
        $A43,
        _xlfn._xlws.FILTER(
            INDIRECT("'"&amp;D$62&amp;"'!A2:G1000"), (INDIRECT("'"&amp;D$62&amp;"'!B2:B1000")=$B43) * (INDIRECT("'"&amp;D$62&amp;"'!C2:C1000")=$C43)
        ),
        7,
        FALSE
    )
)</f>
        <v/>
      </c>
      <c r="E43" s="58">
        <f t="array" ref="E43">IF(
    VLOOKUP(
        $A43,
        _xlfn._xlws.FILTER(
            INDIRECT("'"&amp;E$62&amp;"'!A2:G1000"), (INDIRECT("'"&amp;E$62&amp;"'!B2:B1000")=$B43) * (INDIRECT("'"&amp;E$62&amp;"'!C2:C1000")=$C43)
        ),
        5,
        FALSE
    )="",
    "",
    VLOOKUP(
        $A43,
        _xlfn._xlws.FILTER(
            INDIRECT("'"&amp;E$62&amp;"'!A2:G1000"), (INDIRECT("'"&amp;E$62&amp;"'!B2:B1000")=$B43) * (INDIRECT("'"&amp;E$62&amp;"'!C2:C1000")=$C43)
        ),
        7,
        FALSE
    )
)</f>
        <v/>
      </c>
      <c r="F43" s="58">
        <f t="array" ref="F43">IF(
    VLOOKUP(
        $A43,
        _xlfn._xlws.FILTER(
            INDIRECT("'"&amp;F$62&amp;"'!A2:G1000"), (INDIRECT("'"&amp;F$62&amp;"'!B2:B1000")=$B43) * (INDIRECT("'"&amp;F$62&amp;"'!C2:C1000")=$C43)
        ),
        5,
        FALSE
    )="",
    "",
    VLOOKUP(
        $A43,
        _xlfn._xlws.FILTER(
            INDIRECT("'"&amp;F$62&amp;"'!A2:G1000"), (INDIRECT("'"&amp;F$62&amp;"'!B2:B1000")=$B43) * (INDIRECT("'"&amp;F$62&amp;"'!C2:C1000")=$C43)
        ),
        7,
        FALSE
    )
)</f>
        <v/>
      </c>
      <c r="G43" s="58">
        <f t="array" ref="G43">IF(
    VLOOKUP(
        $A43,
        _xlfn._xlws.FILTER(
            INDIRECT("'"&amp;G$62&amp;"'!A2:G1000"), (INDIRECT("'"&amp;G$62&amp;"'!B2:B1000")=$B43) * (INDIRECT("'"&amp;G$62&amp;"'!C2:C1000")=$C43)
        ),
        5,
        FALSE
    )="",
    "",
    VLOOKUP(
        $A43,
        _xlfn._xlws.FILTER(
            INDIRECT("'"&amp;G$62&amp;"'!A2:G1000"), (INDIRECT("'"&amp;G$62&amp;"'!B2:B1000")=$B43) * (INDIRECT("'"&amp;G$62&amp;"'!C2:C1000")=$C43)
        ),
        7,
        FALSE
    )
)</f>
        <v/>
      </c>
      <c r="H43" s="58">
        <f t="array" ref="H43">IF(
    VLOOKUP(
        $A43,
        _xlfn._xlws.FILTER(
            INDIRECT("'"&amp;H$62&amp;"'!A2:G1000"), (INDIRECT("'"&amp;H$62&amp;"'!B2:B1000")=$B43) * (INDIRECT("'"&amp;H$62&amp;"'!C2:C1000")=$C43)
        ),
        5,
        FALSE
    )="",
    "",
    VLOOKUP(
        $A43,
        _xlfn._xlws.FILTER(
            INDIRECT("'"&amp;H$62&amp;"'!A2:G1000"), (INDIRECT("'"&amp;H$62&amp;"'!B2:B1000")=$B43) * (INDIRECT("'"&amp;H$62&amp;"'!C2:C1000")=$C43)
        ),
        7,
        FALSE
    )
)</f>
        <v/>
      </c>
      <c r="I43" s="58">
        <f t="array" ref="I43">IF(
    VLOOKUP(
        $A43,
        _xlfn._xlws.FILTER(
            INDIRECT("'"&amp;I$62&amp;"'!A2:G1000"), (INDIRECT("'"&amp;I$62&amp;"'!B2:B1000")=$B43) * (INDIRECT("'"&amp;I$62&amp;"'!C2:C1000")=$C43)
        ),
        5,
        FALSE
    )="",
    "",
    VLOOKUP(
        $A43,
        _xlfn._xlws.FILTER(
            INDIRECT("'"&amp;I$62&amp;"'!A2:G1000"), (INDIRECT("'"&amp;I$62&amp;"'!B2:B1000")=$B43) * (INDIRECT("'"&amp;I$62&amp;"'!C2:C1000")=$C43)
        ),
        7,
        FALSE
    )
)</f>
        <v/>
      </c>
      <c r="J43" s="58">
        <f t="array" ref="J43">IF(
    VLOOKUP(
        $A43,
        _xlfn._xlws.FILTER(
            INDIRECT("'"&amp;J$62&amp;"'!A2:G1000"), (INDIRECT("'"&amp;J$62&amp;"'!B2:B1000")=$B43) * (INDIRECT("'"&amp;J$62&amp;"'!C2:C1000")=$C43)
        ),
        5,
        FALSE
    )="",
    "",
    VLOOKUP(
        $A43,
        _xlfn._xlws.FILTER(
            INDIRECT("'"&amp;J$62&amp;"'!A2:G1000"), (INDIRECT("'"&amp;J$62&amp;"'!B2:B1000")=$B43) * (INDIRECT("'"&amp;J$62&amp;"'!C2:C1000")=$C43)
        ),
        7,
        FALSE
    )
)</f>
        <v/>
      </c>
      <c r="K43" s="58">
        <f t="array" ref="K43">IF(
    VLOOKUP(
        $A43,
        _xlfn._xlws.FILTER(
            INDIRECT("'"&amp;K$62&amp;"'!A2:G1000"), (INDIRECT("'"&amp;K$62&amp;"'!B2:B1000")=$B43) * (INDIRECT("'"&amp;K$62&amp;"'!C2:C1000")=$C43)
        ),
        5,
        FALSE
    )="",
    "",
    VLOOKUP(
        $A43,
        _xlfn._xlws.FILTER(
            INDIRECT("'"&amp;K$62&amp;"'!A2:G1000"), (INDIRECT("'"&amp;K$62&amp;"'!B2:B1000")=$B43) * (INDIRECT("'"&amp;K$62&amp;"'!C2:C1000")=$C43)
        ),
        7,
        FALSE
    )
)</f>
        <v/>
      </c>
      <c r="L43" s="58">
        <f t="array" ref="L43">IF(
    VLOOKUP(
        $A43,
        _xlfn._xlws.FILTER(
            INDIRECT("'"&amp;L$62&amp;"'!A2:G1000"), (INDIRECT("'"&amp;L$62&amp;"'!B2:B1000")=$B43) * (INDIRECT("'"&amp;L$62&amp;"'!C2:C1000")=$C43)
        ),
        5,
        FALSE
    )="",
    "",
    VLOOKUP(
        $A43,
        _xlfn._xlws.FILTER(
            INDIRECT("'"&amp;L$62&amp;"'!A2:G1000"), (INDIRECT("'"&amp;L$62&amp;"'!B2:B1000")=$B43) * (INDIRECT("'"&amp;L$62&amp;"'!C2:C1000")=$C43)
        ),
        7,
        FALSE
    )
)</f>
        <v/>
      </c>
      <c r="M43" s="58">
        <f t="array" ref="M43">IF(
    VLOOKUP(
        $A43,
        _xlfn._xlws.FILTER(
            INDIRECT("'"&amp;M$62&amp;"'!A2:G1000"), (INDIRECT("'"&amp;M$62&amp;"'!B2:B1000")=$B43) * (INDIRECT("'"&amp;M$62&amp;"'!C2:C1000")=$C43)
        ),
        5,
        FALSE
    )="",
    "",
    VLOOKUP(
        $A43,
        _xlfn._xlws.FILTER(
            INDIRECT("'"&amp;M$62&amp;"'!A2:G1000"), (INDIRECT("'"&amp;M$62&amp;"'!B2:B1000")=$B43) * (INDIRECT("'"&amp;M$62&amp;"'!C2:C1000")=$C43)
        ),
        7,
        FALSE
    )
)</f>
        <v/>
      </c>
      <c r="N43" s="58">
        <f t="array" ref="N43">IF(
    VLOOKUP(
        $A43,
        _xlfn._xlws.FILTER(
            INDIRECT("'"&amp;N$62&amp;"'!A2:G1000"), (INDIRECT("'"&amp;N$62&amp;"'!B2:B1000")=$B43) * (INDIRECT("'"&amp;N$62&amp;"'!C2:C1000")=$C43)
        ),
        5,
        FALSE
    )="",
    "",
    VLOOKUP(
        $A43,
        _xlfn._xlws.FILTER(
            INDIRECT("'"&amp;N$62&amp;"'!A2:G1000"), (INDIRECT("'"&amp;N$62&amp;"'!B2:B1000")=$B43) * (INDIRECT("'"&amp;N$62&amp;"'!C2:C1000")=$C43)
        ),
        7,
        FALSE
    )
)</f>
        <v/>
      </c>
      <c r="O43" s="58">
        <f t="array" ref="O43">IF(
    VLOOKUP(
        $A43,
        _xlfn._xlws.FILTER(
            INDIRECT("'"&amp;O$62&amp;"'!A2:G1000"), (INDIRECT("'"&amp;O$62&amp;"'!B2:B1000")=$B43) * (INDIRECT("'"&amp;O$62&amp;"'!C2:C1000")=$C43)
        ),
        5,
        FALSE
    )="",
    "",
    VLOOKUP(
        $A43,
        _xlfn._xlws.FILTER(
            INDIRECT("'"&amp;O$62&amp;"'!A2:G1000"), (INDIRECT("'"&amp;O$62&amp;"'!B2:B1000")=$B43) * (INDIRECT("'"&amp;O$62&amp;"'!C2:C1000")=$C43)
        ),
        7,
        FALSE
    )
)</f>
        <v/>
      </c>
      <c r="P43" s="58">
        <f t="array" ref="P43">IF(
    VLOOKUP(
        $A43,
        _xlfn._xlws.FILTER(
            INDIRECT("'"&amp;P$62&amp;"'!A2:G1000"), (INDIRECT("'"&amp;P$62&amp;"'!B2:B1000")=$B43) * (INDIRECT("'"&amp;P$62&amp;"'!C2:C1000")=$C43)
        ),
        5,
        FALSE
    )="",
    "",
    VLOOKUP(
        $A43,
        _xlfn._xlws.FILTER(
            INDIRECT("'"&amp;P$62&amp;"'!A2:G1000"), (INDIRECT("'"&amp;P$62&amp;"'!B2:B1000")=$B43) * (INDIRECT("'"&amp;P$62&amp;"'!C2:C1000")=$C43)
        ),
        7,
        FALSE
    )
)</f>
        <v/>
      </c>
    </row>
    <row r="44">
      <c r="A44" s="28" t="inlineStr">
        <is>
          <t>Londrina</t>
        </is>
      </c>
      <c r="B44" s="58" t="inlineStr">
        <is>
          <t>Jaguapitã</t>
        </is>
      </c>
      <c r="C44" s="85" t="inlineStr">
        <is>
          <t>01</t>
        </is>
      </c>
      <c r="D44" s="58">
        <f t="array" ref="D44">IF(
    VLOOKUP(
        $A44,
        _xlfn._xlws.FILTER(
            INDIRECT("'"&amp;D$62&amp;"'!A2:G1000"), (INDIRECT("'"&amp;D$62&amp;"'!B2:B1000")=$B44) * (INDIRECT("'"&amp;D$62&amp;"'!C2:C1000")=$C44)
        ),
        5,
        FALSE
    )="",
    "",
    VLOOKUP(
        $A44,
        _xlfn._xlws.FILTER(
            INDIRECT("'"&amp;D$62&amp;"'!A2:G1000"), (INDIRECT("'"&amp;D$62&amp;"'!B2:B1000")=$B44) * (INDIRECT("'"&amp;D$62&amp;"'!C2:C1000")=$C44)
        ),
        7,
        FALSE
    )
)</f>
        <v/>
      </c>
      <c r="E44" s="58">
        <f t="array" ref="E44">IF(
    VLOOKUP(
        $A44,
        _xlfn._xlws.FILTER(
            INDIRECT("'"&amp;E$62&amp;"'!A2:G1000"), (INDIRECT("'"&amp;E$62&amp;"'!B2:B1000")=$B44) * (INDIRECT("'"&amp;E$62&amp;"'!C2:C1000")=$C44)
        ),
        5,
        FALSE
    )="",
    "",
    VLOOKUP(
        $A44,
        _xlfn._xlws.FILTER(
            INDIRECT("'"&amp;E$62&amp;"'!A2:G1000"), (INDIRECT("'"&amp;E$62&amp;"'!B2:B1000")=$B44) * (INDIRECT("'"&amp;E$62&amp;"'!C2:C1000")=$C44)
        ),
        7,
        FALSE
    )
)</f>
        <v/>
      </c>
      <c r="F44" s="58">
        <f t="array" ref="F44">IF(
    VLOOKUP(
        $A44,
        _xlfn._xlws.FILTER(
            INDIRECT("'"&amp;F$62&amp;"'!A2:G1000"), (INDIRECT("'"&amp;F$62&amp;"'!B2:B1000")=$B44) * (INDIRECT("'"&amp;F$62&amp;"'!C2:C1000")=$C44)
        ),
        5,
        FALSE
    )="",
    "",
    VLOOKUP(
        $A44,
        _xlfn._xlws.FILTER(
            INDIRECT("'"&amp;F$62&amp;"'!A2:G1000"), (INDIRECT("'"&amp;F$62&amp;"'!B2:B1000")=$B44) * (INDIRECT("'"&amp;F$62&amp;"'!C2:C1000")=$C44)
        ),
        7,
        FALSE
    )
)</f>
        <v/>
      </c>
      <c r="G44" s="58">
        <f t="array" ref="G44">IF(
    VLOOKUP(
        $A44,
        _xlfn._xlws.FILTER(
            INDIRECT("'"&amp;G$62&amp;"'!A2:G1000"), (INDIRECT("'"&amp;G$62&amp;"'!B2:B1000")=$B44) * (INDIRECT("'"&amp;G$62&amp;"'!C2:C1000")=$C44)
        ),
        5,
        FALSE
    )="",
    "",
    VLOOKUP(
        $A44,
        _xlfn._xlws.FILTER(
            INDIRECT("'"&amp;G$62&amp;"'!A2:G1000"), (INDIRECT("'"&amp;G$62&amp;"'!B2:B1000")=$B44) * (INDIRECT("'"&amp;G$62&amp;"'!C2:C1000")=$C44)
        ),
        7,
        FALSE
    )
)</f>
        <v/>
      </c>
      <c r="H44" s="58">
        <f t="array" ref="H44">IF(
    VLOOKUP(
        $A44,
        _xlfn._xlws.FILTER(
            INDIRECT("'"&amp;H$62&amp;"'!A2:G1000"), (INDIRECT("'"&amp;H$62&amp;"'!B2:B1000")=$B44) * (INDIRECT("'"&amp;H$62&amp;"'!C2:C1000")=$C44)
        ),
        5,
        FALSE
    )="",
    "",
    VLOOKUP(
        $A44,
        _xlfn._xlws.FILTER(
            INDIRECT("'"&amp;H$62&amp;"'!A2:G1000"), (INDIRECT("'"&amp;H$62&amp;"'!B2:B1000")=$B44) * (INDIRECT("'"&amp;H$62&amp;"'!C2:C1000")=$C44)
        ),
        7,
        FALSE
    )
)</f>
        <v/>
      </c>
      <c r="I44" s="58">
        <f t="array" ref="I44">IF(
    VLOOKUP(
        $A44,
        _xlfn._xlws.FILTER(
            INDIRECT("'"&amp;I$62&amp;"'!A2:G1000"), (INDIRECT("'"&amp;I$62&amp;"'!B2:B1000")=$B44) * (INDIRECT("'"&amp;I$62&amp;"'!C2:C1000")=$C44)
        ),
        5,
        FALSE
    )="",
    "",
    VLOOKUP(
        $A44,
        _xlfn._xlws.FILTER(
            INDIRECT("'"&amp;I$62&amp;"'!A2:G1000"), (INDIRECT("'"&amp;I$62&amp;"'!B2:B1000")=$B44) * (INDIRECT("'"&amp;I$62&amp;"'!C2:C1000")=$C44)
        ),
        7,
        FALSE
    )
)</f>
        <v/>
      </c>
      <c r="J44" s="58">
        <f t="array" ref="J44">IF(
    VLOOKUP(
        $A44,
        _xlfn._xlws.FILTER(
            INDIRECT("'"&amp;J$62&amp;"'!A2:G1000"), (INDIRECT("'"&amp;J$62&amp;"'!B2:B1000")=$B44) * (INDIRECT("'"&amp;J$62&amp;"'!C2:C1000")=$C44)
        ),
        5,
        FALSE
    )="",
    "",
    VLOOKUP(
        $A44,
        _xlfn._xlws.FILTER(
            INDIRECT("'"&amp;J$62&amp;"'!A2:G1000"), (INDIRECT("'"&amp;J$62&amp;"'!B2:B1000")=$B44) * (INDIRECT("'"&amp;J$62&amp;"'!C2:C1000")=$C44)
        ),
        7,
        FALSE
    )
)</f>
        <v/>
      </c>
      <c r="K44" s="58">
        <f t="array" ref="K44">IF(
    VLOOKUP(
        $A44,
        _xlfn._xlws.FILTER(
            INDIRECT("'"&amp;K$62&amp;"'!A2:G1000"), (INDIRECT("'"&amp;K$62&amp;"'!B2:B1000")=$B44) * (INDIRECT("'"&amp;K$62&amp;"'!C2:C1000")=$C44)
        ),
        5,
        FALSE
    )="",
    "",
    VLOOKUP(
        $A44,
        _xlfn._xlws.FILTER(
            INDIRECT("'"&amp;K$62&amp;"'!A2:G1000"), (INDIRECT("'"&amp;K$62&amp;"'!B2:B1000")=$B44) * (INDIRECT("'"&amp;K$62&amp;"'!C2:C1000")=$C44)
        ),
        7,
        FALSE
    )
)</f>
        <v/>
      </c>
      <c r="L44" s="58">
        <f t="array" ref="L44">IF(
    VLOOKUP(
        $A44,
        _xlfn._xlws.FILTER(
            INDIRECT("'"&amp;L$62&amp;"'!A2:G1000"), (INDIRECT("'"&amp;L$62&amp;"'!B2:B1000")=$B44) * (INDIRECT("'"&amp;L$62&amp;"'!C2:C1000")=$C44)
        ),
        5,
        FALSE
    )="",
    "",
    VLOOKUP(
        $A44,
        _xlfn._xlws.FILTER(
            INDIRECT("'"&amp;L$62&amp;"'!A2:G1000"), (INDIRECT("'"&amp;L$62&amp;"'!B2:B1000")=$B44) * (INDIRECT("'"&amp;L$62&amp;"'!C2:C1000")=$C44)
        ),
        7,
        FALSE
    )
)</f>
        <v/>
      </c>
      <c r="M44" s="58">
        <f t="array" ref="M44">IF(
    VLOOKUP(
        $A44,
        _xlfn._xlws.FILTER(
            INDIRECT("'"&amp;M$62&amp;"'!A2:G1000"), (INDIRECT("'"&amp;M$62&amp;"'!B2:B1000")=$B44) * (INDIRECT("'"&amp;M$62&amp;"'!C2:C1000")=$C44)
        ),
        5,
        FALSE
    )="",
    "",
    VLOOKUP(
        $A44,
        _xlfn._xlws.FILTER(
            INDIRECT("'"&amp;M$62&amp;"'!A2:G1000"), (INDIRECT("'"&amp;M$62&amp;"'!B2:B1000")=$B44) * (INDIRECT("'"&amp;M$62&amp;"'!C2:C1000")=$C44)
        ),
        7,
        FALSE
    )
)</f>
        <v/>
      </c>
      <c r="N44" s="58">
        <f t="array" ref="N44">IF(
    VLOOKUP(
        $A44,
        _xlfn._xlws.FILTER(
            INDIRECT("'"&amp;N$62&amp;"'!A2:G1000"), (INDIRECT("'"&amp;N$62&amp;"'!B2:B1000")=$B44) * (INDIRECT("'"&amp;N$62&amp;"'!C2:C1000")=$C44)
        ),
        5,
        FALSE
    )="",
    "",
    VLOOKUP(
        $A44,
        _xlfn._xlws.FILTER(
            INDIRECT("'"&amp;N$62&amp;"'!A2:G1000"), (INDIRECT("'"&amp;N$62&amp;"'!B2:B1000")=$B44) * (INDIRECT("'"&amp;N$62&amp;"'!C2:C1000")=$C44)
        ),
        7,
        FALSE
    )
)</f>
        <v/>
      </c>
      <c r="O44" s="58">
        <f t="array" ref="O44">IF(
    VLOOKUP(
        $A44,
        _xlfn._xlws.FILTER(
            INDIRECT("'"&amp;O$62&amp;"'!A2:G1000"), (INDIRECT("'"&amp;O$62&amp;"'!B2:B1000")=$B44) * (INDIRECT("'"&amp;O$62&amp;"'!C2:C1000")=$C44)
        ),
        5,
        FALSE
    )="",
    "",
    VLOOKUP(
        $A44,
        _xlfn._xlws.FILTER(
            INDIRECT("'"&amp;O$62&amp;"'!A2:G1000"), (INDIRECT("'"&amp;O$62&amp;"'!B2:B1000")=$B44) * (INDIRECT("'"&amp;O$62&amp;"'!C2:C1000")=$C44)
        ),
        7,
        FALSE
    )
)</f>
        <v/>
      </c>
      <c r="P44" s="58">
        <f t="array" ref="P44">IF(
    VLOOKUP(
        $A44,
        _xlfn._xlws.FILTER(
            INDIRECT("'"&amp;P$62&amp;"'!A2:G1000"), (INDIRECT("'"&amp;P$62&amp;"'!B2:B1000")=$B44) * (INDIRECT("'"&amp;P$62&amp;"'!C2:C1000")=$C44)
        ),
        5,
        FALSE
    )="",
    "",
    VLOOKUP(
        $A44,
        _xlfn._xlws.FILTER(
            INDIRECT("'"&amp;P$62&amp;"'!A2:G1000"), (INDIRECT("'"&amp;P$62&amp;"'!B2:B1000")=$B44) * (INDIRECT("'"&amp;P$62&amp;"'!C2:C1000")=$C44)
        ),
        7,
        FALSE
    )
)</f>
        <v/>
      </c>
    </row>
    <row r="45">
      <c r="A45" s="28" t="inlineStr">
        <is>
          <t>Londrina</t>
        </is>
      </c>
      <c r="B45" s="58" t="inlineStr">
        <is>
          <t>Jaguariaíva</t>
        </is>
      </c>
      <c r="C45" s="85" t="inlineStr">
        <is>
          <t>01</t>
        </is>
      </c>
      <c r="D45" s="58">
        <f t="array" ref="D45">IF(
    VLOOKUP(
        $A45,
        _xlfn._xlws.FILTER(
            INDIRECT("'"&amp;D$62&amp;"'!A2:G1000"), (INDIRECT("'"&amp;D$62&amp;"'!B2:B1000")=$B45) * (INDIRECT("'"&amp;D$62&amp;"'!C2:C1000")=$C45)
        ),
        5,
        FALSE
    )="",
    "",
    VLOOKUP(
        $A45,
        _xlfn._xlws.FILTER(
            INDIRECT("'"&amp;D$62&amp;"'!A2:G1000"), (INDIRECT("'"&amp;D$62&amp;"'!B2:B1000")=$B45) * (INDIRECT("'"&amp;D$62&amp;"'!C2:C1000")=$C45)
        ),
        7,
        FALSE
    )
)</f>
        <v/>
      </c>
      <c r="E45" s="58">
        <f t="array" ref="E45">IF(
    VLOOKUP(
        $A45,
        _xlfn._xlws.FILTER(
            INDIRECT("'"&amp;E$62&amp;"'!A2:G1000"), (INDIRECT("'"&amp;E$62&amp;"'!B2:B1000")=$B45) * (INDIRECT("'"&amp;E$62&amp;"'!C2:C1000")=$C45)
        ),
        5,
        FALSE
    )="",
    "",
    VLOOKUP(
        $A45,
        _xlfn._xlws.FILTER(
            INDIRECT("'"&amp;E$62&amp;"'!A2:G1000"), (INDIRECT("'"&amp;E$62&amp;"'!B2:B1000")=$B45) * (INDIRECT("'"&amp;E$62&amp;"'!C2:C1000")=$C45)
        ),
        7,
        FALSE
    )
)</f>
        <v/>
      </c>
      <c r="F45" s="58">
        <f t="array" ref="F45">IF(
    VLOOKUP(
        $A45,
        _xlfn._xlws.FILTER(
            INDIRECT("'"&amp;F$62&amp;"'!A2:G1000"), (INDIRECT("'"&amp;F$62&amp;"'!B2:B1000")=$B45) * (INDIRECT("'"&amp;F$62&amp;"'!C2:C1000")=$C45)
        ),
        5,
        FALSE
    )="",
    "",
    VLOOKUP(
        $A45,
        _xlfn._xlws.FILTER(
            INDIRECT("'"&amp;F$62&amp;"'!A2:G1000"), (INDIRECT("'"&amp;F$62&amp;"'!B2:B1000")=$B45) * (INDIRECT("'"&amp;F$62&amp;"'!C2:C1000")=$C45)
        ),
        7,
        FALSE
    )
)</f>
        <v/>
      </c>
      <c r="G45" s="58">
        <f t="array" ref="G45">IF(
    VLOOKUP(
        $A45,
        _xlfn._xlws.FILTER(
            INDIRECT("'"&amp;G$62&amp;"'!A2:G1000"), (INDIRECT("'"&amp;G$62&amp;"'!B2:B1000")=$B45) * (INDIRECT("'"&amp;G$62&amp;"'!C2:C1000")=$C45)
        ),
        5,
        FALSE
    )="",
    "",
    VLOOKUP(
        $A45,
        _xlfn._xlws.FILTER(
            INDIRECT("'"&amp;G$62&amp;"'!A2:G1000"), (INDIRECT("'"&amp;G$62&amp;"'!B2:B1000")=$B45) * (INDIRECT("'"&amp;G$62&amp;"'!C2:C1000")=$C45)
        ),
        7,
        FALSE
    )
)</f>
        <v/>
      </c>
      <c r="H45" s="58">
        <f t="array" ref="H45">IF(
    VLOOKUP(
        $A45,
        _xlfn._xlws.FILTER(
            INDIRECT("'"&amp;H$62&amp;"'!A2:G1000"), (INDIRECT("'"&amp;H$62&amp;"'!B2:B1000")=$B45) * (INDIRECT("'"&amp;H$62&amp;"'!C2:C1000")=$C45)
        ),
        5,
        FALSE
    )="",
    "",
    VLOOKUP(
        $A45,
        _xlfn._xlws.FILTER(
            INDIRECT("'"&amp;H$62&amp;"'!A2:G1000"), (INDIRECT("'"&amp;H$62&amp;"'!B2:B1000")=$B45) * (INDIRECT("'"&amp;H$62&amp;"'!C2:C1000")=$C45)
        ),
        7,
        FALSE
    )
)</f>
        <v/>
      </c>
      <c r="I45" s="58">
        <f t="array" ref="I45">IF(
    VLOOKUP(
        $A45,
        _xlfn._xlws.FILTER(
            INDIRECT("'"&amp;I$62&amp;"'!A2:G1000"), (INDIRECT("'"&amp;I$62&amp;"'!B2:B1000")=$B45) * (INDIRECT("'"&amp;I$62&amp;"'!C2:C1000")=$C45)
        ),
        5,
        FALSE
    )="",
    "",
    VLOOKUP(
        $A45,
        _xlfn._xlws.FILTER(
            INDIRECT("'"&amp;I$62&amp;"'!A2:G1000"), (INDIRECT("'"&amp;I$62&amp;"'!B2:B1000")=$B45) * (INDIRECT("'"&amp;I$62&amp;"'!C2:C1000")=$C45)
        ),
        7,
        FALSE
    )
)</f>
        <v/>
      </c>
      <c r="J45" s="58">
        <f t="array" ref="J45">IF(
    VLOOKUP(
        $A45,
        _xlfn._xlws.FILTER(
            INDIRECT("'"&amp;J$62&amp;"'!A2:G1000"), (INDIRECT("'"&amp;J$62&amp;"'!B2:B1000")=$B45) * (INDIRECT("'"&amp;J$62&amp;"'!C2:C1000")=$C45)
        ),
        5,
        FALSE
    )="",
    "",
    VLOOKUP(
        $A45,
        _xlfn._xlws.FILTER(
            INDIRECT("'"&amp;J$62&amp;"'!A2:G1000"), (INDIRECT("'"&amp;J$62&amp;"'!B2:B1000")=$B45) * (INDIRECT("'"&amp;J$62&amp;"'!C2:C1000")=$C45)
        ),
        7,
        FALSE
    )
)</f>
        <v/>
      </c>
      <c r="K45" s="58">
        <f t="array" ref="K45">IF(
    VLOOKUP(
        $A45,
        _xlfn._xlws.FILTER(
            INDIRECT("'"&amp;K$62&amp;"'!A2:G1000"), (INDIRECT("'"&amp;K$62&amp;"'!B2:B1000")=$B45) * (INDIRECT("'"&amp;K$62&amp;"'!C2:C1000")=$C45)
        ),
        5,
        FALSE
    )="",
    "",
    VLOOKUP(
        $A45,
        _xlfn._xlws.FILTER(
            INDIRECT("'"&amp;K$62&amp;"'!A2:G1000"), (INDIRECT("'"&amp;K$62&amp;"'!B2:B1000")=$B45) * (INDIRECT("'"&amp;K$62&amp;"'!C2:C1000")=$C45)
        ),
        7,
        FALSE
    )
)</f>
        <v/>
      </c>
      <c r="L45" s="58">
        <f t="array" ref="L45">IF(
    VLOOKUP(
        $A45,
        _xlfn._xlws.FILTER(
            INDIRECT("'"&amp;L$62&amp;"'!A2:G1000"), (INDIRECT("'"&amp;L$62&amp;"'!B2:B1000")=$B45) * (INDIRECT("'"&amp;L$62&amp;"'!C2:C1000")=$C45)
        ),
        5,
        FALSE
    )="",
    "",
    VLOOKUP(
        $A45,
        _xlfn._xlws.FILTER(
            INDIRECT("'"&amp;L$62&amp;"'!A2:G1000"), (INDIRECT("'"&amp;L$62&amp;"'!B2:B1000")=$B45) * (INDIRECT("'"&amp;L$62&amp;"'!C2:C1000")=$C45)
        ),
        7,
        FALSE
    )
)</f>
        <v/>
      </c>
      <c r="M45" s="58">
        <f t="array" ref="M45">IF(
    VLOOKUP(
        $A45,
        _xlfn._xlws.FILTER(
            INDIRECT("'"&amp;M$62&amp;"'!A2:G1000"), (INDIRECT("'"&amp;M$62&amp;"'!B2:B1000")=$B45) * (INDIRECT("'"&amp;M$62&amp;"'!C2:C1000")=$C45)
        ),
        5,
        FALSE
    )="",
    "",
    VLOOKUP(
        $A45,
        _xlfn._xlws.FILTER(
            INDIRECT("'"&amp;M$62&amp;"'!A2:G1000"), (INDIRECT("'"&amp;M$62&amp;"'!B2:B1000")=$B45) * (INDIRECT("'"&amp;M$62&amp;"'!C2:C1000")=$C45)
        ),
        7,
        FALSE
    )
)</f>
        <v/>
      </c>
      <c r="N45" s="58">
        <f t="array" ref="N45">IF(
    VLOOKUP(
        $A45,
        _xlfn._xlws.FILTER(
            INDIRECT("'"&amp;N$62&amp;"'!A2:G1000"), (INDIRECT("'"&amp;N$62&amp;"'!B2:B1000")=$B45) * (INDIRECT("'"&amp;N$62&amp;"'!C2:C1000")=$C45)
        ),
        5,
        FALSE
    )="",
    "",
    VLOOKUP(
        $A45,
        _xlfn._xlws.FILTER(
            INDIRECT("'"&amp;N$62&amp;"'!A2:G1000"), (INDIRECT("'"&amp;N$62&amp;"'!B2:B1000")=$B45) * (INDIRECT("'"&amp;N$62&amp;"'!C2:C1000")=$C45)
        ),
        7,
        FALSE
    )
)</f>
        <v/>
      </c>
      <c r="O45" s="58">
        <f t="array" ref="O45">IF(
    VLOOKUP(
        $A45,
        _xlfn._xlws.FILTER(
            INDIRECT("'"&amp;O$62&amp;"'!A2:G1000"), (INDIRECT("'"&amp;O$62&amp;"'!B2:B1000")=$B45) * (INDIRECT("'"&amp;O$62&amp;"'!C2:C1000")=$C45)
        ),
        5,
        FALSE
    )="",
    "",
    VLOOKUP(
        $A45,
        _xlfn._xlws.FILTER(
            INDIRECT("'"&amp;O$62&amp;"'!A2:G1000"), (INDIRECT("'"&amp;O$62&amp;"'!B2:B1000")=$B45) * (INDIRECT("'"&amp;O$62&amp;"'!C2:C1000")=$C45)
        ),
        7,
        FALSE
    )
)</f>
        <v/>
      </c>
      <c r="P45" s="58">
        <f t="array" ref="P45">IF(
    VLOOKUP(
        $A45,
        _xlfn._xlws.FILTER(
            INDIRECT("'"&amp;P$62&amp;"'!A2:G1000"), (INDIRECT("'"&amp;P$62&amp;"'!B2:B1000")=$B45) * (INDIRECT("'"&amp;P$62&amp;"'!C2:C1000")=$C45)
        ),
        5,
        FALSE
    )="",
    "",
    VLOOKUP(
        $A45,
        _xlfn._xlws.FILTER(
            INDIRECT("'"&amp;P$62&amp;"'!A2:G1000"), (INDIRECT("'"&amp;P$62&amp;"'!B2:B1000")=$B45) * (INDIRECT("'"&amp;P$62&amp;"'!C2:C1000")=$C45)
        ),
        7,
        FALSE
    )
)</f>
        <v/>
      </c>
    </row>
    <row r="46">
      <c r="A46" s="28" t="inlineStr">
        <is>
          <t>Londrina</t>
        </is>
      </c>
      <c r="B46" s="58" t="inlineStr">
        <is>
          <t>Ortigueira</t>
        </is>
      </c>
      <c r="C46" s="85" t="inlineStr">
        <is>
          <t>01</t>
        </is>
      </c>
      <c r="D46" s="58">
        <f t="array" ref="D46">IF(
    VLOOKUP(
        $A46,
        _xlfn._xlws.FILTER(
            INDIRECT("'"&amp;D$62&amp;"'!A2:G1000"), (INDIRECT("'"&amp;D$62&amp;"'!B2:B1000")=$B46) * (INDIRECT("'"&amp;D$62&amp;"'!C2:C1000")=$C46)
        ),
        5,
        FALSE
    )="",
    "",
    VLOOKUP(
        $A46,
        _xlfn._xlws.FILTER(
            INDIRECT("'"&amp;D$62&amp;"'!A2:G1000"), (INDIRECT("'"&amp;D$62&amp;"'!B2:B1000")=$B46) * (INDIRECT("'"&amp;D$62&amp;"'!C2:C1000")=$C46)
        ),
        7,
        FALSE
    )
)</f>
        <v/>
      </c>
      <c r="E46" s="58">
        <f t="array" ref="E46">IF(
    VLOOKUP(
        $A46,
        _xlfn._xlws.FILTER(
            INDIRECT("'"&amp;E$62&amp;"'!A2:G1000"), (INDIRECT("'"&amp;E$62&amp;"'!B2:B1000")=$B46) * (INDIRECT("'"&amp;E$62&amp;"'!C2:C1000")=$C46)
        ),
        5,
        FALSE
    )="",
    "",
    VLOOKUP(
        $A46,
        _xlfn._xlws.FILTER(
            INDIRECT("'"&amp;E$62&amp;"'!A2:G1000"), (INDIRECT("'"&amp;E$62&amp;"'!B2:B1000")=$B46) * (INDIRECT("'"&amp;E$62&amp;"'!C2:C1000")=$C46)
        ),
        7,
        FALSE
    )
)</f>
        <v/>
      </c>
      <c r="F46" s="58">
        <f t="array" ref="F46">IF(
    VLOOKUP(
        $A46,
        _xlfn._xlws.FILTER(
            INDIRECT("'"&amp;F$62&amp;"'!A2:G1000"), (INDIRECT("'"&amp;F$62&amp;"'!B2:B1000")=$B46) * (INDIRECT("'"&amp;F$62&amp;"'!C2:C1000")=$C46)
        ),
        5,
        FALSE
    )="",
    "",
    VLOOKUP(
        $A46,
        _xlfn._xlws.FILTER(
            INDIRECT("'"&amp;F$62&amp;"'!A2:G1000"), (INDIRECT("'"&amp;F$62&amp;"'!B2:B1000")=$B46) * (INDIRECT("'"&amp;F$62&amp;"'!C2:C1000")=$C46)
        ),
        7,
        FALSE
    )
)</f>
        <v/>
      </c>
      <c r="G46" s="58">
        <f t="array" ref="G46">IF(
    VLOOKUP(
        $A46,
        _xlfn._xlws.FILTER(
            INDIRECT("'"&amp;G$62&amp;"'!A2:G1000"), (INDIRECT("'"&amp;G$62&amp;"'!B2:B1000")=$B46) * (INDIRECT("'"&amp;G$62&amp;"'!C2:C1000")=$C46)
        ),
        5,
        FALSE
    )="",
    "",
    VLOOKUP(
        $A46,
        _xlfn._xlws.FILTER(
            INDIRECT("'"&amp;G$62&amp;"'!A2:G1000"), (INDIRECT("'"&amp;G$62&amp;"'!B2:B1000")=$B46) * (INDIRECT("'"&amp;G$62&amp;"'!C2:C1000")=$C46)
        ),
        7,
        FALSE
    )
)</f>
        <v/>
      </c>
      <c r="H46" s="58">
        <f t="array" ref="H46">IF(
    VLOOKUP(
        $A46,
        _xlfn._xlws.FILTER(
            INDIRECT("'"&amp;H$62&amp;"'!A2:G1000"), (INDIRECT("'"&amp;H$62&amp;"'!B2:B1000")=$B46) * (INDIRECT("'"&amp;H$62&amp;"'!C2:C1000")=$C46)
        ),
        5,
        FALSE
    )="",
    "",
    VLOOKUP(
        $A46,
        _xlfn._xlws.FILTER(
            INDIRECT("'"&amp;H$62&amp;"'!A2:G1000"), (INDIRECT("'"&amp;H$62&amp;"'!B2:B1000")=$B46) * (INDIRECT("'"&amp;H$62&amp;"'!C2:C1000")=$C46)
        ),
        7,
        FALSE
    )
)</f>
        <v/>
      </c>
      <c r="I46" s="58">
        <f t="array" ref="I46">IF(
    VLOOKUP(
        $A46,
        _xlfn._xlws.FILTER(
            INDIRECT("'"&amp;I$62&amp;"'!A2:G1000"), (INDIRECT("'"&amp;I$62&amp;"'!B2:B1000")=$B46) * (INDIRECT("'"&amp;I$62&amp;"'!C2:C1000")=$C46)
        ),
        5,
        FALSE
    )="",
    "",
    VLOOKUP(
        $A46,
        _xlfn._xlws.FILTER(
            INDIRECT("'"&amp;I$62&amp;"'!A2:G1000"), (INDIRECT("'"&amp;I$62&amp;"'!B2:B1000")=$B46) * (INDIRECT("'"&amp;I$62&amp;"'!C2:C1000")=$C46)
        ),
        7,
        FALSE
    )
)</f>
        <v/>
      </c>
      <c r="J46" s="58">
        <f t="array" ref="J46">IF(
    VLOOKUP(
        $A46,
        _xlfn._xlws.FILTER(
            INDIRECT("'"&amp;J$62&amp;"'!A2:G1000"), (INDIRECT("'"&amp;J$62&amp;"'!B2:B1000")=$B46) * (INDIRECT("'"&amp;J$62&amp;"'!C2:C1000")=$C46)
        ),
        5,
        FALSE
    )="",
    "",
    VLOOKUP(
        $A46,
        _xlfn._xlws.FILTER(
            INDIRECT("'"&amp;J$62&amp;"'!A2:G1000"), (INDIRECT("'"&amp;J$62&amp;"'!B2:B1000")=$B46) * (INDIRECT("'"&amp;J$62&amp;"'!C2:C1000")=$C46)
        ),
        7,
        FALSE
    )
)</f>
        <v/>
      </c>
      <c r="K46" s="58">
        <f t="array" ref="K46">IF(
    VLOOKUP(
        $A46,
        _xlfn._xlws.FILTER(
            INDIRECT("'"&amp;K$62&amp;"'!A2:G1000"), (INDIRECT("'"&amp;K$62&amp;"'!B2:B1000")=$B46) * (INDIRECT("'"&amp;K$62&amp;"'!C2:C1000")=$C46)
        ),
        5,
        FALSE
    )="",
    "",
    VLOOKUP(
        $A46,
        _xlfn._xlws.FILTER(
            INDIRECT("'"&amp;K$62&amp;"'!A2:G1000"), (INDIRECT("'"&amp;K$62&amp;"'!B2:B1000")=$B46) * (INDIRECT("'"&amp;K$62&amp;"'!C2:C1000")=$C46)
        ),
        7,
        FALSE
    )
)</f>
        <v/>
      </c>
      <c r="L46" s="58">
        <f t="array" ref="L46">IF(
    VLOOKUP(
        $A46,
        _xlfn._xlws.FILTER(
            INDIRECT("'"&amp;L$62&amp;"'!A2:G1000"), (INDIRECT("'"&amp;L$62&amp;"'!B2:B1000")=$B46) * (INDIRECT("'"&amp;L$62&amp;"'!C2:C1000")=$C46)
        ),
        5,
        FALSE
    )="",
    "",
    VLOOKUP(
        $A46,
        _xlfn._xlws.FILTER(
            INDIRECT("'"&amp;L$62&amp;"'!A2:G1000"), (INDIRECT("'"&amp;L$62&amp;"'!B2:B1000")=$B46) * (INDIRECT("'"&amp;L$62&amp;"'!C2:C1000")=$C46)
        ),
        7,
        FALSE
    )
)</f>
        <v/>
      </c>
      <c r="M46" s="58">
        <f t="array" ref="M46">IF(
    VLOOKUP(
        $A46,
        _xlfn._xlws.FILTER(
            INDIRECT("'"&amp;M$62&amp;"'!A2:G1000"), (INDIRECT("'"&amp;M$62&amp;"'!B2:B1000")=$B46) * (INDIRECT("'"&amp;M$62&amp;"'!C2:C1000")=$C46)
        ),
        5,
        FALSE
    )="",
    "",
    VLOOKUP(
        $A46,
        _xlfn._xlws.FILTER(
            INDIRECT("'"&amp;M$62&amp;"'!A2:G1000"), (INDIRECT("'"&amp;M$62&amp;"'!B2:B1000")=$B46) * (INDIRECT("'"&amp;M$62&amp;"'!C2:C1000")=$C46)
        ),
        7,
        FALSE
    )
)</f>
        <v/>
      </c>
      <c r="N46" s="58">
        <f t="array" ref="N46">IF(
    VLOOKUP(
        $A46,
        _xlfn._xlws.FILTER(
            INDIRECT("'"&amp;N$62&amp;"'!A2:G1000"), (INDIRECT("'"&amp;N$62&amp;"'!B2:B1000")=$B46) * (INDIRECT("'"&amp;N$62&amp;"'!C2:C1000")=$C46)
        ),
        5,
        FALSE
    )="",
    "",
    VLOOKUP(
        $A46,
        _xlfn._xlws.FILTER(
            INDIRECT("'"&amp;N$62&amp;"'!A2:G1000"), (INDIRECT("'"&amp;N$62&amp;"'!B2:B1000")=$B46) * (INDIRECT("'"&amp;N$62&amp;"'!C2:C1000")=$C46)
        ),
        7,
        FALSE
    )
)</f>
        <v/>
      </c>
      <c r="O46" s="58">
        <f t="array" ref="O46">IF(
    VLOOKUP(
        $A46,
        _xlfn._xlws.FILTER(
            INDIRECT("'"&amp;O$62&amp;"'!A2:G1000"), (INDIRECT("'"&amp;O$62&amp;"'!B2:B1000")=$B46) * (INDIRECT("'"&amp;O$62&amp;"'!C2:C1000")=$C46)
        ),
        5,
        FALSE
    )="",
    "",
    VLOOKUP(
        $A46,
        _xlfn._xlws.FILTER(
            INDIRECT("'"&amp;O$62&amp;"'!A2:G1000"), (INDIRECT("'"&amp;O$62&amp;"'!B2:B1000")=$B46) * (INDIRECT("'"&amp;O$62&amp;"'!C2:C1000")=$C46)
        ),
        7,
        FALSE
    )
)</f>
        <v/>
      </c>
      <c r="P46" s="58">
        <f t="array" ref="P46">IF(
    VLOOKUP(
        $A46,
        _xlfn._xlws.FILTER(
            INDIRECT("'"&amp;P$62&amp;"'!A2:G1000"), (INDIRECT("'"&amp;P$62&amp;"'!B2:B1000")=$B46) * (INDIRECT("'"&amp;P$62&amp;"'!C2:C1000")=$C46)
        ),
        5,
        FALSE
    )="",
    "",
    VLOOKUP(
        $A46,
        _xlfn._xlws.FILTER(
            INDIRECT("'"&amp;P$62&amp;"'!A2:G1000"), (INDIRECT("'"&amp;P$62&amp;"'!B2:B1000")=$B46) * (INDIRECT("'"&amp;P$62&amp;"'!C2:C1000")=$C46)
        ),
        7,
        FALSE
    )
)</f>
        <v/>
      </c>
    </row>
    <row r="47">
      <c r="A47" s="28" t="inlineStr">
        <is>
          <t>Londrina</t>
        </is>
      </c>
      <c r="B47" s="58" t="inlineStr">
        <is>
          <t>Ribeirão Claro</t>
        </is>
      </c>
      <c r="C47" s="85" t="inlineStr">
        <is>
          <t>01</t>
        </is>
      </c>
      <c r="D47" s="58">
        <f t="array" ref="D47">IF(
    VLOOKUP(
        $A47,
        _xlfn._xlws.FILTER(
            INDIRECT("'"&amp;D$62&amp;"'!A2:G1000"), (INDIRECT("'"&amp;D$62&amp;"'!B2:B1000")=$B47) * (INDIRECT("'"&amp;D$62&amp;"'!C2:C1000")=$C47)
        ),
        5,
        FALSE
    )="",
    "",
    VLOOKUP(
        $A47,
        _xlfn._xlws.FILTER(
            INDIRECT("'"&amp;D$62&amp;"'!A2:G1000"), (INDIRECT("'"&amp;D$62&amp;"'!B2:B1000")=$B47) * (INDIRECT("'"&amp;D$62&amp;"'!C2:C1000")=$C47)
        ),
        7,
        FALSE
    )
)</f>
        <v/>
      </c>
      <c r="E47" s="58">
        <f t="array" ref="E47">IF(
    VLOOKUP(
        $A47,
        _xlfn._xlws.FILTER(
            INDIRECT("'"&amp;E$62&amp;"'!A2:G1000"), (INDIRECT("'"&amp;E$62&amp;"'!B2:B1000")=$B47) * (INDIRECT("'"&amp;E$62&amp;"'!C2:C1000")=$C47)
        ),
        5,
        FALSE
    )="",
    "",
    VLOOKUP(
        $A47,
        _xlfn._xlws.FILTER(
            INDIRECT("'"&amp;E$62&amp;"'!A2:G1000"), (INDIRECT("'"&amp;E$62&amp;"'!B2:B1000")=$B47) * (INDIRECT("'"&amp;E$62&amp;"'!C2:C1000")=$C47)
        ),
        7,
        FALSE
    )
)</f>
        <v/>
      </c>
      <c r="F47" s="58">
        <f t="array" ref="F47">IF(
    VLOOKUP(
        $A47,
        _xlfn._xlws.FILTER(
            INDIRECT("'"&amp;F$62&amp;"'!A2:G1000"), (INDIRECT("'"&amp;F$62&amp;"'!B2:B1000")=$B47) * (INDIRECT("'"&amp;F$62&amp;"'!C2:C1000")=$C47)
        ),
        5,
        FALSE
    )="",
    "",
    VLOOKUP(
        $A47,
        _xlfn._xlws.FILTER(
            INDIRECT("'"&amp;F$62&amp;"'!A2:G1000"), (INDIRECT("'"&amp;F$62&amp;"'!B2:B1000")=$B47) * (INDIRECT("'"&amp;F$62&amp;"'!C2:C1000")=$C47)
        ),
        7,
        FALSE
    )
)</f>
        <v/>
      </c>
      <c r="G47" s="58">
        <f t="array" ref="G47">IF(
    VLOOKUP(
        $A47,
        _xlfn._xlws.FILTER(
            INDIRECT("'"&amp;G$62&amp;"'!A2:G1000"), (INDIRECT("'"&amp;G$62&amp;"'!B2:B1000")=$B47) * (INDIRECT("'"&amp;G$62&amp;"'!C2:C1000")=$C47)
        ),
        5,
        FALSE
    )="",
    "",
    VLOOKUP(
        $A47,
        _xlfn._xlws.FILTER(
            INDIRECT("'"&amp;G$62&amp;"'!A2:G1000"), (INDIRECT("'"&amp;G$62&amp;"'!B2:B1000")=$B47) * (INDIRECT("'"&amp;G$62&amp;"'!C2:C1000")=$C47)
        ),
        7,
        FALSE
    )
)</f>
        <v/>
      </c>
      <c r="H47" s="58">
        <f t="array" ref="H47">IF(
    VLOOKUP(
        $A47,
        _xlfn._xlws.FILTER(
            INDIRECT("'"&amp;H$62&amp;"'!A2:G1000"), (INDIRECT("'"&amp;H$62&amp;"'!B2:B1000")=$B47) * (INDIRECT("'"&amp;H$62&amp;"'!C2:C1000")=$C47)
        ),
        5,
        FALSE
    )="",
    "",
    VLOOKUP(
        $A47,
        _xlfn._xlws.FILTER(
            INDIRECT("'"&amp;H$62&amp;"'!A2:G1000"), (INDIRECT("'"&amp;H$62&amp;"'!B2:B1000")=$B47) * (INDIRECT("'"&amp;H$62&amp;"'!C2:C1000")=$C47)
        ),
        7,
        FALSE
    )
)</f>
        <v/>
      </c>
      <c r="I47" s="58">
        <f t="array" ref="I47">IF(
    VLOOKUP(
        $A47,
        _xlfn._xlws.FILTER(
            INDIRECT("'"&amp;I$62&amp;"'!A2:G1000"), (INDIRECT("'"&amp;I$62&amp;"'!B2:B1000")=$B47) * (INDIRECT("'"&amp;I$62&amp;"'!C2:C1000")=$C47)
        ),
        5,
        FALSE
    )="",
    "",
    VLOOKUP(
        $A47,
        _xlfn._xlws.FILTER(
            INDIRECT("'"&amp;I$62&amp;"'!A2:G1000"), (INDIRECT("'"&amp;I$62&amp;"'!B2:B1000")=$B47) * (INDIRECT("'"&amp;I$62&amp;"'!C2:C1000")=$C47)
        ),
        7,
        FALSE
    )
)</f>
        <v/>
      </c>
      <c r="J47" s="58">
        <f t="array" ref="J47">IF(
    VLOOKUP(
        $A47,
        _xlfn._xlws.FILTER(
            INDIRECT("'"&amp;J$62&amp;"'!A2:G1000"), (INDIRECT("'"&amp;J$62&amp;"'!B2:B1000")=$B47) * (INDIRECT("'"&amp;J$62&amp;"'!C2:C1000")=$C47)
        ),
        5,
        FALSE
    )="",
    "",
    VLOOKUP(
        $A47,
        _xlfn._xlws.FILTER(
            INDIRECT("'"&amp;J$62&amp;"'!A2:G1000"), (INDIRECT("'"&amp;J$62&amp;"'!B2:B1000")=$B47) * (INDIRECT("'"&amp;J$62&amp;"'!C2:C1000")=$C47)
        ),
        7,
        FALSE
    )
)</f>
        <v/>
      </c>
      <c r="K47" s="58">
        <f t="array" ref="K47">IF(
    VLOOKUP(
        $A47,
        _xlfn._xlws.FILTER(
            INDIRECT("'"&amp;K$62&amp;"'!A2:G1000"), (INDIRECT("'"&amp;K$62&amp;"'!B2:B1000")=$B47) * (INDIRECT("'"&amp;K$62&amp;"'!C2:C1000")=$C47)
        ),
        5,
        FALSE
    )="",
    "",
    VLOOKUP(
        $A47,
        _xlfn._xlws.FILTER(
            INDIRECT("'"&amp;K$62&amp;"'!A2:G1000"), (INDIRECT("'"&amp;K$62&amp;"'!B2:B1000")=$B47) * (INDIRECT("'"&amp;K$62&amp;"'!C2:C1000")=$C47)
        ),
        7,
        FALSE
    )
)</f>
        <v/>
      </c>
      <c r="L47" s="58">
        <f t="array" ref="L47">IF(
    VLOOKUP(
        $A47,
        _xlfn._xlws.FILTER(
            INDIRECT("'"&amp;L$62&amp;"'!A2:G1000"), (INDIRECT("'"&amp;L$62&amp;"'!B2:B1000")=$B47) * (INDIRECT("'"&amp;L$62&amp;"'!C2:C1000")=$C47)
        ),
        5,
        FALSE
    )="",
    "",
    VLOOKUP(
        $A47,
        _xlfn._xlws.FILTER(
            INDIRECT("'"&amp;L$62&amp;"'!A2:G1000"), (INDIRECT("'"&amp;L$62&amp;"'!B2:B1000")=$B47) * (INDIRECT("'"&amp;L$62&amp;"'!C2:C1000")=$C47)
        ),
        7,
        FALSE
    )
)</f>
        <v/>
      </c>
      <c r="M47" s="58">
        <f t="array" ref="M47">IF(
    VLOOKUP(
        $A47,
        _xlfn._xlws.FILTER(
            INDIRECT("'"&amp;M$62&amp;"'!A2:G1000"), (INDIRECT("'"&amp;M$62&amp;"'!B2:B1000")=$B47) * (INDIRECT("'"&amp;M$62&amp;"'!C2:C1000")=$C47)
        ),
        5,
        FALSE
    )="",
    "",
    VLOOKUP(
        $A47,
        _xlfn._xlws.FILTER(
            INDIRECT("'"&amp;M$62&amp;"'!A2:G1000"), (INDIRECT("'"&amp;M$62&amp;"'!B2:B1000")=$B47) * (INDIRECT("'"&amp;M$62&amp;"'!C2:C1000")=$C47)
        ),
        7,
        FALSE
    )
)</f>
        <v/>
      </c>
      <c r="N47" s="58">
        <f t="array" ref="N47">IF(
    VLOOKUP(
        $A47,
        _xlfn._xlws.FILTER(
            INDIRECT("'"&amp;N$62&amp;"'!A2:G1000"), (INDIRECT("'"&amp;N$62&amp;"'!B2:B1000")=$B47) * (INDIRECT("'"&amp;N$62&amp;"'!C2:C1000")=$C47)
        ),
        5,
        FALSE
    )="",
    "",
    VLOOKUP(
        $A47,
        _xlfn._xlws.FILTER(
            INDIRECT("'"&amp;N$62&amp;"'!A2:G1000"), (INDIRECT("'"&amp;N$62&amp;"'!B2:B1000")=$B47) * (INDIRECT("'"&amp;N$62&amp;"'!C2:C1000")=$C47)
        ),
        7,
        FALSE
    )
)</f>
        <v/>
      </c>
      <c r="O47" s="58">
        <f t="array" ref="O47">IF(
    VLOOKUP(
        $A47,
        _xlfn._xlws.FILTER(
            INDIRECT("'"&amp;O$62&amp;"'!A2:G1000"), (INDIRECT("'"&amp;O$62&amp;"'!B2:B1000")=$B47) * (INDIRECT("'"&amp;O$62&amp;"'!C2:C1000")=$C47)
        ),
        5,
        FALSE
    )="",
    "",
    VLOOKUP(
        $A47,
        _xlfn._xlws.FILTER(
            INDIRECT("'"&amp;O$62&amp;"'!A2:G1000"), (INDIRECT("'"&amp;O$62&amp;"'!B2:B1000")=$B47) * (INDIRECT("'"&amp;O$62&amp;"'!C2:C1000")=$C47)
        ),
        7,
        FALSE
    )
)</f>
        <v/>
      </c>
      <c r="P47" s="58">
        <f t="array" ref="P47">IF(
    VLOOKUP(
        $A47,
        _xlfn._xlws.FILTER(
            INDIRECT("'"&amp;P$62&amp;"'!A2:G1000"), (INDIRECT("'"&amp;P$62&amp;"'!B2:B1000")=$B47) * (INDIRECT("'"&amp;P$62&amp;"'!C2:C1000")=$C47)
        ),
        5,
        FALSE
    )="",
    "",
    VLOOKUP(
        $A47,
        _xlfn._xlws.FILTER(
            INDIRECT("'"&amp;P$62&amp;"'!A2:G1000"), (INDIRECT("'"&amp;P$62&amp;"'!B2:B1000")=$B47) * (INDIRECT("'"&amp;P$62&amp;"'!C2:C1000")=$C47)
        ),
        7,
        FALSE
    )
)</f>
        <v/>
      </c>
    </row>
    <row r="48">
      <c r="A48" s="28" t="inlineStr">
        <is>
          <t>Londrina</t>
        </is>
      </c>
      <c r="B48" s="58" t="inlineStr">
        <is>
          <t>Santa Mariana</t>
        </is>
      </c>
      <c r="C48" s="85" t="inlineStr">
        <is>
          <t>01</t>
        </is>
      </c>
      <c r="D48" s="58">
        <f t="array" ref="D48">IF(
    VLOOKUP(
        $A48,
        _xlfn._xlws.FILTER(
            INDIRECT("'"&amp;D$62&amp;"'!A2:G1000"), (INDIRECT("'"&amp;D$62&amp;"'!B2:B1000")=$B48) * (INDIRECT("'"&amp;D$62&amp;"'!C2:C1000")=$C48)
        ),
        5,
        FALSE
    )="",
    "",
    VLOOKUP(
        $A48,
        _xlfn._xlws.FILTER(
            INDIRECT("'"&amp;D$62&amp;"'!A2:G1000"), (INDIRECT("'"&amp;D$62&amp;"'!B2:B1000")=$B48) * (INDIRECT("'"&amp;D$62&amp;"'!C2:C1000")=$C48)
        ),
        7,
        FALSE
    )
)</f>
        <v/>
      </c>
      <c r="E48" s="58">
        <f t="array" ref="E48">IF(
    VLOOKUP(
        $A48,
        _xlfn._xlws.FILTER(
            INDIRECT("'"&amp;E$62&amp;"'!A2:G1000"), (INDIRECT("'"&amp;E$62&amp;"'!B2:B1000")=$B48) * (INDIRECT("'"&amp;E$62&amp;"'!C2:C1000")=$C48)
        ),
        5,
        FALSE
    )="",
    "",
    VLOOKUP(
        $A48,
        _xlfn._xlws.FILTER(
            INDIRECT("'"&amp;E$62&amp;"'!A2:G1000"), (INDIRECT("'"&amp;E$62&amp;"'!B2:B1000")=$B48) * (INDIRECT("'"&amp;E$62&amp;"'!C2:C1000")=$C48)
        ),
        7,
        FALSE
    )
)</f>
        <v/>
      </c>
      <c r="F48" s="58">
        <f t="array" ref="F48">IF(
    VLOOKUP(
        $A48,
        _xlfn._xlws.FILTER(
            INDIRECT("'"&amp;F$62&amp;"'!A2:G1000"), (INDIRECT("'"&amp;F$62&amp;"'!B2:B1000")=$B48) * (INDIRECT("'"&amp;F$62&amp;"'!C2:C1000")=$C48)
        ),
        5,
        FALSE
    )="",
    "",
    VLOOKUP(
        $A48,
        _xlfn._xlws.FILTER(
            INDIRECT("'"&amp;F$62&amp;"'!A2:G1000"), (INDIRECT("'"&amp;F$62&amp;"'!B2:B1000")=$B48) * (INDIRECT("'"&amp;F$62&amp;"'!C2:C1000")=$C48)
        ),
        7,
        FALSE
    )
)</f>
        <v/>
      </c>
      <c r="G48" s="58">
        <f t="array" ref="G48">IF(
    VLOOKUP(
        $A48,
        _xlfn._xlws.FILTER(
            INDIRECT("'"&amp;G$62&amp;"'!A2:G1000"), (INDIRECT("'"&amp;G$62&amp;"'!B2:B1000")=$B48) * (INDIRECT("'"&amp;G$62&amp;"'!C2:C1000")=$C48)
        ),
        5,
        FALSE
    )="",
    "",
    VLOOKUP(
        $A48,
        _xlfn._xlws.FILTER(
            INDIRECT("'"&amp;G$62&amp;"'!A2:G1000"), (INDIRECT("'"&amp;G$62&amp;"'!B2:B1000")=$B48) * (INDIRECT("'"&amp;G$62&amp;"'!C2:C1000")=$C48)
        ),
        7,
        FALSE
    )
)</f>
        <v/>
      </c>
      <c r="H48" s="58">
        <f t="array" ref="H48">IF(
    VLOOKUP(
        $A48,
        _xlfn._xlws.FILTER(
            INDIRECT("'"&amp;H$62&amp;"'!A2:G1000"), (INDIRECT("'"&amp;H$62&amp;"'!B2:B1000")=$B48) * (INDIRECT("'"&amp;H$62&amp;"'!C2:C1000")=$C48)
        ),
        5,
        FALSE
    )="",
    "",
    VLOOKUP(
        $A48,
        _xlfn._xlws.FILTER(
            INDIRECT("'"&amp;H$62&amp;"'!A2:G1000"), (INDIRECT("'"&amp;H$62&amp;"'!B2:B1000")=$B48) * (INDIRECT("'"&amp;H$62&amp;"'!C2:C1000")=$C48)
        ),
        7,
        FALSE
    )
)</f>
        <v/>
      </c>
      <c r="I48" s="58">
        <f t="array" ref="I48">IF(
    VLOOKUP(
        $A48,
        _xlfn._xlws.FILTER(
            INDIRECT("'"&amp;I$62&amp;"'!A2:G1000"), (INDIRECT("'"&amp;I$62&amp;"'!B2:B1000")=$B48) * (INDIRECT("'"&amp;I$62&amp;"'!C2:C1000")=$C48)
        ),
        5,
        FALSE
    )="",
    "",
    VLOOKUP(
        $A48,
        _xlfn._xlws.FILTER(
            INDIRECT("'"&amp;I$62&amp;"'!A2:G1000"), (INDIRECT("'"&amp;I$62&amp;"'!B2:B1000")=$B48) * (INDIRECT("'"&amp;I$62&amp;"'!C2:C1000")=$C48)
        ),
        7,
        FALSE
    )
)</f>
        <v/>
      </c>
      <c r="J48" s="58">
        <f t="array" ref="J48">IF(
    VLOOKUP(
        $A48,
        _xlfn._xlws.FILTER(
            INDIRECT("'"&amp;J$62&amp;"'!A2:G1000"), (INDIRECT("'"&amp;J$62&amp;"'!B2:B1000")=$B48) * (INDIRECT("'"&amp;J$62&amp;"'!C2:C1000")=$C48)
        ),
        5,
        FALSE
    )="",
    "",
    VLOOKUP(
        $A48,
        _xlfn._xlws.FILTER(
            INDIRECT("'"&amp;J$62&amp;"'!A2:G1000"), (INDIRECT("'"&amp;J$62&amp;"'!B2:B1000")=$B48) * (INDIRECT("'"&amp;J$62&amp;"'!C2:C1000")=$C48)
        ),
        7,
        FALSE
    )
)</f>
        <v/>
      </c>
      <c r="K48" s="58">
        <f t="array" ref="K48">IF(
    VLOOKUP(
        $A48,
        _xlfn._xlws.FILTER(
            INDIRECT("'"&amp;K$62&amp;"'!A2:G1000"), (INDIRECT("'"&amp;K$62&amp;"'!B2:B1000")=$B48) * (INDIRECT("'"&amp;K$62&amp;"'!C2:C1000")=$C48)
        ),
        5,
        FALSE
    )="",
    "",
    VLOOKUP(
        $A48,
        _xlfn._xlws.FILTER(
            INDIRECT("'"&amp;K$62&amp;"'!A2:G1000"), (INDIRECT("'"&amp;K$62&amp;"'!B2:B1000")=$B48) * (INDIRECT("'"&amp;K$62&amp;"'!C2:C1000")=$C48)
        ),
        7,
        FALSE
    )
)</f>
        <v/>
      </c>
      <c r="L48" s="58">
        <f t="array" ref="L48">IF(
    VLOOKUP(
        $A48,
        _xlfn._xlws.FILTER(
            INDIRECT("'"&amp;L$62&amp;"'!A2:G1000"), (INDIRECT("'"&amp;L$62&amp;"'!B2:B1000")=$B48) * (INDIRECT("'"&amp;L$62&amp;"'!C2:C1000")=$C48)
        ),
        5,
        FALSE
    )="",
    "",
    VLOOKUP(
        $A48,
        _xlfn._xlws.FILTER(
            INDIRECT("'"&amp;L$62&amp;"'!A2:G1000"), (INDIRECT("'"&amp;L$62&amp;"'!B2:B1000")=$B48) * (INDIRECT("'"&amp;L$62&amp;"'!C2:C1000")=$C48)
        ),
        7,
        FALSE
    )
)</f>
        <v/>
      </c>
      <c r="M48" s="58">
        <f t="array" ref="M48">IF(
    VLOOKUP(
        $A48,
        _xlfn._xlws.FILTER(
            INDIRECT("'"&amp;M$62&amp;"'!A2:G1000"), (INDIRECT("'"&amp;M$62&amp;"'!B2:B1000")=$B48) * (INDIRECT("'"&amp;M$62&amp;"'!C2:C1000")=$C48)
        ),
        5,
        FALSE
    )="",
    "",
    VLOOKUP(
        $A48,
        _xlfn._xlws.FILTER(
            INDIRECT("'"&amp;M$62&amp;"'!A2:G1000"), (INDIRECT("'"&amp;M$62&amp;"'!B2:B1000")=$B48) * (INDIRECT("'"&amp;M$62&amp;"'!C2:C1000")=$C48)
        ),
        7,
        FALSE
    )
)</f>
        <v/>
      </c>
      <c r="N48" s="58">
        <f t="array" ref="N48">IF(
    VLOOKUP(
        $A48,
        _xlfn._xlws.FILTER(
            INDIRECT("'"&amp;N$62&amp;"'!A2:G1000"), (INDIRECT("'"&amp;N$62&amp;"'!B2:B1000")=$B48) * (INDIRECT("'"&amp;N$62&amp;"'!C2:C1000")=$C48)
        ),
        5,
        FALSE
    )="",
    "",
    VLOOKUP(
        $A48,
        _xlfn._xlws.FILTER(
            INDIRECT("'"&amp;N$62&amp;"'!A2:G1000"), (INDIRECT("'"&amp;N$62&amp;"'!B2:B1000")=$B48) * (INDIRECT("'"&amp;N$62&amp;"'!C2:C1000")=$C48)
        ),
        7,
        FALSE
    )
)</f>
        <v/>
      </c>
      <c r="O48" s="58">
        <f t="array" ref="O48">IF(
    VLOOKUP(
        $A48,
        _xlfn._xlws.FILTER(
            INDIRECT("'"&amp;O$62&amp;"'!A2:G1000"), (INDIRECT("'"&amp;O$62&amp;"'!B2:B1000")=$B48) * (INDIRECT("'"&amp;O$62&amp;"'!C2:C1000")=$C48)
        ),
        5,
        FALSE
    )="",
    "",
    VLOOKUP(
        $A48,
        _xlfn._xlws.FILTER(
            INDIRECT("'"&amp;O$62&amp;"'!A2:G1000"), (INDIRECT("'"&amp;O$62&amp;"'!B2:B1000")=$B48) * (INDIRECT("'"&amp;O$62&amp;"'!C2:C1000")=$C48)
        ),
        7,
        FALSE
    )
)</f>
        <v/>
      </c>
      <c r="P48" s="58">
        <f t="array" ref="P48">IF(
    VLOOKUP(
        $A48,
        _xlfn._xlws.FILTER(
            INDIRECT("'"&amp;P$62&amp;"'!A2:G1000"), (INDIRECT("'"&amp;P$62&amp;"'!B2:B1000")=$B48) * (INDIRECT("'"&amp;P$62&amp;"'!C2:C1000")=$C48)
        ),
        5,
        FALSE
    )="",
    "",
    VLOOKUP(
        $A48,
        _xlfn._xlws.FILTER(
            INDIRECT("'"&amp;P$62&amp;"'!A2:G1000"), (INDIRECT("'"&amp;P$62&amp;"'!B2:B1000")=$B48) * (INDIRECT("'"&amp;P$62&amp;"'!C2:C1000")=$C48)
        ),
        7,
        FALSE
    )
)</f>
        <v/>
      </c>
    </row>
    <row r="49">
      <c r="A49" s="28" t="inlineStr">
        <is>
          <t>Londrina</t>
        </is>
      </c>
      <c r="B49" s="58" t="inlineStr">
        <is>
          <t>Santana Do Itararé</t>
        </is>
      </c>
      <c r="C49" s="85" t="inlineStr">
        <is>
          <t>01</t>
        </is>
      </c>
      <c r="D49" s="58">
        <f t="array" ref="D49">IF(
    VLOOKUP(
        $A49,
        _xlfn._xlws.FILTER(
            INDIRECT("'"&amp;D$62&amp;"'!A2:G1000"), (INDIRECT("'"&amp;D$62&amp;"'!B2:B1000")=$B49) * (INDIRECT("'"&amp;D$62&amp;"'!C2:C1000")=$C49)
        ),
        5,
        FALSE
    )="",
    "",
    VLOOKUP(
        $A49,
        _xlfn._xlws.FILTER(
            INDIRECT("'"&amp;D$62&amp;"'!A2:G1000"), (INDIRECT("'"&amp;D$62&amp;"'!B2:B1000")=$B49) * (INDIRECT("'"&amp;D$62&amp;"'!C2:C1000")=$C49)
        ),
        7,
        FALSE
    )
)</f>
        <v/>
      </c>
      <c r="E49" s="58">
        <f t="array" ref="E49">IF(
    VLOOKUP(
        $A49,
        _xlfn._xlws.FILTER(
            INDIRECT("'"&amp;E$62&amp;"'!A2:G1000"), (INDIRECT("'"&amp;E$62&amp;"'!B2:B1000")=$B49) * (INDIRECT("'"&amp;E$62&amp;"'!C2:C1000")=$C49)
        ),
        5,
        FALSE
    )="",
    "",
    VLOOKUP(
        $A49,
        _xlfn._xlws.FILTER(
            INDIRECT("'"&amp;E$62&amp;"'!A2:G1000"), (INDIRECT("'"&amp;E$62&amp;"'!B2:B1000")=$B49) * (INDIRECT("'"&amp;E$62&amp;"'!C2:C1000")=$C49)
        ),
        7,
        FALSE
    )
)</f>
        <v/>
      </c>
      <c r="F49" s="58">
        <f t="array" ref="F49">IF(
    VLOOKUP(
        $A49,
        _xlfn._xlws.FILTER(
            INDIRECT("'"&amp;F$62&amp;"'!A2:G1000"), (INDIRECT("'"&amp;F$62&amp;"'!B2:B1000")=$B49) * (INDIRECT("'"&amp;F$62&amp;"'!C2:C1000")=$C49)
        ),
        5,
        FALSE
    )="",
    "",
    VLOOKUP(
        $A49,
        _xlfn._xlws.FILTER(
            INDIRECT("'"&amp;F$62&amp;"'!A2:G1000"), (INDIRECT("'"&amp;F$62&amp;"'!B2:B1000")=$B49) * (INDIRECT("'"&amp;F$62&amp;"'!C2:C1000")=$C49)
        ),
        7,
        FALSE
    )
)</f>
        <v/>
      </c>
      <c r="G49" s="58">
        <f t="array" ref="G49">IF(
    VLOOKUP(
        $A49,
        _xlfn._xlws.FILTER(
            INDIRECT("'"&amp;G$62&amp;"'!A2:G1000"), (INDIRECT("'"&amp;G$62&amp;"'!B2:B1000")=$B49) * (INDIRECT("'"&amp;G$62&amp;"'!C2:C1000")=$C49)
        ),
        5,
        FALSE
    )="",
    "",
    VLOOKUP(
        $A49,
        _xlfn._xlws.FILTER(
            INDIRECT("'"&amp;G$62&amp;"'!A2:G1000"), (INDIRECT("'"&amp;G$62&amp;"'!B2:B1000")=$B49) * (INDIRECT("'"&amp;G$62&amp;"'!C2:C1000")=$C49)
        ),
        7,
        FALSE
    )
)</f>
        <v/>
      </c>
      <c r="H49" s="58">
        <f t="array" ref="H49">IF(
    VLOOKUP(
        $A49,
        _xlfn._xlws.FILTER(
            INDIRECT("'"&amp;H$62&amp;"'!A2:G1000"), (INDIRECT("'"&amp;H$62&amp;"'!B2:B1000")=$B49) * (INDIRECT("'"&amp;H$62&amp;"'!C2:C1000")=$C49)
        ),
        5,
        FALSE
    )="",
    "",
    VLOOKUP(
        $A49,
        _xlfn._xlws.FILTER(
            INDIRECT("'"&amp;H$62&amp;"'!A2:G1000"), (INDIRECT("'"&amp;H$62&amp;"'!B2:B1000")=$B49) * (INDIRECT("'"&amp;H$62&amp;"'!C2:C1000")=$C49)
        ),
        7,
        FALSE
    )
)</f>
        <v/>
      </c>
      <c r="I49" s="58">
        <f t="array" ref="I49">IF(
    VLOOKUP(
        $A49,
        _xlfn._xlws.FILTER(
            INDIRECT("'"&amp;I$62&amp;"'!A2:G1000"), (INDIRECT("'"&amp;I$62&amp;"'!B2:B1000")=$B49) * (INDIRECT("'"&amp;I$62&amp;"'!C2:C1000")=$C49)
        ),
        5,
        FALSE
    )="",
    "",
    VLOOKUP(
        $A49,
        _xlfn._xlws.FILTER(
            INDIRECT("'"&amp;I$62&amp;"'!A2:G1000"), (INDIRECT("'"&amp;I$62&amp;"'!B2:B1000")=$B49) * (INDIRECT("'"&amp;I$62&amp;"'!C2:C1000")=$C49)
        ),
        7,
        FALSE
    )
)</f>
        <v/>
      </c>
      <c r="J49" s="58">
        <f t="array" ref="J49">IF(
    VLOOKUP(
        $A49,
        _xlfn._xlws.FILTER(
            INDIRECT("'"&amp;J$62&amp;"'!A2:G1000"), (INDIRECT("'"&amp;J$62&amp;"'!B2:B1000")=$B49) * (INDIRECT("'"&amp;J$62&amp;"'!C2:C1000")=$C49)
        ),
        5,
        FALSE
    )="",
    "",
    VLOOKUP(
        $A49,
        _xlfn._xlws.FILTER(
            INDIRECT("'"&amp;J$62&amp;"'!A2:G1000"), (INDIRECT("'"&amp;J$62&amp;"'!B2:B1000")=$B49) * (INDIRECT("'"&amp;J$62&amp;"'!C2:C1000")=$C49)
        ),
        7,
        FALSE
    )
)</f>
        <v/>
      </c>
      <c r="K49" s="58">
        <f t="array" ref="K49">IF(
    VLOOKUP(
        $A49,
        _xlfn._xlws.FILTER(
            INDIRECT("'"&amp;K$62&amp;"'!A2:G1000"), (INDIRECT("'"&amp;K$62&amp;"'!B2:B1000")=$B49) * (INDIRECT("'"&amp;K$62&amp;"'!C2:C1000")=$C49)
        ),
        5,
        FALSE
    )="",
    "",
    VLOOKUP(
        $A49,
        _xlfn._xlws.FILTER(
            INDIRECT("'"&amp;K$62&amp;"'!A2:G1000"), (INDIRECT("'"&amp;K$62&amp;"'!B2:B1000")=$B49) * (INDIRECT("'"&amp;K$62&amp;"'!C2:C1000")=$C49)
        ),
        7,
        FALSE
    )
)</f>
        <v/>
      </c>
      <c r="L49" s="58">
        <f t="array" ref="L49">IF(
    VLOOKUP(
        $A49,
        _xlfn._xlws.FILTER(
            INDIRECT("'"&amp;L$62&amp;"'!A2:G1000"), (INDIRECT("'"&amp;L$62&amp;"'!B2:B1000")=$B49) * (INDIRECT("'"&amp;L$62&amp;"'!C2:C1000")=$C49)
        ),
        5,
        FALSE
    )="",
    "",
    VLOOKUP(
        $A49,
        _xlfn._xlws.FILTER(
            INDIRECT("'"&amp;L$62&amp;"'!A2:G1000"), (INDIRECT("'"&amp;L$62&amp;"'!B2:B1000")=$B49) * (INDIRECT("'"&amp;L$62&amp;"'!C2:C1000")=$C49)
        ),
        7,
        FALSE
    )
)</f>
        <v/>
      </c>
      <c r="M49" s="58">
        <f t="array" ref="M49">IF(
    VLOOKUP(
        $A49,
        _xlfn._xlws.FILTER(
            INDIRECT("'"&amp;M$62&amp;"'!A2:G1000"), (INDIRECT("'"&amp;M$62&amp;"'!B2:B1000")=$B49) * (INDIRECT("'"&amp;M$62&amp;"'!C2:C1000")=$C49)
        ),
        5,
        FALSE
    )="",
    "",
    VLOOKUP(
        $A49,
        _xlfn._xlws.FILTER(
            INDIRECT("'"&amp;M$62&amp;"'!A2:G1000"), (INDIRECT("'"&amp;M$62&amp;"'!B2:B1000")=$B49) * (INDIRECT("'"&amp;M$62&amp;"'!C2:C1000")=$C49)
        ),
        7,
        FALSE
    )
)</f>
        <v/>
      </c>
      <c r="N49" s="58">
        <f t="array" ref="N49">IF(
    VLOOKUP(
        $A49,
        _xlfn._xlws.FILTER(
            INDIRECT("'"&amp;N$62&amp;"'!A2:G1000"), (INDIRECT("'"&amp;N$62&amp;"'!B2:B1000")=$B49) * (INDIRECT("'"&amp;N$62&amp;"'!C2:C1000")=$C49)
        ),
        5,
        FALSE
    )="",
    "",
    VLOOKUP(
        $A49,
        _xlfn._xlws.FILTER(
            INDIRECT("'"&amp;N$62&amp;"'!A2:G1000"), (INDIRECT("'"&amp;N$62&amp;"'!B2:B1000")=$B49) * (INDIRECT("'"&amp;N$62&amp;"'!C2:C1000")=$C49)
        ),
        7,
        FALSE
    )
)</f>
        <v/>
      </c>
      <c r="O49" s="58">
        <f t="array" ref="O49">IF(
    VLOOKUP(
        $A49,
        _xlfn._xlws.FILTER(
            INDIRECT("'"&amp;O$62&amp;"'!A2:G1000"), (INDIRECT("'"&amp;O$62&amp;"'!B2:B1000")=$B49) * (INDIRECT("'"&amp;O$62&amp;"'!C2:C1000")=$C49)
        ),
        5,
        FALSE
    )="",
    "",
    VLOOKUP(
        $A49,
        _xlfn._xlws.FILTER(
            INDIRECT("'"&amp;O$62&amp;"'!A2:G1000"), (INDIRECT("'"&amp;O$62&amp;"'!B2:B1000")=$B49) * (INDIRECT("'"&amp;O$62&amp;"'!C2:C1000")=$C49)
        ),
        7,
        FALSE
    )
)</f>
        <v/>
      </c>
      <c r="P49" s="58">
        <f t="array" ref="P49">IF(
    VLOOKUP(
        $A49,
        _xlfn._xlws.FILTER(
            INDIRECT("'"&amp;P$62&amp;"'!A2:G1000"), (INDIRECT("'"&amp;P$62&amp;"'!B2:B1000")=$B49) * (INDIRECT("'"&amp;P$62&amp;"'!C2:C1000")=$C49)
        ),
        5,
        FALSE
    )="",
    "",
    VLOOKUP(
        $A49,
        _xlfn._xlws.FILTER(
            INDIRECT("'"&amp;P$62&amp;"'!A2:G1000"), (INDIRECT("'"&amp;P$62&amp;"'!B2:B1000")=$B49) * (INDIRECT("'"&amp;P$62&amp;"'!C2:C1000")=$C49)
        ),
        7,
        FALSE
    )
)</f>
        <v/>
      </c>
    </row>
    <row r="50">
      <c r="A50" s="76" t="n"/>
      <c r="B50" s="76" t="n"/>
      <c r="C50" s="76" t="n"/>
      <c r="D50" s="76" t="n"/>
      <c r="E50" s="76" t="n"/>
      <c r="F50" s="76" t="n"/>
      <c r="G50" s="76" t="n"/>
      <c r="H50" s="76" t="n"/>
      <c r="I50" s="76" t="n"/>
      <c r="J50" s="76" t="n"/>
      <c r="K50" s="76" t="n"/>
      <c r="L50" s="76" t="n"/>
      <c r="M50" s="76" t="n"/>
      <c r="N50" s="76" t="n"/>
      <c r="O50" s="76" t="n"/>
      <c r="P50" s="76" t="n"/>
    </row>
    <row r="51" ht="15.75" customHeight="1">
      <c r="A51" s="34" t="inlineStr">
        <is>
          <t>Diana</t>
        </is>
      </c>
      <c r="B51" s="84" t="inlineStr">
        <is>
          <t>Municípios</t>
        </is>
      </c>
      <c r="C51" s="84" t="inlineStr">
        <is>
          <t>UVR</t>
        </is>
      </c>
      <c r="D51" s="4" t="inlineStr">
        <is>
          <t>01.25</t>
        </is>
      </c>
      <c r="E51" s="4" t="inlineStr">
        <is>
          <t>02.25</t>
        </is>
      </c>
      <c r="F51" s="4" t="inlineStr">
        <is>
          <t>03.25</t>
        </is>
      </c>
      <c r="G51" s="4" t="inlineStr">
        <is>
          <t>04.25</t>
        </is>
      </c>
      <c r="H51" s="4" t="inlineStr">
        <is>
          <t>05.25</t>
        </is>
      </c>
      <c r="I51" s="4" t="inlineStr">
        <is>
          <t>06.25</t>
        </is>
      </c>
      <c r="J51" s="4" t="inlineStr">
        <is>
          <t>07.25</t>
        </is>
      </c>
      <c r="K51" s="4" t="inlineStr">
        <is>
          <t>08.25</t>
        </is>
      </c>
      <c r="L51" s="4" t="inlineStr">
        <is>
          <t>09.25</t>
        </is>
      </c>
      <c r="M51" s="4" t="inlineStr">
        <is>
          <t>09.25</t>
        </is>
      </c>
      <c r="N51" s="4" t="inlineStr">
        <is>
          <t>10.25</t>
        </is>
      </c>
      <c r="O51" s="4" t="inlineStr">
        <is>
          <t>11.25</t>
        </is>
      </c>
      <c r="P51" s="4" t="inlineStr">
        <is>
          <t>12.25</t>
        </is>
      </c>
    </row>
    <row r="52" ht="15.75" customHeight="1">
      <c r="A52" s="33" t="inlineStr">
        <is>
          <t>Maringá</t>
        </is>
      </c>
      <c r="B52" s="85" t="inlineStr">
        <is>
          <t>Apucarana</t>
        </is>
      </c>
      <c r="C52" s="85" t="inlineStr">
        <is>
          <t>01</t>
        </is>
      </c>
      <c r="D52" s="58">
        <f t="array" ref="D52">IF(
    VLOOKUP(
        $A52,
        _xlfn._xlws.FILTER(
            INDIRECT("'"&amp;D$62&amp;"'!A2:G1000"), (INDIRECT("'"&amp;D$62&amp;"'!B2:B1000")=$B52) * (INDIRECT("'"&amp;D$62&amp;"'!C2:C1000")=$C52)
        ),
        5,
        FALSE
    )="",
    "",
    VLOOKUP(
        $A52,
        _xlfn._xlws.FILTER(
            INDIRECT("'"&amp;D$62&amp;"'!A2:G1000"), (INDIRECT("'"&amp;D$62&amp;"'!B2:B1000")=$B52) * (INDIRECT("'"&amp;D$62&amp;"'!C2:C1000")=$C52)
        ),
        7,
        FALSE
    )
)</f>
        <v/>
      </c>
      <c r="E52" s="58">
        <f t="array" ref="E52">IF(
    VLOOKUP(
        $A52,
        _xlfn._xlws.FILTER(
            INDIRECT("'"&amp;E$62&amp;"'!A2:G1000"), (INDIRECT("'"&amp;E$62&amp;"'!B2:B1000")=$B52) * (INDIRECT("'"&amp;E$62&amp;"'!C2:C1000")=$C52)
        ),
        5,
        FALSE
    )="",
    "",
    VLOOKUP(
        $A52,
        _xlfn._xlws.FILTER(
            INDIRECT("'"&amp;E$62&amp;"'!A2:G1000"), (INDIRECT("'"&amp;E$62&amp;"'!B2:B1000")=$B52) * (INDIRECT("'"&amp;E$62&amp;"'!C2:C1000")=$C52)
        ),
        7,
        FALSE
    )
)</f>
        <v/>
      </c>
      <c r="F52" s="58">
        <f t="array" ref="F52">IF(
    VLOOKUP(
        $A52,
        _xlfn._xlws.FILTER(
            INDIRECT("'"&amp;F$62&amp;"'!A2:G1000"), (INDIRECT("'"&amp;F$62&amp;"'!B2:B1000")=$B52) * (INDIRECT("'"&amp;F$62&amp;"'!C2:C1000")=$C52)
        ),
        5,
        FALSE
    )="",
    "",
    VLOOKUP(
        $A52,
        _xlfn._xlws.FILTER(
            INDIRECT("'"&amp;F$62&amp;"'!A2:G1000"), (INDIRECT("'"&amp;F$62&amp;"'!B2:B1000")=$B52) * (INDIRECT("'"&amp;F$62&amp;"'!C2:C1000")=$C52)
        ),
        7,
        FALSE
    )
)</f>
        <v/>
      </c>
      <c r="G52" s="58">
        <f t="array" ref="G52">IF(
    VLOOKUP(
        $A52,
        _xlfn._xlws.FILTER(
            INDIRECT("'"&amp;G$62&amp;"'!A2:G1000"), (INDIRECT("'"&amp;G$62&amp;"'!B2:B1000")=$B52) * (INDIRECT("'"&amp;G$62&amp;"'!C2:C1000")=$C52)
        ),
        5,
        FALSE
    )="",
    "",
    VLOOKUP(
        $A52,
        _xlfn._xlws.FILTER(
            INDIRECT("'"&amp;G$62&amp;"'!A2:G1000"), (INDIRECT("'"&amp;G$62&amp;"'!B2:B1000")=$B52) * (INDIRECT("'"&amp;G$62&amp;"'!C2:C1000")=$C52)
        ),
        7,
        FALSE
    )
)</f>
        <v/>
      </c>
      <c r="H52" s="58">
        <f t="array" ref="H52">IF(
    VLOOKUP(
        $A52,
        _xlfn._xlws.FILTER(
            INDIRECT("'"&amp;H$62&amp;"'!A2:G1000"), (INDIRECT("'"&amp;H$62&amp;"'!B2:B1000")=$B52) * (INDIRECT("'"&amp;H$62&amp;"'!C2:C1000")=$C52)
        ),
        5,
        FALSE
    )="",
    "",
    VLOOKUP(
        $A52,
        _xlfn._xlws.FILTER(
            INDIRECT("'"&amp;H$62&amp;"'!A2:G1000"), (INDIRECT("'"&amp;H$62&amp;"'!B2:B1000")=$B52) * (INDIRECT("'"&amp;H$62&amp;"'!C2:C1000")=$C52)
        ),
        7,
        FALSE
    )
)</f>
        <v/>
      </c>
      <c r="I52" s="58">
        <f t="array" ref="I52">IF(
    VLOOKUP(
        $A52,
        _xlfn._xlws.FILTER(
            INDIRECT("'"&amp;I$62&amp;"'!A2:G1000"), (INDIRECT("'"&amp;I$62&amp;"'!B2:B1000")=$B52) * (INDIRECT("'"&amp;I$62&amp;"'!C2:C1000")=$C52)
        ),
        5,
        FALSE
    )="",
    "",
    VLOOKUP(
        $A52,
        _xlfn._xlws.FILTER(
            INDIRECT("'"&amp;I$62&amp;"'!A2:G1000"), (INDIRECT("'"&amp;I$62&amp;"'!B2:B1000")=$B52) * (INDIRECT("'"&amp;I$62&amp;"'!C2:C1000")=$C52)
        ),
        7,
        FALSE
    )
)</f>
        <v/>
      </c>
      <c r="J52" s="58">
        <f t="array" ref="J52">IF(
    VLOOKUP(
        $A52,
        _xlfn._xlws.FILTER(
            INDIRECT("'"&amp;J$62&amp;"'!A2:G1000"), (INDIRECT("'"&amp;J$62&amp;"'!B2:B1000")=$B52) * (INDIRECT("'"&amp;J$62&amp;"'!C2:C1000")=$C52)
        ),
        5,
        FALSE
    )="",
    "",
    VLOOKUP(
        $A52,
        _xlfn._xlws.FILTER(
            INDIRECT("'"&amp;J$62&amp;"'!A2:G1000"), (INDIRECT("'"&amp;J$62&amp;"'!B2:B1000")=$B52) * (INDIRECT("'"&amp;J$62&amp;"'!C2:C1000")=$C52)
        ),
        7,
        FALSE
    )
)</f>
        <v/>
      </c>
      <c r="K52" s="58">
        <f t="array" ref="K52">IF(
    VLOOKUP(
        $A52,
        _xlfn._xlws.FILTER(
            INDIRECT("'"&amp;K$62&amp;"'!A2:G1000"), (INDIRECT("'"&amp;K$62&amp;"'!B2:B1000")=$B52) * (INDIRECT("'"&amp;K$62&amp;"'!C2:C1000")=$C52)
        ),
        5,
        FALSE
    )="",
    "",
    VLOOKUP(
        $A52,
        _xlfn._xlws.FILTER(
            INDIRECT("'"&amp;K$62&amp;"'!A2:G1000"), (INDIRECT("'"&amp;K$62&amp;"'!B2:B1000")=$B52) * (INDIRECT("'"&amp;K$62&amp;"'!C2:C1000")=$C52)
        ),
        7,
        FALSE
    )
)</f>
        <v/>
      </c>
      <c r="L52" s="58">
        <f t="array" ref="L52">IF(
    VLOOKUP(
        $A52,
        _xlfn._xlws.FILTER(
            INDIRECT("'"&amp;L$62&amp;"'!A2:G1000"), (INDIRECT("'"&amp;L$62&amp;"'!B2:B1000")=$B52) * (INDIRECT("'"&amp;L$62&amp;"'!C2:C1000")=$C52)
        ),
        5,
        FALSE
    )="",
    "",
    VLOOKUP(
        $A52,
        _xlfn._xlws.FILTER(
            INDIRECT("'"&amp;L$62&amp;"'!A2:G1000"), (INDIRECT("'"&amp;L$62&amp;"'!B2:B1000")=$B52) * (INDIRECT("'"&amp;L$62&amp;"'!C2:C1000")=$C52)
        ),
        7,
        FALSE
    )
)</f>
        <v/>
      </c>
      <c r="M52" s="58">
        <f t="array" ref="M52">IF(
    VLOOKUP(
        $A52,
        _xlfn._xlws.FILTER(
            INDIRECT("'"&amp;M$62&amp;"'!A2:G1000"), (INDIRECT("'"&amp;M$62&amp;"'!B2:B1000")=$B52) * (INDIRECT("'"&amp;M$62&amp;"'!C2:C1000")=$C52)
        ),
        5,
        FALSE
    )="",
    "",
    VLOOKUP(
        $A52,
        _xlfn._xlws.FILTER(
            INDIRECT("'"&amp;M$62&amp;"'!A2:G1000"), (INDIRECT("'"&amp;M$62&amp;"'!B2:B1000")=$B52) * (INDIRECT("'"&amp;M$62&amp;"'!C2:C1000")=$C52)
        ),
        7,
        FALSE
    )
)</f>
        <v/>
      </c>
      <c r="N52" s="58">
        <f t="array" ref="N52">IF(
    VLOOKUP(
        $A52,
        _xlfn._xlws.FILTER(
            INDIRECT("'"&amp;N$62&amp;"'!A2:G1000"), (INDIRECT("'"&amp;N$62&amp;"'!B2:B1000")=$B52) * (INDIRECT("'"&amp;N$62&amp;"'!C2:C1000")=$C52)
        ),
        5,
        FALSE
    )="",
    "",
    VLOOKUP(
        $A52,
        _xlfn._xlws.FILTER(
            INDIRECT("'"&amp;N$62&amp;"'!A2:G1000"), (INDIRECT("'"&amp;N$62&amp;"'!B2:B1000")=$B52) * (INDIRECT("'"&amp;N$62&amp;"'!C2:C1000")=$C52)
        ),
        7,
        FALSE
    )
)</f>
        <v/>
      </c>
      <c r="O52" s="58">
        <f t="array" ref="O52">IF(
    VLOOKUP(
        $A52,
        _xlfn._xlws.FILTER(
            INDIRECT("'"&amp;O$62&amp;"'!A2:G1000"), (INDIRECT("'"&amp;O$62&amp;"'!B2:B1000")=$B52) * (INDIRECT("'"&amp;O$62&amp;"'!C2:C1000")=$C52)
        ),
        5,
        FALSE
    )="",
    "",
    VLOOKUP(
        $A52,
        _xlfn._xlws.FILTER(
            INDIRECT("'"&amp;O$62&amp;"'!A2:G1000"), (INDIRECT("'"&amp;O$62&amp;"'!B2:B1000")=$B52) * (INDIRECT("'"&amp;O$62&amp;"'!C2:C1000")=$C52)
        ),
        7,
        FALSE
    )
)</f>
        <v/>
      </c>
      <c r="P52" s="58">
        <f t="array" ref="P52">IF(
    VLOOKUP(
        $A52,
        _xlfn._xlws.FILTER(
            INDIRECT("'"&amp;P$62&amp;"'!A2:G1000"), (INDIRECT("'"&amp;P$62&amp;"'!B2:B1000")=$B52) * (INDIRECT("'"&amp;P$62&amp;"'!C2:C1000")=$C52)
        ),
        5,
        FALSE
    )="",
    "",
    VLOOKUP(
        $A52,
        _xlfn._xlws.FILTER(
            INDIRECT("'"&amp;P$62&amp;"'!A2:G1000"), (INDIRECT("'"&amp;P$62&amp;"'!B2:B1000")=$B52) * (INDIRECT("'"&amp;P$62&amp;"'!C2:C1000")=$C52)
        ),
        7,
        FALSE
    )
)</f>
        <v/>
      </c>
    </row>
    <row r="53">
      <c r="A53" s="33" t="inlineStr">
        <is>
          <t>Maringá</t>
        </is>
      </c>
      <c r="B53" s="85" t="inlineStr">
        <is>
          <t>Atalaia</t>
        </is>
      </c>
      <c r="C53" s="85" t="inlineStr">
        <is>
          <t>01</t>
        </is>
      </c>
      <c r="D53" s="58">
        <f t="array" ref="D53">IF(
    VLOOKUP(
        $A53,
        _xlfn._xlws.FILTER(
            INDIRECT("'"&amp;D$62&amp;"'!A2:G1000"), (INDIRECT("'"&amp;D$62&amp;"'!B2:B1000")=$B53) * (INDIRECT("'"&amp;D$62&amp;"'!C2:C1000")=$C53)
        ),
        5,
        FALSE
    )="",
    "",
    VLOOKUP(
        $A53,
        _xlfn._xlws.FILTER(
            INDIRECT("'"&amp;D$62&amp;"'!A2:G1000"), (INDIRECT("'"&amp;D$62&amp;"'!B2:B1000")=$B53) * (INDIRECT("'"&amp;D$62&amp;"'!C2:C1000")=$C53)
        ),
        7,
        FALSE
    )
)</f>
        <v/>
      </c>
      <c r="E53" s="58">
        <f t="array" ref="E53">IF(
    VLOOKUP(
        $A53,
        _xlfn._xlws.FILTER(
            INDIRECT("'"&amp;E$62&amp;"'!A2:G1000"), (INDIRECT("'"&amp;E$62&amp;"'!B2:B1000")=$B53) * (INDIRECT("'"&amp;E$62&amp;"'!C2:C1000")=$C53)
        ),
        5,
        FALSE
    )="",
    "",
    VLOOKUP(
        $A53,
        _xlfn._xlws.FILTER(
            INDIRECT("'"&amp;E$62&amp;"'!A2:G1000"), (INDIRECT("'"&amp;E$62&amp;"'!B2:B1000")=$B53) * (INDIRECT("'"&amp;E$62&amp;"'!C2:C1000")=$C53)
        ),
        7,
        FALSE
    )
)</f>
        <v/>
      </c>
      <c r="F53" s="58">
        <f t="array" ref="F53">IF(
    VLOOKUP(
        $A53,
        _xlfn._xlws.FILTER(
            INDIRECT("'"&amp;F$62&amp;"'!A2:G1000"), (INDIRECT("'"&amp;F$62&amp;"'!B2:B1000")=$B53) * (INDIRECT("'"&amp;F$62&amp;"'!C2:C1000")=$C53)
        ),
        5,
        FALSE
    )="",
    "",
    VLOOKUP(
        $A53,
        _xlfn._xlws.FILTER(
            INDIRECT("'"&amp;F$62&amp;"'!A2:G1000"), (INDIRECT("'"&amp;F$62&amp;"'!B2:B1000")=$B53) * (INDIRECT("'"&amp;F$62&amp;"'!C2:C1000")=$C53)
        ),
        7,
        FALSE
    )
)</f>
        <v/>
      </c>
      <c r="G53" s="58">
        <f t="array" ref="G53">IF(
    VLOOKUP(
        $A53,
        _xlfn._xlws.FILTER(
            INDIRECT("'"&amp;G$62&amp;"'!A2:G1000"), (INDIRECT("'"&amp;G$62&amp;"'!B2:B1000")=$B53) * (INDIRECT("'"&amp;G$62&amp;"'!C2:C1000")=$C53)
        ),
        5,
        FALSE
    )="",
    "",
    VLOOKUP(
        $A53,
        _xlfn._xlws.FILTER(
            INDIRECT("'"&amp;G$62&amp;"'!A2:G1000"), (INDIRECT("'"&amp;G$62&amp;"'!B2:B1000")=$B53) * (INDIRECT("'"&amp;G$62&amp;"'!C2:C1000")=$C53)
        ),
        7,
        FALSE
    )
)</f>
        <v/>
      </c>
      <c r="H53" s="58">
        <f t="array" ref="H53">IF(
    VLOOKUP(
        $A53,
        _xlfn._xlws.FILTER(
            INDIRECT("'"&amp;H$62&amp;"'!A2:G1000"), (INDIRECT("'"&amp;H$62&amp;"'!B2:B1000")=$B53) * (INDIRECT("'"&amp;H$62&amp;"'!C2:C1000")=$C53)
        ),
        5,
        FALSE
    )="",
    "",
    VLOOKUP(
        $A53,
        _xlfn._xlws.FILTER(
            INDIRECT("'"&amp;H$62&amp;"'!A2:G1000"), (INDIRECT("'"&amp;H$62&amp;"'!B2:B1000")=$B53) * (INDIRECT("'"&amp;H$62&amp;"'!C2:C1000")=$C53)
        ),
        7,
        FALSE
    )
)</f>
        <v/>
      </c>
      <c r="I53" s="58">
        <f t="array" ref="I53">IF(
    VLOOKUP(
        $A53,
        _xlfn._xlws.FILTER(
            INDIRECT("'"&amp;I$62&amp;"'!A2:G1000"), (INDIRECT("'"&amp;I$62&amp;"'!B2:B1000")=$B53) * (INDIRECT("'"&amp;I$62&amp;"'!C2:C1000")=$C53)
        ),
        5,
        FALSE
    )="",
    "",
    VLOOKUP(
        $A53,
        _xlfn._xlws.FILTER(
            INDIRECT("'"&amp;I$62&amp;"'!A2:G1000"), (INDIRECT("'"&amp;I$62&amp;"'!B2:B1000")=$B53) * (INDIRECT("'"&amp;I$62&amp;"'!C2:C1000")=$C53)
        ),
        7,
        FALSE
    )
)</f>
        <v/>
      </c>
      <c r="J53" s="58">
        <f t="array" ref="J53">IF(
    VLOOKUP(
        $A53,
        _xlfn._xlws.FILTER(
            INDIRECT("'"&amp;J$62&amp;"'!A2:G1000"), (INDIRECT("'"&amp;J$62&amp;"'!B2:B1000")=$B53) * (INDIRECT("'"&amp;J$62&amp;"'!C2:C1000")=$C53)
        ),
        5,
        FALSE
    )="",
    "",
    VLOOKUP(
        $A53,
        _xlfn._xlws.FILTER(
            INDIRECT("'"&amp;J$62&amp;"'!A2:G1000"), (INDIRECT("'"&amp;J$62&amp;"'!B2:B1000")=$B53) * (INDIRECT("'"&amp;J$62&amp;"'!C2:C1000")=$C53)
        ),
        7,
        FALSE
    )
)</f>
        <v/>
      </c>
      <c r="K53" s="58">
        <f t="array" ref="K53">IF(
    VLOOKUP(
        $A53,
        _xlfn._xlws.FILTER(
            INDIRECT("'"&amp;K$62&amp;"'!A2:G1000"), (INDIRECT("'"&amp;K$62&amp;"'!B2:B1000")=$B53) * (INDIRECT("'"&amp;K$62&amp;"'!C2:C1000")=$C53)
        ),
        5,
        FALSE
    )="",
    "",
    VLOOKUP(
        $A53,
        _xlfn._xlws.FILTER(
            INDIRECT("'"&amp;K$62&amp;"'!A2:G1000"), (INDIRECT("'"&amp;K$62&amp;"'!B2:B1000")=$B53) * (INDIRECT("'"&amp;K$62&amp;"'!C2:C1000")=$C53)
        ),
        7,
        FALSE
    )
)</f>
        <v/>
      </c>
      <c r="L53" s="58">
        <f t="array" ref="L53">IF(
    VLOOKUP(
        $A53,
        _xlfn._xlws.FILTER(
            INDIRECT("'"&amp;L$62&amp;"'!A2:G1000"), (INDIRECT("'"&amp;L$62&amp;"'!B2:B1000")=$B53) * (INDIRECT("'"&amp;L$62&amp;"'!C2:C1000")=$C53)
        ),
        5,
        FALSE
    )="",
    "",
    VLOOKUP(
        $A53,
        _xlfn._xlws.FILTER(
            INDIRECT("'"&amp;L$62&amp;"'!A2:G1000"), (INDIRECT("'"&amp;L$62&amp;"'!B2:B1000")=$B53) * (INDIRECT("'"&amp;L$62&amp;"'!C2:C1000")=$C53)
        ),
        7,
        FALSE
    )
)</f>
        <v/>
      </c>
      <c r="M53" s="58">
        <f t="array" ref="M53">IF(
    VLOOKUP(
        $A53,
        _xlfn._xlws.FILTER(
            INDIRECT("'"&amp;M$62&amp;"'!A2:G1000"), (INDIRECT("'"&amp;M$62&amp;"'!B2:B1000")=$B53) * (INDIRECT("'"&amp;M$62&amp;"'!C2:C1000")=$C53)
        ),
        5,
        FALSE
    )="",
    "",
    VLOOKUP(
        $A53,
        _xlfn._xlws.FILTER(
            INDIRECT("'"&amp;M$62&amp;"'!A2:G1000"), (INDIRECT("'"&amp;M$62&amp;"'!B2:B1000")=$B53) * (INDIRECT("'"&amp;M$62&amp;"'!C2:C1000")=$C53)
        ),
        7,
        FALSE
    )
)</f>
        <v/>
      </c>
      <c r="N53" s="58">
        <f t="array" ref="N53">IF(
    VLOOKUP(
        $A53,
        _xlfn._xlws.FILTER(
            INDIRECT("'"&amp;N$62&amp;"'!A2:G1000"), (INDIRECT("'"&amp;N$62&amp;"'!B2:B1000")=$B53) * (INDIRECT("'"&amp;N$62&amp;"'!C2:C1000")=$C53)
        ),
        5,
        FALSE
    )="",
    "",
    VLOOKUP(
        $A53,
        _xlfn._xlws.FILTER(
            INDIRECT("'"&amp;N$62&amp;"'!A2:G1000"), (INDIRECT("'"&amp;N$62&amp;"'!B2:B1000")=$B53) * (INDIRECT("'"&amp;N$62&amp;"'!C2:C1000")=$C53)
        ),
        7,
        FALSE
    )
)</f>
        <v/>
      </c>
      <c r="O53" s="58">
        <f t="array" ref="O53">IF(
    VLOOKUP(
        $A53,
        _xlfn._xlws.FILTER(
            INDIRECT("'"&amp;O$62&amp;"'!A2:G1000"), (INDIRECT("'"&amp;O$62&amp;"'!B2:B1000")=$B53) * (INDIRECT("'"&amp;O$62&amp;"'!C2:C1000")=$C53)
        ),
        5,
        FALSE
    )="",
    "",
    VLOOKUP(
        $A53,
        _xlfn._xlws.FILTER(
            INDIRECT("'"&amp;O$62&amp;"'!A2:G1000"), (INDIRECT("'"&amp;O$62&amp;"'!B2:B1000")=$B53) * (INDIRECT("'"&amp;O$62&amp;"'!C2:C1000")=$C53)
        ),
        7,
        FALSE
    )
)</f>
        <v/>
      </c>
      <c r="P53" s="58">
        <f t="array" ref="P53">IF(
    VLOOKUP(
        $A53,
        _xlfn._xlws.FILTER(
            INDIRECT("'"&amp;P$62&amp;"'!A2:G1000"), (INDIRECT("'"&amp;P$62&amp;"'!B2:B1000")=$B53) * (INDIRECT("'"&amp;P$62&amp;"'!C2:C1000")=$C53)
        ),
        5,
        FALSE
    )="",
    "",
    VLOOKUP(
        $A53,
        _xlfn._xlws.FILTER(
            INDIRECT("'"&amp;P$62&amp;"'!A2:G1000"), (INDIRECT("'"&amp;P$62&amp;"'!B2:B1000")=$B53) * (INDIRECT("'"&amp;P$62&amp;"'!C2:C1000")=$C53)
        ),
        7,
        FALSE
    )
)</f>
        <v/>
      </c>
    </row>
    <row r="54">
      <c r="A54" s="33" t="inlineStr">
        <is>
          <t>Maringá</t>
        </is>
      </c>
      <c r="B54" s="85" t="inlineStr">
        <is>
          <t>Borrazópolis</t>
        </is>
      </c>
      <c r="C54" s="85" t="inlineStr">
        <is>
          <t>01</t>
        </is>
      </c>
      <c r="D54" s="58">
        <f t="array" ref="D54">IF(
    VLOOKUP(
        $A54,
        _xlfn._xlws.FILTER(
            INDIRECT("'"&amp;D$62&amp;"'!A2:G1000"), (INDIRECT("'"&amp;D$62&amp;"'!B2:B1000")=$B54) * (INDIRECT("'"&amp;D$62&amp;"'!C2:C1000")=$C54)
        ),
        5,
        FALSE
    )="",
    "",
    VLOOKUP(
        $A54,
        _xlfn._xlws.FILTER(
            INDIRECT("'"&amp;D$62&amp;"'!A2:G1000"), (INDIRECT("'"&amp;D$62&amp;"'!B2:B1000")=$B54) * (INDIRECT("'"&amp;D$62&amp;"'!C2:C1000")=$C54)
        ),
        7,
        FALSE
    )
)</f>
        <v/>
      </c>
      <c r="E54" s="58">
        <f t="array" ref="E54">IF(
    VLOOKUP(
        $A54,
        _xlfn._xlws.FILTER(
            INDIRECT("'"&amp;E$62&amp;"'!A2:G1000"), (INDIRECT("'"&amp;E$62&amp;"'!B2:B1000")=$B54) * (INDIRECT("'"&amp;E$62&amp;"'!C2:C1000")=$C54)
        ),
        5,
        FALSE
    )="",
    "",
    VLOOKUP(
        $A54,
        _xlfn._xlws.FILTER(
            INDIRECT("'"&amp;E$62&amp;"'!A2:G1000"), (INDIRECT("'"&amp;E$62&amp;"'!B2:B1000")=$B54) * (INDIRECT("'"&amp;E$62&amp;"'!C2:C1000")=$C54)
        ),
        7,
        FALSE
    )
)</f>
        <v/>
      </c>
      <c r="F54" s="58">
        <f t="array" ref="F54">IF(
    VLOOKUP(
        $A54,
        _xlfn._xlws.FILTER(
            INDIRECT("'"&amp;F$62&amp;"'!A2:G1000"), (INDIRECT("'"&amp;F$62&amp;"'!B2:B1000")=$B54) * (INDIRECT("'"&amp;F$62&amp;"'!C2:C1000")=$C54)
        ),
        5,
        FALSE
    )="",
    "",
    VLOOKUP(
        $A54,
        _xlfn._xlws.FILTER(
            INDIRECT("'"&amp;F$62&amp;"'!A2:G1000"), (INDIRECT("'"&amp;F$62&amp;"'!B2:B1000")=$B54) * (INDIRECT("'"&amp;F$62&amp;"'!C2:C1000")=$C54)
        ),
        7,
        FALSE
    )
)</f>
        <v/>
      </c>
      <c r="G54" s="58">
        <f t="array" ref="G54">IF(
    VLOOKUP(
        $A54,
        _xlfn._xlws.FILTER(
            INDIRECT("'"&amp;G$62&amp;"'!A2:G1000"), (INDIRECT("'"&amp;G$62&amp;"'!B2:B1000")=$B54) * (INDIRECT("'"&amp;G$62&amp;"'!C2:C1000")=$C54)
        ),
        5,
        FALSE
    )="",
    "",
    VLOOKUP(
        $A54,
        _xlfn._xlws.FILTER(
            INDIRECT("'"&amp;G$62&amp;"'!A2:G1000"), (INDIRECT("'"&amp;G$62&amp;"'!B2:B1000")=$B54) * (INDIRECT("'"&amp;G$62&amp;"'!C2:C1000")=$C54)
        ),
        7,
        FALSE
    )
)</f>
        <v/>
      </c>
      <c r="H54" s="58">
        <f t="array" ref="H54">IF(
    VLOOKUP(
        $A54,
        _xlfn._xlws.FILTER(
            INDIRECT("'"&amp;H$62&amp;"'!A2:G1000"), (INDIRECT("'"&amp;H$62&amp;"'!B2:B1000")=$B54) * (INDIRECT("'"&amp;H$62&amp;"'!C2:C1000")=$C54)
        ),
        5,
        FALSE
    )="",
    "",
    VLOOKUP(
        $A54,
        _xlfn._xlws.FILTER(
            INDIRECT("'"&amp;H$62&amp;"'!A2:G1000"), (INDIRECT("'"&amp;H$62&amp;"'!B2:B1000")=$B54) * (INDIRECT("'"&amp;H$62&amp;"'!C2:C1000")=$C54)
        ),
        7,
        FALSE
    )
)</f>
        <v/>
      </c>
      <c r="I54" s="58">
        <f t="array" ref="I54">IF(
    VLOOKUP(
        $A54,
        _xlfn._xlws.FILTER(
            INDIRECT("'"&amp;I$62&amp;"'!A2:G1000"), (INDIRECT("'"&amp;I$62&amp;"'!B2:B1000")=$B54) * (INDIRECT("'"&amp;I$62&amp;"'!C2:C1000")=$C54)
        ),
        5,
        FALSE
    )="",
    "",
    VLOOKUP(
        $A54,
        _xlfn._xlws.FILTER(
            INDIRECT("'"&amp;I$62&amp;"'!A2:G1000"), (INDIRECT("'"&amp;I$62&amp;"'!B2:B1000")=$B54) * (INDIRECT("'"&amp;I$62&amp;"'!C2:C1000")=$C54)
        ),
        7,
        FALSE
    )
)</f>
        <v/>
      </c>
      <c r="J54" s="58">
        <f t="array" ref="J54">IF(
    VLOOKUP(
        $A54,
        _xlfn._xlws.FILTER(
            INDIRECT("'"&amp;J$62&amp;"'!A2:G1000"), (INDIRECT("'"&amp;J$62&amp;"'!B2:B1000")=$B54) * (INDIRECT("'"&amp;J$62&amp;"'!C2:C1000")=$C54)
        ),
        5,
        FALSE
    )="",
    "",
    VLOOKUP(
        $A54,
        _xlfn._xlws.FILTER(
            INDIRECT("'"&amp;J$62&amp;"'!A2:G1000"), (INDIRECT("'"&amp;J$62&amp;"'!B2:B1000")=$B54) * (INDIRECT("'"&amp;J$62&amp;"'!C2:C1000")=$C54)
        ),
        7,
        FALSE
    )
)</f>
        <v/>
      </c>
      <c r="K54" s="58">
        <f t="array" ref="K54">IF(
    VLOOKUP(
        $A54,
        _xlfn._xlws.FILTER(
            INDIRECT("'"&amp;K$62&amp;"'!A2:G1000"), (INDIRECT("'"&amp;K$62&amp;"'!B2:B1000")=$B54) * (INDIRECT("'"&amp;K$62&amp;"'!C2:C1000")=$C54)
        ),
        5,
        FALSE
    )="",
    "",
    VLOOKUP(
        $A54,
        _xlfn._xlws.FILTER(
            INDIRECT("'"&amp;K$62&amp;"'!A2:G1000"), (INDIRECT("'"&amp;K$62&amp;"'!B2:B1000")=$B54) * (INDIRECT("'"&amp;K$62&amp;"'!C2:C1000")=$C54)
        ),
        7,
        FALSE
    )
)</f>
        <v/>
      </c>
      <c r="L54" s="58">
        <f t="array" ref="L54">IF(
    VLOOKUP(
        $A54,
        _xlfn._xlws.FILTER(
            INDIRECT("'"&amp;L$62&amp;"'!A2:G1000"), (INDIRECT("'"&amp;L$62&amp;"'!B2:B1000")=$B54) * (INDIRECT("'"&amp;L$62&amp;"'!C2:C1000")=$C54)
        ),
        5,
        FALSE
    )="",
    "",
    VLOOKUP(
        $A54,
        _xlfn._xlws.FILTER(
            INDIRECT("'"&amp;L$62&amp;"'!A2:G1000"), (INDIRECT("'"&amp;L$62&amp;"'!B2:B1000")=$B54) * (INDIRECT("'"&amp;L$62&amp;"'!C2:C1000")=$C54)
        ),
        7,
        FALSE
    )
)</f>
        <v/>
      </c>
      <c r="M54" s="58">
        <f t="array" ref="M54">IF(
    VLOOKUP(
        $A54,
        _xlfn._xlws.FILTER(
            INDIRECT("'"&amp;M$62&amp;"'!A2:G1000"), (INDIRECT("'"&amp;M$62&amp;"'!B2:B1000")=$B54) * (INDIRECT("'"&amp;M$62&amp;"'!C2:C1000")=$C54)
        ),
        5,
        FALSE
    )="",
    "",
    VLOOKUP(
        $A54,
        _xlfn._xlws.FILTER(
            INDIRECT("'"&amp;M$62&amp;"'!A2:G1000"), (INDIRECT("'"&amp;M$62&amp;"'!B2:B1000")=$B54) * (INDIRECT("'"&amp;M$62&amp;"'!C2:C1000")=$C54)
        ),
        7,
        FALSE
    )
)</f>
        <v/>
      </c>
      <c r="N54" s="58">
        <f t="array" ref="N54">IF(
    VLOOKUP(
        $A54,
        _xlfn._xlws.FILTER(
            INDIRECT("'"&amp;N$62&amp;"'!A2:G1000"), (INDIRECT("'"&amp;N$62&amp;"'!B2:B1000")=$B54) * (INDIRECT("'"&amp;N$62&amp;"'!C2:C1000")=$C54)
        ),
        5,
        FALSE
    )="",
    "",
    VLOOKUP(
        $A54,
        _xlfn._xlws.FILTER(
            INDIRECT("'"&amp;N$62&amp;"'!A2:G1000"), (INDIRECT("'"&amp;N$62&amp;"'!B2:B1000")=$B54) * (INDIRECT("'"&amp;N$62&amp;"'!C2:C1000")=$C54)
        ),
        7,
        FALSE
    )
)</f>
        <v/>
      </c>
      <c r="O54" s="58">
        <f t="array" ref="O54">IF(
    VLOOKUP(
        $A54,
        _xlfn._xlws.FILTER(
            INDIRECT("'"&amp;O$62&amp;"'!A2:G1000"), (INDIRECT("'"&amp;O$62&amp;"'!B2:B1000")=$B54) * (INDIRECT("'"&amp;O$62&amp;"'!C2:C1000")=$C54)
        ),
        5,
        FALSE
    )="",
    "",
    VLOOKUP(
        $A54,
        _xlfn._xlws.FILTER(
            INDIRECT("'"&amp;O$62&amp;"'!A2:G1000"), (INDIRECT("'"&amp;O$62&amp;"'!B2:B1000")=$B54) * (INDIRECT("'"&amp;O$62&amp;"'!C2:C1000")=$C54)
        ),
        7,
        FALSE
    )
)</f>
        <v/>
      </c>
      <c r="P54" s="58">
        <f t="array" ref="P54">IF(
    VLOOKUP(
        $A54,
        _xlfn._xlws.FILTER(
            INDIRECT("'"&amp;P$62&amp;"'!A2:G1000"), (INDIRECT("'"&amp;P$62&amp;"'!B2:B1000")=$B54) * (INDIRECT("'"&amp;P$62&amp;"'!C2:C1000")=$C54)
        ),
        5,
        FALSE
    )="",
    "",
    VLOOKUP(
        $A54,
        _xlfn._xlws.FILTER(
            INDIRECT("'"&amp;P$62&amp;"'!A2:G1000"), (INDIRECT("'"&amp;P$62&amp;"'!B2:B1000")=$B54) * (INDIRECT("'"&amp;P$62&amp;"'!C2:C1000")=$C54)
        ),
        7,
        FALSE
    )
)</f>
        <v/>
      </c>
    </row>
    <row r="55">
      <c r="A55" s="33" t="inlineStr">
        <is>
          <t>Maringá</t>
        </is>
      </c>
      <c r="B55" s="85" t="inlineStr">
        <is>
          <t>Jardim Alegre</t>
        </is>
      </c>
      <c r="C55" s="85" t="inlineStr">
        <is>
          <t>01</t>
        </is>
      </c>
      <c r="D55" s="58">
        <f t="array" ref="D55">IF(
    VLOOKUP(
        $A55,
        _xlfn._xlws.FILTER(
            INDIRECT("'"&amp;D$62&amp;"'!A2:G1000"), (INDIRECT("'"&amp;D$62&amp;"'!B2:B1000")=$B55) * (INDIRECT("'"&amp;D$62&amp;"'!C2:C1000")=$C55)
        ),
        5,
        FALSE
    )="",
    "",
    VLOOKUP(
        $A55,
        _xlfn._xlws.FILTER(
            INDIRECT("'"&amp;D$62&amp;"'!A2:G1000"), (INDIRECT("'"&amp;D$62&amp;"'!B2:B1000")=$B55) * (INDIRECT("'"&amp;D$62&amp;"'!C2:C1000")=$C55)
        ),
        7,
        FALSE
    )
)</f>
        <v/>
      </c>
      <c r="E55" s="58">
        <f t="array" ref="E55">IF(
    VLOOKUP(
        $A55,
        _xlfn._xlws.FILTER(
            INDIRECT("'"&amp;E$62&amp;"'!A2:G1000"), (INDIRECT("'"&amp;E$62&amp;"'!B2:B1000")=$B55) * (INDIRECT("'"&amp;E$62&amp;"'!C2:C1000")=$C55)
        ),
        5,
        FALSE
    )="",
    "",
    VLOOKUP(
        $A55,
        _xlfn._xlws.FILTER(
            INDIRECT("'"&amp;E$62&amp;"'!A2:G1000"), (INDIRECT("'"&amp;E$62&amp;"'!B2:B1000")=$B55) * (INDIRECT("'"&amp;E$62&amp;"'!C2:C1000")=$C55)
        ),
        7,
        FALSE
    )
)</f>
        <v/>
      </c>
      <c r="F55" s="58">
        <f t="array" ref="F55">IF(
    VLOOKUP(
        $A55,
        _xlfn._xlws.FILTER(
            INDIRECT("'"&amp;F$62&amp;"'!A2:G1000"), (INDIRECT("'"&amp;F$62&amp;"'!B2:B1000")=$B55) * (INDIRECT("'"&amp;F$62&amp;"'!C2:C1000")=$C55)
        ),
        5,
        FALSE
    )="",
    "",
    VLOOKUP(
        $A55,
        _xlfn._xlws.FILTER(
            INDIRECT("'"&amp;F$62&amp;"'!A2:G1000"), (INDIRECT("'"&amp;F$62&amp;"'!B2:B1000")=$B55) * (INDIRECT("'"&amp;F$62&amp;"'!C2:C1000")=$C55)
        ),
        7,
        FALSE
    )
)</f>
        <v/>
      </c>
      <c r="G55" s="58">
        <f t="array" ref="G55">IF(
    VLOOKUP(
        $A55,
        _xlfn._xlws.FILTER(
            INDIRECT("'"&amp;G$62&amp;"'!A2:G1000"), (INDIRECT("'"&amp;G$62&amp;"'!B2:B1000")=$B55) * (INDIRECT("'"&amp;G$62&amp;"'!C2:C1000")=$C55)
        ),
        5,
        FALSE
    )="",
    "",
    VLOOKUP(
        $A55,
        _xlfn._xlws.FILTER(
            INDIRECT("'"&amp;G$62&amp;"'!A2:G1000"), (INDIRECT("'"&amp;G$62&amp;"'!B2:B1000")=$B55) * (INDIRECT("'"&amp;G$62&amp;"'!C2:C1000")=$C55)
        ),
        7,
        FALSE
    )
)</f>
        <v/>
      </c>
      <c r="H55" s="58">
        <f t="array" ref="H55">IF(
    VLOOKUP(
        $A55,
        _xlfn._xlws.FILTER(
            INDIRECT("'"&amp;H$62&amp;"'!A2:G1000"), (INDIRECT("'"&amp;H$62&amp;"'!B2:B1000")=$B55) * (INDIRECT("'"&amp;H$62&amp;"'!C2:C1000")=$C55)
        ),
        5,
        FALSE
    )="",
    "",
    VLOOKUP(
        $A55,
        _xlfn._xlws.FILTER(
            INDIRECT("'"&amp;H$62&amp;"'!A2:G1000"), (INDIRECT("'"&amp;H$62&amp;"'!B2:B1000")=$B55) * (INDIRECT("'"&amp;H$62&amp;"'!C2:C1000")=$C55)
        ),
        7,
        FALSE
    )
)</f>
        <v/>
      </c>
      <c r="I55" s="58">
        <f t="array" ref="I55">IF(
    VLOOKUP(
        $A55,
        _xlfn._xlws.FILTER(
            INDIRECT("'"&amp;I$62&amp;"'!A2:G1000"), (INDIRECT("'"&amp;I$62&amp;"'!B2:B1000")=$B55) * (INDIRECT("'"&amp;I$62&amp;"'!C2:C1000")=$C55)
        ),
        5,
        FALSE
    )="",
    "",
    VLOOKUP(
        $A55,
        _xlfn._xlws.FILTER(
            INDIRECT("'"&amp;I$62&amp;"'!A2:G1000"), (INDIRECT("'"&amp;I$62&amp;"'!B2:B1000")=$B55) * (INDIRECT("'"&amp;I$62&amp;"'!C2:C1000")=$C55)
        ),
        7,
        FALSE
    )
)</f>
        <v/>
      </c>
      <c r="J55" s="58">
        <f t="array" ref="J55">IF(
    VLOOKUP(
        $A55,
        _xlfn._xlws.FILTER(
            INDIRECT("'"&amp;J$62&amp;"'!A2:G1000"), (INDIRECT("'"&amp;J$62&amp;"'!B2:B1000")=$B55) * (INDIRECT("'"&amp;J$62&amp;"'!C2:C1000")=$C55)
        ),
        5,
        FALSE
    )="",
    "",
    VLOOKUP(
        $A55,
        _xlfn._xlws.FILTER(
            INDIRECT("'"&amp;J$62&amp;"'!A2:G1000"), (INDIRECT("'"&amp;J$62&amp;"'!B2:B1000")=$B55) * (INDIRECT("'"&amp;J$62&amp;"'!C2:C1000")=$C55)
        ),
        7,
        FALSE
    )
)</f>
        <v/>
      </c>
      <c r="K55" s="58">
        <f t="array" ref="K55">IF(
    VLOOKUP(
        $A55,
        _xlfn._xlws.FILTER(
            INDIRECT("'"&amp;K$62&amp;"'!A2:G1000"), (INDIRECT("'"&amp;K$62&amp;"'!B2:B1000")=$B55) * (INDIRECT("'"&amp;K$62&amp;"'!C2:C1000")=$C55)
        ),
        5,
        FALSE
    )="",
    "",
    VLOOKUP(
        $A55,
        _xlfn._xlws.FILTER(
            INDIRECT("'"&amp;K$62&amp;"'!A2:G1000"), (INDIRECT("'"&amp;K$62&amp;"'!B2:B1000")=$B55) * (INDIRECT("'"&amp;K$62&amp;"'!C2:C1000")=$C55)
        ),
        7,
        FALSE
    )
)</f>
        <v/>
      </c>
      <c r="L55" s="58">
        <f t="array" ref="L55">IF(
    VLOOKUP(
        $A55,
        _xlfn._xlws.FILTER(
            INDIRECT("'"&amp;L$62&amp;"'!A2:G1000"), (INDIRECT("'"&amp;L$62&amp;"'!B2:B1000")=$B55) * (INDIRECT("'"&amp;L$62&amp;"'!C2:C1000")=$C55)
        ),
        5,
        FALSE
    )="",
    "",
    VLOOKUP(
        $A55,
        _xlfn._xlws.FILTER(
            INDIRECT("'"&amp;L$62&amp;"'!A2:G1000"), (INDIRECT("'"&amp;L$62&amp;"'!B2:B1000")=$B55) * (INDIRECT("'"&amp;L$62&amp;"'!C2:C1000")=$C55)
        ),
        7,
        FALSE
    )
)</f>
        <v/>
      </c>
      <c r="M55" s="58">
        <f t="array" ref="M55">IF(
    VLOOKUP(
        $A55,
        _xlfn._xlws.FILTER(
            INDIRECT("'"&amp;M$62&amp;"'!A2:G1000"), (INDIRECT("'"&amp;M$62&amp;"'!B2:B1000")=$B55) * (INDIRECT("'"&amp;M$62&amp;"'!C2:C1000")=$C55)
        ),
        5,
        FALSE
    )="",
    "",
    VLOOKUP(
        $A55,
        _xlfn._xlws.FILTER(
            INDIRECT("'"&amp;M$62&amp;"'!A2:G1000"), (INDIRECT("'"&amp;M$62&amp;"'!B2:B1000")=$B55) * (INDIRECT("'"&amp;M$62&amp;"'!C2:C1000")=$C55)
        ),
        7,
        FALSE
    )
)</f>
        <v/>
      </c>
      <c r="N55" s="58">
        <f t="array" ref="N55">IF(
    VLOOKUP(
        $A55,
        _xlfn._xlws.FILTER(
            INDIRECT("'"&amp;N$62&amp;"'!A2:G1000"), (INDIRECT("'"&amp;N$62&amp;"'!B2:B1000")=$B55) * (INDIRECT("'"&amp;N$62&amp;"'!C2:C1000")=$C55)
        ),
        5,
        FALSE
    )="",
    "",
    VLOOKUP(
        $A55,
        _xlfn._xlws.FILTER(
            INDIRECT("'"&amp;N$62&amp;"'!A2:G1000"), (INDIRECT("'"&amp;N$62&amp;"'!B2:B1000")=$B55) * (INDIRECT("'"&amp;N$62&amp;"'!C2:C1000")=$C55)
        ),
        7,
        FALSE
    )
)</f>
        <v/>
      </c>
      <c r="O55" s="58">
        <f t="array" ref="O55">IF(
    VLOOKUP(
        $A55,
        _xlfn._xlws.FILTER(
            INDIRECT("'"&amp;O$62&amp;"'!A2:G1000"), (INDIRECT("'"&amp;O$62&amp;"'!B2:B1000")=$B55) * (INDIRECT("'"&amp;O$62&amp;"'!C2:C1000")=$C55)
        ),
        5,
        FALSE
    )="",
    "",
    VLOOKUP(
        $A55,
        _xlfn._xlws.FILTER(
            INDIRECT("'"&amp;O$62&amp;"'!A2:G1000"), (INDIRECT("'"&amp;O$62&amp;"'!B2:B1000")=$B55) * (INDIRECT("'"&amp;O$62&amp;"'!C2:C1000")=$C55)
        ),
        7,
        FALSE
    )
)</f>
        <v/>
      </c>
      <c r="P55" s="58">
        <f t="array" ref="P55">IF(
    VLOOKUP(
        $A55,
        _xlfn._xlws.FILTER(
            INDIRECT("'"&amp;P$62&amp;"'!A2:G1000"), (INDIRECT("'"&amp;P$62&amp;"'!B2:B1000")=$B55) * (INDIRECT("'"&amp;P$62&amp;"'!C2:C1000")=$C55)
        ),
        5,
        FALSE
    )="",
    "",
    VLOOKUP(
        $A55,
        _xlfn._xlws.FILTER(
            INDIRECT("'"&amp;P$62&amp;"'!A2:G1000"), (INDIRECT("'"&amp;P$62&amp;"'!B2:B1000")=$B55) * (INDIRECT("'"&amp;P$62&amp;"'!C2:C1000")=$C55)
        ),
        7,
        FALSE
    )
)</f>
        <v/>
      </c>
    </row>
    <row r="56">
      <c r="A56" s="33" t="inlineStr">
        <is>
          <t>Maringá</t>
        </is>
      </c>
      <c r="B56" s="85" t="inlineStr">
        <is>
          <t>Kaloré</t>
        </is>
      </c>
      <c r="C56" s="85" t="inlineStr">
        <is>
          <t>01</t>
        </is>
      </c>
      <c r="D56" s="58">
        <f t="array" ref="D56">IF(
    VLOOKUP(
        $A56,
        _xlfn._xlws.FILTER(
            INDIRECT("'"&amp;D$62&amp;"'!A2:G1000"), (INDIRECT("'"&amp;D$62&amp;"'!B2:B1000")=$B56) * (INDIRECT("'"&amp;D$62&amp;"'!C2:C1000")=$C56)
        ),
        5,
        FALSE
    )="",
    "",
    VLOOKUP(
        $A56,
        _xlfn._xlws.FILTER(
            INDIRECT("'"&amp;D$62&amp;"'!A2:G1000"), (INDIRECT("'"&amp;D$62&amp;"'!B2:B1000")=$B56) * (INDIRECT("'"&amp;D$62&amp;"'!C2:C1000")=$C56)
        ),
        7,
        FALSE
    )
)</f>
        <v/>
      </c>
      <c r="E56" s="58">
        <f t="array" ref="E56">IF(
    VLOOKUP(
        $A56,
        _xlfn._xlws.FILTER(
            INDIRECT("'"&amp;E$62&amp;"'!A2:G1000"), (INDIRECT("'"&amp;E$62&amp;"'!B2:B1000")=$B56) * (INDIRECT("'"&amp;E$62&amp;"'!C2:C1000")=$C56)
        ),
        5,
        FALSE
    )="",
    "",
    VLOOKUP(
        $A56,
        _xlfn._xlws.FILTER(
            INDIRECT("'"&amp;E$62&amp;"'!A2:G1000"), (INDIRECT("'"&amp;E$62&amp;"'!B2:B1000")=$B56) * (INDIRECT("'"&amp;E$62&amp;"'!C2:C1000")=$C56)
        ),
        7,
        FALSE
    )
)</f>
        <v/>
      </c>
      <c r="F56" s="58">
        <f t="array" ref="F56">IF(
    VLOOKUP(
        $A56,
        _xlfn._xlws.FILTER(
            INDIRECT("'"&amp;F$62&amp;"'!A2:G1000"), (INDIRECT("'"&amp;F$62&amp;"'!B2:B1000")=$B56) * (INDIRECT("'"&amp;F$62&amp;"'!C2:C1000")=$C56)
        ),
        5,
        FALSE
    )="",
    "",
    VLOOKUP(
        $A56,
        _xlfn._xlws.FILTER(
            INDIRECT("'"&amp;F$62&amp;"'!A2:G1000"), (INDIRECT("'"&amp;F$62&amp;"'!B2:B1000")=$B56) * (INDIRECT("'"&amp;F$62&amp;"'!C2:C1000")=$C56)
        ),
        7,
        FALSE
    )
)</f>
        <v/>
      </c>
      <c r="G56" s="58">
        <f t="array" ref="G56">IF(
    VLOOKUP(
        $A56,
        _xlfn._xlws.FILTER(
            INDIRECT("'"&amp;G$62&amp;"'!A2:G1000"), (INDIRECT("'"&amp;G$62&amp;"'!B2:B1000")=$B56) * (INDIRECT("'"&amp;G$62&amp;"'!C2:C1000")=$C56)
        ),
        5,
        FALSE
    )="",
    "",
    VLOOKUP(
        $A56,
        _xlfn._xlws.FILTER(
            INDIRECT("'"&amp;G$62&amp;"'!A2:G1000"), (INDIRECT("'"&amp;G$62&amp;"'!B2:B1000")=$B56) * (INDIRECT("'"&amp;G$62&amp;"'!C2:C1000")=$C56)
        ),
        7,
        FALSE
    )
)</f>
        <v/>
      </c>
      <c r="H56" s="58">
        <f t="array" ref="H56">IF(
    VLOOKUP(
        $A56,
        _xlfn._xlws.FILTER(
            INDIRECT("'"&amp;H$62&amp;"'!A2:G1000"), (INDIRECT("'"&amp;H$62&amp;"'!B2:B1000")=$B56) * (INDIRECT("'"&amp;H$62&amp;"'!C2:C1000")=$C56)
        ),
        5,
        FALSE
    )="",
    "",
    VLOOKUP(
        $A56,
        _xlfn._xlws.FILTER(
            INDIRECT("'"&amp;H$62&amp;"'!A2:G1000"), (INDIRECT("'"&amp;H$62&amp;"'!B2:B1000")=$B56) * (INDIRECT("'"&amp;H$62&amp;"'!C2:C1000")=$C56)
        ),
        7,
        FALSE
    )
)</f>
        <v/>
      </c>
      <c r="I56" s="58">
        <f t="array" ref="I56">IF(
    VLOOKUP(
        $A56,
        _xlfn._xlws.FILTER(
            INDIRECT("'"&amp;I$62&amp;"'!A2:G1000"), (INDIRECT("'"&amp;I$62&amp;"'!B2:B1000")=$B56) * (INDIRECT("'"&amp;I$62&amp;"'!C2:C1000")=$C56)
        ),
        5,
        FALSE
    )="",
    "",
    VLOOKUP(
        $A56,
        _xlfn._xlws.FILTER(
            INDIRECT("'"&amp;I$62&amp;"'!A2:G1000"), (INDIRECT("'"&amp;I$62&amp;"'!B2:B1000")=$B56) * (INDIRECT("'"&amp;I$62&amp;"'!C2:C1000")=$C56)
        ),
        7,
        FALSE
    )
)</f>
        <v/>
      </c>
      <c r="J56" s="58">
        <f t="array" ref="J56">IF(
    VLOOKUP(
        $A56,
        _xlfn._xlws.FILTER(
            INDIRECT("'"&amp;J$62&amp;"'!A2:G1000"), (INDIRECT("'"&amp;J$62&amp;"'!B2:B1000")=$B56) * (INDIRECT("'"&amp;J$62&amp;"'!C2:C1000")=$C56)
        ),
        5,
        FALSE
    )="",
    "",
    VLOOKUP(
        $A56,
        _xlfn._xlws.FILTER(
            INDIRECT("'"&amp;J$62&amp;"'!A2:G1000"), (INDIRECT("'"&amp;J$62&amp;"'!B2:B1000")=$B56) * (INDIRECT("'"&amp;J$62&amp;"'!C2:C1000")=$C56)
        ),
        7,
        FALSE
    )
)</f>
        <v/>
      </c>
      <c r="K56" s="58">
        <f t="array" ref="K56">IF(
    VLOOKUP(
        $A56,
        _xlfn._xlws.FILTER(
            INDIRECT("'"&amp;K$62&amp;"'!A2:G1000"), (INDIRECT("'"&amp;K$62&amp;"'!B2:B1000")=$B56) * (INDIRECT("'"&amp;K$62&amp;"'!C2:C1000")=$C56)
        ),
        5,
        FALSE
    )="",
    "",
    VLOOKUP(
        $A56,
        _xlfn._xlws.FILTER(
            INDIRECT("'"&amp;K$62&amp;"'!A2:G1000"), (INDIRECT("'"&amp;K$62&amp;"'!B2:B1000")=$B56) * (INDIRECT("'"&amp;K$62&amp;"'!C2:C1000")=$C56)
        ),
        7,
        FALSE
    )
)</f>
        <v/>
      </c>
      <c r="L56" s="58">
        <f t="array" ref="L56">IF(
    VLOOKUP(
        $A56,
        _xlfn._xlws.FILTER(
            INDIRECT("'"&amp;L$62&amp;"'!A2:G1000"), (INDIRECT("'"&amp;L$62&amp;"'!B2:B1000")=$B56) * (INDIRECT("'"&amp;L$62&amp;"'!C2:C1000")=$C56)
        ),
        5,
        FALSE
    )="",
    "",
    VLOOKUP(
        $A56,
        _xlfn._xlws.FILTER(
            INDIRECT("'"&amp;L$62&amp;"'!A2:G1000"), (INDIRECT("'"&amp;L$62&amp;"'!B2:B1000")=$B56) * (INDIRECT("'"&amp;L$62&amp;"'!C2:C1000")=$C56)
        ),
        7,
        FALSE
    )
)</f>
        <v/>
      </c>
      <c r="M56" s="58">
        <f t="array" ref="M56">IF(
    VLOOKUP(
        $A56,
        _xlfn._xlws.FILTER(
            INDIRECT("'"&amp;M$62&amp;"'!A2:G1000"), (INDIRECT("'"&amp;M$62&amp;"'!B2:B1000")=$B56) * (INDIRECT("'"&amp;M$62&amp;"'!C2:C1000")=$C56)
        ),
        5,
        FALSE
    )="",
    "",
    VLOOKUP(
        $A56,
        _xlfn._xlws.FILTER(
            INDIRECT("'"&amp;M$62&amp;"'!A2:G1000"), (INDIRECT("'"&amp;M$62&amp;"'!B2:B1000")=$B56) * (INDIRECT("'"&amp;M$62&amp;"'!C2:C1000")=$C56)
        ),
        7,
        FALSE
    )
)</f>
        <v/>
      </c>
      <c r="N56" s="58">
        <f t="array" ref="N56">IF(
    VLOOKUP(
        $A56,
        _xlfn._xlws.FILTER(
            INDIRECT("'"&amp;N$62&amp;"'!A2:G1000"), (INDIRECT("'"&amp;N$62&amp;"'!B2:B1000")=$B56) * (INDIRECT("'"&amp;N$62&amp;"'!C2:C1000")=$C56)
        ),
        5,
        FALSE
    )="",
    "",
    VLOOKUP(
        $A56,
        _xlfn._xlws.FILTER(
            INDIRECT("'"&amp;N$62&amp;"'!A2:G1000"), (INDIRECT("'"&amp;N$62&amp;"'!B2:B1000")=$B56) * (INDIRECT("'"&amp;N$62&amp;"'!C2:C1000")=$C56)
        ),
        7,
        FALSE
    )
)</f>
        <v/>
      </c>
      <c r="O56" s="58">
        <f t="array" ref="O56">IF(
    VLOOKUP(
        $A56,
        _xlfn._xlws.FILTER(
            INDIRECT("'"&amp;O$62&amp;"'!A2:G1000"), (INDIRECT("'"&amp;O$62&amp;"'!B2:B1000")=$B56) * (INDIRECT("'"&amp;O$62&amp;"'!C2:C1000")=$C56)
        ),
        5,
        FALSE
    )="",
    "",
    VLOOKUP(
        $A56,
        _xlfn._xlws.FILTER(
            INDIRECT("'"&amp;O$62&amp;"'!A2:G1000"), (INDIRECT("'"&amp;O$62&amp;"'!B2:B1000")=$B56) * (INDIRECT("'"&amp;O$62&amp;"'!C2:C1000")=$C56)
        ),
        7,
        FALSE
    )
)</f>
        <v/>
      </c>
      <c r="P56" s="58">
        <f t="array" ref="P56">IF(
    VLOOKUP(
        $A56,
        _xlfn._xlws.FILTER(
            INDIRECT("'"&amp;P$62&amp;"'!A2:G1000"), (INDIRECT("'"&amp;P$62&amp;"'!B2:B1000")=$B56) * (INDIRECT("'"&amp;P$62&amp;"'!C2:C1000")=$C56)
        ),
        5,
        FALSE
    )="",
    "",
    VLOOKUP(
        $A56,
        _xlfn._xlws.FILTER(
            INDIRECT("'"&amp;P$62&amp;"'!A2:G1000"), (INDIRECT("'"&amp;P$62&amp;"'!B2:B1000")=$B56) * (INDIRECT("'"&amp;P$62&amp;"'!C2:C1000")=$C56)
        ),
        7,
        FALSE
    )
)</f>
        <v/>
      </c>
    </row>
    <row r="57">
      <c r="A57" s="33" t="inlineStr">
        <is>
          <t>Maringá</t>
        </is>
      </c>
      <c r="B57" s="85" t="inlineStr">
        <is>
          <t>Mandaguari</t>
        </is>
      </c>
      <c r="C57" s="85" t="inlineStr">
        <is>
          <t>01</t>
        </is>
      </c>
      <c r="D57" s="58">
        <f t="array" ref="D57">IF(
    VLOOKUP(
        $A57,
        _xlfn._xlws.FILTER(
            INDIRECT("'"&amp;D$62&amp;"'!A2:G1000"), (INDIRECT("'"&amp;D$62&amp;"'!B2:B1000")=$B57) * (INDIRECT("'"&amp;D$62&amp;"'!C2:C1000")=$C57)
        ),
        5,
        FALSE
    )="",
    "",
    VLOOKUP(
        $A57,
        _xlfn._xlws.FILTER(
            INDIRECT("'"&amp;D$62&amp;"'!A2:G1000"), (INDIRECT("'"&amp;D$62&amp;"'!B2:B1000")=$B57) * (INDIRECT("'"&amp;D$62&amp;"'!C2:C1000")=$C57)
        ),
        7,
        FALSE
    )
)</f>
        <v/>
      </c>
      <c r="E57" s="58">
        <f t="array" ref="E57">IF(
    VLOOKUP(
        $A57,
        _xlfn._xlws.FILTER(
            INDIRECT("'"&amp;E$62&amp;"'!A2:G1000"), (INDIRECT("'"&amp;E$62&amp;"'!B2:B1000")=$B57) * (INDIRECT("'"&amp;E$62&amp;"'!C2:C1000")=$C57)
        ),
        5,
        FALSE
    )="",
    "",
    VLOOKUP(
        $A57,
        _xlfn._xlws.FILTER(
            INDIRECT("'"&amp;E$62&amp;"'!A2:G1000"), (INDIRECT("'"&amp;E$62&amp;"'!B2:B1000")=$B57) * (INDIRECT("'"&amp;E$62&amp;"'!C2:C1000")=$C57)
        ),
        7,
        FALSE
    )
)</f>
        <v/>
      </c>
      <c r="F57" s="58">
        <f t="array" ref="F57">IF(
    VLOOKUP(
        $A57,
        _xlfn._xlws.FILTER(
            INDIRECT("'"&amp;F$62&amp;"'!A2:G1000"), (INDIRECT("'"&amp;F$62&amp;"'!B2:B1000")=$B57) * (INDIRECT("'"&amp;F$62&amp;"'!C2:C1000")=$C57)
        ),
        5,
        FALSE
    )="",
    "",
    VLOOKUP(
        $A57,
        _xlfn._xlws.FILTER(
            INDIRECT("'"&amp;F$62&amp;"'!A2:G1000"), (INDIRECT("'"&amp;F$62&amp;"'!B2:B1000")=$B57) * (INDIRECT("'"&amp;F$62&amp;"'!C2:C1000")=$C57)
        ),
        7,
        FALSE
    )
)</f>
        <v/>
      </c>
      <c r="G57" s="58">
        <f t="array" ref="G57">IF(
    VLOOKUP(
        $A57,
        _xlfn._xlws.FILTER(
            INDIRECT("'"&amp;G$62&amp;"'!A2:G1000"), (INDIRECT("'"&amp;G$62&amp;"'!B2:B1000")=$B57) * (INDIRECT("'"&amp;G$62&amp;"'!C2:C1000")=$C57)
        ),
        5,
        FALSE
    )="",
    "",
    VLOOKUP(
        $A57,
        _xlfn._xlws.FILTER(
            INDIRECT("'"&amp;G$62&amp;"'!A2:G1000"), (INDIRECT("'"&amp;G$62&amp;"'!B2:B1000")=$B57) * (INDIRECT("'"&amp;G$62&amp;"'!C2:C1000")=$C57)
        ),
        7,
        FALSE
    )
)</f>
        <v/>
      </c>
      <c r="H57" s="58">
        <f t="array" ref="H57">IF(
    VLOOKUP(
        $A57,
        _xlfn._xlws.FILTER(
            INDIRECT("'"&amp;H$62&amp;"'!A2:G1000"), (INDIRECT("'"&amp;H$62&amp;"'!B2:B1000")=$B57) * (INDIRECT("'"&amp;H$62&amp;"'!C2:C1000")=$C57)
        ),
        5,
        FALSE
    )="",
    "",
    VLOOKUP(
        $A57,
        _xlfn._xlws.FILTER(
            INDIRECT("'"&amp;H$62&amp;"'!A2:G1000"), (INDIRECT("'"&amp;H$62&amp;"'!B2:B1000")=$B57) * (INDIRECT("'"&amp;H$62&amp;"'!C2:C1000")=$C57)
        ),
        7,
        FALSE
    )
)</f>
        <v/>
      </c>
      <c r="I57" s="58">
        <f t="array" ref="I57">IF(
    VLOOKUP(
        $A57,
        _xlfn._xlws.FILTER(
            INDIRECT("'"&amp;I$62&amp;"'!A2:G1000"), (INDIRECT("'"&amp;I$62&amp;"'!B2:B1000")=$B57) * (INDIRECT("'"&amp;I$62&amp;"'!C2:C1000")=$C57)
        ),
        5,
        FALSE
    )="",
    "",
    VLOOKUP(
        $A57,
        _xlfn._xlws.FILTER(
            INDIRECT("'"&amp;I$62&amp;"'!A2:G1000"), (INDIRECT("'"&amp;I$62&amp;"'!B2:B1000")=$B57) * (INDIRECT("'"&amp;I$62&amp;"'!C2:C1000")=$C57)
        ),
        7,
        FALSE
    )
)</f>
        <v/>
      </c>
      <c r="J57" s="58">
        <f t="array" ref="J57">IF(
    VLOOKUP(
        $A57,
        _xlfn._xlws.FILTER(
            INDIRECT("'"&amp;J$62&amp;"'!A2:G1000"), (INDIRECT("'"&amp;J$62&amp;"'!B2:B1000")=$B57) * (INDIRECT("'"&amp;J$62&amp;"'!C2:C1000")=$C57)
        ),
        5,
        FALSE
    )="",
    "",
    VLOOKUP(
        $A57,
        _xlfn._xlws.FILTER(
            INDIRECT("'"&amp;J$62&amp;"'!A2:G1000"), (INDIRECT("'"&amp;J$62&amp;"'!B2:B1000")=$B57) * (INDIRECT("'"&amp;J$62&amp;"'!C2:C1000")=$C57)
        ),
        7,
        FALSE
    )
)</f>
        <v/>
      </c>
      <c r="K57" s="58">
        <f t="array" ref="K57">IF(
    VLOOKUP(
        $A57,
        _xlfn._xlws.FILTER(
            INDIRECT("'"&amp;K$62&amp;"'!A2:G1000"), (INDIRECT("'"&amp;K$62&amp;"'!B2:B1000")=$B57) * (INDIRECT("'"&amp;K$62&amp;"'!C2:C1000")=$C57)
        ),
        5,
        FALSE
    )="",
    "",
    VLOOKUP(
        $A57,
        _xlfn._xlws.FILTER(
            INDIRECT("'"&amp;K$62&amp;"'!A2:G1000"), (INDIRECT("'"&amp;K$62&amp;"'!B2:B1000")=$B57) * (INDIRECT("'"&amp;K$62&amp;"'!C2:C1000")=$C57)
        ),
        7,
        FALSE
    )
)</f>
        <v/>
      </c>
      <c r="L57" s="58">
        <f t="array" ref="L57">IF(
    VLOOKUP(
        $A57,
        _xlfn._xlws.FILTER(
            INDIRECT("'"&amp;L$62&amp;"'!A2:G1000"), (INDIRECT("'"&amp;L$62&amp;"'!B2:B1000")=$B57) * (INDIRECT("'"&amp;L$62&amp;"'!C2:C1000")=$C57)
        ),
        5,
        FALSE
    )="",
    "",
    VLOOKUP(
        $A57,
        _xlfn._xlws.FILTER(
            INDIRECT("'"&amp;L$62&amp;"'!A2:G1000"), (INDIRECT("'"&amp;L$62&amp;"'!B2:B1000")=$B57) * (INDIRECT("'"&amp;L$62&amp;"'!C2:C1000")=$C57)
        ),
        7,
        FALSE
    )
)</f>
        <v/>
      </c>
      <c r="M57" s="58">
        <f t="array" ref="M57">IF(
    VLOOKUP(
        $A57,
        _xlfn._xlws.FILTER(
            INDIRECT("'"&amp;M$62&amp;"'!A2:G1000"), (INDIRECT("'"&amp;M$62&amp;"'!B2:B1000")=$B57) * (INDIRECT("'"&amp;M$62&amp;"'!C2:C1000")=$C57)
        ),
        5,
        FALSE
    )="",
    "",
    VLOOKUP(
        $A57,
        _xlfn._xlws.FILTER(
            INDIRECT("'"&amp;M$62&amp;"'!A2:G1000"), (INDIRECT("'"&amp;M$62&amp;"'!B2:B1000")=$B57) * (INDIRECT("'"&amp;M$62&amp;"'!C2:C1000")=$C57)
        ),
        7,
        FALSE
    )
)</f>
        <v/>
      </c>
      <c r="N57" s="58">
        <f t="array" ref="N57">IF(
    VLOOKUP(
        $A57,
        _xlfn._xlws.FILTER(
            INDIRECT("'"&amp;N$62&amp;"'!A2:G1000"), (INDIRECT("'"&amp;N$62&amp;"'!B2:B1000")=$B57) * (INDIRECT("'"&amp;N$62&amp;"'!C2:C1000")=$C57)
        ),
        5,
        FALSE
    )="",
    "",
    VLOOKUP(
        $A57,
        _xlfn._xlws.FILTER(
            INDIRECT("'"&amp;N$62&amp;"'!A2:G1000"), (INDIRECT("'"&amp;N$62&amp;"'!B2:B1000")=$B57) * (INDIRECT("'"&amp;N$62&amp;"'!C2:C1000")=$C57)
        ),
        7,
        FALSE
    )
)</f>
        <v/>
      </c>
      <c r="O57" s="58">
        <f t="array" ref="O57">IF(
    VLOOKUP(
        $A57,
        _xlfn._xlws.FILTER(
            INDIRECT("'"&amp;O$62&amp;"'!A2:G1000"), (INDIRECT("'"&amp;O$62&amp;"'!B2:B1000")=$B57) * (INDIRECT("'"&amp;O$62&amp;"'!C2:C1000")=$C57)
        ),
        5,
        FALSE
    )="",
    "",
    VLOOKUP(
        $A57,
        _xlfn._xlws.FILTER(
            INDIRECT("'"&amp;O$62&amp;"'!A2:G1000"), (INDIRECT("'"&amp;O$62&amp;"'!B2:B1000")=$B57) * (INDIRECT("'"&amp;O$62&amp;"'!C2:C1000")=$C57)
        ),
        7,
        FALSE
    )
)</f>
        <v/>
      </c>
      <c r="P57" s="58">
        <f t="array" ref="P57">IF(
    VLOOKUP(
        $A57,
        _xlfn._xlws.FILTER(
            INDIRECT("'"&amp;P$62&amp;"'!A2:G1000"), (INDIRECT("'"&amp;P$62&amp;"'!B2:B1000")=$B57) * (INDIRECT("'"&amp;P$62&amp;"'!C2:C1000")=$C57)
        ),
        5,
        FALSE
    )="",
    "",
    VLOOKUP(
        $A57,
        _xlfn._xlws.FILTER(
            INDIRECT("'"&amp;P$62&amp;"'!A2:G1000"), (INDIRECT("'"&amp;P$62&amp;"'!B2:B1000")=$B57) * (INDIRECT("'"&amp;P$62&amp;"'!C2:C1000")=$C57)
        ),
        7,
        FALSE
    )
)</f>
        <v/>
      </c>
    </row>
    <row r="58">
      <c r="A58" s="33" t="inlineStr">
        <is>
          <t>Maringá</t>
        </is>
      </c>
      <c r="B58" s="85" t="inlineStr">
        <is>
          <t>Nova Tebas</t>
        </is>
      </c>
      <c r="C58" s="85" t="inlineStr">
        <is>
          <t>01</t>
        </is>
      </c>
      <c r="D58" s="58">
        <f t="array" ref="D58">IF(
    VLOOKUP(
        $A58,
        _xlfn._xlws.FILTER(
            INDIRECT("'"&amp;D$62&amp;"'!A2:G1000"), (INDIRECT("'"&amp;D$62&amp;"'!B2:B1000")=$B58) * (INDIRECT("'"&amp;D$62&amp;"'!C2:C1000")=$C58)
        ),
        5,
        FALSE
    )="",
    "",
    VLOOKUP(
        $A58,
        _xlfn._xlws.FILTER(
            INDIRECT("'"&amp;D$62&amp;"'!A2:G1000"), (INDIRECT("'"&amp;D$62&amp;"'!B2:B1000")=$B58) * (INDIRECT("'"&amp;D$62&amp;"'!C2:C1000")=$C58)
        ),
        7,
        FALSE
    )
)</f>
        <v/>
      </c>
      <c r="E58" s="58">
        <f t="array" ref="E58">IF(
    VLOOKUP(
        $A58,
        _xlfn._xlws.FILTER(
            INDIRECT("'"&amp;E$62&amp;"'!A2:G1000"), (INDIRECT("'"&amp;E$62&amp;"'!B2:B1000")=$B58) * (INDIRECT("'"&amp;E$62&amp;"'!C2:C1000")=$C58)
        ),
        5,
        FALSE
    )="",
    "",
    VLOOKUP(
        $A58,
        _xlfn._xlws.FILTER(
            INDIRECT("'"&amp;E$62&amp;"'!A2:G1000"), (INDIRECT("'"&amp;E$62&amp;"'!B2:B1000")=$B58) * (INDIRECT("'"&amp;E$62&amp;"'!C2:C1000")=$C58)
        ),
        7,
        FALSE
    )
)</f>
        <v/>
      </c>
      <c r="F58" s="58">
        <f t="array" ref="F58">IF(
    VLOOKUP(
        $A58,
        _xlfn._xlws.FILTER(
            INDIRECT("'"&amp;F$62&amp;"'!A2:G1000"), (INDIRECT("'"&amp;F$62&amp;"'!B2:B1000")=$B58) * (INDIRECT("'"&amp;F$62&amp;"'!C2:C1000")=$C58)
        ),
        5,
        FALSE
    )="",
    "",
    VLOOKUP(
        $A58,
        _xlfn._xlws.FILTER(
            INDIRECT("'"&amp;F$62&amp;"'!A2:G1000"), (INDIRECT("'"&amp;F$62&amp;"'!B2:B1000")=$B58) * (INDIRECT("'"&amp;F$62&amp;"'!C2:C1000")=$C58)
        ),
        7,
        FALSE
    )
)</f>
        <v/>
      </c>
      <c r="G58" s="58">
        <f t="array" ref="G58">IF(
    VLOOKUP(
        $A58,
        _xlfn._xlws.FILTER(
            INDIRECT("'"&amp;G$62&amp;"'!A2:G1000"), (INDIRECT("'"&amp;G$62&amp;"'!B2:B1000")=$B58) * (INDIRECT("'"&amp;G$62&amp;"'!C2:C1000")=$C58)
        ),
        5,
        FALSE
    )="",
    "",
    VLOOKUP(
        $A58,
        _xlfn._xlws.FILTER(
            INDIRECT("'"&amp;G$62&amp;"'!A2:G1000"), (INDIRECT("'"&amp;G$62&amp;"'!B2:B1000")=$B58) * (INDIRECT("'"&amp;G$62&amp;"'!C2:C1000")=$C58)
        ),
        7,
        FALSE
    )
)</f>
        <v/>
      </c>
      <c r="H58" s="58">
        <f t="array" ref="H58">IF(
    VLOOKUP(
        $A58,
        _xlfn._xlws.FILTER(
            INDIRECT("'"&amp;H$62&amp;"'!A2:G1000"), (INDIRECT("'"&amp;H$62&amp;"'!B2:B1000")=$B58) * (INDIRECT("'"&amp;H$62&amp;"'!C2:C1000")=$C58)
        ),
        5,
        FALSE
    )="",
    "",
    VLOOKUP(
        $A58,
        _xlfn._xlws.FILTER(
            INDIRECT("'"&amp;H$62&amp;"'!A2:G1000"), (INDIRECT("'"&amp;H$62&amp;"'!B2:B1000")=$B58) * (INDIRECT("'"&amp;H$62&amp;"'!C2:C1000")=$C58)
        ),
        7,
        FALSE
    )
)</f>
        <v/>
      </c>
      <c r="I58" s="58">
        <f t="array" ref="I58">IF(
    VLOOKUP(
        $A58,
        _xlfn._xlws.FILTER(
            INDIRECT("'"&amp;I$62&amp;"'!A2:G1000"), (INDIRECT("'"&amp;I$62&amp;"'!B2:B1000")=$B58) * (INDIRECT("'"&amp;I$62&amp;"'!C2:C1000")=$C58)
        ),
        5,
        FALSE
    )="",
    "",
    VLOOKUP(
        $A58,
        _xlfn._xlws.FILTER(
            INDIRECT("'"&amp;I$62&amp;"'!A2:G1000"), (INDIRECT("'"&amp;I$62&amp;"'!B2:B1000")=$B58) * (INDIRECT("'"&amp;I$62&amp;"'!C2:C1000")=$C58)
        ),
        7,
        FALSE
    )
)</f>
        <v/>
      </c>
      <c r="J58" s="58">
        <f t="array" ref="J58">IF(
    VLOOKUP(
        $A58,
        _xlfn._xlws.FILTER(
            INDIRECT("'"&amp;J$62&amp;"'!A2:G1000"), (INDIRECT("'"&amp;J$62&amp;"'!B2:B1000")=$B58) * (INDIRECT("'"&amp;J$62&amp;"'!C2:C1000")=$C58)
        ),
        5,
        FALSE
    )="",
    "",
    VLOOKUP(
        $A58,
        _xlfn._xlws.FILTER(
            INDIRECT("'"&amp;J$62&amp;"'!A2:G1000"), (INDIRECT("'"&amp;J$62&amp;"'!B2:B1000")=$B58) * (INDIRECT("'"&amp;J$62&amp;"'!C2:C1000")=$C58)
        ),
        7,
        FALSE
    )
)</f>
        <v/>
      </c>
      <c r="K58" s="58">
        <f t="array" ref="K58">IF(
    VLOOKUP(
        $A58,
        _xlfn._xlws.FILTER(
            INDIRECT("'"&amp;K$62&amp;"'!A2:G1000"), (INDIRECT("'"&amp;K$62&amp;"'!B2:B1000")=$B58) * (INDIRECT("'"&amp;K$62&amp;"'!C2:C1000")=$C58)
        ),
        5,
        FALSE
    )="",
    "",
    VLOOKUP(
        $A58,
        _xlfn._xlws.FILTER(
            INDIRECT("'"&amp;K$62&amp;"'!A2:G1000"), (INDIRECT("'"&amp;K$62&amp;"'!B2:B1000")=$B58) * (INDIRECT("'"&amp;K$62&amp;"'!C2:C1000")=$C58)
        ),
        7,
        FALSE
    )
)</f>
        <v/>
      </c>
      <c r="L58" s="58">
        <f t="array" ref="L58">IF(
    VLOOKUP(
        $A58,
        _xlfn._xlws.FILTER(
            INDIRECT("'"&amp;L$62&amp;"'!A2:G1000"), (INDIRECT("'"&amp;L$62&amp;"'!B2:B1000")=$B58) * (INDIRECT("'"&amp;L$62&amp;"'!C2:C1000")=$C58)
        ),
        5,
        FALSE
    )="",
    "",
    VLOOKUP(
        $A58,
        _xlfn._xlws.FILTER(
            INDIRECT("'"&amp;L$62&amp;"'!A2:G1000"), (INDIRECT("'"&amp;L$62&amp;"'!B2:B1000")=$B58) * (INDIRECT("'"&amp;L$62&amp;"'!C2:C1000")=$C58)
        ),
        7,
        FALSE
    )
)</f>
        <v/>
      </c>
      <c r="M58" s="58">
        <f t="array" ref="M58">IF(
    VLOOKUP(
        $A58,
        _xlfn._xlws.FILTER(
            INDIRECT("'"&amp;M$62&amp;"'!A2:G1000"), (INDIRECT("'"&amp;M$62&amp;"'!B2:B1000")=$B58) * (INDIRECT("'"&amp;M$62&amp;"'!C2:C1000")=$C58)
        ),
        5,
        FALSE
    )="",
    "",
    VLOOKUP(
        $A58,
        _xlfn._xlws.FILTER(
            INDIRECT("'"&amp;M$62&amp;"'!A2:G1000"), (INDIRECT("'"&amp;M$62&amp;"'!B2:B1000")=$B58) * (INDIRECT("'"&amp;M$62&amp;"'!C2:C1000")=$C58)
        ),
        7,
        FALSE
    )
)</f>
        <v/>
      </c>
      <c r="N58" s="58">
        <f t="array" ref="N58">IF(
    VLOOKUP(
        $A58,
        _xlfn._xlws.FILTER(
            INDIRECT("'"&amp;N$62&amp;"'!A2:G1000"), (INDIRECT("'"&amp;N$62&amp;"'!B2:B1000")=$B58) * (INDIRECT("'"&amp;N$62&amp;"'!C2:C1000")=$C58)
        ),
        5,
        FALSE
    )="",
    "",
    VLOOKUP(
        $A58,
        _xlfn._xlws.FILTER(
            INDIRECT("'"&amp;N$62&amp;"'!A2:G1000"), (INDIRECT("'"&amp;N$62&amp;"'!B2:B1000")=$B58) * (INDIRECT("'"&amp;N$62&amp;"'!C2:C1000")=$C58)
        ),
        7,
        FALSE
    )
)</f>
        <v/>
      </c>
      <c r="O58" s="58">
        <f t="array" ref="O58">IF(
    VLOOKUP(
        $A58,
        _xlfn._xlws.FILTER(
            INDIRECT("'"&amp;O$62&amp;"'!A2:G1000"), (INDIRECT("'"&amp;O$62&amp;"'!B2:B1000")=$B58) * (INDIRECT("'"&amp;O$62&amp;"'!C2:C1000")=$C58)
        ),
        5,
        FALSE
    )="",
    "",
    VLOOKUP(
        $A58,
        _xlfn._xlws.FILTER(
            INDIRECT("'"&amp;O$62&amp;"'!A2:G1000"), (INDIRECT("'"&amp;O$62&amp;"'!B2:B1000")=$B58) * (INDIRECT("'"&amp;O$62&amp;"'!C2:C1000")=$C58)
        ),
        7,
        FALSE
    )
)</f>
        <v/>
      </c>
      <c r="P58" s="58">
        <f t="array" ref="P58">IF(
    VLOOKUP(
        $A58,
        _xlfn._xlws.FILTER(
            INDIRECT("'"&amp;P$62&amp;"'!A2:G1000"), (INDIRECT("'"&amp;P$62&amp;"'!B2:B1000")=$B58) * (INDIRECT("'"&amp;P$62&amp;"'!C2:C1000")=$C58)
        ),
        5,
        FALSE
    )="",
    "",
    VLOOKUP(
        $A58,
        _xlfn._xlws.FILTER(
            INDIRECT("'"&amp;P$62&amp;"'!A2:G1000"), (INDIRECT("'"&amp;P$62&amp;"'!B2:B1000")=$B58) * (INDIRECT("'"&amp;P$62&amp;"'!C2:C1000")=$C58)
        ),
        7,
        FALSE
    )
)</f>
        <v/>
      </c>
    </row>
    <row r="59">
      <c r="A59" s="33" t="inlineStr">
        <is>
          <t>Maringá</t>
        </is>
      </c>
      <c r="B59" s="85" t="inlineStr">
        <is>
          <t>Presidente Castelo Branco</t>
        </is>
      </c>
      <c r="C59" s="85" t="inlineStr">
        <is>
          <t>01</t>
        </is>
      </c>
      <c r="D59" s="58">
        <f t="array" ref="D59">IF(
    VLOOKUP(
        $A59,
        _xlfn._xlws.FILTER(
            INDIRECT("'"&amp;D$62&amp;"'!A2:G1000"), (INDIRECT("'"&amp;D$62&amp;"'!B2:B1000")=$B59) * (INDIRECT("'"&amp;D$62&amp;"'!C2:C1000")=$C59)
        ),
        5,
        FALSE
    )="",
    "",
    VLOOKUP(
        $A59,
        _xlfn._xlws.FILTER(
            INDIRECT("'"&amp;D$62&amp;"'!A2:G1000"), (INDIRECT("'"&amp;D$62&amp;"'!B2:B1000")=$B59) * (INDIRECT("'"&amp;D$62&amp;"'!C2:C1000")=$C59)
        ),
        7,
        FALSE
    )
)</f>
        <v/>
      </c>
      <c r="E59" s="58">
        <f t="array" ref="E59">IF(
    VLOOKUP(
        $A59,
        _xlfn._xlws.FILTER(
            INDIRECT("'"&amp;E$62&amp;"'!A2:G1000"), (INDIRECT("'"&amp;E$62&amp;"'!B2:B1000")=$B59) * (INDIRECT("'"&amp;E$62&amp;"'!C2:C1000")=$C59)
        ),
        5,
        FALSE
    )="",
    "",
    VLOOKUP(
        $A59,
        _xlfn._xlws.FILTER(
            INDIRECT("'"&amp;E$62&amp;"'!A2:G1000"), (INDIRECT("'"&amp;E$62&amp;"'!B2:B1000")=$B59) * (INDIRECT("'"&amp;E$62&amp;"'!C2:C1000")=$C59)
        ),
        7,
        FALSE
    )
)</f>
        <v/>
      </c>
      <c r="F59" s="58">
        <f t="array" ref="F59">IF(
    VLOOKUP(
        $A59,
        _xlfn._xlws.FILTER(
            INDIRECT("'"&amp;F$62&amp;"'!A2:G1000"), (INDIRECT("'"&amp;F$62&amp;"'!B2:B1000")=$B59) * (INDIRECT("'"&amp;F$62&amp;"'!C2:C1000")=$C59)
        ),
        5,
        FALSE
    )="",
    "",
    VLOOKUP(
        $A59,
        _xlfn._xlws.FILTER(
            INDIRECT("'"&amp;F$62&amp;"'!A2:G1000"), (INDIRECT("'"&amp;F$62&amp;"'!B2:B1000")=$B59) * (INDIRECT("'"&amp;F$62&amp;"'!C2:C1000")=$C59)
        ),
        7,
        FALSE
    )
)</f>
        <v/>
      </c>
      <c r="G59" s="58">
        <f t="array" ref="G59">IF(
    VLOOKUP(
        $A59,
        _xlfn._xlws.FILTER(
            INDIRECT("'"&amp;G$62&amp;"'!A2:G1000"), (INDIRECT("'"&amp;G$62&amp;"'!B2:B1000")=$B59) * (INDIRECT("'"&amp;G$62&amp;"'!C2:C1000")=$C59)
        ),
        5,
        FALSE
    )="",
    "",
    VLOOKUP(
        $A59,
        _xlfn._xlws.FILTER(
            INDIRECT("'"&amp;G$62&amp;"'!A2:G1000"), (INDIRECT("'"&amp;G$62&amp;"'!B2:B1000")=$B59) * (INDIRECT("'"&amp;G$62&amp;"'!C2:C1000")=$C59)
        ),
        7,
        FALSE
    )
)</f>
        <v/>
      </c>
      <c r="H59" s="58">
        <f t="array" ref="H59">IF(
    VLOOKUP(
        $A59,
        _xlfn._xlws.FILTER(
            INDIRECT("'"&amp;H$62&amp;"'!A2:G1000"), (INDIRECT("'"&amp;H$62&amp;"'!B2:B1000")=$B59) * (INDIRECT("'"&amp;H$62&amp;"'!C2:C1000")=$C59)
        ),
        5,
        FALSE
    )="",
    "",
    VLOOKUP(
        $A59,
        _xlfn._xlws.FILTER(
            INDIRECT("'"&amp;H$62&amp;"'!A2:G1000"), (INDIRECT("'"&amp;H$62&amp;"'!B2:B1000")=$B59) * (INDIRECT("'"&amp;H$62&amp;"'!C2:C1000")=$C59)
        ),
        7,
        FALSE
    )
)</f>
        <v/>
      </c>
      <c r="I59" s="58">
        <f t="array" ref="I59">IF(
    VLOOKUP(
        $A59,
        _xlfn._xlws.FILTER(
            INDIRECT("'"&amp;I$62&amp;"'!A2:G1000"), (INDIRECT("'"&amp;I$62&amp;"'!B2:B1000")=$B59) * (INDIRECT("'"&amp;I$62&amp;"'!C2:C1000")=$C59)
        ),
        5,
        FALSE
    )="",
    "",
    VLOOKUP(
        $A59,
        _xlfn._xlws.FILTER(
            INDIRECT("'"&amp;I$62&amp;"'!A2:G1000"), (INDIRECT("'"&amp;I$62&amp;"'!B2:B1000")=$B59) * (INDIRECT("'"&amp;I$62&amp;"'!C2:C1000")=$C59)
        ),
        7,
        FALSE
    )
)</f>
        <v/>
      </c>
      <c r="J59" s="58">
        <f t="array" ref="J59">IF(
    VLOOKUP(
        $A59,
        _xlfn._xlws.FILTER(
            INDIRECT("'"&amp;J$62&amp;"'!A2:G1000"), (INDIRECT("'"&amp;J$62&amp;"'!B2:B1000")=$B59) * (INDIRECT("'"&amp;J$62&amp;"'!C2:C1000")=$C59)
        ),
        5,
        FALSE
    )="",
    "",
    VLOOKUP(
        $A59,
        _xlfn._xlws.FILTER(
            INDIRECT("'"&amp;J$62&amp;"'!A2:G1000"), (INDIRECT("'"&amp;J$62&amp;"'!B2:B1000")=$B59) * (INDIRECT("'"&amp;J$62&amp;"'!C2:C1000")=$C59)
        ),
        7,
        FALSE
    )
)</f>
        <v/>
      </c>
      <c r="K59" s="58">
        <f t="array" ref="K59">IF(
    VLOOKUP(
        $A59,
        _xlfn._xlws.FILTER(
            INDIRECT("'"&amp;K$62&amp;"'!A2:G1000"), (INDIRECT("'"&amp;K$62&amp;"'!B2:B1000")=$B59) * (INDIRECT("'"&amp;K$62&amp;"'!C2:C1000")=$C59)
        ),
        5,
        FALSE
    )="",
    "",
    VLOOKUP(
        $A59,
        _xlfn._xlws.FILTER(
            INDIRECT("'"&amp;K$62&amp;"'!A2:G1000"), (INDIRECT("'"&amp;K$62&amp;"'!B2:B1000")=$B59) * (INDIRECT("'"&amp;K$62&amp;"'!C2:C1000")=$C59)
        ),
        7,
        FALSE
    )
)</f>
        <v/>
      </c>
      <c r="L59" s="58">
        <f t="array" ref="L59">IF(
    VLOOKUP(
        $A59,
        _xlfn._xlws.FILTER(
            INDIRECT("'"&amp;L$62&amp;"'!A2:G1000"), (INDIRECT("'"&amp;L$62&amp;"'!B2:B1000")=$B59) * (INDIRECT("'"&amp;L$62&amp;"'!C2:C1000")=$C59)
        ),
        5,
        FALSE
    )="",
    "",
    VLOOKUP(
        $A59,
        _xlfn._xlws.FILTER(
            INDIRECT("'"&amp;L$62&amp;"'!A2:G1000"), (INDIRECT("'"&amp;L$62&amp;"'!B2:B1000")=$B59) * (INDIRECT("'"&amp;L$62&amp;"'!C2:C1000")=$C59)
        ),
        7,
        FALSE
    )
)</f>
        <v/>
      </c>
      <c r="M59" s="58">
        <f t="array" ref="M59">IF(
    VLOOKUP(
        $A59,
        _xlfn._xlws.FILTER(
            INDIRECT("'"&amp;M$62&amp;"'!A2:G1000"), (INDIRECT("'"&amp;M$62&amp;"'!B2:B1000")=$B59) * (INDIRECT("'"&amp;M$62&amp;"'!C2:C1000")=$C59)
        ),
        5,
        FALSE
    )="",
    "",
    VLOOKUP(
        $A59,
        _xlfn._xlws.FILTER(
            INDIRECT("'"&amp;M$62&amp;"'!A2:G1000"), (INDIRECT("'"&amp;M$62&amp;"'!B2:B1000")=$B59) * (INDIRECT("'"&amp;M$62&amp;"'!C2:C1000")=$C59)
        ),
        7,
        FALSE
    )
)</f>
        <v/>
      </c>
      <c r="N59" s="58">
        <f t="array" ref="N59">IF(
    VLOOKUP(
        $A59,
        _xlfn._xlws.FILTER(
            INDIRECT("'"&amp;N$62&amp;"'!A2:G1000"), (INDIRECT("'"&amp;N$62&amp;"'!B2:B1000")=$B59) * (INDIRECT("'"&amp;N$62&amp;"'!C2:C1000")=$C59)
        ),
        5,
        FALSE
    )="",
    "",
    VLOOKUP(
        $A59,
        _xlfn._xlws.FILTER(
            INDIRECT("'"&amp;N$62&amp;"'!A2:G1000"), (INDIRECT("'"&amp;N$62&amp;"'!B2:B1000")=$B59) * (INDIRECT("'"&amp;N$62&amp;"'!C2:C1000")=$C59)
        ),
        7,
        FALSE
    )
)</f>
        <v/>
      </c>
      <c r="O59" s="58">
        <f t="array" ref="O59">IF(
    VLOOKUP(
        $A59,
        _xlfn._xlws.FILTER(
            INDIRECT("'"&amp;O$62&amp;"'!A2:G1000"), (INDIRECT("'"&amp;O$62&amp;"'!B2:B1000")=$B59) * (INDIRECT("'"&amp;O$62&amp;"'!C2:C1000")=$C59)
        ),
        5,
        FALSE
    )="",
    "",
    VLOOKUP(
        $A59,
        _xlfn._xlws.FILTER(
            INDIRECT("'"&amp;O$62&amp;"'!A2:G1000"), (INDIRECT("'"&amp;O$62&amp;"'!B2:B1000")=$B59) * (INDIRECT("'"&amp;O$62&amp;"'!C2:C1000")=$C59)
        ),
        7,
        FALSE
    )
)</f>
        <v/>
      </c>
      <c r="P59" s="58">
        <f t="array" ref="P59">IF(
    VLOOKUP(
        $A59,
        _xlfn._xlws.FILTER(
            INDIRECT("'"&amp;P$62&amp;"'!A2:G1000"), (INDIRECT("'"&amp;P$62&amp;"'!B2:B1000")=$B59) * (INDIRECT("'"&amp;P$62&amp;"'!C2:C1000")=$C59)
        ),
        5,
        FALSE
    )="",
    "",
    VLOOKUP(
        $A59,
        _xlfn._xlws.FILTER(
            INDIRECT("'"&amp;P$62&amp;"'!A2:G1000"), (INDIRECT("'"&amp;P$62&amp;"'!B2:B1000")=$B59) * (INDIRECT("'"&amp;P$62&amp;"'!C2:C1000")=$C59)
        ),
        7,
        FALSE
    )
)</f>
        <v/>
      </c>
    </row>
    <row r="60">
      <c r="A60" s="33" t="inlineStr">
        <is>
          <t>Maringá</t>
        </is>
      </c>
      <c r="B60" s="85" t="inlineStr">
        <is>
          <t>São João Do Ivaí</t>
        </is>
      </c>
      <c r="C60" s="85" t="inlineStr">
        <is>
          <t>01</t>
        </is>
      </c>
      <c r="D60" s="58">
        <f t="array" ref="D60">IF(
    VLOOKUP(
        $A60,
        _xlfn._xlws.FILTER(
            INDIRECT("'"&amp;D$62&amp;"'!A2:G1000"), (INDIRECT("'"&amp;D$62&amp;"'!B2:B1000")=$B60) * (INDIRECT("'"&amp;D$62&amp;"'!C2:C1000")=$C60)
        ),
        5,
        FALSE
    )="",
    "",
    VLOOKUP(
        $A60,
        _xlfn._xlws.FILTER(
            INDIRECT("'"&amp;D$62&amp;"'!A2:G1000"), (INDIRECT("'"&amp;D$62&amp;"'!B2:B1000")=$B60) * (INDIRECT("'"&amp;D$62&amp;"'!C2:C1000")=$C60)
        ),
        7,
        FALSE
    )
)</f>
        <v/>
      </c>
      <c r="E60" s="58">
        <f t="array" ref="E60">IF(
    VLOOKUP(
        $A60,
        _xlfn._xlws.FILTER(
            INDIRECT("'"&amp;E$62&amp;"'!A2:G1000"), (INDIRECT("'"&amp;E$62&amp;"'!B2:B1000")=$B60) * (INDIRECT("'"&amp;E$62&amp;"'!C2:C1000")=$C60)
        ),
        5,
        FALSE
    )="",
    "",
    VLOOKUP(
        $A60,
        _xlfn._xlws.FILTER(
            INDIRECT("'"&amp;E$62&amp;"'!A2:G1000"), (INDIRECT("'"&amp;E$62&amp;"'!B2:B1000")=$B60) * (INDIRECT("'"&amp;E$62&amp;"'!C2:C1000")=$C60)
        ),
        7,
        FALSE
    )
)</f>
        <v/>
      </c>
      <c r="F60" s="58">
        <f t="array" ref="F60">IF(
    VLOOKUP(
        $A60,
        _xlfn._xlws.FILTER(
            INDIRECT("'"&amp;F$62&amp;"'!A2:G1000"), (INDIRECT("'"&amp;F$62&amp;"'!B2:B1000")=$B60) * (INDIRECT("'"&amp;F$62&amp;"'!C2:C1000")=$C60)
        ),
        5,
        FALSE
    )="",
    "",
    VLOOKUP(
        $A60,
        _xlfn._xlws.FILTER(
            INDIRECT("'"&amp;F$62&amp;"'!A2:G1000"), (INDIRECT("'"&amp;F$62&amp;"'!B2:B1000")=$B60) * (INDIRECT("'"&amp;F$62&amp;"'!C2:C1000")=$C60)
        ),
        7,
        FALSE
    )
)</f>
        <v/>
      </c>
      <c r="G60" s="58">
        <f t="array" ref="G60">IF(
    VLOOKUP(
        $A60,
        _xlfn._xlws.FILTER(
            INDIRECT("'"&amp;G$62&amp;"'!A2:G1000"), (INDIRECT("'"&amp;G$62&amp;"'!B2:B1000")=$B60) * (INDIRECT("'"&amp;G$62&amp;"'!C2:C1000")=$C60)
        ),
        5,
        FALSE
    )="",
    "",
    VLOOKUP(
        $A60,
        _xlfn._xlws.FILTER(
            INDIRECT("'"&amp;G$62&amp;"'!A2:G1000"), (INDIRECT("'"&amp;G$62&amp;"'!B2:B1000")=$B60) * (INDIRECT("'"&amp;G$62&amp;"'!C2:C1000")=$C60)
        ),
        7,
        FALSE
    )
)</f>
        <v/>
      </c>
      <c r="H60" s="58">
        <f t="array" ref="H60">IF(
    VLOOKUP(
        $A60,
        _xlfn._xlws.FILTER(
            INDIRECT("'"&amp;H$62&amp;"'!A2:G1000"), (INDIRECT("'"&amp;H$62&amp;"'!B2:B1000")=$B60) * (INDIRECT("'"&amp;H$62&amp;"'!C2:C1000")=$C60)
        ),
        5,
        FALSE
    )="",
    "",
    VLOOKUP(
        $A60,
        _xlfn._xlws.FILTER(
            INDIRECT("'"&amp;H$62&amp;"'!A2:G1000"), (INDIRECT("'"&amp;H$62&amp;"'!B2:B1000")=$B60) * (INDIRECT("'"&amp;H$62&amp;"'!C2:C1000")=$C60)
        ),
        7,
        FALSE
    )
)</f>
        <v/>
      </c>
      <c r="I60" s="58">
        <f t="array" ref="I60">IF(
    VLOOKUP(
        $A60,
        _xlfn._xlws.FILTER(
            INDIRECT("'"&amp;I$62&amp;"'!A2:G1000"), (INDIRECT("'"&amp;I$62&amp;"'!B2:B1000")=$B60) * (INDIRECT("'"&amp;I$62&amp;"'!C2:C1000")=$C60)
        ),
        5,
        FALSE
    )="",
    "",
    VLOOKUP(
        $A60,
        _xlfn._xlws.FILTER(
            INDIRECT("'"&amp;I$62&amp;"'!A2:G1000"), (INDIRECT("'"&amp;I$62&amp;"'!B2:B1000")=$B60) * (INDIRECT("'"&amp;I$62&amp;"'!C2:C1000")=$C60)
        ),
        7,
        FALSE
    )
)</f>
        <v/>
      </c>
      <c r="J60" s="58">
        <f t="array" ref="J60">IF(
    VLOOKUP(
        $A60,
        _xlfn._xlws.FILTER(
            INDIRECT("'"&amp;J$62&amp;"'!A2:G1000"), (INDIRECT("'"&amp;J$62&amp;"'!B2:B1000")=$B60) * (INDIRECT("'"&amp;J$62&amp;"'!C2:C1000")=$C60)
        ),
        5,
        FALSE
    )="",
    "",
    VLOOKUP(
        $A60,
        _xlfn._xlws.FILTER(
            INDIRECT("'"&amp;J$62&amp;"'!A2:G1000"), (INDIRECT("'"&amp;J$62&amp;"'!B2:B1000")=$B60) * (INDIRECT("'"&amp;J$62&amp;"'!C2:C1000")=$C60)
        ),
        7,
        FALSE
    )
)</f>
        <v/>
      </c>
      <c r="K60" s="58">
        <f t="array" ref="K60">IF(
    VLOOKUP(
        $A60,
        _xlfn._xlws.FILTER(
            INDIRECT("'"&amp;K$62&amp;"'!A2:G1000"), (INDIRECT("'"&amp;K$62&amp;"'!B2:B1000")=$B60) * (INDIRECT("'"&amp;K$62&amp;"'!C2:C1000")=$C60)
        ),
        5,
        FALSE
    )="",
    "",
    VLOOKUP(
        $A60,
        _xlfn._xlws.FILTER(
            INDIRECT("'"&amp;K$62&amp;"'!A2:G1000"), (INDIRECT("'"&amp;K$62&amp;"'!B2:B1000")=$B60) * (INDIRECT("'"&amp;K$62&amp;"'!C2:C1000")=$C60)
        ),
        7,
        FALSE
    )
)</f>
        <v/>
      </c>
      <c r="L60" s="58">
        <f t="array" ref="L60">IF(
    VLOOKUP(
        $A60,
        _xlfn._xlws.FILTER(
            INDIRECT("'"&amp;L$62&amp;"'!A2:G1000"), (INDIRECT("'"&amp;L$62&amp;"'!B2:B1000")=$B60) * (INDIRECT("'"&amp;L$62&amp;"'!C2:C1000")=$C60)
        ),
        5,
        FALSE
    )="",
    "",
    VLOOKUP(
        $A60,
        _xlfn._xlws.FILTER(
            INDIRECT("'"&amp;L$62&amp;"'!A2:G1000"), (INDIRECT("'"&amp;L$62&amp;"'!B2:B1000")=$B60) * (INDIRECT("'"&amp;L$62&amp;"'!C2:C1000")=$C60)
        ),
        7,
        FALSE
    )
)</f>
        <v/>
      </c>
      <c r="M60" s="58">
        <f t="array" ref="M60">IF(
    VLOOKUP(
        $A60,
        _xlfn._xlws.FILTER(
            INDIRECT("'"&amp;M$62&amp;"'!A2:G1000"), (INDIRECT("'"&amp;M$62&amp;"'!B2:B1000")=$B60) * (INDIRECT("'"&amp;M$62&amp;"'!C2:C1000")=$C60)
        ),
        5,
        FALSE
    )="",
    "",
    VLOOKUP(
        $A60,
        _xlfn._xlws.FILTER(
            INDIRECT("'"&amp;M$62&amp;"'!A2:G1000"), (INDIRECT("'"&amp;M$62&amp;"'!B2:B1000")=$B60) * (INDIRECT("'"&amp;M$62&amp;"'!C2:C1000")=$C60)
        ),
        7,
        FALSE
    )
)</f>
        <v/>
      </c>
      <c r="N60" s="58">
        <f t="array" ref="N60">IF(
    VLOOKUP(
        $A60,
        _xlfn._xlws.FILTER(
            INDIRECT("'"&amp;N$62&amp;"'!A2:G1000"), (INDIRECT("'"&amp;N$62&amp;"'!B2:B1000")=$B60) * (INDIRECT("'"&amp;N$62&amp;"'!C2:C1000")=$C60)
        ),
        5,
        FALSE
    )="",
    "",
    VLOOKUP(
        $A60,
        _xlfn._xlws.FILTER(
            INDIRECT("'"&amp;N$62&amp;"'!A2:G1000"), (INDIRECT("'"&amp;N$62&amp;"'!B2:B1000")=$B60) * (INDIRECT("'"&amp;N$62&amp;"'!C2:C1000")=$C60)
        ),
        7,
        FALSE
    )
)</f>
        <v/>
      </c>
      <c r="O60" s="58">
        <f t="array" ref="O60">IF(
    VLOOKUP(
        $A60,
        _xlfn._xlws.FILTER(
            INDIRECT("'"&amp;O$62&amp;"'!A2:G1000"), (INDIRECT("'"&amp;O$62&amp;"'!B2:B1000")=$B60) * (INDIRECT("'"&amp;O$62&amp;"'!C2:C1000")=$C60)
        ),
        5,
        FALSE
    )="",
    "",
    VLOOKUP(
        $A60,
        _xlfn._xlws.FILTER(
            INDIRECT("'"&amp;O$62&amp;"'!A2:G1000"), (INDIRECT("'"&amp;O$62&amp;"'!B2:B1000")=$B60) * (INDIRECT("'"&amp;O$62&amp;"'!C2:C1000")=$C60)
        ),
        7,
        FALSE
    )
)</f>
        <v/>
      </c>
      <c r="P60" s="58">
        <f t="array" ref="P60">IF(
    VLOOKUP(
        $A60,
        _xlfn._xlws.FILTER(
            INDIRECT("'"&amp;P$62&amp;"'!A2:G1000"), (INDIRECT("'"&amp;P$62&amp;"'!B2:B1000")=$B60) * (INDIRECT("'"&amp;P$62&amp;"'!C2:C1000")=$C60)
        ),
        5,
        FALSE
    )="",
    "",
    VLOOKUP(
        $A60,
        _xlfn._xlws.FILTER(
            INDIRECT("'"&amp;P$62&amp;"'!A2:G1000"), (INDIRECT("'"&amp;P$62&amp;"'!B2:B1000")=$B60) * (INDIRECT("'"&amp;P$62&amp;"'!C2:C1000")=$C60)
        ),
        7,
        FALSE
    )
)</f>
        <v/>
      </c>
    </row>
    <row r="61">
      <c r="A61" s="76" t="n"/>
      <c r="B61" s="76" t="n"/>
      <c r="C61" s="76" t="n"/>
      <c r="D61" s="76" t="n"/>
      <c r="E61" s="76" t="n"/>
      <c r="F61" s="76" t="n"/>
      <c r="G61" s="76" t="n"/>
      <c r="H61" s="76" t="n"/>
      <c r="I61" s="76" t="n"/>
      <c r="J61" s="76" t="n"/>
      <c r="K61" s="76" t="n"/>
      <c r="L61" s="76" t="n"/>
      <c r="M61" s="76" t="n"/>
      <c r="N61" s="76" t="n"/>
      <c r="O61" s="76" t="n"/>
      <c r="P61" s="76" t="n"/>
    </row>
    <row r="62" ht="15.75" customHeight="1">
      <c r="A62" s="38" t="inlineStr">
        <is>
          <t>Mário</t>
        </is>
      </c>
      <c r="B62" s="84" t="inlineStr">
        <is>
          <t>Municípios</t>
        </is>
      </c>
      <c r="C62" s="84" t="inlineStr">
        <is>
          <t>UVR</t>
        </is>
      </c>
      <c r="D62" s="4" t="inlineStr">
        <is>
          <t>01.25</t>
        </is>
      </c>
      <c r="E62" s="4" t="inlineStr">
        <is>
          <t>02.25</t>
        </is>
      </c>
      <c r="F62" s="4" t="inlineStr">
        <is>
          <t>03.25</t>
        </is>
      </c>
      <c r="G62" s="4" t="inlineStr">
        <is>
          <t>04.25</t>
        </is>
      </c>
      <c r="H62" s="4" t="inlineStr">
        <is>
          <t>05.25</t>
        </is>
      </c>
      <c r="I62" s="4" t="inlineStr">
        <is>
          <t>06.25</t>
        </is>
      </c>
      <c r="J62" s="4" t="inlineStr">
        <is>
          <t>07.25</t>
        </is>
      </c>
      <c r="K62" s="4" t="inlineStr">
        <is>
          <t>08.25</t>
        </is>
      </c>
      <c r="L62" s="4" t="inlineStr">
        <is>
          <t>09.25</t>
        </is>
      </c>
      <c r="M62" s="4" t="inlineStr">
        <is>
          <t>09.25</t>
        </is>
      </c>
      <c r="N62" s="4" t="inlineStr">
        <is>
          <t>10.25</t>
        </is>
      </c>
      <c r="O62" s="4" t="inlineStr">
        <is>
          <t>11.25</t>
        </is>
      </c>
      <c r="P62" s="4" t="inlineStr">
        <is>
          <t>12.25</t>
        </is>
      </c>
    </row>
    <row r="63">
      <c r="A63" s="37" t="inlineStr">
        <is>
          <t>Paranavaí</t>
        </is>
      </c>
      <c r="B63" s="85" t="inlineStr">
        <is>
          <t>Alto Paraná</t>
        </is>
      </c>
      <c r="C63" s="85" t="inlineStr">
        <is>
          <t>01</t>
        </is>
      </c>
      <c r="D63" s="58">
        <f t="array" ref="D63">IF(
    VLOOKUP(
        $A63,
        _xlfn._xlws.FILTER(
            INDIRECT("'"&amp;D$62&amp;"'!A2:G1000"), (INDIRECT("'"&amp;D$62&amp;"'!B2:B1000")=$B63) * (INDIRECT("'"&amp;D$62&amp;"'!C2:C1000")=$C63)
        ),
        5,
        FALSE
    )="",
    "",
    VLOOKUP(
        $A63,
        _xlfn._xlws.FILTER(
            INDIRECT("'"&amp;D$62&amp;"'!A2:G1000"), (INDIRECT("'"&amp;D$62&amp;"'!B2:B1000")=$B63) * (INDIRECT("'"&amp;D$62&amp;"'!C2:C1000")=$C63)
        ),
        7,
        FALSE
    )
)</f>
        <v/>
      </c>
      <c r="E63" s="58">
        <f t="array" ref="E63">IF(
    VLOOKUP(
        $A63,
        _xlfn._xlws.FILTER(
            INDIRECT("'"&amp;E$62&amp;"'!A2:G1000"), (INDIRECT("'"&amp;E$62&amp;"'!B2:B1000")=$B63) * (INDIRECT("'"&amp;E$62&amp;"'!C2:C1000")=$C63)
        ),
        5,
        FALSE
    )="",
    "",
    VLOOKUP(
        $A63,
        _xlfn._xlws.FILTER(
            INDIRECT("'"&amp;E$62&amp;"'!A2:G1000"), (INDIRECT("'"&amp;E$62&amp;"'!B2:B1000")=$B63) * (INDIRECT("'"&amp;E$62&amp;"'!C2:C1000")=$C63)
        ),
        7,
        FALSE
    )
)</f>
        <v/>
      </c>
      <c r="F63" s="58">
        <f t="array" ref="F63">IF(
    VLOOKUP(
        $A63,
        _xlfn._xlws.FILTER(
            INDIRECT("'"&amp;F$62&amp;"'!A2:G1000"), (INDIRECT("'"&amp;F$62&amp;"'!B2:B1000")=$B63) * (INDIRECT("'"&amp;F$62&amp;"'!C2:C1000")=$C63)
        ),
        5,
        FALSE
    )="",
    "",
    VLOOKUP(
        $A63,
        _xlfn._xlws.FILTER(
            INDIRECT("'"&amp;F$62&amp;"'!A2:G1000"), (INDIRECT("'"&amp;F$62&amp;"'!B2:B1000")=$B63) * (INDIRECT("'"&amp;F$62&amp;"'!C2:C1000")=$C63)
        ),
        7,
        FALSE
    )
)</f>
        <v/>
      </c>
      <c r="G63" s="58">
        <f t="array" ref="G63">IF(
    VLOOKUP(
        $A63,
        _xlfn._xlws.FILTER(
            INDIRECT("'"&amp;G$62&amp;"'!A2:G1000"), (INDIRECT("'"&amp;G$62&amp;"'!B2:B1000")=$B63) * (INDIRECT("'"&amp;G$62&amp;"'!C2:C1000")=$C63)
        ),
        5,
        FALSE
    )="",
    "",
    VLOOKUP(
        $A63,
        _xlfn._xlws.FILTER(
            INDIRECT("'"&amp;G$62&amp;"'!A2:G1000"), (INDIRECT("'"&amp;G$62&amp;"'!B2:B1000")=$B63) * (INDIRECT("'"&amp;G$62&amp;"'!C2:C1000")=$C63)
        ),
        7,
        FALSE
    )
)</f>
        <v/>
      </c>
      <c r="H63" s="58">
        <f t="array" ref="H63">IF(
    VLOOKUP(
        $A63,
        _xlfn._xlws.FILTER(
            INDIRECT("'"&amp;H$62&amp;"'!A2:G1000"), (INDIRECT("'"&amp;H$62&amp;"'!B2:B1000")=$B63) * (INDIRECT("'"&amp;H$62&amp;"'!C2:C1000")=$C63)
        ),
        5,
        FALSE
    )="",
    "",
    VLOOKUP(
        $A63,
        _xlfn._xlws.FILTER(
            INDIRECT("'"&amp;H$62&amp;"'!A2:G1000"), (INDIRECT("'"&amp;H$62&amp;"'!B2:B1000")=$B63) * (INDIRECT("'"&amp;H$62&amp;"'!C2:C1000")=$C63)
        ),
        7,
        FALSE
    )
)</f>
        <v/>
      </c>
      <c r="I63" s="58">
        <f t="array" ref="I63">IF(
    VLOOKUP(
        $A63,
        _xlfn._xlws.FILTER(
            INDIRECT("'"&amp;I$62&amp;"'!A2:G1000"), (INDIRECT("'"&amp;I$62&amp;"'!B2:B1000")=$B63) * (INDIRECT("'"&amp;I$62&amp;"'!C2:C1000")=$C63)
        ),
        5,
        FALSE
    )="",
    "",
    VLOOKUP(
        $A63,
        _xlfn._xlws.FILTER(
            INDIRECT("'"&amp;I$62&amp;"'!A2:G1000"), (INDIRECT("'"&amp;I$62&amp;"'!B2:B1000")=$B63) * (INDIRECT("'"&amp;I$62&amp;"'!C2:C1000")=$C63)
        ),
        7,
        FALSE
    )
)</f>
        <v/>
      </c>
      <c r="J63" s="58">
        <f t="array" ref="J63">IF(
    VLOOKUP(
        $A63,
        _xlfn._xlws.FILTER(
            INDIRECT("'"&amp;J$62&amp;"'!A2:G1000"), (INDIRECT("'"&amp;J$62&amp;"'!B2:B1000")=$B63) * (INDIRECT("'"&amp;J$62&amp;"'!C2:C1000")=$C63)
        ),
        5,
        FALSE
    )="",
    "",
    VLOOKUP(
        $A63,
        _xlfn._xlws.FILTER(
            INDIRECT("'"&amp;J$62&amp;"'!A2:G1000"), (INDIRECT("'"&amp;J$62&amp;"'!B2:B1000")=$B63) * (INDIRECT("'"&amp;J$62&amp;"'!C2:C1000")=$C63)
        ),
        7,
        FALSE
    )
)</f>
        <v/>
      </c>
      <c r="K63" s="58">
        <f t="array" ref="K63">IF(
    VLOOKUP(
        $A63,
        _xlfn._xlws.FILTER(
            INDIRECT("'"&amp;K$62&amp;"'!A2:G1000"), (INDIRECT("'"&amp;K$62&amp;"'!B2:B1000")=$B63) * (INDIRECT("'"&amp;K$62&amp;"'!C2:C1000")=$C63)
        ),
        5,
        FALSE
    )="",
    "",
    VLOOKUP(
        $A63,
        _xlfn._xlws.FILTER(
            INDIRECT("'"&amp;K$62&amp;"'!A2:G1000"), (INDIRECT("'"&amp;K$62&amp;"'!B2:B1000")=$B63) * (INDIRECT("'"&amp;K$62&amp;"'!C2:C1000")=$C63)
        ),
        7,
        FALSE
    )
)</f>
        <v/>
      </c>
      <c r="L63" s="58">
        <f t="array" ref="L63">IF(
    VLOOKUP(
        $A63,
        _xlfn._xlws.FILTER(
            INDIRECT("'"&amp;L$62&amp;"'!A2:G1000"), (INDIRECT("'"&amp;L$62&amp;"'!B2:B1000")=$B63) * (INDIRECT("'"&amp;L$62&amp;"'!C2:C1000")=$C63)
        ),
        5,
        FALSE
    )="",
    "",
    VLOOKUP(
        $A63,
        _xlfn._xlws.FILTER(
            INDIRECT("'"&amp;L$62&amp;"'!A2:G1000"), (INDIRECT("'"&amp;L$62&amp;"'!B2:B1000")=$B63) * (INDIRECT("'"&amp;L$62&amp;"'!C2:C1000")=$C63)
        ),
        7,
        FALSE
    )
)</f>
        <v/>
      </c>
      <c r="M63" s="58">
        <f t="array" ref="M63">IF(
    VLOOKUP(
        $A63,
        _xlfn._xlws.FILTER(
            INDIRECT("'"&amp;M$62&amp;"'!A2:G1000"), (INDIRECT("'"&amp;M$62&amp;"'!B2:B1000")=$B63) * (INDIRECT("'"&amp;M$62&amp;"'!C2:C1000")=$C63)
        ),
        5,
        FALSE
    )="",
    "",
    VLOOKUP(
        $A63,
        _xlfn._xlws.FILTER(
            INDIRECT("'"&amp;M$62&amp;"'!A2:G1000"), (INDIRECT("'"&amp;M$62&amp;"'!B2:B1000")=$B63) * (INDIRECT("'"&amp;M$62&amp;"'!C2:C1000")=$C63)
        ),
        7,
        FALSE
    )
)</f>
        <v/>
      </c>
      <c r="N63" s="58">
        <f t="array" ref="N63">IF(
    VLOOKUP(
        $A63,
        _xlfn._xlws.FILTER(
            INDIRECT("'"&amp;N$62&amp;"'!A2:G1000"), (INDIRECT("'"&amp;N$62&amp;"'!B2:B1000")=$B63) * (INDIRECT("'"&amp;N$62&amp;"'!C2:C1000")=$C63)
        ),
        5,
        FALSE
    )="",
    "",
    VLOOKUP(
        $A63,
        _xlfn._xlws.FILTER(
            INDIRECT("'"&amp;N$62&amp;"'!A2:G1000"), (INDIRECT("'"&amp;N$62&amp;"'!B2:B1000")=$B63) * (INDIRECT("'"&amp;N$62&amp;"'!C2:C1000")=$C63)
        ),
        7,
        FALSE
    )
)</f>
        <v/>
      </c>
      <c r="O63" s="58">
        <f t="array" ref="O63">IF(
    VLOOKUP(
        $A63,
        _xlfn._xlws.FILTER(
            INDIRECT("'"&amp;O$62&amp;"'!A2:G1000"), (INDIRECT("'"&amp;O$62&amp;"'!B2:B1000")=$B63) * (INDIRECT("'"&amp;O$62&amp;"'!C2:C1000")=$C63)
        ),
        5,
        FALSE
    )="",
    "",
    VLOOKUP(
        $A63,
        _xlfn._xlws.FILTER(
            INDIRECT("'"&amp;O$62&amp;"'!A2:G1000"), (INDIRECT("'"&amp;O$62&amp;"'!B2:B1000")=$B63) * (INDIRECT("'"&amp;O$62&amp;"'!C2:C1000")=$C63)
        ),
        7,
        FALSE
    )
)</f>
        <v/>
      </c>
      <c r="P63" s="58">
        <f t="array" ref="P63">IF(
    VLOOKUP(
        $A63,
        _xlfn._xlws.FILTER(
            INDIRECT("'"&amp;P$62&amp;"'!A2:G1000"), (INDIRECT("'"&amp;P$62&amp;"'!B2:B1000")=$B63) * (INDIRECT("'"&amp;P$62&amp;"'!C2:C1000")=$C63)
        ),
        5,
        FALSE
    )="",
    "",
    VLOOKUP(
        $A63,
        _xlfn._xlws.FILTER(
            INDIRECT("'"&amp;P$62&amp;"'!A2:G1000"), (INDIRECT("'"&amp;P$62&amp;"'!B2:B1000")=$B63) * (INDIRECT("'"&amp;P$62&amp;"'!C2:C1000")=$C63)
        ),
        7,
        FALSE
    )
)</f>
        <v/>
      </c>
    </row>
    <row r="64">
      <c r="A64" s="37" t="inlineStr">
        <is>
          <t>Paranavaí</t>
        </is>
      </c>
      <c r="B64" s="85" t="inlineStr">
        <is>
          <t>Amaporã</t>
        </is>
      </c>
      <c r="C64" s="85" t="inlineStr">
        <is>
          <t>01</t>
        </is>
      </c>
      <c r="D64" s="58">
        <f t="array" ref="D64">IF(
    VLOOKUP(
        $A64,
        _xlfn._xlws.FILTER(
            INDIRECT("'"&amp;D$62&amp;"'!A2:G1000"), (INDIRECT("'"&amp;D$62&amp;"'!B2:B1000")=$B64) * (INDIRECT("'"&amp;D$62&amp;"'!C2:C1000")=$C64)
        ),
        5,
        FALSE
    )="",
    "",
    VLOOKUP(
        $A64,
        _xlfn._xlws.FILTER(
            INDIRECT("'"&amp;D$62&amp;"'!A2:G1000"), (INDIRECT("'"&amp;D$62&amp;"'!B2:B1000")=$B64) * (INDIRECT("'"&amp;D$62&amp;"'!C2:C1000")=$C64)
        ),
        7,
        FALSE
    )
)</f>
        <v/>
      </c>
      <c r="E64" s="58">
        <f t="array" ref="E64">IF(
    VLOOKUP(
        $A64,
        _xlfn._xlws.FILTER(
            INDIRECT("'"&amp;E$62&amp;"'!A2:G1000"), (INDIRECT("'"&amp;E$62&amp;"'!B2:B1000")=$B64) * (INDIRECT("'"&amp;E$62&amp;"'!C2:C1000")=$C64)
        ),
        5,
        FALSE
    )="",
    "",
    VLOOKUP(
        $A64,
        _xlfn._xlws.FILTER(
            INDIRECT("'"&amp;E$62&amp;"'!A2:G1000"), (INDIRECT("'"&amp;E$62&amp;"'!B2:B1000")=$B64) * (INDIRECT("'"&amp;E$62&amp;"'!C2:C1000")=$C64)
        ),
        7,
        FALSE
    )
)</f>
        <v/>
      </c>
      <c r="F64" s="58">
        <f t="array" ref="F64">IF(
    VLOOKUP(
        $A64,
        _xlfn._xlws.FILTER(
            INDIRECT("'"&amp;F$62&amp;"'!A2:G1000"), (INDIRECT("'"&amp;F$62&amp;"'!B2:B1000")=$B64) * (INDIRECT("'"&amp;F$62&amp;"'!C2:C1000")=$C64)
        ),
        5,
        FALSE
    )="",
    "",
    VLOOKUP(
        $A64,
        _xlfn._xlws.FILTER(
            INDIRECT("'"&amp;F$62&amp;"'!A2:G1000"), (INDIRECT("'"&amp;F$62&amp;"'!B2:B1000")=$B64) * (INDIRECT("'"&amp;F$62&amp;"'!C2:C1000")=$C64)
        ),
        7,
        FALSE
    )
)</f>
        <v/>
      </c>
      <c r="G64" s="58">
        <f t="array" ref="G64">IF(
    VLOOKUP(
        $A64,
        _xlfn._xlws.FILTER(
            INDIRECT("'"&amp;G$62&amp;"'!A2:G1000"), (INDIRECT("'"&amp;G$62&amp;"'!B2:B1000")=$B64) * (INDIRECT("'"&amp;G$62&amp;"'!C2:C1000")=$C64)
        ),
        5,
        FALSE
    )="",
    "",
    VLOOKUP(
        $A64,
        _xlfn._xlws.FILTER(
            INDIRECT("'"&amp;G$62&amp;"'!A2:G1000"), (INDIRECT("'"&amp;G$62&amp;"'!B2:B1000")=$B64) * (INDIRECT("'"&amp;G$62&amp;"'!C2:C1000")=$C64)
        ),
        7,
        FALSE
    )
)</f>
        <v/>
      </c>
      <c r="H64" s="58">
        <f t="array" ref="H64">IF(
    VLOOKUP(
        $A64,
        _xlfn._xlws.FILTER(
            INDIRECT("'"&amp;H$62&amp;"'!A2:G1000"), (INDIRECT("'"&amp;H$62&amp;"'!B2:B1000")=$B64) * (INDIRECT("'"&amp;H$62&amp;"'!C2:C1000")=$C64)
        ),
        5,
        FALSE
    )="",
    "",
    VLOOKUP(
        $A64,
        _xlfn._xlws.FILTER(
            INDIRECT("'"&amp;H$62&amp;"'!A2:G1000"), (INDIRECT("'"&amp;H$62&amp;"'!B2:B1000")=$B64) * (INDIRECT("'"&amp;H$62&amp;"'!C2:C1000")=$C64)
        ),
        7,
        FALSE
    )
)</f>
        <v/>
      </c>
      <c r="I64" s="58">
        <f t="array" ref="I64">IF(
    VLOOKUP(
        $A64,
        _xlfn._xlws.FILTER(
            INDIRECT("'"&amp;I$62&amp;"'!A2:G1000"), (INDIRECT("'"&amp;I$62&amp;"'!B2:B1000")=$B64) * (INDIRECT("'"&amp;I$62&amp;"'!C2:C1000")=$C64)
        ),
        5,
        FALSE
    )="",
    "",
    VLOOKUP(
        $A64,
        _xlfn._xlws.FILTER(
            INDIRECT("'"&amp;I$62&amp;"'!A2:G1000"), (INDIRECT("'"&amp;I$62&amp;"'!B2:B1000")=$B64) * (INDIRECT("'"&amp;I$62&amp;"'!C2:C1000")=$C64)
        ),
        7,
        FALSE
    )
)</f>
        <v/>
      </c>
      <c r="J64" s="58">
        <f t="array" ref="J64">IF(
    VLOOKUP(
        $A64,
        _xlfn._xlws.FILTER(
            INDIRECT("'"&amp;J$62&amp;"'!A2:G1000"), (INDIRECT("'"&amp;J$62&amp;"'!B2:B1000")=$B64) * (INDIRECT("'"&amp;J$62&amp;"'!C2:C1000")=$C64)
        ),
        5,
        FALSE
    )="",
    "",
    VLOOKUP(
        $A64,
        _xlfn._xlws.FILTER(
            INDIRECT("'"&amp;J$62&amp;"'!A2:G1000"), (INDIRECT("'"&amp;J$62&amp;"'!B2:B1000")=$B64) * (INDIRECT("'"&amp;J$62&amp;"'!C2:C1000")=$C64)
        ),
        7,
        FALSE
    )
)</f>
        <v/>
      </c>
      <c r="K64" s="58">
        <f t="array" ref="K64">IF(
    VLOOKUP(
        $A64,
        _xlfn._xlws.FILTER(
            INDIRECT("'"&amp;K$62&amp;"'!A2:G1000"), (INDIRECT("'"&amp;K$62&amp;"'!B2:B1000")=$B64) * (INDIRECT("'"&amp;K$62&amp;"'!C2:C1000")=$C64)
        ),
        5,
        FALSE
    )="",
    "",
    VLOOKUP(
        $A64,
        _xlfn._xlws.FILTER(
            INDIRECT("'"&amp;K$62&amp;"'!A2:G1000"), (INDIRECT("'"&amp;K$62&amp;"'!B2:B1000")=$B64) * (INDIRECT("'"&amp;K$62&amp;"'!C2:C1000")=$C64)
        ),
        7,
        FALSE
    )
)</f>
        <v/>
      </c>
      <c r="L64" s="58">
        <f t="array" ref="L64">IF(
    VLOOKUP(
        $A64,
        _xlfn._xlws.FILTER(
            INDIRECT("'"&amp;L$62&amp;"'!A2:G1000"), (INDIRECT("'"&amp;L$62&amp;"'!B2:B1000")=$B64) * (INDIRECT("'"&amp;L$62&amp;"'!C2:C1000")=$C64)
        ),
        5,
        FALSE
    )="",
    "",
    VLOOKUP(
        $A64,
        _xlfn._xlws.FILTER(
            INDIRECT("'"&amp;L$62&amp;"'!A2:G1000"), (INDIRECT("'"&amp;L$62&amp;"'!B2:B1000")=$B64) * (INDIRECT("'"&amp;L$62&amp;"'!C2:C1000")=$C64)
        ),
        7,
        FALSE
    )
)</f>
        <v/>
      </c>
      <c r="M64" s="58">
        <f t="array" ref="M64">IF(
    VLOOKUP(
        $A64,
        _xlfn._xlws.FILTER(
            INDIRECT("'"&amp;M$62&amp;"'!A2:G1000"), (INDIRECT("'"&amp;M$62&amp;"'!B2:B1000")=$B64) * (INDIRECT("'"&amp;M$62&amp;"'!C2:C1000")=$C64)
        ),
        5,
        FALSE
    )="",
    "",
    VLOOKUP(
        $A64,
        _xlfn._xlws.FILTER(
            INDIRECT("'"&amp;M$62&amp;"'!A2:G1000"), (INDIRECT("'"&amp;M$62&amp;"'!B2:B1000")=$B64) * (INDIRECT("'"&amp;M$62&amp;"'!C2:C1000")=$C64)
        ),
        7,
        FALSE
    )
)</f>
        <v/>
      </c>
      <c r="N64" s="58">
        <f t="array" ref="N64">IF(
    VLOOKUP(
        $A64,
        _xlfn._xlws.FILTER(
            INDIRECT("'"&amp;N$62&amp;"'!A2:G1000"), (INDIRECT("'"&amp;N$62&amp;"'!B2:B1000")=$B64) * (INDIRECT("'"&amp;N$62&amp;"'!C2:C1000")=$C64)
        ),
        5,
        FALSE
    )="",
    "",
    VLOOKUP(
        $A64,
        _xlfn._xlws.FILTER(
            INDIRECT("'"&amp;N$62&amp;"'!A2:G1000"), (INDIRECT("'"&amp;N$62&amp;"'!B2:B1000")=$B64) * (INDIRECT("'"&amp;N$62&amp;"'!C2:C1000")=$C64)
        ),
        7,
        FALSE
    )
)</f>
        <v/>
      </c>
      <c r="O64" s="58">
        <f t="array" ref="O64">IF(
    VLOOKUP(
        $A64,
        _xlfn._xlws.FILTER(
            INDIRECT("'"&amp;O$62&amp;"'!A2:G1000"), (INDIRECT("'"&amp;O$62&amp;"'!B2:B1000")=$B64) * (INDIRECT("'"&amp;O$62&amp;"'!C2:C1000")=$C64)
        ),
        5,
        FALSE
    )="",
    "",
    VLOOKUP(
        $A64,
        _xlfn._xlws.FILTER(
            INDIRECT("'"&amp;O$62&amp;"'!A2:G1000"), (INDIRECT("'"&amp;O$62&amp;"'!B2:B1000")=$B64) * (INDIRECT("'"&amp;O$62&amp;"'!C2:C1000")=$C64)
        ),
        7,
        FALSE
    )
)</f>
        <v/>
      </c>
      <c r="P64" s="58">
        <f t="array" ref="P64">IF(
    VLOOKUP(
        $A64,
        _xlfn._xlws.FILTER(
            INDIRECT("'"&amp;P$62&amp;"'!A2:G1000"), (INDIRECT("'"&amp;P$62&amp;"'!B2:B1000")=$B64) * (INDIRECT("'"&amp;P$62&amp;"'!C2:C1000")=$C64)
        ),
        5,
        FALSE
    )="",
    "",
    VLOOKUP(
        $A64,
        _xlfn._xlws.FILTER(
            INDIRECT("'"&amp;P$62&amp;"'!A2:G1000"), (INDIRECT("'"&amp;P$62&amp;"'!B2:B1000")=$B64) * (INDIRECT("'"&amp;P$62&amp;"'!C2:C1000")=$C64)
        ),
        7,
        FALSE
    )
)</f>
        <v/>
      </c>
    </row>
    <row r="65">
      <c r="A65" s="37" t="inlineStr">
        <is>
          <t>Paranavaí</t>
        </is>
      </c>
      <c r="B65" s="85" t="inlineStr">
        <is>
          <t>Colorado</t>
        </is>
      </c>
      <c r="C65" s="85" t="inlineStr">
        <is>
          <t>01</t>
        </is>
      </c>
      <c r="D65" s="58">
        <f t="array" ref="D65">IF(
    VLOOKUP(
        $A65,
        _xlfn._xlws.FILTER(
            INDIRECT("'"&amp;D$62&amp;"'!A2:G1000"), (INDIRECT("'"&amp;D$62&amp;"'!B2:B1000")=$B65) * (INDIRECT("'"&amp;D$62&amp;"'!C2:C1000")=$C65)
        ),
        5,
        FALSE
    )="",
    "",
    VLOOKUP(
        $A65,
        _xlfn._xlws.FILTER(
            INDIRECT("'"&amp;D$62&amp;"'!A2:G1000"), (INDIRECT("'"&amp;D$62&amp;"'!B2:B1000")=$B65) * (INDIRECT("'"&amp;D$62&amp;"'!C2:C1000")=$C65)
        ),
        7,
        FALSE
    )
)</f>
        <v/>
      </c>
      <c r="E65" s="58">
        <f t="array" ref="E65">IF(
    VLOOKUP(
        $A65,
        _xlfn._xlws.FILTER(
            INDIRECT("'"&amp;E$62&amp;"'!A2:G1000"), (INDIRECT("'"&amp;E$62&amp;"'!B2:B1000")=$B65) * (INDIRECT("'"&amp;E$62&amp;"'!C2:C1000")=$C65)
        ),
        5,
        FALSE
    )="",
    "",
    VLOOKUP(
        $A65,
        _xlfn._xlws.FILTER(
            INDIRECT("'"&amp;E$62&amp;"'!A2:G1000"), (INDIRECT("'"&amp;E$62&amp;"'!B2:B1000")=$B65) * (INDIRECT("'"&amp;E$62&amp;"'!C2:C1000")=$C65)
        ),
        7,
        FALSE
    )
)</f>
        <v/>
      </c>
      <c r="F65" s="58">
        <f t="array" ref="F65">IF(
    VLOOKUP(
        $A65,
        _xlfn._xlws.FILTER(
            INDIRECT("'"&amp;F$62&amp;"'!A2:G1000"), (INDIRECT("'"&amp;F$62&amp;"'!B2:B1000")=$B65) * (INDIRECT("'"&amp;F$62&amp;"'!C2:C1000")=$C65)
        ),
        5,
        FALSE
    )="",
    "",
    VLOOKUP(
        $A65,
        _xlfn._xlws.FILTER(
            INDIRECT("'"&amp;F$62&amp;"'!A2:G1000"), (INDIRECT("'"&amp;F$62&amp;"'!B2:B1000")=$B65) * (INDIRECT("'"&amp;F$62&amp;"'!C2:C1000")=$C65)
        ),
        7,
        FALSE
    )
)</f>
        <v/>
      </c>
      <c r="G65" s="58">
        <f t="array" ref="G65">IF(
    VLOOKUP(
        $A65,
        _xlfn._xlws.FILTER(
            INDIRECT("'"&amp;G$62&amp;"'!A2:G1000"), (INDIRECT("'"&amp;G$62&amp;"'!B2:B1000")=$B65) * (INDIRECT("'"&amp;G$62&amp;"'!C2:C1000")=$C65)
        ),
        5,
        FALSE
    )="",
    "",
    VLOOKUP(
        $A65,
        _xlfn._xlws.FILTER(
            INDIRECT("'"&amp;G$62&amp;"'!A2:G1000"), (INDIRECT("'"&amp;G$62&amp;"'!B2:B1000")=$B65) * (INDIRECT("'"&amp;G$62&amp;"'!C2:C1000")=$C65)
        ),
        7,
        FALSE
    )
)</f>
        <v/>
      </c>
      <c r="H65" s="58">
        <f t="array" ref="H65">IF(
    VLOOKUP(
        $A65,
        _xlfn._xlws.FILTER(
            INDIRECT("'"&amp;H$62&amp;"'!A2:G1000"), (INDIRECT("'"&amp;H$62&amp;"'!B2:B1000")=$B65) * (INDIRECT("'"&amp;H$62&amp;"'!C2:C1000")=$C65)
        ),
        5,
        FALSE
    )="",
    "",
    VLOOKUP(
        $A65,
        _xlfn._xlws.FILTER(
            INDIRECT("'"&amp;H$62&amp;"'!A2:G1000"), (INDIRECT("'"&amp;H$62&amp;"'!B2:B1000")=$B65) * (INDIRECT("'"&amp;H$62&amp;"'!C2:C1000")=$C65)
        ),
        7,
        FALSE
    )
)</f>
        <v/>
      </c>
      <c r="I65" s="58">
        <f t="array" ref="I65">IF(
    VLOOKUP(
        $A65,
        _xlfn._xlws.FILTER(
            INDIRECT("'"&amp;I$62&amp;"'!A2:G1000"), (INDIRECT("'"&amp;I$62&amp;"'!B2:B1000")=$B65) * (INDIRECT("'"&amp;I$62&amp;"'!C2:C1000")=$C65)
        ),
        5,
        FALSE
    )="",
    "",
    VLOOKUP(
        $A65,
        _xlfn._xlws.FILTER(
            INDIRECT("'"&amp;I$62&amp;"'!A2:G1000"), (INDIRECT("'"&amp;I$62&amp;"'!B2:B1000")=$B65) * (INDIRECT("'"&amp;I$62&amp;"'!C2:C1000")=$C65)
        ),
        7,
        FALSE
    )
)</f>
        <v/>
      </c>
      <c r="J65" s="58">
        <f t="array" ref="J65">IF(
    VLOOKUP(
        $A65,
        _xlfn._xlws.FILTER(
            INDIRECT("'"&amp;J$62&amp;"'!A2:G1000"), (INDIRECT("'"&amp;J$62&amp;"'!B2:B1000")=$B65) * (INDIRECT("'"&amp;J$62&amp;"'!C2:C1000")=$C65)
        ),
        5,
        FALSE
    )="",
    "",
    VLOOKUP(
        $A65,
        _xlfn._xlws.FILTER(
            INDIRECT("'"&amp;J$62&amp;"'!A2:G1000"), (INDIRECT("'"&amp;J$62&amp;"'!B2:B1000")=$B65) * (INDIRECT("'"&amp;J$62&amp;"'!C2:C1000")=$C65)
        ),
        7,
        FALSE
    )
)</f>
        <v/>
      </c>
      <c r="K65" s="58">
        <f t="array" ref="K65">IF(
    VLOOKUP(
        $A65,
        _xlfn._xlws.FILTER(
            INDIRECT("'"&amp;K$62&amp;"'!A2:G1000"), (INDIRECT("'"&amp;K$62&amp;"'!B2:B1000")=$B65) * (INDIRECT("'"&amp;K$62&amp;"'!C2:C1000")=$C65)
        ),
        5,
        FALSE
    )="",
    "",
    VLOOKUP(
        $A65,
        _xlfn._xlws.FILTER(
            INDIRECT("'"&amp;K$62&amp;"'!A2:G1000"), (INDIRECT("'"&amp;K$62&amp;"'!B2:B1000")=$B65) * (INDIRECT("'"&amp;K$62&amp;"'!C2:C1000")=$C65)
        ),
        7,
        FALSE
    )
)</f>
        <v/>
      </c>
      <c r="L65" s="58">
        <f t="array" ref="L65">IF(
    VLOOKUP(
        $A65,
        _xlfn._xlws.FILTER(
            INDIRECT("'"&amp;L$62&amp;"'!A2:G1000"), (INDIRECT("'"&amp;L$62&amp;"'!B2:B1000")=$B65) * (INDIRECT("'"&amp;L$62&amp;"'!C2:C1000")=$C65)
        ),
        5,
        FALSE
    )="",
    "",
    VLOOKUP(
        $A65,
        _xlfn._xlws.FILTER(
            INDIRECT("'"&amp;L$62&amp;"'!A2:G1000"), (INDIRECT("'"&amp;L$62&amp;"'!B2:B1000")=$B65) * (INDIRECT("'"&amp;L$62&amp;"'!C2:C1000")=$C65)
        ),
        7,
        FALSE
    )
)</f>
        <v/>
      </c>
      <c r="M65" s="58">
        <f t="array" ref="M65">IF(
    VLOOKUP(
        $A65,
        _xlfn._xlws.FILTER(
            INDIRECT("'"&amp;M$62&amp;"'!A2:G1000"), (INDIRECT("'"&amp;M$62&amp;"'!B2:B1000")=$B65) * (INDIRECT("'"&amp;M$62&amp;"'!C2:C1000")=$C65)
        ),
        5,
        FALSE
    )="",
    "",
    VLOOKUP(
        $A65,
        _xlfn._xlws.FILTER(
            INDIRECT("'"&amp;M$62&amp;"'!A2:G1000"), (INDIRECT("'"&amp;M$62&amp;"'!B2:B1000")=$B65) * (INDIRECT("'"&amp;M$62&amp;"'!C2:C1000")=$C65)
        ),
        7,
        FALSE
    )
)</f>
        <v/>
      </c>
      <c r="N65" s="58">
        <f t="array" ref="N65">IF(
    VLOOKUP(
        $A65,
        _xlfn._xlws.FILTER(
            INDIRECT("'"&amp;N$62&amp;"'!A2:G1000"), (INDIRECT("'"&amp;N$62&amp;"'!B2:B1000")=$B65) * (INDIRECT("'"&amp;N$62&amp;"'!C2:C1000")=$C65)
        ),
        5,
        FALSE
    )="",
    "",
    VLOOKUP(
        $A65,
        _xlfn._xlws.FILTER(
            INDIRECT("'"&amp;N$62&amp;"'!A2:G1000"), (INDIRECT("'"&amp;N$62&amp;"'!B2:B1000")=$B65) * (INDIRECT("'"&amp;N$62&amp;"'!C2:C1000")=$C65)
        ),
        7,
        FALSE
    )
)</f>
        <v/>
      </c>
      <c r="O65" s="58">
        <f t="array" ref="O65">IF(
    VLOOKUP(
        $A65,
        _xlfn._xlws.FILTER(
            INDIRECT("'"&amp;O$62&amp;"'!A2:G1000"), (INDIRECT("'"&amp;O$62&amp;"'!B2:B1000")=$B65) * (INDIRECT("'"&amp;O$62&amp;"'!C2:C1000")=$C65)
        ),
        5,
        FALSE
    )="",
    "",
    VLOOKUP(
        $A65,
        _xlfn._xlws.FILTER(
            INDIRECT("'"&amp;O$62&amp;"'!A2:G1000"), (INDIRECT("'"&amp;O$62&amp;"'!B2:B1000")=$B65) * (INDIRECT("'"&amp;O$62&amp;"'!C2:C1000")=$C65)
        ),
        7,
        FALSE
    )
)</f>
        <v/>
      </c>
      <c r="P65" s="58">
        <f t="array" ref="P65">IF(
    VLOOKUP(
        $A65,
        _xlfn._xlws.FILTER(
            INDIRECT("'"&amp;P$62&amp;"'!A2:G1000"), (INDIRECT("'"&amp;P$62&amp;"'!B2:B1000")=$B65) * (INDIRECT("'"&amp;P$62&amp;"'!C2:C1000")=$C65)
        ),
        5,
        FALSE
    )="",
    "",
    VLOOKUP(
        $A65,
        _xlfn._xlws.FILTER(
            INDIRECT("'"&amp;P$62&amp;"'!A2:G1000"), (INDIRECT("'"&amp;P$62&amp;"'!B2:B1000")=$B65) * (INDIRECT("'"&amp;P$62&amp;"'!C2:C1000")=$C65)
        ),
        7,
        FALSE
    )
)</f>
        <v/>
      </c>
    </row>
    <row r="66">
      <c r="A66" s="37" t="inlineStr">
        <is>
          <t>Paranavaí</t>
        </is>
      </c>
      <c r="B66" s="85" t="inlineStr">
        <is>
          <t>Cruzeiro Do Sul</t>
        </is>
      </c>
      <c r="C66" s="85" t="inlineStr">
        <is>
          <t>01</t>
        </is>
      </c>
      <c r="D66" s="58">
        <f t="array" ref="D66">IF(
    VLOOKUP(
        $A66,
        _xlfn._xlws.FILTER(
            INDIRECT("'"&amp;D$62&amp;"'!A2:G1000"), (INDIRECT("'"&amp;D$62&amp;"'!B2:B1000")=$B66) * (INDIRECT("'"&amp;D$62&amp;"'!C2:C1000")=$C66)
        ),
        5,
        FALSE
    )="",
    "",
    VLOOKUP(
        $A66,
        _xlfn._xlws.FILTER(
            INDIRECT("'"&amp;D$62&amp;"'!A2:G1000"), (INDIRECT("'"&amp;D$62&amp;"'!B2:B1000")=$B66) * (INDIRECT("'"&amp;D$62&amp;"'!C2:C1000")=$C66)
        ),
        7,
        FALSE
    )
)</f>
        <v/>
      </c>
      <c r="E66" s="58">
        <f t="array" ref="E66">IF(
    VLOOKUP(
        $A66,
        _xlfn._xlws.FILTER(
            INDIRECT("'"&amp;E$62&amp;"'!A2:G1000"), (INDIRECT("'"&amp;E$62&amp;"'!B2:B1000")=$B66) * (INDIRECT("'"&amp;E$62&amp;"'!C2:C1000")=$C66)
        ),
        5,
        FALSE
    )="",
    "",
    VLOOKUP(
        $A66,
        _xlfn._xlws.FILTER(
            INDIRECT("'"&amp;E$62&amp;"'!A2:G1000"), (INDIRECT("'"&amp;E$62&amp;"'!B2:B1000")=$B66) * (INDIRECT("'"&amp;E$62&amp;"'!C2:C1000")=$C66)
        ),
        7,
        FALSE
    )
)</f>
        <v/>
      </c>
      <c r="F66" s="58">
        <f t="array" ref="F66">IF(
    VLOOKUP(
        $A66,
        _xlfn._xlws.FILTER(
            INDIRECT("'"&amp;F$62&amp;"'!A2:G1000"), (INDIRECT("'"&amp;F$62&amp;"'!B2:B1000")=$B66) * (INDIRECT("'"&amp;F$62&amp;"'!C2:C1000")=$C66)
        ),
        5,
        FALSE
    )="",
    "",
    VLOOKUP(
        $A66,
        _xlfn._xlws.FILTER(
            INDIRECT("'"&amp;F$62&amp;"'!A2:G1000"), (INDIRECT("'"&amp;F$62&amp;"'!B2:B1000")=$B66) * (INDIRECT("'"&amp;F$62&amp;"'!C2:C1000")=$C66)
        ),
        7,
        FALSE
    )
)</f>
        <v/>
      </c>
      <c r="G66" s="58">
        <f t="array" ref="G66">IF(
    VLOOKUP(
        $A66,
        _xlfn._xlws.FILTER(
            INDIRECT("'"&amp;G$62&amp;"'!A2:G1000"), (INDIRECT("'"&amp;G$62&amp;"'!B2:B1000")=$B66) * (INDIRECT("'"&amp;G$62&amp;"'!C2:C1000")=$C66)
        ),
        5,
        FALSE
    )="",
    "",
    VLOOKUP(
        $A66,
        _xlfn._xlws.FILTER(
            INDIRECT("'"&amp;G$62&amp;"'!A2:G1000"), (INDIRECT("'"&amp;G$62&amp;"'!B2:B1000")=$B66) * (INDIRECT("'"&amp;G$62&amp;"'!C2:C1000")=$C66)
        ),
        7,
        FALSE
    )
)</f>
        <v/>
      </c>
      <c r="H66" s="58">
        <f t="array" ref="H66">IF(
    VLOOKUP(
        $A66,
        _xlfn._xlws.FILTER(
            INDIRECT("'"&amp;H$62&amp;"'!A2:G1000"), (INDIRECT("'"&amp;H$62&amp;"'!B2:B1000")=$B66) * (INDIRECT("'"&amp;H$62&amp;"'!C2:C1000")=$C66)
        ),
        5,
        FALSE
    )="",
    "",
    VLOOKUP(
        $A66,
        _xlfn._xlws.FILTER(
            INDIRECT("'"&amp;H$62&amp;"'!A2:G1000"), (INDIRECT("'"&amp;H$62&amp;"'!B2:B1000")=$B66) * (INDIRECT("'"&amp;H$62&amp;"'!C2:C1000")=$C66)
        ),
        7,
        FALSE
    )
)</f>
        <v/>
      </c>
      <c r="I66" s="58">
        <f t="array" ref="I66">IF(
    VLOOKUP(
        $A66,
        _xlfn._xlws.FILTER(
            INDIRECT("'"&amp;I$62&amp;"'!A2:G1000"), (INDIRECT("'"&amp;I$62&amp;"'!B2:B1000")=$B66) * (INDIRECT("'"&amp;I$62&amp;"'!C2:C1000")=$C66)
        ),
        5,
        FALSE
    )="",
    "",
    VLOOKUP(
        $A66,
        _xlfn._xlws.FILTER(
            INDIRECT("'"&amp;I$62&amp;"'!A2:G1000"), (INDIRECT("'"&amp;I$62&amp;"'!B2:B1000")=$B66) * (INDIRECT("'"&amp;I$62&amp;"'!C2:C1000")=$C66)
        ),
        7,
        FALSE
    )
)</f>
        <v/>
      </c>
      <c r="J66" s="58">
        <f t="array" ref="J66">IF(
    VLOOKUP(
        $A66,
        _xlfn._xlws.FILTER(
            INDIRECT("'"&amp;J$62&amp;"'!A2:G1000"), (INDIRECT("'"&amp;J$62&amp;"'!B2:B1000")=$B66) * (INDIRECT("'"&amp;J$62&amp;"'!C2:C1000")=$C66)
        ),
        5,
        FALSE
    )="",
    "",
    VLOOKUP(
        $A66,
        _xlfn._xlws.FILTER(
            INDIRECT("'"&amp;J$62&amp;"'!A2:G1000"), (INDIRECT("'"&amp;J$62&amp;"'!B2:B1000")=$B66) * (INDIRECT("'"&amp;J$62&amp;"'!C2:C1000")=$C66)
        ),
        7,
        FALSE
    )
)</f>
        <v/>
      </c>
      <c r="K66" s="58">
        <f t="array" ref="K66">IF(
    VLOOKUP(
        $A66,
        _xlfn._xlws.FILTER(
            INDIRECT("'"&amp;K$62&amp;"'!A2:G1000"), (INDIRECT("'"&amp;K$62&amp;"'!B2:B1000")=$B66) * (INDIRECT("'"&amp;K$62&amp;"'!C2:C1000")=$C66)
        ),
        5,
        FALSE
    )="",
    "",
    VLOOKUP(
        $A66,
        _xlfn._xlws.FILTER(
            INDIRECT("'"&amp;K$62&amp;"'!A2:G1000"), (INDIRECT("'"&amp;K$62&amp;"'!B2:B1000")=$B66) * (INDIRECT("'"&amp;K$62&amp;"'!C2:C1000")=$C66)
        ),
        7,
        FALSE
    )
)</f>
        <v/>
      </c>
      <c r="L66" s="58">
        <f t="array" ref="L66">IF(
    VLOOKUP(
        $A66,
        _xlfn._xlws.FILTER(
            INDIRECT("'"&amp;L$62&amp;"'!A2:G1000"), (INDIRECT("'"&amp;L$62&amp;"'!B2:B1000")=$B66) * (INDIRECT("'"&amp;L$62&amp;"'!C2:C1000")=$C66)
        ),
        5,
        FALSE
    )="",
    "",
    VLOOKUP(
        $A66,
        _xlfn._xlws.FILTER(
            INDIRECT("'"&amp;L$62&amp;"'!A2:G1000"), (INDIRECT("'"&amp;L$62&amp;"'!B2:B1000")=$B66) * (INDIRECT("'"&amp;L$62&amp;"'!C2:C1000")=$C66)
        ),
        7,
        FALSE
    )
)</f>
        <v/>
      </c>
      <c r="M66" s="58">
        <f t="array" ref="M66">IF(
    VLOOKUP(
        $A66,
        _xlfn._xlws.FILTER(
            INDIRECT("'"&amp;M$62&amp;"'!A2:G1000"), (INDIRECT("'"&amp;M$62&amp;"'!B2:B1000")=$B66) * (INDIRECT("'"&amp;M$62&amp;"'!C2:C1000")=$C66)
        ),
        5,
        FALSE
    )="",
    "",
    VLOOKUP(
        $A66,
        _xlfn._xlws.FILTER(
            INDIRECT("'"&amp;M$62&amp;"'!A2:G1000"), (INDIRECT("'"&amp;M$62&amp;"'!B2:B1000")=$B66) * (INDIRECT("'"&amp;M$62&amp;"'!C2:C1000")=$C66)
        ),
        7,
        FALSE
    )
)</f>
        <v/>
      </c>
      <c r="N66" s="58">
        <f t="array" ref="N66">IF(
    VLOOKUP(
        $A66,
        _xlfn._xlws.FILTER(
            INDIRECT("'"&amp;N$62&amp;"'!A2:G1000"), (INDIRECT("'"&amp;N$62&amp;"'!B2:B1000")=$B66) * (INDIRECT("'"&amp;N$62&amp;"'!C2:C1000")=$C66)
        ),
        5,
        FALSE
    )="",
    "",
    VLOOKUP(
        $A66,
        _xlfn._xlws.FILTER(
            INDIRECT("'"&amp;N$62&amp;"'!A2:G1000"), (INDIRECT("'"&amp;N$62&amp;"'!B2:B1000")=$B66) * (INDIRECT("'"&amp;N$62&amp;"'!C2:C1000")=$C66)
        ),
        7,
        FALSE
    )
)</f>
        <v/>
      </c>
      <c r="O66" s="58">
        <f t="array" ref="O66">IF(
    VLOOKUP(
        $A66,
        _xlfn._xlws.FILTER(
            INDIRECT("'"&amp;O$62&amp;"'!A2:G1000"), (INDIRECT("'"&amp;O$62&amp;"'!B2:B1000")=$B66) * (INDIRECT("'"&amp;O$62&amp;"'!C2:C1000")=$C66)
        ),
        5,
        FALSE
    )="",
    "",
    VLOOKUP(
        $A66,
        _xlfn._xlws.FILTER(
            INDIRECT("'"&amp;O$62&amp;"'!A2:G1000"), (INDIRECT("'"&amp;O$62&amp;"'!B2:B1000")=$B66) * (INDIRECT("'"&amp;O$62&amp;"'!C2:C1000")=$C66)
        ),
        7,
        FALSE
    )
)</f>
        <v/>
      </c>
      <c r="P66" s="58">
        <f t="array" ref="P66">IF(
    VLOOKUP(
        $A66,
        _xlfn._xlws.FILTER(
            INDIRECT("'"&amp;P$62&amp;"'!A2:G1000"), (INDIRECT("'"&amp;P$62&amp;"'!B2:B1000")=$B66) * (INDIRECT("'"&amp;P$62&amp;"'!C2:C1000")=$C66)
        ),
        5,
        FALSE
    )="",
    "",
    VLOOKUP(
        $A66,
        _xlfn._xlws.FILTER(
            INDIRECT("'"&amp;P$62&amp;"'!A2:G1000"), (INDIRECT("'"&amp;P$62&amp;"'!B2:B1000")=$B66) * (INDIRECT("'"&amp;P$62&amp;"'!C2:C1000")=$C66)
        ),
        7,
        FALSE
    )
)</f>
        <v/>
      </c>
    </row>
    <row r="67">
      <c r="A67" s="37" t="inlineStr">
        <is>
          <t>Paranavaí</t>
        </is>
      </c>
      <c r="B67" s="85" t="inlineStr">
        <is>
          <t>Mandaguaçu</t>
        </is>
      </c>
      <c r="C67" s="85" t="inlineStr">
        <is>
          <t>01</t>
        </is>
      </c>
      <c r="D67" s="58">
        <f t="array" ref="D67">IF(
    VLOOKUP(
        $A67,
        _xlfn._xlws.FILTER(
            INDIRECT("'"&amp;D$62&amp;"'!A2:G1000"), (INDIRECT("'"&amp;D$62&amp;"'!B2:B1000")=$B67) * (INDIRECT("'"&amp;D$62&amp;"'!C2:C1000")=$C67)
        ),
        5,
        FALSE
    )="",
    "",
    VLOOKUP(
        $A67,
        _xlfn._xlws.FILTER(
            INDIRECT("'"&amp;D$62&amp;"'!A2:G1000"), (INDIRECT("'"&amp;D$62&amp;"'!B2:B1000")=$B67) * (INDIRECT("'"&amp;D$62&amp;"'!C2:C1000")=$C67)
        ),
        7,
        FALSE
    )
)</f>
        <v/>
      </c>
      <c r="E67" s="58">
        <f t="array" ref="E67">IF(
    VLOOKUP(
        $A67,
        _xlfn._xlws.FILTER(
            INDIRECT("'"&amp;E$62&amp;"'!A2:G1000"), (INDIRECT("'"&amp;E$62&amp;"'!B2:B1000")=$B67) * (INDIRECT("'"&amp;E$62&amp;"'!C2:C1000")=$C67)
        ),
        5,
        FALSE
    )="",
    "",
    VLOOKUP(
        $A67,
        _xlfn._xlws.FILTER(
            INDIRECT("'"&amp;E$62&amp;"'!A2:G1000"), (INDIRECT("'"&amp;E$62&amp;"'!B2:B1000")=$B67) * (INDIRECT("'"&amp;E$62&amp;"'!C2:C1000")=$C67)
        ),
        7,
        FALSE
    )
)</f>
        <v/>
      </c>
      <c r="F67" s="58">
        <f t="array" ref="F67">IF(
    VLOOKUP(
        $A67,
        _xlfn._xlws.FILTER(
            INDIRECT("'"&amp;F$62&amp;"'!A2:G1000"), (INDIRECT("'"&amp;F$62&amp;"'!B2:B1000")=$B67) * (INDIRECT("'"&amp;F$62&amp;"'!C2:C1000")=$C67)
        ),
        5,
        FALSE
    )="",
    "",
    VLOOKUP(
        $A67,
        _xlfn._xlws.FILTER(
            INDIRECT("'"&amp;F$62&amp;"'!A2:G1000"), (INDIRECT("'"&amp;F$62&amp;"'!B2:B1000")=$B67) * (INDIRECT("'"&amp;F$62&amp;"'!C2:C1000")=$C67)
        ),
        7,
        FALSE
    )
)</f>
        <v/>
      </c>
      <c r="G67" s="58">
        <f t="array" ref="G67">IF(
    VLOOKUP(
        $A67,
        _xlfn._xlws.FILTER(
            INDIRECT("'"&amp;G$62&amp;"'!A2:G1000"), (INDIRECT("'"&amp;G$62&amp;"'!B2:B1000")=$B67) * (INDIRECT("'"&amp;G$62&amp;"'!C2:C1000")=$C67)
        ),
        5,
        FALSE
    )="",
    "",
    VLOOKUP(
        $A67,
        _xlfn._xlws.FILTER(
            INDIRECT("'"&amp;G$62&amp;"'!A2:G1000"), (INDIRECT("'"&amp;G$62&amp;"'!B2:B1000")=$B67) * (INDIRECT("'"&amp;G$62&amp;"'!C2:C1000")=$C67)
        ),
        7,
        FALSE
    )
)</f>
        <v/>
      </c>
      <c r="H67" s="58">
        <f t="array" ref="H67">IF(
    VLOOKUP(
        $A67,
        _xlfn._xlws.FILTER(
            INDIRECT("'"&amp;H$62&amp;"'!A2:G1000"), (INDIRECT("'"&amp;H$62&amp;"'!B2:B1000")=$B67) * (INDIRECT("'"&amp;H$62&amp;"'!C2:C1000")=$C67)
        ),
        5,
        FALSE
    )="",
    "",
    VLOOKUP(
        $A67,
        _xlfn._xlws.FILTER(
            INDIRECT("'"&amp;H$62&amp;"'!A2:G1000"), (INDIRECT("'"&amp;H$62&amp;"'!B2:B1000")=$B67) * (INDIRECT("'"&amp;H$62&amp;"'!C2:C1000")=$C67)
        ),
        7,
        FALSE
    )
)</f>
        <v/>
      </c>
      <c r="I67" s="58">
        <f t="array" ref="I67">IF(
    VLOOKUP(
        $A67,
        _xlfn._xlws.FILTER(
            INDIRECT("'"&amp;I$62&amp;"'!A2:G1000"), (INDIRECT("'"&amp;I$62&amp;"'!B2:B1000")=$B67) * (INDIRECT("'"&amp;I$62&amp;"'!C2:C1000")=$C67)
        ),
        5,
        FALSE
    )="",
    "",
    VLOOKUP(
        $A67,
        _xlfn._xlws.FILTER(
            INDIRECT("'"&amp;I$62&amp;"'!A2:G1000"), (INDIRECT("'"&amp;I$62&amp;"'!B2:B1000")=$B67) * (INDIRECT("'"&amp;I$62&amp;"'!C2:C1000")=$C67)
        ),
        7,
        FALSE
    )
)</f>
        <v/>
      </c>
      <c r="J67" s="58">
        <f t="array" ref="J67">IF(
    VLOOKUP(
        $A67,
        _xlfn._xlws.FILTER(
            INDIRECT("'"&amp;J$62&amp;"'!A2:G1000"), (INDIRECT("'"&amp;J$62&amp;"'!B2:B1000")=$B67) * (INDIRECT("'"&amp;J$62&amp;"'!C2:C1000")=$C67)
        ),
        5,
        FALSE
    )="",
    "",
    VLOOKUP(
        $A67,
        _xlfn._xlws.FILTER(
            INDIRECT("'"&amp;J$62&amp;"'!A2:G1000"), (INDIRECT("'"&amp;J$62&amp;"'!B2:B1000")=$B67) * (INDIRECT("'"&amp;J$62&amp;"'!C2:C1000")=$C67)
        ),
        7,
        FALSE
    )
)</f>
        <v/>
      </c>
      <c r="K67" s="58">
        <f t="array" ref="K67">IF(
    VLOOKUP(
        $A67,
        _xlfn._xlws.FILTER(
            INDIRECT("'"&amp;K$62&amp;"'!A2:G1000"), (INDIRECT("'"&amp;K$62&amp;"'!B2:B1000")=$B67) * (INDIRECT("'"&amp;K$62&amp;"'!C2:C1000")=$C67)
        ),
        5,
        FALSE
    )="",
    "",
    VLOOKUP(
        $A67,
        _xlfn._xlws.FILTER(
            INDIRECT("'"&amp;K$62&amp;"'!A2:G1000"), (INDIRECT("'"&amp;K$62&amp;"'!B2:B1000")=$B67) * (INDIRECT("'"&amp;K$62&amp;"'!C2:C1000")=$C67)
        ),
        7,
        FALSE
    )
)</f>
        <v/>
      </c>
      <c r="L67" s="58">
        <f t="array" ref="L67">IF(
    VLOOKUP(
        $A67,
        _xlfn._xlws.FILTER(
            INDIRECT("'"&amp;L$62&amp;"'!A2:G1000"), (INDIRECT("'"&amp;L$62&amp;"'!B2:B1000")=$B67) * (INDIRECT("'"&amp;L$62&amp;"'!C2:C1000")=$C67)
        ),
        5,
        FALSE
    )="",
    "",
    VLOOKUP(
        $A67,
        _xlfn._xlws.FILTER(
            INDIRECT("'"&amp;L$62&amp;"'!A2:G1000"), (INDIRECT("'"&amp;L$62&amp;"'!B2:B1000")=$B67) * (INDIRECT("'"&amp;L$62&amp;"'!C2:C1000")=$C67)
        ),
        7,
        FALSE
    )
)</f>
        <v/>
      </c>
      <c r="M67" s="58">
        <f t="array" ref="M67">IF(
    VLOOKUP(
        $A67,
        _xlfn._xlws.FILTER(
            INDIRECT("'"&amp;M$62&amp;"'!A2:G1000"), (INDIRECT("'"&amp;M$62&amp;"'!B2:B1000")=$B67) * (INDIRECT("'"&amp;M$62&amp;"'!C2:C1000")=$C67)
        ),
        5,
        FALSE
    )="",
    "",
    VLOOKUP(
        $A67,
        _xlfn._xlws.FILTER(
            INDIRECT("'"&amp;M$62&amp;"'!A2:G1000"), (INDIRECT("'"&amp;M$62&amp;"'!B2:B1000")=$B67) * (INDIRECT("'"&amp;M$62&amp;"'!C2:C1000")=$C67)
        ),
        7,
        FALSE
    )
)</f>
        <v/>
      </c>
      <c r="N67" s="58">
        <f t="array" ref="N67">IF(
    VLOOKUP(
        $A67,
        _xlfn._xlws.FILTER(
            INDIRECT("'"&amp;N$62&amp;"'!A2:G1000"), (INDIRECT("'"&amp;N$62&amp;"'!B2:B1000")=$B67) * (INDIRECT("'"&amp;N$62&amp;"'!C2:C1000")=$C67)
        ),
        5,
        FALSE
    )="",
    "",
    VLOOKUP(
        $A67,
        _xlfn._xlws.FILTER(
            INDIRECT("'"&amp;N$62&amp;"'!A2:G1000"), (INDIRECT("'"&amp;N$62&amp;"'!B2:B1000")=$B67) * (INDIRECT("'"&amp;N$62&amp;"'!C2:C1000")=$C67)
        ),
        7,
        FALSE
    )
)</f>
        <v/>
      </c>
      <c r="O67" s="58">
        <f t="array" ref="O67">IF(
    VLOOKUP(
        $A67,
        _xlfn._xlws.FILTER(
            INDIRECT("'"&amp;O$62&amp;"'!A2:G1000"), (INDIRECT("'"&amp;O$62&amp;"'!B2:B1000")=$B67) * (INDIRECT("'"&amp;O$62&amp;"'!C2:C1000")=$C67)
        ),
        5,
        FALSE
    )="",
    "",
    VLOOKUP(
        $A67,
        _xlfn._xlws.FILTER(
            INDIRECT("'"&amp;O$62&amp;"'!A2:G1000"), (INDIRECT("'"&amp;O$62&amp;"'!B2:B1000")=$B67) * (INDIRECT("'"&amp;O$62&amp;"'!C2:C1000")=$C67)
        ),
        7,
        FALSE
    )
)</f>
        <v/>
      </c>
      <c r="P67" s="58">
        <f t="array" ref="P67">IF(
    VLOOKUP(
        $A67,
        _xlfn._xlws.FILTER(
            INDIRECT("'"&amp;P$62&amp;"'!A2:G1000"), (INDIRECT("'"&amp;P$62&amp;"'!B2:B1000")=$B67) * (INDIRECT("'"&amp;P$62&amp;"'!C2:C1000")=$C67)
        ),
        5,
        FALSE
    )="",
    "",
    VLOOKUP(
        $A67,
        _xlfn._xlws.FILTER(
            INDIRECT("'"&amp;P$62&amp;"'!A2:G1000"), (INDIRECT("'"&amp;P$62&amp;"'!B2:B1000")=$B67) * (INDIRECT("'"&amp;P$62&amp;"'!C2:C1000")=$C67)
        ),
        7,
        FALSE
    )
)</f>
        <v/>
      </c>
    </row>
    <row r="68">
      <c r="A68" s="37" t="inlineStr">
        <is>
          <t>Paranavaí</t>
        </is>
      </c>
      <c r="B68" s="85" t="inlineStr">
        <is>
          <t>Paraíso Do Norte</t>
        </is>
      </c>
      <c r="C68" s="85" t="inlineStr">
        <is>
          <t>01</t>
        </is>
      </c>
      <c r="D68" s="58">
        <f t="array" ref="D68">IF(
    VLOOKUP(
        $A68,
        _xlfn._xlws.FILTER(
            INDIRECT("'"&amp;D$62&amp;"'!A2:G1000"), (INDIRECT("'"&amp;D$62&amp;"'!B2:B1000")=$B68) * (INDIRECT("'"&amp;D$62&amp;"'!C2:C1000")=$C68)
        ),
        5,
        FALSE
    )="",
    "",
    VLOOKUP(
        $A68,
        _xlfn._xlws.FILTER(
            INDIRECT("'"&amp;D$62&amp;"'!A2:G1000"), (INDIRECT("'"&amp;D$62&amp;"'!B2:B1000")=$B68) * (INDIRECT("'"&amp;D$62&amp;"'!C2:C1000")=$C68)
        ),
        7,
        FALSE
    )
)</f>
        <v/>
      </c>
      <c r="E68" s="58">
        <f t="array" ref="E68">IF(
    VLOOKUP(
        $A68,
        _xlfn._xlws.FILTER(
            INDIRECT("'"&amp;E$62&amp;"'!A2:G1000"), (INDIRECT("'"&amp;E$62&amp;"'!B2:B1000")=$B68) * (INDIRECT("'"&amp;E$62&amp;"'!C2:C1000")=$C68)
        ),
        5,
        FALSE
    )="",
    "",
    VLOOKUP(
        $A68,
        _xlfn._xlws.FILTER(
            INDIRECT("'"&amp;E$62&amp;"'!A2:G1000"), (INDIRECT("'"&amp;E$62&amp;"'!B2:B1000")=$B68) * (INDIRECT("'"&amp;E$62&amp;"'!C2:C1000")=$C68)
        ),
        7,
        FALSE
    )
)</f>
        <v/>
      </c>
      <c r="F68" s="58">
        <f t="array" ref="F68">IF(
    VLOOKUP(
        $A68,
        _xlfn._xlws.FILTER(
            INDIRECT("'"&amp;F$62&amp;"'!A2:G1000"), (INDIRECT("'"&amp;F$62&amp;"'!B2:B1000")=$B68) * (INDIRECT("'"&amp;F$62&amp;"'!C2:C1000")=$C68)
        ),
        5,
        FALSE
    )="",
    "",
    VLOOKUP(
        $A68,
        _xlfn._xlws.FILTER(
            INDIRECT("'"&amp;F$62&amp;"'!A2:G1000"), (INDIRECT("'"&amp;F$62&amp;"'!B2:B1000")=$B68) * (INDIRECT("'"&amp;F$62&amp;"'!C2:C1000")=$C68)
        ),
        7,
        FALSE
    )
)</f>
        <v/>
      </c>
      <c r="G68" s="58">
        <f t="array" ref="G68">IF(
    VLOOKUP(
        $A68,
        _xlfn._xlws.FILTER(
            INDIRECT("'"&amp;G$62&amp;"'!A2:G1000"), (INDIRECT("'"&amp;G$62&amp;"'!B2:B1000")=$B68) * (INDIRECT("'"&amp;G$62&amp;"'!C2:C1000")=$C68)
        ),
        5,
        FALSE
    )="",
    "",
    VLOOKUP(
        $A68,
        _xlfn._xlws.FILTER(
            INDIRECT("'"&amp;G$62&amp;"'!A2:G1000"), (INDIRECT("'"&amp;G$62&amp;"'!B2:B1000")=$B68) * (INDIRECT("'"&amp;G$62&amp;"'!C2:C1000")=$C68)
        ),
        7,
        FALSE
    )
)</f>
        <v/>
      </c>
      <c r="H68" s="58">
        <f t="array" ref="H68">IF(
    VLOOKUP(
        $A68,
        _xlfn._xlws.FILTER(
            INDIRECT("'"&amp;H$62&amp;"'!A2:G1000"), (INDIRECT("'"&amp;H$62&amp;"'!B2:B1000")=$B68) * (INDIRECT("'"&amp;H$62&amp;"'!C2:C1000")=$C68)
        ),
        5,
        FALSE
    )="",
    "",
    VLOOKUP(
        $A68,
        _xlfn._xlws.FILTER(
            INDIRECT("'"&amp;H$62&amp;"'!A2:G1000"), (INDIRECT("'"&amp;H$62&amp;"'!B2:B1000")=$B68) * (INDIRECT("'"&amp;H$62&amp;"'!C2:C1000")=$C68)
        ),
        7,
        FALSE
    )
)</f>
        <v/>
      </c>
      <c r="I68" s="58">
        <f t="array" ref="I68">IF(
    VLOOKUP(
        $A68,
        _xlfn._xlws.FILTER(
            INDIRECT("'"&amp;I$62&amp;"'!A2:G1000"), (INDIRECT("'"&amp;I$62&amp;"'!B2:B1000")=$B68) * (INDIRECT("'"&amp;I$62&amp;"'!C2:C1000")=$C68)
        ),
        5,
        FALSE
    )="",
    "",
    VLOOKUP(
        $A68,
        _xlfn._xlws.FILTER(
            INDIRECT("'"&amp;I$62&amp;"'!A2:G1000"), (INDIRECT("'"&amp;I$62&amp;"'!B2:B1000")=$B68) * (INDIRECT("'"&amp;I$62&amp;"'!C2:C1000")=$C68)
        ),
        7,
        FALSE
    )
)</f>
        <v/>
      </c>
      <c r="J68" s="58">
        <f t="array" ref="J68">IF(
    VLOOKUP(
        $A68,
        _xlfn._xlws.FILTER(
            INDIRECT("'"&amp;J$62&amp;"'!A2:G1000"), (INDIRECT("'"&amp;J$62&amp;"'!B2:B1000")=$B68) * (INDIRECT("'"&amp;J$62&amp;"'!C2:C1000")=$C68)
        ),
        5,
        FALSE
    )="",
    "",
    VLOOKUP(
        $A68,
        _xlfn._xlws.FILTER(
            INDIRECT("'"&amp;J$62&amp;"'!A2:G1000"), (INDIRECT("'"&amp;J$62&amp;"'!B2:B1000")=$B68) * (INDIRECT("'"&amp;J$62&amp;"'!C2:C1000")=$C68)
        ),
        7,
        FALSE
    )
)</f>
        <v/>
      </c>
      <c r="K68" s="58">
        <f t="array" ref="K68">IF(
    VLOOKUP(
        $A68,
        _xlfn._xlws.FILTER(
            INDIRECT("'"&amp;K$62&amp;"'!A2:G1000"), (INDIRECT("'"&amp;K$62&amp;"'!B2:B1000")=$B68) * (INDIRECT("'"&amp;K$62&amp;"'!C2:C1000")=$C68)
        ),
        5,
        FALSE
    )="",
    "",
    VLOOKUP(
        $A68,
        _xlfn._xlws.FILTER(
            INDIRECT("'"&amp;K$62&amp;"'!A2:G1000"), (INDIRECT("'"&amp;K$62&amp;"'!B2:B1000")=$B68) * (INDIRECT("'"&amp;K$62&amp;"'!C2:C1000")=$C68)
        ),
        7,
        FALSE
    )
)</f>
        <v/>
      </c>
      <c r="L68" s="58">
        <f t="array" ref="L68">IF(
    VLOOKUP(
        $A68,
        _xlfn._xlws.FILTER(
            INDIRECT("'"&amp;L$62&amp;"'!A2:G1000"), (INDIRECT("'"&amp;L$62&amp;"'!B2:B1000")=$B68) * (INDIRECT("'"&amp;L$62&amp;"'!C2:C1000")=$C68)
        ),
        5,
        FALSE
    )="",
    "",
    VLOOKUP(
        $A68,
        _xlfn._xlws.FILTER(
            INDIRECT("'"&amp;L$62&amp;"'!A2:G1000"), (INDIRECT("'"&amp;L$62&amp;"'!B2:B1000")=$B68) * (INDIRECT("'"&amp;L$62&amp;"'!C2:C1000")=$C68)
        ),
        7,
        FALSE
    )
)</f>
        <v/>
      </c>
      <c r="M68" s="58">
        <f t="array" ref="M68">IF(
    VLOOKUP(
        $A68,
        _xlfn._xlws.FILTER(
            INDIRECT("'"&amp;M$62&amp;"'!A2:G1000"), (INDIRECT("'"&amp;M$62&amp;"'!B2:B1000")=$B68) * (INDIRECT("'"&amp;M$62&amp;"'!C2:C1000")=$C68)
        ),
        5,
        FALSE
    )="",
    "",
    VLOOKUP(
        $A68,
        _xlfn._xlws.FILTER(
            INDIRECT("'"&amp;M$62&amp;"'!A2:G1000"), (INDIRECT("'"&amp;M$62&amp;"'!B2:B1000")=$B68) * (INDIRECT("'"&amp;M$62&amp;"'!C2:C1000")=$C68)
        ),
        7,
        FALSE
    )
)</f>
        <v/>
      </c>
      <c r="N68" s="58">
        <f t="array" ref="N68">IF(
    VLOOKUP(
        $A68,
        _xlfn._xlws.FILTER(
            INDIRECT("'"&amp;N$62&amp;"'!A2:G1000"), (INDIRECT("'"&amp;N$62&amp;"'!B2:B1000")=$B68) * (INDIRECT("'"&amp;N$62&amp;"'!C2:C1000")=$C68)
        ),
        5,
        FALSE
    )="",
    "",
    VLOOKUP(
        $A68,
        _xlfn._xlws.FILTER(
            INDIRECT("'"&amp;N$62&amp;"'!A2:G1000"), (INDIRECT("'"&amp;N$62&amp;"'!B2:B1000")=$B68) * (INDIRECT("'"&amp;N$62&amp;"'!C2:C1000")=$C68)
        ),
        7,
        FALSE
    )
)</f>
        <v/>
      </c>
      <c r="O68" s="58">
        <f t="array" ref="O68">IF(
    VLOOKUP(
        $A68,
        _xlfn._xlws.FILTER(
            INDIRECT("'"&amp;O$62&amp;"'!A2:G1000"), (INDIRECT("'"&amp;O$62&amp;"'!B2:B1000")=$B68) * (INDIRECT("'"&amp;O$62&amp;"'!C2:C1000")=$C68)
        ),
        5,
        FALSE
    )="",
    "",
    VLOOKUP(
        $A68,
        _xlfn._xlws.FILTER(
            INDIRECT("'"&amp;O$62&amp;"'!A2:G1000"), (INDIRECT("'"&amp;O$62&amp;"'!B2:B1000")=$B68) * (INDIRECT("'"&amp;O$62&amp;"'!C2:C1000")=$C68)
        ),
        7,
        FALSE
    )
)</f>
        <v/>
      </c>
      <c r="P68" s="58">
        <f t="array" ref="P68">IF(
    VLOOKUP(
        $A68,
        _xlfn._xlws.FILTER(
            INDIRECT("'"&amp;P$62&amp;"'!A2:G1000"), (INDIRECT("'"&amp;P$62&amp;"'!B2:B1000")=$B68) * (INDIRECT("'"&amp;P$62&amp;"'!C2:C1000")=$C68)
        ),
        5,
        FALSE
    )="",
    "",
    VLOOKUP(
        $A68,
        _xlfn._xlws.FILTER(
            INDIRECT("'"&amp;P$62&amp;"'!A2:G1000"), (INDIRECT("'"&amp;P$62&amp;"'!B2:B1000")=$B68) * (INDIRECT("'"&amp;P$62&amp;"'!C2:C1000")=$C68)
        ),
        7,
        FALSE
    )
)</f>
        <v/>
      </c>
    </row>
    <row r="69">
      <c r="A69" s="37" t="inlineStr">
        <is>
          <t>Paranavaí</t>
        </is>
      </c>
      <c r="B69" s="85" t="inlineStr">
        <is>
          <t>Santa Mônica</t>
        </is>
      </c>
      <c r="C69" s="85" t="inlineStr">
        <is>
          <t>01</t>
        </is>
      </c>
      <c r="D69" s="58">
        <f t="array" ref="D69">IF(
    VLOOKUP(
        $A69,
        _xlfn._xlws.FILTER(
            INDIRECT("'"&amp;D$62&amp;"'!A2:G1000"), (INDIRECT("'"&amp;D$62&amp;"'!B2:B1000")=$B69) * (INDIRECT("'"&amp;D$62&amp;"'!C2:C1000")=$C69)
        ),
        5,
        FALSE
    )="",
    "",
    VLOOKUP(
        $A69,
        _xlfn._xlws.FILTER(
            INDIRECT("'"&amp;D$62&amp;"'!A2:G1000"), (INDIRECT("'"&amp;D$62&amp;"'!B2:B1000")=$B69) * (INDIRECT("'"&amp;D$62&amp;"'!C2:C1000")=$C69)
        ),
        7,
        FALSE
    )
)</f>
        <v/>
      </c>
      <c r="E69" s="58">
        <f t="array" ref="E69">IF(
    VLOOKUP(
        $A69,
        _xlfn._xlws.FILTER(
            INDIRECT("'"&amp;E$62&amp;"'!A2:G1000"), (INDIRECT("'"&amp;E$62&amp;"'!B2:B1000")=$B69) * (INDIRECT("'"&amp;E$62&amp;"'!C2:C1000")=$C69)
        ),
        5,
        FALSE
    )="",
    "",
    VLOOKUP(
        $A69,
        _xlfn._xlws.FILTER(
            INDIRECT("'"&amp;E$62&amp;"'!A2:G1000"), (INDIRECT("'"&amp;E$62&amp;"'!B2:B1000")=$B69) * (INDIRECT("'"&amp;E$62&amp;"'!C2:C1000")=$C69)
        ),
        7,
        FALSE
    )
)</f>
        <v/>
      </c>
      <c r="F69" s="58">
        <f t="array" ref="F69">IF(
    VLOOKUP(
        $A69,
        _xlfn._xlws.FILTER(
            INDIRECT("'"&amp;F$62&amp;"'!A2:G1000"), (INDIRECT("'"&amp;F$62&amp;"'!B2:B1000")=$B69) * (INDIRECT("'"&amp;F$62&amp;"'!C2:C1000")=$C69)
        ),
        5,
        FALSE
    )="",
    "",
    VLOOKUP(
        $A69,
        _xlfn._xlws.FILTER(
            INDIRECT("'"&amp;F$62&amp;"'!A2:G1000"), (INDIRECT("'"&amp;F$62&amp;"'!B2:B1000")=$B69) * (INDIRECT("'"&amp;F$62&amp;"'!C2:C1000")=$C69)
        ),
        7,
        FALSE
    )
)</f>
        <v/>
      </c>
      <c r="G69" s="58">
        <f t="array" ref="G69">IF(
    VLOOKUP(
        $A69,
        _xlfn._xlws.FILTER(
            INDIRECT("'"&amp;G$62&amp;"'!A2:G1000"), (INDIRECT("'"&amp;G$62&amp;"'!B2:B1000")=$B69) * (INDIRECT("'"&amp;G$62&amp;"'!C2:C1000")=$C69)
        ),
        5,
        FALSE
    )="",
    "",
    VLOOKUP(
        $A69,
        _xlfn._xlws.FILTER(
            INDIRECT("'"&amp;G$62&amp;"'!A2:G1000"), (INDIRECT("'"&amp;G$62&amp;"'!B2:B1000")=$B69) * (INDIRECT("'"&amp;G$62&amp;"'!C2:C1000")=$C69)
        ),
        7,
        FALSE
    )
)</f>
        <v/>
      </c>
      <c r="H69" s="58">
        <f t="array" ref="H69">IF(
    VLOOKUP(
        $A69,
        _xlfn._xlws.FILTER(
            INDIRECT("'"&amp;H$62&amp;"'!A2:G1000"), (INDIRECT("'"&amp;H$62&amp;"'!B2:B1000")=$B69) * (INDIRECT("'"&amp;H$62&amp;"'!C2:C1000")=$C69)
        ),
        5,
        FALSE
    )="",
    "",
    VLOOKUP(
        $A69,
        _xlfn._xlws.FILTER(
            INDIRECT("'"&amp;H$62&amp;"'!A2:G1000"), (INDIRECT("'"&amp;H$62&amp;"'!B2:B1000")=$B69) * (INDIRECT("'"&amp;H$62&amp;"'!C2:C1000")=$C69)
        ),
        7,
        FALSE
    )
)</f>
        <v/>
      </c>
      <c r="I69" s="58">
        <f t="array" ref="I69">IF(
    VLOOKUP(
        $A69,
        _xlfn._xlws.FILTER(
            INDIRECT("'"&amp;I$62&amp;"'!A2:G1000"), (INDIRECT("'"&amp;I$62&amp;"'!B2:B1000")=$B69) * (INDIRECT("'"&amp;I$62&amp;"'!C2:C1000")=$C69)
        ),
        5,
        FALSE
    )="",
    "",
    VLOOKUP(
        $A69,
        _xlfn._xlws.FILTER(
            INDIRECT("'"&amp;I$62&amp;"'!A2:G1000"), (INDIRECT("'"&amp;I$62&amp;"'!B2:B1000")=$B69) * (INDIRECT("'"&amp;I$62&amp;"'!C2:C1000")=$C69)
        ),
        7,
        FALSE
    )
)</f>
        <v/>
      </c>
      <c r="J69" s="58">
        <f t="array" ref="J69">IF(
    VLOOKUP(
        $A69,
        _xlfn._xlws.FILTER(
            INDIRECT("'"&amp;J$62&amp;"'!A2:G1000"), (INDIRECT("'"&amp;J$62&amp;"'!B2:B1000")=$B69) * (INDIRECT("'"&amp;J$62&amp;"'!C2:C1000")=$C69)
        ),
        5,
        FALSE
    )="",
    "",
    VLOOKUP(
        $A69,
        _xlfn._xlws.FILTER(
            INDIRECT("'"&amp;J$62&amp;"'!A2:G1000"), (INDIRECT("'"&amp;J$62&amp;"'!B2:B1000")=$B69) * (INDIRECT("'"&amp;J$62&amp;"'!C2:C1000")=$C69)
        ),
        7,
        FALSE
    )
)</f>
        <v/>
      </c>
      <c r="K69" s="58">
        <f t="array" ref="K69">IF(
    VLOOKUP(
        $A69,
        _xlfn._xlws.FILTER(
            INDIRECT("'"&amp;K$62&amp;"'!A2:G1000"), (INDIRECT("'"&amp;K$62&amp;"'!B2:B1000")=$B69) * (INDIRECT("'"&amp;K$62&amp;"'!C2:C1000")=$C69)
        ),
        5,
        FALSE
    )="",
    "",
    VLOOKUP(
        $A69,
        _xlfn._xlws.FILTER(
            INDIRECT("'"&amp;K$62&amp;"'!A2:G1000"), (INDIRECT("'"&amp;K$62&amp;"'!B2:B1000")=$B69) * (INDIRECT("'"&amp;K$62&amp;"'!C2:C1000")=$C69)
        ),
        7,
        FALSE
    )
)</f>
        <v/>
      </c>
      <c r="L69" s="58">
        <f t="array" ref="L69">IF(
    VLOOKUP(
        $A69,
        _xlfn._xlws.FILTER(
            INDIRECT("'"&amp;L$62&amp;"'!A2:G1000"), (INDIRECT("'"&amp;L$62&amp;"'!B2:B1000")=$B69) * (INDIRECT("'"&amp;L$62&amp;"'!C2:C1000")=$C69)
        ),
        5,
        FALSE
    )="",
    "",
    VLOOKUP(
        $A69,
        _xlfn._xlws.FILTER(
            INDIRECT("'"&amp;L$62&amp;"'!A2:G1000"), (INDIRECT("'"&amp;L$62&amp;"'!B2:B1000")=$B69) * (INDIRECT("'"&amp;L$62&amp;"'!C2:C1000")=$C69)
        ),
        7,
        FALSE
    )
)</f>
        <v/>
      </c>
      <c r="M69" s="58">
        <f t="array" ref="M69">IF(
    VLOOKUP(
        $A69,
        _xlfn._xlws.FILTER(
            INDIRECT("'"&amp;M$62&amp;"'!A2:G1000"), (INDIRECT("'"&amp;M$62&amp;"'!B2:B1000")=$B69) * (INDIRECT("'"&amp;M$62&amp;"'!C2:C1000")=$C69)
        ),
        5,
        FALSE
    )="",
    "",
    VLOOKUP(
        $A69,
        _xlfn._xlws.FILTER(
            INDIRECT("'"&amp;M$62&amp;"'!A2:G1000"), (INDIRECT("'"&amp;M$62&amp;"'!B2:B1000")=$B69) * (INDIRECT("'"&amp;M$62&amp;"'!C2:C1000")=$C69)
        ),
        7,
        FALSE
    )
)</f>
        <v/>
      </c>
      <c r="N69" s="58">
        <f t="array" ref="N69">IF(
    VLOOKUP(
        $A69,
        _xlfn._xlws.FILTER(
            INDIRECT("'"&amp;N$62&amp;"'!A2:G1000"), (INDIRECT("'"&amp;N$62&amp;"'!B2:B1000")=$B69) * (INDIRECT("'"&amp;N$62&amp;"'!C2:C1000")=$C69)
        ),
        5,
        FALSE
    )="",
    "",
    VLOOKUP(
        $A69,
        _xlfn._xlws.FILTER(
            INDIRECT("'"&amp;N$62&amp;"'!A2:G1000"), (INDIRECT("'"&amp;N$62&amp;"'!B2:B1000")=$B69) * (INDIRECT("'"&amp;N$62&amp;"'!C2:C1000")=$C69)
        ),
        7,
        FALSE
    )
)</f>
        <v/>
      </c>
      <c r="O69" s="58">
        <f t="array" ref="O69">IF(
    VLOOKUP(
        $A69,
        _xlfn._xlws.FILTER(
            INDIRECT("'"&amp;O$62&amp;"'!A2:G1000"), (INDIRECT("'"&amp;O$62&amp;"'!B2:B1000")=$B69) * (INDIRECT("'"&amp;O$62&amp;"'!C2:C1000")=$C69)
        ),
        5,
        FALSE
    )="",
    "",
    VLOOKUP(
        $A69,
        _xlfn._xlws.FILTER(
            INDIRECT("'"&amp;O$62&amp;"'!A2:G1000"), (INDIRECT("'"&amp;O$62&amp;"'!B2:B1000")=$B69) * (INDIRECT("'"&amp;O$62&amp;"'!C2:C1000")=$C69)
        ),
        7,
        FALSE
    )
)</f>
        <v/>
      </c>
      <c r="P69" s="58">
        <f t="array" ref="P69">IF(
    VLOOKUP(
        $A69,
        _xlfn._xlws.FILTER(
            INDIRECT("'"&amp;P$62&amp;"'!A2:G1000"), (INDIRECT("'"&amp;P$62&amp;"'!B2:B1000")=$B69) * (INDIRECT("'"&amp;P$62&amp;"'!C2:C1000")=$C69)
        ),
        5,
        FALSE
    )="",
    "",
    VLOOKUP(
        $A69,
        _xlfn._xlws.FILTER(
            INDIRECT("'"&amp;P$62&amp;"'!A2:G1000"), (INDIRECT("'"&amp;P$62&amp;"'!B2:B1000")=$B69) * (INDIRECT("'"&amp;P$62&amp;"'!C2:C1000")=$C69)
        ),
        7,
        FALSE
    )
)</f>
        <v/>
      </c>
    </row>
    <row r="70">
      <c r="A70" s="37" t="inlineStr">
        <is>
          <t>Paranavaí</t>
        </is>
      </c>
      <c r="B70" s="85" t="inlineStr">
        <is>
          <t>São João Do Caiuá</t>
        </is>
      </c>
      <c r="C70" s="85" t="inlineStr">
        <is>
          <t>01</t>
        </is>
      </c>
      <c r="D70" s="58">
        <f t="array" ref="D70">IF(
    VLOOKUP(
        $A70,
        _xlfn._xlws.FILTER(
            INDIRECT("'"&amp;D$62&amp;"'!A2:G1000"), (INDIRECT("'"&amp;D$62&amp;"'!B2:B1000")=$B70) * (INDIRECT("'"&amp;D$62&amp;"'!C2:C1000")=$C70)
        ),
        5,
        FALSE
    )="",
    "",
    VLOOKUP(
        $A70,
        _xlfn._xlws.FILTER(
            INDIRECT("'"&amp;D$62&amp;"'!A2:G1000"), (INDIRECT("'"&amp;D$62&amp;"'!B2:B1000")=$B70) * (INDIRECT("'"&amp;D$62&amp;"'!C2:C1000")=$C70)
        ),
        7,
        FALSE
    )
)</f>
        <v/>
      </c>
      <c r="E70" s="58">
        <f t="array" ref="E70">IF(
    VLOOKUP(
        $A70,
        _xlfn._xlws.FILTER(
            INDIRECT("'"&amp;E$62&amp;"'!A2:G1000"), (INDIRECT("'"&amp;E$62&amp;"'!B2:B1000")=$B70) * (INDIRECT("'"&amp;E$62&amp;"'!C2:C1000")=$C70)
        ),
        5,
        FALSE
    )="",
    "",
    VLOOKUP(
        $A70,
        _xlfn._xlws.FILTER(
            INDIRECT("'"&amp;E$62&amp;"'!A2:G1000"), (INDIRECT("'"&amp;E$62&amp;"'!B2:B1000")=$B70) * (INDIRECT("'"&amp;E$62&amp;"'!C2:C1000")=$C70)
        ),
        7,
        FALSE
    )
)</f>
        <v/>
      </c>
      <c r="F70" s="58">
        <f t="array" ref="F70">IF(
    VLOOKUP(
        $A70,
        _xlfn._xlws.FILTER(
            INDIRECT("'"&amp;F$62&amp;"'!A2:G1000"), (INDIRECT("'"&amp;F$62&amp;"'!B2:B1000")=$B70) * (INDIRECT("'"&amp;F$62&amp;"'!C2:C1000")=$C70)
        ),
        5,
        FALSE
    )="",
    "",
    VLOOKUP(
        $A70,
        _xlfn._xlws.FILTER(
            INDIRECT("'"&amp;F$62&amp;"'!A2:G1000"), (INDIRECT("'"&amp;F$62&amp;"'!B2:B1000")=$B70) * (INDIRECT("'"&amp;F$62&amp;"'!C2:C1000")=$C70)
        ),
        7,
        FALSE
    )
)</f>
        <v/>
      </c>
      <c r="G70" s="58">
        <f t="array" ref="G70">IF(
    VLOOKUP(
        $A70,
        _xlfn._xlws.FILTER(
            INDIRECT("'"&amp;G$62&amp;"'!A2:G1000"), (INDIRECT("'"&amp;G$62&amp;"'!B2:B1000")=$B70) * (INDIRECT("'"&amp;G$62&amp;"'!C2:C1000")=$C70)
        ),
        5,
        FALSE
    )="",
    "",
    VLOOKUP(
        $A70,
        _xlfn._xlws.FILTER(
            INDIRECT("'"&amp;G$62&amp;"'!A2:G1000"), (INDIRECT("'"&amp;G$62&amp;"'!B2:B1000")=$B70) * (INDIRECT("'"&amp;G$62&amp;"'!C2:C1000")=$C70)
        ),
        7,
        FALSE
    )
)</f>
        <v/>
      </c>
      <c r="H70" s="58">
        <f t="array" ref="H70">IF(
    VLOOKUP(
        $A70,
        _xlfn._xlws.FILTER(
            INDIRECT("'"&amp;H$62&amp;"'!A2:G1000"), (INDIRECT("'"&amp;H$62&amp;"'!B2:B1000")=$B70) * (INDIRECT("'"&amp;H$62&amp;"'!C2:C1000")=$C70)
        ),
        5,
        FALSE
    )="",
    "",
    VLOOKUP(
        $A70,
        _xlfn._xlws.FILTER(
            INDIRECT("'"&amp;H$62&amp;"'!A2:G1000"), (INDIRECT("'"&amp;H$62&amp;"'!B2:B1000")=$B70) * (INDIRECT("'"&amp;H$62&amp;"'!C2:C1000")=$C70)
        ),
        7,
        FALSE
    )
)</f>
        <v/>
      </c>
      <c r="I70" s="58">
        <f t="array" ref="I70">IF(
    VLOOKUP(
        $A70,
        _xlfn._xlws.FILTER(
            INDIRECT("'"&amp;I$62&amp;"'!A2:G1000"), (INDIRECT("'"&amp;I$62&amp;"'!B2:B1000")=$B70) * (INDIRECT("'"&amp;I$62&amp;"'!C2:C1000")=$C70)
        ),
        5,
        FALSE
    )="",
    "",
    VLOOKUP(
        $A70,
        _xlfn._xlws.FILTER(
            INDIRECT("'"&amp;I$62&amp;"'!A2:G1000"), (INDIRECT("'"&amp;I$62&amp;"'!B2:B1000")=$B70) * (INDIRECT("'"&amp;I$62&amp;"'!C2:C1000")=$C70)
        ),
        7,
        FALSE
    )
)</f>
        <v/>
      </c>
      <c r="J70" s="58">
        <f t="array" ref="J70">IF(
    VLOOKUP(
        $A70,
        _xlfn._xlws.FILTER(
            INDIRECT("'"&amp;J$62&amp;"'!A2:G1000"), (INDIRECT("'"&amp;J$62&amp;"'!B2:B1000")=$B70) * (INDIRECT("'"&amp;J$62&amp;"'!C2:C1000")=$C70)
        ),
        5,
        FALSE
    )="",
    "",
    VLOOKUP(
        $A70,
        _xlfn._xlws.FILTER(
            INDIRECT("'"&amp;J$62&amp;"'!A2:G1000"), (INDIRECT("'"&amp;J$62&amp;"'!B2:B1000")=$B70) * (INDIRECT("'"&amp;J$62&amp;"'!C2:C1000")=$C70)
        ),
        7,
        FALSE
    )
)</f>
        <v/>
      </c>
      <c r="K70" s="58">
        <f t="array" ref="K70">IF(
    VLOOKUP(
        $A70,
        _xlfn._xlws.FILTER(
            INDIRECT("'"&amp;K$62&amp;"'!A2:G1000"), (INDIRECT("'"&amp;K$62&amp;"'!B2:B1000")=$B70) * (INDIRECT("'"&amp;K$62&amp;"'!C2:C1000")=$C70)
        ),
        5,
        FALSE
    )="",
    "",
    VLOOKUP(
        $A70,
        _xlfn._xlws.FILTER(
            INDIRECT("'"&amp;K$62&amp;"'!A2:G1000"), (INDIRECT("'"&amp;K$62&amp;"'!B2:B1000")=$B70) * (INDIRECT("'"&amp;K$62&amp;"'!C2:C1000")=$C70)
        ),
        7,
        FALSE
    )
)</f>
        <v/>
      </c>
      <c r="L70" s="58">
        <f t="array" ref="L70">IF(
    VLOOKUP(
        $A70,
        _xlfn._xlws.FILTER(
            INDIRECT("'"&amp;L$62&amp;"'!A2:G1000"), (INDIRECT("'"&amp;L$62&amp;"'!B2:B1000")=$B70) * (INDIRECT("'"&amp;L$62&amp;"'!C2:C1000")=$C70)
        ),
        5,
        FALSE
    )="",
    "",
    VLOOKUP(
        $A70,
        _xlfn._xlws.FILTER(
            INDIRECT("'"&amp;L$62&amp;"'!A2:G1000"), (INDIRECT("'"&amp;L$62&amp;"'!B2:B1000")=$B70) * (INDIRECT("'"&amp;L$62&amp;"'!C2:C1000")=$C70)
        ),
        7,
        FALSE
    )
)</f>
        <v/>
      </c>
      <c r="M70" s="58">
        <f t="array" ref="M70">IF(
    VLOOKUP(
        $A70,
        _xlfn._xlws.FILTER(
            INDIRECT("'"&amp;M$62&amp;"'!A2:G1000"), (INDIRECT("'"&amp;M$62&amp;"'!B2:B1000")=$B70) * (INDIRECT("'"&amp;M$62&amp;"'!C2:C1000")=$C70)
        ),
        5,
        FALSE
    )="",
    "",
    VLOOKUP(
        $A70,
        _xlfn._xlws.FILTER(
            INDIRECT("'"&amp;M$62&amp;"'!A2:G1000"), (INDIRECT("'"&amp;M$62&amp;"'!B2:B1000")=$B70) * (INDIRECT("'"&amp;M$62&amp;"'!C2:C1000")=$C70)
        ),
        7,
        FALSE
    )
)</f>
        <v/>
      </c>
      <c r="N70" s="58">
        <f t="array" ref="N70">IF(
    VLOOKUP(
        $A70,
        _xlfn._xlws.FILTER(
            INDIRECT("'"&amp;N$62&amp;"'!A2:G1000"), (INDIRECT("'"&amp;N$62&amp;"'!B2:B1000")=$B70) * (INDIRECT("'"&amp;N$62&amp;"'!C2:C1000")=$C70)
        ),
        5,
        FALSE
    )="",
    "",
    VLOOKUP(
        $A70,
        _xlfn._xlws.FILTER(
            INDIRECT("'"&amp;N$62&amp;"'!A2:G1000"), (INDIRECT("'"&amp;N$62&amp;"'!B2:B1000")=$B70) * (INDIRECT("'"&amp;N$62&amp;"'!C2:C1000")=$C70)
        ),
        7,
        FALSE
    )
)</f>
        <v/>
      </c>
      <c r="O70" s="58">
        <f t="array" ref="O70">IF(
    VLOOKUP(
        $A70,
        _xlfn._xlws.FILTER(
            INDIRECT("'"&amp;O$62&amp;"'!A2:G1000"), (INDIRECT("'"&amp;O$62&amp;"'!B2:B1000")=$B70) * (INDIRECT("'"&amp;O$62&amp;"'!C2:C1000")=$C70)
        ),
        5,
        FALSE
    )="",
    "",
    VLOOKUP(
        $A70,
        _xlfn._xlws.FILTER(
            INDIRECT("'"&amp;O$62&amp;"'!A2:G1000"), (INDIRECT("'"&amp;O$62&amp;"'!B2:B1000")=$B70) * (INDIRECT("'"&amp;O$62&amp;"'!C2:C1000")=$C70)
        ),
        7,
        FALSE
    )
)</f>
        <v/>
      </c>
      <c r="P70" s="58">
        <f t="array" ref="P70">IF(
    VLOOKUP(
        $A70,
        _xlfn._xlws.FILTER(
            INDIRECT("'"&amp;P$62&amp;"'!A2:G1000"), (INDIRECT("'"&amp;P$62&amp;"'!B2:B1000")=$B70) * (INDIRECT("'"&amp;P$62&amp;"'!C2:C1000")=$C70)
        ),
        5,
        FALSE
    )="",
    "",
    VLOOKUP(
        $A70,
        _xlfn._xlws.FILTER(
            INDIRECT("'"&amp;P$62&amp;"'!A2:G1000"), (INDIRECT("'"&amp;P$62&amp;"'!B2:B1000")=$B70) * (INDIRECT("'"&amp;P$62&amp;"'!C2:C1000")=$C70)
        ),
        7,
        FALSE
    )
)</f>
        <v/>
      </c>
    </row>
  </sheetData>
  <conditionalFormatting sqref="D2:P70">
    <cfRule type="cellIs" priority="100" operator="equal" dxfId="17">
      <formula>"Não"</formula>
    </cfRule>
    <cfRule type="cellIs" priority="99" operator="equal" dxfId="18">
      <formula>"Sim"</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87" customWidth="1" min="8" max="8"/>
    <col width="34" customWidth="1" min="9" max="9"/>
    <col width="25" customWidth="1" min="10" max="10"/>
    <col width="64"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t="inlineStr">
        <is>
          <t>Marcia do Nascimento</t>
        </is>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t="inlineStr">
        <is>
          <t xml:space="preserve">Maria Regina Willers </t>
        </is>
      </c>
      <c r="E3" s="117" t="inlineStr">
        <is>
          <t>Enviado</t>
        </is>
      </c>
      <c r="F3" s="114" t="inlineStr">
        <is>
          <t>27/03/2025</t>
        </is>
      </c>
      <c r="G3" s="116" t="inlineStr">
        <is>
          <t>Sim</t>
        </is>
      </c>
      <c r="H3" s="114" t="inlineStr">
        <is>
          <t>Justificado via email sobre não ter sido realizado vendas em Jan25</t>
        </is>
      </c>
      <c r="I3" s="114" t="n"/>
      <c r="J3" s="114" t="inlineStr">
        <is>
          <t>Não</t>
        </is>
      </c>
      <c r="K3" s="114" t="n"/>
    </row>
    <row r="4">
      <c r="A4" s="118" t="inlineStr">
        <is>
          <t>Maringá</t>
        </is>
      </c>
      <c r="B4" s="114" t="inlineStr">
        <is>
          <t>Apucarana</t>
        </is>
      </c>
      <c r="C4" s="114" t="inlineStr">
        <is>
          <t>01</t>
        </is>
      </c>
      <c r="D4" s="114" t="inlineStr">
        <is>
          <t>Claudete Rodrigues Scarpelini</t>
        </is>
      </c>
      <c r="E4" s="117" t="inlineStr">
        <is>
          <t>Enviado</t>
        </is>
      </c>
      <c r="F4" s="114" t="inlineStr">
        <is>
          <t>06/02/2025</t>
        </is>
      </c>
      <c r="G4" s="116" t="inlineStr">
        <is>
          <t>Sim</t>
        </is>
      </c>
      <c r="H4" s="114" t="n"/>
      <c r="I4" s="114" t="n"/>
      <c r="J4" s="114" t="inlineStr">
        <is>
          <t>Não</t>
        </is>
      </c>
      <c r="K4" s="114" t="n"/>
    </row>
    <row r="5">
      <c r="A5" s="118" t="inlineStr">
        <is>
          <t>Maringá</t>
        </is>
      </c>
      <c r="B5" s="114" t="inlineStr">
        <is>
          <t>Atalaia</t>
        </is>
      </c>
      <c r="C5" s="114" t="inlineStr">
        <is>
          <t>01</t>
        </is>
      </c>
      <c r="D5" s="114" t="inlineStr">
        <is>
          <t>Vagner Perseti Alves</t>
        </is>
      </c>
      <c r="E5" s="117" t="inlineStr">
        <is>
          <t>Enviado</t>
        </is>
      </c>
      <c r="F5" s="114" t="inlineStr">
        <is>
          <t>10/02/2025</t>
        </is>
      </c>
      <c r="G5" s="116" t="inlineStr">
        <is>
          <t>Sim</t>
        </is>
      </c>
      <c r="H5" s="114" t="n"/>
      <c r="I5" s="114" t="n"/>
      <c r="J5" s="114" t="inlineStr">
        <is>
          <t>Não</t>
        </is>
      </c>
      <c r="K5" s="114" t="n"/>
    </row>
    <row r="6">
      <c r="A6" s="119" t="inlineStr">
        <is>
          <t>Francisco Beltrão</t>
        </is>
      </c>
      <c r="B6" s="114" t="inlineStr">
        <is>
          <t>Barracão</t>
        </is>
      </c>
      <c r="C6" s="114" t="inlineStr">
        <is>
          <t>01</t>
        </is>
      </c>
      <c r="D6" s="114" t="inlineStr">
        <is>
          <t>Tania Grespan</t>
        </is>
      </c>
      <c r="E6" s="117" t="inlineStr">
        <is>
          <t>Enviado</t>
        </is>
      </c>
      <c r="F6" s="114" t="inlineStr">
        <is>
          <t>06/02/2025</t>
        </is>
      </c>
      <c r="G6" s="116" t="inlineStr">
        <is>
          <t>Sim</t>
        </is>
      </c>
      <c r="H6" s="114" t="n"/>
      <c r="I6" s="114" t="n"/>
      <c r="J6" s="114" t="inlineStr">
        <is>
          <t>Não</t>
        </is>
      </c>
      <c r="K6" s="114" t="n"/>
    </row>
    <row r="7">
      <c r="A7" s="118" t="inlineStr">
        <is>
          <t>Maringá</t>
        </is>
      </c>
      <c r="B7" s="114" t="inlineStr">
        <is>
          <t>Borrazópolis</t>
        </is>
      </c>
      <c r="C7" s="114" t="inlineStr">
        <is>
          <t>01</t>
        </is>
      </c>
      <c r="D7" s="114" t="inlineStr">
        <is>
          <t>Daniele de Souza Lima Mei</t>
        </is>
      </c>
      <c r="E7" s="117" t="inlineStr">
        <is>
          <t>Enviado</t>
        </is>
      </c>
      <c r="F7" s="114" t="inlineStr">
        <is>
          <t>10/02/2025</t>
        </is>
      </c>
      <c r="G7" s="116" t="inlineStr">
        <is>
          <t>Sim</t>
        </is>
      </c>
      <c r="H7" s="114" t="n"/>
      <c r="I7" s="114" t="n"/>
      <c r="J7" s="114" t="inlineStr">
        <is>
          <t>Não</t>
        </is>
      </c>
      <c r="K7" s="114" t="n"/>
    </row>
    <row r="8">
      <c r="A8" s="120" t="inlineStr">
        <is>
          <t>Londrina</t>
        </is>
      </c>
      <c r="B8" s="114" t="inlineStr">
        <is>
          <t>Cambará</t>
        </is>
      </c>
      <c r="C8" s="114" t="inlineStr">
        <is>
          <t>01</t>
        </is>
      </c>
      <c r="D8" s="114" t="inlineStr">
        <is>
          <t xml:space="preserve">Eunice Fernandes Gonzaga </t>
        </is>
      </c>
      <c r="E8" s="117" t="inlineStr">
        <is>
          <t>Enviado</t>
        </is>
      </c>
      <c r="F8" s="114" t="inlineStr">
        <is>
          <t>10/02/2025</t>
        </is>
      </c>
      <c r="G8" s="116" t="inlineStr">
        <is>
          <t>Sim</t>
        </is>
      </c>
      <c r="H8" s="114" t="n"/>
      <c r="I8" s="114" t="n"/>
      <c r="J8" s="114" t="inlineStr">
        <is>
          <t>Não</t>
        </is>
      </c>
      <c r="K8" s="114" t="n"/>
    </row>
    <row r="9">
      <c r="A9" s="121" t="inlineStr">
        <is>
          <t>Guarapuava II</t>
        </is>
      </c>
      <c r="B9" s="114" t="inlineStr">
        <is>
          <t>Campina Da Lagoa</t>
        </is>
      </c>
      <c r="C9" s="114" t="inlineStr">
        <is>
          <t>01</t>
        </is>
      </c>
      <c r="D9" s="114" t="inlineStr">
        <is>
          <t>Rafaelly Custódio</t>
        </is>
      </c>
      <c r="E9" s="117" t="inlineStr">
        <is>
          <t>Enviado</t>
        </is>
      </c>
      <c r="F9" s="114" t="inlineStr">
        <is>
          <t>25/03/2025</t>
        </is>
      </c>
      <c r="G9" s="116" t="inlineStr">
        <is>
          <t>Sim</t>
        </is>
      </c>
      <c r="H9" s="114" t="n"/>
      <c r="I9" s="114" t="n"/>
      <c r="J9" s="114" t="inlineStr">
        <is>
          <t>Não</t>
        </is>
      </c>
      <c r="K9" s="114" t="n"/>
    </row>
    <row r="10">
      <c r="A10" s="122" t="inlineStr">
        <is>
          <t>Curitiba</t>
        </is>
      </c>
      <c r="B10" s="114" t="inlineStr">
        <is>
          <t>Campo Largo</t>
        </is>
      </c>
      <c r="C10" s="114" t="inlineStr">
        <is>
          <t>01</t>
        </is>
      </c>
      <c r="D10" s="114" t="inlineStr">
        <is>
          <t>Hayana dos Santos Jaines</t>
        </is>
      </c>
      <c r="E10" s="117" t="inlineStr">
        <is>
          <t>Enviado</t>
        </is>
      </c>
      <c r="F10" s="114" t="inlineStr">
        <is>
          <t>27/03/2025</t>
        </is>
      </c>
      <c r="G10" s="116" t="inlineStr">
        <is>
          <t>Sim</t>
        </is>
      </c>
      <c r="H10" s="114" t="n"/>
      <c r="I10" s="114" t="n"/>
      <c r="J10" s="114" t="inlineStr">
        <is>
          <t>Não</t>
        </is>
      </c>
      <c r="K10" s="114" t="n"/>
    </row>
    <row r="11">
      <c r="A11" s="122" t="inlineStr">
        <is>
          <t>Curitiba</t>
        </is>
      </c>
      <c r="B11" s="114" t="inlineStr">
        <is>
          <t>Campo Largo</t>
        </is>
      </c>
      <c r="C11" s="114" t="inlineStr">
        <is>
          <t>02</t>
        </is>
      </c>
      <c r="D11" s="114" t="inlineStr">
        <is>
          <t>Hayana dos Santos Jaines</t>
        </is>
      </c>
      <c r="E11" s="117" t="inlineStr">
        <is>
          <t>Enviado</t>
        </is>
      </c>
      <c r="F11" s="114" t="inlineStr">
        <is>
          <t>26/03/2025</t>
        </is>
      </c>
      <c r="G11" s="116" t="inlineStr">
        <is>
          <t>Sim</t>
        </is>
      </c>
      <c r="H11" s="114" t="n"/>
      <c r="I11" s="114" t="n"/>
      <c r="J11" s="114" t="inlineStr">
        <is>
          <t>Não</t>
        </is>
      </c>
      <c r="K11" s="114" t="n"/>
    </row>
    <row r="12">
      <c r="A12" s="122" t="inlineStr">
        <is>
          <t>Curitiba</t>
        </is>
      </c>
      <c r="B12" s="114" t="inlineStr">
        <is>
          <t>Campo Largo</t>
        </is>
      </c>
      <c r="C12" s="114" t="inlineStr">
        <is>
          <t>03</t>
        </is>
      </c>
      <c r="D12" s="114" t="inlineStr">
        <is>
          <t>Hayana dos Santos Jaines</t>
        </is>
      </c>
      <c r="E12" s="117" t="inlineStr">
        <is>
          <t>Enviado</t>
        </is>
      </c>
      <c r="F12" s="114" t="inlineStr">
        <is>
          <t>27/03/2025</t>
        </is>
      </c>
      <c r="G12" s="116" t="inlineStr">
        <is>
          <t>Sim</t>
        </is>
      </c>
      <c r="H12" s="114" t="n"/>
      <c r="I12" s="114" t="n"/>
      <c r="J12" s="114" t="inlineStr">
        <is>
          <t>Não</t>
        </is>
      </c>
      <c r="K12" s="114" t="n"/>
    </row>
    <row r="13">
      <c r="A13" s="122" t="inlineStr">
        <is>
          <t>Curitiba</t>
        </is>
      </c>
      <c r="B13" s="114" t="inlineStr">
        <is>
          <t>Campo Largo</t>
        </is>
      </c>
      <c r="C13" s="114" t="inlineStr">
        <is>
          <t>04</t>
        </is>
      </c>
      <c r="D13" s="114" t="inlineStr">
        <is>
          <t>Hayana dos Santos Jaines</t>
        </is>
      </c>
      <c r="E13" s="117" t="inlineStr">
        <is>
          <t>Enviado</t>
        </is>
      </c>
      <c r="F13" s="114" t="inlineStr">
        <is>
          <t>28/03/2025</t>
        </is>
      </c>
      <c r="G13" s="116" t="inlineStr">
        <is>
          <t>Sim</t>
        </is>
      </c>
      <c r="H13" s="114" t="inlineStr">
        <is>
          <t xml:space="preserve">Formulário duplicado (considerar ID 4483) </t>
        </is>
      </c>
      <c r="I13" s="114" t="inlineStr">
        <is>
          <t>Remover ID4482</t>
        </is>
      </c>
      <c r="J13" s="114" t="inlineStr">
        <is>
          <t>Sim</t>
        </is>
      </c>
      <c r="K13" s="114" t="inlineStr">
        <is>
          <t>Esses formulários são referentes à UVR 02. Removido ID 4482</t>
        </is>
      </c>
    </row>
    <row r="14">
      <c r="A14" s="122" t="inlineStr">
        <is>
          <t>Curitiba</t>
        </is>
      </c>
      <c r="B14" s="114" t="inlineStr">
        <is>
          <t>Campo Largo</t>
        </is>
      </c>
      <c r="C14" s="114" t="inlineStr">
        <is>
          <t>05</t>
        </is>
      </c>
      <c r="D14" s="114" t="inlineStr">
        <is>
          <t>Hayana dos Santos Jaines</t>
        </is>
      </c>
      <c r="E14" s="117" t="inlineStr">
        <is>
          <t>Enviado</t>
        </is>
      </c>
      <c r="F14" s="114" t="inlineStr">
        <is>
          <t>28/03/2025</t>
        </is>
      </c>
      <c r="G14" s="116" t="inlineStr">
        <is>
          <t>Sim</t>
        </is>
      </c>
      <c r="H14" s="114" t="n"/>
      <c r="I14" s="114" t="n"/>
      <c r="J14" s="114" t="inlineStr">
        <is>
          <t>Não</t>
        </is>
      </c>
      <c r="K14" s="114" t="n"/>
    </row>
    <row r="15">
      <c r="A15" s="122" t="inlineStr">
        <is>
          <t>Curitiba</t>
        </is>
      </c>
      <c r="B15" s="114" t="inlineStr">
        <is>
          <t>Campo Magro</t>
        </is>
      </c>
      <c r="C15" s="114" t="inlineStr">
        <is>
          <t>01</t>
        </is>
      </c>
      <c r="D15" s="114" t="inlineStr">
        <is>
          <t>Evellyn Renata Bereza Bueno</t>
        </is>
      </c>
      <c r="E15" s="117" t="inlineStr">
        <is>
          <t>Enviado</t>
        </is>
      </c>
      <c r="F15" s="114" t="inlineStr">
        <is>
          <t>10/02/2025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t="inlineStr">
        <is>
          <t>Anandra da Silva</t>
        </is>
      </c>
      <c r="E16" s="117" t="inlineStr">
        <is>
          <t>Enviado</t>
        </is>
      </c>
      <c r="F16" s="114" t="inlineStr">
        <is>
          <t>06/02/2025</t>
        </is>
      </c>
      <c r="G16" s="116" t="inlineStr">
        <is>
          <t>Sim</t>
        </is>
      </c>
      <c r="H16" s="114" t="n"/>
      <c r="I16" s="114" t="n"/>
      <c r="J16" s="114" t="inlineStr">
        <is>
          <t>Não</t>
        </is>
      </c>
      <c r="K16" s="114" t="n"/>
    </row>
    <row r="17">
      <c r="A17" s="122" t="inlineStr">
        <is>
          <t>Curitiba</t>
        </is>
      </c>
      <c r="B17" s="114" t="inlineStr">
        <is>
          <t>Cerro Azul</t>
        </is>
      </c>
      <c r="C17" s="114" t="inlineStr">
        <is>
          <t>01</t>
        </is>
      </c>
      <c r="D17" s="114" t="inlineStr">
        <is>
          <t xml:space="preserve">Carlos Jorge de Oliveira Moreira  </t>
        </is>
      </c>
      <c r="E17" s="117" t="inlineStr">
        <is>
          <t>Enviado</t>
        </is>
      </c>
      <c r="F17" s="114" t="inlineStr">
        <is>
          <t>27/03/2025</t>
        </is>
      </c>
      <c r="G17" s="116" t="inlineStr">
        <is>
          <t>Sim</t>
        </is>
      </c>
      <c r="H17" s="114" t="inlineStr">
        <is>
          <t>Técnico retirar arquivo inserido como Nota fiscal - arquivo errado (já solicitado)</t>
        </is>
      </c>
      <c r="I17" s="114" t="n"/>
      <c r="J17" s="114" t="inlineStr">
        <is>
          <t>Não</t>
        </is>
      </c>
      <c r="K17" s="114" t="n"/>
    </row>
    <row r="18">
      <c r="A18" s="113" t="inlineStr">
        <is>
          <t>Paranavaí</t>
        </is>
      </c>
      <c r="B18" s="114" t="inlineStr">
        <is>
          <t>Colorado</t>
        </is>
      </c>
      <c r="C18" s="114" t="inlineStr">
        <is>
          <t>01</t>
        </is>
      </c>
      <c r="D18" s="114" t="inlineStr">
        <is>
          <t>Jéssica da Silva Bortolozzo</t>
        </is>
      </c>
      <c r="E18" s="117" t="inlineStr">
        <is>
          <t>Enviado</t>
        </is>
      </c>
      <c r="F18" s="114" t="inlineStr">
        <is>
          <t>26/02/2025</t>
        </is>
      </c>
      <c r="G18" s="123" t="inlineStr">
        <is>
          <t>Não</t>
        </is>
      </c>
      <c r="H18" s="114" t="inlineStr">
        <is>
          <t>Em revisão havia enviado no simplificado</t>
        </is>
      </c>
      <c r="I18" s="114" t="n"/>
      <c r="J18" s="114" t="inlineStr">
        <is>
          <t>Não</t>
        </is>
      </c>
      <c r="K18" s="114" t="n"/>
    </row>
    <row r="19">
      <c r="A19" s="119" t="inlineStr">
        <is>
          <t>Francisco Beltrão</t>
        </is>
      </c>
      <c r="B19" s="114" t="inlineStr">
        <is>
          <t>Coronel Vivida</t>
        </is>
      </c>
      <c r="C19" s="114" t="inlineStr">
        <is>
          <t>01</t>
        </is>
      </c>
      <c r="D19" s="114" t="inlineStr">
        <is>
          <t>Tássia Castelli</t>
        </is>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t="inlineStr">
        <is>
          <t>Bianca Monteiro</t>
        </is>
      </c>
      <c r="E20" s="117" t="inlineStr">
        <is>
          <t>Enviado</t>
        </is>
      </c>
      <c r="F20" s="114" t="inlineStr">
        <is>
          <t>07/02/2025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t="inlineStr">
        <is>
          <t>Augusto Nunes</t>
        </is>
      </c>
      <c r="E21" s="117" t="inlineStr">
        <is>
          <t>Enviado</t>
        </is>
      </c>
      <c r="F21" s="114" t="inlineStr">
        <is>
          <t>04/06/2025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t="inlineStr">
        <is>
          <t>Amanda Cristina Beal Acosta</t>
        </is>
      </c>
      <c r="E22" s="117" t="inlineStr">
        <is>
          <t>Enviado</t>
        </is>
      </c>
      <c r="F22" s="114" t="inlineStr">
        <is>
          <t>24/02/2025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t="inlineStr">
        <is>
          <t>Amanda Cristina Beal Acosta</t>
        </is>
      </c>
      <c r="E23" s="117" t="inlineStr">
        <is>
          <t>Enviado</t>
        </is>
      </c>
      <c r="F23" s="114" t="inlineStr">
        <is>
          <t>24/02/2025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t="inlineStr">
        <is>
          <t>Amanda Cristina Beal Acosta</t>
        </is>
      </c>
      <c r="E24" s="117" t="inlineStr">
        <is>
          <t>Enviado</t>
        </is>
      </c>
      <c r="F24" s="114" t="inlineStr">
        <is>
          <t>24/02/2025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t="inlineStr">
        <is>
          <t xml:space="preserve">Marcos Alexandre Esmocoviski </t>
        </is>
      </c>
      <c r="E25" s="117" t="inlineStr">
        <is>
          <t>Enviado</t>
        </is>
      </c>
      <c r="F25" s="114" t="inlineStr">
        <is>
          <t>27/03/2025</t>
        </is>
      </c>
      <c r="G25" s="123" t="inlineStr">
        <is>
          <t>Não</t>
        </is>
      </c>
      <c r="H25" s="114" t="n"/>
      <c r="I25" s="114" t="n"/>
      <c r="J25" s="114" t="inlineStr">
        <is>
          <t>Não</t>
        </is>
      </c>
      <c r="K25" s="114" t="n"/>
    </row>
    <row r="26">
      <c r="A26" s="120" t="inlineStr">
        <is>
          <t>Londrina</t>
        </is>
      </c>
      <c r="B26" s="114" t="inlineStr">
        <is>
          <t>Ibaiti</t>
        </is>
      </c>
      <c r="C26" s="114" t="inlineStr">
        <is>
          <t>01</t>
        </is>
      </c>
      <c r="D26" s="114" t="inlineStr">
        <is>
          <t>Rodrigo Lima</t>
        </is>
      </c>
      <c r="E26" s="117" t="inlineStr">
        <is>
          <t>Enviado</t>
        </is>
      </c>
      <c r="F26" s="114" t="inlineStr">
        <is>
          <t>11/02/2025</t>
        </is>
      </c>
      <c r="G26" s="116" t="inlineStr">
        <is>
          <t>Sim</t>
        </is>
      </c>
      <c r="H26" s="114" t="n"/>
      <c r="I26" s="114" t="n"/>
      <c r="J26" s="114" t="inlineStr">
        <is>
          <t>Não</t>
        </is>
      </c>
      <c r="K26" s="114" t="n"/>
    </row>
    <row r="27">
      <c r="A27" s="120" t="inlineStr">
        <is>
          <t>Londrina</t>
        </is>
      </c>
      <c r="B27" s="114" t="inlineStr">
        <is>
          <t>Jaguapitã</t>
        </is>
      </c>
      <c r="C27" s="114" t="inlineStr">
        <is>
          <t>01</t>
        </is>
      </c>
      <c r="D27" s="114" t="inlineStr">
        <is>
          <t>Savana Lemes Rodrigues</t>
        </is>
      </c>
      <c r="E27" s="117" t="inlineStr">
        <is>
          <t>Enviado</t>
        </is>
      </c>
      <c r="F27" s="114" t="inlineStr">
        <is>
          <t>20/03/2025</t>
        </is>
      </c>
      <c r="G27" s="116" t="inlineStr">
        <is>
          <t>Sim</t>
        </is>
      </c>
      <c r="H27" s="114" t="inlineStr">
        <is>
          <t>Tudo zerado, dificuldade na obtenção de dados com tesoureiro</t>
        </is>
      </c>
      <c r="I27" s="114" t="n"/>
      <c r="J27" s="114" t="inlineStr">
        <is>
          <t>Não</t>
        </is>
      </c>
      <c r="K27" s="114" t="n"/>
    </row>
    <row r="28">
      <c r="A28" s="120" t="inlineStr">
        <is>
          <t>Londrina</t>
        </is>
      </c>
      <c r="B28" s="114" t="inlineStr">
        <is>
          <t>Jaguariaíva</t>
        </is>
      </c>
      <c r="C28" s="114" t="inlineStr">
        <is>
          <t>01</t>
        </is>
      </c>
      <c r="D28" s="114" t="inlineStr">
        <is>
          <t>Letícia Diniz</t>
        </is>
      </c>
      <c r="E28" s="117" t="inlineStr">
        <is>
          <t>Enviado</t>
        </is>
      </c>
      <c r="F28" s="114" t="inlineStr">
        <is>
          <t>07/02/2025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t="inlineStr">
        <is>
          <t>Tais Muller</t>
        </is>
      </c>
      <c r="E29" s="117" t="inlineStr">
        <is>
          <t>Enviado</t>
        </is>
      </c>
      <c r="F29" s="114" t="inlineStr">
        <is>
          <t>07/02/2025</t>
        </is>
      </c>
      <c r="G29" s="116" t="inlineStr">
        <is>
          <t>Sim</t>
        </is>
      </c>
      <c r="H29" s="114" t="n"/>
      <c r="I29" s="114" t="n"/>
      <c r="J29" s="114" t="inlineStr">
        <is>
          <t>Não</t>
        </is>
      </c>
      <c r="K29" s="114" t="n"/>
    </row>
    <row r="30">
      <c r="A30" s="118" t="inlineStr">
        <is>
          <t>Maringá</t>
        </is>
      </c>
      <c r="B30" s="114" t="inlineStr">
        <is>
          <t>Kaloré</t>
        </is>
      </c>
      <c r="C30" s="114" t="inlineStr">
        <is>
          <t>01</t>
        </is>
      </c>
      <c r="D30" s="114" t="inlineStr">
        <is>
          <t>Fernando Henrique Ferreira</t>
        </is>
      </c>
      <c r="E30" s="117" t="inlineStr">
        <is>
          <t>Enviado</t>
        </is>
      </c>
      <c r="F30" s="114" t="inlineStr">
        <is>
          <t>07/02/2025</t>
        </is>
      </c>
      <c r="G30" s="116" t="inlineStr">
        <is>
          <t>Sim</t>
        </is>
      </c>
      <c r="H30" s="114" t="n"/>
      <c r="I30" s="114" t="n"/>
      <c r="J30" s="114" t="inlineStr">
        <is>
          <t>Não</t>
        </is>
      </c>
      <c r="K30" s="114" t="n"/>
    </row>
    <row r="31">
      <c r="A31" s="122" t="inlineStr">
        <is>
          <t>Curitiba</t>
        </is>
      </c>
      <c r="B31" s="114" t="inlineStr">
        <is>
          <t>Lapa</t>
        </is>
      </c>
      <c r="C31" s="114" t="inlineStr">
        <is>
          <t>01</t>
        </is>
      </c>
      <c r="D31" s="114" t="inlineStr">
        <is>
          <t xml:space="preserve">Isadora Bussmann Barsotti </t>
        </is>
      </c>
      <c r="E31" s="117" t="inlineStr">
        <is>
          <t>Enviado</t>
        </is>
      </c>
      <c r="F31" s="114" t="inlineStr">
        <is>
          <t>25/03/2025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t="inlineStr">
        <is>
          <t>Osair Wrublak</t>
        </is>
      </c>
      <c r="E32" s="117" t="inlineStr">
        <is>
          <t>Enviado</t>
        </is>
      </c>
      <c r="F32" s="114" t="inlineStr">
        <is>
          <t>10/02/2025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t="inlineStr">
        <is>
          <t>Gislaine Souza Rosa</t>
        </is>
      </c>
      <c r="E33" s="117" t="inlineStr">
        <is>
          <t>Enviado</t>
        </is>
      </c>
      <c r="F33" s="114" t="inlineStr">
        <is>
          <t>06/02/2025</t>
        </is>
      </c>
      <c r="G33" s="116" t="inlineStr">
        <is>
          <t>Sim</t>
        </is>
      </c>
      <c r="H33" s="114" t="n"/>
      <c r="I33" s="114" t="n"/>
      <c r="J33" s="114" t="inlineStr">
        <is>
          <t>Não</t>
        </is>
      </c>
      <c r="K33" s="114" t="n"/>
    </row>
    <row r="34">
      <c r="A34" s="118" t="inlineStr">
        <is>
          <t>Maringá</t>
        </is>
      </c>
      <c r="B34" s="114" t="inlineStr">
        <is>
          <t>Mandaguari</t>
        </is>
      </c>
      <c r="C34" s="114" t="inlineStr">
        <is>
          <t>01</t>
        </is>
      </c>
      <c r="D34" s="114" t="inlineStr">
        <is>
          <t>Leticia Framesche</t>
        </is>
      </c>
      <c r="E34" s="117" t="inlineStr">
        <is>
          <t>Enviado</t>
        </is>
      </c>
      <c r="F34" s="114" t="inlineStr">
        <is>
          <t>06/02/2025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t="inlineStr">
        <is>
          <t xml:space="preserve">Suzana Gotardo de Meira </t>
        </is>
      </c>
      <c r="E35" s="117" t="inlineStr">
        <is>
          <t>Enviado</t>
        </is>
      </c>
      <c r="F35" s="114" t="inlineStr">
        <is>
          <t>25/03/2025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t="inlineStr">
        <is>
          <t>Vinicius Patriota dos Santos</t>
        </is>
      </c>
      <c r="E36" s="117" t="inlineStr">
        <is>
          <t>Enviado</t>
        </is>
      </c>
      <c r="F36" s="114" t="inlineStr">
        <is>
          <t>06/02/2025</t>
        </is>
      </c>
      <c r="G36" s="116" t="inlineStr">
        <is>
          <t>Sim</t>
        </is>
      </c>
      <c r="H36" s="114" t="n"/>
      <c r="I36" s="114" t="n"/>
      <c r="J36" s="114" t="inlineStr">
        <is>
          <t>Não</t>
        </is>
      </c>
      <c r="K36" s="114" t="n"/>
    </row>
    <row r="37">
      <c r="A37" s="118" t="inlineStr">
        <is>
          <t>Maringá</t>
        </is>
      </c>
      <c r="B37" s="114" t="inlineStr">
        <is>
          <t>Nova Tebas</t>
        </is>
      </c>
      <c r="C37" s="114" t="inlineStr">
        <is>
          <t>01</t>
        </is>
      </c>
      <c r="D37" s="114" t="inlineStr">
        <is>
          <t>Patricia Teixeira dos Santos</t>
        </is>
      </c>
      <c r="E37" s="117" t="inlineStr">
        <is>
          <t>Enviado</t>
        </is>
      </c>
      <c r="F37" s="114" t="inlineStr">
        <is>
          <t>10/02/2025</t>
        </is>
      </c>
      <c r="G37" s="116" t="inlineStr">
        <is>
          <t>Sim</t>
        </is>
      </c>
      <c r="H37" s="114" t="n"/>
      <c r="I37" s="114" t="n"/>
      <c r="J37" s="114" t="inlineStr">
        <is>
          <t>Não</t>
        </is>
      </c>
      <c r="K37" s="114" t="n"/>
    </row>
    <row r="38">
      <c r="A38" s="120" t="inlineStr">
        <is>
          <t>Londrina</t>
        </is>
      </c>
      <c r="B38" s="114" t="inlineStr">
        <is>
          <t>Ortigueira</t>
        </is>
      </c>
      <c r="C38" s="114" t="inlineStr">
        <is>
          <t>01</t>
        </is>
      </c>
      <c r="D38" s="114" t="inlineStr">
        <is>
          <t xml:space="preserve">Anderson Batista Siqueira </t>
        </is>
      </c>
      <c r="E38" s="117" t="inlineStr">
        <is>
          <t>Enviado</t>
        </is>
      </c>
      <c r="F38" s="114" t="inlineStr">
        <is>
          <t>27/03/2025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t="inlineStr">
        <is>
          <t xml:space="preserve">Aramis Vinicius de Paula Oliveira </t>
        </is>
      </c>
      <c r="E39" s="117" t="inlineStr">
        <is>
          <t>Enviado</t>
        </is>
      </c>
      <c r="F39" s="114" t="inlineStr">
        <is>
          <t>26/03/2025</t>
        </is>
      </c>
      <c r="G39" s="123" t="inlineStr">
        <is>
          <t>Não</t>
        </is>
      </c>
      <c r="H39" s="114" t="n"/>
      <c r="I39" s="114" t="n"/>
      <c r="J39" s="114" t="inlineStr">
        <is>
          <t>Não</t>
        </is>
      </c>
      <c r="K39" s="114" t="n"/>
    </row>
    <row r="40">
      <c r="A40" s="113" t="inlineStr">
        <is>
          <t>Paranavaí</t>
        </is>
      </c>
      <c r="B40" s="114" t="inlineStr">
        <is>
          <t>Paraíso Do Norte</t>
        </is>
      </c>
      <c r="C40" s="114" t="inlineStr">
        <is>
          <t>01</t>
        </is>
      </c>
      <c r="D40" s="114" t="inlineStr">
        <is>
          <t>Julliane Gonçalves</t>
        </is>
      </c>
      <c r="E40" s="117" t="inlineStr">
        <is>
          <t>Enviado</t>
        </is>
      </c>
      <c r="F40" s="114" t="inlineStr">
        <is>
          <t>06/02/2025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t="inlineStr">
        <is>
          <t>Gustavo Henrique de Andrade</t>
        </is>
      </c>
      <c r="E41" s="117" t="inlineStr">
        <is>
          <t>Enviado</t>
        </is>
      </c>
      <c r="F41" s="114" t="inlineStr">
        <is>
          <t>06/02/2025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t="inlineStr">
        <is>
          <t>Ricardo Pyc</t>
        </is>
      </c>
      <c r="E42" s="117" t="inlineStr">
        <is>
          <t>Enviado</t>
        </is>
      </c>
      <c r="F42" s="114" t="inlineStr">
        <is>
          <t>06/02/2025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t="inlineStr">
        <is>
          <t xml:space="preserve">Camila Maytana Flores da Silva </t>
        </is>
      </c>
      <c r="E43" s="117" t="inlineStr">
        <is>
          <t>Enviado</t>
        </is>
      </c>
      <c r="F43" s="114" t="inlineStr">
        <is>
          <t>25/03/2025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t="inlineStr">
        <is>
          <t>Claudiana Andria</t>
        </is>
      </c>
      <c r="E44" s="117" t="inlineStr">
        <is>
          <t>Enviado</t>
        </is>
      </c>
      <c r="F44" s="114" t="inlineStr">
        <is>
          <t>10/02/2025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t="inlineStr">
        <is>
          <t>Daiana Aparecida Dias</t>
        </is>
      </c>
      <c r="E45" s="117" t="inlineStr">
        <is>
          <t>Enviado</t>
        </is>
      </c>
      <c r="F45" s="114" t="inlineStr">
        <is>
          <t>05/02/2025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t="inlineStr">
        <is>
          <t>Maysa Fernanda Back</t>
        </is>
      </c>
      <c r="E46" s="117" t="inlineStr">
        <is>
          <t>Enviado</t>
        </is>
      </c>
      <c r="F46" s="114" t="inlineStr">
        <is>
          <t>14/04/2025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t="inlineStr">
        <is>
          <t>Maysa Fernanda Back</t>
        </is>
      </c>
      <c r="E47" s="115" t="inlineStr">
        <is>
          <t>Outras Ocorrências</t>
        </is>
      </c>
      <c r="F47" s="114" t="n"/>
      <c r="G47" s="116" t="inlineStr">
        <is>
          <t>Sim</t>
        </is>
      </c>
      <c r="H47" s="114" t="inlineStr">
        <is>
          <t>Associação ainda não iniciou suas atividades</t>
        </is>
      </c>
      <c r="I47" s="114" t="n"/>
      <c r="J47" s="114" t="inlineStr">
        <is>
          <t>Não</t>
        </is>
      </c>
      <c r="K47" s="114" t="n"/>
    </row>
    <row r="48">
      <c r="A48" s="122" t="inlineStr">
        <is>
          <t>Curitiba</t>
        </is>
      </c>
      <c r="B48" s="114" t="inlineStr">
        <is>
          <t>Rio Negro</t>
        </is>
      </c>
      <c r="C48" s="114" t="inlineStr">
        <is>
          <t>01</t>
        </is>
      </c>
      <c r="D48" s="114" t="inlineStr">
        <is>
          <t>Jean Eriksen de Miranda</t>
        </is>
      </c>
      <c r="E48" s="117" t="inlineStr">
        <is>
          <t>Enviado</t>
        </is>
      </c>
      <c r="F48" s="114" t="inlineStr">
        <is>
          <t>07/02/2025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t="inlineStr">
        <is>
          <t>Ana Paula Cigolini</t>
        </is>
      </c>
      <c r="E49" s="117" t="inlineStr">
        <is>
          <t>Enviado</t>
        </is>
      </c>
      <c r="F49" s="114" t="inlineStr">
        <is>
          <t>28/03/2025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t="inlineStr">
        <is>
          <t>Vilmar Ribeiro</t>
        </is>
      </c>
      <c r="E50" s="117" t="inlineStr">
        <is>
          <t>Enviado</t>
        </is>
      </c>
      <c r="F50" s="114" t="inlineStr">
        <is>
          <t>10/02/2025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t="inlineStr">
        <is>
          <t>Ana Carolina Bertolaccini</t>
        </is>
      </c>
      <c r="E51" s="117" t="inlineStr">
        <is>
          <t>Enviado</t>
        </is>
      </c>
      <c r="F51" s="114" t="inlineStr">
        <is>
          <t>10/02/2025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t="inlineStr">
        <is>
          <t>Maristela de Oliveira Melo</t>
        </is>
      </c>
      <c r="E52" s="117" t="inlineStr">
        <is>
          <t>Enviado</t>
        </is>
      </c>
      <c r="F52" s="114" t="inlineStr">
        <is>
          <t>29/03/2025</t>
        </is>
      </c>
      <c r="G52" s="116" t="inlineStr">
        <is>
          <t>Sim</t>
        </is>
      </c>
      <c r="H52" s="114" t="inlineStr">
        <is>
          <t>Dados inconsistentes com troca de valores das colunas prec</t>
        </is>
      </c>
      <c r="I52" s="114" t="n"/>
      <c r="J52" s="114" t="inlineStr">
        <is>
          <t>Não</t>
        </is>
      </c>
      <c r="K52" s="114" t="n"/>
    </row>
    <row r="53">
      <c r="A53" s="120" t="inlineStr">
        <is>
          <t>Londrina</t>
        </is>
      </c>
      <c r="B53" s="114" t="inlineStr">
        <is>
          <t>Santana Do Itararé</t>
        </is>
      </c>
      <c r="C53" s="114" t="inlineStr">
        <is>
          <t>01</t>
        </is>
      </c>
      <c r="D53" s="114" t="inlineStr">
        <is>
          <t xml:space="preserve">Yuri Luiz de Oliveira </t>
        </is>
      </c>
      <c r="E53" s="117" t="inlineStr">
        <is>
          <t>Enviado</t>
        </is>
      </c>
      <c r="F53" s="114" t="inlineStr">
        <is>
          <t>27/03/2025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t="n"/>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t="inlineStr">
        <is>
          <t>Eliane Stefani Dantas Dias</t>
        </is>
      </c>
      <c r="E55" s="117" t="inlineStr">
        <is>
          <t>Enviado</t>
        </is>
      </c>
      <c r="F55" s="114" t="inlineStr">
        <is>
          <t>29/03/2025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t="inlineStr">
        <is>
          <t xml:space="preserve">Diego Batista </t>
        </is>
      </c>
      <c r="E56" s="115" t="inlineStr">
        <is>
          <t>Outras Ocorrências</t>
        </is>
      </c>
      <c r="F56" s="114" t="n"/>
      <c r="G56" s="116" t="inlineStr">
        <is>
          <t>Sim</t>
        </is>
      </c>
      <c r="H56" s="114" t="inlineStr">
        <is>
          <t>Associação ainda não iniciou suas atividades</t>
        </is>
      </c>
      <c r="I56" s="114" t="n"/>
      <c r="J56" s="114" t="inlineStr">
        <is>
          <t>Não</t>
        </is>
      </c>
      <c r="K56" s="114" t="n"/>
    </row>
    <row r="57">
      <c r="A57" s="122" t="inlineStr">
        <is>
          <t>Curitiba</t>
        </is>
      </c>
      <c r="B57" s="114" t="inlineStr">
        <is>
          <t>São João Do Triunfo</t>
        </is>
      </c>
      <c r="C57" s="114" t="inlineStr">
        <is>
          <t>01</t>
        </is>
      </c>
      <c r="D57" s="114" t="inlineStr">
        <is>
          <t>Fernanda Naiara Voinarski</t>
        </is>
      </c>
      <c r="E57" s="117" t="inlineStr">
        <is>
          <t>Enviado</t>
        </is>
      </c>
      <c r="F57" s="114" t="inlineStr">
        <is>
          <t>27/03/2025</t>
        </is>
      </c>
      <c r="G57" s="116" t="inlineStr">
        <is>
          <t>Sim</t>
        </is>
      </c>
      <c r="H57" s="114" t="inlineStr">
        <is>
          <t xml:space="preserve">Ausência da dados de despesas da UVR, Cooperativa (União da Vitória) não informou </t>
        </is>
      </c>
      <c r="I57" s="114" t="n"/>
      <c r="J57" s="114" t="inlineStr">
        <is>
          <t>Não</t>
        </is>
      </c>
      <c r="K57" s="114" t="n"/>
    </row>
    <row r="58">
      <c r="A58" s="122" t="inlineStr">
        <is>
          <t>Curitiba</t>
        </is>
      </c>
      <c r="B58" s="114" t="inlineStr">
        <is>
          <t>Tijucas Do Sul</t>
        </is>
      </c>
      <c r="C58" s="114" t="inlineStr">
        <is>
          <t>01</t>
        </is>
      </c>
      <c r="D58" s="114" t="inlineStr">
        <is>
          <t>Pablo Bruno Rosa Oliveira</t>
        </is>
      </c>
      <c r="E58" s="117" t="inlineStr">
        <is>
          <t>Enviado</t>
        </is>
      </c>
      <c r="F58" s="114" t="inlineStr">
        <is>
          <t>11/02/2025</t>
        </is>
      </c>
      <c r="G58" s="116" t="inlineStr">
        <is>
          <t>Sim</t>
        </is>
      </c>
      <c r="H58" s="114" t="inlineStr">
        <is>
          <t xml:space="preserve">Formulário triplicado (considerar ID 4220) </t>
        </is>
      </c>
      <c r="I58" s="114" t="inlineStr">
        <is>
          <t>4314 e 4322</t>
        </is>
      </c>
      <c r="J58" s="114" t="inlineStr">
        <is>
          <t>Sim</t>
        </is>
      </c>
      <c r="K58" s="114" t="inlineStr">
        <is>
          <t>Removidos 4314 e 4322</t>
        </is>
      </c>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88"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26/03/2025</t>
        </is>
      </c>
      <c r="G3" s="116" t="inlineStr">
        <is>
          <t>Sim</t>
        </is>
      </c>
      <c r="H3" s="114" t="n"/>
      <c r="I3" s="114" t="inlineStr">
        <is>
          <t>Remover ID4488</t>
        </is>
      </c>
      <c r="J3" s="114" t="inlineStr">
        <is>
          <t>Sim</t>
        </is>
      </c>
      <c r="K3" s="114" t="inlineStr">
        <is>
          <t>Removido 4488</t>
        </is>
      </c>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7" t="inlineStr">
        <is>
          <t>Enviado</t>
        </is>
      </c>
      <c r="F4" s="114" t="inlineStr">
        <is>
          <t>12/03/2025</t>
        </is>
      </c>
      <c r="G4" s="116" t="inlineStr">
        <is>
          <t>Sim</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05/03/2025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10/03/2025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12/03/2025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10/03/2025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28/03/2025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27/03/2025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27/03/2025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27/03/2025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07/04/2025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28/03/2025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10/03/2025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05/03/2025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27/03/2025</t>
        </is>
      </c>
      <c r="G17" s="116" t="inlineStr">
        <is>
          <t>Sim</t>
        </is>
      </c>
      <c r="H17" s="114" t="inlineStr">
        <is>
          <t>Técnico retirar arquivo inserido como Nota fiscal - arquivo errado (já solicitado)</t>
        </is>
      </c>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11/03/2025</t>
        </is>
      </c>
      <c r="G18" s="116" t="inlineStr">
        <is>
          <t>Sim</t>
        </is>
      </c>
      <c r="H18" s="114" t="inlineStr">
        <is>
          <t>Em revisão havia enviado no simplificado</t>
        </is>
      </c>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10/03/2025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26/03/2025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10/03/2025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10/03/2025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10/03/2025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28/03/2025</t>
        </is>
      </c>
      <c r="G25" s="123" t="inlineStr">
        <is>
          <t>Não</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10/03/2025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27/03/2025</t>
        </is>
      </c>
      <c r="G27" s="116" t="inlineStr">
        <is>
          <t>Sim</t>
        </is>
      </c>
      <c r="H27" s="114" t="inlineStr">
        <is>
          <t>Tudo zerado, dificuldade na obtenção de dados com tesoureiro</t>
        </is>
      </c>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10/03/2025</t>
        </is>
      </c>
      <c r="G28" s="116" t="inlineStr">
        <is>
          <t>Sim</t>
        </is>
      </c>
      <c r="H28" s="114" t="inlineStr">
        <is>
          <t>Como triavam tudo o quantitativo de rejeito é tudo que foi para o transbordo no mês</t>
        </is>
      </c>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30/03/2025</t>
        </is>
      </c>
      <c r="G29" s="116" t="inlineStr">
        <is>
          <t>Sim</t>
        </is>
      </c>
      <c r="H29" s="114" t="inlineStr">
        <is>
          <t>enviará até dia 28/03</t>
        </is>
      </c>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11/03/2025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27/03/2025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10/03/2025</t>
        </is>
      </c>
      <c r="G32" s="123" t="inlineStr">
        <is>
          <t>Não</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21/03/2025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10/03/2025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26/03/2025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24/02/2025</t>
        </is>
      </c>
      <c r="G36" s="123" t="inlineStr">
        <is>
          <t>Não</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10/03/2025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27/03/2025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26/03/2025</t>
        </is>
      </c>
      <c r="G39" s="116" t="inlineStr">
        <is>
          <t>Sim</t>
        </is>
      </c>
      <c r="H39" s="114" t="inlineStr">
        <is>
          <t xml:space="preserve">Deletar duplicados </t>
        </is>
      </c>
      <c r="I39" s="126" t="inlineStr">
        <is>
          <t>ID5466 e ID5465</t>
        </is>
      </c>
      <c r="J39" s="114" t="inlineStr">
        <is>
          <t>Sim</t>
        </is>
      </c>
      <c r="K39" s="114" t="inlineStr">
        <is>
          <t>Deletado 5466 e 5465</t>
        </is>
      </c>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13/03/2025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10/03/2025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06/03/2025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26/03/2025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10/03/2025</t>
        </is>
      </c>
      <c r="G44" s="123" t="inlineStr">
        <is>
          <t>Não</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07/03/2025</t>
        </is>
      </c>
      <c r="G45" s="116" t="inlineStr">
        <is>
          <t>Sim</t>
        </is>
      </c>
      <c r="H45" s="114" t="inlineStr">
        <is>
          <t>Como triavam tudo o quantitativo de rejeito é tudo que foi para o transbordo no mês</t>
        </is>
      </c>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14/04/2025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Associação ainda não iniciou suas atividades</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06/03/2025</t>
        </is>
      </c>
      <c r="G48" s="116" t="inlineStr">
        <is>
          <t>Sim</t>
        </is>
      </c>
      <c r="H48" s="114" t="inlineStr">
        <is>
          <t xml:space="preserve">Inserir Notas fiscais </t>
        </is>
      </c>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25/03/2025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10/03/2025</t>
        </is>
      </c>
      <c r="G50" s="123" t="inlineStr">
        <is>
          <t>Não</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07/03/2025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02/04/2025</t>
        </is>
      </c>
      <c r="G52" s="116" t="inlineStr">
        <is>
          <t>Sim</t>
        </is>
      </c>
      <c r="H52" s="114" t="inlineStr">
        <is>
          <t>Revisado</t>
        </is>
      </c>
      <c r="I52" s="114" t="inlineStr">
        <is>
          <t>Remover ID4538</t>
        </is>
      </c>
      <c r="J52" s="114" t="inlineStr">
        <is>
          <t>Sim</t>
        </is>
      </c>
      <c r="K52" s="114" t="inlineStr">
        <is>
          <t>Removido 4538</t>
        </is>
      </c>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28/03/2025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29/03/2025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26/03/2025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25/03/2025</t>
        </is>
      </c>
      <c r="G57" s="116" t="inlineStr">
        <is>
          <t>Sim</t>
        </is>
      </c>
      <c r="H57" s="114" t="inlineStr">
        <is>
          <t xml:space="preserve">Ausência da dados de despesas da UVR, Cooperativa (União da Vitória) não informou </t>
        </is>
      </c>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07/03/2025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32" customWidth="1" min="8" max="8"/>
    <col width="34" customWidth="1" min="9" max="9"/>
    <col width="25" customWidth="1" min="10" max="10"/>
    <col width="49"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09/04/2025</t>
        </is>
      </c>
      <c r="G3" s="116" t="inlineStr">
        <is>
          <t>Sim</t>
        </is>
      </c>
      <c r="H3" s="114" t="inlineStr">
        <is>
          <t xml:space="preserve">Revisado e refeito havia enviado no simplificado </t>
        </is>
      </c>
      <c r="I3" s="114" t="inlineStr">
        <is>
          <t>ID 4570 e ID 4488</t>
        </is>
      </c>
      <c r="J3" s="114" t="inlineStr">
        <is>
          <t>Sim</t>
        </is>
      </c>
      <c r="K3" s="114" t="inlineStr">
        <is>
          <t>Removido 4570. 4488 removido no mês anterior</t>
        </is>
      </c>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7" t="inlineStr">
        <is>
          <t>Enviado</t>
        </is>
      </c>
      <c r="F4" s="114" t="inlineStr">
        <is>
          <t>25/09/2025</t>
        </is>
      </c>
      <c r="G4" s="123" t="inlineStr">
        <is>
          <t>Não</t>
        </is>
      </c>
      <c r="H4" s="114" t="inlineStr">
        <is>
          <t>Técnica está impossibilidade de visitar a UVR e/ou conseguir os dados</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02/04/2025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08/04/2025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02/04/2025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09/04/2025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28/03/2025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10/04/2025</t>
        </is>
      </c>
      <c r="G10" s="116" t="inlineStr">
        <is>
          <t>Sim</t>
        </is>
      </c>
      <c r="H10" s="114" t="inlineStr">
        <is>
          <t xml:space="preserve">Vai inserir as Notas </t>
        </is>
      </c>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10/04/2025</t>
        </is>
      </c>
      <c r="G11" s="116" t="inlineStr">
        <is>
          <t>Sim</t>
        </is>
      </c>
      <c r="H11" s="114" t="inlineStr">
        <is>
          <t>Inserir despesas - comunicado ao técnico</t>
        </is>
      </c>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10/04/2025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10/04/2025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10/04/2025</t>
        </is>
      </c>
      <c r="G14" s="116" t="inlineStr">
        <is>
          <t>Sim</t>
        </is>
      </c>
      <c r="H14" s="114" t="inlineStr">
        <is>
          <t xml:space="preserve">Incompleto </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10/04/2025</t>
        </is>
      </c>
      <c r="G15" s="116" t="inlineStr">
        <is>
          <t>Sim</t>
        </is>
      </c>
      <c r="H15" s="114" t="inlineStr">
        <is>
          <t>Inserir Notas fiscais e despesas - comunicado ao técnico</t>
        </is>
      </c>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09/04/2025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04/04/2025</t>
        </is>
      </c>
      <c r="G17" s="116" t="inlineStr">
        <is>
          <t>Sim</t>
        </is>
      </c>
      <c r="H17" s="114" t="inlineStr">
        <is>
          <t>Técnico retirar arquivo inserido como Nota fiscal - arquivo errado</t>
        </is>
      </c>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08/04/2025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07/04/2025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08/04/2025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10/04/2025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09/04/2025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07/04/2025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25/04/2025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08/04/2025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27/03/2025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08/04/2025</t>
        </is>
      </c>
      <c r="G28" s="116" t="inlineStr">
        <is>
          <t>Sim</t>
        </is>
      </c>
      <c r="H28" s="114" t="inlineStr">
        <is>
          <t>Pararam de triar RSU por isso a queda nos recicláveis comercializados</t>
        </is>
      </c>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14/04/2025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07/04/2025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07/04/2025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02/04/2025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08/04/2025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07/04/2025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10/04/2025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31/03/2025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03/04/2025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07/04/2025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10/04/2025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11/04/2025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08/04/2025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02/04/2025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09/04/2025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07/04/2025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07/04/2025</t>
        </is>
      </c>
      <c r="G45" s="116" t="inlineStr">
        <is>
          <t>Sim</t>
        </is>
      </c>
      <c r="H45" s="114" t="inlineStr">
        <is>
          <t>Não houve rejeito declarado visto que município está sem contrato com aterro sanitário e todo o rejeito esta indo para uma vala</t>
        </is>
      </c>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14/04/2025</t>
        </is>
      </c>
      <c r="G46" s="116" t="inlineStr">
        <is>
          <t>Sim</t>
        </is>
      </c>
      <c r="H46" s="114" t="inlineStr">
        <is>
          <t>Adicionar valor do contrato com a Prefeitura - comunicado ao técnico</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01/04/2025</t>
        </is>
      </c>
      <c r="G48" s="116" t="inlineStr">
        <is>
          <t>Sim</t>
        </is>
      </c>
      <c r="H48" s="114" t="inlineStr">
        <is>
          <t xml:space="preserve">Inserir valor do contrato com a Prefeitura </t>
        </is>
      </c>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05/05/2025</t>
        </is>
      </c>
      <c r="G49" s="116" t="inlineStr">
        <is>
          <t>Sim</t>
        </is>
      </c>
      <c r="H49" s="114" t="inlineStr">
        <is>
          <t>Excluir ID4577</t>
        </is>
      </c>
      <c r="I49" s="114" t="inlineStr">
        <is>
          <t>Deletar ID4577</t>
        </is>
      </c>
      <c r="J49" s="114" t="inlineStr">
        <is>
          <t>Sim</t>
        </is>
      </c>
      <c r="K49" s="114" t="inlineStr">
        <is>
          <t>Deletado ID4577</t>
        </is>
      </c>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02/04/2025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09/04/2025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09/04/2025</t>
        </is>
      </c>
      <c r="G52" s="116" t="inlineStr">
        <is>
          <t>Sim</t>
        </is>
      </c>
      <c r="H52" s="114" t="inlineStr">
        <is>
          <t>Foi efetuada correção de dados inconsistentes. Troca de valores nas colunas peso e venda</t>
        </is>
      </c>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08/04/2025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10/04/2025</t>
        </is>
      </c>
      <c r="G55" s="116" t="inlineStr">
        <is>
          <t>Sim</t>
        </is>
      </c>
      <c r="H55" s="114" t="inlineStr">
        <is>
          <t>Foi efetuada correção de dados inconsistentes. Troca de valores nas colunas peso e venda</t>
        </is>
      </c>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07/04/2025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02/04/2025</t>
        </is>
      </c>
      <c r="G57" s="116" t="inlineStr">
        <is>
          <t>Sim</t>
        </is>
      </c>
      <c r="H57" s="114" t="inlineStr">
        <is>
          <t xml:space="preserve">Ausência da dados de despesas da UVR, Cooperativa (União da Vitória) não informou </t>
        </is>
      </c>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04/04/2025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94" customWidth="1" min="8" max="8"/>
    <col width="34" customWidth="1" min="9" max="9"/>
    <col width="25" customWidth="1" min="10" max="10"/>
    <col width="53"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05/05/2025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5" t="inlineStr">
        <is>
          <t>Sem Técnico</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08/05/2025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08/05/2025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12/05/2025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08/05/2025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22/05/2025</t>
        </is>
      </c>
      <c r="G9" s="116" t="inlineStr">
        <is>
          <t>Sim</t>
        </is>
      </c>
      <c r="H9" s="114" t="inlineStr">
        <is>
          <t xml:space="preserve">DUPLICADO EXCLUIR OS FORMULÁRIOS </t>
        </is>
      </c>
      <c r="I9" s="114" t="inlineStr">
        <is>
          <t>ID 4769 ID4768 ID4464</t>
        </is>
      </c>
      <c r="J9" s="114" t="inlineStr">
        <is>
          <t>Sim</t>
        </is>
      </c>
      <c r="K9" s="114" t="inlineStr">
        <is>
          <t>Deletado 4464 - Fev/2025; 4769 e 4768 - Abr/2025</t>
        </is>
      </c>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13/05/2025</t>
        </is>
      </c>
      <c r="G10" s="116" t="inlineStr">
        <is>
          <t>Sim</t>
        </is>
      </c>
      <c r="H10" s="114" t="inlineStr">
        <is>
          <t xml:space="preserve">Preenchimento incompleto - comunicado a técnica </t>
        </is>
      </c>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13/05/2025</t>
        </is>
      </c>
      <c r="G11" s="116" t="inlineStr">
        <is>
          <t>Sim</t>
        </is>
      </c>
      <c r="H11" s="114" t="inlineStr">
        <is>
          <t xml:space="preserve">Preenchimento incompleto - comunicado a técnica </t>
        </is>
      </c>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13/05/2025</t>
        </is>
      </c>
      <c r="G12" s="116" t="inlineStr">
        <is>
          <t>Sim</t>
        </is>
      </c>
      <c r="H12" s="114" t="inlineStr">
        <is>
          <t xml:space="preserve">Preenchimento incompleto - comunicado a técnica </t>
        </is>
      </c>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13/05/2025</t>
        </is>
      </c>
      <c r="G13" s="116" t="inlineStr">
        <is>
          <t>Sim</t>
        </is>
      </c>
      <c r="H13" s="114" t="inlineStr">
        <is>
          <t xml:space="preserve">Preenchimento incompleto - comunicado a técnica </t>
        </is>
      </c>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13/05/2025</t>
        </is>
      </c>
      <c r="G14" s="116" t="inlineStr">
        <is>
          <t>Sim</t>
        </is>
      </c>
      <c r="H14" s="114" t="inlineStr">
        <is>
          <t xml:space="preserve">Preenchimento incompleto - comunicado a técnica </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08/05/2025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02/05/2025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09/05/2025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05/05/2025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07/05/2025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06/05/2025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12/05/2025</t>
        </is>
      </c>
      <c r="G22" s="116" t="inlineStr">
        <is>
          <t>Sim</t>
        </is>
      </c>
      <c r="H22" s="114" t="inlineStr">
        <is>
          <t xml:space="preserve">Fazer alterações nos dados </t>
        </is>
      </c>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12/05/2025</t>
        </is>
      </c>
      <c r="G23" s="116" t="inlineStr">
        <is>
          <t>Sim</t>
        </is>
      </c>
      <c r="H23" s="114" t="inlineStr">
        <is>
          <t xml:space="preserve">Fazer alterações nos dados </t>
        </is>
      </c>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12/05/2025</t>
        </is>
      </c>
      <c r="G24" s="116" t="inlineStr">
        <is>
          <t>Sim</t>
        </is>
      </c>
      <c r="H24" s="114" t="inlineStr">
        <is>
          <t xml:space="preserve">Fazer alterações nos dados </t>
        </is>
      </c>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15/05/2025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08/05/2025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06/05/2025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12/05/2025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12/05/2025</t>
        </is>
      </c>
      <c r="G29" s="116" t="inlineStr">
        <is>
          <t>Sim</t>
        </is>
      </c>
      <c r="H29" s="114" t="inlineStr">
        <is>
          <t xml:space="preserve">DUPLICADO EXCLUIR OS FORMULÁRIOS </t>
        </is>
      </c>
      <c r="I29" s="114" t="inlineStr">
        <is>
          <t>ID4713</t>
        </is>
      </c>
      <c r="J29" s="114" t="inlineStr">
        <is>
          <t>Sim</t>
        </is>
      </c>
      <c r="K29" s="114" t="inlineStr">
        <is>
          <t>Deletado 4713</t>
        </is>
      </c>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06/05/2025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05/05/2025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06/05/2025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08/05/2025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08/05/2025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06/05/2025</t>
        </is>
      </c>
      <c r="G35" s="116" t="inlineStr">
        <is>
          <t>Sim</t>
        </is>
      </c>
      <c r="H35" s="114" t="inlineStr">
        <is>
          <t xml:space="preserve">Fazer alterações nos dados </t>
        </is>
      </c>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30/04/2025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08/05/2025</t>
        </is>
      </c>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07/05/2025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06/05/2025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19/05/2025</t>
        </is>
      </c>
      <c r="G40" s="123" t="inlineStr">
        <is>
          <t>Não</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05/05/2025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07/05/2025</t>
        </is>
      </c>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09/05/2025</t>
        </is>
      </c>
      <c r="G43" s="116" t="inlineStr">
        <is>
          <t>Sim</t>
        </is>
      </c>
      <c r="H43" s="114" t="inlineStr">
        <is>
          <t xml:space="preserve">Fazer alterações nos dados </t>
        </is>
      </c>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06/05/2025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07/05/2025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08/05/2025</t>
        </is>
      </c>
      <c r="G46" s="116" t="inlineStr">
        <is>
          <t>Sim</t>
        </is>
      </c>
      <c r="H46" s="114" t="inlineStr">
        <is>
          <t xml:space="preserve">Sem dados do Rejeito - comunicado ao técnico </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29/04/2025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05/05/2025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08/05/2025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07/05/2025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07/05/2025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08/05/2025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08/05/2025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08/05/2025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05/05/2025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19/05/2025</t>
        </is>
      </c>
      <c r="G58" s="116" t="inlineStr">
        <is>
          <t>Sim</t>
        </is>
      </c>
      <c r="H58" s="114" t="inlineStr">
        <is>
          <t>Novo Técnico entrou dia 12/05 - dados do mês 04 deverão ser preenchidos até final do mês</t>
        </is>
      </c>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94" customWidth="1" min="8" max="8"/>
    <col width="34" customWidth="1" min="9" max="9"/>
    <col width="25" customWidth="1" min="10" max="10"/>
    <col width="44"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03/06/2025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5" t="inlineStr">
        <is>
          <t>Sem Técnico</t>
        </is>
      </c>
      <c r="F4" s="114" t="n"/>
      <c r="G4" s="123" t="inlineStr">
        <is>
          <t>Não</t>
        </is>
      </c>
      <c r="H4" s="114" t="inlineStr">
        <is>
          <t>Sem técnico</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04/06/2025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05/06/2025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02/06/2025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06/06/2025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03/06/2025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28/05/2025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09/06/2025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09/06/2025</t>
        </is>
      </c>
      <c r="G12" s="116" t="inlineStr">
        <is>
          <t>Sim</t>
        </is>
      </c>
      <c r="H12" s="114" t="inlineStr">
        <is>
          <t>Solicitei tecnica revisar taxa de rejeito</t>
        </is>
      </c>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10/07/2025</t>
        </is>
      </c>
      <c r="G13" s="123" t="inlineStr">
        <is>
          <t>Não</t>
        </is>
      </c>
      <c r="H13" s="114" t="inlineStr">
        <is>
          <t xml:space="preserve">Não preenchido completo </t>
        </is>
      </c>
      <c r="I13" s="114" t="inlineStr">
        <is>
          <t>ID 4868</t>
        </is>
      </c>
      <c r="J13" s="114" t="inlineStr">
        <is>
          <t>Sim</t>
        </is>
      </c>
      <c r="K13" s="114" t="inlineStr">
        <is>
          <t>Deletado o 4869 (4868 estava incorreto)</t>
        </is>
      </c>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10/06/2025</t>
        </is>
      </c>
      <c r="G14" s="116" t="inlineStr">
        <is>
          <t>Sim</t>
        </is>
      </c>
      <c r="H14" s="114" t="inlineStr">
        <is>
          <t xml:space="preserve">Falta inserir as Notas fiscais </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16/06/2025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03/06/2025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09/06/2025</t>
        </is>
      </c>
      <c r="G17" s="116" t="inlineStr">
        <is>
          <t>Sim</t>
        </is>
      </c>
      <c r="H17" s="114" t="inlineStr">
        <is>
          <t>Analisado no dia 13</t>
        </is>
      </c>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11/06/2025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09/06/2025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04/06/2025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12/06/2025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12/06/2025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02/07/2025</t>
        </is>
      </c>
      <c r="G24" s="123" t="inlineStr">
        <is>
          <t>Não</t>
        </is>
      </c>
      <c r="H24" s="114" t="inlineStr">
        <is>
          <t>Não tem dados</t>
        </is>
      </c>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08/07/2025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06/06/2025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07/06/2025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11/06/2025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05/06/2025</t>
        </is>
      </c>
      <c r="G29" s="116" t="inlineStr">
        <is>
          <t>Sim</t>
        </is>
      </c>
      <c r="H29" s="114" t="inlineStr">
        <is>
          <t>excluir o ID 4841</t>
        </is>
      </c>
      <c r="I29" s="114" t="inlineStr">
        <is>
          <t>Excluir 4841</t>
        </is>
      </c>
      <c r="J29" s="114" t="inlineStr">
        <is>
          <t>Sim</t>
        </is>
      </c>
      <c r="K29" s="114" t="inlineStr">
        <is>
          <t>Deletado o 4841</t>
        </is>
      </c>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04/06/2025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16/06/2025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06/06/2025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04/06/2025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03/06/2025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06/06/2025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03/06/2025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06/06/2025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04/06/2025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09/06/2025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11/06/2025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06/06/2025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04/06/2025</t>
        </is>
      </c>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06/06/2025</t>
        </is>
      </c>
      <c r="G43" s="116" t="inlineStr">
        <is>
          <t>Sim</t>
        </is>
      </c>
      <c r="H43" s="114" t="inlineStr">
        <is>
          <t>Aguardando correções</t>
        </is>
      </c>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09/06/2025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02/06/2025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09/06/2025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05/06/2025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06/06/2025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09/06/2025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05/06/2025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03/06/2025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09/06/2025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09/06/2025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05/06/2025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04/06/2025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10/06/2025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0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08/07/2025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7" t="inlineStr">
        <is>
          <t>Atrasado &gt;= 2</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03/07/2025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03/07/2025</t>
        </is>
      </c>
      <c r="G6" s="116" t="inlineStr">
        <is>
          <t>Sim</t>
        </is>
      </c>
      <c r="H6" s="114" t="inlineStr">
        <is>
          <t>Correção do fundo de caixa</t>
        </is>
      </c>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03/07/2025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09/07/2025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06/07/2025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07/07/2025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08/07/2025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10/07/2025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10/07/2025</t>
        </is>
      </c>
      <c r="G13" s="116" t="inlineStr">
        <is>
          <t>Sim</t>
        </is>
      </c>
      <c r="H13" s="114" t="inlineStr">
        <is>
          <t xml:space="preserve">Falta Atualizar dados ja falei com tecnica </t>
        </is>
      </c>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10/07/2025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14/07/2025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02/07/2025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03/07/2025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04/07/2025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04/07/2025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08/07/2025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11/07/2025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11/07/2025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11/07/2025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11/07/2025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07/07/2025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04/07/2025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07/07/2025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04/07/2025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03/07/2025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02/07/2025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08/07/2025</t>
        </is>
      </c>
      <c r="G32" s="116" t="inlineStr">
        <is>
          <t>Sim</t>
        </is>
      </c>
      <c r="H32" s="114" t="inlineStr">
        <is>
          <t>Formulário duplicado - excluir o ID4995</t>
        </is>
      </c>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08/07/2025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11/07/2025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07/07/2025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04/07/2025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07/07/2025</t>
        </is>
      </c>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03/07/2025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08/07/2025</t>
        </is>
      </c>
      <c r="G39" s="116" t="inlineStr">
        <is>
          <t>Sim</t>
        </is>
      </c>
      <c r="H39" s="114" t="inlineStr">
        <is>
          <t>Foi preenchido porém não corresponde com a realidade comercializada por falta de dados do presidente</t>
        </is>
      </c>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07/07/2025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07/07/2025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02/07/2025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09/07/2025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01/07/2025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01/07/2025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09/10/2025</t>
        </is>
      </c>
      <c r="G46" s="123" t="inlineStr">
        <is>
          <t>Não</t>
        </is>
      </c>
      <c r="H46" s="114" t="inlineStr">
        <is>
          <t>Técnico saiu</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01/07/2025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06/08/2025</t>
        </is>
      </c>
      <c r="G49" s="123" t="inlineStr">
        <is>
          <t>Não</t>
        </is>
      </c>
      <c r="H49" s="114" t="inlineStr">
        <is>
          <t>Não terá lançamento por enquanto, técnica nova.</t>
        </is>
      </c>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07/07/2025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08/07/2025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03/07/2025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14/07/2025</t>
        </is>
      </c>
      <c r="G53" s="116" t="inlineStr">
        <is>
          <t>Sim</t>
        </is>
      </c>
      <c r="H53" s="114" t="inlineStr">
        <is>
          <t>Despesas estão mal detalhadas pedi revisão.</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inlineStr">
        <is>
          <t>UVR não está em operação</t>
        </is>
      </c>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10/07/2025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04/07/2025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03/07/2025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07/07/2025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66"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05/08/2025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7" t="inlineStr">
        <is>
          <t>Atrasado &gt;= 2</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06/08/2025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06/08/2025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04/08/2025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08/08/2025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06/08/2025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07/08/2025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08/08/2025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11/08/2025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11/08/2025</t>
        </is>
      </c>
      <c r="G13" s="116" t="inlineStr">
        <is>
          <t>Sim</t>
        </is>
      </c>
      <c r="H13" s="114" t="inlineStr">
        <is>
          <t>falta dados</t>
        </is>
      </c>
      <c r="I13" s="114" t="inlineStr">
        <is>
          <t>excluir o ID 5157</t>
        </is>
      </c>
      <c r="J13" s="114" t="inlineStr">
        <is>
          <t>Sim</t>
        </is>
      </c>
      <c r="K13" s="114" t="inlineStr">
        <is>
          <t>Deletado o 5157</t>
        </is>
      </c>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11/08/2025</t>
        </is>
      </c>
      <c r="G14" s="116" t="inlineStr">
        <is>
          <t>Sim</t>
        </is>
      </c>
      <c r="H14" s="114" t="inlineStr">
        <is>
          <t>falta dados</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08/08/2025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06/08/2025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05/08/2025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07/08/2025</t>
        </is>
      </c>
      <c r="G18" s="123" t="inlineStr">
        <is>
          <t>Não</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04/08/2025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05/08/2025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13/08/2025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13/08/2025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12/08/2025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27/08/2025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07/08/2025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17/07/2025</t>
        </is>
      </c>
      <c r="G27" s="116" t="inlineStr">
        <is>
          <t>Sim</t>
        </is>
      </c>
      <c r="H27" s="114" t="inlineStr">
        <is>
          <t>Duplicado listado para deleção</t>
        </is>
      </c>
      <c r="I27" s="114" t="n">
        <v>5512</v>
      </c>
      <c r="J27" s="114" t="inlineStr">
        <is>
          <t>Sim</t>
        </is>
      </c>
      <c r="K27" s="114" t="inlineStr">
        <is>
          <t>Deletado 5512</t>
        </is>
      </c>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11/08/2025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05/08/2025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29/08/2025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11/08/2025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04/08/2025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06/08/2025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07/08/2025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01/08/2025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06/08/2025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07/08/2025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01/09/2025</t>
        </is>
      </c>
      <c r="G38" s="123" t="inlineStr">
        <is>
          <t>Não</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04/08/2025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25/07/2025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31/07/2025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05/08/2025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08/08/2025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06/08/2025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07/08/2025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09/10/2025</t>
        </is>
      </c>
      <c r="G46" s="123" t="inlineStr">
        <is>
          <t>Não</t>
        </is>
      </c>
      <c r="H46" s="114" t="inlineStr">
        <is>
          <t xml:space="preserve">Sem técnico </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23" t="inlineStr">
        <is>
          <t>Não</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05/08/2025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28/07/2025</t>
        </is>
      </c>
      <c r="G49" s="116" t="inlineStr">
        <is>
          <t>Sim</t>
        </is>
      </c>
      <c r="H49" s="114" t="inlineStr">
        <is>
          <t>Solicitei a revisão no dia</t>
        </is>
      </c>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07/08/2025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01/08/2025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05/08/2025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08/08/2025</t>
        </is>
      </c>
      <c r="G53" s="123" t="inlineStr">
        <is>
          <t>Não</t>
        </is>
      </c>
      <c r="H53" s="114" t="inlineStr">
        <is>
          <t>O técnico preencheu tudo como "Outros materiais" já solicitei a correção. Outro ponto são as despesas que não estão bem detalhadas (solicitei revisão 28/08/2025)</t>
        </is>
      </c>
      <c r="I53" s="114" t="inlineStr">
        <is>
          <t>ID5185</t>
        </is>
      </c>
      <c r="J53" s="114" t="inlineStr">
        <is>
          <t>Sim</t>
        </is>
      </c>
      <c r="K53" s="114" t="inlineStr">
        <is>
          <t>Deletado o 5185</t>
        </is>
      </c>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06/08/2025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05/08/2025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24/07/2025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07/08/2025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61"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01/09/2025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7" t="inlineStr">
        <is>
          <t>Enviado</t>
        </is>
      </c>
      <c r="F4" s="114" t="inlineStr">
        <is>
          <t>26/09/2025</t>
        </is>
      </c>
      <c r="G4" s="116" t="inlineStr">
        <is>
          <t>Sim</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09/09/2025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04/09/2025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02/09/2025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08/09/2025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10/10/2025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09/09/2025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10/09/2025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05/09/2025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10/09/2025</t>
        </is>
      </c>
      <c r="G13" s="116" t="inlineStr">
        <is>
          <t>Sim</t>
        </is>
      </c>
      <c r="H13" s="114" t="inlineStr">
        <is>
          <t xml:space="preserve">Incompleto </t>
        </is>
      </c>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10/09/2025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08/09/2025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05/09/2025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02/09/2025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10/09/2025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29/08/2025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03/09/2025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10/09/2025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10/09/2025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11/09/2025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17/11/2025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05/09/2025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25/08/2025</t>
        </is>
      </c>
      <c r="G27" s="116" t="inlineStr">
        <is>
          <t>Sim</t>
        </is>
      </c>
      <c r="H27" s="114" t="inlineStr">
        <is>
          <t>Para Outubro passará a pesar o rejeito</t>
        </is>
      </c>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09/09/2025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11/09/2025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04/09/2025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08/09/2025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05/09/2025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05/09/2025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04/09/2025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08/09/2025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04/09/2025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04/09/2025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08/09/2025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05/09/2025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08/09/2025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01/09/2025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02/09/2025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08/09/2025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05/09/2025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01/09/2025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05/09/2025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23" t="inlineStr">
        <is>
          <t>Não</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01/09/2025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25/08/2025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26/08/2025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08/09/2025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01/09/2025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17/09/2025</t>
        </is>
      </c>
      <c r="G53" s="123" t="inlineStr">
        <is>
          <t>Não</t>
        </is>
      </c>
      <c r="H53" s="114" t="inlineStr">
        <is>
          <t>Técnico entregou mas sem detalhamento de nada e apenas com 1 tonelada de resíduos. Claramente não está atualizado. Técnico se afastou por problemas de saúde</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08/09/2025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08/09/2025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29/08/2025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09/09/2025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7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03/10/2025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5" t="inlineStr">
        <is>
          <t>Outras Ocorrências</t>
        </is>
      </c>
      <c r="F4" s="114" t="n"/>
      <c r="G4" s="116" t="inlineStr">
        <is>
          <t>Sim</t>
        </is>
      </c>
      <c r="H4" s="114" t="inlineStr">
        <is>
          <t>Sem acesso aos dados e informações. Técnica impossibilitada atuar na UVR</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07/10/2025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08/10/2025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08/10/2025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07/10/2025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15/10/2025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09/10/2025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09/10/2025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09/10/2025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09/10/2025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09/10/2025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08/10/2025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03/10/2025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06/10/2025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06/10/2025</t>
        </is>
      </c>
      <c r="G18" s="116" t="inlineStr">
        <is>
          <t>Sim</t>
        </is>
      </c>
      <c r="H18" s="114" t="inlineStr">
        <is>
          <t>Dados inconsistentes. Necessita revisão!</t>
        </is>
      </c>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23" t="inlineStr">
        <is>
          <t>Não</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06/10/2025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06/10/2025</t>
        </is>
      </c>
      <c r="G21" s="123" t="inlineStr">
        <is>
          <t>Não</t>
        </is>
      </c>
      <c r="H21" s="114" t="inlineStr">
        <is>
          <t>atualizar os eletronicos</t>
        </is>
      </c>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13/10/2025</t>
        </is>
      </c>
      <c r="G22" s="123" t="inlineStr">
        <is>
          <t>Não</t>
        </is>
      </c>
      <c r="H22" s="114" t="inlineStr">
        <is>
          <t>atualizar as vendas dos reciclaveis</t>
        </is>
      </c>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13/10/2025</t>
        </is>
      </c>
      <c r="G23" s="123" t="inlineStr">
        <is>
          <t>Não</t>
        </is>
      </c>
      <c r="H23" s="114" t="inlineStr">
        <is>
          <t>atualizar as vendas dos reciclaveis</t>
        </is>
      </c>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13/10/2025</t>
        </is>
      </c>
      <c r="G24" s="123" t="inlineStr">
        <is>
          <t>Não</t>
        </is>
      </c>
      <c r="H24" s="114" t="inlineStr">
        <is>
          <t>atualizar as vendas dos reciclaveis</t>
        </is>
      </c>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18/11/2025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08/10/2025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16/09/2025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08/10/2025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09/10/2025</t>
        </is>
      </c>
      <c r="G29" s="116" t="inlineStr">
        <is>
          <t>Sim</t>
        </is>
      </c>
      <c r="H29" s="114" t="inlineStr">
        <is>
          <t>excluir ID 5477</t>
        </is>
      </c>
      <c r="I29" s="128" t="inlineStr">
        <is>
          <t>ID 5477</t>
        </is>
      </c>
      <c r="J29" s="114" t="inlineStr">
        <is>
          <t>Sim</t>
        </is>
      </c>
      <c r="K29" s="114" t="inlineStr">
        <is>
          <t>Deletado 5477</t>
        </is>
      </c>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08/10/2025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08/10/2025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07/10/2025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08/10/2025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07/10/2025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09/10/2025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01/10/2025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13/10/2025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08/10/2025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10/10/2025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08/10/2025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30/09/2025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08/10/2025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07/10/2025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07/10/2025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03/10/2025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07/10/2025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28" t="inlineStr">
        <is>
          <t>Associação ainda não iniciou suas atividades sem dados</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06/10/2025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02/10/2025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08/10/2025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09/10/2025</t>
        </is>
      </c>
      <c r="G51" s="116" t="inlineStr">
        <is>
          <t>Sim</t>
        </is>
      </c>
      <c r="H51" s="114" t="inlineStr">
        <is>
          <t>Validado, porém associação não quis passar o fundo de caixa</t>
        </is>
      </c>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06/10/2025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27" t="inlineStr">
        <is>
          <t>Atrasado &gt;= 2</t>
        </is>
      </c>
      <c r="F53" s="114" t="n"/>
      <c r="G53" s="123" t="inlineStr">
        <is>
          <t>Não</t>
        </is>
      </c>
      <c r="H53" s="114" t="inlineStr">
        <is>
          <t>Técnico afastado por motivos de saúde</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10/10/2025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08/10/2025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10/10/2025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02/10/2025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1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27" t="inlineStr">
        <is>
          <t>Atrasado &gt;= 2</t>
        </is>
      </c>
      <c r="F3" s="114" t="n"/>
      <c r="G3" s="123" t="inlineStr">
        <is>
          <t>Não</t>
        </is>
      </c>
      <c r="H3" s="114" t="inlineStr">
        <is>
          <t>Não houve comercialização. Transferência da estrutura antiga para nova UVR iniciou atividades em 21 de outubro</t>
        </is>
      </c>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5" t="inlineStr">
        <is>
          <t>Outras Ocorrências</t>
        </is>
      </c>
      <c r="F4" s="114" t="n"/>
      <c r="G4" s="123" t="inlineStr">
        <is>
          <t>Não</t>
        </is>
      </c>
      <c r="H4" s="114" t="inlineStr">
        <is>
          <t>Sem acesso aos dados e informações. Técnica impossibilitada atuar na UVR</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13/11/2025</t>
        </is>
      </c>
      <c r="G5" s="116" t="inlineStr">
        <is>
          <t>Sim</t>
        </is>
      </c>
      <c r="H5" s="114" t="inlineStr">
        <is>
          <t xml:space="preserve">Mudança de técnico </t>
        </is>
      </c>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05/11/2025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04/11/2025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11/11/2025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11/11/2025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10/11/2025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10/11/2025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10/11/2025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10/11/2025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10/11/2025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10/11/2025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05/11/2025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07/11/2025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14/11/2025</t>
        </is>
      </c>
      <c r="G18" s="123" t="inlineStr">
        <is>
          <t>Não</t>
        </is>
      </c>
      <c r="H18" s="114" t="inlineStr">
        <is>
          <t>Está em processode mudança de técnica, Enviará até 14/11</t>
        </is>
      </c>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23" t="inlineStr">
        <is>
          <t>Não</t>
        </is>
      </c>
      <c r="H19" s="114" t="inlineStr">
        <is>
          <t>Associação iniciou suas atividades em 27/10, logo sem dados para esse mês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30/10/2025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06/11/2025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12/11/2025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11/11/2025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12/11/2025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18/11/2025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10/11/2025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30/10/2025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06/11/2025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03/11/2025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07/11/2025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24/11/2025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06/11/2025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09/11/2025</t>
        </is>
      </c>
      <c r="G33" s="123" t="inlineStr">
        <is>
          <t>Não</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03/11/2025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10/11/2025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06/11/2025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07/11/2025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06/11/2025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07/11/2025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07/11/2025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02/11/2025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07/11/2025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06/11/2025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05/11/2025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03/11/2025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05/11/2025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sem atividades</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05/11/2025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28/10/2025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07/11/2025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07/11/2025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03/11/2025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27" t="inlineStr">
        <is>
          <t>Atrasado &gt;= 2</t>
        </is>
      </c>
      <c r="F53" s="114" t="n"/>
      <c r="G53" s="123" t="inlineStr">
        <is>
          <t>Não</t>
        </is>
      </c>
      <c r="H53" s="114" t="inlineStr">
        <is>
          <t>Técnico afastado</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10/11/2025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06/11/2025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05/11/2025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04/11/2025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7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02/12/2025</t>
        </is>
      </c>
      <c r="G3" s="123" t="inlineStr">
        <is>
          <t>Não</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9" t="inlineStr">
        <is>
          <t>Atrasado</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02/12/2025</t>
        </is>
      </c>
      <c r="G5" s="123" t="inlineStr">
        <is>
          <t>Não</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04/12/2025</t>
        </is>
      </c>
      <c r="G6" s="123" t="inlineStr">
        <is>
          <t>Não</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08/12/2025</t>
        </is>
      </c>
      <c r="G7" s="123" t="inlineStr">
        <is>
          <t>Não</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09/12/2025</t>
        </is>
      </c>
      <c r="G8" s="123" t="inlineStr">
        <is>
          <t>Não</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09/12/2025</t>
        </is>
      </c>
      <c r="G9" s="123" t="inlineStr">
        <is>
          <t>Não</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09/12/2025</t>
        </is>
      </c>
      <c r="G10" s="123" t="inlineStr">
        <is>
          <t>Não</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09/12/2025</t>
        </is>
      </c>
      <c r="G11" s="123" t="inlineStr">
        <is>
          <t>Não</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09/12/2025</t>
        </is>
      </c>
      <c r="G12" s="123" t="inlineStr">
        <is>
          <t>Não</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09/12/2025</t>
        </is>
      </c>
      <c r="G13" s="123" t="inlineStr">
        <is>
          <t>Não</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09/12/2025</t>
        </is>
      </c>
      <c r="G14" s="123" t="inlineStr">
        <is>
          <t>Não</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09/12/2025</t>
        </is>
      </c>
      <c r="G15" s="123" t="inlineStr">
        <is>
          <t>Não</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04/12/2025</t>
        </is>
      </c>
      <c r="G16" s="123" t="inlineStr">
        <is>
          <t>Não</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08/12/2025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29" t="inlineStr">
        <is>
          <t>Atrasado</t>
        </is>
      </c>
      <c r="F18" s="114" t="n"/>
      <c r="G18" s="123" t="inlineStr">
        <is>
          <t>Não</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7" t="inlineStr">
        <is>
          <t>Enviado</t>
        </is>
      </c>
      <c r="F19" s="114" t="inlineStr">
        <is>
          <t>08/12/2025</t>
        </is>
      </c>
      <c r="G19" s="123" t="inlineStr">
        <is>
          <t>Não</t>
        </is>
      </c>
      <c r="H19" s="114" t="n"/>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08/12/2025</t>
        </is>
      </c>
      <c r="G20" s="123" t="inlineStr">
        <is>
          <t>Não</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04/12/2025</t>
        </is>
      </c>
      <c r="G21" s="123" t="inlineStr">
        <is>
          <t>Não</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29" t="inlineStr">
        <is>
          <t>Atrasado</t>
        </is>
      </c>
      <c r="F22" s="114" t="n"/>
      <c r="G22" s="123" t="inlineStr">
        <is>
          <t>Não</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10/12/2025</t>
        </is>
      </c>
      <c r="G23" s="123" t="inlineStr">
        <is>
          <t>Não</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10/12/2025</t>
        </is>
      </c>
      <c r="G24" s="123" t="inlineStr">
        <is>
          <t>Não</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09/12/2025</t>
        </is>
      </c>
      <c r="G25" s="123" t="inlineStr">
        <is>
          <t>Não</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09/12/2025</t>
        </is>
      </c>
      <c r="G26" s="123" t="inlineStr">
        <is>
          <t>Não</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01/12/2025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03/12/2025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09/12/2025</t>
        </is>
      </c>
      <c r="G29" s="123" t="inlineStr">
        <is>
          <t>Não</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08/12/2025</t>
        </is>
      </c>
      <c r="G30" s="123" t="inlineStr">
        <is>
          <t>Não</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09/12/2025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04/12/2025</t>
        </is>
      </c>
      <c r="G32" s="123" t="inlineStr">
        <is>
          <t>Não</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08/12/2025</t>
        </is>
      </c>
      <c r="G33" s="123" t="inlineStr">
        <is>
          <t>Não</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02/12/2025</t>
        </is>
      </c>
      <c r="G34" s="123" t="inlineStr">
        <is>
          <t>Não</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10/12/2025</t>
        </is>
      </c>
      <c r="G35" s="123" t="inlineStr">
        <is>
          <t>Não</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04/12/2025</t>
        </is>
      </c>
      <c r="G36" s="123" t="inlineStr">
        <is>
          <t>Não</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09/12/2025</t>
        </is>
      </c>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08/12/2025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29" t="inlineStr">
        <is>
          <t>Atrasado</t>
        </is>
      </c>
      <c r="F39" s="114" t="n"/>
      <c r="G39" s="123" t="inlineStr">
        <is>
          <t>Não</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08/12/2025</t>
        </is>
      </c>
      <c r="G40" s="123" t="inlineStr">
        <is>
          <t>Não</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08/12/2025</t>
        </is>
      </c>
      <c r="G41" s="123" t="inlineStr">
        <is>
          <t>Não</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05/12/2025</t>
        </is>
      </c>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09/12/2025</t>
        </is>
      </c>
      <c r="G43" s="123" t="inlineStr">
        <is>
          <t>Não</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05/12/2025</t>
        </is>
      </c>
      <c r="G44" s="123" t="inlineStr">
        <is>
          <t>Não</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01/12/2025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05/12/2025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n"/>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02/12/2025</t>
        </is>
      </c>
      <c r="G48" s="123" t="inlineStr">
        <is>
          <t>Não</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04/12/2025</t>
        </is>
      </c>
      <c r="G49" s="123" t="inlineStr">
        <is>
          <t>Não</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09/12/2025</t>
        </is>
      </c>
      <c r="G50" s="123" t="inlineStr">
        <is>
          <t>Não</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08/12/2025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05/12/2025</t>
        </is>
      </c>
      <c r="G52" s="123" t="inlineStr">
        <is>
          <t>Não</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29" t="inlineStr">
        <is>
          <t>Atrasado</t>
        </is>
      </c>
      <c r="F53" s="114" t="n"/>
      <c r="G53" s="123" t="inlineStr">
        <is>
          <t>Não</t>
        </is>
      </c>
      <c r="H53" s="114" t="inlineStr">
        <is>
          <t>Técnico foi demitido</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09/12/2025</t>
        </is>
      </c>
      <c r="G55" s="123" t="inlineStr">
        <is>
          <t>Não</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07/12/2025</t>
        </is>
      </c>
      <c r="G56" s="123" t="inlineStr">
        <is>
          <t>Não</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10/12/2025</t>
        </is>
      </c>
      <c r="G57" s="123" t="inlineStr">
        <is>
          <t>Não</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09/12/2025</t>
        </is>
      </c>
      <c r="G58" s="123" t="inlineStr">
        <is>
          <t>Não</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7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4" t="n"/>
      <c r="F3" s="114" t="n"/>
      <c r="G3" s="123" t="inlineStr">
        <is>
          <t>Não</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4" t="n"/>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4" t="n"/>
      <c r="F5" s="114" t="n"/>
      <c r="G5" s="123" t="inlineStr">
        <is>
          <t>Não</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4" t="n"/>
      <c r="F6" s="114" t="n"/>
      <c r="G6" s="123" t="inlineStr">
        <is>
          <t>Não</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4" t="n"/>
      <c r="F7" s="114" t="n"/>
      <c r="G7" s="123" t="inlineStr">
        <is>
          <t>Não</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4" t="n"/>
      <c r="F8" s="114" t="n"/>
      <c r="G8" s="123" t="inlineStr">
        <is>
          <t>Não</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4" t="n"/>
      <c r="F9" s="114" t="n"/>
      <c r="G9" s="123" t="inlineStr">
        <is>
          <t>Não</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4" t="n"/>
      <c r="F10" s="114" t="n"/>
      <c r="G10" s="123" t="inlineStr">
        <is>
          <t>Não</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4" t="n"/>
      <c r="F11" s="114" t="n"/>
      <c r="G11" s="123" t="inlineStr">
        <is>
          <t>Não</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4" t="n"/>
      <c r="F12" s="114" t="n"/>
      <c r="G12" s="123" t="inlineStr">
        <is>
          <t>Não</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4" t="n"/>
      <c r="F13" s="114" t="n"/>
      <c r="G13" s="123" t="inlineStr">
        <is>
          <t>Não</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4" t="n"/>
      <c r="F14" s="114" t="n"/>
      <c r="G14" s="123" t="inlineStr">
        <is>
          <t>Não</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4" t="n"/>
      <c r="F15" s="114" t="n"/>
      <c r="G15" s="123" t="inlineStr">
        <is>
          <t>Não</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4" t="n"/>
      <c r="F16" s="114" t="n"/>
      <c r="G16" s="123" t="inlineStr">
        <is>
          <t>Não</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4" t="n"/>
      <c r="F17" s="114" t="n"/>
      <c r="G17" s="123" t="inlineStr">
        <is>
          <t>Não</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4" t="n"/>
      <c r="F18" s="114" t="n"/>
      <c r="G18" s="123" t="inlineStr">
        <is>
          <t>Não</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4" t="n"/>
      <c r="F19" s="114" t="n"/>
      <c r="G19" s="123" t="inlineStr">
        <is>
          <t>Não</t>
        </is>
      </c>
      <c r="H19" s="114" t="n"/>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4" t="n"/>
      <c r="F20" s="114" t="n"/>
      <c r="G20" s="123" t="inlineStr">
        <is>
          <t>Não</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4" t="n"/>
      <c r="F21" s="114" t="n"/>
      <c r="G21" s="123" t="inlineStr">
        <is>
          <t>Não</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4" t="n"/>
      <c r="F22" s="114" t="n"/>
      <c r="G22" s="123" t="inlineStr">
        <is>
          <t>Não</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4" t="n"/>
      <c r="F23" s="114" t="n"/>
      <c r="G23" s="123" t="inlineStr">
        <is>
          <t>Não</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4" t="n"/>
      <c r="F24" s="114" t="n"/>
      <c r="G24" s="123" t="inlineStr">
        <is>
          <t>Não</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4" t="n"/>
      <c r="F25" s="114" t="n"/>
      <c r="G25" s="123" t="inlineStr">
        <is>
          <t>Não</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4" t="n"/>
      <c r="F26" s="114" t="n"/>
      <c r="G26" s="123" t="inlineStr">
        <is>
          <t>Não</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4" t="n"/>
      <c r="F27" s="114" t="n"/>
      <c r="G27" s="123" t="inlineStr">
        <is>
          <t>Não</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4" t="n"/>
      <c r="F28" s="114" t="n"/>
      <c r="G28" s="123" t="inlineStr">
        <is>
          <t>Não</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4" t="n"/>
      <c r="F29" s="114" t="n"/>
      <c r="G29" s="123" t="inlineStr">
        <is>
          <t>Não</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4" t="n"/>
      <c r="F30" s="114" t="n"/>
      <c r="G30" s="123" t="inlineStr">
        <is>
          <t>Não</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4" t="n"/>
      <c r="F31" s="114" t="n"/>
      <c r="G31" s="123" t="inlineStr">
        <is>
          <t>Não</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4" t="n"/>
      <c r="F32" s="114" t="n"/>
      <c r="G32" s="123" t="inlineStr">
        <is>
          <t>Não</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4" t="n"/>
      <c r="F33" s="114" t="n"/>
      <c r="G33" s="123" t="inlineStr">
        <is>
          <t>Não</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4" t="n"/>
      <c r="F34" s="114" t="n"/>
      <c r="G34" s="123" t="inlineStr">
        <is>
          <t>Não</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4" t="n"/>
      <c r="F35" s="114" t="n"/>
      <c r="G35" s="123" t="inlineStr">
        <is>
          <t>Não</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4" t="n"/>
      <c r="F36" s="114" t="n"/>
      <c r="G36" s="123" t="inlineStr">
        <is>
          <t>Não</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4" t="n"/>
      <c r="F37" s="114" t="n"/>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4" t="n"/>
      <c r="F38" s="114" t="n"/>
      <c r="G38" s="123" t="inlineStr">
        <is>
          <t>Não</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4" t="n"/>
      <c r="F39" s="114" t="n"/>
      <c r="G39" s="123" t="inlineStr">
        <is>
          <t>Não</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4" t="n"/>
      <c r="F40" s="114" t="n"/>
      <c r="G40" s="123" t="inlineStr">
        <is>
          <t>Não</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4" t="n"/>
      <c r="F41" s="114" t="n"/>
      <c r="G41" s="123" t="inlineStr">
        <is>
          <t>Não</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4" t="n"/>
      <c r="F42" s="114" t="n"/>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4" t="n"/>
      <c r="F43" s="114" t="n"/>
      <c r="G43" s="123" t="inlineStr">
        <is>
          <t>Não</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4" t="n"/>
      <c r="F44" s="114" t="n"/>
      <c r="G44" s="123" t="inlineStr">
        <is>
          <t>Não</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4" t="n"/>
      <c r="F45" s="114" t="n"/>
      <c r="G45" s="123" t="inlineStr">
        <is>
          <t>Não</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4" t="n"/>
      <c r="F46" s="114" t="n"/>
      <c r="G46" s="123" t="inlineStr">
        <is>
          <t>Não</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4" t="n"/>
      <c r="F47" s="114" t="n"/>
      <c r="G47" s="123" t="inlineStr">
        <is>
          <t>Não</t>
        </is>
      </c>
      <c r="H47" s="114" t="n"/>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4" t="n"/>
      <c r="F48" s="114" t="n"/>
      <c r="G48" s="123" t="inlineStr">
        <is>
          <t>Não</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4" t="n"/>
      <c r="F49" s="114" t="n"/>
      <c r="G49" s="123" t="inlineStr">
        <is>
          <t>Não</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4" t="n"/>
      <c r="F50" s="114" t="n"/>
      <c r="G50" s="123" t="inlineStr">
        <is>
          <t>Não</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4" t="n"/>
      <c r="F51" s="114" t="n"/>
      <c r="G51" s="123" t="inlineStr">
        <is>
          <t>Não</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4" t="n"/>
      <c r="F52" s="114" t="n"/>
      <c r="G52" s="123" t="inlineStr">
        <is>
          <t>Não</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4" t="n"/>
      <c r="F53" s="114" t="n"/>
      <c r="G53" s="123" t="inlineStr">
        <is>
          <t>Não</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4" t="n"/>
      <c r="F55" s="114" t="n"/>
      <c r="G55" s="123" t="inlineStr">
        <is>
          <t>Não</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4" t="n"/>
      <c r="F56" s="114" t="n"/>
      <c r="G56" s="123" t="inlineStr">
        <is>
          <t>Não</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4" t="n"/>
      <c r="F57" s="114" t="n"/>
      <c r="G57" s="123" t="inlineStr">
        <is>
          <t>Não</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4" t="n"/>
      <c r="F58" s="114" t="n"/>
      <c r="G58" s="123" t="inlineStr">
        <is>
          <t>Não</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
  <sheetViews>
    <sheetView workbookViewId="0">
      <pane xSplit="3" topLeftCell="D1" activePane="topRight" state="frozen"/>
      <selection pane="topRight" activeCell="A1" sqref="A1"/>
    </sheetView>
  </sheetViews>
  <sheetFormatPr baseColWidth="8" defaultRowHeight="15"/>
  <cols>
    <col width="18" customWidth="1" min="1" max="1"/>
    <col width="23" customWidth="1" min="2" max="2"/>
    <col width="8" customWidth="1" min="3" max="3"/>
    <col width="23" customWidth="1" min="4" max="4"/>
    <col width="18" customWidth="1" min="5" max="5"/>
    <col width="22" customWidth="1" min="6" max="6"/>
    <col width="27" customWidth="1" min="7" max="7"/>
    <col width="16" customWidth="1" min="8" max="8"/>
    <col width="34" customWidth="1" min="9" max="9"/>
    <col width="26" customWidth="1" min="10" max="10"/>
    <col width="26" customWidth="1" min="11" max="11"/>
  </cols>
  <sheetData>
    <row r="1">
      <c r="A1" s="112" t="inlineStr">
        <is>
          <t>Regional</t>
        </is>
      </c>
      <c r="B1" s="112" t="inlineStr">
        <is>
          <t>Município</t>
        </is>
      </c>
      <c r="C1" s="112" t="inlineStr">
        <is>
          <t>UVR</t>
        </is>
      </c>
      <c r="D1" s="112" t="inlineStr">
        <is>
          <t>Técnico de UVR</t>
        </is>
      </c>
      <c r="E1" s="112" t="inlineStr">
        <is>
          <t>Data de Envio</t>
        </is>
      </c>
      <c r="F1" s="112" t="inlineStr">
        <is>
          <t>Mês de referência</t>
        </is>
      </c>
      <c r="G1" s="112" t="inlineStr">
        <is>
          <t>Validado pelo Regional</t>
        </is>
      </c>
      <c r="H1" s="112" t="inlineStr">
        <is>
          <t>Observações</t>
        </is>
      </c>
      <c r="I1" s="112" t="inlineStr">
        <is>
          <t>Formulários para Deletar (ID)</t>
        </is>
      </c>
      <c r="J1" s="112" t="inlineStr">
        <is>
          <t>Validado Equipe de TI</t>
        </is>
      </c>
      <c r="K1" s="112" t="inlineStr">
        <is>
          <t>Resposta Equipe de TI</t>
        </is>
      </c>
    </row>
    <row r="2">
      <c r="A2" s="113" t="inlineStr">
        <is>
          <t>Paranavaí</t>
        </is>
      </c>
      <c r="B2" s="114" t="inlineStr">
        <is>
          <t>Colorado</t>
        </is>
      </c>
      <c r="C2" s="114" t="inlineStr">
        <is>
          <t>1</t>
        </is>
      </c>
      <c r="D2" s="114" t="inlineStr">
        <is>
          <t>Jéssica Bortolozzo</t>
        </is>
      </c>
      <c r="E2" s="114" t="inlineStr">
        <is>
          <t>09/02/2025</t>
        </is>
      </c>
      <c r="F2" s="114" t="inlineStr">
        <is>
          <t>12.24</t>
        </is>
      </c>
      <c r="G2" s="114" t="inlineStr">
        <is>
          <t>Não</t>
        </is>
      </c>
      <c r="H2" s="114" t="n"/>
      <c r="I2" s="114" t="n"/>
      <c r="J2" s="114" t="inlineStr">
        <is>
          <t>Não</t>
        </is>
      </c>
      <c r="K2" s="114" t="n"/>
    </row>
    <row r="3">
      <c r="A3" s="114" t="inlineStr">
        <is>
          <t>Guarapuava II</t>
        </is>
      </c>
      <c r="B3" s="114" t="inlineStr">
        <is>
          <t>Laranjeiras do Sul</t>
        </is>
      </c>
      <c r="C3" s="114" t="inlineStr">
        <is>
          <t>1</t>
        </is>
      </c>
      <c r="D3" s="114" t="inlineStr">
        <is>
          <t>Osair Wrublak</t>
        </is>
      </c>
      <c r="E3" s="114" t="inlineStr">
        <is>
          <t>08/07/2025</t>
        </is>
      </c>
      <c r="F3" s="114" t="inlineStr">
        <is>
          <t>06.05</t>
        </is>
      </c>
      <c r="G3" s="114" t="inlineStr">
        <is>
          <t>Não</t>
        </is>
      </c>
      <c r="H3" s="114" t="n"/>
      <c r="I3" s="114" t="n"/>
      <c r="J3" s="114" t="inlineStr">
        <is>
          <t>Não</t>
        </is>
      </c>
      <c r="K3" s="114" t="n"/>
    </row>
  </sheetData>
  <autoFilter ref="A1:G1"/>
  <conditionalFormatting sqref="G2:G3">
    <cfRule type="cellIs" priority="1" operator="equal" dxfId="19" stopIfTrue="1">
      <formula>"Sim"</formula>
    </cfRule>
    <cfRule type="cellIs" priority="2" operator="equal" dxfId="20" stopIfTrue="1">
      <formula>"Não"</formula>
    </cfRule>
  </conditionalFormatting>
  <conditionalFormatting sqref="J2:J3">
    <cfRule type="cellIs" priority="1" operator="equal" dxfId="19" stopIfTrue="1">
      <formula>"Sim"</formula>
    </cfRule>
    <cfRule type="cellIs" priority="2" operator="equal" dxfId="20" stopIfTrue="1">
      <formula>"Não"</formula>
    </cfRule>
  </conditionalFormatting>
  <dataValidations count="1">
    <dataValidation sqref="G2:G3 J2:J3" showDropDown="0" showInputMessage="0" showErrorMessage="0" allowBlank="0" type="list">
      <formula1>"Sim,Não"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2025-12-12T10:55:34Z</dcterms:created>
  <dcterms:modified xsi:type="dcterms:W3CDTF">2025-12-12T10:55:43Z</dcterms:modified>
</cp:coreProperties>
</file>