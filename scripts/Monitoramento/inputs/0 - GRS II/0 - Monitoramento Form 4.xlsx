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namedSheetViews/namedSheetView1.xml" ContentType="application/vnd.ms-excel.namedsheetviews+xml"/>
  <Override PartName="/xl/namedSheetViews/namedSheetView2.xml" ContentType="application/vnd.ms-excel.namedsheetviews+xml"/>
  <Override PartName="/xl/namedSheetViews/namedSheetView3.xml" ContentType="application/vnd.ms-excel.namedsheetviews+xml"/>
  <Override PartName="/xl/namedSheetViews/namedSheetView4.xml" ContentType="application/vnd.ms-excel.namedsheetviews+xml"/>
  <Override PartName="/xl/namedSheetViews/namedSheetView5.xml" ContentType="application/vnd.ms-excel.namedsheetviews+xml"/>
  <Override PartName="/xl/namedSheetViews/namedSheetView6.xml" ContentType="application/vnd.ms-excel.namedsheetviews+xml"/>
  <Override PartName="/xl/namedSheetViews/namedSheetView7.xml" ContentType="application/vnd.ms-excel.namedsheetview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itaipuparquetec-my.sharepoint.com/personal/suporte_pti_org_br/Documents/onedrive-institucional/IT.DT/Assessoria Gestão de Resíduos - GRS/1 - Reciclômetro V2/00 - Monitoramento de Envios Reciclômetro/0 - GRS II/"/>
    </mc:Choice>
  </mc:AlternateContent>
  <xr:revisionPtr revIDLastSave="362" documentId="11_E8FC5CF1C793436C2D371C4F3ECD1D356119D913" xr6:coauthVersionLast="47" xr6:coauthVersionMax="47" xr10:uidLastSave="{A22B94C0-DEFB-46BB-A2AE-FD3600AF3B5B}"/>
  <bookViews>
    <workbookView xWindow="-120" yWindow="-120" windowWidth="29040" windowHeight="15720" firstSheet="4" activeTab="16" xr2:uid="{00000000-000D-0000-FFFF-FFFF00000000}"/>
  </bookViews>
  <sheets>
    <sheet name="Resumo" sheetId="1" r:id="rId1"/>
    <sheet name="Monitoramento" sheetId="2" r:id="rId2"/>
    <sheet name="Regionais" sheetId="3" r:id="rId3"/>
    <sheet name="08.24" sheetId="4" r:id="rId4"/>
    <sheet name="09.24" sheetId="5" r:id="rId5"/>
    <sheet name="10.24" sheetId="6" r:id="rId6"/>
    <sheet name="11.24" sheetId="7" r:id="rId7"/>
    <sheet name="12.24" sheetId="8" r:id="rId8"/>
    <sheet name="01.25" sheetId="9" r:id="rId9"/>
    <sheet name="02.25" sheetId="10" r:id="rId10"/>
    <sheet name="03.25" sheetId="11" r:id="rId11"/>
    <sheet name="04.25" sheetId="12" r:id="rId12"/>
    <sheet name="05.25" sheetId="13" r:id="rId13"/>
    <sheet name="06.25" sheetId="14" r:id="rId14"/>
    <sheet name="07.25" sheetId="15" r:id="rId15"/>
    <sheet name="08.25" sheetId="16" r:id="rId16"/>
    <sheet name="09.25" sheetId="17" r:id="rId17"/>
    <sheet name="11.25" sheetId="19" r:id="rId18"/>
    <sheet name="12.25" sheetId="20" r:id="rId19"/>
    <sheet name="10.25" sheetId="18" r:id="rId20"/>
    <sheet name="Irregulares" sheetId="21" r:id="rId21"/>
  </sheets>
  <definedNames>
    <definedName name="_xlnm._FilterDatabase" localSheetId="8" hidden="1">'01.25'!$A$1:$G$70</definedName>
    <definedName name="_xlnm._FilterDatabase" localSheetId="9" hidden="1">'02.25'!$A$1:$G$70</definedName>
    <definedName name="_xlnm._FilterDatabase" localSheetId="10" hidden="1">'03.25'!$A$1:$G$70</definedName>
    <definedName name="_xlnm._FilterDatabase" localSheetId="11" hidden="1">'04.25'!$A$1:$G$70</definedName>
    <definedName name="_xlnm._FilterDatabase" localSheetId="12" hidden="1">'05.25'!$A$1:$G$70</definedName>
    <definedName name="_xlnm._FilterDatabase" localSheetId="13" hidden="1">'06.25'!$A$1:$G$70</definedName>
    <definedName name="_xlnm._FilterDatabase" localSheetId="14" hidden="1">'07.25'!$A$1:$G$1</definedName>
    <definedName name="_xlnm._FilterDatabase" localSheetId="3" hidden="1">'08.24'!$A$1:$G$1</definedName>
    <definedName name="_xlnm._FilterDatabase" localSheetId="15" hidden="1">'08.25'!$A$1:$G$70</definedName>
    <definedName name="_xlnm._FilterDatabase" localSheetId="4" hidden="1">'09.24'!$A$1:$G$1</definedName>
    <definedName name="_xlnm._FilterDatabase" localSheetId="16" hidden="1">'09.25'!$A$1:$G$70</definedName>
    <definedName name="_xlnm._FilterDatabase" localSheetId="5" hidden="1">'10.24'!$A$1:$G$1</definedName>
    <definedName name="_xlnm._FilterDatabase" localSheetId="19" hidden="1">'10.25'!$A$1:$G$1</definedName>
    <definedName name="_xlnm._FilterDatabase" localSheetId="6" hidden="1">'11.24'!$A$1:$G$70</definedName>
    <definedName name="_xlnm._FilterDatabase" localSheetId="17" hidden="1">'11.25'!$A$1:$G$1</definedName>
    <definedName name="_xlnm._FilterDatabase" localSheetId="7" hidden="1">'12.24'!$A$1:$G$70</definedName>
    <definedName name="_xlnm._FilterDatabase" localSheetId="18" hidden="1">'12.25'!$A$1:$G$1</definedName>
    <definedName name="_xlnm._FilterDatabase" localSheetId="20" hidden="1">Irregulares!$A$1:$G$1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 i="3" l="1" a="1"/>
  <c r="D2" i="3" s="1"/>
  <c r="D70" i="20"/>
  <c r="D69" i="20"/>
  <c r="D68" i="20"/>
  <c r="D67" i="20"/>
  <c r="D66" i="20"/>
  <c r="D65" i="20"/>
  <c r="D64" i="20"/>
  <c r="D63" i="20"/>
  <c r="D62" i="20"/>
  <c r="D61" i="20"/>
  <c r="D60" i="20"/>
  <c r="D59" i="20"/>
  <c r="D58" i="20"/>
  <c r="D57" i="20"/>
  <c r="D56" i="20"/>
  <c r="D55" i="20"/>
  <c r="D54" i="20"/>
  <c r="D53" i="20"/>
  <c r="D52" i="20"/>
  <c r="D51" i="20"/>
  <c r="D50" i="20"/>
  <c r="D49" i="20"/>
  <c r="D48" i="20"/>
  <c r="D47" i="20"/>
  <c r="D46" i="20"/>
  <c r="D45" i="20"/>
  <c r="D44" i="20"/>
  <c r="D43" i="20"/>
  <c r="D42" i="20"/>
  <c r="D41" i="20"/>
  <c r="D40" i="20"/>
  <c r="D39" i="20"/>
  <c r="D38" i="20"/>
  <c r="D37" i="20"/>
  <c r="D36" i="20"/>
  <c r="D35" i="20"/>
  <c r="D34" i="20"/>
  <c r="D33" i="20"/>
  <c r="D32" i="20"/>
  <c r="D31" i="20"/>
  <c r="D30" i="20"/>
  <c r="D29" i="20"/>
  <c r="D28" i="20"/>
  <c r="D27" i="20"/>
  <c r="D26" i="20"/>
  <c r="D25" i="20"/>
  <c r="D24" i="20"/>
  <c r="D23" i="20"/>
  <c r="D22" i="20"/>
  <c r="D21" i="20"/>
  <c r="D20" i="20"/>
  <c r="D19" i="20"/>
  <c r="D18" i="20"/>
  <c r="D17" i="20"/>
  <c r="D16" i="20"/>
  <c r="D15" i="20"/>
  <c r="D14" i="20"/>
  <c r="D13" i="20"/>
  <c r="D12" i="20"/>
  <c r="D11" i="20"/>
  <c r="D10" i="20"/>
  <c r="D9" i="20"/>
  <c r="D8" i="20"/>
  <c r="D7" i="20"/>
  <c r="D6" i="20"/>
  <c r="D5" i="20"/>
  <c r="D4" i="20"/>
  <c r="D3" i="20"/>
  <c r="D2" i="20"/>
  <c r="D70" i="19"/>
  <c r="D69" i="19"/>
  <c r="D68" i="19"/>
  <c r="D67" i="19"/>
  <c r="D66" i="19"/>
  <c r="D65" i="19"/>
  <c r="D64" i="19"/>
  <c r="D63" i="19"/>
  <c r="D62" i="19"/>
  <c r="D61" i="19"/>
  <c r="D60" i="19"/>
  <c r="D59" i="19"/>
  <c r="D58" i="19"/>
  <c r="D57" i="19"/>
  <c r="D56" i="19"/>
  <c r="D55" i="19"/>
  <c r="D54" i="19"/>
  <c r="D53" i="19"/>
  <c r="D52" i="19"/>
  <c r="D51" i="19"/>
  <c r="D50" i="19"/>
  <c r="D49" i="19"/>
  <c r="D48" i="19"/>
  <c r="D47" i="19"/>
  <c r="D46" i="19"/>
  <c r="D45" i="19"/>
  <c r="D44" i="19"/>
  <c r="D43" i="19"/>
  <c r="D42" i="19"/>
  <c r="D41" i="19"/>
  <c r="D40" i="19"/>
  <c r="D39" i="19"/>
  <c r="D38" i="19"/>
  <c r="D37" i="19"/>
  <c r="D36" i="19"/>
  <c r="D35" i="19"/>
  <c r="D34" i="19"/>
  <c r="D33" i="19"/>
  <c r="D32" i="19"/>
  <c r="D31" i="19"/>
  <c r="D30" i="19"/>
  <c r="D29" i="19"/>
  <c r="D28" i="19"/>
  <c r="D27" i="19"/>
  <c r="D26" i="19"/>
  <c r="D25" i="19"/>
  <c r="D24" i="19"/>
  <c r="D23" i="19"/>
  <c r="D22" i="19"/>
  <c r="D21" i="19"/>
  <c r="D20" i="19"/>
  <c r="D19" i="19"/>
  <c r="D18" i="19"/>
  <c r="D17" i="19"/>
  <c r="D16" i="19"/>
  <c r="D15" i="19"/>
  <c r="D14" i="19"/>
  <c r="D13" i="19"/>
  <c r="D12" i="19"/>
  <c r="D11" i="19"/>
  <c r="D10" i="19"/>
  <c r="D9" i="19"/>
  <c r="D8" i="19"/>
  <c r="D7" i="19"/>
  <c r="D6" i="19"/>
  <c r="D5" i="19"/>
  <c r="D4" i="19"/>
  <c r="D3" i="19"/>
  <c r="D2" i="19"/>
  <c r="D70" i="18"/>
  <c r="D69" i="18"/>
  <c r="D68" i="18"/>
  <c r="D67" i="18"/>
  <c r="D66" i="18"/>
  <c r="D65" i="18"/>
  <c r="D64" i="18"/>
  <c r="D63" i="18"/>
  <c r="D62" i="18"/>
  <c r="D61" i="18"/>
  <c r="D60" i="18"/>
  <c r="D59" i="18"/>
  <c r="D58" i="18"/>
  <c r="D57" i="18"/>
  <c r="D56" i="18"/>
  <c r="D55" i="18"/>
  <c r="D54" i="18"/>
  <c r="D53" i="18"/>
  <c r="D52" i="18"/>
  <c r="D51" i="18"/>
  <c r="D50" i="18"/>
  <c r="D49" i="18"/>
  <c r="D48" i="18"/>
  <c r="D47" i="18"/>
  <c r="D46" i="18"/>
  <c r="D45" i="18"/>
  <c r="D44" i="18"/>
  <c r="D43" i="18"/>
  <c r="D42" i="18"/>
  <c r="D41" i="18"/>
  <c r="D40" i="18"/>
  <c r="D39" i="18"/>
  <c r="D38" i="18"/>
  <c r="D37" i="18"/>
  <c r="D36" i="18"/>
  <c r="D35" i="18"/>
  <c r="D34" i="18"/>
  <c r="D33" i="18"/>
  <c r="D32" i="18"/>
  <c r="D31" i="18"/>
  <c r="D30" i="18"/>
  <c r="D29" i="18"/>
  <c r="D28" i="18"/>
  <c r="D27" i="18"/>
  <c r="D26" i="18"/>
  <c r="D25" i="18"/>
  <c r="D24" i="18"/>
  <c r="D23" i="18"/>
  <c r="D22" i="18"/>
  <c r="D21" i="18"/>
  <c r="D20" i="18"/>
  <c r="D19" i="18"/>
  <c r="D18" i="18"/>
  <c r="D17" i="18"/>
  <c r="D16" i="18"/>
  <c r="D15" i="18"/>
  <c r="D14" i="18"/>
  <c r="D13" i="18"/>
  <c r="D12" i="18"/>
  <c r="D11" i="18"/>
  <c r="D10" i="18"/>
  <c r="D9" i="18"/>
  <c r="D8" i="18"/>
  <c r="D7" i="18"/>
  <c r="D6" i="18"/>
  <c r="D5" i="18"/>
  <c r="D4" i="18"/>
  <c r="D3" i="18"/>
  <c r="D2" i="18"/>
  <c r="D70" i="17"/>
  <c r="D69" i="17"/>
  <c r="D68" i="17"/>
  <c r="D67" i="17"/>
  <c r="D66" i="17"/>
  <c r="D65" i="17"/>
  <c r="D64" i="17"/>
  <c r="D63" i="17"/>
  <c r="D62" i="17"/>
  <c r="D61" i="17"/>
  <c r="D60" i="17"/>
  <c r="D59" i="17"/>
  <c r="D58" i="17"/>
  <c r="D57" i="17"/>
  <c r="D56" i="17"/>
  <c r="D55" i="17"/>
  <c r="D54" i="17"/>
  <c r="D53" i="17"/>
  <c r="D52" i="17"/>
  <c r="D51" i="17"/>
  <c r="D50" i="17"/>
  <c r="D49" i="17"/>
  <c r="D48" i="17"/>
  <c r="D47" i="17"/>
  <c r="D46" i="17"/>
  <c r="D45" i="17"/>
  <c r="D44" i="17"/>
  <c r="D43" i="17"/>
  <c r="D42" i="17"/>
  <c r="D41" i="17"/>
  <c r="D40" i="17"/>
  <c r="D39" i="17"/>
  <c r="D38" i="17"/>
  <c r="D37" i="17"/>
  <c r="D36" i="17"/>
  <c r="D35" i="17"/>
  <c r="D34" i="17"/>
  <c r="D33" i="17"/>
  <c r="D32" i="17"/>
  <c r="D31" i="17"/>
  <c r="D30" i="17"/>
  <c r="D29" i="17"/>
  <c r="D28" i="17"/>
  <c r="D27" i="17"/>
  <c r="D26" i="17"/>
  <c r="D25" i="17"/>
  <c r="D24" i="17"/>
  <c r="D23" i="17"/>
  <c r="D22" i="17"/>
  <c r="D21" i="17"/>
  <c r="D20" i="17"/>
  <c r="D19" i="17"/>
  <c r="D18" i="17"/>
  <c r="D17" i="17"/>
  <c r="D16" i="17"/>
  <c r="D15" i="17"/>
  <c r="D14" i="17"/>
  <c r="D13" i="17"/>
  <c r="D12" i="17"/>
  <c r="D11" i="17"/>
  <c r="D10" i="17"/>
  <c r="D9" i="17"/>
  <c r="D8" i="17"/>
  <c r="D7" i="17"/>
  <c r="D6" i="17"/>
  <c r="D5" i="17"/>
  <c r="D4" i="17"/>
  <c r="D3" i="17"/>
  <c r="D2" i="17"/>
  <c r="D70" i="16"/>
  <c r="D69" i="16"/>
  <c r="D68" i="16"/>
  <c r="D67" i="16"/>
  <c r="D66" i="16"/>
  <c r="D65" i="16"/>
  <c r="D64" i="16"/>
  <c r="D63" i="16"/>
  <c r="D62" i="16"/>
  <c r="D61" i="16"/>
  <c r="D60" i="16"/>
  <c r="D59" i="16"/>
  <c r="D58" i="16"/>
  <c r="D57" i="16"/>
  <c r="D56" i="16"/>
  <c r="D55" i="16"/>
  <c r="D54" i="16"/>
  <c r="D53" i="16"/>
  <c r="D52" i="16"/>
  <c r="D51" i="16"/>
  <c r="D50" i="16"/>
  <c r="D49" i="16"/>
  <c r="D48" i="16"/>
  <c r="D47" i="16"/>
  <c r="D46" i="16"/>
  <c r="D45" i="16"/>
  <c r="D44" i="16"/>
  <c r="D43" i="16"/>
  <c r="D42" i="16"/>
  <c r="D41" i="16"/>
  <c r="D40" i="16"/>
  <c r="D39" i="16"/>
  <c r="D38" i="16"/>
  <c r="D37" i="16"/>
  <c r="D36" i="16"/>
  <c r="D35" i="16"/>
  <c r="D34" i="16"/>
  <c r="D33" i="16"/>
  <c r="D32" i="16"/>
  <c r="D31" i="16"/>
  <c r="D30" i="16"/>
  <c r="D29" i="16"/>
  <c r="D28" i="16"/>
  <c r="D27" i="16"/>
  <c r="D26" i="16"/>
  <c r="D25" i="16"/>
  <c r="D24" i="16"/>
  <c r="D23" i="16"/>
  <c r="D22" i="16"/>
  <c r="D21" i="16"/>
  <c r="D20" i="16"/>
  <c r="D19" i="16"/>
  <c r="D18" i="16"/>
  <c r="D17" i="16"/>
  <c r="D16" i="16"/>
  <c r="D15" i="16"/>
  <c r="D14" i="16"/>
  <c r="D13" i="16"/>
  <c r="D12" i="16"/>
  <c r="D11" i="16"/>
  <c r="D10" i="16"/>
  <c r="D9" i="16"/>
  <c r="D8" i="16"/>
  <c r="D7" i="16"/>
  <c r="D6" i="16"/>
  <c r="D5" i="16"/>
  <c r="D4" i="16"/>
  <c r="D3" i="16"/>
  <c r="D2" i="16"/>
  <c r="D70" i="15"/>
  <c r="D69" i="15"/>
  <c r="D68" i="15"/>
  <c r="D67" i="15"/>
  <c r="D66" i="15"/>
  <c r="D65" i="15"/>
  <c r="D64" i="15"/>
  <c r="D63" i="15"/>
  <c r="D62" i="15"/>
  <c r="D61" i="15"/>
  <c r="D60" i="15"/>
  <c r="D59" i="15"/>
  <c r="D58" i="15"/>
  <c r="D57" i="15"/>
  <c r="D56" i="15"/>
  <c r="D55" i="15"/>
  <c r="D54" i="15"/>
  <c r="D53" i="15"/>
  <c r="D52" i="15"/>
  <c r="D51" i="15"/>
  <c r="D50" i="15"/>
  <c r="D49" i="15"/>
  <c r="D48" i="15"/>
  <c r="D47" i="15"/>
  <c r="D46" i="15"/>
  <c r="D45" i="15"/>
  <c r="D44" i="15"/>
  <c r="D43" i="15"/>
  <c r="D42" i="15"/>
  <c r="D41" i="15"/>
  <c r="D40" i="15"/>
  <c r="D39" i="15"/>
  <c r="D38" i="15"/>
  <c r="D37" i="15"/>
  <c r="D36" i="15"/>
  <c r="D35" i="15"/>
  <c r="D34" i="15"/>
  <c r="D33" i="15"/>
  <c r="D32" i="15"/>
  <c r="D31" i="15"/>
  <c r="D30" i="15"/>
  <c r="D29" i="15"/>
  <c r="D28" i="15"/>
  <c r="D27" i="15"/>
  <c r="D26" i="15"/>
  <c r="D25" i="15"/>
  <c r="D24" i="15"/>
  <c r="D23" i="15"/>
  <c r="D22" i="15"/>
  <c r="D21" i="15"/>
  <c r="D20" i="15"/>
  <c r="D19" i="15"/>
  <c r="D18" i="15"/>
  <c r="D17" i="15"/>
  <c r="D16" i="15"/>
  <c r="D15" i="15"/>
  <c r="D14" i="15"/>
  <c r="D13" i="15"/>
  <c r="D12" i="15"/>
  <c r="D11" i="15"/>
  <c r="D10" i="15"/>
  <c r="D9" i="15"/>
  <c r="D8" i="15"/>
  <c r="D7" i="15"/>
  <c r="D6" i="15"/>
  <c r="D5" i="15"/>
  <c r="D4" i="15"/>
  <c r="D3" i="15"/>
  <c r="D2" i="15"/>
  <c r="D70" i="14"/>
  <c r="D69" i="14"/>
  <c r="D68" i="14"/>
  <c r="D67" i="14"/>
  <c r="D66" i="14"/>
  <c r="D65" i="14"/>
  <c r="D64" i="14"/>
  <c r="D63" i="14"/>
  <c r="D62" i="14"/>
  <c r="D61" i="14"/>
  <c r="D60" i="14"/>
  <c r="D59" i="14"/>
  <c r="D58" i="14"/>
  <c r="D57" i="14"/>
  <c r="D56" i="14"/>
  <c r="D55" i="14"/>
  <c r="D54" i="14"/>
  <c r="D53" i="14"/>
  <c r="D52" i="14"/>
  <c r="D51" i="14"/>
  <c r="D50" i="14"/>
  <c r="D49" i="14"/>
  <c r="D48" i="14"/>
  <c r="D47" i="14"/>
  <c r="D46" i="14"/>
  <c r="D45" i="14"/>
  <c r="D44" i="14"/>
  <c r="D43" i="14"/>
  <c r="D42" i="14"/>
  <c r="D41" i="14"/>
  <c r="D40" i="14"/>
  <c r="D39" i="14"/>
  <c r="D38" i="14"/>
  <c r="D37" i="14"/>
  <c r="D36" i="14"/>
  <c r="D35" i="14"/>
  <c r="D34" i="14"/>
  <c r="D33" i="14"/>
  <c r="D32" i="14"/>
  <c r="D31" i="14"/>
  <c r="D30" i="14"/>
  <c r="D29" i="14"/>
  <c r="D28" i="14"/>
  <c r="D27" i="14"/>
  <c r="D26" i="14"/>
  <c r="D25" i="14"/>
  <c r="D24" i="14"/>
  <c r="D23" i="14"/>
  <c r="D22" i="14"/>
  <c r="D21" i="14"/>
  <c r="D20" i="14"/>
  <c r="D19" i="14"/>
  <c r="D18" i="14"/>
  <c r="D17" i="14"/>
  <c r="D16" i="14"/>
  <c r="D15" i="14"/>
  <c r="D14" i="14"/>
  <c r="D13" i="14"/>
  <c r="D12" i="14"/>
  <c r="D11" i="14"/>
  <c r="D10" i="14"/>
  <c r="D9" i="14"/>
  <c r="D8" i="14"/>
  <c r="D7" i="14"/>
  <c r="D6" i="14"/>
  <c r="D5" i="14"/>
  <c r="D4" i="14"/>
  <c r="D3" i="14"/>
  <c r="D2" i="14"/>
  <c r="D70" i="13"/>
  <c r="D69" i="13"/>
  <c r="D68" i="13"/>
  <c r="D67" i="13"/>
  <c r="D66" i="13"/>
  <c r="D65" i="13"/>
  <c r="D64" i="13"/>
  <c r="D63" i="13"/>
  <c r="D62" i="13"/>
  <c r="D61" i="13"/>
  <c r="D60" i="13"/>
  <c r="D59" i="13"/>
  <c r="D58" i="13"/>
  <c r="D57" i="13"/>
  <c r="D56" i="13"/>
  <c r="D55" i="13"/>
  <c r="D54" i="13"/>
  <c r="D53" i="13"/>
  <c r="D52" i="13"/>
  <c r="D51" i="13"/>
  <c r="D50" i="13"/>
  <c r="D49" i="13"/>
  <c r="D48" i="13"/>
  <c r="D47" i="13"/>
  <c r="D46" i="13"/>
  <c r="D45" i="13"/>
  <c r="D44" i="13"/>
  <c r="D43" i="13"/>
  <c r="D42" i="13"/>
  <c r="D41" i="13"/>
  <c r="D40" i="13"/>
  <c r="D39" i="13"/>
  <c r="D38" i="13"/>
  <c r="D37" i="13"/>
  <c r="D36" i="13"/>
  <c r="D35" i="13"/>
  <c r="D34" i="13"/>
  <c r="D33" i="13"/>
  <c r="D32" i="13"/>
  <c r="D31" i="13"/>
  <c r="D30" i="13"/>
  <c r="D29" i="13"/>
  <c r="D28" i="13"/>
  <c r="D27" i="13"/>
  <c r="D26" i="13"/>
  <c r="D25" i="13"/>
  <c r="D24" i="13"/>
  <c r="D23" i="13"/>
  <c r="D22" i="13"/>
  <c r="D21" i="13"/>
  <c r="D20" i="13"/>
  <c r="D19" i="13"/>
  <c r="D18" i="13"/>
  <c r="D17" i="13"/>
  <c r="D16" i="13"/>
  <c r="D15" i="13"/>
  <c r="D14" i="13"/>
  <c r="D13" i="13"/>
  <c r="D12" i="13"/>
  <c r="D11" i="13"/>
  <c r="D10" i="13"/>
  <c r="D9" i="13"/>
  <c r="D8" i="13"/>
  <c r="D7" i="13"/>
  <c r="D6" i="13"/>
  <c r="D5" i="13"/>
  <c r="D4" i="13"/>
  <c r="D3" i="13"/>
  <c r="D2" i="13"/>
  <c r="D70" i="12"/>
  <c r="D69" i="12"/>
  <c r="D68" i="12"/>
  <c r="D67" i="12"/>
  <c r="D66" i="12"/>
  <c r="D65" i="12"/>
  <c r="D64" i="12"/>
  <c r="D63" i="12"/>
  <c r="D62" i="12"/>
  <c r="D61" i="12"/>
  <c r="D60" i="12"/>
  <c r="D59" i="12"/>
  <c r="D58" i="12"/>
  <c r="D57" i="12"/>
  <c r="D56" i="12"/>
  <c r="D55" i="12"/>
  <c r="D54" i="12"/>
  <c r="D53" i="12"/>
  <c r="D52" i="12"/>
  <c r="D51" i="12"/>
  <c r="D50" i="12"/>
  <c r="D49" i="12"/>
  <c r="D48" i="12"/>
  <c r="D47" i="12"/>
  <c r="D46" i="12"/>
  <c r="D45" i="12"/>
  <c r="D44" i="12"/>
  <c r="D43" i="12"/>
  <c r="D42" i="12"/>
  <c r="D41" i="12"/>
  <c r="D40" i="12"/>
  <c r="D39" i="12"/>
  <c r="D38" i="12"/>
  <c r="D37" i="12"/>
  <c r="D36" i="12"/>
  <c r="D35" i="12"/>
  <c r="D34" i="12"/>
  <c r="D33" i="12"/>
  <c r="D32" i="12"/>
  <c r="D31" i="12"/>
  <c r="D30" i="12"/>
  <c r="D29" i="12"/>
  <c r="D28" i="12"/>
  <c r="D27" i="12"/>
  <c r="D26" i="12"/>
  <c r="D25" i="12"/>
  <c r="D24" i="12"/>
  <c r="D23" i="12"/>
  <c r="D22" i="12"/>
  <c r="D21" i="12"/>
  <c r="D20" i="12"/>
  <c r="D19" i="12"/>
  <c r="D18" i="12"/>
  <c r="D17" i="12"/>
  <c r="D16" i="12"/>
  <c r="D15" i="12"/>
  <c r="D14" i="12"/>
  <c r="D13" i="12"/>
  <c r="D12" i="12"/>
  <c r="D11" i="12"/>
  <c r="D10" i="12"/>
  <c r="D9" i="12"/>
  <c r="D8" i="12"/>
  <c r="D7" i="12"/>
  <c r="D6" i="12"/>
  <c r="D5" i="12"/>
  <c r="D4" i="12"/>
  <c r="D3" i="12"/>
  <c r="D2" i="12"/>
  <c r="D70" i="11"/>
  <c r="D69" i="11"/>
  <c r="D68" i="11"/>
  <c r="D67" i="11"/>
  <c r="D66" i="11"/>
  <c r="D65" i="11"/>
  <c r="D64" i="11"/>
  <c r="D63" i="11"/>
  <c r="D62" i="11"/>
  <c r="D61" i="11"/>
  <c r="D60" i="11"/>
  <c r="D59" i="11"/>
  <c r="D58" i="11"/>
  <c r="D57" i="11"/>
  <c r="D56" i="11"/>
  <c r="D55" i="11"/>
  <c r="D54" i="11"/>
  <c r="D53" i="11"/>
  <c r="D52" i="11"/>
  <c r="D51" i="11"/>
  <c r="D50" i="11"/>
  <c r="D49" i="11"/>
  <c r="D48" i="11"/>
  <c r="D47" i="11"/>
  <c r="D46" i="11"/>
  <c r="D45" i="11"/>
  <c r="D44" i="11"/>
  <c r="D43" i="11"/>
  <c r="D42" i="11"/>
  <c r="D41" i="11"/>
  <c r="D40" i="11"/>
  <c r="D39" i="11"/>
  <c r="D38" i="11"/>
  <c r="D37" i="11"/>
  <c r="D36" i="11"/>
  <c r="D35" i="11"/>
  <c r="D34" i="11"/>
  <c r="D33" i="11"/>
  <c r="D32" i="11"/>
  <c r="D31" i="11"/>
  <c r="D30" i="11"/>
  <c r="D29" i="11"/>
  <c r="D28" i="11"/>
  <c r="D27" i="11"/>
  <c r="D26" i="11"/>
  <c r="D25" i="11"/>
  <c r="D24" i="11"/>
  <c r="D23" i="11"/>
  <c r="D22" i="11"/>
  <c r="D21" i="11"/>
  <c r="D20" i="11"/>
  <c r="D19" i="11"/>
  <c r="D18" i="11"/>
  <c r="D17" i="11"/>
  <c r="D16" i="11"/>
  <c r="D15" i="11"/>
  <c r="D14" i="11"/>
  <c r="D13" i="11"/>
  <c r="D12" i="11"/>
  <c r="D11" i="11"/>
  <c r="D10" i="11"/>
  <c r="D9" i="11"/>
  <c r="D8" i="11"/>
  <c r="D7" i="11"/>
  <c r="D6" i="11"/>
  <c r="D5" i="11"/>
  <c r="D4" i="11"/>
  <c r="D3" i="11"/>
  <c r="D2" i="11"/>
  <c r="D70" i="10"/>
  <c r="D69" i="10"/>
  <c r="D68" i="10"/>
  <c r="D67" i="10"/>
  <c r="D66" i="10"/>
  <c r="D65" i="10"/>
  <c r="D64" i="10"/>
  <c r="D63" i="10"/>
  <c r="D62" i="10"/>
  <c r="D61" i="10"/>
  <c r="D60" i="10"/>
  <c r="D59" i="10"/>
  <c r="D58" i="10"/>
  <c r="D57" i="10"/>
  <c r="D56" i="10"/>
  <c r="D55" i="10"/>
  <c r="D54" i="10"/>
  <c r="D53" i="10"/>
  <c r="D52" i="10"/>
  <c r="D51" i="10"/>
  <c r="D50" i="10"/>
  <c r="D49" i="10"/>
  <c r="D48" i="10"/>
  <c r="D47" i="10"/>
  <c r="D46" i="10"/>
  <c r="D45" i="10"/>
  <c r="D44" i="10"/>
  <c r="D43" i="10"/>
  <c r="D42" i="10"/>
  <c r="D41" i="10"/>
  <c r="D40" i="10"/>
  <c r="D39" i="10"/>
  <c r="D38" i="10"/>
  <c r="D37" i="10"/>
  <c r="D36" i="10"/>
  <c r="D35" i="10"/>
  <c r="D34" i="10"/>
  <c r="D33" i="10"/>
  <c r="D32" i="10"/>
  <c r="D31" i="10"/>
  <c r="D30" i="10"/>
  <c r="D29" i="10"/>
  <c r="D28" i="10"/>
  <c r="D27" i="10"/>
  <c r="D26" i="10"/>
  <c r="D25" i="10"/>
  <c r="D24" i="10"/>
  <c r="D23" i="10"/>
  <c r="D22" i="10"/>
  <c r="D21" i="10"/>
  <c r="D20" i="10"/>
  <c r="D19" i="10"/>
  <c r="D18" i="10"/>
  <c r="D17" i="10"/>
  <c r="D16" i="10"/>
  <c r="D15" i="10"/>
  <c r="D14" i="10"/>
  <c r="D13" i="10"/>
  <c r="D12" i="10"/>
  <c r="D11" i="10"/>
  <c r="D10" i="10"/>
  <c r="D9" i="10"/>
  <c r="D8" i="10"/>
  <c r="D7" i="10"/>
  <c r="D6" i="10"/>
  <c r="D5" i="10"/>
  <c r="D4" i="10"/>
  <c r="D3" i="10"/>
  <c r="D2" i="10"/>
  <c r="D70" i="8"/>
  <c r="D69" i="8"/>
  <c r="D68" i="8"/>
  <c r="D67" i="8"/>
  <c r="D66" i="8"/>
  <c r="D65" i="8"/>
  <c r="D64" i="8"/>
  <c r="D63" i="8"/>
  <c r="D62" i="8"/>
  <c r="D61" i="8"/>
  <c r="D60" i="8"/>
  <c r="D59" i="8"/>
  <c r="D58" i="8"/>
  <c r="D57" i="8"/>
  <c r="D56" i="8"/>
  <c r="D55" i="8"/>
  <c r="D54" i="8"/>
  <c r="D53" i="8"/>
  <c r="D52" i="8"/>
  <c r="D51" i="8"/>
  <c r="D50" i="8"/>
  <c r="D49" i="8"/>
  <c r="D48" i="8"/>
  <c r="D47" i="8"/>
  <c r="D46" i="8"/>
  <c r="D45" i="8"/>
  <c r="D44" i="8"/>
  <c r="D43" i="8"/>
  <c r="D42" i="8"/>
  <c r="D41" i="8"/>
  <c r="D40" i="8"/>
  <c r="D39" i="8"/>
  <c r="D38" i="8"/>
  <c r="D37" i="8"/>
  <c r="D36" i="8"/>
  <c r="D35" i="8"/>
  <c r="D34" i="8"/>
  <c r="D33" i="8"/>
  <c r="D32" i="8"/>
  <c r="D31" i="8"/>
  <c r="D30" i="8"/>
  <c r="D29" i="8"/>
  <c r="D28" i="8"/>
  <c r="D27" i="8"/>
  <c r="D26" i="8"/>
  <c r="D25" i="8"/>
  <c r="D24" i="8"/>
  <c r="D23" i="8"/>
  <c r="D22" i="8"/>
  <c r="D21" i="8"/>
  <c r="D20" i="8"/>
  <c r="D19" i="8"/>
  <c r="D18" i="8"/>
  <c r="D17" i="8"/>
  <c r="D16" i="8"/>
  <c r="D15" i="8"/>
  <c r="D14" i="8"/>
  <c r="D13" i="8"/>
  <c r="D12" i="8"/>
  <c r="D11" i="8"/>
  <c r="D10" i="8"/>
  <c r="D9" i="8"/>
  <c r="D8" i="8"/>
  <c r="D7" i="8"/>
  <c r="D6" i="8"/>
  <c r="D5" i="8"/>
  <c r="D4" i="8"/>
  <c r="D3" i="8"/>
  <c r="D2" i="8"/>
  <c r="D70" i="7"/>
  <c r="D69" i="7"/>
  <c r="D68" i="7"/>
  <c r="D67" i="7"/>
  <c r="D66" i="7"/>
  <c r="D65" i="7"/>
  <c r="D64" i="7"/>
  <c r="D63" i="7"/>
  <c r="D62" i="7"/>
  <c r="D61" i="7"/>
  <c r="D60" i="7"/>
  <c r="D59" i="7"/>
  <c r="D58" i="7"/>
  <c r="D57" i="7"/>
  <c r="D56" i="7"/>
  <c r="D55" i="7"/>
  <c r="D54" i="7"/>
  <c r="D53" i="7"/>
  <c r="D52" i="7"/>
  <c r="D51" i="7"/>
  <c r="D50" i="7"/>
  <c r="D49" i="7"/>
  <c r="D48" i="7"/>
  <c r="D47" i="7"/>
  <c r="D46" i="7"/>
  <c r="D45" i="7"/>
  <c r="D44" i="7"/>
  <c r="D43" i="7"/>
  <c r="D42" i="7"/>
  <c r="D41" i="7"/>
  <c r="D40" i="7"/>
  <c r="D39" i="7"/>
  <c r="D38" i="7"/>
  <c r="D37" i="7"/>
  <c r="D36" i="7"/>
  <c r="D35" i="7"/>
  <c r="D34" i="7"/>
  <c r="D33" i="7"/>
  <c r="D32" i="7"/>
  <c r="D31" i="7"/>
  <c r="D30" i="7"/>
  <c r="D29" i="7"/>
  <c r="D28" i="7"/>
  <c r="D27" i="7"/>
  <c r="D26" i="7"/>
  <c r="D25" i="7"/>
  <c r="D24" i="7"/>
  <c r="D23" i="7"/>
  <c r="D22" i="7"/>
  <c r="D21" i="7"/>
  <c r="D20" i="7"/>
  <c r="D19" i="7"/>
  <c r="D18" i="7"/>
  <c r="D17" i="7"/>
  <c r="D16" i="7"/>
  <c r="D15" i="7"/>
  <c r="D14" i="7"/>
  <c r="D13" i="7"/>
  <c r="D12" i="7"/>
  <c r="D11" i="7"/>
  <c r="D10" i="7"/>
  <c r="D9" i="7"/>
  <c r="D8" i="7"/>
  <c r="D7" i="7"/>
  <c r="D6" i="7"/>
  <c r="D5" i="7"/>
  <c r="D4" i="7"/>
  <c r="D3" i="7"/>
  <c r="D2" i="7"/>
  <c r="D70" i="6"/>
  <c r="D69" i="6"/>
  <c r="D68" i="6"/>
  <c r="D67" i="6"/>
  <c r="D66" i="6"/>
  <c r="D65" i="6"/>
  <c r="D64" i="6"/>
  <c r="D63" i="6"/>
  <c r="D62" i="6"/>
  <c r="D61" i="6"/>
  <c r="D60" i="6"/>
  <c r="D59" i="6"/>
  <c r="D58" i="6"/>
  <c r="D57" i="6"/>
  <c r="D56" i="6"/>
  <c r="D55" i="6"/>
  <c r="D54" i="6"/>
  <c r="D53" i="6"/>
  <c r="D52" i="6"/>
  <c r="D51" i="6"/>
  <c r="D50" i="6"/>
  <c r="D49" i="6"/>
  <c r="D48" i="6"/>
  <c r="D47" i="6"/>
  <c r="D46" i="6"/>
  <c r="D45" i="6"/>
  <c r="D44" i="6"/>
  <c r="D43" i="6"/>
  <c r="D42" i="6"/>
  <c r="D41" i="6"/>
  <c r="D40" i="6"/>
  <c r="D39" i="6"/>
  <c r="D38" i="6"/>
  <c r="D37" i="6"/>
  <c r="D36" i="6"/>
  <c r="D35" i="6"/>
  <c r="D34" i="6"/>
  <c r="D33" i="6"/>
  <c r="D32" i="6"/>
  <c r="D31" i="6"/>
  <c r="D30" i="6"/>
  <c r="D29" i="6"/>
  <c r="D28" i="6"/>
  <c r="D27" i="6"/>
  <c r="D26" i="6"/>
  <c r="D25" i="6"/>
  <c r="D24" i="6"/>
  <c r="D23" i="6"/>
  <c r="D22" i="6"/>
  <c r="D21" i="6"/>
  <c r="D20" i="6"/>
  <c r="D19" i="6"/>
  <c r="D18" i="6"/>
  <c r="D17" i="6"/>
  <c r="D16" i="6"/>
  <c r="D15" i="6"/>
  <c r="D14" i="6"/>
  <c r="D13" i="6"/>
  <c r="D12" i="6"/>
  <c r="D11" i="6"/>
  <c r="D10" i="6"/>
  <c r="D9" i="6"/>
  <c r="D8" i="6"/>
  <c r="D7" i="6"/>
  <c r="D6" i="6"/>
  <c r="D5" i="6"/>
  <c r="D4" i="6"/>
  <c r="D3" i="6"/>
  <c r="D2" i="6"/>
  <c r="D70" i="5"/>
  <c r="D69" i="5"/>
  <c r="D68" i="5"/>
  <c r="D67" i="5"/>
  <c r="D66" i="5"/>
  <c r="D65" i="5"/>
  <c r="D64" i="5"/>
  <c r="D63" i="5"/>
  <c r="D62" i="5"/>
  <c r="D61" i="5"/>
  <c r="D60" i="5"/>
  <c r="D59" i="5"/>
  <c r="D58" i="5"/>
  <c r="D57" i="5"/>
  <c r="D56" i="5"/>
  <c r="D55" i="5"/>
  <c r="D54" i="5"/>
  <c r="D53" i="5"/>
  <c r="D52" i="5"/>
  <c r="D51" i="5"/>
  <c r="D50" i="5"/>
  <c r="D49" i="5"/>
  <c r="D48" i="5"/>
  <c r="D47" i="5"/>
  <c r="D46" i="5"/>
  <c r="D45" i="5"/>
  <c r="D44" i="5"/>
  <c r="D43" i="5"/>
  <c r="D42" i="5"/>
  <c r="D41" i="5"/>
  <c r="D40" i="5"/>
  <c r="D39" i="5"/>
  <c r="D38" i="5"/>
  <c r="D37" i="5"/>
  <c r="D36" i="5"/>
  <c r="D35" i="5"/>
  <c r="D34" i="5"/>
  <c r="D33" i="5"/>
  <c r="D32" i="5"/>
  <c r="D31" i="5"/>
  <c r="D30" i="5"/>
  <c r="D29" i="5"/>
  <c r="D28" i="5"/>
  <c r="D27" i="5"/>
  <c r="D26" i="5"/>
  <c r="D25" i="5"/>
  <c r="D24" i="5"/>
  <c r="D23" i="5"/>
  <c r="D22" i="5"/>
  <c r="D21" i="5"/>
  <c r="D20" i="5"/>
  <c r="D19" i="5"/>
  <c r="D18" i="5"/>
  <c r="D17" i="5"/>
  <c r="D16" i="5"/>
  <c r="D15" i="5"/>
  <c r="D14" i="5"/>
  <c r="D13" i="5"/>
  <c r="D12" i="5"/>
  <c r="D11" i="5"/>
  <c r="D10" i="5"/>
  <c r="D9" i="5"/>
  <c r="D8" i="5"/>
  <c r="D7" i="5"/>
  <c r="D6" i="5"/>
  <c r="D5" i="5"/>
  <c r="D4" i="5"/>
  <c r="D3" i="5"/>
  <c r="D2" i="5"/>
  <c r="D70" i="4"/>
  <c r="D69" i="4"/>
  <c r="D68" i="4"/>
  <c r="D67" i="4"/>
  <c r="D66" i="4"/>
  <c r="D65" i="4"/>
  <c r="D64" i="4"/>
  <c r="D63" i="4"/>
  <c r="D62" i="4"/>
  <c r="D61" i="4"/>
  <c r="D60" i="4"/>
  <c r="D59" i="4"/>
  <c r="D58" i="4"/>
  <c r="D57" i="4"/>
  <c r="D56" i="4"/>
  <c r="D55" i="4"/>
  <c r="D54" i="4"/>
  <c r="D53" i="4"/>
  <c r="D52" i="4"/>
  <c r="D51" i="4"/>
  <c r="D50" i="4"/>
  <c r="D49" i="4"/>
  <c r="D48" i="4"/>
  <c r="D47" i="4"/>
  <c r="D46" i="4"/>
  <c r="D45" i="4"/>
  <c r="D44" i="4"/>
  <c r="D43" i="4"/>
  <c r="D42" i="4"/>
  <c r="D41" i="4"/>
  <c r="D40" i="4"/>
  <c r="D39" i="4"/>
  <c r="D38" i="4"/>
  <c r="D37" i="4"/>
  <c r="D36" i="4"/>
  <c r="D35" i="4"/>
  <c r="D34" i="4"/>
  <c r="D33" i="4"/>
  <c r="D32" i="4"/>
  <c r="D31" i="4"/>
  <c r="D30" i="4"/>
  <c r="D29" i="4"/>
  <c r="D28" i="4"/>
  <c r="D27" i="4"/>
  <c r="D26" i="4"/>
  <c r="D25" i="4"/>
  <c r="D24" i="4"/>
  <c r="D23" i="4"/>
  <c r="D22" i="4"/>
  <c r="D21" i="4"/>
  <c r="D20" i="4"/>
  <c r="D19" i="4"/>
  <c r="D18" i="4"/>
  <c r="D17" i="4"/>
  <c r="D16" i="4"/>
  <c r="D15" i="4"/>
  <c r="D14" i="4"/>
  <c r="D13" i="4"/>
  <c r="D12" i="4"/>
  <c r="D11" i="4"/>
  <c r="D10" i="4"/>
  <c r="D9" i="4"/>
  <c r="D8" i="4"/>
  <c r="D7" i="4"/>
  <c r="D6" i="4"/>
  <c r="D5" i="4"/>
  <c r="D4" i="4"/>
  <c r="D3" i="4"/>
  <c r="D2" i="4"/>
  <c r="Q80" i="3" a="1"/>
  <c r="Q80" i="3" s="1"/>
  <c r="P80" i="3" a="1"/>
  <c r="P80" i="3" s="1"/>
  <c r="O80" i="3" a="1"/>
  <c r="O80" i="3" s="1"/>
  <c r="N80" i="3" a="1"/>
  <c r="N80" i="3" s="1"/>
  <c r="M80" i="3" a="1"/>
  <c r="M80" i="3" s="1"/>
  <c r="L80" i="3" a="1"/>
  <c r="L80" i="3" s="1"/>
  <c r="K80" i="3" a="1"/>
  <c r="K80" i="3" s="1"/>
  <c r="J80" i="3" a="1"/>
  <c r="J80" i="3" s="1"/>
  <c r="I80" i="3" a="1"/>
  <c r="I80" i="3" s="1"/>
  <c r="H80" i="3" a="1"/>
  <c r="H80" i="3" s="1"/>
  <c r="G80" i="3" a="1"/>
  <c r="G80" i="3" s="1"/>
  <c r="F80" i="3" a="1"/>
  <c r="F80" i="3" s="1"/>
  <c r="E80" i="3" a="1"/>
  <c r="E80" i="3" s="1"/>
  <c r="D80" i="3" a="1"/>
  <c r="D80" i="3" s="1"/>
  <c r="Q79" i="3" a="1"/>
  <c r="Q79" i="3" s="1"/>
  <c r="P79" i="3" a="1"/>
  <c r="P79" i="3" s="1"/>
  <c r="O79" i="3" a="1"/>
  <c r="O79" i="3" s="1"/>
  <c r="N79" i="3" a="1"/>
  <c r="N79" i="3" s="1"/>
  <c r="M79" i="3" a="1"/>
  <c r="M79" i="3" s="1"/>
  <c r="L79" i="3" a="1"/>
  <c r="L79" i="3" s="1"/>
  <c r="K79" i="3" a="1"/>
  <c r="K79" i="3" s="1"/>
  <c r="J79" i="3" a="1"/>
  <c r="J79" i="3" s="1"/>
  <c r="I79" i="3" a="1"/>
  <c r="I79" i="3" s="1"/>
  <c r="H79" i="3" a="1"/>
  <c r="H79" i="3" s="1"/>
  <c r="G79" i="3" a="1"/>
  <c r="G79" i="3" s="1"/>
  <c r="F79" i="3" a="1"/>
  <c r="F79" i="3" s="1"/>
  <c r="E79" i="3" a="1"/>
  <c r="E79" i="3" s="1"/>
  <c r="D79" i="3" a="1"/>
  <c r="D79" i="3" s="1"/>
  <c r="Q78" i="3" a="1"/>
  <c r="Q78" i="3" s="1"/>
  <c r="P78" i="3" a="1"/>
  <c r="P78" i="3" s="1"/>
  <c r="O78" i="3" a="1"/>
  <c r="O78" i="3" s="1"/>
  <c r="N78" i="3" a="1"/>
  <c r="N78" i="3" s="1"/>
  <c r="M78" i="3" a="1"/>
  <c r="M78" i="3" s="1"/>
  <c r="L78" i="3" a="1"/>
  <c r="L78" i="3" s="1"/>
  <c r="K78" i="3" a="1"/>
  <c r="K78" i="3" s="1"/>
  <c r="J78" i="3" a="1"/>
  <c r="J78" i="3" s="1"/>
  <c r="I78" i="3" a="1"/>
  <c r="I78" i="3" s="1"/>
  <c r="H78" i="3" a="1"/>
  <c r="H78" i="3" s="1"/>
  <c r="G78" i="3" a="1"/>
  <c r="G78" i="3" s="1"/>
  <c r="F78" i="3" a="1"/>
  <c r="F78" i="3" s="1"/>
  <c r="E78" i="3" a="1"/>
  <c r="E78" i="3" s="1"/>
  <c r="D78" i="3" a="1"/>
  <c r="D78" i="3" s="1"/>
  <c r="Q77" i="3" a="1"/>
  <c r="Q77" i="3" s="1"/>
  <c r="P77" i="3" a="1"/>
  <c r="P77" i="3" s="1"/>
  <c r="O77" i="3" a="1"/>
  <c r="O77" i="3" s="1"/>
  <c r="N77" i="3" a="1"/>
  <c r="N77" i="3" s="1"/>
  <c r="M77" i="3" a="1"/>
  <c r="M77" i="3" s="1"/>
  <c r="L77" i="3" a="1"/>
  <c r="L77" i="3" s="1"/>
  <c r="K77" i="3" a="1"/>
  <c r="K77" i="3" s="1"/>
  <c r="J77" i="3" a="1"/>
  <c r="J77" i="3" s="1"/>
  <c r="I77" i="3" a="1"/>
  <c r="I77" i="3" s="1"/>
  <c r="H77" i="3" a="1"/>
  <c r="H77" i="3" s="1"/>
  <c r="G77" i="3" a="1"/>
  <c r="G77" i="3" s="1"/>
  <c r="F77" i="3" a="1"/>
  <c r="F77" i="3" s="1"/>
  <c r="E77" i="3" a="1"/>
  <c r="E77" i="3" s="1"/>
  <c r="D77" i="3" a="1"/>
  <c r="D77" i="3" s="1"/>
  <c r="Q76" i="3" a="1"/>
  <c r="Q76" i="3" s="1"/>
  <c r="P76" i="3" a="1"/>
  <c r="P76" i="3" s="1"/>
  <c r="O76" i="3" a="1"/>
  <c r="O76" i="3" s="1"/>
  <c r="N76" i="3" a="1"/>
  <c r="N76" i="3" s="1"/>
  <c r="M76" i="3" a="1"/>
  <c r="M76" i="3" s="1"/>
  <c r="L76" i="3" a="1"/>
  <c r="L76" i="3" s="1"/>
  <c r="K76" i="3" a="1"/>
  <c r="K76" i="3" s="1"/>
  <c r="J76" i="3" a="1"/>
  <c r="J76" i="3" s="1"/>
  <c r="I76" i="3" a="1"/>
  <c r="I76" i="3" s="1"/>
  <c r="H76" i="3" a="1"/>
  <c r="H76" i="3" s="1"/>
  <c r="G76" i="3" a="1"/>
  <c r="G76" i="3" s="1"/>
  <c r="F76" i="3" a="1"/>
  <c r="F76" i="3" s="1"/>
  <c r="E76" i="3" a="1"/>
  <c r="E76" i="3" s="1"/>
  <c r="D76" i="3" a="1"/>
  <c r="D76" i="3" s="1"/>
  <c r="Q75" i="3" a="1"/>
  <c r="Q75" i="3" s="1"/>
  <c r="P75" i="3" a="1"/>
  <c r="P75" i="3" s="1"/>
  <c r="O75" i="3" a="1"/>
  <c r="O75" i="3" s="1"/>
  <c r="N75" i="3" a="1"/>
  <c r="N75" i="3" s="1"/>
  <c r="M75" i="3" a="1"/>
  <c r="M75" i="3" s="1"/>
  <c r="L75" i="3" a="1"/>
  <c r="L75" i="3" s="1"/>
  <c r="K75" i="3" a="1"/>
  <c r="K75" i="3" s="1"/>
  <c r="J75" i="3" a="1"/>
  <c r="J75" i="3" s="1"/>
  <c r="I75" i="3" a="1"/>
  <c r="I75" i="3" s="1"/>
  <c r="H75" i="3" a="1"/>
  <c r="H75" i="3" s="1"/>
  <c r="G75" i="3" a="1"/>
  <c r="G75" i="3" s="1"/>
  <c r="F75" i="3" a="1"/>
  <c r="F75" i="3" s="1"/>
  <c r="E75" i="3" a="1"/>
  <c r="E75" i="3" s="1"/>
  <c r="D75" i="3" a="1"/>
  <c r="D75" i="3" s="1"/>
  <c r="Q74" i="3" a="1"/>
  <c r="Q74" i="3" s="1"/>
  <c r="P74" i="3" a="1"/>
  <c r="P74" i="3" s="1"/>
  <c r="O74" i="3" a="1"/>
  <c r="O74" i="3" s="1"/>
  <c r="N74" i="3" a="1"/>
  <c r="N74" i="3" s="1"/>
  <c r="M74" i="3" a="1"/>
  <c r="M74" i="3" s="1"/>
  <c r="L74" i="3" a="1"/>
  <c r="L74" i="3" s="1"/>
  <c r="K74" i="3" a="1"/>
  <c r="K74" i="3" s="1"/>
  <c r="J74" i="3" a="1"/>
  <c r="J74" i="3" s="1"/>
  <c r="I74" i="3" a="1"/>
  <c r="I74" i="3" s="1"/>
  <c r="H74" i="3" a="1"/>
  <c r="H74" i="3" s="1"/>
  <c r="G74" i="3" a="1"/>
  <c r="G74" i="3" s="1"/>
  <c r="F74" i="3" a="1"/>
  <c r="F74" i="3" s="1"/>
  <c r="E74" i="3" a="1"/>
  <c r="E74" i="3" s="1"/>
  <c r="D74" i="3" a="1"/>
  <c r="D74" i="3" s="1"/>
  <c r="Q73" i="3" a="1"/>
  <c r="Q73" i="3" s="1"/>
  <c r="P73" i="3" a="1"/>
  <c r="P73" i="3" s="1"/>
  <c r="O73" i="3" a="1"/>
  <c r="O73" i="3" s="1"/>
  <c r="N73" i="3" a="1"/>
  <c r="N73" i="3" s="1"/>
  <c r="M73" i="3" a="1"/>
  <c r="M73" i="3" s="1"/>
  <c r="L73" i="3" a="1"/>
  <c r="L73" i="3" s="1"/>
  <c r="K73" i="3" a="1"/>
  <c r="K73" i="3" s="1"/>
  <c r="J73" i="3" a="1"/>
  <c r="J73" i="3" s="1"/>
  <c r="I73" i="3" a="1"/>
  <c r="I73" i="3" s="1"/>
  <c r="H73" i="3" a="1"/>
  <c r="H73" i="3" s="1"/>
  <c r="G73" i="3" a="1"/>
  <c r="G73" i="3" s="1"/>
  <c r="F73" i="3" a="1"/>
  <c r="F73" i="3" s="1"/>
  <c r="E73" i="3" a="1"/>
  <c r="E73" i="3" s="1"/>
  <c r="D73" i="3" a="1"/>
  <c r="D73" i="3" s="1"/>
  <c r="Q72" i="3" a="1"/>
  <c r="Q72" i="3" s="1"/>
  <c r="P72" i="3" a="1"/>
  <c r="P72" i="3" s="1"/>
  <c r="O72" i="3" a="1"/>
  <c r="O72" i="3" s="1"/>
  <c r="N72" i="3" a="1"/>
  <c r="N72" i="3" s="1"/>
  <c r="M72" i="3" a="1"/>
  <c r="M72" i="3" s="1"/>
  <c r="L72" i="3" a="1"/>
  <c r="L72" i="3" s="1"/>
  <c r="K72" i="3" a="1"/>
  <c r="K72" i="3" s="1"/>
  <c r="J72" i="3" a="1"/>
  <c r="J72" i="3" s="1"/>
  <c r="I72" i="3" a="1"/>
  <c r="I72" i="3" s="1"/>
  <c r="H72" i="3" a="1"/>
  <c r="H72" i="3" s="1"/>
  <c r="G72" i="3" a="1"/>
  <c r="G72" i="3" s="1"/>
  <c r="F72" i="3" a="1"/>
  <c r="F72" i="3" s="1"/>
  <c r="E72" i="3" a="1"/>
  <c r="E72" i="3" s="1"/>
  <c r="D72" i="3" a="1"/>
  <c r="D72" i="3" s="1"/>
  <c r="Q71" i="3" a="1"/>
  <c r="Q71" i="3" s="1"/>
  <c r="P71" i="3" a="1"/>
  <c r="P71" i="3" s="1"/>
  <c r="O71" i="3" a="1"/>
  <c r="O71" i="3" s="1"/>
  <c r="N71" i="3" a="1"/>
  <c r="N71" i="3" s="1"/>
  <c r="R13" i="1"/>
  <c r="L71" i="3" a="1"/>
  <c r="I71" i="3" a="1"/>
  <c r="F71" i="3" a="1"/>
  <c r="Q70" i="3" a="1"/>
  <c r="N70" i="3" a="1"/>
  <c r="K70" i="3" a="1"/>
  <c r="H70" i="3" a="1"/>
  <c r="E70" i="3" a="1"/>
  <c r="P67" i="3" a="1"/>
  <c r="M67" i="3" a="1"/>
  <c r="J67" i="3" a="1"/>
  <c r="G67" i="3" a="1"/>
  <c r="D67" i="3" a="1"/>
  <c r="O66" i="3" a="1"/>
  <c r="L66" i="3" a="1"/>
  <c r="I66" i="3" a="1"/>
  <c r="F66" i="3" a="1"/>
  <c r="Q65" i="3" a="1"/>
  <c r="N65" i="3" a="1"/>
  <c r="K65" i="3" a="1"/>
  <c r="H65" i="3" a="1"/>
  <c r="E65" i="3" a="1"/>
  <c r="O64" i="3" a="1"/>
  <c r="L64" i="3" a="1"/>
  <c r="I64" i="3" a="1"/>
  <c r="F64" i="3" a="1"/>
  <c r="Q63" i="3" a="1"/>
  <c r="N63" i="3" a="1"/>
  <c r="K63" i="3" a="1"/>
  <c r="H63" i="3" a="1"/>
  <c r="E63" i="3" a="1"/>
  <c r="P62" i="3" a="1"/>
  <c r="M62" i="3" a="1"/>
  <c r="J62" i="3" a="1"/>
  <c r="G62" i="3" a="1"/>
  <c r="D62" i="3" a="1"/>
  <c r="O61" i="3" a="1"/>
  <c r="L61" i="3" a="1"/>
  <c r="I61" i="3" a="1"/>
  <c r="F61" i="3" a="1"/>
  <c r="Q60" i="3" a="1"/>
  <c r="N60" i="3" a="1"/>
  <c r="K60" i="3" a="1"/>
  <c r="H60" i="3" a="1"/>
  <c r="E60" i="3" a="1"/>
  <c r="P59" i="3" a="1"/>
  <c r="M59" i="3" a="1"/>
  <c r="J59" i="3" a="1"/>
  <c r="G59" i="3" a="1"/>
  <c r="D59" i="3" a="1"/>
  <c r="O58" i="3" a="1"/>
  <c r="M71" i="3" a="1"/>
  <c r="J71" i="3" a="1"/>
  <c r="G71" i="3" a="1"/>
  <c r="D71" i="3" a="1"/>
  <c r="O70" i="3" a="1"/>
  <c r="L70" i="3" a="1"/>
  <c r="I70" i="3" a="1"/>
  <c r="F70" i="3" a="1"/>
  <c r="Q67" i="3" a="1"/>
  <c r="N67" i="3" a="1"/>
  <c r="K67" i="3" a="1"/>
  <c r="H67" i="3" a="1"/>
  <c r="E67" i="3" a="1"/>
  <c r="P66" i="3" a="1"/>
  <c r="M66" i="3" a="1"/>
  <c r="J66" i="3" a="1"/>
  <c r="G66" i="3" a="1"/>
  <c r="D66" i="3" a="1"/>
  <c r="O65" i="3" a="1"/>
  <c r="L65" i="3" a="1"/>
  <c r="I65" i="3" a="1"/>
  <c r="F65" i="3" a="1"/>
  <c r="P64" i="3" a="1"/>
  <c r="M64" i="3" a="1"/>
  <c r="J64" i="3" a="1"/>
  <c r="G64" i="3" a="1"/>
  <c r="D64" i="3" a="1"/>
  <c r="O63" i="3" a="1"/>
  <c r="L63" i="3" a="1"/>
  <c r="I63" i="3" a="1"/>
  <c r="F63" i="3" a="1"/>
  <c r="Q62" i="3" a="1"/>
  <c r="N62" i="3" a="1"/>
  <c r="K62" i="3" a="1"/>
  <c r="H62" i="3" a="1"/>
  <c r="E62" i="3" a="1"/>
  <c r="P61" i="3" a="1"/>
  <c r="M61" i="3" a="1"/>
  <c r="J61" i="3" a="1"/>
  <c r="G61" i="3" a="1"/>
  <c r="D61" i="3" a="1"/>
  <c r="O60" i="3" a="1"/>
  <c r="L60" i="3" a="1"/>
  <c r="I60" i="3" a="1"/>
  <c r="F60" i="3" a="1"/>
  <c r="Q59" i="3" a="1"/>
  <c r="N59" i="3" a="1"/>
  <c r="K59" i="3" a="1"/>
  <c r="H59" i="3" a="1"/>
  <c r="E59" i="3" a="1"/>
  <c r="P58" i="3" a="1"/>
  <c r="K71" i="3" a="1"/>
  <c r="H71" i="3" a="1"/>
  <c r="E71" i="3" a="1"/>
  <c r="P70" i="3" a="1"/>
  <c r="M70" i="3" a="1"/>
  <c r="J70" i="3" a="1"/>
  <c r="G70" i="3" a="1"/>
  <c r="D70" i="3" a="1"/>
  <c r="O67" i="3" a="1"/>
  <c r="L67" i="3" a="1"/>
  <c r="I67" i="3" a="1"/>
  <c r="F67" i="3" a="1"/>
  <c r="Q66" i="3" a="1"/>
  <c r="N66" i="3" a="1"/>
  <c r="K66" i="3" a="1"/>
  <c r="H66" i="3" a="1"/>
  <c r="E66" i="3" a="1"/>
  <c r="P65" i="3" a="1"/>
  <c r="M65" i="3" a="1"/>
  <c r="J65" i="3" a="1"/>
  <c r="G65" i="3" a="1"/>
  <c r="Q64" i="3" a="1"/>
  <c r="N64" i="3" a="1"/>
  <c r="K64" i="3" a="1"/>
  <c r="H64" i="3" a="1"/>
  <c r="E64" i="3" a="1"/>
  <c r="P63" i="3" a="1"/>
  <c r="M63" i="3" a="1"/>
  <c r="J63" i="3" a="1"/>
  <c r="G63" i="3" a="1"/>
  <c r="D63" i="3" a="1"/>
  <c r="O62" i="3" a="1"/>
  <c r="L62" i="3" a="1"/>
  <c r="I62" i="3" a="1"/>
  <c r="F62" i="3" a="1"/>
  <c r="Q61" i="3" a="1"/>
  <c r="N61" i="3" a="1"/>
  <c r="K61" i="3" a="1"/>
  <c r="H61" i="3" a="1"/>
  <c r="E61" i="3" a="1"/>
  <c r="P60" i="3" a="1"/>
  <c r="M60" i="3" a="1"/>
  <c r="J60" i="3" a="1"/>
  <c r="G60" i="3" a="1"/>
  <c r="D60" i="3" a="1"/>
  <c r="O59" i="3" a="1"/>
  <c r="L59" i="3" a="1"/>
  <c r="I59" i="3" a="1"/>
  <c r="F59" i="3" a="1"/>
  <c r="Q58" i="3" a="1"/>
  <c r="N58" i="3" a="1"/>
  <c r="L58" i="3" a="1"/>
  <c r="I58" i="3" a="1"/>
  <c r="F58" i="3" a="1"/>
  <c r="Q57" i="3" a="1"/>
  <c r="N57" i="3" a="1"/>
  <c r="N57" i="3" l="1"/>
  <c r="Q57" i="3"/>
  <c r="F58" i="3"/>
  <c r="I58" i="3"/>
  <c r="L58" i="3"/>
  <c r="N58" i="3"/>
  <c r="Q58" i="3"/>
  <c r="F59" i="3"/>
  <c r="I59" i="3"/>
  <c r="L59" i="3"/>
  <c r="O59" i="3"/>
  <c r="D60" i="3"/>
  <c r="G60" i="3"/>
  <c r="J60" i="3"/>
  <c r="M60" i="3"/>
  <c r="P60" i="3"/>
  <c r="E61" i="3"/>
  <c r="H61" i="3"/>
  <c r="K61" i="3"/>
  <c r="N61" i="3"/>
  <c r="Q61" i="3"/>
  <c r="F62" i="3"/>
  <c r="I62" i="3"/>
  <c r="L62" i="3"/>
  <c r="O62" i="3"/>
  <c r="D63" i="3"/>
  <c r="G63" i="3"/>
  <c r="J63" i="3"/>
  <c r="M63" i="3"/>
  <c r="P63" i="3"/>
  <c r="E64" i="3"/>
  <c r="H64" i="3"/>
  <c r="K64" i="3"/>
  <c r="N64" i="3"/>
  <c r="Q64" i="3"/>
  <c r="G65" i="3"/>
  <c r="J65" i="3"/>
  <c r="M65" i="3"/>
  <c r="P65" i="3"/>
  <c r="E66" i="3"/>
  <c r="H66" i="3"/>
  <c r="K66" i="3"/>
  <c r="N66" i="3"/>
  <c r="Q66" i="3"/>
  <c r="F67" i="3"/>
  <c r="I67" i="3"/>
  <c r="L67" i="3"/>
  <c r="O67" i="3"/>
  <c r="D70" i="3"/>
  <c r="G70" i="3"/>
  <c r="J70" i="3"/>
  <c r="M70" i="3"/>
  <c r="P70" i="3"/>
  <c r="E71" i="3"/>
  <c r="H71" i="3"/>
  <c r="K71" i="3"/>
  <c r="P58" i="3"/>
  <c r="E59" i="3"/>
  <c r="H59" i="3"/>
  <c r="K59" i="3"/>
  <c r="N59" i="3"/>
  <c r="Q59" i="3"/>
  <c r="F60" i="3"/>
  <c r="I60" i="3"/>
  <c r="L60" i="3"/>
  <c r="O60" i="3"/>
  <c r="D61" i="3"/>
  <c r="G61" i="3"/>
  <c r="J61" i="3"/>
  <c r="M61" i="3"/>
  <c r="P61" i="3"/>
  <c r="E62" i="3"/>
  <c r="H62" i="3"/>
  <c r="K62" i="3"/>
  <c r="N62" i="3"/>
  <c r="Q62" i="3"/>
  <c r="F63" i="3"/>
  <c r="I63" i="3"/>
  <c r="L63" i="3"/>
  <c r="O63" i="3"/>
  <c r="D64" i="3"/>
  <c r="G64" i="3"/>
  <c r="J64" i="3"/>
  <c r="M64" i="3"/>
  <c r="P64" i="3"/>
  <c r="F65" i="3"/>
  <c r="I65" i="3"/>
  <c r="L65" i="3"/>
  <c r="O65" i="3"/>
  <c r="D66" i="3"/>
  <c r="G66" i="3"/>
  <c r="J66" i="3"/>
  <c r="M66" i="3"/>
  <c r="P66" i="3"/>
  <c r="E67" i="3"/>
  <c r="H67" i="3"/>
  <c r="K67" i="3"/>
  <c r="N67" i="3"/>
  <c r="Q67" i="3"/>
  <c r="F70" i="3"/>
  <c r="I70" i="3"/>
  <c r="L70" i="3"/>
  <c r="O70" i="3"/>
  <c r="D71" i="3"/>
  <c r="G71" i="3"/>
  <c r="J71" i="3"/>
  <c r="M71" i="3"/>
  <c r="O58" i="3"/>
  <c r="D59" i="3"/>
  <c r="G59" i="3"/>
  <c r="J59" i="3"/>
  <c r="M59" i="3"/>
  <c r="P59" i="3"/>
  <c r="E60" i="3"/>
  <c r="H60" i="3"/>
  <c r="K60" i="3"/>
  <c r="N60" i="3"/>
  <c r="Q60" i="3"/>
  <c r="F61" i="3"/>
  <c r="I61" i="3"/>
  <c r="L61" i="3"/>
  <c r="O61" i="3"/>
  <c r="D62" i="3"/>
  <c r="G62" i="3"/>
  <c r="J62" i="3"/>
  <c r="M62" i="3"/>
  <c r="P62" i="3"/>
  <c r="E63" i="3"/>
  <c r="H63" i="3"/>
  <c r="K63" i="3"/>
  <c r="N63" i="3"/>
  <c r="Q63" i="3"/>
  <c r="F64" i="3"/>
  <c r="I64" i="3"/>
  <c r="L64" i="3"/>
  <c r="O64" i="3"/>
  <c r="E65" i="3"/>
  <c r="H65" i="3"/>
  <c r="K65" i="3"/>
  <c r="N65" i="3"/>
  <c r="Q65" i="3"/>
  <c r="F66" i="3"/>
  <c r="I66" i="3"/>
  <c r="L66" i="3"/>
  <c r="O66" i="3"/>
  <c r="D67" i="3"/>
  <c r="G67" i="3"/>
  <c r="J67" i="3"/>
  <c r="M67" i="3"/>
  <c r="P67" i="3"/>
  <c r="E70" i="3"/>
  <c r="H70" i="3"/>
  <c r="K70" i="3"/>
  <c r="N70" i="3"/>
  <c r="Q70" i="3"/>
  <c r="F71" i="3"/>
  <c r="I71" i="3"/>
  <c r="L71" i="3"/>
  <c r="K57" i="3" a="1"/>
  <c r="P56" i="3" a="1"/>
  <c r="G56" i="3" a="1"/>
  <c r="L53" i="3" a="1"/>
  <c r="Q52" i="3" a="1"/>
  <c r="H57" i="3" a="1"/>
  <c r="D56" i="3" a="1"/>
  <c r="I53" i="3" a="1"/>
  <c r="N52" i="3" a="1"/>
  <c r="J56" i="3" a="1"/>
  <c r="O53" i="3" a="1"/>
  <c r="F53" i="3" a="1"/>
  <c r="M56" i="3" a="1"/>
  <c r="E57" i="3" a="1"/>
  <c r="K52" i="3" a="1"/>
  <c r="H52" i="3" a="1"/>
  <c r="E52" i="3" a="1"/>
  <c r="J51" i="3" a="1"/>
  <c r="O50" i="3" a="1"/>
  <c r="F50" i="3" a="1"/>
  <c r="K49" i="3" a="1"/>
  <c r="P51" i="3" a="1"/>
  <c r="L50" i="3" a="1"/>
  <c r="Q49" i="3" a="1"/>
  <c r="H49" i="3" a="1"/>
  <c r="D51" i="3" a="1"/>
  <c r="I50" i="3" a="1"/>
  <c r="N49" i="3" a="1"/>
  <c r="E49" i="3" a="1"/>
  <c r="G51" i="3" a="1"/>
  <c r="M51" i="3" a="1"/>
  <c r="P48" i="3" a="1"/>
  <c r="G48" i="3" a="1"/>
  <c r="L47" i="3" a="1"/>
  <c r="E57" i="3" l="1"/>
  <c r="M56" i="3"/>
  <c r="F53" i="3"/>
  <c r="O53" i="3"/>
  <c r="J56" i="3"/>
  <c r="N52" i="3"/>
  <c r="I53" i="3"/>
  <c r="D56" i="3"/>
  <c r="H57" i="3"/>
  <c r="Q52" i="3"/>
  <c r="L53" i="3"/>
  <c r="G56" i="3"/>
  <c r="P56" i="3"/>
  <c r="K57" i="3"/>
  <c r="H52" i="3"/>
  <c r="K52" i="3"/>
  <c r="M51" i="3"/>
  <c r="G51" i="3"/>
  <c r="E49" i="3"/>
  <c r="N49" i="3"/>
  <c r="I50" i="3"/>
  <c r="D51" i="3"/>
  <c r="H49" i="3"/>
  <c r="Q49" i="3"/>
  <c r="L50" i="3"/>
  <c r="P51" i="3"/>
  <c r="K49" i="3"/>
  <c r="F50" i="3"/>
  <c r="O50" i="3"/>
  <c r="J51" i="3"/>
  <c r="E52" i="3"/>
  <c r="L47" i="3"/>
  <c r="G48" i="3"/>
  <c r="P48" i="3"/>
  <c r="Q46" i="3" a="1"/>
  <c r="M45" i="3" a="1"/>
  <c r="H46" i="3" a="1"/>
  <c r="D45" i="3" a="1"/>
  <c r="G37" i="3" a="1"/>
  <c r="I57" i="3" a="1"/>
  <c r="L49" i="3" a="1"/>
  <c r="O43" i="3" a="1"/>
  <c r="D36" i="3" a="1"/>
  <c r="Q53" i="3" a="1"/>
  <c r="I44" i="3" a="1"/>
  <c r="L36" i="3" a="1"/>
  <c r="N56" i="3" a="1"/>
  <c r="N56" i="3" l="1"/>
  <c r="L36" i="3"/>
  <c r="I44" i="3"/>
  <c r="Q53" i="3"/>
  <c r="D36" i="3"/>
  <c r="O43" i="3"/>
  <c r="L49" i="3"/>
  <c r="I57" i="3"/>
  <c r="G37" i="3"/>
  <c r="D45" i="3"/>
  <c r="H46" i="3"/>
  <c r="M45" i="3"/>
  <c r="Q46" i="3"/>
  <c r="Q48" i="3" a="1"/>
  <c r="I51" i="3" a="1"/>
  <c r="G50" i="3" a="1"/>
  <c r="L56" i="3" a="1"/>
  <c r="N41" i="3" a="1"/>
  <c r="Q44" i="3" a="1"/>
  <c r="H44" i="3" a="1"/>
  <c r="F43" i="3" a="1"/>
  <c r="P37" i="3" a="1"/>
  <c r="J44" i="3" a="1"/>
  <c r="E50" i="3" a="1"/>
  <c r="J49" i="3" a="1"/>
  <c r="M43" i="3" a="1"/>
  <c r="I35" i="3" a="1"/>
  <c r="D58" i="3" a="1"/>
  <c r="M36" i="3" a="1"/>
  <c r="G35" i="3" a="1"/>
  <c r="P15" i="3" a="1"/>
  <c r="H38" i="3" a="1"/>
  <c r="N30" i="3" a="1"/>
  <c r="I9" i="3" a="1"/>
  <c r="N8" i="3" a="1"/>
  <c r="G24" i="3" a="1"/>
  <c r="O33" i="3" a="1"/>
  <c r="I38" i="3" a="1"/>
  <c r="N44" i="3" a="1"/>
  <c r="I23" i="3" a="1"/>
  <c r="O47" i="3" a="1"/>
  <c r="I52" i="3" a="1"/>
  <c r="D33" i="3" a="1"/>
  <c r="I37" i="3" a="1"/>
  <c r="D18" i="3" a="1"/>
  <c r="M23" i="3" a="1"/>
  <c r="G30" i="3" a="1"/>
  <c r="P8" i="3" a="1"/>
  <c r="G70" i="2" a="1"/>
  <c r="E24" i="3" a="1"/>
  <c r="M30" i="3" a="1"/>
  <c r="M41" i="3" a="1"/>
  <c r="D46" i="3" a="1"/>
  <c r="M24" i="3" a="1"/>
  <c r="P31" i="3" a="1"/>
  <c r="M53" i="3" a="1"/>
  <c r="H34" i="3" a="1"/>
  <c r="M38" i="3" a="1"/>
  <c r="H19" i="3" a="1"/>
  <c r="P33" i="3" a="1"/>
  <c r="P18" i="3" a="1"/>
  <c r="H43" i="3" a="1"/>
  <c r="G52" i="3" a="1"/>
  <c r="P32" i="3" a="1"/>
  <c r="K11" i="3" a="1"/>
  <c r="K35" i="3" a="1"/>
  <c r="H32" i="3" a="1"/>
  <c r="J29" i="3" a="1"/>
  <c r="E8" i="3" a="1"/>
  <c r="M48" i="3" a="1"/>
  <c r="Q22" i="3" a="1"/>
  <c r="I47" i="3" a="1"/>
  <c r="E35" i="3" a="1"/>
  <c r="J18" i="3" a="1"/>
  <c r="Q51" i="3" a="1"/>
  <c r="H58" i="3" a="1"/>
  <c r="Q36" i="3" a="1"/>
  <c r="L17" i="3" a="1"/>
  <c r="D42" i="3" a="1"/>
  <c r="L46" i="3" a="1"/>
  <c r="Q50" i="3" a="1"/>
  <c r="L31" i="3" a="1"/>
  <c r="G10" i="3" a="1"/>
  <c r="P17" i="3" a="1"/>
  <c r="J22" i="3" a="1"/>
  <c r="O2" i="3" a="1"/>
  <c r="J62" i="2" a="1"/>
  <c r="H18" i="3" a="1"/>
  <c r="G53" i="3" a="1"/>
  <c r="G38" i="3" a="1"/>
  <c r="P47" i="3" a="1"/>
  <c r="J46" i="3" a="1"/>
  <c r="M21" i="3" a="1"/>
  <c r="E46" i="3" a="1"/>
  <c r="K36" i="3" a="1"/>
  <c r="F17" i="3" a="1"/>
  <c r="L41" i="3" a="1"/>
  <c r="D32" i="3" a="1"/>
  <c r="M10" i="3" a="1"/>
  <c r="F46" i="3" a="1"/>
  <c r="K50" i="3" a="1"/>
  <c r="F31" i="3" a="1"/>
  <c r="O9" i="3" a="1"/>
  <c r="G34" i="3" a="1"/>
  <c r="O38" i="3" a="1"/>
  <c r="F45" i="3" a="1"/>
  <c r="O23" i="3" a="1"/>
  <c r="J31" i="3" a="1"/>
  <c r="E10" i="3" a="1"/>
  <c r="M16" i="3" a="1"/>
  <c r="D76" i="2" a="1"/>
  <c r="M56" i="2" a="1"/>
  <c r="K10" i="3" a="1"/>
  <c r="J47" i="3" a="1"/>
  <c r="O51" i="3" a="1"/>
  <c r="J32" i="3" a="1"/>
  <c r="E11" i="3" a="1"/>
  <c r="E42" i="3" a="1"/>
  <c r="E25" i="3" a="1"/>
  <c r="K31" i="3" a="1"/>
  <c r="J53" i="3" a="1"/>
  <c r="G41" i="3" a="1"/>
  <c r="F48" i="3" a="1"/>
  <c r="Q11" i="3" a="1"/>
  <c r="J7" i="3" a="1"/>
  <c r="O57" i="3" a="1"/>
  <c r="J21" i="3" a="1"/>
  <c r="O56" i="3" a="1"/>
  <c r="N21" i="3" a="1"/>
  <c r="H66" i="2" a="1"/>
  <c r="N37" i="3" a="1"/>
  <c r="F47" i="3" a="1"/>
  <c r="M57" i="3" a="1"/>
  <c r="Q29" i="3" a="1"/>
  <c r="O46" i="3" a="1"/>
  <c r="D52" i="3" a="1"/>
  <c r="E56" i="3" a="1"/>
  <c r="O37" i="3" a="1"/>
  <c r="O44" i="3" a="1"/>
  <c r="P35" i="3" a="1"/>
  <c r="I56" i="3" a="1"/>
  <c r="E38" i="3" a="1"/>
  <c r="M29" i="3" a="1"/>
  <c r="K20" i="3" a="1"/>
  <c r="M36" i="3" l="1"/>
  <c r="D58" i="3"/>
  <c r="I35" i="3"/>
  <c r="M43" i="3"/>
  <c r="J49" i="3"/>
  <c r="E50" i="3"/>
  <c r="J44" i="3"/>
  <c r="P37" i="3"/>
  <c r="F43" i="3"/>
  <c r="H44" i="3"/>
  <c r="Q44" i="3"/>
  <c r="N41" i="3"/>
  <c r="L56" i="3"/>
  <c r="G50" i="3"/>
  <c r="I51" i="3"/>
  <c r="Q48" i="3"/>
  <c r="E25" i="3"/>
  <c r="E42" i="3"/>
  <c r="E11" i="3"/>
  <c r="J32" i="3"/>
  <c r="O51" i="3"/>
  <c r="J47" i="3"/>
  <c r="K10" i="3"/>
  <c r="M56" i="2"/>
  <c r="D76" i="2"/>
  <c r="M16" i="3"/>
  <c r="E10" i="3"/>
  <c r="J31" i="3"/>
  <c r="O23" i="3"/>
  <c r="F45" i="3"/>
  <c r="O38" i="3"/>
  <c r="G34" i="3"/>
  <c r="O9" i="3"/>
  <c r="F31" i="3"/>
  <c r="K50" i="3"/>
  <c r="F46" i="3"/>
  <c r="M10" i="3"/>
  <c r="D32" i="3"/>
  <c r="L41" i="3"/>
  <c r="F17" i="3"/>
  <c r="K36" i="3"/>
  <c r="E46" i="3"/>
  <c r="M21" i="3"/>
  <c r="J46" i="3"/>
  <c r="P47" i="3"/>
  <c r="G38" i="3"/>
  <c r="G53" i="3"/>
  <c r="H18" i="3"/>
  <c r="J62" i="2"/>
  <c r="O2" i="3"/>
  <c r="J22" i="3"/>
  <c r="P17" i="3"/>
  <c r="G10" i="3"/>
  <c r="L31" i="3"/>
  <c r="Q50" i="3"/>
  <c r="L46" i="3"/>
  <c r="D42" i="3"/>
  <c r="L17" i="3"/>
  <c r="Q36" i="3"/>
  <c r="H58" i="3"/>
  <c r="Q51" i="3"/>
  <c r="J18" i="3"/>
  <c r="E35" i="3"/>
  <c r="I47" i="3"/>
  <c r="Q22" i="3"/>
  <c r="M48" i="3"/>
  <c r="E8" i="3"/>
  <c r="J29" i="3"/>
  <c r="H32" i="3"/>
  <c r="K35" i="3"/>
  <c r="K11" i="3"/>
  <c r="P32" i="3"/>
  <c r="G52" i="3"/>
  <c r="H43" i="3"/>
  <c r="P18" i="3"/>
  <c r="P33" i="3"/>
  <c r="H19" i="3"/>
  <c r="M38" i="3"/>
  <c r="H34" i="3"/>
  <c r="M53" i="3"/>
  <c r="P31" i="3"/>
  <c r="M24" i="3"/>
  <c r="D46" i="3"/>
  <c r="M41" i="3"/>
  <c r="M30" i="3"/>
  <c r="E24" i="3"/>
  <c r="G70" i="2"/>
  <c r="P8" i="3"/>
  <c r="G30" i="3"/>
  <c r="M23" i="3"/>
  <c r="D18" i="3"/>
  <c r="I37" i="3"/>
  <c r="D33" i="3"/>
  <c r="I52" i="3"/>
  <c r="O47" i="3"/>
  <c r="I23" i="3"/>
  <c r="N44" i="3"/>
  <c r="I38" i="3"/>
  <c r="O33" i="3"/>
  <c r="G24" i="3"/>
  <c r="N8" i="3"/>
  <c r="I9" i="3"/>
  <c r="N30" i="3"/>
  <c r="H38" i="3"/>
  <c r="P15" i="3"/>
  <c r="G35" i="3"/>
  <c r="K20" i="3"/>
  <c r="M29" i="3"/>
  <c r="E38" i="3"/>
  <c r="I56" i="3"/>
  <c r="P35" i="3"/>
  <c r="O44" i="3"/>
  <c r="O37" i="3"/>
  <c r="E56" i="3"/>
  <c r="D52" i="3"/>
  <c r="O46" i="3"/>
  <c r="Q29" i="3"/>
  <c r="M57" i="3"/>
  <c r="F47" i="3"/>
  <c r="N37" i="3"/>
  <c r="H66" i="2"/>
  <c r="N21" i="3"/>
  <c r="O56" i="3"/>
  <c r="J21" i="3"/>
  <c r="O57" i="3"/>
  <c r="J7" i="3"/>
  <c r="Q11" i="3"/>
  <c r="F48" i="3"/>
  <c r="G41" i="3"/>
  <c r="J53" i="3"/>
  <c r="K31" i="3"/>
  <c r="D47" i="3" a="1"/>
  <c r="F9" i="3" a="1"/>
  <c r="K47" i="3" a="1"/>
  <c r="K60" i="2" a="1"/>
  <c r="D35" i="3" a="1"/>
  <c r="F44" i="3" a="1"/>
  <c r="J58" i="3" a="1"/>
  <c r="H22" i="3" a="1"/>
  <c r="N23" i="3" a="1"/>
  <c r="Q15" i="3" a="1"/>
  <c r="L48" i="3" a="1"/>
  <c r="O6" i="3" a="1"/>
  <c r="P49" i="3" a="1"/>
  <c r="P45" i="3" a="1"/>
  <c r="O52" i="3" a="1"/>
  <c r="K45" i="3" a="1"/>
  <c r="G43" i="3" a="1"/>
  <c r="G33" i="3" a="1"/>
  <c r="P6" i="3" a="1"/>
  <c r="N32" i="3" a="1"/>
  <c r="J42" i="3" a="1"/>
  <c r="J45" i="3" a="1"/>
  <c r="O30" i="3" a="1"/>
  <c r="G29" i="3" a="1"/>
  <c r="F38" i="3" a="1"/>
  <c r="J35" i="3" a="1"/>
  <c r="N34" i="3" a="1"/>
  <c r="Q17" i="3" a="1"/>
  <c r="F8" i="3" a="1"/>
  <c r="M34" i="3" a="1"/>
  <c r="F33" i="3" a="1"/>
  <c r="D49" i="3" a="1"/>
  <c r="Q37" i="3" a="1"/>
  <c r="H37" i="3" a="1"/>
  <c r="I31" i="3" a="1"/>
  <c r="I17" i="3" a="1"/>
  <c r="P50" i="3" a="1"/>
  <c r="H11" i="3" a="1"/>
  <c r="K58" i="3" a="1"/>
  <c r="E19" i="3" a="1"/>
  <c r="J37" i="3" a="1"/>
  <c r="I5" i="3" a="1"/>
  <c r="L51" i="3" a="1"/>
  <c r="K57" i="2" a="1"/>
  <c r="P42" i="3" a="1"/>
  <c r="Q25" i="3" a="1"/>
  <c r="M20" i="3" a="1"/>
  <c r="K3" i="3" a="1"/>
  <c r="Q6" i="3" a="1"/>
  <c r="F12" i="3" a="1"/>
  <c r="N15" i="3" a="1"/>
  <c r="O15" i="3" a="1"/>
  <c r="M17" i="3" a="1"/>
  <c r="K22" i="3" a="1"/>
  <c r="I34" i="3" a="1"/>
  <c r="L29" i="3" a="1"/>
  <c r="E58" i="3" a="1"/>
  <c r="F28" i="3" a="1"/>
  <c r="G17" i="3" a="1"/>
  <c r="N50" i="3" a="1"/>
  <c r="E48" i="3" a="1"/>
  <c r="L12" i="3" a="1"/>
  <c r="L58" i="2" a="1"/>
  <c r="E65" i="2" a="1"/>
  <c r="I70" i="2" a="1"/>
  <c r="I66" i="2" a="1"/>
  <c r="D19" i="3" a="1"/>
  <c r="D43" i="3" a="1"/>
  <c r="D10" i="3" a="1"/>
  <c r="G57" i="3" a="1"/>
  <c r="P57" i="3" a="1"/>
  <c r="D57" i="3" a="1"/>
  <c r="E32" i="3" a="1"/>
  <c r="I20" i="3" a="1"/>
  <c r="N25" i="3" a="1"/>
  <c r="P19" i="3" a="1"/>
  <c r="K62" i="2" a="1"/>
  <c r="F15" i="3" a="1"/>
  <c r="G73" i="2" a="1"/>
  <c r="Q34" i="3" a="1"/>
  <c r="K18" i="3" a="1"/>
  <c r="H77" i="2" a="1"/>
  <c r="I22" i="3" a="1"/>
  <c r="H45" i="3" a="1"/>
  <c r="F57" i="3" a="1"/>
  <c r="K56" i="2" a="1"/>
  <c r="I45" i="3" a="1"/>
  <c r="J58" i="2" a="1"/>
  <c r="O64" i="2" a="1"/>
  <c r="L35" i="3" a="1"/>
  <c r="M35" i="3" a="1"/>
  <c r="L71" i="2" a="1"/>
  <c r="D44" i="3" a="1"/>
  <c r="G31" i="3" a="1"/>
  <c r="G32" i="3" a="1"/>
  <c r="H73" i="2" a="1"/>
  <c r="H42" i="3" a="1"/>
  <c r="L6" i="3" a="1"/>
  <c r="G25" i="3" a="1"/>
  <c r="F63" i="2" a="1"/>
  <c r="J66" i="2" a="1"/>
  <c r="O19" i="3" a="1"/>
  <c r="E17" i="3" a="1"/>
  <c r="F75" i="2" a="1"/>
  <c r="I18" i="3" a="1"/>
  <c r="H24" i="3" a="1"/>
  <c r="D15" i="3" a="1"/>
  <c r="F30" i="3" a="1"/>
  <c r="G47" i="3" a="1"/>
  <c r="P76" i="2" a="1"/>
  <c r="L59" i="2" a="1"/>
  <c r="H47" i="3" a="1"/>
  <c r="K61" i="2" a="1"/>
  <c r="N66" i="2" a="1"/>
  <c r="G2" i="3" a="1"/>
  <c r="K33" i="3" a="1"/>
  <c r="P70" i="2" a="1"/>
  <c r="O11" i="3" a="1"/>
  <c r="O72" i="2" a="1"/>
  <c r="P43" i="3" a="1"/>
  <c r="I21" i="3" a="1"/>
  <c r="E37" i="2" a="1"/>
  <c r="N29" i="2" a="1"/>
  <c r="J57" i="2" a="1"/>
  <c r="I42" i="2" a="1"/>
  <c r="Q9" i="3" a="1"/>
  <c r="D35" i="2" a="1"/>
  <c r="G15" i="3" a="1"/>
  <c r="I33" i="3" a="1"/>
  <c r="J36" i="3" a="1"/>
  <c r="E43" i="3" a="1"/>
  <c r="P79" i="2" a="1"/>
  <c r="P7" i="3" a="1"/>
  <c r="Q24" i="3" a="1"/>
  <c r="E16" i="3" a="1"/>
  <c r="I42" i="3" a="1"/>
  <c r="D41" i="3" a="1"/>
  <c r="I11" i="3" a="1"/>
  <c r="K29" i="3" a="1"/>
  <c r="E34" i="3" a="1"/>
  <c r="F22" i="3" a="1"/>
  <c r="D21" i="3" a="1"/>
  <c r="N43" i="3" a="1"/>
  <c r="L33" i="3" a="1"/>
  <c r="H33" i="3" a="1"/>
  <c r="H51" i="3" a="1"/>
  <c r="M15" i="3" a="1"/>
  <c r="L34" i="3" a="1"/>
  <c r="K30" i="3" a="1"/>
  <c r="H35" i="3" a="1"/>
  <c r="E74" i="2" a="1"/>
  <c r="Q35" i="3" a="1"/>
  <c r="E44" i="3" a="1"/>
  <c r="K16" i="3" a="1"/>
  <c r="O48" i="3" a="1"/>
  <c r="F23" i="3" a="1"/>
  <c r="O28" i="3" a="1"/>
  <c r="I41" i="3" a="1"/>
  <c r="H48" i="3" a="1"/>
  <c r="G42" i="3" a="1"/>
  <c r="Q45" i="3" a="1"/>
  <c r="K38" i="3" a="1"/>
  <c r="D34" i="3" a="1"/>
  <c r="L38" i="3" a="1"/>
  <c r="F52" i="3" a="1"/>
  <c r="J52" i="3" a="1"/>
  <c r="N42" i="3" a="1"/>
  <c r="I12" i="3" a="1"/>
  <c r="E7" i="3" a="1"/>
  <c r="Q70" i="2" a="1"/>
  <c r="G74" i="2" a="1"/>
  <c r="L25" i="3" a="1"/>
  <c r="P22" i="3" a="1"/>
  <c r="Q80" i="2" a="1"/>
  <c r="F24" i="3" a="1"/>
  <c r="Q8" i="3" a="1"/>
  <c r="O20" i="3" a="1"/>
  <c r="I2" i="3" a="1"/>
  <c r="D53" i="3" a="1"/>
  <c r="M3" i="3" a="1"/>
  <c r="O65" i="2" a="1"/>
  <c r="O41" i="3" a="1"/>
  <c r="G46" i="3" a="1"/>
  <c r="O21" i="3" a="1"/>
  <c r="M50" i="3" a="1"/>
  <c r="P24" i="3" a="1"/>
  <c r="D23" i="3" a="1"/>
  <c r="L23" i="3" a="1"/>
  <c r="F36" i="3" a="1"/>
  <c r="D29" i="3" a="1"/>
  <c r="N6" i="3" a="1"/>
  <c r="H17" i="3" a="1"/>
  <c r="N63" i="2" a="1"/>
  <c r="H25" i="3" a="1"/>
  <c r="Q38" i="3" a="1"/>
  <c r="P44" i="3" a="1"/>
  <c r="F37" i="3" a="1"/>
  <c r="J34" i="3" a="1"/>
  <c r="N45" i="3" a="1"/>
  <c r="D37" i="3" a="1"/>
  <c r="D48" i="3" a="1"/>
  <c r="E47" i="3" a="1"/>
  <c r="K9" i="3" a="1"/>
  <c r="Q57" i="2" a="1"/>
  <c r="J11" i="3" a="1"/>
  <c r="J57" i="3" a="1"/>
  <c r="L43" i="3" a="1"/>
  <c r="G23" i="3" a="1"/>
  <c r="O31" i="3" a="1"/>
  <c r="K24" i="3" a="1"/>
  <c r="G51" i="2" a="1"/>
  <c r="E21" i="3" a="1"/>
  <c r="K52" i="2" a="1"/>
  <c r="K21" i="3" a="1"/>
  <c r="M19" i="3" a="1"/>
  <c r="L67" i="2" a="1"/>
  <c r="G65" i="2" a="1"/>
  <c r="N4" i="3" a="1"/>
  <c r="I58" i="2" a="1"/>
  <c r="O36" i="3" a="1"/>
  <c r="M11" i="3" a="1"/>
  <c r="K75" i="2" a="1"/>
  <c r="E50" i="2" a="1"/>
  <c r="F32" i="3" a="1"/>
  <c r="G3" i="3" a="1"/>
  <c r="L61" i="2" a="1"/>
  <c r="K4" i="3" a="1"/>
  <c r="E12" i="3" a="1"/>
  <c r="G45" i="3" a="1"/>
  <c r="D16" i="3" a="1"/>
  <c r="M33" i="3" a="1"/>
  <c r="H63" i="2" a="1"/>
  <c r="F25" i="3" a="1"/>
  <c r="N33" i="3" a="1"/>
  <c r="J28" i="3" a="1"/>
  <c r="F53" i="2" a="1"/>
  <c r="M67" i="2" a="1"/>
  <c r="Q19" i="3" a="1"/>
  <c r="N24" i="3" a="1"/>
  <c r="L21" i="3" a="1"/>
  <c r="M28" i="3" a="1"/>
  <c r="H30" i="3" a="1"/>
  <c r="F42" i="3" a="1"/>
  <c r="D22" i="3" a="1"/>
  <c r="J48" i="3" a="1"/>
  <c r="H23" i="3" a="1"/>
  <c r="F6" i="3" a="1"/>
  <c r="N57" i="2" a="1"/>
  <c r="I4" i="3" a="1"/>
  <c r="Q25" i="2" a="1"/>
  <c r="I62" i="2" a="1"/>
  <c r="K77" i="2" a="1"/>
  <c r="O67" i="2" a="1"/>
  <c r="D43" i="2" a="1"/>
  <c r="Q16" i="3" a="1"/>
  <c r="P36" i="3" a="1"/>
  <c r="L52" i="3" a="1"/>
  <c r="H28" i="3" a="1"/>
  <c r="K25" i="3" a="1"/>
  <c r="P41" i="3" a="1"/>
  <c r="L8" i="3" a="1"/>
  <c r="K42" i="3" a="1"/>
  <c r="N22" i="3" a="1"/>
  <c r="D50" i="3" a="1"/>
  <c r="E41" i="3" a="1"/>
  <c r="M52" i="3" a="1"/>
  <c r="K44" i="3" a="1"/>
  <c r="I36" i="3" a="1"/>
  <c r="H36" i="3" a="1"/>
  <c r="M44" i="3" a="1"/>
  <c r="M37" i="3" a="1"/>
  <c r="N12" i="3" a="1"/>
  <c r="O42" i="3" a="1"/>
  <c r="M47" i="3" a="1"/>
  <c r="I16" i="3" a="1"/>
  <c r="G58" i="3" a="1"/>
  <c r="E30" i="3" a="1"/>
  <c r="N19" i="3" a="1"/>
  <c r="J9" i="3" a="1"/>
  <c r="N46" i="3" a="1"/>
  <c r="F19" i="3" a="1"/>
  <c r="H8" i="3" a="1"/>
  <c r="G44" i="3" a="1"/>
  <c r="E37" i="3" a="1"/>
  <c r="J50" i="3" a="1"/>
  <c r="J33" i="3" a="1"/>
  <c r="P21" i="3" a="1"/>
  <c r="N36" i="3" a="1"/>
  <c r="H53" i="3" a="1"/>
  <c r="M32" i="3" a="1"/>
  <c r="H50" i="3" a="1"/>
  <c r="E45" i="3" a="1"/>
  <c r="Q33" i="3" a="1"/>
  <c r="K43" i="3" a="1"/>
  <c r="D12" i="3" a="1"/>
  <c r="H9" i="3" a="1"/>
  <c r="I67" i="2" a="1"/>
  <c r="L10" i="3" a="1"/>
  <c r="P30" i="3" a="1"/>
  <c r="G7" i="3" a="1"/>
  <c r="O8" i="3" a="1"/>
  <c r="J41" i="3" a="1"/>
  <c r="E71" i="2" a="1"/>
  <c r="J49" i="2" a="1"/>
  <c r="K41" i="3" a="1"/>
  <c r="M50" i="2" a="1"/>
  <c r="Q60" i="2" a="1"/>
  <c r="J75" i="2" a="1"/>
  <c r="O75" i="2" a="1"/>
  <c r="N35" i="3" a="1"/>
  <c r="L9" i="3" a="1"/>
  <c r="I46" i="3" a="1"/>
  <c r="L45" i="3" a="1"/>
  <c r="Q30" i="3" a="1"/>
  <c r="P46" i="3" a="1"/>
  <c r="J38" i="3" a="1"/>
  <c r="I6" i="3" a="1"/>
  <c r="N47" i="3" a="1"/>
  <c r="M51" i="2" a="1"/>
  <c r="K15" i="3" a="1"/>
  <c r="E22" i="3" a="1"/>
  <c r="F72" i="2" a="1"/>
  <c r="K51" i="3" a="1"/>
  <c r="M58" i="3" a="1"/>
  <c r="N51" i="3" a="1"/>
  <c r="F41" i="3" a="1"/>
  <c r="O17" i="3" a="1"/>
  <c r="N11" i="3" a="1"/>
  <c r="E33" i="3" a="1"/>
  <c r="N53" i="3" a="1"/>
  <c r="M9" i="3" a="1"/>
  <c r="G18" i="3" a="1"/>
  <c r="Q10" i="3" a="1"/>
  <c r="O74" i="2" a="1"/>
  <c r="K7" i="3" a="1"/>
  <c r="E76" i="2" a="1"/>
  <c r="N28" i="3" a="1"/>
  <c r="O5" i="3" a="1"/>
  <c r="K48" i="3" a="1"/>
  <c r="O12" i="3" a="1"/>
  <c r="G19" i="3" a="1"/>
  <c r="G6" i="3" a="1"/>
  <c r="Q32" i="3" a="1"/>
  <c r="J12" i="3" a="1"/>
  <c r="E29" i="3" a="1"/>
  <c r="E57" i="2" a="1"/>
  <c r="H29" i="3" a="1"/>
  <c r="M70" i="2" a="1"/>
  <c r="F4" i="3" a="1"/>
  <c r="Q71" i="2" a="1"/>
  <c r="J73" i="2" a="1"/>
  <c r="L57" i="3" a="1"/>
  <c r="I75" i="2" a="1"/>
  <c r="O45" i="3" a="1"/>
  <c r="P5" i="3" a="1"/>
  <c r="P53" i="3" a="1"/>
  <c r="F20" i="3" a="1"/>
  <c r="P12" i="3" a="1"/>
  <c r="N76" i="2" a="1"/>
  <c r="D80" i="2" a="1"/>
  <c r="J56" i="2" a="1"/>
  <c r="H31" i="3" a="1"/>
  <c r="D8" i="3" a="1"/>
  <c r="H7" i="3" a="1"/>
  <c r="N16" i="3" a="1"/>
  <c r="L28" i="3" a="1"/>
  <c r="J8" i="3" a="1"/>
  <c r="P34" i="3" a="1"/>
  <c r="N9" i="3" a="1"/>
  <c r="L73" i="2" a="1"/>
  <c r="N48" i="3" a="1"/>
  <c r="P74" i="2" a="1"/>
  <c r="H80" i="2" a="1"/>
  <c r="M59" i="2" a="1"/>
  <c r="J16" i="3" a="1"/>
  <c r="F79" i="2" a="1"/>
  <c r="Q63" i="2" a="1"/>
  <c r="H30" i="2" a="1"/>
  <c r="N20" i="3" a="1"/>
  <c r="I30" i="3" a="1"/>
  <c r="D31" i="2" a="1"/>
  <c r="E16" i="2" a="1"/>
  <c r="O62" i="2" a="1"/>
  <c r="J10" i="2" a="1"/>
  <c r="K23" i="3" a="1"/>
  <c r="L48" i="2" a="1"/>
  <c r="G77" i="2" a="1"/>
  <c r="F58" i="2" a="1"/>
  <c r="E36" i="2" a="1"/>
  <c r="M8" i="2" a="1"/>
  <c r="E20" i="2" a="1"/>
  <c r="L41" i="2" a="1"/>
  <c r="P41" i="2" a="1"/>
  <c r="F31" i="2" a="1"/>
  <c r="E42" i="2" a="1"/>
  <c r="L12" i="2" a="1"/>
  <c r="E16" i="1" a="1"/>
  <c r="L10" i="2" a="1"/>
  <c r="O11" i="2" a="1"/>
  <c r="P42" i="2" a="1"/>
  <c r="M4" i="2" a="1"/>
  <c r="E73" i="2" a="1"/>
  <c r="E15" i="2" a="1"/>
  <c r="K73" i="2" a="1"/>
  <c r="E47" i="2" a="1"/>
  <c r="J61" i="2" a="1"/>
  <c r="G38" i="2" a="1"/>
  <c r="G8" i="3" a="1"/>
  <c r="O66" i="2" a="1"/>
  <c r="P10" i="2" a="1"/>
  <c r="Q51" i="2" a="1"/>
  <c r="I8" i="3" a="1"/>
  <c r="L22" i="3" a="1"/>
  <c r="G23" i="2" a="1"/>
  <c r="D60" i="2" a="1"/>
  <c r="H44" i="2" a="1"/>
  <c r="N58" i="2" a="1"/>
  <c r="E44" i="2" a="1"/>
  <c r="H5" i="2" a="1"/>
  <c r="H53" i="2" a="1"/>
  <c r="D11" i="2" a="1"/>
  <c r="K32" i="2" a="1"/>
  <c r="J37" i="2" a="1"/>
  <c r="N32" i="2" a="1"/>
  <c r="P80" i="2" a="1"/>
  <c r="M53" i="2" a="1"/>
  <c r="N44" i="2" a="1"/>
  <c r="G57" i="2" a="1"/>
  <c r="Q33" i="2" a="1"/>
  <c r="Q79" i="2" a="1"/>
  <c r="P9" i="3" a="1"/>
  <c r="Q23" i="3" a="1"/>
  <c r="M71" i="2" a="1"/>
  <c r="Q42" i="3" a="1"/>
  <c r="Q72" i="2" a="1"/>
  <c r="I78" i="2" a="1"/>
  <c r="G21" i="3" a="1"/>
  <c r="M79" i="2" a="1"/>
  <c r="D6" i="3" a="1"/>
  <c r="L30" i="3" a="1"/>
  <c r="K19" i="3" a="1"/>
  <c r="K53" i="3" a="1"/>
  <c r="J59" i="2" a="1"/>
  <c r="H21" i="3" a="1"/>
  <c r="P29" i="3" a="1"/>
  <c r="Q77" i="2" a="1"/>
  <c r="J5" i="3" a="1"/>
  <c r="O63" i="2" a="1"/>
  <c r="L50" i="2" a="1"/>
  <c r="Q18" i="3" a="1"/>
  <c r="G36" i="3" a="1"/>
  <c r="P20" i="3" a="1"/>
  <c r="J24" i="3" a="1"/>
  <c r="G28" i="3" a="1"/>
  <c r="K34" i="3" a="1"/>
  <c r="L44" i="3" a="1"/>
  <c r="J19" i="3" a="1"/>
  <c r="H2" i="3" a="1"/>
  <c r="I60" i="2" a="1"/>
  <c r="G72" i="2" a="1"/>
  <c r="H16" i="2" a="1"/>
  <c r="Q47" i="2" a="1"/>
  <c r="L76" i="2" a="1"/>
  <c r="I80" i="2" a="1"/>
  <c r="Q74" i="2" a="1"/>
  <c r="K2" i="3" a="1"/>
  <c r="M31" i="3" a="1"/>
  <c r="F49" i="3" a="1"/>
  <c r="G49" i="3" a="1"/>
  <c r="P59" i="2" a="1"/>
  <c r="I29" i="3" a="1"/>
  <c r="O61" i="2" a="1"/>
  <c r="E36" i="3" a="1"/>
  <c r="Q47" i="3" a="1"/>
  <c r="O29" i="3" a="1"/>
  <c r="J10" i="3" a="1"/>
  <c r="E31" i="3" a="1"/>
  <c r="D67" i="2" a="1"/>
  <c r="M25" i="3" a="1"/>
  <c r="H70" i="2" a="1"/>
  <c r="Q20" i="3" a="1"/>
  <c r="D79" i="2" a="1"/>
  <c r="E15" i="3" a="1"/>
  <c r="D7" i="3" a="1"/>
  <c r="L7" i="3" a="1"/>
  <c r="J79" i="2" a="1"/>
  <c r="E51" i="3" a="1"/>
  <c r="L32" i="3" a="1"/>
  <c r="P63" i="2" a="1"/>
  <c r="F51" i="3" a="1"/>
  <c r="F65" i="2" a="1"/>
  <c r="L72" i="2" a="1"/>
  <c r="J15" i="3" a="1"/>
  <c r="P73" i="2" a="1"/>
  <c r="M76" i="2" a="1"/>
  <c r="L19" i="3" a="1"/>
  <c r="F21" i="3" a="1"/>
  <c r="F78" i="2" a="1"/>
  <c r="F2" i="2" a="1"/>
  <c r="I49" i="2" a="1"/>
  <c r="I41" i="2" a="1"/>
  <c r="O4" i="3" a="1"/>
  <c r="K72" i="2" a="1"/>
  <c r="O20" i="2" a="1"/>
  <c r="M46" i="2" a="1"/>
  <c r="H75" i="2" a="1"/>
  <c r="J20" i="3" a="1"/>
  <c r="P65" i="2" a="1"/>
  <c r="M63" i="2" a="1"/>
  <c r="M72" i="2" a="1"/>
  <c r="I10" i="3" a="1"/>
  <c r="L64" i="2" a="1"/>
  <c r="L79" i="2" a="1"/>
  <c r="K34" i="2" a="1"/>
  <c r="O25" i="2" a="1"/>
  <c r="I9" i="2" a="1"/>
  <c r="E26" i="1" a="1"/>
  <c r="L29" i="2" a="1"/>
  <c r="Q6" i="2" a="1"/>
  <c r="I44" i="2" a="1"/>
  <c r="G35" i="2" a="1"/>
  <c r="L49" i="2" a="1"/>
  <c r="H5" i="1"/>
  <c r="L20" i="2" a="1"/>
  <c r="M2" i="2" a="1"/>
  <c r="J74" i="2" a="1"/>
  <c r="F16" i="2" a="1"/>
  <c r="D16" i="1" a="1"/>
  <c r="L7" i="2" a="1"/>
  <c r="G6" i="2" a="1"/>
  <c r="E59" i="2" a="1"/>
  <c r="K65" i="2" a="1"/>
  <c r="G52" i="2" a="1"/>
  <c r="E80" i="2" a="1"/>
  <c r="D9" i="3" a="1"/>
  <c r="K51" i="2" a="1"/>
  <c r="H43" i="2" a="1"/>
  <c r="Q22" i="2" a="1"/>
  <c r="H78" i="2" a="1"/>
  <c r="P3" i="3" a="1"/>
  <c r="G29" i="2" a="1"/>
  <c r="I56" i="2" a="1"/>
  <c r="L63" i="2" a="1"/>
  <c r="O60" i="2" a="1"/>
  <c r="E64" i="2" a="1"/>
  <c r="I17" i="1" a="1"/>
  <c r="G20" i="2" a="1"/>
  <c r="K20" i="2" a="1"/>
  <c r="O9" i="2" a="1"/>
  <c r="N20" i="2" a="1"/>
  <c r="G42" i="2" a="1"/>
  <c r="D4" i="2" a="1"/>
  <c r="L16" i="2" a="1"/>
  <c r="D66" i="2" a="1"/>
  <c r="K21" i="2" a="1"/>
  <c r="M78" i="2" a="1"/>
  <c r="Q7" i="3" a="1"/>
  <c r="M18" i="3" a="1"/>
  <c r="M7" i="3" a="1"/>
  <c r="E66" i="2" a="1"/>
  <c r="M65" i="2" a="1"/>
  <c r="G9" i="3" a="1"/>
  <c r="K32" i="3" a="1"/>
  <c r="Q41" i="3" a="1"/>
  <c r="N7" i="3" a="1"/>
  <c r="H16" i="3" a="1"/>
  <c r="I64" i="2" a="1"/>
  <c r="P72" i="2" a="1"/>
  <c r="F76" i="2" a="1"/>
  <c r="F74" i="2" a="1"/>
  <c r="O24" i="3" a="1"/>
  <c r="I48" i="3" a="1"/>
  <c r="E28" i="3" a="1"/>
  <c r="P10" i="3" a="1"/>
  <c r="I15" i="3" a="1"/>
  <c r="M46" i="3" a="1"/>
  <c r="Q56" i="3" a="1"/>
  <c r="L5" i="3" a="1"/>
  <c r="N67" i="2" a="1"/>
  <c r="F35" i="3" a="1"/>
  <c r="I24" i="3" a="1"/>
  <c r="J76" i="2" a="1"/>
  <c r="O53" i="2" a="1"/>
  <c r="N77" i="2" a="1"/>
  <c r="J3" i="3" a="1"/>
  <c r="F77" i="2" a="1"/>
  <c r="Q11" i="2" a="1"/>
  <c r="E9" i="3" a="1"/>
  <c r="G33" i="2" a="1"/>
  <c r="I19" i="2" a="1"/>
  <c r="N65" i="2" a="1"/>
  <c r="L42" i="3" a="1"/>
  <c r="E4" i="3" a="1"/>
  <c r="O78" i="2" a="1"/>
  <c r="L18" i="3" a="1"/>
  <c r="G16" i="3" a="1"/>
  <c r="M42" i="3" a="1"/>
  <c r="K17" i="3" a="1"/>
  <c r="I79" i="2" a="1"/>
  <c r="K56" i="3" a="1"/>
  <c r="M80" i="2" a="1"/>
  <c r="I7" i="3" a="1"/>
  <c r="J65" i="2" a="1"/>
  <c r="P52" i="3" a="1"/>
  <c r="E23" i="3" a="1"/>
  <c r="Q66" i="2" a="1"/>
  <c r="Q28" i="3" a="1"/>
  <c r="K37" i="3" a="1"/>
  <c r="I49" i="3" a="1"/>
  <c r="D31" i="3" a="1"/>
  <c r="L37" i="3" a="1"/>
  <c r="O48" i="2" a="1"/>
  <c r="D59" i="2" a="1"/>
  <c r="P28" i="3" a="1"/>
  <c r="H60" i="2" a="1"/>
  <c r="H57" i="2" a="1"/>
  <c r="J25" i="3" a="1"/>
  <c r="Q43" i="3" a="1"/>
  <c r="F34" i="3" a="1"/>
  <c r="G75" i="2" a="1"/>
  <c r="P25" i="3" a="1"/>
  <c r="K8" i="3" a="1"/>
  <c r="O76" i="2" a="1"/>
  <c r="J7" i="2" a="1"/>
  <c r="M66" i="2" a="1"/>
  <c r="N11" i="2" a="1"/>
  <c r="L37" i="2" a="1"/>
  <c r="F10" i="3" a="1"/>
  <c r="K76" i="2" a="1"/>
  <c r="M62" i="2" a="1"/>
  <c r="O73" i="2" a="1"/>
  <c r="M30" i="2" a="1"/>
  <c r="D20" i="3" a="1"/>
  <c r="I30" i="2" a="1"/>
  <c r="I53" i="2" a="1"/>
  <c r="N29" i="3" a="1"/>
  <c r="G63" i="2" a="1"/>
  <c r="L44" i="2" a="1"/>
  <c r="J35" i="2" a="1"/>
  <c r="L77" i="2" a="1"/>
  <c r="D24" i="2" a="1"/>
  <c r="G66" i="2" a="1"/>
  <c r="E19" i="1" a="1"/>
  <c r="E32" i="2" a="1"/>
  <c r="I32" i="2" a="1"/>
  <c r="P52" i="2" a="1"/>
  <c r="H8" i="2" a="1"/>
  <c r="I3" i="1"/>
  <c r="D15" i="1" a="1"/>
  <c r="D32" i="2" a="1"/>
  <c r="P66" i="2" a="1"/>
  <c r="I33" i="2" a="1"/>
  <c r="O3" i="3" a="1"/>
  <c r="D8" i="2" a="1"/>
  <c r="I19" i="1" a="1"/>
  <c r="N80" i="2" a="1"/>
  <c r="Q76" i="2" a="1"/>
  <c r="P23" i="3" a="1"/>
  <c r="G34" i="2" a="1"/>
  <c r="G10" i="2" a="1"/>
  <c r="H71" i="2" a="1"/>
  <c r="M15" i="2" a="1"/>
  <c r="K41" i="2" a="1"/>
  <c r="Q75" i="2" a="1"/>
  <c r="L16" i="3" a="1"/>
  <c r="D51" i="2" a="1"/>
  <c r="G32" i="2" a="1"/>
  <c r="F71" i="2" a="1"/>
  <c r="Q21" i="3" a="1"/>
  <c r="E38" i="2" a="1"/>
  <c r="N5" i="3" a="1"/>
  <c r="O8" i="2" a="1"/>
  <c r="O7" i="1"/>
  <c r="D23" i="2" a="1"/>
  <c r="I59" i="2" a="1"/>
  <c r="G30" i="2" a="1"/>
  <c r="M9" i="2" a="1"/>
  <c r="D45" i="2" a="1"/>
  <c r="O6" i="2" a="1"/>
  <c r="M29" i="2" a="1"/>
  <c r="C4" i="1"/>
  <c r="Q2" i="3" a="1"/>
  <c r="F56" i="3" a="1"/>
  <c r="O32" i="3" a="1"/>
  <c r="I28" i="3" a="1"/>
  <c r="J67" i="2" a="1"/>
  <c r="E20" i="3" a="1"/>
  <c r="K46" i="3" a="1"/>
  <c r="D28" i="3" a="1"/>
  <c r="G4" i="3" a="1"/>
  <c r="L62" i="2" a="1"/>
  <c r="K5" i="3" a="1"/>
  <c r="G11" i="3" a="1"/>
  <c r="O34" i="3" a="1"/>
  <c r="K12" i="3" a="1"/>
  <c r="N10" i="3" a="1"/>
  <c r="N74" i="2" a="1"/>
  <c r="H4" i="3" a="1"/>
  <c r="I43" i="3" a="1"/>
  <c r="D73" i="2" a="1"/>
  <c r="O51" i="2" a="1"/>
  <c r="J43" i="3" a="1"/>
  <c r="O10" i="3" a="1"/>
  <c r="P62" i="2" a="1"/>
  <c r="I77" i="2" a="1"/>
  <c r="F64" i="2" a="1"/>
  <c r="E63" i="2" a="1"/>
  <c r="O49" i="3" a="1"/>
  <c r="D65" i="2" a="1"/>
  <c r="D38" i="3" a="1"/>
  <c r="E79" i="2" a="1"/>
  <c r="I19" i="3" a="1"/>
  <c r="M57" i="2" a="1"/>
  <c r="Q43" i="2" a="1"/>
  <c r="O23" i="2" a="1"/>
  <c r="M75" i="2" a="1"/>
  <c r="D30" i="3" a="1"/>
  <c r="G49" i="2" a="1"/>
  <c r="H20" i="3" a="1"/>
  <c r="P38" i="3" a="1"/>
  <c r="Q61" i="2" a="1"/>
  <c r="E53" i="3" a="1"/>
  <c r="E67" i="2" a="1"/>
  <c r="K74" i="2" a="1"/>
  <c r="P51" i="2" a="1"/>
  <c r="H41" i="3" a="1"/>
  <c r="G79" i="2" a="1"/>
  <c r="O22" i="3" a="1"/>
  <c r="F2" i="3" a="1"/>
  <c r="M49" i="3" a="1"/>
  <c r="O35" i="3" a="1"/>
  <c r="J17" i="3" a="1"/>
  <c r="D24" i="3" a="1"/>
  <c r="N18" i="3" a="1"/>
  <c r="L80" i="2" a="1"/>
  <c r="H15" i="3" a="1"/>
  <c r="P2" i="3" a="1"/>
  <c r="F11" i="3" a="1"/>
  <c r="P11" i="3" a="1"/>
  <c r="H56" i="3" a="1"/>
  <c r="L20" i="3" a="1"/>
  <c r="M12" i="3" a="1"/>
  <c r="H12" i="3" a="1"/>
  <c r="N38" i="3" a="1"/>
  <c r="G20" i="3" a="1"/>
  <c r="J77" i="2" a="1"/>
  <c r="L52" i="2" a="1"/>
  <c r="N78" i="2" a="1"/>
  <c r="F5" i="3" a="1"/>
  <c r="D17" i="3" a="1"/>
  <c r="Q64" i="2" a="1"/>
  <c r="P64" i="2" a="1"/>
  <c r="E8" i="2" a="1"/>
  <c r="P46" i="2" a="1"/>
  <c r="I32" i="3" a="1"/>
  <c r="M32" i="2" a="1"/>
  <c r="I34" i="2" a="1"/>
  <c r="D63" i="2" a="1"/>
  <c r="Q62" i="2" a="1"/>
  <c r="P15" i="2" a="1"/>
  <c r="D36" i="2" a="1"/>
  <c r="O4" i="2" a="1"/>
  <c r="D53" i="2" a="1"/>
  <c r="L5" i="1"/>
  <c r="Q16" i="2" a="1"/>
  <c r="E4" i="2" a="1"/>
  <c r="G25" i="2" a="1"/>
  <c r="I10" i="2" a="1"/>
  <c r="N16" i="2" a="1"/>
  <c r="J4" i="3" a="1"/>
  <c r="J6" i="2" a="1"/>
  <c r="D28" i="2" a="1"/>
  <c r="H28" i="2" a="1"/>
  <c r="N53" i="2" a="1"/>
  <c r="O36" i="2" a="1"/>
  <c r="P24" i="2" a="1"/>
  <c r="F3" i="3" a="1"/>
  <c r="G18" i="2" a="1"/>
  <c r="F61" i="2" a="1"/>
  <c r="K36" i="2" a="1"/>
  <c r="J23" i="3" a="1"/>
  <c r="Q8" i="2" a="1"/>
  <c r="P58" i="2" a="1"/>
  <c r="Q23" i="2" a="1"/>
  <c r="M45" i="2" a="1"/>
  <c r="M31" i="2" a="1"/>
  <c r="N46" i="2" a="1"/>
  <c r="L28" i="2" a="1"/>
  <c r="L53" i="2" a="1"/>
  <c r="M22" i="3" a="1"/>
  <c r="H56" i="2" a="1"/>
  <c r="P4" i="3" a="1"/>
  <c r="D15" i="2" a="1"/>
  <c r="M24" i="2" a="1"/>
  <c r="H52" i="2" a="1"/>
  <c r="J63" i="2" a="1"/>
  <c r="J31" i="2" a="1"/>
  <c r="I52" i="2" a="1"/>
  <c r="L8" i="2" a="1"/>
  <c r="F4" i="2" a="1"/>
  <c r="Q52" i="2" a="1"/>
  <c r="D3" i="2" a="1"/>
  <c r="Q3" i="2" a="1"/>
  <c r="Q58" i="2" a="1"/>
  <c r="H15" i="2" a="1"/>
  <c r="M35" i="2" a="1"/>
  <c r="E72" i="2" a="1"/>
  <c r="Q73" i="2" a="1"/>
  <c r="N60" i="2" a="1"/>
  <c r="L15" i="3" a="1"/>
  <c r="K23" i="2" a="1"/>
  <c r="Q21" i="2" a="1"/>
  <c r="O47" i="2" a="1"/>
  <c r="L31" i="2" a="1"/>
  <c r="K63" i="2" a="1"/>
  <c r="P7" i="2" a="1"/>
  <c r="N33" i="2" a="1"/>
  <c r="F70" i="2" a="1"/>
  <c r="N79" i="2" a="1"/>
  <c r="L23" i="2" a="1"/>
  <c r="L4" i="2" a="1"/>
  <c r="K42" i="2" a="1"/>
  <c r="H18" i="1" a="1"/>
  <c r="I76" i="2" a="1"/>
  <c r="D19" i="1" a="1"/>
  <c r="P20" i="2" a="1"/>
  <c r="N15" i="2" a="1"/>
  <c r="G2" i="2" a="1"/>
  <c r="J24" i="2" a="1"/>
  <c r="O43" i="2" a="1"/>
  <c r="I5" i="1"/>
  <c r="D10" i="2" a="1"/>
  <c r="J5" i="1"/>
  <c r="N3" i="2" a="1"/>
  <c r="E17" i="2" a="1"/>
  <c r="Q34" i="2" a="1"/>
  <c r="F17" i="1" a="1"/>
  <c r="F6" i="2" a="1"/>
  <c r="F59" i="2" a="1"/>
  <c r="P35" i="2" a="1"/>
  <c r="K17" i="2" a="1"/>
  <c r="H19" i="1" a="1"/>
  <c r="H37" i="2" a="1"/>
  <c r="E14" i="1" a="1"/>
  <c r="O3" i="2" a="1"/>
  <c r="J42" i="2" a="1"/>
  <c r="E3" i="3" a="1"/>
  <c r="K3" i="1"/>
  <c r="O17" i="2" a="1"/>
  <c r="F18" i="1" a="1"/>
  <c r="M36" i="2" a="1"/>
  <c r="F51" i="2" a="1"/>
  <c r="O44" i="2" a="1"/>
  <c r="H67" i="2" a="1"/>
  <c r="P71" i="2" a="1"/>
  <c r="L2" i="2" a="1"/>
  <c r="F22" i="2" a="1"/>
  <c r="I22" i="2" a="1"/>
  <c r="M22" i="2" a="1"/>
  <c r="F44" i="2" a="1"/>
  <c r="F15" i="2" a="1"/>
  <c r="I46" i="2" a="1"/>
  <c r="Q4" i="2" a="1"/>
  <c r="K3" i="2" a="1"/>
  <c r="O45" i="2" a="1"/>
  <c r="J3" i="2" a="1"/>
  <c r="L42" i="2" a="1"/>
  <c r="M73" i="2" a="1"/>
  <c r="I65" i="2" a="1"/>
  <c r="I2" i="2" a="1"/>
  <c r="F5" i="2" a="1"/>
  <c r="N24" i="2" a="1"/>
  <c r="F15" i="1" a="1"/>
  <c r="I35" i="2" a="1"/>
  <c r="F38" i="2" a="1"/>
  <c r="L9" i="2" a="1"/>
  <c r="O49" i="2" a="1"/>
  <c r="I5" i="2" a="1"/>
  <c r="Q29" i="2" a="1"/>
  <c r="N47" i="2" a="1"/>
  <c r="E60" i="2" a="1"/>
  <c r="D6" i="2" a="1"/>
  <c r="D21" i="2" a="1"/>
  <c r="G61" i="2" a="1"/>
  <c r="G62" i="2" a="1"/>
  <c r="G76" i="2" a="1"/>
  <c r="J51" i="2" a="1"/>
  <c r="J47" i="2" a="1"/>
  <c r="G45" i="2" a="1"/>
  <c r="K38" i="2" a="1"/>
  <c r="H76" i="2" a="1"/>
  <c r="M10" i="2" a="1"/>
  <c r="N70" i="2" a="1"/>
  <c r="O12" i="2" a="1"/>
  <c r="M7" i="1"/>
  <c r="N34" i="2" a="1"/>
  <c r="H4" i="1"/>
  <c r="P45" i="2" a="1"/>
  <c r="F80" i="2" a="1"/>
  <c r="D16" i="2" a="1"/>
  <c r="P8" i="2" a="1"/>
  <c r="O30" i="2" a="1"/>
  <c r="N17" i="3" a="1"/>
  <c r="O42" i="2" a="1"/>
  <c r="J71" i="2" a="1"/>
  <c r="M2" i="3" a="1"/>
  <c r="L11" i="3" a="1"/>
  <c r="D11" i="3" a="1"/>
  <c r="K79" i="2" a="1"/>
  <c r="L65" i="2" a="1"/>
  <c r="F7" i="3" a="1"/>
  <c r="D3" i="1"/>
  <c r="O79" i="2" a="1"/>
  <c r="Q45" i="2" a="1"/>
  <c r="Q24" i="2" a="1"/>
  <c r="H31" i="2" a="1"/>
  <c r="G53" i="2" a="1"/>
  <c r="H33" i="2" a="1"/>
  <c r="H21" i="2" a="1"/>
  <c r="Q32" i="2" a="1"/>
  <c r="I48" i="2" a="1"/>
  <c r="E5" i="3" a="1"/>
  <c r="K67" i="2" a="1"/>
  <c r="L25" i="2" a="1"/>
  <c r="G12" i="2" a="1"/>
  <c r="F10" i="2" a="1"/>
  <c r="P67" i="2" a="1"/>
  <c r="O21" i="2" a="1"/>
  <c r="F7" i="1"/>
  <c r="E70" i="2" a="1"/>
  <c r="Q15" i="2" a="1"/>
  <c r="F4" i="1"/>
  <c r="L32" i="2" a="1"/>
  <c r="I61" i="2" a="1"/>
  <c r="P43" i="2" a="1"/>
  <c r="J30" i="3" a="1"/>
  <c r="K58" i="2" a="1"/>
  <c r="N38" i="2" a="1"/>
  <c r="E6" i="3" a="1"/>
  <c r="D64" i="2" a="1"/>
  <c r="F20" i="2" a="1"/>
  <c r="J52" i="2" a="1"/>
  <c r="L78" i="2" a="1"/>
  <c r="Q5" i="3" a="1"/>
  <c r="F56" i="2" a="1"/>
  <c r="E41" i="2" a="1"/>
  <c r="K28" i="3" a="1"/>
  <c r="N18" i="2" a="1"/>
  <c r="O34" i="2" a="1"/>
  <c r="C6" i="1"/>
  <c r="D50" i="2" a="1"/>
  <c r="H45" i="2" a="1"/>
  <c r="J78" i="2" a="1"/>
  <c r="Q9" i="2" a="1"/>
  <c r="J6" i="1"/>
  <c r="M23" i="2" a="1"/>
  <c r="P53" i="2" a="1"/>
  <c r="L51" i="2" a="1"/>
  <c r="H46" i="2" a="1"/>
  <c r="I8" i="2" a="1"/>
  <c r="G21" i="2" a="1"/>
  <c r="E17" i="1" a="1"/>
  <c r="I28" i="2" a="1"/>
  <c r="K6" i="2" a="1"/>
  <c r="J44" i="2" a="1"/>
  <c r="M44" i="2" a="1"/>
  <c r="G3" i="2" a="1"/>
  <c r="O22" i="2" a="1"/>
  <c r="F5" i="1"/>
  <c r="D25" i="2" a="1"/>
  <c r="P9" i="2" a="1"/>
  <c r="O41" i="2" a="1"/>
  <c r="F30" i="2" a="1"/>
  <c r="J30" i="2" a="1"/>
  <c r="Q49" i="2" a="1"/>
  <c r="F3" i="1"/>
  <c r="O3" i="1"/>
  <c r="D29" i="2" a="1"/>
  <c r="E9" i="2" a="1"/>
  <c r="N4" i="2" a="1"/>
  <c r="D30" i="2" a="1"/>
  <c r="J3" i="1"/>
  <c r="D18" i="1" a="1"/>
  <c r="L66" i="2" a="1"/>
  <c r="J12" i="2" a="1"/>
  <c r="I7" i="1"/>
  <c r="P31" i="2" a="1"/>
  <c r="F32" i="2" a="1"/>
  <c r="F19" i="1" a="1"/>
  <c r="N3" i="1"/>
  <c r="I57" i="2" a="1"/>
  <c r="F49" i="2" a="1"/>
  <c r="E25" i="2" a="1"/>
  <c r="P47" i="2" a="1"/>
  <c r="D7" i="1"/>
  <c r="Q20" i="2" a="1"/>
  <c r="H32" i="2" a="1"/>
  <c r="H42" i="2" a="1"/>
  <c r="L46" i="2" a="1"/>
  <c r="N12" i="2" a="1"/>
  <c r="D74" i="2" a="1"/>
  <c r="F7" i="2" a="1"/>
  <c r="I47" i="2" a="1"/>
  <c r="M47" i="2" a="1"/>
  <c r="N8" i="2" a="1"/>
  <c r="M17" i="2" a="1"/>
  <c r="H16" i="1" a="1"/>
  <c r="M19" i="2" a="1"/>
  <c r="F73" i="2" a="1"/>
  <c r="H74" i="2" a="1"/>
  <c r="M42" i="2" a="1"/>
  <c r="K6" i="3" a="1"/>
  <c r="G58" i="2" a="1"/>
  <c r="P60" i="2" a="1"/>
  <c r="L17" i="2" a="1"/>
  <c r="K28" i="2" a="1"/>
  <c r="D48" i="2" a="1"/>
  <c r="Q10" i="2" a="1"/>
  <c r="E4" i="1"/>
  <c r="J53" i="2" a="1"/>
  <c r="G24" i="2" a="1"/>
  <c r="H6" i="2" a="1"/>
  <c r="G44" i="2" a="1"/>
  <c r="K37" i="2" a="1"/>
  <c r="P49" i="2" a="1"/>
  <c r="O16" i="2" a="1"/>
  <c r="K18" i="2" a="1"/>
  <c r="O18" i="2" a="1"/>
  <c r="H38" i="2" a="1"/>
  <c r="O58" i="2" a="1"/>
  <c r="N59" i="2" a="1"/>
  <c r="D19" i="2" a="1"/>
  <c r="D20" i="2" a="1"/>
  <c r="J64" i="2" a="1"/>
  <c r="O28" i="2" a="1"/>
  <c r="J32" i="2" a="1"/>
  <c r="P75" i="2" a="1"/>
  <c r="I38" i="2" a="1"/>
  <c r="H20" i="2" a="1"/>
  <c r="L7" i="1"/>
  <c r="I20" i="2" a="1"/>
  <c r="M61" i="2" a="1"/>
  <c r="Q65" i="2" a="1"/>
  <c r="E2" i="3" a="1"/>
  <c r="J36" i="2" a="1"/>
  <c r="N48" i="2" a="1"/>
  <c r="D78" i="2" a="1"/>
  <c r="N25" i="2" a="1"/>
  <c r="P38" i="2" a="1"/>
  <c r="D61" i="2" a="1"/>
  <c r="M16" i="2" a="1"/>
  <c r="E22" i="1" a="1"/>
  <c r="D77" i="2" a="1"/>
  <c r="H10" i="2" a="1"/>
  <c r="O5" i="2" a="1"/>
  <c r="L36" i="2" a="1"/>
  <c r="F34" i="2" a="1"/>
  <c r="G11" i="2" a="1"/>
  <c r="Q41" i="2" a="1"/>
  <c r="E2" i="1"/>
  <c r="E78" i="2" a="1"/>
  <c r="F17" i="2" a="1"/>
  <c r="N64" i="2" a="1"/>
  <c r="P18" i="2" a="1"/>
  <c r="G59" i="2" a="1"/>
  <c r="I73" i="2" a="1"/>
  <c r="G5" i="3" a="1"/>
  <c r="N19" i="2" a="1"/>
  <c r="Q12" i="3" a="1"/>
  <c r="F29" i="3" a="1"/>
  <c r="K45" i="2" a="1"/>
  <c r="K35" i="2" a="1"/>
  <c r="F12" i="2" a="1"/>
  <c r="O57" i="2" a="1"/>
  <c r="N22" i="2" a="1"/>
  <c r="P11" i="2" a="1"/>
  <c r="D33" i="2" a="1"/>
  <c r="N2" i="1"/>
  <c r="Q53" i="2" a="1"/>
  <c r="E18" i="2" a="1"/>
  <c r="E56" i="2" a="1"/>
  <c r="P32" i="2" a="1"/>
  <c r="F33" i="2" a="1"/>
  <c r="I23" i="2" a="1"/>
  <c r="H34" i="2" a="1"/>
  <c r="L57" i="2" a="1"/>
  <c r="G2" i="1"/>
  <c r="G19" i="1" a="1"/>
  <c r="M4" i="1"/>
  <c r="O37" i="2" a="1"/>
  <c r="B2" i="1"/>
  <c r="Q5" i="2" a="1"/>
  <c r="O52" i="2" a="1"/>
  <c r="I16" i="2" a="1"/>
  <c r="K2" i="2" a="1"/>
  <c r="J7" i="1"/>
  <c r="Q31" i="2" a="1"/>
  <c r="O29" i="2" a="1"/>
  <c r="G50" i="2" a="1"/>
  <c r="M37" i="2" a="1"/>
  <c r="Q37" i="2" a="1"/>
  <c r="O7" i="2" a="1"/>
  <c r="N10" i="2" a="1"/>
  <c r="M6" i="1"/>
  <c r="M6" i="2" a="1"/>
  <c r="F29" i="2" a="1"/>
  <c r="D17" i="1" a="1"/>
  <c r="H35" i="2" a="1"/>
  <c r="I36" i="2" a="1"/>
  <c r="H15" i="1" a="1"/>
  <c r="E7" i="2" a="1"/>
  <c r="D58" i="2" a="1"/>
  <c r="P19" i="2" a="1"/>
  <c r="G7" i="1"/>
  <c r="M34" i="2" a="1"/>
  <c r="N62" i="2" a="1"/>
  <c r="P36" i="2" a="1"/>
  <c r="H6" i="1"/>
  <c r="D17" i="2" a="1"/>
  <c r="K59" i="2" a="1"/>
  <c r="I15" i="1" a="1"/>
  <c r="M5" i="2" a="1"/>
  <c r="G9" i="2" a="1"/>
  <c r="Q44" i="2" a="1"/>
  <c r="B4" i="1"/>
  <c r="D2" i="1"/>
  <c r="G17" i="2" a="1"/>
  <c r="O24" i="2" a="1"/>
  <c r="P25" i="2" a="1"/>
  <c r="P2" i="2" a="1"/>
  <c r="F50" i="2" a="1"/>
  <c r="B3" i="1"/>
  <c r="J5" i="2" a="1"/>
  <c r="Q7" i="2" a="1"/>
  <c r="E3" i="1"/>
  <c r="M4" i="3" a="1"/>
  <c r="O7" i="3" a="1"/>
  <c r="D42" i="2" a="1"/>
  <c r="F48" i="2" a="1"/>
  <c r="M11" i="2" a="1"/>
  <c r="N37" i="2" a="1"/>
  <c r="N56" i="2" a="1"/>
  <c r="J34" i="2" a="1"/>
  <c r="D25" i="3" a="1"/>
  <c r="G67" i="2" a="1"/>
  <c r="K78" i="2" a="1"/>
  <c r="G64" i="2" a="1"/>
  <c r="I63" i="2" a="1"/>
  <c r="F62" i="2" a="1"/>
  <c r="P34" i="2" a="1"/>
  <c r="K46" i="2" a="1"/>
  <c r="I7" i="2" a="1"/>
  <c r="H3" i="1"/>
  <c r="N5" i="2" a="1"/>
  <c r="P78" i="2" a="1"/>
  <c r="P12" i="2" a="1"/>
  <c r="E34" i="2" a="1"/>
  <c r="K30" i="2" a="1"/>
  <c r="M58" i="2" a="1"/>
  <c r="O2" i="2" a="1"/>
  <c r="I6" i="2" a="1"/>
  <c r="K71" i="2" a="1"/>
  <c r="H5" i="3" a="1"/>
  <c r="D62" i="2" a="1"/>
  <c r="D38" i="2" a="1"/>
  <c r="N3" i="3" a="1"/>
  <c r="O25" i="3" a="1"/>
  <c r="F36" i="2" a="1"/>
  <c r="G15" i="2" a="1"/>
  <c r="G80" i="2" a="1"/>
  <c r="L2" i="3" a="1"/>
  <c r="E22" i="2" a="1"/>
  <c r="F57" i="2" a="1"/>
  <c r="I3" i="3" a="1"/>
  <c r="F25" i="2" a="1"/>
  <c r="O59" i="2" a="1"/>
  <c r="H36" i="2" a="1"/>
  <c r="P37" i="2" a="1"/>
  <c r="E18" i="3" a="1"/>
  <c r="H79" i="2" a="1"/>
  <c r="D46" i="2" a="1"/>
  <c r="K9" i="2" a="1"/>
  <c r="N30" i="2" a="1"/>
  <c r="L3" i="1"/>
  <c r="J22" i="2" a="1"/>
  <c r="J72" i="2" a="1"/>
  <c r="J48" i="2" a="1"/>
  <c r="P29" i="2" a="1"/>
  <c r="F45" i="2" a="1"/>
  <c r="H51" i="2" a="1"/>
  <c r="J43" i="2" a="1"/>
  <c r="P56" i="2" a="1"/>
  <c r="K66" i="2" a="1"/>
  <c r="P23" i="2" a="1"/>
  <c r="O35" i="2" a="1"/>
  <c r="Q38" i="2" a="1"/>
  <c r="G60" i="2" a="1"/>
  <c r="G78" i="2" a="1"/>
  <c r="L24" i="2" a="1"/>
  <c r="K24" i="2" a="1"/>
  <c r="G47" i="2" a="1"/>
  <c r="H48" i="2" a="1"/>
  <c r="P6" i="2" a="1"/>
  <c r="O16" i="3" a="1"/>
  <c r="J17" i="2" a="1"/>
  <c r="E49" i="2" a="1"/>
  <c r="K33" i="2" a="1"/>
  <c r="N73" i="2" a="1"/>
  <c r="Q31" i="3" a="1"/>
  <c r="H58" i="2" a="1"/>
  <c r="D4" i="3" a="1"/>
  <c r="E51" i="2" a="1"/>
  <c r="N31" i="3" a="1"/>
  <c r="Q4" i="3" a="1"/>
  <c r="G22" i="2" a="1"/>
  <c r="H59" i="2" a="1"/>
  <c r="F47" i="2" a="1"/>
  <c r="H41" i="2" a="1"/>
  <c r="C3" i="1"/>
  <c r="Q48" i="2" a="1"/>
  <c r="N4" i="1"/>
  <c r="N7" i="2" a="1"/>
  <c r="H6" i="3" a="1"/>
  <c r="H29" i="2" a="1"/>
  <c r="P22" i="2" a="1"/>
  <c r="D57" i="2" a="1"/>
  <c r="K7" i="1"/>
  <c r="F9" i="2" a="1"/>
  <c r="B6" i="1"/>
  <c r="J19" i="2" a="1"/>
  <c r="H3" i="2" a="1"/>
  <c r="M25" i="2" a="1"/>
  <c r="E48" i="2" a="1"/>
  <c r="I43" i="2" a="1"/>
  <c r="K16" i="2" a="1"/>
  <c r="G4" i="2" a="1"/>
  <c r="N21" i="2" a="1"/>
  <c r="K47" i="2" a="1"/>
  <c r="N6" i="1"/>
  <c r="J45" i="2" a="1"/>
  <c r="N45" i="2" a="1"/>
  <c r="E23" i="1" a="1"/>
  <c r="D14" i="1" a="1"/>
  <c r="P48" i="2" a="1"/>
  <c r="K15" i="2" a="1"/>
  <c r="E23" i="2" a="1"/>
  <c r="H23" i="2" a="1"/>
  <c r="H7" i="2" a="1"/>
  <c r="E45" i="2" a="1"/>
  <c r="H4" i="2" a="1"/>
  <c r="E15" i="1" a="1"/>
  <c r="D4" i="1"/>
  <c r="N51" i="2" a="1"/>
  <c r="E27" i="1" a="1"/>
  <c r="H65" i="2" a="1"/>
  <c r="K5" i="2" a="1"/>
  <c r="L18" i="2" a="1"/>
  <c r="M3" i="2" a="1"/>
  <c r="E2" i="2" a="1"/>
  <c r="N23" i="2" a="1"/>
  <c r="O10" i="2" a="1"/>
  <c r="I29" i="2" a="1"/>
  <c r="H17" i="1" a="1"/>
  <c r="J25" i="2" a="1"/>
  <c r="Q50" i="2" a="1"/>
  <c r="N35" i="2" a="1"/>
  <c r="D49" i="2" a="1"/>
  <c r="P5" i="2" a="1"/>
  <c r="H17" i="2" a="1"/>
  <c r="I6" i="1"/>
  <c r="D7" i="2" a="1"/>
  <c r="G19" i="2" a="1"/>
  <c r="D47" i="2" a="1"/>
  <c r="J2" i="1"/>
  <c r="L5" i="2" a="1"/>
  <c r="L6" i="2" a="1"/>
  <c r="Q2" i="2" a="1"/>
  <c r="J9" i="2" a="1"/>
  <c r="O15" i="2" a="1"/>
  <c r="J4" i="2" a="1"/>
  <c r="D6" i="1"/>
  <c r="E52" i="2" a="1"/>
  <c r="G6" i="1"/>
  <c r="M33" i="2" a="1"/>
  <c r="D56" i="2" a="1"/>
  <c r="P33" i="2" a="1"/>
  <c r="M6" i="3" a="1"/>
  <c r="D41" i="2" a="1"/>
  <c r="H64" i="2" a="1"/>
  <c r="J29" i="2" a="1"/>
  <c r="F67" i="2" a="1"/>
  <c r="N50" i="2" a="1"/>
  <c r="M20" i="2" a="1"/>
  <c r="O71" i="2" a="1"/>
  <c r="F2" i="1"/>
  <c r="L21" i="2" a="1"/>
  <c r="K25" i="2" a="1"/>
  <c r="M48" i="2" a="1"/>
  <c r="O33" i="2" a="1"/>
  <c r="F18" i="2" a="1"/>
  <c r="K4" i="1"/>
  <c r="G4" i="1"/>
  <c r="P17" i="2" a="1"/>
  <c r="N41" i="2" a="1"/>
  <c r="O18" i="3" a="1"/>
  <c r="P44" i="2" a="1"/>
  <c r="E29" i="2" a="1"/>
  <c r="H11" i="2" a="1"/>
  <c r="D70" i="2" a="1"/>
  <c r="K8" i="2" a="1"/>
  <c r="F42" i="2" a="1"/>
  <c r="O70" i="2" a="1"/>
  <c r="D72" i="2" a="1"/>
  <c r="Q3" i="3" a="1"/>
  <c r="K22" i="2" a="1"/>
  <c r="P16" i="3" a="1"/>
  <c r="Q42" i="2" a="1"/>
  <c r="Q36" i="2" a="1"/>
  <c r="F23" i="2" a="1"/>
  <c r="P57" i="2" a="1"/>
  <c r="K49" i="2" a="1"/>
  <c r="J28" i="2" a="1"/>
  <c r="L70" i="2" a="1"/>
  <c r="J80" i="2" a="1"/>
  <c r="F21" i="2" a="1"/>
  <c r="G5" i="2" a="1"/>
  <c r="L2" i="1"/>
  <c r="E6" i="2" a="1"/>
  <c r="G12" i="3" a="1"/>
  <c r="G43" i="2" a="1"/>
  <c r="H61" i="2" a="1"/>
  <c r="H25" i="2" a="1"/>
  <c r="G22" i="3" a="1"/>
  <c r="F66" i="2" a="1"/>
  <c r="H3" i="3" a="1"/>
  <c r="K12" i="2" a="1"/>
  <c r="E35" i="2" a="1"/>
  <c r="M43" i="2" a="1"/>
  <c r="K4" i="2" a="1"/>
  <c r="F41" i="2" a="1"/>
  <c r="H24" i="2" a="1"/>
  <c r="G14" i="1" a="1"/>
  <c r="M52" i="2" a="1"/>
  <c r="K5" i="1"/>
  <c r="J60" i="2" a="1"/>
  <c r="I51" i="2" a="1"/>
  <c r="E77" i="2" a="1"/>
  <c r="J21" i="2" a="1"/>
  <c r="H47" i="2" a="1"/>
  <c r="N2" i="3" a="1"/>
  <c r="F18" i="3" a="1"/>
  <c r="I72" i="2" a="1"/>
  <c r="D75" i="2" a="1"/>
  <c r="L43" i="2" a="1"/>
  <c r="L33" i="2" a="1"/>
  <c r="L3" i="3" a="1"/>
  <c r="D18" i="2" a="1"/>
  <c r="E62" i="2" a="1"/>
  <c r="K19" i="2" a="1"/>
  <c r="I45" i="2" a="1"/>
  <c r="J6" i="3" a="1"/>
  <c r="E6" i="1"/>
  <c r="K27" i="1"/>
  <c r="F52" i="2" a="1"/>
  <c r="Q30" i="2" a="1"/>
  <c r="J38" i="2" a="1"/>
  <c r="I4" i="1"/>
  <c r="D12" i="2" a="1"/>
  <c r="Q78" i="2" a="1"/>
  <c r="H62" i="2" a="1"/>
  <c r="E58" i="2" a="1"/>
  <c r="G18" i="1" a="1"/>
  <c r="Q28" i="2" a="1"/>
  <c r="I2" i="1"/>
  <c r="E31" i="2" a="1"/>
  <c r="G15" i="1" a="1"/>
  <c r="P50" i="2" a="1"/>
  <c r="E7" i="1"/>
  <c r="E30" i="2" a="1"/>
  <c r="G31" i="2" a="1"/>
  <c r="E28" i="2" a="1"/>
  <c r="G41" i="2" a="1"/>
  <c r="M5" i="1"/>
  <c r="G48" i="2" a="1"/>
  <c r="L11" i="2" a="1"/>
  <c r="K70" i="2" a="1"/>
  <c r="M7" i="2" a="1"/>
  <c r="G5" i="1"/>
  <c r="F16" i="1" a="1"/>
  <c r="O32" i="2" a="1"/>
  <c r="K2" i="1"/>
  <c r="L47" i="2" a="1"/>
  <c r="J4" i="1"/>
  <c r="I21" i="2" a="1"/>
  <c r="K31" i="2" a="1"/>
  <c r="D52" i="2" a="1"/>
  <c r="N2" i="2" a="1"/>
  <c r="I24" i="2" a="1"/>
  <c r="H18" i="2" a="1"/>
  <c r="G71" i="2" a="1"/>
  <c r="O2" i="1"/>
  <c r="C2" i="1"/>
  <c r="F8" i="2" a="1"/>
  <c r="I11" i="2" a="1"/>
  <c r="N36" i="2" a="1"/>
  <c r="E10" i="2" a="1"/>
  <c r="D9" i="2" a="1"/>
  <c r="G16" i="2" a="1"/>
  <c r="H2" i="2" a="1"/>
  <c r="L3" i="2" a="1"/>
  <c r="E24" i="1" a="1"/>
  <c r="F37" i="2" a="1"/>
  <c r="K48" i="2" a="1"/>
  <c r="G3" i="1"/>
  <c r="E3" i="2" a="1"/>
  <c r="K10" i="2" a="1"/>
  <c r="H49" i="2" a="1"/>
  <c r="P16" i="2" a="1"/>
  <c r="J50" i="2" a="1"/>
  <c r="E5" i="1"/>
  <c r="E43" i="2" a="1"/>
  <c r="J23" i="2" a="1"/>
  <c r="L60" i="2" a="1"/>
  <c r="J2" i="2" a="1"/>
  <c r="D22" i="2" a="1"/>
  <c r="D44" i="2" a="1"/>
  <c r="E12" i="2" a="1"/>
  <c r="O50" i="2" a="1"/>
  <c r="M38" i="2" a="1"/>
  <c r="E21" i="2" a="1"/>
  <c r="P4" i="2" a="1"/>
  <c r="H19" i="2" a="1"/>
  <c r="J8" i="2" a="1"/>
  <c r="F6" i="1"/>
  <c r="E24" i="2" a="1"/>
  <c r="H9" i="2" a="1"/>
  <c r="M2" i="1"/>
  <c r="N9" i="2" a="1"/>
  <c r="P30" i="2" a="1"/>
  <c r="N42" i="2" a="1"/>
  <c r="E75" i="2" a="1"/>
  <c r="C5" i="1"/>
  <c r="H7" i="1"/>
  <c r="D5" i="3" a="1"/>
  <c r="M12" i="2" a="1"/>
  <c r="M64" i="2" a="1"/>
  <c r="E5" i="2" a="1"/>
  <c r="E61" i="2" a="1"/>
  <c r="I18" i="2" a="1"/>
  <c r="M5" i="3" a="1"/>
  <c r="N6" i="2" a="1"/>
  <c r="N52" i="2" a="1"/>
  <c r="K43" i="2" a="1"/>
  <c r="I17" i="2" a="1"/>
  <c r="P28" i="2" a="1"/>
  <c r="L4" i="1"/>
  <c r="J11" i="2" a="1"/>
  <c r="D2" i="2" a="1"/>
  <c r="J18" i="2" a="1"/>
  <c r="F60" i="2" a="1"/>
  <c r="J20" i="2" a="1"/>
  <c r="J46" i="2" a="1"/>
  <c r="C7" i="1"/>
  <c r="J33" i="2" a="1"/>
  <c r="O56" i="2" a="1"/>
  <c r="Q12" i="2" a="1"/>
  <c r="I18" i="1" a="1"/>
  <c r="J70" i="2" a="1"/>
  <c r="H72" i="2" a="1"/>
  <c r="L4" i="3" a="1"/>
  <c r="L75" i="2" a="1"/>
  <c r="L24" i="3" a="1"/>
  <c r="H10" i="3" a="1"/>
  <c r="P21" i="2" a="1"/>
  <c r="H50" i="2" a="1"/>
  <c r="M28" i="2" a="1"/>
  <c r="I74" i="2" a="1"/>
  <c r="N28" i="2" a="1"/>
  <c r="H12" i="2" a="1"/>
  <c r="K6" i="1"/>
  <c r="E53" i="2" a="1"/>
  <c r="F24" i="2" a="1"/>
  <c r="H22" i="2" a="1"/>
  <c r="I25" i="2" a="1"/>
  <c r="E18" i="1" a="1"/>
  <c r="I37" i="2" a="1"/>
  <c r="G7" i="2" a="1"/>
  <c r="E33" i="2" a="1"/>
  <c r="N61" i="2" a="1"/>
  <c r="I71" i="2" a="1"/>
  <c r="Q56" i="2" a="1"/>
  <c r="D3" i="3" a="1"/>
  <c r="N17" i="2" a="1"/>
  <c r="L56" i="2" a="1"/>
  <c r="K64" i="2" a="1"/>
  <c r="N49" i="2" a="1"/>
  <c r="L34" i="2" a="1"/>
  <c r="G56" i="2" a="1"/>
  <c r="E19" i="2" a="1"/>
  <c r="I31" i="2" a="1"/>
  <c r="Q19" i="2" a="1"/>
  <c r="F28" i="2" a="1"/>
  <c r="K53" i="2" a="1"/>
  <c r="I12" i="2" a="1"/>
  <c r="Q46" i="2" a="1"/>
  <c r="D5" i="2" a="1"/>
  <c r="F43" i="2" a="1"/>
  <c r="N71" i="2" a="1"/>
  <c r="G37" i="2" a="1"/>
  <c r="L22" i="2" a="1"/>
  <c r="M8" i="3" a="1"/>
  <c r="J2" i="3" a="1"/>
  <c r="E11" i="2" a="1"/>
  <c r="K80" i="2" a="1"/>
  <c r="P77" i="2" a="1"/>
  <c r="M49" i="2" a="1"/>
  <c r="O80" i="2" a="1"/>
  <c r="F19" i="2" a="1"/>
  <c r="M77" i="2" a="1"/>
  <c r="M74" i="2" a="1"/>
  <c r="M3" i="1"/>
  <c r="I15" i="2" a="1"/>
  <c r="E46" i="2" a="1"/>
  <c r="L45" i="2" a="1"/>
  <c r="O38" i="2" a="1"/>
  <c r="I14" i="1" a="1"/>
  <c r="Q18" i="2" a="1"/>
  <c r="O77" i="2" a="1"/>
  <c r="M21" i="2" a="1"/>
  <c r="N75" i="2" a="1"/>
  <c r="F16" i="3" a="1"/>
  <c r="D71" i="2" a="1"/>
  <c r="I50" i="2" a="1"/>
  <c r="G46" i="2" a="1"/>
  <c r="M60" i="2" a="1"/>
  <c r="O31" i="2" a="1"/>
  <c r="I25" i="3" a="1"/>
  <c r="N72" i="2" a="1"/>
  <c r="L74" i="2" a="1"/>
  <c r="M18" i="2" a="1"/>
  <c r="Q67" i="2" a="1"/>
  <c r="F46" i="2" a="1"/>
  <c r="J41" i="2" a="1"/>
  <c r="K11" i="2" a="1"/>
  <c r="L19" i="2" a="1"/>
  <c r="K50" i="2" a="1"/>
  <c r="O19" i="2" a="1"/>
  <c r="K44" i="2" a="1"/>
  <c r="B5" i="1"/>
  <c r="I3" i="2" a="1"/>
  <c r="O46" i="2" a="1"/>
  <c r="J15" i="2" a="1"/>
  <c r="G17" i="1" a="1"/>
  <c r="F35" i="2" a="1"/>
  <c r="N31" i="2" a="1"/>
  <c r="L38" i="2" a="1"/>
  <c r="F14" i="1" a="1"/>
  <c r="F3" i="2" a="1"/>
  <c r="I16" i="1" a="1"/>
  <c r="K7" i="2" a="1"/>
  <c r="D5" i="1"/>
  <c r="O4" i="1"/>
  <c r="Q35" i="2" a="1"/>
  <c r="G36" i="2" a="1"/>
  <c r="P61" i="2" a="1"/>
  <c r="Q17" i="2" a="1"/>
  <c r="G8" i="2" a="1"/>
  <c r="H2" i="1"/>
  <c r="L15" i="2" a="1"/>
  <c r="I4" i="2" a="1"/>
  <c r="M41" i="2" a="1"/>
  <c r="L35" i="2" a="1"/>
  <c r="H14" i="1" a="1"/>
  <c r="F11" i="2" a="1"/>
  <c r="N7" i="1"/>
  <c r="K29" i="2" a="1"/>
  <c r="P3" i="2" a="1"/>
  <c r="Q59" i="2" a="1"/>
  <c r="L30" i="2" a="1"/>
  <c r="G16" i="1" a="1"/>
  <c r="L6" i="1"/>
  <c r="D34" i="2" a="1"/>
  <c r="O6" i="1"/>
  <c r="G28" i="2" a="1"/>
  <c r="E25" i="1" a="1"/>
  <c r="B7" i="1"/>
  <c r="O5" i="1"/>
  <c r="J16" i="2" a="1"/>
  <c r="N5" i="1"/>
  <c r="N43" i="2" a="1"/>
  <c r="D37" i="2" a="1"/>
  <c r="D37" i="2" l="1"/>
  <c r="N43" i="2"/>
  <c r="J16" i="2"/>
  <c r="P7" i="1"/>
  <c r="G35" i="1"/>
  <c r="E25" i="1"/>
  <c r="G28" i="2"/>
  <c r="H48" i="1"/>
  <c r="D34" i="2"/>
  <c r="H45" i="1"/>
  <c r="G16" i="1"/>
  <c r="L30" i="2"/>
  <c r="Q59" i="2"/>
  <c r="P3" i="2"/>
  <c r="K29" i="2"/>
  <c r="G47" i="1"/>
  <c r="F11" i="2"/>
  <c r="H14" i="1"/>
  <c r="S18" i="1" s="1"/>
  <c r="L35" i="2"/>
  <c r="M41" i="2"/>
  <c r="I4" i="2"/>
  <c r="L15" i="2"/>
  <c r="H8" i="1"/>
  <c r="E41" i="1"/>
  <c r="G8" i="2"/>
  <c r="Q17" i="2"/>
  <c r="P61" i="2"/>
  <c r="G36" i="2"/>
  <c r="Q35" i="2"/>
  <c r="K7" i="2"/>
  <c r="I16" i="1"/>
  <c r="F3" i="2"/>
  <c r="F14" i="1"/>
  <c r="S16" i="1" s="1"/>
  <c r="L38" i="2"/>
  <c r="N31" i="2"/>
  <c r="F35" i="2"/>
  <c r="G17" i="1"/>
  <c r="J15" i="2"/>
  <c r="O46" i="2"/>
  <c r="I3" i="2"/>
  <c r="P5" i="1"/>
  <c r="K44" i="2"/>
  <c r="O19" i="2"/>
  <c r="K50" i="2"/>
  <c r="L19" i="2"/>
  <c r="K11" i="2"/>
  <c r="J41" i="2"/>
  <c r="F46" i="2"/>
  <c r="Q67" i="2"/>
  <c r="M18" i="2"/>
  <c r="L74" i="2"/>
  <c r="N72" i="2"/>
  <c r="I25" i="3"/>
  <c r="O31" i="2"/>
  <c r="M60" i="2"/>
  <c r="G46" i="2"/>
  <c r="I50" i="2"/>
  <c r="D71" i="2"/>
  <c r="F16" i="3"/>
  <c r="N75" i="2"/>
  <c r="M21" i="2"/>
  <c r="O77" i="2"/>
  <c r="Q18" i="2"/>
  <c r="I14" i="1"/>
  <c r="S19" i="1" s="1"/>
  <c r="O38" i="2"/>
  <c r="L45" i="2"/>
  <c r="E46" i="2"/>
  <c r="I15" i="2"/>
  <c r="F46" i="1"/>
  <c r="M74" i="2"/>
  <c r="M77" i="2"/>
  <c r="F19" i="2"/>
  <c r="O80" i="2"/>
  <c r="M49" i="2"/>
  <c r="P77" i="2"/>
  <c r="K80" i="2"/>
  <c r="E11" i="2"/>
  <c r="J2" i="3"/>
  <c r="M8" i="3"/>
  <c r="L22" i="2"/>
  <c r="G37" i="2"/>
  <c r="N71" i="2"/>
  <c r="F43" i="2"/>
  <c r="D5" i="2"/>
  <c r="Q46" i="2"/>
  <c r="I12" i="2"/>
  <c r="K53" i="2"/>
  <c r="F28" i="2"/>
  <c r="Q19" i="2"/>
  <c r="I31" i="2"/>
  <c r="E19" i="2"/>
  <c r="G56" i="2"/>
  <c r="L34" i="2"/>
  <c r="N49" i="2"/>
  <c r="K64" i="2"/>
  <c r="L56" i="2"/>
  <c r="N17" i="2"/>
  <c r="D3" i="3"/>
  <c r="Q56" i="2"/>
  <c r="I71" i="2"/>
  <c r="N61" i="2"/>
  <c r="E33" i="2"/>
  <c r="G7" i="2"/>
  <c r="I37" i="2"/>
  <c r="E18" i="1"/>
  <c r="I25" i="2"/>
  <c r="H22" i="2"/>
  <c r="F24" i="2"/>
  <c r="E53" i="2"/>
  <c r="H44" i="1"/>
  <c r="H12" i="2"/>
  <c r="N28" i="2"/>
  <c r="I74" i="2"/>
  <c r="M28" i="2"/>
  <c r="H50" i="2"/>
  <c r="P21" i="2"/>
  <c r="H10" i="3"/>
  <c r="L24" i="3"/>
  <c r="L75" i="2"/>
  <c r="L4" i="3"/>
  <c r="H72" i="2"/>
  <c r="J70" i="2"/>
  <c r="I18" i="1"/>
  <c r="Q12" i="2"/>
  <c r="O56" i="2"/>
  <c r="J33" i="2"/>
  <c r="G36" i="1"/>
  <c r="J46" i="2"/>
  <c r="J20" i="2"/>
  <c r="F60" i="2"/>
  <c r="J18" i="2"/>
  <c r="D2" i="2"/>
  <c r="J11" i="2"/>
  <c r="P28" i="2"/>
  <c r="I17" i="2"/>
  <c r="K43" i="2"/>
  <c r="N52" i="2"/>
  <c r="N6" i="2"/>
  <c r="M5" i="3"/>
  <c r="I18" i="2"/>
  <c r="E61" i="2"/>
  <c r="E5" i="2"/>
  <c r="M64" i="2"/>
  <c r="M12" i="2"/>
  <c r="D5" i="3"/>
  <c r="G41" i="1"/>
  <c r="E75" i="2"/>
  <c r="N42" i="2"/>
  <c r="P30" i="2"/>
  <c r="N9" i="2"/>
  <c r="E46" i="1"/>
  <c r="M8" i="1"/>
  <c r="H9" i="2"/>
  <c r="E24" i="2"/>
  <c r="H39" i="1"/>
  <c r="J8" i="2"/>
  <c r="H19" i="2"/>
  <c r="P4" i="2"/>
  <c r="E21" i="2"/>
  <c r="M38" i="2"/>
  <c r="O50" i="2"/>
  <c r="E12" i="2"/>
  <c r="D44" i="2"/>
  <c r="D22" i="2"/>
  <c r="J2" i="2"/>
  <c r="L60" i="2"/>
  <c r="J23" i="2"/>
  <c r="E43" i="2"/>
  <c r="J50" i="2"/>
  <c r="P16" i="2"/>
  <c r="H49" i="2"/>
  <c r="K10" i="2"/>
  <c r="E3" i="2"/>
  <c r="F40" i="1"/>
  <c r="K48" i="2"/>
  <c r="F37" i="2"/>
  <c r="E24" i="1"/>
  <c r="L3" i="2"/>
  <c r="H2" i="2"/>
  <c r="G16" i="2"/>
  <c r="D9" i="2"/>
  <c r="E10" i="2"/>
  <c r="N36" i="2"/>
  <c r="I11" i="2"/>
  <c r="F8" i="2"/>
  <c r="C8" i="1"/>
  <c r="E36" i="1"/>
  <c r="E48" i="1"/>
  <c r="O8" i="1"/>
  <c r="G71" i="2"/>
  <c r="H18" i="2"/>
  <c r="I24" i="2"/>
  <c r="N2" i="2"/>
  <c r="D52" i="2"/>
  <c r="K31" i="2"/>
  <c r="I21" i="2"/>
  <c r="L47" i="2"/>
  <c r="K8" i="1"/>
  <c r="E44" i="1"/>
  <c r="O32" i="2"/>
  <c r="F16" i="1"/>
  <c r="M7" i="2"/>
  <c r="K70" i="2"/>
  <c r="L11" i="2"/>
  <c r="G48" i="2"/>
  <c r="G41" i="2"/>
  <c r="E28" i="2"/>
  <c r="G31" i="2"/>
  <c r="E30" i="2"/>
  <c r="G38" i="1"/>
  <c r="P50" i="2"/>
  <c r="G15" i="1"/>
  <c r="E31" i="2"/>
  <c r="I8" i="1"/>
  <c r="E42" i="1"/>
  <c r="Q28" i="2"/>
  <c r="G18" i="1"/>
  <c r="E58" i="2"/>
  <c r="H62" i="2"/>
  <c r="Q78" i="2"/>
  <c r="D12" i="2"/>
  <c r="J38" i="2"/>
  <c r="Q30" i="2"/>
  <c r="F52" i="2"/>
  <c r="H38" i="1"/>
  <c r="J6" i="3"/>
  <c r="I45" i="2"/>
  <c r="K19" i="2"/>
  <c r="E62" i="2"/>
  <c r="D18" i="2"/>
  <c r="L3" i="3"/>
  <c r="L33" i="2"/>
  <c r="L43" i="2"/>
  <c r="D75" i="2"/>
  <c r="I72" i="2"/>
  <c r="F18" i="3"/>
  <c r="N2" i="3"/>
  <c r="H47" i="2"/>
  <c r="J21" i="2"/>
  <c r="E77" i="2"/>
  <c r="I51" i="2"/>
  <c r="J60" i="2"/>
  <c r="M52" i="2"/>
  <c r="G14" i="1"/>
  <c r="S17" i="1" s="1"/>
  <c r="H24" i="2"/>
  <c r="F41" i="2"/>
  <c r="K4" i="2"/>
  <c r="M43" i="2"/>
  <c r="E35" i="2"/>
  <c r="K12" i="2"/>
  <c r="H3" i="3"/>
  <c r="F66" i="2"/>
  <c r="G22" i="3"/>
  <c r="H25" i="2"/>
  <c r="H61" i="2"/>
  <c r="G43" i="2"/>
  <c r="G12" i="3"/>
  <c r="E6" i="2"/>
  <c r="E45" i="1"/>
  <c r="L8" i="1"/>
  <c r="G5" i="2"/>
  <c r="F21" i="2"/>
  <c r="J80" i="2"/>
  <c r="L70" i="2"/>
  <c r="J28" i="2"/>
  <c r="K49" i="2"/>
  <c r="P57" i="2"/>
  <c r="F23" i="2"/>
  <c r="Q36" i="2"/>
  <c r="Q42" i="2"/>
  <c r="P16" i="3"/>
  <c r="K22" i="2"/>
  <c r="Q3" i="3"/>
  <c r="D72" i="2"/>
  <c r="O70" i="2"/>
  <c r="F42" i="2"/>
  <c r="K8" i="2"/>
  <c r="D70" i="2"/>
  <c r="H11" i="2"/>
  <c r="E29" i="2"/>
  <c r="P44" i="2"/>
  <c r="O18" i="3"/>
  <c r="N41" i="2"/>
  <c r="P17" i="2"/>
  <c r="F18" i="2"/>
  <c r="O33" i="2"/>
  <c r="M48" i="2"/>
  <c r="K25" i="2"/>
  <c r="L21" i="2"/>
  <c r="F8" i="1"/>
  <c r="E39" i="1"/>
  <c r="O71" i="2"/>
  <c r="M20" i="2"/>
  <c r="N50" i="2"/>
  <c r="F67" i="2"/>
  <c r="J29" i="2"/>
  <c r="H64" i="2"/>
  <c r="D41" i="2"/>
  <c r="M6" i="3"/>
  <c r="P33" i="2"/>
  <c r="D56" i="2"/>
  <c r="M33" i="2"/>
  <c r="H40" i="1"/>
  <c r="E52" i="2"/>
  <c r="H37" i="1"/>
  <c r="J4" i="2"/>
  <c r="O15" i="2"/>
  <c r="J9" i="2"/>
  <c r="Q2" i="2"/>
  <c r="L6" i="2"/>
  <c r="L5" i="2"/>
  <c r="J8" i="1"/>
  <c r="E43" i="1"/>
  <c r="D47" i="2"/>
  <c r="G19" i="2"/>
  <c r="D7" i="2"/>
  <c r="H42" i="1"/>
  <c r="H17" i="2"/>
  <c r="P5" i="2"/>
  <c r="D49" i="2"/>
  <c r="N35" i="2"/>
  <c r="Q50" i="2"/>
  <c r="J25" i="2"/>
  <c r="H17" i="1"/>
  <c r="I29" i="2"/>
  <c r="O10" i="2"/>
  <c r="N23" i="2"/>
  <c r="E2" i="2"/>
  <c r="M3" i="2"/>
  <c r="L18" i="2"/>
  <c r="K5" i="2"/>
  <c r="H65" i="2"/>
  <c r="E27" i="1"/>
  <c r="N51" i="2"/>
  <c r="E15" i="1"/>
  <c r="H4" i="2"/>
  <c r="E45" i="2"/>
  <c r="H7" i="2"/>
  <c r="H23" i="2"/>
  <c r="E23" i="2"/>
  <c r="K15" i="2"/>
  <c r="P48" i="2"/>
  <c r="D14" i="1"/>
  <c r="S14" i="1" s="1"/>
  <c r="E23" i="1"/>
  <c r="N45" i="2"/>
  <c r="J45" i="2"/>
  <c r="H47" i="1"/>
  <c r="K47" i="2"/>
  <c r="N21" i="2"/>
  <c r="G4" i="2"/>
  <c r="K16" i="2"/>
  <c r="I43" i="2"/>
  <c r="E48" i="2"/>
  <c r="M25" i="2"/>
  <c r="H3" i="2"/>
  <c r="J19" i="2"/>
  <c r="H35" i="1"/>
  <c r="P6" i="1"/>
  <c r="F9" i="2"/>
  <c r="G44" i="1"/>
  <c r="D57" i="2"/>
  <c r="P22" i="2"/>
  <c r="H29" i="2"/>
  <c r="H6" i="3"/>
  <c r="N7" i="2"/>
  <c r="Q48" i="2"/>
  <c r="F36" i="1"/>
  <c r="H41" i="2"/>
  <c r="F47" i="2"/>
  <c r="H59" i="2"/>
  <c r="G22" i="2"/>
  <c r="Q4" i="3"/>
  <c r="N31" i="3"/>
  <c r="E51" i="2"/>
  <c r="D4" i="3"/>
  <c r="H58" i="2"/>
  <c r="Q31" i="3"/>
  <c r="N73" i="2"/>
  <c r="K33" i="2"/>
  <c r="E49" i="2"/>
  <c r="J17" i="2"/>
  <c r="O16" i="3"/>
  <c r="P6" i="2"/>
  <c r="H48" i="2"/>
  <c r="G47" i="2"/>
  <c r="K24" i="2"/>
  <c r="L24" i="2"/>
  <c r="G78" i="2"/>
  <c r="G60" i="2"/>
  <c r="Q38" i="2"/>
  <c r="O35" i="2"/>
  <c r="P23" i="2"/>
  <c r="K66" i="2"/>
  <c r="P56" i="2"/>
  <c r="J43" i="2"/>
  <c r="H51" i="2"/>
  <c r="F45" i="2"/>
  <c r="P29" i="2"/>
  <c r="J48" i="2"/>
  <c r="J72" i="2"/>
  <c r="J22" i="2"/>
  <c r="F45" i="1"/>
  <c r="N30" i="2"/>
  <c r="K9" i="2"/>
  <c r="D46" i="2"/>
  <c r="H79" i="2"/>
  <c r="E18" i="3"/>
  <c r="P37" i="2"/>
  <c r="H36" i="2"/>
  <c r="O59" i="2"/>
  <c r="F25" i="2"/>
  <c r="I3" i="3"/>
  <c r="F57" i="2"/>
  <c r="E22" i="2"/>
  <c r="L2" i="3"/>
  <c r="G80" i="2"/>
  <c r="G15" i="2"/>
  <c r="F36" i="2"/>
  <c r="O25" i="3"/>
  <c r="N3" i="3"/>
  <c r="D38" i="2"/>
  <c r="D62" i="2"/>
  <c r="H5" i="3"/>
  <c r="K71" i="2"/>
  <c r="I6" i="2"/>
  <c r="O2" i="2"/>
  <c r="M58" i="2"/>
  <c r="K30" i="2"/>
  <c r="E34" i="2"/>
  <c r="P12" i="2"/>
  <c r="P78" i="2"/>
  <c r="N5" i="2"/>
  <c r="F41" i="1"/>
  <c r="I7" i="2"/>
  <c r="K46" i="2"/>
  <c r="P34" i="2"/>
  <c r="F62" i="2"/>
  <c r="I63" i="2"/>
  <c r="G64" i="2"/>
  <c r="K78" i="2"/>
  <c r="G67" i="2"/>
  <c r="D25" i="3"/>
  <c r="J34" i="2"/>
  <c r="N56" i="2"/>
  <c r="N37" i="2"/>
  <c r="M11" i="2"/>
  <c r="F48" i="2"/>
  <c r="D42" i="2"/>
  <c r="O7" i="3"/>
  <c r="M4" i="3"/>
  <c r="F38" i="1"/>
  <c r="Q7" i="2"/>
  <c r="J5" i="2"/>
  <c r="P3" i="1"/>
  <c r="F35" i="1"/>
  <c r="F50" i="2"/>
  <c r="P2" i="2"/>
  <c r="P25" i="2"/>
  <c r="O24" i="2"/>
  <c r="G17" i="2"/>
  <c r="E37" i="1"/>
  <c r="D8" i="1"/>
  <c r="P4" i="1"/>
  <c r="Q44" i="2"/>
  <c r="G9" i="2"/>
  <c r="M5" i="2"/>
  <c r="I15" i="1"/>
  <c r="K59" i="2"/>
  <c r="D17" i="2"/>
  <c r="H41" i="1"/>
  <c r="P36" i="2"/>
  <c r="N62" i="2"/>
  <c r="M34" i="2"/>
  <c r="G40" i="1"/>
  <c r="P19" i="2"/>
  <c r="D58" i="2"/>
  <c r="E7" i="2"/>
  <c r="H15" i="1"/>
  <c r="I36" i="2"/>
  <c r="H35" i="2"/>
  <c r="D17" i="1"/>
  <c r="F29" i="2"/>
  <c r="M6" i="2"/>
  <c r="H46" i="1"/>
  <c r="N10" i="2"/>
  <c r="O7" i="2"/>
  <c r="Q37" i="2"/>
  <c r="M37" i="2"/>
  <c r="G50" i="2"/>
  <c r="O29" i="2"/>
  <c r="Q31" i="2"/>
  <c r="G43" i="1"/>
  <c r="K2" i="2"/>
  <c r="I16" i="2"/>
  <c r="O52" i="2"/>
  <c r="Q5" i="2"/>
  <c r="E35" i="1"/>
  <c r="B8" i="1"/>
  <c r="P2" i="1"/>
  <c r="O37" i="2"/>
  <c r="G19" i="1"/>
  <c r="E40" i="1"/>
  <c r="G8" i="1"/>
  <c r="L57" i="2"/>
  <c r="H34" i="2"/>
  <c r="I23" i="2"/>
  <c r="F33" i="2"/>
  <c r="P32" i="2"/>
  <c r="E56" i="2"/>
  <c r="E18" i="2"/>
  <c r="Q53" i="2"/>
  <c r="N8" i="1"/>
  <c r="E47" i="1"/>
  <c r="D33" i="2"/>
  <c r="P11" i="2"/>
  <c r="N22" i="2"/>
  <c r="O57" i="2"/>
  <c r="F12" i="2"/>
  <c r="K35" i="2"/>
  <c r="K45" i="2"/>
  <c r="F29" i="3"/>
  <c r="Q12" i="3"/>
  <c r="N19" i="2"/>
  <c r="G5" i="3"/>
  <c r="I73" i="2"/>
  <c r="G59" i="2"/>
  <c r="P18" i="2"/>
  <c r="N64" i="2"/>
  <c r="F17" i="2"/>
  <c r="E78" i="2"/>
  <c r="E8" i="1"/>
  <c r="E38" i="1"/>
  <c r="Q41" i="2"/>
  <c r="G11" i="2"/>
  <c r="F34" i="2"/>
  <c r="L36" i="2"/>
  <c r="O5" i="2"/>
  <c r="H10" i="2"/>
  <c r="D77" i="2"/>
  <c r="E22" i="1"/>
  <c r="M16" i="2"/>
  <c r="D61" i="2"/>
  <c r="P38" i="2"/>
  <c r="N25" i="2"/>
  <c r="D78" i="2"/>
  <c r="N48" i="2"/>
  <c r="J36" i="2"/>
  <c r="E2" i="3"/>
  <c r="Q65" i="2"/>
  <c r="M61" i="2"/>
  <c r="I20" i="2"/>
  <c r="G45" i="1"/>
  <c r="H20" i="2"/>
  <c r="I38" i="2"/>
  <c r="P75" i="2"/>
  <c r="J32" i="2"/>
  <c r="O28" i="2"/>
  <c r="J64" i="2"/>
  <c r="D20" i="2"/>
  <c r="D19" i="2"/>
  <c r="N59" i="2"/>
  <c r="O58" i="2"/>
  <c r="H38" i="2"/>
  <c r="O18" i="2"/>
  <c r="K18" i="2"/>
  <c r="O16" i="2"/>
  <c r="P49" i="2"/>
  <c r="K37" i="2"/>
  <c r="G44" i="2"/>
  <c r="H6" i="2"/>
  <c r="G24" i="2"/>
  <c r="J53" i="2"/>
  <c r="Q10" i="2"/>
  <c r="D48" i="2"/>
  <c r="K28" i="2"/>
  <c r="L17" i="2"/>
  <c r="P60" i="2"/>
  <c r="G58" i="2"/>
  <c r="K6" i="3"/>
  <c r="M42" i="2"/>
  <c r="H74" i="2"/>
  <c r="F73" i="2"/>
  <c r="M19" i="2"/>
  <c r="H16" i="1"/>
  <c r="M17" i="2"/>
  <c r="N8" i="2"/>
  <c r="M47" i="2"/>
  <c r="I47" i="2"/>
  <c r="F7" i="2"/>
  <c r="D74" i="2"/>
  <c r="N12" i="2"/>
  <c r="L46" i="2"/>
  <c r="H42" i="2"/>
  <c r="H32" i="2"/>
  <c r="Q20" i="2"/>
  <c r="G37" i="1"/>
  <c r="P47" i="2"/>
  <c r="E25" i="2"/>
  <c r="F49" i="2"/>
  <c r="I57" i="2"/>
  <c r="F47" i="1"/>
  <c r="F19" i="1"/>
  <c r="F32" i="2"/>
  <c r="P31" i="2"/>
  <c r="G42" i="1"/>
  <c r="J12" i="2"/>
  <c r="L66" i="2"/>
  <c r="D18" i="1"/>
  <c r="F43" i="1"/>
  <c r="D30" i="2"/>
  <c r="N4" i="2"/>
  <c r="E9" i="2"/>
  <c r="D29" i="2"/>
  <c r="F48" i="1"/>
  <c r="F39" i="1"/>
  <c r="Q49" i="2"/>
  <c r="J30" i="2"/>
  <c r="F30" i="2"/>
  <c r="O41" i="2"/>
  <c r="P9" i="2"/>
  <c r="D25" i="2"/>
  <c r="O22" i="2"/>
  <c r="G3" i="2"/>
  <c r="M44" i="2"/>
  <c r="J44" i="2"/>
  <c r="K6" i="2"/>
  <c r="I28" i="2"/>
  <c r="E17" i="1"/>
  <c r="G21" i="2"/>
  <c r="I8" i="2"/>
  <c r="H46" i="2"/>
  <c r="L51" i="2"/>
  <c r="P53" i="2"/>
  <c r="M23" i="2"/>
  <c r="H43" i="1"/>
  <c r="Q9" i="2"/>
  <c r="J78" i="2"/>
  <c r="H45" i="2"/>
  <c r="D50" i="2"/>
  <c r="H36" i="1"/>
  <c r="O34" i="2"/>
  <c r="N18" i="2"/>
  <c r="K28" i="3"/>
  <c r="E41" i="2"/>
  <c r="F56" i="2"/>
  <c r="Q5" i="3"/>
  <c r="L78" i="2"/>
  <c r="J52" i="2"/>
  <c r="F20" i="2"/>
  <c r="D64" i="2"/>
  <c r="E6" i="3"/>
  <c r="N38" i="2"/>
  <c r="K58" i="2"/>
  <c r="J30" i="3"/>
  <c r="P43" i="2"/>
  <c r="I61" i="2"/>
  <c r="L32" i="2"/>
  <c r="Q15" i="2"/>
  <c r="E70" i="2"/>
  <c r="G39" i="1"/>
  <c r="O21" i="2"/>
  <c r="P67" i="2"/>
  <c r="F10" i="2"/>
  <c r="G12" i="2"/>
  <c r="L25" i="2"/>
  <c r="K67" i="2"/>
  <c r="E5" i="3"/>
  <c r="I48" i="2"/>
  <c r="Q32" i="2"/>
  <c r="H21" i="2"/>
  <c r="H33" i="2"/>
  <c r="G53" i="2"/>
  <c r="H31" i="2"/>
  <c r="Q24" i="2"/>
  <c r="Q45" i="2"/>
  <c r="O79" i="2"/>
  <c r="F37" i="1"/>
  <c r="F7" i="3"/>
  <c r="L65" i="2"/>
  <c r="K79" i="2"/>
  <c r="D11" i="3"/>
  <c r="L11" i="3"/>
  <c r="M2" i="3"/>
  <c r="J71" i="2"/>
  <c r="O42" i="2"/>
  <c r="N17" i="3"/>
  <c r="O30" i="2"/>
  <c r="P8" i="2"/>
  <c r="D16" i="2"/>
  <c r="F80" i="2"/>
  <c r="P45" i="2"/>
  <c r="N34" i="2"/>
  <c r="G46" i="1"/>
  <c r="O12" i="2"/>
  <c r="N70" i="2"/>
  <c r="M10" i="2"/>
  <c r="H76" i="2"/>
  <c r="K38" i="2"/>
  <c r="G45" i="2"/>
  <c r="J47" i="2"/>
  <c r="J51" i="2"/>
  <c r="G76" i="2"/>
  <c r="G62" i="2"/>
  <c r="G61" i="2"/>
  <c r="D21" i="2"/>
  <c r="D6" i="2"/>
  <c r="E60" i="2"/>
  <c r="N47" i="2"/>
  <c r="Q29" i="2"/>
  <c r="I5" i="2"/>
  <c r="O49" i="2"/>
  <c r="L9" i="2"/>
  <c r="F38" i="2"/>
  <c r="I35" i="2"/>
  <c r="F15" i="1"/>
  <c r="N24" i="2"/>
  <c r="F5" i="2"/>
  <c r="I2" i="2"/>
  <c r="I65" i="2"/>
  <c r="M73" i="2"/>
  <c r="L42" i="2"/>
  <c r="J3" i="2"/>
  <c r="O45" i="2"/>
  <c r="K3" i="2"/>
  <c r="Q4" i="2"/>
  <c r="I46" i="2"/>
  <c r="F15" i="2"/>
  <c r="F44" i="2"/>
  <c r="M22" i="2"/>
  <c r="I22" i="2"/>
  <c r="F22" i="2"/>
  <c r="L2" i="2"/>
  <c r="P71" i="2"/>
  <c r="H67" i="2"/>
  <c r="O44" i="2"/>
  <c r="F51" i="2"/>
  <c r="M36" i="2"/>
  <c r="F18" i="1"/>
  <c r="O17" i="2"/>
  <c r="F44" i="1"/>
  <c r="E3" i="3"/>
  <c r="J42" i="2"/>
  <c r="O3" i="2"/>
  <c r="E14" i="1"/>
  <c r="H37" i="2"/>
  <c r="H19" i="1"/>
  <c r="K17" i="2"/>
  <c r="P35" i="2"/>
  <c r="F59" i="2"/>
  <c r="F6" i="2"/>
  <c r="F17" i="1"/>
  <c r="Q34" i="2"/>
  <c r="E17" i="2"/>
  <c r="N3" i="2"/>
  <c r="D10" i="2"/>
  <c r="O43" i="2"/>
  <c r="J24" i="2"/>
  <c r="G2" i="2"/>
  <c r="N15" i="2"/>
  <c r="P20" i="2"/>
  <c r="D19" i="1"/>
  <c r="I76" i="2"/>
  <c r="H18" i="1"/>
  <c r="K42" i="2"/>
  <c r="L4" i="2"/>
  <c r="L23" i="2"/>
  <c r="N79" i="2"/>
  <c r="F70" i="2"/>
  <c r="N33" i="2"/>
  <c r="P7" i="2"/>
  <c r="K63" i="2"/>
  <c r="L31" i="2"/>
  <c r="O47" i="2"/>
  <c r="Q21" i="2"/>
  <c r="K23" i="2"/>
  <c r="L15" i="3"/>
  <c r="N60" i="2"/>
  <c r="Q73" i="2"/>
  <c r="E72" i="2"/>
  <c r="M35" i="2"/>
  <c r="H15" i="2"/>
  <c r="Q58" i="2"/>
  <c r="Q3" i="2"/>
  <c r="D3" i="2"/>
  <c r="Q52" i="2"/>
  <c r="F4" i="2"/>
  <c r="L8" i="2"/>
  <c r="I52" i="2"/>
  <c r="J31" i="2"/>
  <c r="J63" i="2"/>
  <c r="H52" i="2"/>
  <c r="M24" i="2"/>
  <c r="D15" i="2"/>
  <c r="P4" i="3"/>
  <c r="H56" i="2"/>
  <c r="M22" i="3"/>
  <c r="L53" i="2"/>
  <c r="L28" i="2"/>
  <c r="N46" i="2"/>
  <c r="M31" i="2"/>
  <c r="M45" i="2"/>
  <c r="Q23" i="2"/>
  <c r="P58" i="2"/>
  <c r="Q8" i="2"/>
  <c r="J23" i="3"/>
  <c r="K36" i="2"/>
  <c r="F61" i="2"/>
  <c r="G18" i="2"/>
  <c r="F3" i="3"/>
  <c r="P24" i="2"/>
  <c r="O36" i="2"/>
  <c r="N53" i="2"/>
  <c r="H28" i="2"/>
  <c r="D28" i="2"/>
  <c r="J6" i="2"/>
  <c r="J4" i="3"/>
  <c r="N16" i="2"/>
  <c r="I10" i="2"/>
  <c r="G25" i="2"/>
  <c r="E4" i="2"/>
  <c r="Q16" i="2"/>
  <c r="D53" i="2"/>
  <c r="O4" i="2"/>
  <c r="D36" i="2"/>
  <c r="P15" i="2"/>
  <c r="Q62" i="2"/>
  <c r="D63" i="2"/>
  <c r="I34" i="2"/>
  <c r="M32" i="2"/>
  <c r="I32" i="3"/>
  <c r="P46" i="2"/>
  <c r="E8" i="2"/>
  <c r="P64" i="2"/>
  <c r="Q64" i="2"/>
  <c r="D17" i="3"/>
  <c r="F5" i="3"/>
  <c r="N78" i="2"/>
  <c r="L52" i="2"/>
  <c r="J77" i="2"/>
  <c r="G20" i="3"/>
  <c r="N38" i="3"/>
  <c r="H12" i="3"/>
  <c r="M12" i="3"/>
  <c r="L20" i="3"/>
  <c r="H56" i="3"/>
  <c r="P11" i="3"/>
  <c r="F11" i="3"/>
  <c r="P2" i="3"/>
  <c r="H15" i="3"/>
  <c r="L80" i="2"/>
  <c r="N18" i="3"/>
  <c r="D24" i="3"/>
  <c r="J17" i="3"/>
  <c r="O35" i="3"/>
  <c r="M49" i="3"/>
  <c r="F2" i="3"/>
  <c r="O22" i="3"/>
  <c r="G79" i="2"/>
  <c r="H41" i="3"/>
  <c r="P51" i="2"/>
  <c r="K74" i="2"/>
  <c r="E67" i="2"/>
  <c r="E53" i="3"/>
  <c r="Q61" i="2"/>
  <c r="P38" i="3"/>
  <c r="H20" i="3"/>
  <c r="G49" i="2"/>
  <c r="D30" i="3"/>
  <c r="M75" i="2"/>
  <c r="O23" i="2"/>
  <c r="Q43" i="2"/>
  <c r="M57" i="2"/>
  <c r="I19" i="3"/>
  <c r="E79" i="2"/>
  <c r="D38" i="3"/>
  <c r="D65" i="2"/>
  <c r="O49" i="3"/>
  <c r="E63" i="2"/>
  <c r="F64" i="2"/>
  <c r="I77" i="2"/>
  <c r="P62" i="2"/>
  <c r="O10" i="3"/>
  <c r="J43" i="3"/>
  <c r="O51" i="2"/>
  <c r="D73" i="2"/>
  <c r="I43" i="3"/>
  <c r="H4" i="3"/>
  <c r="N74" i="2"/>
  <c r="N10" i="3"/>
  <c r="K12" i="3"/>
  <c r="O34" i="3"/>
  <c r="G11" i="3"/>
  <c r="K5" i="3"/>
  <c r="L62" i="2"/>
  <c r="G4" i="3"/>
  <c r="D28" i="3"/>
  <c r="K46" i="3"/>
  <c r="E20" i="3"/>
  <c r="J67" i="2"/>
  <c r="I28" i="3"/>
  <c r="O32" i="3"/>
  <c r="F56" i="3"/>
  <c r="Q2" i="3"/>
  <c r="M29" i="2"/>
  <c r="O6" i="2"/>
  <c r="D45" i="2"/>
  <c r="M9" i="2"/>
  <c r="G30" i="2"/>
  <c r="I59" i="2"/>
  <c r="D23" i="2"/>
  <c r="G48" i="1"/>
  <c r="O8" i="2"/>
  <c r="N5" i="3"/>
  <c r="E38" i="2"/>
  <c r="Q21" i="3"/>
  <c r="F71" i="2"/>
  <c r="G32" i="2"/>
  <c r="D51" i="2"/>
  <c r="L16" i="3"/>
  <c r="Q75" i="2"/>
  <c r="K41" i="2"/>
  <c r="M15" i="2"/>
  <c r="H71" i="2"/>
  <c r="G10" i="2"/>
  <c r="G34" i="2"/>
  <c r="P23" i="3"/>
  <c r="Q76" i="2"/>
  <c r="N80" i="2"/>
  <c r="I19" i="1"/>
  <c r="D8" i="2"/>
  <c r="O3" i="3"/>
  <c r="I33" i="2"/>
  <c r="P66" i="2"/>
  <c r="D32" i="2"/>
  <c r="D15" i="1"/>
  <c r="F42" i="1"/>
  <c r="H8" i="2"/>
  <c r="P52" i="2"/>
  <c r="I32" i="2"/>
  <c r="E32" i="2"/>
  <c r="E19" i="1"/>
  <c r="G66" i="2"/>
  <c r="D24" i="2"/>
  <c r="L77" i="2"/>
  <c r="J35" i="2"/>
  <c r="L44" i="2"/>
  <c r="G63" i="2"/>
  <c r="N29" i="3"/>
  <c r="I53" i="2"/>
  <c r="I30" i="2"/>
  <c r="D20" i="3"/>
  <c r="M30" i="2"/>
  <c r="O73" i="2"/>
  <c r="M62" i="2"/>
  <c r="K76" i="2"/>
  <c r="F10" i="3"/>
  <c r="L37" i="2"/>
  <c r="N11" i="2"/>
  <c r="M66" i="2"/>
  <c r="J7" i="2"/>
  <c r="O76" i="2"/>
  <c r="K8" i="3"/>
  <c r="P25" i="3"/>
  <c r="G75" i="2"/>
  <c r="F34" i="3"/>
  <c r="Q43" i="3"/>
  <c r="J25" i="3"/>
  <c r="H57" i="2"/>
  <c r="H60" i="2"/>
  <c r="P28" i="3"/>
  <c r="D59" i="2"/>
  <c r="O48" i="2"/>
  <c r="L37" i="3"/>
  <c r="D31" i="3"/>
  <c r="I49" i="3"/>
  <c r="K37" i="3"/>
  <c r="Q28" i="3"/>
  <c r="Q66" i="2"/>
  <c r="E23" i="3"/>
  <c r="P52" i="3"/>
  <c r="J65" i="2"/>
  <c r="I7" i="3"/>
  <c r="M80" i="2"/>
  <c r="K56" i="3"/>
  <c r="I79" i="2"/>
  <c r="K17" i="3"/>
  <c r="M42" i="3"/>
  <c r="G16" i="3"/>
  <c r="L18" i="3"/>
  <c r="O78" i="2"/>
  <c r="E4" i="3"/>
  <c r="L42" i="3"/>
  <c r="N65" i="2"/>
  <c r="I19" i="2"/>
  <c r="G33" i="2"/>
  <c r="E9" i="3"/>
  <c r="Q11" i="2"/>
  <c r="F77" i="2"/>
  <c r="J3" i="3"/>
  <c r="N77" i="2"/>
  <c r="O53" i="2"/>
  <c r="J76" i="2"/>
  <c r="I24" i="3"/>
  <c r="F35" i="3"/>
  <c r="N67" i="2"/>
  <c r="L5" i="3"/>
  <c r="Q56" i="3"/>
  <c r="M46" i="3"/>
  <c r="I15" i="3"/>
  <c r="P10" i="3"/>
  <c r="E28" i="3"/>
  <c r="I48" i="3"/>
  <c r="O24" i="3"/>
  <c r="F74" i="2"/>
  <c r="F76" i="2"/>
  <c r="P72" i="2"/>
  <c r="I64" i="2"/>
  <c r="H16" i="3"/>
  <c r="N7" i="3"/>
  <c r="Q41" i="3"/>
  <c r="K32" i="3"/>
  <c r="G9" i="3"/>
  <c r="M65" i="2"/>
  <c r="E66" i="2"/>
  <c r="M7" i="3"/>
  <c r="M18" i="3"/>
  <c r="Q7" i="3"/>
  <c r="M78" i="2"/>
  <c r="K21" i="2"/>
  <c r="D66" i="2"/>
  <c r="L16" i="2"/>
  <c r="D4" i="2"/>
  <c r="G42" i="2"/>
  <c r="N20" i="2"/>
  <c r="O9" i="2"/>
  <c r="K20" i="2"/>
  <c r="G20" i="2"/>
  <c r="I17" i="1"/>
  <c r="E64" i="2"/>
  <c r="O60" i="2"/>
  <c r="L63" i="2"/>
  <c r="I56" i="2"/>
  <c r="G29" i="2"/>
  <c r="P3" i="3"/>
  <c r="H78" i="2"/>
  <c r="Q22" i="2"/>
  <c r="H43" i="2"/>
  <c r="K51" i="2"/>
  <c r="D9" i="3"/>
  <c r="E80" i="2"/>
  <c r="G52" i="2"/>
  <c r="K65" i="2"/>
  <c r="E59" i="2"/>
  <c r="G6" i="2"/>
  <c r="L7" i="2"/>
  <c r="D16" i="1"/>
  <c r="F16" i="2"/>
  <c r="J74" i="2"/>
  <c r="M2" i="2"/>
  <c r="L20" i="2"/>
  <c r="L49" i="2"/>
  <c r="G35" i="2"/>
  <c r="I44" i="2"/>
  <c r="Q6" i="2"/>
  <c r="L29" i="2"/>
  <c r="E26" i="1"/>
  <c r="I9" i="2"/>
  <c r="O25" i="2"/>
  <c r="K34" i="2"/>
  <c r="L79" i="2"/>
  <c r="L64" i="2"/>
  <c r="I10" i="3"/>
  <c r="M72" i="2"/>
  <c r="M63" i="2"/>
  <c r="P65" i="2"/>
  <c r="J20" i="3"/>
  <c r="H75" i="2"/>
  <c r="M46" i="2"/>
  <c r="O20" i="2"/>
  <c r="K72" i="2"/>
  <c r="O4" i="3"/>
  <c r="I41" i="2"/>
  <c r="I49" i="2"/>
  <c r="F2" i="2"/>
  <c r="F78" i="2"/>
  <c r="F21" i="3"/>
  <c r="L19" i="3"/>
  <c r="M76" i="2"/>
  <c r="P73" i="2"/>
  <c r="J15" i="3"/>
  <c r="L72" i="2"/>
  <c r="F65" i="2"/>
  <c r="F51" i="3"/>
  <c r="P63" i="2"/>
  <c r="L32" i="3"/>
  <c r="E51" i="3"/>
  <c r="J79" i="2"/>
  <c r="L7" i="3"/>
  <c r="D7" i="3"/>
  <c r="E15" i="3"/>
  <c r="D79" i="2"/>
  <c r="Q20" i="3"/>
  <c r="H70" i="2"/>
  <c r="M25" i="3"/>
  <c r="D67" i="2"/>
  <c r="E31" i="3"/>
  <c r="J10" i="3"/>
  <c r="O29" i="3"/>
  <c r="Q47" i="3"/>
  <c r="E36" i="3"/>
  <c r="O61" i="2"/>
  <c r="I29" i="3"/>
  <c r="P59" i="2"/>
  <c r="G49" i="3"/>
  <c r="F49" i="3"/>
  <c r="M31" i="3"/>
  <c r="K2" i="3"/>
  <c r="Q74" i="2"/>
  <c r="I80" i="2"/>
  <c r="L76" i="2"/>
  <c r="Q47" i="2"/>
  <c r="H16" i="2"/>
  <c r="G72" i="2"/>
  <c r="I60" i="2"/>
  <c r="H2" i="3"/>
  <c r="J19" i="3"/>
  <c r="L44" i="3"/>
  <c r="K34" i="3"/>
  <c r="G28" i="3"/>
  <c r="J24" i="3"/>
  <c r="P20" i="3"/>
  <c r="G36" i="3"/>
  <c r="Q18" i="3"/>
  <c r="L50" i="2"/>
  <c r="O63" i="2"/>
  <c r="J5" i="3"/>
  <c r="Q77" i="2"/>
  <c r="P29" i="3"/>
  <c r="H21" i="3"/>
  <c r="J59" i="2"/>
  <c r="K53" i="3"/>
  <c r="K19" i="3"/>
  <c r="L30" i="3"/>
  <c r="D6" i="3"/>
  <c r="M79" i="2"/>
  <c r="G21" i="3"/>
  <c r="I78" i="2"/>
  <c r="Q72" i="2"/>
  <c r="Q42" i="3"/>
  <c r="M71" i="2"/>
  <c r="Q23" i="3"/>
  <c r="P9" i="3"/>
  <c r="Q79" i="2"/>
  <c r="Q33" i="2"/>
  <c r="G57" i="2"/>
  <c r="N44" i="2"/>
  <c r="M53" i="2"/>
  <c r="P80" i="2"/>
  <c r="N32" i="2"/>
  <c r="J37" i="2"/>
  <c r="K32" i="2"/>
  <c r="D11" i="2"/>
  <c r="H53" i="2"/>
  <c r="H5" i="2"/>
  <c r="E44" i="2"/>
  <c r="N58" i="2"/>
  <c r="H44" i="2"/>
  <c r="D60" i="2"/>
  <c r="G23" i="2"/>
  <c r="L22" i="3"/>
  <c r="I8" i="3"/>
  <c r="Q51" i="2"/>
  <c r="P10" i="2"/>
  <c r="O66" i="2"/>
  <c r="G8" i="3"/>
  <c r="G38" i="2"/>
  <c r="J61" i="2"/>
  <c r="E47" i="2"/>
  <c r="K73" i="2"/>
  <c r="E15" i="2"/>
  <c r="E73" i="2"/>
  <c r="M4" i="2"/>
  <c r="P42" i="2"/>
  <c r="O11" i="2"/>
  <c r="L10" i="2"/>
  <c r="E16" i="1"/>
  <c r="L12" i="2"/>
  <c r="E42" i="2"/>
  <c r="F31" i="2"/>
  <c r="P41" i="2"/>
  <c r="L41" i="2"/>
  <c r="E20" i="2"/>
  <c r="M8" i="2"/>
  <c r="E36" i="2"/>
  <c r="F58" i="2"/>
  <c r="G77" i="2"/>
  <c r="L48" i="2"/>
  <c r="K23" i="3"/>
  <c r="J10" i="2"/>
  <c r="O62" i="2"/>
  <c r="E16" i="2"/>
  <c r="D31" i="2"/>
  <c r="I30" i="3"/>
  <c r="N20" i="3"/>
  <c r="H30" i="2"/>
  <c r="Q63" i="2"/>
  <c r="F79" i="2"/>
  <c r="J16" i="3"/>
  <c r="M59" i="2"/>
  <c r="H80" i="2"/>
  <c r="P74" i="2"/>
  <c r="N48" i="3"/>
  <c r="L73" i="2"/>
  <c r="N9" i="3"/>
  <c r="P34" i="3"/>
  <c r="J8" i="3"/>
  <c r="L28" i="3"/>
  <c r="N16" i="3"/>
  <c r="H7" i="3"/>
  <c r="D8" i="3"/>
  <c r="H31" i="3"/>
  <c r="J56" i="2"/>
  <c r="D80" i="2"/>
  <c r="N76" i="2"/>
  <c r="P12" i="3"/>
  <c r="F20" i="3"/>
  <c r="P53" i="3"/>
  <c r="P5" i="3"/>
  <c r="O45" i="3"/>
  <c r="I75" i="2"/>
  <c r="L57" i="3"/>
  <c r="J73" i="2"/>
  <c r="Q71" i="2"/>
  <c r="F4" i="3"/>
  <c r="M70" i="2"/>
  <c r="H29" i="3"/>
  <c r="E57" i="2"/>
  <c r="E29" i="3"/>
  <c r="J12" i="3"/>
  <c r="Q32" i="3"/>
  <c r="G6" i="3"/>
  <c r="G19" i="3"/>
  <c r="O12" i="3"/>
  <c r="K48" i="3"/>
  <c r="O5" i="3"/>
  <c r="N28" i="3"/>
  <c r="E76" i="2"/>
  <c r="K7" i="3"/>
  <c r="O74" i="2"/>
  <c r="Q10" i="3"/>
  <c r="G18" i="3"/>
  <c r="M9" i="3"/>
  <c r="N53" i="3"/>
  <c r="E33" i="3"/>
  <c r="N11" i="3"/>
  <c r="O17" i="3"/>
  <c r="F41" i="3"/>
  <c r="N51" i="3"/>
  <c r="M58" i="3"/>
  <c r="K51" i="3"/>
  <c r="F72" i="2"/>
  <c r="E22" i="3"/>
  <c r="K15" i="3"/>
  <c r="M51" i="2"/>
  <c r="N47" i="3"/>
  <c r="I6" i="3"/>
  <c r="J38" i="3"/>
  <c r="P46" i="3"/>
  <c r="Q30" i="3"/>
  <c r="L45" i="3"/>
  <c r="I46" i="3"/>
  <c r="L9" i="3"/>
  <c r="N35" i="3"/>
  <c r="O75" i="2"/>
  <c r="J75" i="2"/>
  <c r="Q60" i="2"/>
  <c r="M50" i="2"/>
  <c r="K41" i="3"/>
  <c r="J49" i="2"/>
  <c r="E71" i="2"/>
  <c r="J41" i="3"/>
  <c r="O8" i="3"/>
  <c r="G7" i="3"/>
  <c r="P30" i="3"/>
  <c r="L10" i="3"/>
  <c r="I67" i="2"/>
  <c r="H9" i="3"/>
  <c r="D12" i="3"/>
  <c r="K43" i="3"/>
  <c r="Q33" i="3"/>
  <c r="E45" i="3"/>
  <c r="H50" i="3"/>
  <c r="M32" i="3"/>
  <c r="H53" i="3"/>
  <c r="N36" i="3"/>
  <c r="P21" i="3"/>
  <c r="J33" i="3"/>
  <c r="J50" i="3"/>
  <c r="E37" i="3"/>
  <c r="G44" i="3"/>
  <c r="H8" i="3"/>
  <c r="F19" i="3"/>
  <c r="N46" i="3"/>
  <c r="J9" i="3"/>
  <c r="N19" i="3"/>
  <c r="E30" i="3"/>
  <c r="G58" i="3"/>
  <c r="I16" i="3"/>
  <c r="M47" i="3"/>
  <c r="O42" i="3"/>
  <c r="N12" i="3"/>
  <c r="M37" i="3"/>
  <c r="M44" i="3"/>
  <c r="H36" i="3"/>
  <c r="I36" i="3"/>
  <c r="K44" i="3"/>
  <c r="M52" i="3"/>
  <c r="E41" i="3"/>
  <c r="D50" i="3"/>
  <c r="N22" i="3"/>
  <c r="K42" i="3"/>
  <c r="L8" i="3"/>
  <c r="P41" i="3"/>
  <c r="K25" i="3"/>
  <c r="H28" i="3"/>
  <c r="L52" i="3"/>
  <c r="P36" i="3"/>
  <c r="Q16" i="3"/>
  <c r="D43" i="2"/>
  <c r="O67" i="2"/>
  <c r="K77" i="2"/>
  <c r="I62" i="2"/>
  <c r="Q25" i="2"/>
  <c r="I4" i="3"/>
  <c r="N57" i="2"/>
  <c r="F6" i="3"/>
  <c r="H23" i="3"/>
  <c r="J48" i="3"/>
  <c r="D22" i="3"/>
  <c r="F42" i="3"/>
  <c r="H30" i="3"/>
  <c r="M28" i="3"/>
  <c r="L21" i="3"/>
  <c r="N24" i="3"/>
  <c r="Q19" i="3"/>
  <c r="M67" i="2"/>
  <c r="F53" i="2"/>
  <c r="J28" i="3"/>
  <c r="N33" i="3"/>
  <c r="F25" i="3"/>
  <c r="H63" i="2"/>
  <c r="M33" i="3"/>
  <c r="D16" i="3"/>
  <c r="G45" i="3"/>
  <c r="E12" i="3"/>
  <c r="K4" i="3"/>
  <c r="L61" i="2"/>
  <c r="G3" i="3"/>
  <c r="F32" i="3"/>
  <c r="E50" i="2"/>
  <c r="K75" i="2"/>
  <c r="M11" i="3"/>
  <c r="O36" i="3"/>
  <c r="I58" i="2"/>
  <c r="N4" i="3"/>
  <c r="G65" i="2"/>
  <c r="L67" i="2"/>
  <c r="M19" i="3"/>
  <c r="K21" i="3"/>
  <c r="K52" i="2"/>
  <c r="E21" i="3"/>
  <c r="G51" i="2"/>
  <c r="K24" i="3"/>
  <c r="O31" i="3"/>
  <c r="G23" i="3"/>
  <c r="L43" i="3"/>
  <c r="J57" i="3"/>
  <c r="J11" i="3"/>
  <c r="Q57" i="2"/>
  <c r="K9" i="3"/>
  <c r="E47" i="3"/>
  <c r="D48" i="3"/>
  <c r="D37" i="3"/>
  <c r="N45" i="3"/>
  <c r="J34" i="3"/>
  <c r="F37" i="3"/>
  <c r="P44" i="3"/>
  <c r="Q38" i="3"/>
  <c r="H25" i="3"/>
  <c r="N63" i="2"/>
  <c r="H17" i="3"/>
  <c r="N6" i="3"/>
  <c r="D29" i="3"/>
  <c r="F36" i="3"/>
  <c r="L23" i="3"/>
  <c r="D23" i="3"/>
  <c r="P24" i="3"/>
  <c r="M50" i="3"/>
  <c r="O21" i="3"/>
  <c r="G46" i="3"/>
  <c r="O41" i="3"/>
  <c r="O65" i="2"/>
  <c r="M3" i="3"/>
  <c r="D53" i="3"/>
  <c r="I2" i="3"/>
  <c r="O20" i="3"/>
  <c r="Q8" i="3"/>
  <c r="F24" i="3"/>
  <c r="Q80" i="2"/>
  <c r="P22" i="3"/>
  <c r="L25" i="3"/>
  <c r="G74" i="2"/>
  <c r="Q70" i="2"/>
  <c r="E7" i="3"/>
  <c r="I12" i="3"/>
  <c r="N42" i="3"/>
  <c r="J52" i="3"/>
  <c r="F52" i="3"/>
  <c r="L38" i="3"/>
  <c r="D34" i="3"/>
  <c r="K38" i="3"/>
  <c r="Q45" i="3"/>
  <c r="G42" i="3"/>
  <c r="H48" i="3"/>
  <c r="I41" i="3"/>
  <c r="O28" i="3"/>
  <c r="F23" i="3"/>
  <c r="O48" i="3"/>
  <c r="K16" i="3"/>
  <c r="E44" i="3"/>
  <c r="Q35" i="3"/>
  <c r="E74" i="2"/>
  <c r="H35" i="3"/>
  <c r="K30" i="3"/>
  <c r="L34" i="3"/>
  <c r="M15" i="3"/>
  <c r="H51" i="3"/>
  <c r="H33" i="3"/>
  <c r="L33" i="3"/>
  <c r="N43" i="3"/>
  <c r="D21" i="3"/>
  <c r="F22" i="3"/>
  <c r="E34" i="3"/>
  <c r="K29" i="3"/>
  <c r="I11" i="3"/>
  <c r="D41" i="3"/>
  <c r="I42" i="3"/>
  <c r="E16" i="3"/>
  <c r="Q24" i="3"/>
  <c r="P7" i="3"/>
  <c r="P79" i="2"/>
  <c r="E43" i="3"/>
  <c r="J36" i="3"/>
  <c r="I33" i="3"/>
  <c r="G15" i="3"/>
  <c r="D35" i="2"/>
  <c r="Q9" i="3"/>
  <c r="I42" i="2"/>
  <c r="J57" i="2"/>
  <c r="N29" i="2"/>
  <c r="E37" i="2"/>
  <c r="I21" i="3"/>
  <c r="P43" i="3"/>
  <c r="O72" i="2"/>
  <c r="O11" i="3"/>
  <c r="P70" i="2"/>
  <c r="K33" i="3"/>
  <c r="G2" i="3"/>
  <c r="N66" i="2"/>
  <c r="K61" i="2"/>
  <c r="H47" i="3"/>
  <c r="L59" i="2"/>
  <c r="P76" i="2"/>
  <c r="G47" i="3"/>
  <c r="F30" i="3"/>
  <c r="D15" i="3"/>
  <c r="H24" i="3"/>
  <c r="I18" i="3"/>
  <c r="F75" i="2"/>
  <c r="E17" i="3"/>
  <c r="O19" i="3"/>
  <c r="J66" i="2"/>
  <c r="F63" i="2"/>
  <c r="G25" i="3"/>
  <c r="L6" i="3"/>
  <c r="H42" i="3"/>
  <c r="H73" i="2"/>
  <c r="G32" i="3"/>
  <c r="G31" i="3"/>
  <c r="D44" i="3"/>
  <c r="L71" i="2"/>
  <c r="M35" i="3"/>
  <c r="L35" i="3"/>
  <c r="O64" i="2"/>
  <c r="J58" i="2"/>
  <c r="I45" i="3"/>
  <c r="K56" i="2"/>
  <c r="F57" i="3"/>
  <c r="H45" i="3"/>
  <c r="I22" i="3"/>
  <c r="H77" i="2"/>
  <c r="K18" i="3"/>
  <c r="Q34" i="3"/>
  <c r="G73" i="2"/>
  <c r="F15" i="3"/>
  <c r="K62" i="2"/>
  <c r="P19" i="3"/>
  <c r="N25" i="3"/>
  <c r="I20" i="3"/>
  <c r="E32" i="3"/>
  <c r="D57" i="3"/>
  <c r="P57" i="3"/>
  <c r="G57" i="3"/>
  <c r="D10" i="3"/>
  <c r="D43" i="3"/>
  <c r="D19" i="3"/>
  <c r="I66" i="2"/>
  <c r="I70" i="2"/>
  <c r="E65" i="2"/>
  <c r="L58" i="2"/>
  <c r="L12" i="3"/>
  <c r="E48" i="3"/>
  <c r="N50" i="3"/>
  <c r="G17" i="3"/>
  <c r="F28" i="3"/>
  <c r="E58" i="3"/>
  <c r="L29" i="3"/>
  <c r="I34" i="3"/>
  <c r="K22" i="3"/>
  <c r="M17" i="3"/>
  <c r="O15" i="3"/>
  <c r="N15" i="3"/>
  <c r="F12" i="3"/>
  <c r="Q6" i="3"/>
  <c r="K3" i="3"/>
  <c r="M20" i="3"/>
  <c r="Q25" i="3"/>
  <c r="P42" i="3"/>
  <c r="K57" i="2"/>
  <c r="L51" i="3"/>
  <c r="I5" i="3"/>
  <c r="J37" i="3"/>
  <c r="E19" i="3"/>
  <c r="K58" i="3"/>
  <c r="H11" i="3"/>
  <c r="P50" i="3"/>
  <c r="I17" i="3"/>
  <c r="I31" i="3"/>
  <c r="H37" i="3"/>
  <c r="Q37" i="3"/>
  <c r="D49" i="3"/>
  <c r="F33" i="3"/>
  <c r="M34" i="3"/>
  <c r="F8" i="3"/>
  <c r="Q17" i="3"/>
  <c r="N34" i="3"/>
  <c r="J35" i="3"/>
  <c r="F38" i="3"/>
  <c r="G29" i="3"/>
  <c r="O30" i="3"/>
  <c r="J45" i="3"/>
  <c r="J42" i="3"/>
  <c r="N32" i="3"/>
  <c r="P6" i="3"/>
  <c r="G33" i="3"/>
  <c r="G43" i="3"/>
  <c r="K45" i="3"/>
  <c r="O52" i="3"/>
  <c r="P45" i="3"/>
  <c r="P49" i="3"/>
  <c r="O6" i="3"/>
  <c r="L48" i="3"/>
  <c r="Q15" i="3"/>
  <c r="N23" i="3"/>
  <c r="H22" i="3"/>
  <c r="J58" i="3"/>
  <c r="F44" i="3"/>
  <c r="D35" i="3"/>
  <c r="K60" i="2"/>
  <c r="K47" i="3"/>
  <c r="F9" i="3"/>
  <c r="D47" i="3"/>
  <c r="G22" i="1" a="1"/>
  <c r="G25" i="1" a="1"/>
  <c r="G26" i="1" a="1"/>
  <c r="G23" i="1" a="1"/>
  <c r="G27" i="1" a="1"/>
  <c r="G24" i="1" a="1"/>
  <c r="K26" i="1" l="1"/>
  <c r="K25" i="1"/>
  <c r="K22" i="1"/>
  <c r="N15" i="1"/>
  <c r="M15" i="1"/>
  <c r="O15" i="1"/>
  <c r="L15" i="1"/>
  <c r="K15" i="1"/>
  <c r="P15" i="1"/>
  <c r="L16" i="1"/>
  <c r="O16" i="1"/>
  <c r="K16" i="1"/>
  <c r="N16" i="1"/>
  <c r="P16" i="1"/>
  <c r="M16" i="1"/>
  <c r="O14" i="1"/>
  <c r="S26" i="1" s="1"/>
  <c r="P14" i="1"/>
  <c r="S27" i="1" s="1"/>
  <c r="M14" i="1"/>
  <c r="S24" i="1" s="1"/>
  <c r="K14" i="1"/>
  <c r="S22" i="1" s="1"/>
  <c r="N14" i="1"/>
  <c r="S25" i="1" s="1"/>
  <c r="L14" i="1"/>
  <c r="M17" i="1"/>
  <c r="L17" i="1"/>
  <c r="N17" i="1"/>
  <c r="P17" i="1"/>
  <c r="K17" i="1"/>
  <c r="O17" i="1"/>
  <c r="K24" i="1"/>
  <c r="K23" i="1"/>
  <c r="P18" i="1"/>
  <c r="M18" i="1"/>
  <c r="O18" i="1"/>
  <c r="K18" i="1"/>
  <c r="L18" i="1"/>
  <c r="N18" i="1"/>
  <c r="N19" i="1"/>
  <c r="O19" i="1"/>
  <c r="L19" i="1"/>
  <c r="P19" i="1"/>
  <c r="K19" i="1"/>
  <c r="M19" i="1"/>
  <c r="I38" i="1"/>
  <c r="I35" i="1"/>
  <c r="I40" i="1"/>
  <c r="G24" i="1"/>
  <c r="I24" i="1" s="1"/>
  <c r="G27" i="1"/>
  <c r="I27" i="1" s="1"/>
  <c r="G23" i="1"/>
  <c r="I23" i="1" s="1"/>
  <c r="G26" i="1"/>
  <c r="I26" i="1" s="1"/>
  <c r="G25" i="1"/>
  <c r="I25" i="1" s="1"/>
  <c r="G22" i="1"/>
  <c r="I22" i="1" s="1"/>
  <c r="S20" i="1" s="1"/>
  <c r="I37" i="1"/>
  <c r="I41" i="1"/>
  <c r="I43" i="1"/>
  <c r="I45" i="1"/>
  <c r="I42" i="1"/>
  <c r="I48" i="1"/>
  <c r="S15" i="1"/>
  <c r="I47" i="1"/>
  <c r="P8" i="1"/>
  <c r="I39" i="1"/>
  <c r="I44" i="1"/>
  <c r="I36" i="1"/>
  <c r="I46" i="1"/>
  <c r="M23" i="1" l="1"/>
  <c r="O23" i="1" s="1"/>
  <c r="M25" i="1"/>
  <c r="O25" i="1" s="1"/>
  <c r="M24" i="1"/>
  <c r="O24" i="1" s="1"/>
  <c r="M27" i="1"/>
  <c r="O27" i="1" s="1"/>
  <c r="M26" i="1"/>
  <c r="O26" i="1" s="1"/>
  <c r="S23" i="1"/>
  <c r="T23" i="1" s="1"/>
  <c r="M22" i="1"/>
  <c r="O22" i="1" s="1"/>
  <c r="S28" i="1" s="1"/>
  <c r="T15" i="1"/>
  <c r="T18" i="1"/>
  <c r="T17" i="1"/>
  <c r="T19" i="1"/>
  <c r="T16" i="1"/>
  <c r="T14" i="1"/>
  <c r="T26" i="1" l="1"/>
  <c r="T27" i="1"/>
  <c r="T22" i="1"/>
  <c r="T24" i="1"/>
  <c r="T25" i="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<sst xmlns="http://schemas.openxmlformats.org/spreadsheetml/2006/main" count="8258" uniqueCount="717">
  <si>
    <t>Categoria</t>
  </si>
  <si>
    <t>11.24</t>
  </si>
  <si>
    <t>12.24</t>
  </si>
  <si>
    <t>01.25</t>
  </si>
  <si>
    <t>02.25</t>
  </si>
  <si>
    <t>03.25</t>
  </si>
  <si>
    <t>04.25</t>
  </si>
  <si>
    <t>05.25</t>
  </si>
  <si>
    <t>06.25</t>
  </si>
  <si>
    <t>07.25</t>
  </si>
  <si>
    <t>08.25</t>
  </si>
  <si>
    <t>09.25</t>
  </si>
  <si>
    <t>10.25</t>
  </si>
  <si>
    <t>11.25</t>
  </si>
  <si>
    <t>12.25</t>
  </si>
  <si>
    <t>Total</t>
  </si>
  <si>
    <t>Enviado</t>
  </si>
  <si>
    <t>Atrasado</t>
  </si>
  <si>
    <t>Atrasado &gt;= 2</t>
  </si>
  <si>
    <t>Duplicado</t>
  </si>
  <si>
    <t>Outras Ocorrências</t>
  </si>
  <si>
    <t>Sem Técnico</t>
  </si>
  <si>
    <t>Digite o Mês de Referência</t>
  </si>
  <si>
    <t>Mês de Referência</t>
  </si>
  <si>
    <t>Acumulado (Total)</t>
  </si>
  <si>
    <t>Resumo por Regional</t>
  </si>
  <si>
    <t>Monitoramento (Envios)</t>
  </si>
  <si>
    <t>Regional</t>
  </si>
  <si>
    <t>Bianca</t>
  </si>
  <si>
    <t>Envi.</t>
  </si>
  <si>
    <t>Atra.</t>
  </si>
  <si>
    <t>Atra. &gt;= 2</t>
  </si>
  <si>
    <t>Dup.</t>
  </si>
  <si>
    <t>Out. Ocor.</t>
  </si>
  <si>
    <t>Sem Tec.</t>
  </si>
  <si>
    <t>Enviados</t>
  </si>
  <si>
    <t>Gabriel</t>
  </si>
  <si>
    <t>Atrasados</t>
  </si>
  <si>
    <t>Gustavo</t>
  </si>
  <si>
    <t>Atrasados &gt;= 2</t>
  </si>
  <si>
    <t>Larissa</t>
  </si>
  <si>
    <t>Duplicados</t>
  </si>
  <si>
    <t>Luana</t>
  </si>
  <si>
    <t>Valquiria</t>
  </si>
  <si>
    <t>Regionais (Validações)</t>
  </si>
  <si>
    <t>% Validação</t>
  </si>
  <si>
    <t>Validados</t>
  </si>
  <si>
    <t>Não Validados</t>
  </si>
  <si>
    <t>% Val.</t>
  </si>
  <si>
    <t>% Validados</t>
  </si>
  <si>
    <t>Envios - Acumulado (Total)</t>
  </si>
  <si>
    <t>Formulários </t>
  </si>
  <si>
    <t>Enviado </t>
  </si>
  <si>
    <t>Atrasado </t>
  </si>
  <si>
    <t>Sem Téc </t>
  </si>
  <si>
    <t>Outras</t>
  </si>
  <si>
    <t>4 - Receitas (11/24)</t>
  </si>
  <si>
    <t>4 - Receitas (12/24)</t>
  </si>
  <si>
    <t>4 - Receitas (01/25)</t>
  </si>
  <si>
    <t>4 - Receitas (02/25)</t>
  </si>
  <si>
    <t>4 - Receitas (03/25)</t>
  </si>
  <si>
    <t>4 - Receitas (04/25)</t>
  </si>
  <si>
    <t>4 - Receitas (05/25)</t>
  </si>
  <si>
    <t>4 - Receitas (06/25)</t>
  </si>
  <si>
    <t>4 - Receitas (07/25)</t>
  </si>
  <si>
    <t>4 - Receitas (08/25)</t>
  </si>
  <si>
    <t>4 - Receitas (09/25)</t>
  </si>
  <si>
    <t>4 - Receitas (10/25)</t>
  </si>
  <si>
    <t>4 - Receitas (11/25)</t>
  </si>
  <si>
    <t>4 - Receitas (12/25)</t>
  </si>
  <si>
    <t>Município</t>
  </si>
  <si>
    <t>UVR</t>
  </si>
  <si>
    <t>Lacuna</t>
  </si>
  <si>
    <t>V1</t>
  </si>
  <si>
    <t>Status (06-11)</t>
  </si>
  <si>
    <t>Formosa do Oeste</t>
  </si>
  <si>
    <t>Maripa</t>
  </si>
  <si>
    <t>Mundo Novo</t>
  </si>
  <si>
    <t>Assis Chateaubriand</t>
  </si>
  <si>
    <t>Cafelândia</t>
  </si>
  <si>
    <t>Foz do Iguaçu</t>
  </si>
  <si>
    <t>Jesuítas</t>
  </si>
  <si>
    <t>Marechal Candido Rondon</t>
  </si>
  <si>
    <t>Palotina</t>
  </si>
  <si>
    <t>Brasilândia do Sul</t>
  </si>
  <si>
    <t>Tres Barras do Parana</t>
  </si>
  <si>
    <t>Municípios</t>
  </si>
  <si>
    <t>Anahy</t>
  </si>
  <si>
    <t>Boa Vista da Aparecida</t>
  </si>
  <si>
    <t>Braganey</t>
  </si>
  <si>
    <t>Campo Bonito</t>
  </si>
  <si>
    <t>Catanduvas</t>
  </si>
  <si>
    <t>Corbélia</t>
  </si>
  <si>
    <t>Diamante do Sul</t>
  </si>
  <si>
    <t>Guaraniacu</t>
  </si>
  <si>
    <t>Ibema</t>
  </si>
  <si>
    <t>Iguatu</t>
  </si>
  <si>
    <t>Altônia</t>
  </si>
  <si>
    <t>Francisco Alves</t>
  </si>
  <si>
    <t>Guaira</t>
  </si>
  <si>
    <t>Mercedes</t>
  </si>
  <si>
    <t>Nova Santa Rosa</t>
  </si>
  <si>
    <t>Ouro Verde do Oeste</t>
  </si>
  <si>
    <t>Quatro Pontes</t>
  </si>
  <si>
    <t>São Jose das Palmeiras</t>
  </si>
  <si>
    <t>Terra Roxa</t>
  </si>
  <si>
    <t>Toledo</t>
  </si>
  <si>
    <t>Iracema do Oeste</t>
  </si>
  <si>
    <t>Nova Aurora</t>
  </si>
  <si>
    <t>Tupassi</t>
  </si>
  <si>
    <t>Ubirata</t>
  </si>
  <si>
    <t>Medianeira</t>
  </si>
  <si>
    <t>Santa Terezinha de Itaipu</t>
  </si>
  <si>
    <t>São Miguel do Iguaçu</t>
  </si>
  <si>
    <t>Serranopolis do Iguaçu</t>
  </si>
  <si>
    <t>Diamante d'Oeste</t>
  </si>
  <si>
    <t>Entre Rios do Oeste</t>
  </si>
  <si>
    <t>Itaipulândia</t>
  </si>
  <si>
    <t>Matelândia</t>
  </si>
  <si>
    <t>Missal</t>
  </si>
  <si>
    <t>Pato Bragado</t>
  </si>
  <si>
    <t>Ramilândia</t>
  </si>
  <si>
    <t>Santa Helena</t>
  </si>
  <si>
    <t>São Pedro do Iguaçu</t>
  </si>
  <si>
    <t>Vera Cruz do Oeste</t>
  </si>
  <si>
    <t>Capitão Leonidas Marques</t>
  </si>
  <si>
    <t>Cascavel</t>
  </si>
  <si>
    <t>Céu Azul</t>
  </si>
  <si>
    <t>Lindoeste</t>
  </si>
  <si>
    <t>Santa Lúcia</t>
  </si>
  <si>
    <t>Santa Tereza do Oeste</t>
  </si>
  <si>
    <t>Sim</t>
  </si>
  <si>
    <t>Técnico de UVR</t>
  </si>
  <si>
    <t>Situação</t>
  </si>
  <si>
    <t>Data de Envio</t>
  </si>
  <si>
    <t>Validado pelo Regional</t>
  </si>
  <si>
    <t>Observações</t>
  </si>
  <si>
    <t>Formulários para Deletar (ID)</t>
  </si>
  <si>
    <t>Validado Equip de TI</t>
  </si>
  <si>
    <t>Resposta Equipe de TI</t>
  </si>
  <si>
    <t>Não</t>
  </si>
  <si>
    <t>02/01/2025</t>
  </si>
  <si>
    <t>07/01/2025</t>
  </si>
  <si>
    <t>09/01/2025</t>
  </si>
  <si>
    <t>08/01/2025</t>
  </si>
  <si>
    <t>03/01/2025</t>
  </si>
  <si>
    <t>10/01/2025</t>
  </si>
  <si>
    <t>06/01/2025</t>
  </si>
  <si>
    <t>13/01/2025</t>
  </si>
  <si>
    <t>ok</t>
  </si>
  <si>
    <t>revisar se temos despesas e rejeito</t>
  </si>
  <si>
    <t>revisar se temos despesas</t>
  </si>
  <si>
    <t>04/01/2025</t>
  </si>
  <si>
    <t>Verificar despesas e rejeito</t>
  </si>
  <si>
    <t>01/04/2025</t>
  </si>
  <si>
    <t>12/11/2025</t>
  </si>
  <si>
    <t>03/01/2025, 01/07/2025</t>
  </si>
  <si>
    <t>Revisar Rejeito</t>
  </si>
  <si>
    <t>Verificar salário médio, despesas e rejeito</t>
  </si>
  <si>
    <t>02/04/2025</t>
  </si>
  <si>
    <t>26/02/2025</t>
  </si>
  <si>
    <t>Revisar Valor de venda dos recicláveis, revisar valor do contrato, revisar despesas</t>
  </si>
  <si>
    <t>Receita de venda inicial não coincide com o valor do Resumo</t>
  </si>
  <si>
    <t>incluir notas fiscais</t>
  </si>
  <si>
    <t>remover ID4279</t>
  </si>
  <si>
    <t>Deletado 4279</t>
  </si>
  <si>
    <t>21/03/2025</t>
  </si>
  <si>
    <t>Receita de venda e Despesas pág 2 não coincidem com o valor do Resumo
Fundo de caixa pág 2 e pág 6 invertidos</t>
  </si>
  <si>
    <t>19/03/2025</t>
  </si>
  <si>
    <t>02 envios referentes a nov/24. Favor cancelar o mais antigo (ID4273)
Receita de venda e Despesas iniciais não coincidem com o valor do Resumo</t>
  </si>
  <si>
    <t>Remover ID4273</t>
  </si>
  <si>
    <t>Removido o 4273</t>
  </si>
  <si>
    <t>09/07/2025, 26/02/2025</t>
  </si>
  <si>
    <t>17/03/2025</t>
  </si>
  <si>
    <t>Receita de venda e Despesas pág 2 não coincidem com o valor do Resumo
Valor Receita prestação serviço diferente V1</t>
  </si>
  <si>
    <t>20/03/2025</t>
  </si>
  <si>
    <t>Fundo de caixa das pág 2 e 6 estão iguais</t>
  </si>
  <si>
    <t>Remover ID4311</t>
  </si>
  <si>
    <t>Deletado 4311</t>
  </si>
  <si>
    <t>26/02/2025, 17/06/2025</t>
  </si>
  <si>
    <t>14/05/2025</t>
  </si>
  <si>
    <t>10/06/2025</t>
  </si>
  <si>
    <t>06/06/2025</t>
  </si>
  <si>
    <t>28/02/2025</t>
  </si>
  <si>
    <t>05/08/2025, 26/02/2025</t>
  </si>
  <si>
    <t>Dados todos errados</t>
  </si>
  <si>
    <t>2º item do fundo de cx das Despesas preenchido
Terminar de completar os materiais vendidos</t>
  </si>
  <si>
    <t>25/02/2025</t>
  </si>
  <si>
    <t>25/03/2025</t>
  </si>
  <si>
    <t>25/11/2025</t>
  </si>
  <si>
    <t>Remover ID5008</t>
  </si>
  <si>
    <t>24/02/2025</t>
  </si>
  <si>
    <t>Não lançou nas despesas o INSS separado</t>
  </si>
  <si>
    <t>Não lançou nas despesas o INSS separado; O lançamento no receita de venda de reciclaveis e total de despesa da pg 2 não bate com o total da pagina 8</t>
  </si>
  <si>
    <t>O lançamento no receita de venda de reciclaveis pg 2 não bate com o total da pagina 8; não lançou despesa do INSS</t>
  </si>
  <si>
    <t>O lançamento no receita de venda de reciclaveis e total de despesa da pg 2 não bate com o total da pagina 8</t>
  </si>
  <si>
    <t>Falta completar os materiais vendidos e despesas</t>
  </si>
  <si>
    <t>24/03/2025</t>
  </si>
  <si>
    <t>2 formulários enviados, cancelar o ID4276</t>
  </si>
  <si>
    <t>ID4276</t>
  </si>
  <si>
    <t>Deletado 4276</t>
  </si>
  <si>
    <t>Despesa da pag 2 com coincide com Resumo</t>
  </si>
  <si>
    <t xml:space="preserve">Não finalizou o preenchimento </t>
  </si>
  <si>
    <t xml:space="preserve">Está sem o rejeito e não foi preenchido os materiais- os dados eram referenes a cooperativa e não a associação que está agora. Vou validar pessoalmente em janeiro. </t>
  </si>
  <si>
    <t>25/11/2025, 11/11/2025</t>
  </si>
  <si>
    <t>01/07/2025</t>
  </si>
  <si>
    <t>ID4229</t>
  </si>
  <si>
    <t>Deletado 4229</t>
  </si>
  <si>
    <t>Falta preencher INSS</t>
  </si>
  <si>
    <t>11/03/2025</t>
  </si>
  <si>
    <t>29/04/2025, 25/02/2025</t>
  </si>
  <si>
    <t>digitiu errado valor da Receita total de venda de recicláveis</t>
  </si>
  <si>
    <t>Remover ID4257</t>
  </si>
  <si>
    <t>Deletado 4257</t>
  </si>
  <si>
    <t>Não mencionou o valor de contrato</t>
  </si>
  <si>
    <t>NF não foi incluída
Falta finalizar os materiais vendidos e o Fundo de Caixa/Despesa</t>
  </si>
  <si>
    <t>Não inseriu INSS nas despesas</t>
  </si>
  <si>
    <t>10/03/2025</t>
  </si>
  <si>
    <t>Não inseriu as despesas</t>
  </si>
  <si>
    <t>Remover ID4268</t>
  </si>
  <si>
    <t>Deletado 4268</t>
  </si>
  <si>
    <t>O lançamento no receita de venda de reciclaveis da pg 2 não bate com o total da pagina 8</t>
  </si>
  <si>
    <t>25/02/2025, 02/04/2025</t>
  </si>
  <si>
    <t>Permanecer com o formulário do enviado 02/04/2025</t>
  </si>
  <si>
    <t>ID4245</t>
  </si>
  <si>
    <t xml:space="preserve">O lançamento da desepesa da UVR na aba 2 nao coincide com o da aba 8; </t>
  </si>
  <si>
    <t>remover ID 4234</t>
  </si>
  <si>
    <t>Deletado 4234</t>
  </si>
  <si>
    <t>15/04/2025</t>
  </si>
  <si>
    <t>09/06/2025</t>
  </si>
  <si>
    <t>ID4255</t>
  </si>
  <si>
    <t>Deletado 4255</t>
  </si>
  <si>
    <t>NF não foi incluída
Valores Receita venda materiais e Despesas pág 2 não coincidem com o Resumo</t>
  </si>
  <si>
    <t>15/04/2025, 26/02/2025, 06/03/2025</t>
  </si>
  <si>
    <t>06/02/2025</t>
  </si>
  <si>
    <t>Revisar valor do salário total</t>
  </si>
  <si>
    <t>Receita de venda inicial não coincide com o valor do Resumo e ambas estão abaixo do lançado no V1</t>
  </si>
  <si>
    <t>25/11/2025, 12/11/2025</t>
  </si>
  <si>
    <t>ID5737</t>
  </si>
  <si>
    <t>Apenas 1 NF incluída
Receita de venda e Despesas pág 2 não coincidem com o valor do Resumo
Fundo de caixa pág 2 e Despesas iguais</t>
  </si>
  <si>
    <t>Receita de venda e Despesas iniciais não coincidem com o valor do Resumo</t>
  </si>
  <si>
    <t>09/07/2025</t>
  </si>
  <si>
    <t>Receita de venda e Despesas pág 2 não coincidem com o valor do Resumo, nem com o V1</t>
  </si>
  <si>
    <t>06/03/2025</t>
  </si>
  <si>
    <t>Despesas pág 2 não coincidem com o valor do Resumo, nem com o V1
Fundo de cx das pág 2 e 6 estão iguais</t>
  </si>
  <si>
    <t>05/08/2025, 10/03/2025</t>
  </si>
  <si>
    <t xml:space="preserve">Estava errada a parte de contrato/ convênio. o valor que contas de manutenção no inicio, não aparece no final, e as outras depensas que a associação tem ( compra de material) eles não conseguem inserir). ficando os dados errados. </t>
  </si>
  <si>
    <t>08/04/2025</t>
  </si>
  <si>
    <t>Fundo de cx pág 2 e 6 não preenchidos</t>
  </si>
  <si>
    <t>13/03/2025</t>
  </si>
  <si>
    <t>26/03/2025</t>
  </si>
  <si>
    <t>corrigir rejeito</t>
  </si>
  <si>
    <t>não enviado pelo técnico, nome do responsável Admn Laboratório, não ha lançamento de valor de contrato e despesas da UVR</t>
  </si>
  <si>
    <t>Aba 2 de venda de reciclaveis nao confere com aba 8</t>
  </si>
  <si>
    <t>ID4412</t>
  </si>
  <si>
    <t>Deletado 4412</t>
  </si>
  <si>
    <t>NF não foi incluída com todas elas
Não tem valor do Contrato de serviço e Valor LR está duplicado
2º item do fundo de cx (Despesas) incluído
Fundo de cx das pag 2 e 6 iguais
Rejeito diferente do V1
Receita venda, Despesas e Contrato serviço das páginas iniciais não coincidem com o Resumo e com o V1</t>
  </si>
  <si>
    <t>Receita de venda e Despesas da pág 2 e 8 não coincidem
Despesa de manutenção precisa estar na aba de "manutenção"
Fundo de cx pág 2 e 6 estão iguais
Acordo de Cooperação na vdd é Contrato de serviço</t>
  </si>
  <si>
    <t>28/04/2025</t>
  </si>
  <si>
    <t>11/11/2025, 25/11/2025</t>
  </si>
  <si>
    <t>18/03/2025</t>
  </si>
  <si>
    <t>Corrigir informações financeiras</t>
  </si>
  <si>
    <t>revisar despesas e rejeito errado</t>
  </si>
  <si>
    <t>16/05/2025</t>
  </si>
  <si>
    <t>31/03/2025</t>
  </si>
  <si>
    <t>24/11/2025, 25/11/2025</t>
  </si>
  <si>
    <t>27/02/2025</t>
  </si>
  <si>
    <t>09/04/2025</t>
  </si>
  <si>
    <t>Valor catador pag 1 errado
Valores pág 2 estão mto além do V1
Falta incluir NF
Contrato prestação serviço errado
Valores Venda materiais e Despesas pag 2 não coincidem com Resumo</t>
  </si>
  <si>
    <t>Não inseriu a despesas que foi mencionada no v1</t>
  </si>
  <si>
    <t>05/03/2025</t>
  </si>
  <si>
    <t>17/11/2025</t>
  </si>
  <si>
    <t>Foi incluída apenas 1 NF
Valor Receita venda e Despesas págs 2 e 8 não coincidem
Não foi destinado nada para o Fundo de caixa?</t>
  </si>
  <si>
    <t>16/04/2025</t>
  </si>
  <si>
    <t>Paula Tatiana Santana Vechi</t>
  </si>
  <si>
    <t>10/02/2025</t>
  </si>
  <si>
    <t>Revisar valor do salário total (colocar a média total, 3k por mês exato não bateria)</t>
  </si>
  <si>
    <t>Willian de Oliveira Lino</t>
  </si>
  <si>
    <t>Gisele Cássia Tamparowsky de Oliveira</t>
  </si>
  <si>
    <t>ID5749</t>
  </si>
  <si>
    <t>Marcos Gabriel Franciosi Borges</t>
  </si>
  <si>
    <t>Chayla Bianca Gazoli</t>
  </si>
  <si>
    <t>Solange Maria Masqueti</t>
  </si>
  <si>
    <t>Cristiane Petry Vieira</t>
  </si>
  <si>
    <t>Diego Hemerich</t>
  </si>
  <si>
    <t>Receita de venda pág 2 não coincide com pág 4 e 8
Despesas pág 2 não coincidem com pág 6</t>
  </si>
  <si>
    <t>Tatiane Girardi</t>
  </si>
  <si>
    <t>Despesas de operação pág 2 e 6 não coincidem</t>
  </si>
  <si>
    <t>Edson Batista de Castro</t>
  </si>
  <si>
    <t>17/06/2025</t>
  </si>
  <si>
    <t>Gabriela Fernanda Sandri</t>
  </si>
  <si>
    <t>11/04/2025</t>
  </si>
  <si>
    <t>Eduarda Rohden Donasolo</t>
  </si>
  <si>
    <t>Mauricio Pinto de Lima</t>
  </si>
  <si>
    <t xml:space="preserve">Débora Laize Lampert Gnass </t>
  </si>
  <si>
    <t>11/06/2025</t>
  </si>
  <si>
    <t>17/04/2025</t>
  </si>
  <si>
    <t>Cristina Harumi Enokida</t>
  </si>
  <si>
    <t>Douglas de Mattia</t>
  </si>
  <si>
    <t>05/08/2025</t>
  </si>
  <si>
    <t>está com dois envio do mês de  1 - excluir o que foi enviado no modo simplificado</t>
  </si>
  <si>
    <t>ID4327</t>
  </si>
  <si>
    <t>Deletado 4327</t>
  </si>
  <si>
    <t>Vanderson Pasetti</t>
  </si>
  <si>
    <t>Fundo de  cx pág 2 e pág 6 coincidem</t>
  </si>
  <si>
    <t>Bruna Schneider Guimarães</t>
  </si>
  <si>
    <t>O valor das despesas está mais alto que no v1</t>
  </si>
  <si>
    <t>Keilla Avezedo</t>
  </si>
  <si>
    <t>Carmen Maria Stein Weiler</t>
  </si>
  <si>
    <t>Thiago Varaschim Cenci</t>
  </si>
  <si>
    <t>Éber Alexandre Nascimento Araújo</t>
  </si>
  <si>
    <t>Andrea Carla Winkelmann</t>
  </si>
  <si>
    <t>Lorizete de Andrade</t>
  </si>
  <si>
    <t>Ajustar o rejeito para Kg; nao foi registrado venda de plastico; mudar de convenio para contrato de prestação de serviço</t>
  </si>
  <si>
    <t>ID5376</t>
  </si>
  <si>
    <t>Deletado 5376</t>
  </si>
  <si>
    <t>Andressa Maia</t>
  </si>
  <si>
    <t>Lucas Correia de Souza</t>
  </si>
  <si>
    <t>Jose Francisco Mariano de Faria Filho</t>
  </si>
  <si>
    <t>Pedro Henrique Mariano de Faria</t>
  </si>
  <si>
    <t>Conferir dados da despesa de operação que nao foram lançados, e receita nao confere aba 2 e aba 8</t>
  </si>
  <si>
    <t>Renata Aparecida de Souza</t>
  </si>
  <si>
    <t>Maria Eduarda dos Santos Arias</t>
  </si>
  <si>
    <t>não tem preenchimento</t>
  </si>
  <si>
    <t>Paulo Rogerio Hiroshi Fujii</t>
  </si>
  <si>
    <t>Marlene R. Oliveira Dallacosta</t>
  </si>
  <si>
    <t>Vitolor dos Santos Almeida</t>
  </si>
  <si>
    <t>06/08/2025</t>
  </si>
  <si>
    <t>ID4419</t>
  </si>
  <si>
    <t>Deletado 4419</t>
  </si>
  <si>
    <t>Kelly Jackeline Silva do Valle</t>
  </si>
  <si>
    <t>Felipe Carvalho Zydek</t>
  </si>
  <si>
    <t>Eliane Borin</t>
  </si>
  <si>
    <t>Tatiana schrard</t>
  </si>
  <si>
    <t>03/04/2025</t>
  </si>
  <si>
    <t>César Piva Glinglani</t>
  </si>
  <si>
    <t>Ailton Carlos Fialho</t>
  </si>
  <si>
    <t>Marcos José Chaves</t>
  </si>
  <si>
    <t xml:space="preserve">Não foi enviado nem jan.fv.marc e abril ( puxando de 2024). </t>
  </si>
  <si>
    <t>Diego Matheus Reinicke</t>
  </si>
  <si>
    <t>05/12/2025, 25/11/2025</t>
  </si>
  <si>
    <t>Cleiton Manske</t>
  </si>
  <si>
    <t>11/11/2025</t>
  </si>
  <si>
    <t>Alexandro Aparecido de Lima Vieira</t>
  </si>
  <si>
    <t>Rafael Henrique Caetano</t>
  </si>
  <si>
    <t>Roberto Pedron</t>
  </si>
  <si>
    <t>07/03/2025</t>
  </si>
  <si>
    <t>Luciane Spies</t>
  </si>
  <si>
    <t>12/03/2025</t>
  </si>
  <si>
    <t>Jaqueline Fernanda Meireles</t>
  </si>
  <si>
    <t>07/04/2025</t>
  </si>
  <si>
    <t>Luiz Fernando Pereira Barbosa</t>
  </si>
  <si>
    <t>20/05/2025</t>
  </si>
  <si>
    <t>Carolina Eggers</t>
  </si>
  <si>
    <t>14/03/2025</t>
  </si>
  <si>
    <t>Ivan Gonçalves da Silva</t>
  </si>
  <si>
    <t>sem controle de despesas</t>
  </si>
  <si>
    <t>Dorival Manoel Canhete</t>
  </si>
  <si>
    <t>24/11/2025</t>
  </si>
  <si>
    <t>Jaqueline Vanelli</t>
  </si>
  <si>
    <t>Fernanda Jung</t>
  </si>
  <si>
    <t>Ana Paula Romagnoli</t>
  </si>
  <si>
    <t>10/04/2025</t>
  </si>
  <si>
    <t xml:space="preserve">O valor de receita inicial informado é diferente do coleta ( não sei se é por conta das médias de valores). </t>
  </si>
  <si>
    <t>Alexandro Schaparini</t>
  </si>
  <si>
    <t>Marina Ancelmo da Silva</t>
  </si>
  <si>
    <t>Ana Carolina Peterle Ribeiro</t>
  </si>
  <si>
    <t>Taiane Amélia Mondardo</t>
  </si>
  <si>
    <t>rejeito preenchido errado</t>
  </si>
  <si>
    <t>Regiane Lucia Pereira</t>
  </si>
  <si>
    <t>Andryws Rafael Gois</t>
  </si>
  <si>
    <t>Mayara Ketllyn de Paula Rosetti</t>
  </si>
  <si>
    <t>as notas fiscais mensionadas são do comprador e pela associação</t>
  </si>
  <si>
    <t>Junior Andre Britzke</t>
  </si>
  <si>
    <t>Adriano Pereira Guedes</t>
  </si>
  <si>
    <t xml:space="preserve">Suzana Cristina de Almeida </t>
  </si>
  <si>
    <t>29/07/2025</t>
  </si>
  <si>
    <t>ID5079</t>
  </si>
  <si>
    <t>Deletado 5079</t>
  </si>
  <si>
    <t>Alice Cristiane Zancheta</t>
  </si>
  <si>
    <t>Falta incluir NF de venda</t>
  </si>
  <si>
    <t>Fernanda kaezer de Godoy</t>
  </si>
  <si>
    <t xml:space="preserve">Ademir Papini Júnior </t>
  </si>
  <si>
    <t>Heloísa Maria Beloni Insenha</t>
  </si>
  <si>
    <t>revisar salário total (dificil dar valor inteiro)</t>
  </si>
  <si>
    <t>Receita de venda da pág 2 não coincide com pág 4 (ou pág 8)
Despesas de operação e de manutenção da pág 2 não coincidem com as lançadas na pág 6</t>
  </si>
  <si>
    <t>05/03/2025, 25/11/2025</t>
  </si>
  <si>
    <t>13/05/2025</t>
  </si>
  <si>
    <t>22/04/2025</t>
  </si>
  <si>
    <t xml:space="preserve">Editei o item convenio para contrato, mas ainda não as despesas não estão batendo. </t>
  </si>
  <si>
    <t>Deletar o formulário 02/2025 enviado no dia 07/03- porque ele foi mandado no fomarto simplificado (ID4313)</t>
  </si>
  <si>
    <t>Deletado 4313</t>
  </si>
  <si>
    <t>Falta preencher o Fundo de cx das pág 2 e 6</t>
  </si>
  <si>
    <t>27/03/2025</t>
  </si>
  <si>
    <t>corrigir aba 2, aba 5 e aba 8</t>
  </si>
  <si>
    <t>excluir ID</t>
  </si>
  <si>
    <t>ID5168</t>
  </si>
  <si>
    <t>Deletado 5168</t>
  </si>
  <si>
    <t>Está ok</t>
  </si>
  <si>
    <t>14/04/2025</t>
  </si>
  <si>
    <t>ID4403</t>
  </si>
  <si>
    <t>Deletado 4403</t>
  </si>
  <si>
    <t>23/03/2025</t>
  </si>
  <si>
    <t>04/12/2025</t>
  </si>
  <si>
    <t>08/12/2025</t>
  </si>
  <si>
    <t>22/05/2025</t>
  </si>
  <si>
    <t>revisar rejeito, mas ok</t>
  </si>
  <si>
    <t>03/03/2025</t>
  </si>
  <si>
    <t>07/05/2025</t>
  </si>
  <si>
    <t>28/03/2025</t>
  </si>
  <si>
    <t>receita na aba 2 nao confere com a aba 8</t>
  </si>
  <si>
    <t>ID5080</t>
  </si>
  <si>
    <t>Deletado 5080</t>
  </si>
  <si>
    <t>Despesas das pág 2 e 6 não coincidem</t>
  </si>
  <si>
    <t>revisar valor de despesas totais (no começo, não apareceu todos)</t>
  </si>
  <si>
    <t>30/04/2025</t>
  </si>
  <si>
    <t>Receita da Venda não coincidem com pág 4 e 8
Despesas da pág 2 não coincidem a pág 6</t>
  </si>
  <si>
    <t>18/04/2025</t>
  </si>
  <si>
    <t>o inss soma como despesa e aumenta o valor da despesa no final do na aba 8, nao conferindo com a aba 2</t>
  </si>
  <si>
    <t>corrigir taxa de rejeito, esta em ton</t>
  </si>
  <si>
    <t>corrigir lançamentos de receita e despesa (nao confere aba 2 e aba 8)</t>
  </si>
  <si>
    <t>corrigir despesas na aba 2 e aba 8 não batem</t>
  </si>
  <si>
    <t>despesas na aba 8 e aba 2 nao conferem</t>
  </si>
  <si>
    <t>Deletado 4578</t>
  </si>
  <si>
    <t>27/05/2025</t>
  </si>
  <si>
    <t xml:space="preserve">valores de despensas mencionados, porem não divididos por categoria </t>
  </si>
  <si>
    <t>20/04/2025</t>
  </si>
  <si>
    <t>04/04/2025</t>
  </si>
  <si>
    <t>revisar despesas no inicio com os valores totais</t>
  </si>
  <si>
    <t>revisar dados, incosistentes</t>
  </si>
  <si>
    <t>29/03/2025</t>
  </si>
  <si>
    <t>valores das despesas divergêntes</t>
  </si>
  <si>
    <t>23/04/2025</t>
  </si>
  <si>
    <t>06/05/2025</t>
  </si>
  <si>
    <t>valor das despesas de operação divergentes</t>
  </si>
  <si>
    <t>corrigir despesas e receita na aba 2 e aba 8 não batem</t>
  </si>
  <si>
    <t>ID4450</t>
  </si>
  <si>
    <t>Deletado o 4450</t>
  </si>
  <si>
    <t>13/11/2025</t>
  </si>
  <si>
    <t>24/06/2025</t>
  </si>
  <si>
    <t>faltou completar certo as despesas</t>
  </si>
  <si>
    <t xml:space="preserve">Revisar valor do salário total </t>
  </si>
  <si>
    <t>10/05/2025</t>
  </si>
  <si>
    <t>Receita de venda e Despesas das pág 2 e 8 não coincidem</t>
  </si>
  <si>
    <t>05/05/2025</t>
  </si>
  <si>
    <t>12/05/2025</t>
  </si>
  <si>
    <t>09/05/2025</t>
  </si>
  <si>
    <t>12/06/2025</t>
  </si>
  <si>
    <t>17/12/2025</t>
  </si>
  <si>
    <t>corrigir receita, aba 02 e aba 08 não confere</t>
  </si>
  <si>
    <t>corrigir receita e despesa, aba 02 e aba 08 não conferem</t>
  </si>
  <si>
    <t>08/05/2025</t>
  </si>
  <si>
    <t>21/05/2025</t>
  </si>
  <si>
    <t>excluir  4790</t>
  </si>
  <si>
    <t>Deletado 4790</t>
  </si>
  <si>
    <t>19/05/2025</t>
  </si>
  <si>
    <t>conferir despesas da aba 02 e aba 08 não conferem</t>
  </si>
  <si>
    <t>28/05/2025</t>
  </si>
  <si>
    <t>A Receita de venda da pág 2 e da pág 4 não coincidem</t>
  </si>
  <si>
    <t>18/05/2025</t>
  </si>
  <si>
    <t>26/11/2025</t>
  </si>
  <si>
    <t>conferir despesas e receita da aba 02 e aba 08 não conferem</t>
  </si>
  <si>
    <t>23/05/2025</t>
  </si>
  <si>
    <t>02/05/2025</t>
  </si>
  <si>
    <t>03/06/2025</t>
  </si>
  <si>
    <t>Valores das despesas não batem</t>
  </si>
  <si>
    <t>11/05/2025</t>
  </si>
  <si>
    <t>corrigir despesas aba 02 e aba 08 não confere</t>
  </si>
  <si>
    <t>12/08/2025</t>
  </si>
  <si>
    <t>24/04/2025</t>
  </si>
  <si>
    <t xml:space="preserve">incompleto </t>
  </si>
  <si>
    <t>valor do salário médio, já não tinha nota fiscal? se tiver temos que adicionar no envio</t>
  </si>
  <si>
    <t>23/06/2025</t>
  </si>
  <si>
    <t>13/06/2025</t>
  </si>
  <si>
    <t>Receita de venda pág 2 não coincide com a pág 4 (ou pág 8)
Despesas de operação e de manutenção não coincidem com as lançadas na pág 6</t>
  </si>
  <si>
    <t>divergência nas despesas - já ajustei</t>
  </si>
  <si>
    <t>Ok</t>
  </si>
  <si>
    <t>divergência na receita e nas despesas - já ajustei</t>
  </si>
  <si>
    <t>07/07/2025</t>
  </si>
  <si>
    <t xml:space="preserve"> valores muito divergênte cadastrado pelo técnico e valores comprovados - buscar no município o valor correto pq Ecoponto não tem docs.</t>
  </si>
  <si>
    <t>10/07/2025</t>
  </si>
  <si>
    <t xml:space="preserve">o valor de manutenção foi colocado em operação - corrigido </t>
  </si>
  <si>
    <t>23/07/2025</t>
  </si>
  <si>
    <t>26/06/2025</t>
  </si>
  <si>
    <t>16/06/2025</t>
  </si>
  <si>
    <t>04/06/2025</t>
  </si>
  <si>
    <t>Faltou o preenchimento da despesa da operação/manutenção na aba 02</t>
  </si>
  <si>
    <t>corrigir despesa da operação, está errada, nao confere com aba 02</t>
  </si>
  <si>
    <t>corrigir despesas e receita, não confere aba 02 e aba 08</t>
  </si>
  <si>
    <t>19/08/2025</t>
  </si>
  <si>
    <t>16/07/2025</t>
  </si>
  <si>
    <t>Nas despesas, na aba 8 nao confere com aba 2, faltam 2.000,00</t>
  </si>
  <si>
    <t>11/07/2025</t>
  </si>
  <si>
    <t>ID4918</t>
  </si>
  <si>
    <t>Deletado o 4918</t>
  </si>
  <si>
    <t xml:space="preserve">Foi solicitado o envio </t>
  </si>
  <si>
    <t>Valores de despesas não batem</t>
  </si>
  <si>
    <t>02/06/2025</t>
  </si>
  <si>
    <t>está faltando 400,00 na aba 08 das despesas (diferença do valor declarado na aba 02)</t>
  </si>
  <si>
    <t>05/06/2025</t>
  </si>
  <si>
    <t>08/07/2025</t>
  </si>
  <si>
    <t>18/06/2025</t>
  </si>
  <si>
    <t>valores de receita e despesas não batem</t>
  </si>
  <si>
    <t>Nã receita está faltando +/- 1000,00 do valor declarado na aba 2 e aba 8, nas despesas está faltando 30,00</t>
  </si>
  <si>
    <t>30/07/2025</t>
  </si>
  <si>
    <t>27/06/2025</t>
  </si>
  <si>
    <t>18/07/2025</t>
  </si>
  <si>
    <t>30/06/2025</t>
  </si>
  <si>
    <t>17/07/2025</t>
  </si>
  <si>
    <t>Falta a inclusão da NF
Receita venda materias pág 2 e 8 não coincidem</t>
  </si>
  <si>
    <t>02/07/2025</t>
  </si>
  <si>
    <t>26/08/2025</t>
  </si>
  <si>
    <t>divergência na receita - já ajustei</t>
  </si>
  <si>
    <t>04/07/2025</t>
  </si>
  <si>
    <t>22/07/2025</t>
  </si>
  <si>
    <t>não confere o valor da receita e desesa da aba 2 e aba 8 (valor de despesa muito alto); vallor do contrato foi preenchido em convenio</t>
  </si>
  <si>
    <t>20/08/2025</t>
  </si>
  <si>
    <t>receita nao confere, da aba 2 para aba 8 faltam +/-2000,00</t>
  </si>
  <si>
    <t>corrigir valor mensal do contrato</t>
  </si>
  <si>
    <t>12/07/2025</t>
  </si>
  <si>
    <t>20/07/2025</t>
  </si>
  <si>
    <t>Nas despesas da aba 02 para aba 8 está faltando +/-1.800,00</t>
  </si>
  <si>
    <t>ID5001</t>
  </si>
  <si>
    <t>Deletado o 5001</t>
  </si>
  <si>
    <t xml:space="preserve">Corrigido </t>
  </si>
  <si>
    <t>10/09/2025</t>
  </si>
  <si>
    <t>15/07/2025</t>
  </si>
  <si>
    <t xml:space="preserve">O valor das despensa inicial não bate com a final </t>
  </si>
  <si>
    <t>aba 02 e aba 08 receitas e despesas nao conferem</t>
  </si>
  <si>
    <t>não incluiu as NFe de vendas</t>
  </si>
  <si>
    <t xml:space="preserve">preenchimento ok </t>
  </si>
  <si>
    <t>ID5016; ID5014; ID4814</t>
  </si>
  <si>
    <t>Deletados os 4814, 5014 e 5016</t>
  </si>
  <si>
    <t>28/07/2025</t>
  </si>
  <si>
    <t>14/07/2025</t>
  </si>
  <si>
    <t>24/07/2025</t>
  </si>
  <si>
    <t>valor da despesa nao confere da aba 02 com aba 08</t>
  </si>
  <si>
    <t>despesas da aba 02 e aba 8 nao conferem, faltam 2000,00</t>
  </si>
  <si>
    <t>despesas e receita nao conferem (aba 2 e aba 8)</t>
  </si>
  <si>
    <t>Valor das despesas alto (verificar com a responsável técnica)</t>
  </si>
  <si>
    <t>13/08/2025</t>
  </si>
  <si>
    <t>04/08/2025</t>
  </si>
  <si>
    <t>ok*</t>
  </si>
  <si>
    <t>18/08/2025</t>
  </si>
  <si>
    <t>08/08/2025</t>
  </si>
  <si>
    <t>07/08/2025</t>
  </si>
  <si>
    <t>11/08/2025</t>
  </si>
  <si>
    <t>10/08/2025</t>
  </si>
  <si>
    <t>Não estamos conseguindo ajustar esses valores que o Edson lançou. Todos os valores que temos dá divergência</t>
  </si>
  <si>
    <t>15/08/2025</t>
  </si>
  <si>
    <t>24/09/2025</t>
  </si>
  <si>
    <t xml:space="preserve">ok </t>
  </si>
  <si>
    <t>25/08/2025</t>
  </si>
  <si>
    <t>04/08/2025, 01/09/2025</t>
  </si>
  <si>
    <t>remover id5094</t>
  </si>
  <si>
    <t>15/09/2025</t>
  </si>
  <si>
    <t>Lançamento do valor do contrato em convenio; valor da receita de venda da aba 02 nao confere com aba 08; despesas nao conferem da aba 02 e aba 08; lançamento do rejeito está errado</t>
  </si>
  <si>
    <t>ID5170</t>
  </si>
  <si>
    <t>Deletado 5170</t>
  </si>
  <si>
    <t>valor da receita da aba 02 nao confere com aba 08</t>
  </si>
  <si>
    <t>corrigir valor de contrato</t>
  </si>
  <si>
    <t>Despesas pág 2 e 8 não coincidem</t>
  </si>
  <si>
    <t>Faltou declaração das despesas na aba 02</t>
  </si>
  <si>
    <t>04/09/2025</t>
  </si>
  <si>
    <t>valor da receita e despesa da aba 02 nao confere com aba 08</t>
  </si>
  <si>
    <t>Não foram lançadas as NFe de venda</t>
  </si>
  <si>
    <t>29/10/2025</t>
  </si>
  <si>
    <t>01/08/2025</t>
  </si>
  <si>
    <t>Receita declarada na aba 02 nao confere com aba 08- faltam +/- 2000,00</t>
  </si>
  <si>
    <t>14/08/2025</t>
  </si>
  <si>
    <t>16/09/2025</t>
  </si>
  <si>
    <t>03/09/2025</t>
  </si>
  <si>
    <t>Receita de vendas pág 2 e 8 (ou pag 4) não coincidem</t>
  </si>
  <si>
    <t>06/09/2025</t>
  </si>
  <si>
    <t>09/09/2025</t>
  </si>
  <si>
    <t>Incluir NF venda
Receita venda recicláveis pág 2 e 8 não coincidem
Despesas de operação pág 2 e 6 não coincidem</t>
  </si>
  <si>
    <t>02/09/2025</t>
  </si>
  <si>
    <t>14/10/2025</t>
  </si>
  <si>
    <t>08/09/2025</t>
  </si>
  <si>
    <t>11/09/2025</t>
  </si>
  <si>
    <t>03/11/2025</t>
  </si>
  <si>
    <t>Receita de vendas pág 2 e 8 (ou pag 4) não coincidem
Despesas de manutenção pág 2 e 6 não coincidem</t>
  </si>
  <si>
    <t>26/09/2025</t>
  </si>
  <si>
    <t>05/09/2025</t>
  </si>
  <si>
    <t>corrigir para contrato em vez de convenio</t>
  </si>
  <si>
    <t>15/11/2025</t>
  </si>
  <si>
    <t>corrigir valores aba 2 e aba 8</t>
  </si>
  <si>
    <t>corrigir despesas de operação e manutenção faltantes</t>
  </si>
  <si>
    <t>18/11/2025</t>
  </si>
  <si>
    <t>Nao confere aba 2 - despesas e aba 8 - despesas</t>
  </si>
  <si>
    <t>25/09/2025</t>
  </si>
  <si>
    <t>12/09/2025</t>
  </si>
  <si>
    <t>necessita corrigir despesa lançada no fundo de caixa</t>
  </si>
  <si>
    <t>30/10/2025</t>
  </si>
  <si>
    <t>01/09/2025</t>
  </si>
  <si>
    <t>01/10/2025</t>
  </si>
  <si>
    <t>07/10/2025</t>
  </si>
  <si>
    <t xml:space="preserve">Valores de despesas não batem. </t>
  </si>
  <si>
    <t xml:space="preserve">Em agosto não teve venda, por conta quea UVR está passando por alguma melhorias. os associados estão sendo pagos como frene de trabalho. </t>
  </si>
  <si>
    <t>13/09/2025</t>
  </si>
  <si>
    <t>corrigir fundo de caixa</t>
  </si>
  <si>
    <t>27/08/2025</t>
  </si>
  <si>
    <t>17/09/2025</t>
  </si>
  <si>
    <t>ok (acompanhar fundo cx 300/100)</t>
  </si>
  <si>
    <t>23/09/2025</t>
  </si>
  <si>
    <t>06/10/2025</t>
  </si>
  <si>
    <t>16/10/2025</t>
  </si>
  <si>
    <t>08/10/2025</t>
  </si>
  <si>
    <t>09/10/2025</t>
  </si>
  <si>
    <t>Incluir NF venda
Receita venda recicláveis pág 2 e 8 não coincidem
Fundo de caixa da pág 6 não foi preenchido</t>
  </si>
  <si>
    <t>02/10/2025</t>
  </si>
  <si>
    <t>Divergência nas despesas - já ajustei</t>
  </si>
  <si>
    <t>Divergência na receita e nas despesas - já ajustei</t>
  </si>
  <si>
    <t>13/10/2025</t>
  </si>
  <si>
    <t>11/12/2025</t>
  </si>
  <si>
    <t>21/10/2025</t>
  </si>
  <si>
    <t>10/10/2025</t>
  </si>
  <si>
    <t>conferir que a tecnica nao enviou esse mes ainda</t>
  </si>
  <si>
    <t>03/10/2025</t>
  </si>
  <si>
    <t>16/11/2025</t>
  </si>
  <si>
    <t>conferir aba 2 com aba 8 - corrigir valores</t>
  </si>
  <si>
    <t>valores da aba 2 e aba 8 nao conferem</t>
  </si>
  <si>
    <t>06/11/2025</t>
  </si>
  <si>
    <t>17/10/2025</t>
  </si>
  <si>
    <t>23/10/2025</t>
  </si>
  <si>
    <t>Incluir NF
Receita vendas recicláveis pág 2 e 4 não coincidem
Despesas de operação pág 2 e 6 não coincidem</t>
  </si>
  <si>
    <t>Divergência na receita - já ajustei</t>
  </si>
  <si>
    <t>receita nao confere aba 2 e aba 8</t>
  </si>
  <si>
    <t>30/09/2025</t>
  </si>
  <si>
    <t>20/10/2025</t>
  </si>
  <si>
    <t>Despesas operação pág 2 e 6 não coincidem</t>
  </si>
  <si>
    <t>16/12/2025</t>
  </si>
  <si>
    <t>07/11/2025</t>
  </si>
  <si>
    <t>10/11/2025</t>
  </si>
  <si>
    <t>14/11/2025</t>
  </si>
  <si>
    <t>Receita de vendas pág 2 não coincide com o somatório da pág 8</t>
  </si>
  <si>
    <t>04/11/2025</t>
  </si>
  <si>
    <t>16/12/2025, 26/11/2025</t>
  </si>
  <si>
    <t xml:space="preserve">Precisa preencher o dado solicitado </t>
  </si>
  <si>
    <t>05/11/2025</t>
  </si>
  <si>
    <t>Colocou o valor do contrato e de venda iguais</t>
  </si>
  <si>
    <t>09/12/2025</t>
  </si>
  <si>
    <t>nao foi declarou os valores de manutenção na aba 02 e o gasto total nao bate</t>
  </si>
  <si>
    <t>19/11/2025</t>
  </si>
  <si>
    <t>Somatório das despesas nao conferem da aba 2 e aba 8</t>
  </si>
  <si>
    <t>despesas totais nao conferem aba 2 e aba 8</t>
  </si>
  <si>
    <t>Incluir NF
Receita vendas recicláveis pág 2 e 4 não coincidem</t>
  </si>
  <si>
    <t>20/11/2025</t>
  </si>
  <si>
    <t>27/11/2025</t>
  </si>
  <si>
    <t>Receita de vendas pág 2 e 8 não coincidem
Despesas operação pág 2 e 6 não coincidem</t>
  </si>
  <si>
    <t>05/12/2025</t>
  </si>
  <si>
    <t>10/12/2025</t>
  </si>
  <si>
    <t>Receita de vendas pág 2 e 4 não coincidem
Despesas de manutenção pág 2 e 6 não coincidem</t>
  </si>
  <si>
    <t>02/12/2025</t>
  </si>
  <si>
    <t>Divergência entre laçamento e validado - avisei a nova técnica - fiz a correção</t>
  </si>
  <si>
    <t>15/12/2025</t>
  </si>
  <si>
    <t>divergência lançamento despesas operacionais e manutenção - valores baixos - já ajustei</t>
  </si>
  <si>
    <t>divergência lançamento receitas - despesas operacionais e manutenção - valores relativamente baixos - já ajustei</t>
  </si>
  <si>
    <t>divergência lançamento receita e despesas operacionais e manutenção -  já ajustei não tem apoio técnico</t>
  </si>
  <si>
    <t>Divergência de todos valores lançados e valores validados - já ajustei</t>
  </si>
  <si>
    <t>Incluir a NF de venda
Receita de venda da pág 21 e 4 ou 8 não coincidem
Não houve guarda de fundo de cx no mês?</t>
  </si>
  <si>
    <t>18/12/2025</t>
  </si>
  <si>
    <t>Divergência de 1,00 numa despesa de operação - já ajustei</t>
  </si>
  <si>
    <t>12/12/2025</t>
  </si>
  <si>
    <t>01/12/2025</t>
  </si>
  <si>
    <t>Divergência de 0,90 na receita - já ajustei</t>
  </si>
  <si>
    <t>Divergência entre lançamento e validado - já ajustei</t>
  </si>
  <si>
    <t>Mês de referência</t>
  </si>
  <si>
    <t>Validado Equipe de TI</t>
  </si>
  <si>
    <t>Maripá</t>
  </si>
  <si>
    <t>1</t>
  </si>
  <si>
    <t>Admin Laboratório</t>
  </si>
  <si>
    <t>07.24</t>
  </si>
  <si>
    <t>Formulário preenchido durante treinamento dos regionais</t>
  </si>
  <si>
    <t>validar o formulário 5094 e excluir formulário 5906</t>
  </si>
  <si>
    <t>ajustes de lançamento e despesas - já ajustei - (Val)</t>
  </si>
  <si>
    <t>ajustes de lançamento e despesas - já ajustei (Val)</t>
  </si>
  <si>
    <t>ajustes de lançamento e despesas - já ajustei - Val</t>
  </si>
  <si>
    <t>ID 5269 - ok ref. 07/2025 -  ID 5094  ref. 04/2025 -  Val</t>
  </si>
  <si>
    <t>ajustes de lançamento e despesas - Val</t>
  </si>
  <si>
    <t>Despesas de manutenção pág 2 não coincidem com as despesas lançadas na pág 6 - ajustei</t>
  </si>
  <si>
    <t>Ajustes de receita - já ajustei</t>
  </si>
  <si>
    <t xml:space="preserve">não tem valores de lançamento, não teve venda </t>
  </si>
  <si>
    <t>diferença receita e despesa - já ajustei</t>
  </si>
  <si>
    <t>ajustes de receita e despesas - ajustei</t>
  </si>
  <si>
    <t>ajustes de receita e despesas- já ajustei</t>
  </si>
  <si>
    <t>ajustes de receita e despesas - já ajustei</t>
  </si>
  <si>
    <t>Em Análise</t>
  </si>
  <si>
    <t>Único formulário do Mês. Aguardando retorno do gustavo para confirmar.</t>
  </si>
  <si>
    <t>Deletado 4245</t>
  </si>
  <si>
    <t>Deletado 5737</t>
  </si>
  <si>
    <t>Deletado 5749</t>
  </si>
  <si>
    <t>ID5739</t>
  </si>
  <si>
    <t>remover id5094 (estava no mês incorreto na planilha) - 07/2025</t>
  </si>
  <si>
    <t>Movi para o mês correto na planilha: 04/2025</t>
  </si>
  <si>
    <t>Deletado 5094</t>
  </si>
  <si>
    <t>ajustes receita e despesas - ajustado Val</t>
  </si>
  <si>
    <t>ajustes despesas - ajustado Val</t>
  </si>
  <si>
    <t>ajustes de receita e despesas - ajustado Val</t>
  </si>
  <si>
    <t>ajuste receita - ajustado Val</t>
  </si>
  <si>
    <t>ajuste receita e despesas - ajustado Val</t>
  </si>
  <si>
    <t xml:space="preserve">Não enviaram </t>
  </si>
  <si>
    <t>formulário migrado do v1</t>
  </si>
  <si>
    <t>não tem dados de jan. e fev./25</t>
  </si>
  <si>
    <t>ajustes dados despesas - ajustado Val</t>
  </si>
  <si>
    <t>ajustes dados despesas - ajuste Val</t>
  </si>
  <si>
    <t>ajustes nas despesas - ajustado Val</t>
  </si>
  <si>
    <t>ajustes de despesas - já ajustei - Val</t>
  </si>
  <si>
    <t>ajuste na receita - já ajustei - Val</t>
  </si>
  <si>
    <t>ajustes nas despesas - já ajaustei - Val</t>
  </si>
  <si>
    <t>ajustes dados receita e  despesas - ajustado Val</t>
  </si>
  <si>
    <t>ajustes dados receita e despesas - ajustado Val</t>
  </si>
  <si>
    <t>ajustes dados receita - ajustado Val</t>
  </si>
  <si>
    <t>ajustes dados receita  - ajustado Val</t>
  </si>
  <si>
    <t xml:space="preserve">As despesas de ambas as associações estão iguais! </t>
  </si>
  <si>
    <t xml:space="preserve">Mesmos valores de despesas!!! </t>
  </si>
  <si>
    <t>Está faltando mais valores de despesas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</si>
</sst>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yyyy\-mm\-dd\ h:mm:ss"/>
  </numFmts>
  <fonts count="27" x14ac:knownFonts="1">
    <font>
      <sz val="11"/>
      <color theme="1"/>
      <name val="Calibri"/>
      <family val="2"/>
      <scheme val="minor"/>
    </font>
    <font>
      <sz val="14"/>
      <color theme="0"/>
      <name val="Calibri"/>
    </font>
    <font>
      <b/>
      <sz val="14"/>
      <color theme="0"/>
      <name val="Calibri"/>
    </font>
    <font>
      <sz val="12"/>
      <color theme="1"/>
      <name val="Calibri"/>
    </font>
    <font>
      <sz val="11"/>
      <color theme="1"/>
      <name val="Calibri"/>
    </font>
    <font>
      <b/>
      <sz val="11"/>
      <color theme="1"/>
      <name val="Calibri"/>
    </font>
    <font>
      <b/>
      <sz val="12"/>
      <color theme="1"/>
      <name val="Calibri"/>
    </font>
    <font>
      <b/>
      <sz val="12"/>
      <color theme="1"/>
      <name val="Aptos Narrow"/>
    </font>
    <font>
      <sz val="16"/>
      <color theme="0"/>
      <name val="Calibri"/>
    </font>
    <font>
      <sz val="18"/>
      <color theme="1"/>
      <name val="Calibri"/>
    </font>
    <font>
      <sz val="12"/>
      <color theme="0"/>
      <name val="Calibri"/>
    </font>
    <font>
      <b/>
      <sz val="10"/>
      <name val="Arial"/>
    </font>
    <font>
      <b/>
      <sz val="8"/>
      <color rgb="FFFFFFFF"/>
      <name val="Arial"/>
    </font>
    <font>
      <b/>
      <sz val="11"/>
      <color theme="0"/>
      <name val="Calibri"/>
    </font>
    <font>
      <sz val="9"/>
      <color rgb="FF000000"/>
      <name val="Arial"/>
    </font>
    <font>
      <sz val="10"/>
      <name val="Arial"/>
    </font>
    <font>
      <b/>
      <sz val="11"/>
      <name val="Calibri"/>
    </font>
    <font>
      <sz val="11"/>
      <color rgb="FF000000"/>
      <name val="Calibri"/>
    </font>
    <font>
      <sz val="11"/>
      <color rgb="FFFFFFFF"/>
      <name val="Arial"/>
    </font>
    <font>
      <sz val="12"/>
      <color theme="0"/>
      <name val="Aptos Narrow"/>
    </font>
    <font>
      <sz val="11"/>
      <color theme="1"/>
      <name val="Arial"/>
    </font>
    <font>
      <b/>
      <sz val="11"/>
      <color rgb="FFFFFFFF"/>
      <name val="Arial"/>
    </font>
    <font>
      <sz val="11"/>
      <name val="Arial"/>
    </font>
    <font>
      <sz val="11"/>
      <color rgb="FF000000"/>
      <name val="Arial"/>
      <charset val="1"/>
    </font>
    <font>
      <b/>
      <sz val="12"/>
      <color rgb="FF47494C"/>
      <name val="Segoe UI"/>
      <family val="2"/>
    </font>
    <font>
      <sz val="11"/>
      <name val="Arial"/>
      <family val="2"/>
    </font>
    <font>
      <sz val="11"/>
      <color rgb="FF000000"/>
      <name val="Arial"/>
      <family val="2"/>
    </font>
  </fonts>
  <fills count="49">
    <fill>
      <patternFill patternType="none"/>
    </fill>
    <fill>
      <patternFill patternType="gray125"/>
    </fill>
    <fill>
      <patternFill patternType="solid">
        <fgColor theme="4" tint="-0.249977111117893"/>
        <bgColor indexed="64"/>
      </patternFill>
    </fill>
    <fill>
      <patternFill patternType="solid">
        <fgColor rgb="FFC4D79B"/>
        <bgColor indexed="64"/>
      </patternFill>
    </fill>
    <fill>
      <patternFill patternType="solid">
        <fgColor theme="6" tint="0.39997558519241921"/>
        <bgColor indexed="64"/>
      </patternFill>
    </fill>
    <fill>
      <patternFill patternType="solid">
        <fgColor rgb="FFF5C6AB"/>
        <bgColor indexed="64"/>
      </patternFill>
    </fill>
    <fill>
      <patternFill patternType="solid">
        <fgColor rgb="FFFF8585"/>
        <bgColor indexed="64"/>
      </patternFill>
    </fill>
    <fill>
      <patternFill patternType="solid">
        <fgColor rgb="FFB8CCE4"/>
        <bgColor indexed="64"/>
      </patternFill>
    </fill>
    <fill>
      <patternFill patternType="solid">
        <fgColor rgb="FFCCC0DA"/>
        <bgColor indexed="64"/>
      </patternFill>
    </fill>
    <fill>
      <patternFill patternType="solid">
        <fgColor rgb="FFD9D9D9"/>
        <bgColor indexed="64"/>
      </patternFill>
    </fill>
    <fill>
      <patternFill patternType="solid">
        <fgColor rgb="FF244062"/>
        <bgColor indexed="64"/>
      </patternFill>
    </fill>
    <fill>
      <patternFill patternType="solid">
        <fgColor theme="4" tint="0.39997558519241921"/>
        <bgColor indexed="64"/>
      </patternFill>
    </fill>
    <fill>
      <patternFill patternType="solid">
        <fgColor rgb="FF00B050"/>
        <bgColor indexed="64"/>
      </patternFill>
    </fill>
    <fill>
      <patternFill patternType="solid">
        <fgColor rgb="FF95B3D7"/>
        <bgColor indexed="64"/>
      </patternFill>
    </fill>
    <fill>
      <patternFill patternType="solid">
        <fgColor rgb="FF366092"/>
        <bgColor indexed="64"/>
      </patternFill>
    </fill>
    <fill>
      <patternFill patternType="solid">
        <fgColor rgb="FFFFF7C9"/>
        <bgColor indexed="64"/>
      </patternFill>
    </fill>
    <fill>
      <patternFill patternType="solid">
        <fgColor theme="0" tint="-0.14999847407452621"/>
        <bgColor indexed="64"/>
      </patternFill>
    </fill>
    <fill>
      <patternFill patternType="solid">
        <fgColor rgb="FFA3DDFF"/>
        <bgColor indexed="64"/>
      </patternFill>
    </fill>
    <fill>
      <patternFill patternType="solid">
        <fgColor theme="7" tint="0.59999389629810485"/>
        <bgColor indexed="64"/>
      </patternFill>
    </fill>
    <fill>
      <patternFill patternType="solid">
        <fgColor rgb="FFEBC99F"/>
        <bgColor indexed="64"/>
      </patternFill>
    </fill>
    <fill>
      <patternFill patternType="solid">
        <fgColor rgb="FFFFD2DE"/>
        <bgColor indexed="64"/>
      </patternFill>
    </fill>
    <fill>
      <patternFill patternType="solid">
        <fgColor rgb="FF91F0D3"/>
        <bgColor indexed="64"/>
      </patternFill>
    </fill>
    <fill>
      <patternFill patternType="solid">
        <fgColor rgb="FFBFBFBF"/>
        <bgColor indexed="64"/>
      </patternFill>
    </fill>
    <fill>
      <patternFill patternType="solid">
        <fgColor theme="1" tint="0.499984740745262"/>
        <bgColor indexed="64"/>
      </patternFill>
    </fill>
    <fill>
      <patternFill patternType="solid">
        <fgColor theme="1"/>
        <bgColor indexed="64"/>
      </patternFill>
    </fill>
    <fill>
      <patternFill patternType="solid">
        <fgColor rgb="FFFFFFFF"/>
        <bgColor indexed="64"/>
      </patternFill>
    </fill>
    <fill>
      <patternFill patternType="solid">
        <fgColor rgb="FFFFFF00"/>
        <bgColor indexed="64"/>
      </patternFill>
    </fill>
    <fill>
      <patternFill patternType="solid">
        <fgColor rgb="FFFFC000"/>
        <bgColor indexed="64"/>
      </patternFill>
    </fill>
    <fill>
      <patternFill patternType="solid">
        <fgColor rgb="FF00B0F0"/>
        <bgColor indexed="64"/>
      </patternFill>
    </fill>
    <fill>
      <patternFill patternType="solid">
        <fgColor theme="3" tint="0.249977111117893"/>
        <bgColor indexed="64"/>
      </patternFill>
    </fill>
    <fill>
      <patternFill patternType="solid">
        <fgColor theme="4" tint="0.79998168889431442"/>
        <bgColor theme="4" tint="0.79998168889431442"/>
      </patternFill>
    </fill>
    <fill>
      <patternFill patternType="solid">
        <fgColor rgb="FF7030A0"/>
        <bgColor indexed="64"/>
      </patternFill>
    </fill>
    <fill>
      <patternFill patternType="solid">
        <fgColor rgb="FFFF0000"/>
        <bgColor indexed="64"/>
      </patternFill>
    </fill>
    <fill>
      <patternFill patternType="solid">
        <fgColor rgb="FF92D050"/>
        <bgColor indexed="64"/>
      </patternFill>
    </fill>
    <fill>
      <patternFill patternType="solid">
        <fgColor rgb="FF003366"/>
        <bgColor rgb="FF003366"/>
      </patternFill>
    </fill>
    <fill>
      <patternFill patternType="solid">
        <fgColor rgb="FFFF6666"/>
        <bgColor rgb="FFFF6666"/>
      </patternFill>
    </fill>
    <fill>
      <patternFill patternType="solid">
        <fgColor rgb="FFA3DDFF"/>
        <bgColor rgb="FFA3DDFF"/>
      </patternFill>
    </fill>
    <fill>
      <patternFill patternType="solid">
        <fgColor rgb="FFFFF7C9"/>
        <bgColor rgb="FFFFF7C9"/>
      </patternFill>
    </fill>
    <fill>
      <patternFill patternType="solid">
        <fgColor rgb="FFCCC0DA"/>
        <bgColor rgb="FFCCC0DA"/>
      </patternFill>
    </fill>
    <fill>
      <patternFill patternType="solid">
        <fgColor rgb="FF91F0D3"/>
        <bgColor rgb="FF91F0D3"/>
      </patternFill>
    </fill>
    <fill>
      <patternFill patternType="solid">
        <fgColor rgb="FFFFD2DE"/>
        <bgColor rgb="FFFFD2DE"/>
      </patternFill>
    </fill>
    <fill>
      <patternFill patternType="solid">
        <fgColor rgb="FF66FF66"/>
        <bgColor rgb="FF66FF66"/>
      </patternFill>
    </fill>
    <fill>
      <patternFill patternType="solid">
        <fgColor rgb="FFEBC99F"/>
        <bgColor rgb="FFEBC99F"/>
      </patternFill>
    </fill>
    <fill>
      <patternFill patternType="solid">
        <fgColor rgb="FFFF0000"/>
        <bgColor rgb="FFFF0000"/>
      </patternFill>
    </fill>
    <fill>
      <patternFill patternType="solid">
        <fgColor rgb="FF006400"/>
        <bgColor rgb="FF006400"/>
      </patternFill>
    </fill>
    <fill>
      <patternFill patternType="solid">
        <fgColor rgb="FF808080"/>
        <bgColor rgb="FF808080"/>
      </patternFill>
    </fill>
    <fill>
      <patternFill patternType="solid">
        <fgColor rgb="FF31869B"/>
        <bgColor rgb="FF31869B"/>
      </patternFill>
    </fill>
    <fill>
      <patternFill patternType="solid">
        <fgColor theme="0"/>
        <bgColor indexed="64"/>
      </patternFill>
    </fill>
    <fill>
      <patternFill patternType="solid">
        <fgColor rgb="FFFF6400"/>
        <bgColor rgb="FFFF6400"/>
      </patternFill>
    </fill>
  </fills>
  <borders count="15">
    <border>
      <left/>
      <right/>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style="thin">
        <color rgb="FF000000"/>
      </right>
      <top/>
      <bottom/>
      <diagonal/>
    </border>
    <border>
      <left style="thin">
        <color rgb="FF000000"/>
      </left>
      <right/>
      <top/>
      <bottom/>
      <diagonal/>
    </border>
    <border>
      <left style="thin">
        <color rgb="FF000000"/>
      </left>
      <right/>
      <top style="thin">
        <color rgb="FF000000"/>
      </top>
      <bottom/>
      <diagonal/>
    </border>
    <border>
      <left/>
      <right style="thin">
        <color rgb="FF000000"/>
      </right>
      <top style="thin">
        <color rgb="FF000000"/>
      </top>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51">
    <xf numFmtId="0" fontId="0" fillId="0" borderId="0" xfId="0"/>
    <xf numFmtId="49" fontId="1" fillId="2" borderId="1" xfId="0" applyNumberFormat="1" applyFont="1" applyFill="1" applyBorder="1" applyAlignment="1">
      <alignment horizontal="center" vertical="center"/>
    </xf>
    <xf numFmtId="0" fontId="2" fillId="2" borderId="1" xfId="0" applyFont="1" applyFill="1" applyBorder="1" applyAlignment="1">
      <alignment horizontal="center" vertical="center"/>
    </xf>
    <xf numFmtId="0" fontId="3" fillId="3" borderId="2" xfId="0" applyFont="1" applyFill="1" applyBorder="1" applyAlignment="1">
      <alignment horizontal="center" vertical="center"/>
    </xf>
    <xf numFmtId="0" fontId="3" fillId="5" borderId="2" xfId="0" applyFont="1" applyFill="1" applyBorder="1" applyAlignment="1">
      <alignment horizontal="center" vertical="center"/>
    </xf>
    <xf numFmtId="0" fontId="3" fillId="6" borderId="2" xfId="0" applyFont="1" applyFill="1" applyBorder="1" applyAlignment="1">
      <alignment horizontal="center" vertical="center"/>
    </xf>
    <xf numFmtId="0" fontId="3" fillId="9" borderId="2" xfId="0" applyFont="1" applyFill="1" applyBorder="1" applyAlignment="1">
      <alignment horizontal="center" vertical="center"/>
    </xf>
    <xf numFmtId="0" fontId="6" fillId="0" borderId="2" xfId="0" applyFont="1" applyBorder="1" applyAlignment="1">
      <alignment horizontal="center" vertical="center"/>
    </xf>
    <xf numFmtId="0" fontId="7" fillId="0" borderId="3" xfId="0" applyFont="1" applyBorder="1" applyAlignment="1">
      <alignment horizontal="center" vertical="center"/>
    </xf>
    <xf numFmtId="0" fontId="5" fillId="0" borderId="3" xfId="0" applyFont="1" applyBorder="1" applyAlignment="1">
      <alignment horizontal="center" vertical="center"/>
    </xf>
    <xf numFmtId="0" fontId="4" fillId="9" borderId="3" xfId="0" applyFont="1" applyFill="1" applyBorder="1" applyAlignment="1">
      <alignment vertical="center"/>
    </xf>
    <xf numFmtId="0" fontId="4" fillId="9" borderId="3" xfId="0" applyFont="1" applyFill="1" applyBorder="1"/>
    <xf numFmtId="0" fontId="4" fillId="12" borderId="4" xfId="0" applyFont="1" applyFill="1" applyBorder="1" applyAlignment="1">
      <alignment horizontal="center" vertical="center"/>
    </xf>
    <xf numFmtId="0" fontId="4" fillId="12" borderId="5" xfId="0" applyFont="1" applyFill="1" applyBorder="1" applyAlignment="1">
      <alignment horizontal="center" vertical="center"/>
    </xf>
    <xf numFmtId="0" fontId="4" fillId="9" borderId="6" xfId="0" applyFont="1" applyFill="1" applyBorder="1" applyAlignment="1">
      <alignment vertical="center"/>
    </xf>
    <xf numFmtId="0" fontId="4" fillId="16" borderId="6" xfId="0" applyFont="1" applyFill="1" applyBorder="1" applyAlignment="1">
      <alignment vertical="center"/>
    </xf>
    <xf numFmtId="0" fontId="4" fillId="0" borderId="4" xfId="0" applyFont="1" applyBorder="1" applyAlignment="1">
      <alignment horizontal="center" vertical="center"/>
    </xf>
    <xf numFmtId="0" fontId="4" fillId="3" borderId="4" xfId="0" applyFont="1" applyFill="1" applyBorder="1" applyAlignment="1">
      <alignment horizontal="center" vertical="center"/>
    </xf>
    <xf numFmtId="164" fontId="4" fillId="3" borderId="4" xfId="0" applyNumberFormat="1" applyFont="1" applyFill="1" applyBorder="1" applyAlignment="1">
      <alignment horizontal="center" vertical="center"/>
    </xf>
    <xf numFmtId="0" fontId="4" fillId="5" borderId="1" xfId="0" applyFont="1" applyFill="1" applyBorder="1" applyAlignment="1">
      <alignment horizontal="center" vertical="center"/>
    </xf>
    <xf numFmtId="0" fontId="4" fillId="6" borderId="1" xfId="0" applyFont="1" applyFill="1" applyBorder="1" applyAlignment="1">
      <alignment horizontal="center" vertical="center"/>
    </xf>
    <xf numFmtId="0" fontId="4" fillId="9" borderId="1" xfId="0" applyFont="1" applyFill="1" applyBorder="1" applyAlignment="1">
      <alignment horizontal="center" vertical="center"/>
    </xf>
    <xf numFmtId="164" fontId="4" fillId="9" borderId="1" xfId="0" applyNumberFormat="1" applyFont="1" applyFill="1" applyBorder="1" applyAlignment="1">
      <alignment horizontal="center" vertical="center"/>
    </xf>
    <xf numFmtId="0" fontId="4" fillId="9" borderId="7" xfId="0" applyFont="1" applyFill="1" applyBorder="1" applyAlignment="1">
      <alignment vertical="center"/>
    </xf>
    <xf numFmtId="0" fontId="4" fillId="0" borderId="8" xfId="0" applyFont="1" applyBorder="1" applyAlignment="1">
      <alignment horizontal="center" vertical="center"/>
    </xf>
    <xf numFmtId="0" fontId="4" fillId="12" borderId="2" xfId="0" applyFont="1" applyFill="1" applyBorder="1" applyAlignment="1">
      <alignment horizontal="center" vertical="center"/>
    </xf>
    <xf numFmtId="164" fontId="4" fillId="0" borderId="2" xfId="0" applyNumberFormat="1" applyFont="1" applyBorder="1" applyAlignment="1">
      <alignment horizontal="center" vertical="center"/>
    </xf>
    <xf numFmtId="164" fontId="4" fillId="0" borderId="8" xfId="0" applyNumberFormat="1" applyFont="1" applyBorder="1" applyAlignment="1">
      <alignment horizontal="center" vertical="center"/>
    </xf>
    <xf numFmtId="164" fontId="4" fillId="0" borderId="4" xfId="0" applyNumberFormat="1" applyFont="1" applyBorder="1" applyAlignment="1">
      <alignment horizontal="center" vertical="center"/>
    </xf>
    <xf numFmtId="0" fontId="4" fillId="0" borderId="2" xfId="0" applyFont="1" applyBorder="1" applyAlignment="1">
      <alignment horizontal="center" vertical="center"/>
    </xf>
    <xf numFmtId="0" fontId="12" fillId="12" borderId="1" xfId="0" applyFont="1" applyFill="1" applyBorder="1" applyAlignment="1">
      <alignment horizontal="center" vertical="center" wrapText="1"/>
    </xf>
    <xf numFmtId="0" fontId="12" fillId="23" borderId="1" xfId="0" applyFont="1" applyFill="1" applyBorder="1" applyAlignment="1">
      <alignment horizontal="center" vertical="center" wrapText="1"/>
    </xf>
    <xf numFmtId="0" fontId="13" fillId="24" borderId="3" xfId="0" applyFont="1" applyFill="1" applyBorder="1" applyAlignment="1">
      <alignment horizontal="center" vertical="center"/>
    </xf>
    <xf numFmtId="0" fontId="15" fillId="25" borderId="4" xfId="0" applyFont="1" applyFill="1" applyBorder="1" applyAlignment="1">
      <alignment horizontal="center" vertical="center" wrapText="1"/>
    </xf>
    <xf numFmtId="0" fontId="15" fillId="25" borderId="5" xfId="0" applyFont="1" applyFill="1" applyBorder="1" applyAlignment="1">
      <alignment horizontal="center" vertical="center" wrapText="1"/>
    </xf>
    <xf numFmtId="0" fontId="4" fillId="0" borderId="3" xfId="0" applyFont="1" applyBorder="1"/>
    <xf numFmtId="0" fontId="15" fillId="25" borderId="2" xfId="0" applyFont="1" applyFill="1" applyBorder="1" applyAlignment="1">
      <alignment horizontal="center" vertical="center" wrapText="1"/>
    </xf>
    <xf numFmtId="0" fontId="10" fillId="29" borderId="2" xfId="0" applyFont="1" applyFill="1" applyBorder="1" applyAlignment="1">
      <alignment horizontal="center" vertical="center"/>
    </xf>
    <xf numFmtId="17" fontId="19" fillId="29" borderId="2" xfId="0" applyNumberFormat="1" applyFont="1" applyFill="1" applyBorder="1" applyAlignment="1">
      <alignment horizontal="center" vertical="center"/>
    </xf>
    <xf numFmtId="0" fontId="19" fillId="29" borderId="2" xfId="0" applyFont="1" applyFill="1" applyBorder="1" applyAlignment="1">
      <alignment horizontal="center" vertical="center"/>
    </xf>
    <xf numFmtId="0" fontId="3" fillId="11" borderId="2" xfId="0" applyFont="1" applyFill="1" applyBorder="1" applyAlignment="1">
      <alignment horizontal="center" vertical="center"/>
    </xf>
    <xf numFmtId="0" fontId="3" fillId="31" borderId="2" xfId="0" applyFont="1" applyFill="1" applyBorder="1" applyAlignment="1">
      <alignment horizontal="center" vertical="center"/>
    </xf>
    <xf numFmtId="0" fontId="19" fillId="29" borderId="8" xfId="0" applyFont="1" applyFill="1" applyBorder="1" applyAlignment="1">
      <alignment horizontal="center" vertical="center"/>
    </xf>
    <xf numFmtId="0" fontId="21" fillId="34" borderId="14" xfId="0" applyFont="1" applyFill="1" applyBorder="1" applyAlignment="1">
      <alignment horizontal="center" vertical="center"/>
    </xf>
    <xf numFmtId="0" fontId="22" fillId="36" borderId="14" xfId="0" applyFont="1" applyFill="1" applyBorder="1" applyAlignment="1">
      <alignment horizontal="center" vertical="center"/>
    </xf>
    <xf numFmtId="0" fontId="22" fillId="0" borderId="14" xfId="0" applyFont="1" applyBorder="1" applyAlignment="1">
      <alignment horizontal="center" vertical="center"/>
    </xf>
    <xf numFmtId="0" fontId="22" fillId="35" borderId="14" xfId="0" applyFont="1" applyFill="1" applyBorder="1" applyAlignment="1">
      <alignment horizontal="center" vertical="center"/>
    </xf>
    <xf numFmtId="0" fontId="22" fillId="37" borderId="14" xfId="0" applyFont="1" applyFill="1" applyBorder="1" applyAlignment="1">
      <alignment horizontal="center" vertical="center"/>
    </xf>
    <xf numFmtId="0" fontId="22" fillId="38" borderId="14" xfId="0" applyFont="1" applyFill="1" applyBorder="1" applyAlignment="1">
      <alignment horizontal="center" vertical="center"/>
    </xf>
    <xf numFmtId="0" fontId="22" fillId="39" borderId="14" xfId="0" applyFont="1" applyFill="1" applyBorder="1" applyAlignment="1">
      <alignment horizontal="center" vertical="center"/>
    </xf>
    <xf numFmtId="0" fontId="22" fillId="40" borderId="14" xfId="0" applyFont="1" applyFill="1" applyBorder="1" applyAlignment="1">
      <alignment horizontal="center" vertical="center"/>
    </xf>
    <xf numFmtId="0" fontId="22" fillId="42" borderId="14" xfId="0" applyFont="1" applyFill="1" applyBorder="1" applyAlignment="1">
      <alignment horizontal="center" vertical="center"/>
    </xf>
    <xf numFmtId="0" fontId="22" fillId="41" borderId="14" xfId="0" applyFont="1" applyFill="1" applyBorder="1" applyAlignment="1">
      <alignment horizontal="center" vertical="center"/>
    </xf>
    <xf numFmtId="165" fontId="22" fillId="0" borderId="14" xfId="0" applyNumberFormat="1" applyFont="1" applyBorder="1" applyAlignment="1">
      <alignment horizontal="center" vertical="center"/>
    </xf>
    <xf numFmtId="0" fontId="22" fillId="26" borderId="14" xfId="0" applyFont="1" applyFill="1" applyBorder="1" applyAlignment="1">
      <alignment horizontal="center" vertical="center"/>
    </xf>
    <xf numFmtId="0" fontId="22" fillId="47" borderId="14" xfId="0" applyFont="1" applyFill="1" applyBorder="1" applyAlignment="1">
      <alignment horizontal="center" vertical="center"/>
    </xf>
    <xf numFmtId="0" fontId="22" fillId="0" borderId="14" xfId="0" applyFont="1" applyBorder="1" applyAlignment="1">
      <alignment horizontal="center"/>
    </xf>
    <xf numFmtId="0" fontId="22" fillId="0" borderId="14" xfId="0" applyFont="1" applyBorder="1" applyAlignment="1">
      <alignment horizontal="center" vertical="center" wrapText="1"/>
    </xf>
    <xf numFmtId="0" fontId="22" fillId="0" borderId="14" xfId="0" applyFont="1" applyBorder="1"/>
    <xf numFmtId="0" fontId="1" fillId="2" borderId="14" xfId="0" applyFont="1" applyFill="1" applyBorder="1" applyAlignment="1">
      <alignment horizontal="center" vertical="center"/>
    </xf>
    <xf numFmtId="0" fontId="4" fillId="4" borderId="14" xfId="0" applyFont="1" applyFill="1" applyBorder="1" applyAlignment="1">
      <alignment horizontal="center" vertical="center"/>
    </xf>
    <xf numFmtId="0" fontId="5" fillId="4" borderId="14" xfId="0" applyFont="1" applyFill="1" applyBorder="1" applyAlignment="1">
      <alignment horizontal="center" vertical="center"/>
    </xf>
    <xf numFmtId="0" fontId="4" fillId="5" borderId="14" xfId="0" applyFont="1" applyFill="1" applyBorder="1" applyAlignment="1">
      <alignment horizontal="center" vertical="center"/>
    </xf>
    <xf numFmtId="0" fontId="5" fillId="5" borderId="14" xfId="0" applyFont="1" applyFill="1" applyBorder="1" applyAlignment="1">
      <alignment horizontal="center" vertical="center"/>
    </xf>
    <xf numFmtId="0" fontId="4" fillId="6" borderId="14" xfId="0" applyFont="1" applyFill="1" applyBorder="1" applyAlignment="1">
      <alignment horizontal="center" vertical="center"/>
    </xf>
    <xf numFmtId="0" fontId="5" fillId="6" borderId="14" xfId="0" applyFont="1" applyFill="1" applyBorder="1" applyAlignment="1">
      <alignment horizontal="center" vertical="center"/>
    </xf>
    <xf numFmtId="0" fontId="3" fillId="7" borderId="14" xfId="0" applyFont="1" applyFill="1" applyBorder="1" applyAlignment="1">
      <alignment horizontal="center" vertical="center"/>
    </xf>
    <xf numFmtId="0" fontId="4" fillId="7" borderId="14" xfId="0" applyFont="1" applyFill="1" applyBorder="1" applyAlignment="1">
      <alignment horizontal="center" vertical="center"/>
    </xf>
    <xf numFmtId="0" fontId="3" fillId="8" borderId="14" xfId="0" applyFont="1" applyFill="1" applyBorder="1" applyAlignment="1">
      <alignment horizontal="center" vertical="center"/>
    </xf>
    <xf numFmtId="0" fontId="4" fillId="8" borderId="14" xfId="0" applyFont="1" applyFill="1" applyBorder="1" applyAlignment="1">
      <alignment horizontal="center" vertical="center"/>
    </xf>
    <xf numFmtId="0" fontId="4" fillId="9" borderId="14" xfId="0" applyFont="1" applyFill="1" applyBorder="1" applyAlignment="1">
      <alignment horizontal="center" vertical="center"/>
    </xf>
    <xf numFmtId="0" fontId="5" fillId="9" borderId="14" xfId="0" applyFont="1" applyFill="1" applyBorder="1" applyAlignment="1">
      <alignment horizontal="center" vertical="center"/>
    </xf>
    <xf numFmtId="0" fontId="5" fillId="0" borderId="14" xfId="0" applyFont="1" applyBorder="1" applyAlignment="1">
      <alignment horizontal="center" vertical="center"/>
    </xf>
    <xf numFmtId="0" fontId="4" fillId="13" borderId="14" xfId="0" applyFont="1" applyFill="1" applyBorder="1" applyAlignment="1">
      <alignment horizontal="center" vertical="center"/>
    </xf>
    <xf numFmtId="0" fontId="4" fillId="12" borderId="13" xfId="0" applyFont="1" applyFill="1" applyBorder="1" applyAlignment="1">
      <alignment horizontal="center" vertical="center"/>
    </xf>
    <xf numFmtId="0" fontId="4" fillId="15" borderId="14" xfId="0" applyFont="1" applyFill="1" applyBorder="1" applyAlignment="1">
      <alignment horizontal="center" vertical="center"/>
    </xf>
    <xf numFmtId="0" fontId="4" fillId="3" borderId="14" xfId="0" applyFont="1" applyFill="1" applyBorder="1" applyAlignment="1">
      <alignment horizontal="center" vertical="center"/>
    </xf>
    <xf numFmtId="0" fontId="4" fillId="3" borderId="10" xfId="0" applyFont="1" applyFill="1" applyBorder="1" applyAlignment="1">
      <alignment horizontal="center" vertical="center"/>
    </xf>
    <xf numFmtId="0" fontId="4" fillId="17" borderId="14" xfId="0" applyFont="1" applyFill="1" applyBorder="1" applyAlignment="1">
      <alignment horizontal="center" vertical="center"/>
    </xf>
    <xf numFmtId="0" fontId="4" fillId="0" borderId="14" xfId="0" applyFont="1" applyBorder="1" applyAlignment="1">
      <alignment horizontal="center" vertical="center"/>
    </xf>
    <xf numFmtId="164" fontId="4" fillId="5" borderId="14" xfId="0" applyNumberFormat="1" applyFont="1" applyFill="1" applyBorder="1" applyAlignment="1">
      <alignment horizontal="center" vertical="center"/>
    </xf>
    <xf numFmtId="0" fontId="4" fillId="18" borderId="14" xfId="0" applyFont="1" applyFill="1" applyBorder="1" applyAlignment="1">
      <alignment horizontal="center" vertical="center"/>
    </xf>
    <xf numFmtId="164" fontId="4" fillId="6" borderId="14" xfId="0" applyNumberFormat="1" applyFont="1" applyFill="1" applyBorder="1" applyAlignment="1">
      <alignment horizontal="center" vertical="center"/>
    </xf>
    <xf numFmtId="0" fontId="4" fillId="19" borderId="14" xfId="0" applyFont="1" applyFill="1" applyBorder="1" applyAlignment="1">
      <alignment horizontal="center" vertical="center"/>
    </xf>
    <xf numFmtId="164" fontId="4" fillId="7" borderId="14" xfId="0" applyNumberFormat="1" applyFont="1" applyFill="1" applyBorder="1" applyAlignment="1">
      <alignment horizontal="center" vertical="center"/>
    </xf>
    <xf numFmtId="0" fontId="4" fillId="20" borderId="14" xfId="0" applyFont="1" applyFill="1" applyBorder="1" applyAlignment="1">
      <alignment horizontal="center" vertical="center"/>
    </xf>
    <xf numFmtId="164" fontId="4" fillId="8" borderId="14" xfId="0" applyNumberFormat="1" applyFont="1" applyFill="1" applyBorder="1" applyAlignment="1">
      <alignment horizontal="center" vertical="center"/>
    </xf>
    <xf numFmtId="0" fontId="4" fillId="21" borderId="14" xfId="0" applyFont="1" applyFill="1" applyBorder="1" applyAlignment="1">
      <alignment horizontal="center" vertical="center"/>
    </xf>
    <xf numFmtId="0" fontId="4" fillId="3" borderId="9" xfId="0" applyFont="1" applyFill="1" applyBorder="1" applyAlignment="1">
      <alignment horizontal="center" vertical="center"/>
    </xf>
    <xf numFmtId="164" fontId="4" fillId="0" borderId="10" xfId="0" applyNumberFormat="1" applyFont="1" applyBorder="1" applyAlignment="1">
      <alignment horizontal="center" vertical="center"/>
    </xf>
    <xf numFmtId="0" fontId="15" fillId="25" borderId="14" xfId="0" applyFont="1" applyFill="1" applyBorder="1" applyAlignment="1">
      <alignment horizontal="center" vertical="center" wrapText="1"/>
    </xf>
    <xf numFmtId="0" fontId="16" fillId="0" borderId="14" xfId="0" applyFont="1" applyBorder="1" applyAlignment="1">
      <alignment horizontal="center"/>
    </xf>
    <xf numFmtId="0" fontId="17" fillId="0" borderId="14" xfId="0" applyFont="1" applyBorder="1" applyAlignment="1">
      <alignment horizontal="center"/>
    </xf>
    <xf numFmtId="0" fontId="17" fillId="26" borderId="14" xfId="0" applyFont="1" applyFill="1" applyBorder="1" applyAlignment="1">
      <alignment horizontal="center"/>
    </xf>
    <xf numFmtId="17" fontId="17" fillId="0" borderId="14" xfId="0" applyNumberFormat="1" applyFont="1" applyBorder="1" applyAlignment="1">
      <alignment horizontal="center"/>
    </xf>
    <xf numFmtId="0" fontId="17" fillId="27" borderId="14" xfId="0" applyFont="1" applyFill="1" applyBorder="1" applyAlignment="1">
      <alignment horizontal="center"/>
    </xf>
    <xf numFmtId="0" fontId="17" fillId="28" borderId="14" xfId="0" applyFont="1" applyFill="1" applyBorder="1" applyAlignment="1">
      <alignment horizontal="center"/>
    </xf>
    <xf numFmtId="0" fontId="4" fillId="26" borderId="14" xfId="0" applyFont="1" applyFill="1" applyBorder="1" applyAlignment="1">
      <alignment horizontal="center" vertical="center"/>
    </xf>
    <xf numFmtId="0" fontId="19" fillId="29" borderId="14" xfId="0" applyFont="1" applyFill="1" applyBorder="1" applyAlignment="1">
      <alignment horizontal="center" vertical="center"/>
    </xf>
    <xf numFmtId="49" fontId="19" fillId="29" borderId="14" xfId="0" applyNumberFormat="1" applyFont="1" applyFill="1" applyBorder="1" applyAlignment="1">
      <alignment horizontal="center" vertical="center"/>
    </xf>
    <xf numFmtId="0" fontId="20" fillId="30" borderId="14" xfId="0" applyFont="1" applyFill="1" applyBorder="1" applyAlignment="1">
      <alignment horizontal="center" vertical="center"/>
    </xf>
    <xf numFmtId="0" fontId="20" fillId="26" borderId="14" xfId="0" applyFont="1" applyFill="1" applyBorder="1" applyAlignment="1">
      <alignment horizontal="center" vertical="center"/>
    </xf>
    <xf numFmtId="0" fontId="4" fillId="17" borderId="11" xfId="0" applyFont="1" applyFill="1" applyBorder="1" applyAlignment="1">
      <alignment horizontal="center" vertical="center"/>
    </xf>
    <xf numFmtId="0" fontId="4" fillId="27" borderId="14" xfId="0" applyFont="1" applyFill="1" applyBorder="1" applyAlignment="1">
      <alignment horizontal="center" vertical="center"/>
    </xf>
    <xf numFmtId="0" fontId="4" fillId="32" borderId="14" xfId="0" applyFont="1" applyFill="1" applyBorder="1" applyAlignment="1">
      <alignment horizontal="center" vertical="center"/>
    </xf>
    <xf numFmtId="0" fontId="4" fillId="33" borderId="14" xfId="0" applyFont="1" applyFill="1" applyBorder="1" applyAlignment="1">
      <alignment horizontal="center" vertical="center"/>
    </xf>
    <xf numFmtId="0" fontId="18" fillId="43" borderId="14" xfId="0" applyFont="1" applyFill="1" applyBorder="1" applyAlignment="1">
      <alignment horizontal="center" vertical="center"/>
    </xf>
    <xf numFmtId="0" fontId="18" fillId="44" borderId="14" xfId="0" applyFont="1" applyFill="1" applyBorder="1" applyAlignment="1">
      <alignment horizontal="center" vertical="center"/>
    </xf>
    <xf numFmtId="0" fontId="18" fillId="45" borderId="14" xfId="0" applyFont="1" applyFill="1" applyBorder="1" applyAlignment="1">
      <alignment horizontal="center" vertical="center"/>
    </xf>
    <xf numFmtId="0" fontId="18" fillId="46" borderId="14" xfId="0" applyFont="1" applyFill="1" applyBorder="1" applyAlignment="1">
      <alignment horizontal="center" vertical="center"/>
    </xf>
    <xf numFmtId="0" fontId="18" fillId="48" borderId="14" xfId="0" applyFont="1" applyFill="1" applyBorder="1" applyAlignment="1">
      <alignment horizontal="center" vertical="center"/>
    </xf>
    <xf numFmtId="0" fontId="23" fillId="0" borderId="0" xfId="0" applyFont="1"/>
    <xf numFmtId="0" fontId="1" fillId="10" borderId="14" xfId="0" applyFont="1" applyFill="1" applyBorder="1" applyAlignment="1">
      <alignment horizontal="center" vertical="center"/>
    </xf>
    <xf numFmtId="0" fontId="0" fillId="0" borderId="11" xfId="0" applyBorder="1"/>
    <xf numFmtId="0" fontId="0" fillId="0" borderId="10" xfId="0" applyBorder="1"/>
    <xf numFmtId="0" fontId="18" fillId="43" borderId="7" xfId="0" applyFont="1" applyFill="1" applyBorder="1" applyAlignment="1">
      <alignment horizontal="center" vertical="center"/>
    </xf>
    <xf numFmtId="0" fontId="0" fillId="0" borderId="0" xfId="0"/>
    <xf numFmtId="0" fontId="4" fillId="18" borderId="14" xfId="0" applyFont="1" applyFill="1" applyBorder="1" applyAlignment="1">
      <alignment horizontal="center" vertical="center"/>
    </xf>
    <xf numFmtId="0" fontId="4" fillId="3" borderId="14" xfId="0" applyFont="1" applyFill="1" applyBorder="1" applyAlignment="1">
      <alignment horizontal="center"/>
    </xf>
    <xf numFmtId="0" fontId="14" fillId="0" borderId="14" xfId="0" applyFont="1" applyBorder="1" applyAlignment="1">
      <alignment horizontal="center" vertical="center" wrapText="1"/>
    </xf>
    <xf numFmtId="164" fontId="4" fillId="0" borderId="14" xfId="0" applyNumberFormat="1" applyFont="1" applyBorder="1" applyAlignment="1">
      <alignment horizontal="center"/>
    </xf>
    <xf numFmtId="0" fontId="4" fillId="6" borderId="4" xfId="0" applyFont="1" applyFill="1" applyBorder="1" applyAlignment="1">
      <alignment horizontal="center"/>
    </xf>
    <xf numFmtId="0" fontId="0" fillId="0" borderId="13" xfId="0" applyBorder="1"/>
    <xf numFmtId="0" fontId="4" fillId="20" borderId="14" xfId="0" applyFont="1" applyFill="1" applyBorder="1" applyAlignment="1">
      <alignment horizontal="center" vertical="center"/>
    </xf>
    <xf numFmtId="0" fontId="4" fillId="19" borderId="14" xfId="0" applyFont="1" applyFill="1" applyBorder="1" applyAlignment="1">
      <alignment horizontal="center" vertical="center"/>
    </xf>
    <xf numFmtId="0" fontId="17" fillId="0" borderId="14" xfId="0" applyFont="1" applyBorder="1" applyAlignment="1">
      <alignment horizontal="center"/>
    </xf>
    <xf numFmtId="0" fontId="4" fillId="12" borderId="14" xfId="0" applyFont="1" applyFill="1" applyBorder="1" applyAlignment="1">
      <alignment horizontal="center" vertical="center"/>
    </xf>
    <xf numFmtId="0" fontId="8" fillId="10" borderId="14" xfId="0" applyFont="1" applyFill="1" applyBorder="1" applyAlignment="1">
      <alignment horizontal="center" vertical="center"/>
    </xf>
    <xf numFmtId="0" fontId="4" fillId="6" borderId="1" xfId="0" applyFont="1" applyFill="1" applyBorder="1" applyAlignment="1">
      <alignment horizontal="center"/>
    </xf>
    <xf numFmtId="0" fontId="0" fillId="0" borderId="9" xfId="0" applyBorder="1"/>
    <xf numFmtId="0" fontId="10" fillId="14" borderId="14" xfId="0" applyFont="1" applyFill="1" applyBorder="1" applyAlignment="1">
      <alignment horizontal="center" vertical="center"/>
    </xf>
    <xf numFmtId="0" fontId="10" fillId="2" borderId="14" xfId="0" applyFont="1" applyFill="1" applyBorder="1" applyAlignment="1">
      <alignment horizontal="center" vertical="center"/>
    </xf>
    <xf numFmtId="0" fontId="11" fillId="22" borderId="14" xfId="0" applyFont="1" applyFill="1" applyBorder="1" applyAlignment="1">
      <alignment horizontal="center" vertical="center" wrapText="1"/>
    </xf>
    <xf numFmtId="0" fontId="4" fillId="15" borderId="14" xfId="0" applyFont="1" applyFill="1" applyBorder="1" applyAlignment="1">
      <alignment horizontal="center" vertical="center"/>
    </xf>
    <xf numFmtId="10" fontId="4" fillId="0" borderId="14" xfId="0" applyNumberFormat="1" applyFont="1" applyBorder="1" applyAlignment="1">
      <alignment horizontal="center" vertical="center"/>
    </xf>
    <xf numFmtId="0" fontId="4" fillId="6" borderId="14" xfId="0" applyFont="1" applyFill="1" applyBorder="1" applyAlignment="1">
      <alignment horizontal="center"/>
    </xf>
    <xf numFmtId="0" fontId="1" fillId="10" borderId="14" xfId="0" applyFont="1" applyFill="1" applyBorder="1" applyAlignment="1">
      <alignment horizontal="center" vertical="center" wrapText="1"/>
    </xf>
    <xf numFmtId="0" fontId="16" fillId="0" borderId="14" xfId="0" applyFont="1" applyBorder="1" applyAlignment="1">
      <alignment horizontal="center"/>
    </xf>
    <xf numFmtId="0" fontId="4" fillId="12" borderId="4" xfId="0" applyFont="1" applyFill="1" applyBorder="1" applyAlignment="1">
      <alignment horizontal="center" vertical="center"/>
    </xf>
    <xf numFmtId="0" fontId="4" fillId="3" borderId="2" xfId="0" applyFont="1" applyFill="1" applyBorder="1" applyAlignment="1">
      <alignment horizontal="center"/>
    </xf>
    <xf numFmtId="49" fontId="9" fillId="11" borderId="9" xfId="0" applyNumberFormat="1" applyFont="1" applyFill="1" applyBorder="1" applyAlignment="1">
      <alignment horizontal="center" vertical="center"/>
    </xf>
    <xf numFmtId="0" fontId="0" fillId="0" borderId="12" xfId="0" applyBorder="1"/>
    <xf numFmtId="0" fontId="4" fillId="17" borderId="14" xfId="0" applyFont="1" applyFill="1" applyBorder="1" applyAlignment="1">
      <alignment horizontal="center" vertical="center"/>
    </xf>
    <xf numFmtId="0" fontId="4" fillId="21" borderId="14" xfId="0" applyFont="1" applyFill="1" applyBorder="1" applyAlignment="1">
      <alignment horizontal="center" vertical="center"/>
    </xf>
    <xf numFmtId="0" fontId="24" fillId="0" borderId="0" xfId="0" applyFont="1"/>
    <xf numFmtId="0" fontId="21" fillId="34" borderId="3" xfId="0" applyFont="1" applyFill="1" applyBorder="1" applyAlignment="1">
      <alignment horizontal="center" vertical="center"/>
    </xf>
    <xf numFmtId="0" fontId="22" fillId="0" borderId="3" xfId="0" applyFont="1" applyBorder="1" applyAlignment="1">
      <alignment horizontal="center" vertical="center"/>
    </xf>
    <xf numFmtId="0" fontId="25" fillId="0" borderId="14" xfId="0" applyFont="1" applyBorder="1" applyAlignment="1">
      <alignment horizontal="center" vertical="center"/>
    </xf>
    <xf numFmtId="0" fontId="26" fillId="0" borderId="0" xfId="0" applyFont="1"/>
    <xf numFmtId="0" fontId="25" fillId="0" borderId="1" xfId="0" applyFont="1" applyBorder="1" applyAlignment="1">
      <alignment horizontal="center" vertical="center"/>
    </xf>
    <xf numFmtId="0" fontId="25" fillId="0" borderId="4" xfId="0" applyFont="1" applyBorder="1" applyAlignment="1">
      <alignment horizontal="center" vertical="center"/>
    </xf>
  </cellXfs>
  <cellStyles count="1">
    <cellStyle name="Normal" xfId="0" builtinId="0"/>
  </cellStyles>
  <dxfs count="221">
    <dxf>
      <fill>
        <patternFill patternType="solid">
          <fgColor rgb="FFFF6666"/>
          <bgColor rgb="FFFF6666"/>
        </patternFill>
      </fill>
    </dxf>
    <dxf>
      <fill>
        <patternFill patternType="solid">
          <fgColor rgb="FF66FF66"/>
          <bgColor rgb="FF66FF66"/>
        </patternFill>
      </fill>
    </dxf>
    <dxf>
      <fill>
        <patternFill patternType="solid">
          <fgColor rgb="FFFF6666"/>
          <bgColor rgb="FFFF6666"/>
        </patternFill>
      </fill>
    </dxf>
    <dxf>
      <fill>
        <patternFill patternType="solid">
          <fgColor rgb="FF66FF66"/>
          <bgColor rgb="FF66FF66"/>
        </patternFill>
      </fill>
    </dxf>
    <dxf>
      <fill>
        <patternFill patternType="solid">
          <fgColor rgb="FFFFA500"/>
          <bgColor rgb="FFFFA500"/>
        </patternFill>
      </fill>
    </dxf>
    <dxf>
      <fill>
        <patternFill patternType="solid">
          <fgColor rgb="FFFF6666"/>
          <bgColor rgb="FFFF6666"/>
        </patternFill>
      </fill>
    </dxf>
    <dxf>
      <fill>
        <patternFill patternType="solid">
          <fgColor rgb="FF66FF66"/>
          <bgColor rgb="FF66FF66"/>
        </patternFill>
      </fill>
    </dxf>
    <dxf>
      <fill>
        <patternFill patternType="solid">
          <fgColor rgb="FFFF6666"/>
          <bgColor rgb="FFFF6666"/>
        </patternFill>
      </fill>
    </dxf>
    <dxf>
      <fill>
        <patternFill patternType="solid">
          <fgColor rgb="FF66FF66"/>
          <bgColor rgb="FF66FF66"/>
        </patternFill>
      </fill>
    </dxf>
    <dxf>
      <font>
        <sz val="11"/>
        <color rgb="FFFFFFFF"/>
        <name val="Arial"/>
      </font>
      <fill>
        <patternFill patternType="solid">
          <fgColor rgb="FF31869B"/>
          <bgColor rgb="FF31869B"/>
        </patternFill>
      </fill>
    </dxf>
    <dxf>
      <font>
        <sz val="11"/>
        <color rgb="FFFFFFFF"/>
        <name val="Arial"/>
      </font>
      <fill>
        <patternFill patternType="solid">
          <fgColor rgb="FF808080"/>
          <bgColor rgb="FF808080"/>
        </patternFill>
      </fill>
    </dxf>
    <dxf>
      <font>
        <sz val="11"/>
        <color rgb="FFFFFFFF"/>
        <name val="Arial"/>
      </font>
      <fill>
        <patternFill patternType="solid">
          <fgColor rgb="FFA020F0"/>
          <bgColor rgb="FFA020F0"/>
        </patternFill>
      </fill>
    </dxf>
    <dxf>
      <font>
        <sz val="11"/>
        <color rgb="FFFFFFFF"/>
        <name val="Arial"/>
      </font>
      <fill>
        <patternFill patternType="solid">
          <fgColor rgb="FFFF0000"/>
          <bgColor rgb="FFFF0000"/>
        </patternFill>
      </fill>
    </dxf>
    <dxf>
      <font>
        <sz val="11"/>
        <color rgb="FFFFFFFF"/>
        <name val="Arial"/>
      </font>
      <fill>
        <patternFill patternType="solid">
          <fgColor rgb="FFFF6400"/>
          <bgColor rgb="FFFF6400"/>
        </patternFill>
      </fill>
    </dxf>
    <dxf>
      <font>
        <sz val="11"/>
        <color rgb="FFFFFFFF"/>
        <name val="Arial"/>
      </font>
      <fill>
        <patternFill patternType="solid">
          <fgColor rgb="FF006400"/>
          <bgColor rgb="FF006400"/>
        </patternFill>
      </fill>
    </dxf>
    <dxf>
      <fill>
        <patternFill patternType="solid">
          <fgColor rgb="FFFFA500"/>
          <bgColor rgb="FFFFA500"/>
        </patternFill>
      </fill>
    </dxf>
    <dxf>
      <fill>
        <patternFill patternType="solid">
          <fgColor rgb="FFFF6666"/>
          <bgColor rgb="FFFF6666"/>
        </patternFill>
      </fill>
    </dxf>
    <dxf>
      <fill>
        <patternFill patternType="solid">
          <fgColor rgb="FF66FF66"/>
          <bgColor rgb="FF66FF66"/>
        </patternFill>
      </fill>
    </dxf>
    <dxf>
      <fill>
        <patternFill patternType="solid">
          <fgColor rgb="FFFF6666"/>
          <bgColor rgb="FFFF6666"/>
        </patternFill>
      </fill>
    </dxf>
    <dxf>
      <fill>
        <patternFill patternType="solid">
          <fgColor rgb="FF66FF66"/>
          <bgColor rgb="FF66FF66"/>
        </patternFill>
      </fill>
    </dxf>
    <dxf>
      <font>
        <sz val="11"/>
        <color rgb="FFFFFFFF"/>
        <name val="Arial"/>
      </font>
      <fill>
        <patternFill patternType="solid">
          <fgColor rgb="FF31869B"/>
          <bgColor rgb="FF31869B"/>
        </patternFill>
      </fill>
    </dxf>
    <dxf>
      <font>
        <sz val="11"/>
        <color rgb="FFFFFFFF"/>
        <name val="Arial"/>
      </font>
      <fill>
        <patternFill patternType="solid">
          <fgColor rgb="FF808080"/>
          <bgColor rgb="FF808080"/>
        </patternFill>
      </fill>
    </dxf>
    <dxf>
      <font>
        <sz val="11"/>
        <color rgb="FFFFFFFF"/>
        <name val="Arial"/>
      </font>
      <fill>
        <patternFill patternType="solid">
          <fgColor rgb="FFA020F0"/>
          <bgColor rgb="FFA020F0"/>
        </patternFill>
      </fill>
    </dxf>
    <dxf>
      <font>
        <sz val="11"/>
        <color rgb="FFFFFFFF"/>
        <name val="Arial"/>
      </font>
      <fill>
        <patternFill patternType="solid">
          <fgColor rgb="FFFF0000"/>
          <bgColor rgb="FFFF0000"/>
        </patternFill>
      </fill>
    </dxf>
    <dxf>
      <font>
        <sz val="11"/>
        <color rgb="FFFFFFFF"/>
        <name val="Arial"/>
      </font>
      <fill>
        <patternFill patternType="solid">
          <fgColor rgb="FFFF6400"/>
          <bgColor rgb="FFFF6400"/>
        </patternFill>
      </fill>
    </dxf>
    <dxf>
      <font>
        <sz val="11"/>
        <color rgb="FFFFFFFF"/>
        <name val="Arial"/>
      </font>
      <fill>
        <patternFill patternType="solid">
          <fgColor rgb="FF006400"/>
          <bgColor rgb="FF006400"/>
        </patternFill>
      </fill>
    </dxf>
    <dxf>
      <fill>
        <patternFill patternType="solid">
          <fgColor rgb="FFFFA500"/>
          <bgColor rgb="FFFFA500"/>
        </patternFill>
      </fill>
    </dxf>
    <dxf>
      <fill>
        <patternFill patternType="solid">
          <fgColor rgb="FFFF6666"/>
          <bgColor rgb="FFFF6666"/>
        </patternFill>
      </fill>
    </dxf>
    <dxf>
      <fill>
        <patternFill patternType="solid">
          <fgColor rgb="FF66FF66"/>
          <bgColor rgb="FF66FF66"/>
        </patternFill>
      </fill>
    </dxf>
    <dxf>
      <fill>
        <patternFill patternType="solid">
          <fgColor rgb="FFFF6666"/>
          <bgColor rgb="FFFF6666"/>
        </patternFill>
      </fill>
    </dxf>
    <dxf>
      <fill>
        <patternFill patternType="solid">
          <fgColor rgb="FF66FF66"/>
          <bgColor rgb="FF66FF66"/>
        </patternFill>
      </fill>
    </dxf>
    <dxf>
      <font>
        <sz val="11"/>
        <color rgb="FFFFFFFF"/>
        <name val="Arial"/>
      </font>
      <fill>
        <patternFill patternType="solid">
          <fgColor rgb="FF31869B"/>
          <bgColor rgb="FF31869B"/>
        </patternFill>
      </fill>
    </dxf>
    <dxf>
      <font>
        <sz val="11"/>
        <color rgb="FFFFFFFF"/>
        <name val="Arial"/>
      </font>
      <fill>
        <patternFill patternType="solid">
          <fgColor rgb="FF808080"/>
          <bgColor rgb="FF808080"/>
        </patternFill>
      </fill>
    </dxf>
    <dxf>
      <font>
        <sz val="11"/>
        <color rgb="FFFFFFFF"/>
        <name val="Arial"/>
      </font>
      <fill>
        <patternFill patternType="solid">
          <fgColor rgb="FFA020F0"/>
          <bgColor rgb="FFA020F0"/>
        </patternFill>
      </fill>
    </dxf>
    <dxf>
      <font>
        <sz val="11"/>
        <color rgb="FFFFFFFF"/>
        <name val="Arial"/>
      </font>
      <fill>
        <patternFill patternType="solid">
          <fgColor rgb="FFFF0000"/>
          <bgColor rgb="FFFF0000"/>
        </patternFill>
      </fill>
    </dxf>
    <dxf>
      <font>
        <sz val="11"/>
        <color rgb="FFFFFFFF"/>
        <name val="Arial"/>
      </font>
      <fill>
        <patternFill patternType="solid">
          <fgColor rgb="FFFF6400"/>
          <bgColor rgb="FFFF6400"/>
        </patternFill>
      </fill>
    </dxf>
    <dxf>
      <font>
        <sz val="11"/>
        <color rgb="FFFFFFFF"/>
        <name val="Arial"/>
      </font>
      <fill>
        <patternFill patternType="solid">
          <fgColor rgb="FF006400"/>
          <bgColor rgb="FF006400"/>
        </patternFill>
      </fill>
    </dxf>
    <dxf>
      <fill>
        <patternFill patternType="solid">
          <fgColor rgb="FFFFA500"/>
          <bgColor rgb="FFFFA500"/>
        </patternFill>
      </fill>
    </dxf>
    <dxf>
      <fill>
        <patternFill patternType="solid">
          <fgColor rgb="FFFF6666"/>
          <bgColor rgb="FFFF6666"/>
        </patternFill>
      </fill>
    </dxf>
    <dxf>
      <fill>
        <patternFill patternType="solid">
          <fgColor rgb="FF66FF66"/>
          <bgColor rgb="FF66FF66"/>
        </patternFill>
      </fill>
    </dxf>
    <dxf>
      <fill>
        <patternFill patternType="solid">
          <fgColor rgb="FFFF6666"/>
          <bgColor rgb="FFFF6666"/>
        </patternFill>
      </fill>
    </dxf>
    <dxf>
      <fill>
        <patternFill patternType="solid">
          <fgColor rgb="FF66FF66"/>
          <bgColor rgb="FF66FF66"/>
        </patternFill>
      </fill>
    </dxf>
    <dxf>
      <font>
        <sz val="11"/>
        <color rgb="FFFFFFFF"/>
        <name val="Arial"/>
      </font>
      <fill>
        <patternFill patternType="solid">
          <fgColor rgb="FF31869B"/>
          <bgColor rgb="FF31869B"/>
        </patternFill>
      </fill>
    </dxf>
    <dxf>
      <font>
        <sz val="11"/>
        <color rgb="FFFFFFFF"/>
        <name val="Arial"/>
      </font>
      <fill>
        <patternFill patternType="solid">
          <fgColor rgb="FF808080"/>
          <bgColor rgb="FF808080"/>
        </patternFill>
      </fill>
    </dxf>
    <dxf>
      <font>
        <sz val="11"/>
        <color rgb="FFFFFFFF"/>
        <name val="Arial"/>
      </font>
      <fill>
        <patternFill patternType="solid">
          <fgColor rgb="FFA020F0"/>
          <bgColor rgb="FFA020F0"/>
        </patternFill>
      </fill>
    </dxf>
    <dxf>
      <font>
        <sz val="11"/>
        <color rgb="FFFFFFFF"/>
        <name val="Arial"/>
      </font>
      <fill>
        <patternFill patternType="solid">
          <fgColor rgb="FFFF0000"/>
          <bgColor rgb="FFFF0000"/>
        </patternFill>
      </fill>
    </dxf>
    <dxf>
      <font>
        <sz val="11"/>
        <color rgb="FFFFFFFF"/>
        <name val="Arial"/>
      </font>
      <fill>
        <patternFill patternType="solid">
          <fgColor rgb="FFFF6400"/>
          <bgColor rgb="FFFF6400"/>
        </patternFill>
      </fill>
    </dxf>
    <dxf>
      <font>
        <sz val="11"/>
        <color rgb="FFFFFFFF"/>
        <name val="Arial"/>
      </font>
      <fill>
        <patternFill patternType="solid">
          <fgColor rgb="FF006400"/>
          <bgColor rgb="FF006400"/>
        </patternFill>
      </fill>
    </dxf>
    <dxf>
      <fill>
        <patternFill patternType="solid">
          <fgColor rgb="FFFFA500"/>
          <bgColor rgb="FFFFA500"/>
        </patternFill>
      </fill>
    </dxf>
    <dxf>
      <fill>
        <patternFill patternType="solid">
          <fgColor rgb="FFFF6666"/>
          <bgColor rgb="FFFF6666"/>
        </patternFill>
      </fill>
    </dxf>
    <dxf>
      <fill>
        <patternFill patternType="solid">
          <fgColor rgb="FF66FF66"/>
          <bgColor rgb="FF66FF66"/>
        </patternFill>
      </fill>
    </dxf>
    <dxf>
      <fill>
        <patternFill patternType="solid">
          <fgColor rgb="FFFF6666"/>
          <bgColor rgb="FFFF6666"/>
        </patternFill>
      </fill>
    </dxf>
    <dxf>
      <fill>
        <patternFill patternType="solid">
          <fgColor rgb="FF66FF66"/>
          <bgColor rgb="FF66FF66"/>
        </patternFill>
      </fill>
    </dxf>
    <dxf>
      <font>
        <sz val="11"/>
        <color rgb="FFFFFFFF"/>
        <name val="Arial"/>
      </font>
      <fill>
        <patternFill patternType="solid">
          <fgColor rgb="FF31869B"/>
          <bgColor rgb="FF31869B"/>
        </patternFill>
      </fill>
    </dxf>
    <dxf>
      <font>
        <sz val="11"/>
        <color rgb="FFFFFFFF"/>
        <name val="Arial"/>
      </font>
      <fill>
        <patternFill patternType="solid">
          <fgColor rgb="FF808080"/>
          <bgColor rgb="FF808080"/>
        </patternFill>
      </fill>
    </dxf>
    <dxf>
      <font>
        <sz val="11"/>
        <color rgb="FFFFFFFF"/>
        <name val="Arial"/>
      </font>
      <fill>
        <patternFill patternType="solid">
          <fgColor rgb="FFA020F0"/>
          <bgColor rgb="FFA020F0"/>
        </patternFill>
      </fill>
    </dxf>
    <dxf>
      <font>
        <sz val="11"/>
        <color rgb="FFFFFFFF"/>
        <name val="Arial"/>
      </font>
      <fill>
        <patternFill patternType="solid">
          <fgColor rgb="FFFF0000"/>
          <bgColor rgb="FFFF0000"/>
        </patternFill>
      </fill>
    </dxf>
    <dxf>
      <font>
        <sz val="11"/>
        <color rgb="FFFFFFFF"/>
        <name val="Arial"/>
      </font>
      <fill>
        <patternFill patternType="solid">
          <fgColor rgb="FFFF6400"/>
          <bgColor rgb="FFFF6400"/>
        </patternFill>
      </fill>
    </dxf>
    <dxf>
      <font>
        <sz val="11"/>
        <color rgb="FFFFFFFF"/>
        <name val="Arial"/>
      </font>
      <fill>
        <patternFill patternType="solid">
          <fgColor rgb="FF006400"/>
          <bgColor rgb="FF006400"/>
        </patternFill>
      </fill>
    </dxf>
    <dxf>
      <fill>
        <patternFill patternType="solid">
          <fgColor rgb="FFFFA500"/>
          <bgColor rgb="FFFFA500"/>
        </patternFill>
      </fill>
    </dxf>
    <dxf>
      <fill>
        <patternFill patternType="solid">
          <fgColor rgb="FFFF6666"/>
          <bgColor rgb="FFFF6666"/>
        </patternFill>
      </fill>
    </dxf>
    <dxf>
      <fill>
        <patternFill patternType="solid">
          <fgColor rgb="FF66FF66"/>
          <bgColor rgb="FF66FF66"/>
        </patternFill>
      </fill>
    </dxf>
    <dxf>
      <fill>
        <patternFill patternType="solid">
          <fgColor rgb="FFFF6666"/>
          <bgColor rgb="FFFF6666"/>
        </patternFill>
      </fill>
    </dxf>
    <dxf>
      <fill>
        <patternFill patternType="solid">
          <fgColor rgb="FF66FF66"/>
          <bgColor rgb="FF66FF66"/>
        </patternFill>
      </fill>
    </dxf>
    <dxf>
      <font>
        <sz val="11"/>
        <color rgb="FFFFFFFF"/>
        <name val="Arial"/>
      </font>
      <fill>
        <patternFill patternType="solid">
          <fgColor rgb="FF31869B"/>
          <bgColor rgb="FF31869B"/>
        </patternFill>
      </fill>
    </dxf>
    <dxf>
      <font>
        <sz val="11"/>
        <color rgb="FFFFFFFF"/>
        <name val="Arial"/>
      </font>
      <fill>
        <patternFill patternType="solid">
          <fgColor rgb="FF808080"/>
          <bgColor rgb="FF808080"/>
        </patternFill>
      </fill>
    </dxf>
    <dxf>
      <font>
        <sz val="11"/>
        <color rgb="FFFFFFFF"/>
        <name val="Arial"/>
      </font>
      <fill>
        <patternFill patternType="solid">
          <fgColor rgb="FFA020F0"/>
          <bgColor rgb="FFA020F0"/>
        </patternFill>
      </fill>
    </dxf>
    <dxf>
      <font>
        <sz val="11"/>
        <color rgb="FFFFFFFF"/>
        <name val="Arial"/>
      </font>
      <fill>
        <patternFill patternType="solid">
          <fgColor rgb="FFFF0000"/>
          <bgColor rgb="FFFF0000"/>
        </patternFill>
      </fill>
    </dxf>
    <dxf>
      <font>
        <sz val="11"/>
        <color rgb="FFFFFFFF"/>
        <name val="Arial"/>
      </font>
      <fill>
        <patternFill patternType="solid">
          <fgColor rgb="FFFF6400"/>
          <bgColor rgb="FFFF6400"/>
        </patternFill>
      </fill>
    </dxf>
    <dxf>
      <font>
        <sz val="11"/>
        <color rgb="FFFFFFFF"/>
        <name val="Arial"/>
      </font>
      <fill>
        <patternFill patternType="solid">
          <fgColor rgb="FF006400"/>
          <bgColor rgb="FF006400"/>
        </patternFill>
      </fill>
    </dxf>
    <dxf>
      <fill>
        <patternFill patternType="solid">
          <fgColor rgb="FFFFA500"/>
          <bgColor rgb="FFFFA500"/>
        </patternFill>
      </fill>
    </dxf>
    <dxf>
      <fill>
        <patternFill patternType="solid">
          <fgColor rgb="FFFF6666"/>
          <bgColor rgb="FFFF6666"/>
        </patternFill>
      </fill>
    </dxf>
    <dxf>
      <fill>
        <patternFill patternType="solid">
          <fgColor rgb="FF66FF66"/>
          <bgColor rgb="FF66FF66"/>
        </patternFill>
      </fill>
    </dxf>
    <dxf>
      <fill>
        <patternFill patternType="solid">
          <fgColor rgb="FFFF6666"/>
          <bgColor rgb="FFFF6666"/>
        </patternFill>
      </fill>
    </dxf>
    <dxf>
      <fill>
        <patternFill patternType="solid">
          <fgColor rgb="FF66FF66"/>
          <bgColor rgb="FF66FF66"/>
        </patternFill>
      </fill>
    </dxf>
    <dxf>
      <font>
        <sz val="11"/>
        <color rgb="FFFFFFFF"/>
        <name val="Arial"/>
      </font>
      <fill>
        <patternFill patternType="solid">
          <fgColor rgb="FF31869B"/>
          <bgColor rgb="FF31869B"/>
        </patternFill>
      </fill>
    </dxf>
    <dxf>
      <font>
        <sz val="11"/>
        <color rgb="FFFFFFFF"/>
        <name val="Arial"/>
      </font>
      <fill>
        <patternFill patternType="solid">
          <fgColor rgb="FF808080"/>
          <bgColor rgb="FF808080"/>
        </patternFill>
      </fill>
    </dxf>
    <dxf>
      <font>
        <sz val="11"/>
        <color rgb="FFFFFFFF"/>
        <name val="Arial"/>
      </font>
      <fill>
        <patternFill patternType="solid">
          <fgColor rgb="FFA020F0"/>
          <bgColor rgb="FFA020F0"/>
        </patternFill>
      </fill>
    </dxf>
    <dxf>
      <font>
        <sz val="11"/>
        <color rgb="FFFFFFFF"/>
        <name val="Arial"/>
      </font>
      <fill>
        <patternFill patternType="solid">
          <fgColor rgb="FFFF0000"/>
          <bgColor rgb="FFFF0000"/>
        </patternFill>
      </fill>
    </dxf>
    <dxf>
      <font>
        <sz val="11"/>
        <color rgb="FFFFFFFF"/>
        <name val="Arial"/>
      </font>
      <fill>
        <patternFill patternType="solid">
          <fgColor rgb="FFFF6400"/>
          <bgColor rgb="FFFF6400"/>
        </patternFill>
      </fill>
    </dxf>
    <dxf>
      <font>
        <sz val="11"/>
        <color rgb="FFFFFFFF"/>
        <name val="Arial"/>
      </font>
      <fill>
        <patternFill patternType="solid">
          <fgColor rgb="FF006400"/>
          <bgColor rgb="FF006400"/>
        </patternFill>
      </fill>
    </dxf>
    <dxf>
      <fill>
        <patternFill patternType="solid">
          <fgColor rgb="FFFFA500"/>
          <bgColor rgb="FFFFA500"/>
        </patternFill>
      </fill>
    </dxf>
    <dxf>
      <fill>
        <patternFill patternType="solid">
          <fgColor rgb="FFFF6666"/>
          <bgColor rgb="FFFF6666"/>
        </patternFill>
      </fill>
    </dxf>
    <dxf>
      <fill>
        <patternFill patternType="solid">
          <fgColor rgb="FF66FF66"/>
          <bgColor rgb="FF66FF66"/>
        </patternFill>
      </fill>
    </dxf>
    <dxf>
      <fill>
        <patternFill patternType="solid">
          <fgColor rgb="FFFF6666"/>
          <bgColor rgb="FFFF6666"/>
        </patternFill>
      </fill>
    </dxf>
    <dxf>
      <fill>
        <patternFill patternType="solid">
          <fgColor rgb="FF66FF66"/>
          <bgColor rgb="FF66FF66"/>
        </patternFill>
      </fill>
    </dxf>
    <dxf>
      <font>
        <sz val="11"/>
        <color rgb="FFFFFFFF"/>
        <name val="Arial"/>
      </font>
      <fill>
        <patternFill patternType="solid">
          <fgColor rgb="FF31869B"/>
          <bgColor rgb="FF31869B"/>
        </patternFill>
      </fill>
    </dxf>
    <dxf>
      <font>
        <sz val="11"/>
        <color rgb="FFFFFFFF"/>
        <name val="Arial"/>
      </font>
      <fill>
        <patternFill patternType="solid">
          <fgColor rgb="FF808080"/>
          <bgColor rgb="FF808080"/>
        </patternFill>
      </fill>
    </dxf>
    <dxf>
      <font>
        <sz val="11"/>
        <color rgb="FFFFFFFF"/>
        <name val="Arial"/>
      </font>
      <fill>
        <patternFill patternType="solid">
          <fgColor rgb="FFA020F0"/>
          <bgColor rgb="FFA020F0"/>
        </patternFill>
      </fill>
    </dxf>
    <dxf>
      <font>
        <sz val="11"/>
        <color rgb="FFFFFFFF"/>
        <name val="Arial"/>
      </font>
      <fill>
        <patternFill patternType="solid">
          <fgColor rgb="FFFF0000"/>
          <bgColor rgb="FFFF0000"/>
        </patternFill>
      </fill>
    </dxf>
    <dxf>
      <font>
        <sz val="11"/>
        <color rgb="FFFFFFFF"/>
        <name val="Arial"/>
      </font>
      <fill>
        <patternFill patternType="solid">
          <fgColor rgb="FFFF6400"/>
          <bgColor rgb="FFFF6400"/>
        </patternFill>
      </fill>
    </dxf>
    <dxf>
      <font>
        <sz val="11"/>
        <color rgb="FFFFFFFF"/>
        <name val="Arial"/>
      </font>
      <fill>
        <patternFill patternType="solid">
          <fgColor rgb="FF006400"/>
          <bgColor rgb="FF006400"/>
        </patternFill>
      </fill>
    </dxf>
    <dxf>
      <fill>
        <patternFill patternType="solid">
          <fgColor rgb="FFFFA500"/>
          <bgColor rgb="FFFFA500"/>
        </patternFill>
      </fill>
    </dxf>
    <dxf>
      <fill>
        <patternFill patternType="solid">
          <fgColor rgb="FFFF6666"/>
          <bgColor rgb="FFFF6666"/>
        </patternFill>
      </fill>
    </dxf>
    <dxf>
      <fill>
        <patternFill patternType="solid">
          <fgColor rgb="FF66FF66"/>
          <bgColor rgb="FF66FF66"/>
        </patternFill>
      </fill>
    </dxf>
    <dxf>
      <fill>
        <patternFill patternType="solid">
          <fgColor rgb="FFFF6666"/>
          <bgColor rgb="FFFF6666"/>
        </patternFill>
      </fill>
    </dxf>
    <dxf>
      <fill>
        <patternFill patternType="solid">
          <fgColor rgb="FF66FF66"/>
          <bgColor rgb="FF66FF66"/>
        </patternFill>
      </fill>
    </dxf>
    <dxf>
      <font>
        <sz val="11"/>
        <color rgb="FFFFFFFF"/>
        <name val="Arial"/>
      </font>
      <fill>
        <patternFill patternType="solid">
          <fgColor rgb="FF31869B"/>
          <bgColor rgb="FF31869B"/>
        </patternFill>
      </fill>
    </dxf>
    <dxf>
      <font>
        <sz val="11"/>
        <color rgb="FFFFFFFF"/>
        <name val="Arial"/>
      </font>
      <fill>
        <patternFill patternType="solid">
          <fgColor rgb="FF808080"/>
          <bgColor rgb="FF808080"/>
        </patternFill>
      </fill>
    </dxf>
    <dxf>
      <font>
        <sz val="11"/>
        <color rgb="FFFFFFFF"/>
        <name val="Arial"/>
      </font>
      <fill>
        <patternFill patternType="solid">
          <fgColor rgb="FFA020F0"/>
          <bgColor rgb="FFA020F0"/>
        </patternFill>
      </fill>
    </dxf>
    <dxf>
      <font>
        <sz val="11"/>
        <color rgb="FFFFFFFF"/>
        <name val="Arial"/>
      </font>
      <fill>
        <patternFill patternType="solid">
          <fgColor rgb="FFFF0000"/>
          <bgColor rgb="FFFF0000"/>
        </patternFill>
      </fill>
    </dxf>
    <dxf>
      <font>
        <sz val="11"/>
        <color rgb="FFFFFFFF"/>
        <name val="Arial"/>
      </font>
      <fill>
        <patternFill patternType="solid">
          <fgColor rgb="FFFF6400"/>
          <bgColor rgb="FFFF6400"/>
        </patternFill>
      </fill>
    </dxf>
    <dxf>
      <font>
        <sz val="11"/>
        <color rgb="FFFFFFFF"/>
        <name val="Arial"/>
      </font>
      <fill>
        <patternFill patternType="solid">
          <fgColor rgb="FF006400"/>
          <bgColor rgb="FF006400"/>
        </patternFill>
      </fill>
    </dxf>
    <dxf>
      <fill>
        <patternFill patternType="solid">
          <fgColor rgb="FFFFA500"/>
          <bgColor rgb="FFFFA500"/>
        </patternFill>
      </fill>
    </dxf>
    <dxf>
      <fill>
        <patternFill patternType="solid">
          <fgColor rgb="FFFF6666"/>
          <bgColor rgb="FFFF6666"/>
        </patternFill>
      </fill>
    </dxf>
    <dxf>
      <fill>
        <patternFill patternType="solid">
          <fgColor rgb="FF66FF66"/>
          <bgColor rgb="FF66FF66"/>
        </patternFill>
      </fill>
    </dxf>
    <dxf>
      <fill>
        <patternFill patternType="solid">
          <fgColor rgb="FFFF6666"/>
          <bgColor rgb="FFFF6666"/>
        </patternFill>
      </fill>
    </dxf>
    <dxf>
      <fill>
        <patternFill patternType="solid">
          <fgColor rgb="FF66FF66"/>
          <bgColor rgb="FF66FF66"/>
        </patternFill>
      </fill>
    </dxf>
    <dxf>
      <font>
        <sz val="11"/>
        <color rgb="FFFFFFFF"/>
        <name val="Arial"/>
      </font>
      <fill>
        <patternFill patternType="solid">
          <fgColor rgb="FF31869B"/>
          <bgColor rgb="FF31869B"/>
        </patternFill>
      </fill>
    </dxf>
    <dxf>
      <font>
        <sz val="11"/>
        <color rgb="FFFFFFFF"/>
        <name val="Arial"/>
      </font>
      <fill>
        <patternFill patternType="solid">
          <fgColor rgb="FF808080"/>
          <bgColor rgb="FF808080"/>
        </patternFill>
      </fill>
    </dxf>
    <dxf>
      <font>
        <sz val="11"/>
        <color rgb="FFFFFFFF"/>
        <name val="Arial"/>
      </font>
      <fill>
        <patternFill patternType="solid">
          <fgColor rgb="FFA020F0"/>
          <bgColor rgb="FFA020F0"/>
        </patternFill>
      </fill>
    </dxf>
    <dxf>
      <font>
        <sz val="11"/>
        <color rgb="FFFFFFFF"/>
        <name val="Arial"/>
      </font>
      <fill>
        <patternFill patternType="solid">
          <fgColor rgb="FFFF0000"/>
          <bgColor rgb="FFFF0000"/>
        </patternFill>
      </fill>
    </dxf>
    <dxf>
      <font>
        <sz val="11"/>
        <color rgb="FFFFFFFF"/>
        <name val="Arial"/>
      </font>
      <fill>
        <patternFill patternType="solid">
          <fgColor rgb="FFFF6400"/>
          <bgColor rgb="FFFF6400"/>
        </patternFill>
      </fill>
    </dxf>
    <dxf>
      <font>
        <sz val="11"/>
        <color rgb="FFFFFFFF"/>
        <name val="Arial"/>
      </font>
      <fill>
        <patternFill patternType="solid">
          <fgColor rgb="FF006400"/>
          <bgColor rgb="FF006400"/>
        </patternFill>
      </fill>
    </dxf>
    <dxf>
      <fill>
        <patternFill patternType="solid">
          <fgColor rgb="FFFFA500"/>
          <bgColor rgb="FFFFA500"/>
        </patternFill>
      </fill>
    </dxf>
    <dxf>
      <fill>
        <patternFill patternType="solid">
          <fgColor rgb="FFFF6666"/>
          <bgColor rgb="FFFF6666"/>
        </patternFill>
      </fill>
    </dxf>
    <dxf>
      <fill>
        <patternFill patternType="solid">
          <fgColor rgb="FF66FF66"/>
          <bgColor rgb="FF66FF66"/>
        </patternFill>
      </fill>
    </dxf>
    <dxf>
      <fill>
        <patternFill patternType="solid">
          <fgColor rgb="FFFF6666"/>
          <bgColor rgb="FFFF6666"/>
        </patternFill>
      </fill>
    </dxf>
    <dxf>
      <fill>
        <patternFill patternType="solid">
          <fgColor rgb="FF66FF66"/>
          <bgColor rgb="FF66FF66"/>
        </patternFill>
      </fill>
    </dxf>
    <dxf>
      <font>
        <sz val="11"/>
        <color rgb="FFFFFFFF"/>
        <name val="Arial"/>
      </font>
      <fill>
        <patternFill patternType="solid">
          <fgColor rgb="FF31869B"/>
          <bgColor rgb="FF31869B"/>
        </patternFill>
      </fill>
    </dxf>
    <dxf>
      <font>
        <sz val="11"/>
        <color rgb="FFFFFFFF"/>
        <name val="Arial"/>
      </font>
      <fill>
        <patternFill patternType="solid">
          <fgColor rgb="FF808080"/>
          <bgColor rgb="FF808080"/>
        </patternFill>
      </fill>
    </dxf>
    <dxf>
      <font>
        <sz val="11"/>
        <color rgb="FFFFFFFF"/>
        <name val="Arial"/>
      </font>
      <fill>
        <patternFill patternType="solid">
          <fgColor rgb="FFA020F0"/>
          <bgColor rgb="FFA020F0"/>
        </patternFill>
      </fill>
    </dxf>
    <dxf>
      <font>
        <sz val="11"/>
        <color rgb="FFFFFFFF"/>
        <name val="Arial"/>
      </font>
      <fill>
        <patternFill patternType="solid">
          <fgColor rgb="FFFF0000"/>
          <bgColor rgb="FFFF0000"/>
        </patternFill>
      </fill>
    </dxf>
    <dxf>
      <font>
        <sz val="11"/>
        <color rgb="FFFFFFFF"/>
        <name val="Arial"/>
      </font>
      <fill>
        <patternFill patternType="solid">
          <fgColor rgb="FFFF6400"/>
          <bgColor rgb="FFFF6400"/>
        </patternFill>
      </fill>
    </dxf>
    <dxf>
      <font>
        <sz val="11"/>
        <color rgb="FFFFFFFF"/>
        <name val="Arial"/>
      </font>
      <fill>
        <patternFill patternType="solid">
          <fgColor rgb="FF006400"/>
          <bgColor rgb="FF006400"/>
        </patternFill>
      </fill>
    </dxf>
    <dxf>
      <fill>
        <patternFill patternType="solid">
          <fgColor rgb="FFFFA500"/>
          <bgColor rgb="FFFFA500"/>
        </patternFill>
      </fill>
    </dxf>
    <dxf>
      <fill>
        <patternFill patternType="solid">
          <fgColor rgb="FFFF6666"/>
          <bgColor rgb="FFFF6666"/>
        </patternFill>
      </fill>
    </dxf>
    <dxf>
      <fill>
        <patternFill patternType="solid">
          <fgColor rgb="FF66FF66"/>
          <bgColor rgb="FF66FF66"/>
        </patternFill>
      </fill>
    </dxf>
    <dxf>
      <fill>
        <patternFill patternType="solid">
          <fgColor rgb="FFFF6666"/>
          <bgColor rgb="FFFF6666"/>
        </patternFill>
      </fill>
    </dxf>
    <dxf>
      <fill>
        <patternFill patternType="solid">
          <fgColor rgb="FF66FF66"/>
          <bgColor rgb="FF66FF66"/>
        </patternFill>
      </fill>
    </dxf>
    <dxf>
      <font>
        <sz val="11"/>
        <color rgb="FFFFFFFF"/>
        <name val="Arial"/>
      </font>
      <fill>
        <patternFill patternType="solid">
          <fgColor rgb="FF31869B"/>
          <bgColor rgb="FF31869B"/>
        </patternFill>
      </fill>
    </dxf>
    <dxf>
      <font>
        <sz val="11"/>
        <color rgb="FFFFFFFF"/>
        <name val="Arial"/>
      </font>
      <fill>
        <patternFill patternType="solid">
          <fgColor rgb="FF808080"/>
          <bgColor rgb="FF808080"/>
        </patternFill>
      </fill>
    </dxf>
    <dxf>
      <font>
        <sz val="11"/>
        <color rgb="FFFFFFFF"/>
        <name val="Arial"/>
      </font>
      <fill>
        <patternFill patternType="solid">
          <fgColor rgb="FFA020F0"/>
          <bgColor rgb="FFA020F0"/>
        </patternFill>
      </fill>
    </dxf>
    <dxf>
      <font>
        <sz val="11"/>
        <color rgb="FFFFFFFF"/>
        <name val="Arial"/>
      </font>
      <fill>
        <patternFill patternType="solid">
          <fgColor rgb="FFFF0000"/>
          <bgColor rgb="FFFF0000"/>
        </patternFill>
      </fill>
    </dxf>
    <dxf>
      <font>
        <sz val="11"/>
        <color rgb="FFFFFFFF"/>
        <name val="Arial"/>
      </font>
      <fill>
        <patternFill patternType="solid">
          <fgColor rgb="FFFF6400"/>
          <bgColor rgb="FFFF6400"/>
        </patternFill>
      </fill>
    </dxf>
    <dxf>
      <font>
        <sz val="11"/>
        <color rgb="FFFFFFFF"/>
        <name val="Arial"/>
      </font>
      <fill>
        <patternFill patternType="solid">
          <fgColor rgb="FF006400"/>
          <bgColor rgb="FF006400"/>
        </patternFill>
      </fill>
    </dxf>
    <dxf>
      <fill>
        <patternFill patternType="solid">
          <fgColor rgb="FFFFA500"/>
          <bgColor rgb="FFFFA500"/>
        </patternFill>
      </fill>
    </dxf>
    <dxf>
      <fill>
        <patternFill patternType="solid">
          <fgColor rgb="FFFF6666"/>
          <bgColor rgb="FFFF6666"/>
        </patternFill>
      </fill>
    </dxf>
    <dxf>
      <fill>
        <patternFill patternType="solid">
          <fgColor rgb="FF66FF66"/>
          <bgColor rgb="FF66FF66"/>
        </patternFill>
      </fill>
    </dxf>
    <dxf>
      <fill>
        <patternFill patternType="solid">
          <fgColor rgb="FFFF6666"/>
          <bgColor rgb="FFFF6666"/>
        </patternFill>
      </fill>
    </dxf>
    <dxf>
      <fill>
        <patternFill patternType="solid">
          <fgColor rgb="FF66FF66"/>
          <bgColor rgb="FF66FF66"/>
        </patternFill>
      </fill>
    </dxf>
    <dxf>
      <font>
        <sz val="11"/>
        <color rgb="FFFFFFFF"/>
        <name val="Arial"/>
      </font>
      <fill>
        <patternFill patternType="solid">
          <fgColor rgb="FF31869B"/>
          <bgColor rgb="FF31869B"/>
        </patternFill>
      </fill>
    </dxf>
    <dxf>
      <font>
        <sz val="11"/>
        <color rgb="FFFFFFFF"/>
        <name val="Arial"/>
      </font>
      <fill>
        <patternFill patternType="solid">
          <fgColor rgb="FF808080"/>
          <bgColor rgb="FF808080"/>
        </patternFill>
      </fill>
    </dxf>
    <dxf>
      <font>
        <sz val="11"/>
        <color rgb="FFFFFFFF"/>
        <name val="Arial"/>
      </font>
      <fill>
        <patternFill patternType="solid">
          <fgColor rgb="FFA020F0"/>
          <bgColor rgb="FFA020F0"/>
        </patternFill>
      </fill>
    </dxf>
    <dxf>
      <font>
        <sz val="11"/>
        <color rgb="FFFFFFFF"/>
        <name val="Arial"/>
      </font>
      <fill>
        <patternFill patternType="solid">
          <fgColor rgb="FFFF0000"/>
          <bgColor rgb="FFFF0000"/>
        </patternFill>
      </fill>
    </dxf>
    <dxf>
      <font>
        <sz val="11"/>
        <color rgb="FFFFFFFF"/>
        <name val="Arial"/>
      </font>
      <fill>
        <patternFill patternType="solid">
          <fgColor rgb="FFFF6400"/>
          <bgColor rgb="FFFF6400"/>
        </patternFill>
      </fill>
    </dxf>
    <dxf>
      <font>
        <sz val="11"/>
        <color rgb="FFFFFFFF"/>
        <name val="Arial"/>
      </font>
      <fill>
        <patternFill patternType="solid">
          <fgColor rgb="FF006400"/>
          <bgColor rgb="FF006400"/>
        </patternFill>
      </fill>
    </dxf>
    <dxf>
      <fill>
        <patternFill patternType="solid">
          <fgColor rgb="FFFFA500"/>
          <bgColor rgb="FFFFA500"/>
        </patternFill>
      </fill>
    </dxf>
    <dxf>
      <fill>
        <patternFill patternType="solid">
          <fgColor rgb="FFFF6666"/>
          <bgColor rgb="FFFF6666"/>
        </patternFill>
      </fill>
    </dxf>
    <dxf>
      <fill>
        <patternFill patternType="solid">
          <fgColor rgb="FF66FF66"/>
          <bgColor rgb="FF66FF66"/>
        </patternFill>
      </fill>
    </dxf>
    <dxf>
      <fill>
        <patternFill patternType="solid">
          <fgColor rgb="FFFF6666"/>
          <bgColor rgb="FFFF6666"/>
        </patternFill>
      </fill>
    </dxf>
    <dxf>
      <fill>
        <patternFill patternType="solid">
          <fgColor rgb="FF66FF66"/>
          <bgColor rgb="FF66FF66"/>
        </patternFill>
      </fill>
    </dxf>
    <dxf>
      <font>
        <sz val="11"/>
        <color rgb="FFFFFFFF"/>
        <name val="Arial"/>
      </font>
      <fill>
        <patternFill patternType="solid">
          <fgColor rgb="FF31869B"/>
          <bgColor rgb="FF31869B"/>
        </patternFill>
      </fill>
    </dxf>
    <dxf>
      <font>
        <sz val="11"/>
        <color rgb="FFFFFFFF"/>
        <name val="Arial"/>
      </font>
      <fill>
        <patternFill patternType="solid">
          <fgColor rgb="FF808080"/>
          <bgColor rgb="FF808080"/>
        </patternFill>
      </fill>
    </dxf>
    <dxf>
      <font>
        <sz val="11"/>
        <color rgb="FFFFFFFF"/>
        <name val="Arial"/>
      </font>
      <fill>
        <patternFill patternType="solid">
          <fgColor rgb="FFA020F0"/>
          <bgColor rgb="FFA020F0"/>
        </patternFill>
      </fill>
    </dxf>
    <dxf>
      <font>
        <sz val="11"/>
        <color rgb="FFFFFFFF"/>
        <name val="Arial"/>
      </font>
      <fill>
        <patternFill patternType="solid">
          <fgColor rgb="FFFF0000"/>
          <bgColor rgb="FFFF0000"/>
        </patternFill>
      </fill>
    </dxf>
    <dxf>
      <font>
        <sz val="11"/>
        <color rgb="FFFFFFFF"/>
        <name val="Arial"/>
      </font>
      <fill>
        <patternFill patternType="solid">
          <fgColor rgb="FFFF6400"/>
          <bgColor rgb="FFFF6400"/>
        </patternFill>
      </fill>
    </dxf>
    <dxf>
      <font>
        <sz val="11"/>
        <color rgb="FFFFFFFF"/>
        <name val="Arial"/>
      </font>
      <fill>
        <patternFill patternType="solid">
          <fgColor rgb="FF006400"/>
          <bgColor rgb="FF006400"/>
        </patternFill>
      </fill>
    </dxf>
    <dxf>
      <fill>
        <patternFill patternType="solid">
          <fgColor rgb="FFFFA500"/>
          <bgColor rgb="FFFFA500"/>
        </patternFill>
      </fill>
    </dxf>
    <dxf>
      <fill>
        <patternFill patternType="solid">
          <fgColor rgb="FFFF6666"/>
          <bgColor rgb="FFFF6666"/>
        </patternFill>
      </fill>
    </dxf>
    <dxf>
      <fill>
        <patternFill patternType="solid">
          <fgColor rgb="FF66FF66"/>
          <bgColor rgb="FF66FF66"/>
        </patternFill>
      </fill>
    </dxf>
    <dxf>
      <fill>
        <patternFill patternType="solid">
          <fgColor rgb="FFFF6666"/>
          <bgColor rgb="FFFF6666"/>
        </patternFill>
      </fill>
    </dxf>
    <dxf>
      <fill>
        <patternFill patternType="solid">
          <fgColor rgb="FF66FF66"/>
          <bgColor rgb="FF66FF66"/>
        </patternFill>
      </fill>
    </dxf>
    <dxf>
      <font>
        <sz val="11"/>
        <color rgb="FFFFFFFF"/>
        <name val="Arial"/>
      </font>
      <fill>
        <patternFill patternType="solid">
          <fgColor rgb="FF31869B"/>
          <bgColor rgb="FF31869B"/>
        </patternFill>
      </fill>
    </dxf>
    <dxf>
      <font>
        <sz val="11"/>
        <color rgb="FFFFFFFF"/>
        <name val="Arial"/>
      </font>
      <fill>
        <patternFill patternType="solid">
          <fgColor rgb="FF808080"/>
          <bgColor rgb="FF808080"/>
        </patternFill>
      </fill>
    </dxf>
    <dxf>
      <font>
        <sz val="11"/>
        <color rgb="FFFFFFFF"/>
        <name val="Arial"/>
      </font>
      <fill>
        <patternFill patternType="solid">
          <fgColor rgb="FFA020F0"/>
          <bgColor rgb="FFA020F0"/>
        </patternFill>
      </fill>
    </dxf>
    <dxf>
      <font>
        <sz val="11"/>
        <color rgb="FFFFFFFF"/>
        <name val="Arial"/>
      </font>
      <fill>
        <patternFill patternType="solid">
          <fgColor rgb="FFFF0000"/>
          <bgColor rgb="FFFF0000"/>
        </patternFill>
      </fill>
    </dxf>
    <dxf>
      <font>
        <sz val="11"/>
        <color rgb="FFFFFFFF"/>
        <name val="Arial"/>
      </font>
      <fill>
        <patternFill patternType="solid">
          <fgColor rgb="FFFF6400"/>
          <bgColor rgb="FFFF6400"/>
        </patternFill>
      </fill>
    </dxf>
    <dxf>
      <font>
        <sz val="11"/>
        <color rgb="FFFFFFFF"/>
        <name val="Arial"/>
      </font>
      <fill>
        <patternFill patternType="solid">
          <fgColor rgb="FF006400"/>
          <bgColor rgb="FF006400"/>
        </patternFill>
      </fill>
    </dxf>
    <dxf>
      <fill>
        <patternFill patternType="solid">
          <fgColor rgb="FFFFA500"/>
          <bgColor rgb="FFFFA500"/>
        </patternFill>
      </fill>
    </dxf>
    <dxf>
      <fill>
        <patternFill patternType="solid">
          <fgColor rgb="FFFF6666"/>
          <bgColor rgb="FFFF6666"/>
        </patternFill>
      </fill>
    </dxf>
    <dxf>
      <fill>
        <patternFill patternType="solid">
          <fgColor rgb="FF66FF66"/>
          <bgColor rgb="FF66FF66"/>
        </patternFill>
      </fill>
    </dxf>
    <dxf>
      <fill>
        <patternFill patternType="solid">
          <fgColor rgb="FFFF6666"/>
          <bgColor rgb="FFFF6666"/>
        </patternFill>
      </fill>
    </dxf>
    <dxf>
      <fill>
        <patternFill patternType="solid">
          <fgColor rgb="FF66FF66"/>
          <bgColor rgb="FF66FF66"/>
        </patternFill>
      </fill>
    </dxf>
    <dxf>
      <font>
        <sz val="11"/>
        <color rgb="FFFFFFFF"/>
        <name val="Arial"/>
      </font>
      <fill>
        <patternFill patternType="solid">
          <fgColor rgb="FF31869B"/>
          <bgColor rgb="FF31869B"/>
        </patternFill>
      </fill>
    </dxf>
    <dxf>
      <font>
        <sz val="11"/>
        <color rgb="FFFFFFFF"/>
        <name val="Arial"/>
      </font>
      <fill>
        <patternFill patternType="solid">
          <fgColor rgb="FF808080"/>
          <bgColor rgb="FF808080"/>
        </patternFill>
      </fill>
    </dxf>
    <dxf>
      <font>
        <sz val="11"/>
        <color rgb="FFFFFFFF"/>
        <name val="Arial"/>
      </font>
      <fill>
        <patternFill patternType="solid">
          <fgColor rgb="FFA020F0"/>
          <bgColor rgb="FFA020F0"/>
        </patternFill>
      </fill>
    </dxf>
    <dxf>
      <font>
        <sz val="11"/>
        <color rgb="FFFFFFFF"/>
        <name val="Arial"/>
      </font>
      <fill>
        <patternFill patternType="solid">
          <fgColor rgb="FFFF0000"/>
          <bgColor rgb="FFFF0000"/>
        </patternFill>
      </fill>
    </dxf>
    <dxf>
      <font>
        <sz val="11"/>
        <color rgb="FFFFFFFF"/>
        <name val="Arial"/>
      </font>
      <fill>
        <patternFill patternType="solid">
          <fgColor rgb="FFFF6400"/>
          <bgColor rgb="FFFF6400"/>
        </patternFill>
      </fill>
    </dxf>
    <dxf>
      <font>
        <sz val="11"/>
        <color rgb="FFFFFFFF"/>
        <name val="Arial"/>
      </font>
      <fill>
        <patternFill patternType="solid">
          <fgColor rgb="FF006400"/>
          <bgColor rgb="FF006400"/>
        </patternFill>
      </fill>
    </dxf>
    <dxf>
      <fill>
        <patternFill patternType="solid">
          <fgColor rgb="FFFFA500"/>
          <bgColor rgb="FFFFA500"/>
        </patternFill>
      </fill>
    </dxf>
    <dxf>
      <fill>
        <patternFill patternType="solid">
          <fgColor rgb="FFFF6666"/>
          <bgColor rgb="FFFF6666"/>
        </patternFill>
      </fill>
    </dxf>
    <dxf>
      <fill>
        <patternFill patternType="solid">
          <fgColor rgb="FF66FF66"/>
          <bgColor rgb="FF66FF66"/>
        </patternFill>
      </fill>
    </dxf>
    <dxf>
      <fill>
        <patternFill patternType="solid">
          <fgColor rgb="FFFF6666"/>
          <bgColor rgb="FFFF6666"/>
        </patternFill>
      </fill>
    </dxf>
    <dxf>
      <fill>
        <patternFill patternType="solid">
          <fgColor rgb="FF66FF66"/>
          <bgColor rgb="FF66FF66"/>
        </patternFill>
      </fill>
    </dxf>
    <dxf>
      <font>
        <sz val="11"/>
        <color rgb="FFFFFFFF"/>
        <name val="Arial"/>
      </font>
      <fill>
        <patternFill patternType="solid">
          <fgColor rgb="FF31869B"/>
          <bgColor rgb="FF31869B"/>
        </patternFill>
      </fill>
    </dxf>
    <dxf>
      <font>
        <sz val="11"/>
        <color rgb="FFFFFFFF"/>
        <name val="Arial"/>
      </font>
      <fill>
        <patternFill patternType="solid">
          <fgColor rgb="FF808080"/>
          <bgColor rgb="FF808080"/>
        </patternFill>
      </fill>
    </dxf>
    <dxf>
      <font>
        <sz val="11"/>
        <color rgb="FFFFFFFF"/>
        <name val="Arial"/>
      </font>
      <fill>
        <patternFill patternType="solid">
          <fgColor rgb="FFA020F0"/>
          <bgColor rgb="FFA020F0"/>
        </patternFill>
      </fill>
    </dxf>
    <dxf>
      <font>
        <sz val="11"/>
        <color rgb="FFFFFFFF"/>
        <name val="Arial"/>
      </font>
      <fill>
        <patternFill patternType="solid">
          <fgColor rgb="FFFF0000"/>
          <bgColor rgb="FFFF0000"/>
        </patternFill>
      </fill>
    </dxf>
    <dxf>
      <font>
        <sz val="11"/>
        <color rgb="FFFFFFFF"/>
        <name val="Arial"/>
      </font>
      <fill>
        <patternFill patternType="solid">
          <fgColor rgb="FFFF6400"/>
          <bgColor rgb="FFFF6400"/>
        </patternFill>
      </fill>
    </dxf>
    <dxf>
      <font>
        <sz val="11"/>
        <color rgb="FFFFFFFF"/>
        <name val="Arial"/>
      </font>
      <fill>
        <patternFill patternType="solid">
          <fgColor rgb="FF006400"/>
          <bgColor rgb="FF006400"/>
        </patternFill>
      </fill>
    </dxf>
    <dxf>
      <font>
        <color rgb="FF9C0006"/>
      </font>
      <fill>
        <patternFill>
          <bgColor rgb="FFFFC7CE"/>
        </patternFill>
      </fill>
    </dxf>
    <dxf>
      <font>
        <color rgb="FF006100"/>
      </font>
      <fill>
        <patternFill>
          <bgColor rgb="FFC6EFCE"/>
        </patternFill>
      </fill>
    </dxf>
    <dxf>
      <font>
        <color theme="0"/>
      </font>
      <fill>
        <patternFill patternType="solid">
          <bgColor rgb="FF7030A0"/>
        </patternFill>
      </fill>
    </dxf>
    <dxf>
      <font>
        <color theme="0"/>
      </font>
      <fill>
        <patternFill patternType="solid">
          <bgColor theme="1" tint="0.499984740745262"/>
        </patternFill>
      </fill>
    </dxf>
    <dxf>
      <font>
        <color theme="0"/>
      </font>
      <fill>
        <patternFill patternType="solid">
          <bgColor theme="8" tint="-0.249977111117893"/>
        </patternFill>
      </fill>
    </dxf>
    <dxf>
      <font>
        <color theme="0"/>
      </font>
      <fill>
        <patternFill patternType="solid">
          <bgColor rgb="FFAD0000"/>
        </patternFill>
      </fill>
    </dxf>
    <dxf>
      <font>
        <color theme="0"/>
      </font>
      <fill>
        <patternFill patternType="solid">
          <bgColor rgb="FF963634"/>
        </patternFill>
      </fill>
    </dxf>
    <dxf>
      <font>
        <color theme="0"/>
      </font>
      <fill>
        <patternFill patternType="solid">
          <bgColor theme="6"/>
        </patternFill>
      </fill>
    </dxf>
    <dxf>
      <font>
        <color theme="1"/>
      </font>
      <fill>
        <patternFill patternType="solid">
          <bgColor rgb="FF91F0D3"/>
        </patternFill>
      </fill>
    </dxf>
    <dxf>
      <font>
        <color theme="1"/>
      </font>
      <fill>
        <patternFill patternType="solid">
          <bgColor rgb="FFFFD2DE"/>
        </patternFill>
      </fill>
    </dxf>
    <dxf>
      <font>
        <color theme="1"/>
      </font>
      <fill>
        <patternFill patternType="solid">
          <bgColor rgb="FFEBC99F"/>
        </patternFill>
      </fill>
    </dxf>
    <dxf>
      <font>
        <color theme="1"/>
      </font>
      <fill>
        <patternFill patternType="solid">
          <bgColor rgb="FFCCC0DA"/>
        </patternFill>
      </fill>
    </dxf>
    <dxf>
      <font>
        <color theme="1"/>
      </font>
      <fill>
        <patternFill patternType="solid">
          <bgColor rgb="FFA3DDFF"/>
        </patternFill>
      </fill>
    </dxf>
    <dxf>
      <font>
        <color theme="1"/>
      </font>
      <fill>
        <patternFill patternType="solid">
          <bgColor rgb="FFFFF7C9"/>
        </patternFill>
      </fill>
    </dxf>
    <dxf>
      <font>
        <color theme="1"/>
      </font>
      <fill>
        <patternFill patternType="solid">
          <bgColor rgb="FF00B050"/>
        </patternFill>
      </fill>
    </dxf>
    <dxf>
      <font>
        <color theme="1"/>
      </font>
      <fill>
        <patternFill patternType="solid">
          <bgColor rgb="FFBDE83C"/>
        </patternFill>
      </fill>
    </dxf>
    <dxf>
      <font>
        <color theme="1"/>
      </font>
      <fill>
        <patternFill patternType="solid">
          <bgColor rgb="FFFFC000"/>
        </patternFill>
      </fill>
    </dxf>
    <dxf>
      <fill>
        <patternFill patternType="solid">
          <bgColor rgb="FFD15A5A"/>
        </patternFill>
      </fill>
    </dxf>
    <dxf>
      <font>
        <sz val="11"/>
        <color rgb="FFFFFFFF"/>
        <name val="Arial"/>
      </font>
      <fill>
        <patternFill patternType="solid">
          <fgColor rgb="FFA020F0"/>
          <bgColor rgb="FFA020F0"/>
        </patternFill>
      </fill>
    </dxf>
    <dxf>
      <font>
        <sz val="11"/>
        <color rgb="FFFFFFFF"/>
        <name val="Arial"/>
      </font>
      <fill>
        <patternFill patternType="solid">
          <fgColor rgb="FF808080"/>
          <bgColor rgb="FF808080"/>
        </patternFill>
      </fill>
    </dxf>
    <dxf>
      <font>
        <sz val="11"/>
        <color rgb="FFFFFFFF"/>
        <name val="Arial"/>
      </font>
      <fill>
        <patternFill patternType="solid">
          <fgColor rgb="FFA020F0"/>
          <bgColor rgb="FFA020F0"/>
        </patternFill>
      </fill>
    </dxf>
    <dxf>
      <font>
        <sz val="11"/>
        <color rgb="FFFFFFFF"/>
        <name val="Arial"/>
      </font>
      <fill>
        <patternFill patternType="solid">
          <fgColor rgb="FFFF0000"/>
          <bgColor rgb="FFFF0000"/>
        </patternFill>
      </fill>
    </dxf>
    <dxf>
      <font>
        <sz val="11"/>
        <color rgb="FFFFFFFF"/>
        <name val="Arial"/>
      </font>
      <fill>
        <patternFill patternType="solid">
          <fgColor rgb="FFFF6400"/>
          <bgColor rgb="FFFF6400"/>
        </patternFill>
      </fill>
    </dxf>
    <dxf>
      <font>
        <sz val="11"/>
        <color rgb="FFFFFFFF"/>
        <name val="Arial"/>
      </font>
      <fill>
        <patternFill patternType="solid">
          <fgColor rgb="FF006400"/>
          <bgColor rgb="FF006400"/>
        </patternFill>
      </fill>
    </dxf>
    <dxf>
      <font>
        <color theme="1"/>
      </font>
      <fill>
        <patternFill patternType="solid">
          <bgColor rgb="FF91F0D3"/>
        </patternFill>
      </fill>
    </dxf>
    <dxf>
      <font>
        <color theme="1"/>
      </font>
      <fill>
        <patternFill patternType="solid">
          <bgColor rgb="FFFFD2DE"/>
        </patternFill>
      </fill>
    </dxf>
    <dxf>
      <font>
        <color theme="1"/>
      </font>
      <fill>
        <patternFill patternType="solid">
          <bgColor rgb="FFFFC000"/>
        </patternFill>
      </fill>
    </dxf>
    <dxf>
      <font>
        <color theme="1"/>
      </font>
      <fill>
        <patternFill patternType="solid">
          <bgColor theme="7" tint="0.39997558519241921"/>
        </patternFill>
      </fill>
    </dxf>
    <dxf>
      <font>
        <color theme="1"/>
      </font>
      <fill>
        <patternFill patternType="solid">
          <bgColor rgb="FF95B3D7"/>
        </patternFill>
      </fill>
    </dxf>
    <dxf>
      <font>
        <color theme="1"/>
      </font>
      <fill>
        <patternFill patternType="solid">
          <bgColor rgb="FFFFFF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17/10/relationships/person" Target="persons/perso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 Id="rId27" Type="http://schemas.openxmlformats.org/officeDocument/2006/relationships/calcChain" Target="calcChain.xml"/></Relationship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file>

<file path=xl/namedSheetViews/namedSheetView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file>

<file path=xl/namedSheetViews/namedSheetView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file>

<file path=xl/namedSheetViews/namedSheetView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file>

<file path=xl/namedSheetViews/namedSheetView5.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file>

<file path=xl/namedSheetViews/namedSheetView6.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file>

<file path=xl/namedSheetViews/namedSheetView7.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7.xml.rels><?xml version="1.0" encoding="UTF-8" standalone="yes"?>
<Relationships xmlns="http://schemas.openxmlformats.org/package/2006/relationships"><Relationship Id="rId1" Type="http://schemas.microsoft.com/office/2019/04/relationships/namedSheetView" Target="../namedSheetViews/namedSheetView1.xml"/></Relationships>
</file>

<file path=xl/worksheets/_rels/sheet8.xml.rels><?xml version="1.0" encoding="UTF-8" standalone="yes"?>
<Relationships xmlns="http://schemas.openxmlformats.org/package/2006/relationships"><Relationship Id="rId1" Type="http://schemas.microsoft.com/office/2019/04/relationships/namedSheetView" Target="../namedSheetViews/namedSheetView2.xml"/></Relationships>
</file>

<file path=xl/worksheets/_rels/sheet10.xml.rels><?xml version="1.0" encoding="UTF-8" standalone="yes"?>
<Relationships xmlns="http://schemas.openxmlformats.org/package/2006/relationships"><Relationship Id="rId1" Type="http://schemas.microsoft.com/office/2019/04/relationships/namedSheetView" Target="../namedSheetViews/namedSheetView3.xml"/></Relationships>
</file>

<file path=xl/worksheets/_rels/sheet12.xml.rels><?xml version="1.0" encoding="UTF-8" standalone="yes"?>
<Relationships xmlns="http://schemas.openxmlformats.org/package/2006/relationships"><Relationship Id="rId1" Type="http://schemas.microsoft.com/office/2019/04/relationships/namedSheetView" Target="../namedSheetViews/namedSheetView4.xml"/></Relationships>
</file>

<file path=xl/worksheets/_rels/sheet14.xml.rels><?xml version="1.0" encoding="UTF-8" standalone="yes"?>
<Relationships xmlns="http://schemas.openxmlformats.org/package/2006/relationships"><Relationship Id="rId1" Type="http://schemas.microsoft.com/office/2019/04/relationships/namedSheetView" Target="../namedSheetViews/namedSheetView5.xml"/></Relationships>
</file>

<file path=xl/worksheets/_rels/sheet16.xml.rels><?xml version="1.0" encoding="UTF-8" standalone="yes"?>
<Relationships xmlns="http://schemas.openxmlformats.org/package/2006/relationships"><Relationship Id="rId1" Type="http://schemas.microsoft.com/office/2019/04/relationships/namedSheetView" Target="../namedSheetViews/namedSheetView6.xml"/></Relationships>
</file>

<file path=xl/worksheets/_rels/sheet17.xml.rels><?xml version="1.0" encoding="UTF-8" standalone="yes"?>
<Relationships xmlns="http://schemas.openxmlformats.org/package/2006/relationships"><Relationship Id="rId1" Type="http://schemas.microsoft.com/office/2019/04/relationships/namedSheetView" Target="../namedSheetViews/namedSheetView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73"/>
  <sheetViews>
    <sheetView workbookViewId="0"/>
  </sheetViews>
  <sheetFormatPr defaultRowHeight="15" x14ac:dyDescent="0.25"/>
  <cols>
    <col min="1" max="1" width="32" customWidth="1"/>
    <col min="2" max="2" width="8.7109375" customWidth="1"/>
    <col min="6" max="6" width="9.28515625" customWidth="1"/>
    <col min="9" max="9" width="10.85546875" customWidth="1"/>
    <col min="17" max="17" width="4.42578125" customWidth="1"/>
    <col min="18" max="18" width="17.5703125" customWidth="1"/>
    <col min="19" max="19" width="12.85546875" customWidth="1"/>
  </cols>
  <sheetData>
    <row r="1" spans="1:21" ht="18.75" customHeight="1" x14ac:dyDescent="0.25">
      <c r="A1" s="59" t="s">
        <v>0</v>
      </c>
      <c r="B1" s="1" t="s">
        <v>1</v>
      </c>
      <c r="C1" s="1" t="s">
        <v>2</v>
      </c>
      <c r="D1" s="1" t="s">
        <v>3</v>
      </c>
      <c r="E1" s="1" t="s">
        <v>4</v>
      </c>
      <c r="F1" s="1" t="s">
        <v>5</v>
      </c>
      <c r="G1" s="1" t="s">
        <v>6</v>
      </c>
      <c r="H1" s="1" t="s">
        <v>7</v>
      </c>
      <c r="I1" s="1" t="s">
        <v>8</v>
      </c>
      <c r="J1" s="1" t="s">
        <v>9</v>
      </c>
      <c r="K1" s="1" t="s">
        <v>10</v>
      </c>
      <c r="L1" s="1" t="s">
        <v>11</v>
      </c>
      <c r="M1" s="1" t="s">
        <v>12</v>
      </c>
      <c r="N1" s="1" t="s">
        <v>13</v>
      </c>
      <c r="O1" s="1" t="s">
        <v>14</v>
      </c>
      <c r="P1" s="2" t="s">
        <v>15</v>
      </c>
    </row>
    <row r="2" spans="1:21" ht="15.75" customHeight="1" x14ac:dyDescent="0.25">
      <c r="A2" s="3" t="s">
        <v>16</v>
      </c>
      <c r="B2" s="60">
        <f t="shared" ref="B2:O2" ca="1" si="0">COUNTIF(INDIRECT(B$1&amp;"!E2:E1000"),$A2)</f>
        <v>59</v>
      </c>
      <c r="C2" s="60">
        <f t="shared" ca="1" si="0"/>
        <v>61</v>
      </c>
      <c r="D2" s="60">
        <f t="shared" ca="1" si="0"/>
        <v>63</v>
      </c>
      <c r="E2" s="60">
        <f t="shared" ca="1" si="0"/>
        <v>64</v>
      </c>
      <c r="F2" s="60">
        <f t="shared" ca="1" si="0"/>
        <v>67</v>
      </c>
      <c r="G2" s="60">
        <f t="shared" ca="1" si="0"/>
        <v>67</v>
      </c>
      <c r="H2" s="60">
        <f t="shared" ca="1" si="0"/>
        <v>67</v>
      </c>
      <c r="I2" s="60">
        <f t="shared" ca="1" si="0"/>
        <v>68</v>
      </c>
      <c r="J2" s="60">
        <f t="shared" ca="1" si="0"/>
        <v>67</v>
      </c>
      <c r="K2" s="60">
        <f t="shared" ca="1" si="0"/>
        <v>69</v>
      </c>
      <c r="L2" s="60">
        <f t="shared" ca="1" si="0"/>
        <v>68</v>
      </c>
      <c r="M2" s="60">
        <f t="shared" ca="1" si="0"/>
        <v>66</v>
      </c>
      <c r="N2" s="60">
        <f t="shared" ca="1" si="0"/>
        <v>59</v>
      </c>
      <c r="O2" s="60">
        <f t="shared" ca="1" si="0"/>
        <v>1</v>
      </c>
      <c r="P2" s="61">
        <f t="shared" ref="P2:P8" ca="1" si="1">SUM(B2:O2)</f>
        <v>846</v>
      </c>
    </row>
    <row r="3" spans="1:21" ht="15.75" customHeight="1" x14ac:dyDescent="0.25">
      <c r="A3" s="4" t="s">
        <v>17</v>
      </c>
      <c r="B3" s="62">
        <f ca="1">COUNTIF(INDIRECT("11.24!E2:E1000"),$A3)</f>
        <v>0</v>
      </c>
      <c r="C3" s="62">
        <f t="shared" ref="C3:O7" ca="1" si="2">COUNTIF(INDIRECT(C$1&amp;"!E2:E1000"),$A3)</f>
        <v>0</v>
      </c>
      <c r="D3" s="62">
        <f t="shared" ca="1" si="2"/>
        <v>0</v>
      </c>
      <c r="E3" s="62">
        <f t="shared" ca="1" si="2"/>
        <v>0</v>
      </c>
      <c r="F3" s="62">
        <f t="shared" ca="1" si="2"/>
        <v>0</v>
      </c>
      <c r="G3" s="62">
        <f t="shared" ca="1" si="2"/>
        <v>0</v>
      </c>
      <c r="H3" s="62">
        <f t="shared" ca="1" si="2"/>
        <v>0</v>
      </c>
      <c r="I3" s="62">
        <f t="shared" ca="1" si="2"/>
        <v>0</v>
      </c>
      <c r="J3" s="62">
        <f t="shared" ca="1" si="2"/>
        <v>0</v>
      </c>
      <c r="K3" s="62">
        <f t="shared" ca="1" si="2"/>
        <v>0</v>
      </c>
      <c r="L3" s="62">
        <f t="shared" ca="1" si="2"/>
        <v>0</v>
      </c>
      <c r="M3" s="62">
        <f t="shared" ca="1" si="2"/>
        <v>0</v>
      </c>
      <c r="N3" s="62">
        <f t="shared" ca="1" si="2"/>
        <v>10</v>
      </c>
      <c r="O3" s="62">
        <f t="shared" ca="1" si="2"/>
        <v>0</v>
      </c>
      <c r="P3" s="63">
        <f t="shared" ca="1" si="1"/>
        <v>10</v>
      </c>
    </row>
    <row r="4" spans="1:21" ht="15.75" customHeight="1" x14ac:dyDescent="0.25">
      <c r="A4" s="5" t="s">
        <v>18</v>
      </c>
      <c r="B4" s="64">
        <f ca="1">COUNTIF(INDIRECT("11.24!E2:E1000"),$A4)</f>
        <v>1</v>
      </c>
      <c r="C4" s="64">
        <f t="shared" ca="1" si="2"/>
        <v>2</v>
      </c>
      <c r="D4" s="64">
        <f t="shared" ca="1" si="2"/>
        <v>2</v>
      </c>
      <c r="E4" s="64">
        <f t="shared" ca="1" si="2"/>
        <v>2</v>
      </c>
      <c r="F4" s="64">
        <f t="shared" ca="1" si="2"/>
        <v>0</v>
      </c>
      <c r="G4" s="64">
        <f t="shared" ca="1" si="2"/>
        <v>0</v>
      </c>
      <c r="H4" s="64">
        <f t="shared" ca="1" si="2"/>
        <v>1</v>
      </c>
      <c r="I4" s="64">
        <f t="shared" ca="1" si="2"/>
        <v>0</v>
      </c>
      <c r="J4" s="64">
        <f t="shared" ca="1" si="2"/>
        <v>0</v>
      </c>
      <c r="K4" s="64">
        <f t="shared" ca="1" si="2"/>
        <v>0</v>
      </c>
      <c r="L4" s="64">
        <f t="shared" ca="1" si="2"/>
        <v>1</v>
      </c>
      <c r="M4" s="64">
        <f t="shared" ca="1" si="2"/>
        <v>2</v>
      </c>
      <c r="N4" s="64">
        <f t="shared" ca="1" si="2"/>
        <v>0</v>
      </c>
      <c r="O4" s="64">
        <f t="shared" ca="1" si="2"/>
        <v>0</v>
      </c>
      <c r="P4" s="65">
        <f t="shared" ca="1" si="1"/>
        <v>11</v>
      </c>
    </row>
    <row r="5" spans="1:21" ht="15.75" customHeight="1" x14ac:dyDescent="0.25">
      <c r="A5" s="66" t="s">
        <v>19</v>
      </c>
      <c r="B5" s="67">
        <f ca="1">COUNTIF(INDIRECT("11.24!E2:E1000"),$A5)</f>
        <v>7</v>
      </c>
      <c r="C5" s="67">
        <f t="shared" ca="1" si="2"/>
        <v>4</v>
      </c>
      <c r="D5" s="67">
        <f t="shared" ca="1" si="2"/>
        <v>2</v>
      </c>
      <c r="E5" s="67">
        <f t="shared" ca="1" si="2"/>
        <v>1</v>
      </c>
      <c r="F5" s="67">
        <f t="shared" ca="1" si="2"/>
        <v>0</v>
      </c>
      <c r="G5" s="67">
        <f t="shared" ca="1" si="2"/>
        <v>0</v>
      </c>
      <c r="H5" s="67">
        <f t="shared" ca="1" si="2"/>
        <v>0</v>
      </c>
      <c r="I5" s="67">
        <f t="shared" ca="1" si="2"/>
        <v>0</v>
      </c>
      <c r="J5" s="67">
        <f t="shared" ca="1" si="2"/>
        <v>1</v>
      </c>
      <c r="K5" s="67">
        <f t="shared" ca="1" si="2"/>
        <v>0</v>
      </c>
      <c r="L5" s="67">
        <f t="shared" ca="1" si="2"/>
        <v>0</v>
      </c>
      <c r="M5" s="67">
        <f t="shared" ca="1" si="2"/>
        <v>1</v>
      </c>
      <c r="N5" s="67">
        <f t="shared" ca="1" si="2"/>
        <v>0</v>
      </c>
      <c r="O5" s="67">
        <f t="shared" ca="1" si="2"/>
        <v>0</v>
      </c>
      <c r="P5" s="67">
        <f t="shared" ca="1" si="1"/>
        <v>16</v>
      </c>
    </row>
    <row r="6" spans="1:21" ht="15.75" customHeight="1" x14ac:dyDescent="0.25">
      <c r="A6" s="68" t="s">
        <v>20</v>
      </c>
      <c r="B6" s="69">
        <f ca="1">COUNTIF(INDIRECT("11.24!E2:E1000"),$A6)</f>
        <v>0</v>
      </c>
      <c r="C6" s="69">
        <f t="shared" ca="1" si="2"/>
        <v>0</v>
      </c>
      <c r="D6" s="69">
        <f t="shared" ca="1" si="2"/>
        <v>0</v>
      </c>
      <c r="E6" s="69">
        <f t="shared" ca="1" si="2"/>
        <v>0</v>
      </c>
      <c r="F6" s="69">
        <f t="shared" ca="1" si="2"/>
        <v>0</v>
      </c>
      <c r="G6" s="69">
        <f t="shared" ca="1" si="2"/>
        <v>0</v>
      </c>
      <c r="H6" s="69">
        <f t="shared" ca="1" si="2"/>
        <v>0</v>
      </c>
      <c r="I6" s="69">
        <f t="shared" ca="1" si="2"/>
        <v>0</v>
      </c>
      <c r="J6" s="69">
        <f t="shared" ca="1" si="2"/>
        <v>0</v>
      </c>
      <c r="K6" s="69">
        <f t="shared" ca="1" si="2"/>
        <v>0</v>
      </c>
      <c r="L6" s="69">
        <f t="shared" ca="1" si="2"/>
        <v>0</v>
      </c>
      <c r="M6" s="69">
        <f t="shared" ca="1" si="2"/>
        <v>0</v>
      </c>
      <c r="N6" s="69">
        <f t="shared" ca="1" si="2"/>
        <v>0</v>
      </c>
      <c r="O6" s="69">
        <f t="shared" ca="1" si="2"/>
        <v>0</v>
      </c>
      <c r="P6" s="69">
        <f t="shared" ca="1" si="1"/>
        <v>0</v>
      </c>
    </row>
    <row r="7" spans="1:21" ht="15.75" customHeight="1" x14ac:dyDescent="0.25">
      <c r="A7" s="6" t="s">
        <v>21</v>
      </c>
      <c r="B7" s="70">
        <f ca="1">COUNTIF(INDIRECT("11.24!E2:E1000"),$A7)</f>
        <v>2</v>
      </c>
      <c r="C7" s="70">
        <f t="shared" ca="1" si="2"/>
        <v>2</v>
      </c>
      <c r="D7" s="70">
        <f t="shared" ca="1" si="2"/>
        <v>2</v>
      </c>
      <c r="E7" s="70">
        <f t="shared" ca="1" si="2"/>
        <v>2</v>
      </c>
      <c r="F7" s="70">
        <f t="shared" ca="1" si="2"/>
        <v>2</v>
      </c>
      <c r="G7" s="70">
        <f t="shared" ca="1" si="2"/>
        <v>2</v>
      </c>
      <c r="H7" s="70">
        <f t="shared" ca="1" si="2"/>
        <v>1</v>
      </c>
      <c r="I7" s="70">
        <f t="shared" ca="1" si="2"/>
        <v>1</v>
      </c>
      <c r="J7" s="70">
        <f t="shared" ca="1" si="2"/>
        <v>1</v>
      </c>
      <c r="K7" s="70">
        <f t="shared" ca="1" si="2"/>
        <v>0</v>
      </c>
      <c r="L7" s="70">
        <f t="shared" ca="1" si="2"/>
        <v>0</v>
      </c>
      <c r="M7" s="70">
        <f t="shared" ca="1" si="2"/>
        <v>0</v>
      </c>
      <c r="N7" s="70">
        <f t="shared" ca="1" si="2"/>
        <v>0</v>
      </c>
      <c r="O7" s="70">
        <f t="shared" ca="1" si="2"/>
        <v>0</v>
      </c>
      <c r="P7" s="71">
        <f t="shared" ca="1" si="1"/>
        <v>15</v>
      </c>
    </row>
    <row r="8" spans="1:21" ht="15.75" customHeight="1" x14ac:dyDescent="0.25">
      <c r="A8" s="7" t="s">
        <v>15</v>
      </c>
      <c r="B8" s="72">
        <f t="shared" ref="B8:O8" ca="1" si="3">SUM(B2:B7)</f>
        <v>69</v>
      </c>
      <c r="C8" s="72">
        <f t="shared" ca="1" si="3"/>
        <v>69</v>
      </c>
      <c r="D8" s="72">
        <f t="shared" ca="1" si="3"/>
        <v>69</v>
      </c>
      <c r="E8" s="72">
        <f t="shared" ca="1" si="3"/>
        <v>69</v>
      </c>
      <c r="F8" s="72">
        <f t="shared" ca="1" si="3"/>
        <v>69</v>
      </c>
      <c r="G8" s="72">
        <f t="shared" ca="1" si="3"/>
        <v>69</v>
      </c>
      <c r="H8" s="72">
        <f t="shared" ca="1" si="3"/>
        <v>69</v>
      </c>
      <c r="I8" s="72">
        <f t="shared" ca="1" si="3"/>
        <v>69</v>
      </c>
      <c r="J8" s="72">
        <f t="shared" ca="1" si="3"/>
        <v>69</v>
      </c>
      <c r="K8" s="72">
        <f t="shared" ca="1" si="3"/>
        <v>69</v>
      </c>
      <c r="L8" s="72">
        <f t="shared" ca="1" si="3"/>
        <v>69</v>
      </c>
      <c r="M8" s="72">
        <f t="shared" ca="1" si="3"/>
        <v>69</v>
      </c>
      <c r="N8" s="72">
        <f t="shared" ca="1" si="3"/>
        <v>69</v>
      </c>
      <c r="O8" s="72">
        <f t="shared" ca="1" si="3"/>
        <v>1</v>
      </c>
      <c r="P8" s="72">
        <f t="shared" ca="1" si="1"/>
        <v>898</v>
      </c>
    </row>
    <row r="9" spans="1:21" ht="15.75" customHeight="1" x14ac:dyDescent="0.25">
      <c r="A9" s="8"/>
      <c r="B9" s="9"/>
      <c r="C9" s="9"/>
      <c r="D9" s="9"/>
      <c r="E9" s="9"/>
      <c r="F9" s="9"/>
      <c r="G9" s="9"/>
      <c r="H9" s="9"/>
      <c r="I9" s="9"/>
      <c r="J9" s="9"/>
      <c r="K9" s="9"/>
      <c r="L9" s="9"/>
      <c r="M9" s="9"/>
      <c r="N9" s="9"/>
      <c r="O9" s="9"/>
      <c r="P9" s="9"/>
    </row>
    <row r="10" spans="1:21" x14ac:dyDescent="0.25">
      <c r="A10" s="10"/>
      <c r="B10" s="10"/>
      <c r="C10" s="10"/>
      <c r="D10" s="10"/>
      <c r="E10" s="10"/>
      <c r="F10" s="10"/>
      <c r="G10" s="10"/>
      <c r="H10" s="10"/>
      <c r="I10" s="10"/>
      <c r="J10" s="10"/>
      <c r="K10" s="10"/>
      <c r="L10" s="10"/>
      <c r="M10" s="10"/>
      <c r="N10" s="10"/>
      <c r="O10" s="10"/>
      <c r="P10" s="10"/>
      <c r="Q10" s="10"/>
      <c r="R10" s="10"/>
      <c r="S10" s="10"/>
      <c r="T10" s="10"/>
      <c r="U10" s="10"/>
    </row>
    <row r="11" spans="1:21" ht="21" customHeight="1" x14ac:dyDescent="0.25">
      <c r="A11" s="136" t="s">
        <v>22</v>
      </c>
      <c r="B11" s="114"/>
      <c r="C11" s="112" t="s">
        <v>23</v>
      </c>
      <c r="D11" s="113"/>
      <c r="E11" s="113"/>
      <c r="F11" s="113"/>
      <c r="G11" s="113"/>
      <c r="H11" s="113"/>
      <c r="I11" s="114"/>
      <c r="J11" s="10"/>
      <c r="K11" s="112" t="s">
        <v>24</v>
      </c>
      <c r="L11" s="113"/>
      <c r="M11" s="113"/>
      <c r="N11" s="113"/>
      <c r="O11" s="113"/>
      <c r="P11" s="114"/>
      <c r="Q11" s="11"/>
      <c r="R11" s="127" t="s">
        <v>25</v>
      </c>
      <c r="S11" s="113"/>
      <c r="T11" s="114"/>
      <c r="U11" s="10"/>
    </row>
    <row r="12" spans="1:21" ht="15" customHeight="1" x14ac:dyDescent="0.25">
      <c r="A12" s="140" t="s">
        <v>13</v>
      </c>
      <c r="B12" s="129"/>
      <c r="C12" s="131" t="s">
        <v>26</v>
      </c>
      <c r="D12" s="113"/>
      <c r="E12" s="113"/>
      <c r="F12" s="113"/>
      <c r="G12" s="113"/>
      <c r="H12" s="113"/>
      <c r="I12" s="114"/>
      <c r="J12" s="10"/>
      <c r="K12" s="131" t="s">
        <v>26</v>
      </c>
      <c r="L12" s="113"/>
      <c r="M12" s="113"/>
      <c r="N12" s="113"/>
      <c r="O12" s="113"/>
      <c r="P12" s="114"/>
      <c r="Q12" s="11"/>
      <c r="R12" s="126" t="s">
        <v>27</v>
      </c>
      <c r="S12" s="114"/>
      <c r="T12" s="73" t="s">
        <v>28</v>
      </c>
      <c r="U12" s="10"/>
    </row>
    <row r="13" spans="1:21" ht="20.25" customHeight="1" x14ac:dyDescent="0.25">
      <c r="A13" s="116"/>
      <c r="B13" s="141"/>
      <c r="C13" s="74" t="s">
        <v>27</v>
      </c>
      <c r="D13" s="12" t="s">
        <v>29</v>
      </c>
      <c r="E13" s="12" t="s">
        <v>30</v>
      </c>
      <c r="F13" s="12" t="s">
        <v>31</v>
      </c>
      <c r="G13" s="12" t="s">
        <v>32</v>
      </c>
      <c r="H13" s="12" t="s">
        <v>33</v>
      </c>
      <c r="I13" s="13" t="s">
        <v>34</v>
      </c>
      <c r="J13" s="14"/>
      <c r="K13" s="74" t="s">
        <v>29</v>
      </c>
      <c r="L13" s="12" t="s">
        <v>30</v>
      </c>
      <c r="M13" s="12" t="s">
        <v>31</v>
      </c>
      <c r="N13" s="12" t="s">
        <v>32</v>
      </c>
      <c r="O13" s="12" t="s">
        <v>33</v>
      </c>
      <c r="P13" s="12" t="s">
        <v>34</v>
      </c>
      <c r="Q13" s="11"/>
      <c r="R13" s="130" t="str">
        <f>_xlfn.CONCAT("Envios - Mês de Referência - ", A12)</f>
        <v>Envios - Mês de Referência - 11.25</v>
      </c>
      <c r="S13" s="113"/>
      <c r="T13" s="114"/>
      <c r="U13" s="10"/>
    </row>
    <row r="14" spans="1:21" ht="20.25" customHeight="1" x14ac:dyDescent="0.25">
      <c r="A14" s="116"/>
      <c r="B14" s="141"/>
      <c r="C14" s="75" t="s">
        <v>28</v>
      </c>
      <c r="D14" s="76">
        <f t="array" aca="1" ref="D14" ca="1">IFERROR(ROWS(_xlfn._xlws.FILTER(INDIRECT($A$12&amp;"!A2:E100"),(INDIRECT($A$12&amp;"!A2:A100")=$C14)*(INDIRECT($A$12&amp;"!E2:E100")="Enviado"))), 0)</f>
        <v>10</v>
      </c>
      <c r="E14" s="62">
        <f t="array" aca="1" ref="E14" ca="1">IFERROR(ROWS(_xlfn._xlws.FILTER(INDIRECT($A$12&amp;"!A2:E100"),(INDIRECT($A$12&amp;"!A2:A100")=$C14)*(INDIRECT($A$12&amp;"!E2:E100")="Atrasado"))), 0)</f>
        <v>1</v>
      </c>
      <c r="F14" s="64">
        <f t="array" aca="1" ref="F14" ca="1">IFERROR(ROWS(_xlfn._xlws.FILTER(INDIRECT($A$12&amp;"!A2:E100"),(INDIRECT($A$12&amp;"!A2:A100")=$C14)*(INDIRECT($A$12&amp;"!E2:E100")="Atrasado &gt;= 2"))), 0)</f>
        <v>0</v>
      </c>
      <c r="G14" s="67">
        <f t="array" aca="1" ref="G14" ca="1">IFERROR(ROWS(_xlfn._xlws.FILTER(INDIRECT($A$12&amp;"!A2:E100"),(INDIRECT($A$12&amp;"!A2:A100")=$C14)*(INDIRECT($A$12&amp;"!E2:E100")="Duplicado"))), 0)</f>
        <v>0</v>
      </c>
      <c r="H14" s="69">
        <f t="array" aca="1" ref="H14" ca="1">IFERROR(ROWS(_xlfn._xlws.FILTER(INDIRECT($A$12&amp;"!A2:E100"),(INDIRECT($A$12&amp;"!A2:A100")=$C14)*(INDIRECT($A$12&amp;"!E2:E100")="Outras Ocorrências"))), 0)</f>
        <v>0</v>
      </c>
      <c r="I14" s="70">
        <f t="array" aca="1" ref="I14" ca="1">IFERROR(ROWS(_xlfn._xlws.FILTER(INDIRECT($A$12&amp;"!A2:E100"),(INDIRECT($A$12&amp;"!A2:A100")=$C14)*(INDIRECT($A$12&amp;"!E2:E100")="Sem Técnico"))), 0)</f>
        <v>0</v>
      </c>
      <c r="J14" s="15"/>
      <c r="K14" s="77">
        <f ca="1">COUNTIF(INDIRECT("Monitoramento!$D$2:$Q$12"), "Enviado")</f>
        <v>142</v>
      </c>
      <c r="L14" s="62">
        <f ca="1">COUNTIF(INDIRECT("Monitoramento!$D$2:$Q$12"), "Atrasado")</f>
        <v>1</v>
      </c>
      <c r="M14" s="64">
        <f ca="1">COUNTIF(INDIRECT("Monitoramento!$D$2:$Q$12"), "Atrasado &gt;= 2")</f>
        <v>0</v>
      </c>
      <c r="N14" s="67">
        <f ca="1">COUNTIF(INDIRECT("Monitoramento!$D$2:$Q$12"), "Duplicado")</f>
        <v>0</v>
      </c>
      <c r="O14" s="69">
        <f ca="1">COUNTIF(INDIRECT("Monitoramento!$D$2:$Q$12"), "Outras Ocorrências")</f>
        <v>0</v>
      </c>
      <c r="P14" s="70">
        <f ca="1">COUNTIF(INDIRECT("Monitoramento!$D$2:$Q$12"), "Sem Técnico")</f>
        <v>0</v>
      </c>
      <c r="Q14" s="11"/>
      <c r="R14" s="16" t="s">
        <v>35</v>
      </c>
      <c r="S14" s="17">
        <f ca="1">VLOOKUP($T$12,$C$14:$I$19,2, FALSE)</f>
        <v>10</v>
      </c>
      <c r="T14" s="18">
        <f t="shared" ref="T14:T19" ca="1" si="4">S14/SUM($S$14:$S$19)</f>
        <v>0.90909090909090906</v>
      </c>
      <c r="U14" s="10"/>
    </row>
    <row r="15" spans="1:21" ht="20.25" customHeight="1" x14ac:dyDescent="0.25">
      <c r="A15" s="116"/>
      <c r="B15" s="141"/>
      <c r="C15" s="78" t="s">
        <v>36</v>
      </c>
      <c r="D15" s="76">
        <f t="array" aca="1" ref="D15" ca="1">IFERROR(ROWS(_xlfn._xlws.FILTER(INDIRECT($A$12&amp;"!A2:E100"),(INDIRECT($A$12&amp;"!A2:A100")=$C15)*(INDIRECT($A$12&amp;"!E2:E100")="Enviado"))), 0)</f>
        <v>10</v>
      </c>
      <c r="E15" s="62">
        <f t="array" aca="1" ref="E15" ca="1">IFERROR(ROWS(_xlfn._xlws.FILTER(INDIRECT($A$12&amp;"!A2:E100"),(INDIRECT($A$12&amp;"!A2:A100")=$C15)*(INDIRECT($A$12&amp;"!E2:E100")="Atrasado"))), 0)</f>
        <v>1</v>
      </c>
      <c r="F15" s="64">
        <f t="array" aca="1" ref="F15" ca="1">IFERROR(ROWS(_xlfn._xlws.FILTER(INDIRECT($A$12&amp;"!A2:E100"),(INDIRECT($A$12&amp;"!A2:A100")=$C15)*(INDIRECT($A$12&amp;"!E2:E100")="Atrasado &gt;= 2"))), 0)</f>
        <v>0</v>
      </c>
      <c r="G15" s="67">
        <f t="array" aca="1" ref="G15" ca="1">IFERROR(ROWS(_xlfn._xlws.FILTER(INDIRECT($A$12&amp;"!A2:E100"),(INDIRECT($A$12&amp;"!A2:A100")=$C15)*(INDIRECT($A$12&amp;"!E2:E100")="Duplicado"))), 0)</f>
        <v>0</v>
      </c>
      <c r="H15" s="69">
        <f t="array" aca="1" ref="H15" ca="1">IFERROR(ROWS(_xlfn._xlws.FILTER(INDIRECT($A$12&amp;"!A2:E100"),(INDIRECT($A$12&amp;"!A2:A100")=$C15)*(INDIRECT($A$12&amp;"!E2:E100")="Outras Ocorrências"))), 0)</f>
        <v>0</v>
      </c>
      <c r="I15" s="70">
        <f t="array" aca="1" ref="I15" ca="1">IFERROR(ROWS(_xlfn._xlws.FILTER(INDIRECT($A$12&amp;"!A2:E100"),(INDIRECT($A$12&amp;"!A2:A100")=$C15)*(INDIRECT($A$12&amp;"!E2:E100")="Sem Técnico"))), 0)</f>
        <v>0</v>
      </c>
      <c r="J15" s="14"/>
      <c r="K15" s="77">
        <f ca="1">COUNTIF(INDIRECT("Monitoramento!$D$15:$Q$25"), "Enviado")</f>
        <v>141</v>
      </c>
      <c r="L15" s="62">
        <f ca="1">COUNTIF(INDIRECT("Monitoramento!$D$15:$Q$25"), "Atrasado")</f>
        <v>1</v>
      </c>
      <c r="M15" s="64">
        <f ca="1">COUNTIF(INDIRECT("Monitoramento!$D$15:$Q$25"), "Atrasado &gt;= 2")</f>
        <v>1</v>
      </c>
      <c r="N15" s="67">
        <f ca="1">COUNTIF(INDIRECT("Monitoramento!$D$15:$Q$25"), "Duplicado")</f>
        <v>0</v>
      </c>
      <c r="O15" s="69">
        <f ca="1">COUNTIF(INDIRECT("Monitoramento!$D$15:$Q$25"), "Outras Ocorrências")</f>
        <v>0</v>
      </c>
      <c r="P15" s="70">
        <f ca="1">COUNTIF(INDIRECT("Monitoramento!$D$15:$Q$25"), "Sem Técnico")</f>
        <v>0</v>
      </c>
      <c r="Q15" s="11"/>
      <c r="R15" s="79" t="s">
        <v>37</v>
      </c>
      <c r="S15" s="62">
        <f ca="1">VLOOKUP($T$12,$C$14:$I$19,3,FALSE)</f>
        <v>1</v>
      </c>
      <c r="T15" s="80">
        <f t="shared" ca="1" si="4"/>
        <v>9.0909090909090912E-2</v>
      </c>
      <c r="U15" s="10"/>
    </row>
    <row r="16" spans="1:21" ht="20.25" customHeight="1" x14ac:dyDescent="0.25">
      <c r="A16" s="116"/>
      <c r="B16" s="141"/>
      <c r="C16" s="81" t="s">
        <v>38</v>
      </c>
      <c r="D16" s="76">
        <f t="array" aca="1" ref="D16" ca="1">IFERROR(ROWS(_xlfn._xlws.FILTER(INDIRECT($A$12&amp;"!A2:E100"),(INDIRECT($A$12&amp;"!A2:A100")=$C16)*(INDIRECT($A$12&amp;"!E2:E100")="Enviado"))), 0)</f>
        <v>10</v>
      </c>
      <c r="E16" s="62">
        <f t="array" aca="1" ref="E16" ca="1">IFERROR(ROWS(_xlfn._xlws.FILTER(INDIRECT($A$12&amp;"!A2:E100"),(INDIRECT($A$12&amp;"!A2:A100")=$C16)*(INDIRECT($A$12&amp;"!E2:E100")="Atrasado"))), 0)</f>
        <v>1</v>
      </c>
      <c r="F16" s="64">
        <f t="array" aca="1" ref="F16" ca="1">IFERROR(ROWS(_xlfn._xlws.FILTER(INDIRECT($A$12&amp;"!A2:E100"),(INDIRECT($A$12&amp;"!A2:A100")=$C16)*(INDIRECT($A$12&amp;"!E2:E100")="Atrasado &gt;= 2"))), 0)</f>
        <v>0</v>
      </c>
      <c r="G16" s="67">
        <f t="array" aca="1" ref="G16" ca="1">IFERROR(ROWS(_xlfn._xlws.FILTER(INDIRECT($A$12&amp;"!A2:E100"),(INDIRECT($A$12&amp;"!A2:A100")=$C16)*(INDIRECT($A$12&amp;"!E2:E100")="Duplicado"))), 0)</f>
        <v>0</v>
      </c>
      <c r="H16" s="69">
        <f t="array" aca="1" ref="H16" ca="1">IFERROR(ROWS(_xlfn._xlws.FILTER(INDIRECT($A$12&amp;"!A2:E100"),(INDIRECT($A$12&amp;"!A2:A100")=$C16)*(INDIRECT($A$12&amp;"!E2:E100")="Outras Ocorrências"))), 0)</f>
        <v>0</v>
      </c>
      <c r="I16" s="70">
        <f t="array" aca="1" ref="I16" ca="1">IFERROR(ROWS(_xlfn._xlws.FILTER(INDIRECT($A$12&amp;"!A2:E100"),(INDIRECT($A$12&amp;"!A2:A100")=$C16)*(INDIRECT($A$12&amp;"!E2:E100")="Sem Técnico"))), 0)</f>
        <v>0</v>
      </c>
      <c r="J16" s="14"/>
      <c r="K16" s="77">
        <f ca="1">COUNTIF(INDIRECT("Monitoramento!$D$28:$Q$38"), "Enviado")</f>
        <v>132</v>
      </c>
      <c r="L16" s="62">
        <f ca="1">COUNTIF(INDIRECT("Monitoramento!$D$28:$Q$38"), "Atrasado")</f>
        <v>1</v>
      </c>
      <c r="M16" s="64">
        <f ca="1">COUNTIF(INDIRECT("Monitoramento!$D$28:$Q$38"), "Atrasado &gt;= 2")</f>
        <v>2</v>
      </c>
      <c r="N16" s="67">
        <f ca="1">COUNTIF(INDIRECT("Monitoramento!$D$28:$Q$38"), "Duplicado")</f>
        <v>9</v>
      </c>
      <c r="O16" s="69">
        <f ca="1">COUNTIF(INDIRECT("Monitoramento!$D$28:$Q$38"), "Outras Ocorrências")</f>
        <v>0</v>
      </c>
      <c r="P16" s="70">
        <f ca="1">COUNTIF(INDIRECT("Monitoramento!$D$28:$Q$38"), "Sem Técnico")</f>
        <v>0</v>
      </c>
      <c r="Q16" s="11"/>
      <c r="R16" s="79" t="s">
        <v>39</v>
      </c>
      <c r="S16" s="64">
        <f ca="1">VLOOKUP($T$12,$C$14:$I$19,4,FALSE)</f>
        <v>0</v>
      </c>
      <c r="T16" s="82">
        <f t="shared" ca="1" si="4"/>
        <v>0</v>
      </c>
      <c r="U16" s="10"/>
    </row>
    <row r="17" spans="1:21" ht="20.25" customHeight="1" x14ac:dyDescent="0.25">
      <c r="A17" s="116"/>
      <c r="B17" s="141"/>
      <c r="C17" s="83" t="s">
        <v>40</v>
      </c>
      <c r="D17" s="76">
        <f t="array" aca="1" ref="D17" ca="1">IFERROR(ROWS(_xlfn._xlws.FILTER(INDIRECT($A$12&amp;"!A2:E100"),(INDIRECT($A$12&amp;"!A2:A100")=$C17)*(INDIRECT($A$12&amp;"!E2:E100")="Enviado"))), 0)</f>
        <v>10</v>
      </c>
      <c r="E17" s="62">
        <f t="array" aca="1" ref="E17" ca="1">IFERROR(ROWS(_xlfn._xlws.FILTER(INDIRECT($A$12&amp;"!A2:E100"),(INDIRECT($A$12&amp;"!A2:A100")=$C17)*(INDIRECT($A$12&amp;"!E2:E100")="Atrasado"))), 0)</f>
        <v>3</v>
      </c>
      <c r="F17" s="64">
        <f t="array" aca="1" ref="F17" ca="1">IFERROR(ROWS(_xlfn._xlws.FILTER(INDIRECT($A$12&amp;"!A2:E100"),(INDIRECT($A$12&amp;"!A2:A100")=$C17)*(INDIRECT($A$12&amp;"!E2:E100")="Atrasado &gt;= 2"))), 0)</f>
        <v>0</v>
      </c>
      <c r="G17" s="67">
        <f t="array" aca="1" ref="G17" ca="1">IFERROR(ROWS(_xlfn._xlws.FILTER(INDIRECT($A$12&amp;"!A2:E100"),(INDIRECT($A$12&amp;"!A2:A100")=$C17)*(INDIRECT($A$12&amp;"!E2:E100")="Duplicado"))), 0)</f>
        <v>0</v>
      </c>
      <c r="H17" s="69">
        <f t="array" aca="1" ref="H17" ca="1">IFERROR(ROWS(_xlfn._xlws.FILTER(INDIRECT($A$12&amp;"!A2:E100"),(INDIRECT($A$12&amp;"!A2:A100")=$C17)*(INDIRECT($A$12&amp;"!E2:E100")="Outras Ocorrências"))), 0)</f>
        <v>0</v>
      </c>
      <c r="I17" s="70">
        <f t="array" aca="1" ref="I17" ca="1">IFERROR(ROWS(_xlfn._xlws.FILTER(INDIRECT($A$12&amp;"!A2:E100"),(INDIRECT($A$12&amp;"!A2:A100")=$C17)*(INDIRECT($A$12&amp;"!E2:E100")="Sem Técnico"))), 0)</f>
        <v>0</v>
      </c>
      <c r="J17" s="15"/>
      <c r="K17" s="77">
        <f ca="1">COUNTIF(INDIRECT("Monitoramento!$D$41:$Q$53"), "Enviado")</f>
        <v>151</v>
      </c>
      <c r="L17" s="62">
        <f ca="1">COUNTIF(INDIRECT("Monitoramento!$D$41:$Q$53"), "Atrasado")</f>
        <v>3</v>
      </c>
      <c r="M17" s="64">
        <f ca="1">COUNTIF(INDIRECT("Monitoramento!$D$41:$Q$53"), "Atrasado &gt;= 2")</f>
        <v>0</v>
      </c>
      <c r="N17" s="67">
        <f ca="1">COUNTIF(INDIRECT("Monitoramento!$D$41:$Q$53"), "Duplicado")</f>
        <v>0</v>
      </c>
      <c r="O17" s="69">
        <f ca="1">COUNTIF(INDIRECT("Monitoramento!$D$41:$Q$53"), "Outras Ocorrências")</f>
        <v>0</v>
      </c>
      <c r="P17" s="70">
        <f ca="1">COUNTIF(INDIRECT("Monitoramento!$D$41:$Q$53"), "Sem Técnico")</f>
        <v>15</v>
      </c>
      <c r="Q17" s="11"/>
      <c r="R17" s="79" t="s">
        <v>41</v>
      </c>
      <c r="S17" s="67">
        <f ca="1">VLOOKUP($T$12,$C$14:$I$19,5,FALSE)</f>
        <v>0</v>
      </c>
      <c r="T17" s="84">
        <f t="shared" ca="1" si="4"/>
        <v>0</v>
      </c>
      <c r="U17" s="10"/>
    </row>
    <row r="18" spans="1:21" ht="20.25" customHeight="1" x14ac:dyDescent="0.25">
      <c r="A18" s="116"/>
      <c r="B18" s="141"/>
      <c r="C18" s="85" t="s">
        <v>42</v>
      </c>
      <c r="D18" s="76">
        <f t="array" aca="1" ref="D18" ca="1">IFERROR(ROWS(_xlfn._xlws.FILTER(INDIRECT($A$12&amp;"!A2:E100"),(INDIRECT($A$12&amp;"!A2:A100")=$C18)*(INDIRECT($A$12&amp;"!E2:E100")="Enviado"))), 0)</f>
        <v>8</v>
      </c>
      <c r="E18" s="62">
        <f t="array" aca="1" ref="E18" ca="1">IFERROR(ROWS(_xlfn._xlws.FILTER(INDIRECT($A$12&amp;"!A2:E100"),(INDIRECT($A$12&amp;"!A2:A100")=$C18)*(INDIRECT($A$12&amp;"!E2:E100")="Atrasado"))), 0)</f>
        <v>4</v>
      </c>
      <c r="F18" s="64">
        <f t="array" aca="1" ref="F18" ca="1">IFERROR(ROWS(_xlfn._xlws.FILTER(INDIRECT($A$12&amp;"!A2:E100"),(INDIRECT($A$12&amp;"!A2:A100")=$C18)*(INDIRECT($A$12&amp;"!E2:E100")="Atrasado &gt;= 2"))), 0)</f>
        <v>0</v>
      </c>
      <c r="G18" s="67">
        <f t="array" aca="1" ref="G18" ca="1">IFERROR(ROWS(_xlfn._xlws.FILTER(INDIRECT($A$12&amp;"!A2:E100"),(INDIRECT($A$12&amp;"!A2:A100")=$C18)*(INDIRECT($A$12&amp;"!E2:E100")="Duplicado"))), 0)</f>
        <v>0</v>
      </c>
      <c r="H18" s="69">
        <f t="array" aca="1" ref="H18" ca="1">IFERROR(ROWS(_xlfn._xlws.FILTER(INDIRECT($A$12&amp;"!A2:E100"),(INDIRECT($A$12&amp;"!A2:A100")=$C18)*(INDIRECT($A$12&amp;"!E2:E100")="Outras Ocorrências"))), 0)</f>
        <v>0</v>
      </c>
      <c r="I18" s="70">
        <f t="array" aca="1" ref="I18" ca="1">IFERROR(ROWS(_xlfn._xlws.FILTER(INDIRECT($A$12&amp;"!A2:E100"),(INDIRECT($A$12&amp;"!A2:A100")=$C18)*(INDIRECT($A$12&amp;"!E2:E100")="Sem Técnico"))), 0)</f>
        <v>0</v>
      </c>
      <c r="J18" s="14"/>
      <c r="K18" s="77">
        <f ca="1">COUNTIF(INDIRECT("Monitoramento!$D$56:$Q$67"), "Enviado")</f>
        <v>145</v>
      </c>
      <c r="L18" s="62">
        <f ca="1">COUNTIF(INDIRECT("Monitoramento!$D$56:$Q$67"), "Atrasado")</f>
        <v>4</v>
      </c>
      <c r="M18" s="64">
        <f ca="1">COUNTIF(INDIRECT("Monitoramento!$D$56:$Q$67"), "Atrasado &gt;= 2")</f>
        <v>4</v>
      </c>
      <c r="N18" s="67">
        <f ca="1">COUNTIF(INDIRECT("Monitoramento!$D$56:$Q$67"), "Duplicado")</f>
        <v>3</v>
      </c>
      <c r="O18" s="69">
        <f ca="1">COUNTIF(INDIRECT("Monitoramento!$D$56:$Q$67"), "Outras Ocorrências")</f>
        <v>0</v>
      </c>
      <c r="P18" s="70">
        <f ca="1">COUNTIF(INDIRECT("Monitoramento!$D$56:$Q$67"), "Sem Técnico")</f>
        <v>0</v>
      </c>
      <c r="Q18" s="11"/>
      <c r="R18" s="79" t="s">
        <v>20</v>
      </c>
      <c r="S18" s="69">
        <f ca="1">VLOOKUP($T$12,$C$14:$I$19,6,FALSE)</f>
        <v>0</v>
      </c>
      <c r="T18" s="86">
        <f t="shared" ca="1" si="4"/>
        <v>0</v>
      </c>
      <c r="U18" s="10"/>
    </row>
    <row r="19" spans="1:21" ht="20.25" customHeight="1" x14ac:dyDescent="0.25">
      <c r="A19" s="116"/>
      <c r="B19" s="141"/>
      <c r="C19" s="87" t="s">
        <v>43</v>
      </c>
      <c r="D19" s="76">
        <f t="array" aca="1" ref="D19" ca="1">IFERROR(ROWS(_xlfn._xlws.FILTER(INDIRECT($A$12&amp;"!A2:E100"),(INDIRECT($A$12&amp;"!A2:A100")=$C19)*(INDIRECT($A$12&amp;"!E2:E100")="Enviado"))), 0)</f>
        <v>11</v>
      </c>
      <c r="E19" s="62">
        <f t="array" aca="1" ref="E19" ca="1">IFERROR(ROWS(_xlfn._xlws.FILTER(INDIRECT($A$12&amp;"!A2:E100"),(INDIRECT($A$12&amp;"!A2:A100")=$C19)*(INDIRECT($A$12&amp;"!E2:E100")="Atrasado"))), 0)</f>
        <v>0</v>
      </c>
      <c r="F19" s="64">
        <f t="array" aca="1" ref="F19" ca="1">IFERROR(ROWS(_xlfn._xlws.FILTER(INDIRECT($A$12&amp;"!A2:E100"),(INDIRECT($A$12&amp;"!A2:A100")=$C19)*(INDIRECT($A$12&amp;"!E2:E100")="Atrasado &gt;= 2"))), 0)</f>
        <v>0</v>
      </c>
      <c r="G19" s="67">
        <f t="array" aca="1" ref="G19" ca="1">IFERROR(ROWS(_xlfn._xlws.FILTER(INDIRECT($A$12&amp;"!A2:E100"),(INDIRECT($A$12&amp;"!A2:A100")=$C19)*(INDIRECT($A$12&amp;"!E2:E100")="Duplicado"))), 0)</f>
        <v>0</v>
      </c>
      <c r="H19" s="69">
        <f t="array" aca="1" ref="H19" ca="1">IFERROR(ROWS(_xlfn._xlws.FILTER(INDIRECT($A$12&amp;"!A2:E100"),(INDIRECT($A$12&amp;"!A2:A100")=$C19)*(INDIRECT($A$12&amp;"!E2:E100")="Outras Ocorrências"))), 0)</f>
        <v>0</v>
      </c>
      <c r="I19" s="70">
        <f t="array" aca="1" ref="I19" ca="1">IFERROR(ROWS(_xlfn._xlws.FILTER(INDIRECT($A$12&amp;"!A2:E100"),(INDIRECT($A$12&amp;"!A2:A100")=$C19)*(INDIRECT($A$12&amp;"!E2:E100")="Sem Técnico"))), 0)</f>
        <v>0</v>
      </c>
      <c r="J19" s="14"/>
      <c r="K19" s="88">
        <f ca="1">COUNTIF(INDIRECT("Monitoramento!$D$70:$Q$80"), "Enviado")</f>
        <v>135</v>
      </c>
      <c r="L19" s="19">
        <f ca="1">COUNTIF(INDIRECT("Monitoramento!$D$70:$Q$80"), "Atrasado")</f>
        <v>0</v>
      </c>
      <c r="M19" s="20">
        <f ca="1">COUNTIF(INDIRECT("Monitoramento!$D$70:$Q$80"), "Atrasado &gt;= 2")</f>
        <v>4</v>
      </c>
      <c r="N19" s="67">
        <f ca="1">COUNTIF(INDIRECT("Monitoramento!$D$70:$Q$80"), "Duplicado")</f>
        <v>4</v>
      </c>
      <c r="O19" s="69">
        <f ca="1">COUNTIF(INDIRECT("Monitoramento!$D$70:$Q$80"), "Outras Ocorrências")</f>
        <v>0</v>
      </c>
      <c r="P19" s="21">
        <f ca="1">COUNTIF(INDIRECT("Monitoramento!$D$70:$Q$80"), "Sem Técnico")</f>
        <v>0</v>
      </c>
      <c r="Q19" s="11"/>
      <c r="R19" s="79" t="s">
        <v>21</v>
      </c>
      <c r="S19" s="21">
        <f ca="1">VLOOKUP($T$12,$C$14:$I$19,7,FALSE)</f>
        <v>0</v>
      </c>
      <c r="T19" s="22">
        <f t="shared" ca="1" si="4"/>
        <v>0</v>
      </c>
      <c r="U19" s="10"/>
    </row>
    <row r="20" spans="1:21" ht="15" customHeight="1" x14ac:dyDescent="0.25">
      <c r="A20" s="116"/>
      <c r="B20" s="141"/>
      <c r="C20" s="131" t="s">
        <v>44</v>
      </c>
      <c r="D20" s="113"/>
      <c r="E20" s="113"/>
      <c r="F20" s="113"/>
      <c r="G20" s="113"/>
      <c r="H20" s="113"/>
      <c r="I20" s="114"/>
      <c r="J20" s="23"/>
      <c r="K20" s="131" t="s">
        <v>44</v>
      </c>
      <c r="L20" s="113"/>
      <c r="M20" s="113"/>
      <c r="N20" s="113"/>
      <c r="O20" s="113"/>
      <c r="P20" s="114"/>
      <c r="Q20" s="11"/>
      <c r="R20" s="24" t="s">
        <v>45</v>
      </c>
      <c r="S20" s="134">
        <f ca="1">VLOOKUP($T$12,$C$22:$I$27,7,FALSE)</f>
        <v>0.7</v>
      </c>
      <c r="T20" s="114"/>
      <c r="U20" s="10"/>
    </row>
    <row r="21" spans="1:21" ht="15" customHeight="1" x14ac:dyDescent="0.25">
      <c r="A21" s="116"/>
      <c r="B21" s="141"/>
      <c r="C21" s="126" t="s">
        <v>27</v>
      </c>
      <c r="D21" s="114"/>
      <c r="E21" s="126" t="s">
        <v>46</v>
      </c>
      <c r="F21" s="114"/>
      <c r="G21" s="126" t="s">
        <v>47</v>
      </c>
      <c r="H21" s="114"/>
      <c r="I21" s="25" t="s">
        <v>48</v>
      </c>
      <c r="J21" s="15"/>
      <c r="K21" s="138" t="s">
        <v>46</v>
      </c>
      <c r="L21" s="122"/>
      <c r="M21" s="138" t="s">
        <v>47</v>
      </c>
      <c r="N21" s="122"/>
      <c r="O21" s="138" t="s">
        <v>49</v>
      </c>
      <c r="P21" s="122"/>
      <c r="Q21" s="11"/>
      <c r="R21" s="130" t="s">
        <v>50</v>
      </c>
      <c r="S21" s="113"/>
      <c r="T21" s="114"/>
      <c r="U21" s="10"/>
    </row>
    <row r="22" spans="1:21" ht="15" customHeight="1" x14ac:dyDescent="0.25">
      <c r="A22" s="116"/>
      <c r="B22" s="141"/>
      <c r="C22" s="133" t="s">
        <v>28</v>
      </c>
      <c r="D22" s="114"/>
      <c r="E22" s="118">
        <f t="array" aca="1" ref="E22" ca="1">IFERROR(ROWS(_xlfn._xlws.FILTER(INDIRECT($A$12&amp;"!A2:E100"),(INDIRECT($A$12&amp;"!A2:A100")=$C22)*(INDIRECT($A$12&amp;"!G2:G100")="Sim"))), 0)</f>
        <v>7</v>
      </c>
      <c r="F22" s="114"/>
      <c r="G22" s="135">
        <f t="array" aca="1" ref="G22" ca="1">IFERROR(ROWS(_xlfn._xlws.FILTER(INDIRECT($A$12&amp;"!A2:E100"),(INDIRECT($A$12&amp;"!A2:A100")=$C22)*(INDIRECT($A$12&amp;"!G2:G100")="Não")))-E14, 0)</f>
        <v>3</v>
      </c>
      <c r="H22" s="114"/>
      <c r="I22" s="26">
        <f t="shared" ref="I22:I27" ca="1" si="5">IFERROR(E22/SUM(E22:H22),0)</f>
        <v>0.7</v>
      </c>
      <c r="J22" s="14"/>
      <c r="K22" s="118">
        <f ca="1">COUNTIF(INDIRECT("Regionais!$D$2:$Q$12"), "Sim")</f>
        <v>138</v>
      </c>
      <c r="L22" s="114"/>
      <c r="M22" s="135">
        <f ca="1">COUNTIF(INDIRECT("Regionais!$D$2:$Q$12"), "Não")-SUM(L14:M14)</f>
        <v>4</v>
      </c>
      <c r="N22" s="114"/>
      <c r="O22" s="120">
        <f t="shared" ref="O22:O27" ca="1" si="6">IFERROR(K22/SUM(K22:N22), 0)</f>
        <v>0.971830985915493</v>
      </c>
      <c r="P22" s="114"/>
      <c r="Q22" s="11"/>
      <c r="R22" s="16" t="s">
        <v>35</v>
      </c>
      <c r="S22" s="17">
        <f ca="1">VLOOKUP($T$12,$C$13:$P$19,9,FALSE)</f>
        <v>142</v>
      </c>
      <c r="T22" s="18">
        <f t="shared" ref="T22:T27" ca="1" si="7">S22/SUM($S$22:$S$27)</f>
        <v>0.99300699300699302</v>
      </c>
      <c r="U22" s="10"/>
    </row>
    <row r="23" spans="1:21" ht="15" customHeight="1" x14ac:dyDescent="0.25">
      <c r="A23" s="116"/>
      <c r="B23" s="141"/>
      <c r="C23" s="142" t="s">
        <v>36</v>
      </c>
      <c r="D23" s="114"/>
      <c r="E23" s="118">
        <f t="array" aca="1" ref="E23" ca="1">IFERROR(ROWS(_xlfn._xlws.FILTER(INDIRECT($A$12&amp;"!A2:E100"),(INDIRECT($A$12&amp;"!A2:A100")=$C23)*(INDIRECT($A$12&amp;"!G2:G100")="Sim"))), 0)</f>
        <v>0</v>
      </c>
      <c r="F23" s="114"/>
      <c r="G23" s="135">
        <f t="array" aca="1" ref="G23" ca="1">IFERROR(ROWS(_xlfn._xlws.FILTER(INDIRECT($A$12&amp;"!A2:E100"),(INDIRECT($A$12&amp;"!A2:A100")=$C23)*(INDIRECT($A$12&amp;"!G2:G100")="Não")))-E15, 0)</f>
        <v>10</v>
      </c>
      <c r="H23" s="114"/>
      <c r="I23" s="26">
        <f t="shared" ca="1" si="5"/>
        <v>0</v>
      </c>
      <c r="J23" s="15"/>
      <c r="K23" s="118">
        <f ca="1">COUNTIF(INDIRECT("Regionais!$D$15:$Q$25"), "Sim")</f>
        <v>54</v>
      </c>
      <c r="L23" s="114"/>
      <c r="M23" s="135">
        <f ca="1">COUNTIF(INDIRECT("Regionais!$D$15:$Q$25"), "Não")-SUM(L15:M15)</f>
        <v>87</v>
      </c>
      <c r="N23" s="114"/>
      <c r="O23" s="120">
        <f t="shared" ca="1" si="6"/>
        <v>0.38297872340425532</v>
      </c>
      <c r="P23" s="114"/>
      <c r="Q23" s="11"/>
      <c r="R23" s="79" t="s">
        <v>37</v>
      </c>
      <c r="S23" s="62">
        <f ca="1">VLOOKUP($T$12,$C$13:$P$19,10,FALSE)</f>
        <v>1</v>
      </c>
      <c r="T23" s="80">
        <f t="shared" ca="1" si="7"/>
        <v>6.993006993006993E-3</v>
      </c>
      <c r="U23" s="10"/>
    </row>
    <row r="24" spans="1:21" ht="15" customHeight="1" x14ac:dyDescent="0.25">
      <c r="A24" s="116"/>
      <c r="B24" s="141"/>
      <c r="C24" s="117" t="s">
        <v>38</v>
      </c>
      <c r="D24" s="114"/>
      <c r="E24" s="118">
        <f t="array" aca="1" ref="E24" ca="1">IFERROR(ROWS(_xlfn._xlws.FILTER(INDIRECT($A$12&amp;"!A2:E100"),(INDIRECT($A$12&amp;"!A2:A100")=$C24)*(INDIRECT($A$12&amp;"!G2:G100")="Sim"))), 0)</f>
        <v>4</v>
      </c>
      <c r="F24" s="114"/>
      <c r="G24" s="135">
        <f t="array" aca="1" ref="G24" ca="1">IFERROR(ROWS(_xlfn._xlws.FILTER(INDIRECT($A$12&amp;"!A2:E100"),(INDIRECT($A$12&amp;"!A2:A100")=$C24)*(INDIRECT($A$12&amp;"!G2:G100")="Não")))-E16, 0)</f>
        <v>6</v>
      </c>
      <c r="H24" s="114"/>
      <c r="I24" s="26">
        <f t="shared" ca="1" si="5"/>
        <v>0.4</v>
      </c>
      <c r="J24" s="15"/>
      <c r="K24" s="118">
        <f ca="1">COUNTIF(INDIRECT("Regionais!$D$28:$Q$38"), "Sim")</f>
        <v>67</v>
      </c>
      <c r="L24" s="114"/>
      <c r="M24" s="135">
        <f ca="1">COUNTIF(INDIRECT("Regionais!$D$28:$Q$38"), "Não")-SUM(L16:M16)</f>
        <v>74</v>
      </c>
      <c r="N24" s="114"/>
      <c r="O24" s="120">
        <f t="shared" ca="1" si="6"/>
        <v>0.47517730496453903</v>
      </c>
      <c r="P24" s="114"/>
      <c r="Q24" s="11"/>
      <c r="R24" s="79" t="s">
        <v>39</v>
      </c>
      <c r="S24" s="64">
        <f ca="1">VLOOKUP($T$12,$C$13:$P$19,11,FALSE)</f>
        <v>0</v>
      </c>
      <c r="T24" s="82">
        <f t="shared" ca="1" si="7"/>
        <v>0</v>
      </c>
      <c r="U24" s="10"/>
    </row>
    <row r="25" spans="1:21" ht="15" customHeight="1" x14ac:dyDescent="0.25">
      <c r="A25" s="116"/>
      <c r="B25" s="141"/>
      <c r="C25" s="124" t="s">
        <v>40</v>
      </c>
      <c r="D25" s="114"/>
      <c r="E25" s="118">
        <f t="array" aca="1" ref="E25" ca="1">IFERROR(ROWS(_xlfn._xlws.FILTER(INDIRECT($A$12&amp;"!A2:E100"),(INDIRECT($A$12&amp;"!A2:A100")=$C25)*(INDIRECT($A$12&amp;"!G2:G100")="Sim"))), 0)</f>
        <v>7</v>
      </c>
      <c r="F25" s="114"/>
      <c r="G25" s="128">
        <f t="array" aca="1" ref="G25" ca="1">IFERROR(ROWS(_xlfn._xlws.FILTER(INDIRECT($A$12&amp;"!A2:E100"),(INDIRECT($A$12&amp;"!A2:A100")=$C25)*(INDIRECT($A$12&amp;"!G2:G100")="Não")))-E17, 0)</f>
        <v>3</v>
      </c>
      <c r="H25" s="129"/>
      <c r="I25" s="27">
        <f t="shared" ca="1" si="5"/>
        <v>0.7</v>
      </c>
      <c r="J25" s="15"/>
      <c r="K25" s="118">
        <f ca="1">COUNTIF(INDIRECT("Regionais!$D$41:$Q$53"), "Sim")</f>
        <v>162</v>
      </c>
      <c r="L25" s="114"/>
      <c r="M25" s="135">
        <f ca="1">COUNTIF(INDIRECT("Regionais!$D$41:$Q$53"), "Não")-SUM(L17:M17)</f>
        <v>4</v>
      </c>
      <c r="N25" s="114"/>
      <c r="O25" s="120">
        <f t="shared" ca="1" si="6"/>
        <v>0.97590361445783136</v>
      </c>
      <c r="P25" s="114"/>
      <c r="Q25" s="11"/>
      <c r="R25" s="79" t="s">
        <v>41</v>
      </c>
      <c r="S25" s="67">
        <f ca="1">VLOOKUP($T$12,$C$13:$P$19,12,FALSE)</f>
        <v>0</v>
      </c>
      <c r="T25" s="84">
        <f t="shared" ca="1" si="7"/>
        <v>0</v>
      </c>
      <c r="U25" s="10"/>
    </row>
    <row r="26" spans="1:21" ht="15" customHeight="1" x14ac:dyDescent="0.25">
      <c r="A26" s="116"/>
      <c r="B26" s="141"/>
      <c r="C26" s="123" t="s">
        <v>42</v>
      </c>
      <c r="D26" s="114"/>
      <c r="E26" s="139">
        <f t="array" aca="1" ref="E26" ca="1">IFERROR(ROWS(_xlfn._xlws.FILTER(INDIRECT($A$12&amp;"!A2:E100"),(INDIRECT($A$12&amp;"!A2:A100")=$C26)*(INDIRECT($A$12&amp;"!G2:G100")="Sim"))), 0)</f>
        <v>0</v>
      </c>
      <c r="F26" s="113"/>
      <c r="G26" s="135">
        <f t="array" aca="1" ref="G26" ca="1">IFERROR(ROWS(_xlfn._xlws.FILTER(INDIRECT($A$12&amp;"!A2:E100"),(INDIRECT($A$12&amp;"!A2:A100")=$C26)*(INDIRECT($A$12&amp;"!G2:G100")="Não")))-E18, 0)</f>
        <v>8</v>
      </c>
      <c r="H26" s="114"/>
      <c r="I26" s="89">
        <f t="shared" ca="1" si="5"/>
        <v>0</v>
      </c>
      <c r="J26" s="10"/>
      <c r="K26" s="118">
        <f ca="1">COUNTIF(INDIRECT("Regionais!$D$56:$Q$67"), "Sim")</f>
        <v>122</v>
      </c>
      <c r="L26" s="114"/>
      <c r="M26" s="135">
        <f ca="1">COUNTIF(INDIRECT("Regionais!$D$56:$Q$67"), "Não")-SUM(L18:M18)</f>
        <v>26</v>
      </c>
      <c r="N26" s="114"/>
      <c r="O26" s="120">
        <f t="shared" ca="1" si="6"/>
        <v>0.82432432432432434</v>
      </c>
      <c r="P26" s="114"/>
      <c r="Q26" s="11"/>
      <c r="R26" s="79" t="s">
        <v>20</v>
      </c>
      <c r="S26" s="69">
        <f ca="1">VLOOKUP($T$12,$C$13:$P$19,13,FALSE)</f>
        <v>0</v>
      </c>
      <c r="T26" s="86">
        <f t="shared" ca="1" si="7"/>
        <v>0</v>
      </c>
      <c r="U26" s="10"/>
    </row>
    <row r="27" spans="1:21" x14ac:dyDescent="0.25">
      <c r="A27" s="116"/>
      <c r="B27" s="141"/>
      <c r="C27" s="143" t="s">
        <v>43</v>
      </c>
      <c r="D27" s="114"/>
      <c r="E27" s="118">
        <f t="array" aca="1" ref="E27" ca="1">IFERROR(ROWS(_xlfn._xlws.FILTER(INDIRECT($A$12&amp;"!A2:E100"),(INDIRECT($A$12&amp;"!A2:A100")=$C27)*(INDIRECT($A$12&amp;"!G2:G100")="Sim"))), 0)</f>
        <v>10</v>
      </c>
      <c r="F27" s="114"/>
      <c r="G27" s="121">
        <f t="array" aca="1" ref="G27" ca="1">IFERROR(ROWS(_xlfn._xlws.FILTER(INDIRECT($A$12&amp;"!A2:E100"),(INDIRECT($A$12&amp;"!A2:A100")=$C27)*(INDIRECT($A$12&amp;"!G2:G100")="Não")))-E19, 0)</f>
        <v>1</v>
      </c>
      <c r="H27" s="122"/>
      <c r="I27" s="28">
        <f t="shared" ca="1" si="5"/>
        <v>0.90909090909090906</v>
      </c>
      <c r="J27" s="10"/>
      <c r="K27" s="118">
        <f ca="1">COUNTIF(INDIRECT("Regionais!$D$70:$Q$80"), "Sim")</f>
        <v>129</v>
      </c>
      <c r="L27" s="114"/>
      <c r="M27" s="135">
        <f ca="1">COUNTIF(INDIRECT("Regionais!$D$70:$Q$80"), "Não")-SUM(L19:M19)</f>
        <v>10</v>
      </c>
      <c r="N27" s="114"/>
      <c r="O27" s="120">
        <f t="shared" ca="1" si="6"/>
        <v>0.92805755395683454</v>
      </c>
      <c r="P27" s="114"/>
      <c r="Q27" s="11"/>
      <c r="R27" s="79" t="s">
        <v>21</v>
      </c>
      <c r="S27" s="21">
        <f ca="1">VLOOKUP($T$12,$C$13:$P$19,14,FALSE)</f>
        <v>0</v>
      </c>
      <c r="T27" s="22">
        <f t="shared" ca="1" si="7"/>
        <v>0</v>
      </c>
      <c r="U27" s="10"/>
    </row>
    <row r="28" spans="1:21" x14ac:dyDescent="0.25">
      <c r="A28" s="11"/>
      <c r="B28" s="11"/>
      <c r="C28" s="11"/>
      <c r="D28" s="11"/>
      <c r="E28" s="11"/>
      <c r="F28" s="11"/>
      <c r="G28" s="11"/>
      <c r="H28" s="11"/>
      <c r="I28" s="11"/>
      <c r="J28" s="10"/>
      <c r="K28" s="11"/>
      <c r="L28" s="11"/>
      <c r="M28" s="11"/>
      <c r="N28" s="11"/>
      <c r="O28" s="11"/>
      <c r="P28" s="11"/>
      <c r="Q28" s="11"/>
      <c r="R28" s="29" t="s">
        <v>45</v>
      </c>
      <c r="S28" s="134">
        <f ca="1">VLOOKUP($T$12,$C$21:$P$27,13,FALSE)</f>
        <v>0.971830985915493</v>
      </c>
      <c r="T28" s="114"/>
      <c r="U28" s="10"/>
    </row>
    <row r="29" spans="1:21" x14ac:dyDescent="0.25">
      <c r="A29" s="11"/>
      <c r="B29" s="11"/>
      <c r="C29" s="11"/>
      <c r="D29" s="11"/>
      <c r="E29" s="11"/>
      <c r="F29" s="11"/>
      <c r="G29" s="11"/>
      <c r="H29" s="11"/>
      <c r="I29" s="11"/>
      <c r="J29" s="10"/>
      <c r="K29" s="11"/>
      <c r="L29" s="11"/>
      <c r="M29" s="11"/>
      <c r="N29" s="11"/>
      <c r="O29" s="11"/>
      <c r="P29" s="11"/>
      <c r="Q29" s="11"/>
      <c r="R29" s="11"/>
      <c r="S29" s="11"/>
      <c r="T29" s="11"/>
      <c r="U29" s="11"/>
    </row>
    <row r="30" spans="1:21" x14ac:dyDescent="0.25">
      <c r="A30" s="11"/>
      <c r="B30" s="11"/>
      <c r="C30" s="11"/>
      <c r="D30" s="11"/>
      <c r="E30" s="11"/>
      <c r="F30" s="11"/>
      <c r="G30" s="11"/>
      <c r="H30" s="11"/>
      <c r="I30" s="11"/>
      <c r="J30" s="10"/>
      <c r="K30" s="11"/>
      <c r="L30" s="11"/>
      <c r="M30" s="11"/>
      <c r="N30" s="11"/>
      <c r="O30" s="11"/>
      <c r="P30" s="10"/>
      <c r="Q30" s="10"/>
      <c r="R30" s="10"/>
      <c r="S30" s="10"/>
      <c r="T30" s="10"/>
      <c r="U30" s="10"/>
    </row>
    <row r="31" spans="1:21" x14ac:dyDescent="0.25">
      <c r="A31" s="10"/>
      <c r="B31" s="10"/>
      <c r="C31" s="10"/>
      <c r="D31" s="10"/>
      <c r="E31" s="10"/>
      <c r="F31" s="10"/>
      <c r="G31" s="10"/>
      <c r="H31" s="10"/>
      <c r="I31" s="10"/>
      <c r="J31" s="10"/>
      <c r="K31" s="10"/>
      <c r="L31" s="10"/>
      <c r="M31" s="10"/>
      <c r="N31" s="10"/>
      <c r="O31" s="10"/>
      <c r="P31" s="10"/>
      <c r="Q31" s="10"/>
      <c r="R31" s="10"/>
      <c r="S31" s="10"/>
      <c r="T31" s="10"/>
      <c r="U31" s="10"/>
    </row>
    <row r="34" spans="3:10" x14ac:dyDescent="0.25">
      <c r="C34" s="132" t="s">
        <v>51</v>
      </c>
      <c r="D34" s="114"/>
      <c r="E34" s="30" t="s">
        <v>52</v>
      </c>
      <c r="F34" s="30" t="s">
        <v>53</v>
      </c>
      <c r="G34" s="30" t="s">
        <v>54</v>
      </c>
      <c r="H34" s="31" t="s">
        <v>55</v>
      </c>
      <c r="I34" s="32" t="s">
        <v>15</v>
      </c>
    </row>
    <row r="35" spans="3:10" x14ac:dyDescent="0.25">
      <c r="C35" s="119" t="s">
        <v>56</v>
      </c>
      <c r="D35" s="114"/>
      <c r="E35" s="33">
        <f ca="1">B$2+B$5</f>
        <v>66</v>
      </c>
      <c r="F35" s="33">
        <f ca="1">B$3+B$4</f>
        <v>1</v>
      </c>
      <c r="G35" s="33">
        <f ca="1">B$7</f>
        <v>2</v>
      </c>
      <c r="H35" s="34">
        <f ca="1">B$6</f>
        <v>0</v>
      </c>
      <c r="I35" s="79">
        <f t="shared" ref="I35:I48" ca="1" si="8">SUM(E35:H35)</f>
        <v>69</v>
      </c>
      <c r="J35" s="35"/>
    </row>
    <row r="36" spans="3:10" x14ac:dyDescent="0.25">
      <c r="C36" s="119" t="s">
        <v>57</v>
      </c>
      <c r="D36" s="114"/>
      <c r="E36" s="90">
        <f ca="1">C$2+C$5</f>
        <v>65</v>
      </c>
      <c r="F36" s="90">
        <f ca="1">C$3+C$4</f>
        <v>2</v>
      </c>
      <c r="G36" s="90">
        <f ca="1">C$7</f>
        <v>2</v>
      </c>
      <c r="H36" s="36">
        <f ca="1">C$6</f>
        <v>0</v>
      </c>
      <c r="I36" s="79">
        <f t="shared" ca="1" si="8"/>
        <v>69</v>
      </c>
      <c r="J36" s="35"/>
    </row>
    <row r="37" spans="3:10" x14ac:dyDescent="0.25">
      <c r="C37" s="119" t="s">
        <v>58</v>
      </c>
      <c r="D37" s="114"/>
      <c r="E37" s="90">
        <f ca="1">D$2+D$5</f>
        <v>65</v>
      </c>
      <c r="F37" s="90">
        <f ca="1">D$3+D$4</f>
        <v>2</v>
      </c>
      <c r="G37" s="90">
        <f ca="1">D$7</f>
        <v>2</v>
      </c>
      <c r="H37" s="36">
        <f ca="1">D$6</f>
        <v>0</v>
      </c>
      <c r="I37" s="79">
        <f t="shared" ca="1" si="8"/>
        <v>69</v>
      </c>
      <c r="J37" s="35"/>
    </row>
    <row r="38" spans="3:10" x14ac:dyDescent="0.25">
      <c r="C38" s="119" t="s">
        <v>59</v>
      </c>
      <c r="D38" s="114"/>
      <c r="E38" s="90">
        <f ca="1">E$2+E$5</f>
        <v>65</v>
      </c>
      <c r="F38" s="90">
        <f ca="1">E$3+E$4</f>
        <v>2</v>
      </c>
      <c r="G38" s="90">
        <f ca="1">E$7</f>
        <v>2</v>
      </c>
      <c r="H38" s="36">
        <f ca="1">E$6</f>
        <v>0</v>
      </c>
      <c r="I38" s="79">
        <f t="shared" ca="1" si="8"/>
        <v>69</v>
      </c>
      <c r="J38" s="35"/>
    </row>
    <row r="39" spans="3:10" x14ac:dyDescent="0.25">
      <c r="C39" s="119" t="s">
        <v>60</v>
      </c>
      <c r="D39" s="114"/>
      <c r="E39" s="90">
        <f ca="1">F$2+F$5</f>
        <v>67</v>
      </c>
      <c r="F39" s="90">
        <f ca="1">F$3+F$4</f>
        <v>0</v>
      </c>
      <c r="G39" s="90">
        <f ca="1">F$7</f>
        <v>2</v>
      </c>
      <c r="H39" s="36">
        <f ca="1">F$6</f>
        <v>0</v>
      </c>
      <c r="I39" s="79">
        <f t="shared" ca="1" si="8"/>
        <v>69</v>
      </c>
      <c r="J39" s="35"/>
    </row>
    <row r="40" spans="3:10" x14ac:dyDescent="0.25">
      <c r="C40" s="119" t="s">
        <v>61</v>
      </c>
      <c r="D40" s="114"/>
      <c r="E40" s="90">
        <f ca="1">G$2+G$5</f>
        <v>67</v>
      </c>
      <c r="F40" s="90">
        <f ca="1">G$3+G$4</f>
        <v>0</v>
      </c>
      <c r="G40" s="90">
        <f ca="1">G$7</f>
        <v>2</v>
      </c>
      <c r="H40" s="36">
        <f ca="1">G$6</f>
        <v>0</v>
      </c>
      <c r="I40" s="79">
        <f t="shared" ca="1" si="8"/>
        <v>69</v>
      </c>
      <c r="J40" s="35"/>
    </row>
    <row r="41" spans="3:10" x14ac:dyDescent="0.25">
      <c r="C41" s="119" t="s">
        <v>62</v>
      </c>
      <c r="D41" s="114"/>
      <c r="E41" s="90">
        <f ca="1">H$2+H$5</f>
        <v>67</v>
      </c>
      <c r="F41" s="90">
        <f ca="1">H$3+H$4</f>
        <v>1</v>
      </c>
      <c r="G41" s="90">
        <f ca="1">H$7</f>
        <v>1</v>
      </c>
      <c r="H41" s="36">
        <f ca="1">H$6</f>
        <v>0</v>
      </c>
      <c r="I41" s="79">
        <f t="shared" ca="1" si="8"/>
        <v>69</v>
      </c>
      <c r="J41" s="35"/>
    </row>
    <row r="42" spans="3:10" x14ac:dyDescent="0.25">
      <c r="C42" s="119" t="s">
        <v>63</v>
      </c>
      <c r="D42" s="114"/>
      <c r="E42" s="90">
        <f ca="1">I$2+I$5</f>
        <v>68</v>
      </c>
      <c r="F42" s="90">
        <f ca="1">I$3+I$4</f>
        <v>0</v>
      </c>
      <c r="G42" s="90">
        <f ca="1">I$7</f>
        <v>1</v>
      </c>
      <c r="H42" s="36">
        <f ca="1">I$6</f>
        <v>0</v>
      </c>
      <c r="I42" s="79">
        <f t="shared" ca="1" si="8"/>
        <v>69</v>
      </c>
      <c r="J42" s="35"/>
    </row>
    <row r="43" spans="3:10" x14ac:dyDescent="0.25">
      <c r="C43" s="119" t="s">
        <v>64</v>
      </c>
      <c r="D43" s="114"/>
      <c r="E43" s="90">
        <f ca="1">J$2+J$5</f>
        <v>68</v>
      </c>
      <c r="F43" s="90">
        <f ca="1">J$3+J$4</f>
        <v>0</v>
      </c>
      <c r="G43" s="90">
        <f ca="1">J$7</f>
        <v>1</v>
      </c>
      <c r="H43" s="36">
        <f ca="1">J$6</f>
        <v>0</v>
      </c>
      <c r="I43" s="79">
        <f t="shared" ca="1" si="8"/>
        <v>69</v>
      </c>
      <c r="J43" s="35"/>
    </row>
    <row r="44" spans="3:10" x14ac:dyDescent="0.25">
      <c r="C44" s="119" t="s">
        <v>65</v>
      </c>
      <c r="D44" s="114"/>
      <c r="E44" s="90">
        <f ca="1">K$2+K$5</f>
        <v>69</v>
      </c>
      <c r="F44" s="90">
        <f ca="1">K$3+K$4</f>
        <v>0</v>
      </c>
      <c r="G44" s="90">
        <f ca="1">K$7</f>
        <v>0</v>
      </c>
      <c r="H44" s="36">
        <f ca="1">K$6</f>
        <v>0</v>
      </c>
      <c r="I44" s="79">
        <f t="shared" ca="1" si="8"/>
        <v>69</v>
      </c>
      <c r="J44" s="35"/>
    </row>
    <row r="45" spans="3:10" x14ac:dyDescent="0.25">
      <c r="C45" s="119" t="s">
        <v>66</v>
      </c>
      <c r="D45" s="114"/>
      <c r="E45" s="90">
        <f ca="1">L$2+L$5</f>
        <v>68</v>
      </c>
      <c r="F45" s="90">
        <f ca="1">L$3+L$4</f>
        <v>1</v>
      </c>
      <c r="G45" s="90">
        <f ca="1">L$7</f>
        <v>0</v>
      </c>
      <c r="H45" s="36">
        <f ca="1">L$6</f>
        <v>0</v>
      </c>
      <c r="I45" s="79">
        <f t="shared" ca="1" si="8"/>
        <v>69</v>
      </c>
      <c r="J45" s="35"/>
    </row>
    <row r="46" spans="3:10" x14ac:dyDescent="0.25">
      <c r="C46" s="119" t="s">
        <v>67</v>
      </c>
      <c r="D46" s="114"/>
      <c r="E46" s="90">
        <f ca="1">M$2+M$5</f>
        <v>67</v>
      </c>
      <c r="F46" s="90">
        <f ca="1">M$3+M$4</f>
        <v>2</v>
      </c>
      <c r="G46" s="90">
        <f ca="1">M$7</f>
        <v>0</v>
      </c>
      <c r="H46" s="36">
        <f ca="1">M$6</f>
        <v>0</v>
      </c>
      <c r="I46" s="79">
        <f t="shared" ca="1" si="8"/>
        <v>69</v>
      </c>
      <c r="J46" s="35"/>
    </row>
    <row r="47" spans="3:10" x14ac:dyDescent="0.25">
      <c r="C47" s="119" t="s">
        <v>68</v>
      </c>
      <c r="D47" s="114"/>
      <c r="E47" s="90">
        <f ca="1">N$2+N$5</f>
        <v>59</v>
      </c>
      <c r="F47" s="90">
        <f ca="1">N$3+N$4</f>
        <v>10</v>
      </c>
      <c r="G47" s="90">
        <f ca="1">N$7</f>
        <v>0</v>
      </c>
      <c r="H47" s="36">
        <f ca="1">N$6</f>
        <v>0</v>
      </c>
      <c r="I47" s="79">
        <f t="shared" ca="1" si="8"/>
        <v>69</v>
      </c>
      <c r="J47" s="35"/>
    </row>
    <row r="48" spans="3:10" x14ac:dyDescent="0.25">
      <c r="C48" s="119" t="s">
        <v>69</v>
      </c>
      <c r="D48" s="114"/>
      <c r="E48" s="90">
        <f ca="1">O$2+O$5</f>
        <v>1</v>
      </c>
      <c r="F48" s="90">
        <f ca="1">O$3+O$4</f>
        <v>0</v>
      </c>
      <c r="G48" s="90">
        <f ca="1">O$7</f>
        <v>0</v>
      </c>
      <c r="H48" s="36">
        <f ca="1">O$6</f>
        <v>0</v>
      </c>
      <c r="I48" s="79">
        <f t="shared" ca="1" si="8"/>
        <v>1</v>
      </c>
      <c r="J48" s="35"/>
    </row>
    <row r="49" spans="1:9" x14ac:dyDescent="0.25">
      <c r="B49" s="35"/>
      <c r="C49" s="35"/>
      <c r="D49" s="35"/>
      <c r="E49" s="35"/>
      <c r="F49" s="35"/>
      <c r="G49" s="35"/>
      <c r="I49" s="35"/>
    </row>
    <row r="50" spans="1:9" x14ac:dyDescent="0.25">
      <c r="A50" s="35"/>
      <c r="B50" s="91" t="s">
        <v>27</v>
      </c>
      <c r="C50" s="137" t="s">
        <v>70</v>
      </c>
      <c r="D50" s="114"/>
      <c r="E50" s="91" t="s">
        <v>71</v>
      </c>
      <c r="F50" s="91" t="s">
        <v>72</v>
      </c>
      <c r="G50" s="91" t="s">
        <v>73</v>
      </c>
      <c r="H50" s="137" t="s">
        <v>74</v>
      </c>
      <c r="I50" s="114"/>
    </row>
    <row r="51" spans="1:9" x14ac:dyDescent="0.25">
      <c r="A51" s="35"/>
      <c r="B51" s="73" t="s">
        <v>43</v>
      </c>
      <c r="C51" s="125" t="s">
        <v>75</v>
      </c>
      <c r="D51" s="114"/>
      <c r="E51" s="92">
        <v>1</v>
      </c>
      <c r="F51" s="93" t="s">
        <v>1</v>
      </c>
      <c r="G51" s="94">
        <v>45611</v>
      </c>
      <c r="H51" s="115" t="s">
        <v>18</v>
      </c>
      <c r="I51" s="116"/>
    </row>
    <row r="52" spans="1:9" x14ac:dyDescent="0.25">
      <c r="A52" s="35"/>
      <c r="B52" s="73" t="s">
        <v>36</v>
      </c>
      <c r="C52" s="125" t="s">
        <v>76</v>
      </c>
      <c r="D52" s="114"/>
      <c r="E52" s="92">
        <v>1</v>
      </c>
      <c r="F52" s="93" t="s">
        <v>1</v>
      </c>
      <c r="G52" s="94">
        <v>45611</v>
      </c>
      <c r="H52" s="115" t="s">
        <v>16</v>
      </c>
      <c r="I52" s="116"/>
    </row>
    <row r="53" spans="1:9" x14ac:dyDescent="0.25">
      <c r="A53" s="35"/>
      <c r="B53" s="73" t="s">
        <v>36</v>
      </c>
      <c r="C53" s="125" t="s">
        <v>77</v>
      </c>
      <c r="D53" s="114"/>
      <c r="E53" s="92">
        <v>1</v>
      </c>
      <c r="F53" s="93" t="s">
        <v>1</v>
      </c>
      <c r="G53" s="94">
        <v>45611</v>
      </c>
      <c r="H53" s="115" t="s">
        <v>18</v>
      </c>
      <c r="I53" s="116"/>
    </row>
    <row r="54" spans="1:9" x14ac:dyDescent="0.25">
      <c r="A54" s="35"/>
      <c r="B54" s="73" t="s">
        <v>36</v>
      </c>
      <c r="C54" s="125" t="s">
        <v>78</v>
      </c>
      <c r="D54" s="114"/>
      <c r="E54" s="92">
        <v>1</v>
      </c>
      <c r="F54" s="95" t="s">
        <v>2</v>
      </c>
      <c r="G54" s="94">
        <v>45641</v>
      </c>
      <c r="H54" s="115" t="s">
        <v>16</v>
      </c>
      <c r="I54" s="116"/>
    </row>
    <row r="55" spans="1:9" x14ac:dyDescent="0.25">
      <c r="A55" s="35"/>
      <c r="B55" s="73" t="s">
        <v>43</v>
      </c>
      <c r="C55" s="125" t="s">
        <v>79</v>
      </c>
      <c r="D55" s="114"/>
      <c r="E55" s="92">
        <v>1</v>
      </c>
      <c r="F55" s="95" t="s">
        <v>2</v>
      </c>
      <c r="G55" s="94">
        <v>45641</v>
      </c>
      <c r="H55" s="115" t="s">
        <v>18</v>
      </c>
      <c r="I55" s="116"/>
    </row>
    <row r="56" spans="1:9" x14ac:dyDescent="0.25">
      <c r="A56" s="35"/>
      <c r="B56" s="73" t="s">
        <v>43</v>
      </c>
      <c r="C56" s="125" t="s">
        <v>75</v>
      </c>
      <c r="D56" s="114"/>
      <c r="E56" s="92">
        <v>1</v>
      </c>
      <c r="F56" s="95" t="s">
        <v>2</v>
      </c>
      <c r="G56" s="94">
        <v>45641</v>
      </c>
      <c r="H56" s="115" t="s">
        <v>18</v>
      </c>
      <c r="I56" s="116"/>
    </row>
    <row r="57" spans="1:9" x14ac:dyDescent="0.25">
      <c r="A57" s="35"/>
      <c r="B57" s="73" t="s">
        <v>40</v>
      </c>
      <c r="C57" s="125" t="s">
        <v>80</v>
      </c>
      <c r="D57" s="114"/>
      <c r="E57" s="92">
        <v>6</v>
      </c>
      <c r="F57" s="95" t="s">
        <v>2</v>
      </c>
      <c r="G57" s="94">
        <v>45641</v>
      </c>
      <c r="H57" s="115" t="s">
        <v>18</v>
      </c>
      <c r="I57" s="116"/>
    </row>
    <row r="58" spans="1:9" x14ac:dyDescent="0.25">
      <c r="A58" s="35"/>
      <c r="B58" s="73" t="s">
        <v>43</v>
      </c>
      <c r="C58" s="125" t="s">
        <v>81</v>
      </c>
      <c r="D58" s="114"/>
      <c r="E58" s="92">
        <v>1</v>
      </c>
      <c r="F58" s="95" t="s">
        <v>2</v>
      </c>
      <c r="G58" s="94">
        <v>45641</v>
      </c>
      <c r="H58" s="115" t="s">
        <v>18</v>
      </c>
      <c r="I58" s="116"/>
    </row>
    <row r="59" spans="1:9" x14ac:dyDescent="0.25">
      <c r="A59" s="35"/>
      <c r="B59" s="73" t="s">
        <v>42</v>
      </c>
      <c r="C59" s="125" t="s">
        <v>82</v>
      </c>
      <c r="D59" s="114"/>
      <c r="E59" s="92">
        <v>1</v>
      </c>
      <c r="F59" s="95" t="s">
        <v>2</v>
      </c>
      <c r="G59" s="94">
        <v>45641</v>
      </c>
      <c r="H59" s="115" t="s">
        <v>18</v>
      </c>
      <c r="I59" s="116"/>
    </row>
    <row r="60" spans="1:9" x14ac:dyDescent="0.25">
      <c r="A60" s="35"/>
      <c r="B60" s="73" t="s">
        <v>42</v>
      </c>
      <c r="C60" s="125" t="s">
        <v>82</v>
      </c>
      <c r="D60" s="114"/>
      <c r="E60" s="92">
        <v>2</v>
      </c>
      <c r="F60" s="95" t="s">
        <v>2</v>
      </c>
      <c r="G60" s="94">
        <v>45641</v>
      </c>
      <c r="H60" s="115" t="s">
        <v>18</v>
      </c>
      <c r="I60" s="116"/>
    </row>
    <row r="61" spans="1:9" x14ac:dyDescent="0.25">
      <c r="A61" s="35"/>
      <c r="B61" s="73" t="s">
        <v>36</v>
      </c>
      <c r="C61" s="125" t="s">
        <v>76</v>
      </c>
      <c r="D61" s="114"/>
      <c r="E61" s="92">
        <v>1</v>
      </c>
      <c r="F61" s="95" t="s">
        <v>2</v>
      </c>
      <c r="G61" s="94">
        <v>45641</v>
      </c>
      <c r="H61" s="115" t="s">
        <v>16</v>
      </c>
      <c r="I61" s="116"/>
    </row>
    <row r="62" spans="1:9" x14ac:dyDescent="0.25">
      <c r="A62" s="35"/>
      <c r="B62" s="73" t="s">
        <v>36</v>
      </c>
      <c r="C62" s="125" t="s">
        <v>83</v>
      </c>
      <c r="D62" s="114"/>
      <c r="E62" s="92">
        <v>1</v>
      </c>
      <c r="F62" s="95" t="s">
        <v>2</v>
      </c>
      <c r="G62" s="94">
        <v>45641</v>
      </c>
      <c r="H62" s="115" t="s">
        <v>18</v>
      </c>
      <c r="I62" s="116"/>
    </row>
    <row r="63" spans="1:9" x14ac:dyDescent="0.25">
      <c r="A63" s="35"/>
      <c r="B63" s="73" t="s">
        <v>36</v>
      </c>
      <c r="C63" s="125" t="s">
        <v>78</v>
      </c>
      <c r="D63" s="114"/>
      <c r="E63" s="92">
        <v>1</v>
      </c>
      <c r="F63" s="96" t="s">
        <v>3</v>
      </c>
      <c r="G63" s="94">
        <v>45672</v>
      </c>
      <c r="H63" s="115" t="s">
        <v>16</v>
      </c>
      <c r="I63" s="116"/>
    </row>
    <row r="64" spans="1:9" x14ac:dyDescent="0.25">
      <c r="A64" s="35"/>
      <c r="B64" s="73" t="s">
        <v>36</v>
      </c>
      <c r="C64" s="125" t="s">
        <v>84</v>
      </c>
      <c r="D64" s="114"/>
      <c r="E64" s="92">
        <v>1</v>
      </c>
      <c r="F64" s="96" t="s">
        <v>3</v>
      </c>
      <c r="G64" s="94">
        <v>45672</v>
      </c>
      <c r="H64" s="115" t="s">
        <v>18</v>
      </c>
      <c r="I64" s="116"/>
    </row>
    <row r="65" spans="1:9" x14ac:dyDescent="0.25">
      <c r="A65" s="35"/>
      <c r="B65" s="73" t="s">
        <v>43</v>
      </c>
      <c r="C65" s="125" t="s">
        <v>79</v>
      </c>
      <c r="D65" s="114"/>
      <c r="E65" s="92">
        <v>1</v>
      </c>
      <c r="F65" s="96" t="s">
        <v>3</v>
      </c>
      <c r="G65" s="94">
        <v>45672</v>
      </c>
      <c r="H65" s="115" t="s">
        <v>18</v>
      </c>
      <c r="I65" s="116"/>
    </row>
    <row r="66" spans="1:9" x14ac:dyDescent="0.25">
      <c r="A66" s="35"/>
      <c r="B66" s="73" t="s">
        <v>40</v>
      </c>
      <c r="C66" s="125" t="s">
        <v>80</v>
      </c>
      <c r="D66" s="114"/>
      <c r="E66" s="92">
        <v>6</v>
      </c>
      <c r="F66" s="96" t="s">
        <v>3</v>
      </c>
      <c r="G66" s="94">
        <v>45672</v>
      </c>
      <c r="H66" s="115" t="s">
        <v>18</v>
      </c>
      <c r="I66" s="116"/>
    </row>
    <row r="67" spans="1:9" x14ac:dyDescent="0.25">
      <c r="A67" s="35"/>
      <c r="B67" s="73" t="s">
        <v>43</v>
      </c>
      <c r="C67" s="125" t="s">
        <v>81</v>
      </c>
      <c r="D67" s="114"/>
      <c r="E67" s="92">
        <v>1</v>
      </c>
      <c r="F67" s="96" t="s">
        <v>3</v>
      </c>
      <c r="G67" s="94">
        <v>45672</v>
      </c>
      <c r="H67" s="115" t="s">
        <v>18</v>
      </c>
      <c r="I67" s="116"/>
    </row>
    <row r="68" spans="1:9" x14ac:dyDescent="0.25">
      <c r="A68" s="35"/>
      <c r="B68" s="73" t="s">
        <v>42</v>
      </c>
      <c r="C68" s="125" t="s">
        <v>82</v>
      </c>
      <c r="D68" s="114"/>
      <c r="E68" s="92">
        <v>1</v>
      </c>
      <c r="F68" s="96" t="s">
        <v>3</v>
      </c>
      <c r="G68" s="94">
        <v>45672</v>
      </c>
      <c r="H68" s="115" t="s">
        <v>18</v>
      </c>
      <c r="I68" s="116"/>
    </row>
    <row r="69" spans="1:9" x14ac:dyDescent="0.25">
      <c r="A69" s="35"/>
      <c r="B69" s="73" t="s">
        <v>42</v>
      </c>
      <c r="C69" s="125" t="s">
        <v>82</v>
      </c>
      <c r="D69" s="114"/>
      <c r="E69" s="92">
        <v>2</v>
      </c>
      <c r="F69" s="96" t="s">
        <v>3</v>
      </c>
      <c r="G69" s="94">
        <v>45672</v>
      </c>
      <c r="H69" s="115" t="s">
        <v>18</v>
      </c>
      <c r="I69" s="116"/>
    </row>
    <row r="70" spans="1:9" x14ac:dyDescent="0.25">
      <c r="A70" s="35"/>
      <c r="B70" s="73" t="s">
        <v>36</v>
      </c>
      <c r="C70" s="125" t="s">
        <v>83</v>
      </c>
      <c r="D70" s="114"/>
      <c r="E70" s="92">
        <v>1</v>
      </c>
      <c r="F70" s="96" t="s">
        <v>3</v>
      </c>
      <c r="G70" s="94">
        <v>45672</v>
      </c>
      <c r="H70" s="115" t="s">
        <v>18</v>
      </c>
      <c r="I70" s="116"/>
    </row>
    <row r="71" spans="1:9" x14ac:dyDescent="0.25">
      <c r="A71" s="35"/>
      <c r="B71" s="73" t="s">
        <v>36</v>
      </c>
      <c r="C71" s="125" t="s">
        <v>83</v>
      </c>
      <c r="D71" s="114"/>
      <c r="E71" s="92">
        <v>1</v>
      </c>
      <c r="F71" s="96" t="s">
        <v>3</v>
      </c>
      <c r="G71" s="94">
        <v>45672</v>
      </c>
      <c r="H71" s="115" t="s">
        <v>18</v>
      </c>
      <c r="I71" s="116"/>
    </row>
    <row r="72" spans="1:9" x14ac:dyDescent="0.25">
      <c r="A72" s="35"/>
      <c r="B72" s="73" t="s">
        <v>28</v>
      </c>
      <c r="C72" s="125" t="s">
        <v>85</v>
      </c>
      <c r="D72" s="114"/>
      <c r="E72" s="92">
        <v>1</v>
      </c>
      <c r="F72" s="96" t="s">
        <v>3</v>
      </c>
      <c r="G72" s="94">
        <v>45672</v>
      </c>
      <c r="H72" s="115" t="s">
        <v>18</v>
      </c>
      <c r="I72" s="116"/>
    </row>
    <row r="73" spans="1:9" x14ac:dyDescent="0.25">
      <c r="B73" s="35"/>
      <c r="C73" s="35"/>
      <c r="D73" s="35"/>
      <c r="E73" s="35"/>
      <c r="F73" s="35"/>
      <c r="G73" s="35"/>
    </row>
  </sheetData>
  <mergeCells count="117">
    <mergeCell ref="H70:I70"/>
    <mergeCell ref="C52:D52"/>
    <mergeCell ref="C39:D39"/>
    <mergeCell ref="R12:S12"/>
    <mergeCell ref="C43:D43"/>
    <mergeCell ref="M25:N25"/>
    <mergeCell ref="O25:P25"/>
    <mergeCell ref="C70:D70"/>
    <mergeCell ref="K12:P12"/>
    <mergeCell ref="K26:L26"/>
    <mergeCell ref="C54:D54"/>
    <mergeCell ref="C63:D63"/>
    <mergeCell ref="C41:D41"/>
    <mergeCell ref="C50:D50"/>
    <mergeCell ref="O26:P26"/>
    <mergeCell ref="C56:D56"/>
    <mergeCell ref="H52:I52"/>
    <mergeCell ref="M26:N26"/>
    <mergeCell ref="M23:N23"/>
    <mergeCell ref="O23:P23"/>
    <mergeCell ref="K24:L24"/>
    <mergeCell ref="E23:F23"/>
    <mergeCell ref="H55:I55"/>
    <mergeCell ref="G23:H23"/>
    <mergeCell ref="H72:I72"/>
    <mergeCell ref="C27:D27"/>
    <mergeCell ref="E27:F27"/>
    <mergeCell ref="C36:D36"/>
    <mergeCell ref="O27:P27"/>
    <mergeCell ref="H65:I65"/>
    <mergeCell ref="C67:D67"/>
    <mergeCell ref="H62:I62"/>
    <mergeCell ref="S20:T20"/>
    <mergeCell ref="H71:I71"/>
    <mergeCell ref="E22:F22"/>
    <mergeCell ref="G22:H22"/>
    <mergeCell ref="C69:D69"/>
    <mergeCell ref="H69:I69"/>
    <mergeCell ref="M21:N21"/>
    <mergeCell ref="O21:P21"/>
    <mergeCell ref="C71:D71"/>
    <mergeCell ref="M27:N27"/>
    <mergeCell ref="M24:N24"/>
    <mergeCell ref="C61:D61"/>
    <mergeCell ref="C72:D72"/>
    <mergeCell ref="C37:D37"/>
    <mergeCell ref="K20:P20"/>
    <mergeCell ref="E21:F21"/>
    <mergeCell ref="A11:B11"/>
    <mergeCell ref="H54:I54"/>
    <mergeCell ref="H63:I63"/>
    <mergeCell ref="C45:D45"/>
    <mergeCell ref="H50:I50"/>
    <mergeCell ref="K21:L21"/>
    <mergeCell ref="H56:I56"/>
    <mergeCell ref="H68:I68"/>
    <mergeCell ref="C47:D47"/>
    <mergeCell ref="C40:D40"/>
    <mergeCell ref="C60:D60"/>
    <mergeCell ref="G24:H24"/>
    <mergeCell ref="C20:I20"/>
    <mergeCell ref="K27:L27"/>
    <mergeCell ref="E26:F26"/>
    <mergeCell ref="G26:H26"/>
    <mergeCell ref="C68:D68"/>
    <mergeCell ref="A12:B27"/>
    <mergeCell ref="H57:I57"/>
    <mergeCell ref="K23:L23"/>
    <mergeCell ref="H66:I66"/>
    <mergeCell ref="C48:D48"/>
    <mergeCell ref="C23:D23"/>
    <mergeCell ref="K22:L22"/>
    <mergeCell ref="R11:T11"/>
    <mergeCell ref="E25:F25"/>
    <mergeCell ref="G25:H25"/>
    <mergeCell ref="C57:D57"/>
    <mergeCell ref="R13:T13"/>
    <mergeCell ref="C12:I12"/>
    <mergeCell ref="C66:D66"/>
    <mergeCell ref="C53:D53"/>
    <mergeCell ref="C34:D34"/>
    <mergeCell ref="K25:L25"/>
    <mergeCell ref="C58:D58"/>
    <mergeCell ref="R21:T21"/>
    <mergeCell ref="H58:I58"/>
    <mergeCell ref="C65:D65"/>
    <mergeCell ref="H60:I60"/>
    <mergeCell ref="C44:D44"/>
    <mergeCell ref="C22:D22"/>
    <mergeCell ref="S28:T28"/>
    <mergeCell ref="O22:P22"/>
    <mergeCell ref="C59:D59"/>
    <mergeCell ref="C46:D46"/>
    <mergeCell ref="C21:D21"/>
    <mergeCell ref="C51:D51"/>
    <mergeCell ref="M22:N22"/>
    <mergeCell ref="C11:I11"/>
    <mergeCell ref="K11:P11"/>
    <mergeCell ref="H67:I67"/>
    <mergeCell ref="C24:D24"/>
    <mergeCell ref="E24:F24"/>
    <mergeCell ref="C42:D42"/>
    <mergeCell ref="O24:P24"/>
    <mergeCell ref="G27:H27"/>
    <mergeCell ref="C26:D26"/>
    <mergeCell ref="C35:D35"/>
    <mergeCell ref="H59:I59"/>
    <mergeCell ref="H64:I64"/>
    <mergeCell ref="C25:D25"/>
    <mergeCell ref="H51:I51"/>
    <mergeCell ref="C55:D55"/>
    <mergeCell ref="H61:I61"/>
    <mergeCell ref="G21:H21"/>
    <mergeCell ref="H53:I53"/>
    <mergeCell ref="C62:D62"/>
    <mergeCell ref="C64:D64"/>
    <mergeCell ref="C38:D38"/>
  </mergeCells>
  <conditionalFormatting sqref="B51:B72">
    <cfRule type="cellIs" dxfId="220" priority="19" operator="equal">
      <formula>"Bianca"</formula>
    </cfRule>
    <cfRule type="cellIs" dxfId="219" priority="20" operator="equal">
      <formula>"Gabriel"</formula>
    </cfRule>
    <cfRule type="cellIs" dxfId="218" priority="21" operator="equal">
      <formula>"Gustavo"</formula>
    </cfRule>
    <cfRule type="cellIs" dxfId="217" priority="22" operator="equal">
      <formula>"Larissa"</formula>
    </cfRule>
    <cfRule type="cellIs" dxfId="216" priority="23" operator="equal">
      <formula>"Luana"</formula>
    </cfRule>
    <cfRule type="cellIs" dxfId="215" priority="24" operator="equal">
      <formula>"Valquiria"</formula>
    </cfRule>
  </conditionalFormatting>
  <conditionalFormatting sqref="H51:H72">
    <cfRule type="cellIs" dxfId="214" priority="7" stopIfTrue="1" operator="equal">
      <formula>"Enviado"</formula>
    </cfRule>
    <cfRule type="cellIs" dxfId="213" priority="8" stopIfTrue="1" operator="equal">
      <formula>"Atrasado"</formula>
    </cfRule>
    <cfRule type="cellIs" dxfId="212" priority="9" stopIfTrue="1" operator="equal">
      <formula>"Atrasado &gt;= 2"</formula>
    </cfRule>
    <cfRule type="cellIs" dxfId="211" priority="10" stopIfTrue="1" operator="equal">
      <formula>"Outras Ocorrências"</formula>
    </cfRule>
    <cfRule type="cellIs" dxfId="210" priority="11" stopIfTrue="1" operator="equal">
      <formula>"Sem Técnico"</formula>
    </cfRule>
    <cfRule type="cellIs" dxfId="209" priority="12" stopIfTrue="1" operator="equal">
      <formula>"Duplicado"</formula>
    </cfRule>
  </conditionalFormatting>
  <conditionalFormatting sqref="S20 I22:I27 O22:O27 S28">
    <cfRule type="cellIs" dxfId="208" priority="34" operator="lessThanOrEqual">
      <formula>0.25</formula>
    </cfRule>
    <cfRule type="cellIs" dxfId="207" priority="35" operator="lessThanOrEqual">
      <formula>0.5</formula>
    </cfRule>
    <cfRule type="cellIs" dxfId="206" priority="36" operator="lessThanOrEqual">
      <formula>0.75</formula>
    </cfRule>
    <cfRule type="cellIs" dxfId="205" priority="37" operator="lessThanOrEqual">
      <formula>1</formula>
    </cfRule>
  </conditionalFormatting>
  <conditionalFormatting sqref="T12">
    <cfRule type="cellIs" dxfId="204" priority="31" operator="equal">
      <formula>"Bianca"</formula>
    </cfRule>
    <cfRule type="cellIs" dxfId="203" priority="32" operator="equal">
      <formula>"Gabriel"</formula>
    </cfRule>
    <cfRule type="cellIs" dxfId="202" priority="33" operator="equal">
      <formula>"Gustavo"</formula>
    </cfRule>
    <cfRule type="cellIs" dxfId="201" priority="41" operator="equal">
      <formula>"Larissa"</formula>
    </cfRule>
    <cfRule type="cellIs" dxfId="200" priority="42" operator="equal">
      <formula>"Luana"</formula>
    </cfRule>
    <cfRule type="cellIs" dxfId="199" priority="43" operator="equal">
      <formula>"Valquiria"</formula>
    </cfRule>
  </conditionalFormatting>
  <dataValidations count="3">
    <dataValidation type="list" showInputMessage="1" showErrorMessage="1" sqref="A12" xr:uid="{00000000-0002-0000-0000-000000000000}">
      <formula1>"11.24,12.24,01.25,02.25,03.25,04.25,05.25,06.25,07.25,08.25,09.25,10.25,11.25,12.25"</formula1>
    </dataValidation>
    <dataValidation type="list" showInputMessage="1" showErrorMessage="1" sqref="T12" xr:uid="{00000000-0002-0000-0000-000001000000}">
      <formula1>"Bianca,Gabriel,Gustavo,Larissa,Luana,Valquiria"</formula1>
    </dataValidation>
    <dataValidation type="list" allowBlank="1" sqref="H51:H72" xr:uid="{00000000-0002-0000-0000-000002000000}">
      <formula1>"Enviado, Atrasado, Atrasado &gt;= 2, Outras Ocorrências, Sem Técnico, Duplicado"</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80"/>
  <sheetViews>
    <sheetView topLeftCell="A51" workbookViewId="0">
      <selection activeCell="P62" sqref="P62"/>
    </sheetView>
  </sheetViews>
  <sheetFormatPr defaultRowHeight="15" x14ac:dyDescent="0.25"/>
  <cols>
    <col min="1" max="1" width="9.140625" customWidth="1"/>
    <col min="2" max="2" width="31.140625" customWidth="1"/>
    <col min="3" max="3" width="8.5703125" customWidth="1"/>
    <col min="4" max="4" width="14.5703125" customWidth="1"/>
    <col min="5" max="5" width="15.140625" customWidth="1"/>
    <col min="6" max="6" width="15.7109375" customWidth="1"/>
    <col min="7" max="7" width="15" customWidth="1"/>
    <col min="8" max="8" width="17.28515625" customWidth="1"/>
    <col min="9" max="9" width="17" customWidth="1"/>
    <col min="10" max="10" width="18.42578125" customWidth="1"/>
    <col min="11" max="11" width="17.28515625" customWidth="1"/>
    <col min="12" max="12" width="16.5703125" customWidth="1"/>
    <col min="13" max="13" width="17.7109375" customWidth="1"/>
    <col min="14" max="14" width="18.7109375" customWidth="1"/>
    <col min="15" max="15" width="15.5703125" customWidth="1"/>
    <col min="16" max="16" width="16.140625" customWidth="1"/>
    <col min="17" max="17" width="17.5703125" customWidth="1"/>
  </cols>
  <sheetData>
    <row r="1" spans="1:17" ht="15.75" customHeight="1" x14ac:dyDescent="0.25">
      <c r="A1" s="97" t="s">
        <v>27</v>
      </c>
      <c r="B1" s="37" t="s">
        <v>86</v>
      </c>
      <c r="C1" s="37" t="s">
        <v>71</v>
      </c>
      <c r="D1" s="38" t="s">
        <v>1</v>
      </c>
      <c r="E1" s="39" t="s">
        <v>2</v>
      </c>
      <c r="F1" s="98" t="s">
        <v>3</v>
      </c>
      <c r="G1" s="98" t="s">
        <v>4</v>
      </c>
      <c r="H1" s="98" t="s">
        <v>5</v>
      </c>
      <c r="I1" s="98" t="s">
        <v>6</v>
      </c>
      <c r="J1" s="98" t="s">
        <v>7</v>
      </c>
      <c r="K1" s="98" t="s">
        <v>8</v>
      </c>
      <c r="L1" s="99" t="s">
        <v>9</v>
      </c>
      <c r="M1" s="99" t="s">
        <v>10</v>
      </c>
      <c r="N1" s="99" t="s">
        <v>11</v>
      </c>
      <c r="O1" s="99" t="s">
        <v>12</v>
      </c>
      <c r="P1" s="99" t="s">
        <v>13</v>
      </c>
      <c r="Q1" s="99" t="s">
        <v>14</v>
      </c>
    </row>
    <row r="2" spans="1:17" x14ac:dyDescent="0.25">
      <c r="A2" s="75" t="s">
        <v>28</v>
      </c>
      <c r="B2" s="79" t="s">
        <v>87</v>
      </c>
      <c r="C2" s="79">
        <v>1</v>
      </c>
      <c r="D2" s="100" t="str">
        <f t="array" aca="1" ref="D2" ca="1">IF(
    VLOOKUP(
        $A2,
        _xlfn._xlws.FILTER(
            INDIRECT("'"&amp;D$14&amp;"'!A2:E1000"), (INDIRECT("'"&amp;D$14&amp;"'!B2:B1000")=$B2) * (INDIRECT("'"&amp;D$14&amp;"'!C2:C1000")=$C2)
        ),
        5,
        FALSE
    )=0,
    "",
    VLOOKUP(
        $A2,
        _xlfn._xlws.FILTER(
            INDIRECT("'"&amp;D$14&amp;"'!A2:E1000"), (INDIRECT("'"&amp;D$14&amp;"'!B2:B1000")=$B2) * (INDIRECT("'"&amp;D$14&amp;"'!C2:C1000")=$C2)
        ),
        5,
        FALSE
    )
)</f>
        <v>Enviado</v>
      </c>
      <c r="E2" s="100" t="str">
        <f t="array" aca="1" ref="E2" ca="1">IF(
    VLOOKUP(
        $A2,
        _xlfn._xlws.FILTER(
            INDIRECT("'"&amp;E$14&amp;"'!A2:E1000"), (INDIRECT("'"&amp;E$14&amp;"'!B2:B1000")=$B2) * (INDIRECT("'"&amp;E$14&amp;"'!C2:C1000")=$C2)
        ),
        5,
        FALSE
    )=0,
    "",
    VLOOKUP(
        $A2,
        _xlfn._xlws.FILTER(
            INDIRECT("'"&amp;E$14&amp;"'!A2:E1000"), (INDIRECT("'"&amp;E$14&amp;"'!B2:B1000")=$B2) * (INDIRECT("'"&amp;E$14&amp;"'!C2:C1000")=$C2)
        ),
        5,
        FALSE
    )
)</f>
        <v>Enviado</v>
      </c>
      <c r="F2" s="100" t="str">
        <f t="array" aca="1" ref="F2" ca="1">IF(
    VLOOKUP(
        $A2,
        _xlfn._xlws.FILTER(
            INDIRECT("'"&amp;F$14&amp;"'!A2:E1000"), (INDIRECT("'"&amp;F$14&amp;"'!B2:B1000")=$B2) * (INDIRECT("'"&amp;F$14&amp;"'!C2:C1000")=$C2)
        ),
        5,
        FALSE
    )=0,
    "",
    VLOOKUP(
        $A2,
        _xlfn._xlws.FILTER(
            INDIRECT("'"&amp;F$14&amp;"'!A2:E1000"), (INDIRECT("'"&amp;F$14&amp;"'!B2:B1000")=$B2) * (INDIRECT("'"&amp;F$14&amp;"'!C2:C1000")=$C2)
        ),
        5,
        FALSE
    )
)</f>
        <v>Enviado</v>
      </c>
      <c r="G2" s="100" t="str">
        <f t="array" ref="G2" ca="1">IF(
    VLOOKUP(
        $A2,
        _xlfn._xlws.FILTER(
            INDIRECT("'"&amp;G$14&amp;"'!A2:E1000"), (INDIRECT("'"&amp;G$14&amp;"'!B2:B1000")=$B2) * (INDIRECT("'"&amp;G$14&amp;"'!C2:C1000")=$C2)
        ),
        5,
        FALSE
    )=0,
    "",
    VLOOKUP(
        $A2,
        _xlfn._xlws.FILTER(
            INDIRECT("'"&amp;G$14&amp;"'!A2:E1000"), (INDIRECT("'"&amp;G$14&amp;"'!B2:B1000")=$B2) * (INDIRECT("'"&amp;G$14&amp;"'!C2:C1000")=$C2)
        ),
        5,
        FALSE
    )
)</f>
        <v>Enviado</v>
      </c>
      <c r="H2" s="100" t="str">
        <f t="array" aca="1" ref="H2" ca="1">IF(
    VLOOKUP(
        $A2,
        _xlfn._xlws.FILTER(
            INDIRECT("'"&amp;H$14&amp;"'!A2:E1000"), (INDIRECT("'"&amp;H$14&amp;"'!B2:B1000")=$B2) * (INDIRECT("'"&amp;H$14&amp;"'!C2:C1000")=$C2)
        ),
        5,
        FALSE
    )=0,
    "",
    VLOOKUP(
        $A2,
        _xlfn._xlws.FILTER(
            INDIRECT("'"&amp;H$14&amp;"'!A2:E1000"), (INDIRECT("'"&amp;H$14&amp;"'!B2:B1000")=$B2) * (INDIRECT("'"&amp;H$14&amp;"'!C2:C1000")=$C2)
        ),
        5,
        FALSE
    )
)</f>
        <v>Enviado</v>
      </c>
      <c r="I2" s="100" t="str">
        <f t="array" aca="1" ref="I2" ca="1">IF(
    VLOOKUP(
        $A2,
        _xlfn._xlws.FILTER(
            INDIRECT("'"&amp;I$14&amp;"'!A2:E1000"), (INDIRECT("'"&amp;I$14&amp;"'!B2:B1000")=$B2) * (INDIRECT("'"&amp;I$14&amp;"'!C2:C1000")=$C2)
        ),
        5,
        FALSE
    )=0,
    "",
    VLOOKUP(
        $A2,
        _xlfn._xlws.FILTER(
            INDIRECT("'"&amp;I$14&amp;"'!A2:E1000"), (INDIRECT("'"&amp;I$14&amp;"'!B2:B1000")=$B2) * (INDIRECT("'"&amp;I$14&amp;"'!C2:C1000")=$C2)
        ),
        5,
        FALSE
    )
)</f>
        <v>Enviado</v>
      </c>
      <c r="J2" s="100" t="str">
        <f t="array" aca="1" ref="J2" ca="1">IF(
    VLOOKUP(
        $A2,
        _xlfn._xlws.FILTER(
            INDIRECT("'"&amp;J$14&amp;"'!A2:E1000"), (INDIRECT("'"&amp;J$14&amp;"'!B2:B1000")=$B2) * (INDIRECT("'"&amp;J$14&amp;"'!C2:C1000")=$C2)
        ),
        5,
        FALSE
    )=0,
    "",
    VLOOKUP(
        $A2,
        _xlfn._xlws.FILTER(
            INDIRECT("'"&amp;J$14&amp;"'!A2:E1000"), (INDIRECT("'"&amp;J$14&amp;"'!B2:B1000")=$B2) * (INDIRECT("'"&amp;J$14&amp;"'!C2:C1000")=$C2)
        ),
        5,
        FALSE
    )
)</f>
        <v>Enviado</v>
      </c>
      <c r="K2" s="100" t="str">
        <f t="array" aca="1" ref="K2" ca="1">IF(
    VLOOKUP(
        $A2,
        _xlfn._xlws.FILTER(
            INDIRECT("'"&amp;K$14&amp;"'!A2:E1000"), (INDIRECT("'"&amp;K$14&amp;"'!B2:B1000")=$B2) * (INDIRECT("'"&amp;K$14&amp;"'!C2:C1000")=$C2)
        ),
        5,
        FALSE
    )=0,
    "",
    VLOOKUP(
        $A2,
        _xlfn._xlws.FILTER(
            INDIRECT("'"&amp;K$14&amp;"'!A2:E1000"), (INDIRECT("'"&amp;K$14&amp;"'!B2:B1000")=$B2) * (INDIRECT("'"&amp;K$14&amp;"'!C2:C1000")=$C2)
        ),
        5,
        FALSE
    )
)</f>
        <v>Enviado</v>
      </c>
      <c r="L2" s="100" t="str">
        <f t="array" aca="1" ref="L2" ca="1">IF(
    VLOOKUP(
        $A2,
        _xlfn._xlws.FILTER(
            INDIRECT("'"&amp;L$14&amp;"'!A2:E1000"), (INDIRECT("'"&amp;L$14&amp;"'!B2:B1000")=$B2) * (INDIRECT("'"&amp;L$14&amp;"'!C2:C1000")=$C2)
        ),
        5,
        FALSE
    )=0,
    "",
    VLOOKUP(
        $A2,
        _xlfn._xlws.FILTER(
            INDIRECT("'"&amp;L$14&amp;"'!A2:E1000"), (INDIRECT("'"&amp;L$14&amp;"'!B2:B1000")=$B2) * (INDIRECT("'"&amp;L$14&amp;"'!C2:C1000")=$C2)
        ),
        5,
        FALSE
    )
)</f>
        <v>Enviado</v>
      </c>
      <c r="M2" s="100" t="str">
        <f t="array" aca="1" ref="M2" ca="1">IF(
    VLOOKUP(
        $A2,
        _xlfn._xlws.FILTER(
            INDIRECT("'"&amp;M$14&amp;"'!A2:E1000"), (INDIRECT("'"&amp;M$14&amp;"'!B2:B1000")=$B2) * (INDIRECT("'"&amp;M$14&amp;"'!C2:C1000")=$C2)
        ),
        5,
        FALSE
    )=0,
    "",
    VLOOKUP(
        $A2,
        _xlfn._xlws.FILTER(
            INDIRECT("'"&amp;M$14&amp;"'!A2:E1000"), (INDIRECT("'"&amp;M$14&amp;"'!B2:B1000")=$B2) * (INDIRECT("'"&amp;M$14&amp;"'!C2:C1000")=$C2)
        ),
        5,
        FALSE
    )
)</f>
        <v>Enviado</v>
      </c>
      <c r="N2" s="100" t="str">
        <f t="array" aca="1" ref="N2" ca="1">IF(
    VLOOKUP(
        $A2,
        _xlfn._xlws.FILTER(
            INDIRECT("'"&amp;N$14&amp;"'!A2:E1000"), (INDIRECT("'"&amp;N$14&amp;"'!B2:B1000")=$B2) * (INDIRECT("'"&amp;N$14&amp;"'!C2:C1000")=$C2)
        ),
        5,
        FALSE
    )=0,
    "",
    VLOOKUP(
        $A2,
        _xlfn._xlws.FILTER(
            INDIRECT("'"&amp;N$14&amp;"'!A2:E1000"), (INDIRECT("'"&amp;N$14&amp;"'!B2:B1000")=$B2) * (INDIRECT("'"&amp;N$14&amp;"'!C2:C1000")=$C2)
        ),
        5,
        FALSE
    )
)</f>
        <v>Enviado</v>
      </c>
      <c r="O2" s="100" t="str">
        <f t="array" aca="1" ref="O2" ca="1">IF(
    VLOOKUP(
        $A2,
        _xlfn._xlws.FILTER(
            INDIRECT("'"&amp;O$14&amp;"'!A2:E1000"), (INDIRECT("'"&amp;O$14&amp;"'!B2:B1000")=$B2) * (INDIRECT("'"&amp;O$14&amp;"'!C2:C1000")=$C2)
        ),
        5,
        FALSE
    )=0,
    "",
    VLOOKUP(
        $A2,
        _xlfn._xlws.FILTER(
            INDIRECT("'"&amp;O$14&amp;"'!A2:E1000"), (INDIRECT("'"&amp;O$14&amp;"'!B2:B1000")=$B2) * (INDIRECT("'"&amp;O$14&amp;"'!C2:C1000")=$C2)
        ),
        5,
        FALSE
    )
)</f>
        <v>Enviado</v>
      </c>
      <c r="P2" s="100" t="str">
        <f t="array" aca="1" ref="P2" ca="1">IF(
    VLOOKUP(
        $A2,
        _xlfn._xlws.FILTER(
            INDIRECT("'"&amp;P$14&amp;"'!A2:E1000"), (INDIRECT("'"&amp;P$14&amp;"'!B2:B1000")=$B2) * (INDIRECT("'"&amp;P$14&amp;"'!C2:C1000")=$C2)
        ),
        5,
        FALSE
    )=0,
    "",
    VLOOKUP(
        $A2,
        _xlfn._xlws.FILTER(
            INDIRECT("'"&amp;P$14&amp;"'!A2:E1000"), (INDIRECT("'"&amp;P$14&amp;"'!B2:B1000")=$B2) * (INDIRECT("'"&amp;P$14&amp;"'!C2:C1000")=$C2)
        ),
        5,
        FALSE
    )
)</f>
        <v>Enviado</v>
      </c>
      <c r="Q2" s="100" t="str">
        <f t="array" aca="1" ref="Q2" ca="1">IF(
    VLOOKUP(
        $A2,
        _xlfn._xlws.FILTER(
            INDIRECT("'"&amp;Q$14&amp;"'!A2:E1000"), (INDIRECT("'"&amp;Q$14&amp;"'!B2:B1000")=$B2) * (INDIRECT("'"&amp;Q$14&amp;"'!C2:C1000")=$C2)
        ),
        5,
        FALSE
    )=0,
    "",
    VLOOKUP(
        $A2,
        _xlfn._xlws.FILTER(
            INDIRECT("'"&amp;Q$14&amp;"'!A2:E1000"), (INDIRECT("'"&amp;Q$14&amp;"'!B2:B1000")=$B2) * (INDIRECT("'"&amp;Q$14&amp;"'!C2:C1000")=$C2)
        ),
        5,
        FALSE
    )
)</f>
        <v/>
      </c>
    </row>
    <row r="3" spans="1:17" x14ac:dyDescent="0.25">
      <c r="A3" s="75" t="s">
        <v>28</v>
      </c>
      <c r="B3" s="79" t="s">
        <v>88</v>
      </c>
      <c r="C3" s="79">
        <v>1</v>
      </c>
      <c r="D3" s="100" t="str">
        <f t="array" aca="1" ref="D3" ca="1">IF(
    VLOOKUP(
        $A3,
        _xlfn._xlws.FILTER(
            INDIRECT("'"&amp;D$14&amp;"'!A2:E1000"), (INDIRECT("'"&amp;D$14&amp;"'!B2:B1000")=$B3) * (INDIRECT("'"&amp;D$14&amp;"'!C2:C1000")=$C3)
        ),
        5,
        FALSE
    )=0,
    "",
    VLOOKUP(
        $A3,
        _xlfn._xlws.FILTER(
            INDIRECT("'"&amp;D$14&amp;"'!A2:E1000"), (INDIRECT("'"&amp;D$14&amp;"'!B2:B1000")=$B3) * (INDIRECT("'"&amp;D$14&amp;"'!C2:C1000")=$C3)
        ),
        5,
        FALSE
    )
)</f>
        <v>Enviado</v>
      </c>
      <c r="E3" s="100" t="str">
        <f t="array" aca="1" ref="E3" ca="1">IF(
    VLOOKUP(
        $A3,
        _xlfn._xlws.FILTER(
            INDIRECT("'"&amp;E$14&amp;"'!A2:E1000"), (INDIRECT("'"&amp;E$14&amp;"'!B2:B1000")=$B3) * (INDIRECT("'"&amp;E$14&amp;"'!C2:C1000")=$C3)
        ),
        5,
        FALSE
    )=0,
    "",
    VLOOKUP(
        $A3,
        _xlfn._xlws.FILTER(
            INDIRECT("'"&amp;E$14&amp;"'!A2:E1000"), (INDIRECT("'"&amp;E$14&amp;"'!B2:B1000")=$B3) * (INDIRECT("'"&amp;E$14&amp;"'!C2:C1000")=$C3)
        ),
        5,
        FALSE
    )
)</f>
        <v>Enviado</v>
      </c>
      <c r="F3" s="100" t="str">
        <f t="array" aca="1" ref="F3" ca="1">IF(
    VLOOKUP(
        $A3,
        _xlfn._xlws.FILTER(
            INDIRECT("'"&amp;F$14&amp;"'!A2:E1000"), (INDIRECT("'"&amp;F$14&amp;"'!B2:B1000")=$B3) * (INDIRECT("'"&amp;F$14&amp;"'!C2:C1000")=$C3)
        ),
        5,
        FALSE
    )=0,
    "",
    VLOOKUP(
        $A3,
        _xlfn._xlws.FILTER(
            INDIRECT("'"&amp;F$14&amp;"'!A2:E1000"), (INDIRECT("'"&amp;F$14&amp;"'!B2:B1000")=$B3) * (INDIRECT("'"&amp;F$14&amp;"'!C2:C1000")=$C3)
        ),
        5,
        FALSE
    )
)</f>
        <v>Enviado</v>
      </c>
      <c r="G3" s="100" t="str">
        <f t="array" aca="1" ref="G3" ca="1">IF(
    VLOOKUP(
        $A3,
        _xlfn._xlws.FILTER(
            INDIRECT("'"&amp;G$14&amp;"'!A2:E1000"), (INDIRECT("'"&amp;G$14&amp;"'!B2:B1000")=$B3) * (INDIRECT("'"&amp;G$14&amp;"'!C2:C1000")=$C3)
        ),
        5,
        FALSE
    )=0,
    "",
    VLOOKUP(
        $A3,
        _xlfn._xlws.FILTER(
            INDIRECT("'"&amp;G$14&amp;"'!A2:E1000"), (INDIRECT("'"&amp;G$14&amp;"'!B2:B1000")=$B3) * (INDIRECT("'"&amp;G$14&amp;"'!C2:C1000")=$C3)
        ),
        5,
        FALSE
    )
)</f>
        <v>Enviado</v>
      </c>
      <c r="H3" s="100" t="str">
        <f t="array" aca="1" ref="H3" ca="1">IF(
    VLOOKUP(
        $A3,
        _xlfn._xlws.FILTER(
            INDIRECT("'"&amp;H$14&amp;"'!A2:E1000"), (INDIRECT("'"&amp;H$14&amp;"'!B2:B1000")=$B3) * (INDIRECT("'"&amp;H$14&amp;"'!C2:C1000")=$C3)
        ),
        5,
        FALSE
    )=0,
    "",
    VLOOKUP(
        $A3,
        _xlfn._xlws.FILTER(
            INDIRECT("'"&amp;H$14&amp;"'!A2:E1000"), (INDIRECT("'"&amp;H$14&amp;"'!B2:B1000")=$B3) * (INDIRECT("'"&amp;H$14&amp;"'!C2:C1000")=$C3)
        ),
        5,
        FALSE
    )
)</f>
        <v>Enviado</v>
      </c>
      <c r="I3" s="100" t="str">
        <f t="array" aca="1" ref="I3" ca="1">IF(
    VLOOKUP(
        $A3,
        _xlfn._xlws.FILTER(
            INDIRECT("'"&amp;I$14&amp;"'!A2:E1000"), (INDIRECT("'"&amp;I$14&amp;"'!B2:B1000")=$B3) * (INDIRECT("'"&amp;I$14&amp;"'!C2:C1000")=$C3)
        ),
        5,
        FALSE
    )=0,
    "",
    VLOOKUP(
        $A3,
        _xlfn._xlws.FILTER(
            INDIRECT("'"&amp;I$14&amp;"'!A2:E1000"), (INDIRECT("'"&amp;I$14&amp;"'!B2:B1000")=$B3) * (INDIRECT("'"&amp;I$14&amp;"'!C2:C1000")=$C3)
        ),
        5,
        FALSE
    )
)</f>
        <v>Enviado</v>
      </c>
      <c r="J3" s="100" t="str">
        <f t="array" aca="1" ref="J3" ca="1">IF(
    VLOOKUP(
        $A3,
        _xlfn._xlws.FILTER(
            INDIRECT("'"&amp;J$14&amp;"'!A2:E1000"), (INDIRECT("'"&amp;J$14&amp;"'!B2:B1000")=$B3) * (INDIRECT("'"&amp;J$14&amp;"'!C2:C1000")=$C3)
        ),
        5,
        FALSE
    )=0,
    "",
    VLOOKUP(
        $A3,
        _xlfn._xlws.FILTER(
            INDIRECT("'"&amp;J$14&amp;"'!A2:E1000"), (INDIRECT("'"&amp;J$14&amp;"'!B2:B1000")=$B3) * (INDIRECT("'"&amp;J$14&amp;"'!C2:C1000")=$C3)
        ),
        5,
        FALSE
    )
)</f>
        <v>Enviado</v>
      </c>
      <c r="K3" s="100" t="str">
        <f t="array" aca="1" ref="K3" ca="1">IF(
    VLOOKUP(
        $A3,
        _xlfn._xlws.FILTER(
            INDIRECT("'"&amp;K$14&amp;"'!A2:E1000"), (INDIRECT("'"&amp;K$14&amp;"'!B2:B1000")=$B3) * (INDIRECT("'"&amp;K$14&amp;"'!C2:C1000")=$C3)
        ),
        5,
        FALSE
    )=0,
    "",
    VLOOKUP(
        $A3,
        _xlfn._xlws.FILTER(
            INDIRECT("'"&amp;K$14&amp;"'!A2:E1000"), (INDIRECT("'"&amp;K$14&amp;"'!B2:B1000")=$B3) * (INDIRECT("'"&amp;K$14&amp;"'!C2:C1000")=$C3)
        ),
        5,
        FALSE
    )
)</f>
        <v>Enviado</v>
      </c>
      <c r="L3" s="100" t="str">
        <f t="array" aca="1" ref="L3" ca="1">IF(
    VLOOKUP(
        $A3,
        _xlfn._xlws.FILTER(
            INDIRECT("'"&amp;L$14&amp;"'!A2:E1000"), (INDIRECT("'"&amp;L$14&amp;"'!B2:B1000")=$B3) * (INDIRECT("'"&amp;L$14&amp;"'!C2:C1000")=$C3)
        ),
        5,
        FALSE
    )=0,
    "",
    VLOOKUP(
        $A3,
        _xlfn._xlws.FILTER(
            INDIRECT("'"&amp;L$14&amp;"'!A2:E1000"), (INDIRECT("'"&amp;L$14&amp;"'!B2:B1000")=$B3) * (INDIRECT("'"&amp;L$14&amp;"'!C2:C1000")=$C3)
        ),
        5,
        FALSE
    )
)</f>
        <v>Enviado</v>
      </c>
      <c r="M3" s="100" t="str">
        <f t="array" aca="1" ref="M3" ca="1">IF(
    VLOOKUP(
        $A3,
        _xlfn._xlws.FILTER(
            INDIRECT("'"&amp;M$14&amp;"'!A2:E1000"), (INDIRECT("'"&amp;M$14&amp;"'!B2:B1000")=$B3) * (INDIRECT("'"&amp;M$14&amp;"'!C2:C1000")=$C3)
        ),
        5,
        FALSE
    )=0,
    "",
    VLOOKUP(
        $A3,
        _xlfn._xlws.FILTER(
            INDIRECT("'"&amp;M$14&amp;"'!A2:E1000"), (INDIRECT("'"&amp;M$14&amp;"'!B2:B1000")=$B3) * (INDIRECT("'"&amp;M$14&amp;"'!C2:C1000")=$C3)
        ),
        5,
        FALSE
    )
)</f>
        <v>Enviado</v>
      </c>
      <c r="N3" s="100" t="str">
        <f t="array" aca="1" ref="N3" ca="1">IF(
    VLOOKUP(
        $A3,
        _xlfn._xlws.FILTER(
            INDIRECT("'"&amp;N$14&amp;"'!A2:E1000"), (INDIRECT("'"&amp;N$14&amp;"'!B2:B1000")=$B3) * (INDIRECT("'"&amp;N$14&amp;"'!C2:C1000")=$C3)
        ),
        5,
        FALSE
    )=0,
    "",
    VLOOKUP(
        $A3,
        _xlfn._xlws.FILTER(
            INDIRECT("'"&amp;N$14&amp;"'!A2:E1000"), (INDIRECT("'"&amp;N$14&amp;"'!B2:B1000")=$B3) * (INDIRECT("'"&amp;N$14&amp;"'!C2:C1000")=$C3)
        ),
        5,
        FALSE
    )
)</f>
        <v>Enviado</v>
      </c>
      <c r="O3" s="100" t="str">
        <f t="array" aca="1" ref="O3" ca="1">IF(
    VLOOKUP(
        $A3,
        _xlfn._xlws.FILTER(
            INDIRECT("'"&amp;O$14&amp;"'!A2:E1000"), (INDIRECT("'"&amp;O$14&amp;"'!B2:B1000")=$B3) * (INDIRECT("'"&amp;O$14&amp;"'!C2:C1000")=$C3)
        ),
        5,
        FALSE
    )=0,
    "",
    VLOOKUP(
        $A3,
        _xlfn._xlws.FILTER(
            INDIRECT("'"&amp;O$14&amp;"'!A2:E1000"), (INDIRECT("'"&amp;O$14&amp;"'!B2:B1000")=$B3) * (INDIRECT("'"&amp;O$14&amp;"'!C2:C1000")=$C3)
        ),
        5,
        FALSE
    )
)</f>
        <v>Enviado</v>
      </c>
      <c r="P3" s="100" t="str">
        <f t="array" aca="1" ref="P3" ca="1">IF(
    VLOOKUP(
        $A3,
        _xlfn._xlws.FILTER(
            INDIRECT("'"&amp;P$14&amp;"'!A2:E1000"), (INDIRECT("'"&amp;P$14&amp;"'!B2:B1000")=$B3) * (INDIRECT("'"&amp;P$14&amp;"'!C2:C1000")=$C3)
        ),
        5,
        FALSE
    )=0,
    "",
    VLOOKUP(
        $A3,
        _xlfn._xlws.FILTER(
            INDIRECT("'"&amp;P$14&amp;"'!A2:E1000"), (INDIRECT("'"&amp;P$14&amp;"'!B2:B1000")=$B3) * (INDIRECT("'"&amp;P$14&amp;"'!C2:C1000")=$C3)
        ),
        5,
        FALSE
    )
)</f>
        <v>Enviado</v>
      </c>
      <c r="Q3" s="100" t="str">
        <f t="array" aca="1" ref="Q3" ca="1">IF(
    VLOOKUP(
        $A3,
        _xlfn._xlws.FILTER(
            INDIRECT("'"&amp;Q$14&amp;"'!A2:E1000"), (INDIRECT("'"&amp;Q$14&amp;"'!B2:B1000")=$B3) * (INDIRECT("'"&amp;Q$14&amp;"'!C2:C1000")=$C3)
        ),
        5,
        FALSE
    )=0,
    "",
    VLOOKUP(
        $A3,
        _xlfn._xlws.FILTER(
            INDIRECT("'"&amp;Q$14&amp;"'!A2:E1000"), (INDIRECT("'"&amp;Q$14&amp;"'!B2:B1000")=$B3) * (INDIRECT("'"&amp;Q$14&amp;"'!C2:C1000")=$C3)
        ),
        5,
        FALSE
    )
)</f>
        <v/>
      </c>
    </row>
    <row r="4" spans="1:17" x14ac:dyDescent="0.25">
      <c r="A4" s="75" t="s">
        <v>28</v>
      </c>
      <c r="B4" s="79" t="s">
        <v>89</v>
      </c>
      <c r="C4" s="79">
        <v>1</v>
      </c>
      <c r="D4" s="100" t="str">
        <f t="array" aca="1" ref="D4" ca="1">IF(
    VLOOKUP(
        $A4,
        _xlfn._xlws.FILTER(
            INDIRECT("'"&amp;D$14&amp;"'!A2:E1000"), (INDIRECT("'"&amp;D$14&amp;"'!B2:B1000")=$B4) * (INDIRECT("'"&amp;D$14&amp;"'!C2:C1000")=$C4)
        ),
        5,
        FALSE
    )=0,
    "",
    VLOOKUP(
        $A4,
        _xlfn._xlws.FILTER(
            INDIRECT("'"&amp;D$14&amp;"'!A2:E1000"), (INDIRECT("'"&amp;D$14&amp;"'!B2:B1000")=$B4) * (INDIRECT("'"&amp;D$14&amp;"'!C2:C1000")=$C4)
        ),
        5,
        FALSE
    )
)</f>
        <v>Enviado</v>
      </c>
      <c r="E4" s="100" t="str">
        <f t="array" aca="1" ref="E4" ca="1">IF(
    VLOOKUP(
        $A4,
        _xlfn._xlws.FILTER(
            INDIRECT("'"&amp;E$14&amp;"'!A2:E1000"), (INDIRECT("'"&amp;E$14&amp;"'!B2:B1000")=$B4) * (INDIRECT("'"&amp;E$14&amp;"'!C2:C1000")=$C4)
        ),
        5,
        FALSE
    )=0,
    "",
    VLOOKUP(
        $A4,
        _xlfn._xlws.FILTER(
            INDIRECT("'"&amp;E$14&amp;"'!A2:E1000"), (INDIRECT("'"&amp;E$14&amp;"'!B2:B1000")=$B4) * (INDIRECT("'"&amp;E$14&amp;"'!C2:C1000")=$C4)
        ),
        5,
        FALSE
    )
)</f>
        <v>Enviado</v>
      </c>
      <c r="F4" s="100" t="str">
        <f t="array" aca="1" ref="F4" ca="1">IF(
    VLOOKUP(
        $A4,
        _xlfn._xlws.FILTER(
            INDIRECT("'"&amp;F$14&amp;"'!A2:E1000"), (INDIRECT("'"&amp;F$14&amp;"'!B2:B1000")=$B4) * (INDIRECT("'"&amp;F$14&amp;"'!C2:C1000")=$C4)
        ),
        5,
        FALSE
    )=0,
    "",
    VLOOKUP(
        $A4,
        _xlfn._xlws.FILTER(
            INDIRECT("'"&amp;F$14&amp;"'!A2:E1000"), (INDIRECT("'"&amp;F$14&amp;"'!B2:B1000")=$B4) * (INDIRECT("'"&amp;F$14&amp;"'!C2:C1000")=$C4)
        ),
        5,
        FALSE
    )
)</f>
        <v>Enviado</v>
      </c>
      <c r="G4" s="100" t="str">
        <f t="array" aca="1" ref="G4" ca="1">IF(
    VLOOKUP(
        $A4,
        _xlfn._xlws.FILTER(
            INDIRECT("'"&amp;G$14&amp;"'!A2:E1000"), (INDIRECT("'"&amp;G$14&amp;"'!B2:B1000")=$B4) * (INDIRECT("'"&amp;G$14&amp;"'!C2:C1000")=$C4)
        ),
        5,
        FALSE
    )=0,
    "",
    VLOOKUP(
        $A4,
        _xlfn._xlws.FILTER(
            INDIRECT("'"&amp;G$14&amp;"'!A2:E1000"), (INDIRECT("'"&amp;G$14&amp;"'!B2:B1000")=$B4) * (INDIRECT("'"&amp;G$14&amp;"'!C2:C1000")=$C4)
        ),
        5,
        FALSE
    )
)</f>
        <v>Enviado</v>
      </c>
      <c r="H4" s="100" t="str">
        <f t="array" aca="1" ref="H4" ca="1">IF(
    VLOOKUP(
        $A4,
        _xlfn._xlws.FILTER(
            INDIRECT("'"&amp;H$14&amp;"'!A2:E1000"), (INDIRECT("'"&amp;H$14&amp;"'!B2:B1000")=$B4) * (INDIRECT("'"&amp;H$14&amp;"'!C2:C1000")=$C4)
        ),
        5,
        FALSE
    )=0,
    "",
    VLOOKUP(
        $A4,
        _xlfn._xlws.FILTER(
            INDIRECT("'"&amp;H$14&amp;"'!A2:E1000"), (INDIRECT("'"&amp;H$14&amp;"'!B2:B1000")=$B4) * (INDIRECT("'"&amp;H$14&amp;"'!C2:C1000")=$C4)
        ),
        5,
        FALSE
    )
)</f>
        <v>Enviado</v>
      </c>
      <c r="I4" s="100" t="str">
        <f t="array" aca="1" ref="I4" ca="1">IF(
    VLOOKUP(
        $A4,
        _xlfn._xlws.FILTER(
            INDIRECT("'"&amp;I$14&amp;"'!A2:E1000"), (INDIRECT("'"&amp;I$14&amp;"'!B2:B1000")=$B4) * (INDIRECT("'"&amp;I$14&amp;"'!C2:C1000")=$C4)
        ),
        5,
        FALSE
    )=0,
    "",
    VLOOKUP(
        $A4,
        _xlfn._xlws.FILTER(
            INDIRECT("'"&amp;I$14&amp;"'!A2:E1000"), (INDIRECT("'"&amp;I$14&amp;"'!B2:B1000")=$B4) * (INDIRECT("'"&amp;I$14&amp;"'!C2:C1000")=$C4)
        ),
        5,
        FALSE
    )
)</f>
        <v>Enviado</v>
      </c>
      <c r="J4" s="100" t="str">
        <f t="array" aca="1" ref="J4" ca="1">IF(
    VLOOKUP(
        $A4,
        _xlfn._xlws.FILTER(
            INDIRECT("'"&amp;J$14&amp;"'!A2:E1000"), (INDIRECT("'"&amp;J$14&amp;"'!B2:B1000")=$B4) * (INDIRECT("'"&amp;J$14&amp;"'!C2:C1000")=$C4)
        ),
        5,
        FALSE
    )=0,
    "",
    VLOOKUP(
        $A4,
        _xlfn._xlws.FILTER(
            INDIRECT("'"&amp;J$14&amp;"'!A2:E1000"), (INDIRECT("'"&amp;J$14&amp;"'!B2:B1000")=$B4) * (INDIRECT("'"&amp;J$14&amp;"'!C2:C1000")=$C4)
        ),
        5,
        FALSE
    )
)</f>
        <v>Enviado</v>
      </c>
      <c r="K4" s="100" t="str">
        <f t="array" aca="1" ref="K4" ca="1">IF(
    VLOOKUP(
        $A4,
        _xlfn._xlws.FILTER(
            INDIRECT("'"&amp;K$14&amp;"'!A2:E1000"), (INDIRECT("'"&amp;K$14&amp;"'!B2:B1000")=$B4) * (INDIRECT("'"&amp;K$14&amp;"'!C2:C1000")=$C4)
        ),
        5,
        FALSE
    )=0,
    "",
    VLOOKUP(
        $A4,
        _xlfn._xlws.FILTER(
            INDIRECT("'"&amp;K$14&amp;"'!A2:E1000"), (INDIRECT("'"&amp;K$14&amp;"'!B2:B1000")=$B4) * (INDIRECT("'"&amp;K$14&amp;"'!C2:C1000")=$C4)
        ),
        5,
        FALSE
    )
)</f>
        <v>Enviado</v>
      </c>
      <c r="L4" s="100" t="str">
        <f t="array" aca="1" ref="L4" ca="1">IF(
    VLOOKUP(
        $A4,
        _xlfn._xlws.FILTER(
            INDIRECT("'"&amp;L$14&amp;"'!A2:E1000"), (INDIRECT("'"&amp;L$14&amp;"'!B2:B1000")=$B4) * (INDIRECT("'"&amp;L$14&amp;"'!C2:C1000")=$C4)
        ),
        5,
        FALSE
    )=0,
    "",
    VLOOKUP(
        $A4,
        _xlfn._xlws.FILTER(
            INDIRECT("'"&amp;L$14&amp;"'!A2:E1000"), (INDIRECT("'"&amp;L$14&amp;"'!B2:B1000")=$B4) * (INDIRECT("'"&amp;L$14&amp;"'!C2:C1000")=$C4)
        ),
        5,
        FALSE
    )
)</f>
        <v>Enviado</v>
      </c>
      <c r="M4" s="100" t="str">
        <f t="array" aca="1" ref="M4" ca="1">IF(
    VLOOKUP(
        $A4,
        _xlfn._xlws.FILTER(
            INDIRECT("'"&amp;M$14&amp;"'!A2:E1000"), (INDIRECT("'"&amp;M$14&amp;"'!B2:B1000")=$B4) * (INDIRECT("'"&amp;M$14&amp;"'!C2:C1000")=$C4)
        ),
        5,
        FALSE
    )=0,
    "",
    VLOOKUP(
        $A4,
        _xlfn._xlws.FILTER(
            INDIRECT("'"&amp;M$14&amp;"'!A2:E1000"), (INDIRECT("'"&amp;M$14&amp;"'!B2:B1000")=$B4) * (INDIRECT("'"&amp;M$14&amp;"'!C2:C1000")=$C4)
        ),
        5,
        FALSE
    )
)</f>
        <v>Enviado</v>
      </c>
      <c r="N4" s="100" t="str">
        <f t="array" aca="1" ref="N4" ca="1">IF(
    VLOOKUP(
        $A4,
        _xlfn._xlws.FILTER(
            INDIRECT("'"&amp;N$14&amp;"'!A2:E1000"), (INDIRECT("'"&amp;N$14&amp;"'!B2:B1000")=$B4) * (INDIRECT("'"&amp;N$14&amp;"'!C2:C1000")=$C4)
        ),
        5,
        FALSE
    )=0,
    "",
    VLOOKUP(
        $A4,
        _xlfn._xlws.FILTER(
            INDIRECT("'"&amp;N$14&amp;"'!A2:E1000"), (INDIRECT("'"&amp;N$14&amp;"'!B2:B1000")=$B4) * (INDIRECT("'"&amp;N$14&amp;"'!C2:C1000")=$C4)
        ),
        5,
        FALSE
    )
)</f>
        <v>Enviado</v>
      </c>
      <c r="O4" s="100" t="str">
        <f t="array" aca="1" ref="O4" ca="1">IF(
    VLOOKUP(
        $A4,
        _xlfn._xlws.FILTER(
            INDIRECT("'"&amp;O$14&amp;"'!A2:E1000"), (INDIRECT("'"&amp;O$14&amp;"'!B2:B1000")=$B4) * (INDIRECT("'"&amp;O$14&amp;"'!C2:C1000")=$C4)
        ),
        5,
        FALSE
    )=0,
    "",
    VLOOKUP(
        $A4,
        _xlfn._xlws.FILTER(
            INDIRECT("'"&amp;O$14&amp;"'!A2:E1000"), (INDIRECT("'"&amp;O$14&amp;"'!B2:B1000")=$B4) * (INDIRECT("'"&amp;O$14&amp;"'!C2:C1000")=$C4)
        ),
        5,
        FALSE
    )
)</f>
        <v>Enviado</v>
      </c>
      <c r="P4" s="100" t="str">
        <f t="array" aca="1" ref="P4" ca="1">IF(
    VLOOKUP(
        $A4,
        _xlfn._xlws.FILTER(
            INDIRECT("'"&amp;P$14&amp;"'!A2:E1000"), (INDIRECT("'"&amp;P$14&amp;"'!B2:B1000")=$B4) * (INDIRECT("'"&amp;P$14&amp;"'!C2:C1000")=$C4)
        ),
        5,
        FALSE
    )=0,
    "",
    VLOOKUP(
        $A4,
        _xlfn._xlws.FILTER(
            INDIRECT("'"&amp;P$14&amp;"'!A2:E1000"), (INDIRECT("'"&amp;P$14&amp;"'!B2:B1000")=$B4) * (INDIRECT("'"&amp;P$14&amp;"'!C2:C1000")=$C4)
        ),
        5,
        FALSE
    )
)</f>
        <v>Enviado</v>
      </c>
      <c r="Q4" s="100" t="str">
        <f t="array" aca="1" ref="Q4" ca="1">IF(
    VLOOKUP(
        $A4,
        _xlfn._xlws.FILTER(
            INDIRECT("'"&amp;Q$14&amp;"'!A2:E1000"), (INDIRECT("'"&amp;Q$14&amp;"'!B2:B1000")=$B4) * (INDIRECT("'"&amp;Q$14&amp;"'!C2:C1000")=$C4)
        ),
        5,
        FALSE
    )=0,
    "",
    VLOOKUP(
        $A4,
        _xlfn._xlws.FILTER(
            INDIRECT("'"&amp;Q$14&amp;"'!A2:E1000"), (INDIRECT("'"&amp;Q$14&amp;"'!B2:B1000")=$B4) * (INDIRECT("'"&amp;Q$14&amp;"'!C2:C1000")=$C4)
        ),
        5,
        FALSE
    )
)</f>
        <v/>
      </c>
    </row>
    <row r="5" spans="1:17" x14ac:dyDescent="0.25">
      <c r="A5" s="75" t="s">
        <v>28</v>
      </c>
      <c r="B5" s="79" t="s">
        <v>90</v>
      </c>
      <c r="C5" s="79">
        <v>1</v>
      </c>
      <c r="D5" s="100" t="str">
        <f t="array" aca="1" ref="D5" ca="1">IF(
    VLOOKUP(
        $A5,
        _xlfn._xlws.FILTER(
            INDIRECT("'"&amp;D$14&amp;"'!A2:E1000"), (INDIRECT("'"&amp;D$14&amp;"'!B2:B1000")=$B5) * (INDIRECT("'"&amp;D$14&amp;"'!C2:C1000")=$C5)
        ),
        5,
        FALSE
    )=0,
    "",
    VLOOKUP(
        $A5,
        _xlfn._xlws.FILTER(
            INDIRECT("'"&amp;D$14&amp;"'!A2:E1000"), (INDIRECT("'"&amp;D$14&amp;"'!B2:B1000")=$B5) * (INDIRECT("'"&amp;D$14&amp;"'!C2:C1000")=$C5)
        ),
        5,
        FALSE
    )
)</f>
        <v>Enviado</v>
      </c>
      <c r="E5" s="100" t="str">
        <f t="array" aca="1" ref="E5" ca="1">IF(
    VLOOKUP(
        $A5,
        _xlfn._xlws.FILTER(
            INDIRECT("'"&amp;E$14&amp;"'!A2:E1000"), (INDIRECT("'"&amp;E$14&amp;"'!B2:B1000")=$B5) * (INDIRECT("'"&amp;E$14&amp;"'!C2:C1000")=$C5)
        ),
        5,
        FALSE
    )=0,
    "",
    VLOOKUP(
        $A5,
        _xlfn._xlws.FILTER(
            INDIRECT("'"&amp;E$14&amp;"'!A2:E1000"), (INDIRECT("'"&amp;E$14&amp;"'!B2:B1000")=$B5) * (INDIRECT("'"&amp;E$14&amp;"'!C2:C1000")=$C5)
        ),
        5,
        FALSE
    )
)</f>
        <v>Enviado</v>
      </c>
      <c r="F5" s="100" t="str">
        <f t="array" aca="1" ref="F5" ca="1">IF(
    VLOOKUP(
        $A5,
        _xlfn._xlws.FILTER(
            INDIRECT("'"&amp;F$14&amp;"'!A2:E1000"), (INDIRECT("'"&amp;F$14&amp;"'!B2:B1000")=$B5) * (INDIRECT("'"&amp;F$14&amp;"'!C2:C1000")=$C5)
        ),
        5,
        FALSE
    )=0,
    "",
    VLOOKUP(
        $A5,
        _xlfn._xlws.FILTER(
            INDIRECT("'"&amp;F$14&amp;"'!A2:E1000"), (INDIRECT("'"&amp;F$14&amp;"'!B2:B1000")=$B5) * (INDIRECT("'"&amp;F$14&amp;"'!C2:C1000")=$C5)
        ),
        5,
        FALSE
    )
)</f>
        <v>Enviado</v>
      </c>
      <c r="G5" s="100" t="str">
        <f t="array" aca="1" ref="G5" ca="1">IF(
    VLOOKUP(
        $A5,
        _xlfn._xlws.FILTER(
            INDIRECT("'"&amp;G$14&amp;"'!A2:E1000"), (INDIRECT("'"&amp;G$14&amp;"'!B2:B1000")=$B5) * (INDIRECT("'"&amp;G$14&amp;"'!C2:C1000")=$C5)
        ),
        5,
        FALSE
    )=0,
    "",
    VLOOKUP(
        $A5,
        _xlfn._xlws.FILTER(
            INDIRECT("'"&amp;G$14&amp;"'!A2:E1000"), (INDIRECT("'"&amp;G$14&amp;"'!B2:B1000")=$B5) * (INDIRECT("'"&amp;G$14&amp;"'!C2:C1000")=$C5)
        ),
        5,
        FALSE
    )
)</f>
        <v>Enviado</v>
      </c>
      <c r="H5" s="100" t="str">
        <f t="array" aca="1" ref="H5" ca="1">IF(
    VLOOKUP(
        $A5,
        _xlfn._xlws.FILTER(
            INDIRECT("'"&amp;H$14&amp;"'!A2:E1000"), (INDIRECT("'"&amp;H$14&amp;"'!B2:B1000")=$B5) * (INDIRECT("'"&amp;H$14&amp;"'!C2:C1000")=$C5)
        ),
        5,
        FALSE
    )=0,
    "",
    VLOOKUP(
        $A5,
        _xlfn._xlws.FILTER(
            INDIRECT("'"&amp;H$14&amp;"'!A2:E1000"), (INDIRECT("'"&amp;H$14&amp;"'!B2:B1000")=$B5) * (INDIRECT("'"&amp;H$14&amp;"'!C2:C1000")=$C5)
        ),
        5,
        FALSE
    )
)</f>
        <v>Enviado</v>
      </c>
      <c r="I5" s="100" t="str">
        <f t="array" aca="1" ref="I5" ca="1">IF(
    VLOOKUP(
        $A5,
        _xlfn._xlws.FILTER(
            INDIRECT("'"&amp;I$14&amp;"'!A2:E1000"), (INDIRECT("'"&amp;I$14&amp;"'!B2:B1000")=$B5) * (INDIRECT("'"&amp;I$14&amp;"'!C2:C1000")=$C5)
        ),
        5,
        FALSE
    )=0,
    "",
    VLOOKUP(
        $A5,
        _xlfn._xlws.FILTER(
            INDIRECT("'"&amp;I$14&amp;"'!A2:E1000"), (INDIRECT("'"&amp;I$14&amp;"'!B2:B1000")=$B5) * (INDIRECT("'"&amp;I$14&amp;"'!C2:C1000")=$C5)
        ),
        5,
        FALSE
    )
)</f>
        <v>Enviado</v>
      </c>
      <c r="J5" s="100" t="str">
        <f t="array" aca="1" ref="J5" ca="1">IF(
    VLOOKUP(
        $A5,
        _xlfn._xlws.FILTER(
            INDIRECT("'"&amp;J$14&amp;"'!A2:E1000"), (INDIRECT("'"&amp;J$14&amp;"'!B2:B1000")=$B5) * (INDIRECT("'"&amp;J$14&amp;"'!C2:C1000")=$C5)
        ),
        5,
        FALSE
    )=0,
    "",
    VLOOKUP(
        $A5,
        _xlfn._xlws.FILTER(
            INDIRECT("'"&amp;J$14&amp;"'!A2:E1000"), (INDIRECT("'"&amp;J$14&amp;"'!B2:B1000")=$B5) * (INDIRECT("'"&amp;J$14&amp;"'!C2:C1000")=$C5)
        ),
        5,
        FALSE
    )
)</f>
        <v>Enviado</v>
      </c>
      <c r="K5" s="100" t="str">
        <f t="array" aca="1" ref="K5" ca="1">IF(
    VLOOKUP(
        $A5,
        _xlfn._xlws.FILTER(
            INDIRECT("'"&amp;K$14&amp;"'!A2:E1000"), (INDIRECT("'"&amp;K$14&amp;"'!B2:B1000")=$B5) * (INDIRECT("'"&amp;K$14&amp;"'!C2:C1000")=$C5)
        ),
        5,
        FALSE
    )=0,
    "",
    VLOOKUP(
        $A5,
        _xlfn._xlws.FILTER(
            INDIRECT("'"&amp;K$14&amp;"'!A2:E1000"), (INDIRECT("'"&amp;K$14&amp;"'!B2:B1000")=$B5) * (INDIRECT("'"&amp;K$14&amp;"'!C2:C1000")=$C5)
        ),
        5,
        FALSE
    )
)</f>
        <v>Enviado</v>
      </c>
      <c r="L5" s="100" t="str">
        <f t="array" aca="1" ref="L5" ca="1">IF(
    VLOOKUP(
        $A5,
        _xlfn._xlws.FILTER(
            INDIRECT("'"&amp;L$14&amp;"'!A2:E1000"), (INDIRECT("'"&amp;L$14&amp;"'!B2:B1000")=$B5) * (INDIRECT("'"&amp;L$14&amp;"'!C2:C1000")=$C5)
        ),
        5,
        FALSE
    )=0,
    "",
    VLOOKUP(
        $A5,
        _xlfn._xlws.FILTER(
            INDIRECT("'"&amp;L$14&amp;"'!A2:E1000"), (INDIRECT("'"&amp;L$14&amp;"'!B2:B1000")=$B5) * (INDIRECT("'"&amp;L$14&amp;"'!C2:C1000")=$C5)
        ),
        5,
        FALSE
    )
)</f>
        <v>Enviado</v>
      </c>
      <c r="M5" s="100" t="str">
        <f t="array" aca="1" ref="M5" ca="1">IF(
    VLOOKUP(
        $A5,
        _xlfn._xlws.FILTER(
            INDIRECT("'"&amp;M$14&amp;"'!A2:E1000"), (INDIRECT("'"&amp;M$14&amp;"'!B2:B1000")=$B5) * (INDIRECT("'"&amp;M$14&amp;"'!C2:C1000")=$C5)
        ),
        5,
        FALSE
    )=0,
    "",
    VLOOKUP(
        $A5,
        _xlfn._xlws.FILTER(
            INDIRECT("'"&amp;M$14&amp;"'!A2:E1000"), (INDIRECT("'"&amp;M$14&amp;"'!B2:B1000")=$B5) * (INDIRECT("'"&amp;M$14&amp;"'!C2:C1000")=$C5)
        ),
        5,
        FALSE
    )
)</f>
        <v>Enviado</v>
      </c>
      <c r="N5" s="100" t="str">
        <f t="array" aca="1" ref="N5" ca="1">IF(
    VLOOKUP(
        $A5,
        _xlfn._xlws.FILTER(
            INDIRECT("'"&amp;N$14&amp;"'!A2:E1000"), (INDIRECT("'"&amp;N$14&amp;"'!B2:B1000")=$B5) * (INDIRECT("'"&amp;N$14&amp;"'!C2:C1000")=$C5)
        ),
        5,
        FALSE
    )=0,
    "",
    VLOOKUP(
        $A5,
        _xlfn._xlws.FILTER(
            INDIRECT("'"&amp;N$14&amp;"'!A2:E1000"), (INDIRECT("'"&amp;N$14&amp;"'!B2:B1000")=$B5) * (INDIRECT("'"&amp;N$14&amp;"'!C2:C1000")=$C5)
        ),
        5,
        FALSE
    )
)</f>
        <v>Enviado</v>
      </c>
      <c r="O5" s="100" t="str">
        <f t="array" ref="O5" ca="1">IF(
    VLOOKUP(
        $A5,
        _xlfn._xlws.FILTER(
            INDIRECT("'"&amp;O$14&amp;"'!A2:E1000"), (INDIRECT("'"&amp;O$14&amp;"'!B2:B1000")=$B5) * (INDIRECT("'"&amp;O$14&amp;"'!C2:C1000")=$C5)
        ),
        5,
        FALSE
    )=0,
    "",
    VLOOKUP(
        $A5,
        _xlfn._xlws.FILTER(
            INDIRECT("'"&amp;O$14&amp;"'!A2:E1000"), (INDIRECT("'"&amp;O$14&amp;"'!B2:B1000")=$B5) * (INDIRECT("'"&amp;O$14&amp;"'!C2:C1000")=$C5)
        ),
        5,
        FALSE
    )
)</f>
        <v>Enviado</v>
      </c>
      <c r="P5" s="100" t="str">
        <f t="array" aca="1" ref="P5" ca="1">IF(
    VLOOKUP(
        $A5,
        _xlfn._xlws.FILTER(
            INDIRECT("'"&amp;P$14&amp;"'!A2:E1000"), (INDIRECT("'"&amp;P$14&amp;"'!B2:B1000")=$B5) * (INDIRECT("'"&amp;P$14&amp;"'!C2:C1000")=$C5)
        ),
        5,
        FALSE
    )=0,
    "",
    VLOOKUP(
        $A5,
        _xlfn._xlws.FILTER(
            INDIRECT("'"&amp;P$14&amp;"'!A2:E1000"), (INDIRECT("'"&amp;P$14&amp;"'!B2:B1000")=$B5) * (INDIRECT("'"&amp;P$14&amp;"'!C2:C1000")=$C5)
        ),
        5,
        FALSE
    )
)</f>
        <v>Enviado</v>
      </c>
      <c r="Q5" s="100" t="str">
        <f t="array" aca="1" ref="Q5" ca="1">IF(
    VLOOKUP(
        $A5,
        _xlfn._xlws.FILTER(
            INDIRECT("'"&amp;Q$14&amp;"'!A2:E1000"), (INDIRECT("'"&amp;Q$14&amp;"'!B2:B1000")=$B5) * (INDIRECT("'"&amp;Q$14&amp;"'!C2:C1000")=$C5)
        ),
        5,
        FALSE
    )=0,
    "",
    VLOOKUP(
        $A5,
        _xlfn._xlws.FILTER(
            INDIRECT("'"&amp;Q$14&amp;"'!A2:E1000"), (INDIRECT("'"&amp;Q$14&amp;"'!B2:B1000")=$B5) * (INDIRECT("'"&amp;Q$14&amp;"'!C2:C1000")=$C5)
        ),
        5,
        FALSE
    )
)</f>
        <v/>
      </c>
    </row>
    <row r="6" spans="1:17" x14ac:dyDescent="0.25">
      <c r="A6" s="75" t="s">
        <v>28</v>
      </c>
      <c r="B6" s="79" t="s">
        <v>91</v>
      </c>
      <c r="C6" s="79">
        <v>1</v>
      </c>
      <c r="D6" s="100" t="str">
        <f t="array" aca="1" ref="D6" ca="1">IF(
    VLOOKUP(
        $A6,
        _xlfn._xlws.FILTER(
            INDIRECT("'"&amp;D$14&amp;"'!A2:E1000"), (INDIRECT("'"&amp;D$14&amp;"'!B2:B1000")=$B6) * (INDIRECT("'"&amp;D$14&amp;"'!C2:C1000")=$C6)
        ),
        5,
        FALSE
    )=0,
    "",
    VLOOKUP(
        $A6,
        _xlfn._xlws.FILTER(
            INDIRECT("'"&amp;D$14&amp;"'!A2:E1000"), (INDIRECT("'"&amp;D$14&amp;"'!B2:B1000")=$B6) * (INDIRECT("'"&amp;D$14&amp;"'!C2:C1000")=$C6)
        ),
        5,
        FALSE
    )
)</f>
        <v>Enviado</v>
      </c>
      <c r="E6" s="100" t="str">
        <f t="array" aca="1" ref="E6" ca="1">IF(
    VLOOKUP(
        $A6,
        _xlfn._xlws.FILTER(
            INDIRECT("'"&amp;E$14&amp;"'!A2:E1000"), (INDIRECT("'"&amp;E$14&amp;"'!B2:B1000")=$B6) * (INDIRECT("'"&amp;E$14&amp;"'!C2:C1000")=$C6)
        ),
        5,
        FALSE
    )=0,
    "",
    VLOOKUP(
        $A6,
        _xlfn._xlws.FILTER(
            INDIRECT("'"&amp;E$14&amp;"'!A2:E1000"), (INDIRECT("'"&amp;E$14&amp;"'!B2:B1000")=$B6) * (INDIRECT("'"&amp;E$14&amp;"'!C2:C1000")=$C6)
        ),
        5,
        FALSE
    )
)</f>
        <v>Enviado</v>
      </c>
      <c r="F6" s="100" t="str">
        <f t="array" aca="1" ref="F6" ca="1">IF(
    VLOOKUP(
        $A6,
        _xlfn._xlws.FILTER(
            INDIRECT("'"&amp;F$14&amp;"'!A2:E1000"), (INDIRECT("'"&amp;F$14&amp;"'!B2:B1000")=$B6) * (INDIRECT("'"&amp;F$14&amp;"'!C2:C1000")=$C6)
        ),
        5,
        FALSE
    )=0,
    "",
    VLOOKUP(
        $A6,
        _xlfn._xlws.FILTER(
            INDIRECT("'"&amp;F$14&amp;"'!A2:E1000"), (INDIRECT("'"&amp;F$14&amp;"'!B2:B1000")=$B6) * (INDIRECT("'"&amp;F$14&amp;"'!C2:C1000")=$C6)
        ),
        5,
        FALSE
    )
)</f>
        <v>Enviado</v>
      </c>
      <c r="G6" s="100" t="str">
        <f t="array" aca="1" ref="G6" ca="1">IF(
    VLOOKUP(
        $A6,
        _xlfn._xlws.FILTER(
            INDIRECT("'"&amp;G$14&amp;"'!A2:E1000"), (INDIRECT("'"&amp;G$14&amp;"'!B2:B1000")=$B6) * (INDIRECT("'"&amp;G$14&amp;"'!C2:C1000")=$C6)
        ),
        5,
        FALSE
    )=0,
    "",
    VLOOKUP(
        $A6,
        _xlfn._xlws.FILTER(
            INDIRECT("'"&amp;G$14&amp;"'!A2:E1000"), (INDIRECT("'"&amp;G$14&amp;"'!B2:B1000")=$B6) * (INDIRECT("'"&amp;G$14&amp;"'!C2:C1000")=$C6)
        ),
        5,
        FALSE
    )
)</f>
        <v>Enviado</v>
      </c>
      <c r="H6" s="100" t="str">
        <f t="array" aca="1" ref="H6" ca="1">IF(
    VLOOKUP(
        $A6,
        _xlfn._xlws.FILTER(
            INDIRECT("'"&amp;H$14&amp;"'!A2:E1000"), (INDIRECT("'"&amp;H$14&amp;"'!B2:B1000")=$B6) * (INDIRECT("'"&amp;H$14&amp;"'!C2:C1000")=$C6)
        ),
        5,
        FALSE
    )=0,
    "",
    VLOOKUP(
        $A6,
        _xlfn._xlws.FILTER(
            INDIRECT("'"&amp;H$14&amp;"'!A2:E1000"), (INDIRECT("'"&amp;H$14&amp;"'!B2:B1000")=$B6) * (INDIRECT("'"&amp;H$14&amp;"'!C2:C1000")=$C6)
        ),
        5,
        FALSE
    )
)</f>
        <v>Enviado</v>
      </c>
      <c r="I6" s="100" t="str">
        <f t="array" aca="1" ref="I6" ca="1">IF(
    VLOOKUP(
        $A6,
        _xlfn._xlws.FILTER(
            INDIRECT("'"&amp;I$14&amp;"'!A2:E1000"), (INDIRECT("'"&amp;I$14&amp;"'!B2:B1000")=$B6) * (INDIRECT("'"&amp;I$14&amp;"'!C2:C1000")=$C6)
        ),
        5,
        FALSE
    )=0,
    "",
    VLOOKUP(
        $A6,
        _xlfn._xlws.FILTER(
            INDIRECT("'"&amp;I$14&amp;"'!A2:E1000"), (INDIRECT("'"&amp;I$14&amp;"'!B2:B1000")=$B6) * (INDIRECT("'"&amp;I$14&amp;"'!C2:C1000")=$C6)
        ),
        5,
        FALSE
    )
)</f>
        <v>Enviado</v>
      </c>
      <c r="J6" s="100" t="str">
        <f t="array" aca="1" ref="J6" ca="1">IF(
    VLOOKUP(
        $A6,
        _xlfn._xlws.FILTER(
            INDIRECT("'"&amp;J$14&amp;"'!A2:E1000"), (INDIRECT("'"&amp;J$14&amp;"'!B2:B1000")=$B6) * (INDIRECT("'"&amp;J$14&amp;"'!C2:C1000")=$C6)
        ),
        5,
        FALSE
    )=0,
    "",
    VLOOKUP(
        $A6,
        _xlfn._xlws.FILTER(
            INDIRECT("'"&amp;J$14&amp;"'!A2:E1000"), (INDIRECT("'"&amp;J$14&amp;"'!B2:B1000")=$B6) * (INDIRECT("'"&amp;J$14&amp;"'!C2:C1000")=$C6)
        ),
        5,
        FALSE
    )
)</f>
        <v>Enviado</v>
      </c>
      <c r="K6" s="100" t="str">
        <f t="array" aca="1" ref="K6" ca="1">IF(
    VLOOKUP(
        $A6,
        _xlfn._xlws.FILTER(
            INDIRECT("'"&amp;K$14&amp;"'!A2:E1000"), (INDIRECT("'"&amp;K$14&amp;"'!B2:B1000")=$B6) * (INDIRECT("'"&amp;K$14&amp;"'!C2:C1000")=$C6)
        ),
        5,
        FALSE
    )=0,
    "",
    VLOOKUP(
        $A6,
        _xlfn._xlws.FILTER(
            INDIRECT("'"&amp;K$14&amp;"'!A2:E1000"), (INDIRECT("'"&amp;K$14&amp;"'!B2:B1000")=$B6) * (INDIRECT("'"&amp;K$14&amp;"'!C2:C1000")=$C6)
        ),
        5,
        FALSE
    )
)</f>
        <v>Enviado</v>
      </c>
      <c r="L6" s="100" t="str">
        <f t="array" aca="1" ref="L6" ca="1">IF(
    VLOOKUP(
        $A6,
        _xlfn._xlws.FILTER(
            INDIRECT("'"&amp;L$14&amp;"'!A2:E1000"), (INDIRECT("'"&amp;L$14&amp;"'!B2:B1000")=$B6) * (INDIRECT("'"&amp;L$14&amp;"'!C2:C1000")=$C6)
        ),
        5,
        FALSE
    )=0,
    "",
    VLOOKUP(
        $A6,
        _xlfn._xlws.FILTER(
            INDIRECT("'"&amp;L$14&amp;"'!A2:E1000"), (INDIRECT("'"&amp;L$14&amp;"'!B2:B1000")=$B6) * (INDIRECT("'"&amp;L$14&amp;"'!C2:C1000")=$C6)
        ),
        5,
        FALSE
    )
)</f>
        <v>Enviado</v>
      </c>
      <c r="M6" s="100" t="str">
        <f t="array" aca="1" ref="M6" ca="1">IF(
    VLOOKUP(
        $A6,
        _xlfn._xlws.FILTER(
            INDIRECT("'"&amp;M$14&amp;"'!A2:E1000"), (INDIRECT("'"&amp;M$14&amp;"'!B2:B1000")=$B6) * (INDIRECT("'"&amp;M$14&amp;"'!C2:C1000")=$C6)
        ),
        5,
        FALSE
    )=0,
    "",
    VLOOKUP(
        $A6,
        _xlfn._xlws.FILTER(
            INDIRECT("'"&amp;M$14&amp;"'!A2:E1000"), (INDIRECT("'"&amp;M$14&amp;"'!B2:B1000")=$B6) * (INDIRECT("'"&amp;M$14&amp;"'!C2:C1000")=$C6)
        ),
        5,
        FALSE
    )
)</f>
        <v>Enviado</v>
      </c>
      <c r="N6" s="100" t="str">
        <f t="array" aca="1" ref="N6" ca="1">IF(
    VLOOKUP(
        $A6,
        _xlfn._xlws.FILTER(
            INDIRECT("'"&amp;N$14&amp;"'!A2:E1000"), (INDIRECT("'"&amp;N$14&amp;"'!B2:B1000")=$B6) * (INDIRECT("'"&amp;N$14&amp;"'!C2:C1000")=$C6)
        ),
        5,
        FALSE
    )=0,
    "",
    VLOOKUP(
        $A6,
        _xlfn._xlws.FILTER(
            INDIRECT("'"&amp;N$14&amp;"'!A2:E1000"), (INDIRECT("'"&amp;N$14&amp;"'!B2:B1000")=$B6) * (INDIRECT("'"&amp;N$14&amp;"'!C2:C1000")=$C6)
        ),
        5,
        FALSE
    )
)</f>
        <v>Enviado</v>
      </c>
      <c r="O6" s="100" t="str">
        <f t="array" aca="1" ref="O6" ca="1">IF(
    VLOOKUP(
        $A6,
        _xlfn._xlws.FILTER(
            INDIRECT("'"&amp;O$14&amp;"'!A2:E1000"), (INDIRECT("'"&amp;O$14&amp;"'!B2:B1000")=$B6) * (INDIRECT("'"&amp;O$14&amp;"'!C2:C1000")=$C6)
        ),
        5,
        FALSE
    )=0,
    "",
    VLOOKUP(
        $A6,
        _xlfn._xlws.FILTER(
            INDIRECT("'"&amp;O$14&amp;"'!A2:E1000"), (INDIRECT("'"&amp;O$14&amp;"'!B2:B1000")=$B6) * (INDIRECT("'"&amp;O$14&amp;"'!C2:C1000")=$C6)
        ),
        5,
        FALSE
    )
)</f>
        <v>Enviado</v>
      </c>
      <c r="P6" s="100" t="str">
        <f t="array" aca="1" ref="P6" ca="1">IF(
    VLOOKUP(
        $A6,
        _xlfn._xlws.FILTER(
            INDIRECT("'"&amp;P$14&amp;"'!A2:E1000"), (INDIRECT("'"&amp;P$14&amp;"'!B2:B1000")=$B6) * (INDIRECT("'"&amp;P$14&amp;"'!C2:C1000")=$C6)
        ),
        5,
        FALSE
    )=0,
    "",
    VLOOKUP(
        $A6,
        _xlfn._xlws.FILTER(
            INDIRECT("'"&amp;P$14&amp;"'!A2:E1000"), (INDIRECT("'"&amp;P$14&amp;"'!B2:B1000")=$B6) * (INDIRECT("'"&amp;P$14&amp;"'!C2:C1000")=$C6)
        ),
        5,
        FALSE
    )
)</f>
        <v>Enviado</v>
      </c>
      <c r="Q6" s="100" t="str">
        <f t="array" aca="1" ref="Q6" ca="1">IF(
    VLOOKUP(
        $A6,
        _xlfn._xlws.FILTER(
            INDIRECT("'"&amp;Q$14&amp;"'!A2:E1000"), (INDIRECT("'"&amp;Q$14&amp;"'!B2:B1000")=$B6) * (INDIRECT("'"&amp;Q$14&amp;"'!C2:C1000")=$C6)
        ),
        5,
        FALSE
    )=0,
    "",
    VLOOKUP(
        $A6,
        _xlfn._xlws.FILTER(
            INDIRECT("'"&amp;Q$14&amp;"'!A2:E1000"), (INDIRECT("'"&amp;Q$14&amp;"'!B2:B1000")=$B6) * (INDIRECT("'"&amp;Q$14&amp;"'!C2:C1000")=$C6)
        ),
        5,
        FALSE
    )
)</f>
        <v/>
      </c>
    </row>
    <row r="7" spans="1:17" x14ac:dyDescent="0.25">
      <c r="A7" s="75" t="s">
        <v>28</v>
      </c>
      <c r="B7" s="79" t="s">
        <v>92</v>
      </c>
      <c r="C7" s="79">
        <v>1</v>
      </c>
      <c r="D7" s="100" t="str">
        <f t="array" aca="1" ref="D7" ca="1">IF(
    VLOOKUP(
        $A7,
        _xlfn._xlws.FILTER(
            INDIRECT("'"&amp;D$14&amp;"'!A2:E1000"), (INDIRECT("'"&amp;D$14&amp;"'!B2:B1000")=$B7) * (INDIRECT("'"&amp;D$14&amp;"'!C2:C1000")=$C7)
        ),
        5,
        FALSE
    )=0,
    "",
    VLOOKUP(
        $A7,
        _xlfn._xlws.FILTER(
            INDIRECT("'"&amp;D$14&amp;"'!A2:E1000"), (INDIRECT("'"&amp;D$14&amp;"'!B2:B1000")=$B7) * (INDIRECT("'"&amp;D$14&amp;"'!C2:C1000")=$C7)
        ),
        5,
        FALSE
    )
)</f>
        <v>Enviado</v>
      </c>
      <c r="E7" s="100" t="str">
        <f t="array" aca="1" ref="E7" ca="1">IF(
    VLOOKUP(
        $A7,
        _xlfn._xlws.FILTER(
            INDIRECT("'"&amp;E$14&amp;"'!A2:E1000"), (INDIRECT("'"&amp;E$14&amp;"'!B2:B1000")=$B7) * (INDIRECT("'"&amp;E$14&amp;"'!C2:C1000")=$C7)
        ),
        5,
        FALSE
    )=0,
    "",
    VLOOKUP(
        $A7,
        _xlfn._xlws.FILTER(
            INDIRECT("'"&amp;E$14&amp;"'!A2:E1000"), (INDIRECT("'"&amp;E$14&amp;"'!B2:B1000")=$B7) * (INDIRECT("'"&amp;E$14&amp;"'!C2:C1000")=$C7)
        ),
        5,
        FALSE
    )
)</f>
        <v>Enviado</v>
      </c>
      <c r="F7" s="100" t="str">
        <f t="array" aca="1" ref="F7" ca="1">IF(
    VLOOKUP(
        $A7,
        _xlfn._xlws.FILTER(
            INDIRECT("'"&amp;F$14&amp;"'!A2:E1000"), (INDIRECT("'"&amp;F$14&amp;"'!B2:B1000")=$B7) * (INDIRECT("'"&amp;F$14&amp;"'!C2:C1000")=$C7)
        ),
        5,
        FALSE
    )=0,
    "",
    VLOOKUP(
        $A7,
        _xlfn._xlws.FILTER(
            INDIRECT("'"&amp;F$14&amp;"'!A2:E1000"), (INDIRECT("'"&amp;F$14&amp;"'!B2:B1000")=$B7) * (INDIRECT("'"&amp;F$14&amp;"'!C2:C1000")=$C7)
        ),
        5,
        FALSE
    )
)</f>
        <v>Enviado</v>
      </c>
      <c r="G7" s="100" t="str">
        <f t="array" aca="1" ref="G7" ca="1">IF(
    VLOOKUP(
        $A7,
        _xlfn._xlws.FILTER(
            INDIRECT("'"&amp;G$14&amp;"'!A2:E1000"), (INDIRECT("'"&amp;G$14&amp;"'!B2:B1000")=$B7) * (INDIRECT("'"&amp;G$14&amp;"'!C2:C1000")=$C7)
        ),
        5,
        FALSE
    )=0,
    "",
    VLOOKUP(
        $A7,
        _xlfn._xlws.FILTER(
            INDIRECT("'"&amp;G$14&amp;"'!A2:E1000"), (INDIRECT("'"&amp;G$14&amp;"'!B2:B1000")=$B7) * (INDIRECT("'"&amp;G$14&amp;"'!C2:C1000")=$C7)
        ),
        5,
        FALSE
    )
)</f>
        <v>Enviado</v>
      </c>
      <c r="H7" s="100" t="str">
        <f t="array" aca="1" ref="H7" ca="1">IF(
    VLOOKUP(
        $A7,
        _xlfn._xlws.FILTER(
            INDIRECT("'"&amp;H$14&amp;"'!A2:E1000"), (INDIRECT("'"&amp;H$14&amp;"'!B2:B1000")=$B7) * (INDIRECT("'"&amp;H$14&amp;"'!C2:C1000")=$C7)
        ),
        5,
        FALSE
    )=0,
    "",
    VLOOKUP(
        $A7,
        _xlfn._xlws.FILTER(
            INDIRECT("'"&amp;H$14&amp;"'!A2:E1000"), (INDIRECT("'"&amp;H$14&amp;"'!B2:B1000")=$B7) * (INDIRECT("'"&amp;H$14&amp;"'!C2:C1000")=$C7)
        ),
        5,
        FALSE
    )
)</f>
        <v>Enviado</v>
      </c>
      <c r="I7" s="100" t="str">
        <f t="array" aca="1" ref="I7" ca="1">IF(
    VLOOKUP(
        $A7,
        _xlfn._xlws.FILTER(
            INDIRECT("'"&amp;I$14&amp;"'!A2:E1000"), (INDIRECT("'"&amp;I$14&amp;"'!B2:B1000")=$B7) * (INDIRECT("'"&amp;I$14&amp;"'!C2:C1000")=$C7)
        ),
        5,
        FALSE
    )=0,
    "",
    VLOOKUP(
        $A7,
        _xlfn._xlws.FILTER(
            INDIRECT("'"&amp;I$14&amp;"'!A2:E1000"), (INDIRECT("'"&amp;I$14&amp;"'!B2:B1000")=$B7) * (INDIRECT("'"&amp;I$14&amp;"'!C2:C1000")=$C7)
        ),
        5,
        FALSE
    )
)</f>
        <v>Enviado</v>
      </c>
      <c r="J7" s="100" t="str">
        <f t="array" aca="1" ref="J7" ca="1">IF(
    VLOOKUP(
        $A7,
        _xlfn._xlws.FILTER(
            INDIRECT("'"&amp;J$14&amp;"'!A2:E1000"), (INDIRECT("'"&amp;J$14&amp;"'!B2:B1000")=$B7) * (INDIRECT("'"&amp;J$14&amp;"'!C2:C1000")=$C7)
        ),
        5,
        FALSE
    )=0,
    "",
    VLOOKUP(
        $A7,
        _xlfn._xlws.FILTER(
            INDIRECT("'"&amp;J$14&amp;"'!A2:E1000"), (INDIRECT("'"&amp;J$14&amp;"'!B2:B1000")=$B7) * (INDIRECT("'"&amp;J$14&amp;"'!C2:C1000")=$C7)
        ),
        5,
        FALSE
    )
)</f>
        <v>Enviado</v>
      </c>
      <c r="K7" s="100" t="str">
        <f t="array" aca="1" ref="K7" ca="1">IF(
    VLOOKUP(
        $A7,
        _xlfn._xlws.FILTER(
            INDIRECT("'"&amp;K$14&amp;"'!A2:E1000"), (INDIRECT("'"&amp;K$14&amp;"'!B2:B1000")=$B7) * (INDIRECT("'"&amp;K$14&amp;"'!C2:C1000")=$C7)
        ),
        5,
        FALSE
    )=0,
    "",
    VLOOKUP(
        $A7,
        _xlfn._xlws.FILTER(
            INDIRECT("'"&amp;K$14&amp;"'!A2:E1000"), (INDIRECT("'"&amp;K$14&amp;"'!B2:B1000")=$B7) * (INDIRECT("'"&amp;K$14&amp;"'!C2:C1000")=$C7)
        ),
        5,
        FALSE
    )
)</f>
        <v>Enviado</v>
      </c>
      <c r="L7" s="100" t="str">
        <f t="array" aca="1" ref="L7" ca="1">IF(
    VLOOKUP(
        $A7,
        _xlfn._xlws.FILTER(
            INDIRECT("'"&amp;L$14&amp;"'!A2:E1000"), (INDIRECT("'"&amp;L$14&amp;"'!B2:B1000")=$B7) * (INDIRECT("'"&amp;L$14&amp;"'!C2:C1000")=$C7)
        ),
        5,
        FALSE
    )=0,
    "",
    VLOOKUP(
        $A7,
        _xlfn._xlws.FILTER(
            INDIRECT("'"&amp;L$14&amp;"'!A2:E1000"), (INDIRECT("'"&amp;L$14&amp;"'!B2:B1000")=$B7) * (INDIRECT("'"&amp;L$14&amp;"'!C2:C1000")=$C7)
        ),
        5,
        FALSE
    )
)</f>
        <v>Enviado</v>
      </c>
      <c r="M7" s="100" t="str">
        <f t="array" aca="1" ref="M7" ca="1">IF(
    VLOOKUP(
        $A7,
        _xlfn._xlws.FILTER(
            INDIRECT("'"&amp;M$14&amp;"'!A2:E1000"), (INDIRECT("'"&amp;M$14&amp;"'!B2:B1000")=$B7) * (INDIRECT("'"&amp;M$14&amp;"'!C2:C1000")=$C7)
        ),
        5,
        FALSE
    )=0,
    "",
    VLOOKUP(
        $A7,
        _xlfn._xlws.FILTER(
            INDIRECT("'"&amp;M$14&amp;"'!A2:E1000"), (INDIRECT("'"&amp;M$14&amp;"'!B2:B1000")=$B7) * (INDIRECT("'"&amp;M$14&amp;"'!C2:C1000")=$C7)
        ),
        5,
        FALSE
    )
)</f>
        <v>Enviado</v>
      </c>
      <c r="N7" s="100" t="str">
        <f t="array" aca="1" ref="N7" ca="1">IF(
    VLOOKUP(
        $A7,
        _xlfn._xlws.FILTER(
            INDIRECT("'"&amp;N$14&amp;"'!A2:E1000"), (INDIRECT("'"&amp;N$14&amp;"'!B2:B1000")=$B7) * (INDIRECT("'"&amp;N$14&amp;"'!C2:C1000")=$C7)
        ),
        5,
        FALSE
    )=0,
    "",
    VLOOKUP(
        $A7,
        _xlfn._xlws.FILTER(
            INDIRECT("'"&amp;N$14&amp;"'!A2:E1000"), (INDIRECT("'"&amp;N$14&amp;"'!B2:B1000")=$B7) * (INDIRECT("'"&amp;N$14&amp;"'!C2:C1000")=$C7)
        ),
        5,
        FALSE
    )
)</f>
        <v>Enviado</v>
      </c>
      <c r="O7" s="100" t="str">
        <f t="array" aca="1" ref="O7" ca="1">IF(
    VLOOKUP(
        $A7,
        _xlfn._xlws.FILTER(
            INDIRECT("'"&amp;O$14&amp;"'!A2:E1000"), (INDIRECT("'"&amp;O$14&amp;"'!B2:B1000")=$B7) * (INDIRECT("'"&amp;O$14&amp;"'!C2:C1000")=$C7)
        ),
        5,
        FALSE
    )=0,
    "",
    VLOOKUP(
        $A7,
        _xlfn._xlws.FILTER(
            INDIRECT("'"&amp;O$14&amp;"'!A2:E1000"), (INDIRECT("'"&amp;O$14&amp;"'!B2:B1000")=$B7) * (INDIRECT("'"&amp;O$14&amp;"'!C2:C1000")=$C7)
        ),
        5,
        FALSE
    )
)</f>
        <v>Enviado</v>
      </c>
      <c r="P7" s="100" t="str">
        <f t="array" aca="1" ref="P7" ca="1">IF(
    VLOOKUP(
        $A7,
        _xlfn._xlws.FILTER(
            INDIRECT("'"&amp;P$14&amp;"'!A2:E1000"), (INDIRECT("'"&amp;P$14&amp;"'!B2:B1000")=$B7) * (INDIRECT("'"&amp;P$14&amp;"'!C2:C1000")=$C7)
        ),
        5,
        FALSE
    )=0,
    "",
    VLOOKUP(
        $A7,
        _xlfn._xlws.FILTER(
            INDIRECT("'"&amp;P$14&amp;"'!A2:E1000"), (INDIRECT("'"&amp;P$14&amp;"'!B2:B1000")=$B7) * (INDIRECT("'"&amp;P$14&amp;"'!C2:C1000")=$C7)
        ),
        5,
        FALSE
    )
)</f>
        <v>Atrasado</v>
      </c>
      <c r="Q7" s="100" t="str">
        <f t="array" aca="1" ref="Q7" ca="1">IF(
    VLOOKUP(
        $A7,
        _xlfn._xlws.FILTER(
            INDIRECT("'"&amp;Q$14&amp;"'!A2:E1000"), (INDIRECT("'"&amp;Q$14&amp;"'!B2:B1000")=$B7) * (INDIRECT("'"&amp;Q$14&amp;"'!C2:C1000")=$C7)
        ),
        5,
        FALSE
    )=0,
    "",
    VLOOKUP(
        $A7,
        _xlfn._xlws.FILTER(
            INDIRECT("'"&amp;Q$14&amp;"'!A2:E1000"), (INDIRECT("'"&amp;Q$14&amp;"'!B2:B1000")=$B7) * (INDIRECT("'"&amp;Q$14&amp;"'!C2:C1000")=$C7)
        ),
        5,
        FALSE
    )
)</f>
        <v/>
      </c>
    </row>
    <row r="8" spans="1:17" x14ac:dyDescent="0.25">
      <c r="A8" s="75" t="s">
        <v>28</v>
      </c>
      <c r="B8" s="79" t="s">
        <v>93</v>
      </c>
      <c r="C8" s="79">
        <v>1</v>
      </c>
      <c r="D8" s="100" t="str">
        <f t="array" aca="1" ref="D8" ca="1">IF(
    VLOOKUP(
        $A8,
        _xlfn._xlws.FILTER(
            INDIRECT("'"&amp;D$14&amp;"'!A2:E1000"), (INDIRECT("'"&amp;D$14&amp;"'!B2:B1000")=$B8) * (INDIRECT("'"&amp;D$14&amp;"'!C2:C1000")=$C8)
        ),
        5,
        FALSE
    )=0,
    "",
    VLOOKUP(
        $A8,
        _xlfn._xlws.FILTER(
            INDIRECT("'"&amp;D$14&amp;"'!A2:E1000"), (INDIRECT("'"&amp;D$14&amp;"'!B2:B1000")=$B8) * (INDIRECT("'"&amp;D$14&amp;"'!C2:C1000")=$C8)
        ),
        5,
        FALSE
    )
)</f>
        <v>Enviado</v>
      </c>
      <c r="E8" s="100" t="str">
        <f t="array" aca="1" ref="E8" ca="1">IF(
    VLOOKUP(
        $A8,
        _xlfn._xlws.FILTER(
            INDIRECT("'"&amp;E$14&amp;"'!A2:E1000"), (INDIRECT("'"&amp;E$14&amp;"'!B2:B1000")=$B8) * (INDIRECT("'"&amp;E$14&amp;"'!C2:C1000")=$C8)
        ),
        5,
        FALSE
    )=0,
    "",
    VLOOKUP(
        $A8,
        _xlfn._xlws.FILTER(
            INDIRECT("'"&amp;E$14&amp;"'!A2:E1000"), (INDIRECT("'"&amp;E$14&amp;"'!B2:B1000")=$B8) * (INDIRECT("'"&amp;E$14&amp;"'!C2:C1000")=$C8)
        ),
        5,
        FALSE
    )
)</f>
        <v>Enviado</v>
      </c>
      <c r="F8" s="100" t="str">
        <f t="array" aca="1" ref="F8" ca="1">IF(
    VLOOKUP(
        $A8,
        _xlfn._xlws.FILTER(
            INDIRECT("'"&amp;F$14&amp;"'!A2:E1000"), (INDIRECT("'"&amp;F$14&amp;"'!B2:B1000")=$B8) * (INDIRECT("'"&amp;F$14&amp;"'!C2:C1000")=$C8)
        ),
        5,
        FALSE
    )=0,
    "",
    VLOOKUP(
        $A8,
        _xlfn._xlws.FILTER(
            INDIRECT("'"&amp;F$14&amp;"'!A2:E1000"), (INDIRECT("'"&amp;F$14&amp;"'!B2:B1000")=$B8) * (INDIRECT("'"&amp;F$14&amp;"'!C2:C1000")=$C8)
        ),
        5,
        FALSE
    )
)</f>
        <v>Enviado</v>
      </c>
      <c r="G8" s="100" t="str">
        <f t="array" aca="1" ref="G8" ca="1">IF(
    VLOOKUP(
        $A8,
        _xlfn._xlws.FILTER(
            INDIRECT("'"&amp;G$14&amp;"'!A2:E1000"), (INDIRECT("'"&amp;G$14&amp;"'!B2:B1000")=$B8) * (INDIRECT("'"&amp;G$14&amp;"'!C2:C1000")=$C8)
        ),
        5,
        FALSE
    )=0,
    "",
    VLOOKUP(
        $A8,
        _xlfn._xlws.FILTER(
            INDIRECT("'"&amp;G$14&amp;"'!A2:E1000"), (INDIRECT("'"&amp;G$14&amp;"'!B2:B1000")=$B8) * (INDIRECT("'"&amp;G$14&amp;"'!C2:C1000")=$C8)
        ),
        5,
        FALSE
    )
)</f>
        <v>Enviado</v>
      </c>
      <c r="H8" s="100" t="str">
        <f t="array" aca="1" ref="H8" ca="1">IF(
    VLOOKUP(
        $A8,
        _xlfn._xlws.FILTER(
            INDIRECT("'"&amp;H$14&amp;"'!A2:E1000"), (INDIRECT("'"&amp;H$14&amp;"'!B2:B1000")=$B8) * (INDIRECT("'"&amp;H$14&amp;"'!C2:C1000")=$C8)
        ),
        5,
        FALSE
    )=0,
    "",
    VLOOKUP(
        $A8,
        _xlfn._xlws.FILTER(
            INDIRECT("'"&amp;H$14&amp;"'!A2:E1000"), (INDIRECT("'"&amp;H$14&amp;"'!B2:B1000")=$B8) * (INDIRECT("'"&amp;H$14&amp;"'!C2:C1000")=$C8)
        ),
        5,
        FALSE
    )
)</f>
        <v>Enviado</v>
      </c>
      <c r="I8" s="100" t="str">
        <f t="array" aca="1" ref="I8" ca="1">IF(
    VLOOKUP(
        $A8,
        _xlfn._xlws.FILTER(
            INDIRECT("'"&amp;I$14&amp;"'!A2:E1000"), (INDIRECT("'"&amp;I$14&amp;"'!B2:B1000")=$B8) * (INDIRECT("'"&amp;I$14&amp;"'!C2:C1000")=$C8)
        ),
        5,
        FALSE
    )=0,
    "",
    VLOOKUP(
        $A8,
        _xlfn._xlws.FILTER(
            INDIRECT("'"&amp;I$14&amp;"'!A2:E1000"), (INDIRECT("'"&amp;I$14&amp;"'!B2:B1000")=$B8) * (INDIRECT("'"&amp;I$14&amp;"'!C2:C1000")=$C8)
        ),
        5,
        FALSE
    )
)</f>
        <v>Enviado</v>
      </c>
      <c r="J8" s="100" t="str">
        <f t="array" aca="1" ref="J8" ca="1">IF(
    VLOOKUP(
        $A8,
        _xlfn._xlws.FILTER(
            INDIRECT("'"&amp;J$14&amp;"'!A2:E1000"), (INDIRECT("'"&amp;J$14&amp;"'!B2:B1000")=$B8) * (INDIRECT("'"&amp;J$14&amp;"'!C2:C1000")=$C8)
        ),
        5,
        FALSE
    )=0,
    "",
    VLOOKUP(
        $A8,
        _xlfn._xlws.FILTER(
            INDIRECT("'"&amp;J$14&amp;"'!A2:E1000"), (INDIRECT("'"&amp;J$14&amp;"'!B2:B1000")=$B8) * (INDIRECT("'"&amp;J$14&amp;"'!C2:C1000")=$C8)
        ),
        5,
        FALSE
    )
)</f>
        <v>Enviado</v>
      </c>
      <c r="K8" s="100" t="str">
        <f t="array" aca="1" ref="K8" ca="1">IF(
    VLOOKUP(
        $A8,
        _xlfn._xlws.FILTER(
            INDIRECT("'"&amp;K$14&amp;"'!A2:E1000"), (INDIRECT("'"&amp;K$14&amp;"'!B2:B1000")=$B8) * (INDIRECT("'"&amp;K$14&amp;"'!C2:C1000")=$C8)
        ),
        5,
        FALSE
    )=0,
    "",
    VLOOKUP(
        $A8,
        _xlfn._xlws.FILTER(
            INDIRECT("'"&amp;K$14&amp;"'!A2:E1000"), (INDIRECT("'"&amp;K$14&amp;"'!B2:B1000")=$B8) * (INDIRECT("'"&amp;K$14&amp;"'!C2:C1000")=$C8)
        ),
        5,
        FALSE
    )
)</f>
        <v>Enviado</v>
      </c>
      <c r="L8" s="100" t="str">
        <f t="array" aca="1" ref="L8" ca="1">IF(
    VLOOKUP(
        $A8,
        _xlfn._xlws.FILTER(
            INDIRECT("'"&amp;L$14&amp;"'!A2:E1000"), (INDIRECT("'"&amp;L$14&amp;"'!B2:B1000")=$B8) * (INDIRECT("'"&amp;L$14&amp;"'!C2:C1000")=$C8)
        ),
        5,
        FALSE
    )=0,
    "",
    VLOOKUP(
        $A8,
        _xlfn._xlws.FILTER(
            INDIRECT("'"&amp;L$14&amp;"'!A2:E1000"), (INDIRECT("'"&amp;L$14&amp;"'!B2:B1000")=$B8) * (INDIRECT("'"&amp;L$14&amp;"'!C2:C1000")=$C8)
        ),
        5,
        FALSE
    )
)</f>
        <v>Enviado</v>
      </c>
      <c r="M8" s="100" t="str">
        <f t="array" aca="1" ref="M8" ca="1">IF(
    VLOOKUP(
        $A8,
        _xlfn._xlws.FILTER(
            INDIRECT("'"&amp;M$14&amp;"'!A2:E1000"), (INDIRECT("'"&amp;M$14&amp;"'!B2:B1000")=$B8) * (INDIRECT("'"&amp;M$14&amp;"'!C2:C1000")=$C8)
        ),
        5,
        FALSE
    )=0,
    "",
    VLOOKUP(
        $A8,
        _xlfn._xlws.FILTER(
            INDIRECT("'"&amp;M$14&amp;"'!A2:E1000"), (INDIRECT("'"&amp;M$14&amp;"'!B2:B1000")=$B8) * (INDIRECT("'"&amp;M$14&amp;"'!C2:C1000")=$C8)
        ),
        5,
        FALSE
    )
)</f>
        <v>Enviado</v>
      </c>
      <c r="N8" s="100" t="str">
        <f t="array" aca="1" ref="N8" ca="1">IF(
    VLOOKUP(
        $A8,
        _xlfn._xlws.FILTER(
            INDIRECT("'"&amp;N$14&amp;"'!A2:E1000"), (INDIRECT("'"&amp;N$14&amp;"'!B2:B1000")=$B8) * (INDIRECT("'"&amp;N$14&amp;"'!C2:C1000")=$C8)
        ),
        5,
        FALSE
    )=0,
    "",
    VLOOKUP(
        $A8,
        _xlfn._xlws.FILTER(
            INDIRECT("'"&amp;N$14&amp;"'!A2:E1000"), (INDIRECT("'"&amp;N$14&amp;"'!B2:B1000")=$B8) * (INDIRECT("'"&amp;N$14&amp;"'!C2:C1000")=$C8)
        ),
        5,
        FALSE
    )
)</f>
        <v>Enviado</v>
      </c>
      <c r="O8" s="100" t="str">
        <f t="array" aca="1" ref="O8" ca="1">IF(
    VLOOKUP(
        $A8,
        _xlfn._xlws.FILTER(
            INDIRECT("'"&amp;O$14&amp;"'!A2:E1000"), (INDIRECT("'"&amp;O$14&amp;"'!B2:B1000")=$B8) * (INDIRECT("'"&amp;O$14&amp;"'!C2:C1000")=$C8)
        ),
        5,
        FALSE
    )=0,
    "",
    VLOOKUP(
        $A8,
        _xlfn._xlws.FILTER(
            INDIRECT("'"&amp;O$14&amp;"'!A2:E1000"), (INDIRECT("'"&amp;O$14&amp;"'!B2:B1000")=$B8) * (INDIRECT("'"&amp;O$14&amp;"'!C2:C1000")=$C8)
        ),
        5,
        FALSE
    )
)</f>
        <v>Enviado</v>
      </c>
      <c r="P8" s="100" t="str">
        <f t="array" aca="1" ref="P8" ca="1">IF(
    VLOOKUP(
        $A8,
        _xlfn._xlws.FILTER(
            INDIRECT("'"&amp;P$14&amp;"'!A2:E1000"), (INDIRECT("'"&amp;P$14&amp;"'!B2:B1000")=$B8) * (INDIRECT("'"&amp;P$14&amp;"'!C2:C1000")=$C8)
        ),
        5,
        FALSE
    )=0,
    "",
    VLOOKUP(
        $A8,
        _xlfn._xlws.FILTER(
            INDIRECT("'"&amp;P$14&amp;"'!A2:E1000"), (INDIRECT("'"&amp;P$14&amp;"'!B2:B1000")=$B8) * (INDIRECT("'"&amp;P$14&amp;"'!C2:C1000")=$C8)
        ),
        5,
        FALSE
    )
)</f>
        <v>Enviado</v>
      </c>
      <c r="Q8" s="100" t="str">
        <f t="array" ref="Q8" ca="1">IF(
    VLOOKUP(
        $A8,
        _xlfn._xlws.FILTER(
            INDIRECT("'"&amp;Q$14&amp;"'!A2:E1000"), (INDIRECT("'"&amp;Q$14&amp;"'!B2:B1000")=$B8) * (INDIRECT("'"&amp;Q$14&amp;"'!C2:C1000")=$C8)
        ),
        5,
        FALSE
    )=0,
    "",
    VLOOKUP(
        $A8,
        _xlfn._xlws.FILTER(
            INDIRECT("'"&amp;Q$14&amp;"'!A2:E1000"), (INDIRECT("'"&amp;Q$14&amp;"'!B2:B1000")=$B8) * (INDIRECT("'"&amp;Q$14&amp;"'!C2:C1000")=$C8)
        ),
        5,
        FALSE
    )
)</f>
        <v/>
      </c>
    </row>
    <row r="9" spans="1:17" x14ac:dyDescent="0.25">
      <c r="A9" s="75" t="s">
        <v>28</v>
      </c>
      <c r="B9" s="79" t="s">
        <v>94</v>
      </c>
      <c r="C9" s="79">
        <v>1</v>
      </c>
      <c r="D9" s="100" t="str">
        <f t="array" aca="1" ref="D9" ca="1">IF(
    VLOOKUP(
        $A9,
        _xlfn._xlws.FILTER(
            INDIRECT("'"&amp;D$14&amp;"'!A2:E1000"), (INDIRECT("'"&amp;D$14&amp;"'!B2:B1000")=$B9) * (INDIRECT("'"&amp;D$14&amp;"'!C2:C1000")=$C9)
        ),
        5,
        FALSE
    )=0,
    "",
    VLOOKUP(
        $A9,
        _xlfn._xlws.FILTER(
            INDIRECT("'"&amp;D$14&amp;"'!A2:E1000"), (INDIRECT("'"&amp;D$14&amp;"'!B2:B1000")=$B9) * (INDIRECT("'"&amp;D$14&amp;"'!C2:C1000")=$C9)
        ),
        5,
        FALSE
    )
)</f>
        <v>Enviado</v>
      </c>
      <c r="E9" s="100" t="str">
        <f t="array" aca="1" ref="E9" ca="1">IF(
    VLOOKUP(
        $A9,
        _xlfn._xlws.FILTER(
            INDIRECT("'"&amp;E$14&amp;"'!A2:E1000"), (INDIRECT("'"&amp;E$14&amp;"'!B2:B1000")=$B9) * (INDIRECT("'"&amp;E$14&amp;"'!C2:C1000")=$C9)
        ),
        5,
        FALSE
    )=0,
    "",
    VLOOKUP(
        $A9,
        _xlfn._xlws.FILTER(
            INDIRECT("'"&amp;E$14&amp;"'!A2:E1000"), (INDIRECT("'"&amp;E$14&amp;"'!B2:B1000")=$B9) * (INDIRECT("'"&amp;E$14&amp;"'!C2:C1000")=$C9)
        ),
        5,
        FALSE
    )
)</f>
        <v>Enviado</v>
      </c>
      <c r="F9" s="100" t="str">
        <f t="array" aca="1" ref="F9" ca="1">IF(
    VLOOKUP(
        $A9,
        _xlfn._xlws.FILTER(
            INDIRECT("'"&amp;F$14&amp;"'!A2:E1000"), (INDIRECT("'"&amp;F$14&amp;"'!B2:B1000")=$B9) * (INDIRECT("'"&amp;F$14&amp;"'!C2:C1000")=$C9)
        ),
        5,
        FALSE
    )=0,
    "",
    VLOOKUP(
        $A9,
        _xlfn._xlws.FILTER(
            INDIRECT("'"&amp;F$14&amp;"'!A2:E1000"), (INDIRECT("'"&amp;F$14&amp;"'!B2:B1000")=$B9) * (INDIRECT("'"&amp;F$14&amp;"'!C2:C1000")=$C9)
        ),
        5,
        FALSE
    )
)</f>
        <v>Enviado</v>
      </c>
      <c r="G9" s="100" t="str">
        <f t="array" aca="1" ref="G9" ca="1">IF(
    VLOOKUP(
        $A9,
        _xlfn._xlws.FILTER(
            INDIRECT("'"&amp;G$14&amp;"'!A2:E1000"), (INDIRECT("'"&amp;G$14&amp;"'!B2:B1000")=$B9) * (INDIRECT("'"&amp;G$14&amp;"'!C2:C1000")=$C9)
        ),
        5,
        FALSE
    )=0,
    "",
    VLOOKUP(
        $A9,
        _xlfn._xlws.FILTER(
            INDIRECT("'"&amp;G$14&amp;"'!A2:E1000"), (INDIRECT("'"&amp;G$14&amp;"'!B2:B1000")=$B9) * (INDIRECT("'"&amp;G$14&amp;"'!C2:C1000")=$C9)
        ),
        5,
        FALSE
    )
)</f>
        <v>Enviado</v>
      </c>
      <c r="H9" s="100" t="str">
        <f t="array" aca="1" ref="H9" ca="1">IF(
    VLOOKUP(
        $A9,
        _xlfn._xlws.FILTER(
            INDIRECT("'"&amp;H$14&amp;"'!A2:E1000"), (INDIRECT("'"&amp;H$14&amp;"'!B2:B1000")=$B9) * (INDIRECT("'"&amp;H$14&amp;"'!C2:C1000")=$C9)
        ),
        5,
        FALSE
    )=0,
    "",
    VLOOKUP(
        $A9,
        _xlfn._xlws.FILTER(
            INDIRECT("'"&amp;H$14&amp;"'!A2:E1000"), (INDIRECT("'"&amp;H$14&amp;"'!B2:B1000")=$B9) * (INDIRECT("'"&amp;H$14&amp;"'!C2:C1000")=$C9)
        ),
        5,
        FALSE
    )
)</f>
        <v>Enviado</v>
      </c>
      <c r="I9" s="100" t="str">
        <f t="array" aca="1" ref="I9" ca="1">IF(
    VLOOKUP(
        $A9,
        _xlfn._xlws.FILTER(
            INDIRECT("'"&amp;I$14&amp;"'!A2:E1000"), (INDIRECT("'"&amp;I$14&amp;"'!B2:B1000")=$B9) * (INDIRECT("'"&amp;I$14&amp;"'!C2:C1000")=$C9)
        ),
        5,
        FALSE
    )=0,
    "",
    VLOOKUP(
        $A9,
        _xlfn._xlws.FILTER(
            INDIRECT("'"&amp;I$14&amp;"'!A2:E1000"), (INDIRECT("'"&amp;I$14&amp;"'!B2:B1000")=$B9) * (INDIRECT("'"&amp;I$14&amp;"'!C2:C1000")=$C9)
        ),
        5,
        FALSE
    )
)</f>
        <v>Enviado</v>
      </c>
      <c r="J9" s="100" t="str">
        <f t="array" aca="1" ref="J9" ca="1">IF(
    VLOOKUP(
        $A9,
        _xlfn._xlws.FILTER(
            INDIRECT("'"&amp;J$14&amp;"'!A2:E1000"), (INDIRECT("'"&amp;J$14&amp;"'!B2:B1000")=$B9) * (INDIRECT("'"&amp;J$14&amp;"'!C2:C1000")=$C9)
        ),
        5,
        FALSE
    )=0,
    "",
    VLOOKUP(
        $A9,
        _xlfn._xlws.FILTER(
            INDIRECT("'"&amp;J$14&amp;"'!A2:E1000"), (INDIRECT("'"&amp;J$14&amp;"'!B2:B1000")=$B9) * (INDIRECT("'"&amp;J$14&amp;"'!C2:C1000")=$C9)
        ),
        5,
        FALSE
    )
)</f>
        <v>Enviado</v>
      </c>
      <c r="K9" s="100" t="str">
        <f t="array" aca="1" ref="K9" ca="1">IF(
    VLOOKUP(
        $A9,
        _xlfn._xlws.FILTER(
            INDIRECT("'"&amp;K$14&amp;"'!A2:E1000"), (INDIRECT("'"&amp;K$14&amp;"'!B2:B1000")=$B9) * (INDIRECT("'"&amp;K$14&amp;"'!C2:C1000")=$C9)
        ),
        5,
        FALSE
    )=0,
    "",
    VLOOKUP(
        $A9,
        _xlfn._xlws.FILTER(
            INDIRECT("'"&amp;K$14&amp;"'!A2:E1000"), (INDIRECT("'"&amp;K$14&amp;"'!B2:B1000")=$B9) * (INDIRECT("'"&amp;K$14&amp;"'!C2:C1000")=$C9)
        ),
        5,
        FALSE
    )
)</f>
        <v>Enviado</v>
      </c>
      <c r="L9" s="100" t="str">
        <f t="array" aca="1" ref="L9" ca="1">IF(
    VLOOKUP(
        $A9,
        _xlfn._xlws.FILTER(
            INDIRECT("'"&amp;L$14&amp;"'!A2:E1000"), (INDIRECT("'"&amp;L$14&amp;"'!B2:B1000")=$B9) * (INDIRECT("'"&amp;L$14&amp;"'!C2:C1000")=$C9)
        ),
        5,
        FALSE
    )=0,
    "",
    VLOOKUP(
        $A9,
        _xlfn._xlws.FILTER(
            INDIRECT("'"&amp;L$14&amp;"'!A2:E1000"), (INDIRECT("'"&amp;L$14&amp;"'!B2:B1000")=$B9) * (INDIRECT("'"&amp;L$14&amp;"'!C2:C1000")=$C9)
        ),
        5,
        FALSE
    )
)</f>
        <v>Enviado</v>
      </c>
      <c r="M9" s="100" t="str">
        <f t="array" aca="1" ref="M9" ca="1">IF(
    VLOOKUP(
        $A9,
        _xlfn._xlws.FILTER(
            INDIRECT("'"&amp;M$14&amp;"'!A2:E1000"), (INDIRECT("'"&amp;M$14&amp;"'!B2:B1000")=$B9) * (INDIRECT("'"&amp;M$14&amp;"'!C2:C1000")=$C9)
        ),
        5,
        FALSE
    )=0,
    "",
    VLOOKUP(
        $A9,
        _xlfn._xlws.FILTER(
            INDIRECT("'"&amp;M$14&amp;"'!A2:E1000"), (INDIRECT("'"&amp;M$14&amp;"'!B2:B1000")=$B9) * (INDIRECT("'"&amp;M$14&amp;"'!C2:C1000")=$C9)
        ),
        5,
        FALSE
    )
)</f>
        <v>Enviado</v>
      </c>
      <c r="N9" s="100" t="str">
        <f t="array" aca="1" ref="N9" ca="1">IF(
    VLOOKUP(
        $A9,
        _xlfn._xlws.FILTER(
            INDIRECT("'"&amp;N$14&amp;"'!A2:E1000"), (INDIRECT("'"&amp;N$14&amp;"'!B2:B1000")=$B9) * (INDIRECT("'"&amp;N$14&amp;"'!C2:C1000")=$C9)
        ),
        5,
        FALSE
    )=0,
    "",
    VLOOKUP(
        $A9,
        _xlfn._xlws.FILTER(
            INDIRECT("'"&amp;N$14&amp;"'!A2:E1000"), (INDIRECT("'"&amp;N$14&amp;"'!B2:B1000")=$B9) * (INDIRECT("'"&amp;N$14&amp;"'!C2:C1000")=$C9)
        ),
        5,
        FALSE
    )
)</f>
        <v>Enviado</v>
      </c>
      <c r="O9" s="100" t="str">
        <f t="array" aca="1" ref="O9" ca="1">IF(
    VLOOKUP(
        $A9,
        _xlfn._xlws.FILTER(
            INDIRECT("'"&amp;O$14&amp;"'!A2:E1000"), (INDIRECT("'"&amp;O$14&amp;"'!B2:B1000")=$B9) * (INDIRECT("'"&amp;O$14&amp;"'!C2:C1000")=$C9)
        ),
        5,
        FALSE
    )=0,
    "",
    VLOOKUP(
        $A9,
        _xlfn._xlws.FILTER(
            INDIRECT("'"&amp;O$14&amp;"'!A2:E1000"), (INDIRECT("'"&amp;O$14&amp;"'!B2:B1000")=$B9) * (INDIRECT("'"&amp;O$14&amp;"'!C2:C1000")=$C9)
        ),
        5,
        FALSE
    )
)</f>
        <v>Enviado</v>
      </c>
      <c r="P9" s="100" t="str">
        <f t="array" aca="1" ref="P9" ca="1">IF(
    VLOOKUP(
        $A9,
        _xlfn._xlws.FILTER(
            INDIRECT("'"&amp;P$14&amp;"'!A2:E1000"), (INDIRECT("'"&amp;P$14&amp;"'!B2:B1000")=$B9) * (INDIRECT("'"&amp;P$14&amp;"'!C2:C1000")=$C9)
        ),
        5,
        FALSE
    )=0,
    "",
    VLOOKUP(
        $A9,
        _xlfn._xlws.FILTER(
            INDIRECT("'"&amp;P$14&amp;"'!A2:E1000"), (INDIRECT("'"&amp;P$14&amp;"'!B2:B1000")=$B9) * (INDIRECT("'"&amp;P$14&amp;"'!C2:C1000")=$C9)
        ),
        5,
        FALSE
    )
)</f>
        <v>Enviado</v>
      </c>
      <c r="Q9" s="100" t="str">
        <f t="array" aca="1" ref="Q9" ca="1">IF(
    VLOOKUP(
        $A9,
        _xlfn._xlws.FILTER(
            INDIRECT("'"&amp;Q$14&amp;"'!A2:E1000"), (INDIRECT("'"&amp;Q$14&amp;"'!B2:B1000")=$B9) * (INDIRECT("'"&amp;Q$14&amp;"'!C2:C1000")=$C9)
        ),
        5,
        FALSE
    )=0,
    "",
    VLOOKUP(
        $A9,
        _xlfn._xlws.FILTER(
            INDIRECT("'"&amp;Q$14&amp;"'!A2:E1000"), (INDIRECT("'"&amp;Q$14&amp;"'!B2:B1000")=$B9) * (INDIRECT("'"&amp;Q$14&amp;"'!C2:C1000")=$C9)
        ),
        5,
        FALSE
    )
)</f>
        <v/>
      </c>
    </row>
    <row r="10" spans="1:17" x14ac:dyDescent="0.25">
      <c r="A10" s="75" t="s">
        <v>28</v>
      </c>
      <c r="B10" s="79" t="s">
        <v>95</v>
      </c>
      <c r="C10" s="79">
        <v>1</v>
      </c>
      <c r="D10" s="100" t="str">
        <f t="array" aca="1" ref="D10" ca="1">IF(
    VLOOKUP(
        $A10,
        _xlfn._xlws.FILTER(
            INDIRECT("'"&amp;D$14&amp;"'!A2:E1000"), (INDIRECT("'"&amp;D$14&amp;"'!B2:B1000")=$B10) * (INDIRECT("'"&amp;D$14&amp;"'!C2:C1000")=$C10)
        ),
        5,
        FALSE
    )=0,
    "",
    VLOOKUP(
        $A10,
        _xlfn._xlws.FILTER(
            INDIRECT("'"&amp;D$14&amp;"'!A2:E1000"), (INDIRECT("'"&amp;D$14&amp;"'!B2:B1000")=$B10) * (INDIRECT("'"&amp;D$14&amp;"'!C2:C1000")=$C10)
        ),
        5,
        FALSE
    )
)</f>
        <v>Enviado</v>
      </c>
      <c r="E10" s="100" t="str">
        <f t="array" aca="1" ref="E10" ca="1">IF(
    VLOOKUP(
        $A10,
        _xlfn._xlws.FILTER(
            INDIRECT("'"&amp;E$14&amp;"'!A2:E1000"), (INDIRECT("'"&amp;E$14&amp;"'!B2:B1000")=$B10) * (INDIRECT("'"&amp;E$14&amp;"'!C2:C1000")=$C10)
        ),
        5,
        FALSE
    )=0,
    "",
    VLOOKUP(
        $A10,
        _xlfn._xlws.FILTER(
            INDIRECT("'"&amp;E$14&amp;"'!A2:E1000"), (INDIRECT("'"&amp;E$14&amp;"'!B2:B1000")=$B10) * (INDIRECT("'"&amp;E$14&amp;"'!C2:C1000")=$C10)
        ),
        5,
        FALSE
    )
)</f>
        <v>Enviado</v>
      </c>
      <c r="F10" s="100" t="str">
        <f t="array" aca="1" ref="F10" ca="1">IF(
    VLOOKUP(
        $A10,
        _xlfn._xlws.FILTER(
            INDIRECT("'"&amp;F$14&amp;"'!A2:E1000"), (INDIRECT("'"&amp;F$14&amp;"'!B2:B1000")=$B10) * (INDIRECT("'"&amp;F$14&amp;"'!C2:C1000")=$C10)
        ),
        5,
        FALSE
    )=0,
    "",
    VLOOKUP(
        $A10,
        _xlfn._xlws.FILTER(
            INDIRECT("'"&amp;F$14&amp;"'!A2:E1000"), (INDIRECT("'"&amp;F$14&amp;"'!B2:B1000")=$B10) * (INDIRECT("'"&amp;F$14&amp;"'!C2:C1000")=$C10)
        ),
        5,
        FALSE
    )
)</f>
        <v>Enviado</v>
      </c>
      <c r="G10" s="100" t="str">
        <f t="array" aca="1" ref="G10" ca="1">IF(
    VLOOKUP(
        $A10,
        _xlfn._xlws.FILTER(
            INDIRECT("'"&amp;G$14&amp;"'!A2:E1000"), (INDIRECT("'"&amp;G$14&amp;"'!B2:B1000")=$B10) * (INDIRECT("'"&amp;G$14&amp;"'!C2:C1000")=$C10)
        ),
        5,
        FALSE
    )=0,
    "",
    VLOOKUP(
        $A10,
        _xlfn._xlws.FILTER(
            INDIRECT("'"&amp;G$14&amp;"'!A2:E1000"), (INDIRECT("'"&amp;G$14&amp;"'!B2:B1000")=$B10) * (INDIRECT("'"&amp;G$14&amp;"'!C2:C1000")=$C10)
        ),
        5,
        FALSE
    )
)</f>
        <v>Enviado</v>
      </c>
      <c r="H10" s="100" t="str">
        <f t="array" ref="H10" ca="1">IF(
    VLOOKUP(
        $A10,
        _xlfn._xlws.FILTER(
            INDIRECT("'"&amp;H$14&amp;"'!A2:E1000"), (INDIRECT("'"&amp;H$14&amp;"'!B2:B1000")=$B10) * (INDIRECT("'"&amp;H$14&amp;"'!C2:C1000")=$C10)
        ),
        5,
        FALSE
    )=0,
    "",
    VLOOKUP(
        $A10,
        _xlfn._xlws.FILTER(
            INDIRECT("'"&amp;H$14&amp;"'!A2:E1000"), (INDIRECT("'"&amp;H$14&amp;"'!B2:B1000")=$B10) * (INDIRECT("'"&amp;H$14&amp;"'!C2:C1000")=$C10)
        ),
        5,
        FALSE
    )
)</f>
        <v>Enviado</v>
      </c>
      <c r="I10" s="100" t="str">
        <f t="array" aca="1" ref="I10" ca="1">IF(
    VLOOKUP(
        $A10,
        _xlfn._xlws.FILTER(
            INDIRECT("'"&amp;I$14&amp;"'!A2:E1000"), (INDIRECT("'"&amp;I$14&amp;"'!B2:B1000")=$B10) * (INDIRECT("'"&amp;I$14&amp;"'!C2:C1000")=$C10)
        ),
        5,
        FALSE
    )=0,
    "",
    VLOOKUP(
        $A10,
        _xlfn._xlws.FILTER(
            INDIRECT("'"&amp;I$14&amp;"'!A2:E1000"), (INDIRECT("'"&amp;I$14&amp;"'!B2:B1000")=$B10) * (INDIRECT("'"&amp;I$14&amp;"'!C2:C1000")=$C10)
        ),
        5,
        FALSE
    )
)</f>
        <v>Enviado</v>
      </c>
      <c r="J10" s="100" t="str">
        <f t="array" aca="1" ref="J10" ca="1">IF(
    VLOOKUP(
        $A10,
        _xlfn._xlws.FILTER(
            INDIRECT("'"&amp;J$14&amp;"'!A2:E1000"), (INDIRECT("'"&amp;J$14&amp;"'!B2:B1000")=$B10) * (INDIRECT("'"&amp;J$14&amp;"'!C2:C1000")=$C10)
        ),
        5,
        FALSE
    )=0,
    "",
    VLOOKUP(
        $A10,
        _xlfn._xlws.FILTER(
            INDIRECT("'"&amp;J$14&amp;"'!A2:E1000"), (INDIRECT("'"&amp;J$14&amp;"'!B2:B1000")=$B10) * (INDIRECT("'"&amp;J$14&amp;"'!C2:C1000")=$C10)
        ),
        5,
        FALSE
    )
)</f>
        <v>Enviado</v>
      </c>
      <c r="K10" s="100" t="str">
        <f t="array" aca="1" ref="K10" ca="1">IF(
    VLOOKUP(
        $A10,
        _xlfn._xlws.FILTER(
            INDIRECT("'"&amp;K$14&amp;"'!A2:E1000"), (INDIRECT("'"&amp;K$14&amp;"'!B2:B1000")=$B10) * (INDIRECT("'"&amp;K$14&amp;"'!C2:C1000")=$C10)
        ),
        5,
        FALSE
    )=0,
    "",
    VLOOKUP(
        $A10,
        _xlfn._xlws.FILTER(
            INDIRECT("'"&amp;K$14&amp;"'!A2:E1000"), (INDIRECT("'"&amp;K$14&amp;"'!B2:B1000")=$B10) * (INDIRECT("'"&amp;K$14&amp;"'!C2:C1000")=$C10)
        ),
        5,
        FALSE
    )
)</f>
        <v>Enviado</v>
      </c>
      <c r="L10" s="100" t="str">
        <f t="array" aca="1" ref="L10" ca="1">IF(
    VLOOKUP(
        $A10,
        _xlfn._xlws.FILTER(
            INDIRECT("'"&amp;L$14&amp;"'!A2:E1000"), (INDIRECT("'"&amp;L$14&amp;"'!B2:B1000")=$B10) * (INDIRECT("'"&amp;L$14&amp;"'!C2:C1000")=$C10)
        ),
        5,
        FALSE
    )=0,
    "",
    VLOOKUP(
        $A10,
        _xlfn._xlws.FILTER(
            INDIRECT("'"&amp;L$14&amp;"'!A2:E1000"), (INDIRECT("'"&amp;L$14&amp;"'!B2:B1000")=$B10) * (INDIRECT("'"&amp;L$14&amp;"'!C2:C1000")=$C10)
        ),
        5,
        FALSE
    )
)</f>
        <v>Enviado</v>
      </c>
      <c r="M10" s="100" t="str">
        <f t="array" aca="1" ref="M10" ca="1">IF(
    VLOOKUP(
        $A10,
        _xlfn._xlws.FILTER(
            INDIRECT("'"&amp;M$14&amp;"'!A2:E1000"), (INDIRECT("'"&amp;M$14&amp;"'!B2:B1000")=$B10) * (INDIRECT("'"&amp;M$14&amp;"'!C2:C1000")=$C10)
        ),
        5,
        FALSE
    )=0,
    "",
    VLOOKUP(
        $A10,
        _xlfn._xlws.FILTER(
            INDIRECT("'"&amp;M$14&amp;"'!A2:E1000"), (INDIRECT("'"&amp;M$14&amp;"'!B2:B1000")=$B10) * (INDIRECT("'"&amp;M$14&amp;"'!C2:C1000")=$C10)
        ),
        5,
        FALSE
    )
)</f>
        <v>Enviado</v>
      </c>
      <c r="N10" s="100" t="str">
        <f t="array" aca="1" ref="N10" ca="1">IF(
    VLOOKUP(
        $A10,
        _xlfn._xlws.FILTER(
            INDIRECT("'"&amp;N$14&amp;"'!A2:E1000"), (INDIRECT("'"&amp;N$14&amp;"'!B2:B1000")=$B10) * (INDIRECT("'"&amp;N$14&amp;"'!C2:C1000")=$C10)
        ),
        5,
        FALSE
    )=0,
    "",
    VLOOKUP(
        $A10,
        _xlfn._xlws.FILTER(
            INDIRECT("'"&amp;N$14&amp;"'!A2:E1000"), (INDIRECT("'"&amp;N$14&amp;"'!B2:B1000")=$B10) * (INDIRECT("'"&amp;N$14&amp;"'!C2:C1000")=$C10)
        ),
        5,
        FALSE
    )
)</f>
        <v>Enviado</v>
      </c>
      <c r="O10" s="100" t="str">
        <f t="array" aca="1" ref="O10" ca="1">IF(
    VLOOKUP(
        $A10,
        _xlfn._xlws.FILTER(
            INDIRECT("'"&amp;O$14&amp;"'!A2:E1000"), (INDIRECT("'"&amp;O$14&amp;"'!B2:B1000")=$B10) * (INDIRECT("'"&amp;O$14&amp;"'!C2:C1000")=$C10)
        ),
        5,
        FALSE
    )=0,
    "",
    VLOOKUP(
        $A10,
        _xlfn._xlws.FILTER(
            INDIRECT("'"&amp;O$14&amp;"'!A2:E1000"), (INDIRECT("'"&amp;O$14&amp;"'!B2:B1000")=$B10) * (INDIRECT("'"&amp;O$14&amp;"'!C2:C1000")=$C10)
        ),
        5,
        FALSE
    )
)</f>
        <v>Enviado</v>
      </c>
      <c r="P10" s="100" t="str">
        <f t="array" aca="1" ref="P10" ca="1">IF(
    VLOOKUP(
        $A10,
        _xlfn._xlws.FILTER(
            INDIRECT("'"&amp;P$14&amp;"'!A2:E1000"), (INDIRECT("'"&amp;P$14&amp;"'!B2:B1000")=$B10) * (INDIRECT("'"&amp;P$14&amp;"'!C2:C1000")=$C10)
        ),
        5,
        FALSE
    )=0,
    "",
    VLOOKUP(
        $A10,
        _xlfn._xlws.FILTER(
            INDIRECT("'"&amp;P$14&amp;"'!A2:E1000"), (INDIRECT("'"&amp;P$14&amp;"'!B2:B1000")=$B10) * (INDIRECT("'"&amp;P$14&amp;"'!C2:C1000")=$C10)
        ),
        5,
        FALSE
    )
)</f>
        <v>Enviado</v>
      </c>
      <c r="Q10" s="100" t="str">
        <f t="array" aca="1" ref="Q10" ca="1">IF(
    VLOOKUP(
        $A10,
        _xlfn._xlws.FILTER(
            INDIRECT("'"&amp;Q$14&amp;"'!A2:E1000"), (INDIRECT("'"&amp;Q$14&amp;"'!B2:B1000")=$B10) * (INDIRECT("'"&amp;Q$14&amp;"'!C2:C1000")=$C10)
        ),
        5,
        FALSE
    )=0,
    "",
    VLOOKUP(
        $A10,
        _xlfn._xlws.FILTER(
            INDIRECT("'"&amp;Q$14&amp;"'!A2:E1000"), (INDIRECT("'"&amp;Q$14&amp;"'!B2:B1000")=$B10) * (INDIRECT("'"&amp;Q$14&amp;"'!C2:C1000")=$C10)
        ),
        5,
        FALSE
    )
)</f>
        <v/>
      </c>
    </row>
    <row r="11" spans="1:17" x14ac:dyDescent="0.25">
      <c r="A11" s="75" t="s">
        <v>28</v>
      </c>
      <c r="B11" s="79" t="s">
        <v>96</v>
      </c>
      <c r="C11" s="79">
        <v>1</v>
      </c>
      <c r="D11" s="100" t="str">
        <f t="array" aca="1" ref="D11" ca="1">IF(
    VLOOKUP(
        $A11,
        _xlfn._xlws.FILTER(
            INDIRECT("'"&amp;D$14&amp;"'!A2:E1000"), (INDIRECT("'"&amp;D$14&amp;"'!B2:B1000")=$B11) * (INDIRECT("'"&amp;D$14&amp;"'!C2:C1000")=$C11)
        ),
        5,
        FALSE
    )=0,
    "",
    VLOOKUP(
        $A11,
        _xlfn._xlws.FILTER(
            INDIRECT("'"&amp;D$14&amp;"'!A2:E1000"), (INDIRECT("'"&amp;D$14&amp;"'!B2:B1000")=$B11) * (INDIRECT("'"&amp;D$14&amp;"'!C2:C1000")=$C11)
        ),
        5,
        FALSE
    )
)</f>
        <v>Enviado</v>
      </c>
      <c r="E11" s="100" t="str">
        <f t="array" aca="1" ref="E11" ca="1">IF(
    VLOOKUP(
        $A11,
        _xlfn._xlws.FILTER(
            INDIRECT("'"&amp;E$14&amp;"'!A2:E1000"), (INDIRECT("'"&amp;E$14&amp;"'!B2:B1000")=$B11) * (INDIRECT("'"&amp;E$14&amp;"'!C2:C1000")=$C11)
        ),
        5,
        FALSE
    )=0,
    "",
    VLOOKUP(
        $A11,
        _xlfn._xlws.FILTER(
            INDIRECT("'"&amp;E$14&amp;"'!A2:E1000"), (INDIRECT("'"&amp;E$14&amp;"'!B2:B1000")=$B11) * (INDIRECT("'"&amp;E$14&amp;"'!C2:C1000")=$C11)
        ),
        5,
        FALSE
    )
)</f>
        <v>Enviado</v>
      </c>
      <c r="F11" s="100" t="str">
        <f t="array" aca="1" ref="F11" ca="1">IF(
    VLOOKUP(
        $A11,
        _xlfn._xlws.FILTER(
            INDIRECT("'"&amp;F$14&amp;"'!A2:E1000"), (INDIRECT("'"&amp;F$14&amp;"'!B2:B1000")=$B11) * (INDIRECT("'"&amp;F$14&amp;"'!C2:C1000")=$C11)
        ),
        5,
        FALSE
    )=0,
    "",
    VLOOKUP(
        $A11,
        _xlfn._xlws.FILTER(
            INDIRECT("'"&amp;F$14&amp;"'!A2:E1000"), (INDIRECT("'"&amp;F$14&amp;"'!B2:B1000")=$B11) * (INDIRECT("'"&amp;F$14&amp;"'!C2:C1000")=$C11)
        ),
        5,
        FALSE
    )
)</f>
        <v>Enviado</v>
      </c>
      <c r="G11" s="100" t="str">
        <f t="array" ref="G11" ca="1">IF(
    VLOOKUP(
        $A11,
        _xlfn._xlws.FILTER(
            INDIRECT("'"&amp;G$14&amp;"'!A2:E1000"), (INDIRECT("'"&amp;G$14&amp;"'!B2:B1000")=$B11) * (INDIRECT("'"&amp;G$14&amp;"'!C2:C1000")=$C11)
        ),
        5,
        FALSE
    )=0,
    "",
    VLOOKUP(
        $A11,
        _xlfn._xlws.FILTER(
            INDIRECT("'"&amp;G$14&amp;"'!A2:E1000"), (INDIRECT("'"&amp;G$14&amp;"'!B2:B1000")=$B11) * (INDIRECT("'"&amp;G$14&amp;"'!C2:C1000")=$C11)
        ),
        5,
        FALSE
    )
)</f>
        <v>Enviado</v>
      </c>
      <c r="H11" s="100" t="str">
        <f t="array" aca="1" ref="H11" ca="1">IF(
    VLOOKUP(
        $A11,
        _xlfn._xlws.FILTER(
            INDIRECT("'"&amp;H$14&amp;"'!A2:E1000"), (INDIRECT("'"&amp;H$14&amp;"'!B2:B1000")=$B11) * (INDIRECT("'"&amp;H$14&amp;"'!C2:C1000")=$C11)
        ),
        5,
        FALSE
    )=0,
    "",
    VLOOKUP(
        $A11,
        _xlfn._xlws.FILTER(
            INDIRECT("'"&amp;H$14&amp;"'!A2:E1000"), (INDIRECT("'"&amp;H$14&amp;"'!B2:B1000")=$B11) * (INDIRECT("'"&amp;H$14&amp;"'!C2:C1000")=$C11)
        ),
        5,
        FALSE
    )
)</f>
        <v>Enviado</v>
      </c>
      <c r="I11" s="100" t="str">
        <f t="array" aca="1" ref="I11" ca="1">IF(
    VLOOKUP(
        $A11,
        _xlfn._xlws.FILTER(
            INDIRECT("'"&amp;I$14&amp;"'!A2:E1000"), (INDIRECT("'"&amp;I$14&amp;"'!B2:B1000")=$B11) * (INDIRECT("'"&amp;I$14&amp;"'!C2:C1000")=$C11)
        ),
        5,
        FALSE
    )=0,
    "",
    VLOOKUP(
        $A11,
        _xlfn._xlws.FILTER(
            INDIRECT("'"&amp;I$14&amp;"'!A2:E1000"), (INDIRECT("'"&amp;I$14&amp;"'!B2:B1000")=$B11) * (INDIRECT("'"&amp;I$14&amp;"'!C2:C1000")=$C11)
        ),
        5,
        FALSE
    )
)</f>
        <v>Enviado</v>
      </c>
      <c r="J11" s="100" t="str">
        <f t="array" aca="1" ref="J11" ca="1">IF(
    VLOOKUP(
        $A11,
        _xlfn._xlws.FILTER(
            INDIRECT("'"&amp;J$14&amp;"'!A2:E1000"), (INDIRECT("'"&amp;J$14&amp;"'!B2:B1000")=$B11) * (INDIRECT("'"&amp;J$14&amp;"'!C2:C1000")=$C11)
        ),
        5,
        FALSE
    )=0,
    "",
    VLOOKUP(
        $A11,
        _xlfn._xlws.FILTER(
            INDIRECT("'"&amp;J$14&amp;"'!A2:E1000"), (INDIRECT("'"&amp;J$14&amp;"'!B2:B1000")=$B11) * (INDIRECT("'"&amp;J$14&amp;"'!C2:C1000")=$C11)
        ),
        5,
        FALSE
    )
)</f>
        <v>Enviado</v>
      </c>
      <c r="K11" s="100" t="str">
        <f t="array" aca="1" ref="K11" ca="1">IF(
    VLOOKUP(
        $A11,
        _xlfn._xlws.FILTER(
            INDIRECT("'"&amp;K$14&amp;"'!A2:E1000"), (INDIRECT("'"&amp;K$14&amp;"'!B2:B1000")=$B11) * (INDIRECT("'"&amp;K$14&amp;"'!C2:C1000")=$C11)
        ),
        5,
        FALSE
    )=0,
    "",
    VLOOKUP(
        $A11,
        _xlfn._xlws.FILTER(
            INDIRECT("'"&amp;K$14&amp;"'!A2:E1000"), (INDIRECT("'"&amp;K$14&amp;"'!B2:B1000")=$B11) * (INDIRECT("'"&amp;K$14&amp;"'!C2:C1000")=$C11)
        ),
        5,
        FALSE
    )
)</f>
        <v>Enviado</v>
      </c>
      <c r="L11" s="100" t="str">
        <f t="array" aca="1" ref="L11" ca="1">IF(
    VLOOKUP(
        $A11,
        _xlfn._xlws.FILTER(
            INDIRECT("'"&amp;L$14&amp;"'!A2:E1000"), (INDIRECT("'"&amp;L$14&amp;"'!B2:B1000")=$B11) * (INDIRECT("'"&amp;L$14&amp;"'!C2:C1000")=$C11)
        ),
        5,
        FALSE
    )=0,
    "",
    VLOOKUP(
        $A11,
        _xlfn._xlws.FILTER(
            INDIRECT("'"&amp;L$14&amp;"'!A2:E1000"), (INDIRECT("'"&amp;L$14&amp;"'!B2:B1000")=$B11) * (INDIRECT("'"&amp;L$14&amp;"'!C2:C1000")=$C11)
        ),
        5,
        FALSE
    )
)</f>
        <v>Enviado</v>
      </c>
      <c r="M11" s="100" t="str">
        <f t="array" aca="1" ref="M11" ca="1">IF(
    VLOOKUP(
        $A11,
        _xlfn._xlws.FILTER(
            INDIRECT("'"&amp;M$14&amp;"'!A2:E1000"), (INDIRECT("'"&amp;M$14&amp;"'!B2:B1000")=$B11) * (INDIRECT("'"&amp;M$14&amp;"'!C2:C1000")=$C11)
        ),
        5,
        FALSE
    )=0,
    "",
    VLOOKUP(
        $A11,
        _xlfn._xlws.FILTER(
            INDIRECT("'"&amp;M$14&amp;"'!A2:E1000"), (INDIRECT("'"&amp;M$14&amp;"'!B2:B1000")=$B11) * (INDIRECT("'"&amp;M$14&amp;"'!C2:C1000")=$C11)
        ),
        5,
        FALSE
    )
)</f>
        <v>Enviado</v>
      </c>
      <c r="N11" s="100" t="str">
        <f t="array" aca="1" ref="N11" ca="1">IF(
    VLOOKUP(
        $A11,
        _xlfn._xlws.FILTER(
            INDIRECT("'"&amp;N$14&amp;"'!A2:E1000"), (INDIRECT("'"&amp;N$14&amp;"'!B2:B1000")=$B11) * (INDIRECT("'"&amp;N$14&amp;"'!C2:C1000")=$C11)
        ),
        5,
        FALSE
    )=0,
    "",
    VLOOKUP(
        $A11,
        _xlfn._xlws.FILTER(
            INDIRECT("'"&amp;N$14&amp;"'!A2:E1000"), (INDIRECT("'"&amp;N$14&amp;"'!B2:B1000")=$B11) * (INDIRECT("'"&amp;N$14&amp;"'!C2:C1000")=$C11)
        ),
        5,
        FALSE
    )
)</f>
        <v>Enviado</v>
      </c>
      <c r="O11" s="100" t="str">
        <f t="array" aca="1" ref="O11" ca="1">IF(
    VLOOKUP(
        $A11,
        _xlfn._xlws.FILTER(
            INDIRECT("'"&amp;O$14&amp;"'!A2:E1000"), (INDIRECT("'"&amp;O$14&amp;"'!B2:B1000")=$B11) * (INDIRECT("'"&amp;O$14&amp;"'!C2:C1000")=$C11)
        ),
        5,
        FALSE
    )=0,
    "",
    VLOOKUP(
        $A11,
        _xlfn._xlws.FILTER(
            INDIRECT("'"&amp;O$14&amp;"'!A2:E1000"), (INDIRECT("'"&amp;O$14&amp;"'!B2:B1000")=$B11) * (INDIRECT("'"&amp;O$14&amp;"'!C2:C1000")=$C11)
        ),
        5,
        FALSE
    )
)</f>
        <v>Enviado</v>
      </c>
      <c r="P11" s="100" t="str">
        <f t="array" aca="1" ref="P11" ca="1">IF(
    VLOOKUP(
        $A11,
        _xlfn._xlws.FILTER(
            INDIRECT("'"&amp;P$14&amp;"'!A2:E1000"), (INDIRECT("'"&amp;P$14&amp;"'!B2:B1000")=$B11) * (INDIRECT("'"&amp;P$14&amp;"'!C2:C1000")=$C11)
        ),
        5,
        FALSE
    )=0,
    "",
    VLOOKUP(
        $A11,
        _xlfn._xlws.FILTER(
            INDIRECT("'"&amp;P$14&amp;"'!A2:E1000"), (INDIRECT("'"&amp;P$14&amp;"'!B2:B1000")=$B11) * (INDIRECT("'"&amp;P$14&amp;"'!C2:C1000")=$C11)
        ),
        5,
        FALSE
    )
)</f>
        <v>Enviado</v>
      </c>
      <c r="Q11" s="100" t="str">
        <f t="array" aca="1" ref="Q11" ca="1">IF(
    VLOOKUP(
        $A11,
        _xlfn._xlws.FILTER(
            INDIRECT("'"&amp;Q$14&amp;"'!A2:E1000"), (INDIRECT("'"&amp;Q$14&amp;"'!B2:B1000")=$B11) * (INDIRECT("'"&amp;Q$14&amp;"'!C2:C1000")=$C11)
        ),
        5,
        FALSE
    )=0,
    "",
    VLOOKUP(
        $A11,
        _xlfn._xlws.FILTER(
            INDIRECT("'"&amp;Q$14&amp;"'!A2:E1000"), (INDIRECT("'"&amp;Q$14&amp;"'!B2:B1000")=$B11) * (INDIRECT("'"&amp;Q$14&amp;"'!C2:C1000")=$C11)
        ),
        5,
        FALSE
    )
)</f>
        <v/>
      </c>
    </row>
    <row r="12" spans="1:17" x14ac:dyDescent="0.25">
      <c r="A12" s="75" t="s">
        <v>28</v>
      </c>
      <c r="B12" s="79" t="s">
        <v>85</v>
      </c>
      <c r="C12" s="79">
        <v>1</v>
      </c>
      <c r="D12" s="100" t="str">
        <f t="array" aca="1" ref="D12" ca="1">IF(
    VLOOKUP(
        $A12,
        _xlfn._xlws.FILTER(
            INDIRECT("'"&amp;D$14&amp;"'!A2:E1000"), (INDIRECT("'"&amp;D$14&amp;"'!B2:B1000")=$B12) * (INDIRECT("'"&amp;D$14&amp;"'!C2:C1000")=$C12)
        ),
        5,
        FALSE
    )=0,
    "",
    VLOOKUP(
        $A12,
        _xlfn._xlws.FILTER(
            INDIRECT("'"&amp;D$14&amp;"'!A2:E1000"), (INDIRECT("'"&amp;D$14&amp;"'!B2:B1000")=$B12) * (INDIRECT("'"&amp;D$14&amp;"'!C2:C1000")=$C12)
        ),
        5,
        FALSE
    )
)</f>
        <v>Enviado</v>
      </c>
      <c r="E12" s="100" t="str">
        <f t="array" aca="1" ref="E12" ca="1">IF(
    VLOOKUP(
        $A12,
        _xlfn._xlws.FILTER(
            INDIRECT("'"&amp;E$14&amp;"'!A2:E1000"), (INDIRECT("'"&amp;E$14&amp;"'!B2:B1000")=$B12) * (INDIRECT("'"&amp;E$14&amp;"'!C2:C1000")=$C12)
        ),
        5,
        FALSE
    )=0,
    "",
    VLOOKUP(
        $A12,
        _xlfn._xlws.FILTER(
            INDIRECT("'"&amp;E$14&amp;"'!A2:E1000"), (INDIRECT("'"&amp;E$14&amp;"'!B2:B1000")=$B12) * (INDIRECT("'"&amp;E$14&amp;"'!C2:C1000")=$C12)
        ),
        5,
        FALSE
    )
)</f>
        <v>Enviado</v>
      </c>
      <c r="F12" s="101" t="str">
        <f t="array" aca="1" ref="F12" ca="1">IF(
    VLOOKUP(
        $A12,
        _xlfn._xlws.FILTER(
            INDIRECT("'"&amp;F$14&amp;"'!A2:E1000"), (INDIRECT("'"&amp;F$14&amp;"'!B2:B1000")=$B12) * (INDIRECT("'"&amp;F$14&amp;"'!C2:C1000")=$C12)
        ),
        5,
        FALSE
    )=0,
    "",
    VLOOKUP(
        $A12,
        _xlfn._xlws.FILTER(
            INDIRECT("'"&amp;F$14&amp;"'!A2:E1000"), (INDIRECT("'"&amp;F$14&amp;"'!B2:B1000")=$B12) * (INDIRECT("'"&amp;F$14&amp;"'!C2:C1000")=$C12)
        ),
        5,
        FALSE
    )
)</f>
        <v>Enviado</v>
      </c>
      <c r="G12" s="100" t="str">
        <f t="array" aca="1" ref="G12" ca="1">IF(
    VLOOKUP(
        $A12,
        _xlfn._xlws.FILTER(
            INDIRECT("'"&amp;G$14&amp;"'!A2:E1000"), (INDIRECT("'"&amp;G$14&amp;"'!B2:B1000")=$B12) * (INDIRECT("'"&amp;G$14&amp;"'!C2:C1000")=$C12)
        ),
        5,
        FALSE
    )=0,
    "",
    VLOOKUP(
        $A12,
        _xlfn._xlws.FILTER(
            INDIRECT("'"&amp;G$14&amp;"'!A2:E1000"), (INDIRECT("'"&amp;G$14&amp;"'!B2:B1000")=$B12) * (INDIRECT("'"&amp;G$14&amp;"'!C2:C1000")=$C12)
        ),
        5,
        FALSE
    )
)</f>
        <v>Enviado</v>
      </c>
      <c r="H12" s="100" t="str">
        <f t="array" aca="1" ref="H12" ca="1">IF(
    VLOOKUP(
        $A12,
        _xlfn._xlws.FILTER(
            INDIRECT("'"&amp;H$14&amp;"'!A2:E1000"), (INDIRECT("'"&amp;H$14&amp;"'!B2:B1000")=$B12) * (INDIRECT("'"&amp;H$14&amp;"'!C2:C1000")=$C12)
        ),
        5,
        FALSE
    )=0,
    "",
    VLOOKUP(
        $A12,
        _xlfn._xlws.FILTER(
            INDIRECT("'"&amp;H$14&amp;"'!A2:E1000"), (INDIRECT("'"&amp;H$14&amp;"'!B2:B1000")=$B12) * (INDIRECT("'"&amp;H$14&amp;"'!C2:C1000")=$C12)
        ),
        5,
        FALSE
    )
)</f>
        <v>Enviado</v>
      </c>
      <c r="I12" s="100" t="str">
        <f t="array" aca="1" ref="I12" ca="1">IF(
    VLOOKUP(
        $A12,
        _xlfn._xlws.FILTER(
            INDIRECT("'"&amp;I$14&amp;"'!A2:E1000"), (INDIRECT("'"&amp;I$14&amp;"'!B2:B1000")=$B12) * (INDIRECT("'"&amp;I$14&amp;"'!C2:C1000")=$C12)
        ),
        5,
        FALSE
    )=0,
    "",
    VLOOKUP(
        $A12,
        _xlfn._xlws.FILTER(
            INDIRECT("'"&amp;I$14&amp;"'!A2:E1000"), (INDIRECT("'"&amp;I$14&amp;"'!B2:B1000")=$B12) * (INDIRECT("'"&amp;I$14&amp;"'!C2:C1000")=$C12)
        ),
        5,
        FALSE
    )
)</f>
        <v>Enviado</v>
      </c>
      <c r="J12" s="100" t="str">
        <f t="array" aca="1" ref="J12" ca="1">IF(
    VLOOKUP(
        $A12,
        _xlfn._xlws.FILTER(
            INDIRECT("'"&amp;J$14&amp;"'!A2:E1000"), (INDIRECT("'"&amp;J$14&amp;"'!B2:B1000")=$B12) * (INDIRECT("'"&amp;J$14&amp;"'!C2:C1000")=$C12)
        ),
        5,
        FALSE
    )=0,
    "",
    VLOOKUP(
        $A12,
        _xlfn._xlws.FILTER(
            INDIRECT("'"&amp;J$14&amp;"'!A2:E1000"), (INDIRECT("'"&amp;J$14&amp;"'!B2:B1000")=$B12) * (INDIRECT("'"&amp;J$14&amp;"'!C2:C1000")=$C12)
        ),
        5,
        FALSE
    )
)</f>
        <v>Enviado</v>
      </c>
      <c r="K12" s="100" t="str">
        <f t="array" aca="1" ref="K12" ca="1">IF(
    VLOOKUP(
        $A12,
        _xlfn._xlws.FILTER(
            INDIRECT("'"&amp;K$14&amp;"'!A2:E1000"), (INDIRECT("'"&amp;K$14&amp;"'!B2:B1000")=$B12) * (INDIRECT("'"&amp;K$14&amp;"'!C2:C1000")=$C12)
        ),
        5,
        FALSE
    )=0,
    "",
    VLOOKUP(
        $A12,
        _xlfn._xlws.FILTER(
            INDIRECT("'"&amp;K$14&amp;"'!A2:E1000"), (INDIRECT("'"&amp;K$14&amp;"'!B2:B1000")=$B12) * (INDIRECT("'"&amp;K$14&amp;"'!C2:C1000")=$C12)
        ),
        5,
        FALSE
    )
)</f>
        <v>Enviado</v>
      </c>
      <c r="L12" s="100" t="str">
        <f t="array" aca="1" ref="L12" ca="1">IF(
    VLOOKUP(
        $A12,
        _xlfn._xlws.FILTER(
            INDIRECT("'"&amp;L$14&amp;"'!A2:E1000"), (INDIRECT("'"&amp;L$14&amp;"'!B2:B1000")=$B12) * (INDIRECT("'"&amp;L$14&amp;"'!C2:C1000")=$C12)
        ),
        5,
        FALSE
    )=0,
    "",
    VLOOKUP(
        $A12,
        _xlfn._xlws.FILTER(
            INDIRECT("'"&amp;L$14&amp;"'!A2:E1000"), (INDIRECT("'"&amp;L$14&amp;"'!B2:B1000")=$B12) * (INDIRECT("'"&amp;L$14&amp;"'!C2:C1000")=$C12)
        ),
        5,
        FALSE
    )
)</f>
        <v>Enviado</v>
      </c>
      <c r="M12" s="100" t="str">
        <f t="array" aca="1" ref="M12" ca="1">IF(
    VLOOKUP(
        $A12,
        _xlfn._xlws.FILTER(
            INDIRECT("'"&amp;M$14&amp;"'!A2:E1000"), (INDIRECT("'"&amp;M$14&amp;"'!B2:B1000")=$B12) * (INDIRECT("'"&amp;M$14&amp;"'!C2:C1000")=$C12)
        ),
        5,
        FALSE
    )=0,
    "",
    VLOOKUP(
        $A12,
        _xlfn._xlws.FILTER(
            INDIRECT("'"&amp;M$14&amp;"'!A2:E1000"), (INDIRECT("'"&amp;M$14&amp;"'!B2:B1000")=$B12) * (INDIRECT("'"&amp;M$14&amp;"'!C2:C1000")=$C12)
        ),
        5,
        FALSE
    )
)</f>
        <v>Enviado</v>
      </c>
      <c r="N12" s="100" t="str">
        <f t="array" aca="1" ref="N12" ca="1">IF(
    VLOOKUP(
        $A12,
        _xlfn._xlws.FILTER(
            INDIRECT("'"&amp;N$14&amp;"'!A2:E1000"), (INDIRECT("'"&amp;N$14&amp;"'!B2:B1000")=$B12) * (INDIRECT("'"&amp;N$14&amp;"'!C2:C1000")=$C12)
        ),
        5,
        FALSE
    )=0,
    "",
    VLOOKUP(
        $A12,
        _xlfn._xlws.FILTER(
            INDIRECT("'"&amp;N$14&amp;"'!A2:E1000"), (INDIRECT("'"&amp;N$14&amp;"'!B2:B1000")=$B12) * (INDIRECT("'"&amp;N$14&amp;"'!C2:C1000")=$C12)
        ),
        5,
        FALSE
    )
)</f>
        <v>Enviado</v>
      </c>
      <c r="O12" s="100" t="str">
        <f t="array" aca="1" ref="O12" ca="1">IF(
    VLOOKUP(
        $A12,
        _xlfn._xlws.FILTER(
            INDIRECT("'"&amp;O$14&amp;"'!A2:E1000"), (INDIRECT("'"&amp;O$14&amp;"'!B2:B1000")=$B12) * (INDIRECT("'"&amp;O$14&amp;"'!C2:C1000")=$C12)
        ),
        5,
        FALSE
    )=0,
    "",
    VLOOKUP(
        $A12,
        _xlfn._xlws.FILTER(
            INDIRECT("'"&amp;O$14&amp;"'!A2:E1000"), (INDIRECT("'"&amp;O$14&amp;"'!B2:B1000")=$B12) * (INDIRECT("'"&amp;O$14&amp;"'!C2:C1000")=$C12)
        ),
        5,
        FALSE
    )
)</f>
        <v>Enviado</v>
      </c>
      <c r="P12" s="100" t="str">
        <f t="array" aca="1" ref="P12" ca="1">IF(
    VLOOKUP(
        $A12,
        _xlfn._xlws.FILTER(
            INDIRECT("'"&amp;P$14&amp;"'!A2:E1000"), (INDIRECT("'"&amp;P$14&amp;"'!B2:B1000")=$B12) * (INDIRECT("'"&amp;P$14&amp;"'!C2:C1000")=$C12)
        ),
        5,
        FALSE
    )=0,
    "",
    VLOOKUP(
        $A12,
        _xlfn._xlws.FILTER(
            INDIRECT("'"&amp;P$14&amp;"'!A2:E1000"), (INDIRECT("'"&amp;P$14&amp;"'!B2:B1000")=$B12) * (INDIRECT("'"&amp;P$14&amp;"'!C2:C1000")=$C12)
        ),
        5,
        FALSE
    )
)</f>
        <v>Enviado</v>
      </c>
      <c r="Q12" s="100" t="str">
        <f t="array" aca="1" ref="Q12" ca="1">IF(
    VLOOKUP(
        $A12,
        _xlfn._xlws.FILTER(
            INDIRECT("'"&amp;Q$14&amp;"'!A2:E1000"), (INDIRECT("'"&amp;Q$14&amp;"'!B2:B1000")=$B12) * (INDIRECT("'"&amp;Q$14&amp;"'!C2:C1000")=$C12)
        ),
        5,
        FALSE
    )=0,
    "",
    VLOOKUP(
        $A12,
        _xlfn._xlws.FILTER(
            INDIRECT("'"&amp;Q$14&amp;"'!A2:E1000"), (INDIRECT("'"&amp;Q$14&amp;"'!B2:B1000")=$B12) * (INDIRECT("'"&amp;Q$14&amp;"'!C2:C1000")=$C12)
        ),
        5,
        FALSE
    )
)</f>
        <v/>
      </c>
    </row>
    <row r="14" spans="1:17" ht="15.75" customHeight="1" x14ac:dyDescent="0.25">
      <c r="A14" s="40" t="s">
        <v>27</v>
      </c>
      <c r="B14" s="37" t="s">
        <v>86</v>
      </c>
      <c r="C14" s="37" t="s">
        <v>71</v>
      </c>
      <c r="D14" s="38" t="s">
        <v>1</v>
      </c>
      <c r="E14" s="39" t="s">
        <v>2</v>
      </c>
      <c r="F14" s="98" t="s">
        <v>3</v>
      </c>
      <c r="G14" s="98" t="s">
        <v>4</v>
      </c>
      <c r="H14" s="98" t="s">
        <v>5</v>
      </c>
      <c r="I14" s="98" t="s">
        <v>6</v>
      </c>
      <c r="J14" s="98" t="s">
        <v>7</v>
      </c>
      <c r="K14" s="98" t="s">
        <v>8</v>
      </c>
      <c r="L14" s="99" t="s">
        <v>9</v>
      </c>
      <c r="M14" s="99" t="s">
        <v>10</v>
      </c>
      <c r="N14" s="99" t="s">
        <v>11</v>
      </c>
      <c r="O14" s="99" t="s">
        <v>12</v>
      </c>
      <c r="P14" s="99" t="s">
        <v>13</v>
      </c>
      <c r="Q14" s="99" t="s">
        <v>14</v>
      </c>
    </row>
    <row r="15" spans="1:17" ht="15.75" customHeight="1" x14ac:dyDescent="0.25">
      <c r="A15" s="102" t="s">
        <v>36</v>
      </c>
      <c r="B15" s="79" t="s">
        <v>97</v>
      </c>
      <c r="C15" s="79">
        <v>1</v>
      </c>
      <c r="D15" s="100" t="str">
        <f t="array" ref="D15" ca="1">IF(
    VLOOKUP(
        $A15,
        _xlfn._xlws.FILTER(
            INDIRECT("'"&amp;D$14&amp;"'!A2:E1000"), (INDIRECT("'"&amp;D$14&amp;"'!B2:B1000")=$B15) * (INDIRECT("'"&amp;D$14&amp;"'!C2:C1000")=$C15)
        ),
        5,
        FALSE
    )=0,
    "",
    VLOOKUP(
        $A15,
        _xlfn._xlws.FILTER(
            INDIRECT("'"&amp;D$14&amp;"'!A2:E1000"), (INDIRECT("'"&amp;D$14&amp;"'!B2:B1000")=$B15) * (INDIRECT("'"&amp;D$14&amp;"'!C2:C1000")=$C15)
        ),
        5,
        FALSE
    )
)</f>
        <v>Enviado</v>
      </c>
      <c r="E15" s="100" t="str">
        <f t="array" aca="1" ref="E15" ca="1">IF(
    VLOOKUP(
        $A15,
        _xlfn._xlws.FILTER(
            INDIRECT("'"&amp;E$14&amp;"'!A2:E1000"), (INDIRECT("'"&amp;E$14&amp;"'!B2:B1000")=$B15) * (INDIRECT("'"&amp;E$14&amp;"'!C2:C1000")=$C15)
        ),
        5,
        FALSE
    )=0,
    "",
    VLOOKUP(
        $A15,
        _xlfn._xlws.FILTER(
            INDIRECT("'"&amp;E$14&amp;"'!A2:E1000"), (INDIRECT("'"&amp;E$14&amp;"'!B2:B1000")=$B15) * (INDIRECT("'"&amp;E$14&amp;"'!C2:C1000")=$C15)
        ),
        5,
        FALSE
    )
)</f>
        <v>Enviado</v>
      </c>
      <c r="F15" s="100" t="str">
        <f t="array" aca="1" ref="F15" ca="1">IF(
    VLOOKUP(
        $A15,
        _xlfn._xlws.FILTER(
            INDIRECT("'"&amp;F$14&amp;"'!A2:E1000"), (INDIRECT("'"&amp;F$14&amp;"'!B2:B1000")=$B15) * (INDIRECT("'"&amp;F$14&amp;"'!C2:C1000")=$C15)
        ),
        5,
        FALSE
    )=0,
    "",
    VLOOKUP(
        $A15,
        _xlfn._xlws.FILTER(
            INDIRECT("'"&amp;F$14&amp;"'!A2:E1000"), (INDIRECT("'"&amp;F$14&amp;"'!B2:B1000")=$B15) * (INDIRECT("'"&amp;F$14&amp;"'!C2:C1000")=$C15)
        ),
        5,
        FALSE
    )
)</f>
        <v>Enviado</v>
      </c>
      <c r="G15" s="100" t="str">
        <f t="array" aca="1" ref="G15" ca="1">IF(
    VLOOKUP(
        $A15,
        _xlfn._xlws.FILTER(
            INDIRECT("'"&amp;G$14&amp;"'!A2:E1000"), (INDIRECT("'"&amp;G$14&amp;"'!B2:B1000")=$B15) * (INDIRECT("'"&amp;G$14&amp;"'!C2:C1000")=$C15)
        ),
        5,
        FALSE
    )=0,
    "",
    VLOOKUP(
        $A15,
        _xlfn._xlws.FILTER(
            INDIRECT("'"&amp;G$14&amp;"'!A2:E1000"), (INDIRECT("'"&amp;G$14&amp;"'!B2:B1000")=$B15) * (INDIRECT("'"&amp;G$14&amp;"'!C2:C1000")=$C15)
        ),
        5,
        FALSE
    )
)</f>
        <v>Enviado</v>
      </c>
      <c r="H15" s="100" t="str">
        <f t="array" aca="1" ref="H15" ca="1">IF(
    VLOOKUP(
        $A15,
        _xlfn._xlws.FILTER(
            INDIRECT("'"&amp;H$14&amp;"'!A2:E1000"), (INDIRECT("'"&amp;H$14&amp;"'!B2:B1000")=$B15) * (INDIRECT("'"&amp;H$14&amp;"'!C2:C1000")=$C15)
        ),
        5,
        FALSE
    )=0,
    "",
    VLOOKUP(
        $A15,
        _xlfn._xlws.FILTER(
            INDIRECT("'"&amp;H$14&amp;"'!A2:E1000"), (INDIRECT("'"&amp;H$14&amp;"'!B2:B1000")=$B15) * (INDIRECT("'"&amp;H$14&amp;"'!C2:C1000")=$C15)
        ),
        5,
        FALSE
    )
)</f>
        <v>Enviado</v>
      </c>
      <c r="I15" s="100" t="str">
        <f t="array" aca="1" ref="I15" ca="1">IF(
    VLOOKUP(
        $A15,
        _xlfn._xlws.FILTER(
            INDIRECT("'"&amp;I$14&amp;"'!A2:E1000"), (INDIRECT("'"&amp;I$14&amp;"'!B2:B1000")=$B15) * (INDIRECT("'"&amp;I$14&amp;"'!C2:C1000")=$C15)
        ),
        5,
        FALSE
    )=0,
    "",
    VLOOKUP(
        $A15,
        _xlfn._xlws.FILTER(
            INDIRECT("'"&amp;I$14&amp;"'!A2:E1000"), (INDIRECT("'"&amp;I$14&amp;"'!B2:B1000")=$B15) * (INDIRECT("'"&amp;I$14&amp;"'!C2:C1000")=$C15)
        ),
        5,
        FALSE
    )
)</f>
        <v>Enviado</v>
      </c>
      <c r="J15" s="100" t="str">
        <f t="array" aca="1" ref="J15" ca="1">IF(
    VLOOKUP(
        $A15,
        _xlfn._xlws.FILTER(
            INDIRECT("'"&amp;J$14&amp;"'!A2:E1000"), (INDIRECT("'"&amp;J$14&amp;"'!B2:B1000")=$B15) * (INDIRECT("'"&amp;J$14&amp;"'!C2:C1000")=$C15)
        ),
        5,
        FALSE
    )=0,
    "",
    VLOOKUP(
        $A15,
        _xlfn._xlws.FILTER(
            INDIRECT("'"&amp;J$14&amp;"'!A2:E1000"), (INDIRECT("'"&amp;J$14&amp;"'!B2:B1000")=$B15) * (INDIRECT("'"&amp;J$14&amp;"'!C2:C1000")=$C15)
        ),
        5,
        FALSE
    )
)</f>
        <v>Enviado</v>
      </c>
      <c r="K15" s="100" t="str">
        <f t="array" aca="1" ref="K15" ca="1">IF(
    VLOOKUP(
        $A15,
        _xlfn._xlws.FILTER(
            INDIRECT("'"&amp;K$14&amp;"'!A2:E1000"), (INDIRECT("'"&amp;K$14&amp;"'!B2:B1000")=$B15) * (INDIRECT("'"&amp;K$14&amp;"'!C2:C1000")=$C15)
        ),
        5,
        FALSE
    )=0,
    "",
    VLOOKUP(
        $A15,
        _xlfn._xlws.FILTER(
            INDIRECT("'"&amp;K$14&amp;"'!A2:E1000"), (INDIRECT("'"&amp;K$14&amp;"'!B2:B1000")=$B15) * (INDIRECT("'"&amp;K$14&amp;"'!C2:C1000")=$C15)
        ),
        5,
        FALSE
    )
)</f>
        <v>Enviado</v>
      </c>
      <c r="L15" s="100" t="str">
        <f t="array" aca="1" ref="L15" ca="1">IF(
    VLOOKUP(
        $A15,
        _xlfn._xlws.FILTER(
            INDIRECT("'"&amp;L$14&amp;"'!A2:E1000"), (INDIRECT("'"&amp;L$14&amp;"'!B2:B1000")=$B15) * (INDIRECT("'"&amp;L$14&amp;"'!C2:C1000")=$C15)
        ),
        5,
        FALSE
    )=0,
    "",
    VLOOKUP(
        $A15,
        _xlfn._xlws.FILTER(
            INDIRECT("'"&amp;L$14&amp;"'!A2:E1000"), (INDIRECT("'"&amp;L$14&amp;"'!B2:B1000")=$B15) * (INDIRECT("'"&amp;L$14&amp;"'!C2:C1000")=$C15)
        ),
        5,
        FALSE
    )
)</f>
        <v>Enviado</v>
      </c>
      <c r="M15" s="100" t="str">
        <f t="array" aca="1" ref="M15" ca="1">IF(
    VLOOKUP(
        $A15,
        _xlfn._xlws.FILTER(
            INDIRECT("'"&amp;M$14&amp;"'!A2:E1000"), (INDIRECT("'"&amp;M$14&amp;"'!B2:B1000")=$B15) * (INDIRECT("'"&amp;M$14&amp;"'!C2:C1000")=$C15)
        ),
        5,
        FALSE
    )=0,
    "",
    VLOOKUP(
        $A15,
        _xlfn._xlws.FILTER(
            INDIRECT("'"&amp;M$14&amp;"'!A2:E1000"), (INDIRECT("'"&amp;M$14&amp;"'!B2:B1000")=$B15) * (INDIRECT("'"&amp;M$14&amp;"'!C2:C1000")=$C15)
        ),
        5,
        FALSE
    )
)</f>
        <v>Enviado</v>
      </c>
      <c r="N15" s="100" t="str">
        <f t="array" aca="1" ref="N15" ca="1">IF(
    VLOOKUP(
        $A15,
        _xlfn._xlws.FILTER(
            INDIRECT("'"&amp;N$14&amp;"'!A2:E1000"), (INDIRECT("'"&amp;N$14&amp;"'!B2:B1000")=$B15) * (INDIRECT("'"&amp;N$14&amp;"'!C2:C1000")=$C15)
        ),
        5,
        FALSE
    )=0,
    "",
    VLOOKUP(
        $A15,
        _xlfn._xlws.FILTER(
            INDIRECT("'"&amp;N$14&amp;"'!A2:E1000"), (INDIRECT("'"&amp;N$14&amp;"'!B2:B1000")=$B15) * (INDIRECT("'"&amp;N$14&amp;"'!C2:C1000")=$C15)
        ),
        5,
        FALSE
    )
)</f>
        <v>Enviado</v>
      </c>
      <c r="O15" s="100" t="str">
        <f t="array" aca="1" ref="O15" ca="1">IF(
    VLOOKUP(
        $A15,
        _xlfn._xlws.FILTER(
            INDIRECT("'"&amp;O$14&amp;"'!A2:E1000"), (INDIRECT("'"&amp;O$14&amp;"'!B2:B1000")=$B15) * (INDIRECT("'"&amp;O$14&amp;"'!C2:C1000")=$C15)
        ),
        5,
        FALSE
    )=0,
    "",
    VLOOKUP(
        $A15,
        _xlfn._xlws.FILTER(
            INDIRECT("'"&amp;O$14&amp;"'!A2:E1000"), (INDIRECT("'"&amp;O$14&amp;"'!B2:B1000")=$B15) * (INDIRECT("'"&amp;O$14&amp;"'!C2:C1000")=$C15)
        ),
        5,
        FALSE
    )
)</f>
        <v>Enviado</v>
      </c>
      <c r="P15" s="100" t="str">
        <f t="array" aca="1" ref="P15" ca="1">IF(
    VLOOKUP(
        $A15,
        _xlfn._xlws.FILTER(
            INDIRECT("'"&amp;P$14&amp;"'!A2:E1000"), (INDIRECT("'"&amp;P$14&amp;"'!B2:B1000")=$B15) * (INDIRECT("'"&amp;P$14&amp;"'!C2:C1000")=$C15)
        ),
        5,
        FALSE
    )=0,
    "",
    VLOOKUP(
        $A15,
        _xlfn._xlws.FILTER(
            INDIRECT("'"&amp;P$14&amp;"'!A2:E1000"), (INDIRECT("'"&amp;P$14&amp;"'!B2:B1000")=$B15) * (INDIRECT("'"&amp;P$14&amp;"'!C2:C1000")=$C15)
        ),
        5,
        FALSE
    )
)</f>
        <v>Enviado</v>
      </c>
      <c r="Q15" s="100" t="str">
        <f t="array" aca="1" ref="Q15" ca="1">IF(
    VLOOKUP(
        $A15,
        _xlfn._xlws.FILTER(
            INDIRECT("'"&amp;Q$14&amp;"'!A2:E1000"), (INDIRECT("'"&amp;Q$14&amp;"'!B2:B1000")=$B15) * (INDIRECT("'"&amp;Q$14&amp;"'!C2:C1000")=$C15)
        ),
        5,
        FALSE
    )=0,
    "",
    VLOOKUP(
        $A15,
        _xlfn._xlws.FILTER(
            INDIRECT("'"&amp;Q$14&amp;"'!A2:E1000"), (INDIRECT("'"&amp;Q$14&amp;"'!B2:B1000")=$B15) * (INDIRECT("'"&amp;Q$14&amp;"'!C2:C1000")=$C15)
        ),
        5,
        FALSE
    )
)</f>
        <v/>
      </c>
    </row>
    <row r="16" spans="1:17" ht="15.75" customHeight="1" x14ac:dyDescent="0.25">
      <c r="A16" s="102" t="s">
        <v>36</v>
      </c>
      <c r="B16" s="79" t="s">
        <v>98</v>
      </c>
      <c r="C16" s="79">
        <v>1</v>
      </c>
      <c r="D16" s="100" t="str">
        <f t="array" aca="1" ref="D16" ca="1">IF(
    VLOOKUP(
        $A16,
        _xlfn._xlws.FILTER(
            INDIRECT("'"&amp;D$14&amp;"'!A2:E1000"), (INDIRECT("'"&amp;D$14&amp;"'!B2:B1000")=$B16) * (INDIRECT("'"&amp;D$14&amp;"'!C2:C1000")=$C16)
        ),
        5,
        FALSE
    )=0,
    "",
    VLOOKUP(
        $A16,
        _xlfn._xlws.FILTER(
            INDIRECT("'"&amp;D$14&amp;"'!A2:E1000"), (INDIRECT("'"&amp;D$14&amp;"'!B2:B1000")=$B16) * (INDIRECT("'"&amp;D$14&amp;"'!C2:C1000")=$C16)
        ),
        5,
        FALSE
    )
)</f>
        <v>Enviado</v>
      </c>
      <c r="E16" s="100" t="str">
        <f t="array" aca="1" ref="E16" ca="1">IF(
    VLOOKUP(
        $A16,
        _xlfn._xlws.FILTER(
            INDIRECT("'"&amp;E$14&amp;"'!A2:E1000"), (INDIRECT("'"&amp;E$14&amp;"'!B2:B1000")=$B16) * (INDIRECT("'"&amp;E$14&amp;"'!C2:C1000")=$C16)
        ),
        5,
        FALSE
    )=0,
    "",
    VLOOKUP(
        $A16,
        _xlfn._xlws.FILTER(
            INDIRECT("'"&amp;E$14&amp;"'!A2:E1000"), (INDIRECT("'"&amp;E$14&amp;"'!B2:B1000")=$B16) * (INDIRECT("'"&amp;E$14&amp;"'!C2:C1000")=$C16)
        ),
        5,
        FALSE
    )
)</f>
        <v>Enviado</v>
      </c>
      <c r="F16" s="100" t="str">
        <f t="array" aca="1" ref="F16" ca="1">IF(
    VLOOKUP(
        $A16,
        _xlfn._xlws.FILTER(
            INDIRECT("'"&amp;F$14&amp;"'!A2:E1000"), (INDIRECT("'"&amp;F$14&amp;"'!B2:B1000")=$B16) * (INDIRECT("'"&amp;F$14&amp;"'!C2:C1000")=$C16)
        ),
        5,
        FALSE
    )=0,
    "",
    VLOOKUP(
        $A16,
        _xlfn._xlws.FILTER(
            INDIRECT("'"&amp;F$14&amp;"'!A2:E1000"), (INDIRECT("'"&amp;F$14&amp;"'!B2:B1000")=$B16) * (INDIRECT("'"&amp;F$14&amp;"'!C2:C1000")=$C16)
        ),
        5,
        FALSE
    )
)</f>
        <v>Enviado</v>
      </c>
      <c r="G16" s="100" t="str">
        <f t="array" aca="1" ref="G16" ca="1">IF(
    VLOOKUP(
        $A16,
        _xlfn._xlws.FILTER(
            INDIRECT("'"&amp;G$14&amp;"'!A2:E1000"), (INDIRECT("'"&amp;G$14&amp;"'!B2:B1000")=$B16) * (INDIRECT("'"&amp;G$14&amp;"'!C2:C1000")=$C16)
        ),
        5,
        FALSE
    )=0,
    "",
    VLOOKUP(
        $A16,
        _xlfn._xlws.FILTER(
            INDIRECT("'"&amp;G$14&amp;"'!A2:E1000"), (INDIRECT("'"&amp;G$14&amp;"'!B2:B1000")=$B16) * (INDIRECT("'"&amp;G$14&amp;"'!C2:C1000")=$C16)
        ),
        5,
        FALSE
    )
)</f>
        <v>Enviado</v>
      </c>
      <c r="H16" s="100" t="str">
        <f t="array" ref="H16" ca="1">IF(
    VLOOKUP(
        $A16,
        _xlfn._xlws.FILTER(
            INDIRECT("'"&amp;H$14&amp;"'!A2:E1000"), (INDIRECT("'"&amp;H$14&amp;"'!B2:B1000")=$B16) * (INDIRECT("'"&amp;H$14&amp;"'!C2:C1000")=$C16)
        ),
        5,
        FALSE
    )=0,
    "",
    VLOOKUP(
        $A16,
        _xlfn._xlws.FILTER(
            INDIRECT("'"&amp;H$14&amp;"'!A2:E1000"), (INDIRECT("'"&amp;H$14&amp;"'!B2:B1000")=$B16) * (INDIRECT("'"&amp;H$14&amp;"'!C2:C1000")=$C16)
        ),
        5,
        FALSE
    )
)</f>
        <v>Enviado</v>
      </c>
      <c r="I16" s="100" t="str">
        <f t="array" aca="1" ref="I16" ca="1">IF(
    VLOOKUP(
        $A16,
        _xlfn._xlws.FILTER(
            INDIRECT("'"&amp;I$14&amp;"'!A2:E1000"), (INDIRECT("'"&amp;I$14&amp;"'!B2:B1000")=$B16) * (INDIRECT("'"&amp;I$14&amp;"'!C2:C1000")=$C16)
        ),
        5,
        FALSE
    )=0,
    "",
    VLOOKUP(
        $A16,
        _xlfn._xlws.FILTER(
            INDIRECT("'"&amp;I$14&amp;"'!A2:E1000"), (INDIRECT("'"&amp;I$14&amp;"'!B2:B1000")=$B16) * (INDIRECT("'"&amp;I$14&amp;"'!C2:C1000")=$C16)
        ),
        5,
        FALSE
    )
)</f>
        <v>Enviado</v>
      </c>
      <c r="J16" s="100" t="str">
        <f t="array" aca="1" ref="J16" ca="1">IF(
    VLOOKUP(
        $A16,
        _xlfn._xlws.FILTER(
            INDIRECT("'"&amp;J$14&amp;"'!A2:E1000"), (INDIRECT("'"&amp;J$14&amp;"'!B2:B1000")=$B16) * (INDIRECT("'"&amp;J$14&amp;"'!C2:C1000")=$C16)
        ),
        5,
        FALSE
    )=0,
    "",
    VLOOKUP(
        $A16,
        _xlfn._xlws.FILTER(
            INDIRECT("'"&amp;J$14&amp;"'!A2:E1000"), (INDIRECT("'"&amp;J$14&amp;"'!B2:B1000")=$B16) * (INDIRECT("'"&amp;J$14&amp;"'!C2:C1000")=$C16)
        ),
        5,
        FALSE
    )
)</f>
        <v>Enviado</v>
      </c>
      <c r="K16" s="100" t="str">
        <f t="array" aca="1" ref="K16" ca="1">IF(
    VLOOKUP(
        $A16,
        _xlfn._xlws.FILTER(
            INDIRECT("'"&amp;K$14&amp;"'!A2:E1000"), (INDIRECT("'"&amp;K$14&amp;"'!B2:B1000")=$B16) * (INDIRECT("'"&amp;K$14&amp;"'!C2:C1000")=$C16)
        ),
        5,
        FALSE
    )=0,
    "",
    VLOOKUP(
        $A16,
        _xlfn._xlws.FILTER(
            INDIRECT("'"&amp;K$14&amp;"'!A2:E1000"), (INDIRECT("'"&amp;K$14&amp;"'!B2:B1000")=$B16) * (INDIRECT("'"&amp;K$14&amp;"'!C2:C1000")=$C16)
        ),
        5,
        FALSE
    )
)</f>
        <v>Enviado</v>
      </c>
      <c r="L16" s="100" t="str">
        <f t="array" aca="1" ref="L16" ca="1">IF(
    VLOOKUP(
        $A16,
        _xlfn._xlws.FILTER(
            INDIRECT("'"&amp;L$14&amp;"'!A2:E1000"), (INDIRECT("'"&amp;L$14&amp;"'!B2:B1000")=$B16) * (INDIRECT("'"&amp;L$14&amp;"'!C2:C1000")=$C16)
        ),
        5,
        FALSE
    )=0,
    "",
    VLOOKUP(
        $A16,
        _xlfn._xlws.FILTER(
            INDIRECT("'"&amp;L$14&amp;"'!A2:E1000"), (INDIRECT("'"&amp;L$14&amp;"'!B2:B1000")=$B16) * (INDIRECT("'"&amp;L$14&amp;"'!C2:C1000")=$C16)
        ),
        5,
        FALSE
    )
)</f>
        <v>Enviado</v>
      </c>
      <c r="M16" s="100" t="str">
        <f t="array" aca="1" ref="M16" ca="1">IF(
    VLOOKUP(
        $A16,
        _xlfn._xlws.FILTER(
            INDIRECT("'"&amp;M$14&amp;"'!A2:E1000"), (INDIRECT("'"&amp;M$14&amp;"'!B2:B1000")=$B16) * (INDIRECT("'"&amp;M$14&amp;"'!C2:C1000")=$C16)
        ),
        5,
        FALSE
    )=0,
    "",
    VLOOKUP(
        $A16,
        _xlfn._xlws.FILTER(
            INDIRECT("'"&amp;M$14&amp;"'!A2:E1000"), (INDIRECT("'"&amp;M$14&amp;"'!B2:B1000")=$B16) * (INDIRECT("'"&amp;M$14&amp;"'!C2:C1000")=$C16)
        ),
        5,
        FALSE
    )
)</f>
        <v>Enviado</v>
      </c>
      <c r="N16" s="100" t="str">
        <f t="array" aca="1" ref="N16" ca="1">IF(
    VLOOKUP(
        $A16,
        _xlfn._xlws.FILTER(
            INDIRECT("'"&amp;N$14&amp;"'!A2:E1000"), (INDIRECT("'"&amp;N$14&amp;"'!B2:B1000")=$B16) * (INDIRECT("'"&amp;N$14&amp;"'!C2:C1000")=$C16)
        ),
        5,
        FALSE
    )=0,
    "",
    VLOOKUP(
        $A16,
        _xlfn._xlws.FILTER(
            INDIRECT("'"&amp;N$14&amp;"'!A2:E1000"), (INDIRECT("'"&amp;N$14&amp;"'!B2:B1000")=$B16) * (INDIRECT("'"&amp;N$14&amp;"'!C2:C1000")=$C16)
        ),
        5,
        FALSE
    )
)</f>
        <v>Enviado</v>
      </c>
      <c r="O16" s="100" t="str">
        <f t="array" aca="1" ref="O16" ca="1">IF(
    VLOOKUP(
        $A16,
        _xlfn._xlws.FILTER(
            INDIRECT("'"&amp;O$14&amp;"'!A2:E1000"), (INDIRECT("'"&amp;O$14&amp;"'!B2:B1000")=$B16) * (INDIRECT("'"&amp;O$14&amp;"'!C2:C1000")=$C16)
        ),
        5,
        FALSE
    )=0,
    "",
    VLOOKUP(
        $A16,
        _xlfn._xlws.FILTER(
            INDIRECT("'"&amp;O$14&amp;"'!A2:E1000"), (INDIRECT("'"&amp;O$14&amp;"'!B2:B1000")=$B16) * (INDIRECT("'"&amp;O$14&amp;"'!C2:C1000")=$C16)
        ),
        5,
        FALSE
    )
)</f>
        <v>Enviado</v>
      </c>
      <c r="P16" s="100" t="str">
        <f t="array" aca="1" ref="P16" ca="1">IF(
    VLOOKUP(
        $A16,
        _xlfn._xlws.FILTER(
            INDIRECT("'"&amp;P$14&amp;"'!A2:E1000"), (INDIRECT("'"&amp;P$14&amp;"'!B2:B1000")=$B16) * (INDIRECT("'"&amp;P$14&amp;"'!C2:C1000")=$C16)
        ),
        5,
        FALSE
    )=0,
    "",
    VLOOKUP(
        $A16,
        _xlfn._xlws.FILTER(
            INDIRECT("'"&amp;P$14&amp;"'!A2:E1000"), (INDIRECT("'"&amp;P$14&amp;"'!B2:B1000")=$B16) * (INDIRECT("'"&amp;P$14&amp;"'!C2:C1000")=$C16)
        ),
        5,
        FALSE
    )
)</f>
        <v>Enviado</v>
      </c>
      <c r="Q16" s="100" t="str">
        <f t="array" aca="1" ref="Q16" ca="1">IF(
    VLOOKUP(
        $A16,
        _xlfn._xlws.FILTER(
            INDIRECT("'"&amp;Q$14&amp;"'!A2:E1000"), (INDIRECT("'"&amp;Q$14&amp;"'!B2:B1000")=$B16) * (INDIRECT("'"&amp;Q$14&amp;"'!C2:C1000")=$C16)
        ),
        5,
        FALSE
    )=0,
    "",
    VLOOKUP(
        $A16,
        _xlfn._xlws.FILTER(
            INDIRECT("'"&amp;Q$14&amp;"'!A2:E1000"), (INDIRECT("'"&amp;Q$14&amp;"'!B2:B1000")=$B16) * (INDIRECT("'"&amp;Q$14&amp;"'!C2:C1000")=$C16)
        ),
        5,
        FALSE
    )
)</f>
        <v/>
      </c>
    </row>
    <row r="17" spans="1:17" ht="15.75" customHeight="1" x14ac:dyDescent="0.25">
      <c r="A17" s="102" t="s">
        <v>36</v>
      </c>
      <c r="B17" s="79" t="s">
        <v>99</v>
      </c>
      <c r="C17" s="79">
        <v>1</v>
      </c>
      <c r="D17" s="100" t="str">
        <f t="array" aca="1" ref="D17" ca="1">IF(
    VLOOKUP(
        $A17,
        _xlfn._xlws.FILTER(
            INDIRECT("'"&amp;D$14&amp;"'!A2:E1000"), (INDIRECT("'"&amp;D$14&amp;"'!B2:B1000")=$B17) * (INDIRECT("'"&amp;D$14&amp;"'!C2:C1000")=$C17)
        ),
        5,
        FALSE
    )=0,
    "",
    VLOOKUP(
        $A17,
        _xlfn._xlws.FILTER(
            INDIRECT("'"&amp;D$14&amp;"'!A2:E1000"), (INDIRECT("'"&amp;D$14&amp;"'!B2:B1000")=$B17) * (INDIRECT("'"&amp;D$14&amp;"'!C2:C1000")=$C17)
        ),
        5,
        FALSE
    )
)</f>
        <v>Enviado</v>
      </c>
      <c r="E17" s="100" t="str">
        <f t="array" aca="1" ref="E17" ca="1">IF(
    VLOOKUP(
        $A17,
        _xlfn._xlws.FILTER(
            INDIRECT("'"&amp;E$14&amp;"'!A2:E1000"), (INDIRECT("'"&amp;E$14&amp;"'!B2:B1000")=$B17) * (INDIRECT("'"&amp;E$14&amp;"'!C2:C1000")=$C17)
        ),
        5,
        FALSE
    )=0,
    "",
    VLOOKUP(
        $A17,
        _xlfn._xlws.FILTER(
            INDIRECT("'"&amp;E$14&amp;"'!A2:E1000"), (INDIRECT("'"&amp;E$14&amp;"'!B2:B1000")=$B17) * (INDIRECT("'"&amp;E$14&amp;"'!C2:C1000")=$C17)
        ),
        5,
        FALSE
    )
)</f>
        <v>Enviado</v>
      </c>
      <c r="F17" s="100" t="str">
        <f t="array" aca="1" ref="F17" ca="1">IF(
    VLOOKUP(
        $A17,
        _xlfn._xlws.FILTER(
            INDIRECT("'"&amp;F$14&amp;"'!A2:E1000"), (INDIRECT("'"&amp;F$14&amp;"'!B2:B1000")=$B17) * (INDIRECT("'"&amp;F$14&amp;"'!C2:C1000")=$C17)
        ),
        5,
        FALSE
    )=0,
    "",
    VLOOKUP(
        $A17,
        _xlfn._xlws.FILTER(
            INDIRECT("'"&amp;F$14&amp;"'!A2:E1000"), (INDIRECT("'"&amp;F$14&amp;"'!B2:B1000")=$B17) * (INDIRECT("'"&amp;F$14&amp;"'!C2:C1000")=$C17)
        ),
        5,
        FALSE
    )
)</f>
        <v>Enviado</v>
      </c>
      <c r="G17" s="100" t="str">
        <f t="array" aca="1" ref="G17" ca="1">IF(
    VLOOKUP(
        $A17,
        _xlfn._xlws.FILTER(
            INDIRECT("'"&amp;G$14&amp;"'!A2:E1000"), (INDIRECT("'"&amp;G$14&amp;"'!B2:B1000")=$B17) * (INDIRECT("'"&amp;G$14&amp;"'!C2:C1000")=$C17)
        ),
        5,
        FALSE
    )=0,
    "",
    VLOOKUP(
        $A17,
        _xlfn._xlws.FILTER(
            INDIRECT("'"&amp;G$14&amp;"'!A2:E1000"), (INDIRECT("'"&amp;G$14&amp;"'!B2:B1000")=$B17) * (INDIRECT("'"&amp;G$14&amp;"'!C2:C1000")=$C17)
        ),
        5,
        FALSE
    )
)</f>
        <v>Enviado</v>
      </c>
      <c r="H17" s="100" t="str">
        <f t="array" aca="1" ref="H17" ca="1">IF(
    VLOOKUP(
        $A17,
        _xlfn._xlws.FILTER(
            INDIRECT("'"&amp;H$14&amp;"'!A2:E1000"), (INDIRECT("'"&amp;H$14&amp;"'!B2:B1000")=$B17) * (INDIRECT("'"&amp;H$14&amp;"'!C2:C1000")=$C17)
        ),
        5,
        FALSE
    )=0,
    "",
    VLOOKUP(
        $A17,
        _xlfn._xlws.FILTER(
            INDIRECT("'"&amp;H$14&amp;"'!A2:E1000"), (INDIRECT("'"&amp;H$14&amp;"'!B2:B1000")=$B17) * (INDIRECT("'"&amp;H$14&amp;"'!C2:C1000")=$C17)
        ),
        5,
        FALSE
    )
)</f>
        <v>Enviado</v>
      </c>
      <c r="I17" s="100" t="str">
        <f t="array" aca="1" ref="I17" ca="1">IF(
    VLOOKUP(
        $A17,
        _xlfn._xlws.FILTER(
            INDIRECT("'"&amp;I$14&amp;"'!A2:E1000"), (INDIRECT("'"&amp;I$14&amp;"'!B2:B1000")=$B17) * (INDIRECT("'"&amp;I$14&amp;"'!C2:C1000")=$C17)
        ),
        5,
        FALSE
    )=0,
    "",
    VLOOKUP(
        $A17,
        _xlfn._xlws.FILTER(
            INDIRECT("'"&amp;I$14&amp;"'!A2:E1000"), (INDIRECT("'"&amp;I$14&amp;"'!B2:B1000")=$B17) * (INDIRECT("'"&amp;I$14&amp;"'!C2:C1000")=$C17)
        ),
        5,
        FALSE
    )
)</f>
        <v>Enviado</v>
      </c>
      <c r="J17" s="100" t="str">
        <f t="array" aca="1" ref="J17" ca="1">IF(
    VLOOKUP(
        $A17,
        _xlfn._xlws.FILTER(
            INDIRECT("'"&amp;J$14&amp;"'!A2:E1000"), (INDIRECT("'"&amp;J$14&amp;"'!B2:B1000")=$B17) * (INDIRECT("'"&amp;J$14&amp;"'!C2:C1000")=$C17)
        ),
        5,
        FALSE
    )=0,
    "",
    VLOOKUP(
        $A17,
        _xlfn._xlws.FILTER(
            INDIRECT("'"&amp;J$14&amp;"'!A2:E1000"), (INDIRECT("'"&amp;J$14&amp;"'!B2:B1000")=$B17) * (INDIRECT("'"&amp;J$14&amp;"'!C2:C1000")=$C17)
        ),
        5,
        FALSE
    )
)</f>
        <v>Enviado</v>
      </c>
      <c r="K17" s="100" t="str">
        <f t="array" aca="1" ref="K17" ca="1">IF(
    VLOOKUP(
        $A17,
        _xlfn._xlws.FILTER(
            INDIRECT("'"&amp;K$14&amp;"'!A2:E1000"), (INDIRECT("'"&amp;K$14&amp;"'!B2:B1000")=$B17) * (INDIRECT("'"&amp;K$14&amp;"'!C2:C1000")=$C17)
        ),
        5,
        FALSE
    )=0,
    "",
    VLOOKUP(
        $A17,
        _xlfn._xlws.FILTER(
            INDIRECT("'"&amp;K$14&amp;"'!A2:E1000"), (INDIRECT("'"&amp;K$14&amp;"'!B2:B1000")=$B17) * (INDIRECT("'"&amp;K$14&amp;"'!C2:C1000")=$C17)
        ),
        5,
        FALSE
    )
)</f>
        <v>Enviado</v>
      </c>
      <c r="L17" s="100" t="str">
        <f t="array" aca="1" ref="L17" ca="1">IF(
    VLOOKUP(
        $A17,
        _xlfn._xlws.FILTER(
            INDIRECT("'"&amp;L$14&amp;"'!A2:E1000"), (INDIRECT("'"&amp;L$14&amp;"'!B2:B1000")=$B17) * (INDIRECT("'"&amp;L$14&amp;"'!C2:C1000")=$C17)
        ),
        5,
        FALSE
    )=0,
    "",
    VLOOKUP(
        $A17,
        _xlfn._xlws.FILTER(
            INDIRECT("'"&amp;L$14&amp;"'!A2:E1000"), (INDIRECT("'"&amp;L$14&amp;"'!B2:B1000")=$B17) * (INDIRECT("'"&amp;L$14&amp;"'!C2:C1000")=$C17)
        ),
        5,
        FALSE
    )
)</f>
        <v>Enviado</v>
      </c>
      <c r="M17" s="100" t="str">
        <f t="array" aca="1" ref="M17" ca="1">IF(
    VLOOKUP(
        $A17,
        _xlfn._xlws.FILTER(
            INDIRECT("'"&amp;M$14&amp;"'!A2:E1000"), (INDIRECT("'"&amp;M$14&amp;"'!B2:B1000")=$B17) * (INDIRECT("'"&amp;M$14&amp;"'!C2:C1000")=$C17)
        ),
        5,
        FALSE
    )=0,
    "",
    VLOOKUP(
        $A17,
        _xlfn._xlws.FILTER(
            INDIRECT("'"&amp;M$14&amp;"'!A2:E1000"), (INDIRECT("'"&amp;M$14&amp;"'!B2:B1000")=$B17) * (INDIRECT("'"&amp;M$14&amp;"'!C2:C1000")=$C17)
        ),
        5,
        FALSE
    )
)</f>
        <v>Enviado</v>
      </c>
      <c r="N17" s="100" t="str">
        <f t="array" aca="1" ref="N17" ca="1">IF(
    VLOOKUP(
        $A17,
        _xlfn._xlws.FILTER(
            INDIRECT("'"&amp;N$14&amp;"'!A2:E1000"), (INDIRECT("'"&amp;N$14&amp;"'!B2:B1000")=$B17) * (INDIRECT("'"&amp;N$14&amp;"'!C2:C1000")=$C17)
        ),
        5,
        FALSE
    )=0,
    "",
    VLOOKUP(
        $A17,
        _xlfn._xlws.FILTER(
            INDIRECT("'"&amp;N$14&amp;"'!A2:E1000"), (INDIRECT("'"&amp;N$14&amp;"'!B2:B1000")=$B17) * (INDIRECT("'"&amp;N$14&amp;"'!C2:C1000")=$C17)
        ),
        5,
        FALSE
    )
)</f>
        <v>Enviado</v>
      </c>
      <c r="O17" s="100" t="str">
        <f t="array" aca="1" ref="O17" ca="1">IF(
    VLOOKUP(
        $A17,
        _xlfn._xlws.FILTER(
            INDIRECT("'"&amp;O$14&amp;"'!A2:E1000"), (INDIRECT("'"&amp;O$14&amp;"'!B2:B1000")=$B17) * (INDIRECT("'"&amp;O$14&amp;"'!C2:C1000")=$C17)
        ),
        5,
        FALSE
    )=0,
    "",
    VLOOKUP(
        $A17,
        _xlfn._xlws.FILTER(
            INDIRECT("'"&amp;O$14&amp;"'!A2:E1000"), (INDIRECT("'"&amp;O$14&amp;"'!B2:B1000")=$B17) * (INDIRECT("'"&amp;O$14&amp;"'!C2:C1000")=$C17)
        ),
        5,
        FALSE
    )
)</f>
        <v>Atrasado &gt;= 2</v>
      </c>
      <c r="P17" s="100" t="str">
        <f t="array" aca="1" ref="P17" ca="1">IF(
    VLOOKUP(
        $A17,
        _xlfn._xlws.FILTER(
            INDIRECT("'"&amp;P$14&amp;"'!A2:E1000"), (INDIRECT("'"&amp;P$14&amp;"'!B2:B1000")=$B17) * (INDIRECT("'"&amp;P$14&amp;"'!C2:C1000")=$C17)
        ),
        5,
        FALSE
    )=0,
    "",
    VLOOKUP(
        $A17,
        _xlfn._xlws.FILTER(
            INDIRECT("'"&amp;P$14&amp;"'!A2:E1000"), (INDIRECT("'"&amp;P$14&amp;"'!B2:B1000")=$B17) * (INDIRECT("'"&amp;P$14&amp;"'!C2:C1000")=$C17)
        ),
        5,
        FALSE
    )
)</f>
        <v>Atrasado</v>
      </c>
      <c r="Q17" s="100" t="str">
        <f t="array" aca="1" ref="Q17" ca="1">IF(
    VLOOKUP(
        $A17,
        _xlfn._xlws.FILTER(
            INDIRECT("'"&amp;Q$14&amp;"'!A2:E1000"), (INDIRECT("'"&amp;Q$14&amp;"'!B2:B1000")=$B17) * (INDIRECT("'"&amp;Q$14&amp;"'!C2:C1000")=$C17)
        ),
        5,
        FALSE
    )=0,
    "",
    VLOOKUP(
        $A17,
        _xlfn._xlws.FILTER(
            INDIRECT("'"&amp;Q$14&amp;"'!A2:E1000"), (INDIRECT("'"&amp;Q$14&amp;"'!B2:B1000")=$B17) * (INDIRECT("'"&amp;Q$14&amp;"'!C2:C1000")=$C17)
        ),
        5,
        FALSE
    )
)</f>
        <v/>
      </c>
    </row>
    <row r="18" spans="1:17" ht="15.75" customHeight="1" x14ac:dyDescent="0.25">
      <c r="A18" s="102" t="s">
        <v>36</v>
      </c>
      <c r="B18" s="79" t="s">
        <v>100</v>
      </c>
      <c r="C18" s="79">
        <v>1</v>
      </c>
      <c r="D18" s="100" t="str">
        <f t="array" aca="1" ref="D18" ca="1">IF(
    VLOOKUP(
        $A18,
        _xlfn._xlws.FILTER(
            INDIRECT("'"&amp;D$14&amp;"'!A2:E1000"), (INDIRECT("'"&amp;D$14&amp;"'!B2:B1000")=$B18) * (INDIRECT("'"&amp;D$14&amp;"'!C2:C1000")=$C18)
        ),
        5,
        FALSE
    )=0,
    "",
    VLOOKUP(
        $A18,
        _xlfn._xlws.FILTER(
            INDIRECT("'"&amp;D$14&amp;"'!A2:E1000"), (INDIRECT("'"&amp;D$14&amp;"'!B2:B1000")=$B18) * (INDIRECT("'"&amp;D$14&amp;"'!C2:C1000")=$C18)
        ),
        5,
        FALSE
    )
)</f>
        <v>Enviado</v>
      </c>
      <c r="E18" s="100" t="str">
        <f t="array" aca="1" ref="E18" ca="1">IF(
    VLOOKUP(
        $A18,
        _xlfn._xlws.FILTER(
            INDIRECT("'"&amp;E$14&amp;"'!A2:E1000"), (INDIRECT("'"&amp;E$14&amp;"'!B2:B1000")=$B18) * (INDIRECT("'"&amp;E$14&amp;"'!C2:C1000")=$C18)
        ),
        5,
        FALSE
    )=0,
    "",
    VLOOKUP(
        $A18,
        _xlfn._xlws.FILTER(
            INDIRECT("'"&amp;E$14&amp;"'!A2:E1000"), (INDIRECT("'"&amp;E$14&amp;"'!B2:B1000")=$B18) * (INDIRECT("'"&amp;E$14&amp;"'!C2:C1000")=$C18)
        ),
        5,
        FALSE
    )
)</f>
        <v>Enviado</v>
      </c>
      <c r="F18" s="100" t="str">
        <f t="array" aca="1" ref="F18" ca="1">IF(
    VLOOKUP(
        $A18,
        _xlfn._xlws.FILTER(
            INDIRECT("'"&amp;F$14&amp;"'!A2:E1000"), (INDIRECT("'"&amp;F$14&amp;"'!B2:B1000")=$B18) * (INDIRECT("'"&amp;F$14&amp;"'!C2:C1000")=$C18)
        ),
        5,
        FALSE
    )=0,
    "",
    VLOOKUP(
        $A18,
        _xlfn._xlws.FILTER(
            INDIRECT("'"&amp;F$14&amp;"'!A2:E1000"), (INDIRECT("'"&amp;F$14&amp;"'!B2:B1000")=$B18) * (INDIRECT("'"&amp;F$14&amp;"'!C2:C1000")=$C18)
        ),
        5,
        FALSE
    )
)</f>
        <v>Enviado</v>
      </c>
      <c r="G18" s="100" t="str">
        <f t="array" aca="1" ref="G18" ca="1">IF(
    VLOOKUP(
        $A18,
        _xlfn._xlws.FILTER(
            INDIRECT("'"&amp;G$14&amp;"'!A2:E1000"), (INDIRECT("'"&amp;G$14&amp;"'!B2:B1000")=$B18) * (INDIRECT("'"&amp;G$14&amp;"'!C2:C1000")=$C18)
        ),
        5,
        FALSE
    )=0,
    "",
    VLOOKUP(
        $A18,
        _xlfn._xlws.FILTER(
            INDIRECT("'"&amp;G$14&amp;"'!A2:E1000"), (INDIRECT("'"&amp;G$14&amp;"'!B2:B1000")=$B18) * (INDIRECT("'"&amp;G$14&amp;"'!C2:C1000")=$C18)
        ),
        5,
        FALSE
    )
)</f>
        <v>Enviado</v>
      </c>
      <c r="H18" s="100" t="str">
        <f t="array" aca="1" ref="H18" ca="1">IF(
    VLOOKUP(
        $A18,
        _xlfn._xlws.FILTER(
            INDIRECT("'"&amp;H$14&amp;"'!A2:E1000"), (INDIRECT("'"&amp;H$14&amp;"'!B2:B1000")=$B18) * (INDIRECT("'"&amp;H$14&amp;"'!C2:C1000")=$C18)
        ),
        5,
        FALSE
    )=0,
    "",
    VLOOKUP(
        $A18,
        _xlfn._xlws.FILTER(
            INDIRECT("'"&amp;H$14&amp;"'!A2:E1000"), (INDIRECT("'"&amp;H$14&amp;"'!B2:B1000")=$B18) * (INDIRECT("'"&amp;H$14&amp;"'!C2:C1000")=$C18)
        ),
        5,
        FALSE
    )
)</f>
        <v>Enviado</v>
      </c>
      <c r="I18" s="100" t="str">
        <f t="array" aca="1" ref="I18" ca="1">IF(
    VLOOKUP(
        $A18,
        _xlfn._xlws.FILTER(
            INDIRECT("'"&amp;I$14&amp;"'!A2:E1000"), (INDIRECT("'"&amp;I$14&amp;"'!B2:B1000")=$B18) * (INDIRECT("'"&amp;I$14&amp;"'!C2:C1000")=$C18)
        ),
        5,
        FALSE
    )=0,
    "",
    VLOOKUP(
        $A18,
        _xlfn._xlws.FILTER(
            INDIRECT("'"&amp;I$14&amp;"'!A2:E1000"), (INDIRECT("'"&amp;I$14&amp;"'!B2:B1000")=$B18) * (INDIRECT("'"&amp;I$14&amp;"'!C2:C1000")=$C18)
        ),
        5,
        FALSE
    )
)</f>
        <v>Enviado</v>
      </c>
      <c r="J18" s="100" t="str">
        <f t="array" aca="1" ref="J18" ca="1">IF(
    VLOOKUP(
        $A18,
        _xlfn._xlws.FILTER(
            INDIRECT("'"&amp;J$14&amp;"'!A2:E1000"), (INDIRECT("'"&amp;J$14&amp;"'!B2:B1000")=$B18) * (INDIRECT("'"&amp;J$14&amp;"'!C2:C1000")=$C18)
        ),
        5,
        FALSE
    )=0,
    "",
    VLOOKUP(
        $A18,
        _xlfn._xlws.FILTER(
            INDIRECT("'"&amp;J$14&amp;"'!A2:E1000"), (INDIRECT("'"&amp;J$14&amp;"'!B2:B1000")=$B18) * (INDIRECT("'"&amp;J$14&amp;"'!C2:C1000")=$C18)
        ),
        5,
        FALSE
    )
)</f>
        <v>Enviado</v>
      </c>
      <c r="K18" s="100" t="str">
        <f t="array" aca="1" ref="K18" ca="1">IF(
    VLOOKUP(
        $A18,
        _xlfn._xlws.FILTER(
            INDIRECT("'"&amp;K$14&amp;"'!A2:E1000"), (INDIRECT("'"&amp;K$14&amp;"'!B2:B1000")=$B18) * (INDIRECT("'"&amp;K$14&amp;"'!C2:C1000")=$C18)
        ),
        5,
        FALSE
    )=0,
    "",
    VLOOKUP(
        $A18,
        _xlfn._xlws.FILTER(
            INDIRECT("'"&amp;K$14&amp;"'!A2:E1000"), (INDIRECT("'"&amp;K$14&amp;"'!B2:B1000")=$B18) * (INDIRECT("'"&amp;K$14&amp;"'!C2:C1000")=$C18)
        ),
        5,
        FALSE
    )
)</f>
        <v>Enviado</v>
      </c>
      <c r="L18" s="100" t="str">
        <f t="array" aca="1" ref="L18" ca="1">IF(
    VLOOKUP(
        $A18,
        _xlfn._xlws.FILTER(
            INDIRECT("'"&amp;L$14&amp;"'!A2:E1000"), (INDIRECT("'"&amp;L$14&amp;"'!B2:B1000")=$B18) * (INDIRECT("'"&amp;L$14&amp;"'!C2:C1000")=$C18)
        ),
        5,
        FALSE
    )=0,
    "",
    VLOOKUP(
        $A18,
        _xlfn._xlws.FILTER(
            INDIRECT("'"&amp;L$14&amp;"'!A2:E1000"), (INDIRECT("'"&amp;L$14&amp;"'!B2:B1000")=$B18) * (INDIRECT("'"&amp;L$14&amp;"'!C2:C1000")=$C18)
        ),
        5,
        FALSE
    )
)</f>
        <v>Enviado</v>
      </c>
      <c r="M18" s="100" t="str">
        <f t="array" aca="1" ref="M18" ca="1">IF(
    VLOOKUP(
        $A18,
        _xlfn._xlws.FILTER(
            INDIRECT("'"&amp;M$14&amp;"'!A2:E1000"), (INDIRECT("'"&amp;M$14&amp;"'!B2:B1000")=$B18) * (INDIRECT("'"&amp;M$14&amp;"'!C2:C1000")=$C18)
        ),
        5,
        FALSE
    )=0,
    "",
    VLOOKUP(
        $A18,
        _xlfn._xlws.FILTER(
            INDIRECT("'"&amp;M$14&amp;"'!A2:E1000"), (INDIRECT("'"&amp;M$14&amp;"'!B2:B1000")=$B18) * (INDIRECT("'"&amp;M$14&amp;"'!C2:C1000")=$C18)
        ),
        5,
        FALSE
    )
)</f>
        <v>Enviado</v>
      </c>
      <c r="N18" s="100" t="str">
        <f t="array" aca="1" ref="N18" ca="1">IF(
    VLOOKUP(
        $A18,
        _xlfn._xlws.FILTER(
            INDIRECT("'"&amp;N$14&amp;"'!A2:E1000"), (INDIRECT("'"&amp;N$14&amp;"'!B2:B1000")=$B18) * (INDIRECT("'"&amp;N$14&amp;"'!C2:C1000")=$C18)
        ),
        5,
        FALSE
    )=0,
    "",
    VLOOKUP(
        $A18,
        _xlfn._xlws.FILTER(
            INDIRECT("'"&amp;N$14&amp;"'!A2:E1000"), (INDIRECT("'"&amp;N$14&amp;"'!B2:B1000")=$B18) * (INDIRECT("'"&amp;N$14&amp;"'!C2:C1000")=$C18)
        ),
        5,
        FALSE
    )
)</f>
        <v>Enviado</v>
      </c>
      <c r="O18" s="100" t="str">
        <f t="array" aca="1" ref="O18" ca="1">IF(
    VLOOKUP(
        $A18,
        _xlfn._xlws.FILTER(
            INDIRECT("'"&amp;O$14&amp;"'!A2:E1000"), (INDIRECT("'"&amp;O$14&amp;"'!B2:B1000")=$B18) * (INDIRECT("'"&amp;O$14&amp;"'!C2:C1000")=$C18)
        ),
        5,
        FALSE
    )=0,
    "",
    VLOOKUP(
        $A18,
        _xlfn._xlws.FILTER(
            INDIRECT("'"&amp;O$14&amp;"'!A2:E1000"), (INDIRECT("'"&amp;O$14&amp;"'!B2:B1000")=$B18) * (INDIRECT("'"&amp;O$14&amp;"'!C2:C1000")=$C18)
        ),
        5,
        FALSE
    )
)</f>
        <v>Enviado</v>
      </c>
      <c r="P18" s="100" t="str">
        <f t="array" aca="1" ref="P18" ca="1">IF(
    VLOOKUP(
        $A18,
        _xlfn._xlws.FILTER(
            INDIRECT("'"&amp;P$14&amp;"'!A2:E1000"), (INDIRECT("'"&amp;P$14&amp;"'!B2:B1000")=$B18) * (INDIRECT("'"&amp;P$14&amp;"'!C2:C1000")=$C18)
        ),
        5,
        FALSE
    )=0,
    "",
    VLOOKUP(
        $A18,
        _xlfn._xlws.FILTER(
            INDIRECT("'"&amp;P$14&amp;"'!A2:E1000"), (INDIRECT("'"&amp;P$14&amp;"'!B2:B1000")=$B18) * (INDIRECT("'"&amp;P$14&amp;"'!C2:C1000")=$C18)
        ),
        5,
        FALSE
    )
)</f>
        <v>Enviado</v>
      </c>
      <c r="Q18" s="100" t="str">
        <f t="array" aca="1" ref="Q18" ca="1">IF(
    VLOOKUP(
        $A18,
        _xlfn._xlws.FILTER(
            INDIRECT("'"&amp;Q$14&amp;"'!A2:E1000"), (INDIRECT("'"&amp;Q$14&amp;"'!B2:B1000")=$B18) * (INDIRECT("'"&amp;Q$14&amp;"'!C2:C1000")=$C18)
        ),
        5,
        FALSE
    )=0,
    "",
    VLOOKUP(
        $A18,
        _xlfn._xlws.FILTER(
            INDIRECT("'"&amp;Q$14&amp;"'!A2:E1000"), (INDIRECT("'"&amp;Q$14&amp;"'!B2:B1000")=$B18) * (INDIRECT("'"&amp;Q$14&amp;"'!C2:C1000")=$C18)
        ),
        5,
        FALSE
    )
)</f>
        <v/>
      </c>
    </row>
    <row r="19" spans="1:17" ht="15.75" customHeight="1" x14ac:dyDescent="0.25">
      <c r="A19" s="102" t="s">
        <v>36</v>
      </c>
      <c r="B19" s="79" t="s">
        <v>77</v>
      </c>
      <c r="C19" s="79">
        <v>1</v>
      </c>
      <c r="D19" s="100" t="str">
        <f t="array" aca="1" ref="D19" ca="1">IF(
    VLOOKUP(
        $A19,
        _xlfn._xlws.FILTER(
            INDIRECT("'"&amp;D$14&amp;"'!A2:E1000"), (INDIRECT("'"&amp;D$14&amp;"'!B2:B1000")=$B19) * (INDIRECT("'"&amp;D$14&amp;"'!C2:C1000")=$C19)
        ),
        5,
        FALSE
    )=0,
    "",
    VLOOKUP(
        $A19,
        _xlfn._xlws.FILTER(
            INDIRECT("'"&amp;D$14&amp;"'!A2:E1000"), (INDIRECT("'"&amp;D$14&amp;"'!B2:B1000")=$B19) * (INDIRECT("'"&amp;D$14&amp;"'!C2:C1000")=$C19)
        ),
        5,
        FALSE
    )
)</f>
        <v>Enviado</v>
      </c>
      <c r="E19" s="100" t="str">
        <f t="array" aca="1" ref="E19" ca="1">IF(
    VLOOKUP(
        $A19,
        _xlfn._xlws.FILTER(
            INDIRECT("'"&amp;E$14&amp;"'!A2:E1000"), (INDIRECT("'"&amp;E$14&amp;"'!B2:B1000")=$B19) * (INDIRECT("'"&amp;E$14&amp;"'!C2:C1000")=$C19)
        ),
        5,
        FALSE
    )=0,
    "",
    VLOOKUP(
        $A19,
        _xlfn._xlws.FILTER(
            INDIRECT("'"&amp;E$14&amp;"'!A2:E1000"), (INDIRECT("'"&amp;E$14&amp;"'!B2:B1000")=$B19) * (INDIRECT("'"&amp;E$14&amp;"'!C2:C1000")=$C19)
        ),
        5,
        FALSE
    )
)</f>
        <v>Enviado</v>
      </c>
      <c r="F19" s="100" t="str">
        <f t="array" aca="1" ref="F19" ca="1">IF(
    VLOOKUP(
        $A19,
        _xlfn._xlws.FILTER(
            INDIRECT("'"&amp;F$14&amp;"'!A2:E1000"), (INDIRECT("'"&amp;F$14&amp;"'!B2:B1000")=$B19) * (INDIRECT("'"&amp;F$14&amp;"'!C2:C1000")=$C19)
        ),
        5,
        FALSE
    )=0,
    "",
    VLOOKUP(
        $A19,
        _xlfn._xlws.FILTER(
            INDIRECT("'"&amp;F$14&amp;"'!A2:E1000"), (INDIRECT("'"&amp;F$14&amp;"'!B2:B1000")=$B19) * (INDIRECT("'"&amp;F$14&amp;"'!C2:C1000")=$C19)
        ),
        5,
        FALSE
    )
)</f>
        <v>Enviado</v>
      </c>
      <c r="G19" s="100" t="str">
        <f t="array" aca="1" ref="G19" ca="1">IF(
    VLOOKUP(
        $A19,
        _xlfn._xlws.FILTER(
            INDIRECT("'"&amp;G$14&amp;"'!A2:E1000"), (INDIRECT("'"&amp;G$14&amp;"'!B2:B1000")=$B19) * (INDIRECT("'"&amp;G$14&amp;"'!C2:C1000")=$C19)
        ),
        5,
        FALSE
    )=0,
    "",
    VLOOKUP(
        $A19,
        _xlfn._xlws.FILTER(
            INDIRECT("'"&amp;G$14&amp;"'!A2:E1000"), (INDIRECT("'"&amp;G$14&amp;"'!B2:B1000")=$B19) * (INDIRECT("'"&amp;G$14&amp;"'!C2:C1000")=$C19)
        ),
        5,
        FALSE
    )
)</f>
        <v>Enviado</v>
      </c>
      <c r="H19" s="100" t="str">
        <f t="array" aca="1" ref="H19" ca="1">IF(
    VLOOKUP(
        $A19,
        _xlfn._xlws.FILTER(
            INDIRECT("'"&amp;H$14&amp;"'!A2:E1000"), (INDIRECT("'"&amp;H$14&amp;"'!B2:B1000")=$B19) * (INDIRECT("'"&amp;H$14&amp;"'!C2:C1000")=$C19)
        ),
        5,
        FALSE
    )=0,
    "",
    VLOOKUP(
        $A19,
        _xlfn._xlws.FILTER(
            INDIRECT("'"&amp;H$14&amp;"'!A2:E1000"), (INDIRECT("'"&amp;H$14&amp;"'!B2:B1000")=$B19) * (INDIRECT("'"&amp;H$14&amp;"'!C2:C1000")=$C19)
        ),
        5,
        FALSE
    )
)</f>
        <v>Enviado</v>
      </c>
      <c r="I19" s="100" t="str">
        <f t="array" aca="1" ref="I19" ca="1">IF(
    VLOOKUP(
        $A19,
        _xlfn._xlws.FILTER(
            INDIRECT("'"&amp;I$14&amp;"'!A2:E1000"), (INDIRECT("'"&amp;I$14&amp;"'!B2:B1000")=$B19) * (INDIRECT("'"&amp;I$14&amp;"'!C2:C1000")=$C19)
        ),
        5,
        FALSE
    )=0,
    "",
    VLOOKUP(
        $A19,
        _xlfn._xlws.FILTER(
            INDIRECT("'"&amp;I$14&amp;"'!A2:E1000"), (INDIRECT("'"&amp;I$14&amp;"'!B2:B1000")=$B19) * (INDIRECT("'"&amp;I$14&amp;"'!C2:C1000")=$C19)
        ),
        5,
        FALSE
    )
)</f>
        <v>Enviado</v>
      </c>
      <c r="J19" s="100" t="str">
        <f t="array" aca="1" ref="J19" ca="1">IF(
    VLOOKUP(
        $A19,
        _xlfn._xlws.FILTER(
            INDIRECT("'"&amp;J$14&amp;"'!A2:E1000"), (INDIRECT("'"&amp;J$14&amp;"'!B2:B1000")=$B19) * (INDIRECT("'"&amp;J$14&amp;"'!C2:C1000")=$C19)
        ),
        5,
        FALSE
    )=0,
    "",
    VLOOKUP(
        $A19,
        _xlfn._xlws.FILTER(
            INDIRECT("'"&amp;J$14&amp;"'!A2:E1000"), (INDIRECT("'"&amp;J$14&amp;"'!B2:B1000")=$B19) * (INDIRECT("'"&amp;J$14&amp;"'!C2:C1000")=$C19)
        ),
        5,
        FALSE
    )
)</f>
        <v>Enviado</v>
      </c>
      <c r="K19" s="100" t="str">
        <f t="array" aca="1" ref="K19" ca="1">IF(
    VLOOKUP(
        $A19,
        _xlfn._xlws.FILTER(
            INDIRECT("'"&amp;K$14&amp;"'!A2:E1000"), (INDIRECT("'"&amp;K$14&amp;"'!B2:B1000")=$B19) * (INDIRECT("'"&amp;K$14&amp;"'!C2:C1000")=$C19)
        ),
        5,
        FALSE
    )=0,
    "",
    VLOOKUP(
        $A19,
        _xlfn._xlws.FILTER(
            INDIRECT("'"&amp;K$14&amp;"'!A2:E1000"), (INDIRECT("'"&amp;K$14&amp;"'!B2:B1000")=$B19) * (INDIRECT("'"&amp;K$14&amp;"'!C2:C1000")=$C19)
        ),
        5,
        FALSE
    )
)</f>
        <v>Enviado</v>
      </c>
      <c r="L19" s="100" t="str">
        <f t="array" aca="1" ref="L19" ca="1">IF(
    VLOOKUP(
        $A19,
        _xlfn._xlws.FILTER(
            INDIRECT("'"&amp;L$14&amp;"'!A2:E1000"), (INDIRECT("'"&amp;L$14&amp;"'!B2:B1000")=$B19) * (INDIRECT("'"&amp;L$14&amp;"'!C2:C1000")=$C19)
        ),
        5,
        FALSE
    )=0,
    "",
    VLOOKUP(
        $A19,
        _xlfn._xlws.FILTER(
            INDIRECT("'"&amp;L$14&amp;"'!A2:E1000"), (INDIRECT("'"&amp;L$14&amp;"'!B2:B1000")=$B19) * (INDIRECT("'"&amp;L$14&amp;"'!C2:C1000")=$C19)
        ),
        5,
        FALSE
    )
)</f>
        <v>Enviado</v>
      </c>
      <c r="M19" s="100" t="str">
        <f t="array" aca="1" ref="M19" ca="1">IF(
    VLOOKUP(
        $A19,
        _xlfn._xlws.FILTER(
            INDIRECT("'"&amp;M$14&amp;"'!A2:E1000"), (INDIRECT("'"&amp;M$14&amp;"'!B2:B1000")=$B19) * (INDIRECT("'"&amp;M$14&amp;"'!C2:C1000")=$C19)
        ),
        5,
        FALSE
    )=0,
    "",
    VLOOKUP(
        $A19,
        _xlfn._xlws.FILTER(
            INDIRECT("'"&amp;M$14&amp;"'!A2:E1000"), (INDIRECT("'"&amp;M$14&amp;"'!B2:B1000")=$B19) * (INDIRECT("'"&amp;M$14&amp;"'!C2:C1000")=$C19)
        ),
        5,
        FALSE
    )
)</f>
        <v>Enviado</v>
      </c>
      <c r="N19" s="100" t="str">
        <f t="array" aca="1" ref="N19" ca="1">IF(
    VLOOKUP(
        $A19,
        _xlfn._xlws.FILTER(
            INDIRECT("'"&amp;N$14&amp;"'!A2:E1000"), (INDIRECT("'"&amp;N$14&amp;"'!B2:B1000")=$B19) * (INDIRECT("'"&amp;N$14&amp;"'!C2:C1000")=$C19)
        ),
        5,
        FALSE
    )=0,
    "",
    VLOOKUP(
        $A19,
        _xlfn._xlws.FILTER(
            INDIRECT("'"&amp;N$14&amp;"'!A2:E1000"), (INDIRECT("'"&amp;N$14&amp;"'!B2:B1000")=$B19) * (INDIRECT("'"&amp;N$14&amp;"'!C2:C1000")=$C19)
        ),
        5,
        FALSE
    )
)</f>
        <v>Enviado</v>
      </c>
      <c r="O19" s="100" t="str">
        <f t="array" aca="1" ref="O19" ca="1">IF(
    VLOOKUP(
        $A19,
        _xlfn._xlws.FILTER(
            INDIRECT("'"&amp;O$14&amp;"'!A2:E1000"), (INDIRECT("'"&amp;O$14&amp;"'!B2:B1000")=$B19) * (INDIRECT("'"&amp;O$14&amp;"'!C2:C1000")=$C19)
        ),
        5,
        FALSE
    )=0,
    "",
    VLOOKUP(
        $A19,
        _xlfn._xlws.FILTER(
            INDIRECT("'"&amp;O$14&amp;"'!A2:E1000"), (INDIRECT("'"&amp;O$14&amp;"'!B2:B1000")=$B19) * (INDIRECT("'"&amp;O$14&amp;"'!C2:C1000")=$C19)
        ),
        5,
        FALSE
    )
)</f>
        <v>Enviado</v>
      </c>
      <c r="P19" s="100" t="str">
        <f t="array" aca="1" ref="P19" ca="1">IF(
    VLOOKUP(
        $A19,
        _xlfn._xlws.FILTER(
            INDIRECT("'"&amp;P$14&amp;"'!A2:E1000"), (INDIRECT("'"&amp;P$14&amp;"'!B2:B1000")=$B19) * (INDIRECT("'"&amp;P$14&amp;"'!C2:C1000")=$C19)
        ),
        5,
        FALSE
    )=0,
    "",
    VLOOKUP(
        $A19,
        _xlfn._xlws.FILTER(
            INDIRECT("'"&amp;P$14&amp;"'!A2:E1000"), (INDIRECT("'"&amp;P$14&amp;"'!B2:B1000")=$B19) * (INDIRECT("'"&amp;P$14&amp;"'!C2:C1000")=$C19)
        ),
        5,
        FALSE
    )
)</f>
        <v>Enviado</v>
      </c>
      <c r="Q19" s="100" t="str">
        <f t="array" aca="1" ref="Q19" ca="1">IF(
    VLOOKUP(
        $A19,
        _xlfn._xlws.FILTER(
            INDIRECT("'"&amp;Q$14&amp;"'!A2:E1000"), (INDIRECT("'"&amp;Q$14&amp;"'!B2:B1000")=$B19) * (INDIRECT("'"&amp;Q$14&amp;"'!C2:C1000")=$C19)
        ),
        5,
        FALSE
    )=0,
    "",
    VLOOKUP(
        $A19,
        _xlfn._xlws.FILTER(
            INDIRECT("'"&amp;Q$14&amp;"'!A2:E1000"), (INDIRECT("'"&amp;Q$14&amp;"'!B2:B1000")=$B19) * (INDIRECT("'"&amp;Q$14&amp;"'!C2:C1000")=$C19)
        ),
        5,
        FALSE
    )
)</f>
        <v/>
      </c>
    </row>
    <row r="20" spans="1:17" ht="15.75" customHeight="1" x14ac:dyDescent="0.25">
      <c r="A20" s="102" t="s">
        <v>36</v>
      </c>
      <c r="B20" s="79" t="s">
        <v>101</v>
      </c>
      <c r="C20" s="79">
        <v>1</v>
      </c>
      <c r="D20" s="100" t="str">
        <f t="array" aca="1" ref="D20" ca="1">IF(
    VLOOKUP(
        $A20,
        _xlfn._xlws.FILTER(
            INDIRECT("'"&amp;D$14&amp;"'!A2:E1000"), (INDIRECT("'"&amp;D$14&amp;"'!B2:B1000")=$B20) * (INDIRECT("'"&amp;D$14&amp;"'!C2:C1000")=$C20)
        ),
        5,
        FALSE
    )=0,
    "",
    VLOOKUP(
        $A20,
        _xlfn._xlws.FILTER(
            INDIRECT("'"&amp;D$14&amp;"'!A2:E1000"), (INDIRECT("'"&amp;D$14&amp;"'!B2:B1000")=$B20) * (INDIRECT("'"&amp;D$14&amp;"'!C2:C1000")=$C20)
        ),
        5,
        FALSE
    )
)</f>
        <v>Enviado</v>
      </c>
      <c r="E20" s="100" t="str">
        <f t="array" aca="1" ref="E20" ca="1">IF(
    VLOOKUP(
        $A20,
        _xlfn._xlws.FILTER(
            INDIRECT("'"&amp;E$14&amp;"'!A2:E1000"), (INDIRECT("'"&amp;E$14&amp;"'!B2:B1000")=$B20) * (INDIRECT("'"&amp;E$14&amp;"'!C2:C1000")=$C20)
        ),
        5,
        FALSE
    )=0,
    "",
    VLOOKUP(
        $A20,
        _xlfn._xlws.FILTER(
            INDIRECT("'"&amp;E$14&amp;"'!A2:E1000"), (INDIRECT("'"&amp;E$14&amp;"'!B2:B1000")=$B20) * (INDIRECT("'"&amp;E$14&amp;"'!C2:C1000")=$C20)
        ),
        5,
        FALSE
    )
)</f>
        <v>Enviado</v>
      </c>
      <c r="F20" s="100" t="str">
        <f t="array" aca="1" ref="F20" ca="1">IF(
    VLOOKUP(
        $A20,
        _xlfn._xlws.FILTER(
            INDIRECT("'"&amp;F$14&amp;"'!A2:E1000"), (INDIRECT("'"&amp;F$14&amp;"'!B2:B1000")=$B20) * (INDIRECT("'"&amp;F$14&amp;"'!C2:C1000")=$C20)
        ),
        5,
        FALSE
    )=0,
    "",
    VLOOKUP(
        $A20,
        _xlfn._xlws.FILTER(
            INDIRECT("'"&amp;F$14&amp;"'!A2:E1000"), (INDIRECT("'"&amp;F$14&amp;"'!B2:B1000")=$B20) * (INDIRECT("'"&amp;F$14&amp;"'!C2:C1000")=$C20)
        ),
        5,
        FALSE
    )
)</f>
        <v>Enviado</v>
      </c>
      <c r="G20" s="100" t="str">
        <f t="array" aca="1" ref="G20" ca="1">IF(
    VLOOKUP(
        $A20,
        _xlfn._xlws.FILTER(
            INDIRECT("'"&amp;G$14&amp;"'!A2:E1000"), (INDIRECT("'"&amp;G$14&amp;"'!B2:B1000")=$B20) * (INDIRECT("'"&amp;G$14&amp;"'!C2:C1000")=$C20)
        ),
        5,
        FALSE
    )=0,
    "",
    VLOOKUP(
        $A20,
        _xlfn._xlws.FILTER(
            INDIRECT("'"&amp;G$14&amp;"'!A2:E1000"), (INDIRECT("'"&amp;G$14&amp;"'!B2:B1000")=$B20) * (INDIRECT("'"&amp;G$14&amp;"'!C2:C1000")=$C20)
        ),
        5,
        FALSE
    )
)</f>
        <v>Enviado</v>
      </c>
      <c r="H20" s="100" t="str">
        <f t="array" aca="1" ref="H20" ca="1">IF(
    VLOOKUP(
        $A20,
        _xlfn._xlws.FILTER(
            INDIRECT("'"&amp;H$14&amp;"'!A2:E1000"), (INDIRECT("'"&amp;H$14&amp;"'!B2:B1000")=$B20) * (INDIRECT("'"&amp;H$14&amp;"'!C2:C1000")=$C20)
        ),
        5,
        FALSE
    )=0,
    "",
    VLOOKUP(
        $A20,
        _xlfn._xlws.FILTER(
            INDIRECT("'"&amp;H$14&amp;"'!A2:E1000"), (INDIRECT("'"&amp;H$14&amp;"'!B2:B1000")=$B20) * (INDIRECT("'"&amp;H$14&amp;"'!C2:C1000")=$C20)
        ),
        5,
        FALSE
    )
)</f>
        <v>Enviado</v>
      </c>
      <c r="I20" s="100" t="str">
        <f t="array" aca="1" ref="I20" ca="1">IF(
    VLOOKUP(
        $A20,
        _xlfn._xlws.FILTER(
            INDIRECT("'"&amp;I$14&amp;"'!A2:E1000"), (INDIRECT("'"&amp;I$14&amp;"'!B2:B1000")=$B20) * (INDIRECT("'"&amp;I$14&amp;"'!C2:C1000")=$C20)
        ),
        5,
        FALSE
    )=0,
    "",
    VLOOKUP(
        $A20,
        _xlfn._xlws.FILTER(
            INDIRECT("'"&amp;I$14&amp;"'!A2:E1000"), (INDIRECT("'"&amp;I$14&amp;"'!B2:B1000")=$B20) * (INDIRECT("'"&amp;I$14&amp;"'!C2:C1000")=$C20)
        ),
        5,
        FALSE
    )
)</f>
        <v>Enviado</v>
      </c>
      <c r="J20" s="100" t="str">
        <f t="array" aca="1" ref="J20" ca="1">IF(
    VLOOKUP(
        $A20,
        _xlfn._xlws.FILTER(
            INDIRECT("'"&amp;J$14&amp;"'!A2:E1000"), (INDIRECT("'"&amp;J$14&amp;"'!B2:B1000")=$B20) * (INDIRECT("'"&amp;J$14&amp;"'!C2:C1000")=$C20)
        ),
        5,
        FALSE
    )=0,
    "",
    VLOOKUP(
        $A20,
        _xlfn._xlws.FILTER(
            INDIRECT("'"&amp;J$14&amp;"'!A2:E1000"), (INDIRECT("'"&amp;J$14&amp;"'!B2:B1000")=$B20) * (INDIRECT("'"&amp;J$14&amp;"'!C2:C1000")=$C20)
        ),
        5,
        FALSE
    )
)</f>
        <v>Enviado</v>
      </c>
      <c r="K20" s="100" t="str">
        <f t="array" aca="1" ref="K20" ca="1">IF(
    VLOOKUP(
        $A20,
        _xlfn._xlws.FILTER(
            INDIRECT("'"&amp;K$14&amp;"'!A2:E1000"), (INDIRECT("'"&amp;K$14&amp;"'!B2:B1000")=$B20) * (INDIRECT("'"&amp;K$14&amp;"'!C2:C1000")=$C20)
        ),
        5,
        FALSE
    )=0,
    "",
    VLOOKUP(
        $A20,
        _xlfn._xlws.FILTER(
            INDIRECT("'"&amp;K$14&amp;"'!A2:E1000"), (INDIRECT("'"&amp;K$14&amp;"'!B2:B1000")=$B20) * (INDIRECT("'"&amp;K$14&amp;"'!C2:C1000")=$C20)
        ),
        5,
        FALSE
    )
)</f>
        <v>Enviado</v>
      </c>
      <c r="L20" s="100" t="str">
        <f t="array" aca="1" ref="L20" ca="1">IF(
    VLOOKUP(
        $A20,
        _xlfn._xlws.FILTER(
            INDIRECT("'"&amp;L$14&amp;"'!A2:E1000"), (INDIRECT("'"&amp;L$14&amp;"'!B2:B1000")=$B20) * (INDIRECT("'"&amp;L$14&amp;"'!C2:C1000")=$C20)
        ),
        5,
        FALSE
    )=0,
    "",
    VLOOKUP(
        $A20,
        _xlfn._xlws.FILTER(
            INDIRECT("'"&amp;L$14&amp;"'!A2:E1000"), (INDIRECT("'"&amp;L$14&amp;"'!B2:B1000")=$B20) * (INDIRECT("'"&amp;L$14&amp;"'!C2:C1000")=$C20)
        ),
        5,
        FALSE
    )
)</f>
        <v>Enviado</v>
      </c>
      <c r="M20" s="100" t="str">
        <f t="array" aca="1" ref="M20" ca="1">IF(
    VLOOKUP(
        $A20,
        _xlfn._xlws.FILTER(
            INDIRECT("'"&amp;M$14&amp;"'!A2:E1000"), (INDIRECT("'"&amp;M$14&amp;"'!B2:B1000")=$B20) * (INDIRECT("'"&amp;M$14&amp;"'!C2:C1000")=$C20)
        ),
        5,
        FALSE
    )=0,
    "",
    VLOOKUP(
        $A20,
        _xlfn._xlws.FILTER(
            INDIRECT("'"&amp;M$14&amp;"'!A2:E1000"), (INDIRECT("'"&amp;M$14&amp;"'!B2:B1000")=$B20) * (INDIRECT("'"&amp;M$14&amp;"'!C2:C1000")=$C20)
        ),
        5,
        FALSE
    )
)</f>
        <v>Enviado</v>
      </c>
      <c r="N20" s="100" t="str">
        <f t="array" aca="1" ref="N20" ca="1">IF(
    VLOOKUP(
        $A20,
        _xlfn._xlws.FILTER(
            INDIRECT("'"&amp;N$14&amp;"'!A2:E1000"), (INDIRECT("'"&amp;N$14&amp;"'!B2:B1000")=$B20) * (INDIRECT("'"&amp;N$14&amp;"'!C2:C1000")=$C20)
        ),
        5,
        FALSE
    )=0,
    "",
    VLOOKUP(
        $A20,
        _xlfn._xlws.FILTER(
            INDIRECT("'"&amp;N$14&amp;"'!A2:E1000"), (INDIRECT("'"&amp;N$14&amp;"'!B2:B1000")=$B20) * (INDIRECT("'"&amp;N$14&amp;"'!C2:C1000")=$C20)
        ),
        5,
        FALSE
    )
)</f>
        <v>Enviado</v>
      </c>
      <c r="O20" s="100" t="str">
        <f t="array" aca="1" ref="O20" ca="1">IF(
    VLOOKUP(
        $A20,
        _xlfn._xlws.FILTER(
            INDIRECT("'"&amp;O$14&amp;"'!A2:E1000"), (INDIRECT("'"&amp;O$14&amp;"'!B2:B1000")=$B20) * (INDIRECT("'"&amp;O$14&amp;"'!C2:C1000")=$C20)
        ),
        5,
        FALSE
    )=0,
    "",
    VLOOKUP(
        $A20,
        _xlfn._xlws.FILTER(
            INDIRECT("'"&amp;O$14&amp;"'!A2:E1000"), (INDIRECT("'"&amp;O$14&amp;"'!B2:B1000")=$B20) * (INDIRECT("'"&amp;O$14&amp;"'!C2:C1000")=$C20)
        ),
        5,
        FALSE
    )
)</f>
        <v>Enviado</v>
      </c>
      <c r="P20" s="100" t="str">
        <f t="array" aca="1" ref="P20" ca="1">IF(
    VLOOKUP(
        $A20,
        _xlfn._xlws.FILTER(
            INDIRECT("'"&amp;P$14&amp;"'!A2:E1000"), (INDIRECT("'"&amp;P$14&amp;"'!B2:B1000")=$B20) * (INDIRECT("'"&amp;P$14&amp;"'!C2:C1000")=$C20)
        ),
        5,
        FALSE
    )=0,
    "",
    VLOOKUP(
        $A20,
        _xlfn._xlws.FILTER(
            INDIRECT("'"&amp;P$14&amp;"'!A2:E1000"), (INDIRECT("'"&amp;P$14&amp;"'!B2:B1000")=$B20) * (INDIRECT("'"&amp;P$14&amp;"'!C2:C1000")=$C20)
        ),
        5,
        FALSE
    )
)</f>
        <v>Enviado</v>
      </c>
      <c r="Q20" s="100" t="str">
        <f t="array" aca="1" ref="Q20" ca="1">IF(
    VLOOKUP(
        $A20,
        _xlfn._xlws.FILTER(
            INDIRECT("'"&amp;Q$14&amp;"'!A2:E1000"), (INDIRECT("'"&amp;Q$14&amp;"'!B2:B1000")=$B20) * (INDIRECT("'"&amp;Q$14&amp;"'!C2:C1000")=$C20)
        ),
        5,
        FALSE
    )=0,
    "",
    VLOOKUP(
        $A20,
        _xlfn._xlws.FILTER(
            INDIRECT("'"&amp;Q$14&amp;"'!A2:E1000"), (INDIRECT("'"&amp;Q$14&amp;"'!B2:B1000")=$B20) * (INDIRECT("'"&amp;Q$14&amp;"'!C2:C1000")=$C20)
        ),
        5,
        FALSE
    )
)</f>
        <v/>
      </c>
    </row>
    <row r="21" spans="1:17" ht="15.75" customHeight="1" x14ac:dyDescent="0.25">
      <c r="A21" s="102" t="s">
        <v>36</v>
      </c>
      <c r="B21" s="79" t="s">
        <v>102</v>
      </c>
      <c r="C21" s="79">
        <v>1</v>
      </c>
      <c r="D21" s="100" t="str">
        <f t="array" aca="1" ref="D21" ca="1">IF(
    VLOOKUP(
        $A21,
        _xlfn._xlws.FILTER(
            INDIRECT("'"&amp;D$14&amp;"'!A2:E1000"), (INDIRECT("'"&amp;D$14&amp;"'!B2:B1000")=$B21) * (INDIRECT("'"&amp;D$14&amp;"'!C2:C1000")=$C21)
        ),
        5,
        FALSE
    )=0,
    "",
    VLOOKUP(
        $A21,
        _xlfn._xlws.FILTER(
            INDIRECT("'"&amp;D$14&amp;"'!A2:E1000"), (INDIRECT("'"&amp;D$14&amp;"'!B2:B1000")=$B21) * (INDIRECT("'"&amp;D$14&amp;"'!C2:C1000")=$C21)
        ),
        5,
        FALSE
    )
)</f>
        <v>Enviado</v>
      </c>
      <c r="E21" s="100" t="str">
        <f t="array" aca="1" ref="E21" ca="1">IF(
    VLOOKUP(
        $A21,
        _xlfn._xlws.FILTER(
            INDIRECT("'"&amp;E$14&amp;"'!A2:E1000"), (INDIRECT("'"&amp;E$14&amp;"'!B2:B1000")=$B21) * (INDIRECT("'"&amp;E$14&amp;"'!C2:C1000")=$C21)
        ),
        5,
        FALSE
    )=0,
    "",
    VLOOKUP(
        $A21,
        _xlfn._xlws.FILTER(
            INDIRECT("'"&amp;E$14&amp;"'!A2:E1000"), (INDIRECT("'"&amp;E$14&amp;"'!B2:B1000")=$B21) * (INDIRECT("'"&amp;E$14&amp;"'!C2:C1000")=$C21)
        ),
        5,
        FALSE
    )
)</f>
        <v>Enviado</v>
      </c>
      <c r="F21" s="100" t="str">
        <f t="array" aca="1" ref="F21" ca="1">IF(
    VLOOKUP(
        $A21,
        _xlfn._xlws.FILTER(
            INDIRECT("'"&amp;F$14&amp;"'!A2:E1000"), (INDIRECT("'"&amp;F$14&amp;"'!B2:B1000")=$B21) * (INDIRECT("'"&amp;F$14&amp;"'!C2:C1000")=$C21)
        ),
        5,
        FALSE
    )=0,
    "",
    VLOOKUP(
        $A21,
        _xlfn._xlws.FILTER(
            INDIRECT("'"&amp;F$14&amp;"'!A2:E1000"), (INDIRECT("'"&amp;F$14&amp;"'!B2:B1000")=$B21) * (INDIRECT("'"&amp;F$14&amp;"'!C2:C1000")=$C21)
        ),
        5,
        FALSE
    )
)</f>
        <v>Enviado</v>
      </c>
      <c r="G21" s="100" t="str">
        <f t="array" aca="1" ref="G21" ca="1">IF(
    VLOOKUP(
        $A21,
        _xlfn._xlws.FILTER(
            INDIRECT("'"&amp;G$14&amp;"'!A2:E1000"), (INDIRECT("'"&amp;G$14&amp;"'!B2:B1000")=$B21) * (INDIRECT("'"&amp;G$14&amp;"'!C2:C1000")=$C21)
        ),
        5,
        FALSE
    )=0,
    "",
    VLOOKUP(
        $A21,
        _xlfn._xlws.FILTER(
            INDIRECT("'"&amp;G$14&amp;"'!A2:E1000"), (INDIRECT("'"&amp;G$14&amp;"'!B2:B1000")=$B21) * (INDIRECT("'"&amp;G$14&amp;"'!C2:C1000")=$C21)
        ),
        5,
        FALSE
    )
)</f>
        <v>Enviado</v>
      </c>
      <c r="H21" s="100" t="str">
        <f t="array" aca="1" ref="H21" ca="1">IF(
    VLOOKUP(
        $A21,
        _xlfn._xlws.FILTER(
            INDIRECT("'"&amp;H$14&amp;"'!A2:E1000"), (INDIRECT("'"&amp;H$14&amp;"'!B2:B1000")=$B21) * (INDIRECT("'"&amp;H$14&amp;"'!C2:C1000")=$C21)
        ),
        5,
        FALSE
    )=0,
    "",
    VLOOKUP(
        $A21,
        _xlfn._xlws.FILTER(
            INDIRECT("'"&amp;H$14&amp;"'!A2:E1000"), (INDIRECT("'"&amp;H$14&amp;"'!B2:B1000")=$B21) * (INDIRECT("'"&amp;H$14&amp;"'!C2:C1000")=$C21)
        ),
        5,
        FALSE
    )
)</f>
        <v>Enviado</v>
      </c>
      <c r="I21" s="100" t="str">
        <f t="array" aca="1" ref="I21" ca="1">IF(
    VLOOKUP(
        $A21,
        _xlfn._xlws.FILTER(
            INDIRECT("'"&amp;I$14&amp;"'!A2:E1000"), (INDIRECT("'"&amp;I$14&amp;"'!B2:B1000")=$B21) * (INDIRECT("'"&amp;I$14&amp;"'!C2:C1000")=$C21)
        ),
        5,
        FALSE
    )=0,
    "",
    VLOOKUP(
        $A21,
        _xlfn._xlws.FILTER(
            INDIRECT("'"&amp;I$14&amp;"'!A2:E1000"), (INDIRECT("'"&amp;I$14&amp;"'!B2:B1000")=$B21) * (INDIRECT("'"&amp;I$14&amp;"'!C2:C1000")=$C21)
        ),
        5,
        FALSE
    )
)</f>
        <v>Enviado</v>
      </c>
      <c r="J21" s="100" t="str">
        <f t="array" aca="1" ref="J21" ca="1">IF(
    VLOOKUP(
        $A21,
        _xlfn._xlws.FILTER(
            INDIRECT("'"&amp;J$14&amp;"'!A2:E1000"), (INDIRECT("'"&amp;J$14&amp;"'!B2:B1000")=$B21) * (INDIRECT("'"&amp;J$14&amp;"'!C2:C1000")=$C21)
        ),
        5,
        FALSE
    )=0,
    "",
    VLOOKUP(
        $A21,
        _xlfn._xlws.FILTER(
            INDIRECT("'"&amp;J$14&amp;"'!A2:E1000"), (INDIRECT("'"&amp;J$14&amp;"'!B2:B1000")=$B21) * (INDIRECT("'"&amp;J$14&amp;"'!C2:C1000")=$C21)
        ),
        5,
        FALSE
    )
)</f>
        <v>Enviado</v>
      </c>
      <c r="K21" s="100" t="str">
        <f t="array" aca="1" ref="K21" ca="1">IF(
    VLOOKUP(
        $A21,
        _xlfn._xlws.FILTER(
            INDIRECT("'"&amp;K$14&amp;"'!A2:E1000"), (INDIRECT("'"&amp;K$14&amp;"'!B2:B1000")=$B21) * (INDIRECT("'"&amp;K$14&amp;"'!C2:C1000")=$C21)
        ),
        5,
        FALSE
    )=0,
    "",
    VLOOKUP(
        $A21,
        _xlfn._xlws.FILTER(
            INDIRECT("'"&amp;K$14&amp;"'!A2:E1000"), (INDIRECT("'"&amp;K$14&amp;"'!B2:B1000")=$B21) * (INDIRECT("'"&amp;K$14&amp;"'!C2:C1000")=$C21)
        ),
        5,
        FALSE
    )
)</f>
        <v>Enviado</v>
      </c>
      <c r="L21" s="100" t="str">
        <f t="array" aca="1" ref="L21" ca="1">IF(
    VLOOKUP(
        $A21,
        _xlfn._xlws.FILTER(
            INDIRECT("'"&amp;L$14&amp;"'!A2:E1000"), (INDIRECT("'"&amp;L$14&amp;"'!B2:B1000")=$B21) * (INDIRECT("'"&amp;L$14&amp;"'!C2:C1000")=$C21)
        ),
        5,
        FALSE
    )=0,
    "",
    VLOOKUP(
        $A21,
        _xlfn._xlws.FILTER(
            INDIRECT("'"&amp;L$14&amp;"'!A2:E1000"), (INDIRECT("'"&amp;L$14&amp;"'!B2:B1000")=$B21) * (INDIRECT("'"&amp;L$14&amp;"'!C2:C1000")=$C21)
        ),
        5,
        FALSE
    )
)</f>
        <v>Enviado</v>
      </c>
      <c r="M21" s="100" t="str">
        <f t="array" aca="1" ref="M21" ca="1">IF(
    VLOOKUP(
        $A21,
        _xlfn._xlws.FILTER(
            INDIRECT("'"&amp;M$14&amp;"'!A2:E1000"), (INDIRECT("'"&amp;M$14&amp;"'!B2:B1000")=$B21) * (INDIRECT("'"&amp;M$14&amp;"'!C2:C1000")=$C21)
        ),
        5,
        FALSE
    )=0,
    "",
    VLOOKUP(
        $A21,
        _xlfn._xlws.FILTER(
            INDIRECT("'"&amp;M$14&amp;"'!A2:E1000"), (INDIRECT("'"&amp;M$14&amp;"'!B2:B1000")=$B21) * (INDIRECT("'"&amp;M$14&amp;"'!C2:C1000")=$C21)
        ),
        5,
        FALSE
    )
)</f>
        <v>Enviado</v>
      </c>
      <c r="N21" s="100" t="str">
        <f t="array" aca="1" ref="N21" ca="1">IF(
    VLOOKUP(
        $A21,
        _xlfn._xlws.FILTER(
            INDIRECT("'"&amp;N$14&amp;"'!A2:E1000"), (INDIRECT("'"&amp;N$14&amp;"'!B2:B1000")=$B21) * (INDIRECT("'"&amp;N$14&amp;"'!C2:C1000")=$C21)
        ),
        5,
        FALSE
    )=0,
    "",
    VLOOKUP(
        $A21,
        _xlfn._xlws.FILTER(
            INDIRECT("'"&amp;N$14&amp;"'!A2:E1000"), (INDIRECT("'"&amp;N$14&amp;"'!B2:B1000")=$B21) * (INDIRECT("'"&amp;N$14&amp;"'!C2:C1000")=$C21)
        ),
        5,
        FALSE
    )
)</f>
        <v>Enviado</v>
      </c>
      <c r="O21" s="100" t="str">
        <f t="array" aca="1" ref="O21" ca="1">IF(
    VLOOKUP(
        $A21,
        _xlfn._xlws.FILTER(
            INDIRECT("'"&amp;O$14&amp;"'!A2:E1000"), (INDIRECT("'"&amp;O$14&amp;"'!B2:B1000")=$B21) * (INDIRECT("'"&amp;O$14&amp;"'!C2:C1000")=$C21)
        ),
        5,
        FALSE
    )=0,
    "",
    VLOOKUP(
        $A21,
        _xlfn._xlws.FILTER(
            INDIRECT("'"&amp;O$14&amp;"'!A2:E1000"), (INDIRECT("'"&amp;O$14&amp;"'!B2:B1000")=$B21) * (INDIRECT("'"&amp;O$14&amp;"'!C2:C1000")=$C21)
        ),
        5,
        FALSE
    )
)</f>
        <v>Enviado</v>
      </c>
      <c r="P21" s="100" t="str">
        <f t="array" aca="1" ref="P21" ca="1">IF(
    VLOOKUP(
        $A21,
        _xlfn._xlws.FILTER(
            INDIRECT("'"&amp;P$14&amp;"'!A2:E1000"), (INDIRECT("'"&amp;P$14&amp;"'!B2:B1000")=$B21) * (INDIRECT("'"&amp;P$14&amp;"'!C2:C1000")=$C21)
        ),
        5,
        FALSE
    )=0,
    "",
    VLOOKUP(
        $A21,
        _xlfn._xlws.FILTER(
            INDIRECT("'"&amp;P$14&amp;"'!A2:E1000"), (INDIRECT("'"&amp;P$14&amp;"'!B2:B1000")=$B21) * (INDIRECT("'"&amp;P$14&amp;"'!C2:C1000")=$C21)
        ),
        5,
        FALSE
    )
)</f>
        <v>Enviado</v>
      </c>
      <c r="Q21" s="100" t="str">
        <f t="array" aca="1" ref="Q21" ca="1">IF(
    VLOOKUP(
        $A21,
        _xlfn._xlws.FILTER(
            INDIRECT("'"&amp;Q$14&amp;"'!A2:E1000"), (INDIRECT("'"&amp;Q$14&amp;"'!B2:B1000")=$B21) * (INDIRECT("'"&amp;Q$14&amp;"'!C2:C1000")=$C21)
        ),
        5,
        FALSE
    )=0,
    "",
    VLOOKUP(
        $A21,
        _xlfn._xlws.FILTER(
            INDIRECT("'"&amp;Q$14&amp;"'!A2:E1000"), (INDIRECT("'"&amp;Q$14&amp;"'!B2:B1000")=$B21) * (INDIRECT("'"&amp;Q$14&amp;"'!C2:C1000")=$C21)
        ),
        5,
        FALSE
    )
)</f>
        <v/>
      </c>
    </row>
    <row r="22" spans="1:17" ht="15.75" customHeight="1" x14ac:dyDescent="0.25">
      <c r="A22" s="102" t="s">
        <v>36</v>
      </c>
      <c r="B22" s="79" t="s">
        <v>103</v>
      </c>
      <c r="C22" s="79">
        <v>1</v>
      </c>
      <c r="D22" s="100" t="str">
        <f t="array" aca="1" ref="D22" ca="1">IF(
    VLOOKUP(
        $A22,
        _xlfn._xlws.FILTER(
            INDIRECT("'"&amp;D$14&amp;"'!A2:E1000"), (INDIRECT("'"&amp;D$14&amp;"'!B2:B1000")=$B22) * (INDIRECT("'"&amp;D$14&amp;"'!C2:C1000")=$C22)
        ),
        5,
        FALSE
    )=0,
    "",
    VLOOKUP(
        $A22,
        _xlfn._xlws.FILTER(
            INDIRECT("'"&amp;D$14&amp;"'!A2:E1000"), (INDIRECT("'"&amp;D$14&amp;"'!B2:B1000")=$B22) * (INDIRECT("'"&amp;D$14&amp;"'!C2:C1000")=$C22)
        ),
        5,
        FALSE
    )
)</f>
        <v>Enviado</v>
      </c>
      <c r="E22" s="100" t="str">
        <f t="array" aca="1" ref="E22" ca="1">IF(
    VLOOKUP(
        $A22,
        _xlfn._xlws.FILTER(
            INDIRECT("'"&amp;E$14&amp;"'!A2:E1000"), (INDIRECT("'"&amp;E$14&amp;"'!B2:B1000")=$B22) * (INDIRECT("'"&amp;E$14&amp;"'!C2:C1000")=$C22)
        ),
        5,
        FALSE
    )=0,
    "",
    VLOOKUP(
        $A22,
        _xlfn._xlws.FILTER(
            INDIRECT("'"&amp;E$14&amp;"'!A2:E1000"), (INDIRECT("'"&amp;E$14&amp;"'!B2:B1000")=$B22) * (INDIRECT("'"&amp;E$14&amp;"'!C2:C1000")=$C22)
        ),
        5,
        FALSE
    )
)</f>
        <v>Enviado</v>
      </c>
      <c r="F22" s="100" t="str">
        <f t="array" aca="1" ref="F22" ca="1">IF(
    VLOOKUP(
        $A22,
        _xlfn._xlws.FILTER(
            INDIRECT("'"&amp;F$14&amp;"'!A2:E1000"), (INDIRECT("'"&amp;F$14&amp;"'!B2:B1000")=$B22) * (INDIRECT("'"&amp;F$14&amp;"'!C2:C1000")=$C22)
        ),
        5,
        FALSE
    )=0,
    "",
    VLOOKUP(
        $A22,
        _xlfn._xlws.FILTER(
            INDIRECT("'"&amp;F$14&amp;"'!A2:E1000"), (INDIRECT("'"&amp;F$14&amp;"'!B2:B1000")=$B22) * (INDIRECT("'"&amp;F$14&amp;"'!C2:C1000")=$C22)
        ),
        5,
        FALSE
    )
)</f>
        <v>Enviado</v>
      </c>
      <c r="G22" s="100" t="str">
        <f t="array" aca="1" ref="G22" ca="1">IF(
    VLOOKUP(
        $A22,
        _xlfn._xlws.FILTER(
            INDIRECT("'"&amp;G$14&amp;"'!A2:E1000"), (INDIRECT("'"&amp;G$14&amp;"'!B2:B1000")=$B22) * (INDIRECT("'"&amp;G$14&amp;"'!C2:C1000")=$C22)
        ),
        5,
        FALSE
    )=0,
    "",
    VLOOKUP(
        $A22,
        _xlfn._xlws.FILTER(
            INDIRECT("'"&amp;G$14&amp;"'!A2:E1000"), (INDIRECT("'"&amp;G$14&amp;"'!B2:B1000")=$B22) * (INDIRECT("'"&amp;G$14&amp;"'!C2:C1000")=$C22)
        ),
        5,
        FALSE
    )
)</f>
        <v>Enviado</v>
      </c>
      <c r="H22" s="100" t="str">
        <f t="array" aca="1" ref="H22" ca="1">IF(
    VLOOKUP(
        $A22,
        _xlfn._xlws.FILTER(
            INDIRECT("'"&amp;H$14&amp;"'!A2:E1000"), (INDIRECT("'"&amp;H$14&amp;"'!B2:B1000")=$B22) * (INDIRECT("'"&amp;H$14&amp;"'!C2:C1000")=$C22)
        ),
        5,
        FALSE
    )=0,
    "",
    VLOOKUP(
        $A22,
        _xlfn._xlws.FILTER(
            INDIRECT("'"&amp;H$14&amp;"'!A2:E1000"), (INDIRECT("'"&amp;H$14&amp;"'!B2:B1000")=$B22) * (INDIRECT("'"&amp;H$14&amp;"'!C2:C1000")=$C22)
        ),
        5,
        FALSE
    )
)</f>
        <v>Enviado</v>
      </c>
      <c r="I22" s="100" t="str">
        <f t="array" aca="1" ref="I22" ca="1">IF(
    VLOOKUP(
        $A22,
        _xlfn._xlws.FILTER(
            INDIRECT("'"&amp;I$14&amp;"'!A2:E1000"), (INDIRECT("'"&amp;I$14&amp;"'!B2:B1000")=$B22) * (INDIRECT("'"&amp;I$14&amp;"'!C2:C1000")=$C22)
        ),
        5,
        FALSE
    )=0,
    "",
    VLOOKUP(
        $A22,
        _xlfn._xlws.FILTER(
            INDIRECT("'"&amp;I$14&amp;"'!A2:E1000"), (INDIRECT("'"&amp;I$14&amp;"'!B2:B1000")=$B22) * (INDIRECT("'"&amp;I$14&amp;"'!C2:C1000")=$C22)
        ),
        5,
        FALSE
    )
)</f>
        <v>Enviado</v>
      </c>
      <c r="J22" s="100" t="str">
        <f t="array" aca="1" ref="J22" ca="1">IF(
    VLOOKUP(
        $A22,
        _xlfn._xlws.FILTER(
            INDIRECT("'"&amp;J$14&amp;"'!A2:E1000"), (INDIRECT("'"&amp;J$14&amp;"'!B2:B1000")=$B22) * (INDIRECT("'"&amp;J$14&amp;"'!C2:C1000")=$C22)
        ),
        5,
        FALSE
    )=0,
    "",
    VLOOKUP(
        $A22,
        _xlfn._xlws.FILTER(
            INDIRECT("'"&amp;J$14&amp;"'!A2:E1000"), (INDIRECT("'"&amp;J$14&amp;"'!B2:B1000")=$B22) * (INDIRECT("'"&amp;J$14&amp;"'!C2:C1000")=$C22)
        ),
        5,
        FALSE
    )
)</f>
        <v>Enviado</v>
      </c>
      <c r="K22" s="100" t="str">
        <f t="array" aca="1" ref="K22" ca="1">IF(
    VLOOKUP(
        $A22,
        _xlfn._xlws.FILTER(
            INDIRECT("'"&amp;K$14&amp;"'!A2:E1000"), (INDIRECT("'"&amp;K$14&amp;"'!B2:B1000")=$B22) * (INDIRECT("'"&amp;K$14&amp;"'!C2:C1000")=$C22)
        ),
        5,
        FALSE
    )=0,
    "",
    VLOOKUP(
        $A22,
        _xlfn._xlws.FILTER(
            INDIRECT("'"&amp;K$14&amp;"'!A2:E1000"), (INDIRECT("'"&amp;K$14&amp;"'!B2:B1000")=$B22) * (INDIRECT("'"&amp;K$14&amp;"'!C2:C1000")=$C22)
        ),
        5,
        FALSE
    )
)</f>
        <v>Enviado</v>
      </c>
      <c r="L22" s="100" t="str">
        <f t="array" aca="1" ref="L22" ca="1">IF(
    VLOOKUP(
        $A22,
        _xlfn._xlws.FILTER(
            INDIRECT("'"&amp;L$14&amp;"'!A2:E1000"), (INDIRECT("'"&amp;L$14&amp;"'!B2:B1000")=$B22) * (INDIRECT("'"&amp;L$14&amp;"'!C2:C1000")=$C22)
        ),
        5,
        FALSE
    )=0,
    "",
    VLOOKUP(
        $A22,
        _xlfn._xlws.FILTER(
            INDIRECT("'"&amp;L$14&amp;"'!A2:E1000"), (INDIRECT("'"&amp;L$14&amp;"'!B2:B1000")=$B22) * (INDIRECT("'"&amp;L$14&amp;"'!C2:C1000")=$C22)
        ),
        5,
        FALSE
    )
)</f>
        <v>Enviado</v>
      </c>
      <c r="M22" s="100" t="str">
        <f t="array" aca="1" ref="M22" ca="1">IF(
    VLOOKUP(
        $A22,
        _xlfn._xlws.FILTER(
            INDIRECT("'"&amp;M$14&amp;"'!A2:E1000"), (INDIRECT("'"&amp;M$14&amp;"'!B2:B1000")=$B22) * (INDIRECT("'"&amp;M$14&amp;"'!C2:C1000")=$C22)
        ),
        5,
        FALSE
    )=0,
    "",
    VLOOKUP(
        $A22,
        _xlfn._xlws.FILTER(
            INDIRECT("'"&amp;M$14&amp;"'!A2:E1000"), (INDIRECT("'"&amp;M$14&amp;"'!B2:B1000")=$B22) * (INDIRECT("'"&amp;M$14&amp;"'!C2:C1000")=$C22)
        ),
        5,
        FALSE
    )
)</f>
        <v>Enviado</v>
      </c>
      <c r="N22" s="100" t="str">
        <f t="array" aca="1" ref="N22" ca="1">IF(
    VLOOKUP(
        $A22,
        _xlfn._xlws.FILTER(
            INDIRECT("'"&amp;N$14&amp;"'!A2:E1000"), (INDIRECT("'"&amp;N$14&amp;"'!B2:B1000")=$B22) * (INDIRECT("'"&amp;N$14&amp;"'!C2:C1000")=$C22)
        ),
        5,
        FALSE
    )=0,
    "",
    VLOOKUP(
        $A22,
        _xlfn._xlws.FILTER(
            INDIRECT("'"&amp;N$14&amp;"'!A2:E1000"), (INDIRECT("'"&amp;N$14&amp;"'!B2:B1000")=$B22) * (INDIRECT("'"&amp;N$14&amp;"'!C2:C1000")=$C22)
        ),
        5,
        FALSE
    )
)</f>
        <v>Enviado</v>
      </c>
      <c r="O22" s="100" t="str">
        <f t="array" aca="1" ref="O22" ca="1">IF(
    VLOOKUP(
        $A22,
        _xlfn._xlws.FILTER(
            INDIRECT("'"&amp;O$14&amp;"'!A2:E1000"), (INDIRECT("'"&amp;O$14&amp;"'!B2:B1000")=$B22) * (INDIRECT("'"&amp;O$14&amp;"'!C2:C1000")=$C22)
        ),
        5,
        FALSE
    )=0,
    "",
    VLOOKUP(
        $A22,
        _xlfn._xlws.FILTER(
            INDIRECT("'"&amp;O$14&amp;"'!A2:E1000"), (INDIRECT("'"&amp;O$14&amp;"'!B2:B1000")=$B22) * (INDIRECT("'"&amp;O$14&amp;"'!C2:C1000")=$C22)
        ),
        5,
        FALSE
    )
)</f>
        <v>Enviado</v>
      </c>
      <c r="P22" s="100" t="str">
        <f t="array" aca="1" ref="P22" ca="1">IF(
    VLOOKUP(
        $A22,
        _xlfn._xlws.FILTER(
            INDIRECT("'"&amp;P$14&amp;"'!A2:E1000"), (INDIRECT("'"&amp;P$14&amp;"'!B2:B1000")=$B22) * (INDIRECT("'"&amp;P$14&amp;"'!C2:C1000")=$C22)
        ),
        5,
        FALSE
    )=0,
    "",
    VLOOKUP(
        $A22,
        _xlfn._xlws.FILTER(
            INDIRECT("'"&amp;P$14&amp;"'!A2:E1000"), (INDIRECT("'"&amp;P$14&amp;"'!B2:B1000")=$B22) * (INDIRECT("'"&amp;P$14&amp;"'!C2:C1000")=$C22)
        ),
        5,
        FALSE
    )
)</f>
        <v>Enviado</v>
      </c>
      <c r="Q22" s="100" t="str">
        <f t="array" aca="1" ref="Q22" ca="1">IF(
    VLOOKUP(
        $A22,
        _xlfn._xlws.FILTER(
            INDIRECT("'"&amp;Q$14&amp;"'!A2:E1000"), (INDIRECT("'"&amp;Q$14&amp;"'!B2:B1000")=$B22) * (INDIRECT("'"&amp;Q$14&amp;"'!C2:C1000")=$C22)
        ),
        5,
        FALSE
    )=0,
    "",
    VLOOKUP(
        $A22,
        _xlfn._xlws.FILTER(
            INDIRECT("'"&amp;Q$14&amp;"'!A2:E1000"), (INDIRECT("'"&amp;Q$14&amp;"'!B2:B1000")=$B22) * (INDIRECT("'"&amp;Q$14&amp;"'!C2:C1000")=$C22)
        ),
        5,
        FALSE
    )
)</f>
        <v/>
      </c>
    </row>
    <row r="23" spans="1:17" ht="15.75" customHeight="1" x14ac:dyDescent="0.25">
      <c r="A23" s="102" t="s">
        <v>36</v>
      </c>
      <c r="B23" s="79" t="s">
        <v>104</v>
      </c>
      <c r="C23" s="79">
        <v>1</v>
      </c>
      <c r="D23" s="100" t="str">
        <f t="array" aca="1" ref="D23" ca="1">IF(
    VLOOKUP(
        $A23,
        _xlfn._xlws.FILTER(
            INDIRECT("'"&amp;D$14&amp;"'!A2:E1000"), (INDIRECT("'"&amp;D$14&amp;"'!B2:B1000")=$B23) * (INDIRECT("'"&amp;D$14&amp;"'!C2:C1000")=$C23)
        ),
        5,
        FALSE
    )=0,
    "",
    VLOOKUP(
        $A23,
        _xlfn._xlws.FILTER(
            INDIRECT("'"&amp;D$14&amp;"'!A2:E1000"), (INDIRECT("'"&amp;D$14&amp;"'!B2:B1000")=$B23) * (INDIRECT("'"&amp;D$14&amp;"'!C2:C1000")=$C23)
        ),
        5,
        FALSE
    )
)</f>
        <v>Enviado</v>
      </c>
      <c r="E23" s="100" t="str">
        <f t="array" aca="1" ref="E23" ca="1">IF(
    VLOOKUP(
        $A23,
        _xlfn._xlws.FILTER(
            INDIRECT("'"&amp;E$14&amp;"'!A2:E1000"), (INDIRECT("'"&amp;E$14&amp;"'!B2:B1000")=$B23) * (INDIRECT("'"&amp;E$14&amp;"'!C2:C1000")=$C23)
        ),
        5,
        FALSE
    )=0,
    "",
    VLOOKUP(
        $A23,
        _xlfn._xlws.FILTER(
            INDIRECT("'"&amp;E$14&amp;"'!A2:E1000"), (INDIRECT("'"&amp;E$14&amp;"'!B2:B1000")=$B23) * (INDIRECT("'"&amp;E$14&amp;"'!C2:C1000")=$C23)
        ),
        5,
        FALSE
    )
)</f>
        <v>Enviado</v>
      </c>
      <c r="F23" s="100" t="str">
        <f t="array" aca="1" ref="F23" ca="1">IF(
    VLOOKUP(
        $A23,
        _xlfn._xlws.FILTER(
            INDIRECT("'"&amp;F$14&amp;"'!A2:E1000"), (INDIRECT("'"&amp;F$14&amp;"'!B2:B1000")=$B23) * (INDIRECT("'"&amp;F$14&amp;"'!C2:C1000")=$C23)
        ),
        5,
        FALSE
    )=0,
    "",
    VLOOKUP(
        $A23,
        _xlfn._xlws.FILTER(
            INDIRECT("'"&amp;F$14&amp;"'!A2:E1000"), (INDIRECT("'"&amp;F$14&amp;"'!B2:B1000")=$B23) * (INDIRECT("'"&amp;F$14&amp;"'!C2:C1000")=$C23)
        ),
        5,
        FALSE
    )
)</f>
        <v>Enviado</v>
      </c>
      <c r="G23" s="100" t="str">
        <f t="array" aca="1" ref="G23" ca="1">IF(
    VLOOKUP(
        $A23,
        _xlfn._xlws.FILTER(
            INDIRECT("'"&amp;G$14&amp;"'!A2:E1000"), (INDIRECT("'"&amp;G$14&amp;"'!B2:B1000")=$B23) * (INDIRECT("'"&amp;G$14&amp;"'!C2:C1000")=$C23)
        ),
        5,
        FALSE
    )=0,
    "",
    VLOOKUP(
        $A23,
        _xlfn._xlws.FILTER(
            INDIRECT("'"&amp;G$14&amp;"'!A2:E1000"), (INDIRECT("'"&amp;G$14&amp;"'!B2:B1000")=$B23) * (INDIRECT("'"&amp;G$14&amp;"'!C2:C1000")=$C23)
        ),
        5,
        FALSE
    )
)</f>
        <v>Enviado</v>
      </c>
      <c r="H23" s="100" t="str">
        <f t="array" aca="1" ref="H23" ca="1">IF(
    VLOOKUP(
        $A23,
        _xlfn._xlws.FILTER(
            INDIRECT("'"&amp;H$14&amp;"'!A2:E1000"), (INDIRECT("'"&amp;H$14&amp;"'!B2:B1000")=$B23) * (INDIRECT("'"&amp;H$14&amp;"'!C2:C1000")=$C23)
        ),
        5,
        FALSE
    )=0,
    "",
    VLOOKUP(
        $A23,
        _xlfn._xlws.FILTER(
            INDIRECT("'"&amp;H$14&amp;"'!A2:E1000"), (INDIRECT("'"&amp;H$14&amp;"'!B2:B1000")=$B23) * (INDIRECT("'"&amp;H$14&amp;"'!C2:C1000")=$C23)
        ),
        5,
        FALSE
    )
)</f>
        <v>Enviado</v>
      </c>
      <c r="I23" s="100" t="str">
        <f t="array" aca="1" ref="I23" ca="1">IF(
    VLOOKUP(
        $A23,
        _xlfn._xlws.FILTER(
            INDIRECT("'"&amp;I$14&amp;"'!A2:E1000"), (INDIRECT("'"&amp;I$14&amp;"'!B2:B1000")=$B23) * (INDIRECT("'"&amp;I$14&amp;"'!C2:C1000")=$C23)
        ),
        5,
        FALSE
    )=0,
    "",
    VLOOKUP(
        $A23,
        _xlfn._xlws.FILTER(
            INDIRECT("'"&amp;I$14&amp;"'!A2:E1000"), (INDIRECT("'"&amp;I$14&amp;"'!B2:B1000")=$B23) * (INDIRECT("'"&amp;I$14&amp;"'!C2:C1000")=$C23)
        ),
        5,
        FALSE
    )
)</f>
        <v>Enviado</v>
      </c>
      <c r="J23" s="100" t="str">
        <f t="array" aca="1" ref="J23" ca="1">IF(
    VLOOKUP(
        $A23,
        _xlfn._xlws.FILTER(
            INDIRECT("'"&amp;J$14&amp;"'!A2:E1000"), (INDIRECT("'"&amp;J$14&amp;"'!B2:B1000")=$B23) * (INDIRECT("'"&amp;J$14&amp;"'!C2:C1000")=$C23)
        ),
        5,
        FALSE
    )=0,
    "",
    VLOOKUP(
        $A23,
        _xlfn._xlws.FILTER(
            INDIRECT("'"&amp;J$14&amp;"'!A2:E1000"), (INDIRECT("'"&amp;J$14&amp;"'!B2:B1000")=$B23) * (INDIRECT("'"&amp;J$14&amp;"'!C2:C1000")=$C23)
        ),
        5,
        FALSE
    )
)</f>
        <v>Enviado</v>
      </c>
      <c r="K23" s="100" t="str">
        <f t="array" aca="1" ref="K23" ca="1">IF(
    VLOOKUP(
        $A23,
        _xlfn._xlws.FILTER(
            INDIRECT("'"&amp;K$14&amp;"'!A2:E1000"), (INDIRECT("'"&amp;K$14&amp;"'!B2:B1000")=$B23) * (INDIRECT("'"&amp;K$14&amp;"'!C2:C1000")=$C23)
        ),
        5,
        FALSE
    )=0,
    "",
    VLOOKUP(
        $A23,
        _xlfn._xlws.FILTER(
            INDIRECT("'"&amp;K$14&amp;"'!A2:E1000"), (INDIRECT("'"&amp;K$14&amp;"'!B2:B1000")=$B23) * (INDIRECT("'"&amp;K$14&amp;"'!C2:C1000")=$C23)
        ),
        5,
        FALSE
    )
)</f>
        <v>Enviado</v>
      </c>
      <c r="L23" s="100" t="str">
        <f t="array" aca="1" ref="L23" ca="1">IF(
    VLOOKUP(
        $A23,
        _xlfn._xlws.FILTER(
            INDIRECT("'"&amp;L$14&amp;"'!A2:E1000"), (INDIRECT("'"&amp;L$14&amp;"'!B2:B1000")=$B23) * (INDIRECT("'"&amp;L$14&amp;"'!C2:C1000")=$C23)
        ),
        5,
        FALSE
    )=0,
    "",
    VLOOKUP(
        $A23,
        _xlfn._xlws.FILTER(
            INDIRECT("'"&amp;L$14&amp;"'!A2:E1000"), (INDIRECT("'"&amp;L$14&amp;"'!B2:B1000")=$B23) * (INDIRECT("'"&amp;L$14&amp;"'!C2:C1000")=$C23)
        ),
        5,
        FALSE
    )
)</f>
        <v>Enviado</v>
      </c>
      <c r="M23" s="100" t="str">
        <f t="array" aca="1" ref="M23" ca="1">IF(
    VLOOKUP(
        $A23,
        _xlfn._xlws.FILTER(
            INDIRECT("'"&amp;M$14&amp;"'!A2:E1000"), (INDIRECT("'"&amp;M$14&amp;"'!B2:B1000")=$B23) * (INDIRECT("'"&amp;M$14&amp;"'!C2:C1000")=$C23)
        ),
        5,
        FALSE
    )=0,
    "",
    VLOOKUP(
        $A23,
        _xlfn._xlws.FILTER(
            INDIRECT("'"&amp;M$14&amp;"'!A2:E1000"), (INDIRECT("'"&amp;M$14&amp;"'!B2:B1000")=$B23) * (INDIRECT("'"&amp;M$14&amp;"'!C2:C1000")=$C23)
        ),
        5,
        FALSE
    )
)</f>
        <v>Enviado</v>
      </c>
      <c r="N23" s="100" t="str">
        <f t="array" aca="1" ref="N23" ca="1">IF(
    VLOOKUP(
        $A23,
        _xlfn._xlws.FILTER(
            INDIRECT("'"&amp;N$14&amp;"'!A2:E1000"), (INDIRECT("'"&amp;N$14&amp;"'!B2:B1000")=$B23) * (INDIRECT("'"&amp;N$14&amp;"'!C2:C1000")=$C23)
        ),
        5,
        FALSE
    )=0,
    "",
    VLOOKUP(
        $A23,
        _xlfn._xlws.FILTER(
            INDIRECT("'"&amp;N$14&amp;"'!A2:E1000"), (INDIRECT("'"&amp;N$14&amp;"'!B2:B1000")=$B23) * (INDIRECT("'"&amp;N$14&amp;"'!C2:C1000")=$C23)
        ),
        5,
        FALSE
    )
)</f>
        <v>Enviado</v>
      </c>
      <c r="O23" s="100" t="str">
        <f t="array" aca="1" ref="O23" ca="1">IF(
    VLOOKUP(
        $A23,
        _xlfn._xlws.FILTER(
            INDIRECT("'"&amp;O$14&amp;"'!A2:E1000"), (INDIRECT("'"&amp;O$14&amp;"'!B2:B1000")=$B23) * (INDIRECT("'"&amp;O$14&amp;"'!C2:C1000")=$C23)
        ),
        5,
        FALSE
    )=0,
    "",
    VLOOKUP(
        $A23,
        _xlfn._xlws.FILTER(
            INDIRECT("'"&amp;O$14&amp;"'!A2:E1000"), (INDIRECT("'"&amp;O$14&amp;"'!B2:B1000")=$B23) * (INDIRECT("'"&amp;O$14&amp;"'!C2:C1000")=$C23)
        ),
        5,
        FALSE
    )
)</f>
        <v>Enviado</v>
      </c>
      <c r="P23" s="100" t="str">
        <f t="array" ref="P23" ca="1">IF(
    VLOOKUP(
        $A23,
        _xlfn._xlws.FILTER(
            INDIRECT("'"&amp;P$14&amp;"'!A2:E1000"), (INDIRECT("'"&amp;P$14&amp;"'!B2:B1000")=$B23) * (INDIRECT("'"&amp;P$14&amp;"'!C2:C1000")=$C23)
        ),
        5,
        FALSE
    )=0,
    "",
    VLOOKUP(
        $A23,
        _xlfn._xlws.FILTER(
            INDIRECT("'"&amp;P$14&amp;"'!A2:E1000"), (INDIRECT("'"&amp;P$14&amp;"'!B2:B1000")=$B23) * (INDIRECT("'"&amp;P$14&amp;"'!C2:C1000")=$C23)
        ),
        5,
        FALSE
    )
)</f>
        <v>Enviado</v>
      </c>
      <c r="Q23" s="100" t="str">
        <f t="array" ref="Q23" ca="1">IF(
    VLOOKUP(
        $A23,
        _xlfn._xlws.FILTER(
            INDIRECT("'"&amp;Q$14&amp;"'!A2:E1000"), (INDIRECT("'"&amp;Q$14&amp;"'!B2:B1000")=$B23) * (INDIRECT("'"&amp;Q$14&amp;"'!C2:C1000")=$C23)
        ),
        5,
        FALSE
    )=0,
    "",
    VLOOKUP(
        $A23,
        _xlfn._xlws.FILTER(
            INDIRECT("'"&amp;Q$14&amp;"'!A2:E1000"), (INDIRECT("'"&amp;Q$14&amp;"'!B2:B1000")=$B23) * (INDIRECT("'"&amp;Q$14&amp;"'!C2:C1000")=$C23)
        ),
        5,
        FALSE
    )
)</f>
        <v/>
      </c>
    </row>
    <row r="24" spans="1:17" ht="15.75" customHeight="1" x14ac:dyDescent="0.25">
      <c r="A24" s="102" t="s">
        <v>36</v>
      </c>
      <c r="B24" s="79" t="s">
        <v>105</v>
      </c>
      <c r="C24" s="79">
        <v>1</v>
      </c>
      <c r="D24" s="100" t="str">
        <f t="array" aca="1" ref="D24" ca="1">IF(
    VLOOKUP(
        $A24,
        _xlfn._xlws.FILTER(
            INDIRECT("'"&amp;D$14&amp;"'!A2:E1000"), (INDIRECT("'"&amp;D$14&amp;"'!B2:B1000")=$B24) * (INDIRECT("'"&amp;D$14&amp;"'!C2:C1000")=$C24)
        ),
        5,
        FALSE
    )=0,
    "",
    VLOOKUP(
        $A24,
        _xlfn._xlws.FILTER(
            INDIRECT("'"&amp;D$14&amp;"'!A2:E1000"), (INDIRECT("'"&amp;D$14&amp;"'!B2:B1000")=$B24) * (INDIRECT("'"&amp;D$14&amp;"'!C2:C1000")=$C24)
        ),
        5,
        FALSE
    )
)</f>
        <v>Enviado</v>
      </c>
      <c r="E24" s="100" t="str">
        <f t="array" aca="1" ref="E24" ca="1">IF(
    VLOOKUP(
        $A24,
        _xlfn._xlws.FILTER(
            INDIRECT("'"&amp;E$14&amp;"'!A2:E1000"), (INDIRECT("'"&amp;E$14&amp;"'!B2:B1000")=$B24) * (INDIRECT("'"&amp;E$14&amp;"'!C2:C1000")=$C24)
        ),
        5,
        FALSE
    )=0,
    "",
    VLOOKUP(
        $A24,
        _xlfn._xlws.FILTER(
            INDIRECT("'"&amp;E$14&amp;"'!A2:E1000"), (INDIRECT("'"&amp;E$14&amp;"'!B2:B1000")=$B24) * (INDIRECT("'"&amp;E$14&amp;"'!C2:C1000")=$C24)
        ),
        5,
        FALSE
    )
)</f>
        <v>Enviado</v>
      </c>
      <c r="F24" s="100" t="str">
        <f t="array" aca="1" ref="F24" ca="1">IF(
    VLOOKUP(
        $A24,
        _xlfn._xlws.FILTER(
            INDIRECT("'"&amp;F$14&amp;"'!A2:E1000"), (INDIRECT("'"&amp;F$14&amp;"'!B2:B1000")=$B24) * (INDIRECT("'"&amp;F$14&amp;"'!C2:C1000")=$C24)
        ),
        5,
        FALSE
    )=0,
    "",
    VLOOKUP(
        $A24,
        _xlfn._xlws.FILTER(
            INDIRECT("'"&amp;F$14&amp;"'!A2:E1000"), (INDIRECT("'"&amp;F$14&amp;"'!B2:B1000")=$B24) * (INDIRECT("'"&amp;F$14&amp;"'!C2:C1000")=$C24)
        ),
        5,
        FALSE
    )
)</f>
        <v>Enviado</v>
      </c>
      <c r="G24" s="100" t="str">
        <f t="array" aca="1" ref="G24" ca="1">IF(
    VLOOKUP(
        $A24,
        _xlfn._xlws.FILTER(
            INDIRECT("'"&amp;G$14&amp;"'!A2:E1000"), (INDIRECT("'"&amp;G$14&amp;"'!B2:B1000")=$B24) * (INDIRECT("'"&amp;G$14&amp;"'!C2:C1000")=$C24)
        ),
        5,
        FALSE
    )=0,
    "",
    VLOOKUP(
        $A24,
        _xlfn._xlws.FILTER(
            INDIRECT("'"&amp;G$14&amp;"'!A2:E1000"), (INDIRECT("'"&amp;G$14&amp;"'!B2:B1000")=$B24) * (INDIRECT("'"&amp;G$14&amp;"'!C2:C1000")=$C24)
        ),
        5,
        FALSE
    )
)</f>
        <v>Enviado</v>
      </c>
      <c r="H24" s="100" t="str">
        <f t="array" aca="1" ref="H24" ca="1">IF(
    VLOOKUP(
        $A24,
        _xlfn._xlws.FILTER(
            INDIRECT("'"&amp;H$14&amp;"'!A2:E1000"), (INDIRECT("'"&amp;H$14&amp;"'!B2:B1000")=$B24) * (INDIRECT("'"&amp;H$14&amp;"'!C2:C1000")=$C24)
        ),
        5,
        FALSE
    )=0,
    "",
    VLOOKUP(
        $A24,
        _xlfn._xlws.FILTER(
            INDIRECT("'"&amp;H$14&amp;"'!A2:E1000"), (INDIRECT("'"&amp;H$14&amp;"'!B2:B1000")=$B24) * (INDIRECT("'"&amp;H$14&amp;"'!C2:C1000")=$C24)
        ),
        5,
        FALSE
    )
)</f>
        <v>Enviado</v>
      </c>
      <c r="I24" s="100" t="str">
        <f t="array" aca="1" ref="I24" ca="1">IF(
    VLOOKUP(
        $A24,
        _xlfn._xlws.FILTER(
            INDIRECT("'"&amp;I$14&amp;"'!A2:E1000"), (INDIRECT("'"&amp;I$14&amp;"'!B2:B1000")=$B24) * (INDIRECT("'"&amp;I$14&amp;"'!C2:C1000")=$C24)
        ),
        5,
        FALSE
    )=0,
    "",
    VLOOKUP(
        $A24,
        _xlfn._xlws.FILTER(
            INDIRECT("'"&amp;I$14&amp;"'!A2:E1000"), (INDIRECT("'"&amp;I$14&amp;"'!B2:B1000")=$B24) * (INDIRECT("'"&amp;I$14&amp;"'!C2:C1000")=$C24)
        ),
        5,
        FALSE
    )
)</f>
        <v>Enviado</v>
      </c>
      <c r="J24" s="100" t="str">
        <f t="array" ref="J24" ca="1">IF(
    VLOOKUP(
        $A24,
        _xlfn._xlws.FILTER(
            INDIRECT("'"&amp;J$14&amp;"'!A2:E1000"), (INDIRECT("'"&amp;J$14&amp;"'!B2:B1000")=$B24) * (INDIRECT("'"&amp;J$14&amp;"'!C2:C1000")=$C24)
        ),
        5,
        FALSE
    )=0,
    "",
    VLOOKUP(
        $A24,
        _xlfn._xlws.FILTER(
            INDIRECT("'"&amp;J$14&amp;"'!A2:E1000"), (INDIRECT("'"&amp;J$14&amp;"'!B2:B1000")=$B24) * (INDIRECT("'"&amp;J$14&amp;"'!C2:C1000")=$C24)
        ),
        5,
        FALSE
    )
)</f>
        <v>Enviado</v>
      </c>
      <c r="K24" s="100" t="str">
        <f t="array" aca="1" ref="K24" ca="1">IF(
    VLOOKUP(
        $A24,
        _xlfn._xlws.FILTER(
            INDIRECT("'"&amp;K$14&amp;"'!A2:E1000"), (INDIRECT("'"&amp;K$14&amp;"'!B2:B1000")=$B24) * (INDIRECT("'"&amp;K$14&amp;"'!C2:C1000")=$C24)
        ),
        5,
        FALSE
    )=0,
    "",
    VLOOKUP(
        $A24,
        _xlfn._xlws.FILTER(
            INDIRECT("'"&amp;K$14&amp;"'!A2:E1000"), (INDIRECT("'"&amp;K$14&amp;"'!B2:B1000")=$B24) * (INDIRECT("'"&amp;K$14&amp;"'!C2:C1000")=$C24)
        ),
        5,
        FALSE
    )
)</f>
        <v>Enviado</v>
      </c>
      <c r="L24" s="100" t="str">
        <f t="array" ref="L24" ca="1">IF(
    VLOOKUP(
        $A24,
        _xlfn._xlws.FILTER(
            INDIRECT("'"&amp;L$14&amp;"'!A2:E1000"), (INDIRECT("'"&amp;L$14&amp;"'!B2:B1000")=$B24) * (INDIRECT("'"&amp;L$14&amp;"'!C2:C1000")=$C24)
        ),
        5,
        FALSE
    )=0,
    "",
    VLOOKUP(
        $A24,
        _xlfn._xlws.FILTER(
            INDIRECT("'"&amp;L$14&amp;"'!A2:E1000"), (INDIRECT("'"&amp;L$14&amp;"'!B2:B1000")=$B24) * (INDIRECT("'"&amp;L$14&amp;"'!C2:C1000")=$C24)
        ),
        5,
        FALSE
    )
)</f>
        <v>Enviado</v>
      </c>
      <c r="M24" s="100" t="str">
        <f t="array" aca="1" ref="M24" ca="1">IF(
    VLOOKUP(
        $A24,
        _xlfn._xlws.FILTER(
            INDIRECT("'"&amp;M$14&amp;"'!A2:E1000"), (INDIRECT("'"&amp;M$14&amp;"'!B2:B1000")=$B24) * (INDIRECT("'"&amp;M$14&amp;"'!C2:C1000")=$C24)
        ),
        5,
        FALSE
    )=0,
    "",
    VLOOKUP(
        $A24,
        _xlfn._xlws.FILTER(
            INDIRECT("'"&amp;M$14&amp;"'!A2:E1000"), (INDIRECT("'"&amp;M$14&amp;"'!B2:B1000")=$B24) * (INDIRECT("'"&amp;M$14&amp;"'!C2:C1000")=$C24)
        ),
        5,
        FALSE
    )
)</f>
        <v>Enviado</v>
      </c>
      <c r="N24" s="100" t="str">
        <f t="array" aca="1" ref="N24" ca="1">IF(
    VLOOKUP(
        $A24,
        _xlfn._xlws.FILTER(
            INDIRECT("'"&amp;N$14&amp;"'!A2:E1000"), (INDIRECT("'"&amp;N$14&amp;"'!B2:B1000")=$B24) * (INDIRECT("'"&amp;N$14&amp;"'!C2:C1000")=$C24)
        ),
        5,
        FALSE
    )=0,
    "",
    VLOOKUP(
        $A24,
        _xlfn._xlws.FILTER(
            INDIRECT("'"&amp;N$14&amp;"'!A2:E1000"), (INDIRECT("'"&amp;N$14&amp;"'!B2:B1000")=$B24) * (INDIRECT("'"&amp;N$14&amp;"'!C2:C1000")=$C24)
        ),
        5,
        FALSE
    )
)</f>
        <v>Enviado</v>
      </c>
      <c r="O24" s="100" t="str">
        <f t="array" aca="1" ref="O24" ca="1">IF(
    VLOOKUP(
        $A24,
        _xlfn._xlws.FILTER(
            INDIRECT("'"&amp;O$14&amp;"'!A2:E1000"), (INDIRECT("'"&amp;O$14&amp;"'!B2:B1000")=$B24) * (INDIRECT("'"&amp;O$14&amp;"'!C2:C1000")=$C24)
        ),
        5,
        FALSE
    )=0,
    "",
    VLOOKUP(
        $A24,
        _xlfn._xlws.FILTER(
            INDIRECT("'"&amp;O$14&amp;"'!A2:E1000"), (INDIRECT("'"&amp;O$14&amp;"'!B2:B1000")=$B24) * (INDIRECT("'"&amp;O$14&amp;"'!C2:C1000")=$C24)
        ),
        5,
        FALSE
    )
)</f>
        <v>Enviado</v>
      </c>
      <c r="P24" s="100" t="str">
        <f t="array" aca="1" ref="P24" ca="1">IF(
    VLOOKUP(
        $A24,
        _xlfn._xlws.FILTER(
            INDIRECT("'"&amp;P$14&amp;"'!A2:E1000"), (INDIRECT("'"&amp;P$14&amp;"'!B2:B1000")=$B24) * (INDIRECT("'"&amp;P$14&amp;"'!C2:C1000")=$C24)
        ),
        5,
        FALSE
    )=0,
    "",
    VLOOKUP(
        $A24,
        _xlfn._xlws.FILTER(
            INDIRECT("'"&amp;P$14&amp;"'!A2:E1000"), (INDIRECT("'"&amp;P$14&amp;"'!B2:B1000")=$B24) * (INDIRECT("'"&amp;P$14&amp;"'!C2:C1000")=$C24)
        ),
        5,
        FALSE
    )
)</f>
        <v>Enviado</v>
      </c>
      <c r="Q24" s="100" t="str">
        <f t="array" aca="1" ref="Q24" ca="1">IF(
    VLOOKUP(
        $A24,
        _xlfn._xlws.FILTER(
            INDIRECT("'"&amp;Q$14&amp;"'!A2:E1000"), (INDIRECT("'"&amp;Q$14&amp;"'!B2:B1000")=$B24) * (INDIRECT("'"&amp;Q$14&amp;"'!C2:C1000")=$C24)
        ),
        5,
        FALSE
    )=0,
    "",
    VLOOKUP(
        $A24,
        _xlfn._xlws.FILTER(
            INDIRECT("'"&amp;Q$14&amp;"'!A2:E1000"), (INDIRECT("'"&amp;Q$14&amp;"'!B2:B1000")=$B24) * (INDIRECT("'"&amp;Q$14&amp;"'!C2:C1000")=$C24)
        ),
        5,
        FALSE
    )
)</f>
        <v/>
      </c>
    </row>
    <row r="25" spans="1:17" ht="15.75" customHeight="1" x14ac:dyDescent="0.25">
      <c r="A25" s="102" t="s">
        <v>36</v>
      </c>
      <c r="B25" s="79" t="s">
        <v>106</v>
      </c>
      <c r="C25" s="79">
        <v>1</v>
      </c>
      <c r="D25" s="100" t="str">
        <f t="array" aca="1" ref="D25" ca="1">IF(
    VLOOKUP(
        $A25,
        _xlfn._xlws.FILTER(
            INDIRECT("'"&amp;D$14&amp;"'!A2:E1000"), (INDIRECT("'"&amp;D$14&amp;"'!B2:B1000")=$B25) * (INDIRECT("'"&amp;D$14&amp;"'!C2:C1000")=$C25)
        ),
        5,
        FALSE
    )=0,
    "",
    VLOOKUP(
        $A25,
        _xlfn._xlws.FILTER(
            INDIRECT("'"&amp;D$14&amp;"'!A2:E1000"), (INDIRECT("'"&amp;D$14&amp;"'!B2:B1000")=$B25) * (INDIRECT("'"&amp;D$14&amp;"'!C2:C1000")=$C25)
        ),
        5,
        FALSE
    )
)</f>
        <v>Enviado</v>
      </c>
      <c r="E25" s="100" t="str">
        <f t="array" aca="1" ref="E25" ca="1">IF(
    VLOOKUP(
        $A25,
        _xlfn._xlws.FILTER(
            INDIRECT("'"&amp;E$14&amp;"'!A2:E1000"), (INDIRECT("'"&amp;E$14&amp;"'!B2:B1000")=$B25) * (INDIRECT("'"&amp;E$14&amp;"'!C2:C1000")=$C25)
        ),
        5,
        FALSE
    )=0,
    "",
    VLOOKUP(
        $A25,
        _xlfn._xlws.FILTER(
            INDIRECT("'"&amp;E$14&amp;"'!A2:E1000"), (INDIRECT("'"&amp;E$14&amp;"'!B2:B1000")=$B25) * (INDIRECT("'"&amp;E$14&amp;"'!C2:C1000")=$C25)
        ),
        5,
        FALSE
    )
)</f>
        <v>Enviado</v>
      </c>
      <c r="F25" s="100" t="str">
        <f t="array" aca="1" ref="F25" ca="1">IF(
    VLOOKUP(
        $A25,
        _xlfn._xlws.FILTER(
            INDIRECT("'"&amp;F$14&amp;"'!A2:E1000"), (INDIRECT("'"&amp;F$14&amp;"'!B2:B1000")=$B25) * (INDIRECT("'"&amp;F$14&amp;"'!C2:C1000")=$C25)
        ),
        5,
        FALSE
    )=0,
    "",
    VLOOKUP(
        $A25,
        _xlfn._xlws.FILTER(
            INDIRECT("'"&amp;F$14&amp;"'!A2:E1000"), (INDIRECT("'"&amp;F$14&amp;"'!B2:B1000")=$B25) * (INDIRECT("'"&amp;F$14&amp;"'!C2:C1000")=$C25)
        ),
        5,
        FALSE
    )
)</f>
        <v>Enviado</v>
      </c>
      <c r="G25" s="100" t="str">
        <f t="array" aca="1" ref="G25" ca="1">IF(
    VLOOKUP(
        $A25,
        _xlfn._xlws.FILTER(
            INDIRECT("'"&amp;G$14&amp;"'!A2:E1000"), (INDIRECT("'"&amp;G$14&amp;"'!B2:B1000")=$B25) * (INDIRECT("'"&amp;G$14&amp;"'!C2:C1000")=$C25)
        ),
        5,
        FALSE
    )=0,
    "",
    VLOOKUP(
        $A25,
        _xlfn._xlws.FILTER(
            INDIRECT("'"&amp;G$14&amp;"'!A2:E1000"), (INDIRECT("'"&amp;G$14&amp;"'!B2:B1000")=$B25) * (INDIRECT("'"&amp;G$14&amp;"'!C2:C1000")=$C25)
        ),
        5,
        FALSE
    )
)</f>
        <v>Enviado</v>
      </c>
      <c r="H25" s="100" t="str">
        <f t="array" aca="1" ref="H25" ca="1">IF(
    VLOOKUP(
        $A25,
        _xlfn._xlws.FILTER(
            INDIRECT("'"&amp;H$14&amp;"'!A2:E1000"), (INDIRECT("'"&amp;H$14&amp;"'!B2:B1000")=$B25) * (INDIRECT("'"&amp;H$14&amp;"'!C2:C1000")=$C25)
        ),
        5,
        FALSE
    )=0,
    "",
    VLOOKUP(
        $A25,
        _xlfn._xlws.FILTER(
            INDIRECT("'"&amp;H$14&amp;"'!A2:E1000"), (INDIRECT("'"&amp;H$14&amp;"'!B2:B1000")=$B25) * (INDIRECT("'"&amp;H$14&amp;"'!C2:C1000")=$C25)
        ),
        5,
        FALSE
    )
)</f>
        <v>Enviado</v>
      </c>
      <c r="I25" s="100" t="str">
        <f t="array" aca="1" ref="I25" ca="1">IF(
    VLOOKUP(
        $A25,
        _xlfn._xlws.FILTER(
            INDIRECT("'"&amp;I$14&amp;"'!A2:E1000"), (INDIRECT("'"&amp;I$14&amp;"'!B2:B1000")=$B25) * (INDIRECT("'"&amp;I$14&amp;"'!C2:C1000")=$C25)
        ),
        5,
        FALSE
    )=0,
    "",
    VLOOKUP(
        $A25,
        _xlfn._xlws.FILTER(
            INDIRECT("'"&amp;I$14&amp;"'!A2:E1000"), (INDIRECT("'"&amp;I$14&amp;"'!B2:B1000")=$B25) * (INDIRECT("'"&amp;I$14&amp;"'!C2:C1000")=$C25)
        ),
        5,
        FALSE
    )
)</f>
        <v>Enviado</v>
      </c>
      <c r="J25" s="100" t="str">
        <f t="array" aca="1" ref="J25" ca="1">IF(
    VLOOKUP(
        $A25,
        _xlfn._xlws.FILTER(
            INDIRECT("'"&amp;J$14&amp;"'!A2:E1000"), (INDIRECT("'"&amp;J$14&amp;"'!B2:B1000")=$B25) * (INDIRECT("'"&amp;J$14&amp;"'!C2:C1000")=$C25)
        ),
        5,
        FALSE
    )=0,
    "",
    VLOOKUP(
        $A25,
        _xlfn._xlws.FILTER(
            INDIRECT("'"&amp;J$14&amp;"'!A2:E1000"), (INDIRECT("'"&amp;J$14&amp;"'!B2:B1000")=$B25) * (INDIRECT("'"&amp;J$14&amp;"'!C2:C1000")=$C25)
        ),
        5,
        FALSE
    )
)</f>
        <v>Enviado</v>
      </c>
      <c r="K25" s="100" t="str">
        <f t="array" aca="1" ref="K25" ca="1">IF(
    VLOOKUP(
        $A25,
        _xlfn._xlws.FILTER(
            INDIRECT("'"&amp;K$14&amp;"'!A2:E1000"), (INDIRECT("'"&amp;K$14&amp;"'!B2:B1000")=$B25) * (INDIRECT("'"&amp;K$14&amp;"'!C2:C1000")=$C25)
        ),
        5,
        FALSE
    )=0,
    "",
    VLOOKUP(
        $A25,
        _xlfn._xlws.FILTER(
            INDIRECT("'"&amp;K$14&amp;"'!A2:E1000"), (INDIRECT("'"&amp;K$14&amp;"'!B2:B1000")=$B25) * (INDIRECT("'"&amp;K$14&amp;"'!C2:C1000")=$C25)
        ),
        5,
        FALSE
    )
)</f>
        <v>Enviado</v>
      </c>
      <c r="L25" s="100" t="str">
        <f t="array" aca="1" ref="L25" ca="1">IF(
    VLOOKUP(
        $A25,
        _xlfn._xlws.FILTER(
            INDIRECT("'"&amp;L$14&amp;"'!A2:E1000"), (INDIRECT("'"&amp;L$14&amp;"'!B2:B1000")=$B25) * (INDIRECT("'"&amp;L$14&amp;"'!C2:C1000")=$C25)
        ),
        5,
        FALSE
    )=0,
    "",
    VLOOKUP(
        $A25,
        _xlfn._xlws.FILTER(
            INDIRECT("'"&amp;L$14&amp;"'!A2:E1000"), (INDIRECT("'"&amp;L$14&amp;"'!B2:B1000")=$B25) * (INDIRECT("'"&amp;L$14&amp;"'!C2:C1000")=$C25)
        ),
        5,
        FALSE
    )
)</f>
        <v>Enviado</v>
      </c>
      <c r="M25" s="100" t="str">
        <f t="array" aca="1" ref="M25" ca="1">IF(
    VLOOKUP(
        $A25,
        _xlfn._xlws.FILTER(
            INDIRECT("'"&amp;M$14&amp;"'!A2:E1000"), (INDIRECT("'"&amp;M$14&amp;"'!B2:B1000")=$B25) * (INDIRECT("'"&amp;M$14&amp;"'!C2:C1000")=$C25)
        ),
        5,
        FALSE
    )=0,
    "",
    VLOOKUP(
        $A25,
        _xlfn._xlws.FILTER(
            INDIRECT("'"&amp;M$14&amp;"'!A2:E1000"), (INDIRECT("'"&amp;M$14&amp;"'!B2:B1000")=$B25) * (INDIRECT("'"&amp;M$14&amp;"'!C2:C1000")=$C25)
        ),
        5,
        FALSE
    )
)</f>
        <v>Enviado</v>
      </c>
      <c r="N25" s="100" t="str">
        <f t="array" aca="1" ref="N25" ca="1">IF(
    VLOOKUP(
        $A25,
        _xlfn._xlws.FILTER(
            INDIRECT("'"&amp;N$14&amp;"'!A2:E1000"), (INDIRECT("'"&amp;N$14&amp;"'!B2:B1000")=$B25) * (INDIRECT("'"&amp;N$14&amp;"'!C2:C1000")=$C25)
        ),
        5,
        FALSE
    )=0,
    "",
    VLOOKUP(
        $A25,
        _xlfn._xlws.FILTER(
            INDIRECT("'"&amp;N$14&amp;"'!A2:E1000"), (INDIRECT("'"&amp;N$14&amp;"'!B2:B1000")=$B25) * (INDIRECT("'"&amp;N$14&amp;"'!C2:C1000")=$C25)
        ),
        5,
        FALSE
    )
)</f>
        <v>Enviado</v>
      </c>
      <c r="O25" s="100" t="str">
        <f t="array" aca="1" ref="O25" ca="1">IF(
    VLOOKUP(
        $A25,
        _xlfn._xlws.FILTER(
            INDIRECT("'"&amp;O$14&amp;"'!A2:E1000"), (INDIRECT("'"&amp;O$14&amp;"'!B2:B1000")=$B25) * (INDIRECT("'"&amp;O$14&amp;"'!C2:C1000")=$C25)
        ),
        5,
        FALSE
    )=0,
    "",
    VLOOKUP(
        $A25,
        _xlfn._xlws.FILTER(
            INDIRECT("'"&amp;O$14&amp;"'!A2:E1000"), (INDIRECT("'"&amp;O$14&amp;"'!B2:B1000")=$B25) * (INDIRECT("'"&amp;O$14&amp;"'!C2:C1000")=$C25)
        ),
        5,
        FALSE
    )
)</f>
        <v>Enviado</v>
      </c>
      <c r="P25" s="100" t="str">
        <f t="array" aca="1" ref="P25" ca="1">IF(
    VLOOKUP(
        $A25,
        _xlfn._xlws.FILTER(
            INDIRECT("'"&amp;P$14&amp;"'!A2:E1000"), (INDIRECT("'"&amp;P$14&amp;"'!B2:B1000")=$B25) * (INDIRECT("'"&amp;P$14&amp;"'!C2:C1000")=$C25)
        ),
        5,
        FALSE
    )=0,
    "",
    VLOOKUP(
        $A25,
        _xlfn._xlws.FILTER(
            INDIRECT("'"&amp;P$14&amp;"'!A2:E1000"), (INDIRECT("'"&amp;P$14&amp;"'!B2:B1000")=$B25) * (INDIRECT("'"&amp;P$14&amp;"'!C2:C1000")=$C25)
        ),
        5,
        FALSE
    )
)</f>
        <v>Enviado</v>
      </c>
      <c r="Q25" s="100" t="str">
        <f t="array" aca="1" ref="Q25" ca="1">IF(
    VLOOKUP(
        $A25,
        _xlfn._xlws.FILTER(
            INDIRECT("'"&amp;Q$14&amp;"'!A2:E1000"), (INDIRECT("'"&amp;Q$14&amp;"'!B2:B1000")=$B25) * (INDIRECT("'"&amp;Q$14&amp;"'!C2:C1000")=$C25)
        ),
        5,
        FALSE
    )=0,
    "",
    VLOOKUP(
        $A25,
        _xlfn._xlws.FILTER(
            INDIRECT("'"&amp;Q$14&amp;"'!A2:E1000"), (INDIRECT("'"&amp;Q$14&amp;"'!B2:B1000")=$B25) * (INDIRECT("'"&amp;Q$14&amp;"'!C2:C1000")=$C25)
        ),
        5,
        FALSE
    )
)</f>
        <v/>
      </c>
    </row>
    <row r="26" spans="1:17" ht="15.75" customHeight="1" x14ac:dyDescent="0.25">
      <c r="A26" s="35"/>
      <c r="B26" s="35"/>
      <c r="C26" s="35"/>
    </row>
    <row r="27" spans="1:17" ht="15.75" customHeight="1" x14ac:dyDescent="0.25">
      <c r="A27" s="41" t="s">
        <v>27</v>
      </c>
      <c r="B27" s="37" t="s">
        <v>86</v>
      </c>
      <c r="C27" s="37" t="s">
        <v>71</v>
      </c>
      <c r="D27" s="38" t="s">
        <v>1</v>
      </c>
      <c r="E27" s="39" t="s">
        <v>2</v>
      </c>
      <c r="F27" s="98" t="s">
        <v>3</v>
      </c>
      <c r="G27" s="98" t="s">
        <v>4</v>
      </c>
      <c r="H27" s="98" t="s">
        <v>5</v>
      </c>
      <c r="I27" s="98" t="s">
        <v>6</v>
      </c>
      <c r="J27" s="98" t="s">
        <v>7</v>
      </c>
      <c r="K27" s="98" t="s">
        <v>8</v>
      </c>
      <c r="L27" s="99" t="s">
        <v>9</v>
      </c>
      <c r="M27" s="99" t="s">
        <v>10</v>
      </c>
      <c r="N27" s="99" t="s">
        <v>11</v>
      </c>
      <c r="O27" s="99" t="s">
        <v>12</v>
      </c>
      <c r="P27" s="99" t="s">
        <v>13</v>
      </c>
      <c r="Q27" s="99" t="s">
        <v>14</v>
      </c>
    </row>
    <row r="28" spans="1:17" x14ac:dyDescent="0.25">
      <c r="A28" s="81" t="s">
        <v>38</v>
      </c>
      <c r="B28" s="79" t="s">
        <v>78</v>
      </c>
      <c r="C28" s="79">
        <v>1</v>
      </c>
      <c r="D28" s="100" t="str">
        <f t="array" aca="1" ref="D28" ca="1">IF(
    VLOOKUP(
        $A28,
        _xlfn._xlws.FILTER(
            INDIRECT("'"&amp;D$14&amp;"'!A2:E1000"), (INDIRECT("'"&amp;D$14&amp;"'!B2:B1000")=$B28) * (INDIRECT("'"&amp;D$14&amp;"'!C2:C1000")=$C28)
        ),
        5,
        FALSE
    )=0,
    "",
    VLOOKUP(
        $A28,
        _xlfn._xlws.FILTER(
            INDIRECT("'"&amp;D$14&amp;"'!A2:E1000"), (INDIRECT("'"&amp;D$14&amp;"'!B2:B1000")=$B28) * (INDIRECT("'"&amp;D$14&amp;"'!C2:C1000")=$C28)
        ),
        5,
        FALSE
    )
)</f>
        <v>Enviado</v>
      </c>
      <c r="E28" s="100" t="str">
        <f t="array" aca="1" ref="E28" ca="1">IF(
    VLOOKUP(
        $A28,
        _xlfn._xlws.FILTER(
            INDIRECT("'"&amp;E$14&amp;"'!A2:E1000"), (INDIRECT("'"&amp;E$14&amp;"'!B2:B1000")=$B28) * (INDIRECT("'"&amp;E$14&amp;"'!C2:C1000")=$C28)
        ),
        5,
        FALSE
    )=0,
    "",
    VLOOKUP(
        $A28,
        _xlfn._xlws.FILTER(
            INDIRECT("'"&amp;E$14&amp;"'!A2:E1000"), (INDIRECT("'"&amp;E$14&amp;"'!B2:B1000")=$B28) * (INDIRECT("'"&amp;E$14&amp;"'!C2:C1000")=$C28)
        ),
        5,
        FALSE
    )
)</f>
        <v>Duplicado</v>
      </c>
      <c r="F28" s="100" t="str">
        <f t="array" aca="1" ref="F28" ca="1">IF(
    VLOOKUP(
        $A28,
        _xlfn._xlws.FILTER(
            INDIRECT("'"&amp;F$14&amp;"'!A2:E1000"), (INDIRECT("'"&amp;F$14&amp;"'!B2:B1000")=$B28) * (INDIRECT("'"&amp;F$14&amp;"'!C2:C1000")=$C28)
        ),
        5,
        FALSE
    )=0,
    "",
    VLOOKUP(
        $A28,
        _xlfn._xlws.FILTER(
            INDIRECT("'"&amp;F$14&amp;"'!A2:E1000"), (INDIRECT("'"&amp;F$14&amp;"'!B2:B1000")=$B28) * (INDIRECT("'"&amp;F$14&amp;"'!C2:C1000")=$C28)
        ),
        5,
        FALSE
    )
)</f>
        <v>Duplicado</v>
      </c>
      <c r="G28" s="100" t="str">
        <f t="array" aca="1" ref="G28" ca="1">IF(
    VLOOKUP(
        $A28,
        _xlfn._xlws.FILTER(
            INDIRECT("'"&amp;G$14&amp;"'!A2:E1000"), (INDIRECT("'"&amp;G$14&amp;"'!B2:B1000")=$B28) * (INDIRECT("'"&amp;G$14&amp;"'!C2:C1000")=$C28)
        ),
        5,
        FALSE
    )=0,
    "",
    VLOOKUP(
        $A28,
        _xlfn._xlws.FILTER(
            INDIRECT("'"&amp;G$14&amp;"'!A2:E1000"), (INDIRECT("'"&amp;G$14&amp;"'!B2:B1000")=$B28) * (INDIRECT("'"&amp;G$14&amp;"'!C2:C1000")=$C28)
        ),
        5,
        FALSE
    )
)</f>
        <v>Enviado</v>
      </c>
      <c r="H28" s="100" t="str">
        <f t="array" aca="1" ref="H28" ca="1">IF(
    VLOOKUP(
        $A28,
        _xlfn._xlws.FILTER(
            INDIRECT("'"&amp;H$14&amp;"'!A2:E1000"), (INDIRECT("'"&amp;H$14&amp;"'!B2:B1000")=$B28) * (INDIRECT("'"&amp;H$14&amp;"'!C2:C1000")=$C28)
        ),
        5,
        FALSE
    )=0,
    "",
    VLOOKUP(
        $A28,
        _xlfn._xlws.FILTER(
            INDIRECT("'"&amp;H$14&amp;"'!A2:E1000"), (INDIRECT("'"&amp;H$14&amp;"'!B2:B1000")=$B28) * (INDIRECT("'"&amp;H$14&amp;"'!C2:C1000")=$C28)
        ),
        5,
        FALSE
    )
)</f>
        <v>Enviado</v>
      </c>
      <c r="I28" s="100" t="str">
        <f t="array" aca="1" ref="I28" ca="1">IF(
    VLOOKUP(
        $A28,
        _xlfn._xlws.FILTER(
            INDIRECT("'"&amp;I$14&amp;"'!A2:E1000"), (INDIRECT("'"&amp;I$14&amp;"'!B2:B1000")=$B28) * (INDIRECT("'"&amp;I$14&amp;"'!C2:C1000")=$C28)
        ),
        5,
        FALSE
    )=0,
    "",
    VLOOKUP(
        $A28,
        _xlfn._xlws.FILTER(
            INDIRECT("'"&amp;I$14&amp;"'!A2:E1000"), (INDIRECT("'"&amp;I$14&amp;"'!B2:B1000")=$B28) * (INDIRECT("'"&amp;I$14&amp;"'!C2:C1000")=$C28)
        ),
        5,
        FALSE
    )
)</f>
        <v>Enviado</v>
      </c>
      <c r="J28" s="100" t="str">
        <f t="array" aca="1" ref="J28" ca="1">IF(
    VLOOKUP(
        $A28,
        _xlfn._xlws.FILTER(
            INDIRECT("'"&amp;J$14&amp;"'!A2:E1000"), (INDIRECT("'"&amp;J$14&amp;"'!B2:B1000")=$B28) * (INDIRECT("'"&amp;J$14&amp;"'!C2:C1000")=$C28)
        ),
        5,
        FALSE
    )=0,
    "",
    VLOOKUP(
        $A28,
        _xlfn._xlws.FILTER(
            INDIRECT("'"&amp;J$14&amp;"'!A2:E1000"), (INDIRECT("'"&amp;J$14&amp;"'!B2:B1000")=$B28) * (INDIRECT("'"&amp;J$14&amp;"'!C2:C1000")=$C28)
        ),
        5,
        FALSE
    )
)</f>
        <v>Enviado</v>
      </c>
      <c r="K28" s="100" t="str">
        <f t="array" aca="1" ref="K28" ca="1">IF(
    VLOOKUP(
        $A28,
        _xlfn._xlws.FILTER(
            INDIRECT("'"&amp;K$14&amp;"'!A2:E1000"), (INDIRECT("'"&amp;K$14&amp;"'!B2:B1000")=$B28) * (INDIRECT("'"&amp;K$14&amp;"'!C2:C1000")=$C28)
        ),
        5,
        FALSE
    )=0,
    "",
    VLOOKUP(
        $A28,
        _xlfn._xlws.FILTER(
            INDIRECT("'"&amp;K$14&amp;"'!A2:E1000"), (INDIRECT("'"&amp;K$14&amp;"'!B2:B1000")=$B28) * (INDIRECT("'"&amp;K$14&amp;"'!C2:C1000")=$C28)
        ),
        5,
        FALSE
    )
)</f>
        <v>Enviado</v>
      </c>
      <c r="L28" s="100" t="str">
        <f t="array" ref="L28" ca="1">IF(
    VLOOKUP(
        $A28,
        _xlfn._xlws.FILTER(
            INDIRECT("'"&amp;L$14&amp;"'!A2:E1000"), (INDIRECT("'"&amp;L$14&amp;"'!B2:B1000")=$B28) * (INDIRECT("'"&amp;L$14&amp;"'!C2:C1000")=$C28)
        ),
        5,
        FALSE
    )=0,
    "",
    VLOOKUP(
        $A28,
        _xlfn._xlws.FILTER(
            INDIRECT("'"&amp;L$14&amp;"'!A2:E1000"), (INDIRECT("'"&amp;L$14&amp;"'!B2:B1000")=$B28) * (INDIRECT("'"&amp;L$14&amp;"'!C2:C1000")=$C28)
        ),
        5,
        FALSE
    )
)</f>
        <v>Enviado</v>
      </c>
      <c r="M28" s="100" t="str">
        <f t="array" aca="1" ref="M28" ca="1">IF(
    VLOOKUP(
        $A28,
        _xlfn._xlws.FILTER(
            INDIRECT("'"&amp;M$14&amp;"'!A2:E1000"), (INDIRECT("'"&amp;M$14&amp;"'!B2:B1000")=$B28) * (INDIRECT("'"&amp;M$14&amp;"'!C2:C1000")=$C28)
        ),
        5,
        FALSE
    )=0,
    "",
    VLOOKUP(
        $A28,
        _xlfn._xlws.FILTER(
            INDIRECT("'"&amp;M$14&amp;"'!A2:E1000"), (INDIRECT("'"&amp;M$14&amp;"'!B2:B1000")=$B28) * (INDIRECT("'"&amp;M$14&amp;"'!C2:C1000")=$C28)
        ),
        5,
        FALSE
    )
)</f>
        <v>Enviado</v>
      </c>
      <c r="N28" s="100" t="str">
        <f t="array" aca="1" ref="N28" ca="1">IF(
    VLOOKUP(
        $A28,
        _xlfn._xlws.FILTER(
            INDIRECT("'"&amp;N$14&amp;"'!A2:E1000"), (INDIRECT("'"&amp;N$14&amp;"'!B2:B1000")=$B28) * (INDIRECT("'"&amp;N$14&amp;"'!C2:C1000")=$C28)
        ),
        5,
        FALSE
    )=0,
    "",
    VLOOKUP(
        $A28,
        _xlfn._xlws.FILTER(
            INDIRECT("'"&amp;N$14&amp;"'!A2:E1000"), (INDIRECT("'"&amp;N$14&amp;"'!B2:B1000")=$B28) * (INDIRECT("'"&amp;N$14&amp;"'!C2:C1000")=$C28)
        ),
        5,
        FALSE
    )
)</f>
        <v>Enviado</v>
      </c>
      <c r="O28" s="100" t="str">
        <f t="array" aca="1" ref="O28" ca="1">IF(
    VLOOKUP(
        $A28,
        _xlfn._xlws.FILTER(
            INDIRECT("'"&amp;O$14&amp;"'!A2:E1000"), (INDIRECT("'"&amp;O$14&amp;"'!B2:B1000")=$B28) * (INDIRECT("'"&amp;O$14&amp;"'!C2:C1000")=$C28)
        ),
        5,
        FALSE
    )=0,
    "",
    VLOOKUP(
        $A28,
        _xlfn._xlws.FILTER(
            INDIRECT("'"&amp;O$14&amp;"'!A2:E1000"), (INDIRECT("'"&amp;O$14&amp;"'!B2:B1000")=$B28) * (INDIRECT("'"&amp;O$14&amp;"'!C2:C1000")=$C28)
        ),
        5,
        FALSE
    )
)</f>
        <v>Enviado</v>
      </c>
      <c r="P28" s="100" t="str">
        <f t="array" aca="1" ref="P28" ca="1">IF(
    VLOOKUP(
        $A28,
        _xlfn._xlws.FILTER(
            INDIRECT("'"&amp;P$14&amp;"'!A2:E1000"), (INDIRECT("'"&amp;P$14&amp;"'!B2:B1000")=$B28) * (INDIRECT("'"&amp;P$14&amp;"'!C2:C1000")=$C28)
        ),
        5,
        FALSE
    )=0,
    "",
    VLOOKUP(
        $A28,
        _xlfn._xlws.FILTER(
            INDIRECT("'"&amp;P$14&amp;"'!A2:E1000"), (INDIRECT("'"&amp;P$14&amp;"'!B2:B1000")=$B28) * (INDIRECT("'"&amp;P$14&amp;"'!C2:C1000")=$C28)
        ),
        5,
        FALSE
    )
)</f>
        <v>Enviado</v>
      </c>
      <c r="Q28" s="100" t="str">
        <f t="array" aca="1" ref="Q28" ca="1">IF(
    VLOOKUP(
        $A28,
        _xlfn._xlws.FILTER(
            INDIRECT("'"&amp;Q$14&amp;"'!A2:E1000"), (INDIRECT("'"&amp;Q$14&amp;"'!B2:B1000")=$B28) * (INDIRECT("'"&amp;Q$14&amp;"'!C2:C1000")=$C28)
        ),
        5,
        FALSE
    )=0,
    "",
    VLOOKUP(
        $A28,
        _xlfn._xlws.FILTER(
            INDIRECT("'"&amp;Q$14&amp;"'!A2:E1000"), (INDIRECT("'"&amp;Q$14&amp;"'!B2:B1000")=$B28) * (INDIRECT("'"&amp;Q$14&amp;"'!C2:C1000")=$C28)
        ),
        5,
        FALSE
    )
)</f>
        <v/>
      </c>
    </row>
    <row r="29" spans="1:17" x14ac:dyDescent="0.25">
      <c r="A29" s="81" t="s">
        <v>38</v>
      </c>
      <c r="B29" s="79" t="s">
        <v>84</v>
      </c>
      <c r="C29" s="79">
        <v>1</v>
      </c>
      <c r="D29" s="100" t="str">
        <f t="array" aca="1" ref="D29" ca="1">IF(
    VLOOKUP(
        $A29,
        _xlfn._xlws.FILTER(
            INDIRECT("'"&amp;D$14&amp;"'!A2:E1000"), (INDIRECT("'"&amp;D$14&amp;"'!B2:B1000")=$B29) * (INDIRECT("'"&amp;D$14&amp;"'!C2:C1000")=$C29)
        ),
        5,
        FALSE
    )=0,
    "",
    VLOOKUP(
        $A29,
        _xlfn._xlws.FILTER(
            INDIRECT("'"&amp;D$14&amp;"'!A2:E1000"), (INDIRECT("'"&amp;D$14&amp;"'!B2:B1000")=$B29) * (INDIRECT("'"&amp;D$14&amp;"'!C2:C1000")=$C29)
        ),
        5,
        FALSE
    )
)</f>
        <v>Duplicado</v>
      </c>
      <c r="E29" s="100" t="str">
        <f t="array" aca="1" ref="E29" ca="1">IF(
    VLOOKUP(
        $A29,
        _xlfn._xlws.FILTER(
            INDIRECT("'"&amp;E$14&amp;"'!A2:E1000"), (INDIRECT("'"&amp;E$14&amp;"'!B2:B1000")=$B29) * (INDIRECT("'"&amp;E$14&amp;"'!C2:C1000")=$C29)
        ),
        5,
        FALSE
    )=0,
    "",
    VLOOKUP(
        $A29,
        _xlfn._xlws.FILTER(
            INDIRECT("'"&amp;E$14&amp;"'!A2:E1000"), (INDIRECT("'"&amp;E$14&amp;"'!B2:B1000")=$B29) * (INDIRECT("'"&amp;E$14&amp;"'!C2:C1000")=$C29)
        ),
        5,
        FALSE
    )
)</f>
        <v>Enviado</v>
      </c>
      <c r="F29" s="100" t="str">
        <f t="array" aca="1" ref="F29" ca="1">IF(
    VLOOKUP(
        $A29,
        _xlfn._xlws.FILTER(
            INDIRECT("'"&amp;F$14&amp;"'!A2:E1000"), (INDIRECT("'"&amp;F$14&amp;"'!B2:B1000")=$B29) * (INDIRECT("'"&amp;F$14&amp;"'!C2:C1000")=$C29)
        ),
        5,
        FALSE
    )=0,
    "",
    VLOOKUP(
        $A29,
        _xlfn._xlws.FILTER(
            INDIRECT("'"&amp;F$14&amp;"'!A2:E1000"), (INDIRECT("'"&amp;F$14&amp;"'!B2:B1000")=$B29) * (INDIRECT("'"&amp;F$14&amp;"'!C2:C1000")=$C29)
        ),
        5,
        FALSE
    )
)</f>
        <v>Enviado</v>
      </c>
      <c r="G29" s="100" t="str">
        <f t="array" aca="1" ref="G29" ca="1">IF(
    VLOOKUP(
        $A29,
        _xlfn._xlws.FILTER(
            INDIRECT("'"&amp;G$14&amp;"'!A2:E1000"), (INDIRECT("'"&amp;G$14&amp;"'!B2:B1000")=$B29) * (INDIRECT("'"&amp;G$14&amp;"'!C2:C1000")=$C29)
        ),
        5,
        FALSE
    )=0,
    "",
    VLOOKUP(
        $A29,
        _xlfn._xlws.FILTER(
            INDIRECT("'"&amp;G$14&amp;"'!A2:E1000"), (INDIRECT("'"&amp;G$14&amp;"'!B2:B1000")=$B29) * (INDIRECT("'"&amp;G$14&amp;"'!C2:C1000")=$C29)
        ),
        5,
        FALSE
    )
)</f>
        <v>Enviado</v>
      </c>
      <c r="H29" s="100" t="str">
        <f t="array" aca="1" ref="H29" ca="1">IF(
    VLOOKUP(
        $A29,
        _xlfn._xlws.FILTER(
            INDIRECT("'"&amp;H$14&amp;"'!A2:E1000"), (INDIRECT("'"&amp;H$14&amp;"'!B2:B1000")=$B29) * (INDIRECT("'"&amp;H$14&amp;"'!C2:C1000")=$C29)
        ),
        5,
        FALSE
    )=0,
    "",
    VLOOKUP(
        $A29,
        _xlfn._xlws.FILTER(
            INDIRECT("'"&amp;H$14&amp;"'!A2:E1000"), (INDIRECT("'"&amp;H$14&amp;"'!B2:B1000")=$B29) * (INDIRECT("'"&amp;H$14&amp;"'!C2:C1000")=$C29)
        ),
        5,
        FALSE
    )
)</f>
        <v>Enviado</v>
      </c>
      <c r="I29" s="100" t="str">
        <f t="array" aca="1" ref="I29" ca="1">IF(
    VLOOKUP(
        $A29,
        _xlfn._xlws.FILTER(
            INDIRECT("'"&amp;I$14&amp;"'!A2:E1000"), (INDIRECT("'"&amp;I$14&amp;"'!B2:B1000")=$B29) * (INDIRECT("'"&amp;I$14&amp;"'!C2:C1000")=$C29)
        ),
        5,
        FALSE
    )=0,
    "",
    VLOOKUP(
        $A29,
        _xlfn._xlws.FILTER(
            INDIRECT("'"&amp;I$14&amp;"'!A2:E1000"), (INDIRECT("'"&amp;I$14&amp;"'!B2:B1000")=$B29) * (INDIRECT("'"&amp;I$14&amp;"'!C2:C1000")=$C29)
        ),
        5,
        FALSE
    )
)</f>
        <v>Enviado</v>
      </c>
      <c r="J29" s="100" t="str">
        <f t="array" aca="1" ref="J29" ca="1">IF(
    VLOOKUP(
        $A29,
        _xlfn._xlws.FILTER(
            INDIRECT("'"&amp;J$14&amp;"'!A2:E1000"), (INDIRECT("'"&amp;J$14&amp;"'!B2:B1000")=$B29) * (INDIRECT("'"&amp;J$14&amp;"'!C2:C1000")=$C29)
        ),
        5,
        FALSE
    )=0,
    "",
    VLOOKUP(
        $A29,
        _xlfn._xlws.FILTER(
            INDIRECT("'"&amp;J$14&amp;"'!A2:E1000"), (INDIRECT("'"&amp;J$14&amp;"'!B2:B1000")=$B29) * (INDIRECT("'"&amp;J$14&amp;"'!C2:C1000")=$C29)
        ),
        5,
        FALSE
    )
)</f>
        <v>Enviado</v>
      </c>
      <c r="K29" s="100" t="str">
        <f t="array" aca="1" ref="K29" ca="1">IF(
    VLOOKUP(
        $A29,
        _xlfn._xlws.FILTER(
            INDIRECT("'"&amp;K$14&amp;"'!A2:E1000"), (INDIRECT("'"&amp;K$14&amp;"'!B2:B1000")=$B29) * (INDIRECT("'"&amp;K$14&amp;"'!C2:C1000")=$C29)
        ),
        5,
        FALSE
    )=0,
    "",
    VLOOKUP(
        $A29,
        _xlfn._xlws.FILTER(
            INDIRECT("'"&amp;K$14&amp;"'!A2:E1000"), (INDIRECT("'"&amp;K$14&amp;"'!B2:B1000")=$B29) * (INDIRECT("'"&amp;K$14&amp;"'!C2:C1000")=$C29)
        ),
        5,
        FALSE
    )
)</f>
        <v>Enviado</v>
      </c>
      <c r="L29" s="100" t="str">
        <f t="array" aca="1" ref="L29" ca="1">IF(
    VLOOKUP(
        $A29,
        _xlfn._xlws.FILTER(
            INDIRECT("'"&amp;L$14&amp;"'!A2:E1000"), (INDIRECT("'"&amp;L$14&amp;"'!B2:B1000")=$B29) * (INDIRECT("'"&amp;L$14&amp;"'!C2:C1000")=$C29)
        ),
        5,
        FALSE
    )=0,
    "",
    VLOOKUP(
        $A29,
        _xlfn._xlws.FILTER(
            INDIRECT("'"&amp;L$14&amp;"'!A2:E1000"), (INDIRECT("'"&amp;L$14&amp;"'!B2:B1000")=$B29) * (INDIRECT("'"&amp;L$14&amp;"'!C2:C1000")=$C29)
        ),
        5,
        FALSE
    )
)</f>
        <v>Enviado</v>
      </c>
      <c r="M29" s="100" t="str">
        <f t="array" aca="1" ref="M29" ca="1">IF(
    VLOOKUP(
        $A29,
        _xlfn._xlws.FILTER(
            INDIRECT("'"&amp;M$14&amp;"'!A2:E1000"), (INDIRECT("'"&amp;M$14&amp;"'!B2:B1000")=$B29) * (INDIRECT("'"&amp;M$14&amp;"'!C2:C1000")=$C29)
        ),
        5,
        FALSE
    )=0,
    "",
    VLOOKUP(
        $A29,
        _xlfn._xlws.FILTER(
            INDIRECT("'"&amp;M$14&amp;"'!A2:E1000"), (INDIRECT("'"&amp;M$14&amp;"'!B2:B1000")=$B29) * (INDIRECT("'"&amp;M$14&amp;"'!C2:C1000")=$C29)
        ),
        5,
        FALSE
    )
)</f>
        <v>Enviado</v>
      </c>
      <c r="N29" s="100" t="str">
        <f t="array" aca="1" ref="N29" ca="1">IF(
    VLOOKUP(
        $A29,
        _xlfn._xlws.FILTER(
            INDIRECT("'"&amp;N$14&amp;"'!A2:E1000"), (INDIRECT("'"&amp;N$14&amp;"'!B2:B1000")=$B29) * (INDIRECT("'"&amp;N$14&amp;"'!C2:C1000")=$C29)
        ),
        5,
        FALSE
    )=0,
    "",
    VLOOKUP(
        $A29,
        _xlfn._xlws.FILTER(
            INDIRECT("'"&amp;N$14&amp;"'!A2:E1000"), (INDIRECT("'"&amp;N$14&amp;"'!B2:B1000")=$B29) * (INDIRECT("'"&amp;N$14&amp;"'!C2:C1000")=$C29)
        ),
        5,
        FALSE
    )
)</f>
        <v>Enviado</v>
      </c>
      <c r="O29" s="100" t="str">
        <f t="array" aca="1" ref="O29" ca="1">IF(
    VLOOKUP(
        $A29,
        _xlfn._xlws.FILTER(
            INDIRECT("'"&amp;O$14&amp;"'!A2:E1000"), (INDIRECT("'"&amp;O$14&amp;"'!B2:B1000")=$B29) * (INDIRECT("'"&amp;O$14&amp;"'!C2:C1000")=$C29)
        ),
        5,
        FALSE
    )=0,
    "",
    VLOOKUP(
        $A29,
        _xlfn._xlws.FILTER(
            INDIRECT("'"&amp;O$14&amp;"'!A2:E1000"), (INDIRECT("'"&amp;O$14&amp;"'!B2:B1000")=$B29) * (INDIRECT("'"&amp;O$14&amp;"'!C2:C1000")=$C29)
        ),
        5,
        FALSE
    )
)</f>
        <v>Enviado</v>
      </c>
      <c r="P29" s="100" t="str">
        <f t="array" aca="1" ref="P29" ca="1">IF(
    VLOOKUP(
        $A29,
        _xlfn._xlws.FILTER(
            INDIRECT("'"&amp;P$14&amp;"'!A2:E1000"), (INDIRECT("'"&amp;P$14&amp;"'!B2:B1000")=$B29) * (INDIRECT("'"&amp;P$14&amp;"'!C2:C1000")=$C29)
        ),
        5,
        FALSE
    )=0,
    "",
    VLOOKUP(
        $A29,
        _xlfn._xlws.FILTER(
            INDIRECT("'"&amp;P$14&amp;"'!A2:E1000"), (INDIRECT("'"&amp;P$14&amp;"'!B2:B1000")=$B29) * (INDIRECT("'"&amp;P$14&amp;"'!C2:C1000")=$C29)
        ),
        5,
        FALSE
    )
)</f>
        <v>Enviado</v>
      </c>
      <c r="Q29" s="100" t="str">
        <f t="array" aca="1" ref="Q29" ca="1">IF(
    VLOOKUP(
        $A29,
        _xlfn._xlws.FILTER(
            INDIRECT("'"&amp;Q$14&amp;"'!A2:E1000"), (INDIRECT("'"&amp;Q$14&amp;"'!B2:B1000")=$B29) * (INDIRECT("'"&amp;Q$14&amp;"'!C2:C1000")=$C29)
        ),
        5,
        FALSE
    )=0,
    "",
    VLOOKUP(
        $A29,
        _xlfn._xlws.FILTER(
            INDIRECT("'"&amp;Q$14&amp;"'!A2:E1000"), (INDIRECT("'"&amp;Q$14&amp;"'!B2:B1000")=$B29) * (INDIRECT("'"&amp;Q$14&amp;"'!C2:C1000")=$C29)
        ),
        5,
        FALSE
    )
)</f>
        <v/>
      </c>
    </row>
    <row r="30" spans="1:17" x14ac:dyDescent="0.25">
      <c r="A30" s="81" t="s">
        <v>38</v>
      </c>
      <c r="B30" s="79" t="s">
        <v>79</v>
      </c>
      <c r="C30" s="79">
        <v>1</v>
      </c>
      <c r="D30" s="100" t="str">
        <f t="array" aca="1" ref="D30" ca="1">IF(
    VLOOKUP(
        $A30,
        _xlfn._xlws.FILTER(
            INDIRECT("'"&amp;D$14&amp;"'!A2:E1000"), (INDIRECT("'"&amp;D$14&amp;"'!B2:B1000")=$B30) * (INDIRECT("'"&amp;D$14&amp;"'!C2:C1000")=$C30)
        ),
        5,
        FALSE
    )=0,
    "",
    VLOOKUP(
        $A30,
        _xlfn._xlws.FILTER(
            INDIRECT("'"&amp;D$14&amp;"'!A2:E1000"), (INDIRECT("'"&amp;D$14&amp;"'!B2:B1000")=$B30) * (INDIRECT("'"&amp;D$14&amp;"'!C2:C1000")=$C30)
        ),
        5,
        FALSE
    )
)</f>
        <v>Enviado</v>
      </c>
      <c r="E30" s="100" t="str">
        <f t="array" aca="1" ref="E30" ca="1">IF(
    VLOOKUP(
        $A30,
        _xlfn._xlws.FILTER(
            INDIRECT("'"&amp;E$14&amp;"'!A2:E1000"), (INDIRECT("'"&amp;E$14&amp;"'!B2:B1000")=$B30) * (INDIRECT("'"&amp;E$14&amp;"'!C2:C1000")=$C30)
        ),
        5,
        FALSE
    )=0,
    "",
    VLOOKUP(
        $A30,
        _xlfn._xlws.FILTER(
            INDIRECT("'"&amp;E$14&amp;"'!A2:E1000"), (INDIRECT("'"&amp;E$14&amp;"'!B2:B1000")=$B30) * (INDIRECT("'"&amp;E$14&amp;"'!C2:C1000")=$C30)
        ),
        5,
        FALSE
    )
)</f>
        <v>Enviado</v>
      </c>
      <c r="F30" s="100" t="str">
        <f t="array" aca="1" ref="F30" ca="1">IF(
    VLOOKUP(
        $A30,
        _xlfn._xlws.FILTER(
            INDIRECT("'"&amp;F$14&amp;"'!A2:E1000"), (INDIRECT("'"&amp;F$14&amp;"'!B2:B1000")=$B30) * (INDIRECT("'"&amp;F$14&amp;"'!C2:C1000")=$C30)
        ),
        5,
        FALSE
    )=0,
    "",
    VLOOKUP(
        $A30,
        _xlfn._xlws.FILTER(
            INDIRECT("'"&amp;F$14&amp;"'!A2:E1000"), (INDIRECT("'"&amp;F$14&amp;"'!B2:B1000")=$B30) * (INDIRECT("'"&amp;F$14&amp;"'!C2:C1000")=$C30)
        ),
        5,
        FALSE
    )
)</f>
        <v>Enviado</v>
      </c>
      <c r="G30" s="100" t="str">
        <f t="array" aca="1" ref="G30" ca="1">IF(
    VLOOKUP(
        $A30,
        _xlfn._xlws.FILTER(
            INDIRECT("'"&amp;G$14&amp;"'!A2:E1000"), (INDIRECT("'"&amp;G$14&amp;"'!B2:B1000")=$B30) * (INDIRECT("'"&amp;G$14&amp;"'!C2:C1000")=$C30)
        ),
        5,
        FALSE
    )=0,
    "",
    VLOOKUP(
        $A30,
        _xlfn._xlws.FILTER(
            INDIRECT("'"&amp;G$14&amp;"'!A2:E1000"), (INDIRECT("'"&amp;G$14&amp;"'!B2:B1000")=$B30) * (INDIRECT("'"&amp;G$14&amp;"'!C2:C1000")=$C30)
        ),
        5,
        FALSE
    )
)</f>
        <v>Enviado</v>
      </c>
      <c r="H30" s="100" t="str">
        <f t="array" ref="H30" ca="1">IF(
    VLOOKUP(
        $A30,
        _xlfn._xlws.FILTER(
            INDIRECT("'"&amp;H$14&amp;"'!A2:E1000"), (INDIRECT("'"&amp;H$14&amp;"'!B2:B1000")=$B30) * (INDIRECT("'"&amp;H$14&amp;"'!C2:C1000")=$C30)
        ),
        5,
        FALSE
    )=0,
    "",
    VLOOKUP(
        $A30,
        _xlfn._xlws.FILTER(
            INDIRECT("'"&amp;H$14&amp;"'!A2:E1000"), (INDIRECT("'"&amp;H$14&amp;"'!B2:B1000")=$B30) * (INDIRECT("'"&amp;H$14&amp;"'!C2:C1000")=$C30)
        ),
        5,
        FALSE
    )
)</f>
        <v>Enviado</v>
      </c>
      <c r="I30" s="100" t="str">
        <f t="array" aca="1" ref="I30" ca="1">IF(
    VLOOKUP(
        $A30,
        _xlfn._xlws.FILTER(
            INDIRECT("'"&amp;I$14&amp;"'!A2:E1000"), (INDIRECT("'"&amp;I$14&amp;"'!B2:B1000")=$B30) * (INDIRECT("'"&amp;I$14&amp;"'!C2:C1000")=$C30)
        ),
        5,
        FALSE
    )=0,
    "",
    VLOOKUP(
        $A30,
        _xlfn._xlws.FILTER(
            INDIRECT("'"&amp;I$14&amp;"'!A2:E1000"), (INDIRECT("'"&amp;I$14&amp;"'!B2:B1000")=$B30) * (INDIRECT("'"&amp;I$14&amp;"'!C2:C1000")=$C30)
        ),
        5,
        FALSE
    )
)</f>
        <v>Enviado</v>
      </c>
      <c r="J30" s="100" t="str">
        <f t="array" aca="1" ref="J30" ca="1">IF(
    VLOOKUP(
        $A30,
        _xlfn._xlws.FILTER(
            INDIRECT("'"&amp;J$14&amp;"'!A2:E1000"), (INDIRECT("'"&amp;J$14&amp;"'!B2:B1000")=$B30) * (INDIRECT("'"&amp;J$14&amp;"'!C2:C1000")=$C30)
        ),
        5,
        FALSE
    )=0,
    "",
    VLOOKUP(
        $A30,
        _xlfn._xlws.FILTER(
            INDIRECT("'"&amp;J$14&amp;"'!A2:E1000"), (INDIRECT("'"&amp;J$14&amp;"'!B2:B1000")=$B30) * (INDIRECT("'"&amp;J$14&amp;"'!C2:C1000")=$C30)
        ),
        5,
        FALSE
    )
)</f>
        <v>Enviado</v>
      </c>
      <c r="K30" s="100" t="str">
        <f t="array" aca="1" ref="K30" ca="1">IF(
    VLOOKUP(
        $A30,
        _xlfn._xlws.FILTER(
            INDIRECT("'"&amp;K$14&amp;"'!A2:E1000"), (INDIRECT("'"&amp;K$14&amp;"'!B2:B1000")=$B30) * (INDIRECT("'"&amp;K$14&amp;"'!C2:C1000")=$C30)
        ),
        5,
        FALSE
    )=0,
    "",
    VLOOKUP(
        $A30,
        _xlfn._xlws.FILTER(
            INDIRECT("'"&amp;K$14&amp;"'!A2:E1000"), (INDIRECT("'"&amp;K$14&amp;"'!B2:B1000")=$B30) * (INDIRECT("'"&amp;K$14&amp;"'!C2:C1000")=$C30)
        ),
        5,
        FALSE
    )
)</f>
        <v>Enviado</v>
      </c>
      <c r="L30" s="100" t="str">
        <f t="array" aca="1" ref="L30" ca="1">IF(
    VLOOKUP(
        $A30,
        _xlfn._xlws.FILTER(
            INDIRECT("'"&amp;L$14&amp;"'!A2:E1000"), (INDIRECT("'"&amp;L$14&amp;"'!B2:B1000")=$B30) * (INDIRECT("'"&amp;L$14&amp;"'!C2:C1000")=$C30)
        ),
        5,
        FALSE
    )=0,
    "",
    VLOOKUP(
        $A30,
        _xlfn._xlws.FILTER(
            INDIRECT("'"&amp;L$14&amp;"'!A2:E1000"), (INDIRECT("'"&amp;L$14&amp;"'!B2:B1000")=$B30) * (INDIRECT("'"&amp;L$14&amp;"'!C2:C1000")=$C30)
        ),
        5,
        FALSE
    )
)</f>
        <v>Enviado</v>
      </c>
      <c r="M30" s="100" t="str">
        <f t="array" aca="1" ref="M30" ca="1">IF(
    VLOOKUP(
        $A30,
        _xlfn._xlws.FILTER(
            INDIRECT("'"&amp;M$14&amp;"'!A2:E1000"), (INDIRECT("'"&amp;M$14&amp;"'!B2:B1000")=$B30) * (INDIRECT("'"&amp;M$14&amp;"'!C2:C1000")=$C30)
        ),
        5,
        FALSE
    )=0,
    "",
    VLOOKUP(
        $A30,
        _xlfn._xlws.FILTER(
            INDIRECT("'"&amp;M$14&amp;"'!A2:E1000"), (INDIRECT("'"&amp;M$14&amp;"'!B2:B1000")=$B30) * (INDIRECT("'"&amp;M$14&amp;"'!C2:C1000")=$C30)
        ),
        5,
        FALSE
    )
)</f>
        <v>Enviado</v>
      </c>
      <c r="N30" s="100" t="str">
        <f t="array" aca="1" ref="N30" ca="1">IF(
    VLOOKUP(
        $A30,
        _xlfn._xlws.FILTER(
            INDIRECT("'"&amp;N$14&amp;"'!A2:E1000"), (INDIRECT("'"&amp;N$14&amp;"'!B2:B1000")=$B30) * (INDIRECT("'"&amp;N$14&amp;"'!C2:C1000")=$C30)
        ),
        5,
        FALSE
    )=0,
    "",
    VLOOKUP(
        $A30,
        _xlfn._xlws.FILTER(
            INDIRECT("'"&amp;N$14&amp;"'!A2:E1000"), (INDIRECT("'"&amp;N$14&amp;"'!B2:B1000")=$B30) * (INDIRECT("'"&amp;N$14&amp;"'!C2:C1000")=$C30)
        ),
        5,
        FALSE
    )
)</f>
        <v>Enviado</v>
      </c>
      <c r="O30" s="100" t="str">
        <f t="array" aca="1" ref="O30" ca="1">IF(
    VLOOKUP(
        $A30,
        _xlfn._xlws.FILTER(
            INDIRECT("'"&amp;O$14&amp;"'!A2:E1000"), (INDIRECT("'"&amp;O$14&amp;"'!B2:B1000")=$B30) * (INDIRECT("'"&amp;O$14&amp;"'!C2:C1000")=$C30)
        ),
        5,
        FALSE
    )=0,
    "",
    VLOOKUP(
        $A30,
        _xlfn._xlws.FILTER(
            INDIRECT("'"&amp;O$14&amp;"'!A2:E1000"), (INDIRECT("'"&amp;O$14&amp;"'!B2:B1000")=$B30) * (INDIRECT("'"&amp;O$14&amp;"'!C2:C1000")=$C30)
        ),
        5,
        FALSE
    )
)</f>
        <v>Enviado</v>
      </c>
      <c r="P30" s="100" t="str">
        <f t="array" aca="1" ref="P30" ca="1">IF(
    VLOOKUP(
        $A30,
        _xlfn._xlws.FILTER(
            INDIRECT("'"&amp;P$14&amp;"'!A2:E1000"), (INDIRECT("'"&amp;P$14&amp;"'!B2:B1000")=$B30) * (INDIRECT("'"&amp;P$14&amp;"'!C2:C1000")=$C30)
        ),
        5,
        FALSE
    )=0,
    "",
    VLOOKUP(
        $A30,
        _xlfn._xlws.FILTER(
            INDIRECT("'"&amp;P$14&amp;"'!A2:E1000"), (INDIRECT("'"&amp;P$14&amp;"'!B2:B1000")=$B30) * (INDIRECT("'"&amp;P$14&amp;"'!C2:C1000")=$C30)
        ),
        5,
        FALSE
    )
)</f>
        <v>Enviado</v>
      </c>
      <c r="Q30" s="100" t="str">
        <f t="array" aca="1" ref="Q30" ca="1">IF(
    VLOOKUP(
        $A30,
        _xlfn._xlws.FILTER(
            INDIRECT("'"&amp;Q$14&amp;"'!A2:E1000"), (INDIRECT("'"&amp;Q$14&amp;"'!B2:B1000")=$B30) * (INDIRECT("'"&amp;Q$14&amp;"'!C2:C1000")=$C30)
        ),
        5,
        FALSE
    )=0,
    "",
    VLOOKUP(
        $A30,
        _xlfn._xlws.FILTER(
            INDIRECT("'"&amp;Q$14&amp;"'!A2:E1000"), (INDIRECT("'"&amp;Q$14&amp;"'!B2:B1000")=$B30) * (INDIRECT("'"&amp;Q$14&amp;"'!C2:C1000")=$C30)
        ),
        5,
        FALSE
    )
)</f>
        <v/>
      </c>
    </row>
    <row r="31" spans="1:17" x14ac:dyDescent="0.25">
      <c r="A31" s="81" t="s">
        <v>38</v>
      </c>
      <c r="B31" s="79" t="s">
        <v>75</v>
      </c>
      <c r="C31" s="79">
        <v>1</v>
      </c>
      <c r="D31" s="100" t="str">
        <f t="array" aca="1" ref="D31" ca="1">IF(
    VLOOKUP(
        $A31,
        _xlfn._xlws.FILTER(
            INDIRECT("'"&amp;D$14&amp;"'!A2:E1000"), (INDIRECT("'"&amp;D$14&amp;"'!B2:B1000")=$B31) * (INDIRECT("'"&amp;D$14&amp;"'!C2:C1000")=$C31)
        ),
        5,
        FALSE
    )=0,
    "",
    VLOOKUP(
        $A31,
        _xlfn._xlws.FILTER(
            INDIRECT("'"&amp;D$14&amp;"'!A2:E1000"), (INDIRECT("'"&amp;D$14&amp;"'!B2:B1000")=$B31) * (INDIRECT("'"&amp;D$14&amp;"'!C2:C1000")=$C31)
        ),
        5,
        FALSE
    )
)</f>
        <v>Enviado</v>
      </c>
      <c r="E31" s="100" t="str">
        <f t="array" aca="1" ref="E31" ca="1">IF(
    VLOOKUP(
        $A31,
        _xlfn._xlws.FILTER(
            INDIRECT("'"&amp;E$14&amp;"'!A2:E1000"), (INDIRECT("'"&amp;E$14&amp;"'!B2:B1000")=$B31) * (INDIRECT("'"&amp;E$14&amp;"'!C2:C1000")=$C31)
        ),
        5,
        FALSE
    )=0,
    "",
    VLOOKUP(
        $A31,
        _xlfn._xlws.FILTER(
            INDIRECT("'"&amp;E$14&amp;"'!A2:E1000"), (INDIRECT("'"&amp;E$14&amp;"'!B2:B1000")=$B31) * (INDIRECT("'"&amp;E$14&amp;"'!C2:C1000")=$C31)
        ),
        5,
        FALSE
    )
)</f>
        <v>Enviado</v>
      </c>
      <c r="F31" s="100" t="str">
        <f t="array" aca="1" ref="F31" ca="1">IF(
    VLOOKUP(
        $A31,
        _xlfn._xlws.FILTER(
            INDIRECT("'"&amp;F$14&amp;"'!A2:E1000"), (INDIRECT("'"&amp;F$14&amp;"'!B2:B1000")=$B31) * (INDIRECT("'"&amp;F$14&amp;"'!C2:C1000")=$C31)
        ),
        5,
        FALSE
    )=0,
    "",
    VLOOKUP(
        $A31,
        _xlfn._xlws.FILTER(
            INDIRECT("'"&amp;F$14&amp;"'!A2:E1000"), (INDIRECT("'"&amp;F$14&amp;"'!B2:B1000")=$B31) * (INDIRECT("'"&amp;F$14&amp;"'!C2:C1000")=$C31)
        ),
        5,
        FALSE
    )
)</f>
        <v>Atrasado &gt;= 2</v>
      </c>
      <c r="G31" s="100" t="str">
        <f t="array" aca="1" ref="G31" ca="1">IF(
    VLOOKUP(
        $A31,
        _xlfn._xlws.FILTER(
            INDIRECT("'"&amp;G$14&amp;"'!A2:E1000"), (INDIRECT("'"&amp;G$14&amp;"'!B2:B1000")=$B31) * (INDIRECT("'"&amp;G$14&amp;"'!C2:C1000")=$C31)
        ),
        5,
        FALSE
    )=0,
    "",
    VLOOKUP(
        $A31,
        _xlfn._xlws.FILTER(
            INDIRECT("'"&amp;G$14&amp;"'!A2:E1000"), (INDIRECT("'"&amp;G$14&amp;"'!B2:B1000")=$B31) * (INDIRECT("'"&amp;G$14&amp;"'!C2:C1000")=$C31)
        ),
        5,
        FALSE
    )
)</f>
        <v>Atrasado &gt;= 2</v>
      </c>
      <c r="H31" s="100" t="str">
        <f t="array" aca="1" ref="H31" ca="1">IF(
    VLOOKUP(
        $A31,
        _xlfn._xlws.FILTER(
            INDIRECT("'"&amp;H$14&amp;"'!A2:E1000"), (INDIRECT("'"&amp;H$14&amp;"'!B2:B1000")=$B31) * (INDIRECT("'"&amp;H$14&amp;"'!C2:C1000")=$C31)
        ),
        5,
        FALSE
    )=0,
    "",
    VLOOKUP(
        $A31,
        _xlfn._xlws.FILTER(
            INDIRECT("'"&amp;H$14&amp;"'!A2:E1000"), (INDIRECT("'"&amp;H$14&amp;"'!B2:B1000")=$B31) * (INDIRECT("'"&amp;H$14&amp;"'!C2:C1000")=$C31)
        ),
        5,
        FALSE
    )
)</f>
        <v>Enviado</v>
      </c>
      <c r="I31" s="100" t="str">
        <f t="array" aca="1" ref="I31" ca="1">IF(
    VLOOKUP(
        $A31,
        _xlfn._xlws.FILTER(
            INDIRECT("'"&amp;I$14&amp;"'!A2:E1000"), (INDIRECT("'"&amp;I$14&amp;"'!B2:B1000")=$B31) * (INDIRECT("'"&amp;I$14&amp;"'!C2:C1000")=$C31)
        ),
        5,
        FALSE
    )=0,
    "",
    VLOOKUP(
        $A31,
        _xlfn._xlws.FILTER(
            INDIRECT("'"&amp;I$14&amp;"'!A2:E1000"), (INDIRECT("'"&amp;I$14&amp;"'!B2:B1000")=$B31) * (INDIRECT("'"&amp;I$14&amp;"'!C2:C1000")=$C31)
        ),
        5,
        FALSE
    )
)</f>
        <v>Enviado</v>
      </c>
      <c r="J31" s="100" t="str">
        <f t="array" aca="1" ref="J31" ca="1">IF(
    VLOOKUP(
        $A31,
        _xlfn._xlws.FILTER(
            INDIRECT("'"&amp;J$14&amp;"'!A2:E1000"), (INDIRECT("'"&amp;J$14&amp;"'!B2:B1000")=$B31) * (INDIRECT("'"&amp;J$14&amp;"'!C2:C1000")=$C31)
        ),
        5,
        FALSE
    )=0,
    "",
    VLOOKUP(
        $A31,
        _xlfn._xlws.FILTER(
            INDIRECT("'"&amp;J$14&amp;"'!A2:E1000"), (INDIRECT("'"&amp;J$14&amp;"'!B2:B1000")=$B31) * (INDIRECT("'"&amp;J$14&amp;"'!C2:C1000")=$C31)
        ),
        5,
        FALSE
    )
)</f>
        <v>Enviado</v>
      </c>
      <c r="K31" s="100" t="str">
        <f t="array" aca="1" ref="K31" ca="1">IF(
    VLOOKUP(
        $A31,
        _xlfn._xlws.FILTER(
            INDIRECT("'"&amp;K$14&amp;"'!A2:E1000"), (INDIRECT("'"&amp;K$14&amp;"'!B2:B1000")=$B31) * (INDIRECT("'"&amp;K$14&amp;"'!C2:C1000")=$C31)
        ),
        5,
        FALSE
    )=0,
    "",
    VLOOKUP(
        $A31,
        _xlfn._xlws.FILTER(
            INDIRECT("'"&amp;K$14&amp;"'!A2:E1000"), (INDIRECT("'"&amp;K$14&amp;"'!B2:B1000")=$B31) * (INDIRECT("'"&amp;K$14&amp;"'!C2:C1000")=$C31)
        ),
        5,
        FALSE
    )
)</f>
        <v>Enviado</v>
      </c>
      <c r="L31" s="100" t="str">
        <f t="array" aca="1" ref="L31" ca="1">IF(
    VLOOKUP(
        $A31,
        _xlfn._xlws.FILTER(
            INDIRECT("'"&amp;L$14&amp;"'!A2:E1000"), (INDIRECT("'"&amp;L$14&amp;"'!B2:B1000")=$B31) * (INDIRECT("'"&amp;L$14&amp;"'!C2:C1000")=$C31)
        ),
        5,
        FALSE
    )=0,
    "",
    VLOOKUP(
        $A31,
        _xlfn._xlws.FILTER(
            INDIRECT("'"&amp;L$14&amp;"'!A2:E1000"), (INDIRECT("'"&amp;L$14&amp;"'!B2:B1000")=$B31) * (INDIRECT("'"&amp;L$14&amp;"'!C2:C1000")=$C31)
        ),
        5,
        FALSE
    )
)</f>
        <v>Duplicado</v>
      </c>
      <c r="M31" s="100" t="str">
        <f t="array" ref="M31" ca="1">IF(
    VLOOKUP(
        $A31,
        _xlfn._xlws.FILTER(
            INDIRECT("'"&amp;M$14&amp;"'!A2:E1000"), (INDIRECT("'"&amp;M$14&amp;"'!B2:B1000")=$B31) * (INDIRECT("'"&amp;M$14&amp;"'!C2:C1000")=$C31)
        ),
        5,
        FALSE
    )=0,
    "",
    VLOOKUP(
        $A31,
        _xlfn._xlws.FILTER(
            INDIRECT("'"&amp;M$14&amp;"'!A2:E1000"), (INDIRECT("'"&amp;M$14&amp;"'!B2:B1000")=$B31) * (INDIRECT("'"&amp;M$14&amp;"'!C2:C1000")=$C31)
        ),
        5,
        FALSE
    )
)</f>
        <v>Enviado</v>
      </c>
      <c r="N31" s="100" t="str">
        <f t="array" aca="1" ref="N31" ca="1">IF(
    VLOOKUP(
        $A31,
        _xlfn._xlws.FILTER(
            INDIRECT("'"&amp;N$14&amp;"'!A2:E1000"), (INDIRECT("'"&amp;N$14&amp;"'!B2:B1000")=$B31) * (INDIRECT("'"&amp;N$14&amp;"'!C2:C1000")=$C31)
        ),
        5,
        FALSE
    )=0,
    "",
    VLOOKUP(
        $A31,
        _xlfn._xlws.FILTER(
            INDIRECT("'"&amp;N$14&amp;"'!A2:E1000"), (INDIRECT("'"&amp;N$14&amp;"'!B2:B1000")=$B31) * (INDIRECT("'"&amp;N$14&amp;"'!C2:C1000")=$C31)
        ),
        5,
        FALSE
    )
)</f>
        <v>Enviado</v>
      </c>
      <c r="O31" s="100" t="str">
        <f t="array" aca="1" ref="O31" ca="1">IF(
    VLOOKUP(
        $A31,
        _xlfn._xlws.FILTER(
            INDIRECT("'"&amp;O$14&amp;"'!A2:E1000"), (INDIRECT("'"&amp;O$14&amp;"'!B2:B1000")=$B31) * (INDIRECT("'"&amp;O$14&amp;"'!C2:C1000")=$C31)
        ),
        5,
        FALSE
    )=0,
    "",
    VLOOKUP(
        $A31,
        _xlfn._xlws.FILTER(
            INDIRECT("'"&amp;O$14&amp;"'!A2:E1000"), (INDIRECT("'"&amp;O$14&amp;"'!B2:B1000")=$B31) * (INDIRECT("'"&amp;O$14&amp;"'!C2:C1000")=$C31)
        ),
        5,
        FALSE
    )
)</f>
        <v>Enviado</v>
      </c>
      <c r="P31" s="100" t="str">
        <f t="array" aca="1" ref="P31" ca="1">IF(
    VLOOKUP(
        $A31,
        _xlfn._xlws.FILTER(
            INDIRECT("'"&amp;P$14&amp;"'!A2:E1000"), (INDIRECT("'"&amp;P$14&amp;"'!B2:B1000")=$B31) * (INDIRECT("'"&amp;P$14&amp;"'!C2:C1000")=$C31)
        ),
        5,
        FALSE
    )=0,
    "",
    VLOOKUP(
        $A31,
        _xlfn._xlws.FILTER(
            INDIRECT("'"&amp;P$14&amp;"'!A2:E1000"), (INDIRECT("'"&amp;P$14&amp;"'!B2:B1000")=$B31) * (INDIRECT("'"&amp;P$14&amp;"'!C2:C1000")=$C31)
        ),
        5,
        FALSE
    )
)</f>
        <v>Enviado</v>
      </c>
      <c r="Q31" s="100" t="str">
        <f t="array" aca="1" ref="Q31" ca="1">IF(
    VLOOKUP(
        $A31,
        _xlfn._xlws.FILTER(
            INDIRECT("'"&amp;Q$14&amp;"'!A2:E1000"), (INDIRECT("'"&amp;Q$14&amp;"'!B2:B1000")=$B31) * (INDIRECT("'"&amp;Q$14&amp;"'!C2:C1000")=$C31)
        ),
        5,
        FALSE
    )=0,
    "",
    VLOOKUP(
        $A31,
        _xlfn._xlws.FILTER(
            INDIRECT("'"&amp;Q$14&amp;"'!A2:E1000"), (INDIRECT("'"&amp;Q$14&amp;"'!B2:B1000")=$B31) * (INDIRECT("'"&amp;Q$14&amp;"'!C2:C1000")=$C31)
        ),
        5,
        FALSE
    )
)</f>
        <v/>
      </c>
    </row>
    <row r="32" spans="1:17" x14ac:dyDescent="0.25">
      <c r="A32" s="81" t="s">
        <v>38</v>
      </c>
      <c r="B32" s="79" t="s">
        <v>107</v>
      </c>
      <c r="C32" s="79">
        <v>1</v>
      </c>
      <c r="D32" s="100" t="str">
        <f t="array" aca="1" ref="D32" ca="1">IF(
    VLOOKUP(
        $A32,
        _xlfn._xlws.FILTER(
            INDIRECT("'"&amp;D$14&amp;"'!A2:E1000"), (INDIRECT("'"&amp;D$14&amp;"'!B2:B1000")=$B32) * (INDIRECT("'"&amp;D$14&amp;"'!C2:C1000")=$C32)
        ),
        5,
        FALSE
    )=0,
    "",
    VLOOKUP(
        $A32,
        _xlfn._xlws.FILTER(
            INDIRECT("'"&amp;D$14&amp;"'!A2:E1000"), (INDIRECT("'"&amp;D$14&amp;"'!B2:B1000")=$B32) * (INDIRECT("'"&amp;D$14&amp;"'!C2:C1000")=$C32)
        ),
        5,
        FALSE
    )
)</f>
        <v>Enviado</v>
      </c>
      <c r="E32" s="100" t="str">
        <f t="array" aca="1" ref="E32" ca="1">IF(
    VLOOKUP(
        $A32,
        _xlfn._xlws.FILTER(
            INDIRECT("'"&amp;E$14&amp;"'!A2:E1000"), (INDIRECT("'"&amp;E$14&amp;"'!B2:B1000")=$B32) * (INDIRECT("'"&amp;E$14&amp;"'!C2:C1000")=$C32)
        ),
        5,
        FALSE
    )=0,
    "",
    VLOOKUP(
        $A32,
        _xlfn._xlws.FILTER(
            INDIRECT("'"&amp;E$14&amp;"'!A2:E1000"), (INDIRECT("'"&amp;E$14&amp;"'!B2:B1000")=$B32) * (INDIRECT("'"&amp;E$14&amp;"'!C2:C1000")=$C32)
        ),
        5,
        FALSE
    )
)</f>
        <v>Enviado</v>
      </c>
      <c r="F32" s="100" t="str">
        <f t="array" aca="1" ref="F32" ca="1">IF(
    VLOOKUP(
        $A32,
        _xlfn._xlws.FILTER(
            INDIRECT("'"&amp;F$14&amp;"'!A2:E1000"), (INDIRECT("'"&amp;F$14&amp;"'!B2:B1000")=$B32) * (INDIRECT("'"&amp;F$14&amp;"'!C2:C1000")=$C32)
        ),
        5,
        FALSE
    )=0,
    "",
    VLOOKUP(
        $A32,
        _xlfn._xlws.FILTER(
            INDIRECT("'"&amp;F$14&amp;"'!A2:E1000"), (INDIRECT("'"&amp;F$14&amp;"'!B2:B1000")=$B32) * (INDIRECT("'"&amp;F$14&amp;"'!C2:C1000")=$C32)
        ),
        5,
        FALSE
    )
)</f>
        <v>Enviado</v>
      </c>
      <c r="G32" s="100" t="str">
        <f t="array" aca="1" ref="G32" ca="1">IF(
    VLOOKUP(
        $A32,
        _xlfn._xlws.FILTER(
            INDIRECT("'"&amp;G$14&amp;"'!A2:E1000"), (INDIRECT("'"&amp;G$14&amp;"'!B2:B1000")=$B32) * (INDIRECT("'"&amp;G$14&amp;"'!C2:C1000")=$C32)
        ),
        5,
        FALSE
    )=0,
    "",
    VLOOKUP(
        $A32,
        _xlfn._xlws.FILTER(
            INDIRECT("'"&amp;G$14&amp;"'!A2:E1000"), (INDIRECT("'"&amp;G$14&amp;"'!B2:B1000")=$B32) * (INDIRECT("'"&amp;G$14&amp;"'!C2:C1000")=$C32)
        ),
        5,
        FALSE
    )
)</f>
        <v>Enviado</v>
      </c>
      <c r="H32" s="100" t="str">
        <f t="array" aca="1" ref="H32" ca="1">IF(
    VLOOKUP(
        $A32,
        _xlfn._xlws.FILTER(
            INDIRECT("'"&amp;H$14&amp;"'!A2:E1000"), (INDIRECT("'"&amp;H$14&amp;"'!B2:B1000")=$B32) * (INDIRECT("'"&amp;H$14&amp;"'!C2:C1000")=$C32)
        ),
        5,
        FALSE
    )=0,
    "",
    VLOOKUP(
        $A32,
        _xlfn._xlws.FILTER(
            INDIRECT("'"&amp;H$14&amp;"'!A2:E1000"), (INDIRECT("'"&amp;H$14&amp;"'!B2:B1000")=$B32) * (INDIRECT("'"&amp;H$14&amp;"'!C2:C1000")=$C32)
        ),
        5,
        FALSE
    )
)</f>
        <v>Enviado</v>
      </c>
      <c r="I32" s="100" t="str">
        <f t="array" aca="1" ref="I32" ca="1">IF(
    VLOOKUP(
        $A32,
        _xlfn._xlws.FILTER(
            INDIRECT("'"&amp;I$14&amp;"'!A2:E1000"), (INDIRECT("'"&amp;I$14&amp;"'!B2:B1000")=$B32) * (INDIRECT("'"&amp;I$14&amp;"'!C2:C1000")=$C32)
        ),
        5,
        FALSE
    )=0,
    "",
    VLOOKUP(
        $A32,
        _xlfn._xlws.FILTER(
            INDIRECT("'"&amp;I$14&amp;"'!A2:E1000"), (INDIRECT("'"&amp;I$14&amp;"'!B2:B1000")=$B32) * (INDIRECT("'"&amp;I$14&amp;"'!C2:C1000")=$C32)
        ),
        5,
        FALSE
    )
)</f>
        <v>Enviado</v>
      </c>
      <c r="J32" s="100" t="str">
        <f t="array" aca="1" ref="J32" ca="1">IF(
    VLOOKUP(
        $A32,
        _xlfn._xlws.FILTER(
            INDIRECT("'"&amp;J$14&amp;"'!A2:E1000"), (INDIRECT("'"&amp;J$14&amp;"'!B2:B1000")=$B32) * (INDIRECT("'"&amp;J$14&amp;"'!C2:C1000")=$C32)
        ),
        5,
        FALSE
    )=0,
    "",
    VLOOKUP(
        $A32,
        _xlfn._xlws.FILTER(
            INDIRECT("'"&amp;J$14&amp;"'!A2:E1000"), (INDIRECT("'"&amp;J$14&amp;"'!B2:B1000")=$B32) * (INDIRECT("'"&amp;J$14&amp;"'!C2:C1000")=$C32)
        ),
        5,
        FALSE
    )
)</f>
        <v>Enviado</v>
      </c>
      <c r="K32" s="100" t="str">
        <f t="array" aca="1" ref="K32" ca="1">IF(
    VLOOKUP(
        $A32,
        _xlfn._xlws.FILTER(
            INDIRECT("'"&amp;K$14&amp;"'!A2:E1000"), (INDIRECT("'"&amp;K$14&amp;"'!B2:B1000")=$B32) * (INDIRECT("'"&amp;K$14&amp;"'!C2:C1000")=$C32)
        ),
        5,
        FALSE
    )=0,
    "",
    VLOOKUP(
        $A32,
        _xlfn._xlws.FILTER(
            INDIRECT("'"&amp;K$14&amp;"'!A2:E1000"), (INDIRECT("'"&amp;K$14&amp;"'!B2:B1000")=$B32) * (INDIRECT("'"&amp;K$14&amp;"'!C2:C1000")=$C32)
        ),
        5,
        FALSE
    )
)</f>
        <v>Enviado</v>
      </c>
      <c r="L32" s="100" t="str">
        <f t="array" aca="1" ref="L32" ca="1">IF(
    VLOOKUP(
        $A32,
        _xlfn._xlws.FILTER(
            INDIRECT("'"&amp;L$14&amp;"'!A2:E1000"), (INDIRECT("'"&amp;L$14&amp;"'!B2:B1000")=$B32) * (INDIRECT("'"&amp;L$14&amp;"'!C2:C1000")=$C32)
        ),
        5,
        FALSE
    )=0,
    "",
    VLOOKUP(
        $A32,
        _xlfn._xlws.FILTER(
            INDIRECT("'"&amp;L$14&amp;"'!A2:E1000"), (INDIRECT("'"&amp;L$14&amp;"'!B2:B1000")=$B32) * (INDIRECT("'"&amp;L$14&amp;"'!C2:C1000")=$C32)
        ),
        5,
        FALSE
    )
)</f>
        <v>Enviado</v>
      </c>
      <c r="M32" s="100" t="str">
        <f t="array" aca="1" ref="M32" ca="1">IF(
    VLOOKUP(
        $A32,
        _xlfn._xlws.FILTER(
            INDIRECT("'"&amp;M$14&amp;"'!A2:E1000"), (INDIRECT("'"&amp;M$14&amp;"'!B2:B1000")=$B32) * (INDIRECT("'"&amp;M$14&amp;"'!C2:C1000")=$C32)
        ),
        5,
        FALSE
    )=0,
    "",
    VLOOKUP(
        $A32,
        _xlfn._xlws.FILTER(
            INDIRECT("'"&amp;M$14&amp;"'!A2:E1000"), (INDIRECT("'"&amp;M$14&amp;"'!B2:B1000")=$B32) * (INDIRECT("'"&amp;M$14&amp;"'!C2:C1000")=$C32)
        ),
        5,
        FALSE
    )
)</f>
        <v>Enviado</v>
      </c>
      <c r="N32" s="100" t="str">
        <f t="array" aca="1" ref="N32" ca="1">IF(
    VLOOKUP(
        $A32,
        _xlfn._xlws.FILTER(
            INDIRECT("'"&amp;N$14&amp;"'!A2:E1000"), (INDIRECT("'"&amp;N$14&amp;"'!B2:B1000")=$B32) * (INDIRECT("'"&amp;N$14&amp;"'!C2:C1000")=$C32)
        ),
        5,
        FALSE
    )=0,
    "",
    VLOOKUP(
        $A32,
        _xlfn._xlws.FILTER(
            INDIRECT("'"&amp;N$14&amp;"'!A2:E1000"), (INDIRECT("'"&amp;N$14&amp;"'!B2:B1000")=$B32) * (INDIRECT("'"&amp;N$14&amp;"'!C2:C1000")=$C32)
        ),
        5,
        FALSE
    )
)</f>
        <v>Enviado</v>
      </c>
      <c r="O32" s="100" t="str">
        <f t="array" aca="1" ref="O32" ca="1">IF(
    VLOOKUP(
        $A32,
        _xlfn._xlws.FILTER(
            INDIRECT("'"&amp;O$14&amp;"'!A2:E1000"), (INDIRECT("'"&amp;O$14&amp;"'!B2:B1000")=$B32) * (INDIRECT("'"&amp;O$14&amp;"'!C2:C1000")=$C32)
        ),
        5,
        FALSE
    )=0,
    "",
    VLOOKUP(
        $A32,
        _xlfn._xlws.FILTER(
            INDIRECT("'"&amp;O$14&amp;"'!A2:E1000"), (INDIRECT("'"&amp;O$14&amp;"'!B2:B1000")=$B32) * (INDIRECT("'"&amp;O$14&amp;"'!C2:C1000")=$C32)
        ),
        5,
        FALSE
    )
)</f>
        <v>Enviado</v>
      </c>
      <c r="P32" s="100" t="str">
        <f t="array" aca="1" ref="P32" ca="1">IF(
    VLOOKUP(
        $A32,
        _xlfn._xlws.FILTER(
            INDIRECT("'"&amp;P$14&amp;"'!A2:E1000"), (INDIRECT("'"&amp;P$14&amp;"'!B2:B1000")=$B32) * (INDIRECT("'"&amp;P$14&amp;"'!C2:C1000")=$C32)
        ),
        5,
        FALSE
    )=0,
    "",
    VLOOKUP(
        $A32,
        _xlfn._xlws.FILTER(
            INDIRECT("'"&amp;P$14&amp;"'!A2:E1000"), (INDIRECT("'"&amp;P$14&amp;"'!B2:B1000")=$B32) * (INDIRECT("'"&amp;P$14&amp;"'!C2:C1000")=$C32)
        ),
        5,
        FALSE
    )
)</f>
        <v>Enviado</v>
      </c>
      <c r="Q32" s="100" t="str">
        <f t="array" aca="1" ref="Q32" ca="1">IF(
    VLOOKUP(
        $A32,
        _xlfn._xlws.FILTER(
            INDIRECT("'"&amp;Q$14&amp;"'!A2:E1000"), (INDIRECT("'"&amp;Q$14&amp;"'!B2:B1000")=$B32) * (INDIRECT("'"&amp;Q$14&amp;"'!C2:C1000")=$C32)
        ),
        5,
        FALSE
    )=0,
    "",
    VLOOKUP(
        $A32,
        _xlfn._xlws.FILTER(
            INDIRECT("'"&amp;Q$14&amp;"'!A2:E1000"), (INDIRECT("'"&amp;Q$14&amp;"'!B2:B1000")=$B32) * (INDIRECT("'"&amp;Q$14&amp;"'!C2:C1000")=$C32)
        ),
        5,
        FALSE
    )
)</f>
        <v/>
      </c>
    </row>
    <row r="33" spans="1:17" x14ac:dyDescent="0.25">
      <c r="A33" s="81" t="s">
        <v>38</v>
      </c>
      <c r="B33" s="79" t="s">
        <v>81</v>
      </c>
      <c r="C33" s="79">
        <v>1</v>
      </c>
      <c r="D33" s="100" t="str">
        <f t="array" aca="1" ref="D33" ca="1">IF(
    VLOOKUP(
        $A33,
        _xlfn._xlws.FILTER(
            INDIRECT("'"&amp;D$14&amp;"'!A2:E1000"), (INDIRECT("'"&amp;D$14&amp;"'!B2:B1000")=$B33) * (INDIRECT("'"&amp;D$14&amp;"'!C2:C1000")=$C33)
        ),
        5,
        FALSE
    )=0,
    "",
    VLOOKUP(
        $A33,
        _xlfn._xlws.FILTER(
            INDIRECT("'"&amp;D$14&amp;"'!A2:E1000"), (INDIRECT("'"&amp;D$14&amp;"'!B2:B1000")=$B33) * (INDIRECT("'"&amp;D$14&amp;"'!C2:C1000")=$C33)
        ),
        5,
        FALSE
    )
)</f>
        <v>Enviado</v>
      </c>
      <c r="E33" s="100" t="str">
        <f t="array" aca="1" ref="E33" ca="1">IF(
    VLOOKUP(
        $A33,
        _xlfn._xlws.FILTER(
            INDIRECT("'"&amp;E$14&amp;"'!A2:E1000"), (INDIRECT("'"&amp;E$14&amp;"'!B2:B1000")=$B33) * (INDIRECT("'"&amp;E$14&amp;"'!C2:C1000")=$C33)
        ),
        5,
        FALSE
    )=0,
    "",
    VLOOKUP(
        $A33,
        _xlfn._xlws.FILTER(
            INDIRECT("'"&amp;E$14&amp;"'!A2:E1000"), (INDIRECT("'"&amp;E$14&amp;"'!B2:B1000")=$B33) * (INDIRECT("'"&amp;E$14&amp;"'!C2:C1000")=$C33)
        ),
        5,
        FALSE
    )
)</f>
        <v>Enviado</v>
      </c>
      <c r="F33" s="100" t="str">
        <f t="array" aca="1" ref="F33" ca="1">IF(
    VLOOKUP(
        $A33,
        _xlfn._xlws.FILTER(
            INDIRECT("'"&amp;F$14&amp;"'!A2:E1000"), (INDIRECT("'"&amp;F$14&amp;"'!B2:B1000")=$B33) * (INDIRECT("'"&amp;F$14&amp;"'!C2:C1000")=$C33)
        ),
        5,
        FALSE
    )=0,
    "",
    VLOOKUP(
        $A33,
        _xlfn._xlws.FILTER(
            INDIRECT("'"&amp;F$14&amp;"'!A2:E1000"), (INDIRECT("'"&amp;F$14&amp;"'!B2:B1000")=$B33) * (INDIRECT("'"&amp;F$14&amp;"'!C2:C1000")=$C33)
        ),
        5,
        FALSE
    )
)</f>
        <v>Enviado</v>
      </c>
      <c r="G33" s="100" t="str">
        <f t="array" aca="1" ref="G33" ca="1">IF(
    VLOOKUP(
        $A33,
        _xlfn._xlws.FILTER(
            INDIRECT("'"&amp;G$14&amp;"'!A2:E1000"), (INDIRECT("'"&amp;G$14&amp;"'!B2:B1000")=$B33) * (INDIRECT("'"&amp;G$14&amp;"'!C2:C1000")=$C33)
        ),
        5,
        FALSE
    )=0,
    "",
    VLOOKUP(
        $A33,
        _xlfn._xlws.FILTER(
            INDIRECT("'"&amp;G$14&amp;"'!A2:E1000"), (INDIRECT("'"&amp;G$14&amp;"'!B2:B1000")=$B33) * (INDIRECT("'"&amp;G$14&amp;"'!C2:C1000")=$C33)
        ),
        5,
        FALSE
    )
)</f>
        <v>Enviado</v>
      </c>
      <c r="H33" s="100" t="str">
        <f t="array" aca="1" ref="H33" ca="1">IF(
    VLOOKUP(
        $A33,
        _xlfn._xlws.FILTER(
            INDIRECT("'"&amp;H$14&amp;"'!A2:E1000"), (INDIRECT("'"&amp;H$14&amp;"'!B2:B1000")=$B33) * (INDIRECT("'"&amp;H$14&amp;"'!C2:C1000")=$C33)
        ),
        5,
        FALSE
    )=0,
    "",
    VLOOKUP(
        $A33,
        _xlfn._xlws.FILTER(
            INDIRECT("'"&amp;H$14&amp;"'!A2:E1000"), (INDIRECT("'"&amp;H$14&amp;"'!B2:B1000")=$B33) * (INDIRECT("'"&amp;H$14&amp;"'!C2:C1000")=$C33)
        ),
        5,
        FALSE
    )
)</f>
        <v>Enviado</v>
      </c>
      <c r="I33" s="100" t="str">
        <f t="array" aca="1" ref="I33" ca="1">IF(
    VLOOKUP(
        $A33,
        _xlfn._xlws.FILTER(
            INDIRECT("'"&amp;I$14&amp;"'!A2:E1000"), (INDIRECT("'"&amp;I$14&amp;"'!B2:B1000")=$B33) * (INDIRECT("'"&amp;I$14&amp;"'!C2:C1000")=$C33)
        ),
        5,
        FALSE
    )=0,
    "",
    VLOOKUP(
        $A33,
        _xlfn._xlws.FILTER(
            INDIRECT("'"&amp;I$14&amp;"'!A2:E1000"), (INDIRECT("'"&amp;I$14&amp;"'!B2:B1000")=$B33) * (INDIRECT("'"&amp;I$14&amp;"'!C2:C1000")=$C33)
        ),
        5,
        FALSE
    )
)</f>
        <v>Enviado</v>
      </c>
      <c r="J33" s="100" t="str">
        <f t="array" aca="1" ref="J33" ca="1">IF(
    VLOOKUP(
        $A33,
        _xlfn._xlws.FILTER(
            INDIRECT("'"&amp;J$14&amp;"'!A2:E1000"), (INDIRECT("'"&amp;J$14&amp;"'!B2:B1000")=$B33) * (INDIRECT("'"&amp;J$14&amp;"'!C2:C1000")=$C33)
        ),
        5,
        FALSE
    )=0,
    "",
    VLOOKUP(
        $A33,
        _xlfn._xlws.FILTER(
            INDIRECT("'"&amp;J$14&amp;"'!A2:E1000"), (INDIRECT("'"&amp;J$14&amp;"'!B2:B1000")=$B33) * (INDIRECT("'"&amp;J$14&amp;"'!C2:C1000")=$C33)
        ),
        5,
        FALSE
    )
)</f>
        <v>Enviado</v>
      </c>
      <c r="K33" s="100" t="str">
        <f t="array" aca="1" ref="K33" ca="1">IF(
    VLOOKUP(
        $A33,
        _xlfn._xlws.FILTER(
            INDIRECT("'"&amp;K$14&amp;"'!A2:E1000"), (INDIRECT("'"&amp;K$14&amp;"'!B2:B1000")=$B33) * (INDIRECT("'"&amp;K$14&amp;"'!C2:C1000")=$C33)
        ),
        5,
        FALSE
    )=0,
    "",
    VLOOKUP(
        $A33,
        _xlfn._xlws.FILTER(
            INDIRECT("'"&amp;K$14&amp;"'!A2:E1000"), (INDIRECT("'"&amp;K$14&amp;"'!B2:B1000")=$B33) * (INDIRECT("'"&amp;K$14&amp;"'!C2:C1000")=$C33)
        ),
        5,
        FALSE
    )
)</f>
        <v>Enviado</v>
      </c>
      <c r="L33" s="100" t="str">
        <f t="array" aca="1" ref="L33" ca="1">IF(
    VLOOKUP(
        $A33,
        _xlfn._xlws.FILTER(
            INDIRECT("'"&amp;L$14&amp;"'!A2:E1000"), (INDIRECT("'"&amp;L$14&amp;"'!B2:B1000")=$B33) * (INDIRECT("'"&amp;L$14&amp;"'!C2:C1000")=$C33)
        ),
        5,
        FALSE
    )=0,
    "",
    VLOOKUP(
        $A33,
        _xlfn._xlws.FILTER(
            INDIRECT("'"&amp;L$14&amp;"'!A2:E1000"), (INDIRECT("'"&amp;L$14&amp;"'!B2:B1000")=$B33) * (INDIRECT("'"&amp;L$14&amp;"'!C2:C1000")=$C33)
        ),
        5,
        FALSE
    )
)</f>
        <v>Enviado</v>
      </c>
      <c r="M33" s="100" t="str">
        <f t="array" aca="1" ref="M33" ca="1">IF(
    VLOOKUP(
        $A33,
        _xlfn._xlws.FILTER(
            INDIRECT("'"&amp;M$14&amp;"'!A2:E1000"), (INDIRECT("'"&amp;M$14&amp;"'!B2:B1000")=$B33) * (INDIRECT("'"&amp;M$14&amp;"'!C2:C1000")=$C33)
        ),
        5,
        FALSE
    )=0,
    "",
    VLOOKUP(
        $A33,
        _xlfn._xlws.FILTER(
            INDIRECT("'"&amp;M$14&amp;"'!A2:E1000"), (INDIRECT("'"&amp;M$14&amp;"'!B2:B1000")=$B33) * (INDIRECT("'"&amp;M$14&amp;"'!C2:C1000")=$C33)
        ),
        5,
        FALSE
    )
)</f>
        <v>Enviado</v>
      </c>
      <c r="N33" s="100" t="str">
        <f t="array" aca="1" ref="N33" ca="1">IF(
    VLOOKUP(
        $A33,
        _xlfn._xlws.FILTER(
            INDIRECT("'"&amp;N$14&amp;"'!A2:E1000"), (INDIRECT("'"&amp;N$14&amp;"'!B2:B1000")=$B33) * (INDIRECT("'"&amp;N$14&amp;"'!C2:C1000")=$C33)
        ),
        5,
        FALSE
    )=0,
    "",
    VLOOKUP(
        $A33,
        _xlfn._xlws.FILTER(
            INDIRECT("'"&amp;N$14&amp;"'!A2:E1000"), (INDIRECT("'"&amp;N$14&amp;"'!B2:B1000")=$B33) * (INDIRECT("'"&amp;N$14&amp;"'!C2:C1000")=$C33)
        ),
        5,
        FALSE
    )
)</f>
        <v>Enviado</v>
      </c>
      <c r="O33" s="100" t="str">
        <f t="array" aca="1" ref="O33" ca="1">IF(
    VLOOKUP(
        $A33,
        _xlfn._xlws.FILTER(
            INDIRECT("'"&amp;O$14&amp;"'!A2:E1000"), (INDIRECT("'"&amp;O$14&amp;"'!B2:B1000")=$B33) * (INDIRECT("'"&amp;O$14&amp;"'!C2:C1000")=$C33)
        ),
        5,
        FALSE
    )=0,
    "",
    VLOOKUP(
        $A33,
        _xlfn._xlws.FILTER(
            INDIRECT("'"&amp;O$14&amp;"'!A2:E1000"), (INDIRECT("'"&amp;O$14&amp;"'!B2:B1000")=$B33) * (INDIRECT("'"&amp;O$14&amp;"'!C2:C1000")=$C33)
        ),
        5,
        FALSE
    )
)</f>
        <v>Enviado</v>
      </c>
      <c r="P33" s="100" t="str">
        <f t="array" aca="1" ref="P33" ca="1">IF(
    VLOOKUP(
        $A33,
        _xlfn._xlws.FILTER(
            INDIRECT("'"&amp;P$14&amp;"'!A2:E1000"), (INDIRECT("'"&amp;P$14&amp;"'!B2:B1000")=$B33) * (INDIRECT("'"&amp;P$14&amp;"'!C2:C1000")=$C33)
        ),
        5,
        FALSE
    )=0,
    "",
    VLOOKUP(
        $A33,
        _xlfn._xlws.FILTER(
            INDIRECT("'"&amp;P$14&amp;"'!A2:E1000"), (INDIRECT("'"&amp;P$14&amp;"'!B2:B1000")=$B33) * (INDIRECT("'"&amp;P$14&amp;"'!C2:C1000")=$C33)
        ),
        5,
        FALSE
    )
)</f>
        <v>Enviado</v>
      </c>
      <c r="Q33" s="100" t="str">
        <f t="array" aca="1" ref="Q33" ca="1">IF(
    VLOOKUP(
        $A33,
        _xlfn._xlws.FILTER(
            INDIRECT("'"&amp;Q$14&amp;"'!A2:E1000"), (INDIRECT("'"&amp;Q$14&amp;"'!B2:B1000")=$B33) * (INDIRECT("'"&amp;Q$14&amp;"'!C2:C1000")=$C33)
        ),
        5,
        FALSE
    )=0,
    "",
    VLOOKUP(
        $A33,
        _xlfn._xlws.FILTER(
            INDIRECT("'"&amp;Q$14&amp;"'!A2:E1000"), (INDIRECT("'"&amp;Q$14&amp;"'!B2:B1000")=$B33) * (INDIRECT("'"&amp;Q$14&amp;"'!C2:C1000")=$C33)
        ),
        5,
        FALSE
    )
)</f>
        <v/>
      </c>
    </row>
    <row r="34" spans="1:17" x14ac:dyDescent="0.25">
      <c r="A34" s="81" t="s">
        <v>38</v>
      </c>
      <c r="B34" s="79" t="s">
        <v>76</v>
      </c>
      <c r="C34" s="79">
        <v>1</v>
      </c>
      <c r="D34" s="100" t="str">
        <f t="array" aca="1" ref="D34" ca="1">IF(
    VLOOKUP(
        $A34,
        _xlfn._xlws.FILTER(
            INDIRECT("'"&amp;D$14&amp;"'!A2:E1000"), (INDIRECT("'"&amp;D$14&amp;"'!B2:B1000")=$B34) * (INDIRECT("'"&amp;D$14&amp;"'!C2:C1000")=$C34)
        ),
        5,
        FALSE
    )=0,
    "",
    VLOOKUP(
        $A34,
        _xlfn._xlws.FILTER(
            INDIRECT("'"&amp;D$14&amp;"'!A2:E1000"), (INDIRECT("'"&amp;D$14&amp;"'!B2:B1000")=$B34) * (INDIRECT("'"&amp;D$14&amp;"'!C2:C1000")=$C34)
        ),
        5,
        FALSE
    )
)</f>
        <v>Duplicado</v>
      </c>
      <c r="E34" s="100" t="str">
        <f t="array" aca="1" ref="E34" ca="1">IF(
    VLOOKUP(
        $A34,
        _xlfn._xlws.FILTER(
            INDIRECT("'"&amp;E$14&amp;"'!A2:E1000"), (INDIRECT("'"&amp;E$14&amp;"'!B2:B1000")=$B34) * (INDIRECT("'"&amp;E$14&amp;"'!C2:C1000")=$C34)
        ),
        5,
        FALSE
    )=0,
    "",
    VLOOKUP(
        $A34,
        _xlfn._xlws.FILTER(
            INDIRECT("'"&amp;E$14&amp;"'!A2:E1000"), (INDIRECT("'"&amp;E$14&amp;"'!B2:B1000")=$B34) * (INDIRECT("'"&amp;E$14&amp;"'!C2:C1000")=$C34)
        ),
        5,
        FALSE
    )
)</f>
        <v>Duplicado</v>
      </c>
      <c r="F34" s="100" t="str">
        <f t="array" ref="F34" ca="1">IF(
    VLOOKUP(
        $A34,
        _xlfn._xlws.FILTER(
            INDIRECT("'"&amp;F$14&amp;"'!A2:E1000"), (INDIRECT("'"&amp;F$14&amp;"'!B2:B1000")=$B34) * (INDIRECT("'"&amp;F$14&amp;"'!C2:C1000")=$C34)
        ),
        5,
        FALSE
    )=0,
    "",
    VLOOKUP(
        $A34,
        _xlfn._xlws.FILTER(
            INDIRECT("'"&amp;F$14&amp;"'!A2:E1000"), (INDIRECT("'"&amp;F$14&amp;"'!B2:B1000")=$B34) * (INDIRECT("'"&amp;F$14&amp;"'!C2:C1000")=$C34)
        ),
        5,
        FALSE
    )
)</f>
        <v>Enviado</v>
      </c>
      <c r="G34" s="100" t="str">
        <f t="array" aca="1" ref="G34" ca="1">IF(
    VLOOKUP(
        $A34,
        _xlfn._xlws.FILTER(
            INDIRECT("'"&amp;G$14&amp;"'!A2:E1000"), (INDIRECT("'"&amp;G$14&amp;"'!B2:B1000")=$B34) * (INDIRECT("'"&amp;G$14&amp;"'!C2:C1000")=$C34)
        ),
        5,
        FALSE
    )=0,
    "",
    VLOOKUP(
        $A34,
        _xlfn._xlws.FILTER(
            INDIRECT("'"&amp;G$14&amp;"'!A2:E1000"), (INDIRECT("'"&amp;G$14&amp;"'!B2:B1000")=$B34) * (INDIRECT("'"&amp;G$14&amp;"'!C2:C1000")=$C34)
        ),
        5,
        FALSE
    )
)</f>
        <v>Enviado</v>
      </c>
      <c r="H34" s="100" t="str">
        <f t="array" aca="1" ref="H34" ca="1">IF(
    VLOOKUP(
        $A34,
        _xlfn._xlws.FILTER(
            INDIRECT("'"&amp;H$14&amp;"'!A2:E1000"), (INDIRECT("'"&amp;H$14&amp;"'!B2:B1000")=$B34) * (INDIRECT("'"&amp;H$14&amp;"'!C2:C1000")=$C34)
        ),
        5,
        FALSE
    )=0,
    "",
    VLOOKUP(
        $A34,
        _xlfn._xlws.FILTER(
            INDIRECT("'"&amp;H$14&amp;"'!A2:E1000"), (INDIRECT("'"&amp;H$14&amp;"'!B2:B1000")=$B34) * (INDIRECT("'"&amp;H$14&amp;"'!C2:C1000")=$C34)
        ),
        5,
        FALSE
    )
)</f>
        <v>Enviado</v>
      </c>
      <c r="I34" s="100" t="str">
        <f t="array" aca="1" ref="I34" ca="1">IF(
    VLOOKUP(
        $A34,
        _xlfn._xlws.FILTER(
            INDIRECT("'"&amp;I$14&amp;"'!A2:E1000"), (INDIRECT("'"&amp;I$14&amp;"'!B2:B1000")=$B34) * (INDIRECT("'"&amp;I$14&amp;"'!C2:C1000")=$C34)
        ),
        5,
        FALSE
    )=0,
    "",
    VLOOKUP(
        $A34,
        _xlfn._xlws.FILTER(
            INDIRECT("'"&amp;I$14&amp;"'!A2:E1000"), (INDIRECT("'"&amp;I$14&amp;"'!B2:B1000")=$B34) * (INDIRECT("'"&amp;I$14&amp;"'!C2:C1000")=$C34)
        ),
        5,
        FALSE
    )
)</f>
        <v>Enviado</v>
      </c>
      <c r="J34" s="100" t="str">
        <f t="array" aca="1" ref="J34" ca="1">IF(
    VLOOKUP(
        $A34,
        _xlfn._xlws.FILTER(
            INDIRECT("'"&amp;J$14&amp;"'!A2:E1000"), (INDIRECT("'"&amp;J$14&amp;"'!B2:B1000")=$B34) * (INDIRECT("'"&amp;J$14&amp;"'!C2:C1000")=$C34)
        ),
        5,
        FALSE
    )=0,
    "",
    VLOOKUP(
        $A34,
        _xlfn._xlws.FILTER(
            INDIRECT("'"&amp;J$14&amp;"'!A2:E1000"), (INDIRECT("'"&amp;J$14&amp;"'!B2:B1000")=$B34) * (INDIRECT("'"&amp;J$14&amp;"'!C2:C1000")=$C34)
        ),
        5,
        FALSE
    )
)</f>
        <v>Enviado</v>
      </c>
      <c r="K34" s="100" t="str">
        <f t="array" aca="1" ref="K34" ca="1">IF(
    VLOOKUP(
        $A34,
        _xlfn._xlws.FILTER(
            INDIRECT("'"&amp;K$14&amp;"'!A2:E1000"), (INDIRECT("'"&amp;K$14&amp;"'!B2:B1000")=$B34) * (INDIRECT("'"&amp;K$14&amp;"'!C2:C1000")=$C34)
        ),
        5,
        FALSE
    )=0,
    "",
    VLOOKUP(
        $A34,
        _xlfn._xlws.FILTER(
            INDIRECT("'"&amp;K$14&amp;"'!A2:E1000"), (INDIRECT("'"&amp;K$14&amp;"'!B2:B1000")=$B34) * (INDIRECT("'"&amp;K$14&amp;"'!C2:C1000")=$C34)
        ),
        5,
        FALSE
    )
)</f>
        <v>Enviado</v>
      </c>
      <c r="L34" s="100" t="str">
        <f t="array" aca="1" ref="L34" ca="1">IF(
    VLOOKUP(
        $A34,
        _xlfn._xlws.FILTER(
            INDIRECT("'"&amp;L$14&amp;"'!A2:E1000"), (INDIRECT("'"&amp;L$14&amp;"'!B2:B1000")=$B34) * (INDIRECT("'"&amp;L$14&amp;"'!C2:C1000")=$C34)
        ),
        5,
        FALSE
    )=0,
    "",
    VLOOKUP(
        $A34,
        _xlfn._xlws.FILTER(
            INDIRECT("'"&amp;L$14&amp;"'!A2:E1000"), (INDIRECT("'"&amp;L$14&amp;"'!B2:B1000")=$B34) * (INDIRECT("'"&amp;L$14&amp;"'!C2:C1000")=$C34)
        ),
        5,
        FALSE
    )
)</f>
        <v>Enviado</v>
      </c>
      <c r="M34" s="100" t="str">
        <f t="array" aca="1" ref="M34" ca="1">IF(
    VLOOKUP(
        $A34,
        _xlfn._xlws.FILTER(
            INDIRECT("'"&amp;M$14&amp;"'!A2:E1000"), (INDIRECT("'"&amp;M$14&amp;"'!B2:B1000")=$B34) * (INDIRECT("'"&amp;M$14&amp;"'!C2:C1000")=$C34)
        ),
        5,
        FALSE
    )=0,
    "",
    VLOOKUP(
        $A34,
        _xlfn._xlws.FILTER(
            INDIRECT("'"&amp;M$14&amp;"'!A2:E1000"), (INDIRECT("'"&amp;M$14&amp;"'!B2:B1000")=$B34) * (INDIRECT("'"&amp;M$14&amp;"'!C2:C1000")=$C34)
        ),
        5,
        FALSE
    )
)</f>
        <v>Enviado</v>
      </c>
      <c r="N34" s="100" t="str">
        <f t="array" aca="1" ref="N34" ca="1">IF(
    VLOOKUP(
        $A34,
        _xlfn._xlws.FILTER(
            INDIRECT("'"&amp;N$14&amp;"'!A2:E1000"), (INDIRECT("'"&amp;N$14&amp;"'!B2:B1000")=$B34) * (INDIRECT("'"&amp;N$14&amp;"'!C2:C1000")=$C34)
        ),
        5,
        FALSE
    )=0,
    "",
    VLOOKUP(
        $A34,
        _xlfn._xlws.FILTER(
            INDIRECT("'"&amp;N$14&amp;"'!A2:E1000"), (INDIRECT("'"&amp;N$14&amp;"'!B2:B1000")=$B34) * (INDIRECT("'"&amp;N$14&amp;"'!C2:C1000")=$C34)
        ),
        5,
        FALSE
    )
)</f>
        <v>Enviado</v>
      </c>
      <c r="O34" s="100" t="str">
        <f t="array" aca="1" ref="O34" ca="1">IF(
    VLOOKUP(
        $A34,
        _xlfn._xlws.FILTER(
            INDIRECT("'"&amp;O$14&amp;"'!A2:E1000"), (INDIRECT("'"&amp;O$14&amp;"'!B2:B1000")=$B34) * (INDIRECT("'"&amp;O$14&amp;"'!C2:C1000")=$C34)
        ),
        5,
        FALSE
    )=0,
    "",
    VLOOKUP(
        $A34,
        _xlfn._xlws.FILTER(
            INDIRECT("'"&amp;O$14&amp;"'!A2:E1000"), (INDIRECT("'"&amp;O$14&amp;"'!B2:B1000")=$B34) * (INDIRECT("'"&amp;O$14&amp;"'!C2:C1000")=$C34)
        ),
        5,
        FALSE
    )
)</f>
        <v>Enviado</v>
      </c>
      <c r="P34" s="100" t="str">
        <f t="array" aca="1" ref="P34" ca="1">IF(
    VLOOKUP(
        $A34,
        _xlfn._xlws.FILTER(
            INDIRECT("'"&amp;P$14&amp;"'!A2:E1000"), (INDIRECT("'"&amp;P$14&amp;"'!B2:B1000")=$B34) * (INDIRECT("'"&amp;P$14&amp;"'!C2:C1000")=$C34)
        ),
        5,
        FALSE
    )=0,
    "",
    VLOOKUP(
        $A34,
        _xlfn._xlws.FILTER(
            INDIRECT("'"&amp;P$14&amp;"'!A2:E1000"), (INDIRECT("'"&amp;P$14&amp;"'!B2:B1000")=$B34) * (INDIRECT("'"&amp;P$14&amp;"'!C2:C1000")=$C34)
        ),
        5,
        FALSE
    )
)</f>
        <v>Enviado</v>
      </c>
      <c r="Q34" s="100" t="str">
        <f t="array" aca="1" ref="Q34" ca="1">IF(
    VLOOKUP(
        $A34,
        _xlfn._xlws.FILTER(
            INDIRECT("'"&amp;Q$14&amp;"'!A2:E1000"), (INDIRECT("'"&amp;Q$14&amp;"'!B2:B1000")=$B34) * (INDIRECT("'"&amp;Q$14&amp;"'!C2:C1000")=$C34)
        ),
        5,
        FALSE
    )=0,
    "",
    VLOOKUP(
        $A34,
        _xlfn._xlws.FILTER(
            INDIRECT("'"&amp;Q$14&amp;"'!A2:E1000"), (INDIRECT("'"&amp;Q$14&amp;"'!B2:B1000")=$B34) * (INDIRECT("'"&amp;Q$14&amp;"'!C2:C1000")=$C34)
        ),
        5,
        FALSE
    )
)</f>
        <v>Enviado</v>
      </c>
    </row>
    <row r="35" spans="1:17" x14ac:dyDescent="0.25">
      <c r="A35" s="81" t="s">
        <v>38</v>
      </c>
      <c r="B35" s="79" t="s">
        <v>108</v>
      </c>
      <c r="C35" s="79">
        <v>1</v>
      </c>
      <c r="D35" s="100" t="str">
        <f t="array" aca="1" ref="D35" ca="1">IF(
    VLOOKUP(
        $A35,
        _xlfn._xlws.FILTER(
            INDIRECT("'"&amp;D$14&amp;"'!A2:E1000"), (INDIRECT("'"&amp;D$14&amp;"'!B2:B1000")=$B35) * (INDIRECT("'"&amp;D$14&amp;"'!C2:C1000")=$C35)
        ),
        5,
        FALSE
    )=0,
    "",
    VLOOKUP(
        $A35,
        _xlfn._xlws.FILTER(
            INDIRECT("'"&amp;D$14&amp;"'!A2:E1000"), (INDIRECT("'"&amp;D$14&amp;"'!B2:B1000")=$B35) * (INDIRECT("'"&amp;D$14&amp;"'!C2:C1000")=$C35)
        ),
        5,
        FALSE
    )
)</f>
        <v>Duplicado</v>
      </c>
      <c r="E35" s="100" t="str">
        <f t="array" aca="1" ref="E35" ca="1">IF(
    VLOOKUP(
        $A35,
        _xlfn._xlws.FILTER(
            INDIRECT("'"&amp;E$14&amp;"'!A2:E1000"), (INDIRECT("'"&amp;E$14&amp;"'!B2:B1000")=$B35) * (INDIRECT("'"&amp;E$14&amp;"'!C2:C1000")=$C35)
        ),
        5,
        FALSE
    )=0,
    "",
    VLOOKUP(
        $A35,
        _xlfn._xlws.FILTER(
            INDIRECT("'"&amp;E$14&amp;"'!A2:E1000"), (INDIRECT("'"&amp;E$14&amp;"'!B2:B1000")=$B35) * (INDIRECT("'"&amp;E$14&amp;"'!C2:C1000")=$C35)
        ),
        5,
        FALSE
    )
)</f>
        <v>Enviado</v>
      </c>
      <c r="F35" s="100" t="str">
        <f t="array" aca="1" ref="F35" ca="1">IF(
    VLOOKUP(
        $A35,
        _xlfn._xlws.FILTER(
            INDIRECT("'"&amp;F$14&amp;"'!A2:E1000"), (INDIRECT("'"&amp;F$14&amp;"'!B2:B1000")=$B35) * (INDIRECT("'"&amp;F$14&amp;"'!C2:C1000")=$C35)
        ),
        5,
        FALSE
    )=0,
    "",
    VLOOKUP(
        $A35,
        _xlfn._xlws.FILTER(
            INDIRECT("'"&amp;F$14&amp;"'!A2:E1000"), (INDIRECT("'"&amp;F$14&amp;"'!B2:B1000")=$B35) * (INDIRECT("'"&amp;F$14&amp;"'!C2:C1000")=$C35)
        ),
        5,
        FALSE
    )
)</f>
        <v>Enviado</v>
      </c>
      <c r="G35" s="100" t="str">
        <f t="array" aca="1" ref="G35" ca="1">IF(
    VLOOKUP(
        $A35,
        _xlfn._xlws.FILTER(
            INDIRECT("'"&amp;G$14&amp;"'!A2:E1000"), (INDIRECT("'"&amp;G$14&amp;"'!B2:B1000")=$B35) * (INDIRECT("'"&amp;G$14&amp;"'!C2:C1000")=$C35)
        ),
        5,
        FALSE
    )=0,
    "",
    VLOOKUP(
        $A35,
        _xlfn._xlws.FILTER(
            INDIRECT("'"&amp;G$14&amp;"'!A2:E1000"), (INDIRECT("'"&amp;G$14&amp;"'!B2:B1000")=$B35) * (INDIRECT("'"&amp;G$14&amp;"'!C2:C1000")=$C35)
        ),
        5,
        FALSE
    )
)</f>
        <v>Enviado</v>
      </c>
      <c r="H35" s="100" t="str">
        <f t="array" aca="1" ref="H35" ca="1">IF(
    VLOOKUP(
        $A35,
        _xlfn._xlws.FILTER(
            INDIRECT("'"&amp;H$14&amp;"'!A2:E1000"), (INDIRECT("'"&amp;H$14&amp;"'!B2:B1000")=$B35) * (INDIRECT("'"&amp;H$14&amp;"'!C2:C1000")=$C35)
        ),
        5,
        FALSE
    )=0,
    "",
    VLOOKUP(
        $A35,
        _xlfn._xlws.FILTER(
            INDIRECT("'"&amp;H$14&amp;"'!A2:E1000"), (INDIRECT("'"&amp;H$14&amp;"'!B2:B1000")=$B35) * (INDIRECT("'"&amp;H$14&amp;"'!C2:C1000")=$C35)
        ),
        5,
        FALSE
    )
)</f>
        <v>Enviado</v>
      </c>
      <c r="I35" s="100" t="str">
        <f t="array" aca="1" ref="I35" ca="1">IF(
    VLOOKUP(
        $A35,
        _xlfn._xlws.FILTER(
            INDIRECT("'"&amp;I$14&amp;"'!A2:E1000"), (INDIRECT("'"&amp;I$14&amp;"'!B2:B1000")=$B35) * (INDIRECT("'"&amp;I$14&amp;"'!C2:C1000")=$C35)
        ),
        5,
        FALSE
    )=0,
    "",
    VLOOKUP(
        $A35,
        _xlfn._xlws.FILTER(
            INDIRECT("'"&amp;I$14&amp;"'!A2:E1000"), (INDIRECT("'"&amp;I$14&amp;"'!B2:B1000")=$B35) * (INDIRECT("'"&amp;I$14&amp;"'!C2:C1000")=$C35)
        ),
        5,
        FALSE
    )
)</f>
        <v>Enviado</v>
      </c>
      <c r="J35" s="100" t="str">
        <f t="array" aca="1" ref="J35" ca="1">IF(
    VLOOKUP(
        $A35,
        _xlfn._xlws.FILTER(
            INDIRECT("'"&amp;J$14&amp;"'!A2:E1000"), (INDIRECT("'"&amp;J$14&amp;"'!B2:B1000")=$B35) * (INDIRECT("'"&amp;J$14&amp;"'!C2:C1000")=$C35)
        ),
        5,
        FALSE
    )=0,
    "",
    VLOOKUP(
        $A35,
        _xlfn._xlws.FILTER(
            INDIRECT("'"&amp;J$14&amp;"'!A2:E1000"), (INDIRECT("'"&amp;J$14&amp;"'!B2:B1000")=$B35) * (INDIRECT("'"&amp;J$14&amp;"'!C2:C1000")=$C35)
        ),
        5,
        FALSE
    )
)</f>
        <v>Enviado</v>
      </c>
      <c r="K35" s="100" t="str">
        <f t="array" aca="1" ref="K35" ca="1">IF(
    VLOOKUP(
        $A35,
        _xlfn._xlws.FILTER(
            INDIRECT("'"&amp;K$14&amp;"'!A2:E1000"), (INDIRECT("'"&amp;K$14&amp;"'!B2:B1000")=$B35) * (INDIRECT("'"&amp;K$14&amp;"'!C2:C1000")=$C35)
        ),
        5,
        FALSE
    )=0,
    "",
    VLOOKUP(
        $A35,
        _xlfn._xlws.FILTER(
            INDIRECT("'"&amp;K$14&amp;"'!A2:E1000"), (INDIRECT("'"&amp;K$14&amp;"'!B2:B1000")=$B35) * (INDIRECT("'"&amp;K$14&amp;"'!C2:C1000")=$C35)
        ),
        5,
        FALSE
    )
)</f>
        <v>Enviado</v>
      </c>
      <c r="L35" s="100" t="str">
        <f t="array" aca="1" ref="L35" ca="1">IF(
    VLOOKUP(
        $A35,
        _xlfn._xlws.FILTER(
            INDIRECT("'"&amp;L$14&amp;"'!A2:E1000"), (INDIRECT("'"&amp;L$14&amp;"'!B2:B1000")=$B35) * (INDIRECT("'"&amp;L$14&amp;"'!C2:C1000")=$C35)
        ),
        5,
        FALSE
    )=0,
    "",
    VLOOKUP(
        $A35,
        _xlfn._xlws.FILTER(
            INDIRECT("'"&amp;L$14&amp;"'!A2:E1000"), (INDIRECT("'"&amp;L$14&amp;"'!B2:B1000")=$B35) * (INDIRECT("'"&amp;L$14&amp;"'!C2:C1000")=$C35)
        ),
        5,
        FALSE
    )
)</f>
        <v>Enviado</v>
      </c>
      <c r="M35" s="100" t="str">
        <f t="array" aca="1" ref="M35" ca="1">IF(
    VLOOKUP(
        $A35,
        _xlfn._xlws.FILTER(
            INDIRECT("'"&amp;M$14&amp;"'!A2:E1000"), (INDIRECT("'"&amp;M$14&amp;"'!B2:B1000")=$B35) * (INDIRECT("'"&amp;M$14&amp;"'!C2:C1000")=$C35)
        ),
        5,
        FALSE
    )=0,
    "",
    VLOOKUP(
        $A35,
        _xlfn._xlws.FILTER(
            INDIRECT("'"&amp;M$14&amp;"'!A2:E1000"), (INDIRECT("'"&amp;M$14&amp;"'!B2:B1000")=$B35) * (INDIRECT("'"&amp;M$14&amp;"'!C2:C1000")=$C35)
        ),
        5,
        FALSE
    )
)</f>
        <v>Enviado</v>
      </c>
      <c r="N35" s="100" t="str">
        <f t="array" aca="1" ref="N35" ca="1">IF(
    VLOOKUP(
        $A35,
        _xlfn._xlws.FILTER(
            INDIRECT("'"&amp;N$14&amp;"'!A2:E1000"), (INDIRECT("'"&amp;N$14&amp;"'!B2:B1000")=$B35) * (INDIRECT("'"&amp;N$14&amp;"'!C2:C1000")=$C35)
        ),
        5,
        FALSE
    )=0,
    "",
    VLOOKUP(
        $A35,
        _xlfn._xlws.FILTER(
            INDIRECT("'"&amp;N$14&amp;"'!A2:E1000"), (INDIRECT("'"&amp;N$14&amp;"'!B2:B1000")=$B35) * (INDIRECT("'"&amp;N$14&amp;"'!C2:C1000")=$C35)
        ),
        5,
        FALSE
    )
)</f>
        <v>Enviado</v>
      </c>
      <c r="O35" s="100" t="str">
        <f t="array" ref="O35" ca="1">IF(
    VLOOKUP(
        $A35,
        _xlfn._xlws.FILTER(
            INDIRECT("'"&amp;O$14&amp;"'!A2:E1000"), (INDIRECT("'"&amp;O$14&amp;"'!B2:B1000")=$B35) * (INDIRECT("'"&amp;O$14&amp;"'!C2:C1000")=$C35)
        ),
        5,
        FALSE
    )=0,
    "",
    VLOOKUP(
        $A35,
        _xlfn._xlws.FILTER(
            INDIRECT("'"&amp;O$14&amp;"'!A2:E1000"), (INDIRECT("'"&amp;O$14&amp;"'!B2:B1000")=$B35) * (INDIRECT("'"&amp;O$14&amp;"'!C2:C1000")=$C35)
        ),
        5,
        FALSE
    )
)</f>
        <v>Enviado</v>
      </c>
      <c r="P35" s="100" t="str">
        <f t="array" aca="1" ref="P35" ca="1">IF(
    VLOOKUP(
        $A35,
        _xlfn._xlws.FILTER(
            INDIRECT("'"&amp;P$14&amp;"'!A2:E1000"), (INDIRECT("'"&amp;P$14&amp;"'!B2:B1000")=$B35) * (INDIRECT("'"&amp;P$14&amp;"'!C2:C1000")=$C35)
        ),
        5,
        FALSE
    )=0,
    "",
    VLOOKUP(
        $A35,
        _xlfn._xlws.FILTER(
            INDIRECT("'"&amp;P$14&amp;"'!A2:E1000"), (INDIRECT("'"&amp;P$14&amp;"'!B2:B1000")=$B35) * (INDIRECT("'"&amp;P$14&amp;"'!C2:C1000")=$C35)
        ),
        5,
        FALSE
    )
)</f>
        <v>Atrasado</v>
      </c>
      <c r="Q35" s="100" t="str">
        <f t="array" aca="1" ref="Q35" ca="1">IF(
    VLOOKUP(
        $A35,
        _xlfn._xlws.FILTER(
            INDIRECT("'"&amp;Q$14&amp;"'!A2:E1000"), (INDIRECT("'"&amp;Q$14&amp;"'!B2:B1000")=$B35) * (INDIRECT("'"&amp;Q$14&amp;"'!C2:C1000")=$C35)
        ),
        5,
        FALSE
    )=0,
    "",
    VLOOKUP(
        $A35,
        _xlfn._xlws.FILTER(
            INDIRECT("'"&amp;Q$14&amp;"'!A2:E1000"), (INDIRECT("'"&amp;Q$14&amp;"'!B2:B1000")=$B35) * (INDIRECT("'"&amp;Q$14&amp;"'!C2:C1000")=$C35)
        ),
        5,
        FALSE
    )
)</f>
        <v/>
      </c>
    </row>
    <row r="36" spans="1:17" x14ac:dyDescent="0.25">
      <c r="A36" s="81" t="s">
        <v>38</v>
      </c>
      <c r="B36" s="79" t="s">
        <v>83</v>
      </c>
      <c r="C36" s="79">
        <v>1</v>
      </c>
      <c r="D36" s="100" t="str">
        <f t="array" aca="1" ref="D36" ca="1">IF(
    VLOOKUP(
        $A36,
        _xlfn._xlws.FILTER(
            INDIRECT("'"&amp;D$14&amp;"'!A2:E1000"), (INDIRECT("'"&amp;D$14&amp;"'!B2:B1000")=$B36) * (INDIRECT("'"&amp;D$14&amp;"'!C2:C1000")=$C36)
        ),
        5,
        FALSE
    )=0,
    "",
    VLOOKUP(
        $A36,
        _xlfn._xlws.FILTER(
            INDIRECT("'"&amp;D$14&amp;"'!A2:E1000"), (INDIRECT("'"&amp;D$14&amp;"'!B2:B1000")=$B36) * (INDIRECT("'"&amp;D$14&amp;"'!C2:C1000")=$C36)
        ),
        5,
        FALSE
    )
)</f>
        <v>Enviado</v>
      </c>
      <c r="E36" s="100" t="str">
        <f t="array" ref="E36" ca="1">IF(
    VLOOKUP(
        $A36,
        _xlfn._xlws.FILTER(
            INDIRECT("'"&amp;E$14&amp;"'!A2:E1000"), (INDIRECT("'"&amp;E$14&amp;"'!B2:B1000")=$B36) * (INDIRECT("'"&amp;E$14&amp;"'!C2:C1000")=$C36)
        ),
        5,
        FALSE
    )=0,
    "",
    VLOOKUP(
        $A36,
        _xlfn._xlws.FILTER(
            INDIRECT("'"&amp;E$14&amp;"'!A2:E1000"), (INDIRECT("'"&amp;E$14&amp;"'!B2:B1000")=$B36) * (INDIRECT("'"&amp;E$14&amp;"'!C2:C1000")=$C36)
        ),
        5,
        FALSE
    )
)</f>
        <v>Duplicado</v>
      </c>
      <c r="F36" s="100" t="str">
        <f t="array" aca="1" ref="F36" ca="1">IF(
    VLOOKUP(
        $A36,
        _xlfn._xlws.FILTER(
            INDIRECT("'"&amp;F$14&amp;"'!A2:E1000"), (INDIRECT("'"&amp;F$14&amp;"'!B2:B1000")=$B36) * (INDIRECT("'"&amp;F$14&amp;"'!C2:C1000")=$C36)
        ),
        5,
        FALSE
    )=0,
    "",
    VLOOKUP(
        $A36,
        _xlfn._xlws.FILTER(
            INDIRECT("'"&amp;F$14&amp;"'!A2:E1000"), (INDIRECT("'"&amp;F$14&amp;"'!B2:B1000")=$B36) * (INDIRECT("'"&amp;F$14&amp;"'!C2:C1000")=$C36)
        ),
        5,
        FALSE
    )
)</f>
        <v>Enviado</v>
      </c>
      <c r="G36" s="100" t="str">
        <f t="array" aca="1" ref="G36" ca="1">IF(
    VLOOKUP(
        $A36,
        _xlfn._xlws.FILTER(
            INDIRECT("'"&amp;G$14&amp;"'!A2:E1000"), (INDIRECT("'"&amp;G$14&amp;"'!B2:B1000")=$B36) * (INDIRECT("'"&amp;G$14&amp;"'!C2:C1000")=$C36)
        ),
        5,
        FALSE
    )=0,
    "",
    VLOOKUP(
        $A36,
        _xlfn._xlws.FILTER(
            INDIRECT("'"&amp;G$14&amp;"'!A2:E1000"), (INDIRECT("'"&amp;G$14&amp;"'!B2:B1000")=$B36) * (INDIRECT("'"&amp;G$14&amp;"'!C2:C1000")=$C36)
        ),
        5,
        FALSE
    )
)</f>
        <v>Enviado</v>
      </c>
      <c r="H36" s="100" t="str">
        <f t="array" aca="1" ref="H36" ca="1">IF(
    VLOOKUP(
        $A36,
        _xlfn._xlws.FILTER(
            INDIRECT("'"&amp;H$14&amp;"'!A2:E1000"), (INDIRECT("'"&amp;H$14&amp;"'!B2:B1000")=$B36) * (INDIRECT("'"&amp;H$14&amp;"'!C2:C1000")=$C36)
        ),
        5,
        FALSE
    )=0,
    "",
    VLOOKUP(
        $A36,
        _xlfn._xlws.FILTER(
            INDIRECT("'"&amp;H$14&amp;"'!A2:E1000"), (INDIRECT("'"&amp;H$14&amp;"'!B2:B1000")=$B36) * (INDIRECT("'"&amp;H$14&amp;"'!C2:C1000")=$C36)
        ),
        5,
        FALSE
    )
)</f>
        <v>Enviado</v>
      </c>
      <c r="I36" s="100" t="str">
        <f t="array" aca="1" ref="I36" ca="1">IF(
    VLOOKUP(
        $A36,
        _xlfn._xlws.FILTER(
            INDIRECT("'"&amp;I$14&amp;"'!A2:E1000"), (INDIRECT("'"&amp;I$14&amp;"'!B2:B1000")=$B36) * (INDIRECT("'"&amp;I$14&amp;"'!C2:C1000")=$C36)
        ),
        5,
        FALSE
    )=0,
    "",
    VLOOKUP(
        $A36,
        _xlfn._xlws.FILTER(
            INDIRECT("'"&amp;I$14&amp;"'!A2:E1000"), (INDIRECT("'"&amp;I$14&amp;"'!B2:B1000")=$B36) * (INDIRECT("'"&amp;I$14&amp;"'!C2:C1000")=$C36)
        ),
        5,
        FALSE
    )
)</f>
        <v>Enviado</v>
      </c>
      <c r="J36" s="100" t="str">
        <f t="array" aca="1" ref="J36" ca="1">IF(
    VLOOKUP(
        $A36,
        _xlfn._xlws.FILTER(
            INDIRECT("'"&amp;J$14&amp;"'!A2:E1000"), (INDIRECT("'"&amp;J$14&amp;"'!B2:B1000")=$B36) * (INDIRECT("'"&amp;J$14&amp;"'!C2:C1000")=$C36)
        ),
        5,
        FALSE
    )=0,
    "",
    VLOOKUP(
        $A36,
        _xlfn._xlws.FILTER(
            INDIRECT("'"&amp;J$14&amp;"'!A2:E1000"), (INDIRECT("'"&amp;J$14&amp;"'!B2:B1000")=$B36) * (INDIRECT("'"&amp;J$14&amp;"'!C2:C1000")=$C36)
        ),
        5,
        FALSE
    )
)</f>
        <v>Enviado</v>
      </c>
      <c r="K36" s="100" t="str">
        <f t="array" ref="K36" ca="1">IF(
    VLOOKUP(
        $A36,
        _xlfn._xlws.FILTER(
            INDIRECT("'"&amp;K$14&amp;"'!A2:E1000"), (INDIRECT("'"&amp;K$14&amp;"'!B2:B1000")=$B36) * (INDIRECT("'"&amp;K$14&amp;"'!C2:C1000")=$C36)
        ),
        5,
        FALSE
    )=0,
    "",
    VLOOKUP(
        $A36,
        _xlfn._xlws.FILTER(
            INDIRECT("'"&amp;K$14&amp;"'!A2:E1000"), (INDIRECT("'"&amp;K$14&amp;"'!B2:B1000")=$B36) * (INDIRECT("'"&amp;K$14&amp;"'!C2:C1000")=$C36)
        ),
        5,
        FALSE
    )
)</f>
        <v>Enviado</v>
      </c>
      <c r="L36" s="100" t="str">
        <f t="array" ref="L36" ca="1">IF(
    VLOOKUP(
        $A36,
        _xlfn._xlws.FILTER(
            INDIRECT("'"&amp;L$14&amp;"'!A2:E1000"), (INDIRECT("'"&amp;L$14&amp;"'!B2:B1000")=$B36) * (INDIRECT("'"&amp;L$14&amp;"'!C2:C1000")=$C36)
        ),
        5,
        FALSE
    )=0,
    "",
    VLOOKUP(
        $A36,
        _xlfn._xlws.FILTER(
            INDIRECT("'"&amp;L$14&amp;"'!A2:E1000"), (INDIRECT("'"&amp;L$14&amp;"'!B2:B1000")=$B36) * (INDIRECT("'"&amp;L$14&amp;"'!C2:C1000")=$C36)
        ),
        5,
        FALSE
    )
)</f>
        <v>Enviado</v>
      </c>
      <c r="M36" s="100" t="str">
        <f t="array" aca="1" ref="M36" ca="1">IF(
    VLOOKUP(
        $A36,
        _xlfn._xlws.FILTER(
            INDIRECT("'"&amp;M$14&amp;"'!A2:E1000"), (INDIRECT("'"&amp;M$14&amp;"'!B2:B1000")=$B36) * (INDIRECT("'"&amp;M$14&amp;"'!C2:C1000")=$C36)
        ),
        5,
        FALSE
    )=0,
    "",
    VLOOKUP(
        $A36,
        _xlfn._xlws.FILTER(
            INDIRECT("'"&amp;M$14&amp;"'!A2:E1000"), (INDIRECT("'"&amp;M$14&amp;"'!B2:B1000")=$B36) * (INDIRECT("'"&amp;M$14&amp;"'!C2:C1000")=$C36)
        ),
        5,
        FALSE
    )
)</f>
        <v>Enviado</v>
      </c>
      <c r="N36" s="100" t="str">
        <f t="array" aca="1" ref="N36" ca="1">IF(
    VLOOKUP(
        $A36,
        _xlfn._xlws.FILTER(
            INDIRECT("'"&amp;N$14&amp;"'!A2:E1000"), (INDIRECT("'"&amp;N$14&amp;"'!B2:B1000")=$B36) * (INDIRECT("'"&amp;N$14&amp;"'!C2:C1000")=$C36)
        ),
        5,
        FALSE
    )=0,
    "",
    VLOOKUP(
        $A36,
        _xlfn._xlws.FILTER(
            INDIRECT("'"&amp;N$14&amp;"'!A2:E1000"), (INDIRECT("'"&amp;N$14&amp;"'!B2:B1000")=$B36) * (INDIRECT("'"&amp;N$14&amp;"'!C2:C1000")=$C36)
        ),
        5,
        FALSE
    )
)</f>
        <v>Enviado</v>
      </c>
      <c r="O36" s="100" t="str">
        <f t="array" aca="1" ref="O36" ca="1">IF(
    VLOOKUP(
        $A36,
        _xlfn._xlws.FILTER(
            INDIRECT("'"&amp;O$14&amp;"'!A2:E1000"), (INDIRECT("'"&amp;O$14&amp;"'!B2:B1000")=$B36) * (INDIRECT("'"&amp;O$14&amp;"'!C2:C1000")=$C36)
        ),
        5,
        FALSE
    )=0,
    "",
    VLOOKUP(
        $A36,
        _xlfn._xlws.FILTER(
            INDIRECT("'"&amp;O$14&amp;"'!A2:E1000"), (INDIRECT("'"&amp;O$14&amp;"'!B2:B1000")=$B36) * (INDIRECT("'"&amp;O$14&amp;"'!C2:C1000")=$C36)
        ),
        5,
        FALSE
    )
)</f>
        <v>Enviado</v>
      </c>
      <c r="P36" s="100" t="str">
        <f t="array" aca="1" ref="P36" ca="1">IF(
    VLOOKUP(
        $A36,
        _xlfn._xlws.FILTER(
            INDIRECT("'"&amp;P$14&amp;"'!A2:E1000"), (INDIRECT("'"&amp;P$14&amp;"'!B2:B1000")=$B36) * (INDIRECT("'"&amp;P$14&amp;"'!C2:C1000")=$C36)
        ),
        5,
        FALSE
    )=0,
    "",
    VLOOKUP(
        $A36,
        _xlfn._xlws.FILTER(
            INDIRECT("'"&amp;P$14&amp;"'!A2:E1000"), (INDIRECT("'"&amp;P$14&amp;"'!B2:B1000")=$B36) * (INDIRECT("'"&amp;P$14&amp;"'!C2:C1000")=$C36)
        ),
        5,
        FALSE
    )
)</f>
        <v>Enviado</v>
      </c>
      <c r="Q36" s="100" t="str">
        <f t="array" aca="1" ref="Q36" ca="1">IF(
    VLOOKUP(
        $A36,
        _xlfn._xlws.FILTER(
            INDIRECT("'"&amp;Q$14&amp;"'!A2:E1000"), (INDIRECT("'"&amp;Q$14&amp;"'!B2:B1000")=$B36) * (INDIRECT("'"&amp;Q$14&amp;"'!C2:C1000")=$C36)
        ),
        5,
        FALSE
    )=0,
    "",
    VLOOKUP(
        $A36,
        _xlfn._xlws.FILTER(
            INDIRECT("'"&amp;Q$14&amp;"'!A2:E1000"), (INDIRECT("'"&amp;Q$14&amp;"'!B2:B1000")=$B36) * (INDIRECT("'"&amp;Q$14&amp;"'!C2:C1000")=$C36)
        ),
        5,
        FALSE
    )
)</f>
        <v/>
      </c>
    </row>
    <row r="37" spans="1:17" x14ac:dyDescent="0.25">
      <c r="A37" s="81" t="s">
        <v>38</v>
      </c>
      <c r="B37" s="79" t="s">
        <v>109</v>
      </c>
      <c r="C37" s="79">
        <v>1</v>
      </c>
      <c r="D37" s="100" t="str">
        <f t="array" aca="1" ref="D37" ca="1">IF(
    VLOOKUP(
        $A37,
        _xlfn._xlws.FILTER(
            INDIRECT("'"&amp;D$14&amp;"'!A2:E1000"), (INDIRECT("'"&amp;D$14&amp;"'!B2:B1000")=$B37) * (INDIRECT("'"&amp;D$14&amp;"'!C2:C1000")=$C37)
        ),
        5,
        FALSE
    )=0,
    "",
    VLOOKUP(
        $A37,
        _xlfn._xlws.FILTER(
            INDIRECT("'"&amp;D$14&amp;"'!A2:E1000"), (INDIRECT("'"&amp;D$14&amp;"'!B2:B1000")=$B37) * (INDIRECT("'"&amp;D$14&amp;"'!C2:C1000")=$C37)
        ),
        5,
        FALSE
    )
)</f>
        <v>Enviado</v>
      </c>
      <c r="E37" s="100" t="str">
        <f t="array" aca="1" ref="E37" ca="1">IF(
    VLOOKUP(
        $A37,
        _xlfn._xlws.FILTER(
            INDIRECT("'"&amp;E$14&amp;"'!A2:E1000"), (INDIRECT("'"&amp;E$14&amp;"'!B2:B1000")=$B37) * (INDIRECT("'"&amp;E$14&amp;"'!C2:C1000")=$C37)
        ),
        5,
        FALSE
    )=0,
    "",
    VLOOKUP(
        $A37,
        _xlfn._xlws.FILTER(
            INDIRECT("'"&amp;E$14&amp;"'!A2:E1000"), (INDIRECT("'"&amp;E$14&amp;"'!B2:B1000")=$B37) * (INDIRECT("'"&amp;E$14&amp;"'!C2:C1000")=$C37)
        ),
        5,
        FALSE
    )
)</f>
        <v>Enviado</v>
      </c>
      <c r="F37" s="100" t="str">
        <f t="array" aca="1" ref="F37" ca="1">IF(
    VLOOKUP(
        $A37,
        _xlfn._xlws.FILTER(
            INDIRECT("'"&amp;F$14&amp;"'!A2:E1000"), (INDIRECT("'"&amp;F$14&amp;"'!B2:B1000")=$B37) * (INDIRECT("'"&amp;F$14&amp;"'!C2:C1000")=$C37)
        ),
        5,
        FALSE
    )=0,
    "",
    VLOOKUP(
        $A37,
        _xlfn._xlws.FILTER(
            INDIRECT("'"&amp;F$14&amp;"'!A2:E1000"), (INDIRECT("'"&amp;F$14&amp;"'!B2:B1000")=$B37) * (INDIRECT("'"&amp;F$14&amp;"'!C2:C1000")=$C37)
        ),
        5,
        FALSE
    )
)</f>
        <v>Enviado</v>
      </c>
      <c r="G37" s="100" t="str">
        <f t="array" aca="1" ref="G37" ca="1">IF(
    VLOOKUP(
        $A37,
        _xlfn._xlws.FILTER(
            INDIRECT("'"&amp;G$14&amp;"'!A2:E1000"), (INDIRECT("'"&amp;G$14&amp;"'!B2:B1000")=$B37) * (INDIRECT("'"&amp;G$14&amp;"'!C2:C1000")=$C37)
        ),
        5,
        FALSE
    )=0,
    "",
    VLOOKUP(
        $A37,
        _xlfn._xlws.FILTER(
            INDIRECT("'"&amp;G$14&amp;"'!A2:E1000"), (INDIRECT("'"&amp;G$14&amp;"'!B2:B1000")=$B37) * (INDIRECT("'"&amp;G$14&amp;"'!C2:C1000")=$C37)
        ),
        5,
        FALSE
    )
)</f>
        <v>Enviado</v>
      </c>
      <c r="H37" s="100" t="str">
        <f t="array" aca="1" ref="H37" ca="1">IF(
    VLOOKUP(
        $A37,
        _xlfn._xlws.FILTER(
            INDIRECT("'"&amp;H$14&amp;"'!A2:E1000"), (INDIRECT("'"&amp;H$14&amp;"'!B2:B1000")=$B37) * (INDIRECT("'"&amp;H$14&amp;"'!C2:C1000")=$C37)
        ),
        5,
        FALSE
    )=0,
    "",
    VLOOKUP(
        $A37,
        _xlfn._xlws.FILTER(
            INDIRECT("'"&amp;H$14&amp;"'!A2:E1000"), (INDIRECT("'"&amp;H$14&amp;"'!B2:B1000")=$B37) * (INDIRECT("'"&amp;H$14&amp;"'!C2:C1000")=$C37)
        ),
        5,
        FALSE
    )
)</f>
        <v>Enviado</v>
      </c>
      <c r="I37" s="100" t="str">
        <f t="array" aca="1" ref="I37" ca="1">IF(
    VLOOKUP(
        $A37,
        _xlfn._xlws.FILTER(
            INDIRECT("'"&amp;I$14&amp;"'!A2:E1000"), (INDIRECT("'"&amp;I$14&amp;"'!B2:B1000")=$B37) * (INDIRECT("'"&amp;I$14&amp;"'!C2:C1000")=$C37)
        ),
        5,
        FALSE
    )=0,
    "",
    VLOOKUP(
        $A37,
        _xlfn._xlws.FILTER(
            INDIRECT("'"&amp;I$14&amp;"'!A2:E1000"), (INDIRECT("'"&amp;I$14&amp;"'!B2:B1000")=$B37) * (INDIRECT("'"&amp;I$14&amp;"'!C2:C1000")=$C37)
        ),
        5,
        FALSE
    )
)</f>
        <v>Enviado</v>
      </c>
      <c r="J37" s="100" t="str">
        <f t="array" aca="1" ref="J37" ca="1">IF(
    VLOOKUP(
        $A37,
        _xlfn._xlws.FILTER(
            INDIRECT("'"&amp;J$14&amp;"'!A2:E1000"), (INDIRECT("'"&amp;J$14&amp;"'!B2:B1000")=$B37) * (INDIRECT("'"&amp;J$14&amp;"'!C2:C1000")=$C37)
        ),
        5,
        FALSE
    )=0,
    "",
    VLOOKUP(
        $A37,
        _xlfn._xlws.FILTER(
            INDIRECT("'"&amp;J$14&amp;"'!A2:E1000"), (INDIRECT("'"&amp;J$14&amp;"'!B2:B1000")=$B37) * (INDIRECT("'"&amp;J$14&amp;"'!C2:C1000")=$C37)
        ),
        5,
        FALSE
    )
)</f>
        <v>Enviado</v>
      </c>
      <c r="K37" s="100" t="str">
        <f t="array" aca="1" ref="K37" ca="1">IF(
    VLOOKUP(
        $A37,
        _xlfn._xlws.FILTER(
            INDIRECT("'"&amp;K$14&amp;"'!A2:E1000"), (INDIRECT("'"&amp;K$14&amp;"'!B2:B1000")=$B37) * (INDIRECT("'"&amp;K$14&amp;"'!C2:C1000")=$C37)
        ),
        5,
        FALSE
    )=0,
    "",
    VLOOKUP(
        $A37,
        _xlfn._xlws.FILTER(
            INDIRECT("'"&amp;K$14&amp;"'!A2:E1000"), (INDIRECT("'"&amp;K$14&amp;"'!B2:B1000")=$B37) * (INDIRECT("'"&amp;K$14&amp;"'!C2:C1000")=$C37)
        ),
        5,
        FALSE
    )
)</f>
        <v>Enviado</v>
      </c>
      <c r="L37" s="100" t="str">
        <f t="array" aca="1" ref="L37" ca="1">IF(
    VLOOKUP(
        $A37,
        _xlfn._xlws.FILTER(
            INDIRECT("'"&amp;L$14&amp;"'!A2:E1000"), (INDIRECT("'"&amp;L$14&amp;"'!B2:B1000")=$B37) * (INDIRECT("'"&amp;L$14&amp;"'!C2:C1000")=$C37)
        ),
        5,
        FALSE
    )=0,
    "",
    VLOOKUP(
        $A37,
        _xlfn._xlws.FILTER(
            INDIRECT("'"&amp;L$14&amp;"'!A2:E1000"), (INDIRECT("'"&amp;L$14&amp;"'!B2:B1000")=$B37) * (INDIRECT("'"&amp;L$14&amp;"'!C2:C1000")=$C37)
        ),
        5,
        FALSE
    )
)</f>
        <v>Enviado</v>
      </c>
      <c r="M37" s="100" t="str">
        <f t="array" aca="1" ref="M37" ca="1">IF(
    VLOOKUP(
        $A37,
        _xlfn._xlws.FILTER(
            INDIRECT("'"&amp;M$14&amp;"'!A2:E1000"), (INDIRECT("'"&amp;M$14&amp;"'!B2:B1000")=$B37) * (INDIRECT("'"&amp;M$14&amp;"'!C2:C1000")=$C37)
        ),
        5,
        FALSE
    )=0,
    "",
    VLOOKUP(
        $A37,
        _xlfn._xlws.FILTER(
            INDIRECT("'"&amp;M$14&amp;"'!A2:E1000"), (INDIRECT("'"&amp;M$14&amp;"'!B2:B1000")=$B37) * (INDIRECT("'"&amp;M$14&amp;"'!C2:C1000")=$C37)
        ),
        5,
        FALSE
    )
)</f>
        <v>Enviado</v>
      </c>
      <c r="N37" s="100" t="str">
        <f t="array" aca="1" ref="N37" ca="1">IF(
    VLOOKUP(
        $A37,
        _xlfn._xlws.FILTER(
            INDIRECT("'"&amp;N$14&amp;"'!A2:E1000"), (INDIRECT("'"&amp;N$14&amp;"'!B2:B1000")=$B37) * (INDIRECT("'"&amp;N$14&amp;"'!C2:C1000")=$C37)
        ),
        5,
        FALSE
    )=0,
    "",
    VLOOKUP(
        $A37,
        _xlfn._xlws.FILTER(
            INDIRECT("'"&amp;N$14&amp;"'!A2:E1000"), (INDIRECT("'"&amp;N$14&amp;"'!B2:B1000")=$B37) * (INDIRECT("'"&amp;N$14&amp;"'!C2:C1000")=$C37)
        ),
        5,
        FALSE
    )
)</f>
        <v>Enviado</v>
      </c>
      <c r="O37" s="100" t="str">
        <f t="array" aca="1" ref="O37" ca="1">IF(
    VLOOKUP(
        $A37,
        _xlfn._xlws.FILTER(
            INDIRECT("'"&amp;O$14&amp;"'!A2:E1000"), (INDIRECT("'"&amp;O$14&amp;"'!B2:B1000")=$B37) * (INDIRECT("'"&amp;O$14&amp;"'!C2:C1000")=$C37)
        ),
        5,
        FALSE
    )=0,
    "",
    VLOOKUP(
        $A37,
        _xlfn._xlws.FILTER(
            INDIRECT("'"&amp;O$14&amp;"'!A2:E1000"), (INDIRECT("'"&amp;O$14&amp;"'!B2:B1000")=$B37) * (INDIRECT("'"&amp;O$14&amp;"'!C2:C1000")=$C37)
        ),
        5,
        FALSE
    )
)</f>
        <v>Enviado</v>
      </c>
      <c r="P37" s="100" t="str">
        <f t="array" aca="1" ref="P37" ca="1">IF(
    VLOOKUP(
        $A37,
        _xlfn._xlws.FILTER(
            INDIRECT("'"&amp;P$14&amp;"'!A2:E1000"), (INDIRECT("'"&amp;P$14&amp;"'!B2:B1000")=$B37) * (INDIRECT("'"&amp;P$14&amp;"'!C2:C1000")=$C37)
        ),
        5,
        FALSE
    )=0,
    "",
    VLOOKUP(
        $A37,
        _xlfn._xlws.FILTER(
            INDIRECT("'"&amp;P$14&amp;"'!A2:E1000"), (INDIRECT("'"&amp;P$14&amp;"'!B2:B1000")=$B37) * (INDIRECT("'"&amp;P$14&amp;"'!C2:C1000")=$C37)
        ),
        5,
        FALSE
    )
)</f>
        <v>Enviado</v>
      </c>
      <c r="Q37" s="100" t="str">
        <f t="array" aca="1" ref="Q37" ca="1">IF(
    VLOOKUP(
        $A37,
        _xlfn._xlws.FILTER(
            INDIRECT("'"&amp;Q$14&amp;"'!A2:E1000"), (INDIRECT("'"&amp;Q$14&amp;"'!B2:B1000")=$B37) * (INDIRECT("'"&amp;Q$14&amp;"'!C2:C1000")=$C37)
        ),
        5,
        FALSE
    )=0,
    "",
    VLOOKUP(
        $A37,
        _xlfn._xlws.FILTER(
            INDIRECT("'"&amp;Q$14&amp;"'!A2:E1000"), (INDIRECT("'"&amp;Q$14&amp;"'!B2:B1000")=$B37) * (INDIRECT("'"&amp;Q$14&amp;"'!C2:C1000")=$C37)
        ),
        5,
        FALSE
    )
)</f>
        <v/>
      </c>
    </row>
    <row r="38" spans="1:17" x14ac:dyDescent="0.25">
      <c r="A38" s="81" t="s">
        <v>38</v>
      </c>
      <c r="B38" s="79" t="s">
        <v>110</v>
      </c>
      <c r="C38" s="79">
        <v>1</v>
      </c>
      <c r="D38" s="100" t="str">
        <f t="array" aca="1" ref="D38" ca="1">IF(
    VLOOKUP(
        $A38,
        _xlfn._xlws.FILTER(
            INDIRECT("'"&amp;D$14&amp;"'!A2:E1000"), (INDIRECT("'"&amp;D$14&amp;"'!B2:B1000")=$B38) * (INDIRECT("'"&amp;D$14&amp;"'!C2:C1000")=$C38)
        ),
        5,
        FALSE
    )=0,
    "",
    VLOOKUP(
        $A38,
        _xlfn._xlws.FILTER(
            INDIRECT("'"&amp;D$14&amp;"'!A2:E1000"), (INDIRECT("'"&amp;D$14&amp;"'!B2:B1000")=$B38) * (INDIRECT("'"&amp;D$14&amp;"'!C2:C1000")=$C38)
        ),
        5,
        FALSE
    )
)</f>
        <v>Duplicado</v>
      </c>
      <c r="E38" s="100" t="str">
        <f t="array" aca="1" ref="E38" ca="1">IF(
    VLOOKUP(
        $A38,
        _xlfn._xlws.FILTER(
            INDIRECT("'"&amp;E$14&amp;"'!A2:E1000"), (INDIRECT("'"&amp;E$14&amp;"'!B2:B1000")=$B38) * (INDIRECT("'"&amp;E$14&amp;"'!C2:C1000")=$C38)
        ),
        5,
        FALSE
    )=0,
    "",
    VLOOKUP(
        $A38,
        _xlfn._xlws.FILTER(
            INDIRECT("'"&amp;E$14&amp;"'!A2:E1000"), (INDIRECT("'"&amp;E$14&amp;"'!B2:B1000")=$B38) * (INDIRECT("'"&amp;E$14&amp;"'!C2:C1000")=$C38)
        ),
        5,
        FALSE
    )
)</f>
        <v>Enviado</v>
      </c>
      <c r="F38" s="100" t="str">
        <f t="array" aca="1" ref="F38" ca="1">IF(
    VLOOKUP(
        $A38,
        _xlfn._xlws.FILTER(
            INDIRECT("'"&amp;F$14&amp;"'!A2:E1000"), (INDIRECT("'"&amp;F$14&amp;"'!B2:B1000")=$B38) * (INDIRECT("'"&amp;F$14&amp;"'!C2:C1000")=$C38)
        ),
        5,
        FALSE
    )=0,
    "",
    VLOOKUP(
        $A38,
        _xlfn._xlws.FILTER(
            INDIRECT("'"&amp;F$14&amp;"'!A2:E1000"), (INDIRECT("'"&amp;F$14&amp;"'!B2:B1000")=$B38) * (INDIRECT("'"&amp;F$14&amp;"'!C2:C1000")=$C38)
        ),
        5,
        FALSE
    )
)</f>
        <v>Enviado</v>
      </c>
      <c r="G38" s="100" t="str">
        <f t="array" aca="1" ref="G38" ca="1">IF(
    VLOOKUP(
        $A38,
        _xlfn._xlws.FILTER(
            INDIRECT("'"&amp;G$14&amp;"'!A2:E1000"), (INDIRECT("'"&amp;G$14&amp;"'!B2:B1000")=$B38) * (INDIRECT("'"&amp;G$14&amp;"'!C2:C1000")=$C38)
        ),
        5,
        FALSE
    )=0,
    "",
    VLOOKUP(
        $A38,
        _xlfn._xlws.FILTER(
            INDIRECT("'"&amp;G$14&amp;"'!A2:E1000"), (INDIRECT("'"&amp;G$14&amp;"'!B2:B1000")=$B38) * (INDIRECT("'"&amp;G$14&amp;"'!C2:C1000")=$C38)
        ),
        5,
        FALSE
    )
)</f>
        <v>Enviado</v>
      </c>
      <c r="H38" s="100" t="str">
        <f t="array" aca="1" ref="H38" ca="1">IF(
    VLOOKUP(
        $A38,
        _xlfn._xlws.FILTER(
            INDIRECT("'"&amp;H$14&amp;"'!A2:E1000"), (INDIRECT("'"&amp;H$14&amp;"'!B2:B1000")=$B38) * (INDIRECT("'"&amp;H$14&amp;"'!C2:C1000")=$C38)
        ),
        5,
        FALSE
    )=0,
    "",
    VLOOKUP(
        $A38,
        _xlfn._xlws.FILTER(
            INDIRECT("'"&amp;H$14&amp;"'!A2:E1000"), (INDIRECT("'"&amp;H$14&amp;"'!B2:B1000")=$B38) * (INDIRECT("'"&amp;H$14&amp;"'!C2:C1000")=$C38)
        ),
        5,
        FALSE
    )
)</f>
        <v>Enviado</v>
      </c>
      <c r="I38" s="100" t="str">
        <f t="array" aca="1" ref="I38" ca="1">IF(
    VLOOKUP(
        $A38,
        _xlfn._xlws.FILTER(
            INDIRECT("'"&amp;I$14&amp;"'!A2:E1000"), (INDIRECT("'"&amp;I$14&amp;"'!B2:B1000")=$B38) * (INDIRECT("'"&amp;I$14&amp;"'!C2:C1000")=$C38)
        ),
        5,
        FALSE
    )=0,
    "",
    VLOOKUP(
        $A38,
        _xlfn._xlws.FILTER(
            INDIRECT("'"&amp;I$14&amp;"'!A2:E1000"), (INDIRECT("'"&amp;I$14&amp;"'!B2:B1000")=$B38) * (INDIRECT("'"&amp;I$14&amp;"'!C2:C1000")=$C38)
        ),
        5,
        FALSE
    )
)</f>
        <v>Enviado</v>
      </c>
      <c r="J38" s="100" t="str">
        <f t="array" aca="1" ref="J38" ca="1">IF(
    VLOOKUP(
        $A38,
        _xlfn._xlws.FILTER(
            INDIRECT("'"&amp;J$14&amp;"'!A2:E1000"), (INDIRECT("'"&amp;J$14&amp;"'!B2:B1000")=$B38) * (INDIRECT("'"&amp;J$14&amp;"'!C2:C1000")=$C38)
        ),
        5,
        FALSE
    )=0,
    "",
    VLOOKUP(
        $A38,
        _xlfn._xlws.FILTER(
            INDIRECT("'"&amp;J$14&amp;"'!A2:E1000"), (INDIRECT("'"&amp;J$14&amp;"'!B2:B1000")=$B38) * (INDIRECT("'"&amp;J$14&amp;"'!C2:C1000")=$C38)
        ),
        5,
        FALSE
    )
)</f>
        <v>Enviado</v>
      </c>
      <c r="K38" s="100" t="str">
        <f t="array" aca="1" ref="K38" ca="1">IF(
    VLOOKUP(
        $A38,
        _xlfn._xlws.FILTER(
            INDIRECT("'"&amp;K$14&amp;"'!A2:E1000"), (INDIRECT("'"&amp;K$14&amp;"'!B2:B1000")=$B38) * (INDIRECT("'"&amp;K$14&amp;"'!C2:C1000")=$C38)
        ),
        5,
        FALSE
    )=0,
    "",
    VLOOKUP(
        $A38,
        _xlfn._xlws.FILTER(
            INDIRECT("'"&amp;K$14&amp;"'!A2:E1000"), (INDIRECT("'"&amp;K$14&amp;"'!B2:B1000")=$B38) * (INDIRECT("'"&amp;K$14&amp;"'!C2:C1000")=$C38)
        ),
        5,
        FALSE
    )
)</f>
        <v>Enviado</v>
      </c>
      <c r="L38" s="100" t="str">
        <f t="array" aca="1" ref="L38" ca="1">IF(
    VLOOKUP(
        $A38,
        _xlfn._xlws.FILTER(
            INDIRECT("'"&amp;L$14&amp;"'!A2:E1000"), (INDIRECT("'"&amp;L$14&amp;"'!B2:B1000")=$B38) * (INDIRECT("'"&amp;L$14&amp;"'!C2:C1000")=$C38)
        ),
        5,
        FALSE
    )=0,
    "",
    VLOOKUP(
        $A38,
        _xlfn._xlws.FILTER(
            INDIRECT("'"&amp;L$14&amp;"'!A2:E1000"), (INDIRECT("'"&amp;L$14&amp;"'!B2:B1000")=$B38) * (INDIRECT("'"&amp;L$14&amp;"'!C2:C1000")=$C38)
        ),
        5,
        FALSE
    )
)</f>
        <v>Enviado</v>
      </c>
      <c r="M38" s="100" t="str">
        <f t="array" aca="1" ref="M38" ca="1">IF(
    VLOOKUP(
        $A38,
        _xlfn._xlws.FILTER(
            INDIRECT("'"&amp;M$14&amp;"'!A2:E1000"), (INDIRECT("'"&amp;M$14&amp;"'!B2:B1000")=$B38) * (INDIRECT("'"&amp;M$14&amp;"'!C2:C1000")=$C38)
        ),
        5,
        FALSE
    )=0,
    "",
    VLOOKUP(
        $A38,
        _xlfn._xlws.FILTER(
            INDIRECT("'"&amp;M$14&amp;"'!A2:E1000"), (INDIRECT("'"&amp;M$14&amp;"'!B2:B1000")=$B38) * (INDIRECT("'"&amp;M$14&amp;"'!C2:C1000")=$C38)
        ),
        5,
        FALSE
    )
)</f>
        <v>Enviado</v>
      </c>
      <c r="N38" s="100" t="str">
        <f t="array" aca="1" ref="N38" ca="1">IF(
    VLOOKUP(
        $A38,
        _xlfn._xlws.FILTER(
            INDIRECT("'"&amp;N$14&amp;"'!A2:E1000"), (INDIRECT("'"&amp;N$14&amp;"'!B2:B1000")=$B38) * (INDIRECT("'"&amp;N$14&amp;"'!C2:C1000")=$C38)
        ),
        5,
        FALSE
    )=0,
    "",
    VLOOKUP(
        $A38,
        _xlfn._xlws.FILTER(
            INDIRECT("'"&amp;N$14&amp;"'!A2:E1000"), (INDIRECT("'"&amp;N$14&amp;"'!B2:B1000")=$B38) * (INDIRECT("'"&amp;N$14&amp;"'!C2:C1000")=$C38)
        ),
        5,
        FALSE
    )
)</f>
        <v>Enviado</v>
      </c>
      <c r="O38" s="100" t="str">
        <f t="array" aca="1" ref="O38" ca="1">IF(
    VLOOKUP(
        $A38,
        _xlfn._xlws.FILTER(
            INDIRECT("'"&amp;O$14&amp;"'!A2:E1000"), (INDIRECT("'"&amp;O$14&amp;"'!B2:B1000")=$B38) * (INDIRECT("'"&amp;O$14&amp;"'!C2:C1000")=$C38)
        ),
        5,
        FALSE
    )=0,
    "",
    VLOOKUP(
        $A38,
        _xlfn._xlws.FILTER(
            INDIRECT("'"&amp;O$14&amp;"'!A2:E1000"), (INDIRECT("'"&amp;O$14&amp;"'!B2:B1000")=$B38) * (INDIRECT("'"&amp;O$14&amp;"'!C2:C1000")=$C38)
        ),
        5,
        FALSE
    )
)</f>
        <v>Enviado</v>
      </c>
      <c r="P38" s="100" t="str">
        <f t="array" aca="1" ref="P38" ca="1">IF(
    VLOOKUP(
        $A38,
        _xlfn._xlws.FILTER(
            INDIRECT("'"&amp;P$14&amp;"'!A2:E1000"), (INDIRECT("'"&amp;P$14&amp;"'!B2:B1000")=$B38) * (INDIRECT("'"&amp;P$14&amp;"'!C2:C1000")=$C38)
        ),
        5,
        FALSE
    )=0,
    "",
    VLOOKUP(
        $A38,
        _xlfn._xlws.FILTER(
            INDIRECT("'"&amp;P$14&amp;"'!A2:E1000"), (INDIRECT("'"&amp;P$14&amp;"'!B2:B1000")=$B38) * (INDIRECT("'"&amp;P$14&amp;"'!C2:C1000")=$C38)
        ),
        5,
        FALSE
    )
)</f>
        <v>Enviado</v>
      </c>
      <c r="Q38" s="100" t="str">
        <f t="array" ref="Q38" ca="1">IF(
    VLOOKUP(
        $A38,
        _xlfn._xlws.FILTER(
            INDIRECT("'"&amp;Q$14&amp;"'!A2:E1000"), (INDIRECT("'"&amp;Q$14&amp;"'!B2:B1000")=$B38) * (INDIRECT("'"&amp;Q$14&amp;"'!C2:C1000")=$C38)
        ),
        5,
        FALSE
    )=0,
    "",
    VLOOKUP(
        $A38,
        _xlfn._xlws.FILTER(
            INDIRECT("'"&amp;Q$14&amp;"'!A2:E1000"), (INDIRECT("'"&amp;Q$14&amp;"'!B2:B1000")=$B38) * (INDIRECT("'"&amp;Q$14&amp;"'!C2:C1000")=$C38)
        ),
        5,
        FALSE
    )
)</f>
        <v/>
      </c>
    </row>
    <row r="40" spans="1:17" ht="15.75" customHeight="1" x14ac:dyDescent="0.25">
      <c r="A40" s="103" t="s">
        <v>27</v>
      </c>
      <c r="B40" s="37" t="s">
        <v>86</v>
      </c>
      <c r="C40" s="37" t="s">
        <v>71</v>
      </c>
      <c r="D40" s="38" t="s">
        <v>1</v>
      </c>
      <c r="E40" s="39" t="s">
        <v>2</v>
      </c>
      <c r="F40" s="98" t="s">
        <v>3</v>
      </c>
      <c r="G40" s="98" t="s">
        <v>4</v>
      </c>
      <c r="H40" s="98" t="s">
        <v>5</v>
      </c>
      <c r="I40" s="98" t="s">
        <v>6</v>
      </c>
      <c r="J40" s="98" t="s">
        <v>7</v>
      </c>
      <c r="K40" s="98" t="s">
        <v>8</v>
      </c>
      <c r="L40" s="99" t="s">
        <v>9</v>
      </c>
      <c r="M40" s="99" t="s">
        <v>10</v>
      </c>
      <c r="N40" s="99" t="s">
        <v>11</v>
      </c>
      <c r="O40" s="99" t="s">
        <v>12</v>
      </c>
      <c r="P40" s="99" t="s">
        <v>13</v>
      </c>
      <c r="Q40" s="99" t="s">
        <v>14</v>
      </c>
    </row>
    <row r="41" spans="1:17" ht="15.75" customHeight="1" x14ac:dyDescent="0.25">
      <c r="A41" s="83" t="s">
        <v>40</v>
      </c>
      <c r="B41" s="79" t="s">
        <v>80</v>
      </c>
      <c r="C41" s="79">
        <v>1</v>
      </c>
      <c r="D41" s="100" t="str">
        <f t="array" aca="1" ref="D41" ca="1">IF(
    VLOOKUP(
        $A41,
        _xlfn._xlws.FILTER(
            INDIRECT("'"&amp;D$14&amp;"'!A2:E1000"), (INDIRECT("'"&amp;D$14&amp;"'!B2:B1000")=$B41) * (INDIRECT("'"&amp;D$14&amp;"'!C2:C1000")=$C41)
        ),
        5,
        FALSE
    )=0,
    "",
    VLOOKUP(
        $A41,
        _xlfn._xlws.FILTER(
            INDIRECT("'"&amp;D$14&amp;"'!A2:E1000"), (INDIRECT("'"&amp;D$14&amp;"'!B2:B1000")=$B41) * (INDIRECT("'"&amp;D$14&amp;"'!C2:C1000")=$C41)
        ),
        5,
        FALSE
    )
)</f>
        <v>Sem Técnico</v>
      </c>
      <c r="E41" s="100" t="str">
        <f t="array" aca="1" ref="E41" ca="1">IF(
    VLOOKUP(
        $A41,
        _xlfn._xlws.FILTER(
            INDIRECT("'"&amp;E$14&amp;"'!A2:E1000"), (INDIRECT("'"&amp;E$14&amp;"'!B2:B1000")=$B41) * (INDIRECT("'"&amp;E$14&amp;"'!C2:C1000")=$C41)
        ),
        5,
        FALSE
    )=0,
    "",
    VLOOKUP(
        $A41,
        _xlfn._xlws.FILTER(
            INDIRECT("'"&amp;E$14&amp;"'!A2:E1000"), (INDIRECT("'"&amp;E$14&amp;"'!B2:B1000")=$B41) * (INDIRECT("'"&amp;E$14&amp;"'!C2:C1000")=$C41)
        ),
        5,
        FALSE
    )
)</f>
        <v>Sem Técnico</v>
      </c>
      <c r="F41" s="100" t="str">
        <f t="array" aca="1" ref="F41" ca="1">IF(
    VLOOKUP(
        $A41,
        _xlfn._xlws.FILTER(
            INDIRECT("'"&amp;F$14&amp;"'!A2:E1000"), (INDIRECT("'"&amp;F$14&amp;"'!B2:B1000")=$B41) * (INDIRECT("'"&amp;F$14&amp;"'!C2:C1000")=$C41)
        ),
        5,
        FALSE
    )=0,
    "",
    VLOOKUP(
        $A41,
        _xlfn._xlws.FILTER(
            INDIRECT("'"&amp;F$14&amp;"'!A2:E1000"), (INDIRECT("'"&amp;F$14&amp;"'!B2:B1000")=$B41) * (INDIRECT("'"&amp;F$14&amp;"'!C2:C1000")=$C41)
        ),
        5,
        FALSE
    )
)</f>
        <v>Sem Técnico</v>
      </c>
      <c r="G41" s="100" t="str">
        <f t="array" aca="1" ref="G41" ca="1">IF(
    VLOOKUP(
        $A41,
        _xlfn._xlws.FILTER(
            INDIRECT("'"&amp;G$14&amp;"'!A2:E1000"), (INDIRECT("'"&amp;G$14&amp;"'!B2:B1000")=$B41) * (INDIRECT("'"&amp;G$14&amp;"'!C2:C1000")=$C41)
        ),
        5,
        FALSE
    )=0,
    "",
    VLOOKUP(
        $A41,
        _xlfn._xlws.FILTER(
            INDIRECT("'"&amp;G$14&amp;"'!A2:E1000"), (INDIRECT("'"&amp;G$14&amp;"'!B2:B1000")=$B41) * (INDIRECT("'"&amp;G$14&amp;"'!C2:C1000")=$C41)
        ),
        5,
        FALSE
    )
)</f>
        <v>Sem Técnico</v>
      </c>
      <c r="H41" s="100" t="str">
        <f t="array" aca="1" ref="H41" ca="1">IF(
    VLOOKUP(
        $A41,
        _xlfn._xlws.FILTER(
            INDIRECT("'"&amp;H$14&amp;"'!A2:E1000"), (INDIRECT("'"&amp;H$14&amp;"'!B2:B1000")=$B41) * (INDIRECT("'"&amp;H$14&amp;"'!C2:C1000")=$C41)
        ),
        5,
        FALSE
    )=0,
    "",
    VLOOKUP(
        $A41,
        _xlfn._xlws.FILTER(
            INDIRECT("'"&amp;H$14&amp;"'!A2:E1000"), (INDIRECT("'"&amp;H$14&amp;"'!B2:B1000")=$B41) * (INDIRECT("'"&amp;H$14&amp;"'!C2:C1000")=$C41)
        ),
        5,
        FALSE
    )
)</f>
        <v>Sem Técnico</v>
      </c>
      <c r="I41" s="100" t="str">
        <f t="array" aca="1" ref="I41" ca="1">IF(
    VLOOKUP(
        $A41,
        _xlfn._xlws.FILTER(
            INDIRECT("'"&amp;I$14&amp;"'!A2:E1000"), (INDIRECT("'"&amp;I$14&amp;"'!B2:B1000")=$B41) * (INDIRECT("'"&amp;I$14&amp;"'!C2:C1000")=$C41)
        ),
        5,
        FALSE
    )=0,
    "",
    VLOOKUP(
        $A41,
        _xlfn._xlws.FILTER(
            INDIRECT("'"&amp;I$14&amp;"'!A2:E1000"), (INDIRECT("'"&amp;I$14&amp;"'!B2:B1000")=$B41) * (INDIRECT("'"&amp;I$14&amp;"'!C2:C1000")=$C41)
        ),
        5,
        FALSE
    )
)</f>
        <v>Sem Técnico</v>
      </c>
      <c r="J41" s="100" t="str">
        <f t="array" aca="1" ref="J41" ca="1">IF(
    VLOOKUP(
        $A41,
        _xlfn._xlws.FILTER(
            INDIRECT("'"&amp;J$14&amp;"'!A2:E1000"), (INDIRECT("'"&amp;J$14&amp;"'!B2:B1000")=$B41) * (INDIRECT("'"&amp;J$14&amp;"'!C2:C1000")=$C41)
        ),
        5,
        FALSE
    )=0,
    "",
    VLOOKUP(
        $A41,
        _xlfn._xlws.FILTER(
            INDIRECT("'"&amp;J$14&amp;"'!A2:E1000"), (INDIRECT("'"&amp;J$14&amp;"'!B2:B1000")=$B41) * (INDIRECT("'"&amp;J$14&amp;"'!C2:C1000")=$C41)
        ),
        5,
        FALSE
    )
)</f>
        <v>Sem Técnico</v>
      </c>
      <c r="K41" s="100" t="str">
        <f t="array" aca="1" ref="K41" ca="1">IF(
    VLOOKUP(
        $A41,
        _xlfn._xlws.FILTER(
            INDIRECT("'"&amp;K$14&amp;"'!A2:E1000"), (INDIRECT("'"&amp;K$14&amp;"'!B2:B1000")=$B41) * (INDIRECT("'"&amp;K$14&amp;"'!C2:C1000")=$C41)
        ),
        5,
        FALSE
    )=0,
    "",
    VLOOKUP(
        $A41,
        _xlfn._xlws.FILTER(
            INDIRECT("'"&amp;K$14&amp;"'!A2:E1000"), (INDIRECT("'"&amp;K$14&amp;"'!B2:B1000")=$B41) * (INDIRECT("'"&amp;K$14&amp;"'!C2:C1000")=$C41)
        ),
        5,
        FALSE
    )
)</f>
        <v>Sem Técnico</v>
      </c>
      <c r="L41" s="100" t="str">
        <f t="array" aca="1" ref="L41" ca="1">IF(
    VLOOKUP(
        $A41,
        _xlfn._xlws.FILTER(
            INDIRECT("'"&amp;L$14&amp;"'!A2:E1000"), (INDIRECT("'"&amp;L$14&amp;"'!B2:B1000")=$B41) * (INDIRECT("'"&amp;L$14&amp;"'!C2:C1000")=$C41)
        ),
        5,
        FALSE
    )=0,
    "",
    VLOOKUP(
        $A41,
        _xlfn._xlws.FILTER(
            INDIRECT("'"&amp;L$14&amp;"'!A2:E1000"), (INDIRECT("'"&amp;L$14&amp;"'!B2:B1000")=$B41) * (INDIRECT("'"&amp;L$14&amp;"'!C2:C1000")=$C41)
        ),
        5,
        FALSE
    )
)</f>
        <v>Sem Técnico</v>
      </c>
      <c r="M41" s="100" t="str">
        <f t="array" aca="1" ref="M41" ca="1">IF(
    VLOOKUP(
        $A41,
        _xlfn._xlws.FILTER(
            INDIRECT("'"&amp;M$14&amp;"'!A2:E1000"), (INDIRECT("'"&amp;M$14&amp;"'!B2:B1000")=$B41) * (INDIRECT("'"&amp;M$14&amp;"'!C2:C1000")=$C41)
        ),
        5,
        FALSE
    )=0,
    "",
    VLOOKUP(
        $A41,
        _xlfn._xlws.FILTER(
            INDIRECT("'"&amp;M$14&amp;"'!A2:E1000"), (INDIRECT("'"&amp;M$14&amp;"'!B2:B1000")=$B41) * (INDIRECT("'"&amp;M$14&amp;"'!C2:C1000")=$C41)
        ),
        5,
        FALSE
    )
)</f>
        <v>Enviado</v>
      </c>
      <c r="N41" s="100" t="str">
        <f t="array" aca="1" ref="N41" ca="1">IF(
    VLOOKUP(
        $A41,
        _xlfn._xlws.FILTER(
            INDIRECT("'"&amp;N$14&amp;"'!A2:E1000"), (INDIRECT("'"&amp;N$14&amp;"'!B2:B1000")=$B41) * (INDIRECT("'"&amp;N$14&amp;"'!C2:C1000")=$C41)
        ),
        5,
        FALSE
    )=0,
    "",
    VLOOKUP(
        $A41,
        _xlfn._xlws.FILTER(
            INDIRECT("'"&amp;N$14&amp;"'!A2:E1000"), (INDIRECT("'"&amp;N$14&amp;"'!B2:B1000")=$B41) * (INDIRECT("'"&amp;N$14&amp;"'!C2:C1000")=$C41)
        ),
        5,
        FALSE
    )
)</f>
        <v>Enviado</v>
      </c>
      <c r="O41" s="100" t="str">
        <f t="array" aca="1" ref="O41" ca="1">IF(
    VLOOKUP(
        $A41,
        _xlfn._xlws.FILTER(
            INDIRECT("'"&amp;O$14&amp;"'!A2:E1000"), (INDIRECT("'"&amp;O$14&amp;"'!B2:B1000")=$B41) * (INDIRECT("'"&amp;O$14&amp;"'!C2:C1000")=$C41)
        ),
        5,
        FALSE
    )=0,
    "",
    VLOOKUP(
        $A41,
        _xlfn._xlws.FILTER(
            INDIRECT("'"&amp;O$14&amp;"'!A2:E1000"), (INDIRECT("'"&amp;O$14&amp;"'!B2:B1000")=$B41) * (INDIRECT("'"&amp;O$14&amp;"'!C2:C1000")=$C41)
        ),
        5,
        FALSE
    )
)</f>
        <v>Enviado</v>
      </c>
      <c r="P41" s="100" t="str">
        <f t="array" ref="P41" ca="1">IF(
    VLOOKUP(
        $A41,
        _xlfn._xlws.FILTER(
            INDIRECT("'"&amp;P$14&amp;"'!A2:E1000"), (INDIRECT("'"&amp;P$14&amp;"'!B2:B1000")=$B41) * (INDIRECT("'"&amp;P$14&amp;"'!C2:C1000")=$C41)
        ),
        5,
        FALSE
    )=0,
    "",
    VLOOKUP(
        $A41,
        _xlfn._xlws.FILTER(
            INDIRECT("'"&amp;P$14&amp;"'!A2:E1000"), (INDIRECT("'"&amp;P$14&amp;"'!B2:B1000")=$B41) * (INDIRECT("'"&amp;P$14&amp;"'!C2:C1000")=$C41)
        ),
        5,
        FALSE
    )
)</f>
        <v>Enviado</v>
      </c>
      <c r="Q41" s="100" t="str">
        <f t="array" ref="Q41" ca="1">IF(
    VLOOKUP(
        $A41,
        _xlfn._xlws.FILTER(
            INDIRECT("'"&amp;Q$14&amp;"'!A2:E1000"), (INDIRECT("'"&amp;Q$14&amp;"'!B2:B1000")=$B41) * (INDIRECT("'"&amp;Q$14&amp;"'!C2:C1000")=$C41)
        ),
        5,
        FALSE
    )=0,
    "",
    VLOOKUP(
        $A41,
        _xlfn._xlws.FILTER(
            INDIRECT("'"&amp;Q$14&amp;"'!A2:E1000"), (INDIRECT("'"&amp;Q$14&amp;"'!B2:B1000")=$B41) * (INDIRECT("'"&amp;Q$14&amp;"'!C2:C1000")=$C41)
        ),
        5,
        FALSE
    )
)</f>
        <v/>
      </c>
    </row>
    <row r="42" spans="1:17" x14ac:dyDescent="0.25">
      <c r="A42" s="83" t="s">
        <v>40</v>
      </c>
      <c r="B42" s="79" t="s">
        <v>80</v>
      </c>
      <c r="C42" s="79">
        <v>2</v>
      </c>
      <c r="D42" s="100" t="str">
        <f t="array" aca="1" ref="D42" ca="1">IF(
    VLOOKUP(
        $A42,
        _xlfn._xlws.FILTER(
            INDIRECT("'"&amp;D$14&amp;"'!A2:E1000"), (INDIRECT("'"&amp;D$14&amp;"'!B2:B1000")=$B42) * (INDIRECT("'"&amp;D$14&amp;"'!C2:C1000")=$C42)
        ),
        5,
        FALSE
    )=0,
    "",
    VLOOKUP(
        $A42,
        _xlfn._xlws.FILTER(
            INDIRECT("'"&amp;D$14&amp;"'!A2:E1000"), (INDIRECT("'"&amp;D$14&amp;"'!B2:B1000")=$B42) * (INDIRECT("'"&amp;D$14&amp;"'!C2:C1000")=$C42)
        ),
        5,
        FALSE
    )
)</f>
        <v>Enviado</v>
      </c>
      <c r="E42" s="100" t="str">
        <f t="array" ref="E42" ca="1">IF(
    VLOOKUP(
        $A42,
        _xlfn._xlws.FILTER(
            INDIRECT("'"&amp;E$14&amp;"'!A2:E1000"), (INDIRECT("'"&amp;E$14&amp;"'!B2:B1000")=$B42) * (INDIRECT("'"&amp;E$14&amp;"'!C2:C1000")=$C42)
        ),
        5,
        FALSE
    )=0,
    "",
    VLOOKUP(
        $A42,
        _xlfn._xlws.FILTER(
            INDIRECT("'"&amp;E$14&amp;"'!A2:E1000"), (INDIRECT("'"&amp;E$14&amp;"'!B2:B1000")=$B42) * (INDIRECT("'"&amp;E$14&amp;"'!C2:C1000")=$C42)
        ),
        5,
        FALSE
    )
)</f>
        <v>Enviado</v>
      </c>
      <c r="F42" s="100" t="str">
        <f t="array" aca="1" ref="F42" ca="1">IF(
    VLOOKUP(
        $A42,
        _xlfn._xlws.FILTER(
            INDIRECT("'"&amp;F$14&amp;"'!A2:E1000"), (INDIRECT("'"&amp;F$14&amp;"'!B2:B1000")=$B42) * (INDIRECT("'"&amp;F$14&amp;"'!C2:C1000")=$C42)
        ),
        5,
        FALSE
    )=0,
    "",
    VLOOKUP(
        $A42,
        _xlfn._xlws.FILTER(
            INDIRECT("'"&amp;F$14&amp;"'!A2:E1000"), (INDIRECT("'"&amp;F$14&amp;"'!B2:B1000")=$B42) * (INDIRECT("'"&amp;F$14&amp;"'!C2:C1000")=$C42)
        ),
        5,
        FALSE
    )
)</f>
        <v>Enviado</v>
      </c>
      <c r="G42" s="100" t="str">
        <f t="array" aca="1" ref="G42" ca="1">IF(
    VLOOKUP(
        $A42,
        _xlfn._xlws.FILTER(
            INDIRECT("'"&amp;G$14&amp;"'!A2:E1000"), (INDIRECT("'"&amp;G$14&amp;"'!B2:B1000")=$B42) * (INDIRECT("'"&amp;G$14&amp;"'!C2:C1000")=$C42)
        ),
        5,
        FALSE
    )=0,
    "",
    VLOOKUP(
        $A42,
        _xlfn._xlws.FILTER(
            INDIRECT("'"&amp;G$14&amp;"'!A2:E1000"), (INDIRECT("'"&amp;G$14&amp;"'!B2:B1000")=$B42) * (INDIRECT("'"&amp;G$14&amp;"'!C2:C1000")=$C42)
        ),
        5,
        FALSE
    )
)</f>
        <v>Enviado</v>
      </c>
      <c r="H42" s="100" t="str">
        <f t="array" aca="1" ref="H42" ca="1">IF(
    VLOOKUP(
        $A42,
        _xlfn._xlws.FILTER(
            INDIRECT("'"&amp;H$14&amp;"'!A2:E1000"), (INDIRECT("'"&amp;H$14&amp;"'!B2:B1000")=$B42) * (INDIRECT("'"&amp;H$14&amp;"'!C2:C1000")=$C42)
        ),
        5,
        FALSE
    )=0,
    "",
    VLOOKUP(
        $A42,
        _xlfn._xlws.FILTER(
            INDIRECT("'"&amp;H$14&amp;"'!A2:E1000"), (INDIRECT("'"&amp;H$14&amp;"'!B2:B1000")=$B42) * (INDIRECT("'"&amp;H$14&amp;"'!C2:C1000")=$C42)
        ),
        5,
        FALSE
    )
)</f>
        <v>Enviado</v>
      </c>
      <c r="I42" s="100" t="str">
        <f t="array" aca="1" ref="I42" ca="1">IF(
    VLOOKUP(
        $A42,
        _xlfn._xlws.FILTER(
            INDIRECT("'"&amp;I$14&amp;"'!A2:E1000"), (INDIRECT("'"&amp;I$14&amp;"'!B2:B1000")=$B42) * (INDIRECT("'"&amp;I$14&amp;"'!C2:C1000")=$C42)
        ),
        5,
        FALSE
    )=0,
    "",
    VLOOKUP(
        $A42,
        _xlfn._xlws.FILTER(
            INDIRECT("'"&amp;I$14&amp;"'!A2:E1000"), (INDIRECT("'"&amp;I$14&amp;"'!B2:B1000")=$B42) * (INDIRECT("'"&amp;I$14&amp;"'!C2:C1000")=$C42)
        ),
        5,
        FALSE
    )
)</f>
        <v>Enviado</v>
      </c>
      <c r="J42" s="100" t="str">
        <f t="array" aca="1" ref="J42" ca="1">IF(
    VLOOKUP(
        $A42,
        _xlfn._xlws.FILTER(
            INDIRECT("'"&amp;J$14&amp;"'!A2:E1000"), (INDIRECT("'"&amp;J$14&amp;"'!B2:B1000")=$B42) * (INDIRECT("'"&amp;J$14&amp;"'!C2:C1000")=$C42)
        ),
        5,
        FALSE
    )=0,
    "",
    VLOOKUP(
        $A42,
        _xlfn._xlws.FILTER(
            INDIRECT("'"&amp;J$14&amp;"'!A2:E1000"), (INDIRECT("'"&amp;J$14&amp;"'!B2:B1000")=$B42) * (INDIRECT("'"&amp;J$14&amp;"'!C2:C1000")=$C42)
        ),
        5,
        FALSE
    )
)</f>
        <v>Enviado</v>
      </c>
      <c r="K42" s="100" t="str">
        <f t="array" aca="1" ref="K42" ca="1">IF(
    VLOOKUP(
        $A42,
        _xlfn._xlws.FILTER(
            INDIRECT("'"&amp;K$14&amp;"'!A2:E1000"), (INDIRECT("'"&amp;K$14&amp;"'!B2:B1000")=$B42) * (INDIRECT("'"&amp;K$14&amp;"'!C2:C1000")=$C42)
        ),
        5,
        FALSE
    )=0,
    "",
    VLOOKUP(
        $A42,
        _xlfn._xlws.FILTER(
            INDIRECT("'"&amp;K$14&amp;"'!A2:E1000"), (INDIRECT("'"&amp;K$14&amp;"'!B2:B1000")=$B42) * (INDIRECT("'"&amp;K$14&amp;"'!C2:C1000")=$C42)
        ),
        5,
        FALSE
    )
)</f>
        <v>Enviado</v>
      </c>
      <c r="L42" s="100" t="str">
        <f t="array" aca="1" ref="L42" ca="1">IF(
    VLOOKUP(
        $A42,
        _xlfn._xlws.FILTER(
            INDIRECT("'"&amp;L$14&amp;"'!A2:E1000"), (INDIRECT("'"&amp;L$14&amp;"'!B2:B1000")=$B42) * (INDIRECT("'"&amp;L$14&amp;"'!C2:C1000")=$C42)
        ),
        5,
        FALSE
    )=0,
    "",
    VLOOKUP(
        $A42,
        _xlfn._xlws.FILTER(
            INDIRECT("'"&amp;L$14&amp;"'!A2:E1000"), (INDIRECT("'"&amp;L$14&amp;"'!B2:B1000")=$B42) * (INDIRECT("'"&amp;L$14&amp;"'!C2:C1000")=$C42)
        ),
        5,
        FALSE
    )
)</f>
        <v>Enviado</v>
      </c>
      <c r="M42" s="100" t="str">
        <f t="array" aca="1" ref="M42" ca="1">IF(
    VLOOKUP(
        $A42,
        _xlfn._xlws.FILTER(
            INDIRECT("'"&amp;M$14&amp;"'!A2:E1000"), (INDIRECT("'"&amp;M$14&amp;"'!B2:B1000")=$B42) * (INDIRECT("'"&amp;M$14&amp;"'!C2:C1000")=$C42)
        ),
        5,
        FALSE
    )=0,
    "",
    VLOOKUP(
        $A42,
        _xlfn._xlws.FILTER(
            INDIRECT("'"&amp;M$14&amp;"'!A2:E1000"), (INDIRECT("'"&amp;M$14&amp;"'!B2:B1000")=$B42) * (INDIRECT("'"&amp;M$14&amp;"'!C2:C1000")=$C42)
        ),
        5,
        FALSE
    )
)</f>
        <v>Enviado</v>
      </c>
      <c r="N42" s="100" t="str">
        <f t="array" aca="1" ref="N42" ca="1">IF(
    VLOOKUP(
        $A42,
        _xlfn._xlws.FILTER(
            INDIRECT("'"&amp;N$14&amp;"'!A2:E1000"), (INDIRECT("'"&amp;N$14&amp;"'!B2:B1000")=$B42) * (INDIRECT("'"&amp;N$14&amp;"'!C2:C1000")=$C42)
        ),
        5,
        FALSE
    )=0,
    "",
    VLOOKUP(
        $A42,
        _xlfn._xlws.FILTER(
            INDIRECT("'"&amp;N$14&amp;"'!A2:E1000"), (INDIRECT("'"&amp;N$14&amp;"'!B2:B1000")=$B42) * (INDIRECT("'"&amp;N$14&amp;"'!C2:C1000")=$C42)
        ),
        5,
        FALSE
    )
)</f>
        <v>Enviado</v>
      </c>
      <c r="O42" s="100" t="str">
        <f t="array" aca="1" ref="O42" ca="1">IF(
    VLOOKUP(
        $A42,
        _xlfn._xlws.FILTER(
            INDIRECT("'"&amp;O$14&amp;"'!A2:E1000"), (INDIRECT("'"&amp;O$14&amp;"'!B2:B1000")=$B42) * (INDIRECT("'"&amp;O$14&amp;"'!C2:C1000")=$C42)
        ),
        5,
        FALSE
    )=0,
    "",
    VLOOKUP(
        $A42,
        _xlfn._xlws.FILTER(
            INDIRECT("'"&amp;O$14&amp;"'!A2:E1000"), (INDIRECT("'"&amp;O$14&amp;"'!B2:B1000")=$B42) * (INDIRECT("'"&amp;O$14&amp;"'!C2:C1000")=$C42)
        ),
        5,
        FALSE
    )
)</f>
        <v>Enviado</v>
      </c>
      <c r="P42" s="100" t="str">
        <f t="array" aca="1" ref="P42" ca="1">IF(
    VLOOKUP(
        $A42,
        _xlfn._xlws.FILTER(
            INDIRECT("'"&amp;P$14&amp;"'!A2:E1000"), (INDIRECT("'"&amp;P$14&amp;"'!B2:B1000")=$B42) * (INDIRECT("'"&amp;P$14&amp;"'!C2:C1000")=$C42)
        ),
        5,
        FALSE
    )=0,
    "",
    VLOOKUP(
        $A42,
        _xlfn._xlws.FILTER(
            INDIRECT("'"&amp;P$14&amp;"'!A2:E1000"), (INDIRECT("'"&amp;P$14&amp;"'!B2:B1000")=$B42) * (INDIRECT("'"&amp;P$14&amp;"'!C2:C1000")=$C42)
        ),
        5,
        FALSE
    )
)</f>
        <v>Enviado</v>
      </c>
      <c r="Q42" s="100" t="str">
        <f t="array" aca="1" ref="Q42" ca="1">IF(
    VLOOKUP(
        $A42,
        _xlfn._xlws.FILTER(
            INDIRECT("'"&amp;Q$14&amp;"'!A2:E1000"), (INDIRECT("'"&amp;Q$14&amp;"'!B2:B1000")=$B42) * (INDIRECT("'"&amp;Q$14&amp;"'!C2:C1000")=$C42)
        ),
        5,
        FALSE
    )=0,
    "",
    VLOOKUP(
        $A42,
        _xlfn._xlws.FILTER(
            INDIRECT("'"&amp;Q$14&amp;"'!A2:E1000"), (INDIRECT("'"&amp;Q$14&amp;"'!B2:B1000")=$B42) * (INDIRECT("'"&amp;Q$14&amp;"'!C2:C1000")=$C42)
        ),
        5,
        FALSE
    )
)</f>
        <v/>
      </c>
    </row>
    <row r="43" spans="1:17" x14ac:dyDescent="0.25">
      <c r="A43" s="83" t="s">
        <v>40</v>
      </c>
      <c r="B43" s="79" t="s">
        <v>80</v>
      </c>
      <c r="C43" s="79">
        <v>3</v>
      </c>
      <c r="D43" s="100" t="str">
        <f t="array" aca="1" ref="D43" ca="1">IF(
    VLOOKUP(
        $A43,
        _xlfn._xlws.FILTER(
            INDIRECT("'"&amp;D$14&amp;"'!A2:E1000"), (INDIRECT("'"&amp;D$14&amp;"'!B2:B1000")=$B43) * (INDIRECT("'"&amp;D$14&amp;"'!C2:C1000")=$C43)
        ),
        5,
        FALSE
    )=0,
    "",
    VLOOKUP(
        $A43,
        _xlfn._xlws.FILTER(
            INDIRECT("'"&amp;D$14&amp;"'!A2:E1000"), (INDIRECT("'"&amp;D$14&amp;"'!B2:B1000")=$B43) * (INDIRECT("'"&amp;D$14&amp;"'!C2:C1000")=$C43)
        ),
        5,
        FALSE
    )
)</f>
        <v>Enviado</v>
      </c>
      <c r="E43" s="100" t="str">
        <f t="array" aca="1" ref="E43" ca="1">IF(
    VLOOKUP(
        $A43,
        _xlfn._xlws.FILTER(
            INDIRECT("'"&amp;E$14&amp;"'!A2:E1000"), (INDIRECT("'"&amp;E$14&amp;"'!B2:B1000")=$B43) * (INDIRECT("'"&amp;E$14&amp;"'!C2:C1000")=$C43)
        ),
        5,
        FALSE
    )=0,
    "",
    VLOOKUP(
        $A43,
        _xlfn._xlws.FILTER(
            INDIRECT("'"&amp;E$14&amp;"'!A2:E1000"), (INDIRECT("'"&amp;E$14&amp;"'!B2:B1000")=$B43) * (INDIRECT("'"&amp;E$14&amp;"'!C2:C1000")=$C43)
        ),
        5,
        FALSE
    )
)</f>
        <v>Enviado</v>
      </c>
      <c r="F43" s="100" t="str">
        <f t="array" aca="1" ref="F43" ca="1">IF(
    VLOOKUP(
        $A43,
        _xlfn._xlws.FILTER(
            INDIRECT("'"&amp;F$14&amp;"'!A2:E1000"), (INDIRECT("'"&amp;F$14&amp;"'!B2:B1000")=$B43) * (INDIRECT("'"&amp;F$14&amp;"'!C2:C1000")=$C43)
        ),
        5,
        FALSE
    )=0,
    "",
    VLOOKUP(
        $A43,
        _xlfn._xlws.FILTER(
            INDIRECT("'"&amp;F$14&amp;"'!A2:E1000"), (INDIRECT("'"&amp;F$14&amp;"'!B2:B1000")=$B43) * (INDIRECT("'"&amp;F$14&amp;"'!C2:C1000")=$C43)
        ),
        5,
        FALSE
    )
)</f>
        <v>Enviado</v>
      </c>
      <c r="G43" s="100" t="str">
        <f t="array" aca="1" ref="G43" ca="1">IF(
    VLOOKUP(
        $A43,
        _xlfn._xlws.FILTER(
            INDIRECT("'"&amp;G$14&amp;"'!A2:E1000"), (INDIRECT("'"&amp;G$14&amp;"'!B2:B1000")=$B43) * (INDIRECT("'"&amp;G$14&amp;"'!C2:C1000")=$C43)
        ),
        5,
        FALSE
    )=0,
    "",
    VLOOKUP(
        $A43,
        _xlfn._xlws.FILTER(
            INDIRECT("'"&amp;G$14&amp;"'!A2:E1000"), (INDIRECT("'"&amp;G$14&amp;"'!B2:B1000")=$B43) * (INDIRECT("'"&amp;G$14&amp;"'!C2:C1000")=$C43)
        ),
        5,
        FALSE
    )
)</f>
        <v>Enviado</v>
      </c>
      <c r="H43" s="100" t="str">
        <f t="array" aca="1" ref="H43" ca="1">IF(
    VLOOKUP(
        $A43,
        _xlfn._xlws.FILTER(
            INDIRECT("'"&amp;H$14&amp;"'!A2:E1000"), (INDIRECT("'"&amp;H$14&amp;"'!B2:B1000")=$B43) * (INDIRECT("'"&amp;H$14&amp;"'!C2:C1000")=$C43)
        ),
        5,
        FALSE
    )=0,
    "",
    VLOOKUP(
        $A43,
        _xlfn._xlws.FILTER(
            INDIRECT("'"&amp;H$14&amp;"'!A2:E1000"), (INDIRECT("'"&amp;H$14&amp;"'!B2:B1000")=$B43) * (INDIRECT("'"&amp;H$14&amp;"'!C2:C1000")=$C43)
        ),
        5,
        FALSE
    )
)</f>
        <v>Enviado</v>
      </c>
      <c r="I43" s="100" t="str">
        <f t="array" aca="1" ref="I43" ca="1">IF(
    VLOOKUP(
        $A43,
        _xlfn._xlws.FILTER(
            INDIRECT("'"&amp;I$14&amp;"'!A2:E1000"), (INDIRECT("'"&amp;I$14&amp;"'!B2:B1000")=$B43) * (INDIRECT("'"&amp;I$14&amp;"'!C2:C1000")=$C43)
        ),
        5,
        FALSE
    )=0,
    "",
    VLOOKUP(
        $A43,
        _xlfn._xlws.FILTER(
            INDIRECT("'"&amp;I$14&amp;"'!A2:E1000"), (INDIRECT("'"&amp;I$14&amp;"'!B2:B1000")=$B43) * (INDIRECT("'"&amp;I$14&amp;"'!C2:C1000")=$C43)
        ),
        5,
        FALSE
    )
)</f>
        <v>Enviado</v>
      </c>
      <c r="J43" s="100" t="str">
        <f t="array" aca="1" ref="J43" ca="1">IF(
    VLOOKUP(
        $A43,
        _xlfn._xlws.FILTER(
            INDIRECT("'"&amp;J$14&amp;"'!A2:E1000"), (INDIRECT("'"&amp;J$14&amp;"'!B2:B1000")=$B43) * (INDIRECT("'"&amp;J$14&amp;"'!C2:C1000")=$C43)
        ),
        5,
        FALSE
    )=0,
    "",
    VLOOKUP(
        $A43,
        _xlfn._xlws.FILTER(
            INDIRECT("'"&amp;J$14&amp;"'!A2:E1000"), (INDIRECT("'"&amp;J$14&amp;"'!B2:B1000")=$B43) * (INDIRECT("'"&amp;J$14&amp;"'!C2:C1000")=$C43)
        ),
        5,
        FALSE
    )
)</f>
        <v>Enviado</v>
      </c>
      <c r="K43" s="100" t="str">
        <f t="array" aca="1" ref="K43" ca="1">IF(
    VLOOKUP(
        $A43,
        _xlfn._xlws.FILTER(
            INDIRECT("'"&amp;K$14&amp;"'!A2:E1000"), (INDIRECT("'"&amp;K$14&amp;"'!B2:B1000")=$B43) * (INDIRECT("'"&amp;K$14&amp;"'!C2:C1000")=$C43)
        ),
        5,
        FALSE
    )=0,
    "",
    VLOOKUP(
        $A43,
        _xlfn._xlws.FILTER(
            INDIRECT("'"&amp;K$14&amp;"'!A2:E1000"), (INDIRECT("'"&amp;K$14&amp;"'!B2:B1000")=$B43) * (INDIRECT("'"&amp;K$14&amp;"'!C2:C1000")=$C43)
        ),
        5,
        FALSE
    )
)</f>
        <v>Enviado</v>
      </c>
      <c r="L43" s="100" t="str">
        <f t="array" aca="1" ref="L43" ca="1">IF(
    VLOOKUP(
        $A43,
        _xlfn._xlws.FILTER(
            INDIRECT("'"&amp;L$14&amp;"'!A2:E1000"), (INDIRECT("'"&amp;L$14&amp;"'!B2:B1000")=$B43) * (INDIRECT("'"&amp;L$14&amp;"'!C2:C1000")=$C43)
        ),
        5,
        FALSE
    )=0,
    "",
    VLOOKUP(
        $A43,
        _xlfn._xlws.FILTER(
            INDIRECT("'"&amp;L$14&amp;"'!A2:E1000"), (INDIRECT("'"&amp;L$14&amp;"'!B2:B1000")=$B43) * (INDIRECT("'"&amp;L$14&amp;"'!C2:C1000")=$C43)
        ),
        5,
        FALSE
    )
)</f>
        <v>Enviado</v>
      </c>
      <c r="M43" s="100" t="str">
        <f t="array" aca="1" ref="M43" ca="1">IF(
    VLOOKUP(
        $A43,
        _xlfn._xlws.FILTER(
            INDIRECT("'"&amp;M$14&amp;"'!A2:E1000"), (INDIRECT("'"&amp;M$14&amp;"'!B2:B1000")=$B43) * (INDIRECT("'"&amp;M$14&amp;"'!C2:C1000")=$C43)
        ),
        5,
        FALSE
    )=0,
    "",
    VLOOKUP(
        $A43,
        _xlfn._xlws.FILTER(
            INDIRECT("'"&amp;M$14&amp;"'!A2:E1000"), (INDIRECT("'"&amp;M$14&amp;"'!B2:B1000")=$B43) * (INDIRECT("'"&amp;M$14&amp;"'!C2:C1000")=$C43)
        ),
        5,
        FALSE
    )
)</f>
        <v>Enviado</v>
      </c>
      <c r="N43" s="100" t="str">
        <f t="array" aca="1" ref="N43" ca="1">IF(
    VLOOKUP(
        $A43,
        _xlfn._xlws.FILTER(
            INDIRECT("'"&amp;N$14&amp;"'!A2:E1000"), (INDIRECT("'"&amp;N$14&amp;"'!B2:B1000")=$B43) * (INDIRECT("'"&amp;N$14&amp;"'!C2:C1000")=$C43)
        ),
        5,
        FALSE
    )=0,
    "",
    VLOOKUP(
        $A43,
        _xlfn._xlws.FILTER(
            INDIRECT("'"&amp;N$14&amp;"'!A2:E1000"), (INDIRECT("'"&amp;N$14&amp;"'!B2:B1000")=$B43) * (INDIRECT("'"&amp;N$14&amp;"'!C2:C1000")=$C43)
        ),
        5,
        FALSE
    )
)</f>
        <v>Enviado</v>
      </c>
      <c r="O43" s="100" t="str">
        <f t="array" ref="O43" ca="1">IF(
    VLOOKUP(
        $A43,
        _xlfn._xlws.FILTER(
            INDIRECT("'"&amp;O$14&amp;"'!A2:E1000"), (INDIRECT("'"&amp;O$14&amp;"'!B2:B1000")=$B43) * (INDIRECT("'"&amp;O$14&amp;"'!C2:C1000")=$C43)
        ),
        5,
        FALSE
    )=0,
    "",
    VLOOKUP(
        $A43,
        _xlfn._xlws.FILTER(
            INDIRECT("'"&amp;O$14&amp;"'!A2:E1000"), (INDIRECT("'"&amp;O$14&amp;"'!B2:B1000")=$B43) * (INDIRECT("'"&amp;O$14&amp;"'!C2:C1000")=$C43)
        ),
        5,
        FALSE
    )
)</f>
        <v>Enviado</v>
      </c>
      <c r="P43" s="100" t="str">
        <f t="array" aca="1" ref="P43" ca="1">IF(
    VLOOKUP(
        $A43,
        _xlfn._xlws.FILTER(
            INDIRECT("'"&amp;P$14&amp;"'!A2:E1000"), (INDIRECT("'"&amp;P$14&amp;"'!B2:B1000")=$B43) * (INDIRECT("'"&amp;P$14&amp;"'!C2:C1000")=$C43)
        ),
        5,
        FALSE
    )=0,
    "",
    VLOOKUP(
        $A43,
        _xlfn._xlws.FILTER(
            INDIRECT("'"&amp;P$14&amp;"'!A2:E1000"), (INDIRECT("'"&amp;P$14&amp;"'!B2:B1000")=$B43) * (INDIRECT("'"&amp;P$14&amp;"'!C2:C1000")=$C43)
        ),
        5,
        FALSE
    )
)</f>
        <v>Enviado</v>
      </c>
      <c r="Q43" s="100" t="str">
        <f t="array" aca="1" ref="Q43" ca="1">IF(
    VLOOKUP(
        $A43,
        _xlfn._xlws.FILTER(
            INDIRECT("'"&amp;Q$14&amp;"'!A2:E1000"), (INDIRECT("'"&amp;Q$14&amp;"'!B2:B1000")=$B43) * (INDIRECT("'"&amp;Q$14&amp;"'!C2:C1000")=$C43)
        ),
        5,
        FALSE
    )=0,
    "",
    VLOOKUP(
        $A43,
        _xlfn._xlws.FILTER(
            INDIRECT("'"&amp;Q$14&amp;"'!A2:E1000"), (INDIRECT("'"&amp;Q$14&amp;"'!B2:B1000")=$B43) * (INDIRECT("'"&amp;Q$14&amp;"'!C2:C1000")=$C43)
        ),
        5,
        FALSE
    )
)</f>
        <v/>
      </c>
    </row>
    <row r="44" spans="1:17" x14ac:dyDescent="0.25">
      <c r="A44" s="83" t="s">
        <v>40</v>
      </c>
      <c r="B44" s="79" t="s">
        <v>80</v>
      </c>
      <c r="C44" s="79">
        <v>4</v>
      </c>
      <c r="D44" s="100" t="str">
        <f t="array" aca="1" ref="D44" ca="1">IF(
    VLOOKUP(
        $A44,
        _xlfn._xlws.FILTER(
            INDIRECT("'"&amp;D$14&amp;"'!A2:E1000"), (INDIRECT("'"&amp;D$14&amp;"'!B2:B1000")=$B44) * (INDIRECT("'"&amp;D$14&amp;"'!C2:C1000")=$C44)
        ),
        5,
        FALSE
    )=0,
    "",
    VLOOKUP(
        $A44,
        _xlfn._xlws.FILTER(
            INDIRECT("'"&amp;D$14&amp;"'!A2:E1000"), (INDIRECT("'"&amp;D$14&amp;"'!B2:B1000")=$B44) * (INDIRECT("'"&amp;D$14&amp;"'!C2:C1000")=$C44)
        ),
        5,
        FALSE
    )
)</f>
        <v>Enviado</v>
      </c>
      <c r="E44" s="100" t="str">
        <f t="array" aca="1" ref="E44" ca="1">IF(
    VLOOKUP(
        $A44,
        _xlfn._xlws.FILTER(
            INDIRECT("'"&amp;E$14&amp;"'!A2:E1000"), (INDIRECT("'"&amp;E$14&amp;"'!B2:B1000")=$B44) * (INDIRECT("'"&amp;E$14&amp;"'!C2:C1000")=$C44)
        ),
        5,
        FALSE
    )=0,
    "",
    VLOOKUP(
        $A44,
        _xlfn._xlws.FILTER(
            INDIRECT("'"&amp;E$14&amp;"'!A2:E1000"), (INDIRECT("'"&amp;E$14&amp;"'!B2:B1000")=$B44) * (INDIRECT("'"&amp;E$14&amp;"'!C2:C1000")=$C44)
        ),
        5,
        FALSE
    )
)</f>
        <v>Enviado</v>
      </c>
      <c r="F44" s="100" t="str">
        <f t="array" aca="1" ref="F44" ca="1">IF(
    VLOOKUP(
        $A44,
        _xlfn._xlws.FILTER(
            INDIRECT("'"&amp;F$14&amp;"'!A2:E1000"), (INDIRECT("'"&amp;F$14&amp;"'!B2:B1000")=$B44) * (INDIRECT("'"&amp;F$14&amp;"'!C2:C1000")=$C44)
        ),
        5,
        FALSE
    )=0,
    "",
    VLOOKUP(
        $A44,
        _xlfn._xlws.FILTER(
            INDIRECT("'"&amp;F$14&amp;"'!A2:E1000"), (INDIRECT("'"&amp;F$14&amp;"'!B2:B1000")=$B44) * (INDIRECT("'"&amp;F$14&amp;"'!C2:C1000")=$C44)
        ),
        5,
        FALSE
    )
)</f>
        <v>Enviado</v>
      </c>
      <c r="G44" s="100" t="str">
        <f t="array" aca="1" ref="G44" ca="1">IF(
    VLOOKUP(
        $A44,
        _xlfn._xlws.FILTER(
            INDIRECT("'"&amp;G$14&amp;"'!A2:E1000"), (INDIRECT("'"&amp;G$14&amp;"'!B2:B1000")=$B44) * (INDIRECT("'"&amp;G$14&amp;"'!C2:C1000")=$C44)
        ),
        5,
        FALSE
    )=0,
    "",
    VLOOKUP(
        $A44,
        _xlfn._xlws.FILTER(
            INDIRECT("'"&amp;G$14&amp;"'!A2:E1000"), (INDIRECT("'"&amp;G$14&amp;"'!B2:B1000")=$B44) * (INDIRECT("'"&amp;G$14&amp;"'!C2:C1000")=$C44)
        ),
        5,
        FALSE
    )
)</f>
        <v>Enviado</v>
      </c>
      <c r="H44" s="100" t="str">
        <f t="array" aca="1" ref="H44" ca="1">IF(
    VLOOKUP(
        $A44,
        _xlfn._xlws.FILTER(
            INDIRECT("'"&amp;H$14&amp;"'!A2:E1000"), (INDIRECT("'"&amp;H$14&amp;"'!B2:B1000")=$B44) * (INDIRECT("'"&amp;H$14&amp;"'!C2:C1000")=$C44)
        ),
        5,
        FALSE
    )=0,
    "",
    VLOOKUP(
        $A44,
        _xlfn._xlws.FILTER(
            INDIRECT("'"&amp;H$14&amp;"'!A2:E1000"), (INDIRECT("'"&amp;H$14&amp;"'!B2:B1000")=$B44) * (INDIRECT("'"&amp;H$14&amp;"'!C2:C1000")=$C44)
        ),
        5,
        FALSE
    )
)</f>
        <v>Enviado</v>
      </c>
      <c r="I44" s="100" t="str">
        <f t="array" aca="1" ref="I44" ca="1">IF(
    VLOOKUP(
        $A44,
        _xlfn._xlws.FILTER(
            INDIRECT("'"&amp;I$14&amp;"'!A2:E1000"), (INDIRECT("'"&amp;I$14&amp;"'!B2:B1000")=$B44) * (INDIRECT("'"&amp;I$14&amp;"'!C2:C1000")=$C44)
        ),
        5,
        FALSE
    )=0,
    "",
    VLOOKUP(
        $A44,
        _xlfn._xlws.FILTER(
            INDIRECT("'"&amp;I$14&amp;"'!A2:E1000"), (INDIRECT("'"&amp;I$14&amp;"'!B2:B1000")=$B44) * (INDIRECT("'"&amp;I$14&amp;"'!C2:C1000")=$C44)
        ),
        5,
        FALSE
    )
)</f>
        <v>Enviado</v>
      </c>
      <c r="J44" s="100" t="str">
        <f t="array" aca="1" ref="J44" ca="1">IF(
    VLOOKUP(
        $A44,
        _xlfn._xlws.FILTER(
            INDIRECT("'"&amp;J$14&amp;"'!A2:E1000"), (INDIRECT("'"&amp;J$14&amp;"'!B2:B1000")=$B44) * (INDIRECT("'"&amp;J$14&amp;"'!C2:C1000")=$C44)
        ),
        5,
        FALSE
    )=0,
    "",
    VLOOKUP(
        $A44,
        _xlfn._xlws.FILTER(
            INDIRECT("'"&amp;J$14&amp;"'!A2:E1000"), (INDIRECT("'"&amp;J$14&amp;"'!B2:B1000")=$B44) * (INDIRECT("'"&amp;J$14&amp;"'!C2:C1000")=$C44)
        ),
        5,
        FALSE
    )
)</f>
        <v>Enviado</v>
      </c>
      <c r="K44" s="100" t="str">
        <f t="array" aca="1" ref="K44" ca="1">IF(
    VLOOKUP(
        $A44,
        _xlfn._xlws.FILTER(
            INDIRECT("'"&amp;K$14&amp;"'!A2:E1000"), (INDIRECT("'"&amp;K$14&amp;"'!B2:B1000")=$B44) * (INDIRECT("'"&amp;K$14&amp;"'!C2:C1000")=$C44)
        ),
        5,
        FALSE
    )=0,
    "",
    VLOOKUP(
        $A44,
        _xlfn._xlws.FILTER(
            INDIRECT("'"&amp;K$14&amp;"'!A2:E1000"), (INDIRECT("'"&amp;K$14&amp;"'!B2:B1000")=$B44) * (INDIRECT("'"&amp;K$14&amp;"'!C2:C1000")=$C44)
        ),
        5,
        FALSE
    )
)</f>
        <v>Enviado</v>
      </c>
      <c r="L44" s="100" t="str">
        <f t="array" aca="1" ref="L44" ca="1">IF(
    VLOOKUP(
        $A44,
        _xlfn._xlws.FILTER(
            INDIRECT("'"&amp;L$14&amp;"'!A2:E1000"), (INDIRECT("'"&amp;L$14&amp;"'!B2:B1000")=$B44) * (INDIRECT("'"&amp;L$14&amp;"'!C2:C1000")=$C44)
        ),
        5,
        FALSE
    )=0,
    "",
    VLOOKUP(
        $A44,
        _xlfn._xlws.FILTER(
            INDIRECT("'"&amp;L$14&amp;"'!A2:E1000"), (INDIRECT("'"&amp;L$14&amp;"'!B2:B1000")=$B44) * (INDIRECT("'"&amp;L$14&amp;"'!C2:C1000")=$C44)
        ),
        5,
        FALSE
    )
)</f>
        <v>Enviado</v>
      </c>
      <c r="M44" s="100" t="str">
        <f t="array" aca="1" ref="M44" ca="1">IF(
    VLOOKUP(
        $A44,
        _xlfn._xlws.FILTER(
            INDIRECT("'"&amp;M$14&amp;"'!A2:E1000"), (INDIRECT("'"&amp;M$14&amp;"'!B2:B1000")=$B44) * (INDIRECT("'"&amp;M$14&amp;"'!C2:C1000")=$C44)
        ),
        5,
        FALSE
    )=0,
    "",
    VLOOKUP(
        $A44,
        _xlfn._xlws.FILTER(
            INDIRECT("'"&amp;M$14&amp;"'!A2:E1000"), (INDIRECT("'"&amp;M$14&amp;"'!B2:B1000")=$B44) * (INDIRECT("'"&amp;M$14&amp;"'!C2:C1000")=$C44)
        ),
        5,
        FALSE
    )
)</f>
        <v>Enviado</v>
      </c>
      <c r="N44" s="100" t="str">
        <f t="array" aca="1" ref="N44" ca="1">IF(
    VLOOKUP(
        $A44,
        _xlfn._xlws.FILTER(
            INDIRECT("'"&amp;N$14&amp;"'!A2:E1000"), (INDIRECT("'"&amp;N$14&amp;"'!B2:B1000")=$B44) * (INDIRECT("'"&amp;N$14&amp;"'!C2:C1000")=$C44)
        ),
        5,
        FALSE
    )=0,
    "",
    VLOOKUP(
        $A44,
        _xlfn._xlws.FILTER(
            INDIRECT("'"&amp;N$14&amp;"'!A2:E1000"), (INDIRECT("'"&amp;N$14&amp;"'!B2:B1000")=$B44) * (INDIRECT("'"&amp;N$14&amp;"'!C2:C1000")=$C44)
        ),
        5,
        FALSE
    )
)</f>
        <v>Enviado</v>
      </c>
      <c r="O44" s="100" t="str">
        <f t="array" aca="1" ref="O44" ca="1">IF(
    VLOOKUP(
        $A44,
        _xlfn._xlws.FILTER(
            INDIRECT("'"&amp;O$14&amp;"'!A2:E1000"), (INDIRECT("'"&amp;O$14&amp;"'!B2:B1000")=$B44) * (INDIRECT("'"&amp;O$14&amp;"'!C2:C1000")=$C44)
        ),
        5,
        FALSE
    )=0,
    "",
    VLOOKUP(
        $A44,
        _xlfn._xlws.FILTER(
            INDIRECT("'"&amp;O$14&amp;"'!A2:E1000"), (INDIRECT("'"&amp;O$14&amp;"'!B2:B1000")=$B44) * (INDIRECT("'"&amp;O$14&amp;"'!C2:C1000")=$C44)
        ),
        5,
        FALSE
    )
)</f>
        <v>Enviado</v>
      </c>
      <c r="P44" s="100" t="str">
        <f t="array" aca="1" ref="P44" ca="1">IF(
    VLOOKUP(
        $A44,
        _xlfn._xlws.FILTER(
            INDIRECT("'"&amp;P$14&amp;"'!A2:E1000"), (INDIRECT("'"&amp;P$14&amp;"'!B2:B1000")=$B44) * (INDIRECT("'"&amp;P$14&amp;"'!C2:C1000")=$C44)
        ),
        5,
        FALSE
    )=0,
    "",
    VLOOKUP(
        $A44,
        _xlfn._xlws.FILTER(
            INDIRECT("'"&amp;P$14&amp;"'!A2:E1000"), (INDIRECT("'"&amp;P$14&amp;"'!B2:B1000")=$B44) * (INDIRECT("'"&amp;P$14&amp;"'!C2:C1000")=$C44)
        ),
        5,
        FALSE
    )
)</f>
        <v>Atrasado</v>
      </c>
      <c r="Q44" s="100" t="str">
        <f t="array" aca="1" ref="Q44" ca="1">IF(
    VLOOKUP(
        $A44,
        _xlfn._xlws.FILTER(
            INDIRECT("'"&amp;Q$14&amp;"'!A2:E1000"), (INDIRECT("'"&amp;Q$14&amp;"'!B2:B1000")=$B44) * (INDIRECT("'"&amp;Q$14&amp;"'!C2:C1000")=$C44)
        ),
        5,
        FALSE
    )=0,
    "",
    VLOOKUP(
        $A44,
        _xlfn._xlws.FILTER(
            INDIRECT("'"&amp;Q$14&amp;"'!A2:E1000"), (INDIRECT("'"&amp;Q$14&amp;"'!B2:B1000")=$B44) * (INDIRECT("'"&amp;Q$14&amp;"'!C2:C1000")=$C44)
        ),
        5,
        FALSE
    )
)</f>
        <v/>
      </c>
    </row>
    <row r="45" spans="1:17" x14ac:dyDescent="0.25">
      <c r="A45" s="83" t="s">
        <v>40</v>
      </c>
      <c r="B45" s="79" t="s">
        <v>80</v>
      </c>
      <c r="C45" s="79">
        <v>5</v>
      </c>
      <c r="D45" s="100" t="str">
        <f t="array" aca="1" ref="D45" ca="1">IF(
    VLOOKUP(
        $A45,
        _xlfn._xlws.FILTER(
            INDIRECT("'"&amp;D$14&amp;"'!A2:E1000"), (INDIRECT("'"&amp;D$14&amp;"'!B2:B1000")=$B45) * (INDIRECT("'"&amp;D$14&amp;"'!C2:C1000")=$C45)
        ),
        5,
        FALSE
    )=0,
    "",
    VLOOKUP(
        $A45,
        _xlfn._xlws.FILTER(
            INDIRECT("'"&amp;D$14&amp;"'!A2:E1000"), (INDIRECT("'"&amp;D$14&amp;"'!B2:B1000")=$B45) * (INDIRECT("'"&amp;D$14&amp;"'!C2:C1000")=$C45)
        ),
        5,
        FALSE
    )
)</f>
        <v>Enviado</v>
      </c>
      <c r="E45" s="100" t="str">
        <f t="array" aca="1" ref="E45" ca="1">IF(
    VLOOKUP(
        $A45,
        _xlfn._xlws.FILTER(
            INDIRECT("'"&amp;E$14&amp;"'!A2:E1000"), (INDIRECT("'"&amp;E$14&amp;"'!B2:B1000")=$B45) * (INDIRECT("'"&amp;E$14&amp;"'!C2:C1000")=$C45)
        ),
        5,
        FALSE
    )=0,
    "",
    VLOOKUP(
        $A45,
        _xlfn._xlws.FILTER(
            INDIRECT("'"&amp;E$14&amp;"'!A2:E1000"), (INDIRECT("'"&amp;E$14&amp;"'!B2:B1000")=$B45) * (INDIRECT("'"&amp;E$14&amp;"'!C2:C1000")=$C45)
        ),
        5,
        FALSE
    )
)</f>
        <v>Enviado</v>
      </c>
      <c r="F45" s="100" t="str">
        <f t="array" aca="1" ref="F45" ca="1">IF(
    VLOOKUP(
        $A45,
        _xlfn._xlws.FILTER(
            INDIRECT("'"&amp;F$14&amp;"'!A2:E1000"), (INDIRECT("'"&amp;F$14&amp;"'!B2:B1000")=$B45) * (INDIRECT("'"&amp;F$14&amp;"'!C2:C1000")=$C45)
        ),
        5,
        FALSE
    )=0,
    "",
    VLOOKUP(
        $A45,
        _xlfn._xlws.FILTER(
            INDIRECT("'"&amp;F$14&amp;"'!A2:E1000"), (INDIRECT("'"&amp;F$14&amp;"'!B2:B1000")=$B45) * (INDIRECT("'"&amp;F$14&amp;"'!C2:C1000")=$C45)
        ),
        5,
        FALSE
    )
)</f>
        <v>Enviado</v>
      </c>
      <c r="G45" s="100" t="str">
        <f t="array" aca="1" ref="G45" ca="1">IF(
    VLOOKUP(
        $A45,
        _xlfn._xlws.FILTER(
            INDIRECT("'"&amp;G$14&amp;"'!A2:E1000"), (INDIRECT("'"&amp;G$14&amp;"'!B2:B1000")=$B45) * (INDIRECT("'"&amp;G$14&amp;"'!C2:C1000")=$C45)
        ),
        5,
        FALSE
    )=0,
    "",
    VLOOKUP(
        $A45,
        _xlfn._xlws.FILTER(
            INDIRECT("'"&amp;G$14&amp;"'!A2:E1000"), (INDIRECT("'"&amp;G$14&amp;"'!B2:B1000")=$B45) * (INDIRECT("'"&amp;G$14&amp;"'!C2:C1000")=$C45)
        ),
        5,
        FALSE
    )
)</f>
        <v>Enviado</v>
      </c>
      <c r="H45" s="100" t="str">
        <f t="array" aca="1" ref="H45" ca="1">IF(
    VLOOKUP(
        $A45,
        _xlfn._xlws.FILTER(
            INDIRECT("'"&amp;H$14&amp;"'!A2:E1000"), (INDIRECT("'"&amp;H$14&amp;"'!B2:B1000")=$B45) * (INDIRECT("'"&amp;H$14&amp;"'!C2:C1000")=$C45)
        ),
        5,
        FALSE
    )=0,
    "",
    VLOOKUP(
        $A45,
        _xlfn._xlws.FILTER(
            INDIRECT("'"&amp;H$14&amp;"'!A2:E1000"), (INDIRECT("'"&amp;H$14&amp;"'!B2:B1000")=$B45) * (INDIRECT("'"&amp;H$14&amp;"'!C2:C1000")=$C45)
        ),
        5,
        FALSE
    )
)</f>
        <v>Enviado</v>
      </c>
      <c r="I45" s="100" t="str">
        <f t="array" aca="1" ref="I45" ca="1">IF(
    VLOOKUP(
        $A45,
        _xlfn._xlws.FILTER(
            INDIRECT("'"&amp;I$14&amp;"'!A2:E1000"), (INDIRECT("'"&amp;I$14&amp;"'!B2:B1000")=$B45) * (INDIRECT("'"&amp;I$14&amp;"'!C2:C1000")=$C45)
        ),
        5,
        FALSE
    )=0,
    "",
    VLOOKUP(
        $A45,
        _xlfn._xlws.FILTER(
            INDIRECT("'"&amp;I$14&amp;"'!A2:E1000"), (INDIRECT("'"&amp;I$14&amp;"'!B2:B1000")=$B45) * (INDIRECT("'"&amp;I$14&amp;"'!C2:C1000")=$C45)
        ),
        5,
        FALSE
    )
)</f>
        <v>Enviado</v>
      </c>
      <c r="J45" s="100" t="str">
        <f t="array" aca="1" ref="J45" ca="1">IF(
    VLOOKUP(
        $A45,
        _xlfn._xlws.FILTER(
            INDIRECT("'"&amp;J$14&amp;"'!A2:E1000"), (INDIRECT("'"&amp;J$14&amp;"'!B2:B1000")=$B45) * (INDIRECT("'"&amp;J$14&amp;"'!C2:C1000")=$C45)
        ),
        5,
        FALSE
    )=0,
    "",
    VLOOKUP(
        $A45,
        _xlfn._xlws.FILTER(
            INDIRECT("'"&amp;J$14&amp;"'!A2:E1000"), (INDIRECT("'"&amp;J$14&amp;"'!B2:B1000")=$B45) * (INDIRECT("'"&amp;J$14&amp;"'!C2:C1000")=$C45)
        ),
        5,
        FALSE
    )
)</f>
        <v>Enviado</v>
      </c>
      <c r="K45" s="100" t="str">
        <f t="array" aca="1" ref="K45" ca="1">IF(
    VLOOKUP(
        $A45,
        _xlfn._xlws.FILTER(
            INDIRECT("'"&amp;K$14&amp;"'!A2:E1000"), (INDIRECT("'"&amp;K$14&amp;"'!B2:B1000")=$B45) * (INDIRECT("'"&amp;K$14&amp;"'!C2:C1000")=$C45)
        ),
        5,
        FALSE
    )=0,
    "",
    VLOOKUP(
        $A45,
        _xlfn._xlws.FILTER(
            INDIRECT("'"&amp;K$14&amp;"'!A2:E1000"), (INDIRECT("'"&amp;K$14&amp;"'!B2:B1000")=$B45) * (INDIRECT("'"&amp;K$14&amp;"'!C2:C1000")=$C45)
        ),
        5,
        FALSE
    )
)</f>
        <v>Enviado</v>
      </c>
      <c r="L45" s="100" t="str">
        <f t="array" aca="1" ref="L45" ca="1">IF(
    VLOOKUP(
        $A45,
        _xlfn._xlws.FILTER(
            INDIRECT("'"&amp;L$14&amp;"'!A2:E1000"), (INDIRECT("'"&amp;L$14&amp;"'!B2:B1000")=$B45) * (INDIRECT("'"&amp;L$14&amp;"'!C2:C1000")=$C45)
        ),
        5,
        FALSE
    )=0,
    "",
    VLOOKUP(
        $A45,
        _xlfn._xlws.FILTER(
            INDIRECT("'"&amp;L$14&amp;"'!A2:E1000"), (INDIRECT("'"&amp;L$14&amp;"'!B2:B1000")=$B45) * (INDIRECT("'"&amp;L$14&amp;"'!C2:C1000")=$C45)
        ),
        5,
        FALSE
    )
)</f>
        <v>Enviado</v>
      </c>
      <c r="M45" s="100" t="str">
        <f t="array" ref="M45" ca="1">IF(
    VLOOKUP(
        $A45,
        _xlfn._xlws.FILTER(
            INDIRECT("'"&amp;M$14&amp;"'!A2:E1000"), (INDIRECT("'"&amp;M$14&amp;"'!B2:B1000")=$B45) * (INDIRECT("'"&amp;M$14&amp;"'!C2:C1000")=$C45)
        ),
        5,
        FALSE
    )=0,
    "",
    VLOOKUP(
        $A45,
        _xlfn._xlws.FILTER(
            INDIRECT("'"&amp;M$14&amp;"'!A2:E1000"), (INDIRECT("'"&amp;M$14&amp;"'!B2:B1000")=$B45) * (INDIRECT("'"&amp;M$14&amp;"'!C2:C1000")=$C45)
        ),
        5,
        FALSE
    )
)</f>
        <v>Enviado</v>
      </c>
      <c r="N45" s="100" t="str">
        <f t="array" aca="1" ref="N45" ca="1">IF(
    VLOOKUP(
        $A45,
        _xlfn._xlws.FILTER(
            INDIRECT("'"&amp;N$14&amp;"'!A2:E1000"), (INDIRECT("'"&amp;N$14&amp;"'!B2:B1000")=$B45) * (INDIRECT("'"&amp;N$14&amp;"'!C2:C1000")=$C45)
        ),
        5,
        FALSE
    )=0,
    "",
    VLOOKUP(
        $A45,
        _xlfn._xlws.FILTER(
            INDIRECT("'"&amp;N$14&amp;"'!A2:E1000"), (INDIRECT("'"&amp;N$14&amp;"'!B2:B1000")=$B45) * (INDIRECT("'"&amp;N$14&amp;"'!C2:C1000")=$C45)
        ),
        5,
        FALSE
    )
)</f>
        <v>Enviado</v>
      </c>
      <c r="O45" s="100" t="str">
        <f t="array" aca="1" ref="O45" ca="1">IF(
    VLOOKUP(
        $A45,
        _xlfn._xlws.FILTER(
            INDIRECT("'"&amp;O$14&amp;"'!A2:E1000"), (INDIRECT("'"&amp;O$14&amp;"'!B2:B1000")=$B45) * (INDIRECT("'"&amp;O$14&amp;"'!C2:C1000")=$C45)
        ),
        5,
        FALSE
    )=0,
    "",
    VLOOKUP(
        $A45,
        _xlfn._xlws.FILTER(
            INDIRECT("'"&amp;O$14&amp;"'!A2:E1000"), (INDIRECT("'"&amp;O$14&amp;"'!B2:B1000")=$B45) * (INDIRECT("'"&amp;O$14&amp;"'!C2:C1000")=$C45)
        ),
        5,
        FALSE
    )
)</f>
        <v>Enviado</v>
      </c>
      <c r="P45" s="100" t="str">
        <f t="array" aca="1" ref="P45" ca="1">IF(
    VLOOKUP(
        $A45,
        _xlfn._xlws.FILTER(
            INDIRECT("'"&amp;P$14&amp;"'!A2:E1000"), (INDIRECT("'"&amp;P$14&amp;"'!B2:B1000")=$B45) * (INDIRECT("'"&amp;P$14&amp;"'!C2:C1000")=$C45)
        ),
        5,
        FALSE
    )=0,
    "",
    VLOOKUP(
        $A45,
        _xlfn._xlws.FILTER(
            INDIRECT("'"&amp;P$14&amp;"'!A2:E1000"), (INDIRECT("'"&amp;P$14&amp;"'!B2:B1000")=$B45) * (INDIRECT("'"&amp;P$14&amp;"'!C2:C1000")=$C45)
        ),
        5,
        FALSE
    )
)</f>
        <v>Atrasado</v>
      </c>
      <c r="Q45" s="100" t="str">
        <f t="array" aca="1" ref="Q45" ca="1">IF(
    VLOOKUP(
        $A45,
        _xlfn._xlws.FILTER(
            INDIRECT("'"&amp;Q$14&amp;"'!A2:E1000"), (INDIRECT("'"&amp;Q$14&amp;"'!B2:B1000")=$B45) * (INDIRECT("'"&amp;Q$14&amp;"'!C2:C1000")=$C45)
        ),
        5,
        FALSE
    )=0,
    "",
    VLOOKUP(
        $A45,
        _xlfn._xlws.FILTER(
            INDIRECT("'"&amp;Q$14&amp;"'!A2:E1000"), (INDIRECT("'"&amp;Q$14&amp;"'!B2:B1000")=$B45) * (INDIRECT("'"&amp;Q$14&amp;"'!C2:C1000")=$C45)
        ),
        5,
        FALSE
    )
)</f>
        <v/>
      </c>
    </row>
    <row r="46" spans="1:17" x14ac:dyDescent="0.25">
      <c r="A46" s="83" t="s">
        <v>40</v>
      </c>
      <c r="B46" s="79" t="s">
        <v>80</v>
      </c>
      <c r="C46" s="79">
        <v>6</v>
      </c>
      <c r="D46" s="100" t="str">
        <f t="array" aca="1" ref="D46" ca="1">IF(
    VLOOKUP(
        $A46,
        _xlfn._xlws.FILTER(
            INDIRECT("'"&amp;D$14&amp;"'!A2:E1000"), (INDIRECT("'"&amp;D$14&amp;"'!B2:B1000")=$B46) * (INDIRECT("'"&amp;D$14&amp;"'!C2:C1000")=$C46)
        ),
        5,
        FALSE
    )=0,
    "",
    VLOOKUP(
        $A46,
        _xlfn._xlws.FILTER(
            INDIRECT("'"&amp;D$14&amp;"'!A2:E1000"), (INDIRECT("'"&amp;D$14&amp;"'!B2:B1000")=$B46) * (INDIRECT("'"&amp;D$14&amp;"'!C2:C1000")=$C46)
        ),
        5,
        FALSE
    )
)</f>
        <v>Enviado</v>
      </c>
      <c r="E46" s="100" t="str">
        <f t="array" aca="1" ref="E46" ca="1">IF(
    VLOOKUP(
        $A46,
        _xlfn._xlws.FILTER(
            INDIRECT("'"&amp;E$14&amp;"'!A2:E1000"), (INDIRECT("'"&amp;E$14&amp;"'!B2:B1000")=$B46) * (INDIRECT("'"&amp;E$14&amp;"'!C2:C1000")=$C46)
        ),
        5,
        FALSE
    )=0,
    "",
    VLOOKUP(
        $A46,
        _xlfn._xlws.FILTER(
            INDIRECT("'"&amp;E$14&amp;"'!A2:E1000"), (INDIRECT("'"&amp;E$14&amp;"'!B2:B1000")=$B46) * (INDIRECT("'"&amp;E$14&amp;"'!C2:C1000")=$C46)
        ),
        5,
        FALSE
    )
)</f>
        <v>Enviado</v>
      </c>
      <c r="F46" s="100" t="str">
        <f t="array" aca="1" ref="F46" ca="1">IF(
    VLOOKUP(
        $A46,
        _xlfn._xlws.FILTER(
            INDIRECT("'"&amp;F$14&amp;"'!A2:E1000"), (INDIRECT("'"&amp;F$14&amp;"'!B2:B1000")=$B46) * (INDIRECT("'"&amp;F$14&amp;"'!C2:C1000")=$C46)
        ),
        5,
        FALSE
    )=0,
    "",
    VLOOKUP(
        $A46,
        _xlfn._xlws.FILTER(
            INDIRECT("'"&amp;F$14&amp;"'!A2:E1000"), (INDIRECT("'"&amp;F$14&amp;"'!B2:B1000")=$B46) * (INDIRECT("'"&amp;F$14&amp;"'!C2:C1000")=$C46)
        ),
        5,
        FALSE
    )
)</f>
        <v>Enviado</v>
      </c>
      <c r="G46" s="100" t="str">
        <f t="array" aca="1" ref="G46" ca="1">IF(
    VLOOKUP(
        $A46,
        _xlfn._xlws.FILTER(
            INDIRECT("'"&amp;G$14&amp;"'!A2:E1000"), (INDIRECT("'"&amp;G$14&amp;"'!B2:B1000")=$B46) * (INDIRECT("'"&amp;G$14&amp;"'!C2:C1000")=$C46)
        ),
        5,
        FALSE
    )=0,
    "",
    VLOOKUP(
        $A46,
        _xlfn._xlws.FILTER(
            INDIRECT("'"&amp;G$14&amp;"'!A2:E1000"), (INDIRECT("'"&amp;G$14&amp;"'!B2:B1000")=$B46) * (INDIRECT("'"&amp;G$14&amp;"'!C2:C1000")=$C46)
        ),
        5,
        FALSE
    )
)</f>
        <v>Enviado</v>
      </c>
      <c r="H46" s="100" t="str">
        <f t="array" aca="1" ref="H46" ca="1">IF(
    VLOOKUP(
        $A46,
        _xlfn._xlws.FILTER(
            INDIRECT("'"&amp;H$14&amp;"'!A2:E1000"), (INDIRECT("'"&amp;H$14&amp;"'!B2:B1000")=$B46) * (INDIRECT("'"&amp;H$14&amp;"'!C2:C1000")=$C46)
        ),
        5,
        FALSE
    )=0,
    "",
    VLOOKUP(
        $A46,
        _xlfn._xlws.FILTER(
            INDIRECT("'"&amp;H$14&amp;"'!A2:E1000"), (INDIRECT("'"&amp;H$14&amp;"'!B2:B1000")=$B46) * (INDIRECT("'"&amp;H$14&amp;"'!C2:C1000")=$C46)
        ),
        5,
        FALSE
    )
)</f>
        <v>Enviado</v>
      </c>
      <c r="I46" s="100" t="str">
        <f t="array" aca="1" ref="I46" ca="1">IF(
    VLOOKUP(
        $A46,
        _xlfn._xlws.FILTER(
            INDIRECT("'"&amp;I$14&amp;"'!A2:E1000"), (INDIRECT("'"&amp;I$14&amp;"'!B2:B1000")=$B46) * (INDIRECT("'"&amp;I$14&amp;"'!C2:C1000")=$C46)
        ),
        5,
        FALSE
    )=0,
    "",
    VLOOKUP(
        $A46,
        _xlfn._xlws.FILTER(
            INDIRECT("'"&amp;I$14&amp;"'!A2:E1000"), (INDIRECT("'"&amp;I$14&amp;"'!B2:B1000")=$B46) * (INDIRECT("'"&amp;I$14&amp;"'!C2:C1000")=$C46)
        ),
        5,
        FALSE
    )
)</f>
        <v>Enviado</v>
      </c>
      <c r="J46" s="100" t="str">
        <f t="array" aca="1" ref="J46" ca="1">IF(
    VLOOKUP(
        $A46,
        _xlfn._xlws.FILTER(
            INDIRECT("'"&amp;J$14&amp;"'!A2:E1000"), (INDIRECT("'"&amp;J$14&amp;"'!B2:B1000")=$B46) * (INDIRECT("'"&amp;J$14&amp;"'!C2:C1000")=$C46)
        ),
        5,
        FALSE
    )=0,
    "",
    VLOOKUP(
        $A46,
        _xlfn._xlws.FILTER(
            INDIRECT("'"&amp;J$14&amp;"'!A2:E1000"), (INDIRECT("'"&amp;J$14&amp;"'!B2:B1000")=$B46) * (INDIRECT("'"&amp;J$14&amp;"'!C2:C1000")=$C46)
        ),
        5,
        FALSE
    )
)</f>
        <v>Enviado</v>
      </c>
      <c r="K46" s="100" t="str">
        <f t="array" aca="1" ref="K46" ca="1">IF(
    VLOOKUP(
        $A46,
        _xlfn._xlws.FILTER(
            INDIRECT("'"&amp;K$14&amp;"'!A2:E1000"), (INDIRECT("'"&amp;K$14&amp;"'!B2:B1000")=$B46) * (INDIRECT("'"&amp;K$14&amp;"'!C2:C1000")=$C46)
        ),
        5,
        FALSE
    )=0,
    "",
    VLOOKUP(
        $A46,
        _xlfn._xlws.FILTER(
            INDIRECT("'"&amp;K$14&amp;"'!A2:E1000"), (INDIRECT("'"&amp;K$14&amp;"'!B2:B1000")=$B46) * (INDIRECT("'"&amp;K$14&amp;"'!C2:C1000")=$C46)
        ),
        5,
        FALSE
    )
)</f>
        <v>Enviado</v>
      </c>
      <c r="L46" s="100" t="str">
        <f t="array" aca="1" ref="L46" ca="1">IF(
    VLOOKUP(
        $A46,
        _xlfn._xlws.FILTER(
            INDIRECT("'"&amp;L$14&amp;"'!A2:E1000"), (INDIRECT("'"&amp;L$14&amp;"'!B2:B1000")=$B46) * (INDIRECT("'"&amp;L$14&amp;"'!C2:C1000")=$C46)
        ),
        5,
        FALSE
    )=0,
    "",
    VLOOKUP(
        $A46,
        _xlfn._xlws.FILTER(
            INDIRECT("'"&amp;L$14&amp;"'!A2:E1000"), (INDIRECT("'"&amp;L$14&amp;"'!B2:B1000")=$B46) * (INDIRECT("'"&amp;L$14&amp;"'!C2:C1000")=$C46)
        ),
        5,
        FALSE
    )
)</f>
        <v>Enviado</v>
      </c>
      <c r="M46" s="100" t="str">
        <f t="array" aca="1" ref="M46" ca="1">IF(
    VLOOKUP(
        $A46,
        _xlfn._xlws.FILTER(
            INDIRECT("'"&amp;M$14&amp;"'!A2:E1000"), (INDIRECT("'"&amp;M$14&amp;"'!B2:B1000")=$B46) * (INDIRECT("'"&amp;M$14&amp;"'!C2:C1000")=$C46)
        ),
        5,
        FALSE
    )=0,
    "",
    VLOOKUP(
        $A46,
        _xlfn._xlws.FILTER(
            INDIRECT("'"&amp;M$14&amp;"'!A2:E1000"), (INDIRECT("'"&amp;M$14&amp;"'!B2:B1000")=$B46) * (INDIRECT("'"&amp;M$14&amp;"'!C2:C1000")=$C46)
        ),
        5,
        FALSE
    )
)</f>
        <v>Enviado</v>
      </c>
      <c r="N46" s="100" t="str">
        <f t="array" ref="N46" ca="1">IF(
    VLOOKUP(
        $A46,
        _xlfn._xlws.FILTER(
            INDIRECT("'"&amp;N$14&amp;"'!A2:E1000"), (INDIRECT("'"&amp;N$14&amp;"'!B2:B1000")=$B46) * (INDIRECT("'"&amp;N$14&amp;"'!C2:C1000")=$C46)
        ),
        5,
        FALSE
    )=0,
    "",
    VLOOKUP(
        $A46,
        _xlfn._xlws.FILTER(
            INDIRECT("'"&amp;N$14&amp;"'!A2:E1000"), (INDIRECT("'"&amp;N$14&amp;"'!B2:B1000")=$B46) * (INDIRECT("'"&amp;N$14&amp;"'!C2:C1000")=$C46)
        ),
        5,
        FALSE
    )
)</f>
        <v>Enviado</v>
      </c>
      <c r="O46" s="100" t="str">
        <f t="array" aca="1" ref="O46" ca="1">IF(
    VLOOKUP(
        $A46,
        _xlfn._xlws.FILTER(
            INDIRECT("'"&amp;O$14&amp;"'!A2:E1000"), (INDIRECT("'"&amp;O$14&amp;"'!B2:B1000")=$B46) * (INDIRECT("'"&amp;O$14&amp;"'!C2:C1000")=$C46)
        ),
        5,
        FALSE
    )=0,
    "",
    VLOOKUP(
        $A46,
        _xlfn._xlws.FILTER(
            INDIRECT("'"&amp;O$14&amp;"'!A2:E1000"), (INDIRECT("'"&amp;O$14&amp;"'!B2:B1000")=$B46) * (INDIRECT("'"&amp;O$14&amp;"'!C2:C1000")=$C46)
        ),
        5,
        FALSE
    )
)</f>
        <v>Enviado</v>
      </c>
      <c r="P46" s="100" t="str">
        <f t="array" aca="1" ref="P46" ca="1">IF(
    VLOOKUP(
        $A46,
        _xlfn._xlws.FILTER(
            INDIRECT("'"&amp;P$14&amp;"'!A2:E1000"), (INDIRECT("'"&amp;P$14&amp;"'!B2:B1000")=$B46) * (INDIRECT("'"&amp;P$14&amp;"'!C2:C1000")=$C46)
        ),
        5,
        FALSE
    )=0,
    "",
    VLOOKUP(
        $A46,
        _xlfn._xlws.FILTER(
            INDIRECT("'"&amp;P$14&amp;"'!A2:E1000"), (INDIRECT("'"&amp;P$14&amp;"'!B2:B1000")=$B46) * (INDIRECT("'"&amp;P$14&amp;"'!C2:C1000")=$C46)
        ),
        5,
        FALSE
    )
)</f>
        <v>Atrasado</v>
      </c>
      <c r="Q46" s="100" t="str">
        <f t="array" aca="1" ref="Q46" ca="1">IF(
    VLOOKUP(
        $A46,
        _xlfn._xlws.FILTER(
            INDIRECT("'"&amp;Q$14&amp;"'!A2:E1000"), (INDIRECT("'"&amp;Q$14&amp;"'!B2:B1000")=$B46) * (INDIRECT("'"&amp;Q$14&amp;"'!C2:C1000")=$C46)
        ),
        5,
        FALSE
    )=0,
    "",
    VLOOKUP(
        $A46,
        _xlfn._xlws.FILTER(
            INDIRECT("'"&amp;Q$14&amp;"'!A2:E1000"), (INDIRECT("'"&amp;Q$14&amp;"'!B2:B1000")=$B46) * (INDIRECT("'"&amp;Q$14&amp;"'!C2:C1000")=$C46)
        ),
        5,
        FALSE
    )
)</f>
        <v/>
      </c>
    </row>
    <row r="47" spans="1:17" x14ac:dyDescent="0.25">
      <c r="A47" s="83" t="s">
        <v>40</v>
      </c>
      <c r="B47" s="79" t="s">
        <v>80</v>
      </c>
      <c r="C47" s="79">
        <v>7</v>
      </c>
      <c r="D47" s="100" t="str">
        <f t="array" aca="1" ref="D47" ca="1">IF(
    VLOOKUP(
        $A47,
        _xlfn._xlws.FILTER(
            INDIRECT("'"&amp;D$14&amp;"'!A2:E1000"), (INDIRECT("'"&amp;D$14&amp;"'!B2:B1000")=$B47) * (INDIRECT("'"&amp;D$14&amp;"'!C2:C1000")=$C47)
        ),
        5,
        FALSE
    )=0,
    "",
    VLOOKUP(
        $A47,
        _xlfn._xlws.FILTER(
            INDIRECT("'"&amp;D$14&amp;"'!A2:E1000"), (INDIRECT("'"&amp;D$14&amp;"'!B2:B1000")=$B47) * (INDIRECT("'"&amp;D$14&amp;"'!C2:C1000")=$C47)
        ),
        5,
        FALSE
    )
)</f>
        <v>Enviado</v>
      </c>
      <c r="E47" s="100" t="str">
        <f t="array" aca="1" ref="E47" ca="1">IF(
    VLOOKUP(
        $A47,
        _xlfn._xlws.FILTER(
            INDIRECT("'"&amp;E$14&amp;"'!A2:E1000"), (INDIRECT("'"&amp;E$14&amp;"'!B2:B1000")=$B47) * (INDIRECT("'"&amp;E$14&amp;"'!C2:C1000")=$C47)
        ),
        5,
        FALSE
    )=0,
    "",
    VLOOKUP(
        $A47,
        _xlfn._xlws.FILTER(
            INDIRECT("'"&amp;E$14&amp;"'!A2:E1000"), (INDIRECT("'"&amp;E$14&amp;"'!B2:B1000")=$B47) * (INDIRECT("'"&amp;E$14&amp;"'!C2:C1000")=$C47)
        ),
        5,
        FALSE
    )
)</f>
        <v>Enviado</v>
      </c>
      <c r="F47" s="100" t="str">
        <f t="array" aca="1" ref="F47" ca="1">IF(
    VLOOKUP(
        $A47,
        _xlfn._xlws.FILTER(
            INDIRECT("'"&amp;F$14&amp;"'!A2:E1000"), (INDIRECT("'"&amp;F$14&amp;"'!B2:B1000")=$B47) * (INDIRECT("'"&amp;F$14&amp;"'!C2:C1000")=$C47)
        ),
        5,
        FALSE
    )=0,
    "",
    VLOOKUP(
        $A47,
        _xlfn._xlws.FILTER(
            INDIRECT("'"&amp;F$14&amp;"'!A2:E1000"), (INDIRECT("'"&amp;F$14&amp;"'!B2:B1000")=$B47) * (INDIRECT("'"&amp;F$14&amp;"'!C2:C1000")=$C47)
        ),
        5,
        FALSE
    )
)</f>
        <v>Enviado</v>
      </c>
      <c r="G47" s="100" t="str">
        <f t="array" aca="1" ref="G47" ca="1">IF(
    VLOOKUP(
        $A47,
        _xlfn._xlws.FILTER(
            INDIRECT("'"&amp;G$14&amp;"'!A2:E1000"), (INDIRECT("'"&amp;G$14&amp;"'!B2:B1000")=$B47) * (INDIRECT("'"&amp;G$14&amp;"'!C2:C1000")=$C47)
        ),
        5,
        FALSE
    )=0,
    "",
    VLOOKUP(
        $A47,
        _xlfn._xlws.FILTER(
            INDIRECT("'"&amp;G$14&amp;"'!A2:E1000"), (INDIRECT("'"&amp;G$14&amp;"'!B2:B1000")=$B47) * (INDIRECT("'"&amp;G$14&amp;"'!C2:C1000")=$C47)
        ),
        5,
        FALSE
    )
)</f>
        <v>Enviado</v>
      </c>
      <c r="H47" s="100" t="str">
        <f t="array" aca="1" ref="H47" ca="1">IF(
    VLOOKUP(
        $A47,
        _xlfn._xlws.FILTER(
            INDIRECT("'"&amp;H$14&amp;"'!A2:E1000"), (INDIRECT("'"&amp;H$14&amp;"'!B2:B1000")=$B47) * (INDIRECT("'"&amp;H$14&amp;"'!C2:C1000")=$C47)
        ),
        5,
        FALSE
    )=0,
    "",
    VLOOKUP(
        $A47,
        _xlfn._xlws.FILTER(
            INDIRECT("'"&amp;H$14&amp;"'!A2:E1000"), (INDIRECT("'"&amp;H$14&amp;"'!B2:B1000")=$B47) * (INDIRECT("'"&amp;H$14&amp;"'!C2:C1000")=$C47)
        ),
        5,
        FALSE
    )
)</f>
        <v>Enviado</v>
      </c>
      <c r="I47" s="100" t="str">
        <f t="array" aca="1" ref="I47" ca="1">IF(
    VLOOKUP(
        $A47,
        _xlfn._xlws.FILTER(
            INDIRECT("'"&amp;I$14&amp;"'!A2:E1000"), (INDIRECT("'"&amp;I$14&amp;"'!B2:B1000")=$B47) * (INDIRECT("'"&amp;I$14&amp;"'!C2:C1000")=$C47)
        ),
        5,
        FALSE
    )=0,
    "",
    VLOOKUP(
        $A47,
        _xlfn._xlws.FILTER(
            INDIRECT("'"&amp;I$14&amp;"'!A2:E1000"), (INDIRECT("'"&amp;I$14&amp;"'!B2:B1000")=$B47) * (INDIRECT("'"&amp;I$14&amp;"'!C2:C1000")=$C47)
        ),
        5,
        FALSE
    )
)</f>
        <v>Enviado</v>
      </c>
      <c r="J47" s="100" t="str">
        <f t="array" aca="1" ref="J47" ca="1">IF(
    VLOOKUP(
        $A47,
        _xlfn._xlws.FILTER(
            INDIRECT("'"&amp;J$14&amp;"'!A2:E1000"), (INDIRECT("'"&amp;J$14&amp;"'!B2:B1000")=$B47) * (INDIRECT("'"&amp;J$14&amp;"'!C2:C1000")=$C47)
        ),
        5,
        FALSE
    )=0,
    "",
    VLOOKUP(
        $A47,
        _xlfn._xlws.FILTER(
            INDIRECT("'"&amp;J$14&amp;"'!A2:E1000"), (INDIRECT("'"&amp;J$14&amp;"'!B2:B1000")=$B47) * (INDIRECT("'"&amp;J$14&amp;"'!C2:C1000")=$C47)
        ),
        5,
        FALSE
    )
)</f>
        <v>Enviado</v>
      </c>
      <c r="K47" s="100" t="str">
        <f t="array" aca="1" ref="K47" ca="1">IF(
    VLOOKUP(
        $A47,
        _xlfn._xlws.FILTER(
            INDIRECT("'"&amp;K$14&amp;"'!A2:E1000"), (INDIRECT("'"&amp;K$14&amp;"'!B2:B1000")=$B47) * (INDIRECT("'"&amp;K$14&amp;"'!C2:C1000")=$C47)
        ),
        5,
        FALSE
    )=0,
    "",
    VLOOKUP(
        $A47,
        _xlfn._xlws.FILTER(
            INDIRECT("'"&amp;K$14&amp;"'!A2:E1000"), (INDIRECT("'"&amp;K$14&amp;"'!B2:B1000")=$B47) * (INDIRECT("'"&amp;K$14&amp;"'!C2:C1000")=$C47)
        ),
        5,
        FALSE
    )
)</f>
        <v>Enviado</v>
      </c>
      <c r="L47" s="100" t="str">
        <f t="array" aca="1" ref="L47" ca="1">IF(
    VLOOKUP(
        $A47,
        _xlfn._xlws.FILTER(
            INDIRECT("'"&amp;L$14&amp;"'!A2:E1000"), (INDIRECT("'"&amp;L$14&amp;"'!B2:B1000")=$B47) * (INDIRECT("'"&amp;L$14&amp;"'!C2:C1000")=$C47)
        ),
        5,
        FALSE
    )=0,
    "",
    VLOOKUP(
        $A47,
        _xlfn._xlws.FILTER(
            INDIRECT("'"&amp;L$14&amp;"'!A2:E1000"), (INDIRECT("'"&amp;L$14&amp;"'!B2:B1000")=$B47) * (INDIRECT("'"&amp;L$14&amp;"'!C2:C1000")=$C47)
        ),
        5,
        FALSE
    )
)</f>
        <v>Enviado</v>
      </c>
      <c r="M47" s="100" t="str">
        <f t="array" aca="1" ref="M47" ca="1">IF(
    VLOOKUP(
        $A47,
        _xlfn._xlws.FILTER(
            INDIRECT("'"&amp;M$14&amp;"'!A2:E1000"), (INDIRECT("'"&amp;M$14&amp;"'!B2:B1000")=$B47) * (INDIRECT("'"&amp;M$14&amp;"'!C2:C1000")=$C47)
        ),
        5,
        FALSE
    )=0,
    "",
    VLOOKUP(
        $A47,
        _xlfn._xlws.FILTER(
            INDIRECT("'"&amp;M$14&amp;"'!A2:E1000"), (INDIRECT("'"&amp;M$14&amp;"'!B2:B1000")=$B47) * (INDIRECT("'"&amp;M$14&amp;"'!C2:C1000")=$C47)
        ),
        5,
        FALSE
    )
)</f>
        <v>Enviado</v>
      </c>
      <c r="N47" s="100" t="str">
        <f t="array" aca="1" ref="N47" ca="1">IF(
    VLOOKUP(
        $A47,
        _xlfn._xlws.FILTER(
            INDIRECT("'"&amp;N$14&amp;"'!A2:E1000"), (INDIRECT("'"&amp;N$14&amp;"'!B2:B1000")=$B47) * (INDIRECT("'"&amp;N$14&amp;"'!C2:C1000")=$C47)
        ),
        5,
        FALSE
    )=0,
    "",
    VLOOKUP(
        $A47,
        _xlfn._xlws.FILTER(
            INDIRECT("'"&amp;N$14&amp;"'!A2:E1000"), (INDIRECT("'"&amp;N$14&amp;"'!B2:B1000")=$B47) * (INDIRECT("'"&amp;N$14&amp;"'!C2:C1000")=$C47)
        ),
        5,
        FALSE
    )
)</f>
        <v>Enviado</v>
      </c>
      <c r="O47" s="100" t="str">
        <f t="array" aca="1" ref="O47" ca="1">IF(
    VLOOKUP(
        $A47,
        _xlfn._xlws.FILTER(
            INDIRECT("'"&amp;O$14&amp;"'!A2:E1000"), (INDIRECT("'"&amp;O$14&amp;"'!B2:B1000")=$B47) * (INDIRECT("'"&amp;O$14&amp;"'!C2:C1000")=$C47)
        ),
        5,
        FALSE
    )=0,
    "",
    VLOOKUP(
        $A47,
        _xlfn._xlws.FILTER(
            INDIRECT("'"&amp;O$14&amp;"'!A2:E1000"), (INDIRECT("'"&amp;O$14&amp;"'!B2:B1000")=$B47) * (INDIRECT("'"&amp;O$14&amp;"'!C2:C1000")=$C47)
        ),
        5,
        FALSE
    )
)</f>
        <v>Enviado</v>
      </c>
      <c r="P47" s="100" t="str">
        <f t="array" aca="1" ref="P47" ca="1">IF(
    VLOOKUP(
        $A47,
        _xlfn._xlws.FILTER(
            INDIRECT("'"&amp;P$14&amp;"'!A2:E1000"), (INDIRECT("'"&amp;P$14&amp;"'!B2:B1000")=$B47) * (INDIRECT("'"&amp;P$14&amp;"'!C2:C1000")=$C47)
        ),
        5,
        FALSE
    )=0,
    "",
    VLOOKUP(
        $A47,
        _xlfn._xlws.FILTER(
            INDIRECT("'"&amp;P$14&amp;"'!A2:E1000"), (INDIRECT("'"&amp;P$14&amp;"'!B2:B1000")=$B47) * (INDIRECT("'"&amp;P$14&amp;"'!C2:C1000")=$C47)
        ),
        5,
        FALSE
    )
)</f>
        <v>Enviado</v>
      </c>
      <c r="Q47" s="100" t="str">
        <f t="array" ref="Q47" ca="1">IF(
    VLOOKUP(
        $A47,
        _xlfn._xlws.FILTER(
            INDIRECT("'"&amp;Q$14&amp;"'!A2:E1000"), (INDIRECT("'"&amp;Q$14&amp;"'!B2:B1000")=$B47) * (INDIRECT("'"&amp;Q$14&amp;"'!C2:C1000")=$C47)
        ),
        5,
        FALSE
    )=0,
    "",
    VLOOKUP(
        $A47,
        _xlfn._xlws.FILTER(
            INDIRECT("'"&amp;Q$14&amp;"'!A2:E1000"), (INDIRECT("'"&amp;Q$14&amp;"'!B2:B1000")=$B47) * (INDIRECT("'"&amp;Q$14&amp;"'!C2:C1000")=$C47)
        ),
        5,
        FALSE
    )
)</f>
        <v/>
      </c>
    </row>
    <row r="48" spans="1:17" x14ac:dyDescent="0.25">
      <c r="A48" s="83" t="s">
        <v>40</v>
      </c>
      <c r="B48" s="79" t="s">
        <v>80</v>
      </c>
      <c r="C48" s="79">
        <v>8</v>
      </c>
      <c r="D48" s="100" t="str">
        <f t="array" aca="1" ref="D48" ca="1">IF(
    VLOOKUP(
        $A48,
        _xlfn._xlws.FILTER(
            INDIRECT("'"&amp;D$14&amp;"'!A2:E1000"), (INDIRECT("'"&amp;D$14&amp;"'!B2:B1000")=$B48) * (INDIRECT("'"&amp;D$14&amp;"'!C2:C1000")=$C48)
        ),
        5,
        FALSE
    )=0,
    "",
    VLOOKUP(
        $A48,
        _xlfn._xlws.FILTER(
            INDIRECT("'"&amp;D$14&amp;"'!A2:E1000"), (INDIRECT("'"&amp;D$14&amp;"'!B2:B1000")=$B48) * (INDIRECT("'"&amp;D$14&amp;"'!C2:C1000")=$C48)
        ),
        5,
        FALSE
    )
)</f>
        <v>Enviado</v>
      </c>
      <c r="E48" s="100" t="str">
        <f t="array" aca="1" ref="E48" ca="1">IF(
    VLOOKUP(
        $A48,
        _xlfn._xlws.FILTER(
            INDIRECT("'"&amp;E$14&amp;"'!A2:E1000"), (INDIRECT("'"&amp;E$14&amp;"'!B2:B1000")=$B48) * (INDIRECT("'"&amp;E$14&amp;"'!C2:C1000")=$C48)
        ),
        5,
        FALSE
    )=0,
    "",
    VLOOKUP(
        $A48,
        _xlfn._xlws.FILTER(
            INDIRECT("'"&amp;E$14&amp;"'!A2:E1000"), (INDIRECT("'"&amp;E$14&amp;"'!B2:B1000")=$B48) * (INDIRECT("'"&amp;E$14&amp;"'!C2:C1000")=$C48)
        ),
        5,
        FALSE
    )
)</f>
        <v>Enviado</v>
      </c>
      <c r="F48" s="100" t="str">
        <f t="array" aca="1" ref="F48" ca="1">IF(
    VLOOKUP(
        $A48,
        _xlfn._xlws.FILTER(
            INDIRECT("'"&amp;F$14&amp;"'!A2:E1000"), (INDIRECT("'"&amp;F$14&amp;"'!B2:B1000")=$B48) * (INDIRECT("'"&amp;F$14&amp;"'!C2:C1000")=$C48)
        ),
        5,
        FALSE
    )=0,
    "",
    VLOOKUP(
        $A48,
        _xlfn._xlws.FILTER(
            INDIRECT("'"&amp;F$14&amp;"'!A2:E1000"), (INDIRECT("'"&amp;F$14&amp;"'!B2:B1000")=$B48) * (INDIRECT("'"&amp;F$14&amp;"'!C2:C1000")=$C48)
        ),
        5,
        FALSE
    )
)</f>
        <v>Enviado</v>
      </c>
      <c r="G48" s="100" t="str">
        <f t="array" aca="1" ref="G48" ca="1">IF(
    VLOOKUP(
        $A48,
        _xlfn._xlws.FILTER(
            INDIRECT("'"&amp;G$14&amp;"'!A2:E1000"), (INDIRECT("'"&amp;G$14&amp;"'!B2:B1000")=$B48) * (INDIRECT("'"&amp;G$14&amp;"'!C2:C1000")=$C48)
        ),
        5,
        FALSE
    )=0,
    "",
    VLOOKUP(
        $A48,
        _xlfn._xlws.FILTER(
            INDIRECT("'"&amp;G$14&amp;"'!A2:E1000"), (INDIRECT("'"&amp;G$14&amp;"'!B2:B1000")=$B48) * (INDIRECT("'"&amp;G$14&amp;"'!C2:C1000")=$C48)
        ),
        5,
        FALSE
    )
)</f>
        <v>Enviado</v>
      </c>
      <c r="H48" s="100" t="str">
        <f t="array" aca="1" ref="H48" ca="1">IF(
    VLOOKUP(
        $A48,
        _xlfn._xlws.FILTER(
            INDIRECT("'"&amp;H$14&amp;"'!A2:E1000"), (INDIRECT("'"&amp;H$14&amp;"'!B2:B1000")=$B48) * (INDIRECT("'"&amp;H$14&amp;"'!C2:C1000")=$C48)
        ),
        5,
        FALSE
    )=0,
    "",
    VLOOKUP(
        $A48,
        _xlfn._xlws.FILTER(
            INDIRECT("'"&amp;H$14&amp;"'!A2:E1000"), (INDIRECT("'"&amp;H$14&amp;"'!B2:B1000")=$B48) * (INDIRECT("'"&amp;H$14&amp;"'!C2:C1000")=$C48)
        ),
        5,
        FALSE
    )
)</f>
        <v>Enviado</v>
      </c>
      <c r="I48" s="100" t="str">
        <f t="array" aca="1" ref="I48" ca="1">IF(
    VLOOKUP(
        $A48,
        _xlfn._xlws.FILTER(
            INDIRECT("'"&amp;I$14&amp;"'!A2:E1000"), (INDIRECT("'"&amp;I$14&amp;"'!B2:B1000")=$B48) * (INDIRECT("'"&amp;I$14&amp;"'!C2:C1000")=$C48)
        ),
        5,
        FALSE
    )=0,
    "",
    VLOOKUP(
        $A48,
        _xlfn._xlws.FILTER(
            INDIRECT("'"&amp;I$14&amp;"'!A2:E1000"), (INDIRECT("'"&amp;I$14&amp;"'!B2:B1000")=$B48) * (INDIRECT("'"&amp;I$14&amp;"'!C2:C1000")=$C48)
        ),
        5,
        FALSE
    )
)</f>
        <v>Enviado</v>
      </c>
      <c r="J48" s="100" t="str">
        <f t="array" aca="1" ref="J48" ca="1">IF(
    VLOOKUP(
        $A48,
        _xlfn._xlws.FILTER(
            INDIRECT("'"&amp;J$14&amp;"'!A2:E1000"), (INDIRECT("'"&amp;J$14&amp;"'!B2:B1000")=$B48) * (INDIRECT("'"&amp;J$14&amp;"'!C2:C1000")=$C48)
        ),
        5,
        FALSE
    )=0,
    "",
    VLOOKUP(
        $A48,
        _xlfn._xlws.FILTER(
            INDIRECT("'"&amp;J$14&amp;"'!A2:E1000"), (INDIRECT("'"&amp;J$14&amp;"'!B2:B1000")=$B48) * (INDIRECT("'"&amp;J$14&amp;"'!C2:C1000")=$C48)
        ),
        5,
        FALSE
    )
)</f>
        <v>Enviado</v>
      </c>
      <c r="K48" s="100" t="str">
        <f t="array" aca="1" ref="K48" ca="1">IF(
    VLOOKUP(
        $A48,
        _xlfn._xlws.FILTER(
            INDIRECT("'"&amp;K$14&amp;"'!A2:E1000"), (INDIRECT("'"&amp;K$14&amp;"'!B2:B1000")=$B48) * (INDIRECT("'"&amp;K$14&amp;"'!C2:C1000")=$C48)
        ),
        5,
        FALSE
    )=0,
    "",
    VLOOKUP(
        $A48,
        _xlfn._xlws.FILTER(
            INDIRECT("'"&amp;K$14&amp;"'!A2:E1000"), (INDIRECT("'"&amp;K$14&amp;"'!B2:B1000")=$B48) * (INDIRECT("'"&amp;K$14&amp;"'!C2:C1000")=$C48)
        ),
        5,
        FALSE
    )
)</f>
        <v>Enviado</v>
      </c>
      <c r="L48" s="100" t="str">
        <f t="array" aca="1" ref="L48" ca="1">IF(
    VLOOKUP(
        $A48,
        _xlfn._xlws.FILTER(
            INDIRECT("'"&amp;L$14&amp;"'!A2:E1000"), (INDIRECT("'"&amp;L$14&amp;"'!B2:B1000")=$B48) * (INDIRECT("'"&amp;L$14&amp;"'!C2:C1000")=$C48)
        ),
        5,
        FALSE
    )=0,
    "",
    VLOOKUP(
        $A48,
        _xlfn._xlws.FILTER(
            INDIRECT("'"&amp;L$14&amp;"'!A2:E1000"), (INDIRECT("'"&amp;L$14&amp;"'!B2:B1000")=$B48) * (INDIRECT("'"&amp;L$14&amp;"'!C2:C1000")=$C48)
        ),
        5,
        FALSE
    )
)</f>
        <v>Enviado</v>
      </c>
      <c r="M48" s="100" t="str">
        <f t="array" aca="1" ref="M48" ca="1">IF(
    VLOOKUP(
        $A48,
        _xlfn._xlws.FILTER(
            INDIRECT("'"&amp;M$14&amp;"'!A2:E1000"), (INDIRECT("'"&amp;M$14&amp;"'!B2:B1000")=$B48) * (INDIRECT("'"&amp;M$14&amp;"'!C2:C1000")=$C48)
        ),
        5,
        FALSE
    )=0,
    "",
    VLOOKUP(
        $A48,
        _xlfn._xlws.FILTER(
            INDIRECT("'"&amp;M$14&amp;"'!A2:E1000"), (INDIRECT("'"&amp;M$14&amp;"'!B2:B1000")=$B48) * (INDIRECT("'"&amp;M$14&amp;"'!C2:C1000")=$C48)
        ),
        5,
        FALSE
    )
)</f>
        <v>Enviado</v>
      </c>
      <c r="N48" s="100" t="str">
        <f t="array" aca="1" ref="N48" ca="1">IF(
    VLOOKUP(
        $A48,
        _xlfn._xlws.FILTER(
            INDIRECT("'"&amp;N$14&amp;"'!A2:E1000"), (INDIRECT("'"&amp;N$14&amp;"'!B2:B1000")=$B48) * (INDIRECT("'"&amp;N$14&amp;"'!C2:C1000")=$C48)
        ),
        5,
        FALSE
    )=0,
    "",
    VLOOKUP(
        $A48,
        _xlfn._xlws.FILTER(
            INDIRECT("'"&amp;N$14&amp;"'!A2:E1000"), (INDIRECT("'"&amp;N$14&amp;"'!B2:B1000")=$B48) * (INDIRECT("'"&amp;N$14&amp;"'!C2:C1000")=$C48)
        ),
        5,
        FALSE
    )
)</f>
        <v>Enviado</v>
      </c>
      <c r="O48" s="100" t="str">
        <f t="array" aca="1" ref="O48" ca="1">IF(
    VLOOKUP(
        $A48,
        _xlfn._xlws.FILTER(
            INDIRECT("'"&amp;O$14&amp;"'!A2:E1000"), (INDIRECT("'"&amp;O$14&amp;"'!B2:B1000")=$B48) * (INDIRECT("'"&amp;O$14&amp;"'!C2:C1000")=$C48)
        ),
        5,
        FALSE
    )=0,
    "",
    VLOOKUP(
        $A48,
        _xlfn._xlws.FILTER(
            INDIRECT("'"&amp;O$14&amp;"'!A2:E1000"), (INDIRECT("'"&amp;O$14&amp;"'!B2:B1000")=$B48) * (INDIRECT("'"&amp;O$14&amp;"'!C2:C1000")=$C48)
        ),
        5,
        FALSE
    )
)</f>
        <v>Enviado</v>
      </c>
      <c r="P48" s="100" t="str">
        <f t="array" aca="1" ref="P48" ca="1">IF(
    VLOOKUP(
        $A48,
        _xlfn._xlws.FILTER(
            INDIRECT("'"&amp;P$14&amp;"'!A2:E1000"), (INDIRECT("'"&amp;P$14&amp;"'!B2:B1000")=$B48) * (INDIRECT("'"&amp;P$14&amp;"'!C2:C1000")=$C48)
        ),
        5,
        FALSE
    )=0,
    "",
    VLOOKUP(
        $A48,
        _xlfn._xlws.FILTER(
            INDIRECT("'"&amp;P$14&amp;"'!A2:E1000"), (INDIRECT("'"&amp;P$14&amp;"'!B2:B1000")=$B48) * (INDIRECT("'"&amp;P$14&amp;"'!C2:C1000")=$C48)
        ),
        5,
        FALSE
    )
)</f>
        <v>Enviado</v>
      </c>
      <c r="Q48" s="100" t="str">
        <f t="array" aca="1" ref="Q48" ca="1">IF(
    VLOOKUP(
        $A48,
        _xlfn._xlws.FILTER(
            INDIRECT("'"&amp;Q$14&amp;"'!A2:E1000"), (INDIRECT("'"&amp;Q$14&amp;"'!B2:B1000")=$B48) * (INDIRECT("'"&amp;Q$14&amp;"'!C2:C1000")=$C48)
        ),
        5,
        FALSE
    )=0,
    "",
    VLOOKUP(
        $A48,
        _xlfn._xlws.FILTER(
            INDIRECT("'"&amp;Q$14&amp;"'!A2:E1000"), (INDIRECT("'"&amp;Q$14&amp;"'!B2:B1000")=$B48) * (INDIRECT("'"&amp;Q$14&amp;"'!C2:C1000")=$C48)
        ),
        5,
        FALSE
    )
)</f>
        <v/>
      </c>
    </row>
    <row r="49" spans="1:17" x14ac:dyDescent="0.25">
      <c r="A49" s="83" t="s">
        <v>40</v>
      </c>
      <c r="B49" s="79" t="s">
        <v>80</v>
      </c>
      <c r="C49" s="79">
        <v>9</v>
      </c>
      <c r="D49" s="100" t="str">
        <f t="array" aca="1" ref="D49" ca="1">IF(
    VLOOKUP(
        $A49,
        _xlfn._xlws.FILTER(
            INDIRECT("'"&amp;D$14&amp;"'!A2:E1000"), (INDIRECT("'"&amp;D$14&amp;"'!B2:B1000")=$B49) * (INDIRECT("'"&amp;D$14&amp;"'!C2:C1000")=$C49)
        ),
        5,
        FALSE
    )=0,
    "",
    VLOOKUP(
        $A49,
        _xlfn._xlws.FILTER(
            INDIRECT("'"&amp;D$14&amp;"'!A2:E1000"), (INDIRECT("'"&amp;D$14&amp;"'!B2:B1000")=$B49) * (INDIRECT("'"&amp;D$14&amp;"'!C2:C1000")=$C49)
        ),
        5,
        FALSE
    )
)</f>
        <v>Sem Técnico</v>
      </c>
      <c r="E49" s="100" t="str">
        <f t="array" aca="1" ref="E49" ca="1">IF(
    VLOOKUP(
        $A49,
        _xlfn._xlws.FILTER(
            INDIRECT("'"&amp;E$14&amp;"'!A2:E1000"), (INDIRECT("'"&amp;E$14&amp;"'!B2:B1000")=$B49) * (INDIRECT("'"&amp;E$14&amp;"'!C2:C1000")=$C49)
        ),
        5,
        FALSE
    )=0,
    "",
    VLOOKUP(
        $A49,
        _xlfn._xlws.FILTER(
            INDIRECT("'"&amp;E$14&amp;"'!A2:E1000"), (INDIRECT("'"&amp;E$14&amp;"'!B2:B1000")=$B49) * (INDIRECT("'"&amp;E$14&amp;"'!C2:C1000")=$C49)
        ),
        5,
        FALSE
    )
)</f>
        <v>Sem Técnico</v>
      </c>
      <c r="F49" s="100" t="str">
        <f t="array" aca="1" ref="F49" ca="1">IF(
    VLOOKUP(
        $A49,
        _xlfn._xlws.FILTER(
            INDIRECT("'"&amp;F$14&amp;"'!A2:E1000"), (INDIRECT("'"&amp;F$14&amp;"'!B2:B1000")=$B49) * (INDIRECT("'"&amp;F$14&amp;"'!C2:C1000")=$C49)
        ),
        5,
        FALSE
    )=0,
    "",
    VLOOKUP(
        $A49,
        _xlfn._xlws.FILTER(
            INDIRECT("'"&amp;F$14&amp;"'!A2:E1000"), (INDIRECT("'"&amp;F$14&amp;"'!B2:B1000")=$B49) * (INDIRECT("'"&amp;F$14&amp;"'!C2:C1000")=$C49)
        ),
        5,
        FALSE
    )
)</f>
        <v>Sem Técnico</v>
      </c>
      <c r="G49" s="100" t="str">
        <f t="array" aca="1" ref="G49" ca="1">IF(
    VLOOKUP(
        $A49,
        _xlfn._xlws.FILTER(
            INDIRECT("'"&amp;G$14&amp;"'!A2:E1000"), (INDIRECT("'"&amp;G$14&amp;"'!B2:B1000")=$B49) * (INDIRECT("'"&amp;G$14&amp;"'!C2:C1000")=$C49)
        ),
        5,
        FALSE
    )=0,
    "",
    VLOOKUP(
        $A49,
        _xlfn._xlws.FILTER(
            INDIRECT("'"&amp;G$14&amp;"'!A2:E1000"), (INDIRECT("'"&amp;G$14&amp;"'!B2:B1000")=$B49) * (INDIRECT("'"&amp;G$14&amp;"'!C2:C1000")=$C49)
        ),
        5,
        FALSE
    )
)</f>
        <v>Sem Técnico</v>
      </c>
      <c r="H49" s="100" t="str">
        <f t="array" aca="1" ref="H49" ca="1">IF(
    VLOOKUP(
        $A49,
        _xlfn._xlws.FILTER(
            INDIRECT("'"&amp;H$14&amp;"'!A2:E1000"), (INDIRECT("'"&amp;H$14&amp;"'!B2:B1000")=$B49) * (INDIRECT("'"&amp;H$14&amp;"'!C2:C1000")=$C49)
        ),
        5,
        FALSE
    )=0,
    "",
    VLOOKUP(
        $A49,
        _xlfn._xlws.FILTER(
            INDIRECT("'"&amp;H$14&amp;"'!A2:E1000"), (INDIRECT("'"&amp;H$14&amp;"'!B2:B1000")=$B49) * (INDIRECT("'"&amp;H$14&amp;"'!C2:C1000")=$C49)
        ),
        5,
        FALSE
    )
)</f>
        <v>Sem Técnico</v>
      </c>
      <c r="I49" s="100" t="str">
        <f t="array" aca="1" ref="I49" ca="1">IF(
    VLOOKUP(
        $A49,
        _xlfn._xlws.FILTER(
            INDIRECT("'"&amp;I$14&amp;"'!A2:E1000"), (INDIRECT("'"&amp;I$14&amp;"'!B2:B1000")=$B49) * (INDIRECT("'"&amp;I$14&amp;"'!C2:C1000")=$C49)
        ),
        5,
        FALSE
    )=0,
    "",
    VLOOKUP(
        $A49,
        _xlfn._xlws.FILTER(
            INDIRECT("'"&amp;I$14&amp;"'!A2:E1000"), (INDIRECT("'"&amp;I$14&amp;"'!B2:B1000")=$B49) * (INDIRECT("'"&amp;I$14&amp;"'!C2:C1000")=$C49)
        ),
        5,
        FALSE
    )
)</f>
        <v>Sem Técnico</v>
      </c>
      <c r="J49" s="100" t="str">
        <f t="array" aca="1" ref="J49" ca="1">IF(
    VLOOKUP(
        $A49,
        _xlfn._xlws.FILTER(
            INDIRECT("'"&amp;J$14&amp;"'!A2:E1000"), (INDIRECT("'"&amp;J$14&amp;"'!B2:B1000")=$B49) * (INDIRECT("'"&amp;J$14&amp;"'!C2:C1000")=$C49)
        ),
        5,
        FALSE
    )=0,
    "",
    VLOOKUP(
        $A49,
        _xlfn._xlws.FILTER(
            INDIRECT("'"&amp;J$14&amp;"'!A2:E1000"), (INDIRECT("'"&amp;J$14&amp;"'!B2:B1000")=$B49) * (INDIRECT("'"&amp;J$14&amp;"'!C2:C1000")=$C49)
        ),
        5,
        FALSE
    )
)</f>
        <v>Enviado</v>
      </c>
      <c r="K49" s="100" t="str">
        <f t="array" aca="1" ref="K49" ca="1">IF(
    VLOOKUP(
        $A49,
        _xlfn._xlws.FILTER(
            INDIRECT("'"&amp;K$14&amp;"'!A2:E1000"), (INDIRECT("'"&amp;K$14&amp;"'!B2:B1000")=$B49) * (INDIRECT("'"&amp;K$14&amp;"'!C2:C1000")=$C49)
        ),
        5,
        FALSE
    )=0,
    "",
    VLOOKUP(
        $A49,
        _xlfn._xlws.FILTER(
            INDIRECT("'"&amp;K$14&amp;"'!A2:E1000"), (INDIRECT("'"&amp;K$14&amp;"'!B2:B1000")=$B49) * (INDIRECT("'"&amp;K$14&amp;"'!C2:C1000")=$C49)
        ),
        5,
        FALSE
    )
)</f>
        <v>Enviado</v>
      </c>
      <c r="L49" s="100" t="str">
        <f t="array" aca="1" ref="L49" ca="1">IF(
    VLOOKUP(
        $A49,
        _xlfn._xlws.FILTER(
            INDIRECT("'"&amp;L$14&amp;"'!A2:E1000"), (INDIRECT("'"&amp;L$14&amp;"'!B2:B1000")=$B49) * (INDIRECT("'"&amp;L$14&amp;"'!C2:C1000")=$C49)
        ),
        5,
        FALSE
    )=0,
    "",
    VLOOKUP(
        $A49,
        _xlfn._xlws.FILTER(
            INDIRECT("'"&amp;L$14&amp;"'!A2:E1000"), (INDIRECT("'"&amp;L$14&amp;"'!B2:B1000")=$B49) * (INDIRECT("'"&amp;L$14&amp;"'!C2:C1000")=$C49)
        ),
        5,
        FALSE
    )
)</f>
        <v>Enviado</v>
      </c>
      <c r="M49" s="100" t="str">
        <f t="array" aca="1" ref="M49" ca="1">IF(
    VLOOKUP(
        $A49,
        _xlfn._xlws.FILTER(
            INDIRECT("'"&amp;M$14&amp;"'!A2:E1000"), (INDIRECT("'"&amp;M$14&amp;"'!B2:B1000")=$B49) * (INDIRECT("'"&amp;M$14&amp;"'!C2:C1000")=$C49)
        ),
        5,
        FALSE
    )=0,
    "",
    VLOOKUP(
        $A49,
        _xlfn._xlws.FILTER(
            INDIRECT("'"&amp;M$14&amp;"'!A2:E1000"), (INDIRECT("'"&amp;M$14&amp;"'!B2:B1000")=$B49) * (INDIRECT("'"&amp;M$14&amp;"'!C2:C1000")=$C49)
        ),
        5,
        FALSE
    )
)</f>
        <v>Enviado</v>
      </c>
      <c r="N49" s="100" t="str">
        <f t="array" aca="1" ref="N49" ca="1">IF(
    VLOOKUP(
        $A49,
        _xlfn._xlws.FILTER(
            INDIRECT("'"&amp;N$14&amp;"'!A2:E1000"), (INDIRECT("'"&amp;N$14&amp;"'!B2:B1000")=$B49) * (INDIRECT("'"&amp;N$14&amp;"'!C2:C1000")=$C49)
        ),
        5,
        FALSE
    )=0,
    "",
    VLOOKUP(
        $A49,
        _xlfn._xlws.FILTER(
            INDIRECT("'"&amp;N$14&amp;"'!A2:E1000"), (INDIRECT("'"&amp;N$14&amp;"'!B2:B1000")=$B49) * (INDIRECT("'"&amp;N$14&amp;"'!C2:C1000")=$C49)
        ),
        5,
        FALSE
    )
)</f>
        <v>Enviado</v>
      </c>
      <c r="O49" s="100" t="str">
        <f t="array" aca="1" ref="O49" ca="1">IF(
    VLOOKUP(
        $A49,
        _xlfn._xlws.FILTER(
            INDIRECT("'"&amp;O$14&amp;"'!A2:E1000"), (INDIRECT("'"&amp;O$14&amp;"'!B2:B1000")=$B49) * (INDIRECT("'"&amp;O$14&amp;"'!C2:C1000")=$C49)
        ),
        5,
        FALSE
    )=0,
    "",
    VLOOKUP(
        $A49,
        _xlfn._xlws.FILTER(
            INDIRECT("'"&amp;O$14&amp;"'!A2:E1000"), (INDIRECT("'"&amp;O$14&amp;"'!B2:B1000")=$B49) * (INDIRECT("'"&amp;O$14&amp;"'!C2:C1000")=$C49)
        ),
        5,
        FALSE
    )
)</f>
        <v>Enviado</v>
      </c>
      <c r="P49" s="100" t="str">
        <f t="array" aca="1" ref="P49" ca="1">IF(
    VLOOKUP(
        $A49,
        _xlfn._xlws.FILTER(
            INDIRECT("'"&amp;P$14&amp;"'!A2:E1000"), (INDIRECT("'"&amp;P$14&amp;"'!B2:B1000")=$B49) * (INDIRECT("'"&amp;P$14&amp;"'!C2:C1000")=$C49)
        ),
        5,
        FALSE
    )=0,
    "",
    VLOOKUP(
        $A49,
        _xlfn._xlws.FILTER(
            INDIRECT("'"&amp;P$14&amp;"'!A2:E1000"), (INDIRECT("'"&amp;P$14&amp;"'!B2:B1000")=$B49) * (INDIRECT("'"&amp;P$14&amp;"'!C2:C1000")=$C49)
        ),
        5,
        FALSE
    )
)</f>
        <v>Enviado</v>
      </c>
      <c r="Q49" s="100" t="str">
        <f t="array" aca="1" ref="Q49" ca="1">IF(
    VLOOKUP(
        $A49,
        _xlfn._xlws.FILTER(
            INDIRECT("'"&amp;Q$14&amp;"'!A2:E1000"), (INDIRECT("'"&amp;Q$14&amp;"'!B2:B1000")=$B49) * (INDIRECT("'"&amp;Q$14&amp;"'!C2:C1000")=$C49)
        ),
        5,
        FALSE
    )=0,
    "",
    VLOOKUP(
        $A49,
        _xlfn._xlws.FILTER(
            INDIRECT("'"&amp;Q$14&amp;"'!A2:E1000"), (INDIRECT("'"&amp;Q$14&amp;"'!B2:B1000")=$B49) * (INDIRECT("'"&amp;Q$14&amp;"'!C2:C1000")=$C49)
        ),
        5,
        FALSE
    )
)</f>
        <v/>
      </c>
    </row>
    <row r="50" spans="1:17" x14ac:dyDescent="0.25">
      <c r="A50" s="83" t="s">
        <v>40</v>
      </c>
      <c r="B50" s="79" t="s">
        <v>111</v>
      </c>
      <c r="C50" s="79">
        <v>1</v>
      </c>
      <c r="D50" s="100" t="str">
        <f t="array" aca="1" ref="D50" ca="1">IF(
    VLOOKUP(
        $A50,
        _xlfn._xlws.FILTER(
            INDIRECT("'"&amp;D$14&amp;"'!A2:E1000"), (INDIRECT("'"&amp;D$14&amp;"'!B2:B1000")=$B50) * (INDIRECT("'"&amp;D$14&amp;"'!C2:C1000")=$C50)
        ),
        5,
        FALSE
    )=0,
    "",
    VLOOKUP(
        $A50,
        _xlfn._xlws.FILTER(
            INDIRECT("'"&amp;D$14&amp;"'!A2:E1000"), (INDIRECT("'"&amp;D$14&amp;"'!B2:B1000")=$B50) * (INDIRECT("'"&amp;D$14&amp;"'!C2:C1000")=$C50)
        ),
        5,
        FALSE
    )
)</f>
        <v>Enviado</v>
      </c>
      <c r="E50" s="100" t="str">
        <f t="array" aca="1" ref="E50" ca="1">IF(
    VLOOKUP(
        $A50,
        _xlfn._xlws.FILTER(
            INDIRECT("'"&amp;E$14&amp;"'!A2:E1000"), (INDIRECT("'"&amp;E$14&amp;"'!B2:B1000")=$B50) * (INDIRECT("'"&amp;E$14&amp;"'!C2:C1000")=$C50)
        ),
        5,
        FALSE
    )=0,
    "",
    VLOOKUP(
        $A50,
        _xlfn._xlws.FILTER(
            INDIRECT("'"&amp;E$14&amp;"'!A2:E1000"), (INDIRECT("'"&amp;E$14&amp;"'!B2:B1000")=$B50) * (INDIRECT("'"&amp;E$14&amp;"'!C2:C1000")=$C50)
        ),
        5,
        FALSE
    )
)</f>
        <v>Enviado</v>
      </c>
      <c r="F50" s="100" t="str">
        <f t="array" aca="1" ref="F50" ca="1">IF(
    VLOOKUP(
        $A50,
        _xlfn._xlws.FILTER(
            INDIRECT("'"&amp;F$14&amp;"'!A2:E1000"), (INDIRECT("'"&amp;F$14&amp;"'!B2:B1000")=$B50) * (INDIRECT("'"&amp;F$14&amp;"'!C2:C1000")=$C50)
        ),
        5,
        FALSE
    )=0,
    "",
    VLOOKUP(
        $A50,
        _xlfn._xlws.FILTER(
            INDIRECT("'"&amp;F$14&amp;"'!A2:E1000"), (INDIRECT("'"&amp;F$14&amp;"'!B2:B1000")=$B50) * (INDIRECT("'"&amp;F$14&amp;"'!C2:C1000")=$C50)
        ),
        5,
        FALSE
    )
)</f>
        <v>Enviado</v>
      </c>
      <c r="G50" s="100" t="str">
        <f t="array" aca="1" ref="G50" ca="1">IF(
    VLOOKUP(
        $A50,
        _xlfn._xlws.FILTER(
            INDIRECT("'"&amp;G$14&amp;"'!A2:E1000"), (INDIRECT("'"&amp;G$14&amp;"'!B2:B1000")=$B50) * (INDIRECT("'"&amp;G$14&amp;"'!C2:C1000")=$C50)
        ),
        5,
        FALSE
    )=0,
    "",
    VLOOKUP(
        $A50,
        _xlfn._xlws.FILTER(
            INDIRECT("'"&amp;G$14&amp;"'!A2:E1000"), (INDIRECT("'"&amp;G$14&amp;"'!B2:B1000")=$B50) * (INDIRECT("'"&amp;G$14&amp;"'!C2:C1000")=$C50)
        ),
        5,
        FALSE
    )
)</f>
        <v>Enviado</v>
      </c>
      <c r="H50" s="100" t="str">
        <f t="array" aca="1" ref="H50" ca="1">IF(
    VLOOKUP(
        $A50,
        _xlfn._xlws.FILTER(
            INDIRECT("'"&amp;H$14&amp;"'!A2:E1000"), (INDIRECT("'"&amp;H$14&amp;"'!B2:B1000")=$B50) * (INDIRECT("'"&amp;H$14&amp;"'!C2:C1000")=$C50)
        ),
        5,
        FALSE
    )=0,
    "",
    VLOOKUP(
        $A50,
        _xlfn._xlws.FILTER(
            INDIRECT("'"&amp;H$14&amp;"'!A2:E1000"), (INDIRECT("'"&amp;H$14&amp;"'!B2:B1000")=$B50) * (INDIRECT("'"&amp;H$14&amp;"'!C2:C1000")=$C50)
        ),
        5,
        FALSE
    )
)</f>
        <v>Enviado</v>
      </c>
      <c r="I50" s="100" t="str">
        <f t="array" aca="1" ref="I50" ca="1">IF(
    VLOOKUP(
        $A50,
        _xlfn._xlws.FILTER(
            INDIRECT("'"&amp;I$14&amp;"'!A2:E1000"), (INDIRECT("'"&amp;I$14&amp;"'!B2:B1000")=$B50) * (INDIRECT("'"&amp;I$14&amp;"'!C2:C1000")=$C50)
        ),
        5,
        FALSE
    )=0,
    "",
    VLOOKUP(
        $A50,
        _xlfn._xlws.FILTER(
            INDIRECT("'"&amp;I$14&amp;"'!A2:E1000"), (INDIRECT("'"&amp;I$14&amp;"'!B2:B1000")=$B50) * (INDIRECT("'"&amp;I$14&amp;"'!C2:C1000")=$C50)
        ),
        5,
        FALSE
    )
)</f>
        <v>Enviado</v>
      </c>
      <c r="J50" s="100" t="str">
        <f t="array" aca="1" ref="J50" ca="1">IF(
    VLOOKUP(
        $A50,
        _xlfn._xlws.FILTER(
            INDIRECT("'"&amp;J$14&amp;"'!A2:E1000"), (INDIRECT("'"&amp;J$14&amp;"'!B2:B1000")=$B50) * (INDIRECT("'"&amp;J$14&amp;"'!C2:C1000")=$C50)
        ),
        5,
        FALSE
    )=0,
    "",
    VLOOKUP(
        $A50,
        _xlfn._xlws.FILTER(
            INDIRECT("'"&amp;J$14&amp;"'!A2:E1000"), (INDIRECT("'"&amp;J$14&amp;"'!B2:B1000")=$B50) * (INDIRECT("'"&amp;J$14&amp;"'!C2:C1000")=$C50)
        ),
        5,
        FALSE
    )
)</f>
        <v>Enviado</v>
      </c>
      <c r="K50" s="100" t="str">
        <f t="array" aca="1" ref="K50" ca="1">IF(
    VLOOKUP(
        $A50,
        _xlfn._xlws.FILTER(
            INDIRECT("'"&amp;K$14&amp;"'!A2:E1000"), (INDIRECT("'"&amp;K$14&amp;"'!B2:B1000")=$B50) * (INDIRECT("'"&amp;K$14&amp;"'!C2:C1000")=$C50)
        ),
        5,
        FALSE
    )=0,
    "",
    VLOOKUP(
        $A50,
        _xlfn._xlws.FILTER(
            INDIRECT("'"&amp;K$14&amp;"'!A2:E1000"), (INDIRECT("'"&amp;K$14&amp;"'!B2:B1000")=$B50) * (INDIRECT("'"&amp;K$14&amp;"'!C2:C1000")=$C50)
        ),
        5,
        FALSE
    )
)</f>
        <v>Enviado</v>
      </c>
      <c r="L50" s="100" t="str">
        <f t="array" aca="1" ref="L50" ca="1">IF(
    VLOOKUP(
        $A50,
        _xlfn._xlws.FILTER(
            INDIRECT("'"&amp;L$14&amp;"'!A2:E1000"), (INDIRECT("'"&amp;L$14&amp;"'!B2:B1000")=$B50) * (INDIRECT("'"&amp;L$14&amp;"'!C2:C1000")=$C50)
        ),
        5,
        FALSE
    )=0,
    "",
    VLOOKUP(
        $A50,
        _xlfn._xlws.FILTER(
            INDIRECT("'"&amp;L$14&amp;"'!A2:E1000"), (INDIRECT("'"&amp;L$14&amp;"'!B2:B1000")=$B50) * (INDIRECT("'"&amp;L$14&amp;"'!C2:C1000")=$C50)
        ),
        5,
        FALSE
    )
)</f>
        <v>Enviado</v>
      </c>
      <c r="M50" s="100" t="str">
        <f t="array" aca="1" ref="M50" ca="1">IF(
    VLOOKUP(
        $A50,
        _xlfn._xlws.FILTER(
            INDIRECT("'"&amp;M$14&amp;"'!A2:E1000"), (INDIRECT("'"&amp;M$14&amp;"'!B2:B1000")=$B50) * (INDIRECT("'"&amp;M$14&amp;"'!C2:C1000")=$C50)
        ),
        5,
        FALSE
    )=0,
    "",
    VLOOKUP(
        $A50,
        _xlfn._xlws.FILTER(
            INDIRECT("'"&amp;M$14&amp;"'!A2:E1000"), (INDIRECT("'"&amp;M$14&amp;"'!B2:B1000")=$B50) * (INDIRECT("'"&amp;M$14&amp;"'!C2:C1000")=$C50)
        ),
        5,
        FALSE
    )
)</f>
        <v>Enviado</v>
      </c>
      <c r="N50" s="100" t="str">
        <f t="array" aca="1" ref="N50" ca="1">IF(
    VLOOKUP(
        $A50,
        _xlfn._xlws.FILTER(
            INDIRECT("'"&amp;N$14&amp;"'!A2:E1000"), (INDIRECT("'"&amp;N$14&amp;"'!B2:B1000")=$B50) * (INDIRECT("'"&amp;N$14&amp;"'!C2:C1000")=$C50)
        ),
        5,
        FALSE
    )=0,
    "",
    VLOOKUP(
        $A50,
        _xlfn._xlws.FILTER(
            INDIRECT("'"&amp;N$14&amp;"'!A2:E1000"), (INDIRECT("'"&amp;N$14&amp;"'!B2:B1000")=$B50) * (INDIRECT("'"&amp;N$14&amp;"'!C2:C1000")=$C50)
        ),
        5,
        FALSE
    )
)</f>
        <v>Enviado</v>
      </c>
      <c r="O50" s="100" t="str">
        <f t="array" aca="1" ref="O50" ca="1">IF(
    VLOOKUP(
        $A50,
        _xlfn._xlws.FILTER(
            INDIRECT("'"&amp;O$14&amp;"'!A2:E1000"), (INDIRECT("'"&amp;O$14&amp;"'!B2:B1000")=$B50) * (INDIRECT("'"&amp;O$14&amp;"'!C2:C1000")=$C50)
        ),
        5,
        FALSE
    )=0,
    "",
    VLOOKUP(
        $A50,
        _xlfn._xlws.FILTER(
            INDIRECT("'"&amp;O$14&amp;"'!A2:E1000"), (INDIRECT("'"&amp;O$14&amp;"'!B2:B1000")=$B50) * (INDIRECT("'"&amp;O$14&amp;"'!C2:C1000")=$C50)
        ),
        5,
        FALSE
    )
)</f>
        <v>Enviado</v>
      </c>
      <c r="P50" s="100" t="str">
        <f t="array" aca="1" ref="P50" ca="1">IF(
    VLOOKUP(
        $A50,
        _xlfn._xlws.FILTER(
            INDIRECT("'"&amp;P$14&amp;"'!A2:E1000"), (INDIRECT("'"&amp;P$14&amp;"'!B2:B1000")=$B50) * (INDIRECT("'"&amp;P$14&amp;"'!C2:C1000")=$C50)
        ),
        5,
        FALSE
    )=0,
    "",
    VLOOKUP(
        $A50,
        _xlfn._xlws.FILTER(
            INDIRECT("'"&amp;P$14&amp;"'!A2:E1000"), (INDIRECT("'"&amp;P$14&amp;"'!B2:B1000")=$B50) * (INDIRECT("'"&amp;P$14&amp;"'!C2:C1000")=$C50)
        ),
        5,
        FALSE
    )
)</f>
        <v>Enviado</v>
      </c>
      <c r="Q50" s="100" t="str">
        <f t="array" aca="1" ref="Q50" ca="1">IF(
    VLOOKUP(
        $A50,
        _xlfn._xlws.FILTER(
            INDIRECT("'"&amp;Q$14&amp;"'!A2:E1000"), (INDIRECT("'"&amp;Q$14&amp;"'!B2:B1000")=$B50) * (INDIRECT("'"&amp;Q$14&amp;"'!C2:C1000")=$C50)
        ),
        5,
        FALSE
    )=0,
    "",
    VLOOKUP(
        $A50,
        _xlfn._xlws.FILTER(
            INDIRECT("'"&amp;Q$14&amp;"'!A2:E1000"), (INDIRECT("'"&amp;Q$14&amp;"'!B2:B1000")=$B50) * (INDIRECT("'"&amp;Q$14&amp;"'!C2:C1000")=$C50)
        ),
        5,
        FALSE
    )
)</f>
        <v/>
      </c>
    </row>
    <row r="51" spans="1:17" x14ac:dyDescent="0.25">
      <c r="A51" s="83" t="s">
        <v>40</v>
      </c>
      <c r="B51" s="79" t="s">
        <v>112</v>
      </c>
      <c r="C51" s="79">
        <v>1</v>
      </c>
      <c r="D51" s="100" t="str">
        <f t="array" aca="1" ref="D51" ca="1">IF(
    VLOOKUP(
        $A51,
        _xlfn._xlws.FILTER(
            INDIRECT("'"&amp;D$14&amp;"'!A2:E1000"), (INDIRECT("'"&amp;D$14&amp;"'!B2:B1000")=$B51) * (INDIRECT("'"&amp;D$14&amp;"'!C2:C1000")=$C51)
        ),
        5,
        FALSE
    )=0,
    "",
    VLOOKUP(
        $A51,
        _xlfn._xlws.FILTER(
            INDIRECT("'"&amp;D$14&amp;"'!A2:E1000"), (INDIRECT("'"&amp;D$14&amp;"'!B2:B1000")=$B51) * (INDIRECT("'"&amp;D$14&amp;"'!C2:C1000")=$C51)
        ),
        5,
        FALSE
    )
)</f>
        <v>Enviado</v>
      </c>
      <c r="E51" s="100" t="str">
        <f t="array" aca="1" ref="E51" ca="1">IF(
    VLOOKUP(
        $A51,
        _xlfn._xlws.FILTER(
            INDIRECT("'"&amp;E$14&amp;"'!A2:E1000"), (INDIRECT("'"&amp;E$14&amp;"'!B2:B1000")=$B51) * (INDIRECT("'"&amp;E$14&amp;"'!C2:C1000")=$C51)
        ),
        5,
        FALSE
    )=0,
    "",
    VLOOKUP(
        $A51,
        _xlfn._xlws.FILTER(
            INDIRECT("'"&amp;E$14&amp;"'!A2:E1000"), (INDIRECT("'"&amp;E$14&amp;"'!B2:B1000")=$B51) * (INDIRECT("'"&amp;E$14&amp;"'!C2:C1000")=$C51)
        ),
        5,
        FALSE
    )
)</f>
        <v>Enviado</v>
      </c>
      <c r="F51" s="100" t="str">
        <f t="array" aca="1" ref="F51" ca="1">IF(
    VLOOKUP(
        $A51,
        _xlfn._xlws.FILTER(
            INDIRECT("'"&amp;F$14&amp;"'!A2:E1000"), (INDIRECT("'"&amp;F$14&amp;"'!B2:B1000")=$B51) * (INDIRECT("'"&amp;F$14&amp;"'!C2:C1000")=$C51)
        ),
        5,
        FALSE
    )=0,
    "",
    VLOOKUP(
        $A51,
        _xlfn._xlws.FILTER(
            INDIRECT("'"&amp;F$14&amp;"'!A2:E1000"), (INDIRECT("'"&amp;F$14&amp;"'!B2:B1000")=$B51) * (INDIRECT("'"&amp;F$14&amp;"'!C2:C1000")=$C51)
        ),
        5,
        FALSE
    )
)</f>
        <v>Enviado</v>
      </c>
      <c r="G51" s="100" t="str">
        <f t="array" aca="1" ref="G51" ca="1">IF(
    VLOOKUP(
        $A51,
        _xlfn._xlws.FILTER(
            INDIRECT("'"&amp;G$14&amp;"'!A2:E1000"), (INDIRECT("'"&amp;G$14&amp;"'!B2:B1000")=$B51) * (INDIRECT("'"&amp;G$14&amp;"'!C2:C1000")=$C51)
        ),
        5,
        FALSE
    )=0,
    "",
    VLOOKUP(
        $A51,
        _xlfn._xlws.FILTER(
            INDIRECT("'"&amp;G$14&amp;"'!A2:E1000"), (INDIRECT("'"&amp;G$14&amp;"'!B2:B1000")=$B51) * (INDIRECT("'"&amp;G$14&amp;"'!C2:C1000")=$C51)
        ),
        5,
        FALSE
    )
)</f>
        <v>Enviado</v>
      </c>
      <c r="H51" s="100" t="str">
        <f t="array" aca="1" ref="H51" ca="1">IF(
    VLOOKUP(
        $A51,
        _xlfn._xlws.FILTER(
            INDIRECT("'"&amp;H$14&amp;"'!A2:E1000"), (INDIRECT("'"&amp;H$14&amp;"'!B2:B1000")=$B51) * (INDIRECT("'"&amp;H$14&amp;"'!C2:C1000")=$C51)
        ),
        5,
        FALSE
    )=0,
    "",
    VLOOKUP(
        $A51,
        _xlfn._xlws.FILTER(
            INDIRECT("'"&amp;H$14&amp;"'!A2:E1000"), (INDIRECT("'"&amp;H$14&amp;"'!B2:B1000")=$B51) * (INDIRECT("'"&amp;H$14&amp;"'!C2:C1000")=$C51)
        ),
        5,
        FALSE
    )
)</f>
        <v>Enviado</v>
      </c>
      <c r="I51" s="100" t="str">
        <f t="array" aca="1" ref="I51" ca="1">IF(
    VLOOKUP(
        $A51,
        _xlfn._xlws.FILTER(
            INDIRECT("'"&amp;I$14&amp;"'!A2:E1000"), (INDIRECT("'"&amp;I$14&amp;"'!B2:B1000")=$B51) * (INDIRECT("'"&amp;I$14&amp;"'!C2:C1000")=$C51)
        ),
        5,
        FALSE
    )=0,
    "",
    VLOOKUP(
        $A51,
        _xlfn._xlws.FILTER(
            INDIRECT("'"&amp;I$14&amp;"'!A2:E1000"), (INDIRECT("'"&amp;I$14&amp;"'!B2:B1000")=$B51) * (INDIRECT("'"&amp;I$14&amp;"'!C2:C1000")=$C51)
        ),
        5,
        FALSE
    )
)</f>
        <v>Enviado</v>
      </c>
      <c r="J51" s="100" t="str">
        <f t="array" aca="1" ref="J51" ca="1">IF(
    VLOOKUP(
        $A51,
        _xlfn._xlws.FILTER(
            INDIRECT("'"&amp;J$14&amp;"'!A2:E1000"), (INDIRECT("'"&amp;J$14&amp;"'!B2:B1000")=$B51) * (INDIRECT("'"&amp;J$14&amp;"'!C2:C1000")=$C51)
        ),
        5,
        FALSE
    )=0,
    "",
    VLOOKUP(
        $A51,
        _xlfn._xlws.FILTER(
            INDIRECT("'"&amp;J$14&amp;"'!A2:E1000"), (INDIRECT("'"&amp;J$14&amp;"'!B2:B1000")=$B51) * (INDIRECT("'"&amp;J$14&amp;"'!C2:C1000")=$C51)
        ),
        5,
        FALSE
    )
)</f>
        <v>Enviado</v>
      </c>
      <c r="K51" s="100" t="str">
        <f t="array" aca="1" ref="K51" ca="1">IF(
    VLOOKUP(
        $A51,
        _xlfn._xlws.FILTER(
            INDIRECT("'"&amp;K$14&amp;"'!A2:E1000"), (INDIRECT("'"&amp;K$14&amp;"'!B2:B1000")=$B51) * (INDIRECT("'"&amp;K$14&amp;"'!C2:C1000")=$C51)
        ),
        5,
        FALSE
    )=0,
    "",
    VLOOKUP(
        $A51,
        _xlfn._xlws.FILTER(
            INDIRECT("'"&amp;K$14&amp;"'!A2:E1000"), (INDIRECT("'"&amp;K$14&amp;"'!B2:B1000")=$B51) * (INDIRECT("'"&amp;K$14&amp;"'!C2:C1000")=$C51)
        ),
        5,
        FALSE
    )
)</f>
        <v>Enviado</v>
      </c>
      <c r="L51" s="100" t="str">
        <f t="array" aca="1" ref="L51" ca="1">IF(
    VLOOKUP(
        $A51,
        _xlfn._xlws.FILTER(
            INDIRECT("'"&amp;L$14&amp;"'!A2:E1000"), (INDIRECT("'"&amp;L$14&amp;"'!B2:B1000")=$B51) * (INDIRECT("'"&amp;L$14&amp;"'!C2:C1000")=$C51)
        ),
        5,
        FALSE
    )=0,
    "",
    VLOOKUP(
        $A51,
        _xlfn._xlws.FILTER(
            INDIRECT("'"&amp;L$14&amp;"'!A2:E1000"), (INDIRECT("'"&amp;L$14&amp;"'!B2:B1000")=$B51) * (INDIRECT("'"&amp;L$14&amp;"'!C2:C1000")=$C51)
        ),
        5,
        FALSE
    )
)</f>
        <v>Enviado</v>
      </c>
      <c r="M51" s="100" t="str">
        <f t="array" aca="1" ref="M51" ca="1">IF(
    VLOOKUP(
        $A51,
        _xlfn._xlws.FILTER(
            INDIRECT("'"&amp;M$14&amp;"'!A2:E1000"), (INDIRECT("'"&amp;M$14&amp;"'!B2:B1000")=$B51) * (INDIRECT("'"&amp;M$14&amp;"'!C2:C1000")=$C51)
        ),
        5,
        FALSE
    )=0,
    "",
    VLOOKUP(
        $A51,
        _xlfn._xlws.FILTER(
            INDIRECT("'"&amp;M$14&amp;"'!A2:E1000"), (INDIRECT("'"&amp;M$14&amp;"'!B2:B1000")=$B51) * (INDIRECT("'"&amp;M$14&amp;"'!C2:C1000")=$C51)
        ),
        5,
        FALSE
    )
)</f>
        <v>Enviado</v>
      </c>
      <c r="N51" s="100" t="str">
        <f t="array" aca="1" ref="N51" ca="1">IF(
    VLOOKUP(
        $A51,
        _xlfn._xlws.FILTER(
            INDIRECT("'"&amp;N$14&amp;"'!A2:E1000"), (INDIRECT("'"&amp;N$14&amp;"'!B2:B1000")=$B51) * (INDIRECT("'"&amp;N$14&amp;"'!C2:C1000")=$C51)
        ),
        5,
        FALSE
    )=0,
    "",
    VLOOKUP(
        $A51,
        _xlfn._xlws.FILTER(
            INDIRECT("'"&amp;N$14&amp;"'!A2:E1000"), (INDIRECT("'"&amp;N$14&amp;"'!B2:B1000")=$B51) * (INDIRECT("'"&amp;N$14&amp;"'!C2:C1000")=$C51)
        ),
        5,
        FALSE
    )
)</f>
        <v>Enviado</v>
      </c>
      <c r="O51" s="100" t="str">
        <f t="array" aca="1" ref="O51" ca="1">IF(
    VLOOKUP(
        $A51,
        _xlfn._xlws.FILTER(
            INDIRECT("'"&amp;O$14&amp;"'!A2:E1000"), (INDIRECT("'"&amp;O$14&amp;"'!B2:B1000")=$B51) * (INDIRECT("'"&amp;O$14&amp;"'!C2:C1000")=$C51)
        ),
        5,
        FALSE
    )=0,
    "",
    VLOOKUP(
        $A51,
        _xlfn._xlws.FILTER(
            INDIRECT("'"&amp;O$14&amp;"'!A2:E1000"), (INDIRECT("'"&amp;O$14&amp;"'!B2:B1000")=$B51) * (INDIRECT("'"&amp;O$14&amp;"'!C2:C1000")=$C51)
        ),
        5,
        FALSE
    )
)</f>
        <v>Enviado</v>
      </c>
      <c r="P51" s="100" t="str">
        <f t="array" aca="1" ref="P51" ca="1">IF(
    VLOOKUP(
        $A51,
        _xlfn._xlws.FILTER(
            INDIRECT("'"&amp;P$14&amp;"'!A2:E1000"), (INDIRECT("'"&amp;P$14&amp;"'!B2:B1000")=$B51) * (INDIRECT("'"&amp;P$14&amp;"'!C2:C1000")=$C51)
        ),
        5,
        FALSE
    )=0,
    "",
    VLOOKUP(
        $A51,
        _xlfn._xlws.FILTER(
            INDIRECT("'"&amp;P$14&amp;"'!A2:E1000"), (INDIRECT("'"&amp;P$14&amp;"'!B2:B1000")=$B51) * (INDIRECT("'"&amp;P$14&amp;"'!C2:C1000")=$C51)
        ),
        5,
        FALSE
    )
)</f>
        <v>Enviado</v>
      </c>
      <c r="Q51" s="100" t="str">
        <f t="array" aca="1" ref="Q51" ca="1">IF(
    VLOOKUP(
        $A51,
        _xlfn._xlws.FILTER(
            INDIRECT("'"&amp;Q$14&amp;"'!A2:E1000"), (INDIRECT("'"&amp;Q$14&amp;"'!B2:B1000")=$B51) * (INDIRECT("'"&amp;Q$14&amp;"'!C2:C1000")=$C51)
        ),
        5,
        FALSE
    )=0,
    "",
    VLOOKUP(
        $A51,
        _xlfn._xlws.FILTER(
            INDIRECT("'"&amp;Q$14&amp;"'!A2:E1000"), (INDIRECT("'"&amp;Q$14&amp;"'!B2:B1000")=$B51) * (INDIRECT("'"&amp;Q$14&amp;"'!C2:C1000")=$C51)
        ),
        5,
        FALSE
    )
)</f>
        <v/>
      </c>
    </row>
    <row r="52" spans="1:17" x14ac:dyDescent="0.25">
      <c r="A52" s="83" t="s">
        <v>40</v>
      </c>
      <c r="B52" s="79" t="s">
        <v>113</v>
      </c>
      <c r="C52" s="79">
        <v>1</v>
      </c>
      <c r="D52" s="100" t="str">
        <f t="array" aca="1" ref="D52" ca="1">IF(
    VLOOKUP(
        $A52,
        _xlfn._xlws.FILTER(
            INDIRECT("'"&amp;D$14&amp;"'!A2:E1000"), (INDIRECT("'"&amp;D$14&amp;"'!B2:B1000")=$B52) * (INDIRECT("'"&amp;D$14&amp;"'!C2:C1000")=$C52)
        ),
        5,
        FALSE
    )=0,
    "",
    VLOOKUP(
        $A52,
        _xlfn._xlws.FILTER(
            INDIRECT("'"&amp;D$14&amp;"'!A2:E1000"), (INDIRECT("'"&amp;D$14&amp;"'!B2:B1000")=$B52) * (INDIRECT("'"&amp;D$14&amp;"'!C2:C1000")=$C52)
        ),
        5,
        FALSE
    )
)</f>
        <v>Enviado</v>
      </c>
      <c r="E52" s="100" t="str">
        <f t="array" aca="1" ref="E52" ca="1">IF(
    VLOOKUP(
        $A52,
        _xlfn._xlws.FILTER(
            INDIRECT("'"&amp;E$14&amp;"'!A2:E1000"), (INDIRECT("'"&amp;E$14&amp;"'!B2:B1000")=$B52) * (INDIRECT("'"&amp;E$14&amp;"'!C2:C1000")=$C52)
        ),
        5,
        FALSE
    )=0,
    "",
    VLOOKUP(
        $A52,
        _xlfn._xlws.FILTER(
            INDIRECT("'"&amp;E$14&amp;"'!A2:E1000"), (INDIRECT("'"&amp;E$14&amp;"'!B2:B1000")=$B52) * (INDIRECT("'"&amp;E$14&amp;"'!C2:C1000")=$C52)
        ),
        5,
        FALSE
    )
)</f>
        <v>Enviado</v>
      </c>
      <c r="F52" s="100" t="str">
        <f t="array" aca="1" ref="F52" ca="1">IF(
    VLOOKUP(
        $A52,
        _xlfn._xlws.FILTER(
            INDIRECT("'"&amp;F$14&amp;"'!A2:E1000"), (INDIRECT("'"&amp;F$14&amp;"'!B2:B1000")=$B52) * (INDIRECT("'"&amp;F$14&amp;"'!C2:C1000")=$C52)
        ),
        5,
        FALSE
    )=0,
    "",
    VLOOKUP(
        $A52,
        _xlfn._xlws.FILTER(
            INDIRECT("'"&amp;F$14&amp;"'!A2:E1000"), (INDIRECT("'"&amp;F$14&amp;"'!B2:B1000")=$B52) * (INDIRECT("'"&amp;F$14&amp;"'!C2:C1000")=$C52)
        ),
        5,
        FALSE
    )
)</f>
        <v>Enviado</v>
      </c>
      <c r="G52" s="100" t="str">
        <f t="array" aca="1" ref="G52" ca="1">IF(
    VLOOKUP(
        $A52,
        _xlfn._xlws.FILTER(
            INDIRECT("'"&amp;G$14&amp;"'!A2:E1000"), (INDIRECT("'"&amp;G$14&amp;"'!B2:B1000")=$B52) * (INDIRECT("'"&amp;G$14&amp;"'!C2:C1000")=$C52)
        ),
        5,
        FALSE
    )=0,
    "",
    VLOOKUP(
        $A52,
        _xlfn._xlws.FILTER(
            INDIRECT("'"&amp;G$14&amp;"'!A2:E1000"), (INDIRECT("'"&amp;G$14&amp;"'!B2:B1000")=$B52) * (INDIRECT("'"&amp;G$14&amp;"'!C2:C1000")=$C52)
        ),
        5,
        FALSE
    )
)</f>
        <v>Enviado</v>
      </c>
      <c r="H52" s="100" t="str">
        <f t="array" aca="1" ref="H52" ca="1">IF(
    VLOOKUP(
        $A52,
        _xlfn._xlws.FILTER(
            INDIRECT("'"&amp;H$14&amp;"'!A2:E1000"), (INDIRECT("'"&amp;H$14&amp;"'!B2:B1000")=$B52) * (INDIRECT("'"&amp;H$14&amp;"'!C2:C1000")=$C52)
        ),
        5,
        FALSE
    )=0,
    "",
    VLOOKUP(
        $A52,
        _xlfn._xlws.FILTER(
            INDIRECT("'"&amp;H$14&amp;"'!A2:E1000"), (INDIRECT("'"&amp;H$14&amp;"'!B2:B1000")=$B52) * (INDIRECT("'"&amp;H$14&amp;"'!C2:C1000")=$C52)
        ),
        5,
        FALSE
    )
)</f>
        <v>Enviado</v>
      </c>
      <c r="I52" s="100" t="str">
        <f t="array" aca="1" ref="I52" ca="1">IF(
    VLOOKUP(
        $A52,
        _xlfn._xlws.FILTER(
            INDIRECT("'"&amp;I$14&amp;"'!A2:E1000"), (INDIRECT("'"&amp;I$14&amp;"'!B2:B1000")=$B52) * (INDIRECT("'"&amp;I$14&amp;"'!C2:C1000")=$C52)
        ),
        5,
        FALSE
    )=0,
    "",
    VLOOKUP(
        $A52,
        _xlfn._xlws.FILTER(
            INDIRECT("'"&amp;I$14&amp;"'!A2:E1000"), (INDIRECT("'"&amp;I$14&amp;"'!B2:B1000")=$B52) * (INDIRECT("'"&amp;I$14&amp;"'!C2:C1000")=$C52)
        ),
        5,
        FALSE
    )
)</f>
        <v>Enviado</v>
      </c>
      <c r="J52" s="100" t="str">
        <f t="array" aca="1" ref="J52" ca="1">IF(
    VLOOKUP(
        $A52,
        _xlfn._xlws.FILTER(
            INDIRECT("'"&amp;J$14&amp;"'!A2:E1000"), (INDIRECT("'"&amp;J$14&amp;"'!B2:B1000")=$B52) * (INDIRECT("'"&amp;J$14&amp;"'!C2:C1000")=$C52)
        ),
        5,
        FALSE
    )=0,
    "",
    VLOOKUP(
        $A52,
        _xlfn._xlws.FILTER(
            INDIRECT("'"&amp;J$14&amp;"'!A2:E1000"), (INDIRECT("'"&amp;J$14&amp;"'!B2:B1000")=$B52) * (INDIRECT("'"&amp;J$14&amp;"'!C2:C1000")=$C52)
        ),
        5,
        FALSE
    )
)</f>
        <v>Enviado</v>
      </c>
      <c r="K52" s="100" t="str">
        <f t="array" aca="1" ref="K52" ca="1">IF(
    VLOOKUP(
        $A52,
        _xlfn._xlws.FILTER(
            INDIRECT("'"&amp;K$14&amp;"'!A2:E1000"), (INDIRECT("'"&amp;K$14&amp;"'!B2:B1000")=$B52) * (INDIRECT("'"&amp;K$14&amp;"'!C2:C1000")=$C52)
        ),
        5,
        FALSE
    )=0,
    "",
    VLOOKUP(
        $A52,
        _xlfn._xlws.FILTER(
            INDIRECT("'"&amp;K$14&amp;"'!A2:E1000"), (INDIRECT("'"&amp;K$14&amp;"'!B2:B1000")=$B52) * (INDIRECT("'"&amp;K$14&amp;"'!C2:C1000")=$C52)
        ),
        5,
        FALSE
    )
)</f>
        <v>Enviado</v>
      </c>
      <c r="L52" s="100" t="str">
        <f t="array" aca="1" ref="L52" ca="1">IF(
    VLOOKUP(
        $A52,
        _xlfn._xlws.FILTER(
            INDIRECT("'"&amp;L$14&amp;"'!A2:E1000"), (INDIRECT("'"&amp;L$14&amp;"'!B2:B1000")=$B52) * (INDIRECT("'"&amp;L$14&amp;"'!C2:C1000")=$C52)
        ),
        5,
        FALSE
    )=0,
    "",
    VLOOKUP(
        $A52,
        _xlfn._xlws.FILTER(
            INDIRECT("'"&amp;L$14&amp;"'!A2:E1000"), (INDIRECT("'"&amp;L$14&amp;"'!B2:B1000")=$B52) * (INDIRECT("'"&amp;L$14&amp;"'!C2:C1000")=$C52)
        ),
        5,
        FALSE
    )
)</f>
        <v>Enviado</v>
      </c>
      <c r="M52" s="100" t="str">
        <f t="array" aca="1" ref="M52" ca="1">IF(
    VLOOKUP(
        $A52,
        _xlfn._xlws.FILTER(
            INDIRECT("'"&amp;M$14&amp;"'!A2:E1000"), (INDIRECT("'"&amp;M$14&amp;"'!B2:B1000")=$B52) * (INDIRECT("'"&amp;M$14&amp;"'!C2:C1000")=$C52)
        ),
        5,
        FALSE
    )=0,
    "",
    VLOOKUP(
        $A52,
        _xlfn._xlws.FILTER(
            INDIRECT("'"&amp;M$14&amp;"'!A2:E1000"), (INDIRECT("'"&amp;M$14&amp;"'!B2:B1000")=$B52) * (INDIRECT("'"&amp;M$14&amp;"'!C2:C1000")=$C52)
        ),
        5,
        FALSE
    )
)</f>
        <v>Enviado</v>
      </c>
      <c r="N52" s="100" t="str">
        <f t="array" aca="1" ref="N52" ca="1">IF(
    VLOOKUP(
        $A52,
        _xlfn._xlws.FILTER(
            INDIRECT("'"&amp;N$14&amp;"'!A2:E1000"), (INDIRECT("'"&amp;N$14&amp;"'!B2:B1000")=$B52) * (INDIRECT("'"&amp;N$14&amp;"'!C2:C1000")=$C52)
        ),
        5,
        FALSE
    )=0,
    "",
    VLOOKUP(
        $A52,
        _xlfn._xlws.FILTER(
            INDIRECT("'"&amp;N$14&amp;"'!A2:E1000"), (INDIRECT("'"&amp;N$14&amp;"'!B2:B1000")=$B52) * (INDIRECT("'"&amp;N$14&amp;"'!C2:C1000")=$C52)
        ),
        5,
        FALSE
    )
)</f>
        <v>Enviado</v>
      </c>
      <c r="O52" s="100" t="str">
        <f t="array" aca="1" ref="O52" ca="1">IF(
    VLOOKUP(
        $A52,
        _xlfn._xlws.FILTER(
            INDIRECT("'"&amp;O$14&amp;"'!A2:E1000"), (INDIRECT("'"&amp;O$14&amp;"'!B2:B1000")=$B52) * (INDIRECT("'"&amp;O$14&amp;"'!C2:C1000")=$C52)
        ),
        5,
        FALSE
    )=0,
    "",
    VLOOKUP(
        $A52,
        _xlfn._xlws.FILTER(
            INDIRECT("'"&amp;O$14&amp;"'!A2:E1000"), (INDIRECT("'"&amp;O$14&amp;"'!B2:B1000")=$B52) * (INDIRECT("'"&amp;O$14&amp;"'!C2:C1000")=$C52)
        ),
        5,
        FALSE
    )
)</f>
        <v>Enviado</v>
      </c>
      <c r="P52" s="100" t="str">
        <f t="array" aca="1" ref="P52" ca="1">IF(
    VLOOKUP(
        $A52,
        _xlfn._xlws.FILTER(
            INDIRECT("'"&amp;P$14&amp;"'!A2:E1000"), (INDIRECT("'"&amp;P$14&amp;"'!B2:B1000")=$B52) * (INDIRECT("'"&amp;P$14&amp;"'!C2:C1000")=$C52)
        ),
        5,
        FALSE
    )=0,
    "",
    VLOOKUP(
        $A52,
        _xlfn._xlws.FILTER(
            INDIRECT("'"&amp;P$14&amp;"'!A2:E1000"), (INDIRECT("'"&amp;P$14&amp;"'!B2:B1000")=$B52) * (INDIRECT("'"&amp;P$14&amp;"'!C2:C1000")=$C52)
        ),
        5,
        FALSE
    )
)</f>
        <v>Enviado</v>
      </c>
      <c r="Q52" s="100" t="str">
        <f t="array" aca="1" ref="Q52" ca="1">IF(
    VLOOKUP(
        $A52,
        _xlfn._xlws.FILTER(
            INDIRECT("'"&amp;Q$14&amp;"'!A2:E1000"), (INDIRECT("'"&amp;Q$14&amp;"'!B2:B1000")=$B52) * (INDIRECT("'"&amp;Q$14&amp;"'!C2:C1000")=$C52)
        ),
        5,
        FALSE
    )=0,
    "",
    VLOOKUP(
        $A52,
        _xlfn._xlws.FILTER(
            INDIRECT("'"&amp;Q$14&amp;"'!A2:E1000"), (INDIRECT("'"&amp;Q$14&amp;"'!B2:B1000")=$B52) * (INDIRECT("'"&amp;Q$14&amp;"'!C2:C1000")=$C52)
        ),
        5,
        FALSE
    )
)</f>
        <v/>
      </c>
    </row>
    <row r="53" spans="1:17" x14ac:dyDescent="0.25">
      <c r="A53" s="83" t="s">
        <v>40</v>
      </c>
      <c r="B53" s="79" t="s">
        <v>114</v>
      </c>
      <c r="C53" s="79">
        <v>1</v>
      </c>
      <c r="D53" s="100" t="str">
        <f t="array" ref="D53" ca="1">IF(
    VLOOKUP(
        $A53,
        _xlfn._xlws.FILTER(
            INDIRECT("'"&amp;D$14&amp;"'!A2:E1000"), (INDIRECT("'"&amp;D$14&amp;"'!B2:B1000")=$B53) * (INDIRECT("'"&amp;D$14&amp;"'!C2:C1000")=$C53)
        ),
        5,
        FALSE
    )=0,
    "",
    VLOOKUP(
        $A53,
        _xlfn._xlws.FILTER(
            INDIRECT("'"&amp;D$14&amp;"'!A2:E1000"), (INDIRECT("'"&amp;D$14&amp;"'!B2:B1000")=$B53) * (INDIRECT("'"&amp;D$14&amp;"'!C2:C1000")=$C53)
        ),
        5,
        FALSE
    )
)</f>
        <v>Enviado</v>
      </c>
      <c r="E53" s="100" t="str">
        <f t="array" aca="1" ref="E53" ca="1">IF(
    VLOOKUP(
        $A53,
        _xlfn._xlws.FILTER(
            INDIRECT("'"&amp;E$14&amp;"'!A2:E1000"), (INDIRECT("'"&amp;E$14&amp;"'!B2:B1000")=$B53) * (INDIRECT("'"&amp;E$14&amp;"'!C2:C1000")=$C53)
        ),
        5,
        FALSE
    )=0,
    "",
    VLOOKUP(
        $A53,
        _xlfn._xlws.FILTER(
            INDIRECT("'"&amp;E$14&amp;"'!A2:E1000"), (INDIRECT("'"&amp;E$14&amp;"'!B2:B1000")=$B53) * (INDIRECT("'"&amp;E$14&amp;"'!C2:C1000")=$C53)
        ),
        5,
        FALSE
    )
)</f>
        <v>Enviado</v>
      </c>
      <c r="F53" s="100" t="str">
        <f t="array" aca="1" ref="F53" ca="1">IF(
    VLOOKUP(
        $A53,
        _xlfn._xlws.FILTER(
            INDIRECT("'"&amp;F$14&amp;"'!A2:E1000"), (INDIRECT("'"&amp;F$14&amp;"'!B2:B1000")=$B53) * (INDIRECT("'"&amp;F$14&amp;"'!C2:C1000")=$C53)
        ),
        5,
        FALSE
    )=0,
    "",
    VLOOKUP(
        $A53,
        _xlfn._xlws.FILTER(
            INDIRECT("'"&amp;F$14&amp;"'!A2:E1000"), (INDIRECT("'"&amp;F$14&amp;"'!B2:B1000")=$B53) * (INDIRECT("'"&amp;F$14&amp;"'!C2:C1000")=$C53)
        ),
        5,
        FALSE
    )
)</f>
        <v>Enviado</v>
      </c>
      <c r="G53" s="100" t="str">
        <f t="array" aca="1" ref="G53" ca="1">IF(
    VLOOKUP(
        $A53,
        _xlfn._xlws.FILTER(
            INDIRECT("'"&amp;G$14&amp;"'!A2:E1000"), (INDIRECT("'"&amp;G$14&amp;"'!B2:B1000")=$B53) * (INDIRECT("'"&amp;G$14&amp;"'!C2:C1000")=$C53)
        ),
        5,
        FALSE
    )=0,
    "",
    VLOOKUP(
        $A53,
        _xlfn._xlws.FILTER(
            INDIRECT("'"&amp;G$14&amp;"'!A2:E1000"), (INDIRECT("'"&amp;G$14&amp;"'!B2:B1000")=$B53) * (INDIRECT("'"&amp;G$14&amp;"'!C2:C1000")=$C53)
        ),
        5,
        FALSE
    )
)</f>
        <v>Enviado</v>
      </c>
      <c r="H53" s="100" t="str">
        <f t="array" aca="1" ref="H53" ca="1">IF(
    VLOOKUP(
        $A53,
        _xlfn._xlws.FILTER(
            INDIRECT("'"&amp;H$14&amp;"'!A2:E1000"), (INDIRECT("'"&amp;H$14&amp;"'!B2:B1000")=$B53) * (INDIRECT("'"&amp;H$14&amp;"'!C2:C1000")=$C53)
        ),
        5,
        FALSE
    )=0,
    "",
    VLOOKUP(
        $A53,
        _xlfn._xlws.FILTER(
            INDIRECT("'"&amp;H$14&amp;"'!A2:E1000"), (INDIRECT("'"&amp;H$14&amp;"'!B2:B1000")=$B53) * (INDIRECT("'"&amp;H$14&amp;"'!C2:C1000")=$C53)
        ),
        5,
        FALSE
    )
)</f>
        <v>Enviado</v>
      </c>
      <c r="I53" s="100" t="str">
        <f t="array" aca="1" ref="I53" ca="1">IF(
    VLOOKUP(
        $A53,
        _xlfn._xlws.FILTER(
            INDIRECT("'"&amp;I$14&amp;"'!A2:E1000"), (INDIRECT("'"&amp;I$14&amp;"'!B2:B1000")=$B53) * (INDIRECT("'"&amp;I$14&amp;"'!C2:C1000")=$C53)
        ),
        5,
        FALSE
    )=0,
    "",
    VLOOKUP(
        $A53,
        _xlfn._xlws.FILTER(
            INDIRECT("'"&amp;I$14&amp;"'!A2:E1000"), (INDIRECT("'"&amp;I$14&amp;"'!B2:B1000")=$B53) * (INDIRECT("'"&amp;I$14&amp;"'!C2:C1000")=$C53)
        ),
        5,
        FALSE
    )
)</f>
        <v>Enviado</v>
      </c>
      <c r="J53" s="100" t="str">
        <f t="array" aca="1" ref="J53" ca="1">IF(
    VLOOKUP(
        $A53,
        _xlfn._xlws.FILTER(
            INDIRECT("'"&amp;J$14&amp;"'!A2:E1000"), (INDIRECT("'"&amp;J$14&amp;"'!B2:B1000")=$B53) * (INDIRECT("'"&amp;J$14&amp;"'!C2:C1000")=$C53)
        ),
        5,
        FALSE
    )=0,
    "",
    VLOOKUP(
        $A53,
        _xlfn._xlws.FILTER(
            INDIRECT("'"&amp;J$14&amp;"'!A2:E1000"), (INDIRECT("'"&amp;J$14&amp;"'!B2:B1000")=$B53) * (INDIRECT("'"&amp;J$14&amp;"'!C2:C1000")=$C53)
        ),
        5,
        FALSE
    )
)</f>
        <v>Enviado</v>
      </c>
      <c r="K53" s="100" t="str">
        <f t="array" aca="1" ref="K53" ca="1">IF(
    VLOOKUP(
        $A53,
        _xlfn._xlws.FILTER(
            INDIRECT("'"&amp;K$14&amp;"'!A2:E1000"), (INDIRECT("'"&amp;K$14&amp;"'!B2:B1000")=$B53) * (INDIRECT("'"&amp;K$14&amp;"'!C2:C1000")=$C53)
        ),
        5,
        FALSE
    )=0,
    "",
    VLOOKUP(
        $A53,
        _xlfn._xlws.FILTER(
            INDIRECT("'"&amp;K$14&amp;"'!A2:E1000"), (INDIRECT("'"&amp;K$14&amp;"'!B2:B1000")=$B53) * (INDIRECT("'"&amp;K$14&amp;"'!C2:C1000")=$C53)
        ),
        5,
        FALSE
    )
)</f>
        <v>Enviado</v>
      </c>
      <c r="L53" s="100" t="str">
        <f t="array" ref="L53" ca="1">IF(
    VLOOKUP(
        $A53,
        _xlfn._xlws.FILTER(
            INDIRECT("'"&amp;L$14&amp;"'!A2:E1000"), (INDIRECT("'"&amp;L$14&amp;"'!B2:B1000")=$B53) * (INDIRECT("'"&amp;L$14&amp;"'!C2:C1000")=$C53)
        ),
        5,
        FALSE
    )=0,
    "",
    VLOOKUP(
        $A53,
        _xlfn._xlws.FILTER(
            INDIRECT("'"&amp;L$14&amp;"'!A2:E1000"), (INDIRECT("'"&amp;L$14&amp;"'!B2:B1000")=$B53) * (INDIRECT("'"&amp;L$14&amp;"'!C2:C1000")=$C53)
        ),
        5,
        FALSE
    )
)</f>
        <v>Enviado</v>
      </c>
      <c r="M53" s="100" t="str">
        <f t="array" aca="1" ref="M53" ca="1">IF(
    VLOOKUP(
        $A53,
        _xlfn._xlws.FILTER(
            INDIRECT("'"&amp;M$14&amp;"'!A2:E1000"), (INDIRECT("'"&amp;M$14&amp;"'!B2:B1000")=$B53) * (INDIRECT("'"&amp;M$14&amp;"'!C2:C1000")=$C53)
        ),
        5,
        FALSE
    )=0,
    "",
    VLOOKUP(
        $A53,
        _xlfn._xlws.FILTER(
            INDIRECT("'"&amp;M$14&amp;"'!A2:E1000"), (INDIRECT("'"&amp;M$14&amp;"'!B2:B1000")=$B53) * (INDIRECT("'"&amp;M$14&amp;"'!C2:C1000")=$C53)
        ),
        5,
        FALSE
    )
)</f>
        <v>Enviado</v>
      </c>
      <c r="N53" s="100" t="str">
        <f t="array" aca="1" ref="N53" ca="1">IF(
    VLOOKUP(
        $A53,
        _xlfn._xlws.FILTER(
            INDIRECT("'"&amp;N$14&amp;"'!A2:E1000"), (INDIRECT("'"&amp;N$14&amp;"'!B2:B1000")=$B53) * (INDIRECT("'"&amp;N$14&amp;"'!C2:C1000")=$C53)
        ),
        5,
        FALSE
    )=0,
    "",
    VLOOKUP(
        $A53,
        _xlfn._xlws.FILTER(
            INDIRECT("'"&amp;N$14&amp;"'!A2:E1000"), (INDIRECT("'"&amp;N$14&amp;"'!B2:B1000")=$B53) * (INDIRECT("'"&amp;N$14&amp;"'!C2:C1000")=$C53)
        ),
        5,
        FALSE
    )
)</f>
        <v>Enviado</v>
      </c>
      <c r="O53" s="100" t="str">
        <f t="array" aca="1" ref="O53" ca="1">IF(
    VLOOKUP(
        $A53,
        _xlfn._xlws.FILTER(
            INDIRECT("'"&amp;O$14&amp;"'!A2:E1000"), (INDIRECT("'"&amp;O$14&amp;"'!B2:B1000")=$B53) * (INDIRECT("'"&amp;O$14&amp;"'!C2:C1000")=$C53)
        ),
        5,
        FALSE
    )=0,
    "",
    VLOOKUP(
        $A53,
        _xlfn._xlws.FILTER(
            INDIRECT("'"&amp;O$14&amp;"'!A2:E1000"), (INDIRECT("'"&amp;O$14&amp;"'!B2:B1000")=$B53) * (INDIRECT("'"&amp;O$14&amp;"'!C2:C1000")=$C53)
        ),
        5,
        FALSE
    )
)</f>
        <v>Enviado</v>
      </c>
      <c r="P53" s="100" t="str">
        <f t="array" aca="1" ref="P53" ca="1">IF(
    VLOOKUP(
        $A53,
        _xlfn._xlws.FILTER(
            INDIRECT("'"&amp;P$14&amp;"'!A2:E1000"), (INDIRECT("'"&amp;P$14&amp;"'!B2:B1000")=$B53) * (INDIRECT("'"&amp;P$14&amp;"'!C2:C1000")=$C53)
        ),
        5,
        FALSE
    )=0,
    "",
    VLOOKUP(
        $A53,
        _xlfn._xlws.FILTER(
            INDIRECT("'"&amp;P$14&amp;"'!A2:E1000"), (INDIRECT("'"&amp;P$14&amp;"'!B2:B1000")=$B53) * (INDIRECT("'"&amp;P$14&amp;"'!C2:C1000")=$C53)
        ),
        5,
        FALSE
    )
)</f>
        <v>Enviado</v>
      </c>
      <c r="Q53" s="100" t="str">
        <f t="array" aca="1" ref="Q53" ca="1">IF(
    VLOOKUP(
        $A53,
        _xlfn._xlws.FILTER(
            INDIRECT("'"&amp;Q$14&amp;"'!A2:E1000"), (INDIRECT("'"&amp;Q$14&amp;"'!B2:B1000")=$B53) * (INDIRECT("'"&amp;Q$14&amp;"'!C2:C1000")=$C53)
        ),
        5,
        FALSE
    )=0,
    "",
    VLOOKUP(
        $A53,
        _xlfn._xlws.FILTER(
            INDIRECT("'"&amp;Q$14&amp;"'!A2:E1000"), (INDIRECT("'"&amp;Q$14&amp;"'!B2:B1000")=$B53) * (INDIRECT("'"&amp;Q$14&amp;"'!C2:C1000")=$C53)
        ),
        5,
        FALSE
    )
)</f>
        <v/>
      </c>
    </row>
    <row r="55" spans="1:17" ht="15.75" customHeight="1" x14ac:dyDescent="0.25">
      <c r="A55" s="104" t="s">
        <v>27</v>
      </c>
      <c r="B55" s="37" t="s">
        <v>86</v>
      </c>
      <c r="C55" s="37" t="s">
        <v>71</v>
      </c>
      <c r="D55" s="38" t="s">
        <v>1</v>
      </c>
      <c r="E55" s="39" t="s">
        <v>2</v>
      </c>
      <c r="F55" s="98" t="s">
        <v>3</v>
      </c>
      <c r="G55" s="98" t="s">
        <v>4</v>
      </c>
      <c r="H55" s="98" t="s">
        <v>5</v>
      </c>
      <c r="I55" s="98" t="s">
        <v>6</v>
      </c>
      <c r="J55" s="98" t="s">
        <v>7</v>
      </c>
      <c r="K55" s="98" t="s">
        <v>8</v>
      </c>
      <c r="L55" s="99" t="s">
        <v>9</v>
      </c>
      <c r="M55" s="99" t="s">
        <v>10</v>
      </c>
      <c r="N55" s="99" t="s">
        <v>11</v>
      </c>
      <c r="O55" s="99" t="s">
        <v>12</v>
      </c>
      <c r="P55" s="99" t="s">
        <v>13</v>
      </c>
      <c r="Q55" s="99" t="s">
        <v>14</v>
      </c>
    </row>
    <row r="56" spans="1:17" x14ac:dyDescent="0.25">
      <c r="A56" s="85" t="s">
        <v>42</v>
      </c>
      <c r="B56" s="79" t="s">
        <v>115</v>
      </c>
      <c r="C56" s="79">
        <v>1</v>
      </c>
      <c r="D56" s="100" t="str">
        <f t="array" aca="1" ref="D56" ca="1">IF(
    VLOOKUP(
        $A56,
        _xlfn._xlws.FILTER(
            INDIRECT("'"&amp;D$14&amp;"'!A2:E1000"), (INDIRECT("'"&amp;D$14&amp;"'!B2:B1000")=$B56) * (INDIRECT("'"&amp;D$14&amp;"'!C2:C1000")=$C56)
        ),
        5,
        FALSE
    )=0,
    "",
    VLOOKUP(
        $A56,
        _xlfn._xlws.FILTER(
            INDIRECT("'"&amp;D$14&amp;"'!A2:E1000"), (INDIRECT("'"&amp;D$14&amp;"'!B2:B1000")=$B56) * (INDIRECT("'"&amp;D$14&amp;"'!C2:C1000")=$C56)
        ),
        5,
        FALSE
    )
)</f>
        <v>Enviado</v>
      </c>
      <c r="E56" s="100" t="str">
        <f t="array" aca="1" ref="E56" ca="1">IF(
    VLOOKUP(
        $A56,
        _xlfn._xlws.FILTER(
            INDIRECT("'"&amp;E$14&amp;"'!A2:E1000"), (INDIRECT("'"&amp;E$14&amp;"'!B2:B1000")=$B56) * (INDIRECT("'"&amp;E$14&amp;"'!C2:C1000")=$C56)
        ),
        5,
        FALSE
    )=0,
    "",
    VLOOKUP(
        $A56,
        _xlfn._xlws.FILTER(
            INDIRECT("'"&amp;E$14&amp;"'!A2:E1000"), (INDIRECT("'"&amp;E$14&amp;"'!B2:B1000")=$B56) * (INDIRECT("'"&amp;E$14&amp;"'!C2:C1000")=$C56)
        ),
        5,
        FALSE
    )
)</f>
        <v>Enviado</v>
      </c>
      <c r="F56" s="100" t="str">
        <f t="array" aca="1" ref="F56" ca="1">IF(
    VLOOKUP(
        $A56,
        _xlfn._xlws.FILTER(
            INDIRECT("'"&amp;F$14&amp;"'!A2:E1000"), (INDIRECT("'"&amp;F$14&amp;"'!B2:B1000")=$B56) * (INDIRECT("'"&amp;F$14&amp;"'!C2:C1000")=$C56)
        ),
        5,
        FALSE
    )=0,
    "",
    VLOOKUP(
        $A56,
        _xlfn._xlws.FILTER(
            INDIRECT("'"&amp;F$14&amp;"'!A2:E1000"), (INDIRECT("'"&amp;F$14&amp;"'!B2:B1000")=$B56) * (INDIRECT("'"&amp;F$14&amp;"'!C2:C1000")=$C56)
        ),
        5,
        FALSE
    )
)</f>
        <v>Enviado</v>
      </c>
      <c r="G56" s="100" t="str">
        <f t="array" aca="1" ref="G56" ca="1">IF(
    VLOOKUP(
        $A56,
        _xlfn._xlws.FILTER(
            INDIRECT("'"&amp;G$14&amp;"'!A2:E1000"), (INDIRECT("'"&amp;G$14&amp;"'!B2:B1000")=$B56) * (INDIRECT("'"&amp;G$14&amp;"'!C2:C1000")=$C56)
        ),
        5,
        FALSE
    )=0,
    "",
    VLOOKUP(
        $A56,
        _xlfn._xlws.FILTER(
            INDIRECT("'"&amp;G$14&amp;"'!A2:E1000"), (INDIRECT("'"&amp;G$14&amp;"'!B2:B1000")=$B56) * (INDIRECT("'"&amp;G$14&amp;"'!C2:C1000")=$C56)
        ),
        5,
        FALSE
    )
)</f>
        <v>Enviado</v>
      </c>
      <c r="H56" s="100" t="str">
        <f t="array" ref="H56" ca="1">IF(
    VLOOKUP(
        $A56,
        _xlfn._xlws.FILTER(
            INDIRECT("'"&amp;H$14&amp;"'!A2:E1000"), (INDIRECT("'"&amp;H$14&amp;"'!B2:B1000")=$B56) * (INDIRECT("'"&amp;H$14&amp;"'!C2:C1000")=$C56)
        ),
        5,
        FALSE
    )=0,
    "",
    VLOOKUP(
        $A56,
        _xlfn._xlws.FILTER(
            INDIRECT("'"&amp;H$14&amp;"'!A2:E1000"), (INDIRECT("'"&amp;H$14&amp;"'!B2:B1000")=$B56) * (INDIRECT("'"&amp;H$14&amp;"'!C2:C1000")=$C56)
        ),
        5,
        FALSE
    )
)</f>
        <v>Enviado</v>
      </c>
      <c r="I56" s="100" t="str">
        <f t="array" aca="1" ref="I56" ca="1">IF(
    VLOOKUP(
        $A56,
        _xlfn._xlws.FILTER(
            INDIRECT("'"&amp;I$14&amp;"'!A2:E1000"), (INDIRECT("'"&amp;I$14&amp;"'!B2:B1000")=$B56) * (INDIRECT("'"&amp;I$14&amp;"'!C2:C1000")=$C56)
        ),
        5,
        FALSE
    )=0,
    "",
    VLOOKUP(
        $A56,
        _xlfn._xlws.FILTER(
            INDIRECT("'"&amp;I$14&amp;"'!A2:E1000"), (INDIRECT("'"&amp;I$14&amp;"'!B2:B1000")=$B56) * (INDIRECT("'"&amp;I$14&amp;"'!C2:C1000")=$C56)
        ),
        5,
        FALSE
    )
)</f>
        <v>Enviado</v>
      </c>
      <c r="J56" s="100" t="str">
        <f t="array" aca="1" ref="J56" ca="1">IF(
    VLOOKUP(
        $A56,
        _xlfn._xlws.FILTER(
            INDIRECT("'"&amp;J$14&amp;"'!A2:E1000"), (INDIRECT("'"&amp;J$14&amp;"'!B2:B1000")=$B56) * (INDIRECT("'"&amp;J$14&amp;"'!C2:C1000")=$C56)
        ),
        5,
        FALSE
    )=0,
    "",
    VLOOKUP(
        $A56,
        _xlfn._xlws.FILTER(
            INDIRECT("'"&amp;J$14&amp;"'!A2:E1000"), (INDIRECT("'"&amp;J$14&amp;"'!B2:B1000")=$B56) * (INDIRECT("'"&amp;J$14&amp;"'!C2:C1000")=$C56)
        ),
        5,
        FALSE
    )
)</f>
        <v>Enviado</v>
      </c>
      <c r="K56" s="100" t="str">
        <f t="array" aca="1" ref="K56" ca="1">IF(
    VLOOKUP(
        $A56,
        _xlfn._xlws.FILTER(
            INDIRECT("'"&amp;K$14&amp;"'!A2:E1000"), (INDIRECT("'"&amp;K$14&amp;"'!B2:B1000")=$B56) * (INDIRECT("'"&amp;K$14&amp;"'!C2:C1000")=$C56)
        ),
        5,
        FALSE
    )=0,
    "",
    VLOOKUP(
        $A56,
        _xlfn._xlws.FILTER(
            INDIRECT("'"&amp;K$14&amp;"'!A2:E1000"), (INDIRECT("'"&amp;K$14&amp;"'!B2:B1000")=$B56) * (INDIRECT("'"&amp;K$14&amp;"'!C2:C1000")=$C56)
        ),
        5,
        FALSE
    )
)</f>
        <v>Enviado</v>
      </c>
      <c r="L56" s="100" t="str">
        <f t="array" aca="1" ref="L56" ca="1">IF(
    VLOOKUP(
        $A56,
        _xlfn._xlws.FILTER(
            INDIRECT("'"&amp;L$14&amp;"'!A2:E1000"), (INDIRECT("'"&amp;L$14&amp;"'!B2:B1000")=$B56) * (INDIRECT("'"&amp;L$14&amp;"'!C2:C1000")=$C56)
        ),
        5,
        FALSE
    )=0,
    "",
    VLOOKUP(
        $A56,
        _xlfn._xlws.FILTER(
            INDIRECT("'"&amp;L$14&amp;"'!A2:E1000"), (INDIRECT("'"&amp;L$14&amp;"'!B2:B1000")=$B56) * (INDIRECT("'"&amp;L$14&amp;"'!C2:C1000")=$C56)
        ),
        5,
        FALSE
    )
)</f>
        <v>Enviado</v>
      </c>
      <c r="M56" s="100" t="str">
        <f t="array" aca="1" ref="M56" ca="1">IF(
    VLOOKUP(
        $A56,
        _xlfn._xlws.FILTER(
            INDIRECT("'"&amp;M$14&amp;"'!A2:E1000"), (INDIRECT("'"&amp;M$14&amp;"'!B2:B1000")=$B56) * (INDIRECT("'"&amp;M$14&amp;"'!C2:C1000")=$C56)
        ),
        5,
        FALSE
    )=0,
    "",
    VLOOKUP(
        $A56,
        _xlfn._xlws.FILTER(
            INDIRECT("'"&amp;M$14&amp;"'!A2:E1000"), (INDIRECT("'"&amp;M$14&amp;"'!B2:B1000")=$B56) * (INDIRECT("'"&amp;M$14&amp;"'!C2:C1000")=$C56)
        ),
        5,
        FALSE
    )
)</f>
        <v>Enviado</v>
      </c>
      <c r="N56" s="100" t="str">
        <f t="array" aca="1" ref="N56" ca="1">IF(
    VLOOKUP(
        $A56,
        _xlfn._xlws.FILTER(
            INDIRECT("'"&amp;N$14&amp;"'!A2:E1000"), (INDIRECT("'"&amp;N$14&amp;"'!B2:B1000")=$B56) * (INDIRECT("'"&amp;N$14&amp;"'!C2:C1000")=$C56)
        ),
        5,
        FALSE
    )=0,
    "",
    VLOOKUP(
        $A56,
        _xlfn._xlws.FILTER(
            INDIRECT("'"&amp;N$14&amp;"'!A2:E1000"), (INDIRECT("'"&amp;N$14&amp;"'!B2:B1000")=$B56) * (INDIRECT("'"&amp;N$14&amp;"'!C2:C1000")=$C56)
        ),
        5,
        FALSE
    )
)</f>
        <v>Enviado</v>
      </c>
      <c r="O56" s="100" t="str">
        <f t="array" aca="1" ref="O56" ca="1">IF(
    VLOOKUP(
        $A56,
        _xlfn._xlws.FILTER(
            INDIRECT("'"&amp;O$14&amp;"'!A2:E1000"), (INDIRECT("'"&amp;O$14&amp;"'!B2:B1000")=$B56) * (INDIRECT("'"&amp;O$14&amp;"'!C2:C1000")=$C56)
        ),
        5,
        FALSE
    )=0,
    "",
    VLOOKUP(
        $A56,
        _xlfn._xlws.FILTER(
            INDIRECT("'"&amp;O$14&amp;"'!A2:E1000"), (INDIRECT("'"&amp;O$14&amp;"'!B2:B1000")=$B56) * (INDIRECT("'"&amp;O$14&amp;"'!C2:C1000")=$C56)
        ),
        5,
        FALSE
    )
)</f>
        <v>Duplicado</v>
      </c>
      <c r="P56" s="100" t="str">
        <f t="array" aca="1" ref="P56" ca="1">IF(
    VLOOKUP(
        $A56,
        _xlfn._xlws.FILTER(
            INDIRECT("'"&amp;P$14&amp;"'!A2:E1000"), (INDIRECT("'"&amp;P$14&amp;"'!B2:B1000")=$B56) * (INDIRECT("'"&amp;P$14&amp;"'!C2:C1000")=$C56)
        ),
        5,
        FALSE
    )=0,
    "",
    VLOOKUP(
        $A56,
        _xlfn._xlws.FILTER(
            INDIRECT("'"&amp;P$14&amp;"'!A2:E1000"), (INDIRECT("'"&amp;P$14&amp;"'!B2:B1000")=$B56) * (INDIRECT("'"&amp;P$14&amp;"'!C2:C1000")=$C56)
        ),
        5,
        FALSE
    )
)</f>
        <v>Enviado</v>
      </c>
      <c r="Q56" s="100" t="str">
        <f t="array" aca="1" ref="Q56" ca="1">IF(
    VLOOKUP(
        $A56,
        _xlfn._xlws.FILTER(
            INDIRECT("'"&amp;Q$14&amp;"'!A2:E1000"), (INDIRECT("'"&amp;Q$14&amp;"'!B2:B1000")=$B56) * (INDIRECT("'"&amp;Q$14&amp;"'!C2:C1000")=$C56)
        ),
        5,
        FALSE
    )=0,
    "",
    VLOOKUP(
        $A56,
        _xlfn._xlws.FILTER(
            INDIRECT("'"&amp;Q$14&amp;"'!A2:E1000"), (INDIRECT("'"&amp;Q$14&amp;"'!B2:B1000")=$B56) * (INDIRECT("'"&amp;Q$14&amp;"'!C2:C1000")=$C56)
        ),
        5,
        FALSE
    )
)</f>
        <v/>
      </c>
    </row>
    <row r="57" spans="1:17" x14ac:dyDescent="0.25">
      <c r="A57" s="85" t="s">
        <v>42</v>
      </c>
      <c r="B57" s="79" t="s">
        <v>116</v>
      </c>
      <c r="C57" s="79">
        <v>1</v>
      </c>
      <c r="D57" s="100" t="str">
        <f t="array" aca="1" ref="D57" ca="1">IF(
    VLOOKUP(
        $A57,
        _xlfn._xlws.FILTER(
            INDIRECT("'"&amp;D$14&amp;"'!A2:E1000"), (INDIRECT("'"&amp;D$14&amp;"'!B2:B1000")=$B57) * (INDIRECT("'"&amp;D$14&amp;"'!C2:C1000")=$C57)
        ),
        5,
        FALSE
    )=0,
    "",
    VLOOKUP(
        $A57,
        _xlfn._xlws.FILTER(
            INDIRECT("'"&amp;D$14&amp;"'!A2:E1000"), (INDIRECT("'"&amp;D$14&amp;"'!B2:B1000")=$B57) * (INDIRECT("'"&amp;D$14&amp;"'!C2:C1000")=$C57)
        ),
        5,
        FALSE
    )
)</f>
        <v>Enviado</v>
      </c>
      <c r="E57" s="100" t="str">
        <f t="array" aca="1" ref="E57" ca="1">IF(
    VLOOKUP(
        $A57,
        _xlfn._xlws.FILTER(
            INDIRECT("'"&amp;E$14&amp;"'!A2:E1000"), (INDIRECT("'"&amp;E$14&amp;"'!B2:B1000")=$B57) * (INDIRECT("'"&amp;E$14&amp;"'!C2:C1000")=$C57)
        ),
        5,
        FALSE
    )=0,
    "",
    VLOOKUP(
        $A57,
        _xlfn._xlws.FILTER(
            INDIRECT("'"&amp;E$14&amp;"'!A2:E1000"), (INDIRECT("'"&amp;E$14&amp;"'!B2:B1000")=$B57) * (INDIRECT("'"&amp;E$14&amp;"'!C2:C1000")=$C57)
        ),
        5,
        FALSE
    )
)</f>
        <v>Enviado</v>
      </c>
      <c r="F57" s="100" t="str">
        <f t="array" aca="1" ref="F57" ca="1">IF(
    VLOOKUP(
        $A57,
        _xlfn._xlws.FILTER(
            INDIRECT("'"&amp;F$14&amp;"'!A2:E1000"), (INDIRECT("'"&amp;F$14&amp;"'!B2:B1000")=$B57) * (INDIRECT("'"&amp;F$14&amp;"'!C2:C1000")=$C57)
        ),
        5,
        FALSE
    )=0,
    "",
    VLOOKUP(
        $A57,
        _xlfn._xlws.FILTER(
            INDIRECT("'"&amp;F$14&amp;"'!A2:E1000"), (INDIRECT("'"&amp;F$14&amp;"'!B2:B1000")=$B57) * (INDIRECT("'"&amp;F$14&amp;"'!C2:C1000")=$C57)
        ),
        5,
        FALSE
    )
)</f>
        <v>Enviado</v>
      </c>
      <c r="G57" s="100" t="str">
        <f t="array" aca="1" ref="G57" ca="1">IF(
    VLOOKUP(
        $A57,
        _xlfn._xlws.FILTER(
            INDIRECT("'"&amp;G$14&amp;"'!A2:E1000"), (INDIRECT("'"&amp;G$14&amp;"'!B2:B1000")=$B57) * (INDIRECT("'"&amp;G$14&amp;"'!C2:C1000")=$C57)
        ),
        5,
        FALSE
    )=0,
    "",
    VLOOKUP(
        $A57,
        _xlfn._xlws.FILTER(
            INDIRECT("'"&amp;G$14&amp;"'!A2:E1000"), (INDIRECT("'"&amp;G$14&amp;"'!B2:B1000")=$B57) * (INDIRECT("'"&amp;G$14&amp;"'!C2:C1000")=$C57)
        ),
        5,
        FALSE
    )
)</f>
        <v>Enviado</v>
      </c>
      <c r="H57" s="100" t="str">
        <f t="array" aca="1" ref="H57" ca="1">IF(
    VLOOKUP(
        $A57,
        _xlfn._xlws.FILTER(
            INDIRECT("'"&amp;H$14&amp;"'!A2:E1000"), (INDIRECT("'"&amp;H$14&amp;"'!B2:B1000")=$B57) * (INDIRECT("'"&amp;H$14&amp;"'!C2:C1000")=$C57)
        ),
        5,
        FALSE
    )=0,
    "",
    VLOOKUP(
        $A57,
        _xlfn._xlws.FILTER(
            INDIRECT("'"&amp;H$14&amp;"'!A2:E1000"), (INDIRECT("'"&amp;H$14&amp;"'!B2:B1000")=$B57) * (INDIRECT("'"&amp;H$14&amp;"'!C2:C1000")=$C57)
        ),
        5,
        FALSE
    )
)</f>
        <v>Enviado</v>
      </c>
      <c r="I57" s="100" t="str">
        <f t="array" aca="1" ref="I57" ca="1">IF(
    VLOOKUP(
        $A57,
        _xlfn._xlws.FILTER(
            INDIRECT("'"&amp;I$14&amp;"'!A2:E1000"), (INDIRECT("'"&amp;I$14&amp;"'!B2:B1000")=$B57) * (INDIRECT("'"&amp;I$14&amp;"'!C2:C1000")=$C57)
        ),
        5,
        FALSE
    )=0,
    "",
    VLOOKUP(
        $A57,
        _xlfn._xlws.FILTER(
            INDIRECT("'"&amp;I$14&amp;"'!A2:E1000"), (INDIRECT("'"&amp;I$14&amp;"'!B2:B1000")=$B57) * (INDIRECT("'"&amp;I$14&amp;"'!C2:C1000")=$C57)
        ),
        5,
        FALSE
    )
)</f>
        <v>Enviado</v>
      </c>
      <c r="J57" s="100" t="str">
        <f t="array" aca="1" ref="J57" ca="1">IF(
    VLOOKUP(
        $A57,
        _xlfn._xlws.FILTER(
            INDIRECT("'"&amp;J$14&amp;"'!A2:E1000"), (INDIRECT("'"&amp;J$14&amp;"'!B2:B1000")=$B57) * (INDIRECT("'"&amp;J$14&amp;"'!C2:C1000")=$C57)
        ),
        5,
        FALSE
    )=0,
    "",
    VLOOKUP(
        $A57,
        _xlfn._xlws.FILTER(
            INDIRECT("'"&amp;J$14&amp;"'!A2:E1000"), (INDIRECT("'"&amp;J$14&amp;"'!B2:B1000")=$B57) * (INDIRECT("'"&amp;J$14&amp;"'!C2:C1000")=$C57)
        ),
        5,
        FALSE
    )
)</f>
        <v>Enviado</v>
      </c>
      <c r="K57" s="100" t="str">
        <f t="array" aca="1" ref="K57" ca="1">IF(
    VLOOKUP(
        $A57,
        _xlfn._xlws.FILTER(
            INDIRECT("'"&amp;K$14&amp;"'!A2:E1000"), (INDIRECT("'"&amp;K$14&amp;"'!B2:B1000")=$B57) * (INDIRECT("'"&amp;K$14&amp;"'!C2:C1000")=$C57)
        ),
        5,
        FALSE
    )=0,
    "",
    VLOOKUP(
        $A57,
        _xlfn._xlws.FILTER(
            INDIRECT("'"&amp;K$14&amp;"'!A2:E1000"), (INDIRECT("'"&amp;K$14&amp;"'!B2:B1000")=$B57) * (INDIRECT("'"&amp;K$14&amp;"'!C2:C1000")=$C57)
        ),
        5,
        FALSE
    )
)</f>
        <v>Enviado</v>
      </c>
      <c r="L57" s="100" t="str">
        <f t="array" aca="1" ref="L57" ca="1">IF(
    VLOOKUP(
        $A57,
        _xlfn._xlws.FILTER(
            INDIRECT("'"&amp;L$14&amp;"'!A2:E1000"), (INDIRECT("'"&amp;L$14&amp;"'!B2:B1000")=$B57) * (INDIRECT("'"&amp;L$14&amp;"'!C2:C1000")=$C57)
        ),
        5,
        FALSE
    )=0,
    "",
    VLOOKUP(
        $A57,
        _xlfn._xlws.FILTER(
            INDIRECT("'"&amp;L$14&amp;"'!A2:E1000"), (INDIRECT("'"&amp;L$14&amp;"'!B2:B1000")=$B57) * (INDIRECT("'"&amp;L$14&amp;"'!C2:C1000")=$C57)
        ),
        5,
        FALSE
    )
)</f>
        <v>Enviado</v>
      </c>
      <c r="M57" s="100" t="str">
        <f t="array" aca="1" ref="M57" ca="1">IF(
    VLOOKUP(
        $A57,
        _xlfn._xlws.FILTER(
            INDIRECT("'"&amp;M$14&amp;"'!A2:E1000"), (INDIRECT("'"&amp;M$14&amp;"'!B2:B1000")=$B57) * (INDIRECT("'"&amp;M$14&amp;"'!C2:C1000")=$C57)
        ),
        5,
        FALSE
    )=0,
    "",
    VLOOKUP(
        $A57,
        _xlfn._xlws.FILTER(
            INDIRECT("'"&amp;M$14&amp;"'!A2:E1000"), (INDIRECT("'"&amp;M$14&amp;"'!B2:B1000")=$B57) * (INDIRECT("'"&amp;M$14&amp;"'!C2:C1000")=$C57)
        ),
        5,
        FALSE
    )
)</f>
        <v>Enviado</v>
      </c>
      <c r="N57" s="100" t="str">
        <f t="array" aca="1" ref="N57" ca="1">IF(
    VLOOKUP(
        $A57,
        _xlfn._xlws.FILTER(
            INDIRECT("'"&amp;N$14&amp;"'!A2:E1000"), (INDIRECT("'"&amp;N$14&amp;"'!B2:B1000")=$B57) * (INDIRECT("'"&amp;N$14&amp;"'!C2:C1000")=$C57)
        ),
        5,
        FALSE
    )=0,
    "",
    VLOOKUP(
        $A57,
        _xlfn._xlws.FILTER(
            INDIRECT("'"&amp;N$14&amp;"'!A2:E1000"), (INDIRECT("'"&amp;N$14&amp;"'!B2:B1000")=$B57) * (INDIRECT("'"&amp;N$14&amp;"'!C2:C1000")=$C57)
        ),
        5,
        FALSE
    )
)</f>
        <v>Enviado</v>
      </c>
      <c r="O57" s="100" t="str">
        <f t="array" aca="1" ref="O57" ca="1">IF(
    VLOOKUP(
        $A57,
        _xlfn._xlws.FILTER(
            INDIRECT("'"&amp;O$14&amp;"'!A2:E1000"), (INDIRECT("'"&amp;O$14&amp;"'!B2:B1000")=$B57) * (INDIRECT("'"&amp;O$14&amp;"'!C2:C1000")=$C57)
        ),
        5,
        FALSE
    )=0,
    "",
    VLOOKUP(
        $A57,
        _xlfn._xlws.FILTER(
            INDIRECT("'"&amp;O$14&amp;"'!A2:E1000"), (INDIRECT("'"&amp;O$14&amp;"'!B2:B1000")=$B57) * (INDIRECT("'"&amp;O$14&amp;"'!C2:C1000")=$C57)
        ),
        5,
        FALSE
    )
)</f>
        <v>Enviado</v>
      </c>
      <c r="P57" s="100" t="str">
        <f t="array" aca="1" ref="P57" ca="1">IF(
    VLOOKUP(
        $A57,
        _xlfn._xlws.FILTER(
            INDIRECT("'"&amp;P$14&amp;"'!A2:E1000"), (INDIRECT("'"&amp;P$14&amp;"'!B2:B1000")=$B57) * (INDIRECT("'"&amp;P$14&amp;"'!C2:C1000")=$C57)
        ),
        5,
        FALSE
    )=0,
    "",
    VLOOKUP(
        $A57,
        _xlfn._xlws.FILTER(
            INDIRECT("'"&amp;P$14&amp;"'!A2:E1000"), (INDIRECT("'"&amp;P$14&amp;"'!B2:B1000")=$B57) * (INDIRECT("'"&amp;P$14&amp;"'!C2:C1000")=$C57)
        ),
        5,
        FALSE
    )
)</f>
        <v>Enviado</v>
      </c>
      <c r="Q57" s="100" t="str">
        <f t="array" aca="1" ref="Q57" ca="1">IF(
    VLOOKUP(
        $A57,
        _xlfn._xlws.FILTER(
            INDIRECT("'"&amp;Q$14&amp;"'!A2:E1000"), (INDIRECT("'"&amp;Q$14&amp;"'!B2:B1000")=$B57) * (INDIRECT("'"&amp;Q$14&amp;"'!C2:C1000")=$C57)
        ),
        5,
        FALSE
    )=0,
    "",
    VLOOKUP(
        $A57,
        _xlfn._xlws.FILTER(
            INDIRECT("'"&amp;Q$14&amp;"'!A2:E1000"), (INDIRECT("'"&amp;Q$14&amp;"'!B2:B1000")=$B57) * (INDIRECT("'"&amp;Q$14&amp;"'!C2:C1000")=$C57)
        ),
        5,
        FALSE
    )
)</f>
        <v/>
      </c>
    </row>
    <row r="58" spans="1:17" x14ac:dyDescent="0.25">
      <c r="A58" s="85" t="s">
        <v>42</v>
      </c>
      <c r="B58" s="79" t="s">
        <v>117</v>
      </c>
      <c r="C58" s="79">
        <v>1</v>
      </c>
      <c r="D58" s="100" t="str">
        <f t="array" aca="1" ref="D58" ca="1">IF(
    VLOOKUP(
        $A58,
        _xlfn._xlws.FILTER(
            INDIRECT("'"&amp;D$14&amp;"'!A2:E1000"), (INDIRECT("'"&amp;D$14&amp;"'!B2:B1000")=$B58) * (INDIRECT("'"&amp;D$14&amp;"'!C2:C1000")=$C58)
        ),
        5,
        FALSE
    )=0,
    "",
    VLOOKUP(
        $A58,
        _xlfn._xlws.FILTER(
            INDIRECT("'"&amp;D$14&amp;"'!A2:E1000"), (INDIRECT("'"&amp;D$14&amp;"'!B2:B1000")=$B58) * (INDIRECT("'"&amp;D$14&amp;"'!C2:C1000")=$C58)
        ),
        5,
        FALSE
    )
)</f>
        <v>Enviado</v>
      </c>
      <c r="E58" s="100" t="str">
        <f t="array" aca="1" ref="E58" ca="1">IF(
    VLOOKUP(
        $A58,
        _xlfn._xlws.FILTER(
            INDIRECT("'"&amp;E$14&amp;"'!A2:E1000"), (INDIRECT("'"&amp;E$14&amp;"'!B2:B1000")=$B58) * (INDIRECT("'"&amp;E$14&amp;"'!C2:C1000")=$C58)
        ),
        5,
        FALSE
    )=0,
    "",
    VLOOKUP(
        $A58,
        _xlfn._xlws.FILTER(
            INDIRECT("'"&amp;E$14&amp;"'!A2:E1000"), (INDIRECT("'"&amp;E$14&amp;"'!B2:B1000")=$B58) * (INDIRECT("'"&amp;E$14&amp;"'!C2:C1000")=$C58)
        ),
        5,
        FALSE
    )
)</f>
        <v>Enviado</v>
      </c>
      <c r="F58" s="100" t="str">
        <f t="array" aca="1" ref="F58" ca="1">IF(
    VLOOKUP(
        $A58,
        _xlfn._xlws.FILTER(
            INDIRECT("'"&amp;F$14&amp;"'!A2:E1000"), (INDIRECT("'"&amp;F$14&amp;"'!B2:B1000")=$B58) * (INDIRECT("'"&amp;F$14&amp;"'!C2:C1000")=$C58)
        ),
        5,
        FALSE
    )=0,
    "",
    VLOOKUP(
        $A58,
        _xlfn._xlws.FILTER(
            INDIRECT("'"&amp;F$14&amp;"'!A2:E1000"), (INDIRECT("'"&amp;F$14&amp;"'!B2:B1000")=$B58) * (INDIRECT("'"&amp;F$14&amp;"'!C2:C1000")=$C58)
        ),
        5,
        FALSE
    )
)</f>
        <v>Enviado</v>
      </c>
      <c r="G58" s="100" t="str">
        <f t="array" aca="1" ref="G58" ca="1">IF(
    VLOOKUP(
        $A58,
        _xlfn._xlws.FILTER(
            INDIRECT("'"&amp;G$14&amp;"'!A2:E1000"), (INDIRECT("'"&amp;G$14&amp;"'!B2:B1000")=$B58) * (INDIRECT("'"&amp;G$14&amp;"'!C2:C1000")=$C58)
        ),
        5,
        FALSE
    )=0,
    "",
    VLOOKUP(
        $A58,
        _xlfn._xlws.FILTER(
            INDIRECT("'"&amp;G$14&amp;"'!A2:E1000"), (INDIRECT("'"&amp;G$14&amp;"'!B2:B1000")=$B58) * (INDIRECT("'"&amp;G$14&amp;"'!C2:C1000")=$C58)
        ),
        5,
        FALSE
    )
)</f>
        <v>Enviado</v>
      </c>
      <c r="H58" s="100" t="str">
        <f t="array" aca="1" ref="H58" ca="1">IF(
    VLOOKUP(
        $A58,
        _xlfn._xlws.FILTER(
            INDIRECT("'"&amp;H$14&amp;"'!A2:E1000"), (INDIRECT("'"&amp;H$14&amp;"'!B2:B1000")=$B58) * (INDIRECT("'"&amp;H$14&amp;"'!C2:C1000")=$C58)
        ),
        5,
        FALSE
    )=0,
    "",
    VLOOKUP(
        $A58,
        _xlfn._xlws.FILTER(
            INDIRECT("'"&amp;H$14&amp;"'!A2:E1000"), (INDIRECT("'"&amp;H$14&amp;"'!B2:B1000")=$B58) * (INDIRECT("'"&amp;H$14&amp;"'!C2:C1000")=$C58)
        ),
        5,
        FALSE
    )
)</f>
        <v>Enviado</v>
      </c>
      <c r="I58" s="100" t="str">
        <f t="array" aca="1" ref="I58" ca="1">IF(
    VLOOKUP(
        $A58,
        _xlfn._xlws.FILTER(
            INDIRECT("'"&amp;I$14&amp;"'!A2:E1000"), (INDIRECT("'"&amp;I$14&amp;"'!B2:B1000")=$B58) * (INDIRECT("'"&amp;I$14&amp;"'!C2:C1000")=$C58)
        ),
        5,
        FALSE
    )=0,
    "",
    VLOOKUP(
        $A58,
        _xlfn._xlws.FILTER(
            INDIRECT("'"&amp;I$14&amp;"'!A2:E1000"), (INDIRECT("'"&amp;I$14&amp;"'!B2:B1000")=$B58) * (INDIRECT("'"&amp;I$14&amp;"'!C2:C1000")=$C58)
        ),
        5,
        FALSE
    )
)</f>
        <v>Enviado</v>
      </c>
      <c r="J58" s="100" t="str">
        <f t="array" aca="1" ref="J58" ca="1">IF(
    VLOOKUP(
        $A58,
        _xlfn._xlws.FILTER(
            INDIRECT("'"&amp;J$14&amp;"'!A2:E1000"), (INDIRECT("'"&amp;J$14&amp;"'!B2:B1000")=$B58) * (INDIRECT("'"&amp;J$14&amp;"'!C2:C1000")=$C58)
        ),
        5,
        FALSE
    )=0,
    "",
    VLOOKUP(
        $A58,
        _xlfn._xlws.FILTER(
            INDIRECT("'"&amp;J$14&amp;"'!A2:E1000"), (INDIRECT("'"&amp;J$14&amp;"'!B2:B1000")=$B58) * (INDIRECT("'"&amp;J$14&amp;"'!C2:C1000")=$C58)
        ),
        5,
        FALSE
    )
)</f>
        <v>Atrasado &gt;= 2</v>
      </c>
      <c r="K58" s="100" t="str">
        <f t="array" aca="1" ref="K58" ca="1">IF(
    VLOOKUP(
        $A58,
        _xlfn._xlws.FILTER(
            INDIRECT("'"&amp;K$14&amp;"'!A2:E1000"), (INDIRECT("'"&amp;K$14&amp;"'!B2:B1000")=$B58) * (INDIRECT("'"&amp;K$14&amp;"'!C2:C1000")=$C58)
        ),
        5,
        FALSE
    )=0,
    "",
    VLOOKUP(
        $A58,
        _xlfn._xlws.FILTER(
            INDIRECT("'"&amp;K$14&amp;"'!A2:E1000"), (INDIRECT("'"&amp;K$14&amp;"'!B2:B1000")=$B58) * (INDIRECT("'"&amp;K$14&amp;"'!C2:C1000")=$C58)
        ),
        5,
        FALSE
    )
)</f>
        <v>Enviado</v>
      </c>
      <c r="L58" s="100" t="str">
        <f t="array" ref="L58" ca="1">IF(
    VLOOKUP(
        $A58,
        _xlfn._xlws.FILTER(
            INDIRECT("'"&amp;L$14&amp;"'!A2:E1000"), (INDIRECT("'"&amp;L$14&amp;"'!B2:B1000")=$B58) * (INDIRECT("'"&amp;L$14&amp;"'!C2:C1000")=$C58)
        ),
        5,
        FALSE
    )=0,
    "",
    VLOOKUP(
        $A58,
        _xlfn._xlws.FILTER(
            INDIRECT("'"&amp;L$14&amp;"'!A2:E1000"), (INDIRECT("'"&amp;L$14&amp;"'!B2:B1000")=$B58) * (INDIRECT("'"&amp;L$14&amp;"'!C2:C1000")=$C58)
        ),
        5,
        FALSE
    )
)</f>
        <v>Enviado</v>
      </c>
      <c r="M58" s="100" t="str">
        <f t="array" aca="1" ref="M58" ca="1">IF(
    VLOOKUP(
        $A58,
        _xlfn._xlws.FILTER(
            INDIRECT("'"&amp;M$14&amp;"'!A2:E1000"), (INDIRECT("'"&amp;M$14&amp;"'!B2:B1000")=$B58) * (INDIRECT("'"&amp;M$14&amp;"'!C2:C1000")=$C58)
        ),
        5,
        FALSE
    )=0,
    "",
    VLOOKUP(
        $A58,
        _xlfn._xlws.FILTER(
            INDIRECT("'"&amp;M$14&amp;"'!A2:E1000"), (INDIRECT("'"&amp;M$14&amp;"'!B2:B1000")=$B58) * (INDIRECT("'"&amp;M$14&amp;"'!C2:C1000")=$C58)
        ),
        5,
        FALSE
    )
)</f>
        <v>Enviado</v>
      </c>
      <c r="N58" s="100" t="str">
        <f t="array" aca="1" ref="N58" ca="1">IF(
    VLOOKUP(
        $A58,
        _xlfn._xlws.FILTER(
            INDIRECT("'"&amp;N$14&amp;"'!A2:E1000"), (INDIRECT("'"&amp;N$14&amp;"'!B2:B1000")=$B58) * (INDIRECT("'"&amp;N$14&amp;"'!C2:C1000")=$C58)
        ),
        5,
        FALSE
    )=0,
    "",
    VLOOKUP(
        $A58,
        _xlfn._xlws.FILTER(
            INDIRECT("'"&amp;N$14&amp;"'!A2:E1000"), (INDIRECT("'"&amp;N$14&amp;"'!B2:B1000")=$B58) * (INDIRECT("'"&amp;N$14&amp;"'!C2:C1000")=$C58)
        ),
        5,
        FALSE
    )
)</f>
        <v>Atrasado &gt;= 2</v>
      </c>
      <c r="O58" s="100" t="str">
        <f t="array" aca="1" ref="O58" ca="1">IF(
    VLOOKUP(
        $A58,
        _xlfn._xlws.FILTER(
            INDIRECT("'"&amp;O$14&amp;"'!A2:E1000"), (INDIRECT("'"&amp;O$14&amp;"'!B2:B1000")=$B58) * (INDIRECT("'"&amp;O$14&amp;"'!C2:C1000")=$C58)
        ),
        5,
        FALSE
    )=0,
    "",
    VLOOKUP(
        $A58,
        _xlfn._xlws.FILTER(
            INDIRECT("'"&amp;O$14&amp;"'!A2:E1000"), (INDIRECT("'"&amp;O$14&amp;"'!B2:B1000")=$B58) * (INDIRECT("'"&amp;O$14&amp;"'!C2:C1000")=$C58)
        ),
        5,
        FALSE
    )
)</f>
        <v>Enviado</v>
      </c>
      <c r="P58" s="100" t="str">
        <f t="array" ref="P58" ca="1">IF(
    VLOOKUP(
        $A58,
        _xlfn._xlws.FILTER(
            INDIRECT("'"&amp;P$14&amp;"'!A2:E1000"), (INDIRECT("'"&amp;P$14&amp;"'!B2:B1000")=$B58) * (INDIRECT("'"&amp;P$14&amp;"'!C2:C1000")=$C58)
        ),
        5,
        FALSE
    )=0,
    "",
    VLOOKUP(
        $A58,
        _xlfn._xlws.FILTER(
            INDIRECT("'"&amp;P$14&amp;"'!A2:E1000"), (INDIRECT("'"&amp;P$14&amp;"'!B2:B1000")=$B58) * (INDIRECT("'"&amp;P$14&amp;"'!C2:C1000")=$C58)
        ),
        5,
        FALSE
    )
)</f>
        <v>Enviado</v>
      </c>
      <c r="Q58" s="100" t="str">
        <f t="array" aca="1" ref="Q58" ca="1">IF(
    VLOOKUP(
        $A58,
        _xlfn._xlws.FILTER(
            INDIRECT("'"&amp;Q$14&amp;"'!A2:E1000"), (INDIRECT("'"&amp;Q$14&amp;"'!B2:B1000")=$B58) * (INDIRECT("'"&amp;Q$14&amp;"'!C2:C1000")=$C58)
        ),
        5,
        FALSE
    )=0,
    "",
    VLOOKUP(
        $A58,
        _xlfn._xlws.FILTER(
            INDIRECT("'"&amp;Q$14&amp;"'!A2:E1000"), (INDIRECT("'"&amp;Q$14&amp;"'!B2:B1000")=$B58) * (INDIRECT("'"&amp;Q$14&amp;"'!C2:C1000")=$C58)
        ),
        5,
        FALSE
    )
)</f>
        <v/>
      </c>
    </row>
    <row r="59" spans="1:17" x14ac:dyDescent="0.25">
      <c r="A59" s="85" t="s">
        <v>42</v>
      </c>
      <c r="B59" s="79" t="s">
        <v>82</v>
      </c>
      <c r="C59" s="79">
        <v>1</v>
      </c>
      <c r="D59" s="100" t="str">
        <f t="array" aca="1" ref="D59" ca="1">IF(
    VLOOKUP(
        $A59,
        _xlfn._xlws.FILTER(
            INDIRECT("'"&amp;D$14&amp;"'!A2:E1000"), (INDIRECT("'"&amp;D$14&amp;"'!B2:B1000")=$B59) * (INDIRECT("'"&amp;D$14&amp;"'!C2:C1000")=$C59)
        ),
        5,
        FALSE
    )=0,
    "",
    VLOOKUP(
        $A59,
        _xlfn._xlws.FILTER(
            INDIRECT("'"&amp;D$14&amp;"'!A2:E1000"), (INDIRECT("'"&amp;D$14&amp;"'!B2:B1000")=$B59) * (INDIRECT("'"&amp;D$14&amp;"'!C2:C1000")=$C59)
        ),
        5,
        FALSE
    )
)</f>
        <v>Atrasado &gt;= 2</v>
      </c>
      <c r="E59" s="100" t="str">
        <f t="array" aca="1" ref="E59" ca="1">IF(
    VLOOKUP(
        $A59,
        _xlfn._xlws.FILTER(
            INDIRECT("'"&amp;E$14&amp;"'!A2:E1000"), (INDIRECT("'"&amp;E$14&amp;"'!B2:B1000")=$B59) * (INDIRECT("'"&amp;E$14&amp;"'!C2:C1000")=$C59)
        ),
        5,
        FALSE
    )=0,
    "",
    VLOOKUP(
        $A59,
        _xlfn._xlws.FILTER(
            INDIRECT("'"&amp;E$14&amp;"'!A2:E1000"), (INDIRECT("'"&amp;E$14&amp;"'!B2:B1000")=$B59) * (INDIRECT("'"&amp;E$14&amp;"'!C2:C1000")=$C59)
        ),
        5,
        FALSE
    )
)</f>
        <v>Enviado</v>
      </c>
      <c r="F59" s="100" t="str">
        <f t="array" aca="1" ref="F59" ca="1">IF(
    VLOOKUP(
        $A59,
        _xlfn._xlws.FILTER(
            INDIRECT("'"&amp;F$14&amp;"'!A2:E1000"), (INDIRECT("'"&amp;F$14&amp;"'!B2:B1000")=$B59) * (INDIRECT("'"&amp;F$14&amp;"'!C2:C1000")=$C59)
        ),
        5,
        FALSE
    )=0,
    "",
    VLOOKUP(
        $A59,
        _xlfn._xlws.FILTER(
            INDIRECT("'"&amp;F$14&amp;"'!A2:E1000"), (INDIRECT("'"&amp;F$14&amp;"'!B2:B1000")=$B59) * (INDIRECT("'"&amp;F$14&amp;"'!C2:C1000")=$C59)
        ),
        5,
        FALSE
    )
)</f>
        <v>Enviado</v>
      </c>
      <c r="G59" s="100" t="str">
        <f t="array" aca="1" ref="G59" ca="1">IF(
    VLOOKUP(
        $A59,
        _xlfn._xlws.FILTER(
            INDIRECT("'"&amp;G$14&amp;"'!A2:E1000"), (INDIRECT("'"&amp;G$14&amp;"'!B2:B1000")=$B59) * (INDIRECT("'"&amp;G$14&amp;"'!C2:C1000")=$C59)
        ),
        5,
        FALSE
    )=0,
    "",
    VLOOKUP(
        $A59,
        _xlfn._xlws.FILTER(
            INDIRECT("'"&amp;G$14&amp;"'!A2:E1000"), (INDIRECT("'"&amp;G$14&amp;"'!B2:B1000")=$B59) * (INDIRECT("'"&amp;G$14&amp;"'!C2:C1000")=$C59)
        ),
        5,
        FALSE
    )
)</f>
        <v>Enviado</v>
      </c>
      <c r="H59" s="100" t="str">
        <f t="array" aca="1" ref="H59" ca="1">IF(
    VLOOKUP(
        $A59,
        _xlfn._xlws.FILTER(
            INDIRECT("'"&amp;H$14&amp;"'!A2:E1000"), (INDIRECT("'"&amp;H$14&amp;"'!B2:B1000")=$B59) * (INDIRECT("'"&amp;H$14&amp;"'!C2:C1000")=$C59)
        ),
        5,
        FALSE
    )=0,
    "",
    VLOOKUP(
        $A59,
        _xlfn._xlws.FILTER(
            INDIRECT("'"&amp;H$14&amp;"'!A2:E1000"), (INDIRECT("'"&amp;H$14&amp;"'!B2:B1000")=$B59) * (INDIRECT("'"&amp;H$14&amp;"'!C2:C1000")=$C59)
        ),
        5,
        FALSE
    )
)</f>
        <v>Enviado</v>
      </c>
      <c r="I59" s="100" t="str">
        <f t="array" aca="1" ref="I59" ca="1">IF(
    VLOOKUP(
        $A59,
        _xlfn._xlws.FILTER(
            INDIRECT("'"&amp;I$14&amp;"'!A2:E1000"), (INDIRECT("'"&amp;I$14&amp;"'!B2:B1000")=$B59) * (INDIRECT("'"&amp;I$14&amp;"'!C2:C1000")=$C59)
        ),
        5,
        FALSE
    )=0,
    "",
    VLOOKUP(
        $A59,
        _xlfn._xlws.FILTER(
            INDIRECT("'"&amp;I$14&amp;"'!A2:E1000"), (INDIRECT("'"&amp;I$14&amp;"'!B2:B1000")=$B59) * (INDIRECT("'"&amp;I$14&amp;"'!C2:C1000")=$C59)
        ),
        5,
        FALSE
    )
)</f>
        <v>Enviado</v>
      </c>
      <c r="J59" s="100" t="str">
        <f t="array" aca="1" ref="J59" ca="1">IF(
    VLOOKUP(
        $A59,
        _xlfn._xlws.FILTER(
            INDIRECT("'"&amp;J$14&amp;"'!A2:E1000"), (INDIRECT("'"&amp;J$14&amp;"'!B2:B1000")=$B59) * (INDIRECT("'"&amp;J$14&amp;"'!C2:C1000")=$C59)
        ),
        5,
        FALSE
    )=0,
    "",
    VLOOKUP(
        $A59,
        _xlfn._xlws.FILTER(
            INDIRECT("'"&amp;J$14&amp;"'!A2:E1000"), (INDIRECT("'"&amp;J$14&amp;"'!B2:B1000")=$B59) * (INDIRECT("'"&amp;J$14&amp;"'!C2:C1000")=$C59)
        ),
        5,
        FALSE
    )
)</f>
        <v>Enviado</v>
      </c>
      <c r="K59" s="100" t="str">
        <f t="array" aca="1" ref="K59" ca="1">IF(
    VLOOKUP(
        $A59,
        _xlfn._xlws.FILTER(
            INDIRECT("'"&amp;K$14&amp;"'!A2:E1000"), (INDIRECT("'"&amp;K$14&amp;"'!B2:B1000")=$B59) * (INDIRECT("'"&amp;K$14&amp;"'!C2:C1000")=$C59)
        ),
        5,
        FALSE
    )=0,
    "",
    VLOOKUP(
        $A59,
        _xlfn._xlws.FILTER(
            INDIRECT("'"&amp;K$14&amp;"'!A2:E1000"), (INDIRECT("'"&amp;K$14&amp;"'!B2:B1000")=$B59) * (INDIRECT("'"&amp;K$14&amp;"'!C2:C1000")=$C59)
        ),
        5,
        FALSE
    )
)</f>
        <v>Enviado</v>
      </c>
      <c r="L59" s="100" t="str">
        <f t="array" aca="1" ref="L59" ca="1">IF(
    VLOOKUP(
        $A59,
        _xlfn._xlws.FILTER(
            INDIRECT("'"&amp;L$14&amp;"'!A2:E1000"), (INDIRECT("'"&amp;L$14&amp;"'!B2:B1000")=$B59) * (INDIRECT("'"&amp;L$14&amp;"'!C2:C1000")=$C59)
        ),
        5,
        FALSE
    )=0,
    "",
    VLOOKUP(
        $A59,
        _xlfn._xlws.FILTER(
            INDIRECT("'"&amp;L$14&amp;"'!A2:E1000"), (INDIRECT("'"&amp;L$14&amp;"'!B2:B1000")=$B59) * (INDIRECT("'"&amp;L$14&amp;"'!C2:C1000")=$C59)
        ),
        5,
        FALSE
    )
)</f>
        <v>Enviado</v>
      </c>
      <c r="M59" s="100" t="str">
        <f t="array" aca="1" ref="M59" ca="1">IF(
    VLOOKUP(
        $A59,
        _xlfn._xlws.FILTER(
            INDIRECT("'"&amp;M$14&amp;"'!A2:E1000"), (INDIRECT("'"&amp;M$14&amp;"'!B2:B1000")=$B59) * (INDIRECT("'"&amp;M$14&amp;"'!C2:C1000")=$C59)
        ),
        5,
        FALSE
    )=0,
    "",
    VLOOKUP(
        $A59,
        _xlfn._xlws.FILTER(
            INDIRECT("'"&amp;M$14&amp;"'!A2:E1000"), (INDIRECT("'"&amp;M$14&amp;"'!B2:B1000")=$B59) * (INDIRECT("'"&amp;M$14&amp;"'!C2:C1000")=$C59)
        ),
        5,
        FALSE
    )
)</f>
        <v>Enviado</v>
      </c>
      <c r="N59" s="100" t="str">
        <f t="array" aca="1" ref="N59" ca="1">IF(
    VLOOKUP(
        $A59,
        _xlfn._xlws.FILTER(
            INDIRECT("'"&amp;N$14&amp;"'!A2:E1000"), (INDIRECT("'"&amp;N$14&amp;"'!B2:B1000")=$B59) * (INDIRECT("'"&amp;N$14&amp;"'!C2:C1000")=$C59)
        ),
        5,
        FALSE
    )=0,
    "",
    VLOOKUP(
        $A59,
        _xlfn._xlws.FILTER(
            INDIRECT("'"&amp;N$14&amp;"'!A2:E1000"), (INDIRECT("'"&amp;N$14&amp;"'!B2:B1000")=$B59) * (INDIRECT("'"&amp;N$14&amp;"'!C2:C1000")=$C59)
        ),
        5,
        FALSE
    )
)</f>
        <v>Enviado</v>
      </c>
      <c r="O59" s="100" t="str">
        <f t="array" aca="1" ref="O59" ca="1">IF(
    VLOOKUP(
        $A59,
        _xlfn._xlws.FILTER(
            INDIRECT("'"&amp;O$14&amp;"'!A2:E1000"), (INDIRECT("'"&amp;O$14&amp;"'!B2:B1000")=$B59) * (INDIRECT("'"&amp;O$14&amp;"'!C2:C1000")=$C59)
        ),
        5,
        FALSE
    )=0,
    "",
    VLOOKUP(
        $A59,
        _xlfn._xlws.FILTER(
            INDIRECT("'"&amp;O$14&amp;"'!A2:E1000"), (INDIRECT("'"&amp;O$14&amp;"'!B2:B1000")=$B59) * (INDIRECT("'"&amp;O$14&amp;"'!C2:C1000")=$C59)
        ),
        5,
        FALSE
    )
)</f>
        <v>Enviado</v>
      </c>
      <c r="P59" s="100" t="str">
        <f t="array" aca="1" ref="P59" ca="1">IF(
    VLOOKUP(
        $A59,
        _xlfn._xlws.FILTER(
            INDIRECT("'"&amp;P$14&amp;"'!A2:E1000"), (INDIRECT("'"&amp;P$14&amp;"'!B2:B1000")=$B59) * (INDIRECT("'"&amp;P$14&amp;"'!C2:C1000")=$C59)
        ),
        5,
        FALSE
    )=0,
    "",
    VLOOKUP(
        $A59,
        _xlfn._xlws.FILTER(
            INDIRECT("'"&amp;P$14&amp;"'!A2:E1000"), (INDIRECT("'"&amp;P$14&amp;"'!B2:B1000")=$B59) * (INDIRECT("'"&amp;P$14&amp;"'!C2:C1000")=$C59)
        ),
        5,
        FALSE
    )
)</f>
        <v>Enviado</v>
      </c>
      <c r="Q59" s="100" t="str">
        <f t="array" aca="1" ref="Q59" ca="1">IF(
    VLOOKUP(
        $A59,
        _xlfn._xlws.FILTER(
            INDIRECT("'"&amp;Q$14&amp;"'!A2:E1000"), (INDIRECT("'"&amp;Q$14&amp;"'!B2:B1000")=$B59) * (INDIRECT("'"&amp;Q$14&amp;"'!C2:C1000")=$C59)
        ),
        5,
        FALSE
    )=0,
    "",
    VLOOKUP(
        $A59,
        _xlfn._xlws.FILTER(
            INDIRECT("'"&amp;Q$14&amp;"'!A2:E1000"), (INDIRECT("'"&amp;Q$14&amp;"'!B2:B1000")=$B59) * (INDIRECT("'"&amp;Q$14&amp;"'!C2:C1000")=$C59)
        ),
        5,
        FALSE
    )
)</f>
        <v/>
      </c>
    </row>
    <row r="60" spans="1:17" x14ac:dyDescent="0.25">
      <c r="A60" s="85" t="s">
        <v>42</v>
      </c>
      <c r="B60" s="79" t="s">
        <v>82</v>
      </c>
      <c r="C60" s="79">
        <v>2</v>
      </c>
      <c r="D60" s="100" t="str">
        <f t="array" aca="1" ref="D60" ca="1">IF(
    VLOOKUP(
        $A60,
        _xlfn._xlws.FILTER(
            INDIRECT("'"&amp;D$14&amp;"'!A2:E1000"), (INDIRECT("'"&amp;D$14&amp;"'!B2:B1000")=$B60) * (INDIRECT("'"&amp;D$14&amp;"'!C2:C1000")=$C60)
        ),
        5,
        FALSE
    )=0,
    "",
    VLOOKUP(
        $A60,
        _xlfn._xlws.FILTER(
            INDIRECT("'"&amp;D$14&amp;"'!A2:E1000"), (INDIRECT("'"&amp;D$14&amp;"'!B2:B1000")=$B60) * (INDIRECT("'"&amp;D$14&amp;"'!C2:C1000")=$C60)
        ),
        5,
        FALSE
    )
)</f>
        <v>Enviado</v>
      </c>
      <c r="E60" s="100" t="str">
        <f t="array" aca="1" ref="E60" ca="1">IF(
    VLOOKUP(
        $A60,
        _xlfn._xlws.FILTER(
            INDIRECT("'"&amp;E$14&amp;"'!A2:E1000"), (INDIRECT("'"&amp;E$14&amp;"'!B2:B1000")=$B60) * (INDIRECT("'"&amp;E$14&amp;"'!C2:C1000")=$C60)
        ),
        5,
        FALSE
    )=0,
    "",
    VLOOKUP(
        $A60,
        _xlfn._xlws.FILTER(
            INDIRECT("'"&amp;E$14&amp;"'!A2:E1000"), (INDIRECT("'"&amp;E$14&amp;"'!B2:B1000")=$B60) * (INDIRECT("'"&amp;E$14&amp;"'!C2:C1000")=$C60)
        ),
        5,
        FALSE
    )
)</f>
        <v>Enviado</v>
      </c>
      <c r="F60" s="100" t="str">
        <f t="array" aca="1" ref="F60" ca="1">IF(
    VLOOKUP(
        $A60,
        _xlfn._xlws.FILTER(
            INDIRECT("'"&amp;F$14&amp;"'!A2:E1000"), (INDIRECT("'"&amp;F$14&amp;"'!B2:B1000")=$B60) * (INDIRECT("'"&amp;F$14&amp;"'!C2:C1000")=$C60)
        ),
        5,
        FALSE
    )=0,
    "",
    VLOOKUP(
        $A60,
        _xlfn._xlws.FILTER(
            INDIRECT("'"&amp;F$14&amp;"'!A2:E1000"), (INDIRECT("'"&amp;F$14&amp;"'!B2:B1000")=$B60) * (INDIRECT("'"&amp;F$14&amp;"'!C2:C1000")=$C60)
        ),
        5,
        FALSE
    )
)</f>
        <v>Duplicado</v>
      </c>
      <c r="G60" s="100" t="str">
        <f t="array" ref="G60" ca="1">IF(
    VLOOKUP(
        $A60,
        _xlfn._xlws.FILTER(
            INDIRECT("'"&amp;G$14&amp;"'!A2:E1000"), (INDIRECT("'"&amp;G$14&amp;"'!B2:B1000")=$B60) * (INDIRECT("'"&amp;G$14&amp;"'!C2:C1000")=$C60)
        ),
        5,
        FALSE
    )=0,
    "",
    VLOOKUP(
        $A60,
        _xlfn._xlws.FILTER(
            INDIRECT("'"&amp;G$14&amp;"'!A2:E1000"), (INDIRECT("'"&amp;G$14&amp;"'!B2:B1000")=$B60) * (INDIRECT("'"&amp;G$14&amp;"'!C2:C1000")=$C60)
        ),
        5,
        FALSE
    )
)</f>
        <v>Enviado</v>
      </c>
      <c r="H60" s="100" t="str">
        <f t="array" aca="1" ref="H60" ca="1">IF(
    VLOOKUP(
        $A60,
        _xlfn._xlws.FILTER(
            INDIRECT("'"&amp;H$14&amp;"'!A2:E1000"), (INDIRECT("'"&amp;H$14&amp;"'!B2:B1000")=$B60) * (INDIRECT("'"&amp;H$14&amp;"'!C2:C1000")=$C60)
        ),
        5,
        FALSE
    )=0,
    "",
    VLOOKUP(
        $A60,
        _xlfn._xlws.FILTER(
            INDIRECT("'"&amp;H$14&amp;"'!A2:E1000"), (INDIRECT("'"&amp;H$14&amp;"'!B2:B1000")=$B60) * (INDIRECT("'"&amp;H$14&amp;"'!C2:C1000")=$C60)
        ),
        5,
        FALSE
    )
)</f>
        <v>Enviado</v>
      </c>
      <c r="I60" s="100" t="str">
        <f t="array" ref="I60" ca="1">IF(
    VLOOKUP(
        $A60,
        _xlfn._xlws.FILTER(
            INDIRECT("'"&amp;I$14&amp;"'!A2:E1000"), (INDIRECT("'"&amp;I$14&amp;"'!B2:B1000")=$B60) * (INDIRECT("'"&amp;I$14&amp;"'!C2:C1000")=$C60)
        ),
        5,
        FALSE
    )=0,
    "",
    VLOOKUP(
        $A60,
        _xlfn._xlws.FILTER(
            INDIRECT("'"&amp;I$14&amp;"'!A2:E1000"), (INDIRECT("'"&amp;I$14&amp;"'!B2:B1000")=$B60) * (INDIRECT("'"&amp;I$14&amp;"'!C2:C1000")=$C60)
        ),
        5,
        FALSE
    )
)</f>
        <v>Enviado</v>
      </c>
      <c r="J60" s="100" t="str">
        <f t="array" aca="1" ref="J60" ca="1">IF(
    VLOOKUP(
        $A60,
        _xlfn._xlws.FILTER(
            INDIRECT("'"&amp;J$14&amp;"'!A2:E1000"), (INDIRECT("'"&amp;J$14&amp;"'!B2:B1000")=$B60) * (INDIRECT("'"&amp;J$14&amp;"'!C2:C1000")=$C60)
        ),
        5,
        FALSE
    )=0,
    "",
    VLOOKUP(
        $A60,
        _xlfn._xlws.FILTER(
            INDIRECT("'"&amp;J$14&amp;"'!A2:E1000"), (INDIRECT("'"&amp;J$14&amp;"'!B2:B1000")=$B60) * (INDIRECT("'"&amp;J$14&amp;"'!C2:C1000")=$C60)
        ),
        5,
        FALSE
    )
)</f>
        <v>Enviado</v>
      </c>
      <c r="K60" s="100" t="str">
        <f t="array" aca="1" ref="K60" ca="1">IF(
    VLOOKUP(
        $A60,
        _xlfn._xlws.FILTER(
            INDIRECT("'"&amp;K$14&amp;"'!A2:E1000"), (INDIRECT("'"&amp;K$14&amp;"'!B2:B1000")=$B60) * (INDIRECT("'"&amp;K$14&amp;"'!C2:C1000")=$C60)
        ),
        5,
        FALSE
    )=0,
    "",
    VLOOKUP(
        $A60,
        _xlfn._xlws.FILTER(
            INDIRECT("'"&amp;K$14&amp;"'!A2:E1000"), (INDIRECT("'"&amp;K$14&amp;"'!B2:B1000")=$B60) * (INDIRECT("'"&amp;K$14&amp;"'!C2:C1000")=$C60)
        ),
        5,
        FALSE
    )
)</f>
        <v>Enviado</v>
      </c>
      <c r="L60" s="100" t="str">
        <f t="array" aca="1" ref="L60" ca="1">IF(
    VLOOKUP(
        $A60,
        _xlfn._xlws.FILTER(
            INDIRECT("'"&amp;L$14&amp;"'!A2:E1000"), (INDIRECT("'"&amp;L$14&amp;"'!B2:B1000")=$B60) * (INDIRECT("'"&amp;L$14&amp;"'!C2:C1000")=$C60)
        ),
        5,
        FALSE
    )=0,
    "",
    VLOOKUP(
        $A60,
        _xlfn._xlws.FILTER(
            INDIRECT("'"&amp;L$14&amp;"'!A2:E1000"), (INDIRECT("'"&amp;L$14&amp;"'!B2:B1000")=$B60) * (INDIRECT("'"&amp;L$14&amp;"'!C2:C1000")=$C60)
        ),
        5,
        FALSE
    )
)</f>
        <v>Enviado</v>
      </c>
      <c r="M60" s="100" t="str">
        <f t="array" aca="1" ref="M60" ca="1">IF(
    VLOOKUP(
        $A60,
        _xlfn._xlws.FILTER(
            INDIRECT("'"&amp;M$14&amp;"'!A2:E1000"), (INDIRECT("'"&amp;M$14&amp;"'!B2:B1000")=$B60) * (INDIRECT("'"&amp;M$14&amp;"'!C2:C1000")=$C60)
        ),
        5,
        FALSE
    )=0,
    "",
    VLOOKUP(
        $A60,
        _xlfn._xlws.FILTER(
            INDIRECT("'"&amp;M$14&amp;"'!A2:E1000"), (INDIRECT("'"&amp;M$14&amp;"'!B2:B1000")=$B60) * (INDIRECT("'"&amp;M$14&amp;"'!C2:C1000")=$C60)
        ),
        5,
        FALSE
    )
)</f>
        <v>Enviado</v>
      </c>
      <c r="N60" s="100" t="str">
        <f t="array" aca="1" ref="N60" ca="1">IF(
    VLOOKUP(
        $A60,
        _xlfn._xlws.FILTER(
            INDIRECT("'"&amp;N$14&amp;"'!A2:E1000"), (INDIRECT("'"&amp;N$14&amp;"'!B2:B1000")=$B60) * (INDIRECT("'"&amp;N$14&amp;"'!C2:C1000")=$C60)
        ),
        5,
        FALSE
    )=0,
    "",
    VLOOKUP(
        $A60,
        _xlfn._xlws.FILTER(
            INDIRECT("'"&amp;N$14&amp;"'!A2:E1000"), (INDIRECT("'"&amp;N$14&amp;"'!B2:B1000")=$B60) * (INDIRECT("'"&amp;N$14&amp;"'!C2:C1000")=$C60)
        ),
        5,
        FALSE
    )
)</f>
        <v>Enviado</v>
      </c>
      <c r="O60" s="100" t="str">
        <f t="array" aca="1" ref="O60" ca="1">IF(
    VLOOKUP(
        $A60,
        _xlfn._xlws.FILTER(
            INDIRECT("'"&amp;O$14&amp;"'!A2:E1000"), (INDIRECT("'"&amp;O$14&amp;"'!B2:B1000")=$B60) * (INDIRECT("'"&amp;O$14&amp;"'!C2:C1000")=$C60)
        ),
        5,
        FALSE
    )=0,
    "",
    VLOOKUP(
        $A60,
        _xlfn._xlws.FILTER(
            INDIRECT("'"&amp;O$14&amp;"'!A2:E1000"), (INDIRECT("'"&amp;O$14&amp;"'!B2:B1000")=$B60) * (INDIRECT("'"&amp;O$14&amp;"'!C2:C1000")=$C60)
        ),
        5,
        FALSE
    )
)</f>
        <v>Enviado</v>
      </c>
      <c r="P60" s="100" t="str">
        <f t="array" aca="1" ref="P60" ca="1">IF(
    VLOOKUP(
        $A60,
        _xlfn._xlws.FILTER(
            INDIRECT("'"&amp;P$14&amp;"'!A2:E1000"), (INDIRECT("'"&amp;P$14&amp;"'!B2:B1000")=$B60) * (INDIRECT("'"&amp;P$14&amp;"'!C2:C1000")=$C60)
        ),
        5,
        FALSE
    )=0,
    "",
    VLOOKUP(
        $A60,
        _xlfn._xlws.FILTER(
            INDIRECT("'"&amp;P$14&amp;"'!A2:E1000"), (INDIRECT("'"&amp;P$14&amp;"'!B2:B1000")=$B60) * (INDIRECT("'"&amp;P$14&amp;"'!C2:C1000")=$C60)
        ),
        5,
        FALSE
    )
)</f>
        <v>Enviado</v>
      </c>
      <c r="Q60" s="100" t="str">
        <f t="array" aca="1" ref="Q60" ca="1">IF(
    VLOOKUP(
        $A60,
        _xlfn._xlws.FILTER(
            INDIRECT("'"&amp;Q$14&amp;"'!A2:E1000"), (INDIRECT("'"&amp;Q$14&amp;"'!B2:B1000")=$B60) * (INDIRECT("'"&amp;Q$14&amp;"'!C2:C1000")=$C60)
        ),
        5,
        FALSE
    )=0,
    "",
    VLOOKUP(
        $A60,
        _xlfn._xlws.FILTER(
            INDIRECT("'"&amp;Q$14&amp;"'!A2:E1000"), (INDIRECT("'"&amp;Q$14&amp;"'!B2:B1000")=$B60) * (INDIRECT("'"&amp;Q$14&amp;"'!C2:C1000")=$C60)
        ),
        5,
        FALSE
    )
)</f>
        <v/>
      </c>
    </row>
    <row r="61" spans="1:17" x14ac:dyDescent="0.25">
      <c r="A61" s="85" t="s">
        <v>42</v>
      </c>
      <c r="B61" s="79" t="s">
        <v>118</v>
      </c>
      <c r="C61" s="79">
        <v>1</v>
      </c>
      <c r="D61" s="100" t="str">
        <f t="array" aca="1" ref="D61" ca="1">IF(
    VLOOKUP(
        $A61,
        _xlfn._xlws.FILTER(
            INDIRECT("'"&amp;D$14&amp;"'!A2:E1000"), (INDIRECT("'"&amp;D$14&amp;"'!B2:B1000")=$B61) * (INDIRECT("'"&amp;D$14&amp;"'!C2:C1000")=$C61)
        ),
        5,
        FALSE
    )=0,
    "",
    VLOOKUP(
        $A61,
        _xlfn._xlws.FILTER(
            INDIRECT("'"&amp;D$14&amp;"'!A2:E1000"), (INDIRECT("'"&amp;D$14&amp;"'!B2:B1000")=$B61) * (INDIRECT("'"&amp;D$14&amp;"'!C2:C1000")=$C61)
        ),
        5,
        FALSE
    )
)</f>
        <v>Enviado</v>
      </c>
      <c r="E61" s="100" t="str">
        <f t="array" aca="1" ref="E61" ca="1">IF(
    VLOOKUP(
        $A61,
        _xlfn._xlws.FILTER(
            INDIRECT("'"&amp;E$14&amp;"'!A2:E1000"), (INDIRECT("'"&amp;E$14&amp;"'!B2:B1000")=$B61) * (INDIRECT("'"&amp;E$14&amp;"'!C2:C1000")=$C61)
        ),
        5,
        FALSE
    )=0,
    "",
    VLOOKUP(
        $A61,
        _xlfn._xlws.FILTER(
            INDIRECT("'"&amp;E$14&amp;"'!A2:E1000"), (INDIRECT("'"&amp;E$14&amp;"'!B2:B1000")=$B61) * (INDIRECT("'"&amp;E$14&amp;"'!C2:C1000")=$C61)
        ),
        5,
        FALSE
    )
)</f>
        <v>Enviado</v>
      </c>
      <c r="F61" s="100" t="str">
        <f t="array" aca="1" ref="F61" ca="1">IF(
    VLOOKUP(
        $A61,
        _xlfn._xlws.FILTER(
            INDIRECT("'"&amp;F$14&amp;"'!A2:E1000"), (INDIRECT("'"&amp;F$14&amp;"'!B2:B1000")=$B61) * (INDIRECT("'"&amp;F$14&amp;"'!C2:C1000")=$C61)
        ),
        5,
        FALSE
    )=0,
    "",
    VLOOKUP(
        $A61,
        _xlfn._xlws.FILTER(
            INDIRECT("'"&amp;F$14&amp;"'!A2:E1000"), (INDIRECT("'"&amp;F$14&amp;"'!B2:B1000")=$B61) * (INDIRECT("'"&amp;F$14&amp;"'!C2:C1000")=$C61)
        ),
        5,
        FALSE
    )
)</f>
        <v>Enviado</v>
      </c>
      <c r="G61" s="100" t="str">
        <f t="array" aca="1" ref="G61" ca="1">IF(
    VLOOKUP(
        $A61,
        _xlfn._xlws.FILTER(
            INDIRECT("'"&amp;G$14&amp;"'!A2:E1000"), (INDIRECT("'"&amp;G$14&amp;"'!B2:B1000")=$B61) * (INDIRECT("'"&amp;G$14&amp;"'!C2:C1000")=$C61)
        ),
        5,
        FALSE
    )=0,
    "",
    VLOOKUP(
        $A61,
        _xlfn._xlws.FILTER(
            INDIRECT("'"&amp;G$14&amp;"'!A2:E1000"), (INDIRECT("'"&amp;G$14&amp;"'!B2:B1000")=$B61) * (INDIRECT("'"&amp;G$14&amp;"'!C2:C1000")=$C61)
        ),
        5,
        FALSE
    )
)</f>
        <v>Enviado</v>
      </c>
      <c r="H61" s="100" t="str">
        <f t="array" aca="1" ref="H61" ca="1">IF(
    VLOOKUP(
        $A61,
        _xlfn._xlws.FILTER(
            INDIRECT("'"&amp;H$14&amp;"'!A2:E1000"), (INDIRECT("'"&amp;H$14&amp;"'!B2:B1000")=$B61) * (INDIRECT("'"&amp;H$14&amp;"'!C2:C1000")=$C61)
        ),
        5,
        FALSE
    )=0,
    "",
    VLOOKUP(
        $A61,
        _xlfn._xlws.FILTER(
            INDIRECT("'"&amp;H$14&amp;"'!A2:E1000"), (INDIRECT("'"&amp;H$14&amp;"'!B2:B1000")=$B61) * (INDIRECT("'"&amp;H$14&amp;"'!C2:C1000")=$C61)
        ),
        5,
        FALSE
    )
)</f>
        <v>Enviado</v>
      </c>
      <c r="I61" s="100" t="str">
        <f t="array" aca="1" ref="I61" ca="1">IF(
    VLOOKUP(
        $A61,
        _xlfn._xlws.FILTER(
            INDIRECT("'"&amp;I$14&amp;"'!A2:E1000"), (INDIRECT("'"&amp;I$14&amp;"'!B2:B1000")=$B61) * (INDIRECT("'"&amp;I$14&amp;"'!C2:C1000")=$C61)
        ),
        5,
        FALSE
    )=0,
    "",
    VLOOKUP(
        $A61,
        _xlfn._xlws.FILTER(
            INDIRECT("'"&amp;I$14&amp;"'!A2:E1000"), (INDIRECT("'"&amp;I$14&amp;"'!B2:B1000")=$B61) * (INDIRECT("'"&amp;I$14&amp;"'!C2:C1000")=$C61)
        ),
        5,
        FALSE
    )
)</f>
        <v>Enviado</v>
      </c>
      <c r="J61" s="100" t="str">
        <f t="array" aca="1" ref="J61" ca="1">IF(
    VLOOKUP(
        $A61,
        _xlfn._xlws.FILTER(
            INDIRECT("'"&amp;J$14&amp;"'!A2:E1000"), (INDIRECT("'"&amp;J$14&amp;"'!B2:B1000")=$B61) * (INDIRECT("'"&amp;J$14&amp;"'!C2:C1000")=$C61)
        ),
        5,
        FALSE
    )=0,
    "",
    VLOOKUP(
        $A61,
        _xlfn._xlws.FILTER(
            INDIRECT("'"&amp;J$14&amp;"'!A2:E1000"), (INDIRECT("'"&amp;J$14&amp;"'!B2:B1000")=$B61) * (INDIRECT("'"&amp;J$14&amp;"'!C2:C1000")=$C61)
        ),
        5,
        FALSE
    )
)</f>
        <v>Enviado</v>
      </c>
      <c r="K61" s="100" t="str">
        <f t="array" aca="1" ref="K61" ca="1">IF(
    VLOOKUP(
        $A61,
        _xlfn._xlws.FILTER(
            INDIRECT("'"&amp;K$14&amp;"'!A2:E1000"), (INDIRECT("'"&amp;K$14&amp;"'!B2:B1000")=$B61) * (INDIRECT("'"&amp;K$14&amp;"'!C2:C1000")=$C61)
        ),
        5,
        FALSE
    )=0,
    "",
    VLOOKUP(
        $A61,
        _xlfn._xlws.FILTER(
            INDIRECT("'"&amp;K$14&amp;"'!A2:E1000"), (INDIRECT("'"&amp;K$14&amp;"'!B2:B1000")=$B61) * (INDIRECT("'"&amp;K$14&amp;"'!C2:C1000")=$C61)
        ),
        5,
        FALSE
    )
)</f>
        <v>Enviado</v>
      </c>
      <c r="L61" s="100" t="str">
        <f t="array" ref="L61" ca="1">IF(
    VLOOKUP(
        $A61,
        _xlfn._xlws.FILTER(
            INDIRECT("'"&amp;L$14&amp;"'!A2:E1000"), (INDIRECT("'"&amp;L$14&amp;"'!B2:B1000")=$B61) * (INDIRECT("'"&amp;L$14&amp;"'!C2:C1000")=$C61)
        ),
        5,
        FALSE
    )=0,
    "",
    VLOOKUP(
        $A61,
        _xlfn._xlws.FILTER(
            INDIRECT("'"&amp;L$14&amp;"'!A2:E1000"), (INDIRECT("'"&amp;L$14&amp;"'!B2:B1000")=$B61) * (INDIRECT("'"&amp;L$14&amp;"'!C2:C1000")=$C61)
        ),
        5,
        FALSE
    )
)</f>
        <v>Enviado</v>
      </c>
      <c r="M61" s="100" t="str">
        <f t="array" aca="1" ref="M61" ca="1">IF(
    VLOOKUP(
        $A61,
        _xlfn._xlws.FILTER(
            INDIRECT("'"&amp;M$14&amp;"'!A2:E1000"), (INDIRECT("'"&amp;M$14&amp;"'!B2:B1000")=$B61) * (INDIRECT("'"&amp;M$14&amp;"'!C2:C1000")=$C61)
        ),
        5,
        FALSE
    )=0,
    "",
    VLOOKUP(
        $A61,
        _xlfn._xlws.FILTER(
            INDIRECT("'"&amp;M$14&amp;"'!A2:E1000"), (INDIRECT("'"&amp;M$14&amp;"'!B2:B1000")=$B61) * (INDIRECT("'"&amp;M$14&amp;"'!C2:C1000")=$C61)
        ),
        5,
        FALSE
    )
)</f>
        <v>Enviado</v>
      </c>
      <c r="N61" s="100" t="str">
        <f t="array" aca="1" ref="N61" ca="1">IF(
    VLOOKUP(
        $A61,
        _xlfn._xlws.FILTER(
            INDIRECT("'"&amp;N$14&amp;"'!A2:E1000"), (INDIRECT("'"&amp;N$14&amp;"'!B2:B1000")=$B61) * (INDIRECT("'"&amp;N$14&amp;"'!C2:C1000")=$C61)
        ),
        5,
        FALSE
    )=0,
    "",
    VLOOKUP(
        $A61,
        _xlfn._xlws.FILTER(
            INDIRECT("'"&amp;N$14&amp;"'!A2:E1000"), (INDIRECT("'"&amp;N$14&amp;"'!B2:B1000")=$B61) * (INDIRECT("'"&amp;N$14&amp;"'!C2:C1000")=$C61)
        ),
        5,
        FALSE
    )
)</f>
        <v>Enviado</v>
      </c>
      <c r="O61" s="100" t="str">
        <f t="array" aca="1" ref="O61" ca="1">IF(
    VLOOKUP(
        $A61,
        _xlfn._xlws.FILTER(
            INDIRECT("'"&amp;O$14&amp;"'!A2:E1000"), (INDIRECT("'"&amp;O$14&amp;"'!B2:B1000")=$B61) * (INDIRECT("'"&amp;O$14&amp;"'!C2:C1000")=$C61)
        ),
        5,
        FALSE
    )=0,
    "",
    VLOOKUP(
        $A61,
        _xlfn._xlws.FILTER(
            INDIRECT("'"&amp;O$14&amp;"'!A2:E1000"), (INDIRECT("'"&amp;O$14&amp;"'!B2:B1000")=$B61) * (INDIRECT("'"&amp;O$14&amp;"'!C2:C1000")=$C61)
        ),
        5,
        FALSE
    )
)</f>
        <v>Enviado</v>
      </c>
      <c r="P61" s="100" t="str">
        <f t="array" aca="1" ref="P61" ca="1">IF(
    VLOOKUP(
        $A61,
        _xlfn._xlws.FILTER(
            INDIRECT("'"&amp;P$14&amp;"'!A2:E1000"), (INDIRECT("'"&amp;P$14&amp;"'!B2:B1000")=$B61) * (INDIRECT("'"&amp;P$14&amp;"'!C2:C1000")=$C61)
        ),
        5,
        FALSE
    )=0,
    "",
    VLOOKUP(
        $A61,
        _xlfn._xlws.FILTER(
            INDIRECT("'"&amp;P$14&amp;"'!A2:E1000"), (INDIRECT("'"&amp;P$14&amp;"'!B2:B1000")=$B61) * (INDIRECT("'"&amp;P$14&amp;"'!C2:C1000")=$C61)
        ),
        5,
        FALSE
    )
)</f>
        <v>Atrasado</v>
      </c>
      <c r="Q61" s="100" t="str">
        <f t="array" aca="1" ref="Q61" ca="1">IF(
    VLOOKUP(
        $A61,
        _xlfn._xlws.FILTER(
            INDIRECT("'"&amp;Q$14&amp;"'!A2:E1000"), (INDIRECT("'"&amp;Q$14&amp;"'!B2:B1000")=$B61) * (INDIRECT("'"&amp;Q$14&amp;"'!C2:C1000")=$C61)
        ),
        5,
        FALSE
    )=0,
    "",
    VLOOKUP(
        $A61,
        _xlfn._xlws.FILTER(
            INDIRECT("'"&amp;Q$14&amp;"'!A2:E1000"), (INDIRECT("'"&amp;Q$14&amp;"'!B2:B1000")=$B61) * (INDIRECT("'"&amp;Q$14&amp;"'!C2:C1000")=$C61)
        ),
        5,
        FALSE
    )
)</f>
        <v/>
      </c>
    </row>
    <row r="62" spans="1:17" x14ac:dyDescent="0.25">
      <c r="A62" s="85" t="s">
        <v>42</v>
      </c>
      <c r="B62" s="79" t="s">
        <v>119</v>
      </c>
      <c r="C62" s="79">
        <v>1</v>
      </c>
      <c r="D62" s="100" t="str">
        <f t="array" aca="1" ref="D62" ca="1">IF(
    VLOOKUP(
        $A62,
        _xlfn._xlws.FILTER(
            INDIRECT("'"&amp;D$14&amp;"'!A2:E1000"), (INDIRECT("'"&amp;D$14&amp;"'!B2:B1000")=$B62) * (INDIRECT("'"&amp;D$14&amp;"'!C2:C1000")=$C62)
        ),
        5,
        FALSE
    )=0,
    "",
    VLOOKUP(
        $A62,
        _xlfn._xlws.FILTER(
            INDIRECT("'"&amp;D$14&amp;"'!A2:E1000"), (INDIRECT("'"&amp;D$14&amp;"'!B2:B1000")=$B62) * (INDIRECT("'"&amp;D$14&amp;"'!C2:C1000")=$C62)
        ),
        5,
        FALSE
    )
)</f>
        <v>Enviado</v>
      </c>
      <c r="E62" s="100" t="str">
        <f t="array" aca="1" ref="E62" ca="1">IF(
    VLOOKUP(
        $A62,
        _xlfn._xlws.FILTER(
            INDIRECT("'"&amp;E$14&amp;"'!A2:E1000"), (INDIRECT("'"&amp;E$14&amp;"'!B2:B1000")=$B62) * (INDIRECT("'"&amp;E$14&amp;"'!C2:C1000")=$C62)
        ),
        5,
        FALSE
    )=0,
    "",
    VLOOKUP(
        $A62,
        _xlfn._xlws.FILTER(
            INDIRECT("'"&amp;E$14&amp;"'!A2:E1000"), (INDIRECT("'"&amp;E$14&amp;"'!B2:B1000")=$B62) * (INDIRECT("'"&amp;E$14&amp;"'!C2:C1000")=$C62)
        ),
        5,
        FALSE
    )
)</f>
        <v>Enviado</v>
      </c>
      <c r="F62" s="100" t="str">
        <f t="array" aca="1" ref="F62" ca="1">IF(
    VLOOKUP(
        $A62,
        _xlfn._xlws.FILTER(
            INDIRECT("'"&amp;F$14&amp;"'!A2:E1000"), (INDIRECT("'"&amp;F$14&amp;"'!B2:B1000")=$B62) * (INDIRECT("'"&amp;F$14&amp;"'!C2:C1000")=$C62)
        ),
        5,
        FALSE
    )=0,
    "",
    VLOOKUP(
        $A62,
        _xlfn._xlws.FILTER(
            INDIRECT("'"&amp;F$14&amp;"'!A2:E1000"), (INDIRECT("'"&amp;F$14&amp;"'!B2:B1000")=$B62) * (INDIRECT("'"&amp;F$14&amp;"'!C2:C1000")=$C62)
        ),
        5,
        FALSE
    )
)</f>
        <v>Enviado</v>
      </c>
      <c r="G62" s="100" t="str">
        <f t="array" aca="1" ref="G62" ca="1">IF(
    VLOOKUP(
        $A62,
        _xlfn._xlws.FILTER(
            INDIRECT("'"&amp;G$14&amp;"'!A2:E1000"), (INDIRECT("'"&amp;G$14&amp;"'!B2:B1000")=$B62) * (INDIRECT("'"&amp;G$14&amp;"'!C2:C1000")=$C62)
        ),
        5,
        FALSE
    )=0,
    "",
    VLOOKUP(
        $A62,
        _xlfn._xlws.FILTER(
            INDIRECT("'"&amp;G$14&amp;"'!A2:E1000"), (INDIRECT("'"&amp;G$14&amp;"'!B2:B1000")=$B62) * (INDIRECT("'"&amp;G$14&amp;"'!C2:C1000")=$C62)
        ),
        5,
        FALSE
    )
)</f>
        <v>Enviado</v>
      </c>
      <c r="H62" s="100" t="str">
        <f t="array" aca="1" ref="H62" ca="1">IF(
    VLOOKUP(
        $A62,
        _xlfn._xlws.FILTER(
            INDIRECT("'"&amp;H$14&amp;"'!A2:E1000"), (INDIRECT("'"&amp;H$14&amp;"'!B2:B1000")=$B62) * (INDIRECT("'"&amp;H$14&amp;"'!C2:C1000")=$C62)
        ),
        5,
        FALSE
    )=0,
    "",
    VLOOKUP(
        $A62,
        _xlfn._xlws.FILTER(
            INDIRECT("'"&amp;H$14&amp;"'!A2:E1000"), (INDIRECT("'"&amp;H$14&amp;"'!B2:B1000")=$B62) * (INDIRECT("'"&amp;H$14&amp;"'!C2:C1000")=$C62)
        ),
        5,
        FALSE
    )
)</f>
        <v>Enviado</v>
      </c>
      <c r="I62" s="100" t="str">
        <f t="array" aca="1" ref="I62" ca="1">IF(
    VLOOKUP(
        $A62,
        _xlfn._xlws.FILTER(
            INDIRECT("'"&amp;I$14&amp;"'!A2:E1000"), (INDIRECT("'"&amp;I$14&amp;"'!B2:B1000")=$B62) * (INDIRECT("'"&amp;I$14&amp;"'!C2:C1000")=$C62)
        ),
        5,
        FALSE
    )=0,
    "",
    VLOOKUP(
        $A62,
        _xlfn._xlws.FILTER(
            INDIRECT("'"&amp;I$14&amp;"'!A2:E1000"), (INDIRECT("'"&amp;I$14&amp;"'!B2:B1000")=$B62) * (INDIRECT("'"&amp;I$14&amp;"'!C2:C1000")=$C62)
        ),
        5,
        FALSE
    )
)</f>
        <v>Enviado</v>
      </c>
      <c r="J62" s="100" t="str">
        <f t="array" aca="1" ref="J62" ca="1">IF(
    VLOOKUP(
        $A62,
        _xlfn._xlws.FILTER(
            INDIRECT("'"&amp;J$14&amp;"'!A2:E1000"), (INDIRECT("'"&amp;J$14&amp;"'!B2:B1000")=$B62) * (INDIRECT("'"&amp;J$14&amp;"'!C2:C1000")=$C62)
        ),
        5,
        FALSE
    )=0,
    "",
    VLOOKUP(
        $A62,
        _xlfn._xlws.FILTER(
            INDIRECT("'"&amp;J$14&amp;"'!A2:E1000"), (INDIRECT("'"&amp;J$14&amp;"'!B2:B1000")=$B62) * (INDIRECT("'"&amp;J$14&amp;"'!C2:C1000")=$C62)
        ),
        5,
        FALSE
    )
)</f>
        <v>Enviado</v>
      </c>
      <c r="K62" s="100" t="str">
        <f t="array" aca="1" ref="K62" ca="1">IF(
    VLOOKUP(
        $A62,
        _xlfn._xlws.FILTER(
            INDIRECT("'"&amp;K$14&amp;"'!A2:E1000"), (INDIRECT("'"&amp;K$14&amp;"'!B2:B1000")=$B62) * (INDIRECT("'"&amp;K$14&amp;"'!C2:C1000")=$C62)
        ),
        5,
        FALSE
    )=0,
    "",
    VLOOKUP(
        $A62,
        _xlfn._xlws.FILTER(
            INDIRECT("'"&amp;K$14&amp;"'!A2:E1000"), (INDIRECT("'"&amp;K$14&amp;"'!B2:B1000")=$B62) * (INDIRECT("'"&amp;K$14&amp;"'!C2:C1000")=$C62)
        ),
        5,
        FALSE
    )
)</f>
        <v>Enviado</v>
      </c>
      <c r="L62" s="100" t="str">
        <f t="array" aca="1" ref="L62" ca="1">IF(
    VLOOKUP(
        $A62,
        _xlfn._xlws.FILTER(
            INDIRECT("'"&amp;L$14&amp;"'!A2:E1000"), (INDIRECT("'"&amp;L$14&amp;"'!B2:B1000")=$B62) * (INDIRECT("'"&amp;L$14&amp;"'!C2:C1000")=$C62)
        ),
        5,
        FALSE
    )=0,
    "",
    VLOOKUP(
        $A62,
        _xlfn._xlws.FILTER(
            INDIRECT("'"&amp;L$14&amp;"'!A2:E1000"), (INDIRECT("'"&amp;L$14&amp;"'!B2:B1000")=$B62) * (INDIRECT("'"&amp;L$14&amp;"'!C2:C1000")=$C62)
        ),
        5,
        FALSE
    )
)</f>
        <v>Enviado</v>
      </c>
      <c r="M62" s="100" t="str">
        <f t="array" aca="1" ref="M62" ca="1">IF(
    VLOOKUP(
        $A62,
        _xlfn._xlws.FILTER(
            INDIRECT("'"&amp;M$14&amp;"'!A2:E1000"), (INDIRECT("'"&amp;M$14&amp;"'!B2:B1000")=$B62) * (INDIRECT("'"&amp;M$14&amp;"'!C2:C1000")=$C62)
        ),
        5,
        FALSE
    )=0,
    "",
    VLOOKUP(
        $A62,
        _xlfn._xlws.FILTER(
            INDIRECT("'"&amp;M$14&amp;"'!A2:E1000"), (INDIRECT("'"&amp;M$14&amp;"'!B2:B1000")=$B62) * (INDIRECT("'"&amp;M$14&amp;"'!C2:C1000")=$C62)
        ),
        5,
        FALSE
    )
)</f>
        <v>Enviado</v>
      </c>
      <c r="N62" s="100" t="str">
        <f t="array" aca="1" ref="N62" ca="1">IF(
    VLOOKUP(
        $A62,
        _xlfn._xlws.FILTER(
            INDIRECT("'"&amp;N$14&amp;"'!A2:E1000"), (INDIRECT("'"&amp;N$14&amp;"'!B2:B1000")=$B62) * (INDIRECT("'"&amp;N$14&amp;"'!C2:C1000")=$C62)
        ),
        5,
        FALSE
    )=0,
    "",
    VLOOKUP(
        $A62,
        _xlfn._xlws.FILTER(
            INDIRECT("'"&amp;N$14&amp;"'!A2:E1000"), (INDIRECT("'"&amp;N$14&amp;"'!B2:B1000")=$B62) * (INDIRECT("'"&amp;N$14&amp;"'!C2:C1000")=$C62)
        ),
        5,
        FALSE
    )
)</f>
        <v>Enviado</v>
      </c>
      <c r="O62" s="100" t="str">
        <f t="array" ref="O62" ca="1">IF(
    VLOOKUP(
        $A62,
        _xlfn._xlws.FILTER(
            INDIRECT("'"&amp;O$14&amp;"'!A2:E1000"), (INDIRECT("'"&amp;O$14&amp;"'!B2:B1000")=$B62) * (INDIRECT("'"&amp;O$14&amp;"'!C2:C1000")=$C62)
        ),
        5,
        FALSE
    )=0,
    "",
    VLOOKUP(
        $A62,
        _xlfn._xlws.FILTER(
            INDIRECT("'"&amp;O$14&amp;"'!A2:E1000"), (INDIRECT("'"&amp;O$14&amp;"'!B2:B1000")=$B62) * (INDIRECT("'"&amp;O$14&amp;"'!C2:C1000")=$C62)
        ),
        5,
        FALSE
    )
)</f>
        <v>Enviado</v>
      </c>
      <c r="P62" s="100" t="str">
        <f t="array" aca="1" ref="P62" ca="1">IF(
    VLOOKUP(
        $A62,
        _xlfn._xlws.FILTER(
            INDIRECT("'"&amp;P$14&amp;"'!A2:E1000"), (INDIRECT("'"&amp;P$14&amp;"'!B2:B1000")=$B62) * (INDIRECT("'"&amp;P$14&amp;"'!C2:C1000")=$C62)
        ),
        5,
        FALSE
    )=0,
    "",
    VLOOKUP(
        $A62,
        _xlfn._xlws.FILTER(
            INDIRECT("'"&amp;P$14&amp;"'!A2:E1000"), (INDIRECT("'"&amp;P$14&amp;"'!B2:B1000")=$B62) * (INDIRECT("'"&amp;P$14&amp;"'!C2:C1000")=$C62)
        ),
        5,
        FALSE
    )
)</f>
        <v>Atrasado</v>
      </c>
      <c r="Q62" s="100" t="str">
        <f t="array" aca="1" ref="Q62" ca="1">IF(
    VLOOKUP(
        $A62,
        _xlfn._xlws.FILTER(
            INDIRECT("'"&amp;Q$14&amp;"'!A2:E1000"), (INDIRECT("'"&amp;Q$14&amp;"'!B2:B1000")=$B62) * (INDIRECT("'"&amp;Q$14&amp;"'!C2:C1000")=$C62)
        ),
        5,
        FALSE
    )=0,
    "",
    VLOOKUP(
        $A62,
        _xlfn._xlws.FILTER(
            INDIRECT("'"&amp;Q$14&amp;"'!A2:E1000"), (INDIRECT("'"&amp;Q$14&amp;"'!B2:B1000")=$B62) * (INDIRECT("'"&amp;Q$14&amp;"'!C2:C1000")=$C62)
        ),
        5,
        FALSE
    )
)</f>
        <v/>
      </c>
    </row>
    <row r="63" spans="1:17" x14ac:dyDescent="0.25">
      <c r="A63" s="85" t="s">
        <v>42</v>
      </c>
      <c r="B63" s="79" t="s">
        <v>120</v>
      </c>
      <c r="C63" s="79">
        <v>1</v>
      </c>
      <c r="D63" s="100" t="str">
        <f t="array" aca="1" ref="D63" ca="1">IF(
    VLOOKUP(
        $A63,
        _xlfn._xlws.FILTER(
            INDIRECT("'"&amp;D$14&amp;"'!A2:E1000"), (INDIRECT("'"&amp;D$14&amp;"'!B2:B1000")=$B63) * (INDIRECT("'"&amp;D$14&amp;"'!C2:C1000")=$C63)
        ),
        5,
        FALSE
    )=0,
    "",
    VLOOKUP(
        $A63,
        _xlfn._xlws.FILTER(
            INDIRECT("'"&amp;D$14&amp;"'!A2:E1000"), (INDIRECT("'"&amp;D$14&amp;"'!B2:B1000")=$B63) * (INDIRECT("'"&amp;D$14&amp;"'!C2:C1000")=$C63)
        ),
        5,
        FALSE
    )
)</f>
        <v>Enviado</v>
      </c>
      <c r="E63" s="100" t="str">
        <f t="array" aca="1" ref="E63" ca="1">IF(
    VLOOKUP(
        $A63,
        _xlfn._xlws.FILTER(
            INDIRECT("'"&amp;E$14&amp;"'!A2:E1000"), (INDIRECT("'"&amp;E$14&amp;"'!B2:B1000")=$B63) * (INDIRECT("'"&amp;E$14&amp;"'!C2:C1000")=$C63)
        ),
        5,
        FALSE
    )=0,
    "",
    VLOOKUP(
        $A63,
        _xlfn._xlws.FILTER(
            INDIRECT("'"&amp;E$14&amp;"'!A2:E1000"), (INDIRECT("'"&amp;E$14&amp;"'!B2:B1000")=$B63) * (INDIRECT("'"&amp;E$14&amp;"'!C2:C1000")=$C63)
        ),
        5,
        FALSE
    )
)</f>
        <v>Enviado</v>
      </c>
      <c r="F63" s="100" t="str">
        <f t="array" aca="1" ref="F63" ca="1">IF(
    VLOOKUP(
        $A63,
        _xlfn._xlws.FILTER(
            INDIRECT("'"&amp;F$14&amp;"'!A2:E1000"), (INDIRECT("'"&amp;F$14&amp;"'!B2:B1000")=$B63) * (INDIRECT("'"&amp;F$14&amp;"'!C2:C1000")=$C63)
        ),
        5,
        FALSE
    )=0,
    "",
    VLOOKUP(
        $A63,
        _xlfn._xlws.FILTER(
            INDIRECT("'"&amp;F$14&amp;"'!A2:E1000"), (INDIRECT("'"&amp;F$14&amp;"'!B2:B1000")=$B63) * (INDIRECT("'"&amp;F$14&amp;"'!C2:C1000")=$C63)
        ),
        5,
        FALSE
    )
)</f>
        <v>Enviado</v>
      </c>
      <c r="G63" s="100" t="str">
        <f t="array" aca="1" ref="G63" ca="1">IF(
    VLOOKUP(
        $A63,
        _xlfn._xlws.FILTER(
            INDIRECT("'"&amp;G$14&amp;"'!A2:E1000"), (INDIRECT("'"&amp;G$14&amp;"'!B2:B1000")=$B63) * (INDIRECT("'"&amp;G$14&amp;"'!C2:C1000")=$C63)
        ),
        5,
        FALSE
    )=0,
    "",
    VLOOKUP(
        $A63,
        _xlfn._xlws.FILTER(
            INDIRECT("'"&amp;G$14&amp;"'!A2:E1000"), (INDIRECT("'"&amp;G$14&amp;"'!B2:B1000")=$B63) * (INDIRECT("'"&amp;G$14&amp;"'!C2:C1000")=$C63)
        ),
        5,
        FALSE
    )
)</f>
        <v>Enviado</v>
      </c>
      <c r="H63" s="100" t="str">
        <f t="array" ref="H63" ca="1">IF(
    VLOOKUP(
        $A63,
        _xlfn._xlws.FILTER(
            INDIRECT("'"&amp;H$14&amp;"'!A2:E1000"), (INDIRECT("'"&amp;H$14&amp;"'!B2:B1000")=$B63) * (INDIRECT("'"&amp;H$14&amp;"'!C2:C1000")=$C63)
        ),
        5,
        FALSE
    )=0,
    "",
    VLOOKUP(
        $A63,
        _xlfn._xlws.FILTER(
            INDIRECT("'"&amp;H$14&amp;"'!A2:E1000"), (INDIRECT("'"&amp;H$14&amp;"'!B2:B1000")=$B63) * (INDIRECT("'"&amp;H$14&amp;"'!C2:C1000")=$C63)
        ),
        5,
        FALSE
    )
)</f>
        <v>Enviado</v>
      </c>
      <c r="I63" s="100" t="str">
        <f t="array" aca="1" ref="I63" ca="1">IF(
    VLOOKUP(
        $A63,
        _xlfn._xlws.FILTER(
            INDIRECT("'"&amp;I$14&amp;"'!A2:E1000"), (INDIRECT("'"&amp;I$14&amp;"'!B2:B1000")=$B63) * (INDIRECT("'"&amp;I$14&amp;"'!C2:C1000")=$C63)
        ),
        5,
        FALSE
    )=0,
    "",
    VLOOKUP(
        $A63,
        _xlfn._xlws.FILTER(
            INDIRECT("'"&amp;I$14&amp;"'!A2:E1000"), (INDIRECT("'"&amp;I$14&amp;"'!B2:B1000")=$B63) * (INDIRECT("'"&amp;I$14&amp;"'!C2:C1000")=$C63)
        ),
        5,
        FALSE
    )
)</f>
        <v>Enviado</v>
      </c>
      <c r="J63" s="100" t="str">
        <f t="array" aca="1" ref="J63" ca="1">IF(
    VLOOKUP(
        $A63,
        _xlfn._xlws.FILTER(
            INDIRECT("'"&amp;J$14&amp;"'!A2:E1000"), (INDIRECT("'"&amp;J$14&amp;"'!B2:B1000")=$B63) * (INDIRECT("'"&amp;J$14&amp;"'!C2:C1000")=$C63)
        ),
        5,
        FALSE
    )=0,
    "",
    VLOOKUP(
        $A63,
        _xlfn._xlws.FILTER(
            INDIRECT("'"&amp;J$14&amp;"'!A2:E1000"), (INDIRECT("'"&amp;J$14&amp;"'!B2:B1000")=$B63) * (INDIRECT("'"&amp;J$14&amp;"'!C2:C1000")=$C63)
        ),
        5,
        FALSE
    )
)</f>
        <v>Enviado</v>
      </c>
      <c r="K63" s="100" t="str">
        <f t="array" aca="1" ref="K63" ca="1">IF(
    VLOOKUP(
        $A63,
        _xlfn._xlws.FILTER(
            INDIRECT("'"&amp;K$14&amp;"'!A2:E1000"), (INDIRECT("'"&amp;K$14&amp;"'!B2:B1000")=$B63) * (INDIRECT("'"&amp;K$14&amp;"'!C2:C1000")=$C63)
        ),
        5,
        FALSE
    )=0,
    "",
    VLOOKUP(
        $A63,
        _xlfn._xlws.FILTER(
            INDIRECT("'"&amp;K$14&amp;"'!A2:E1000"), (INDIRECT("'"&amp;K$14&amp;"'!B2:B1000")=$B63) * (INDIRECT("'"&amp;K$14&amp;"'!C2:C1000")=$C63)
        ),
        5,
        FALSE
    )
)</f>
        <v>Enviado</v>
      </c>
      <c r="L63" s="100" t="str">
        <f t="array" aca="1" ref="L63" ca="1">IF(
    VLOOKUP(
        $A63,
        _xlfn._xlws.FILTER(
            INDIRECT("'"&amp;L$14&amp;"'!A2:E1000"), (INDIRECT("'"&amp;L$14&amp;"'!B2:B1000")=$B63) * (INDIRECT("'"&amp;L$14&amp;"'!C2:C1000")=$C63)
        ),
        5,
        FALSE
    )=0,
    "",
    VLOOKUP(
        $A63,
        _xlfn._xlws.FILTER(
            INDIRECT("'"&amp;L$14&amp;"'!A2:E1000"), (INDIRECT("'"&amp;L$14&amp;"'!B2:B1000")=$B63) * (INDIRECT("'"&amp;L$14&amp;"'!C2:C1000")=$C63)
        ),
        5,
        FALSE
    )
)</f>
        <v>Enviado</v>
      </c>
      <c r="M63" s="100" t="str">
        <f t="array" aca="1" ref="M63" ca="1">IF(
    VLOOKUP(
        $A63,
        _xlfn._xlws.FILTER(
            INDIRECT("'"&amp;M$14&amp;"'!A2:E1000"), (INDIRECT("'"&amp;M$14&amp;"'!B2:B1000")=$B63) * (INDIRECT("'"&amp;M$14&amp;"'!C2:C1000")=$C63)
        ),
        5,
        FALSE
    )=0,
    "",
    VLOOKUP(
        $A63,
        _xlfn._xlws.FILTER(
            INDIRECT("'"&amp;M$14&amp;"'!A2:E1000"), (INDIRECT("'"&amp;M$14&amp;"'!B2:B1000")=$B63) * (INDIRECT("'"&amp;M$14&amp;"'!C2:C1000")=$C63)
        ),
        5,
        FALSE
    )
)</f>
        <v>Enviado</v>
      </c>
      <c r="N63" s="100" t="str">
        <f t="array" aca="1" ref="N63" ca="1">IF(
    VLOOKUP(
        $A63,
        _xlfn._xlws.FILTER(
            INDIRECT("'"&amp;N$14&amp;"'!A2:E1000"), (INDIRECT("'"&amp;N$14&amp;"'!B2:B1000")=$B63) * (INDIRECT("'"&amp;N$14&amp;"'!C2:C1000")=$C63)
        ),
        5,
        FALSE
    )=0,
    "",
    VLOOKUP(
        $A63,
        _xlfn._xlws.FILTER(
            INDIRECT("'"&amp;N$14&amp;"'!A2:E1000"), (INDIRECT("'"&amp;N$14&amp;"'!B2:B1000")=$B63) * (INDIRECT("'"&amp;N$14&amp;"'!C2:C1000")=$C63)
        ),
        5,
        FALSE
    )
)</f>
        <v>Enviado</v>
      </c>
      <c r="O63" s="100" t="str">
        <f t="array" aca="1" ref="O63" ca="1">IF(
    VLOOKUP(
        $A63,
        _xlfn._xlws.FILTER(
            INDIRECT("'"&amp;O$14&amp;"'!A2:E1000"), (INDIRECT("'"&amp;O$14&amp;"'!B2:B1000")=$B63) * (INDIRECT("'"&amp;O$14&amp;"'!C2:C1000")=$C63)
        ),
        5,
        FALSE
    )=0,
    "",
    VLOOKUP(
        $A63,
        _xlfn._xlws.FILTER(
            INDIRECT("'"&amp;O$14&amp;"'!A2:E1000"), (INDIRECT("'"&amp;O$14&amp;"'!B2:B1000")=$B63) * (INDIRECT("'"&amp;O$14&amp;"'!C2:C1000")=$C63)
        ),
        5,
        FALSE
    )
)</f>
        <v>Enviado</v>
      </c>
      <c r="P63" s="100" t="str">
        <f t="array" aca="1" ref="P63" ca="1">IF(
    VLOOKUP(
        $A63,
        _xlfn._xlws.FILTER(
            INDIRECT("'"&amp;P$14&amp;"'!A2:E1000"), (INDIRECT("'"&amp;P$14&amp;"'!B2:B1000")=$B63) * (INDIRECT("'"&amp;P$14&amp;"'!C2:C1000")=$C63)
        ),
        5,
        FALSE
    )=0,
    "",
    VLOOKUP(
        $A63,
        _xlfn._xlws.FILTER(
            INDIRECT("'"&amp;P$14&amp;"'!A2:E1000"), (INDIRECT("'"&amp;P$14&amp;"'!B2:B1000")=$B63) * (INDIRECT("'"&amp;P$14&amp;"'!C2:C1000")=$C63)
        ),
        5,
        FALSE
    )
)</f>
        <v>Enviado</v>
      </c>
      <c r="Q63" s="100" t="str">
        <f t="array" aca="1" ref="Q63" ca="1">IF(
    VLOOKUP(
        $A63,
        _xlfn._xlws.FILTER(
            INDIRECT("'"&amp;Q$14&amp;"'!A2:E1000"), (INDIRECT("'"&amp;Q$14&amp;"'!B2:B1000")=$B63) * (INDIRECT("'"&amp;Q$14&amp;"'!C2:C1000")=$C63)
        ),
        5,
        FALSE
    )=0,
    "",
    VLOOKUP(
        $A63,
        _xlfn._xlws.FILTER(
            INDIRECT("'"&amp;Q$14&amp;"'!A2:E1000"), (INDIRECT("'"&amp;Q$14&amp;"'!B2:B1000")=$B63) * (INDIRECT("'"&amp;Q$14&amp;"'!C2:C1000")=$C63)
        ),
        5,
        FALSE
    )
)</f>
        <v/>
      </c>
    </row>
    <row r="64" spans="1:17" x14ac:dyDescent="0.25">
      <c r="A64" s="85" t="s">
        <v>42</v>
      </c>
      <c r="B64" s="79" t="s">
        <v>121</v>
      </c>
      <c r="C64" s="79">
        <v>1</v>
      </c>
      <c r="D64" s="100" t="str">
        <f t="array" aca="1" ref="D64" ca="1">IF(
    VLOOKUP(
        $A64,
        _xlfn._xlws.FILTER(
            INDIRECT("'"&amp;D$14&amp;"'!A2:E1000"), (INDIRECT("'"&amp;D$14&amp;"'!B2:B1000")=$B64) * (INDIRECT("'"&amp;D$14&amp;"'!C2:C1000")=$C64)
        ),
        5,
        FALSE
    )=0,
    "",
    VLOOKUP(
        $A64,
        _xlfn._xlws.FILTER(
            INDIRECT("'"&amp;D$14&amp;"'!A2:E1000"), (INDIRECT("'"&amp;D$14&amp;"'!B2:B1000")=$B64) * (INDIRECT("'"&amp;D$14&amp;"'!C2:C1000")=$C64)
        ),
        5,
        FALSE
    )
)</f>
        <v>Enviado</v>
      </c>
      <c r="E64" s="100" t="str">
        <f t="array" aca="1" ref="E64" ca="1">IF(
    VLOOKUP(
        $A64,
        _xlfn._xlws.FILTER(
            INDIRECT("'"&amp;E$14&amp;"'!A2:E1000"), (INDIRECT("'"&amp;E$14&amp;"'!B2:B1000")=$B64) * (INDIRECT("'"&amp;E$14&amp;"'!C2:C1000")=$C64)
        ),
        5,
        FALSE
    )=0,
    "",
    VLOOKUP(
        $A64,
        _xlfn._xlws.FILTER(
            INDIRECT("'"&amp;E$14&amp;"'!A2:E1000"), (INDIRECT("'"&amp;E$14&amp;"'!B2:B1000")=$B64) * (INDIRECT("'"&amp;E$14&amp;"'!C2:C1000")=$C64)
        ),
        5,
        FALSE
    )
)</f>
        <v>Enviado</v>
      </c>
      <c r="F64" s="100" t="str">
        <f t="array" aca="1" ref="F64" ca="1">IF(
    VLOOKUP(
        $A64,
        _xlfn._xlws.FILTER(
            INDIRECT("'"&amp;F$14&amp;"'!A2:E1000"), (INDIRECT("'"&amp;F$14&amp;"'!B2:B1000")=$B64) * (INDIRECT("'"&amp;F$14&amp;"'!C2:C1000")=$C64)
        ),
        5,
        FALSE
    )=0,
    "",
    VLOOKUP(
        $A64,
        _xlfn._xlws.FILTER(
            INDIRECT("'"&amp;F$14&amp;"'!A2:E1000"), (INDIRECT("'"&amp;F$14&amp;"'!B2:B1000")=$B64) * (INDIRECT("'"&amp;F$14&amp;"'!C2:C1000")=$C64)
        ),
        5,
        FALSE
    )
)</f>
        <v>Enviado</v>
      </c>
      <c r="G64" s="100" t="str">
        <f t="array" aca="1" ref="G64" ca="1">IF(
    VLOOKUP(
        $A64,
        _xlfn._xlws.FILTER(
            INDIRECT("'"&amp;G$14&amp;"'!A2:E1000"), (INDIRECT("'"&amp;G$14&amp;"'!B2:B1000")=$B64) * (INDIRECT("'"&amp;G$14&amp;"'!C2:C1000")=$C64)
        ),
        5,
        FALSE
    )=0,
    "",
    VLOOKUP(
        $A64,
        _xlfn._xlws.FILTER(
            INDIRECT("'"&amp;G$14&amp;"'!A2:E1000"), (INDIRECT("'"&amp;G$14&amp;"'!B2:B1000")=$B64) * (INDIRECT("'"&amp;G$14&amp;"'!C2:C1000")=$C64)
        ),
        5,
        FALSE
    )
)</f>
        <v>Enviado</v>
      </c>
      <c r="H64" s="100" t="str">
        <f t="array" aca="1" ref="H64" ca="1">IF(
    VLOOKUP(
        $A64,
        _xlfn._xlws.FILTER(
            INDIRECT("'"&amp;H$14&amp;"'!A2:E1000"), (INDIRECT("'"&amp;H$14&amp;"'!B2:B1000")=$B64) * (INDIRECT("'"&amp;H$14&amp;"'!C2:C1000")=$C64)
        ),
        5,
        FALSE
    )=0,
    "",
    VLOOKUP(
        $A64,
        _xlfn._xlws.FILTER(
            INDIRECT("'"&amp;H$14&amp;"'!A2:E1000"), (INDIRECT("'"&amp;H$14&amp;"'!B2:B1000")=$B64) * (INDIRECT("'"&amp;H$14&amp;"'!C2:C1000")=$C64)
        ),
        5,
        FALSE
    )
)</f>
        <v>Enviado</v>
      </c>
      <c r="I64" s="100" t="str">
        <f t="array" aca="1" ref="I64" ca="1">IF(
    VLOOKUP(
        $A64,
        _xlfn._xlws.FILTER(
            INDIRECT("'"&amp;I$14&amp;"'!A2:E1000"), (INDIRECT("'"&amp;I$14&amp;"'!B2:B1000")=$B64) * (INDIRECT("'"&amp;I$14&amp;"'!C2:C1000")=$C64)
        ),
        5,
        FALSE
    )=0,
    "",
    VLOOKUP(
        $A64,
        _xlfn._xlws.FILTER(
            INDIRECT("'"&amp;I$14&amp;"'!A2:E1000"), (INDIRECT("'"&amp;I$14&amp;"'!B2:B1000")=$B64) * (INDIRECT("'"&amp;I$14&amp;"'!C2:C1000")=$C64)
        ),
        5,
        FALSE
    )
)</f>
        <v>Enviado</v>
      </c>
      <c r="J64" s="100" t="str">
        <f t="array" aca="1" ref="J64" ca="1">IF(
    VLOOKUP(
        $A64,
        _xlfn._xlws.FILTER(
            INDIRECT("'"&amp;J$14&amp;"'!A2:E1000"), (INDIRECT("'"&amp;J$14&amp;"'!B2:B1000")=$B64) * (INDIRECT("'"&amp;J$14&amp;"'!C2:C1000")=$C64)
        ),
        5,
        FALSE
    )=0,
    "",
    VLOOKUP(
        $A64,
        _xlfn._xlws.FILTER(
            INDIRECT("'"&amp;J$14&amp;"'!A2:E1000"), (INDIRECT("'"&amp;J$14&amp;"'!B2:B1000")=$B64) * (INDIRECT("'"&amp;J$14&amp;"'!C2:C1000")=$C64)
        ),
        5,
        FALSE
    )
)</f>
        <v>Enviado</v>
      </c>
      <c r="K64" s="100" t="str">
        <f t="array" aca="1" ref="K64" ca="1">IF(
    VLOOKUP(
        $A64,
        _xlfn._xlws.FILTER(
            INDIRECT("'"&amp;K$14&amp;"'!A2:E1000"), (INDIRECT("'"&amp;K$14&amp;"'!B2:B1000")=$B64) * (INDIRECT("'"&amp;K$14&amp;"'!C2:C1000")=$C64)
        ),
        5,
        FALSE
    )=0,
    "",
    VLOOKUP(
        $A64,
        _xlfn._xlws.FILTER(
            INDIRECT("'"&amp;K$14&amp;"'!A2:E1000"), (INDIRECT("'"&amp;K$14&amp;"'!B2:B1000")=$B64) * (INDIRECT("'"&amp;K$14&amp;"'!C2:C1000")=$C64)
        ),
        5,
        FALSE
    )
)</f>
        <v>Enviado</v>
      </c>
      <c r="L64" s="100" t="str">
        <f t="array" aca="1" ref="L64" ca="1">IF(
    VLOOKUP(
        $A64,
        _xlfn._xlws.FILTER(
            INDIRECT("'"&amp;L$14&amp;"'!A2:E1000"), (INDIRECT("'"&amp;L$14&amp;"'!B2:B1000")=$B64) * (INDIRECT("'"&amp;L$14&amp;"'!C2:C1000")=$C64)
        ),
        5,
        FALSE
    )=0,
    "",
    VLOOKUP(
        $A64,
        _xlfn._xlws.FILTER(
            INDIRECT("'"&amp;L$14&amp;"'!A2:E1000"), (INDIRECT("'"&amp;L$14&amp;"'!B2:B1000")=$B64) * (INDIRECT("'"&amp;L$14&amp;"'!C2:C1000")=$C64)
        ),
        5,
        FALSE
    )
)</f>
        <v>Enviado</v>
      </c>
      <c r="M64" s="100" t="str">
        <f t="array" aca="1" ref="M64" ca="1">IF(
    VLOOKUP(
        $A64,
        _xlfn._xlws.FILTER(
            INDIRECT("'"&amp;M$14&amp;"'!A2:E1000"), (INDIRECT("'"&amp;M$14&amp;"'!B2:B1000")=$B64) * (INDIRECT("'"&amp;M$14&amp;"'!C2:C1000")=$C64)
        ),
        5,
        FALSE
    )=0,
    "",
    VLOOKUP(
        $A64,
        _xlfn._xlws.FILTER(
            INDIRECT("'"&amp;M$14&amp;"'!A2:E1000"), (INDIRECT("'"&amp;M$14&amp;"'!B2:B1000")=$B64) * (INDIRECT("'"&amp;M$14&amp;"'!C2:C1000")=$C64)
        ),
        5,
        FALSE
    )
)</f>
        <v>Enviado</v>
      </c>
      <c r="N64" s="100" t="str">
        <f t="array" aca="1" ref="N64" ca="1">IF(
    VLOOKUP(
        $A64,
        _xlfn._xlws.FILTER(
            INDIRECT("'"&amp;N$14&amp;"'!A2:E1000"), (INDIRECT("'"&amp;N$14&amp;"'!B2:B1000")=$B64) * (INDIRECT("'"&amp;N$14&amp;"'!C2:C1000")=$C64)
        ),
        5,
        FALSE
    )=0,
    "",
    VLOOKUP(
        $A64,
        _xlfn._xlws.FILTER(
            INDIRECT("'"&amp;N$14&amp;"'!A2:E1000"), (INDIRECT("'"&amp;N$14&amp;"'!B2:B1000")=$B64) * (INDIRECT("'"&amp;N$14&amp;"'!C2:C1000")=$C64)
        ),
        5,
        FALSE
    )
)</f>
        <v>Enviado</v>
      </c>
      <c r="O64" s="100" t="str">
        <f t="array" aca="1" ref="O64" ca="1">IF(
    VLOOKUP(
        $A64,
        _xlfn._xlws.FILTER(
            INDIRECT("'"&amp;O$14&amp;"'!A2:E1000"), (INDIRECT("'"&amp;O$14&amp;"'!B2:B1000")=$B64) * (INDIRECT("'"&amp;O$14&amp;"'!C2:C1000")=$C64)
        ),
        5,
        FALSE
    )=0,
    "",
    VLOOKUP(
        $A64,
        _xlfn._xlws.FILTER(
            INDIRECT("'"&amp;O$14&amp;"'!A2:E1000"), (INDIRECT("'"&amp;O$14&amp;"'!B2:B1000")=$B64) * (INDIRECT("'"&amp;O$14&amp;"'!C2:C1000")=$C64)
        ),
        5,
        FALSE
    )
)</f>
        <v>Enviado</v>
      </c>
      <c r="P64" s="100" t="str">
        <f t="array" aca="1" ref="P64" ca="1">IF(
    VLOOKUP(
        $A64,
        _xlfn._xlws.FILTER(
            INDIRECT("'"&amp;P$14&amp;"'!A2:E1000"), (INDIRECT("'"&amp;P$14&amp;"'!B2:B1000")=$B64) * (INDIRECT("'"&amp;P$14&amp;"'!C2:C1000")=$C64)
        ),
        5,
        FALSE
    )=0,
    "",
    VLOOKUP(
        $A64,
        _xlfn._xlws.FILTER(
            INDIRECT("'"&amp;P$14&amp;"'!A2:E1000"), (INDIRECT("'"&amp;P$14&amp;"'!B2:B1000")=$B64) * (INDIRECT("'"&amp;P$14&amp;"'!C2:C1000")=$C64)
        ),
        5,
        FALSE
    )
)</f>
        <v>Enviado</v>
      </c>
      <c r="Q64" s="100" t="str">
        <f t="array" aca="1" ref="Q64" ca="1">IF(
    VLOOKUP(
        $A64,
        _xlfn._xlws.FILTER(
            INDIRECT("'"&amp;Q$14&amp;"'!A2:E1000"), (INDIRECT("'"&amp;Q$14&amp;"'!B2:B1000")=$B64) * (INDIRECT("'"&amp;Q$14&amp;"'!C2:C1000")=$C64)
        ),
        5,
        FALSE
    )=0,
    "",
    VLOOKUP(
        $A64,
        _xlfn._xlws.FILTER(
            INDIRECT("'"&amp;Q$14&amp;"'!A2:E1000"), (INDIRECT("'"&amp;Q$14&amp;"'!B2:B1000")=$B64) * (INDIRECT("'"&amp;Q$14&amp;"'!C2:C1000")=$C64)
        ),
        5,
        FALSE
    )
)</f>
        <v/>
      </c>
    </row>
    <row r="65" spans="1:17" x14ac:dyDescent="0.25">
      <c r="A65" s="85" t="s">
        <v>42</v>
      </c>
      <c r="B65" s="79" t="s">
        <v>122</v>
      </c>
      <c r="C65" s="79">
        <v>1</v>
      </c>
      <c r="D65" s="100" t="str">
        <f t="array" aca="1" ref="D65" ca="1">IF(
    VLOOKUP(
        $A65,
        _xlfn._xlws.FILTER(
            INDIRECT("'"&amp;D$14&amp;"'!A2:E1000"), (INDIRECT("'"&amp;D$14&amp;"'!B2:B1000")=$B65) * (INDIRECT("'"&amp;D$14&amp;"'!C2:C1000")=$C65)
        ),
        5,
        FALSE
    )=0,
    "",
    VLOOKUP(
        $A65,
        _xlfn._xlws.FILTER(
            INDIRECT("'"&amp;D$14&amp;"'!A2:E1000"), (INDIRECT("'"&amp;D$14&amp;"'!B2:B1000")=$B65) * (INDIRECT("'"&amp;D$14&amp;"'!C2:C1000")=$C65)
        ),
        5,
        FALSE
    )
)</f>
        <v>Enviado</v>
      </c>
      <c r="E65" s="100" t="str">
        <f t="array" ref="E65" ca="1">IF(
    VLOOKUP(
        $A65,
        _xlfn._xlws.FILTER(
            INDIRECT("'"&amp;E$14&amp;"'!A2:E1000"), (INDIRECT("'"&amp;E$14&amp;"'!B2:B1000")=$B65) * (INDIRECT("'"&amp;E$14&amp;"'!C2:C1000")=$C65)
        ),
        5,
        FALSE
    )=0,
    "",
    VLOOKUP(
        $A65,
        _xlfn._xlws.FILTER(
            INDIRECT("'"&amp;E$14&amp;"'!A2:E1000"), (INDIRECT("'"&amp;E$14&amp;"'!B2:B1000")=$B65) * (INDIRECT("'"&amp;E$14&amp;"'!C2:C1000")=$C65)
        ),
        5,
        FALSE
    )
)</f>
        <v>Enviado</v>
      </c>
      <c r="F65" s="100" t="str">
        <f t="array" aca="1" ref="F65" ca="1">IF(
    VLOOKUP(
        $A65,
        _xlfn._xlws.FILTER(
            INDIRECT("'"&amp;F$14&amp;"'!A2:E1000"), (INDIRECT("'"&amp;F$14&amp;"'!B2:B1000")=$B65) * (INDIRECT("'"&amp;F$14&amp;"'!C2:C1000")=$C65)
        ),
        5,
        FALSE
    )=0,
    "",
    VLOOKUP(
        $A65,
        _xlfn._xlws.FILTER(
            INDIRECT("'"&amp;F$14&amp;"'!A2:E1000"), (INDIRECT("'"&amp;F$14&amp;"'!B2:B1000")=$B65) * (INDIRECT("'"&amp;F$14&amp;"'!C2:C1000")=$C65)
        ),
        5,
        FALSE
    )
)</f>
        <v>Enviado</v>
      </c>
      <c r="G65" s="100" t="str">
        <f t="array" aca="1" ref="G65" ca="1">IF(
    VLOOKUP(
        $A65,
        _xlfn._xlws.FILTER(
            INDIRECT("'"&amp;G$14&amp;"'!A2:E1000"), (INDIRECT("'"&amp;G$14&amp;"'!B2:B1000")=$B65) * (INDIRECT("'"&amp;G$14&amp;"'!C2:C1000")=$C65)
        ),
        5,
        FALSE
    )=0,
    "",
    VLOOKUP(
        $A65,
        _xlfn._xlws.FILTER(
            INDIRECT("'"&amp;G$14&amp;"'!A2:E1000"), (INDIRECT("'"&amp;G$14&amp;"'!B2:B1000")=$B65) * (INDIRECT("'"&amp;G$14&amp;"'!C2:C1000")=$C65)
        ),
        5,
        FALSE
    )
)</f>
        <v>Enviado</v>
      </c>
      <c r="H65" s="100" t="str">
        <f t="array" aca="1" ref="H65" ca="1">IF(
    VLOOKUP(
        $A65,
        _xlfn._xlws.FILTER(
            INDIRECT("'"&amp;H$14&amp;"'!A2:E1000"), (INDIRECT("'"&amp;H$14&amp;"'!B2:B1000")=$B65) * (INDIRECT("'"&amp;H$14&amp;"'!C2:C1000")=$C65)
        ),
        5,
        FALSE
    )=0,
    "",
    VLOOKUP(
        $A65,
        _xlfn._xlws.FILTER(
            INDIRECT("'"&amp;H$14&amp;"'!A2:E1000"), (INDIRECT("'"&amp;H$14&amp;"'!B2:B1000")=$B65) * (INDIRECT("'"&amp;H$14&amp;"'!C2:C1000")=$C65)
        ),
        5,
        FALSE
    )
)</f>
        <v>Enviado</v>
      </c>
      <c r="I65" s="100" t="str">
        <f t="array" aca="1" ref="I65" ca="1">IF(
    VLOOKUP(
        $A65,
        _xlfn._xlws.FILTER(
            INDIRECT("'"&amp;I$14&amp;"'!A2:E1000"), (INDIRECT("'"&amp;I$14&amp;"'!B2:B1000")=$B65) * (INDIRECT("'"&amp;I$14&amp;"'!C2:C1000")=$C65)
        ),
        5,
        FALSE
    )=0,
    "",
    VLOOKUP(
        $A65,
        _xlfn._xlws.FILTER(
            INDIRECT("'"&amp;I$14&amp;"'!A2:E1000"), (INDIRECT("'"&amp;I$14&amp;"'!B2:B1000")=$B65) * (INDIRECT("'"&amp;I$14&amp;"'!C2:C1000")=$C65)
        ),
        5,
        FALSE
    )
)</f>
        <v>Enviado</v>
      </c>
      <c r="J65" s="100" t="str">
        <f t="array" aca="1" ref="J65" ca="1">IF(
    VLOOKUP(
        $A65,
        _xlfn._xlws.FILTER(
            INDIRECT("'"&amp;J$14&amp;"'!A2:E1000"), (INDIRECT("'"&amp;J$14&amp;"'!B2:B1000")=$B65) * (INDIRECT("'"&amp;J$14&amp;"'!C2:C1000")=$C65)
        ),
        5,
        FALSE
    )=0,
    "",
    VLOOKUP(
        $A65,
        _xlfn._xlws.FILTER(
            INDIRECT("'"&amp;J$14&amp;"'!A2:E1000"), (INDIRECT("'"&amp;J$14&amp;"'!B2:B1000")=$B65) * (INDIRECT("'"&amp;J$14&amp;"'!C2:C1000")=$C65)
        ),
        5,
        FALSE
    )
)</f>
        <v>Enviado</v>
      </c>
      <c r="K65" s="100" t="str">
        <f t="array" aca="1" ref="K65" ca="1">IF(
    VLOOKUP(
        $A65,
        _xlfn._xlws.FILTER(
            INDIRECT("'"&amp;K$14&amp;"'!A2:E1000"), (INDIRECT("'"&amp;K$14&amp;"'!B2:B1000")=$B65) * (INDIRECT("'"&amp;K$14&amp;"'!C2:C1000")=$C65)
        ),
        5,
        FALSE
    )=0,
    "",
    VLOOKUP(
        $A65,
        _xlfn._xlws.FILTER(
            INDIRECT("'"&amp;K$14&amp;"'!A2:E1000"), (INDIRECT("'"&amp;K$14&amp;"'!B2:B1000")=$B65) * (INDIRECT("'"&amp;K$14&amp;"'!C2:C1000")=$C65)
        ),
        5,
        FALSE
    )
)</f>
        <v>Enviado</v>
      </c>
      <c r="L65" s="100" t="str">
        <f t="array" aca="1" ref="L65" ca="1">IF(
    VLOOKUP(
        $A65,
        _xlfn._xlws.FILTER(
            INDIRECT("'"&amp;L$14&amp;"'!A2:E1000"), (INDIRECT("'"&amp;L$14&amp;"'!B2:B1000")=$B65) * (INDIRECT("'"&amp;L$14&amp;"'!C2:C1000")=$C65)
        ),
        5,
        FALSE
    )=0,
    "",
    VLOOKUP(
        $A65,
        _xlfn._xlws.FILTER(
            INDIRECT("'"&amp;L$14&amp;"'!A2:E1000"), (INDIRECT("'"&amp;L$14&amp;"'!B2:B1000")=$B65) * (INDIRECT("'"&amp;L$14&amp;"'!C2:C1000")=$C65)
        ),
        5,
        FALSE
    )
)</f>
        <v>Enviado</v>
      </c>
      <c r="M65" s="100" t="str">
        <f t="array" aca="1" ref="M65" ca="1">IF(
    VLOOKUP(
        $A65,
        _xlfn._xlws.FILTER(
            INDIRECT("'"&amp;M$14&amp;"'!A2:E1000"), (INDIRECT("'"&amp;M$14&amp;"'!B2:B1000")=$B65) * (INDIRECT("'"&amp;M$14&amp;"'!C2:C1000")=$C65)
        ),
        5,
        FALSE
    )=0,
    "",
    VLOOKUP(
        $A65,
        _xlfn._xlws.FILTER(
            INDIRECT("'"&amp;M$14&amp;"'!A2:E1000"), (INDIRECT("'"&amp;M$14&amp;"'!B2:B1000")=$B65) * (INDIRECT("'"&amp;M$14&amp;"'!C2:C1000")=$C65)
        ),
        5,
        FALSE
    )
)</f>
        <v>Enviado</v>
      </c>
      <c r="N65" s="100" t="str">
        <f t="array" aca="1" ref="N65" ca="1">IF(
    VLOOKUP(
        $A65,
        _xlfn._xlws.FILTER(
            INDIRECT("'"&amp;N$14&amp;"'!A2:E1000"), (INDIRECT("'"&amp;N$14&amp;"'!B2:B1000")=$B65) * (INDIRECT("'"&amp;N$14&amp;"'!C2:C1000")=$C65)
        ),
        5,
        FALSE
    )=0,
    "",
    VLOOKUP(
        $A65,
        _xlfn._xlws.FILTER(
            INDIRECT("'"&amp;N$14&amp;"'!A2:E1000"), (INDIRECT("'"&amp;N$14&amp;"'!B2:B1000")=$B65) * (INDIRECT("'"&amp;N$14&amp;"'!C2:C1000")=$C65)
        ),
        5,
        FALSE
    )
)</f>
        <v>Enviado</v>
      </c>
      <c r="O65" s="100" t="str">
        <f t="array" aca="1" ref="O65" ca="1">IF(
    VLOOKUP(
        $A65,
        _xlfn._xlws.FILTER(
            INDIRECT("'"&amp;O$14&amp;"'!A2:E1000"), (INDIRECT("'"&amp;O$14&amp;"'!B2:B1000")=$B65) * (INDIRECT("'"&amp;O$14&amp;"'!C2:C1000")=$C65)
        ),
        5,
        FALSE
    )=0,
    "",
    VLOOKUP(
        $A65,
        _xlfn._xlws.FILTER(
            INDIRECT("'"&amp;O$14&amp;"'!A2:E1000"), (INDIRECT("'"&amp;O$14&amp;"'!B2:B1000")=$B65) * (INDIRECT("'"&amp;O$14&amp;"'!C2:C1000")=$C65)
        ),
        5,
        FALSE
    )
)</f>
        <v>Atrasado &gt;= 2</v>
      </c>
      <c r="P65" s="100" t="str">
        <f t="array" aca="1" ref="P65" ca="1">IF(
    VLOOKUP(
        $A65,
        _xlfn._xlws.FILTER(
            INDIRECT("'"&amp;P$14&amp;"'!A2:E1000"), (INDIRECT("'"&amp;P$14&amp;"'!B2:B1000")=$B65) * (INDIRECT("'"&amp;P$14&amp;"'!C2:C1000")=$C65)
        ),
        5,
        FALSE
    )=0,
    "",
    VLOOKUP(
        $A65,
        _xlfn._xlws.FILTER(
            INDIRECT("'"&amp;P$14&amp;"'!A2:E1000"), (INDIRECT("'"&amp;P$14&amp;"'!B2:B1000")=$B65) * (INDIRECT("'"&amp;P$14&amp;"'!C2:C1000")=$C65)
        ),
        5,
        FALSE
    )
)</f>
        <v>Atrasado</v>
      </c>
      <c r="Q65" s="100" t="str">
        <f t="array" aca="1" ref="Q65" ca="1">IF(
    VLOOKUP(
        $A65,
        _xlfn._xlws.FILTER(
            INDIRECT("'"&amp;Q$14&amp;"'!A2:E1000"), (INDIRECT("'"&amp;Q$14&amp;"'!B2:B1000")=$B65) * (INDIRECT("'"&amp;Q$14&amp;"'!C2:C1000")=$C65)
        ),
        5,
        FALSE
    )=0,
    "",
    VLOOKUP(
        $A65,
        _xlfn._xlws.FILTER(
            INDIRECT("'"&amp;Q$14&amp;"'!A2:E1000"), (INDIRECT("'"&amp;Q$14&amp;"'!B2:B1000")=$B65) * (INDIRECT("'"&amp;Q$14&amp;"'!C2:C1000")=$C65)
        ),
        5,
        FALSE
    )
)</f>
        <v/>
      </c>
    </row>
    <row r="66" spans="1:17" x14ac:dyDescent="0.25">
      <c r="A66" s="85" t="s">
        <v>42</v>
      </c>
      <c r="B66" s="79" t="s">
        <v>123</v>
      </c>
      <c r="C66" s="79">
        <v>1</v>
      </c>
      <c r="D66" s="100" t="str">
        <f t="array" aca="1" ref="D66" ca="1">IF(
    VLOOKUP(
        $A66,
        _xlfn._xlws.FILTER(
            INDIRECT("'"&amp;D$14&amp;"'!A2:E1000"), (INDIRECT("'"&amp;D$14&amp;"'!B2:B1000")=$B66) * (INDIRECT("'"&amp;D$14&amp;"'!C2:C1000")=$C66)
        ),
        5,
        FALSE
    )=0,
    "",
    VLOOKUP(
        $A66,
        _xlfn._xlws.FILTER(
            INDIRECT("'"&amp;D$14&amp;"'!A2:E1000"), (INDIRECT("'"&amp;D$14&amp;"'!B2:B1000")=$B66) * (INDIRECT("'"&amp;D$14&amp;"'!C2:C1000")=$C66)
        ),
        5,
        FALSE
    )
)</f>
        <v>Duplicado</v>
      </c>
      <c r="E66" s="100" t="str">
        <f t="array" aca="1" ref="E66" ca="1">IF(
    VLOOKUP(
        $A66,
        _xlfn._xlws.FILTER(
            INDIRECT("'"&amp;E$14&amp;"'!A2:E1000"), (INDIRECT("'"&amp;E$14&amp;"'!B2:B1000")=$B66) * (INDIRECT("'"&amp;E$14&amp;"'!C2:C1000")=$C66)
        ),
        5,
        FALSE
    )=0,
    "",
    VLOOKUP(
        $A66,
        _xlfn._xlws.FILTER(
            INDIRECT("'"&amp;E$14&amp;"'!A2:E1000"), (INDIRECT("'"&amp;E$14&amp;"'!B2:B1000")=$B66) * (INDIRECT("'"&amp;E$14&amp;"'!C2:C1000")=$C66)
        ),
        5,
        FALSE
    )
)</f>
        <v>Enviado</v>
      </c>
      <c r="F66" s="100" t="str">
        <f t="array" aca="1" ref="F66" ca="1">IF(
    VLOOKUP(
        $A66,
        _xlfn._xlws.FILTER(
            INDIRECT("'"&amp;F$14&amp;"'!A2:E1000"), (INDIRECT("'"&amp;F$14&amp;"'!B2:B1000")=$B66) * (INDIRECT("'"&amp;F$14&amp;"'!C2:C1000")=$C66)
        ),
        5,
        FALSE
    )=0,
    "",
    VLOOKUP(
        $A66,
        _xlfn._xlws.FILTER(
            INDIRECT("'"&amp;F$14&amp;"'!A2:E1000"), (INDIRECT("'"&amp;F$14&amp;"'!B2:B1000")=$B66) * (INDIRECT("'"&amp;F$14&amp;"'!C2:C1000")=$C66)
        ),
        5,
        FALSE
    )
)</f>
        <v>Enviado</v>
      </c>
      <c r="G66" s="100" t="str">
        <f t="array" aca="1" ref="G66" ca="1">IF(
    VLOOKUP(
        $A66,
        _xlfn._xlws.FILTER(
            INDIRECT("'"&amp;G$14&amp;"'!A2:E1000"), (INDIRECT("'"&amp;G$14&amp;"'!B2:B1000")=$B66) * (INDIRECT("'"&amp;G$14&amp;"'!C2:C1000")=$C66)
        ),
        5,
        FALSE
    )=0,
    "",
    VLOOKUP(
        $A66,
        _xlfn._xlws.FILTER(
            INDIRECT("'"&amp;G$14&amp;"'!A2:E1000"), (INDIRECT("'"&amp;G$14&amp;"'!B2:B1000")=$B66) * (INDIRECT("'"&amp;G$14&amp;"'!C2:C1000")=$C66)
        ),
        5,
        FALSE
    )
)</f>
        <v>Enviado</v>
      </c>
      <c r="H66" s="100" t="str">
        <f t="array" aca="1" ref="H66" ca="1">IF(
    VLOOKUP(
        $A66,
        _xlfn._xlws.FILTER(
            INDIRECT("'"&amp;H$14&amp;"'!A2:E1000"), (INDIRECT("'"&amp;H$14&amp;"'!B2:B1000")=$B66) * (INDIRECT("'"&amp;H$14&amp;"'!C2:C1000")=$C66)
        ),
        5,
        FALSE
    )=0,
    "",
    VLOOKUP(
        $A66,
        _xlfn._xlws.FILTER(
            INDIRECT("'"&amp;H$14&amp;"'!A2:E1000"), (INDIRECT("'"&amp;H$14&amp;"'!B2:B1000")=$B66) * (INDIRECT("'"&amp;H$14&amp;"'!C2:C1000")=$C66)
        ),
        5,
        FALSE
    )
)</f>
        <v>Enviado</v>
      </c>
      <c r="I66" s="100" t="str">
        <f t="array" ref="I66" ca="1">IF(
    VLOOKUP(
        $A66,
        _xlfn._xlws.FILTER(
            INDIRECT("'"&amp;I$14&amp;"'!A2:E1000"), (INDIRECT("'"&amp;I$14&amp;"'!B2:B1000")=$B66) * (INDIRECT("'"&amp;I$14&amp;"'!C2:C1000")=$C66)
        ),
        5,
        FALSE
    )=0,
    "",
    VLOOKUP(
        $A66,
        _xlfn._xlws.FILTER(
            INDIRECT("'"&amp;I$14&amp;"'!A2:E1000"), (INDIRECT("'"&amp;I$14&amp;"'!B2:B1000")=$B66) * (INDIRECT("'"&amp;I$14&amp;"'!C2:C1000")=$C66)
        ),
        5,
        FALSE
    )
)</f>
        <v>Enviado</v>
      </c>
      <c r="J66" s="100" t="str">
        <f t="array" aca="1" ref="J66" ca="1">IF(
    VLOOKUP(
        $A66,
        _xlfn._xlws.FILTER(
            INDIRECT("'"&amp;J$14&amp;"'!A2:E1000"), (INDIRECT("'"&amp;J$14&amp;"'!B2:B1000")=$B66) * (INDIRECT("'"&amp;J$14&amp;"'!C2:C1000")=$C66)
        ),
        5,
        FALSE
    )=0,
    "",
    VLOOKUP(
        $A66,
        _xlfn._xlws.FILTER(
            INDIRECT("'"&amp;J$14&amp;"'!A2:E1000"), (INDIRECT("'"&amp;J$14&amp;"'!B2:B1000")=$B66) * (INDIRECT("'"&amp;J$14&amp;"'!C2:C1000")=$C66)
        ),
        5,
        FALSE
    )
)</f>
        <v>Enviado</v>
      </c>
      <c r="K66" s="100" t="str">
        <f t="array" aca="1" ref="K66" ca="1">IF(
    VLOOKUP(
        $A66,
        _xlfn._xlws.FILTER(
            INDIRECT("'"&amp;K$14&amp;"'!A2:E1000"), (INDIRECT("'"&amp;K$14&amp;"'!B2:B1000")=$B66) * (INDIRECT("'"&amp;K$14&amp;"'!C2:C1000")=$C66)
        ),
        5,
        FALSE
    )=0,
    "",
    VLOOKUP(
        $A66,
        _xlfn._xlws.FILTER(
            INDIRECT("'"&amp;K$14&amp;"'!A2:E1000"), (INDIRECT("'"&amp;K$14&amp;"'!B2:B1000")=$B66) * (INDIRECT("'"&amp;K$14&amp;"'!C2:C1000")=$C66)
        ),
        5,
        FALSE
    )
)</f>
        <v>Enviado</v>
      </c>
      <c r="L66" s="100" t="str">
        <f t="array" aca="1" ref="L66" ca="1">IF(
    VLOOKUP(
        $A66,
        _xlfn._xlws.FILTER(
            INDIRECT("'"&amp;L$14&amp;"'!A2:E1000"), (INDIRECT("'"&amp;L$14&amp;"'!B2:B1000")=$B66) * (INDIRECT("'"&amp;L$14&amp;"'!C2:C1000")=$C66)
        ),
        5,
        FALSE
    )=0,
    "",
    VLOOKUP(
        $A66,
        _xlfn._xlws.FILTER(
            INDIRECT("'"&amp;L$14&amp;"'!A2:E1000"), (INDIRECT("'"&amp;L$14&amp;"'!B2:B1000")=$B66) * (INDIRECT("'"&amp;L$14&amp;"'!C2:C1000")=$C66)
        ),
        5,
        FALSE
    )
)</f>
        <v>Enviado</v>
      </c>
      <c r="M66" s="100" t="str">
        <f t="array" aca="1" ref="M66" ca="1">IF(
    VLOOKUP(
        $A66,
        _xlfn._xlws.FILTER(
            INDIRECT("'"&amp;M$14&amp;"'!A2:E1000"), (INDIRECT("'"&amp;M$14&amp;"'!B2:B1000")=$B66) * (INDIRECT("'"&amp;M$14&amp;"'!C2:C1000")=$C66)
        ),
        5,
        FALSE
    )=0,
    "",
    VLOOKUP(
        $A66,
        _xlfn._xlws.FILTER(
            INDIRECT("'"&amp;M$14&amp;"'!A2:E1000"), (INDIRECT("'"&amp;M$14&amp;"'!B2:B1000")=$B66) * (INDIRECT("'"&amp;M$14&amp;"'!C2:C1000")=$C66)
        ),
        5,
        FALSE
    )
)</f>
        <v>Enviado</v>
      </c>
      <c r="N66" s="100" t="str">
        <f t="array" aca="1" ref="N66" ca="1">IF(
    VLOOKUP(
        $A66,
        _xlfn._xlws.FILTER(
            INDIRECT("'"&amp;N$14&amp;"'!A2:E1000"), (INDIRECT("'"&amp;N$14&amp;"'!B2:B1000")=$B66) * (INDIRECT("'"&amp;N$14&amp;"'!C2:C1000")=$C66)
        ),
        5,
        FALSE
    )=0,
    "",
    VLOOKUP(
        $A66,
        _xlfn._xlws.FILTER(
            INDIRECT("'"&amp;N$14&amp;"'!A2:E1000"), (INDIRECT("'"&amp;N$14&amp;"'!B2:B1000")=$B66) * (INDIRECT("'"&amp;N$14&amp;"'!C2:C1000")=$C66)
        ),
        5,
        FALSE
    )
)</f>
        <v>Enviado</v>
      </c>
      <c r="O66" s="100" t="str">
        <f t="array" aca="1" ref="O66" ca="1">IF(
    VLOOKUP(
        $A66,
        _xlfn._xlws.FILTER(
            INDIRECT("'"&amp;O$14&amp;"'!A2:E1000"), (INDIRECT("'"&amp;O$14&amp;"'!B2:B1000")=$B66) * (INDIRECT("'"&amp;O$14&amp;"'!C2:C1000")=$C66)
        ),
        5,
        FALSE
    )=0,
    "",
    VLOOKUP(
        $A66,
        _xlfn._xlws.FILTER(
            INDIRECT("'"&amp;O$14&amp;"'!A2:E1000"), (INDIRECT("'"&amp;O$14&amp;"'!B2:B1000")=$B66) * (INDIRECT("'"&amp;O$14&amp;"'!C2:C1000")=$C66)
        ),
        5,
        FALSE
    )
)</f>
        <v>Enviado</v>
      </c>
      <c r="P66" s="100" t="str">
        <f t="array" aca="1" ref="P66" ca="1">IF(
    VLOOKUP(
        $A66,
        _xlfn._xlws.FILTER(
            INDIRECT("'"&amp;P$14&amp;"'!A2:E1000"), (INDIRECT("'"&amp;P$14&amp;"'!B2:B1000")=$B66) * (INDIRECT("'"&amp;P$14&amp;"'!C2:C1000")=$C66)
        ),
        5,
        FALSE
    )=0,
    "",
    VLOOKUP(
        $A66,
        _xlfn._xlws.FILTER(
            INDIRECT("'"&amp;P$14&amp;"'!A2:E1000"), (INDIRECT("'"&amp;P$14&amp;"'!B2:B1000")=$B66) * (INDIRECT("'"&amp;P$14&amp;"'!C2:C1000")=$C66)
        ),
        5,
        FALSE
    )
)</f>
        <v>Enviado</v>
      </c>
      <c r="Q66" s="100" t="str">
        <f t="array" aca="1" ref="Q66" ca="1">IF(
    VLOOKUP(
        $A66,
        _xlfn._xlws.FILTER(
            INDIRECT("'"&amp;Q$14&amp;"'!A2:E1000"), (INDIRECT("'"&amp;Q$14&amp;"'!B2:B1000")=$B66) * (INDIRECT("'"&amp;Q$14&amp;"'!C2:C1000")=$C66)
        ),
        5,
        FALSE
    )=0,
    "",
    VLOOKUP(
        $A66,
        _xlfn._xlws.FILTER(
            INDIRECT("'"&amp;Q$14&amp;"'!A2:E1000"), (INDIRECT("'"&amp;Q$14&amp;"'!B2:B1000")=$B66) * (INDIRECT("'"&amp;Q$14&amp;"'!C2:C1000")=$C66)
        ),
        5,
        FALSE
    )
)</f>
        <v/>
      </c>
    </row>
    <row r="67" spans="1:17" x14ac:dyDescent="0.25">
      <c r="A67" s="85" t="s">
        <v>42</v>
      </c>
      <c r="B67" s="79" t="s">
        <v>124</v>
      </c>
      <c r="C67" s="79">
        <v>1</v>
      </c>
      <c r="D67" s="100" t="str">
        <f t="array" aca="1" ref="D67" ca="1">IF(
    VLOOKUP(
        $A67,
        _xlfn._xlws.FILTER(
            INDIRECT("'"&amp;D$14&amp;"'!A2:E1000"), (INDIRECT("'"&amp;D$14&amp;"'!B2:B1000")=$B67) * (INDIRECT("'"&amp;D$14&amp;"'!C2:C1000")=$C67)
        ),
        5,
        FALSE
    )=0,
    "",
    VLOOKUP(
        $A67,
        _xlfn._xlws.FILTER(
            INDIRECT("'"&amp;D$14&amp;"'!A2:E1000"), (INDIRECT("'"&amp;D$14&amp;"'!B2:B1000")=$B67) * (INDIRECT("'"&amp;D$14&amp;"'!C2:C1000")=$C67)
        ),
        5,
        FALSE
    )
)</f>
        <v>Enviado</v>
      </c>
      <c r="E67" s="100" t="str">
        <f t="array" aca="1" ref="E67" ca="1">IF(
    VLOOKUP(
        $A67,
        _xlfn._xlws.FILTER(
            INDIRECT("'"&amp;E$14&amp;"'!A2:E1000"), (INDIRECT("'"&amp;E$14&amp;"'!B2:B1000")=$B67) * (INDIRECT("'"&amp;E$14&amp;"'!C2:C1000")=$C67)
        ),
        5,
        FALSE
    )=0,
    "",
    VLOOKUP(
        $A67,
        _xlfn._xlws.FILTER(
            INDIRECT("'"&amp;E$14&amp;"'!A2:E1000"), (INDIRECT("'"&amp;E$14&amp;"'!B2:B1000")=$B67) * (INDIRECT("'"&amp;E$14&amp;"'!C2:C1000")=$C67)
        ),
        5,
        FALSE
    )
)</f>
        <v>Enviado</v>
      </c>
      <c r="F67" s="100" t="str">
        <f t="array" aca="1" ref="F67" ca="1">IF(
    VLOOKUP(
        $A67,
        _xlfn._xlws.FILTER(
            INDIRECT("'"&amp;F$14&amp;"'!A2:E1000"), (INDIRECT("'"&amp;F$14&amp;"'!B2:B1000")=$B67) * (INDIRECT("'"&amp;F$14&amp;"'!C2:C1000")=$C67)
        ),
        5,
        FALSE
    )=0,
    "",
    VLOOKUP(
        $A67,
        _xlfn._xlws.FILTER(
            INDIRECT("'"&amp;F$14&amp;"'!A2:E1000"), (INDIRECT("'"&amp;F$14&amp;"'!B2:B1000")=$B67) * (INDIRECT("'"&amp;F$14&amp;"'!C2:C1000")=$C67)
        ),
        5,
        FALSE
    )
)</f>
        <v>Enviado</v>
      </c>
      <c r="G67" s="100" t="str">
        <f t="array" aca="1" ref="G67" ca="1">IF(
    VLOOKUP(
        $A67,
        _xlfn._xlws.FILTER(
            INDIRECT("'"&amp;G$14&amp;"'!A2:E1000"), (INDIRECT("'"&amp;G$14&amp;"'!B2:B1000")=$B67) * (INDIRECT("'"&amp;G$14&amp;"'!C2:C1000")=$C67)
        ),
        5,
        FALSE
    )=0,
    "",
    VLOOKUP(
        $A67,
        _xlfn._xlws.FILTER(
            INDIRECT("'"&amp;G$14&amp;"'!A2:E1000"), (INDIRECT("'"&amp;G$14&amp;"'!B2:B1000")=$B67) * (INDIRECT("'"&amp;G$14&amp;"'!C2:C1000")=$C67)
        ),
        5,
        FALSE
    )
)</f>
        <v>Enviado</v>
      </c>
      <c r="H67" s="100" t="str">
        <f t="array" aca="1" ref="H67" ca="1">IF(
    VLOOKUP(
        $A67,
        _xlfn._xlws.FILTER(
            INDIRECT("'"&amp;H$14&amp;"'!A2:E1000"), (INDIRECT("'"&amp;H$14&amp;"'!B2:B1000")=$B67) * (INDIRECT("'"&amp;H$14&amp;"'!C2:C1000")=$C67)
        ),
        5,
        FALSE
    )=0,
    "",
    VLOOKUP(
        $A67,
        _xlfn._xlws.FILTER(
            INDIRECT("'"&amp;H$14&amp;"'!A2:E1000"), (INDIRECT("'"&amp;H$14&amp;"'!B2:B1000")=$B67) * (INDIRECT("'"&amp;H$14&amp;"'!C2:C1000")=$C67)
        ),
        5,
        FALSE
    )
)</f>
        <v>Enviado</v>
      </c>
      <c r="I67" s="100" t="str">
        <f t="array" aca="1" ref="I67" ca="1">IF(
    VLOOKUP(
        $A67,
        _xlfn._xlws.FILTER(
            INDIRECT("'"&amp;I$14&amp;"'!A2:E1000"), (INDIRECT("'"&amp;I$14&amp;"'!B2:B1000")=$B67) * (INDIRECT("'"&amp;I$14&amp;"'!C2:C1000")=$C67)
        ),
        5,
        FALSE
    )=0,
    "",
    VLOOKUP(
        $A67,
        _xlfn._xlws.FILTER(
            INDIRECT("'"&amp;I$14&amp;"'!A2:E1000"), (INDIRECT("'"&amp;I$14&amp;"'!B2:B1000")=$B67) * (INDIRECT("'"&amp;I$14&amp;"'!C2:C1000")=$C67)
        ),
        5,
        FALSE
    )
)</f>
        <v>Enviado</v>
      </c>
      <c r="J67" s="100" t="str">
        <f t="array" aca="1" ref="J67" ca="1">IF(
    VLOOKUP(
        $A67,
        _xlfn._xlws.FILTER(
            INDIRECT("'"&amp;J$14&amp;"'!A2:E1000"), (INDIRECT("'"&amp;J$14&amp;"'!B2:B1000")=$B67) * (INDIRECT("'"&amp;J$14&amp;"'!C2:C1000")=$C67)
        ),
        5,
        FALSE
    )=0,
    "",
    VLOOKUP(
        $A67,
        _xlfn._xlws.FILTER(
            INDIRECT("'"&amp;J$14&amp;"'!A2:E1000"), (INDIRECT("'"&amp;J$14&amp;"'!B2:B1000")=$B67) * (INDIRECT("'"&amp;J$14&amp;"'!C2:C1000")=$C67)
        ),
        5,
        FALSE
    )
)</f>
        <v>Enviado</v>
      </c>
      <c r="K67" s="100" t="str">
        <f t="array" aca="1" ref="K67" ca="1">IF(
    VLOOKUP(
        $A67,
        _xlfn._xlws.FILTER(
            INDIRECT("'"&amp;K$14&amp;"'!A2:E1000"), (INDIRECT("'"&amp;K$14&amp;"'!B2:B1000")=$B67) * (INDIRECT("'"&amp;K$14&amp;"'!C2:C1000")=$C67)
        ),
        5,
        FALSE
    )=0,
    "",
    VLOOKUP(
        $A67,
        _xlfn._xlws.FILTER(
            INDIRECT("'"&amp;K$14&amp;"'!A2:E1000"), (INDIRECT("'"&amp;K$14&amp;"'!B2:B1000")=$B67) * (INDIRECT("'"&amp;K$14&amp;"'!C2:C1000")=$C67)
        ),
        5,
        FALSE
    )
)</f>
        <v>Enviado</v>
      </c>
      <c r="L67" s="100" t="str">
        <f t="array" aca="1" ref="L67" ca="1">IF(
    VLOOKUP(
        $A67,
        _xlfn._xlws.FILTER(
            INDIRECT("'"&amp;L$14&amp;"'!A2:E1000"), (INDIRECT("'"&amp;L$14&amp;"'!B2:B1000")=$B67) * (INDIRECT("'"&amp;L$14&amp;"'!C2:C1000")=$C67)
        ),
        5,
        FALSE
    )=0,
    "",
    VLOOKUP(
        $A67,
        _xlfn._xlws.FILTER(
            INDIRECT("'"&amp;L$14&amp;"'!A2:E1000"), (INDIRECT("'"&amp;L$14&amp;"'!B2:B1000")=$B67) * (INDIRECT("'"&amp;L$14&amp;"'!C2:C1000")=$C67)
        ),
        5,
        FALSE
    )
)</f>
        <v>Enviado</v>
      </c>
      <c r="M67" s="100" t="str">
        <f t="array" aca="1" ref="M67" ca="1">IF(
    VLOOKUP(
        $A67,
        _xlfn._xlws.FILTER(
            INDIRECT("'"&amp;M$14&amp;"'!A2:E1000"), (INDIRECT("'"&amp;M$14&amp;"'!B2:B1000")=$B67) * (INDIRECT("'"&amp;M$14&amp;"'!C2:C1000")=$C67)
        ),
        5,
        FALSE
    )=0,
    "",
    VLOOKUP(
        $A67,
        _xlfn._xlws.FILTER(
            INDIRECT("'"&amp;M$14&amp;"'!A2:E1000"), (INDIRECT("'"&amp;M$14&amp;"'!B2:B1000")=$B67) * (INDIRECT("'"&amp;M$14&amp;"'!C2:C1000")=$C67)
        ),
        5,
        FALSE
    )
)</f>
        <v>Enviado</v>
      </c>
      <c r="N67" s="100" t="str">
        <f t="array" aca="1" ref="N67" ca="1">IF(
    VLOOKUP(
        $A67,
        _xlfn._xlws.FILTER(
            INDIRECT("'"&amp;N$14&amp;"'!A2:E1000"), (INDIRECT("'"&amp;N$14&amp;"'!B2:B1000")=$B67) * (INDIRECT("'"&amp;N$14&amp;"'!C2:C1000")=$C67)
        ),
        5,
        FALSE
    )=0,
    "",
    VLOOKUP(
        $A67,
        _xlfn._xlws.FILTER(
            INDIRECT("'"&amp;N$14&amp;"'!A2:E1000"), (INDIRECT("'"&amp;N$14&amp;"'!B2:B1000")=$B67) * (INDIRECT("'"&amp;N$14&amp;"'!C2:C1000")=$C67)
        ),
        5,
        FALSE
    )
)</f>
        <v>Enviado</v>
      </c>
      <c r="O67" s="100" t="str">
        <f t="array" aca="1" ref="O67" ca="1">IF(
    VLOOKUP(
        $A67,
        _xlfn._xlws.FILTER(
            INDIRECT("'"&amp;O$14&amp;"'!A2:E1000"), (INDIRECT("'"&amp;O$14&amp;"'!B2:B1000")=$B67) * (INDIRECT("'"&amp;O$14&amp;"'!C2:C1000")=$C67)
        ),
        5,
        FALSE
    )=0,
    "",
    VLOOKUP(
        $A67,
        _xlfn._xlws.FILTER(
            INDIRECT("'"&amp;O$14&amp;"'!A2:E1000"), (INDIRECT("'"&amp;O$14&amp;"'!B2:B1000")=$B67) * (INDIRECT("'"&amp;O$14&amp;"'!C2:C1000")=$C67)
        ),
        5,
        FALSE
    )
)</f>
        <v>Enviado</v>
      </c>
      <c r="P67" s="100" t="str">
        <f t="array" aca="1" ref="P67" ca="1">IF(
    VLOOKUP(
        $A67,
        _xlfn._xlws.FILTER(
            INDIRECT("'"&amp;P$14&amp;"'!A2:E1000"), (INDIRECT("'"&amp;P$14&amp;"'!B2:B1000")=$B67) * (INDIRECT("'"&amp;P$14&amp;"'!C2:C1000")=$C67)
        ),
        5,
        FALSE
    )=0,
    "",
    VLOOKUP(
        $A67,
        _xlfn._xlws.FILTER(
            INDIRECT("'"&amp;P$14&amp;"'!A2:E1000"), (INDIRECT("'"&amp;P$14&amp;"'!B2:B1000")=$B67) * (INDIRECT("'"&amp;P$14&amp;"'!C2:C1000")=$C67)
        ),
        5,
        FALSE
    )
)</f>
        <v>Atrasado</v>
      </c>
      <c r="Q67" s="100" t="str">
        <f t="array" aca="1" ref="Q67" ca="1">IF(
    VLOOKUP(
        $A67,
        _xlfn._xlws.FILTER(
            INDIRECT("'"&amp;Q$14&amp;"'!A2:E1000"), (INDIRECT("'"&amp;Q$14&amp;"'!B2:B1000")=$B67) * (INDIRECT("'"&amp;Q$14&amp;"'!C2:C1000")=$C67)
        ),
        5,
        FALSE
    )=0,
    "",
    VLOOKUP(
        $A67,
        _xlfn._xlws.FILTER(
            INDIRECT("'"&amp;Q$14&amp;"'!A2:E1000"), (INDIRECT("'"&amp;Q$14&amp;"'!B2:B1000")=$B67) * (INDIRECT("'"&amp;Q$14&amp;"'!C2:C1000")=$C67)
        ),
        5,
        FALSE
    )
)</f>
        <v/>
      </c>
    </row>
    <row r="69" spans="1:17" ht="15.75" customHeight="1" x14ac:dyDescent="0.25">
      <c r="A69" s="105" t="s">
        <v>27</v>
      </c>
      <c r="B69" s="37" t="s">
        <v>86</v>
      </c>
      <c r="C69" s="37" t="s">
        <v>71</v>
      </c>
      <c r="D69" s="38" t="s">
        <v>1</v>
      </c>
      <c r="E69" s="39" t="s">
        <v>2</v>
      </c>
      <c r="F69" s="98" t="s">
        <v>3</v>
      </c>
      <c r="G69" s="98" t="s">
        <v>4</v>
      </c>
      <c r="H69" s="98" t="s">
        <v>5</v>
      </c>
      <c r="I69" s="98" t="s">
        <v>6</v>
      </c>
      <c r="J69" s="98" t="s">
        <v>7</v>
      </c>
      <c r="K69" s="98" t="s">
        <v>8</v>
      </c>
      <c r="L69" s="99" t="s">
        <v>9</v>
      </c>
      <c r="M69" s="99" t="s">
        <v>10</v>
      </c>
      <c r="N69" s="99" t="s">
        <v>11</v>
      </c>
      <c r="O69" s="99" t="s">
        <v>12</v>
      </c>
      <c r="P69" s="99" t="s">
        <v>13</v>
      </c>
      <c r="Q69" s="99" t="s">
        <v>14</v>
      </c>
    </row>
    <row r="70" spans="1:17" x14ac:dyDescent="0.25">
      <c r="A70" s="87" t="s">
        <v>43</v>
      </c>
      <c r="B70" s="79" t="s">
        <v>125</v>
      </c>
      <c r="C70" s="79">
        <v>1</v>
      </c>
      <c r="D70" s="100" t="str">
        <f t="array" aca="1" ref="D70" ca="1">IF(
    VLOOKUP(
        $A70,
        _xlfn._xlws.FILTER(
            INDIRECT("'"&amp;D$14&amp;"'!A2:E1000"), (INDIRECT("'"&amp;D$14&amp;"'!B2:B1000")=$B70) * (INDIRECT("'"&amp;D$14&amp;"'!C2:C1000")=$C70)
        ),
        5,
        FALSE
    )=0,
    "",
    VLOOKUP(
        $A70,
        _xlfn._xlws.FILTER(
            INDIRECT("'"&amp;D$14&amp;"'!A2:E1000"), (INDIRECT("'"&amp;D$14&amp;"'!B2:B1000")=$B70) * (INDIRECT("'"&amp;D$14&amp;"'!C2:C1000")=$C70)
        ),
        5,
        FALSE
    )
)</f>
        <v>Enviado</v>
      </c>
      <c r="E70" s="100" t="str">
        <f t="array" aca="1" ref="E70" ca="1">IF(
    VLOOKUP(
        $A70,
        _xlfn._xlws.FILTER(
            INDIRECT("'"&amp;E$14&amp;"'!A2:E1000"), (INDIRECT("'"&amp;E$14&amp;"'!B2:B1000")=$B70) * (INDIRECT("'"&amp;E$14&amp;"'!C2:C1000")=$C70)
        ),
        5,
        FALSE
    )=0,
    "",
    VLOOKUP(
        $A70,
        _xlfn._xlws.FILTER(
            INDIRECT("'"&amp;E$14&amp;"'!A2:E1000"), (INDIRECT("'"&amp;E$14&amp;"'!B2:B1000")=$B70) * (INDIRECT("'"&amp;E$14&amp;"'!C2:C1000")=$C70)
        ),
        5,
        FALSE
    )
)</f>
        <v>Enviado</v>
      </c>
      <c r="F70" s="100" t="str">
        <f t="array" aca="1" ref="F70" ca="1">IF(
    VLOOKUP(
        $A70,
        _xlfn._xlws.FILTER(
            INDIRECT("'"&amp;F$14&amp;"'!A2:E1000"), (INDIRECT("'"&amp;F$14&amp;"'!B2:B1000")=$B70) * (INDIRECT("'"&amp;F$14&amp;"'!C2:C1000")=$C70)
        ),
        5,
        FALSE
    )=0,
    "",
    VLOOKUP(
        $A70,
        _xlfn._xlws.FILTER(
            INDIRECT("'"&amp;F$14&amp;"'!A2:E1000"), (INDIRECT("'"&amp;F$14&amp;"'!B2:B1000")=$B70) * (INDIRECT("'"&amp;F$14&amp;"'!C2:C1000")=$C70)
        ),
        5,
        FALSE
    )
)</f>
        <v>Enviado</v>
      </c>
      <c r="G70" s="100" t="str">
        <f t="array" aca="1" ref="G70" ca="1">IF(
    VLOOKUP(
        $A70,
        _xlfn._xlws.FILTER(
            INDIRECT("'"&amp;G$14&amp;"'!A2:E1000"), (INDIRECT("'"&amp;G$14&amp;"'!B2:B1000")=$B70) * (INDIRECT("'"&amp;G$14&amp;"'!C2:C1000")=$C70)
        ),
        5,
        FALSE
    )=0,
    "",
    VLOOKUP(
        $A70,
        _xlfn._xlws.FILTER(
            INDIRECT("'"&amp;G$14&amp;"'!A2:E1000"), (INDIRECT("'"&amp;G$14&amp;"'!B2:B1000")=$B70) * (INDIRECT("'"&amp;G$14&amp;"'!C2:C1000")=$C70)
        ),
        5,
        FALSE
    )
)</f>
        <v>Duplicado</v>
      </c>
      <c r="H70" s="100" t="str">
        <f t="array" aca="1" ref="H70" ca="1">IF(
    VLOOKUP(
        $A70,
        _xlfn._xlws.FILTER(
            INDIRECT("'"&amp;H$14&amp;"'!A2:E1000"), (INDIRECT("'"&amp;H$14&amp;"'!B2:B1000")=$B70) * (INDIRECT("'"&amp;H$14&amp;"'!C2:C1000")=$C70)
        ),
        5,
        FALSE
    )=0,
    "",
    VLOOKUP(
        $A70,
        _xlfn._xlws.FILTER(
            INDIRECT("'"&amp;H$14&amp;"'!A2:E1000"), (INDIRECT("'"&amp;H$14&amp;"'!B2:B1000")=$B70) * (INDIRECT("'"&amp;H$14&amp;"'!C2:C1000")=$C70)
        ),
        5,
        FALSE
    )
)</f>
        <v>Enviado</v>
      </c>
      <c r="I70" s="100" t="str">
        <f t="array" ref="I70" ca="1">IF(
    VLOOKUP(
        $A70,
        _xlfn._xlws.FILTER(
            INDIRECT("'"&amp;I$14&amp;"'!A2:E1000"), (INDIRECT("'"&amp;I$14&amp;"'!B2:B1000")=$B70) * (INDIRECT("'"&amp;I$14&amp;"'!C2:C1000")=$C70)
        ),
        5,
        FALSE
    )=0,
    "",
    VLOOKUP(
        $A70,
        _xlfn._xlws.FILTER(
            INDIRECT("'"&amp;I$14&amp;"'!A2:E1000"), (INDIRECT("'"&amp;I$14&amp;"'!B2:B1000")=$B70) * (INDIRECT("'"&amp;I$14&amp;"'!C2:C1000")=$C70)
        ),
        5,
        FALSE
    )
)</f>
        <v>Enviado</v>
      </c>
      <c r="J70" s="100" t="str">
        <f t="array" aca="1" ref="J70" ca="1">IF(
    VLOOKUP(
        $A70,
        _xlfn._xlws.FILTER(
            INDIRECT("'"&amp;J$14&amp;"'!A2:E1000"), (INDIRECT("'"&amp;J$14&amp;"'!B2:B1000")=$B70) * (INDIRECT("'"&amp;J$14&amp;"'!C2:C1000")=$C70)
        ),
        5,
        FALSE
    )=0,
    "",
    VLOOKUP(
        $A70,
        _xlfn._xlws.FILTER(
            INDIRECT("'"&amp;J$14&amp;"'!A2:E1000"), (INDIRECT("'"&amp;J$14&amp;"'!B2:B1000")=$B70) * (INDIRECT("'"&amp;J$14&amp;"'!C2:C1000")=$C70)
        ),
        5,
        FALSE
    )
)</f>
        <v>Enviado</v>
      </c>
      <c r="K70" s="100" t="str">
        <f t="array" aca="1" ref="K70" ca="1">IF(
    VLOOKUP(
        $A70,
        _xlfn._xlws.FILTER(
            INDIRECT("'"&amp;K$14&amp;"'!A2:E1000"), (INDIRECT("'"&amp;K$14&amp;"'!B2:B1000")=$B70) * (INDIRECT("'"&amp;K$14&amp;"'!C2:C1000")=$C70)
        ),
        5,
        FALSE
    )=0,
    "",
    VLOOKUP(
        $A70,
        _xlfn._xlws.FILTER(
            INDIRECT("'"&amp;K$14&amp;"'!A2:E1000"), (INDIRECT("'"&amp;K$14&amp;"'!B2:B1000")=$B70) * (INDIRECT("'"&amp;K$14&amp;"'!C2:C1000")=$C70)
        ),
        5,
        FALSE
    )
)</f>
        <v>Enviado</v>
      </c>
      <c r="L70" s="100" t="str">
        <f t="array" aca="1" ref="L70" ca="1">IF(
    VLOOKUP(
        $A70,
        _xlfn._xlws.FILTER(
            INDIRECT("'"&amp;L$14&amp;"'!A2:E1000"), (INDIRECT("'"&amp;L$14&amp;"'!B2:B1000")=$B70) * (INDIRECT("'"&amp;L$14&amp;"'!C2:C1000")=$C70)
        ),
        5,
        FALSE
    )=0,
    "",
    VLOOKUP(
        $A70,
        _xlfn._xlws.FILTER(
            INDIRECT("'"&amp;L$14&amp;"'!A2:E1000"), (INDIRECT("'"&amp;L$14&amp;"'!B2:B1000")=$B70) * (INDIRECT("'"&amp;L$14&amp;"'!C2:C1000")=$C70)
        ),
        5,
        FALSE
    )
)</f>
        <v>Enviado</v>
      </c>
      <c r="M70" s="100" t="str">
        <f t="array" aca="1" ref="M70" ca="1">IF(
    VLOOKUP(
        $A70,
        _xlfn._xlws.FILTER(
            INDIRECT("'"&amp;M$14&amp;"'!A2:E1000"), (INDIRECT("'"&amp;M$14&amp;"'!B2:B1000")=$B70) * (INDIRECT("'"&amp;M$14&amp;"'!C2:C1000")=$C70)
        ),
        5,
        FALSE
    )=0,
    "",
    VLOOKUP(
        $A70,
        _xlfn._xlws.FILTER(
            INDIRECT("'"&amp;M$14&amp;"'!A2:E1000"), (INDIRECT("'"&amp;M$14&amp;"'!B2:B1000")=$B70) * (INDIRECT("'"&amp;M$14&amp;"'!C2:C1000")=$C70)
        ),
        5,
        FALSE
    )
)</f>
        <v>Enviado</v>
      </c>
      <c r="N70" s="100" t="str">
        <f t="array" aca="1" ref="N70" ca="1">IF(
    VLOOKUP(
        $A70,
        _xlfn._xlws.FILTER(
            INDIRECT("'"&amp;N$14&amp;"'!A2:E1000"), (INDIRECT("'"&amp;N$14&amp;"'!B2:B1000")=$B70) * (INDIRECT("'"&amp;N$14&amp;"'!C2:C1000")=$C70)
        ),
        5,
        FALSE
    )=0,
    "",
    VLOOKUP(
        $A70,
        _xlfn._xlws.FILTER(
            INDIRECT("'"&amp;N$14&amp;"'!A2:E1000"), (INDIRECT("'"&amp;N$14&amp;"'!B2:B1000")=$B70) * (INDIRECT("'"&amp;N$14&amp;"'!C2:C1000")=$C70)
        ),
        5,
        FALSE
    )
)</f>
        <v>Enviado</v>
      </c>
      <c r="O70" s="100" t="str">
        <f t="array" aca="1" ref="O70" ca="1">IF(
    VLOOKUP(
        $A70,
        _xlfn._xlws.FILTER(
            INDIRECT("'"&amp;O$14&amp;"'!A2:E1000"), (INDIRECT("'"&amp;O$14&amp;"'!B2:B1000")=$B70) * (INDIRECT("'"&amp;O$14&amp;"'!C2:C1000")=$C70)
        ),
        5,
        FALSE
    )=0,
    "",
    VLOOKUP(
        $A70,
        _xlfn._xlws.FILTER(
            INDIRECT("'"&amp;O$14&amp;"'!A2:E1000"), (INDIRECT("'"&amp;O$14&amp;"'!B2:B1000")=$B70) * (INDIRECT("'"&amp;O$14&amp;"'!C2:C1000")=$C70)
        ),
        5,
        FALSE
    )
)</f>
        <v>Enviado</v>
      </c>
      <c r="P70" s="100" t="str">
        <f t="array" aca="1" ref="P70" ca="1">IF(
    VLOOKUP(
        $A70,
        _xlfn._xlws.FILTER(
            INDIRECT("'"&amp;P$14&amp;"'!A2:E1000"), (INDIRECT("'"&amp;P$14&amp;"'!B2:B1000")=$B70) * (INDIRECT("'"&amp;P$14&amp;"'!C2:C1000")=$C70)
        ),
        5,
        FALSE
    )=0,
    "",
    VLOOKUP(
        $A70,
        _xlfn._xlws.FILTER(
            INDIRECT("'"&amp;P$14&amp;"'!A2:E1000"), (INDIRECT("'"&amp;P$14&amp;"'!B2:B1000")=$B70) * (INDIRECT("'"&amp;P$14&amp;"'!C2:C1000")=$C70)
        ),
        5,
        FALSE
    )
)</f>
        <v>Enviado</v>
      </c>
      <c r="Q70" s="100" t="str">
        <f t="array" aca="1" ref="Q70" ca="1">IF(
    VLOOKUP(
        $A70,
        _xlfn._xlws.FILTER(
            INDIRECT("'"&amp;Q$14&amp;"'!A2:E1000"), (INDIRECT("'"&amp;Q$14&amp;"'!B2:B1000")=$B70) * (INDIRECT("'"&amp;Q$14&amp;"'!C2:C1000")=$C70)
        ),
        5,
        FALSE
    )=0,
    "",
    VLOOKUP(
        $A70,
        _xlfn._xlws.FILTER(
            INDIRECT("'"&amp;Q$14&amp;"'!A2:E1000"), (INDIRECT("'"&amp;Q$14&amp;"'!B2:B1000")=$B70) * (INDIRECT("'"&amp;Q$14&amp;"'!C2:C1000")=$C70)
        ),
        5,
        FALSE
    )
)</f>
        <v/>
      </c>
    </row>
    <row r="71" spans="1:17" x14ac:dyDescent="0.25">
      <c r="A71" s="87" t="s">
        <v>43</v>
      </c>
      <c r="B71" s="79" t="s">
        <v>126</v>
      </c>
      <c r="C71" s="79">
        <v>1</v>
      </c>
      <c r="D71" s="100" t="str">
        <f t="array" aca="1" ref="D71" ca="1">IF(
    VLOOKUP(
        $A71,
        _xlfn._xlws.FILTER(
            INDIRECT("'"&amp;D$14&amp;"'!A2:E1000"), (INDIRECT("'"&amp;D$14&amp;"'!B2:B1000")=$B71) * (INDIRECT("'"&amp;D$14&amp;"'!C2:C1000")=$C71)
        ),
        5,
        FALSE
    )=0,
    "",
    VLOOKUP(
        $A71,
        _xlfn._xlws.FILTER(
            INDIRECT("'"&amp;D$14&amp;"'!A2:E1000"), (INDIRECT("'"&amp;D$14&amp;"'!B2:B1000")=$B71) * (INDIRECT("'"&amp;D$14&amp;"'!C2:C1000")=$C71)
        ),
        5,
        FALSE
    )
)</f>
        <v>Duplicado</v>
      </c>
      <c r="E71" s="100" t="str">
        <f t="array" aca="1" ref="E71" ca="1">IF(
    VLOOKUP(
        $A71,
        _xlfn._xlws.FILTER(
            INDIRECT("'"&amp;E$14&amp;"'!A2:E1000"), (INDIRECT("'"&amp;E$14&amp;"'!B2:B1000")=$B71) * (INDIRECT("'"&amp;E$14&amp;"'!C2:C1000")=$C71)
        ),
        5,
        FALSE
    )=0,
    "",
    VLOOKUP(
        $A71,
        _xlfn._xlws.FILTER(
            INDIRECT("'"&amp;E$14&amp;"'!A2:E1000"), (INDIRECT("'"&amp;E$14&amp;"'!B2:B1000")=$B71) * (INDIRECT("'"&amp;E$14&amp;"'!C2:C1000")=$C71)
        ),
        5,
        FALSE
    )
)</f>
        <v>Atrasado &gt;= 2</v>
      </c>
      <c r="F71" s="100" t="str">
        <f t="array" aca="1" ref="F71" ca="1">IF(
    VLOOKUP(
        $A71,
        _xlfn._xlws.FILTER(
            INDIRECT("'"&amp;F$14&amp;"'!A2:E1000"), (INDIRECT("'"&amp;F$14&amp;"'!B2:B1000")=$B71) * (INDIRECT("'"&amp;F$14&amp;"'!C2:C1000")=$C71)
        ),
        5,
        FALSE
    )=0,
    "",
    VLOOKUP(
        $A71,
        _xlfn._xlws.FILTER(
            INDIRECT("'"&amp;F$14&amp;"'!A2:E1000"), (INDIRECT("'"&amp;F$14&amp;"'!B2:B1000")=$B71) * (INDIRECT("'"&amp;F$14&amp;"'!C2:C1000")=$C71)
        ),
        5,
        FALSE
    )
)</f>
        <v>Enviado</v>
      </c>
      <c r="G71" s="100" t="str">
        <f t="array" aca="1" ref="G71" ca="1">IF(
    VLOOKUP(
        $A71,
        _xlfn._xlws.FILTER(
            INDIRECT("'"&amp;G$14&amp;"'!A2:E1000"), (INDIRECT("'"&amp;G$14&amp;"'!B2:B1000")=$B71) * (INDIRECT("'"&amp;G$14&amp;"'!C2:C1000")=$C71)
        ),
        5,
        FALSE
    )=0,
    "",
    VLOOKUP(
        $A71,
        _xlfn._xlws.FILTER(
            INDIRECT("'"&amp;G$14&amp;"'!A2:E1000"), (INDIRECT("'"&amp;G$14&amp;"'!B2:B1000")=$B71) * (INDIRECT("'"&amp;G$14&amp;"'!C2:C1000")=$C71)
        ),
        5,
        FALSE
    )
)</f>
        <v>Enviado</v>
      </c>
      <c r="H71" s="100" t="str">
        <f t="array" aca="1" ref="H71" ca="1">IF(
    VLOOKUP(
        $A71,
        _xlfn._xlws.FILTER(
            INDIRECT("'"&amp;H$14&amp;"'!A2:E1000"), (INDIRECT("'"&amp;H$14&amp;"'!B2:B1000")=$B71) * (INDIRECT("'"&amp;H$14&amp;"'!C2:C1000")=$C71)
        ),
        5,
        FALSE
    )=0,
    "",
    VLOOKUP(
        $A71,
        _xlfn._xlws.FILTER(
            INDIRECT("'"&amp;H$14&amp;"'!A2:E1000"), (INDIRECT("'"&amp;H$14&amp;"'!B2:B1000")=$B71) * (INDIRECT("'"&amp;H$14&amp;"'!C2:C1000")=$C71)
        ),
        5,
        FALSE
    )
)</f>
        <v>Enviado</v>
      </c>
      <c r="I71" s="100" t="str">
        <f t="array" aca="1" ref="I71" ca="1">IF(
    VLOOKUP(
        $A71,
        _xlfn._xlws.FILTER(
            INDIRECT("'"&amp;I$14&amp;"'!A2:E1000"), (INDIRECT("'"&amp;I$14&amp;"'!B2:B1000")=$B71) * (INDIRECT("'"&amp;I$14&amp;"'!C2:C1000")=$C71)
        ),
        5,
        FALSE
    )=0,
    "",
    VLOOKUP(
        $A71,
        _xlfn._xlws.FILTER(
            INDIRECT("'"&amp;I$14&amp;"'!A2:E1000"), (INDIRECT("'"&amp;I$14&amp;"'!B2:B1000")=$B71) * (INDIRECT("'"&amp;I$14&amp;"'!C2:C1000")=$C71)
        ),
        5,
        FALSE
    )
)</f>
        <v>Enviado</v>
      </c>
      <c r="J71" s="100" t="str">
        <f t="array" aca="1" ref="J71" ca="1">IF(
    VLOOKUP(
        $A71,
        _xlfn._xlws.FILTER(
            INDIRECT("'"&amp;J$14&amp;"'!A2:E1000"), (INDIRECT("'"&amp;J$14&amp;"'!B2:B1000")=$B71) * (INDIRECT("'"&amp;J$14&amp;"'!C2:C1000")=$C71)
        ),
        5,
        FALSE
    )=0,
    "",
    VLOOKUP(
        $A71,
        _xlfn._xlws.FILTER(
            INDIRECT("'"&amp;J$14&amp;"'!A2:E1000"), (INDIRECT("'"&amp;J$14&amp;"'!B2:B1000")=$B71) * (INDIRECT("'"&amp;J$14&amp;"'!C2:C1000")=$C71)
        ),
        5,
        FALSE
    )
)</f>
        <v>Enviado</v>
      </c>
      <c r="K71" s="100" t="str">
        <f t="array" aca="1" ref="K71" ca="1">IF(
    VLOOKUP(
        $A71,
        _xlfn._xlws.FILTER(
            INDIRECT("'"&amp;K$14&amp;"'!A2:E1000"), (INDIRECT("'"&amp;K$14&amp;"'!B2:B1000")=$B71) * (INDIRECT("'"&amp;K$14&amp;"'!C2:C1000")=$C71)
        ),
        5,
        FALSE
    )=0,
    "",
    VLOOKUP(
        $A71,
        _xlfn._xlws.FILTER(
            INDIRECT("'"&amp;K$14&amp;"'!A2:E1000"), (INDIRECT("'"&amp;K$14&amp;"'!B2:B1000")=$B71) * (INDIRECT("'"&amp;K$14&amp;"'!C2:C1000")=$C71)
        ),
        5,
        FALSE
    )
)</f>
        <v>Enviado</v>
      </c>
      <c r="L71" s="100" t="str">
        <f t="array" aca="1" ref="L71" ca="1">IF(
    VLOOKUP(
        $A71,
        _xlfn._xlws.FILTER(
            INDIRECT("'"&amp;L$14&amp;"'!A2:E1000"), (INDIRECT("'"&amp;L$14&amp;"'!B2:B1000")=$B71) * (INDIRECT("'"&amp;L$14&amp;"'!C2:C1000")=$C71)
        ),
        5,
        FALSE
    )=0,
    "",
    VLOOKUP(
        $A71,
        _xlfn._xlws.FILTER(
            INDIRECT("'"&amp;L$14&amp;"'!A2:E1000"), (INDIRECT("'"&amp;L$14&amp;"'!B2:B1000")=$B71) * (INDIRECT("'"&amp;L$14&amp;"'!C2:C1000")=$C71)
        ),
        5,
        FALSE
    )
)</f>
        <v>Enviado</v>
      </c>
      <c r="M71" s="100" t="str">
        <f t="array" aca="1" ref="M71" ca="1">IF(
    VLOOKUP(
        $A71,
        _xlfn._xlws.FILTER(
            INDIRECT("'"&amp;M$14&amp;"'!A2:E1000"), (INDIRECT("'"&amp;M$14&amp;"'!B2:B1000")=$B71) * (INDIRECT("'"&amp;M$14&amp;"'!C2:C1000")=$C71)
        ),
        5,
        FALSE
    )=0,
    "",
    VLOOKUP(
        $A71,
        _xlfn._xlws.FILTER(
            INDIRECT("'"&amp;M$14&amp;"'!A2:E1000"), (INDIRECT("'"&amp;M$14&amp;"'!B2:B1000")=$B71) * (INDIRECT("'"&amp;M$14&amp;"'!C2:C1000")=$C71)
        ),
        5,
        FALSE
    )
)</f>
        <v>Enviado</v>
      </c>
      <c r="N71" s="100" t="str">
        <f t="array" aca="1" ref="N71" ca="1">IF(
    VLOOKUP(
        $A71,
        _xlfn._xlws.FILTER(
            INDIRECT("'"&amp;N$14&amp;"'!A2:E1000"), (INDIRECT("'"&amp;N$14&amp;"'!B2:B1000")=$B71) * (INDIRECT("'"&amp;N$14&amp;"'!C2:C1000")=$C71)
        ),
        5,
        FALSE
    )=0,
    "",
    VLOOKUP(
        $A71,
        _xlfn._xlws.FILTER(
            INDIRECT("'"&amp;N$14&amp;"'!A2:E1000"), (INDIRECT("'"&amp;N$14&amp;"'!B2:B1000")=$B71) * (INDIRECT("'"&amp;N$14&amp;"'!C2:C1000")=$C71)
        ),
        5,
        FALSE
    )
)</f>
        <v>Enviado</v>
      </c>
      <c r="O71" s="100" t="str">
        <f t="array" aca="1" ref="O71" ca="1">IF(
    VLOOKUP(
        $A71,
        _xlfn._xlws.FILTER(
            INDIRECT("'"&amp;O$14&amp;"'!A2:E1000"), (INDIRECT("'"&amp;O$14&amp;"'!B2:B1000")=$B71) * (INDIRECT("'"&amp;O$14&amp;"'!C2:C1000")=$C71)
        ),
        5,
        FALSE
    )=0,
    "",
    VLOOKUP(
        $A71,
        _xlfn._xlws.FILTER(
            INDIRECT("'"&amp;O$14&amp;"'!A2:E1000"), (INDIRECT("'"&amp;O$14&amp;"'!B2:B1000")=$B71) * (INDIRECT("'"&amp;O$14&amp;"'!C2:C1000")=$C71)
        ),
        5,
        FALSE
    )
)</f>
        <v>Enviado</v>
      </c>
      <c r="P71" s="100" t="str">
        <f t="array" aca="1" ref="P71" ca="1">IF(
    VLOOKUP(
        $A71,
        _xlfn._xlws.FILTER(
            INDIRECT("'"&amp;P$14&amp;"'!A2:E1000"), (INDIRECT("'"&amp;P$14&amp;"'!B2:B1000")=$B71) * (INDIRECT("'"&amp;P$14&amp;"'!C2:C1000")=$C71)
        ),
        5,
        FALSE
    )=0,
    "",
    VLOOKUP(
        $A71,
        _xlfn._xlws.FILTER(
            INDIRECT("'"&amp;P$14&amp;"'!A2:E1000"), (INDIRECT("'"&amp;P$14&amp;"'!B2:B1000")=$B71) * (INDIRECT("'"&amp;P$14&amp;"'!C2:C1000")=$C71)
        ),
        5,
        FALSE
    )
)</f>
        <v>Enviado</v>
      </c>
      <c r="Q71" s="100" t="str">
        <f t="array" aca="1" ref="Q71" ca="1">IF(
    VLOOKUP(
        $A71,
        _xlfn._xlws.FILTER(
            INDIRECT("'"&amp;Q$14&amp;"'!A2:E1000"), (INDIRECT("'"&amp;Q$14&amp;"'!B2:B1000")=$B71) * (INDIRECT("'"&amp;Q$14&amp;"'!C2:C1000")=$C71)
        ),
        5,
        FALSE
    )=0,
    "",
    VLOOKUP(
        $A71,
        _xlfn._xlws.FILTER(
            INDIRECT("'"&amp;Q$14&amp;"'!A2:E1000"), (INDIRECT("'"&amp;Q$14&amp;"'!B2:B1000")=$B71) * (INDIRECT("'"&amp;Q$14&amp;"'!C2:C1000")=$C71)
        ),
        5,
        FALSE
    )
)</f>
        <v/>
      </c>
    </row>
    <row r="72" spans="1:17" x14ac:dyDescent="0.25">
      <c r="A72" s="87" t="s">
        <v>43</v>
      </c>
      <c r="B72" s="79" t="s">
        <v>126</v>
      </c>
      <c r="C72" s="79">
        <v>2</v>
      </c>
      <c r="D72" s="100" t="str">
        <f t="array" aca="1" ref="D72" ca="1">IF(
    VLOOKUP(
        $A72,
        _xlfn._xlws.FILTER(
            INDIRECT("'"&amp;D$14&amp;"'!A2:E1000"), (INDIRECT("'"&amp;D$14&amp;"'!B2:B1000")=$B72) * (INDIRECT("'"&amp;D$14&amp;"'!C2:C1000")=$C72)
        ),
        5,
        FALSE
    )=0,
    "",
    VLOOKUP(
        $A72,
        _xlfn._xlws.FILTER(
            INDIRECT("'"&amp;D$14&amp;"'!A2:E1000"), (INDIRECT("'"&amp;D$14&amp;"'!B2:B1000")=$B72) * (INDIRECT("'"&amp;D$14&amp;"'!C2:C1000")=$C72)
        ),
        5,
        FALSE
    )
)</f>
        <v>Enviado</v>
      </c>
      <c r="E72" s="100" t="str">
        <f t="array" aca="1" ref="E72" ca="1">IF(
    VLOOKUP(
        $A72,
        _xlfn._xlws.FILTER(
            INDIRECT("'"&amp;E$14&amp;"'!A2:E1000"), (INDIRECT("'"&amp;E$14&amp;"'!B2:B1000")=$B72) * (INDIRECT("'"&amp;E$14&amp;"'!C2:C1000")=$C72)
        ),
        5,
        FALSE
    )=0,
    "",
    VLOOKUP(
        $A72,
        _xlfn._xlws.FILTER(
            INDIRECT("'"&amp;E$14&amp;"'!A2:E1000"), (INDIRECT("'"&amp;E$14&amp;"'!B2:B1000")=$B72) * (INDIRECT("'"&amp;E$14&amp;"'!C2:C1000")=$C72)
        ),
        5,
        FALSE
    )
)</f>
        <v>Enviado</v>
      </c>
      <c r="F72" s="100" t="str">
        <f t="array" aca="1" ref="F72" ca="1">IF(
    VLOOKUP(
        $A72,
        _xlfn._xlws.FILTER(
            INDIRECT("'"&amp;F$14&amp;"'!A2:E1000"), (INDIRECT("'"&amp;F$14&amp;"'!B2:B1000")=$B72) * (INDIRECT("'"&amp;F$14&amp;"'!C2:C1000")=$C72)
        ),
        5,
        FALSE
    )=0,
    "",
    VLOOKUP(
        $A72,
        _xlfn._xlws.FILTER(
            INDIRECT("'"&amp;F$14&amp;"'!A2:E1000"), (INDIRECT("'"&amp;F$14&amp;"'!B2:B1000")=$B72) * (INDIRECT("'"&amp;F$14&amp;"'!C2:C1000")=$C72)
        ),
        5,
        FALSE
    )
)</f>
        <v>Enviado</v>
      </c>
      <c r="G72" s="100" t="str">
        <f t="array" ref="G72" ca="1">IF(
    VLOOKUP(
        $A72,
        _xlfn._xlws.FILTER(
            INDIRECT("'"&amp;G$14&amp;"'!A2:E1000"), (INDIRECT("'"&amp;G$14&amp;"'!B2:B1000")=$B72) * (INDIRECT("'"&amp;G$14&amp;"'!C2:C1000")=$C72)
        ),
        5,
        FALSE
    )=0,
    "",
    VLOOKUP(
        $A72,
        _xlfn._xlws.FILTER(
            INDIRECT("'"&amp;G$14&amp;"'!A2:E1000"), (INDIRECT("'"&amp;G$14&amp;"'!B2:B1000")=$B72) * (INDIRECT("'"&amp;G$14&amp;"'!C2:C1000")=$C72)
        ),
        5,
        FALSE
    )
)</f>
        <v>Enviado</v>
      </c>
      <c r="H72" s="100" t="str">
        <f t="array" aca="1" ref="H72" ca="1">IF(
    VLOOKUP(
        $A72,
        _xlfn._xlws.FILTER(
            INDIRECT("'"&amp;H$14&amp;"'!A2:E1000"), (INDIRECT("'"&amp;H$14&amp;"'!B2:B1000")=$B72) * (INDIRECT("'"&amp;H$14&amp;"'!C2:C1000")=$C72)
        ),
        5,
        FALSE
    )=0,
    "",
    VLOOKUP(
        $A72,
        _xlfn._xlws.FILTER(
            INDIRECT("'"&amp;H$14&amp;"'!A2:E1000"), (INDIRECT("'"&amp;H$14&amp;"'!B2:B1000")=$B72) * (INDIRECT("'"&amp;H$14&amp;"'!C2:C1000")=$C72)
        ),
        5,
        FALSE
    )
)</f>
        <v>Enviado</v>
      </c>
      <c r="I72" s="100" t="str">
        <f t="array" aca="1" ref="I72" ca="1">IF(
    VLOOKUP(
        $A72,
        _xlfn._xlws.FILTER(
            INDIRECT("'"&amp;I$14&amp;"'!A2:E1000"), (INDIRECT("'"&amp;I$14&amp;"'!B2:B1000")=$B72) * (INDIRECT("'"&amp;I$14&amp;"'!C2:C1000")=$C72)
        ),
        5,
        FALSE
    )=0,
    "",
    VLOOKUP(
        $A72,
        _xlfn._xlws.FILTER(
            INDIRECT("'"&amp;I$14&amp;"'!A2:E1000"), (INDIRECT("'"&amp;I$14&amp;"'!B2:B1000")=$B72) * (INDIRECT("'"&amp;I$14&amp;"'!C2:C1000")=$C72)
        ),
        5,
        FALSE
    )
)</f>
        <v>Enviado</v>
      </c>
      <c r="J72" s="100" t="str">
        <f t="array" aca="1" ref="J72" ca="1">IF(
    VLOOKUP(
        $A72,
        _xlfn._xlws.FILTER(
            INDIRECT("'"&amp;J$14&amp;"'!A2:E1000"), (INDIRECT("'"&amp;J$14&amp;"'!B2:B1000")=$B72) * (INDIRECT("'"&amp;J$14&amp;"'!C2:C1000")=$C72)
        ),
        5,
        FALSE
    )=0,
    "",
    VLOOKUP(
        $A72,
        _xlfn._xlws.FILTER(
            INDIRECT("'"&amp;J$14&amp;"'!A2:E1000"), (INDIRECT("'"&amp;J$14&amp;"'!B2:B1000")=$B72) * (INDIRECT("'"&amp;J$14&amp;"'!C2:C1000")=$C72)
        ),
        5,
        FALSE
    )
)</f>
        <v>Enviado</v>
      </c>
      <c r="K72" s="100" t="str">
        <f t="array" aca="1" ref="K72" ca="1">IF(
    VLOOKUP(
        $A72,
        _xlfn._xlws.FILTER(
            INDIRECT("'"&amp;K$14&amp;"'!A2:E1000"), (INDIRECT("'"&amp;K$14&amp;"'!B2:B1000")=$B72) * (INDIRECT("'"&amp;K$14&amp;"'!C2:C1000")=$C72)
        ),
        5,
        FALSE
    )=0,
    "",
    VLOOKUP(
        $A72,
        _xlfn._xlws.FILTER(
            INDIRECT("'"&amp;K$14&amp;"'!A2:E1000"), (INDIRECT("'"&amp;K$14&amp;"'!B2:B1000")=$B72) * (INDIRECT("'"&amp;K$14&amp;"'!C2:C1000")=$C72)
        ),
        5,
        FALSE
    )
)</f>
        <v>Enviado</v>
      </c>
      <c r="L72" s="100" t="str">
        <f t="array" aca="1" ref="L72" ca="1">IF(
    VLOOKUP(
        $A72,
        _xlfn._xlws.FILTER(
            INDIRECT("'"&amp;L$14&amp;"'!A2:E1000"), (INDIRECT("'"&amp;L$14&amp;"'!B2:B1000")=$B72) * (INDIRECT("'"&amp;L$14&amp;"'!C2:C1000")=$C72)
        ),
        5,
        FALSE
    )=0,
    "",
    VLOOKUP(
        $A72,
        _xlfn._xlws.FILTER(
            INDIRECT("'"&amp;L$14&amp;"'!A2:E1000"), (INDIRECT("'"&amp;L$14&amp;"'!B2:B1000")=$B72) * (INDIRECT("'"&amp;L$14&amp;"'!C2:C1000")=$C72)
        ),
        5,
        FALSE
    )
)</f>
        <v>Enviado</v>
      </c>
      <c r="M72" s="100" t="str">
        <f t="array" aca="1" ref="M72" ca="1">IF(
    VLOOKUP(
        $A72,
        _xlfn._xlws.FILTER(
            INDIRECT("'"&amp;M$14&amp;"'!A2:E1000"), (INDIRECT("'"&amp;M$14&amp;"'!B2:B1000")=$B72) * (INDIRECT("'"&amp;M$14&amp;"'!C2:C1000")=$C72)
        ),
        5,
        FALSE
    )=0,
    "",
    VLOOKUP(
        $A72,
        _xlfn._xlws.FILTER(
            INDIRECT("'"&amp;M$14&amp;"'!A2:E1000"), (INDIRECT("'"&amp;M$14&amp;"'!B2:B1000")=$B72) * (INDIRECT("'"&amp;M$14&amp;"'!C2:C1000")=$C72)
        ),
        5,
        FALSE
    )
)</f>
        <v>Enviado</v>
      </c>
      <c r="N72" s="100" t="str">
        <f t="array" aca="1" ref="N72" ca="1">IF(
    VLOOKUP(
        $A72,
        _xlfn._xlws.FILTER(
            INDIRECT("'"&amp;N$14&amp;"'!A2:E1000"), (INDIRECT("'"&amp;N$14&amp;"'!B2:B1000")=$B72) * (INDIRECT("'"&amp;N$14&amp;"'!C2:C1000")=$C72)
        ),
        5,
        FALSE
    )=0,
    "",
    VLOOKUP(
        $A72,
        _xlfn._xlws.FILTER(
            INDIRECT("'"&amp;N$14&amp;"'!A2:E1000"), (INDIRECT("'"&amp;N$14&amp;"'!B2:B1000")=$B72) * (INDIRECT("'"&amp;N$14&amp;"'!C2:C1000")=$C72)
        ),
        5,
        FALSE
    )
)</f>
        <v>Enviado</v>
      </c>
      <c r="O72" s="100" t="str">
        <f t="array" aca="1" ref="O72" ca="1">IF(
    VLOOKUP(
        $A72,
        _xlfn._xlws.FILTER(
            INDIRECT("'"&amp;O$14&amp;"'!A2:E1000"), (INDIRECT("'"&amp;O$14&amp;"'!B2:B1000")=$B72) * (INDIRECT("'"&amp;O$14&amp;"'!C2:C1000")=$C72)
        ),
        5,
        FALSE
    )=0,
    "",
    VLOOKUP(
        $A72,
        _xlfn._xlws.FILTER(
            INDIRECT("'"&amp;O$14&amp;"'!A2:E1000"), (INDIRECT("'"&amp;O$14&amp;"'!B2:B1000")=$B72) * (INDIRECT("'"&amp;O$14&amp;"'!C2:C1000")=$C72)
        ),
        5,
        FALSE
    )
)</f>
        <v>Enviado</v>
      </c>
      <c r="P72" s="100" t="str">
        <f t="array" aca="1" ref="P72" ca="1">IF(
    VLOOKUP(
        $A72,
        _xlfn._xlws.FILTER(
            INDIRECT("'"&amp;P$14&amp;"'!A2:E1000"), (INDIRECT("'"&amp;P$14&amp;"'!B2:B1000")=$B72) * (INDIRECT("'"&amp;P$14&amp;"'!C2:C1000")=$C72)
        ),
        5,
        FALSE
    )=0,
    "",
    VLOOKUP(
        $A72,
        _xlfn._xlws.FILTER(
            INDIRECT("'"&amp;P$14&amp;"'!A2:E1000"), (INDIRECT("'"&amp;P$14&amp;"'!B2:B1000")=$B72) * (INDIRECT("'"&amp;P$14&amp;"'!C2:C1000")=$C72)
        ),
        5,
        FALSE
    )
)</f>
        <v>Enviado</v>
      </c>
      <c r="Q72" s="100" t="str">
        <f t="array" aca="1" ref="Q72" ca="1">IF(
    VLOOKUP(
        $A72,
        _xlfn._xlws.FILTER(
            INDIRECT("'"&amp;Q$14&amp;"'!A2:E1000"), (INDIRECT("'"&amp;Q$14&amp;"'!B2:B1000")=$B72) * (INDIRECT("'"&amp;Q$14&amp;"'!C2:C1000")=$C72)
        ),
        5,
        FALSE
    )=0,
    "",
    VLOOKUP(
        $A72,
        _xlfn._xlws.FILTER(
            INDIRECT("'"&amp;Q$14&amp;"'!A2:E1000"), (INDIRECT("'"&amp;Q$14&amp;"'!B2:B1000")=$B72) * (INDIRECT("'"&amp;Q$14&amp;"'!C2:C1000")=$C72)
        ),
        5,
        FALSE
    )
)</f>
        <v/>
      </c>
    </row>
    <row r="73" spans="1:17" x14ac:dyDescent="0.25">
      <c r="A73" s="87" t="s">
        <v>43</v>
      </c>
      <c r="B73" s="79" t="s">
        <v>126</v>
      </c>
      <c r="C73" s="79">
        <v>3</v>
      </c>
      <c r="D73" s="100" t="str">
        <f t="array" aca="1" ref="D73" ca="1">IF(
    VLOOKUP(
        $A73,
        _xlfn._xlws.FILTER(
            INDIRECT("'"&amp;D$14&amp;"'!A2:E1000"), (INDIRECT("'"&amp;D$14&amp;"'!B2:B1000")=$B73) * (INDIRECT("'"&amp;D$14&amp;"'!C2:C1000")=$C73)
        ),
        5,
        FALSE
    )=0,
    "",
    VLOOKUP(
        $A73,
        _xlfn._xlws.FILTER(
            INDIRECT("'"&amp;D$14&amp;"'!A2:E1000"), (INDIRECT("'"&amp;D$14&amp;"'!B2:B1000")=$B73) * (INDIRECT("'"&amp;D$14&amp;"'!C2:C1000")=$C73)
        ),
        5,
        FALSE
    )
)</f>
        <v>Enviado</v>
      </c>
      <c r="E73" s="100" t="str">
        <f t="array" aca="1" ref="E73" ca="1">IF(
    VLOOKUP(
        $A73,
        _xlfn._xlws.FILTER(
            INDIRECT("'"&amp;E$14&amp;"'!A2:E1000"), (INDIRECT("'"&amp;E$14&amp;"'!B2:B1000")=$B73) * (INDIRECT("'"&amp;E$14&amp;"'!C2:C1000")=$C73)
        ),
        5,
        FALSE
    )=0,
    "",
    VLOOKUP(
        $A73,
        _xlfn._xlws.FILTER(
            INDIRECT("'"&amp;E$14&amp;"'!A2:E1000"), (INDIRECT("'"&amp;E$14&amp;"'!B2:B1000")=$B73) * (INDIRECT("'"&amp;E$14&amp;"'!C2:C1000")=$C73)
        ),
        5,
        FALSE
    )
)</f>
        <v>Enviado</v>
      </c>
      <c r="F73" s="100" t="str">
        <f t="array" aca="1" ref="F73" ca="1">IF(
    VLOOKUP(
        $A73,
        _xlfn._xlws.FILTER(
            INDIRECT("'"&amp;F$14&amp;"'!A2:E1000"), (INDIRECT("'"&amp;F$14&amp;"'!B2:B1000")=$B73) * (INDIRECT("'"&amp;F$14&amp;"'!C2:C1000")=$C73)
        ),
        5,
        FALSE
    )=0,
    "",
    VLOOKUP(
        $A73,
        _xlfn._xlws.FILTER(
            INDIRECT("'"&amp;F$14&amp;"'!A2:E1000"), (INDIRECT("'"&amp;F$14&amp;"'!B2:B1000")=$B73) * (INDIRECT("'"&amp;F$14&amp;"'!C2:C1000")=$C73)
        ),
        5,
        FALSE
    )
)</f>
        <v>Enviado</v>
      </c>
      <c r="G73" s="100" t="str">
        <f t="array" aca="1" ref="G73" ca="1">IF(
    VLOOKUP(
        $A73,
        _xlfn._xlws.FILTER(
            INDIRECT("'"&amp;G$14&amp;"'!A2:E1000"), (INDIRECT("'"&amp;G$14&amp;"'!B2:B1000")=$B73) * (INDIRECT("'"&amp;G$14&amp;"'!C2:C1000")=$C73)
        ),
        5,
        FALSE
    )=0,
    "",
    VLOOKUP(
        $A73,
        _xlfn._xlws.FILTER(
            INDIRECT("'"&amp;G$14&amp;"'!A2:E1000"), (INDIRECT("'"&amp;G$14&amp;"'!B2:B1000")=$B73) * (INDIRECT("'"&amp;G$14&amp;"'!C2:C1000")=$C73)
        ),
        5,
        FALSE
    )
)</f>
        <v>Enviado</v>
      </c>
      <c r="H73" s="100" t="str">
        <f t="array" aca="1" ref="H73" ca="1">IF(
    VLOOKUP(
        $A73,
        _xlfn._xlws.FILTER(
            INDIRECT("'"&amp;H$14&amp;"'!A2:E1000"), (INDIRECT("'"&amp;H$14&amp;"'!B2:B1000")=$B73) * (INDIRECT("'"&amp;H$14&amp;"'!C2:C1000")=$C73)
        ),
        5,
        FALSE
    )=0,
    "",
    VLOOKUP(
        $A73,
        _xlfn._xlws.FILTER(
            INDIRECT("'"&amp;H$14&amp;"'!A2:E1000"), (INDIRECT("'"&amp;H$14&amp;"'!B2:B1000")=$B73) * (INDIRECT("'"&amp;H$14&amp;"'!C2:C1000")=$C73)
        ),
        5,
        FALSE
    )
)</f>
        <v>Enviado</v>
      </c>
      <c r="I73" s="100" t="str">
        <f t="array" aca="1" ref="I73" ca="1">IF(
    VLOOKUP(
        $A73,
        _xlfn._xlws.FILTER(
            INDIRECT("'"&amp;I$14&amp;"'!A2:E1000"), (INDIRECT("'"&amp;I$14&amp;"'!B2:B1000")=$B73) * (INDIRECT("'"&amp;I$14&amp;"'!C2:C1000")=$C73)
        ),
        5,
        FALSE
    )=0,
    "",
    VLOOKUP(
        $A73,
        _xlfn._xlws.FILTER(
            INDIRECT("'"&amp;I$14&amp;"'!A2:E1000"), (INDIRECT("'"&amp;I$14&amp;"'!B2:B1000")=$B73) * (INDIRECT("'"&amp;I$14&amp;"'!C2:C1000")=$C73)
        ),
        5,
        FALSE
    )
)</f>
        <v>Enviado</v>
      </c>
      <c r="J73" s="100" t="str">
        <f t="array" aca="1" ref="J73" ca="1">IF(
    VLOOKUP(
        $A73,
        _xlfn._xlws.FILTER(
            INDIRECT("'"&amp;J$14&amp;"'!A2:E1000"), (INDIRECT("'"&amp;J$14&amp;"'!B2:B1000")=$B73) * (INDIRECT("'"&amp;J$14&amp;"'!C2:C1000")=$C73)
        ),
        5,
        FALSE
    )=0,
    "",
    VLOOKUP(
        $A73,
        _xlfn._xlws.FILTER(
            INDIRECT("'"&amp;J$14&amp;"'!A2:E1000"), (INDIRECT("'"&amp;J$14&amp;"'!B2:B1000")=$B73) * (INDIRECT("'"&amp;J$14&amp;"'!C2:C1000")=$C73)
        ),
        5,
        FALSE
    )
)</f>
        <v>Enviado</v>
      </c>
      <c r="K73" s="100" t="str">
        <f t="array" aca="1" ref="K73" ca="1">IF(
    VLOOKUP(
        $A73,
        _xlfn._xlws.FILTER(
            INDIRECT("'"&amp;K$14&amp;"'!A2:E1000"), (INDIRECT("'"&amp;K$14&amp;"'!B2:B1000")=$B73) * (INDIRECT("'"&amp;K$14&amp;"'!C2:C1000")=$C73)
        ),
        5,
        FALSE
    )=0,
    "",
    VLOOKUP(
        $A73,
        _xlfn._xlws.FILTER(
            INDIRECT("'"&amp;K$14&amp;"'!A2:E1000"), (INDIRECT("'"&amp;K$14&amp;"'!B2:B1000")=$B73) * (INDIRECT("'"&amp;K$14&amp;"'!C2:C1000")=$C73)
        ),
        5,
        FALSE
    )
)</f>
        <v>Enviado</v>
      </c>
      <c r="L73" s="100" t="str">
        <f t="array" aca="1" ref="L73" ca="1">IF(
    VLOOKUP(
        $A73,
        _xlfn._xlws.FILTER(
            INDIRECT("'"&amp;L$14&amp;"'!A2:E1000"), (INDIRECT("'"&amp;L$14&amp;"'!B2:B1000")=$B73) * (INDIRECT("'"&amp;L$14&amp;"'!C2:C1000")=$C73)
        ),
        5,
        FALSE
    )=0,
    "",
    VLOOKUP(
        $A73,
        _xlfn._xlws.FILTER(
            INDIRECT("'"&amp;L$14&amp;"'!A2:E1000"), (INDIRECT("'"&amp;L$14&amp;"'!B2:B1000")=$B73) * (INDIRECT("'"&amp;L$14&amp;"'!C2:C1000")=$C73)
        ),
        5,
        FALSE
    )
)</f>
        <v>Enviado</v>
      </c>
      <c r="M73" s="100" t="str">
        <f t="array" aca="1" ref="M73" ca="1">IF(
    VLOOKUP(
        $A73,
        _xlfn._xlws.FILTER(
            INDIRECT("'"&amp;M$14&amp;"'!A2:E1000"), (INDIRECT("'"&amp;M$14&amp;"'!B2:B1000")=$B73) * (INDIRECT("'"&amp;M$14&amp;"'!C2:C1000")=$C73)
        ),
        5,
        FALSE
    )=0,
    "",
    VLOOKUP(
        $A73,
        _xlfn._xlws.FILTER(
            INDIRECT("'"&amp;M$14&amp;"'!A2:E1000"), (INDIRECT("'"&amp;M$14&amp;"'!B2:B1000")=$B73) * (INDIRECT("'"&amp;M$14&amp;"'!C2:C1000")=$C73)
        ),
        5,
        FALSE
    )
)</f>
        <v>Enviado</v>
      </c>
      <c r="N73" s="100" t="str">
        <f t="array" aca="1" ref="N73" ca="1">IF(
    VLOOKUP(
        $A73,
        _xlfn._xlws.FILTER(
            INDIRECT("'"&amp;N$14&amp;"'!A2:E1000"), (INDIRECT("'"&amp;N$14&amp;"'!B2:B1000")=$B73) * (INDIRECT("'"&amp;N$14&amp;"'!C2:C1000")=$C73)
        ),
        5,
        FALSE
    )=0,
    "",
    VLOOKUP(
        $A73,
        _xlfn._xlws.FILTER(
            INDIRECT("'"&amp;N$14&amp;"'!A2:E1000"), (INDIRECT("'"&amp;N$14&amp;"'!B2:B1000")=$B73) * (INDIRECT("'"&amp;N$14&amp;"'!C2:C1000")=$C73)
        ),
        5,
        FALSE
    )
)</f>
        <v>Enviado</v>
      </c>
      <c r="O73" s="100" t="str">
        <f t="array" aca="1" ref="O73" ca="1">IF(
    VLOOKUP(
        $A73,
        _xlfn._xlws.FILTER(
            INDIRECT("'"&amp;O$14&amp;"'!A2:E1000"), (INDIRECT("'"&amp;O$14&amp;"'!B2:B1000")=$B73) * (INDIRECT("'"&amp;O$14&amp;"'!C2:C1000")=$C73)
        ),
        5,
        FALSE
    )=0,
    "",
    VLOOKUP(
        $A73,
        _xlfn._xlws.FILTER(
            INDIRECT("'"&amp;O$14&amp;"'!A2:E1000"), (INDIRECT("'"&amp;O$14&amp;"'!B2:B1000")=$B73) * (INDIRECT("'"&amp;O$14&amp;"'!C2:C1000")=$C73)
        ),
        5,
        FALSE
    )
)</f>
        <v>Enviado</v>
      </c>
      <c r="P73" s="100" t="str">
        <f t="array" aca="1" ref="P73" ca="1">IF(
    VLOOKUP(
        $A73,
        _xlfn._xlws.FILTER(
            INDIRECT("'"&amp;P$14&amp;"'!A2:E1000"), (INDIRECT("'"&amp;P$14&amp;"'!B2:B1000")=$B73) * (INDIRECT("'"&amp;P$14&amp;"'!C2:C1000")=$C73)
        ),
        5,
        FALSE
    )=0,
    "",
    VLOOKUP(
        $A73,
        _xlfn._xlws.FILTER(
            INDIRECT("'"&amp;P$14&amp;"'!A2:E1000"), (INDIRECT("'"&amp;P$14&amp;"'!B2:B1000")=$B73) * (INDIRECT("'"&amp;P$14&amp;"'!C2:C1000")=$C73)
        ),
        5,
        FALSE
    )
)</f>
        <v>Enviado</v>
      </c>
      <c r="Q73" s="100" t="str">
        <f t="array" aca="1" ref="Q73" ca="1">IF(
    VLOOKUP(
        $A73,
        _xlfn._xlws.FILTER(
            INDIRECT("'"&amp;Q$14&amp;"'!A2:E1000"), (INDIRECT("'"&amp;Q$14&amp;"'!B2:B1000")=$B73) * (INDIRECT("'"&amp;Q$14&amp;"'!C2:C1000")=$C73)
        ),
        5,
        FALSE
    )=0,
    "",
    VLOOKUP(
        $A73,
        _xlfn._xlws.FILTER(
            INDIRECT("'"&amp;Q$14&amp;"'!A2:E1000"), (INDIRECT("'"&amp;Q$14&amp;"'!B2:B1000")=$B73) * (INDIRECT("'"&amp;Q$14&amp;"'!C2:C1000")=$C73)
        ),
        5,
        FALSE
    )
)</f>
        <v/>
      </c>
    </row>
    <row r="74" spans="1:17" x14ac:dyDescent="0.25">
      <c r="A74" s="87" t="s">
        <v>43</v>
      </c>
      <c r="B74" s="79" t="s">
        <v>126</v>
      </c>
      <c r="C74" s="79">
        <v>4</v>
      </c>
      <c r="D74" s="100" t="str">
        <f t="array" aca="1" ref="D74" ca="1">IF(
    VLOOKUP(
        $A74,
        _xlfn._xlws.FILTER(
            INDIRECT("'"&amp;D$14&amp;"'!A2:E1000"), (INDIRECT("'"&amp;D$14&amp;"'!B2:B1000")=$B74) * (INDIRECT("'"&amp;D$14&amp;"'!C2:C1000")=$C74)
        ),
        5,
        FALSE
    )=0,
    "",
    VLOOKUP(
        $A74,
        _xlfn._xlws.FILTER(
            INDIRECT("'"&amp;D$14&amp;"'!A2:E1000"), (INDIRECT("'"&amp;D$14&amp;"'!B2:B1000")=$B74) * (INDIRECT("'"&amp;D$14&amp;"'!C2:C1000")=$C74)
        ),
        5,
        FALSE
    )
)</f>
        <v>Enviado</v>
      </c>
      <c r="E74" s="100" t="str">
        <f t="array" aca="1" ref="E74" ca="1">IF(
    VLOOKUP(
        $A74,
        _xlfn._xlws.FILTER(
            INDIRECT("'"&amp;E$14&amp;"'!A2:E1000"), (INDIRECT("'"&amp;E$14&amp;"'!B2:B1000")=$B74) * (INDIRECT("'"&amp;E$14&amp;"'!C2:C1000")=$C74)
        ),
        5,
        FALSE
    )=0,
    "",
    VLOOKUP(
        $A74,
        _xlfn._xlws.FILTER(
            INDIRECT("'"&amp;E$14&amp;"'!A2:E1000"), (INDIRECT("'"&amp;E$14&amp;"'!B2:B1000")=$B74) * (INDIRECT("'"&amp;E$14&amp;"'!C2:C1000")=$C74)
        ),
        5,
        FALSE
    )
)</f>
        <v>Atrasado &gt;= 2</v>
      </c>
      <c r="F74" s="100" t="str">
        <f t="array" aca="1" ref="F74" ca="1">IF(
    VLOOKUP(
        $A74,
        _xlfn._xlws.FILTER(
            INDIRECT("'"&amp;F$14&amp;"'!A2:E1000"), (INDIRECT("'"&amp;F$14&amp;"'!B2:B1000")=$B74) * (INDIRECT("'"&amp;F$14&amp;"'!C2:C1000")=$C74)
        ),
        5,
        FALSE
    )=0,
    "",
    VLOOKUP(
        $A74,
        _xlfn._xlws.FILTER(
            INDIRECT("'"&amp;F$14&amp;"'!A2:E1000"), (INDIRECT("'"&amp;F$14&amp;"'!B2:B1000")=$B74) * (INDIRECT("'"&amp;F$14&amp;"'!C2:C1000")=$C74)
        ),
        5,
        FALSE
    )
)</f>
        <v>Atrasado &gt;= 2</v>
      </c>
      <c r="G74" s="100" t="str">
        <f t="array" aca="1" ref="G74" ca="1">IF(
    VLOOKUP(
        $A74,
        _xlfn._xlws.FILTER(
            INDIRECT("'"&amp;G$14&amp;"'!A2:E1000"), (INDIRECT("'"&amp;G$14&amp;"'!B2:B1000")=$B74) * (INDIRECT("'"&amp;G$14&amp;"'!C2:C1000")=$C74)
        ),
        5,
        FALSE
    )=0,
    "",
    VLOOKUP(
        $A74,
        _xlfn._xlws.FILTER(
            INDIRECT("'"&amp;G$14&amp;"'!A2:E1000"), (INDIRECT("'"&amp;G$14&amp;"'!B2:B1000")=$B74) * (INDIRECT("'"&amp;G$14&amp;"'!C2:C1000")=$C74)
        ),
        5,
        FALSE
    )
)</f>
        <v>Atrasado &gt;= 2</v>
      </c>
      <c r="H74" s="100" t="str">
        <f t="array" aca="1" ref="H74" ca="1">IF(
    VLOOKUP(
        $A74,
        _xlfn._xlws.FILTER(
            INDIRECT("'"&amp;H$14&amp;"'!A2:E1000"), (INDIRECT("'"&amp;H$14&amp;"'!B2:B1000")=$B74) * (INDIRECT("'"&amp;H$14&amp;"'!C2:C1000")=$C74)
        ),
        5,
        FALSE
    )=0,
    "",
    VLOOKUP(
        $A74,
        _xlfn._xlws.FILTER(
            INDIRECT("'"&amp;H$14&amp;"'!A2:E1000"), (INDIRECT("'"&amp;H$14&amp;"'!B2:B1000")=$B74) * (INDIRECT("'"&amp;H$14&amp;"'!C2:C1000")=$C74)
        ),
        5,
        FALSE
    )
)</f>
        <v>Enviado</v>
      </c>
      <c r="I74" s="100" t="str">
        <f t="array" aca="1" ref="I74" ca="1">IF(
    VLOOKUP(
        $A74,
        _xlfn._xlws.FILTER(
            INDIRECT("'"&amp;I$14&amp;"'!A2:E1000"), (INDIRECT("'"&amp;I$14&amp;"'!B2:B1000")=$B74) * (INDIRECT("'"&amp;I$14&amp;"'!C2:C1000")=$C74)
        ),
        5,
        FALSE
    )=0,
    "",
    VLOOKUP(
        $A74,
        _xlfn._xlws.FILTER(
            INDIRECT("'"&amp;I$14&amp;"'!A2:E1000"), (INDIRECT("'"&amp;I$14&amp;"'!B2:B1000")=$B74) * (INDIRECT("'"&amp;I$14&amp;"'!C2:C1000")=$C74)
        ),
        5,
        FALSE
    )
)</f>
        <v>Enviado</v>
      </c>
      <c r="J74" s="100" t="str">
        <f t="array" aca="1" ref="J74" ca="1">IF(
    VLOOKUP(
        $A74,
        _xlfn._xlws.FILTER(
            INDIRECT("'"&amp;J$14&amp;"'!A2:E1000"), (INDIRECT("'"&amp;J$14&amp;"'!B2:B1000")=$B74) * (INDIRECT("'"&amp;J$14&amp;"'!C2:C1000")=$C74)
        ),
        5,
        FALSE
    )=0,
    "",
    VLOOKUP(
        $A74,
        _xlfn._xlws.FILTER(
            INDIRECT("'"&amp;J$14&amp;"'!A2:E1000"), (INDIRECT("'"&amp;J$14&amp;"'!B2:B1000")=$B74) * (INDIRECT("'"&amp;J$14&amp;"'!C2:C1000")=$C74)
        ),
        5,
        FALSE
    )
)</f>
        <v>Enviado</v>
      </c>
      <c r="K74" s="100" t="str">
        <f t="array" aca="1" ref="K74" ca="1">IF(
    VLOOKUP(
        $A74,
        _xlfn._xlws.FILTER(
            INDIRECT("'"&amp;K$14&amp;"'!A2:E1000"), (INDIRECT("'"&amp;K$14&amp;"'!B2:B1000")=$B74) * (INDIRECT("'"&amp;K$14&amp;"'!C2:C1000")=$C74)
        ),
        5,
        FALSE
    )=0,
    "",
    VLOOKUP(
        $A74,
        _xlfn._xlws.FILTER(
            INDIRECT("'"&amp;K$14&amp;"'!A2:E1000"), (INDIRECT("'"&amp;K$14&amp;"'!B2:B1000")=$B74) * (INDIRECT("'"&amp;K$14&amp;"'!C2:C1000")=$C74)
        ),
        5,
        FALSE
    )
)</f>
        <v>Enviado</v>
      </c>
      <c r="L74" s="100" t="str">
        <f t="array" aca="1" ref="L74" ca="1">IF(
    VLOOKUP(
        $A74,
        _xlfn._xlws.FILTER(
            INDIRECT("'"&amp;L$14&amp;"'!A2:E1000"), (INDIRECT("'"&amp;L$14&amp;"'!B2:B1000")=$B74) * (INDIRECT("'"&amp;L$14&amp;"'!C2:C1000")=$C74)
        ),
        5,
        FALSE
    )=0,
    "",
    VLOOKUP(
        $A74,
        _xlfn._xlws.FILTER(
            INDIRECT("'"&amp;L$14&amp;"'!A2:E1000"), (INDIRECT("'"&amp;L$14&amp;"'!B2:B1000")=$B74) * (INDIRECT("'"&amp;L$14&amp;"'!C2:C1000")=$C74)
        ),
        5,
        FALSE
    )
)</f>
        <v>Enviado</v>
      </c>
      <c r="M74" s="100" t="str">
        <f t="array" aca="1" ref="M74" ca="1">IF(
    VLOOKUP(
        $A74,
        _xlfn._xlws.FILTER(
            INDIRECT("'"&amp;M$14&amp;"'!A2:E1000"), (INDIRECT("'"&amp;M$14&amp;"'!B2:B1000")=$B74) * (INDIRECT("'"&amp;M$14&amp;"'!C2:C1000")=$C74)
        ),
        5,
        FALSE
    )=0,
    "",
    VLOOKUP(
        $A74,
        _xlfn._xlws.FILTER(
            INDIRECT("'"&amp;M$14&amp;"'!A2:E1000"), (INDIRECT("'"&amp;M$14&amp;"'!B2:B1000")=$B74) * (INDIRECT("'"&amp;M$14&amp;"'!C2:C1000")=$C74)
        ),
        5,
        FALSE
    )
)</f>
        <v>Enviado</v>
      </c>
      <c r="N74" s="100" t="str">
        <f t="array" aca="1" ref="N74" ca="1">IF(
    VLOOKUP(
        $A74,
        _xlfn._xlws.FILTER(
            INDIRECT("'"&amp;N$14&amp;"'!A2:E1000"), (INDIRECT("'"&amp;N$14&amp;"'!B2:B1000")=$B74) * (INDIRECT("'"&amp;N$14&amp;"'!C2:C1000")=$C74)
        ),
        5,
        FALSE
    )=0,
    "",
    VLOOKUP(
        $A74,
        _xlfn._xlws.FILTER(
            INDIRECT("'"&amp;N$14&amp;"'!A2:E1000"), (INDIRECT("'"&amp;N$14&amp;"'!B2:B1000")=$B74) * (INDIRECT("'"&amp;N$14&amp;"'!C2:C1000")=$C74)
        ),
        5,
        FALSE
    )
)</f>
        <v>Enviado</v>
      </c>
      <c r="O74" s="100" t="str">
        <f t="array" aca="1" ref="O74" ca="1">IF(
    VLOOKUP(
        $A74,
        _xlfn._xlws.FILTER(
            INDIRECT("'"&amp;O$14&amp;"'!A2:E1000"), (INDIRECT("'"&amp;O$14&amp;"'!B2:B1000")=$B74) * (INDIRECT("'"&amp;O$14&amp;"'!C2:C1000")=$C74)
        ),
        5,
        FALSE
    )=0,
    "",
    VLOOKUP(
        $A74,
        _xlfn._xlws.FILTER(
            INDIRECT("'"&amp;O$14&amp;"'!A2:E1000"), (INDIRECT("'"&amp;O$14&amp;"'!B2:B1000")=$B74) * (INDIRECT("'"&amp;O$14&amp;"'!C2:C1000")=$C74)
        ),
        5,
        FALSE
    )
)</f>
        <v>Enviado</v>
      </c>
      <c r="P74" s="100" t="str">
        <f t="array" aca="1" ref="P74" ca="1">IF(
    VLOOKUP(
        $A74,
        _xlfn._xlws.FILTER(
            INDIRECT("'"&amp;P$14&amp;"'!A2:E1000"), (INDIRECT("'"&amp;P$14&amp;"'!B2:B1000")=$B74) * (INDIRECT("'"&amp;P$14&amp;"'!C2:C1000")=$C74)
        ),
        5,
        FALSE
    )=0,
    "",
    VLOOKUP(
        $A74,
        _xlfn._xlws.FILTER(
            INDIRECT("'"&amp;P$14&amp;"'!A2:E1000"), (INDIRECT("'"&amp;P$14&amp;"'!B2:B1000")=$B74) * (INDIRECT("'"&amp;P$14&amp;"'!C2:C1000")=$C74)
        ),
        5,
        FALSE
    )
)</f>
        <v>Enviado</v>
      </c>
      <c r="Q74" s="100" t="str">
        <f t="array" ref="Q74" ca="1">IF(
    VLOOKUP(
        $A74,
        _xlfn._xlws.FILTER(
            INDIRECT("'"&amp;Q$14&amp;"'!A2:E1000"), (INDIRECT("'"&amp;Q$14&amp;"'!B2:B1000")=$B74) * (INDIRECT("'"&amp;Q$14&amp;"'!C2:C1000")=$C74)
        ),
        5,
        FALSE
    )=0,
    "",
    VLOOKUP(
        $A74,
        _xlfn._xlws.FILTER(
            INDIRECT("'"&amp;Q$14&amp;"'!A2:E1000"), (INDIRECT("'"&amp;Q$14&amp;"'!B2:B1000")=$B74) * (INDIRECT("'"&amp;Q$14&amp;"'!C2:C1000")=$C74)
        ),
        5,
        FALSE
    )
)</f>
        <v/>
      </c>
    </row>
    <row r="75" spans="1:17" x14ac:dyDescent="0.25">
      <c r="A75" s="87" t="s">
        <v>43</v>
      </c>
      <c r="B75" s="79" t="s">
        <v>126</v>
      </c>
      <c r="C75" s="79">
        <v>5</v>
      </c>
      <c r="D75" s="100" t="str">
        <f t="array" aca="1" ref="D75" ca="1">IF(
    VLOOKUP(
        $A75,
        _xlfn._xlws.FILTER(
            INDIRECT("'"&amp;D$14&amp;"'!A2:E1000"), (INDIRECT("'"&amp;D$14&amp;"'!B2:B1000")=$B75) * (INDIRECT("'"&amp;D$14&amp;"'!C2:C1000")=$C75)
        ),
        5,
        FALSE
    )=0,
    "",
    VLOOKUP(
        $A75,
        _xlfn._xlws.FILTER(
            INDIRECT("'"&amp;D$14&amp;"'!A2:E1000"), (INDIRECT("'"&amp;D$14&amp;"'!B2:B1000")=$B75) * (INDIRECT("'"&amp;D$14&amp;"'!C2:C1000")=$C75)
        ),
        5,
        FALSE
    )
)</f>
        <v>Enviado</v>
      </c>
      <c r="E75" s="100" t="str">
        <f t="array" aca="1" ref="E75" ca="1">IF(
    VLOOKUP(
        $A75,
        _xlfn._xlws.FILTER(
            INDIRECT("'"&amp;E$14&amp;"'!A2:E1000"), (INDIRECT("'"&amp;E$14&amp;"'!B2:B1000")=$B75) * (INDIRECT("'"&amp;E$14&amp;"'!C2:C1000")=$C75)
        ),
        5,
        FALSE
    )=0,
    "",
    VLOOKUP(
        $A75,
        _xlfn._xlws.FILTER(
            INDIRECT("'"&amp;E$14&amp;"'!A2:E1000"), (INDIRECT("'"&amp;E$14&amp;"'!B2:B1000")=$B75) * (INDIRECT("'"&amp;E$14&amp;"'!C2:C1000")=$C75)
        ),
        5,
        FALSE
    )
)</f>
        <v>Enviado</v>
      </c>
      <c r="F75" s="100" t="str">
        <f t="array" aca="1" ref="F75" ca="1">IF(
    VLOOKUP(
        $A75,
        _xlfn._xlws.FILTER(
            INDIRECT("'"&amp;F$14&amp;"'!A2:E1000"), (INDIRECT("'"&amp;F$14&amp;"'!B2:B1000")=$B75) * (INDIRECT("'"&amp;F$14&amp;"'!C2:C1000")=$C75)
        ),
        5,
        FALSE
    )=0,
    "",
    VLOOKUP(
        $A75,
        _xlfn._xlws.FILTER(
            INDIRECT("'"&amp;F$14&amp;"'!A2:E1000"), (INDIRECT("'"&amp;F$14&amp;"'!B2:B1000")=$B75) * (INDIRECT("'"&amp;F$14&amp;"'!C2:C1000")=$C75)
        ),
        5,
        FALSE
    )
)</f>
        <v>Enviado</v>
      </c>
      <c r="G75" s="100" t="str">
        <f t="array" aca="1" ref="G75" ca="1">IF(
    VLOOKUP(
        $A75,
        _xlfn._xlws.FILTER(
            INDIRECT("'"&amp;G$14&amp;"'!A2:E1000"), (INDIRECT("'"&amp;G$14&amp;"'!B2:B1000")=$B75) * (INDIRECT("'"&amp;G$14&amp;"'!C2:C1000")=$C75)
        ),
        5,
        FALSE
    )=0,
    "",
    VLOOKUP(
        $A75,
        _xlfn._xlws.FILTER(
            INDIRECT("'"&amp;G$14&amp;"'!A2:E1000"), (INDIRECT("'"&amp;G$14&amp;"'!B2:B1000")=$B75) * (INDIRECT("'"&amp;G$14&amp;"'!C2:C1000")=$C75)
        ),
        5,
        FALSE
    )
)</f>
        <v>Enviado</v>
      </c>
      <c r="H75" s="100" t="str">
        <f t="array" aca="1" ref="H75" ca="1">IF(
    VLOOKUP(
        $A75,
        _xlfn._xlws.FILTER(
            INDIRECT("'"&amp;H$14&amp;"'!A2:E1000"), (INDIRECT("'"&amp;H$14&amp;"'!B2:B1000")=$B75) * (INDIRECT("'"&amp;H$14&amp;"'!C2:C1000")=$C75)
        ),
        5,
        FALSE
    )=0,
    "",
    VLOOKUP(
        $A75,
        _xlfn._xlws.FILTER(
            INDIRECT("'"&amp;H$14&amp;"'!A2:E1000"), (INDIRECT("'"&amp;H$14&amp;"'!B2:B1000")=$B75) * (INDIRECT("'"&amp;H$14&amp;"'!C2:C1000")=$C75)
        ),
        5,
        FALSE
    )
)</f>
        <v>Enviado</v>
      </c>
      <c r="I75" s="100" t="str">
        <f t="array" aca="1" ref="I75" ca="1">IF(
    VLOOKUP(
        $A75,
        _xlfn._xlws.FILTER(
            INDIRECT("'"&amp;I$14&amp;"'!A2:E1000"), (INDIRECT("'"&amp;I$14&amp;"'!B2:B1000")=$B75) * (INDIRECT("'"&amp;I$14&amp;"'!C2:C1000")=$C75)
        ),
        5,
        FALSE
    )=0,
    "",
    VLOOKUP(
        $A75,
        _xlfn._xlws.FILTER(
            INDIRECT("'"&amp;I$14&amp;"'!A2:E1000"), (INDIRECT("'"&amp;I$14&amp;"'!B2:B1000")=$B75) * (INDIRECT("'"&amp;I$14&amp;"'!C2:C1000")=$C75)
        ),
        5,
        FALSE
    )
)</f>
        <v>Enviado</v>
      </c>
      <c r="J75" s="100" t="str">
        <f t="array" aca="1" ref="J75" ca="1">IF(
    VLOOKUP(
        $A75,
        _xlfn._xlws.FILTER(
            INDIRECT("'"&amp;J$14&amp;"'!A2:E1000"), (INDIRECT("'"&amp;J$14&amp;"'!B2:B1000")=$B75) * (INDIRECT("'"&amp;J$14&amp;"'!C2:C1000")=$C75)
        ),
        5,
        FALSE
    )=0,
    "",
    VLOOKUP(
        $A75,
        _xlfn._xlws.FILTER(
            INDIRECT("'"&amp;J$14&amp;"'!A2:E1000"), (INDIRECT("'"&amp;J$14&amp;"'!B2:B1000")=$B75) * (INDIRECT("'"&amp;J$14&amp;"'!C2:C1000")=$C75)
        ),
        5,
        FALSE
    )
)</f>
        <v>Enviado</v>
      </c>
      <c r="K75" s="100" t="str">
        <f t="array" aca="1" ref="K75" ca="1">IF(
    VLOOKUP(
        $A75,
        _xlfn._xlws.FILTER(
            INDIRECT("'"&amp;K$14&amp;"'!A2:E1000"), (INDIRECT("'"&amp;K$14&amp;"'!B2:B1000")=$B75) * (INDIRECT("'"&amp;K$14&amp;"'!C2:C1000")=$C75)
        ),
        5,
        FALSE
    )=0,
    "",
    VLOOKUP(
        $A75,
        _xlfn._xlws.FILTER(
            INDIRECT("'"&amp;K$14&amp;"'!A2:E1000"), (INDIRECT("'"&amp;K$14&amp;"'!B2:B1000")=$B75) * (INDIRECT("'"&amp;K$14&amp;"'!C2:C1000")=$C75)
        ),
        5,
        FALSE
    )
)</f>
        <v>Enviado</v>
      </c>
      <c r="L75" s="100" t="str">
        <f t="array" aca="1" ref="L75" ca="1">IF(
    VLOOKUP(
        $A75,
        _xlfn._xlws.FILTER(
            INDIRECT("'"&amp;L$14&amp;"'!A2:E1000"), (INDIRECT("'"&amp;L$14&amp;"'!B2:B1000")=$B75) * (INDIRECT("'"&amp;L$14&amp;"'!C2:C1000")=$C75)
        ),
        5,
        FALSE
    )=0,
    "",
    VLOOKUP(
        $A75,
        _xlfn._xlws.FILTER(
            INDIRECT("'"&amp;L$14&amp;"'!A2:E1000"), (INDIRECT("'"&amp;L$14&amp;"'!B2:B1000")=$B75) * (INDIRECT("'"&amp;L$14&amp;"'!C2:C1000")=$C75)
        ),
        5,
        FALSE
    )
)</f>
        <v>Enviado</v>
      </c>
      <c r="M75" s="100" t="str">
        <f t="array" aca="1" ref="M75" ca="1">IF(
    VLOOKUP(
        $A75,
        _xlfn._xlws.FILTER(
            INDIRECT("'"&amp;M$14&amp;"'!A2:E1000"), (INDIRECT("'"&amp;M$14&amp;"'!B2:B1000")=$B75) * (INDIRECT("'"&amp;M$14&amp;"'!C2:C1000")=$C75)
        ),
        5,
        FALSE
    )=0,
    "",
    VLOOKUP(
        $A75,
        _xlfn._xlws.FILTER(
            INDIRECT("'"&amp;M$14&amp;"'!A2:E1000"), (INDIRECT("'"&amp;M$14&amp;"'!B2:B1000")=$B75) * (INDIRECT("'"&amp;M$14&amp;"'!C2:C1000")=$C75)
        ),
        5,
        FALSE
    )
)</f>
        <v>Enviado</v>
      </c>
      <c r="N75" s="100" t="str">
        <f t="array" aca="1" ref="N75" ca="1">IF(
    VLOOKUP(
        $A75,
        _xlfn._xlws.FILTER(
            INDIRECT("'"&amp;N$14&amp;"'!A2:E1000"), (INDIRECT("'"&amp;N$14&amp;"'!B2:B1000")=$B75) * (INDIRECT("'"&amp;N$14&amp;"'!C2:C1000")=$C75)
        ),
        5,
        FALSE
    )=0,
    "",
    VLOOKUP(
        $A75,
        _xlfn._xlws.FILTER(
            INDIRECT("'"&amp;N$14&amp;"'!A2:E1000"), (INDIRECT("'"&amp;N$14&amp;"'!B2:B1000")=$B75) * (INDIRECT("'"&amp;N$14&amp;"'!C2:C1000")=$C75)
        ),
        5,
        FALSE
    )
)</f>
        <v>Enviado</v>
      </c>
      <c r="O75" s="100" t="str">
        <f t="array" aca="1" ref="O75" ca="1">IF(
    VLOOKUP(
        $A75,
        _xlfn._xlws.FILTER(
            INDIRECT("'"&amp;O$14&amp;"'!A2:E1000"), (INDIRECT("'"&amp;O$14&amp;"'!B2:B1000")=$B75) * (INDIRECT("'"&amp;O$14&amp;"'!C2:C1000")=$C75)
        ),
        5,
        FALSE
    )=0,
    "",
    VLOOKUP(
        $A75,
        _xlfn._xlws.FILTER(
            INDIRECT("'"&amp;O$14&amp;"'!A2:E1000"), (INDIRECT("'"&amp;O$14&amp;"'!B2:B1000")=$B75) * (INDIRECT("'"&amp;O$14&amp;"'!C2:C1000")=$C75)
        ),
        5,
        FALSE
    )
)</f>
        <v>Enviado</v>
      </c>
      <c r="P75" s="100" t="str">
        <f t="array" aca="1" ref="P75" ca="1">IF(
    VLOOKUP(
        $A75,
        _xlfn._xlws.FILTER(
            INDIRECT("'"&amp;P$14&amp;"'!A2:E1000"), (INDIRECT("'"&amp;P$14&amp;"'!B2:B1000")=$B75) * (INDIRECT("'"&amp;P$14&amp;"'!C2:C1000")=$C75)
        ),
        5,
        FALSE
    )=0,
    "",
    VLOOKUP(
        $A75,
        _xlfn._xlws.FILTER(
            INDIRECT("'"&amp;P$14&amp;"'!A2:E1000"), (INDIRECT("'"&amp;P$14&amp;"'!B2:B1000")=$B75) * (INDIRECT("'"&amp;P$14&amp;"'!C2:C1000")=$C75)
        ),
        5,
        FALSE
    )
)</f>
        <v>Enviado</v>
      </c>
      <c r="Q75" s="100" t="str">
        <f t="array" aca="1" ref="Q75" ca="1">IF(
    VLOOKUP(
        $A75,
        _xlfn._xlws.FILTER(
            INDIRECT("'"&amp;Q$14&amp;"'!A2:E1000"), (INDIRECT("'"&amp;Q$14&amp;"'!B2:B1000")=$B75) * (INDIRECT("'"&amp;Q$14&amp;"'!C2:C1000")=$C75)
        ),
        5,
        FALSE
    )=0,
    "",
    VLOOKUP(
        $A75,
        _xlfn._xlws.FILTER(
            INDIRECT("'"&amp;Q$14&amp;"'!A2:E1000"), (INDIRECT("'"&amp;Q$14&amp;"'!B2:B1000")=$B75) * (INDIRECT("'"&amp;Q$14&amp;"'!C2:C1000")=$C75)
        ),
        5,
        FALSE
    )
)</f>
        <v/>
      </c>
    </row>
    <row r="76" spans="1:17" x14ac:dyDescent="0.25">
      <c r="A76" s="87" t="s">
        <v>43</v>
      </c>
      <c r="B76" s="79" t="s">
        <v>126</v>
      </c>
      <c r="C76" s="79">
        <v>6</v>
      </c>
      <c r="D76" s="100" t="str">
        <f t="array" aca="1" ref="D76" ca="1">IF(
    VLOOKUP(
        $A76,
        _xlfn._xlws.FILTER(
            INDIRECT("'"&amp;D$14&amp;"'!A2:E1000"), (INDIRECT("'"&amp;D$14&amp;"'!B2:B1000")=$B76) * (INDIRECT("'"&amp;D$14&amp;"'!C2:C1000")=$C76)
        ),
        5,
        FALSE
    )=0,
    "",
    VLOOKUP(
        $A76,
        _xlfn._xlws.FILTER(
            INDIRECT("'"&amp;D$14&amp;"'!A2:E1000"), (INDIRECT("'"&amp;D$14&amp;"'!B2:B1000")=$B76) * (INDIRECT("'"&amp;D$14&amp;"'!C2:C1000")=$C76)
        ),
        5,
        FALSE
    )
)</f>
        <v>Enviado</v>
      </c>
      <c r="E76" s="100" t="str">
        <f t="array" aca="1" ref="E76" ca="1">IF(
    VLOOKUP(
        $A76,
        _xlfn._xlws.FILTER(
            INDIRECT("'"&amp;E$14&amp;"'!A2:E1000"), (INDIRECT("'"&amp;E$14&amp;"'!B2:B1000")=$B76) * (INDIRECT("'"&amp;E$14&amp;"'!C2:C1000")=$C76)
        ),
        5,
        FALSE
    )=0,
    "",
    VLOOKUP(
        $A76,
        _xlfn._xlws.FILTER(
            INDIRECT("'"&amp;E$14&amp;"'!A2:E1000"), (INDIRECT("'"&amp;E$14&amp;"'!B2:B1000")=$B76) * (INDIRECT("'"&amp;E$14&amp;"'!C2:C1000")=$C76)
        ),
        5,
        FALSE
    )
)</f>
        <v>Enviado</v>
      </c>
      <c r="F76" s="100" t="str">
        <f t="array" aca="1" ref="F76" ca="1">IF(
    VLOOKUP(
        $A76,
        _xlfn._xlws.FILTER(
            INDIRECT("'"&amp;F$14&amp;"'!A2:E1000"), (INDIRECT("'"&amp;F$14&amp;"'!B2:B1000")=$B76) * (INDIRECT("'"&amp;F$14&amp;"'!C2:C1000")=$C76)
        ),
        5,
        FALSE
    )=0,
    "",
    VLOOKUP(
        $A76,
        _xlfn._xlws.FILTER(
            INDIRECT("'"&amp;F$14&amp;"'!A2:E1000"), (INDIRECT("'"&amp;F$14&amp;"'!B2:B1000")=$B76) * (INDIRECT("'"&amp;F$14&amp;"'!C2:C1000")=$C76)
        ),
        5,
        FALSE
    )
)</f>
        <v>Enviado</v>
      </c>
      <c r="G76" s="100" t="str">
        <f t="array" aca="1" ref="G76" ca="1">IF(
    VLOOKUP(
        $A76,
        _xlfn._xlws.FILTER(
            INDIRECT("'"&amp;G$14&amp;"'!A2:E1000"), (INDIRECT("'"&amp;G$14&amp;"'!B2:B1000")=$B76) * (INDIRECT("'"&amp;G$14&amp;"'!C2:C1000")=$C76)
        ),
        5,
        FALSE
    )=0,
    "",
    VLOOKUP(
        $A76,
        _xlfn._xlws.FILTER(
            INDIRECT("'"&amp;G$14&amp;"'!A2:E1000"), (INDIRECT("'"&amp;G$14&amp;"'!B2:B1000")=$B76) * (INDIRECT("'"&amp;G$14&amp;"'!C2:C1000")=$C76)
        ),
        5,
        FALSE
    )
)</f>
        <v>Enviado</v>
      </c>
      <c r="H76" s="100" t="str">
        <f t="array" aca="1" ref="H76" ca="1">IF(
    VLOOKUP(
        $A76,
        _xlfn._xlws.FILTER(
            INDIRECT("'"&amp;H$14&amp;"'!A2:E1000"), (INDIRECT("'"&amp;H$14&amp;"'!B2:B1000")=$B76) * (INDIRECT("'"&amp;H$14&amp;"'!C2:C1000")=$C76)
        ),
        5,
        FALSE
    )=0,
    "",
    VLOOKUP(
        $A76,
        _xlfn._xlws.FILTER(
            INDIRECT("'"&amp;H$14&amp;"'!A2:E1000"), (INDIRECT("'"&amp;H$14&amp;"'!B2:B1000")=$B76) * (INDIRECT("'"&amp;H$14&amp;"'!C2:C1000")=$C76)
        ),
        5,
        FALSE
    )
)</f>
        <v>Enviado</v>
      </c>
      <c r="I76" s="100" t="str">
        <f t="array" aca="1" ref="I76" ca="1">IF(
    VLOOKUP(
        $A76,
        _xlfn._xlws.FILTER(
            INDIRECT("'"&amp;I$14&amp;"'!A2:E1000"), (INDIRECT("'"&amp;I$14&amp;"'!B2:B1000")=$B76) * (INDIRECT("'"&amp;I$14&amp;"'!C2:C1000")=$C76)
        ),
        5,
        FALSE
    )=0,
    "",
    VLOOKUP(
        $A76,
        _xlfn._xlws.FILTER(
            INDIRECT("'"&amp;I$14&amp;"'!A2:E1000"), (INDIRECT("'"&amp;I$14&amp;"'!B2:B1000")=$B76) * (INDIRECT("'"&amp;I$14&amp;"'!C2:C1000")=$C76)
        ),
        5,
        FALSE
    )
)</f>
        <v>Enviado</v>
      </c>
      <c r="J76" s="100" t="str">
        <f t="array" aca="1" ref="J76" ca="1">IF(
    VLOOKUP(
        $A76,
        _xlfn._xlws.FILTER(
            INDIRECT("'"&amp;J$14&amp;"'!A2:E1000"), (INDIRECT("'"&amp;J$14&amp;"'!B2:B1000")=$B76) * (INDIRECT("'"&amp;J$14&amp;"'!C2:C1000")=$C76)
        ),
        5,
        FALSE
    )=0,
    "",
    VLOOKUP(
        $A76,
        _xlfn._xlws.FILTER(
            INDIRECT("'"&amp;J$14&amp;"'!A2:E1000"), (INDIRECT("'"&amp;J$14&amp;"'!B2:B1000")=$B76) * (INDIRECT("'"&amp;J$14&amp;"'!C2:C1000")=$C76)
        ),
        5,
        FALSE
    )
)</f>
        <v>Enviado</v>
      </c>
      <c r="K76" s="100" t="str">
        <f t="array" aca="1" ref="K76" ca="1">IF(
    VLOOKUP(
        $A76,
        _xlfn._xlws.FILTER(
            INDIRECT("'"&amp;K$14&amp;"'!A2:E1000"), (INDIRECT("'"&amp;K$14&amp;"'!B2:B1000")=$B76) * (INDIRECT("'"&amp;K$14&amp;"'!C2:C1000")=$C76)
        ),
        5,
        FALSE
    )=0,
    "",
    VLOOKUP(
        $A76,
        _xlfn._xlws.FILTER(
            INDIRECT("'"&amp;K$14&amp;"'!A2:E1000"), (INDIRECT("'"&amp;K$14&amp;"'!B2:B1000")=$B76) * (INDIRECT("'"&amp;K$14&amp;"'!C2:C1000")=$C76)
        ),
        5,
        FALSE
    )
)</f>
        <v>Enviado</v>
      </c>
      <c r="L76" s="100" t="str">
        <f t="array" ref="L76" ca="1">IF(
    VLOOKUP(
        $A76,
        _xlfn._xlws.FILTER(
            INDIRECT("'"&amp;L$14&amp;"'!A2:E1000"), (INDIRECT("'"&amp;L$14&amp;"'!B2:B1000")=$B76) * (INDIRECT("'"&amp;L$14&amp;"'!C2:C1000")=$C76)
        ),
        5,
        FALSE
    )=0,
    "",
    VLOOKUP(
        $A76,
        _xlfn._xlws.FILTER(
            INDIRECT("'"&amp;L$14&amp;"'!A2:E1000"), (INDIRECT("'"&amp;L$14&amp;"'!B2:B1000")=$B76) * (INDIRECT("'"&amp;L$14&amp;"'!C2:C1000")=$C76)
        ),
        5,
        FALSE
    )
)</f>
        <v>Enviado</v>
      </c>
      <c r="M76" s="100" t="str">
        <f t="array" aca="1" ref="M76" ca="1">IF(
    VLOOKUP(
        $A76,
        _xlfn._xlws.FILTER(
            INDIRECT("'"&amp;M$14&amp;"'!A2:E1000"), (INDIRECT("'"&amp;M$14&amp;"'!B2:B1000")=$B76) * (INDIRECT("'"&amp;M$14&amp;"'!C2:C1000")=$C76)
        ),
        5,
        FALSE
    )=0,
    "",
    VLOOKUP(
        $A76,
        _xlfn._xlws.FILTER(
            INDIRECT("'"&amp;M$14&amp;"'!A2:E1000"), (INDIRECT("'"&amp;M$14&amp;"'!B2:B1000")=$B76) * (INDIRECT("'"&amp;M$14&amp;"'!C2:C1000")=$C76)
        ),
        5,
        FALSE
    )
)</f>
        <v>Enviado</v>
      </c>
      <c r="N76" s="100" t="str">
        <f t="array" aca="1" ref="N76" ca="1">IF(
    VLOOKUP(
        $A76,
        _xlfn._xlws.FILTER(
            INDIRECT("'"&amp;N$14&amp;"'!A2:E1000"), (INDIRECT("'"&amp;N$14&amp;"'!B2:B1000")=$B76) * (INDIRECT("'"&amp;N$14&amp;"'!C2:C1000")=$C76)
        ),
        5,
        FALSE
    )=0,
    "",
    VLOOKUP(
        $A76,
        _xlfn._xlws.FILTER(
            INDIRECT("'"&amp;N$14&amp;"'!A2:E1000"), (INDIRECT("'"&amp;N$14&amp;"'!B2:B1000")=$B76) * (INDIRECT("'"&amp;N$14&amp;"'!C2:C1000")=$C76)
        ),
        5,
        FALSE
    )
)</f>
        <v>Enviado</v>
      </c>
      <c r="O76" s="100" t="str">
        <f t="array" aca="1" ref="O76" ca="1">IF(
    VLOOKUP(
        $A76,
        _xlfn._xlws.FILTER(
            INDIRECT("'"&amp;O$14&amp;"'!A2:E1000"), (INDIRECT("'"&amp;O$14&amp;"'!B2:B1000")=$B76) * (INDIRECT("'"&amp;O$14&amp;"'!C2:C1000")=$C76)
        ),
        5,
        FALSE
    )=0,
    "",
    VLOOKUP(
        $A76,
        _xlfn._xlws.FILTER(
            INDIRECT("'"&amp;O$14&amp;"'!A2:E1000"), (INDIRECT("'"&amp;O$14&amp;"'!B2:B1000")=$B76) * (INDIRECT("'"&amp;O$14&amp;"'!C2:C1000")=$C76)
        ),
        5,
        FALSE
    )
)</f>
        <v>Enviado</v>
      </c>
      <c r="P76" s="100" t="str">
        <f t="array" aca="1" ref="P76" ca="1">IF(
    VLOOKUP(
        $A76,
        _xlfn._xlws.FILTER(
            INDIRECT("'"&amp;P$14&amp;"'!A2:E1000"), (INDIRECT("'"&amp;P$14&amp;"'!B2:B1000")=$B76) * (INDIRECT("'"&amp;P$14&amp;"'!C2:C1000")=$C76)
        ),
        5,
        FALSE
    )=0,
    "",
    VLOOKUP(
        $A76,
        _xlfn._xlws.FILTER(
            INDIRECT("'"&amp;P$14&amp;"'!A2:E1000"), (INDIRECT("'"&amp;P$14&amp;"'!B2:B1000")=$B76) * (INDIRECT("'"&amp;P$14&amp;"'!C2:C1000")=$C76)
        ),
        5,
        FALSE
    )
)</f>
        <v>Enviado</v>
      </c>
      <c r="Q76" s="100" t="str">
        <f t="array" aca="1" ref="Q76" ca="1">IF(
    VLOOKUP(
        $A76,
        _xlfn._xlws.FILTER(
            INDIRECT("'"&amp;Q$14&amp;"'!A2:E1000"), (INDIRECT("'"&amp;Q$14&amp;"'!B2:B1000")=$B76) * (INDIRECT("'"&amp;Q$14&amp;"'!C2:C1000")=$C76)
        ),
        5,
        FALSE
    )=0,
    "",
    VLOOKUP(
        $A76,
        _xlfn._xlws.FILTER(
            INDIRECT("'"&amp;Q$14&amp;"'!A2:E1000"), (INDIRECT("'"&amp;Q$14&amp;"'!B2:B1000")=$B76) * (INDIRECT("'"&amp;Q$14&amp;"'!C2:C1000")=$C76)
        ),
        5,
        FALSE
    )
)</f>
        <v/>
      </c>
    </row>
    <row r="77" spans="1:17" x14ac:dyDescent="0.25">
      <c r="A77" s="87" t="s">
        <v>43</v>
      </c>
      <c r="B77" s="79" t="s">
        <v>127</v>
      </c>
      <c r="C77" s="79">
        <v>1</v>
      </c>
      <c r="D77" s="100" t="str">
        <f t="array" aca="1" ref="D77" ca="1">IF(
    VLOOKUP(
        $A77,
        _xlfn._xlws.FILTER(
            INDIRECT("'"&amp;D$14&amp;"'!A2:E1000"), (INDIRECT("'"&amp;D$14&amp;"'!B2:B1000")=$B77) * (INDIRECT("'"&amp;D$14&amp;"'!C2:C1000")=$C77)
        ),
        5,
        FALSE
    )=0,
    "",
    VLOOKUP(
        $A77,
        _xlfn._xlws.FILTER(
            INDIRECT("'"&amp;D$14&amp;"'!A2:E1000"), (INDIRECT("'"&amp;D$14&amp;"'!B2:B1000")=$B77) * (INDIRECT("'"&amp;D$14&amp;"'!C2:C1000")=$C77)
        ),
        5,
        FALSE
    )
)</f>
        <v>Duplicado</v>
      </c>
      <c r="E77" s="100" t="str">
        <f t="array" aca="1" ref="E77" ca="1">IF(
    VLOOKUP(
        $A77,
        _xlfn._xlws.FILTER(
            INDIRECT("'"&amp;E$14&amp;"'!A2:E1000"), (INDIRECT("'"&amp;E$14&amp;"'!B2:B1000")=$B77) * (INDIRECT("'"&amp;E$14&amp;"'!C2:C1000")=$C77)
        ),
        5,
        FALSE
    )=0,
    "",
    VLOOKUP(
        $A77,
        _xlfn._xlws.FILTER(
            INDIRECT("'"&amp;E$14&amp;"'!A2:E1000"), (INDIRECT("'"&amp;E$14&amp;"'!B2:B1000")=$B77) * (INDIRECT("'"&amp;E$14&amp;"'!C2:C1000")=$C77)
        ),
        5,
        FALSE
    )
)</f>
        <v>Duplicado</v>
      </c>
      <c r="F77" s="100" t="str">
        <f t="array" aca="1" ref="F77" ca="1">IF(
    VLOOKUP(
        $A77,
        _xlfn._xlws.FILTER(
            INDIRECT("'"&amp;F$14&amp;"'!A2:E1000"), (INDIRECT("'"&amp;F$14&amp;"'!B2:B1000")=$B77) * (INDIRECT("'"&amp;F$14&amp;"'!C2:C1000")=$C77)
        ),
        5,
        FALSE
    )=0,
    "",
    VLOOKUP(
        $A77,
        _xlfn._xlws.FILTER(
            INDIRECT("'"&amp;F$14&amp;"'!A2:E1000"), (INDIRECT("'"&amp;F$14&amp;"'!B2:B1000")=$B77) * (INDIRECT("'"&amp;F$14&amp;"'!C2:C1000")=$C77)
        ),
        5,
        FALSE
    )
)</f>
        <v>Enviado</v>
      </c>
      <c r="G77" s="100" t="str">
        <f t="array" ref="G77" ca="1">IF(
    VLOOKUP(
        $A77,
        _xlfn._xlws.FILTER(
            INDIRECT("'"&amp;G$14&amp;"'!A2:E1000"), (INDIRECT("'"&amp;G$14&amp;"'!B2:B1000")=$B77) * (INDIRECT("'"&amp;G$14&amp;"'!C2:C1000")=$C77)
        ),
        5,
        FALSE
    )=0,
    "",
    VLOOKUP(
        $A77,
        _xlfn._xlws.FILTER(
            INDIRECT("'"&amp;G$14&amp;"'!A2:E1000"), (INDIRECT("'"&amp;G$14&amp;"'!B2:B1000")=$B77) * (INDIRECT("'"&amp;G$14&amp;"'!C2:C1000")=$C77)
        ),
        5,
        FALSE
    )
)</f>
        <v>Enviado</v>
      </c>
      <c r="H77" s="100" t="str">
        <f t="array" aca="1" ref="H77" ca="1">IF(
    VLOOKUP(
        $A77,
        _xlfn._xlws.FILTER(
            INDIRECT("'"&amp;H$14&amp;"'!A2:E1000"), (INDIRECT("'"&amp;H$14&amp;"'!B2:B1000")=$B77) * (INDIRECT("'"&amp;H$14&amp;"'!C2:C1000")=$C77)
        ),
        5,
        FALSE
    )=0,
    "",
    VLOOKUP(
        $A77,
        _xlfn._xlws.FILTER(
            INDIRECT("'"&amp;H$14&amp;"'!A2:E1000"), (INDIRECT("'"&amp;H$14&amp;"'!B2:B1000")=$B77) * (INDIRECT("'"&amp;H$14&amp;"'!C2:C1000")=$C77)
        ),
        5,
        FALSE
    )
)</f>
        <v>Enviado</v>
      </c>
      <c r="I77" s="100" t="str">
        <f t="array" aca="1" ref="I77" ca="1">IF(
    VLOOKUP(
        $A77,
        _xlfn._xlws.FILTER(
            INDIRECT("'"&amp;I$14&amp;"'!A2:E1000"), (INDIRECT("'"&amp;I$14&amp;"'!B2:B1000")=$B77) * (INDIRECT("'"&amp;I$14&amp;"'!C2:C1000")=$C77)
        ),
        5,
        FALSE
    )=0,
    "",
    VLOOKUP(
        $A77,
        _xlfn._xlws.FILTER(
            INDIRECT("'"&amp;I$14&amp;"'!A2:E1000"), (INDIRECT("'"&amp;I$14&amp;"'!B2:B1000")=$B77) * (INDIRECT("'"&amp;I$14&amp;"'!C2:C1000")=$C77)
        ),
        5,
        FALSE
    )
)</f>
        <v>Enviado</v>
      </c>
      <c r="J77" s="100" t="str">
        <f t="array" aca="1" ref="J77" ca="1">IF(
    VLOOKUP(
        $A77,
        _xlfn._xlws.FILTER(
            INDIRECT("'"&amp;J$14&amp;"'!A2:E1000"), (INDIRECT("'"&amp;J$14&amp;"'!B2:B1000")=$B77) * (INDIRECT("'"&amp;J$14&amp;"'!C2:C1000")=$C77)
        ),
        5,
        FALSE
    )=0,
    "",
    VLOOKUP(
        $A77,
        _xlfn._xlws.FILTER(
            INDIRECT("'"&amp;J$14&amp;"'!A2:E1000"), (INDIRECT("'"&amp;J$14&amp;"'!B2:B1000")=$B77) * (INDIRECT("'"&amp;J$14&amp;"'!C2:C1000")=$C77)
        ),
        5,
        FALSE
    )
)</f>
        <v>Enviado</v>
      </c>
      <c r="K77" s="100" t="str">
        <f t="array" aca="1" ref="K77" ca="1">IF(
    VLOOKUP(
        $A77,
        _xlfn._xlws.FILTER(
            INDIRECT("'"&amp;K$14&amp;"'!A2:E1000"), (INDIRECT("'"&amp;K$14&amp;"'!B2:B1000")=$B77) * (INDIRECT("'"&amp;K$14&amp;"'!C2:C1000")=$C77)
        ),
        5,
        FALSE
    )=0,
    "",
    VLOOKUP(
        $A77,
        _xlfn._xlws.FILTER(
            INDIRECT("'"&amp;K$14&amp;"'!A2:E1000"), (INDIRECT("'"&amp;K$14&amp;"'!B2:B1000")=$B77) * (INDIRECT("'"&amp;K$14&amp;"'!C2:C1000")=$C77)
        ),
        5,
        FALSE
    )
)</f>
        <v>Enviado</v>
      </c>
      <c r="L77" s="100" t="str">
        <f t="array" aca="1" ref="L77" ca="1">IF(
    VLOOKUP(
        $A77,
        _xlfn._xlws.FILTER(
            INDIRECT("'"&amp;L$14&amp;"'!A2:E1000"), (INDIRECT("'"&amp;L$14&amp;"'!B2:B1000")=$B77) * (INDIRECT("'"&amp;L$14&amp;"'!C2:C1000")=$C77)
        ),
        5,
        FALSE
    )=0,
    "",
    VLOOKUP(
        $A77,
        _xlfn._xlws.FILTER(
            INDIRECT("'"&amp;L$14&amp;"'!A2:E1000"), (INDIRECT("'"&amp;L$14&amp;"'!B2:B1000")=$B77) * (INDIRECT("'"&amp;L$14&amp;"'!C2:C1000")=$C77)
        ),
        5,
        FALSE
    )
)</f>
        <v>Enviado</v>
      </c>
      <c r="M77" s="100" t="str">
        <f t="array" aca="1" ref="M77" ca="1">IF(
    VLOOKUP(
        $A77,
        _xlfn._xlws.FILTER(
            INDIRECT("'"&amp;M$14&amp;"'!A2:E1000"), (INDIRECT("'"&amp;M$14&amp;"'!B2:B1000")=$B77) * (INDIRECT("'"&amp;M$14&amp;"'!C2:C1000")=$C77)
        ),
        5,
        FALSE
    )=0,
    "",
    VLOOKUP(
        $A77,
        _xlfn._xlws.FILTER(
            INDIRECT("'"&amp;M$14&amp;"'!A2:E1000"), (INDIRECT("'"&amp;M$14&amp;"'!B2:B1000")=$B77) * (INDIRECT("'"&amp;M$14&amp;"'!C2:C1000")=$C77)
        ),
        5,
        FALSE
    )
)</f>
        <v>Enviado</v>
      </c>
      <c r="N77" s="100" t="str">
        <f t="array" aca="1" ref="N77" ca="1">IF(
    VLOOKUP(
        $A77,
        _xlfn._xlws.FILTER(
            INDIRECT("'"&amp;N$14&amp;"'!A2:E1000"), (INDIRECT("'"&amp;N$14&amp;"'!B2:B1000")=$B77) * (INDIRECT("'"&amp;N$14&amp;"'!C2:C1000")=$C77)
        ),
        5,
        FALSE
    )=0,
    "",
    VLOOKUP(
        $A77,
        _xlfn._xlws.FILTER(
            INDIRECT("'"&amp;N$14&amp;"'!A2:E1000"), (INDIRECT("'"&amp;N$14&amp;"'!B2:B1000")=$B77) * (INDIRECT("'"&amp;N$14&amp;"'!C2:C1000")=$C77)
        ),
        5,
        FALSE
    )
)</f>
        <v>Enviado</v>
      </c>
      <c r="O77" s="100" t="str">
        <f t="array" aca="1" ref="O77" ca="1">IF(
    VLOOKUP(
        $A77,
        _xlfn._xlws.FILTER(
            INDIRECT("'"&amp;O$14&amp;"'!A2:E1000"), (INDIRECT("'"&amp;O$14&amp;"'!B2:B1000")=$B77) * (INDIRECT("'"&amp;O$14&amp;"'!C2:C1000")=$C77)
        ),
        5,
        FALSE
    )=0,
    "",
    VLOOKUP(
        $A77,
        _xlfn._xlws.FILTER(
            INDIRECT("'"&amp;O$14&amp;"'!A2:E1000"), (INDIRECT("'"&amp;O$14&amp;"'!B2:B1000")=$B77) * (INDIRECT("'"&amp;O$14&amp;"'!C2:C1000")=$C77)
        ),
        5,
        FALSE
    )
)</f>
        <v>Enviado</v>
      </c>
      <c r="P77" s="100" t="str">
        <f t="array" aca="1" ref="P77" ca="1">IF(
    VLOOKUP(
        $A77,
        _xlfn._xlws.FILTER(
            INDIRECT("'"&amp;P$14&amp;"'!A2:E1000"), (INDIRECT("'"&amp;P$14&amp;"'!B2:B1000")=$B77) * (INDIRECT("'"&amp;P$14&amp;"'!C2:C1000")=$C77)
        ),
        5,
        FALSE
    )=0,
    "",
    VLOOKUP(
        $A77,
        _xlfn._xlws.FILTER(
            INDIRECT("'"&amp;P$14&amp;"'!A2:E1000"), (INDIRECT("'"&amp;P$14&amp;"'!B2:B1000")=$B77) * (INDIRECT("'"&amp;P$14&amp;"'!C2:C1000")=$C77)
        ),
        5,
        FALSE
    )
)</f>
        <v>Enviado</v>
      </c>
      <c r="Q77" s="100" t="str">
        <f t="array" aca="1" ref="Q77" ca="1">IF(
    VLOOKUP(
        $A77,
        _xlfn._xlws.FILTER(
            INDIRECT("'"&amp;Q$14&amp;"'!A2:E1000"), (INDIRECT("'"&amp;Q$14&amp;"'!B2:B1000")=$B77) * (INDIRECT("'"&amp;Q$14&amp;"'!C2:C1000")=$C77)
        ),
        5,
        FALSE
    )=0,
    "",
    VLOOKUP(
        $A77,
        _xlfn._xlws.FILTER(
            INDIRECT("'"&amp;Q$14&amp;"'!A2:E1000"), (INDIRECT("'"&amp;Q$14&amp;"'!B2:B1000")=$B77) * (INDIRECT("'"&amp;Q$14&amp;"'!C2:C1000")=$C77)
        ),
        5,
        FALSE
    )
)</f>
        <v/>
      </c>
    </row>
    <row r="78" spans="1:17" x14ac:dyDescent="0.25">
      <c r="A78" s="87" t="s">
        <v>43</v>
      </c>
      <c r="B78" s="79" t="s">
        <v>128</v>
      </c>
      <c r="C78" s="79">
        <v>1</v>
      </c>
      <c r="D78" s="100" t="str">
        <f t="array" aca="1" ref="D78" ca="1">IF(
    VLOOKUP(
        $A78,
        _xlfn._xlws.FILTER(
            INDIRECT("'"&amp;D$14&amp;"'!A2:E1000"), (INDIRECT("'"&amp;D$14&amp;"'!B2:B1000")=$B78) * (INDIRECT("'"&amp;D$14&amp;"'!C2:C1000")=$C78)
        ),
        5,
        FALSE
    )=0,
    "",
    VLOOKUP(
        $A78,
        _xlfn._xlws.FILTER(
            INDIRECT("'"&amp;D$14&amp;"'!A2:E1000"), (INDIRECT("'"&amp;D$14&amp;"'!B2:B1000")=$B78) * (INDIRECT("'"&amp;D$14&amp;"'!C2:C1000")=$C78)
        ),
        5,
        FALSE
    )
)</f>
        <v>Enviado</v>
      </c>
      <c r="E78" s="100" t="str">
        <f t="array" aca="1" ref="E78" ca="1">IF(
    VLOOKUP(
        $A78,
        _xlfn._xlws.FILTER(
            INDIRECT("'"&amp;E$14&amp;"'!A2:E1000"), (INDIRECT("'"&amp;E$14&amp;"'!B2:B1000")=$B78) * (INDIRECT("'"&amp;E$14&amp;"'!C2:C1000")=$C78)
        ),
        5,
        FALSE
    )=0,
    "",
    VLOOKUP(
        $A78,
        _xlfn._xlws.FILTER(
            INDIRECT("'"&amp;E$14&amp;"'!A2:E1000"), (INDIRECT("'"&amp;E$14&amp;"'!B2:B1000")=$B78) * (INDIRECT("'"&amp;E$14&amp;"'!C2:C1000")=$C78)
        ),
        5,
        FALSE
    )
)</f>
        <v>Enviado</v>
      </c>
      <c r="F78" s="100" t="str">
        <f t="array" aca="1" ref="F78" ca="1">IF(
    VLOOKUP(
        $A78,
        _xlfn._xlws.FILTER(
            INDIRECT("'"&amp;F$14&amp;"'!A2:E1000"), (INDIRECT("'"&amp;F$14&amp;"'!B2:B1000")=$B78) * (INDIRECT("'"&amp;F$14&amp;"'!C2:C1000")=$C78)
        ),
        5,
        FALSE
    )=0,
    "",
    VLOOKUP(
        $A78,
        _xlfn._xlws.FILTER(
            INDIRECT("'"&amp;F$14&amp;"'!A2:E1000"), (INDIRECT("'"&amp;F$14&amp;"'!B2:B1000")=$B78) * (INDIRECT("'"&amp;F$14&amp;"'!C2:C1000")=$C78)
        ),
        5,
        FALSE
    )
)</f>
        <v>Enviado</v>
      </c>
      <c r="G78" s="100" t="str">
        <f t="array" ref="G78" ca="1">IF(
    VLOOKUP(
        $A78,
        _xlfn._xlws.FILTER(
            INDIRECT("'"&amp;G$14&amp;"'!A2:E1000"), (INDIRECT("'"&amp;G$14&amp;"'!B2:B1000")=$B78) * (INDIRECT("'"&amp;G$14&amp;"'!C2:C1000")=$C78)
        ),
        5,
        FALSE
    )=0,
    "",
    VLOOKUP(
        $A78,
        _xlfn._xlws.FILTER(
            INDIRECT("'"&amp;G$14&amp;"'!A2:E1000"), (INDIRECT("'"&amp;G$14&amp;"'!B2:B1000")=$B78) * (INDIRECT("'"&amp;G$14&amp;"'!C2:C1000")=$C78)
        ),
        5,
        FALSE
    )
)</f>
        <v>Enviado</v>
      </c>
      <c r="H78" s="100" t="str">
        <f t="array" aca="1" ref="H78" ca="1">IF(
    VLOOKUP(
        $A78,
        _xlfn._xlws.FILTER(
            INDIRECT("'"&amp;H$14&amp;"'!A2:E1000"), (INDIRECT("'"&amp;H$14&amp;"'!B2:B1000")=$B78) * (INDIRECT("'"&amp;H$14&amp;"'!C2:C1000")=$C78)
        ),
        5,
        FALSE
    )=0,
    "",
    VLOOKUP(
        $A78,
        _xlfn._xlws.FILTER(
            INDIRECT("'"&amp;H$14&amp;"'!A2:E1000"), (INDIRECT("'"&amp;H$14&amp;"'!B2:B1000")=$B78) * (INDIRECT("'"&amp;H$14&amp;"'!C2:C1000")=$C78)
        ),
        5,
        FALSE
    )
)</f>
        <v>Enviado</v>
      </c>
      <c r="I78" s="100" t="str">
        <f t="array" aca="1" ref="I78" ca="1">IF(
    VLOOKUP(
        $A78,
        _xlfn._xlws.FILTER(
            INDIRECT("'"&amp;I$14&amp;"'!A2:E1000"), (INDIRECT("'"&amp;I$14&amp;"'!B2:B1000")=$B78) * (INDIRECT("'"&amp;I$14&amp;"'!C2:C1000")=$C78)
        ),
        5,
        FALSE
    )=0,
    "",
    VLOOKUP(
        $A78,
        _xlfn._xlws.FILTER(
            INDIRECT("'"&amp;I$14&amp;"'!A2:E1000"), (INDIRECT("'"&amp;I$14&amp;"'!B2:B1000")=$B78) * (INDIRECT("'"&amp;I$14&amp;"'!C2:C1000")=$C78)
        ),
        5,
        FALSE
    )
)</f>
        <v>Enviado</v>
      </c>
      <c r="J78" s="100" t="str">
        <f t="array" aca="1" ref="J78" ca="1">IF(
    VLOOKUP(
        $A78,
        _xlfn._xlws.FILTER(
            INDIRECT("'"&amp;J$14&amp;"'!A2:E1000"), (INDIRECT("'"&amp;J$14&amp;"'!B2:B1000")=$B78) * (INDIRECT("'"&amp;J$14&amp;"'!C2:C1000")=$C78)
        ),
        5,
        FALSE
    )=0,
    "",
    VLOOKUP(
        $A78,
        _xlfn._xlws.FILTER(
            INDIRECT("'"&amp;J$14&amp;"'!A2:E1000"), (INDIRECT("'"&amp;J$14&amp;"'!B2:B1000")=$B78) * (INDIRECT("'"&amp;J$14&amp;"'!C2:C1000")=$C78)
        ),
        5,
        FALSE
    )
)</f>
        <v>Enviado</v>
      </c>
      <c r="K78" s="100" t="str">
        <f t="array" aca="1" ref="K78" ca="1">IF(
    VLOOKUP(
        $A78,
        _xlfn._xlws.FILTER(
            INDIRECT("'"&amp;K$14&amp;"'!A2:E1000"), (INDIRECT("'"&amp;K$14&amp;"'!B2:B1000")=$B78) * (INDIRECT("'"&amp;K$14&amp;"'!C2:C1000")=$C78)
        ),
        5,
        FALSE
    )=0,
    "",
    VLOOKUP(
        $A78,
        _xlfn._xlws.FILTER(
            INDIRECT("'"&amp;K$14&amp;"'!A2:E1000"), (INDIRECT("'"&amp;K$14&amp;"'!B2:B1000")=$B78) * (INDIRECT("'"&amp;K$14&amp;"'!C2:C1000")=$C78)
        ),
        5,
        FALSE
    )
)</f>
        <v>Enviado</v>
      </c>
      <c r="L78" s="100" t="str">
        <f t="array" aca="1" ref="L78" ca="1">IF(
    VLOOKUP(
        $A78,
        _xlfn._xlws.FILTER(
            INDIRECT("'"&amp;L$14&amp;"'!A2:E1000"), (INDIRECT("'"&amp;L$14&amp;"'!B2:B1000")=$B78) * (INDIRECT("'"&amp;L$14&amp;"'!C2:C1000")=$C78)
        ),
        5,
        FALSE
    )=0,
    "",
    VLOOKUP(
        $A78,
        _xlfn._xlws.FILTER(
            INDIRECT("'"&amp;L$14&amp;"'!A2:E1000"), (INDIRECT("'"&amp;L$14&amp;"'!B2:B1000")=$B78) * (INDIRECT("'"&amp;L$14&amp;"'!C2:C1000")=$C78)
        ),
        5,
        FALSE
    )
)</f>
        <v>Enviado</v>
      </c>
      <c r="M78" s="100" t="str">
        <f t="array" aca="1" ref="M78" ca="1">IF(
    VLOOKUP(
        $A78,
        _xlfn._xlws.FILTER(
            INDIRECT("'"&amp;M$14&amp;"'!A2:E1000"), (INDIRECT("'"&amp;M$14&amp;"'!B2:B1000")=$B78) * (INDIRECT("'"&amp;M$14&amp;"'!C2:C1000")=$C78)
        ),
        5,
        FALSE
    )=0,
    "",
    VLOOKUP(
        $A78,
        _xlfn._xlws.FILTER(
            INDIRECT("'"&amp;M$14&amp;"'!A2:E1000"), (INDIRECT("'"&amp;M$14&amp;"'!B2:B1000")=$B78) * (INDIRECT("'"&amp;M$14&amp;"'!C2:C1000")=$C78)
        ),
        5,
        FALSE
    )
)</f>
        <v>Enviado</v>
      </c>
      <c r="N78" s="100" t="str">
        <f t="array" aca="1" ref="N78" ca="1">IF(
    VLOOKUP(
        $A78,
        _xlfn._xlws.FILTER(
            INDIRECT("'"&amp;N$14&amp;"'!A2:E1000"), (INDIRECT("'"&amp;N$14&amp;"'!B2:B1000")=$B78) * (INDIRECT("'"&amp;N$14&amp;"'!C2:C1000")=$C78)
        ),
        5,
        FALSE
    )=0,
    "",
    VLOOKUP(
        $A78,
        _xlfn._xlws.FILTER(
            INDIRECT("'"&amp;N$14&amp;"'!A2:E1000"), (INDIRECT("'"&amp;N$14&amp;"'!B2:B1000")=$B78) * (INDIRECT("'"&amp;N$14&amp;"'!C2:C1000")=$C78)
        ),
        5,
        FALSE
    )
)</f>
        <v>Enviado</v>
      </c>
      <c r="O78" s="100" t="str">
        <f t="array" aca="1" ref="O78" ca="1">IF(
    VLOOKUP(
        $A78,
        _xlfn._xlws.FILTER(
            INDIRECT("'"&amp;O$14&amp;"'!A2:E1000"), (INDIRECT("'"&amp;O$14&amp;"'!B2:B1000")=$B78) * (INDIRECT("'"&amp;O$14&amp;"'!C2:C1000")=$C78)
        ),
        5,
        FALSE
    )=0,
    "",
    VLOOKUP(
        $A78,
        _xlfn._xlws.FILTER(
            INDIRECT("'"&amp;O$14&amp;"'!A2:E1000"), (INDIRECT("'"&amp;O$14&amp;"'!B2:B1000")=$B78) * (INDIRECT("'"&amp;O$14&amp;"'!C2:C1000")=$C78)
        ),
        5,
        FALSE
    )
)</f>
        <v>Enviado</v>
      </c>
      <c r="P78" s="100" t="str">
        <f t="array" aca="1" ref="P78" ca="1">IF(
    VLOOKUP(
        $A78,
        _xlfn._xlws.FILTER(
            INDIRECT("'"&amp;P$14&amp;"'!A2:E1000"), (INDIRECT("'"&amp;P$14&amp;"'!B2:B1000")=$B78) * (INDIRECT("'"&amp;P$14&amp;"'!C2:C1000")=$C78)
        ),
        5,
        FALSE
    )=0,
    "",
    VLOOKUP(
        $A78,
        _xlfn._xlws.FILTER(
            INDIRECT("'"&amp;P$14&amp;"'!A2:E1000"), (INDIRECT("'"&amp;P$14&amp;"'!B2:B1000")=$B78) * (INDIRECT("'"&amp;P$14&amp;"'!C2:C1000")=$C78)
        ),
        5,
        FALSE
    )
)</f>
        <v>Enviado</v>
      </c>
      <c r="Q78" s="100" t="str">
        <f t="array" aca="1" ref="Q78" ca="1">IF(
    VLOOKUP(
        $A78,
        _xlfn._xlws.FILTER(
            INDIRECT("'"&amp;Q$14&amp;"'!A2:E1000"), (INDIRECT("'"&amp;Q$14&amp;"'!B2:B1000")=$B78) * (INDIRECT("'"&amp;Q$14&amp;"'!C2:C1000")=$C78)
        ),
        5,
        FALSE
    )=0,
    "",
    VLOOKUP(
        $A78,
        _xlfn._xlws.FILTER(
            INDIRECT("'"&amp;Q$14&amp;"'!A2:E1000"), (INDIRECT("'"&amp;Q$14&amp;"'!B2:B1000")=$B78) * (INDIRECT("'"&amp;Q$14&amp;"'!C2:C1000")=$C78)
        ),
        5,
        FALSE
    )
)</f>
        <v/>
      </c>
    </row>
    <row r="79" spans="1:17" x14ac:dyDescent="0.25">
      <c r="A79" s="87" t="s">
        <v>43</v>
      </c>
      <c r="B79" s="79" t="s">
        <v>129</v>
      </c>
      <c r="C79" s="79">
        <v>1</v>
      </c>
      <c r="D79" s="100" t="str">
        <f t="array" aca="1" ref="D79" ca="1">IF(
    VLOOKUP(
        $A79,
        _xlfn._xlws.FILTER(
            INDIRECT("'"&amp;D$14&amp;"'!A2:E1000"), (INDIRECT("'"&amp;D$14&amp;"'!B2:B1000")=$B79) * (INDIRECT("'"&amp;D$14&amp;"'!C2:C1000")=$C79)
        ),
        5,
        FALSE
    )=0,
    "",
    VLOOKUP(
        $A79,
        _xlfn._xlws.FILTER(
            INDIRECT("'"&amp;D$14&amp;"'!A2:E1000"), (INDIRECT("'"&amp;D$14&amp;"'!B2:B1000")=$B79) * (INDIRECT("'"&amp;D$14&amp;"'!C2:C1000")=$C79)
        ),
        5,
        FALSE
    )
)</f>
        <v>Enviado</v>
      </c>
      <c r="E79" s="100" t="str">
        <f t="array" aca="1" ref="E79" ca="1">IF(
    VLOOKUP(
        $A79,
        _xlfn._xlws.FILTER(
            INDIRECT("'"&amp;E$14&amp;"'!A2:E1000"), (INDIRECT("'"&amp;E$14&amp;"'!B2:B1000")=$B79) * (INDIRECT("'"&amp;E$14&amp;"'!C2:C1000")=$C79)
        ),
        5,
        FALSE
    )=0,
    "",
    VLOOKUP(
        $A79,
        _xlfn._xlws.FILTER(
            INDIRECT("'"&amp;E$14&amp;"'!A2:E1000"), (INDIRECT("'"&amp;E$14&amp;"'!B2:B1000")=$B79) * (INDIRECT("'"&amp;E$14&amp;"'!C2:C1000")=$C79)
        ),
        5,
        FALSE
    )
)</f>
        <v>Enviado</v>
      </c>
      <c r="F79" s="100" t="str">
        <f t="array" ref="F79" ca="1">IF(
    VLOOKUP(
        $A79,
        _xlfn._xlws.FILTER(
            INDIRECT("'"&amp;F$14&amp;"'!A2:E1000"), (INDIRECT("'"&amp;F$14&amp;"'!B2:B1000")=$B79) * (INDIRECT("'"&amp;F$14&amp;"'!C2:C1000")=$C79)
        ),
        5,
        FALSE
    )=0,
    "",
    VLOOKUP(
        $A79,
        _xlfn._xlws.FILTER(
            INDIRECT("'"&amp;F$14&amp;"'!A2:E1000"), (INDIRECT("'"&amp;F$14&amp;"'!B2:B1000")=$B79) * (INDIRECT("'"&amp;F$14&amp;"'!C2:C1000")=$C79)
        ),
        5,
        FALSE
    )
)</f>
        <v>Enviado</v>
      </c>
      <c r="G79" s="100" t="str">
        <f t="array" aca="1" ref="G79" ca="1">IF(
    VLOOKUP(
        $A79,
        _xlfn._xlws.FILTER(
            INDIRECT("'"&amp;G$14&amp;"'!A2:E1000"), (INDIRECT("'"&amp;G$14&amp;"'!B2:B1000")=$B79) * (INDIRECT("'"&amp;G$14&amp;"'!C2:C1000")=$C79)
        ),
        5,
        FALSE
    )=0,
    "",
    VLOOKUP(
        $A79,
        _xlfn._xlws.FILTER(
            INDIRECT("'"&amp;G$14&amp;"'!A2:E1000"), (INDIRECT("'"&amp;G$14&amp;"'!B2:B1000")=$B79) * (INDIRECT("'"&amp;G$14&amp;"'!C2:C1000")=$C79)
        ),
        5,
        FALSE
    )
)</f>
        <v>Enviado</v>
      </c>
      <c r="H79" s="100" t="str">
        <f t="array" aca="1" ref="H79" ca="1">IF(
    VLOOKUP(
        $A79,
        _xlfn._xlws.FILTER(
            INDIRECT("'"&amp;H$14&amp;"'!A2:E1000"), (INDIRECT("'"&amp;H$14&amp;"'!B2:B1000")=$B79) * (INDIRECT("'"&amp;H$14&amp;"'!C2:C1000")=$C79)
        ),
        5,
        FALSE
    )=0,
    "",
    VLOOKUP(
        $A79,
        _xlfn._xlws.FILTER(
            INDIRECT("'"&amp;H$14&amp;"'!A2:E1000"), (INDIRECT("'"&amp;H$14&amp;"'!B2:B1000")=$B79) * (INDIRECT("'"&amp;H$14&amp;"'!C2:C1000")=$C79)
        ),
        5,
        FALSE
    )
)</f>
        <v>Enviado</v>
      </c>
      <c r="I79" s="100" t="str">
        <f t="array" aca="1" ref="I79" ca="1">IF(
    VLOOKUP(
        $A79,
        _xlfn._xlws.FILTER(
            INDIRECT("'"&amp;I$14&amp;"'!A2:E1000"), (INDIRECT("'"&amp;I$14&amp;"'!B2:B1000")=$B79) * (INDIRECT("'"&amp;I$14&amp;"'!C2:C1000")=$C79)
        ),
        5,
        FALSE
    )=0,
    "",
    VLOOKUP(
        $A79,
        _xlfn._xlws.FILTER(
            INDIRECT("'"&amp;I$14&amp;"'!A2:E1000"), (INDIRECT("'"&amp;I$14&amp;"'!B2:B1000")=$B79) * (INDIRECT("'"&amp;I$14&amp;"'!C2:C1000")=$C79)
        ),
        5,
        FALSE
    )
)</f>
        <v>Enviado</v>
      </c>
      <c r="J79" s="100" t="str">
        <f t="array" aca="1" ref="J79" ca="1">IF(
    VLOOKUP(
        $A79,
        _xlfn._xlws.FILTER(
            INDIRECT("'"&amp;J$14&amp;"'!A2:E1000"), (INDIRECT("'"&amp;J$14&amp;"'!B2:B1000")=$B79) * (INDIRECT("'"&amp;J$14&amp;"'!C2:C1000")=$C79)
        ),
        5,
        FALSE
    )=0,
    "",
    VLOOKUP(
        $A79,
        _xlfn._xlws.FILTER(
            INDIRECT("'"&amp;J$14&amp;"'!A2:E1000"), (INDIRECT("'"&amp;J$14&amp;"'!B2:B1000")=$B79) * (INDIRECT("'"&amp;J$14&amp;"'!C2:C1000")=$C79)
        ),
        5,
        FALSE
    )
)</f>
        <v>Enviado</v>
      </c>
      <c r="K79" s="100" t="str">
        <f t="array" aca="1" ref="K79" ca="1">IF(
    VLOOKUP(
        $A79,
        _xlfn._xlws.FILTER(
            INDIRECT("'"&amp;K$14&amp;"'!A2:E1000"), (INDIRECT("'"&amp;K$14&amp;"'!B2:B1000")=$B79) * (INDIRECT("'"&amp;K$14&amp;"'!C2:C1000")=$C79)
        ),
        5,
        FALSE
    )=0,
    "",
    VLOOKUP(
        $A79,
        _xlfn._xlws.FILTER(
            INDIRECT("'"&amp;K$14&amp;"'!A2:E1000"), (INDIRECT("'"&amp;K$14&amp;"'!B2:B1000")=$B79) * (INDIRECT("'"&amp;K$14&amp;"'!C2:C1000")=$C79)
        ),
        5,
        FALSE
    )
)</f>
        <v>Enviado</v>
      </c>
      <c r="L79" s="100" t="str">
        <f t="array" aca="1" ref="L79" ca="1">IF(
    VLOOKUP(
        $A79,
        _xlfn._xlws.FILTER(
            INDIRECT("'"&amp;L$14&amp;"'!A2:E1000"), (INDIRECT("'"&amp;L$14&amp;"'!B2:B1000")=$B79) * (INDIRECT("'"&amp;L$14&amp;"'!C2:C1000")=$C79)
        ),
        5,
        FALSE
    )=0,
    "",
    VLOOKUP(
        $A79,
        _xlfn._xlws.FILTER(
            INDIRECT("'"&amp;L$14&amp;"'!A2:E1000"), (INDIRECT("'"&amp;L$14&amp;"'!B2:B1000")=$B79) * (INDIRECT("'"&amp;L$14&amp;"'!C2:C1000")=$C79)
        ),
        5,
        FALSE
    )
)</f>
        <v>Enviado</v>
      </c>
      <c r="M79" s="100" t="str">
        <f t="array" aca="1" ref="M79" ca="1">IF(
    VLOOKUP(
        $A79,
        _xlfn._xlws.FILTER(
            INDIRECT("'"&amp;M$14&amp;"'!A2:E1000"), (INDIRECT("'"&amp;M$14&amp;"'!B2:B1000")=$B79) * (INDIRECT("'"&amp;M$14&amp;"'!C2:C1000")=$C79)
        ),
        5,
        FALSE
    )=0,
    "",
    VLOOKUP(
        $A79,
        _xlfn._xlws.FILTER(
            INDIRECT("'"&amp;M$14&amp;"'!A2:E1000"), (INDIRECT("'"&amp;M$14&amp;"'!B2:B1000")=$B79) * (INDIRECT("'"&amp;M$14&amp;"'!C2:C1000")=$C79)
        ),
        5,
        FALSE
    )
)</f>
        <v>Enviado</v>
      </c>
      <c r="N79" s="100" t="str">
        <f t="array" aca="1" ref="N79" ca="1">IF(
    VLOOKUP(
        $A79,
        _xlfn._xlws.FILTER(
            INDIRECT("'"&amp;N$14&amp;"'!A2:E1000"), (INDIRECT("'"&amp;N$14&amp;"'!B2:B1000")=$B79) * (INDIRECT("'"&amp;N$14&amp;"'!C2:C1000")=$C79)
        ),
        5,
        FALSE
    )=0,
    "",
    VLOOKUP(
        $A79,
        _xlfn._xlws.FILTER(
            INDIRECT("'"&amp;N$14&amp;"'!A2:E1000"), (INDIRECT("'"&amp;N$14&amp;"'!B2:B1000")=$B79) * (INDIRECT("'"&amp;N$14&amp;"'!C2:C1000")=$C79)
        ),
        5,
        FALSE
    )
)</f>
        <v>Enviado</v>
      </c>
      <c r="O79" s="100" t="str">
        <f t="array" aca="1" ref="O79" ca="1">IF(
    VLOOKUP(
        $A79,
        _xlfn._xlws.FILTER(
            INDIRECT("'"&amp;O$14&amp;"'!A2:E1000"), (INDIRECT("'"&amp;O$14&amp;"'!B2:B1000")=$B79) * (INDIRECT("'"&amp;O$14&amp;"'!C2:C1000")=$C79)
        ),
        5,
        FALSE
    )=0,
    "",
    VLOOKUP(
        $A79,
        _xlfn._xlws.FILTER(
            INDIRECT("'"&amp;O$14&amp;"'!A2:E1000"), (INDIRECT("'"&amp;O$14&amp;"'!B2:B1000")=$B79) * (INDIRECT("'"&amp;O$14&amp;"'!C2:C1000")=$C79)
        ),
        5,
        FALSE
    )
)</f>
        <v>Enviado</v>
      </c>
      <c r="P79" s="100" t="str">
        <f t="array" aca="1" ref="P79" ca="1">IF(
    VLOOKUP(
        $A79,
        _xlfn._xlws.FILTER(
            INDIRECT("'"&amp;P$14&amp;"'!A2:E1000"), (INDIRECT("'"&amp;P$14&amp;"'!B2:B1000")=$B79) * (INDIRECT("'"&amp;P$14&amp;"'!C2:C1000")=$C79)
        ),
        5,
        FALSE
    )=0,
    "",
    VLOOKUP(
        $A79,
        _xlfn._xlws.FILTER(
            INDIRECT("'"&amp;P$14&amp;"'!A2:E1000"), (INDIRECT("'"&amp;P$14&amp;"'!B2:B1000")=$B79) * (INDIRECT("'"&amp;P$14&amp;"'!C2:C1000")=$C79)
        ),
        5,
        FALSE
    )
)</f>
        <v>Enviado</v>
      </c>
      <c r="Q79" s="100" t="str">
        <f t="array" aca="1" ref="Q79" ca="1">IF(
    VLOOKUP(
        $A79,
        _xlfn._xlws.FILTER(
            INDIRECT("'"&amp;Q$14&amp;"'!A2:E1000"), (INDIRECT("'"&amp;Q$14&amp;"'!B2:B1000")=$B79) * (INDIRECT("'"&amp;Q$14&amp;"'!C2:C1000")=$C79)
        ),
        5,
        FALSE
    )=0,
    "",
    VLOOKUP(
        $A79,
        _xlfn._xlws.FILTER(
            INDIRECT("'"&amp;Q$14&amp;"'!A2:E1000"), (INDIRECT("'"&amp;Q$14&amp;"'!B2:B1000")=$B79) * (INDIRECT("'"&amp;Q$14&amp;"'!C2:C1000")=$C79)
        ),
        5,
        FALSE
    )
)</f>
        <v/>
      </c>
    </row>
    <row r="80" spans="1:17" x14ac:dyDescent="0.25">
      <c r="A80" s="87" t="s">
        <v>43</v>
      </c>
      <c r="B80" s="79" t="s">
        <v>130</v>
      </c>
      <c r="C80" s="79">
        <v>1</v>
      </c>
      <c r="D80" s="100" t="str">
        <f t="array" aca="1" ref="D80" ca="1">IF(
    VLOOKUP(
        $A80,
        _xlfn._xlws.FILTER(
            INDIRECT("'"&amp;D$14&amp;"'!A2:E1000"), (INDIRECT("'"&amp;D$14&amp;"'!B2:B1000")=$B80) * (INDIRECT("'"&amp;D$14&amp;"'!C2:C1000")=$C80)
        ),
        5,
        FALSE
    )=0,
    "",
    VLOOKUP(
        $A80,
        _xlfn._xlws.FILTER(
            INDIRECT("'"&amp;D$14&amp;"'!A2:E1000"), (INDIRECT("'"&amp;D$14&amp;"'!B2:B1000")=$B80) * (INDIRECT("'"&amp;D$14&amp;"'!C2:C1000")=$C80)
        ),
        5,
        FALSE
    )
)</f>
        <v>Enviado</v>
      </c>
      <c r="E80" s="100" t="str">
        <f t="array" aca="1" ref="E80" ca="1">IF(
    VLOOKUP(
        $A80,
        _xlfn._xlws.FILTER(
            INDIRECT("'"&amp;E$14&amp;"'!A2:E1000"), (INDIRECT("'"&amp;E$14&amp;"'!B2:B1000")=$B80) * (INDIRECT("'"&amp;E$14&amp;"'!C2:C1000")=$C80)
        ),
        5,
        FALSE
    )=0,
    "",
    VLOOKUP(
        $A80,
        _xlfn._xlws.FILTER(
            INDIRECT("'"&amp;E$14&amp;"'!A2:E1000"), (INDIRECT("'"&amp;E$14&amp;"'!B2:B1000")=$B80) * (INDIRECT("'"&amp;E$14&amp;"'!C2:C1000")=$C80)
        ),
        5,
        FALSE
    )
)</f>
        <v>Enviado</v>
      </c>
      <c r="F80" s="100" t="str">
        <f t="array" aca="1" ref="F80" ca="1">IF(
    VLOOKUP(
        $A80,
        _xlfn._xlws.FILTER(
            INDIRECT("'"&amp;F$14&amp;"'!A2:E1000"), (INDIRECT("'"&amp;F$14&amp;"'!B2:B1000")=$B80) * (INDIRECT("'"&amp;F$14&amp;"'!C2:C1000")=$C80)
        ),
        5,
        FALSE
    )=0,
    "",
    VLOOKUP(
        $A80,
        _xlfn._xlws.FILTER(
            INDIRECT("'"&amp;F$14&amp;"'!A2:E1000"), (INDIRECT("'"&amp;F$14&amp;"'!B2:B1000")=$B80) * (INDIRECT("'"&amp;F$14&amp;"'!C2:C1000")=$C80)
        ),
        5,
        FALSE
    )
)</f>
        <v>Enviado</v>
      </c>
      <c r="G80" s="100" t="str">
        <f t="array" aca="1" ref="G80" ca="1">IF(
    VLOOKUP(
        $A80,
        _xlfn._xlws.FILTER(
            INDIRECT("'"&amp;G$14&amp;"'!A2:E1000"), (INDIRECT("'"&amp;G$14&amp;"'!B2:B1000")=$B80) * (INDIRECT("'"&amp;G$14&amp;"'!C2:C1000")=$C80)
        ),
        5,
        FALSE
    )=0,
    "",
    VLOOKUP(
        $A80,
        _xlfn._xlws.FILTER(
            INDIRECT("'"&amp;G$14&amp;"'!A2:E1000"), (INDIRECT("'"&amp;G$14&amp;"'!B2:B1000")=$B80) * (INDIRECT("'"&amp;G$14&amp;"'!C2:C1000")=$C80)
        ),
        5,
        FALSE
    )
)</f>
        <v>Enviado</v>
      </c>
      <c r="H80" s="100" t="str">
        <f t="array" aca="1" ref="H80" ca="1">IF(
    VLOOKUP(
        $A80,
        _xlfn._xlws.FILTER(
            INDIRECT("'"&amp;H$14&amp;"'!A2:E1000"), (INDIRECT("'"&amp;H$14&amp;"'!B2:B1000")=$B80) * (INDIRECT("'"&amp;H$14&amp;"'!C2:C1000")=$C80)
        ),
        5,
        FALSE
    )=0,
    "",
    VLOOKUP(
        $A80,
        _xlfn._xlws.FILTER(
            INDIRECT("'"&amp;H$14&amp;"'!A2:E1000"), (INDIRECT("'"&amp;H$14&amp;"'!B2:B1000")=$B80) * (INDIRECT("'"&amp;H$14&amp;"'!C2:C1000")=$C80)
        ),
        5,
        FALSE
    )
)</f>
        <v>Enviado</v>
      </c>
      <c r="I80" s="100" t="str">
        <f t="array" ref="I80" ca="1">IF(
    VLOOKUP(
        $A80,
        _xlfn._xlws.FILTER(
            INDIRECT("'"&amp;I$14&amp;"'!A2:E1000"), (INDIRECT("'"&amp;I$14&amp;"'!B2:B1000")=$B80) * (INDIRECT("'"&amp;I$14&amp;"'!C2:C1000")=$C80)
        ),
        5,
        FALSE
    )=0,
    "",
    VLOOKUP(
        $A80,
        _xlfn._xlws.FILTER(
            INDIRECT("'"&amp;I$14&amp;"'!A2:E1000"), (INDIRECT("'"&amp;I$14&amp;"'!B2:B1000")=$B80) * (INDIRECT("'"&amp;I$14&amp;"'!C2:C1000")=$C80)
        ),
        5,
        FALSE
    )
)</f>
        <v>Enviado</v>
      </c>
      <c r="J80" s="100" t="str">
        <f t="array" aca="1" ref="J80" ca="1">IF(
    VLOOKUP(
        $A80,
        _xlfn._xlws.FILTER(
            INDIRECT("'"&amp;J$14&amp;"'!A2:E1000"), (INDIRECT("'"&amp;J$14&amp;"'!B2:B1000")=$B80) * (INDIRECT("'"&amp;J$14&amp;"'!C2:C1000")=$C80)
        ),
        5,
        FALSE
    )=0,
    "",
    VLOOKUP(
        $A80,
        _xlfn._xlws.FILTER(
            INDIRECT("'"&amp;J$14&amp;"'!A2:E1000"), (INDIRECT("'"&amp;J$14&amp;"'!B2:B1000")=$B80) * (INDIRECT("'"&amp;J$14&amp;"'!C2:C1000")=$C80)
        ),
        5,
        FALSE
    )
)</f>
        <v>Enviado</v>
      </c>
      <c r="K80" s="100" t="str">
        <f t="array" aca="1" ref="K80" ca="1">IF(
    VLOOKUP(
        $A80,
        _xlfn._xlws.FILTER(
            INDIRECT("'"&amp;K$14&amp;"'!A2:E1000"), (INDIRECT("'"&amp;K$14&amp;"'!B2:B1000")=$B80) * (INDIRECT("'"&amp;K$14&amp;"'!C2:C1000")=$C80)
        ),
        5,
        FALSE
    )=0,
    "",
    VLOOKUP(
        $A80,
        _xlfn._xlws.FILTER(
            INDIRECT("'"&amp;K$14&amp;"'!A2:E1000"), (INDIRECT("'"&amp;K$14&amp;"'!B2:B1000")=$B80) * (INDIRECT("'"&amp;K$14&amp;"'!C2:C1000")=$C80)
        ),
        5,
        FALSE
    )
)</f>
        <v>Enviado</v>
      </c>
      <c r="L80" s="100" t="str">
        <f t="array" aca="1" ref="L80" ca="1">IF(
    VLOOKUP(
        $A80,
        _xlfn._xlws.FILTER(
            INDIRECT("'"&amp;L$14&amp;"'!A2:E1000"), (INDIRECT("'"&amp;L$14&amp;"'!B2:B1000")=$B80) * (INDIRECT("'"&amp;L$14&amp;"'!C2:C1000")=$C80)
        ),
        5,
        FALSE
    )=0,
    "",
    VLOOKUP(
        $A80,
        _xlfn._xlws.FILTER(
            INDIRECT("'"&amp;L$14&amp;"'!A2:E1000"), (INDIRECT("'"&amp;L$14&amp;"'!B2:B1000")=$B80) * (INDIRECT("'"&amp;L$14&amp;"'!C2:C1000")=$C80)
        ),
        5,
        FALSE
    )
)</f>
        <v>Enviado</v>
      </c>
      <c r="M80" s="100" t="str">
        <f t="array" aca="1" ref="M80" ca="1">IF(
    VLOOKUP(
        $A80,
        _xlfn._xlws.FILTER(
            INDIRECT("'"&amp;M$14&amp;"'!A2:E1000"), (INDIRECT("'"&amp;M$14&amp;"'!B2:B1000")=$B80) * (INDIRECT("'"&amp;M$14&amp;"'!C2:C1000")=$C80)
        ),
        5,
        FALSE
    )=0,
    "",
    VLOOKUP(
        $A80,
        _xlfn._xlws.FILTER(
            INDIRECT("'"&amp;M$14&amp;"'!A2:E1000"), (INDIRECT("'"&amp;M$14&amp;"'!B2:B1000")=$B80) * (INDIRECT("'"&amp;M$14&amp;"'!C2:C1000")=$C80)
        ),
        5,
        FALSE
    )
)</f>
        <v>Enviado</v>
      </c>
      <c r="N80" s="100" t="str">
        <f t="array" aca="1" ref="N80" ca="1">IF(
    VLOOKUP(
        $A80,
        _xlfn._xlws.FILTER(
            INDIRECT("'"&amp;N$14&amp;"'!A2:E1000"), (INDIRECT("'"&amp;N$14&amp;"'!B2:B1000")=$B80) * (INDIRECT("'"&amp;N$14&amp;"'!C2:C1000")=$C80)
        ),
        5,
        FALSE
    )=0,
    "",
    VLOOKUP(
        $A80,
        _xlfn._xlws.FILTER(
            INDIRECT("'"&amp;N$14&amp;"'!A2:E1000"), (INDIRECT("'"&amp;N$14&amp;"'!B2:B1000")=$B80) * (INDIRECT("'"&amp;N$14&amp;"'!C2:C1000")=$C80)
        ),
        5,
        FALSE
    )
)</f>
        <v>Enviado</v>
      </c>
      <c r="O80" s="100" t="str">
        <f t="array" aca="1" ref="O80" ca="1">IF(
    VLOOKUP(
        $A80,
        _xlfn._xlws.FILTER(
            INDIRECT("'"&amp;O$14&amp;"'!A2:E1000"), (INDIRECT("'"&amp;O$14&amp;"'!B2:B1000")=$B80) * (INDIRECT("'"&amp;O$14&amp;"'!C2:C1000")=$C80)
        ),
        5,
        FALSE
    )=0,
    "",
    VLOOKUP(
        $A80,
        _xlfn._xlws.FILTER(
            INDIRECT("'"&amp;O$14&amp;"'!A2:E1000"), (INDIRECT("'"&amp;O$14&amp;"'!B2:B1000")=$B80) * (INDIRECT("'"&amp;O$14&amp;"'!C2:C1000")=$C80)
        ),
        5,
        FALSE
    )
)</f>
        <v>Enviado</v>
      </c>
      <c r="P80" s="100" t="str">
        <f t="array" aca="1" ref="P80" ca="1">IF(
    VLOOKUP(
        $A80,
        _xlfn._xlws.FILTER(
            INDIRECT("'"&amp;P$14&amp;"'!A2:E1000"), (INDIRECT("'"&amp;P$14&amp;"'!B2:B1000")=$B80) * (INDIRECT("'"&amp;P$14&amp;"'!C2:C1000")=$C80)
        ),
        5,
        FALSE
    )=0,
    "",
    VLOOKUP(
        $A80,
        _xlfn._xlws.FILTER(
            INDIRECT("'"&amp;P$14&amp;"'!A2:E1000"), (INDIRECT("'"&amp;P$14&amp;"'!B2:B1000")=$B80) * (INDIRECT("'"&amp;P$14&amp;"'!C2:C1000")=$C80)
        ),
        5,
        FALSE
    )
)</f>
        <v>Enviado</v>
      </c>
      <c r="Q80" s="100" t="str">
        <f t="array" aca="1" ref="Q80" ca="1">IF(
    VLOOKUP(
        $A80,
        _xlfn._xlws.FILTER(
            INDIRECT("'"&amp;Q$14&amp;"'!A2:E1000"), (INDIRECT("'"&amp;Q$14&amp;"'!B2:B1000")=$B80) * (INDIRECT("'"&amp;Q$14&amp;"'!C2:C1000")=$C80)
        ),
        5,
        FALSE
    )=0,
    "",
    VLOOKUP(
        $A80,
        _xlfn._xlws.FILTER(
            INDIRECT("'"&amp;Q$14&amp;"'!A2:E1000"), (INDIRECT("'"&amp;Q$14&amp;"'!B2:B1000")=$B80) * (INDIRECT("'"&amp;Q$14&amp;"'!C2:C1000")=$C80)
        ),
        5,
        FALSE
    )
)</f>
        <v/>
      </c>
    </row>
  </sheetData>
  <conditionalFormatting sqref="D2:Q80">
    <cfRule type="cellIs" dxfId="198" priority="38" operator="equal">
      <formula>"Enviado"</formula>
    </cfRule>
    <cfRule type="cellIs" dxfId="197" priority="39" operator="equal">
      <formula>"Atrasado"</formula>
    </cfRule>
    <cfRule type="cellIs" dxfId="196" priority="40" operator="equal">
      <formula>"Atrasado &gt;= 2"</formula>
    </cfRule>
    <cfRule type="cellIs" dxfId="195" priority="41" operator="equal">
      <formula>"Duplicado"</formula>
    </cfRule>
    <cfRule type="cellIs" dxfId="194" priority="42" operator="equal">
      <formula>"Sem Técnico"</formula>
    </cfRule>
    <cfRule type="cellIs" dxfId="193" priority="43" operator="equal">
      <formula>"Outras Ocorrências"</formula>
    </cfRule>
  </conditionalFormatting>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80"/>
  <sheetViews>
    <sheetView topLeftCell="A50" workbookViewId="0">
      <selection activeCell="E83" sqref="E83"/>
    </sheetView>
  </sheetViews>
  <sheetFormatPr defaultRowHeight="15" x14ac:dyDescent="0.25"/>
  <cols>
    <col min="2" max="2" width="27" customWidth="1"/>
    <col min="4" max="4" width="8.5703125" customWidth="1"/>
  </cols>
  <sheetData>
    <row r="1" spans="1:17" ht="15.75" customHeight="1" x14ac:dyDescent="0.25">
      <c r="A1" s="97" t="s">
        <v>27</v>
      </c>
      <c r="B1" s="37" t="s">
        <v>86</v>
      </c>
      <c r="C1" s="37" t="s">
        <v>71</v>
      </c>
      <c r="D1" s="42" t="s">
        <v>1</v>
      </c>
      <c r="E1" s="42" t="s">
        <v>2</v>
      </c>
      <c r="F1" s="42" t="s">
        <v>3</v>
      </c>
      <c r="G1" s="42" t="s">
        <v>4</v>
      </c>
      <c r="H1" s="42" t="s">
        <v>5</v>
      </c>
      <c r="I1" s="42" t="s">
        <v>6</v>
      </c>
      <c r="J1" s="42" t="s">
        <v>7</v>
      </c>
      <c r="K1" s="42" t="s">
        <v>8</v>
      </c>
      <c r="L1" s="42" t="s">
        <v>9</v>
      </c>
      <c r="M1" s="42" t="s">
        <v>10</v>
      </c>
      <c r="N1" s="42" t="s">
        <v>11</v>
      </c>
      <c r="O1" s="42" t="s">
        <v>12</v>
      </c>
      <c r="P1" s="42" t="s">
        <v>13</v>
      </c>
      <c r="Q1" s="42" t="s">
        <v>14</v>
      </c>
    </row>
    <row r="2" spans="1:17" x14ac:dyDescent="0.25">
      <c r="A2" s="75" t="s">
        <v>28</v>
      </c>
      <c r="B2" s="79" t="s">
        <v>87</v>
      </c>
      <c r="C2" s="79">
        <v>1</v>
      </c>
      <c r="D2" s="79" t="str" cm="1">
        <f t="array" aca="1" ref="D2" ca="1">IF(
    VLOOKUP(
        $A2,
        _xlfn._xlws.FILTER(
            INDIRECT("'"&amp;D$1&amp;"'!A2:G1000"), (INDIRECT("'"&amp;D$1&amp;"'!B2:B1000")=$B2) * (INDIRECT("'"&amp;D$1&amp;"'!C2:C1000")=$C2)
        ),
        5,
        FALSE
    )="",
    "",
    VLOOKUP(
        $A2,
        _xlfn._xlws.FILTER(
            INDIRECT("'"&amp;D$1&amp;"'!A2:G1000"), (INDIRECT("'"&amp;D$1&amp;"'!B2:B1000")=$B2) * (INDIRECT("'"&amp;D$1&amp;"'!C2:C1000")=$C2)
        ),7,
        FALSE
    )
)</f>
        <v>Sim</v>
      </c>
      <c r="E2" s="79" t="str">
        <f t="array" aca="1" ref="E2" ca="1">IF(
    VLOOKUP(
        $A2,
        _xlfn._xlws.FILTER(
            INDIRECT("'"&amp;E$1&amp;"'!A2:G1000"), (INDIRECT("'"&amp;E$1&amp;"'!B2:B1000")=$B2) * (INDIRECT("'"&amp;E$1&amp;"'!C2:C1000")=$C2)
        ),
        5,
        FALSE
    )="",
    "",
    VLOOKUP(
        $A2,
        _xlfn._xlws.FILTER(
            INDIRECT("'"&amp;E$1&amp;"'!A2:G1000"), (INDIRECT("'"&amp;E$1&amp;"'!B2:B1000")=$B2) * (INDIRECT("'"&amp;E$1&amp;"'!C2:C1000")=$C2)
        ),7,
        FALSE
    )
)</f>
        <v>Sim</v>
      </c>
      <c r="F2" s="79" t="str">
        <f t="array" aca="1" ref="F2" ca="1">IF(
    VLOOKUP(
        $A2,
        _xlfn._xlws.FILTER(
            INDIRECT("'"&amp;F$1&amp;"'!A2:G1000"), (INDIRECT("'"&amp;F$1&amp;"'!B2:B1000")=$B2) * (INDIRECT("'"&amp;F$1&amp;"'!C2:C1000")=$C2)
        ),
        5,
        FALSE
    )="",
    "",
    VLOOKUP(
        $A2,
        _xlfn._xlws.FILTER(
            INDIRECT("'"&amp;F$1&amp;"'!A2:G1000"), (INDIRECT("'"&amp;F$1&amp;"'!B2:B1000")=$B2) * (INDIRECT("'"&amp;F$1&amp;"'!C2:C1000")=$C2)
        ),7,
        FALSE
    )
)</f>
        <v>Sim</v>
      </c>
      <c r="G2" s="79" t="str">
        <f t="array" aca="1" ref="G2" ca="1">IF(
    VLOOKUP(
        $A2,
        _xlfn._xlws.FILTER(
            INDIRECT("'"&amp;G$1&amp;"'!A2:G1000"), (INDIRECT("'"&amp;G$1&amp;"'!B2:B1000")=$B2) * (INDIRECT("'"&amp;G$1&amp;"'!C2:C1000")=$C2)
        ),
        5,
        FALSE
    )="",
    "",
    VLOOKUP(
        $A2,
        _xlfn._xlws.FILTER(
            INDIRECT("'"&amp;G$1&amp;"'!A2:G1000"), (INDIRECT("'"&amp;G$1&amp;"'!B2:B1000")=$B2) * (INDIRECT("'"&amp;G$1&amp;"'!C2:C1000")=$C2)
        ),7,
        FALSE
    )
)</f>
        <v>Sim</v>
      </c>
      <c r="H2" s="79" t="str">
        <f t="array" ref="H2" ca="1">IF(
    VLOOKUP(
        $A2,
        _xlfn._xlws.FILTER(
            INDIRECT("'"&amp;H$1&amp;"'!A2:G1000"), (INDIRECT("'"&amp;H$1&amp;"'!B2:B1000")=$B2) * (INDIRECT("'"&amp;H$1&amp;"'!C2:C1000")=$C2)
        ),
        5,
        FALSE
    )="",
    "",
    VLOOKUP(
        $A2,
        _xlfn._xlws.FILTER(
            INDIRECT("'"&amp;H$1&amp;"'!A2:G1000"), (INDIRECT("'"&amp;H$1&amp;"'!B2:B1000")=$B2) * (INDIRECT("'"&amp;H$1&amp;"'!C2:C1000")=$C2)
        ),7,
        FALSE
    )
)</f>
        <v>Sim</v>
      </c>
      <c r="I2" s="79" t="str">
        <f t="array" aca="1" ref="I2" ca="1">IF(
    VLOOKUP(
        $A2,
        _xlfn._xlws.FILTER(
            INDIRECT("'"&amp;I$1&amp;"'!A2:G1000"), (INDIRECT("'"&amp;I$1&amp;"'!B2:B1000")=$B2) * (INDIRECT("'"&amp;I$1&amp;"'!C2:C1000")=$C2)
        ),
        5,
        FALSE
    )="",
    "",
    VLOOKUP(
        $A2,
        _xlfn._xlws.FILTER(
            INDIRECT("'"&amp;I$1&amp;"'!A2:G1000"), (INDIRECT("'"&amp;I$1&amp;"'!B2:B1000")=$B2) * (INDIRECT("'"&amp;I$1&amp;"'!C2:C1000")=$C2)
        ),7,
        FALSE
    )
)</f>
        <v>Sim</v>
      </c>
      <c r="J2" s="79" t="str">
        <f t="array" aca="1" ref="J2" ca="1">IF(
    VLOOKUP(
        $A2,
        _xlfn._xlws.FILTER(
            INDIRECT("'"&amp;J$1&amp;"'!A2:G1000"), (INDIRECT("'"&amp;J$1&amp;"'!B2:B1000")=$B2) * (INDIRECT("'"&amp;J$1&amp;"'!C2:C1000")=$C2)
        ),
        5,
        FALSE
    )="",
    "",
    VLOOKUP(
        $A2,
        _xlfn._xlws.FILTER(
            INDIRECT("'"&amp;J$1&amp;"'!A2:G1000"), (INDIRECT("'"&amp;J$1&amp;"'!B2:B1000")=$B2) * (INDIRECT("'"&amp;J$1&amp;"'!C2:C1000")=$C2)
        ),7,
        FALSE
    )
)</f>
        <v>Sim</v>
      </c>
      <c r="K2" s="79" t="str">
        <f t="array" ref="K2" ca="1">IF(
    VLOOKUP(
        $A2,
        _xlfn._xlws.FILTER(
            INDIRECT("'"&amp;K$1&amp;"'!A2:G1000"), (INDIRECT("'"&amp;K$1&amp;"'!B2:B1000")=$B2) * (INDIRECT("'"&amp;K$1&amp;"'!C2:C1000")=$C2)
        ),
        5,
        FALSE
    )="",
    "",
    VLOOKUP(
        $A2,
        _xlfn._xlws.FILTER(
            INDIRECT("'"&amp;K$1&amp;"'!A2:G1000"), (INDIRECT("'"&amp;K$1&amp;"'!B2:B1000")=$B2) * (INDIRECT("'"&amp;K$1&amp;"'!C2:C1000")=$C2)
        ),7,
        FALSE
    )
)</f>
        <v>Sim</v>
      </c>
      <c r="L2" s="79" t="str">
        <f t="array" aca="1" ref="L2" ca="1">IF(
    VLOOKUP(
        $A2,
        _xlfn._xlws.FILTER(
            INDIRECT("'"&amp;L$1&amp;"'!A2:G1000"), (INDIRECT("'"&amp;L$1&amp;"'!B2:B1000")=$B2) * (INDIRECT("'"&amp;L$1&amp;"'!C2:C1000")=$C2)
        ),
        5,
        FALSE
    )="",
    "",
    VLOOKUP(
        $A2,
        _xlfn._xlws.FILTER(
            INDIRECT("'"&amp;L$1&amp;"'!A2:G1000"), (INDIRECT("'"&amp;L$1&amp;"'!B2:B1000")=$B2) * (INDIRECT("'"&amp;L$1&amp;"'!C2:C1000")=$C2)
        ),7,
        FALSE
    )
)</f>
        <v>Sim</v>
      </c>
      <c r="M2" s="79" t="str">
        <f t="array" aca="1" ref="M2" ca="1">IF(
    VLOOKUP(
        $A2,
        _xlfn._xlws.FILTER(
            INDIRECT("'"&amp;M$1&amp;"'!A2:G1000"), (INDIRECT("'"&amp;M$1&amp;"'!B2:B1000")=$B2) * (INDIRECT("'"&amp;M$1&amp;"'!C2:C1000")=$C2)
        ),
        5,
        FALSE
    )="",
    "",
    VLOOKUP(
        $A2,
        _xlfn._xlws.FILTER(
            INDIRECT("'"&amp;M$1&amp;"'!A2:G1000"), (INDIRECT("'"&amp;M$1&amp;"'!B2:B1000")=$B2) * (INDIRECT("'"&amp;M$1&amp;"'!C2:C1000")=$C2)
        ),7,
        FALSE
    )
)</f>
        <v>Sim</v>
      </c>
      <c r="N2" s="79" t="str">
        <f t="array" aca="1" ref="N2" ca="1">IF(
    VLOOKUP(
        $A2,
        _xlfn._xlws.FILTER(
            INDIRECT("'"&amp;N$1&amp;"'!A2:G1000"), (INDIRECT("'"&amp;N$1&amp;"'!B2:B1000")=$B2) * (INDIRECT("'"&amp;N$1&amp;"'!C2:C1000")=$C2)
        ),
        5,
        FALSE
    )="",
    "",
    VLOOKUP(
        $A2,
        _xlfn._xlws.FILTER(
            INDIRECT("'"&amp;N$1&amp;"'!A2:G1000"), (INDIRECT("'"&amp;N$1&amp;"'!B2:B1000")=$B2) * (INDIRECT("'"&amp;N$1&amp;"'!C2:C1000")=$C2)
        ),7,
        FALSE
    )
)</f>
        <v>Sim</v>
      </c>
      <c r="O2" s="79" t="str">
        <f t="array" aca="1" ref="O2" ca="1">IF(
    VLOOKUP(
        $A2,
        _xlfn._xlws.FILTER(
            INDIRECT("'"&amp;O$1&amp;"'!A2:G1000"), (INDIRECT("'"&amp;O$1&amp;"'!B2:B1000")=$B2) * (INDIRECT("'"&amp;O$1&amp;"'!C2:C1000")=$C2)
        ),
        5,
        FALSE
    )="",
    "",
    VLOOKUP(
        $A2,
        _xlfn._xlws.FILTER(
            INDIRECT("'"&amp;O$1&amp;"'!A2:G1000"), (INDIRECT("'"&amp;O$1&amp;"'!B2:B1000")=$B2) * (INDIRECT("'"&amp;O$1&amp;"'!C2:C1000")=$C2)
        ),7,
        FALSE
    )
)</f>
        <v>Sim</v>
      </c>
      <c r="P2" s="79" t="str">
        <f t="array" aca="1" ref="P2" ca="1">IF(
    VLOOKUP(
        $A2,
        _xlfn._xlws.FILTER(
            INDIRECT("'"&amp;P$1&amp;"'!A2:G1000"), (INDIRECT("'"&amp;P$1&amp;"'!B2:B1000")=$B2) * (INDIRECT("'"&amp;P$1&amp;"'!C2:C1000")=$C2)
        ),
        5,
        FALSE
    )="",
    "",
    VLOOKUP(
        $A2,
        _xlfn._xlws.FILTER(
            INDIRECT("'"&amp;P$1&amp;"'!A2:G1000"), (INDIRECT("'"&amp;P$1&amp;"'!B2:B1000")=$B2) * (INDIRECT("'"&amp;P$1&amp;"'!C2:C1000")=$C2)
        ),7,
        FALSE
    )
)</f>
        <v>Sim</v>
      </c>
      <c r="Q2" s="79" t="str">
        <f t="array" aca="1" ref="Q2" ca="1">IF(
    VLOOKUP(
        $A2,
        _xlfn._xlws.FILTER(
            INDIRECT("'"&amp;Q$1&amp;"'!A2:G1000"), (INDIRECT("'"&amp;Q$1&amp;"'!B2:B1000")=$B2) * (INDIRECT("'"&amp;Q$1&amp;"'!C2:C1000")=$C2)
        ),
        5,
        FALSE
    )="",
    "",
    VLOOKUP(
        $A2,
        _xlfn._xlws.FILTER(
            INDIRECT("'"&amp;Q$1&amp;"'!A2:G1000"), (INDIRECT("'"&amp;Q$1&amp;"'!B2:B1000")=$B2) * (INDIRECT("'"&amp;Q$1&amp;"'!C2:C1000")=$C2)
        ),7,
        FALSE
    )
)</f>
        <v/>
      </c>
    </row>
    <row r="3" spans="1:17" x14ac:dyDescent="0.25">
      <c r="A3" s="75" t="s">
        <v>28</v>
      </c>
      <c r="B3" s="79" t="s">
        <v>88</v>
      </c>
      <c r="C3" s="79">
        <v>1</v>
      </c>
      <c r="D3" s="79" t="str">
        <f t="array" aca="1" ref="D3" ca="1">IF(
    VLOOKUP(
        $A3,
        _xlfn._xlws.FILTER(
            INDIRECT("'"&amp;D$1&amp;"'!A2:G1000"), (INDIRECT("'"&amp;D$1&amp;"'!B2:B1000")=$B3) * (INDIRECT("'"&amp;D$1&amp;"'!C2:C1000")=$C3)
        ),
        5,
        FALSE
    )="",
    "",
    VLOOKUP(
        $A3,
        _xlfn._xlws.FILTER(
            INDIRECT("'"&amp;D$1&amp;"'!A2:G1000"), (INDIRECT("'"&amp;D$1&amp;"'!B2:B1000")=$B3) * (INDIRECT("'"&amp;D$1&amp;"'!C2:C1000")=$C3)
        ),7,
        FALSE
    )
)</f>
        <v>Sim</v>
      </c>
      <c r="E3" s="79" t="str">
        <f t="array" aca="1" ref="E3" ca="1">IF(
    VLOOKUP(
        $A3,
        _xlfn._xlws.FILTER(
            INDIRECT("'"&amp;E$1&amp;"'!A2:G1000"), (INDIRECT("'"&amp;E$1&amp;"'!B2:B1000")=$B3) * (INDIRECT("'"&amp;E$1&amp;"'!C2:C1000")=$C3)
        ),
        5,
        FALSE
    )="",
    "",
    VLOOKUP(
        $A3,
        _xlfn._xlws.FILTER(
            INDIRECT("'"&amp;E$1&amp;"'!A2:G1000"), (INDIRECT("'"&amp;E$1&amp;"'!B2:B1000")=$B3) * (INDIRECT("'"&amp;E$1&amp;"'!C2:C1000")=$C3)
        ),7,
        FALSE
    )
)</f>
        <v>Sim</v>
      </c>
      <c r="F3" s="79" t="str">
        <f t="array" aca="1" ref="F3" ca="1">IF(
    VLOOKUP(
        $A3,
        _xlfn._xlws.FILTER(
            INDIRECT("'"&amp;F$1&amp;"'!A2:G1000"), (INDIRECT("'"&amp;F$1&amp;"'!B2:B1000")=$B3) * (INDIRECT("'"&amp;F$1&amp;"'!C2:C1000")=$C3)
        ),
        5,
        FALSE
    )="",
    "",
    VLOOKUP(
        $A3,
        _xlfn._xlws.FILTER(
            INDIRECT("'"&amp;F$1&amp;"'!A2:G1000"), (INDIRECT("'"&amp;F$1&amp;"'!B2:B1000")=$B3) * (INDIRECT("'"&amp;F$1&amp;"'!C2:C1000")=$C3)
        ),7,
        FALSE
    )
)</f>
        <v>Sim</v>
      </c>
      <c r="G3" s="79" t="str">
        <f t="array" aca="1" ref="G3" ca="1">IF(
    VLOOKUP(
        $A3,
        _xlfn._xlws.FILTER(
            INDIRECT("'"&amp;G$1&amp;"'!A2:G1000"), (INDIRECT("'"&amp;G$1&amp;"'!B2:B1000")=$B3) * (INDIRECT("'"&amp;G$1&amp;"'!C2:C1000")=$C3)
        ),
        5,
        FALSE
    )="",
    "",
    VLOOKUP(
        $A3,
        _xlfn._xlws.FILTER(
            INDIRECT("'"&amp;G$1&amp;"'!A2:G1000"), (INDIRECT("'"&amp;G$1&amp;"'!B2:B1000")=$B3) * (INDIRECT("'"&amp;G$1&amp;"'!C2:C1000")=$C3)
        ),7,
        FALSE
    )
)</f>
        <v>Sim</v>
      </c>
      <c r="H3" s="79" t="str">
        <f t="array" aca="1" ref="H3" ca="1">IF(
    VLOOKUP(
        $A3,
        _xlfn._xlws.FILTER(
            INDIRECT("'"&amp;H$1&amp;"'!A2:G1000"), (INDIRECT("'"&amp;H$1&amp;"'!B2:B1000")=$B3) * (INDIRECT("'"&amp;H$1&amp;"'!C2:C1000")=$C3)
        ),
        5,
        FALSE
    )="",
    "",
    VLOOKUP(
        $A3,
        _xlfn._xlws.FILTER(
            INDIRECT("'"&amp;H$1&amp;"'!A2:G1000"), (INDIRECT("'"&amp;H$1&amp;"'!B2:B1000")=$B3) * (INDIRECT("'"&amp;H$1&amp;"'!C2:C1000")=$C3)
        ),7,
        FALSE
    )
)</f>
        <v>Sim</v>
      </c>
      <c r="I3" s="79" t="str">
        <f t="array" aca="1" ref="I3" ca="1">IF(
    VLOOKUP(
        $A3,
        _xlfn._xlws.FILTER(
            INDIRECT("'"&amp;I$1&amp;"'!A2:G1000"), (INDIRECT("'"&amp;I$1&amp;"'!B2:B1000")=$B3) * (INDIRECT("'"&amp;I$1&amp;"'!C2:C1000")=$C3)
        ),
        5,
        FALSE
    )="",
    "",
    VLOOKUP(
        $A3,
        _xlfn._xlws.FILTER(
            INDIRECT("'"&amp;I$1&amp;"'!A2:G1000"), (INDIRECT("'"&amp;I$1&amp;"'!B2:B1000")=$B3) * (INDIRECT("'"&amp;I$1&amp;"'!C2:C1000")=$C3)
        ),7,
        FALSE
    )
)</f>
        <v>Sim</v>
      </c>
      <c r="J3" s="79" t="str">
        <f t="array" aca="1" ref="J3" ca="1">IF(
    VLOOKUP(
        $A3,
        _xlfn._xlws.FILTER(
            INDIRECT("'"&amp;J$1&amp;"'!A2:G1000"), (INDIRECT("'"&amp;J$1&amp;"'!B2:B1000")=$B3) * (INDIRECT("'"&amp;J$1&amp;"'!C2:C1000")=$C3)
        ),
        5,
        FALSE
    )="",
    "",
    VLOOKUP(
        $A3,
        _xlfn._xlws.FILTER(
            INDIRECT("'"&amp;J$1&amp;"'!A2:G1000"), (INDIRECT("'"&amp;J$1&amp;"'!B2:B1000")=$B3) * (INDIRECT("'"&amp;J$1&amp;"'!C2:C1000")=$C3)
        ),7,
        FALSE
    )
)</f>
        <v>Sim</v>
      </c>
      <c r="K3" s="79" t="str">
        <f t="array" aca="1" ref="K3" ca="1">IF(
    VLOOKUP(
        $A3,
        _xlfn._xlws.FILTER(
            INDIRECT("'"&amp;K$1&amp;"'!A2:G1000"), (INDIRECT("'"&amp;K$1&amp;"'!B2:B1000")=$B3) * (INDIRECT("'"&amp;K$1&amp;"'!C2:C1000")=$C3)
        ),
        5,
        FALSE
    )="",
    "",
    VLOOKUP(
        $A3,
        _xlfn._xlws.FILTER(
            INDIRECT("'"&amp;K$1&amp;"'!A2:G1000"), (INDIRECT("'"&amp;K$1&amp;"'!B2:B1000")=$B3) * (INDIRECT("'"&amp;K$1&amp;"'!C2:C1000")=$C3)
        ),7,
        FALSE
    )
)</f>
        <v>Sim</v>
      </c>
      <c r="L3" s="79" t="str">
        <f t="array" aca="1" ref="L3" ca="1">IF(
    VLOOKUP(
        $A3,
        _xlfn._xlws.FILTER(
            INDIRECT("'"&amp;L$1&amp;"'!A2:G1000"), (INDIRECT("'"&amp;L$1&amp;"'!B2:B1000")=$B3) * (INDIRECT("'"&amp;L$1&amp;"'!C2:C1000")=$C3)
        ),
        5,
        FALSE
    )="",
    "",
    VLOOKUP(
        $A3,
        _xlfn._xlws.FILTER(
            INDIRECT("'"&amp;L$1&amp;"'!A2:G1000"), (INDIRECT("'"&amp;L$1&amp;"'!B2:B1000")=$B3) * (INDIRECT("'"&amp;L$1&amp;"'!C2:C1000")=$C3)
        ),7,
        FALSE
    )
)</f>
        <v>Sim</v>
      </c>
      <c r="M3" s="79" t="str">
        <f t="array" aca="1" ref="M3" ca="1">IF(
    VLOOKUP(
        $A3,
        _xlfn._xlws.FILTER(
            INDIRECT("'"&amp;M$1&amp;"'!A2:G1000"), (INDIRECT("'"&amp;M$1&amp;"'!B2:B1000")=$B3) * (INDIRECT("'"&amp;M$1&amp;"'!C2:C1000")=$C3)
        ),
        5,
        FALSE
    )="",
    "",
    VLOOKUP(
        $A3,
        _xlfn._xlws.FILTER(
            INDIRECT("'"&amp;M$1&amp;"'!A2:G1000"), (INDIRECT("'"&amp;M$1&amp;"'!B2:B1000")=$B3) * (INDIRECT("'"&amp;M$1&amp;"'!C2:C1000")=$C3)
        ),7,
        FALSE
    )
)</f>
        <v>Sim</v>
      </c>
      <c r="N3" s="79" t="str">
        <f t="array" aca="1" ref="N3" ca="1">IF(
    VLOOKUP(
        $A3,
        _xlfn._xlws.FILTER(
            INDIRECT("'"&amp;N$1&amp;"'!A2:G1000"), (INDIRECT("'"&amp;N$1&amp;"'!B2:B1000")=$B3) * (INDIRECT("'"&amp;N$1&amp;"'!C2:C1000")=$C3)
        ),
        5,
        FALSE
    )="",
    "",
    VLOOKUP(
        $A3,
        _xlfn._xlws.FILTER(
            INDIRECT("'"&amp;N$1&amp;"'!A2:G1000"), (INDIRECT("'"&amp;N$1&amp;"'!B2:B1000")=$B3) * (INDIRECT("'"&amp;N$1&amp;"'!C2:C1000")=$C3)
        ),7,
        FALSE
    )
)</f>
        <v>Sim</v>
      </c>
      <c r="O3" s="79" t="str">
        <f t="array" aca="1" ref="O3" ca="1">IF(
    VLOOKUP(
        $A3,
        _xlfn._xlws.FILTER(
            INDIRECT("'"&amp;O$1&amp;"'!A2:G1000"), (INDIRECT("'"&amp;O$1&amp;"'!B2:B1000")=$B3) * (INDIRECT("'"&amp;O$1&amp;"'!C2:C1000")=$C3)
        ),
        5,
        FALSE
    )="",
    "",
    VLOOKUP(
        $A3,
        _xlfn._xlws.FILTER(
            INDIRECT("'"&amp;O$1&amp;"'!A2:G1000"), (INDIRECT("'"&amp;O$1&amp;"'!B2:B1000")=$B3) * (INDIRECT("'"&amp;O$1&amp;"'!C2:C1000")=$C3)
        ),7,
        FALSE
    )
)</f>
        <v>Sim</v>
      </c>
      <c r="P3" s="79" t="str">
        <f t="array" aca="1" ref="P3" ca="1">IF(
    VLOOKUP(
        $A3,
        _xlfn._xlws.FILTER(
            INDIRECT("'"&amp;P$1&amp;"'!A2:G1000"), (INDIRECT("'"&amp;P$1&amp;"'!B2:B1000")=$B3) * (INDIRECT("'"&amp;P$1&amp;"'!C2:C1000")=$C3)
        ),
        5,
        FALSE
    )="",
    "",
    VLOOKUP(
        $A3,
        _xlfn._xlws.FILTER(
            INDIRECT("'"&amp;P$1&amp;"'!A2:G1000"), (INDIRECT("'"&amp;P$1&amp;"'!B2:B1000")=$B3) * (INDIRECT("'"&amp;P$1&amp;"'!C2:C1000")=$C3)
        ),7,
        FALSE
    )
)</f>
        <v>Sim</v>
      </c>
      <c r="Q3" s="79" t="str">
        <f t="array" aca="1" ref="Q3" ca="1">IF(
    VLOOKUP(
        $A3,
        _xlfn._xlws.FILTER(
            INDIRECT("'"&amp;Q$1&amp;"'!A2:G1000"), (INDIRECT("'"&amp;Q$1&amp;"'!B2:B1000")=$B3) * (INDIRECT("'"&amp;Q$1&amp;"'!C2:C1000")=$C3)
        ),
        5,
        FALSE
    )="",
    "",
    VLOOKUP(
        $A3,
        _xlfn._xlws.FILTER(
            INDIRECT("'"&amp;Q$1&amp;"'!A2:G1000"), (INDIRECT("'"&amp;Q$1&amp;"'!B2:B1000")=$B3) * (INDIRECT("'"&amp;Q$1&amp;"'!C2:C1000")=$C3)
        ),7,
        FALSE
    )
)</f>
        <v/>
      </c>
    </row>
    <row r="4" spans="1:17" x14ac:dyDescent="0.25">
      <c r="A4" s="75" t="s">
        <v>28</v>
      </c>
      <c r="B4" s="79" t="s">
        <v>89</v>
      </c>
      <c r="C4" s="79">
        <v>1</v>
      </c>
      <c r="D4" s="79" t="str">
        <f t="array" aca="1" ref="D4" ca="1">IF(
    VLOOKUP(
        $A4,
        _xlfn._xlws.FILTER(
            INDIRECT("'"&amp;D$1&amp;"'!A2:G1000"), (INDIRECT("'"&amp;D$1&amp;"'!B2:B1000")=$B4) * (INDIRECT("'"&amp;D$1&amp;"'!C2:C1000")=$C4)
        ),
        5,
        FALSE
    )="",
    "",
    VLOOKUP(
        $A4,
        _xlfn._xlws.FILTER(
            INDIRECT("'"&amp;D$1&amp;"'!A2:G1000"), (INDIRECT("'"&amp;D$1&amp;"'!B2:B1000")=$B4) * (INDIRECT("'"&amp;D$1&amp;"'!C2:C1000")=$C4)
        ),7,
        FALSE
    )
)</f>
        <v>Sim</v>
      </c>
      <c r="E4" s="79" t="str">
        <f t="array" aca="1" ref="E4" ca="1">IF(
    VLOOKUP(
        $A4,
        _xlfn._xlws.FILTER(
            INDIRECT("'"&amp;E$1&amp;"'!A2:G1000"), (INDIRECT("'"&amp;E$1&amp;"'!B2:B1000")=$B4) * (INDIRECT("'"&amp;E$1&amp;"'!C2:C1000")=$C4)
        ),
        5,
        FALSE
    )="",
    "",
    VLOOKUP(
        $A4,
        _xlfn._xlws.FILTER(
            INDIRECT("'"&amp;E$1&amp;"'!A2:G1000"), (INDIRECT("'"&amp;E$1&amp;"'!B2:B1000")=$B4) * (INDIRECT("'"&amp;E$1&amp;"'!C2:C1000")=$C4)
        ),7,
        FALSE
    )
)</f>
        <v>Sim</v>
      </c>
      <c r="F4" s="79" t="str">
        <f t="array" aca="1" ref="F4" ca="1">IF(
    VLOOKUP(
        $A4,
        _xlfn._xlws.FILTER(
            INDIRECT("'"&amp;F$1&amp;"'!A2:G1000"), (INDIRECT("'"&amp;F$1&amp;"'!B2:B1000")=$B4) * (INDIRECT("'"&amp;F$1&amp;"'!C2:C1000")=$C4)
        ),
        5,
        FALSE
    )="",
    "",
    VLOOKUP(
        $A4,
        _xlfn._xlws.FILTER(
            INDIRECT("'"&amp;F$1&amp;"'!A2:G1000"), (INDIRECT("'"&amp;F$1&amp;"'!B2:B1000")=$B4) * (INDIRECT("'"&amp;F$1&amp;"'!C2:C1000")=$C4)
        ),7,
        FALSE
    )
)</f>
        <v>Sim</v>
      </c>
      <c r="G4" s="79" t="str">
        <f t="array" aca="1" ref="G4" ca="1">IF(
    VLOOKUP(
        $A4,
        _xlfn._xlws.FILTER(
            INDIRECT("'"&amp;G$1&amp;"'!A2:G1000"), (INDIRECT("'"&amp;G$1&amp;"'!B2:B1000")=$B4) * (INDIRECT("'"&amp;G$1&amp;"'!C2:C1000")=$C4)
        ),
        5,
        FALSE
    )="",
    "",
    VLOOKUP(
        $A4,
        _xlfn._xlws.FILTER(
            INDIRECT("'"&amp;G$1&amp;"'!A2:G1000"), (INDIRECT("'"&amp;G$1&amp;"'!B2:B1000")=$B4) * (INDIRECT("'"&amp;G$1&amp;"'!C2:C1000")=$C4)
        ),7,
        FALSE
    )
)</f>
        <v>Sim</v>
      </c>
      <c r="H4" s="79" t="str">
        <f t="array" aca="1" ref="H4" ca="1">IF(
    VLOOKUP(
        $A4,
        _xlfn._xlws.FILTER(
            INDIRECT("'"&amp;H$1&amp;"'!A2:G1000"), (INDIRECT("'"&amp;H$1&amp;"'!B2:B1000")=$B4) * (INDIRECT("'"&amp;H$1&amp;"'!C2:C1000")=$C4)
        ),
        5,
        FALSE
    )="",
    "",
    VLOOKUP(
        $A4,
        _xlfn._xlws.FILTER(
            INDIRECT("'"&amp;H$1&amp;"'!A2:G1000"), (INDIRECT("'"&amp;H$1&amp;"'!B2:B1000")=$B4) * (INDIRECT("'"&amp;H$1&amp;"'!C2:C1000")=$C4)
        ),7,
        FALSE
    )
)</f>
        <v>Sim</v>
      </c>
      <c r="I4" s="79" t="str">
        <f t="array" aca="1" ref="I4" ca="1">IF(
    VLOOKUP(
        $A4,
        _xlfn._xlws.FILTER(
            INDIRECT("'"&amp;I$1&amp;"'!A2:G1000"), (INDIRECT("'"&amp;I$1&amp;"'!B2:B1000")=$B4) * (INDIRECT("'"&amp;I$1&amp;"'!C2:C1000")=$C4)
        ),
        5,
        FALSE
    )="",
    "",
    VLOOKUP(
        $A4,
        _xlfn._xlws.FILTER(
            INDIRECT("'"&amp;I$1&amp;"'!A2:G1000"), (INDIRECT("'"&amp;I$1&amp;"'!B2:B1000")=$B4) * (INDIRECT("'"&amp;I$1&amp;"'!C2:C1000")=$C4)
        ),7,
        FALSE
    )
)</f>
        <v>Sim</v>
      </c>
      <c r="J4" s="79" t="str">
        <f t="array" aca="1" ref="J4" ca="1">IF(
    VLOOKUP(
        $A4,
        _xlfn._xlws.FILTER(
            INDIRECT("'"&amp;J$1&amp;"'!A2:G1000"), (INDIRECT("'"&amp;J$1&amp;"'!B2:B1000")=$B4) * (INDIRECT("'"&amp;J$1&amp;"'!C2:C1000")=$C4)
        ),
        5,
        FALSE
    )="",
    "",
    VLOOKUP(
        $A4,
        _xlfn._xlws.FILTER(
            INDIRECT("'"&amp;J$1&amp;"'!A2:G1000"), (INDIRECT("'"&amp;J$1&amp;"'!B2:B1000")=$B4) * (INDIRECT("'"&amp;J$1&amp;"'!C2:C1000")=$C4)
        ),7,
        FALSE
    )
)</f>
        <v>Sim</v>
      </c>
      <c r="K4" s="79" t="str">
        <f t="array" ref="K4" ca="1">IF(
    VLOOKUP(
        $A4,
        _xlfn._xlws.FILTER(
            INDIRECT("'"&amp;K$1&amp;"'!A2:G1000"), (INDIRECT("'"&amp;K$1&amp;"'!B2:B1000")=$B4) * (INDIRECT("'"&amp;K$1&amp;"'!C2:C1000")=$C4)
        ),
        5,
        FALSE
    )="",
    "",
    VLOOKUP(
        $A4,
        _xlfn._xlws.FILTER(
            INDIRECT("'"&amp;K$1&amp;"'!A2:G1000"), (INDIRECT("'"&amp;K$1&amp;"'!B2:B1000")=$B4) * (INDIRECT("'"&amp;K$1&amp;"'!C2:C1000")=$C4)
        ),7,
        FALSE
    )
)</f>
        <v>Sim</v>
      </c>
      <c r="L4" s="79" t="str">
        <f t="array" aca="1" ref="L4" ca="1">IF(
    VLOOKUP(
        $A4,
        _xlfn._xlws.FILTER(
            INDIRECT("'"&amp;L$1&amp;"'!A2:G1000"), (INDIRECT("'"&amp;L$1&amp;"'!B2:B1000")=$B4) * (INDIRECT("'"&amp;L$1&amp;"'!C2:C1000")=$C4)
        ),
        5,
        FALSE
    )="",
    "",
    VLOOKUP(
        $A4,
        _xlfn._xlws.FILTER(
            INDIRECT("'"&amp;L$1&amp;"'!A2:G1000"), (INDIRECT("'"&amp;L$1&amp;"'!B2:B1000")=$B4) * (INDIRECT("'"&amp;L$1&amp;"'!C2:C1000")=$C4)
        ),7,
        FALSE
    )
)</f>
        <v>Sim</v>
      </c>
      <c r="M4" s="79" t="str">
        <f t="array" aca="1" ref="M4" ca="1">IF(
    VLOOKUP(
        $A4,
        _xlfn._xlws.FILTER(
            INDIRECT("'"&amp;M$1&amp;"'!A2:G1000"), (INDIRECT("'"&amp;M$1&amp;"'!B2:B1000")=$B4) * (INDIRECT("'"&amp;M$1&amp;"'!C2:C1000")=$C4)
        ),
        5,
        FALSE
    )="",
    "",
    VLOOKUP(
        $A4,
        _xlfn._xlws.FILTER(
            INDIRECT("'"&amp;M$1&amp;"'!A2:G1000"), (INDIRECT("'"&amp;M$1&amp;"'!B2:B1000")=$B4) * (INDIRECT("'"&amp;M$1&amp;"'!C2:C1000")=$C4)
        ),7,
        FALSE
    )
)</f>
        <v>Sim</v>
      </c>
      <c r="N4" s="79" t="str">
        <f t="array" aca="1" ref="N4" ca="1">IF(
    VLOOKUP(
        $A4,
        _xlfn._xlws.FILTER(
            INDIRECT("'"&amp;N$1&amp;"'!A2:G1000"), (INDIRECT("'"&amp;N$1&amp;"'!B2:B1000")=$B4) * (INDIRECT("'"&amp;N$1&amp;"'!C2:C1000")=$C4)
        ),
        5,
        FALSE
    )="",
    "",
    VLOOKUP(
        $A4,
        _xlfn._xlws.FILTER(
            INDIRECT("'"&amp;N$1&amp;"'!A2:G1000"), (INDIRECT("'"&amp;N$1&amp;"'!B2:B1000")=$B4) * (INDIRECT("'"&amp;N$1&amp;"'!C2:C1000")=$C4)
        ),7,
        FALSE
    )
)</f>
        <v>Sim</v>
      </c>
      <c r="O4" s="79" t="str">
        <f t="array" aca="1" ref="O4" ca="1">IF(
    VLOOKUP(
        $A4,
        _xlfn._xlws.FILTER(
            INDIRECT("'"&amp;O$1&amp;"'!A2:G1000"), (INDIRECT("'"&amp;O$1&amp;"'!B2:B1000")=$B4) * (INDIRECT("'"&amp;O$1&amp;"'!C2:C1000")=$C4)
        ),
        5,
        FALSE
    )="",
    "",
    VLOOKUP(
        $A4,
        _xlfn._xlws.FILTER(
            INDIRECT("'"&amp;O$1&amp;"'!A2:G1000"), (INDIRECT("'"&amp;O$1&amp;"'!B2:B1000")=$B4) * (INDIRECT("'"&amp;O$1&amp;"'!C2:C1000")=$C4)
        ),7,
        FALSE
    )
)</f>
        <v>Sim</v>
      </c>
      <c r="P4" s="79" t="str">
        <f t="array" ref="P4" ca="1">IF(
    VLOOKUP(
        $A4,
        _xlfn._xlws.FILTER(
            INDIRECT("'"&amp;P$1&amp;"'!A2:G1000"), (INDIRECT("'"&amp;P$1&amp;"'!B2:B1000")=$B4) * (INDIRECT("'"&amp;P$1&amp;"'!C2:C1000")=$C4)
        ),
        5,
        FALSE
    )="",
    "",
    VLOOKUP(
        $A4,
        _xlfn._xlws.FILTER(
            INDIRECT("'"&amp;P$1&amp;"'!A2:G1000"), (INDIRECT("'"&amp;P$1&amp;"'!B2:B1000")=$B4) * (INDIRECT("'"&amp;P$1&amp;"'!C2:C1000")=$C4)
        ),7,
        FALSE
    )
)</f>
        <v>Não</v>
      </c>
      <c r="Q4" s="79" t="str">
        <f t="array" aca="1" ref="Q4" ca="1">IF(
    VLOOKUP(
        $A4,
        _xlfn._xlws.FILTER(
            INDIRECT("'"&amp;Q$1&amp;"'!A2:G1000"), (INDIRECT("'"&amp;Q$1&amp;"'!B2:B1000")=$B4) * (INDIRECT("'"&amp;Q$1&amp;"'!C2:C1000")=$C4)
        ),
        5,
        FALSE
    )="",
    "",
    VLOOKUP(
        $A4,
        _xlfn._xlws.FILTER(
            INDIRECT("'"&amp;Q$1&amp;"'!A2:G1000"), (INDIRECT("'"&amp;Q$1&amp;"'!B2:B1000")=$B4) * (INDIRECT("'"&amp;Q$1&amp;"'!C2:C1000")=$C4)
        ),7,
        FALSE
    )
)</f>
        <v/>
      </c>
    </row>
    <row r="5" spans="1:17" x14ac:dyDescent="0.25">
      <c r="A5" s="75" t="s">
        <v>28</v>
      </c>
      <c r="B5" s="79" t="s">
        <v>90</v>
      </c>
      <c r="C5" s="79">
        <v>1</v>
      </c>
      <c r="D5" s="79" t="str">
        <f t="array" aca="1" ref="D5" ca="1">IF(
    VLOOKUP(
        $A5,
        _xlfn._xlws.FILTER(
            INDIRECT("'"&amp;D$1&amp;"'!A2:G1000"), (INDIRECT("'"&amp;D$1&amp;"'!B2:B1000")=$B5) * (INDIRECT("'"&amp;D$1&amp;"'!C2:C1000")=$C5)
        ),
        5,
        FALSE
    )="",
    "",
    VLOOKUP(
        $A5,
        _xlfn._xlws.FILTER(
            INDIRECT("'"&amp;D$1&amp;"'!A2:G1000"), (INDIRECT("'"&amp;D$1&amp;"'!B2:B1000")=$B5) * (INDIRECT("'"&amp;D$1&amp;"'!C2:C1000")=$C5)
        ),7,
        FALSE
    )
)</f>
        <v>Sim</v>
      </c>
      <c r="E5" s="79" t="str">
        <f t="array" aca="1" ref="E5" ca="1">IF(
    VLOOKUP(
        $A5,
        _xlfn._xlws.FILTER(
            INDIRECT("'"&amp;E$1&amp;"'!A2:G1000"), (INDIRECT("'"&amp;E$1&amp;"'!B2:B1000")=$B5) * (INDIRECT("'"&amp;E$1&amp;"'!C2:C1000")=$C5)
        ),
        5,
        FALSE
    )="",
    "",
    VLOOKUP(
        $A5,
        _xlfn._xlws.FILTER(
            INDIRECT("'"&amp;E$1&amp;"'!A2:G1000"), (INDIRECT("'"&amp;E$1&amp;"'!B2:B1000")=$B5) * (INDIRECT("'"&amp;E$1&amp;"'!C2:C1000")=$C5)
        ),7,
        FALSE
    )
)</f>
        <v>Sim</v>
      </c>
      <c r="F5" s="79" t="str">
        <f t="array" aca="1" ref="F5" ca="1">IF(
    VLOOKUP(
        $A5,
        _xlfn._xlws.FILTER(
            INDIRECT("'"&amp;F$1&amp;"'!A2:G1000"), (INDIRECT("'"&amp;F$1&amp;"'!B2:B1000")=$B5) * (INDIRECT("'"&amp;F$1&amp;"'!C2:C1000")=$C5)
        ),
        5,
        FALSE
    )="",
    "",
    VLOOKUP(
        $A5,
        _xlfn._xlws.FILTER(
            INDIRECT("'"&amp;F$1&amp;"'!A2:G1000"), (INDIRECT("'"&amp;F$1&amp;"'!B2:B1000")=$B5) * (INDIRECT("'"&amp;F$1&amp;"'!C2:C1000")=$C5)
        ),7,
        FALSE
    )
)</f>
        <v>Sim</v>
      </c>
      <c r="G5" s="79" t="str">
        <f t="array" aca="1" ref="G5" ca="1">IF(
    VLOOKUP(
        $A5,
        _xlfn._xlws.FILTER(
            INDIRECT("'"&amp;G$1&amp;"'!A2:G1000"), (INDIRECT("'"&amp;G$1&amp;"'!B2:B1000")=$B5) * (INDIRECT("'"&amp;G$1&amp;"'!C2:C1000")=$C5)
        ),
        5,
        FALSE
    )="",
    "",
    VLOOKUP(
        $A5,
        _xlfn._xlws.FILTER(
            INDIRECT("'"&amp;G$1&amp;"'!A2:G1000"), (INDIRECT("'"&amp;G$1&amp;"'!B2:B1000")=$B5) * (INDIRECT("'"&amp;G$1&amp;"'!C2:C1000")=$C5)
        ),7,
        FALSE
    )
)</f>
        <v>Sim</v>
      </c>
      <c r="H5" s="79" t="str">
        <f t="array" aca="1" ref="H5" ca="1">IF(
    VLOOKUP(
        $A5,
        _xlfn._xlws.FILTER(
            INDIRECT("'"&amp;H$1&amp;"'!A2:G1000"), (INDIRECT("'"&amp;H$1&amp;"'!B2:B1000")=$B5) * (INDIRECT("'"&amp;H$1&amp;"'!C2:C1000")=$C5)
        ),
        5,
        FALSE
    )="",
    "",
    VLOOKUP(
        $A5,
        _xlfn._xlws.FILTER(
            INDIRECT("'"&amp;H$1&amp;"'!A2:G1000"), (INDIRECT("'"&amp;H$1&amp;"'!B2:B1000")=$B5) * (INDIRECT("'"&amp;H$1&amp;"'!C2:C1000")=$C5)
        ),7,
        FALSE
    )
)</f>
        <v>Sim</v>
      </c>
      <c r="I5" s="79" t="str">
        <f t="array" aca="1" ref="I5" ca="1">IF(
    VLOOKUP(
        $A5,
        _xlfn._xlws.FILTER(
            INDIRECT("'"&amp;I$1&amp;"'!A2:G1000"), (INDIRECT("'"&amp;I$1&amp;"'!B2:B1000")=$B5) * (INDIRECT("'"&amp;I$1&amp;"'!C2:C1000")=$C5)
        ),
        5,
        FALSE
    )="",
    "",
    VLOOKUP(
        $A5,
        _xlfn._xlws.FILTER(
            INDIRECT("'"&amp;I$1&amp;"'!A2:G1000"), (INDIRECT("'"&amp;I$1&amp;"'!B2:B1000")=$B5) * (INDIRECT("'"&amp;I$1&amp;"'!C2:C1000")=$C5)
        ),7,
        FALSE
    )
)</f>
        <v>Sim</v>
      </c>
      <c r="J5" s="79" t="str">
        <f t="array" aca="1" ref="J5" ca="1">IF(
    VLOOKUP(
        $A5,
        _xlfn._xlws.FILTER(
            INDIRECT("'"&amp;J$1&amp;"'!A2:G1000"), (INDIRECT("'"&amp;J$1&amp;"'!B2:B1000")=$B5) * (INDIRECT("'"&amp;J$1&amp;"'!C2:C1000")=$C5)
        ),
        5,
        FALSE
    )="",
    "",
    VLOOKUP(
        $A5,
        _xlfn._xlws.FILTER(
            INDIRECT("'"&amp;J$1&amp;"'!A2:G1000"), (INDIRECT("'"&amp;J$1&amp;"'!B2:B1000")=$B5) * (INDIRECT("'"&amp;J$1&amp;"'!C2:C1000")=$C5)
        ),7,
        FALSE
    )
)</f>
        <v>Sim</v>
      </c>
      <c r="K5" s="79" t="str">
        <f t="array" aca="1" ref="K5" ca="1">IF(
    VLOOKUP(
        $A5,
        _xlfn._xlws.FILTER(
            INDIRECT("'"&amp;K$1&amp;"'!A2:G1000"), (INDIRECT("'"&amp;K$1&amp;"'!B2:B1000")=$B5) * (INDIRECT("'"&amp;K$1&amp;"'!C2:C1000")=$C5)
        ),
        5,
        FALSE
    )="",
    "",
    VLOOKUP(
        $A5,
        _xlfn._xlws.FILTER(
            INDIRECT("'"&amp;K$1&amp;"'!A2:G1000"), (INDIRECT("'"&amp;K$1&amp;"'!B2:B1000")=$B5) * (INDIRECT("'"&amp;K$1&amp;"'!C2:C1000")=$C5)
        ),7,
        FALSE
    )
)</f>
        <v>Sim</v>
      </c>
      <c r="L5" s="79" t="str">
        <f t="array" aca="1" ref="L5" ca="1">IF(
    VLOOKUP(
        $A5,
        _xlfn._xlws.FILTER(
            INDIRECT("'"&amp;L$1&amp;"'!A2:G1000"), (INDIRECT("'"&amp;L$1&amp;"'!B2:B1000")=$B5) * (INDIRECT("'"&amp;L$1&amp;"'!C2:C1000")=$C5)
        ),
        5,
        FALSE
    )="",
    "",
    VLOOKUP(
        $A5,
        _xlfn._xlws.FILTER(
            INDIRECT("'"&amp;L$1&amp;"'!A2:G1000"), (INDIRECT("'"&amp;L$1&amp;"'!B2:B1000")=$B5) * (INDIRECT("'"&amp;L$1&amp;"'!C2:C1000")=$C5)
        ),7,
        FALSE
    )
)</f>
        <v>Sim</v>
      </c>
      <c r="M5" s="79" t="str">
        <f t="array" aca="1" ref="M5" ca="1">IF(
    VLOOKUP(
        $A5,
        _xlfn._xlws.FILTER(
            INDIRECT("'"&amp;M$1&amp;"'!A2:G1000"), (INDIRECT("'"&amp;M$1&amp;"'!B2:B1000")=$B5) * (INDIRECT("'"&amp;M$1&amp;"'!C2:C1000")=$C5)
        ),
        5,
        FALSE
    )="",
    "",
    VLOOKUP(
        $A5,
        _xlfn._xlws.FILTER(
            INDIRECT("'"&amp;M$1&amp;"'!A2:G1000"), (INDIRECT("'"&amp;M$1&amp;"'!B2:B1000")=$B5) * (INDIRECT("'"&amp;M$1&amp;"'!C2:C1000")=$C5)
        ),7,
        FALSE
    )
)</f>
        <v>Sim</v>
      </c>
      <c r="N5" s="79" t="str">
        <f t="array" aca="1" ref="N5" ca="1">IF(
    VLOOKUP(
        $A5,
        _xlfn._xlws.FILTER(
            INDIRECT("'"&amp;N$1&amp;"'!A2:G1000"), (INDIRECT("'"&amp;N$1&amp;"'!B2:B1000")=$B5) * (INDIRECT("'"&amp;N$1&amp;"'!C2:C1000")=$C5)
        ),
        5,
        FALSE
    )="",
    "",
    VLOOKUP(
        $A5,
        _xlfn._xlws.FILTER(
            INDIRECT("'"&amp;N$1&amp;"'!A2:G1000"), (INDIRECT("'"&amp;N$1&amp;"'!B2:B1000")=$B5) * (INDIRECT("'"&amp;N$1&amp;"'!C2:C1000")=$C5)
        ),7,
        FALSE
    )
)</f>
        <v>Sim</v>
      </c>
      <c r="O5" s="79" t="str">
        <f t="array" aca="1" ref="O5" ca="1">IF(
    VLOOKUP(
        $A5,
        _xlfn._xlws.FILTER(
            INDIRECT("'"&amp;O$1&amp;"'!A2:G1000"), (INDIRECT("'"&amp;O$1&amp;"'!B2:B1000")=$B5) * (INDIRECT("'"&amp;O$1&amp;"'!C2:C1000")=$C5)
        ),
        5,
        FALSE
    )="",
    "",
    VLOOKUP(
        $A5,
        _xlfn._xlws.FILTER(
            INDIRECT("'"&amp;O$1&amp;"'!A2:G1000"), (INDIRECT("'"&amp;O$1&amp;"'!B2:B1000")=$B5) * (INDIRECT("'"&amp;O$1&amp;"'!C2:C1000")=$C5)
        ),7,
        FALSE
    )
)</f>
        <v>Sim</v>
      </c>
      <c r="P5" s="79" t="str">
        <f t="array" aca="1" ref="P5" ca="1">IF(
    VLOOKUP(
        $A5,
        _xlfn._xlws.FILTER(
            INDIRECT("'"&amp;P$1&amp;"'!A2:G1000"), (INDIRECT("'"&amp;P$1&amp;"'!B2:B1000")=$B5) * (INDIRECT("'"&amp;P$1&amp;"'!C2:C1000")=$C5)
        ),
        5,
        FALSE
    )="",
    "",
    VLOOKUP(
        $A5,
        _xlfn._xlws.FILTER(
            INDIRECT("'"&amp;P$1&amp;"'!A2:G1000"), (INDIRECT("'"&amp;P$1&amp;"'!B2:B1000")=$B5) * (INDIRECT("'"&amp;P$1&amp;"'!C2:C1000")=$C5)
        ),7,
        FALSE
    )
)</f>
        <v>Não</v>
      </c>
      <c r="Q5" s="79" t="str">
        <f t="array" aca="1" ref="Q5" ca="1">IF(
    VLOOKUP(
        $A5,
        _xlfn._xlws.FILTER(
            INDIRECT("'"&amp;Q$1&amp;"'!A2:G1000"), (INDIRECT("'"&amp;Q$1&amp;"'!B2:B1000")=$B5) * (INDIRECT("'"&amp;Q$1&amp;"'!C2:C1000")=$C5)
        ),
        5,
        FALSE
    )="",
    "",
    VLOOKUP(
        $A5,
        _xlfn._xlws.FILTER(
            INDIRECT("'"&amp;Q$1&amp;"'!A2:G1000"), (INDIRECT("'"&amp;Q$1&amp;"'!B2:B1000")=$B5) * (INDIRECT("'"&amp;Q$1&amp;"'!C2:C1000")=$C5)
        ),7,
        FALSE
    )
)</f>
        <v/>
      </c>
    </row>
    <row r="6" spans="1:17" x14ac:dyDescent="0.25">
      <c r="A6" s="75" t="s">
        <v>28</v>
      </c>
      <c r="B6" s="79" t="s">
        <v>91</v>
      </c>
      <c r="C6" s="79">
        <v>1</v>
      </c>
      <c r="D6" s="79" t="str">
        <f t="array" aca="1" ref="D6" ca="1">IF(
    VLOOKUP(
        $A6,
        _xlfn._xlws.FILTER(
            INDIRECT("'"&amp;D$1&amp;"'!A2:G1000"), (INDIRECT("'"&amp;D$1&amp;"'!B2:B1000")=$B6) * (INDIRECT("'"&amp;D$1&amp;"'!C2:C1000")=$C6)
        ),
        5,
        FALSE
    )="",
    "",
    VLOOKUP(
        $A6,
        _xlfn._xlws.FILTER(
            INDIRECT("'"&amp;D$1&amp;"'!A2:G1000"), (INDIRECT("'"&amp;D$1&amp;"'!B2:B1000")=$B6) * (INDIRECT("'"&amp;D$1&amp;"'!C2:C1000")=$C6)
        ),7,
        FALSE
    )
)</f>
        <v>Sim</v>
      </c>
      <c r="E6" s="79" t="str">
        <f t="array" aca="1" ref="E6" ca="1">IF(
    VLOOKUP(
        $A6,
        _xlfn._xlws.FILTER(
            INDIRECT("'"&amp;E$1&amp;"'!A2:G1000"), (INDIRECT("'"&amp;E$1&amp;"'!B2:B1000")=$B6) * (INDIRECT("'"&amp;E$1&amp;"'!C2:C1000")=$C6)
        ),
        5,
        FALSE
    )="",
    "",
    VLOOKUP(
        $A6,
        _xlfn._xlws.FILTER(
            INDIRECT("'"&amp;E$1&amp;"'!A2:G1000"), (INDIRECT("'"&amp;E$1&amp;"'!B2:B1000")=$B6) * (INDIRECT("'"&amp;E$1&amp;"'!C2:C1000")=$C6)
        ),7,
        FALSE
    )
)</f>
        <v>Sim</v>
      </c>
      <c r="F6" s="79" t="str">
        <f t="array" aca="1" ref="F6" ca="1">IF(
    VLOOKUP(
        $A6,
        _xlfn._xlws.FILTER(
            INDIRECT("'"&amp;F$1&amp;"'!A2:G1000"), (INDIRECT("'"&amp;F$1&amp;"'!B2:B1000")=$B6) * (INDIRECT("'"&amp;F$1&amp;"'!C2:C1000")=$C6)
        ),
        5,
        FALSE
    )="",
    "",
    VLOOKUP(
        $A6,
        _xlfn._xlws.FILTER(
            INDIRECT("'"&amp;F$1&amp;"'!A2:G1000"), (INDIRECT("'"&amp;F$1&amp;"'!B2:B1000")=$B6) * (INDIRECT("'"&amp;F$1&amp;"'!C2:C1000")=$C6)
        ),7,
        FALSE
    )
)</f>
        <v>Sim</v>
      </c>
      <c r="G6" s="79" t="str">
        <f t="array" aca="1" ref="G6" ca="1">IF(
    VLOOKUP(
        $A6,
        _xlfn._xlws.FILTER(
            INDIRECT("'"&amp;G$1&amp;"'!A2:G1000"), (INDIRECT("'"&amp;G$1&amp;"'!B2:B1000")=$B6) * (INDIRECT("'"&amp;G$1&amp;"'!C2:C1000")=$C6)
        ),
        5,
        FALSE
    )="",
    "",
    VLOOKUP(
        $A6,
        _xlfn._xlws.FILTER(
            INDIRECT("'"&amp;G$1&amp;"'!A2:G1000"), (INDIRECT("'"&amp;G$1&amp;"'!B2:B1000")=$B6) * (INDIRECT("'"&amp;G$1&amp;"'!C2:C1000")=$C6)
        ),7,
        FALSE
    )
)</f>
        <v>Sim</v>
      </c>
      <c r="H6" s="79" t="str">
        <f t="array" aca="1" ref="H6" ca="1">IF(
    VLOOKUP(
        $A6,
        _xlfn._xlws.FILTER(
            INDIRECT("'"&amp;H$1&amp;"'!A2:G1000"), (INDIRECT("'"&amp;H$1&amp;"'!B2:B1000")=$B6) * (INDIRECT("'"&amp;H$1&amp;"'!C2:C1000")=$C6)
        ),
        5,
        FALSE
    )="",
    "",
    VLOOKUP(
        $A6,
        _xlfn._xlws.FILTER(
            INDIRECT("'"&amp;H$1&amp;"'!A2:G1000"), (INDIRECT("'"&amp;H$1&amp;"'!B2:B1000")=$B6) * (INDIRECT("'"&amp;H$1&amp;"'!C2:C1000")=$C6)
        ),7,
        FALSE
    )
)</f>
        <v>Sim</v>
      </c>
      <c r="I6" s="79" t="str">
        <f t="array" aca="1" ref="I6" ca="1">IF(
    VLOOKUP(
        $A6,
        _xlfn._xlws.FILTER(
            INDIRECT("'"&amp;I$1&amp;"'!A2:G1000"), (INDIRECT("'"&amp;I$1&amp;"'!B2:B1000")=$B6) * (INDIRECT("'"&amp;I$1&amp;"'!C2:C1000")=$C6)
        ),
        5,
        FALSE
    )="",
    "",
    VLOOKUP(
        $A6,
        _xlfn._xlws.FILTER(
            INDIRECT("'"&amp;I$1&amp;"'!A2:G1000"), (INDIRECT("'"&amp;I$1&amp;"'!B2:B1000")=$B6) * (INDIRECT("'"&amp;I$1&amp;"'!C2:C1000")=$C6)
        ),7,
        FALSE
    )
)</f>
        <v>Sim</v>
      </c>
      <c r="J6" s="79" t="str">
        <f t="array" aca="1" ref="J6" ca="1">IF(
    VLOOKUP(
        $A6,
        _xlfn._xlws.FILTER(
            INDIRECT("'"&amp;J$1&amp;"'!A2:G1000"), (INDIRECT("'"&amp;J$1&amp;"'!B2:B1000")=$B6) * (INDIRECT("'"&amp;J$1&amp;"'!C2:C1000")=$C6)
        ),
        5,
        FALSE
    )="",
    "",
    VLOOKUP(
        $A6,
        _xlfn._xlws.FILTER(
            INDIRECT("'"&amp;J$1&amp;"'!A2:G1000"), (INDIRECT("'"&amp;J$1&amp;"'!B2:B1000")=$B6) * (INDIRECT("'"&amp;J$1&amp;"'!C2:C1000")=$C6)
        ),7,
        FALSE
    )
)</f>
        <v>Sim</v>
      </c>
      <c r="K6" s="79" t="str">
        <f t="array" aca="1" ref="K6" ca="1">IF(
    VLOOKUP(
        $A6,
        _xlfn._xlws.FILTER(
            INDIRECT("'"&amp;K$1&amp;"'!A2:G1000"), (INDIRECT("'"&amp;K$1&amp;"'!B2:B1000")=$B6) * (INDIRECT("'"&amp;K$1&amp;"'!C2:C1000")=$C6)
        ),
        5,
        FALSE
    )="",
    "",
    VLOOKUP(
        $A6,
        _xlfn._xlws.FILTER(
            INDIRECT("'"&amp;K$1&amp;"'!A2:G1000"), (INDIRECT("'"&amp;K$1&amp;"'!B2:B1000")=$B6) * (INDIRECT("'"&amp;K$1&amp;"'!C2:C1000")=$C6)
        ),7,
        FALSE
    )
)</f>
        <v>Sim</v>
      </c>
      <c r="L6" s="79" t="str">
        <f t="array" aca="1" ref="L6" ca="1">IF(
    VLOOKUP(
        $A6,
        _xlfn._xlws.FILTER(
            INDIRECT("'"&amp;L$1&amp;"'!A2:G1000"), (INDIRECT("'"&amp;L$1&amp;"'!B2:B1000")=$B6) * (INDIRECT("'"&amp;L$1&amp;"'!C2:C1000")=$C6)
        ),
        5,
        FALSE
    )="",
    "",
    VLOOKUP(
        $A6,
        _xlfn._xlws.FILTER(
            INDIRECT("'"&amp;L$1&amp;"'!A2:G1000"), (INDIRECT("'"&amp;L$1&amp;"'!B2:B1000")=$B6) * (INDIRECT("'"&amp;L$1&amp;"'!C2:C1000")=$C6)
        ),7,
        FALSE
    )
)</f>
        <v>Sim</v>
      </c>
      <c r="M6" s="79" t="str">
        <f t="array" aca="1" ref="M6" ca="1">IF(
    VLOOKUP(
        $A6,
        _xlfn._xlws.FILTER(
            INDIRECT("'"&amp;M$1&amp;"'!A2:G1000"), (INDIRECT("'"&amp;M$1&amp;"'!B2:B1000")=$B6) * (INDIRECT("'"&amp;M$1&amp;"'!C2:C1000")=$C6)
        ),
        5,
        FALSE
    )="",
    "",
    VLOOKUP(
        $A6,
        _xlfn._xlws.FILTER(
            INDIRECT("'"&amp;M$1&amp;"'!A2:G1000"), (INDIRECT("'"&amp;M$1&amp;"'!B2:B1000")=$B6) * (INDIRECT("'"&amp;M$1&amp;"'!C2:C1000")=$C6)
        ),7,
        FALSE
    )
)</f>
        <v>Sim</v>
      </c>
      <c r="N6" s="79" t="str">
        <f t="array" aca="1" ref="N6" ca="1">IF(
    VLOOKUP(
        $A6,
        _xlfn._xlws.FILTER(
            INDIRECT("'"&amp;N$1&amp;"'!A2:G1000"), (INDIRECT("'"&amp;N$1&amp;"'!B2:B1000")=$B6) * (INDIRECT("'"&amp;N$1&amp;"'!C2:C1000")=$C6)
        ),
        5,
        FALSE
    )="",
    "",
    VLOOKUP(
        $A6,
        _xlfn._xlws.FILTER(
            INDIRECT("'"&amp;N$1&amp;"'!A2:G1000"), (INDIRECT("'"&amp;N$1&amp;"'!B2:B1000")=$B6) * (INDIRECT("'"&amp;N$1&amp;"'!C2:C1000")=$C6)
        ),7,
        FALSE
    )
)</f>
        <v>Sim</v>
      </c>
      <c r="O6" s="79" t="str">
        <f t="array" aca="1" ref="O6" ca="1">IF(
    VLOOKUP(
        $A6,
        _xlfn._xlws.FILTER(
            INDIRECT("'"&amp;O$1&amp;"'!A2:G1000"), (INDIRECT("'"&amp;O$1&amp;"'!B2:B1000")=$B6) * (INDIRECT("'"&amp;O$1&amp;"'!C2:C1000")=$C6)
        ),
        5,
        FALSE
    )="",
    "",
    VLOOKUP(
        $A6,
        _xlfn._xlws.FILTER(
            INDIRECT("'"&amp;O$1&amp;"'!A2:G1000"), (INDIRECT("'"&amp;O$1&amp;"'!B2:B1000")=$B6) * (INDIRECT("'"&amp;O$1&amp;"'!C2:C1000")=$C6)
        ),7,
        FALSE
    )
)</f>
        <v>Sim</v>
      </c>
      <c r="P6" s="79" t="str">
        <f t="array" aca="1" ref="P6" ca="1">IF(
    VLOOKUP(
        $A6,
        _xlfn._xlws.FILTER(
            INDIRECT("'"&amp;P$1&amp;"'!A2:G1000"), (INDIRECT("'"&amp;P$1&amp;"'!B2:B1000")=$B6) * (INDIRECT("'"&amp;P$1&amp;"'!C2:C1000")=$C6)
        ),
        5,
        FALSE
    )="",
    "",
    VLOOKUP(
        $A6,
        _xlfn._xlws.FILTER(
            INDIRECT("'"&amp;P$1&amp;"'!A2:G1000"), (INDIRECT("'"&amp;P$1&amp;"'!B2:B1000")=$B6) * (INDIRECT("'"&amp;P$1&amp;"'!C2:C1000")=$C6)
        ),7,
        FALSE
    )
)</f>
        <v>Sim</v>
      </c>
      <c r="Q6" s="79" t="str">
        <f t="array" aca="1" ref="Q6" ca="1">IF(
    VLOOKUP(
        $A6,
        _xlfn._xlws.FILTER(
            INDIRECT("'"&amp;Q$1&amp;"'!A2:G1000"), (INDIRECT("'"&amp;Q$1&amp;"'!B2:B1000")=$B6) * (INDIRECT("'"&amp;Q$1&amp;"'!C2:C1000")=$C6)
        ),
        5,
        FALSE
    )="",
    "",
    VLOOKUP(
        $A6,
        _xlfn._xlws.FILTER(
            INDIRECT("'"&amp;Q$1&amp;"'!A2:G1000"), (INDIRECT("'"&amp;Q$1&amp;"'!B2:B1000")=$B6) * (INDIRECT("'"&amp;Q$1&amp;"'!C2:C1000")=$C6)
        ),7,
        FALSE
    )
)</f>
        <v/>
      </c>
    </row>
    <row r="7" spans="1:17" x14ac:dyDescent="0.25">
      <c r="A7" s="75" t="s">
        <v>28</v>
      </c>
      <c r="B7" s="79" t="s">
        <v>92</v>
      </c>
      <c r="C7" s="79">
        <v>1</v>
      </c>
      <c r="D7" s="79" t="str">
        <f t="array" aca="1" ref="D7" ca="1">IF(
    VLOOKUP(
        $A7,
        _xlfn._xlws.FILTER(
            INDIRECT("'"&amp;D$1&amp;"'!A2:G1000"), (INDIRECT("'"&amp;D$1&amp;"'!B2:B1000")=$B7) * (INDIRECT("'"&amp;D$1&amp;"'!C2:C1000")=$C7)
        ),
        5,
        FALSE
    )="",
    "",
    VLOOKUP(
        $A7,
        _xlfn._xlws.FILTER(
            INDIRECT("'"&amp;D$1&amp;"'!A2:G1000"), (INDIRECT("'"&amp;D$1&amp;"'!B2:B1000")=$B7) * (INDIRECT("'"&amp;D$1&amp;"'!C2:C1000")=$C7)
        ),7,
        FALSE
    )
)</f>
        <v>Sim</v>
      </c>
      <c r="E7" s="79" t="str">
        <f t="array" aca="1" ref="E7" ca="1">IF(
    VLOOKUP(
        $A7,
        _xlfn._xlws.FILTER(
            INDIRECT("'"&amp;E$1&amp;"'!A2:G1000"), (INDIRECT("'"&amp;E$1&amp;"'!B2:B1000")=$B7) * (INDIRECT("'"&amp;E$1&amp;"'!C2:C1000")=$C7)
        ),
        5,
        FALSE
    )="",
    "",
    VLOOKUP(
        $A7,
        _xlfn._xlws.FILTER(
            INDIRECT("'"&amp;E$1&amp;"'!A2:G1000"), (INDIRECT("'"&amp;E$1&amp;"'!B2:B1000")=$B7) * (INDIRECT("'"&amp;E$1&amp;"'!C2:C1000")=$C7)
        ),7,
        FALSE
    )
)</f>
        <v>Sim</v>
      </c>
      <c r="F7" s="79" t="str">
        <f t="array" aca="1" ref="F7" ca="1">IF(
    VLOOKUP(
        $A7,
        _xlfn._xlws.FILTER(
            INDIRECT("'"&amp;F$1&amp;"'!A2:G1000"), (INDIRECT("'"&amp;F$1&amp;"'!B2:B1000")=$B7) * (INDIRECT("'"&amp;F$1&amp;"'!C2:C1000")=$C7)
        ),
        5,
        FALSE
    )="",
    "",
    VLOOKUP(
        $A7,
        _xlfn._xlws.FILTER(
            INDIRECT("'"&amp;F$1&amp;"'!A2:G1000"), (INDIRECT("'"&amp;F$1&amp;"'!B2:B1000")=$B7) * (INDIRECT("'"&amp;F$1&amp;"'!C2:C1000")=$C7)
        ),7,
        FALSE
    )
)</f>
        <v>Sim</v>
      </c>
      <c r="G7" s="79" t="str">
        <f t="array" aca="1" ref="G7" ca="1">IF(
    VLOOKUP(
        $A7,
        _xlfn._xlws.FILTER(
            INDIRECT("'"&amp;G$1&amp;"'!A2:G1000"), (INDIRECT("'"&amp;G$1&amp;"'!B2:B1000")=$B7) * (INDIRECT("'"&amp;G$1&amp;"'!C2:C1000")=$C7)
        ),
        5,
        FALSE
    )="",
    "",
    VLOOKUP(
        $A7,
        _xlfn._xlws.FILTER(
            INDIRECT("'"&amp;G$1&amp;"'!A2:G1000"), (INDIRECT("'"&amp;G$1&amp;"'!B2:B1000")=$B7) * (INDIRECT("'"&amp;G$1&amp;"'!C2:C1000")=$C7)
        ),7,
        FALSE
    )
)</f>
        <v>Sim</v>
      </c>
      <c r="H7" s="79" t="str">
        <f t="array" aca="1" ref="H7" ca="1">IF(
    VLOOKUP(
        $A7,
        _xlfn._xlws.FILTER(
            INDIRECT("'"&amp;H$1&amp;"'!A2:G1000"), (INDIRECT("'"&amp;H$1&amp;"'!B2:B1000")=$B7) * (INDIRECT("'"&amp;H$1&amp;"'!C2:C1000")=$C7)
        ),
        5,
        FALSE
    )="",
    "",
    VLOOKUP(
        $A7,
        _xlfn._xlws.FILTER(
            INDIRECT("'"&amp;H$1&amp;"'!A2:G1000"), (INDIRECT("'"&amp;H$1&amp;"'!B2:B1000")=$B7) * (INDIRECT("'"&amp;H$1&amp;"'!C2:C1000")=$C7)
        ),7,
        FALSE
    )
)</f>
        <v>Sim</v>
      </c>
      <c r="I7" s="79" t="str">
        <f t="array" aca="1" ref="I7" ca="1">IF(
    VLOOKUP(
        $A7,
        _xlfn._xlws.FILTER(
            INDIRECT("'"&amp;I$1&amp;"'!A2:G1000"), (INDIRECT("'"&amp;I$1&amp;"'!B2:B1000")=$B7) * (INDIRECT("'"&amp;I$1&amp;"'!C2:C1000")=$C7)
        ),
        5,
        FALSE
    )="",
    "",
    VLOOKUP(
        $A7,
        _xlfn._xlws.FILTER(
            INDIRECT("'"&amp;I$1&amp;"'!A2:G1000"), (INDIRECT("'"&amp;I$1&amp;"'!B2:B1000")=$B7) * (INDIRECT("'"&amp;I$1&amp;"'!C2:C1000")=$C7)
        ),7,
        FALSE
    )
)</f>
        <v>Sim</v>
      </c>
      <c r="J7" s="79" t="str">
        <f t="array" aca="1" ref="J7" ca="1">IF(
    VLOOKUP(
        $A7,
        _xlfn._xlws.FILTER(
            INDIRECT("'"&amp;J$1&amp;"'!A2:G1000"), (INDIRECT("'"&amp;J$1&amp;"'!B2:B1000")=$B7) * (INDIRECT("'"&amp;J$1&amp;"'!C2:C1000")=$C7)
        ),
        5,
        FALSE
    )="",
    "",
    VLOOKUP(
        $A7,
        _xlfn._xlws.FILTER(
            INDIRECT("'"&amp;J$1&amp;"'!A2:G1000"), (INDIRECT("'"&amp;J$1&amp;"'!B2:B1000")=$B7) * (INDIRECT("'"&amp;J$1&amp;"'!C2:C1000")=$C7)
        ),7,
        FALSE
    )
)</f>
        <v>Sim</v>
      </c>
      <c r="K7" s="79" t="str">
        <f t="array" aca="1" ref="K7" ca="1">IF(
    VLOOKUP(
        $A7,
        _xlfn._xlws.FILTER(
            INDIRECT("'"&amp;K$1&amp;"'!A2:G1000"), (INDIRECT("'"&amp;K$1&amp;"'!B2:B1000")=$B7) * (INDIRECT("'"&amp;K$1&amp;"'!C2:C1000")=$C7)
        ),
        5,
        FALSE
    )="",
    "",
    VLOOKUP(
        $A7,
        _xlfn._xlws.FILTER(
            INDIRECT("'"&amp;K$1&amp;"'!A2:G1000"), (INDIRECT("'"&amp;K$1&amp;"'!B2:B1000")=$B7) * (INDIRECT("'"&amp;K$1&amp;"'!C2:C1000")=$C7)
        ),7,
        FALSE
    )
)</f>
        <v>Sim</v>
      </c>
      <c r="L7" s="79" t="str">
        <f t="array" aca="1" ref="L7" ca="1">IF(
    VLOOKUP(
        $A7,
        _xlfn._xlws.FILTER(
            INDIRECT("'"&amp;L$1&amp;"'!A2:G1000"), (INDIRECT("'"&amp;L$1&amp;"'!B2:B1000")=$B7) * (INDIRECT("'"&amp;L$1&amp;"'!C2:C1000")=$C7)
        ),
        5,
        FALSE
    )="",
    "",
    VLOOKUP(
        $A7,
        _xlfn._xlws.FILTER(
            INDIRECT("'"&amp;L$1&amp;"'!A2:G1000"), (INDIRECT("'"&amp;L$1&amp;"'!B2:B1000")=$B7) * (INDIRECT("'"&amp;L$1&amp;"'!C2:C1000")=$C7)
        ),7,
        FALSE
    )
)</f>
        <v>Sim</v>
      </c>
      <c r="M7" s="79" t="str">
        <f t="array" aca="1" ref="M7" ca="1">IF(
    VLOOKUP(
        $A7,
        _xlfn._xlws.FILTER(
            INDIRECT("'"&amp;M$1&amp;"'!A2:G1000"), (INDIRECT("'"&amp;M$1&amp;"'!B2:B1000")=$B7) * (INDIRECT("'"&amp;M$1&amp;"'!C2:C1000")=$C7)
        ),
        5,
        FALSE
    )="",
    "",
    VLOOKUP(
        $A7,
        _xlfn._xlws.FILTER(
            INDIRECT("'"&amp;M$1&amp;"'!A2:G1000"), (INDIRECT("'"&amp;M$1&amp;"'!B2:B1000")=$B7) * (INDIRECT("'"&amp;M$1&amp;"'!C2:C1000")=$C7)
        ),7,
        FALSE
    )
)</f>
        <v>Sim</v>
      </c>
      <c r="N7" s="79" t="str">
        <f t="array" aca="1" ref="N7" ca="1">IF(
    VLOOKUP(
        $A7,
        _xlfn._xlws.FILTER(
            INDIRECT("'"&amp;N$1&amp;"'!A2:G1000"), (INDIRECT("'"&amp;N$1&amp;"'!B2:B1000")=$B7) * (INDIRECT("'"&amp;N$1&amp;"'!C2:C1000")=$C7)
        ),
        5,
        FALSE
    )="",
    "",
    VLOOKUP(
        $A7,
        _xlfn._xlws.FILTER(
            INDIRECT("'"&amp;N$1&amp;"'!A2:G1000"), (INDIRECT("'"&amp;N$1&amp;"'!B2:B1000")=$B7) * (INDIRECT("'"&amp;N$1&amp;"'!C2:C1000")=$C7)
        ),7,
        FALSE
    )
)</f>
        <v>Sim</v>
      </c>
      <c r="O7" s="79" t="str">
        <f t="array" aca="1" ref="O7" ca="1">IF(
    VLOOKUP(
        $A7,
        _xlfn._xlws.FILTER(
            INDIRECT("'"&amp;O$1&amp;"'!A2:G1000"), (INDIRECT("'"&amp;O$1&amp;"'!B2:B1000")=$B7) * (INDIRECT("'"&amp;O$1&amp;"'!C2:C1000")=$C7)
        ),
        5,
        FALSE
    )="",
    "",
    VLOOKUP(
        $A7,
        _xlfn._xlws.FILTER(
            INDIRECT("'"&amp;O$1&amp;"'!A2:G1000"), (INDIRECT("'"&amp;O$1&amp;"'!B2:B1000")=$B7) * (INDIRECT("'"&amp;O$1&amp;"'!C2:C1000")=$C7)
        ),7,
        FALSE
    )
)</f>
        <v>Não</v>
      </c>
      <c r="P7" s="79" t="str">
        <f t="array" aca="1" ref="P7" ca="1">IF(
    VLOOKUP(
        $A7,
        _xlfn._xlws.FILTER(
            INDIRECT("'"&amp;P$1&amp;"'!A2:G1000"), (INDIRECT("'"&amp;P$1&amp;"'!B2:B1000")=$B7) * (INDIRECT("'"&amp;P$1&amp;"'!C2:C1000")=$C7)
        ),
        5,
        FALSE
    )="",
    "",
    VLOOKUP(
        $A7,
        _xlfn._xlws.FILTER(
            INDIRECT("'"&amp;P$1&amp;"'!A2:G1000"), (INDIRECT("'"&amp;P$1&amp;"'!B2:B1000")=$B7) * (INDIRECT("'"&amp;P$1&amp;"'!C2:C1000")=$C7)
        ),7,
        FALSE
    )
)</f>
        <v>Não</v>
      </c>
      <c r="Q7" s="79" t="str">
        <f t="array" aca="1" ref="Q7" ca="1">IF(
    VLOOKUP(
        $A7,
        _xlfn._xlws.FILTER(
            INDIRECT("'"&amp;Q$1&amp;"'!A2:G1000"), (INDIRECT("'"&amp;Q$1&amp;"'!B2:B1000")=$B7) * (INDIRECT("'"&amp;Q$1&amp;"'!C2:C1000")=$C7)
        ),
        5,
        FALSE
    )="",
    "",
    VLOOKUP(
        $A7,
        _xlfn._xlws.FILTER(
            INDIRECT("'"&amp;Q$1&amp;"'!A2:G1000"), (INDIRECT("'"&amp;Q$1&amp;"'!B2:B1000")=$B7) * (INDIRECT("'"&amp;Q$1&amp;"'!C2:C1000")=$C7)
        ),7,
        FALSE
    )
)</f>
        <v/>
      </c>
    </row>
    <row r="8" spans="1:17" x14ac:dyDescent="0.25">
      <c r="A8" s="75" t="s">
        <v>28</v>
      </c>
      <c r="B8" s="79" t="s">
        <v>93</v>
      </c>
      <c r="C8" s="79">
        <v>1</v>
      </c>
      <c r="D8" s="79" t="str">
        <f t="array" aca="1" ref="D8" ca="1">IF(
    VLOOKUP(
        $A8,
        _xlfn._xlws.FILTER(
            INDIRECT("'"&amp;D$1&amp;"'!A2:G1000"), (INDIRECT("'"&amp;D$1&amp;"'!B2:B1000")=$B8) * (INDIRECT("'"&amp;D$1&amp;"'!C2:C1000")=$C8)
        ),
        5,
        FALSE
    )="",
    "",
    VLOOKUP(
        $A8,
        _xlfn._xlws.FILTER(
            INDIRECT("'"&amp;D$1&amp;"'!A2:G1000"), (INDIRECT("'"&amp;D$1&amp;"'!B2:B1000")=$B8) * (INDIRECT("'"&amp;D$1&amp;"'!C2:C1000")=$C8)
        ),7,
        FALSE
    )
)</f>
        <v>Sim</v>
      </c>
      <c r="E8" s="79" t="str">
        <f t="array" aca="1" ref="E8" ca="1">IF(
    VLOOKUP(
        $A8,
        _xlfn._xlws.FILTER(
            INDIRECT("'"&amp;E$1&amp;"'!A2:G1000"), (INDIRECT("'"&amp;E$1&amp;"'!B2:B1000")=$B8) * (INDIRECT("'"&amp;E$1&amp;"'!C2:C1000")=$C8)
        ),
        5,
        FALSE
    )="",
    "",
    VLOOKUP(
        $A8,
        _xlfn._xlws.FILTER(
            INDIRECT("'"&amp;E$1&amp;"'!A2:G1000"), (INDIRECT("'"&amp;E$1&amp;"'!B2:B1000")=$B8) * (INDIRECT("'"&amp;E$1&amp;"'!C2:C1000")=$C8)
        ),7,
        FALSE
    )
)</f>
        <v>Sim</v>
      </c>
      <c r="F8" s="79" t="str">
        <f t="array" ref="F8" ca="1">IF(
    VLOOKUP(
        $A8,
        _xlfn._xlws.FILTER(
            INDIRECT("'"&amp;F$1&amp;"'!A2:G1000"), (INDIRECT("'"&amp;F$1&amp;"'!B2:B1000")=$B8) * (INDIRECT("'"&amp;F$1&amp;"'!C2:C1000")=$C8)
        ),
        5,
        FALSE
    )="",
    "",
    VLOOKUP(
        $A8,
        _xlfn._xlws.FILTER(
            INDIRECT("'"&amp;F$1&amp;"'!A2:G1000"), (INDIRECT("'"&amp;F$1&amp;"'!B2:B1000")=$B8) * (INDIRECT("'"&amp;F$1&amp;"'!C2:C1000")=$C8)
        ),7,
        FALSE
    )
)</f>
        <v>Sim</v>
      </c>
      <c r="G8" s="79" t="str">
        <f t="array" aca="1" ref="G8" ca="1">IF(
    VLOOKUP(
        $A8,
        _xlfn._xlws.FILTER(
            INDIRECT("'"&amp;G$1&amp;"'!A2:G1000"), (INDIRECT("'"&amp;G$1&amp;"'!B2:B1000")=$B8) * (INDIRECT("'"&amp;G$1&amp;"'!C2:C1000")=$C8)
        ),
        5,
        FALSE
    )="",
    "",
    VLOOKUP(
        $A8,
        _xlfn._xlws.FILTER(
            INDIRECT("'"&amp;G$1&amp;"'!A2:G1000"), (INDIRECT("'"&amp;G$1&amp;"'!B2:B1000")=$B8) * (INDIRECT("'"&amp;G$1&amp;"'!C2:C1000")=$C8)
        ),7,
        FALSE
    )
)</f>
        <v>Sim</v>
      </c>
      <c r="H8" s="79" t="str">
        <f t="array" aca="1" ref="H8" ca="1">IF(
    VLOOKUP(
        $A8,
        _xlfn._xlws.FILTER(
            INDIRECT("'"&amp;H$1&amp;"'!A2:G1000"), (INDIRECT("'"&amp;H$1&amp;"'!B2:B1000")=$B8) * (INDIRECT("'"&amp;H$1&amp;"'!C2:C1000")=$C8)
        ),
        5,
        FALSE
    )="",
    "",
    VLOOKUP(
        $A8,
        _xlfn._xlws.FILTER(
            INDIRECT("'"&amp;H$1&amp;"'!A2:G1000"), (INDIRECT("'"&amp;H$1&amp;"'!B2:B1000")=$B8) * (INDIRECT("'"&amp;H$1&amp;"'!C2:C1000")=$C8)
        ),7,
        FALSE
    )
)</f>
        <v>Sim</v>
      </c>
      <c r="I8" s="79" t="str">
        <f t="array" aca="1" ref="I8" ca="1">IF(
    VLOOKUP(
        $A8,
        _xlfn._xlws.FILTER(
            INDIRECT("'"&amp;I$1&amp;"'!A2:G1000"), (INDIRECT("'"&amp;I$1&amp;"'!B2:B1000")=$B8) * (INDIRECT("'"&amp;I$1&amp;"'!C2:C1000")=$C8)
        ),
        5,
        FALSE
    )="",
    "",
    VLOOKUP(
        $A8,
        _xlfn._xlws.FILTER(
            INDIRECT("'"&amp;I$1&amp;"'!A2:G1000"), (INDIRECT("'"&amp;I$1&amp;"'!B2:B1000")=$B8) * (INDIRECT("'"&amp;I$1&amp;"'!C2:C1000")=$C8)
        ),7,
        FALSE
    )
)</f>
        <v>Sim</v>
      </c>
      <c r="J8" s="79" t="str">
        <f t="array" aca="1" ref="J8" ca="1">IF(
    VLOOKUP(
        $A8,
        _xlfn._xlws.FILTER(
            INDIRECT("'"&amp;J$1&amp;"'!A2:G1000"), (INDIRECT("'"&amp;J$1&amp;"'!B2:B1000")=$B8) * (INDIRECT("'"&amp;J$1&amp;"'!C2:C1000")=$C8)
        ),
        5,
        FALSE
    )="",
    "",
    VLOOKUP(
        $A8,
        _xlfn._xlws.FILTER(
            INDIRECT("'"&amp;J$1&amp;"'!A2:G1000"), (INDIRECT("'"&amp;J$1&amp;"'!B2:B1000")=$B8) * (INDIRECT("'"&amp;J$1&amp;"'!C2:C1000")=$C8)
        ),7,
        FALSE
    )
)</f>
        <v>Sim</v>
      </c>
      <c r="K8" s="79" t="str">
        <f t="array" aca="1" ref="K8" ca="1">IF(
    VLOOKUP(
        $A8,
        _xlfn._xlws.FILTER(
            INDIRECT("'"&amp;K$1&amp;"'!A2:G1000"), (INDIRECT("'"&amp;K$1&amp;"'!B2:B1000")=$B8) * (INDIRECT("'"&amp;K$1&amp;"'!C2:C1000")=$C8)
        ),
        5,
        FALSE
    )="",
    "",
    VLOOKUP(
        $A8,
        _xlfn._xlws.FILTER(
            INDIRECT("'"&amp;K$1&amp;"'!A2:G1000"), (INDIRECT("'"&amp;K$1&amp;"'!B2:B1000")=$B8) * (INDIRECT("'"&amp;K$1&amp;"'!C2:C1000")=$C8)
        ),7,
        FALSE
    )
)</f>
        <v>Sim</v>
      </c>
      <c r="L8" s="79" t="str">
        <f t="array" aca="1" ref="L8" ca="1">IF(
    VLOOKUP(
        $A8,
        _xlfn._xlws.FILTER(
            INDIRECT("'"&amp;L$1&amp;"'!A2:G1000"), (INDIRECT("'"&amp;L$1&amp;"'!B2:B1000")=$B8) * (INDIRECT("'"&amp;L$1&amp;"'!C2:C1000")=$C8)
        ),
        5,
        FALSE
    )="",
    "",
    VLOOKUP(
        $A8,
        _xlfn._xlws.FILTER(
            INDIRECT("'"&amp;L$1&amp;"'!A2:G1000"), (INDIRECT("'"&amp;L$1&amp;"'!B2:B1000")=$B8) * (INDIRECT("'"&amp;L$1&amp;"'!C2:C1000")=$C8)
        ),7,
        FALSE
    )
)</f>
        <v>Sim</v>
      </c>
      <c r="M8" s="79" t="str">
        <f t="array" aca="1" ref="M8" ca="1">IF(
    VLOOKUP(
        $A8,
        _xlfn._xlws.FILTER(
            INDIRECT("'"&amp;M$1&amp;"'!A2:G1000"), (INDIRECT("'"&amp;M$1&amp;"'!B2:B1000")=$B8) * (INDIRECT("'"&amp;M$1&amp;"'!C2:C1000")=$C8)
        ),
        5,
        FALSE
    )="",
    "",
    VLOOKUP(
        $A8,
        _xlfn._xlws.FILTER(
            INDIRECT("'"&amp;M$1&amp;"'!A2:G1000"), (INDIRECT("'"&amp;M$1&amp;"'!B2:B1000")=$B8) * (INDIRECT("'"&amp;M$1&amp;"'!C2:C1000")=$C8)
        ),7,
        FALSE
    )
)</f>
        <v>Sim</v>
      </c>
      <c r="N8" s="79" t="str">
        <f t="array" aca="1" ref="N8" ca="1">IF(
    VLOOKUP(
        $A8,
        _xlfn._xlws.FILTER(
            INDIRECT("'"&amp;N$1&amp;"'!A2:G1000"), (INDIRECT("'"&amp;N$1&amp;"'!B2:B1000")=$B8) * (INDIRECT("'"&amp;N$1&amp;"'!C2:C1000")=$C8)
        ),
        5,
        FALSE
    )="",
    "",
    VLOOKUP(
        $A8,
        _xlfn._xlws.FILTER(
            INDIRECT("'"&amp;N$1&amp;"'!A2:G1000"), (INDIRECT("'"&amp;N$1&amp;"'!B2:B1000")=$B8) * (INDIRECT("'"&amp;N$1&amp;"'!C2:C1000")=$C8)
        ),7,
        FALSE
    )
)</f>
        <v>Sim</v>
      </c>
      <c r="O8" s="79" t="str">
        <f t="array" aca="1" ref="O8" ca="1">IF(
    VLOOKUP(
        $A8,
        _xlfn._xlws.FILTER(
            INDIRECT("'"&amp;O$1&amp;"'!A2:G1000"), (INDIRECT("'"&amp;O$1&amp;"'!B2:B1000")=$B8) * (INDIRECT("'"&amp;O$1&amp;"'!C2:C1000")=$C8)
        ),
        5,
        FALSE
    )="",
    "",
    VLOOKUP(
        $A8,
        _xlfn._xlws.FILTER(
            INDIRECT("'"&amp;O$1&amp;"'!A2:G1000"), (INDIRECT("'"&amp;O$1&amp;"'!B2:B1000")=$B8) * (INDIRECT("'"&amp;O$1&amp;"'!C2:C1000")=$C8)
        ),7,
        FALSE
    )
)</f>
        <v>Sim</v>
      </c>
      <c r="P8" s="79" t="str">
        <f t="array" aca="1" ref="P8" ca="1">IF(
    VLOOKUP(
        $A8,
        _xlfn._xlws.FILTER(
            INDIRECT("'"&amp;P$1&amp;"'!A2:G1000"), (INDIRECT("'"&amp;P$1&amp;"'!B2:B1000")=$B8) * (INDIRECT("'"&amp;P$1&amp;"'!C2:C1000")=$C8)
        ),
        5,
        FALSE
    )="",
    "",
    VLOOKUP(
        $A8,
        _xlfn._xlws.FILTER(
            INDIRECT("'"&amp;P$1&amp;"'!A2:G1000"), (INDIRECT("'"&amp;P$1&amp;"'!B2:B1000")=$B8) * (INDIRECT("'"&amp;P$1&amp;"'!C2:C1000")=$C8)
        ),7,
        FALSE
    )
)</f>
        <v>Sim</v>
      </c>
      <c r="Q8" s="79" t="str">
        <f t="array" aca="1" ref="Q8" ca="1">IF(
    VLOOKUP(
        $A8,
        _xlfn._xlws.FILTER(
            INDIRECT("'"&amp;Q$1&amp;"'!A2:G1000"), (INDIRECT("'"&amp;Q$1&amp;"'!B2:B1000")=$B8) * (INDIRECT("'"&amp;Q$1&amp;"'!C2:C1000")=$C8)
        ),
        5,
        FALSE
    )="",
    "",
    VLOOKUP(
        $A8,
        _xlfn._xlws.FILTER(
            INDIRECT("'"&amp;Q$1&amp;"'!A2:G1000"), (INDIRECT("'"&amp;Q$1&amp;"'!B2:B1000")=$B8) * (INDIRECT("'"&amp;Q$1&amp;"'!C2:C1000")=$C8)
        ),7,
        FALSE
    )
)</f>
        <v/>
      </c>
    </row>
    <row r="9" spans="1:17" x14ac:dyDescent="0.25">
      <c r="A9" s="75" t="s">
        <v>28</v>
      </c>
      <c r="B9" s="79" t="s">
        <v>94</v>
      </c>
      <c r="C9" s="79">
        <v>1</v>
      </c>
      <c r="D9" s="79" t="str">
        <f t="array" aca="1" ref="D9" ca="1">IF(
    VLOOKUP(
        $A9,
        _xlfn._xlws.FILTER(
            INDIRECT("'"&amp;D$1&amp;"'!A2:G1000"), (INDIRECT("'"&amp;D$1&amp;"'!B2:B1000")=$B9) * (INDIRECT("'"&amp;D$1&amp;"'!C2:C1000")=$C9)
        ),
        5,
        FALSE
    )="",
    "",
    VLOOKUP(
        $A9,
        _xlfn._xlws.FILTER(
            INDIRECT("'"&amp;D$1&amp;"'!A2:G1000"), (INDIRECT("'"&amp;D$1&amp;"'!B2:B1000")=$B9) * (INDIRECT("'"&amp;D$1&amp;"'!C2:C1000")=$C9)
        ),7,
        FALSE
    )
)</f>
        <v>Sim</v>
      </c>
      <c r="E9" s="79" t="str">
        <f t="array" aca="1" ref="E9" ca="1">IF(
    VLOOKUP(
        $A9,
        _xlfn._xlws.FILTER(
            INDIRECT("'"&amp;E$1&amp;"'!A2:G1000"), (INDIRECT("'"&amp;E$1&amp;"'!B2:B1000")=$B9) * (INDIRECT("'"&amp;E$1&amp;"'!C2:C1000")=$C9)
        ),
        5,
        FALSE
    )="",
    "",
    VLOOKUP(
        $A9,
        _xlfn._xlws.FILTER(
            INDIRECT("'"&amp;E$1&amp;"'!A2:G1000"), (INDIRECT("'"&amp;E$1&amp;"'!B2:B1000")=$B9) * (INDIRECT("'"&amp;E$1&amp;"'!C2:C1000")=$C9)
        ),7,
        FALSE
    )
)</f>
        <v>Sim</v>
      </c>
      <c r="F9" s="79" t="str">
        <f t="array" aca="1" ref="F9" ca="1">IF(
    VLOOKUP(
        $A9,
        _xlfn._xlws.FILTER(
            INDIRECT("'"&amp;F$1&amp;"'!A2:G1000"), (INDIRECT("'"&amp;F$1&amp;"'!B2:B1000")=$B9) * (INDIRECT("'"&amp;F$1&amp;"'!C2:C1000")=$C9)
        ),
        5,
        FALSE
    )="",
    "",
    VLOOKUP(
        $A9,
        _xlfn._xlws.FILTER(
            INDIRECT("'"&amp;F$1&amp;"'!A2:G1000"), (INDIRECT("'"&amp;F$1&amp;"'!B2:B1000")=$B9) * (INDIRECT("'"&amp;F$1&amp;"'!C2:C1000")=$C9)
        ),7,
        FALSE
    )
)</f>
        <v>Sim</v>
      </c>
      <c r="G9" s="79" t="str">
        <f t="array" aca="1" ref="G9" ca="1">IF(
    VLOOKUP(
        $A9,
        _xlfn._xlws.FILTER(
            INDIRECT("'"&amp;G$1&amp;"'!A2:G1000"), (INDIRECT("'"&amp;G$1&amp;"'!B2:B1000")=$B9) * (INDIRECT("'"&amp;G$1&amp;"'!C2:C1000")=$C9)
        ),
        5,
        FALSE
    )="",
    "",
    VLOOKUP(
        $A9,
        _xlfn._xlws.FILTER(
            INDIRECT("'"&amp;G$1&amp;"'!A2:G1000"), (INDIRECT("'"&amp;G$1&amp;"'!B2:B1000")=$B9) * (INDIRECT("'"&amp;G$1&amp;"'!C2:C1000")=$C9)
        ),7,
        FALSE
    )
)</f>
        <v>Sim</v>
      </c>
      <c r="H9" s="79" t="str">
        <f t="array" aca="1" ref="H9" ca="1">IF(
    VLOOKUP(
        $A9,
        _xlfn._xlws.FILTER(
            INDIRECT("'"&amp;H$1&amp;"'!A2:G1000"), (INDIRECT("'"&amp;H$1&amp;"'!B2:B1000")=$B9) * (INDIRECT("'"&amp;H$1&amp;"'!C2:C1000")=$C9)
        ),
        5,
        FALSE
    )="",
    "",
    VLOOKUP(
        $A9,
        _xlfn._xlws.FILTER(
            INDIRECT("'"&amp;H$1&amp;"'!A2:G1000"), (INDIRECT("'"&amp;H$1&amp;"'!B2:B1000")=$B9) * (INDIRECT("'"&amp;H$1&amp;"'!C2:C1000")=$C9)
        ),7,
        FALSE
    )
)</f>
        <v>Sim</v>
      </c>
      <c r="I9" s="79" t="str">
        <f t="array" aca="1" ref="I9" ca="1">IF(
    VLOOKUP(
        $A9,
        _xlfn._xlws.FILTER(
            INDIRECT("'"&amp;I$1&amp;"'!A2:G1000"), (INDIRECT("'"&amp;I$1&amp;"'!B2:B1000")=$B9) * (INDIRECT("'"&amp;I$1&amp;"'!C2:C1000")=$C9)
        ),
        5,
        FALSE
    )="",
    "",
    VLOOKUP(
        $A9,
        _xlfn._xlws.FILTER(
            INDIRECT("'"&amp;I$1&amp;"'!A2:G1000"), (INDIRECT("'"&amp;I$1&amp;"'!B2:B1000")=$B9) * (INDIRECT("'"&amp;I$1&amp;"'!C2:C1000")=$C9)
        ),7,
        FALSE
    )
)</f>
        <v>Sim</v>
      </c>
      <c r="J9" s="79" t="str">
        <f t="array" aca="1" ref="J9" ca="1">IF(
    VLOOKUP(
        $A9,
        _xlfn._xlws.FILTER(
            INDIRECT("'"&amp;J$1&amp;"'!A2:G1000"), (INDIRECT("'"&amp;J$1&amp;"'!B2:B1000")=$B9) * (INDIRECT("'"&amp;J$1&amp;"'!C2:C1000")=$C9)
        ),
        5,
        FALSE
    )="",
    "",
    VLOOKUP(
        $A9,
        _xlfn._xlws.FILTER(
            INDIRECT("'"&amp;J$1&amp;"'!A2:G1000"), (INDIRECT("'"&amp;J$1&amp;"'!B2:B1000")=$B9) * (INDIRECT("'"&amp;J$1&amp;"'!C2:C1000")=$C9)
        ),7,
        FALSE
    )
)</f>
        <v>Sim</v>
      </c>
      <c r="K9" s="79" t="str">
        <f t="array" aca="1" ref="K9" ca="1">IF(
    VLOOKUP(
        $A9,
        _xlfn._xlws.FILTER(
            INDIRECT("'"&amp;K$1&amp;"'!A2:G1000"), (INDIRECT("'"&amp;K$1&amp;"'!B2:B1000")=$B9) * (INDIRECT("'"&amp;K$1&amp;"'!C2:C1000")=$C9)
        ),
        5,
        FALSE
    )="",
    "",
    VLOOKUP(
        $A9,
        _xlfn._xlws.FILTER(
            INDIRECT("'"&amp;K$1&amp;"'!A2:G1000"), (INDIRECT("'"&amp;K$1&amp;"'!B2:B1000")=$B9) * (INDIRECT("'"&amp;K$1&amp;"'!C2:C1000")=$C9)
        ),7,
        FALSE
    )
)</f>
        <v>Sim</v>
      </c>
      <c r="L9" s="79" t="str">
        <f t="array" aca="1" ref="L9" ca="1">IF(
    VLOOKUP(
        $A9,
        _xlfn._xlws.FILTER(
            INDIRECT("'"&amp;L$1&amp;"'!A2:G1000"), (INDIRECT("'"&amp;L$1&amp;"'!B2:B1000")=$B9) * (INDIRECT("'"&amp;L$1&amp;"'!C2:C1000")=$C9)
        ),
        5,
        FALSE
    )="",
    "",
    VLOOKUP(
        $A9,
        _xlfn._xlws.FILTER(
            INDIRECT("'"&amp;L$1&amp;"'!A2:G1000"), (INDIRECT("'"&amp;L$1&amp;"'!B2:B1000")=$B9) * (INDIRECT("'"&amp;L$1&amp;"'!C2:C1000")=$C9)
        ),7,
        FALSE
    )
)</f>
        <v>Sim</v>
      </c>
      <c r="M9" s="79" t="str">
        <f t="array" aca="1" ref="M9" ca="1">IF(
    VLOOKUP(
        $A9,
        _xlfn._xlws.FILTER(
            INDIRECT("'"&amp;M$1&amp;"'!A2:G1000"), (INDIRECT("'"&amp;M$1&amp;"'!B2:B1000")=$B9) * (INDIRECT("'"&amp;M$1&amp;"'!C2:C1000")=$C9)
        ),
        5,
        FALSE
    )="",
    "",
    VLOOKUP(
        $A9,
        _xlfn._xlws.FILTER(
            INDIRECT("'"&amp;M$1&amp;"'!A2:G1000"), (INDIRECT("'"&amp;M$1&amp;"'!B2:B1000")=$B9) * (INDIRECT("'"&amp;M$1&amp;"'!C2:C1000")=$C9)
        ),7,
        FALSE
    )
)</f>
        <v>Sim</v>
      </c>
      <c r="N9" s="79" t="str">
        <f t="array" aca="1" ref="N9" ca="1">IF(
    VLOOKUP(
        $A9,
        _xlfn._xlws.FILTER(
            INDIRECT("'"&amp;N$1&amp;"'!A2:G1000"), (INDIRECT("'"&amp;N$1&amp;"'!B2:B1000")=$B9) * (INDIRECT("'"&amp;N$1&amp;"'!C2:C1000")=$C9)
        ),
        5,
        FALSE
    )="",
    "",
    VLOOKUP(
        $A9,
        _xlfn._xlws.FILTER(
            INDIRECT("'"&amp;N$1&amp;"'!A2:G1000"), (INDIRECT("'"&amp;N$1&amp;"'!B2:B1000")=$B9) * (INDIRECT("'"&amp;N$1&amp;"'!C2:C1000")=$C9)
        ),7,
        FALSE
    )
)</f>
        <v>Sim</v>
      </c>
      <c r="O9" s="79" t="str">
        <f t="array" aca="1" ref="O9" ca="1">IF(
    VLOOKUP(
        $A9,
        _xlfn._xlws.FILTER(
            INDIRECT("'"&amp;O$1&amp;"'!A2:G1000"), (INDIRECT("'"&amp;O$1&amp;"'!B2:B1000")=$B9) * (INDIRECT("'"&amp;O$1&amp;"'!C2:C1000")=$C9)
        ),
        5,
        FALSE
    )="",
    "",
    VLOOKUP(
        $A9,
        _xlfn._xlws.FILTER(
            INDIRECT("'"&amp;O$1&amp;"'!A2:G1000"), (INDIRECT("'"&amp;O$1&amp;"'!B2:B1000")=$B9) * (INDIRECT("'"&amp;O$1&amp;"'!C2:C1000")=$C9)
        ),7,
        FALSE
    )
)</f>
        <v>Sim</v>
      </c>
      <c r="P9" s="79" t="str">
        <f t="array" aca="1" ref="P9" ca="1">IF(
    VLOOKUP(
        $A9,
        _xlfn._xlws.FILTER(
            INDIRECT("'"&amp;P$1&amp;"'!A2:G1000"), (INDIRECT("'"&amp;P$1&amp;"'!B2:B1000")=$B9) * (INDIRECT("'"&amp;P$1&amp;"'!C2:C1000")=$C9)
        ),
        5,
        FALSE
    )="",
    "",
    VLOOKUP(
        $A9,
        _xlfn._xlws.FILTER(
            INDIRECT("'"&amp;P$1&amp;"'!A2:G1000"), (INDIRECT("'"&amp;P$1&amp;"'!B2:B1000")=$B9) * (INDIRECT("'"&amp;P$1&amp;"'!C2:C1000")=$C9)
        ),7,
        FALSE
    )
)</f>
        <v>Sim</v>
      </c>
      <c r="Q9" s="79" t="str">
        <f t="array" aca="1" ref="Q9" ca="1">IF(
    VLOOKUP(
        $A9,
        _xlfn._xlws.FILTER(
            INDIRECT("'"&amp;Q$1&amp;"'!A2:G1000"), (INDIRECT("'"&amp;Q$1&amp;"'!B2:B1000")=$B9) * (INDIRECT("'"&amp;Q$1&amp;"'!C2:C1000")=$C9)
        ),
        5,
        FALSE
    )="",
    "",
    VLOOKUP(
        $A9,
        _xlfn._xlws.FILTER(
            INDIRECT("'"&amp;Q$1&amp;"'!A2:G1000"), (INDIRECT("'"&amp;Q$1&amp;"'!B2:B1000")=$B9) * (INDIRECT("'"&amp;Q$1&amp;"'!C2:C1000")=$C9)
        ),7,
        FALSE
    )
)</f>
        <v/>
      </c>
    </row>
    <row r="10" spans="1:17" x14ac:dyDescent="0.25">
      <c r="A10" s="75" t="s">
        <v>28</v>
      </c>
      <c r="B10" s="79" t="s">
        <v>95</v>
      </c>
      <c r="C10" s="79">
        <v>1</v>
      </c>
      <c r="D10" s="79" t="str">
        <f t="array" ref="D10" ca="1">IF(
    VLOOKUP(
        $A10,
        _xlfn._xlws.FILTER(
            INDIRECT("'"&amp;D$1&amp;"'!A2:G1000"), (INDIRECT("'"&amp;D$1&amp;"'!B2:B1000")=$B10) * (INDIRECT("'"&amp;D$1&amp;"'!C2:C1000")=$C10)
        ),
        5,
        FALSE
    )="",
    "",
    VLOOKUP(
        $A10,
        _xlfn._xlws.FILTER(
            INDIRECT("'"&amp;D$1&amp;"'!A2:G1000"), (INDIRECT("'"&amp;D$1&amp;"'!B2:B1000")=$B10) * (INDIRECT("'"&amp;D$1&amp;"'!C2:C1000")=$C10)
        ),7,
        FALSE
    )
)</f>
        <v>Sim</v>
      </c>
      <c r="E10" s="79" t="str">
        <f t="array" aca="1" ref="E10" ca="1">IF(
    VLOOKUP(
        $A10,
        _xlfn._xlws.FILTER(
            INDIRECT("'"&amp;E$1&amp;"'!A2:G1000"), (INDIRECT("'"&amp;E$1&amp;"'!B2:B1000")=$B10) * (INDIRECT("'"&amp;E$1&amp;"'!C2:C1000")=$C10)
        ),
        5,
        FALSE
    )="",
    "",
    VLOOKUP(
        $A10,
        _xlfn._xlws.FILTER(
            INDIRECT("'"&amp;E$1&amp;"'!A2:G1000"), (INDIRECT("'"&amp;E$1&amp;"'!B2:B1000")=$B10) * (INDIRECT("'"&amp;E$1&amp;"'!C2:C1000")=$C10)
        ),7,
        FALSE
    )
)</f>
        <v>Sim</v>
      </c>
      <c r="F10" s="79" t="str">
        <f t="array" aca="1" ref="F10" ca="1">IF(
    VLOOKUP(
        $A10,
        _xlfn._xlws.FILTER(
            INDIRECT("'"&amp;F$1&amp;"'!A2:G1000"), (INDIRECT("'"&amp;F$1&amp;"'!B2:B1000")=$B10) * (INDIRECT("'"&amp;F$1&amp;"'!C2:C1000")=$C10)
        ),
        5,
        FALSE
    )="",
    "",
    VLOOKUP(
        $A10,
        _xlfn._xlws.FILTER(
            INDIRECT("'"&amp;F$1&amp;"'!A2:G1000"), (INDIRECT("'"&amp;F$1&amp;"'!B2:B1000")=$B10) * (INDIRECT("'"&amp;F$1&amp;"'!C2:C1000")=$C10)
        ),7,
        FALSE
    )
)</f>
        <v>Sim</v>
      </c>
      <c r="G10" s="79" t="str">
        <f t="array" aca="1" ref="G10" ca="1">IF(
    VLOOKUP(
        $A10,
        _xlfn._xlws.FILTER(
            INDIRECT("'"&amp;G$1&amp;"'!A2:G1000"), (INDIRECT("'"&amp;G$1&amp;"'!B2:B1000")=$B10) * (INDIRECT("'"&amp;G$1&amp;"'!C2:C1000")=$C10)
        ),
        5,
        FALSE
    )="",
    "",
    VLOOKUP(
        $A10,
        _xlfn._xlws.FILTER(
            INDIRECT("'"&amp;G$1&amp;"'!A2:G1000"), (INDIRECT("'"&amp;G$1&amp;"'!B2:B1000")=$B10) * (INDIRECT("'"&amp;G$1&amp;"'!C2:C1000")=$C10)
        ),7,
        FALSE
    )
)</f>
        <v>Sim</v>
      </c>
      <c r="H10" s="79" t="str">
        <f t="array" aca="1" ref="H10" ca="1">IF(
    VLOOKUP(
        $A10,
        _xlfn._xlws.FILTER(
            INDIRECT("'"&amp;H$1&amp;"'!A2:G1000"), (INDIRECT("'"&amp;H$1&amp;"'!B2:B1000")=$B10) * (INDIRECT("'"&amp;H$1&amp;"'!C2:C1000")=$C10)
        ),
        5,
        FALSE
    )="",
    "",
    VLOOKUP(
        $A10,
        _xlfn._xlws.FILTER(
            INDIRECT("'"&amp;H$1&amp;"'!A2:G1000"), (INDIRECT("'"&amp;H$1&amp;"'!B2:B1000")=$B10) * (INDIRECT("'"&amp;H$1&amp;"'!C2:C1000")=$C10)
        ),7,
        FALSE
    )
)</f>
        <v>Sim</v>
      </c>
      <c r="I10" s="79" t="str">
        <f t="array" aca="1" ref="I10" ca="1">IF(
    VLOOKUP(
        $A10,
        _xlfn._xlws.FILTER(
            INDIRECT("'"&amp;I$1&amp;"'!A2:G1000"), (INDIRECT("'"&amp;I$1&amp;"'!B2:B1000")=$B10) * (INDIRECT("'"&amp;I$1&amp;"'!C2:C1000")=$C10)
        ),
        5,
        FALSE
    )="",
    "",
    VLOOKUP(
        $A10,
        _xlfn._xlws.FILTER(
            INDIRECT("'"&amp;I$1&amp;"'!A2:G1000"), (INDIRECT("'"&amp;I$1&amp;"'!B2:B1000")=$B10) * (INDIRECT("'"&amp;I$1&amp;"'!C2:C1000")=$C10)
        ),7,
        FALSE
    )
)</f>
        <v>Sim</v>
      </c>
      <c r="J10" s="79" t="str">
        <f t="array" aca="1" ref="J10" ca="1">IF(
    VLOOKUP(
        $A10,
        _xlfn._xlws.FILTER(
            INDIRECT("'"&amp;J$1&amp;"'!A2:G1000"), (INDIRECT("'"&amp;J$1&amp;"'!B2:B1000")=$B10) * (INDIRECT("'"&amp;J$1&amp;"'!C2:C1000")=$C10)
        ),
        5,
        FALSE
    )="",
    "",
    VLOOKUP(
        $A10,
        _xlfn._xlws.FILTER(
            INDIRECT("'"&amp;J$1&amp;"'!A2:G1000"), (INDIRECT("'"&amp;J$1&amp;"'!B2:B1000")=$B10) * (INDIRECT("'"&amp;J$1&amp;"'!C2:C1000")=$C10)
        ),7,
        FALSE
    )
)</f>
        <v>Sim</v>
      </c>
      <c r="K10" s="79" t="str">
        <f t="array" aca="1" ref="K10" ca="1">IF(
    VLOOKUP(
        $A10,
        _xlfn._xlws.FILTER(
            INDIRECT("'"&amp;K$1&amp;"'!A2:G1000"), (INDIRECT("'"&amp;K$1&amp;"'!B2:B1000")=$B10) * (INDIRECT("'"&amp;K$1&amp;"'!C2:C1000")=$C10)
        ),
        5,
        FALSE
    )="",
    "",
    VLOOKUP(
        $A10,
        _xlfn._xlws.FILTER(
            INDIRECT("'"&amp;K$1&amp;"'!A2:G1000"), (INDIRECT("'"&amp;K$1&amp;"'!B2:B1000")=$B10) * (INDIRECT("'"&amp;K$1&amp;"'!C2:C1000")=$C10)
        ),7,
        FALSE
    )
)</f>
        <v>Sim</v>
      </c>
      <c r="L10" s="79" t="str">
        <f t="array" aca="1" ref="L10" ca="1">IF(
    VLOOKUP(
        $A10,
        _xlfn._xlws.FILTER(
            INDIRECT("'"&amp;L$1&amp;"'!A2:G1000"), (INDIRECT("'"&amp;L$1&amp;"'!B2:B1000")=$B10) * (INDIRECT("'"&amp;L$1&amp;"'!C2:C1000")=$C10)
        ),
        5,
        FALSE
    )="",
    "",
    VLOOKUP(
        $A10,
        _xlfn._xlws.FILTER(
            INDIRECT("'"&amp;L$1&amp;"'!A2:G1000"), (INDIRECT("'"&amp;L$1&amp;"'!B2:B1000")=$B10) * (INDIRECT("'"&amp;L$1&amp;"'!C2:C1000")=$C10)
        ),7,
        FALSE
    )
)</f>
        <v>Sim</v>
      </c>
      <c r="M10" s="79" t="str">
        <f t="array" aca="1" ref="M10" ca="1">IF(
    VLOOKUP(
        $A10,
        _xlfn._xlws.FILTER(
            INDIRECT("'"&amp;M$1&amp;"'!A2:G1000"), (INDIRECT("'"&amp;M$1&amp;"'!B2:B1000")=$B10) * (INDIRECT("'"&amp;M$1&amp;"'!C2:C1000")=$C10)
        ),
        5,
        FALSE
    )="",
    "",
    VLOOKUP(
        $A10,
        _xlfn._xlws.FILTER(
            INDIRECT("'"&amp;M$1&amp;"'!A2:G1000"), (INDIRECT("'"&amp;M$1&amp;"'!B2:B1000")=$B10) * (INDIRECT("'"&amp;M$1&amp;"'!C2:C1000")=$C10)
        ),7,
        FALSE
    )
)</f>
        <v>Sim</v>
      </c>
      <c r="N10" s="79" t="str">
        <f t="array" aca="1" ref="N10" ca="1">IF(
    VLOOKUP(
        $A10,
        _xlfn._xlws.FILTER(
            INDIRECT("'"&amp;N$1&amp;"'!A2:G1000"), (INDIRECT("'"&amp;N$1&amp;"'!B2:B1000")=$B10) * (INDIRECT("'"&amp;N$1&amp;"'!C2:C1000")=$C10)
        ),
        5,
        FALSE
    )="",
    "",
    VLOOKUP(
        $A10,
        _xlfn._xlws.FILTER(
            INDIRECT("'"&amp;N$1&amp;"'!A2:G1000"), (INDIRECT("'"&amp;N$1&amp;"'!B2:B1000")=$B10) * (INDIRECT("'"&amp;N$1&amp;"'!C2:C1000")=$C10)
        ),7,
        FALSE
    )
)</f>
        <v>Sim</v>
      </c>
      <c r="O10" s="79" t="str">
        <f t="array" aca="1" ref="O10" ca="1">IF(
    VLOOKUP(
        $A10,
        _xlfn._xlws.FILTER(
            INDIRECT("'"&amp;O$1&amp;"'!A2:G1000"), (INDIRECT("'"&amp;O$1&amp;"'!B2:B1000")=$B10) * (INDIRECT("'"&amp;O$1&amp;"'!C2:C1000")=$C10)
        ),
        5,
        FALSE
    )="",
    "",
    VLOOKUP(
        $A10,
        _xlfn._xlws.FILTER(
            INDIRECT("'"&amp;O$1&amp;"'!A2:G1000"), (INDIRECT("'"&amp;O$1&amp;"'!B2:B1000")=$B10) * (INDIRECT("'"&amp;O$1&amp;"'!C2:C1000")=$C10)
        ),7,
        FALSE
    )
)</f>
        <v>Sim</v>
      </c>
      <c r="P10" s="79" t="str">
        <f t="array" aca="1" ref="P10" ca="1">IF(
    VLOOKUP(
        $A10,
        _xlfn._xlws.FILTER(
            INDIRECT("'"&amp;P$1&amp;"'!A2:G1000"), (INDIRECT("'"&amp;P$1&amp;"'!B2:B1000")=$B10) * (INDIRECT("'"&amp;P$1&amp;"'!C2:C1000")=$C10)
        ),
        5,
        FALSE
    )="",
    "",
    VLOOKUP(
        $A10,
        _xlfn._xlws.FILTER(
            INDIRECT("'"&amp;P$1&amp;"'!A2:G1000"), (INDIRECT("'"&amp;P$1&amp;"'!B2:B1000")=$B10) * (INDIRECT("'"&amp;P$1&amp;"'!C2:C1000")=$C10)
        ),7,
        FALSE
    )
)</f>
        <v>Sim</v>
      </c>
      <c r="Q10" s="79" t="str">
        <f t="array" aca="1" ref="Q10" ca="1">IF(
    VLOOKUP(
        $A10,
        _xlfn._xlws.FILTER(
            INDIRECT("'"&amp;Q$1&amp;"'!A2:G1000"), (INDIRECT("'"&amp;Q$1&amp;"'!B2:B1000")=$B10) * (INDIRECT("'"&amp;Q$1&amp;"'!C2:C1000")=$C10)
        ),
        5,
        FALSE
    )="",
    "",
    VLOOKUP(
        $A10,
        _xlfn._xlws.FILTER(
            INDIRECT("'"&amp;Q$1&amp;"'!A2:G1000"), (INDIRECT("'"&amp;Q$1&amp;"'!B2:B1000")=$B10) * (INDIRECT("'"&amp;Q$1&amp;"'!C2:C1000")=$C10)
        ),7,
        FALSE
    )
)</f>
        <v/>
      </c>
    </row>
    <row r="11" spans="1:17" x14ac:dyDescent="0.25">
      <c r="A11" s="75" t="s">
        <v>28</v>
      </c>
      <c r="B11" s="79" t="s">
        <v>96</v>
      </c>
      <c r="C11" s="79">
        <v>1</v>
      </c>
      <c r="D11" s="79" t="str">
        <f t="array" aca="1" ref="D11" ca="1">IF(
    VLOOKUP(
        $A11,
        _xlfn._xlws.FILTER(
            INDIRECT("'"&amp;D$1&amp;"'!A2:G1000"), (INDIRECT("'"&amp;D$1&amp;"'!B2:B1000")=$B11) * (INDIRECT("'"&amp;D$1&amp;"'!C2:C1000")=$C11)
        ),
        5,
        FALSE
    )="",
    "",
    VLOOKUP(
        $A11,
        _xlfn._xlws.FILTER(
            INDIRECT("'"&amp;D$1&amp;"'!A2:G1000"), (INDIRECT("'"&amp;D$1&amp;"'!B2:B1000")=$B11) * (INDIRECT("'"&amp;D$1&amp;"'!C2:C1000")=$C11)
        ),7,
        FALSE
    )
)</f>
        <v>Sim</v>
      </c>
      <c r="E11" s="79" t="str">
        <f t="array" aca="1" ref="E11" ca="1">IF(
    VLOOKUP(
        $A11,
        _xlfn._xlws.FILTER(
            INDIRECT("'"&amp;E$1&amp;"'!A2:G1000"), (INDIRECT("'"&amp;E$1&amp;"'!B2:B1000")=$B11) * (INDIRECT("'"&amp;E$1&amp;"'!C2:C1000")=$C11)
        ),
        5,
        FALSE
    )="",
    "",
    VLOOKUP(
        $A11,
        _xlfn._xlws.FILTER(
            INDIRECT("'"&amp;E$1&amp;"'!A2:G1000"), (INDIRECT("'"&amp;E$1&amp;"'!B2:B1000")=$B11) * (INDIRECT("'"&amp;E$1&amp;"'!C2:C1000")=$C11)
        ),7,
        FALSE
    )
)</f>
        <v>Sim</v>
      </c>
      <c r="F11" s="79" t="str">
        <f t="array" aca="1" ref="F11" ca="1">IF(
    VLOOKUP(
        $A11,
        _xlfn._xlws.FILTER(
            INDIRECT("'"&amp;F$1&amp;"'!A2:G1000"), (INDIRECT("'"&amp;F$1&amp;"'!B2:B1000")=$B11) * (INDIRECT("'"&amp;F$1&amp;"'!C2:C1000")=$C11)
        ),
        5,
        FALSE
    )="",
    "",
    VLOOKUP(
        $A11,
        _xlfn._xlws.FILTER(
            INDIRECT("'"&amp;F$1&amp;"'!A2:G1000"), (INDIRECT("'"&amp;F$1&amp;"'!B2:B1000")=$B11) * (INDIRECT("'"&amp;F$1&amp;"'!C2:C1000")=$C11)
        ),7,
        FALSE
    )
)</f>
        <v>Sim</v>
      </c>
      <c r="G11" s="79" t="str">
        <f t="array" aca="1" ref="G11" ca="1">IF(
    VLOOKUP(
        $A11,
        _xlfn._xlws.FILTER(
            INDIRECT("'"&amp;G$1&amp;"'!A2:G1000"), (INDIRECT("'"&amp;G$1&amp;"'!B2:B1000")=$B11) * (INDIRECT("'"&amp;G$1&amp;"'!C2:C1000")=$C11)
        ),
        5,
        FALSE
    )="",
    "",
    VLOOKUP(
        $A11,
        _xlfn._xlws.FILTER(
            INDIRECT("'"&amp;G$1&amp;"'!A2:G1000"), (INDIRECT("'"&amp;G$1&amp;"'!B2:B1000")=$B11) * (INDIRECT("'"&amp;G$1&amp;"'!C2:C1000")=$C11)
        ),7,
        FALSE
    )
)</f>
        <v>Sim</v>
      </c>
      <c r="H11" s="79" t="str">
        <f t="array" aca="1" ref="H11" ca="1">IF(
    VLOOKUP(
        $A11,
        _xlfn._xlws.FILTER(
            INDIRECT("'"&amp;H$1&amp;"'!A2:G1000"), (INDIRECT("'"&amp;H$1&amp;"'!B2:B1000")=$B11) * (INDIRECT("'"&amp;H$1&amp;"'!C2:C1000")=$C11)
        ),
        5,
        FALSE
    )="",
    "",
    VLOOKUP(
        $A11,
        _xlfn._xlws.FILTER(
            INDIRECT("'"&amp;H$1&amp;"'!A2:G1000"), (INDIRECT("'"&amp;H$1&amp;"'!B2:B1000")=$B11) * (INDIRECT("'"&amp;H$1&amp;"'!C2:C1000")=$C11)
        ),7,
        FALSE
    )
)</f>
        <v>Sim</v>
      </c>
      <c r="I11" s="79" t="str">
        <f t="array" aca="1" ref="I11" ca="1">IF(
    VLOOKUP(
        $A11,
        _xlfn._xlws.FILTER(
            INDIRECT("'"&amp;I$1&amp;"'!A2:G1000"), (INDIRECT("'"&amp;I$1&amp;"'!B2:B1000")=$B11) * (INDIRECT("'"&amp;I$1&amp;"'!C2:C1000")=$C11)
        ),
        5,
        FALSE
    )="",
    "",
    VLOOKUP(
        $A11,
        _xlfn._xlws.FILTER(
            INDIRECT("'"&amp;I$1&amp;"'!A2:G1000"), (INDIRECT("'"&amp;I$1&amp;"'!B2:B1000")=$B11) * (INDIRECT("'"&amp;I$1&amp;"'!C2:C1000")=$C11)
        ),7,
        FALSE
    )
)</f>
        <v>Sim</v>
      </c>
      <c r="J11" s="79" t="str">
        <f t="array" aca="1" ref="J11" ca="1">IF(
    VLOOKUP(
        $A11,
        _xlfn._xlws.FILTER(
            INDIRECT("'"&amp;J$1&amp;"'!A2:G1000"), (INDIRECT("'"&amp;J$1&amp;"'!B2:B1000")=$B11) * (INDIRECT("'"&amp;J$1&amp;"'!C2:C1000")=$C11)
        ),
        5,
        FALSE
    )="",
    "",
    VLOOKUP(
        $A11,
        _xlfn._xlws.FILTER(
            INDIRECT("'"&amp;J$1&amp;"'!A2:G1000"), (INDIRECT("'"&amp;J$1&amp;"'!B2:B1000")=$B11) * (INDIRECT("'"&amp;J$1&amp;"'!C2:C1000")=$C11)
        ),7,
        FALSE
    )
)</f>
        <v>Sim</v>
      </c>
      <c r="K11" s="79" t="str">
        <f t="array" aca="1" ref="K11" ca="1">IF(
    VLOOKUP(
        $A11,
        _xlfn._xlws.FILTER(
            INDIRECT("'"&amp;K$1&amp;"'!A2:G1000"), (INDIRECT("'"&amp;K$1&amp;"'!B2:B1000")=$B11) * (INDIRECT("'"&amp;K$1&amp;"'!C2:C1000")=$C11)
        ),
        5,
        FALSE
    )="",
    "",
    VLOOKUP(
        $A11,
        _xlfn._xlws.FILTER(
            INDIRECT("'"&amp;K$1&amp;"'!A2:G1000"), (INDIRECT("'"&amp;K$1&amp;"'!B2:B1000")=$B11) * (INDIRECT("'"&amp;K$1&amp;"'!C2:C1000")=$C11)
        ),7,
        FALSE
    )
)</f>
        <v>Sim</v>
      </c>
      <c r="L11" s="79" t="str">
        <f t="array" aca="1" ref="L11" ca="1">IF(
    VLOOKUP(
        $A11,
        _xlfn._xlws.FILTER(
            INDIRECT("'"&amp;L$1&amp;"'!A2:G1000"), (INDIRECT("'"&amp;L$1&amp;"'!B2:B1000")=$B11) * (INDIRECT("'"&amp;L$1&amp;"'!C2:C1000")=$C11)
        ),
        5,
        FALSE
    )="",
    "",
    VLOOKUP(
        $A11,
        _xlfn._xlws.FILTER(
            INDIRECT("'"&amp;L$1&amp;"'!A2:G1000"), (INDIRECT("'"&amp;L$1&amp;"'!B2:B1000")=$B11) * (INDIRECT("'"&amp;L$1&amp;"'!C2:C1000")=$C11)
        ),7,
        FALSE
    )
)</f>
        <v>Sim</v>
      </c>
      <c r="M11" s="79" t="str">
        <f t="array" aca="1" ref="M11" ca="1">IF(
    VLOOKUP(
        $A11,
        _xlfn._xlws.FILTER(
            INDIRECT("'"&amp;M$1&amp;"'!A2:G1000"), (INDIRECT("'"&amp;M$1&amp;"'!B2:B1000")=$B11) * (INDIRECT("'"&amp;M$1&amp;"'!C2:C1000")=$C11)
        ),
        5,
        FALSE
    )="",
    "",
    VLOOKUP(
        $A11,
        _xlfn._xlws.FILTER(
            INDIRECT("'"&amp;M$1&amp;"'!A2:G1000"), (INDIRECT("'"&amp;M$1&amp;"'!B2:B1000")=$B11) * (INDIRECT("'"&amp;M$1&amp;"'!C2:C1000")=$C11)
        ),7,
        FALSE
    )
)</f>
        <v>Sim</v>
      </c>
      <c r="N11" s="79" t="str">
        <f t="array" aca="1" ref="N11" ca="1">IF(
    VLOOKUP(
        $A11,
        _xlfn._xlws.FILTER(
            INDIRECT("'"&amp;N$1&amp;"'!A2:G1000"), (INDIRECT("'"&amp;N$1&amp;"'!B2:B1000")=$B11) * (INDIRECT("'"&amp;N$1&amp;"'!C2:C1000")=$C11)
        ),
        5,
        FALSE
    )="",
    "",
    VLOOKUP(
        $A11,
        _xlfn._xlws.FILTER(
            INDIRECT("'"&amp;N$1&amp;"'!A2:G1000"), (INDIRECT("'"&amp;N$1&amp;"'!B2:B1000")=$B11) * (INDIRECT("'"&amp;N$1&amp;"'!C2:C1000")=$C11)
        ),7,
        FALSE
    )
)</f>
        <v>Sim</v>
      </c>
      <c r="O11" s="79" t="str">
        <f t="array" aca="1" ref="O11" ca="1">IF(
    VLOOKUP(
        $A11,
        _xlfn._xlws.FILTER(
            INDIRECT("'"&amp;O$1&amp;"'!A2:G1000"), (INDIRECT("'"&amp;O$1&amp;"'!B2:B1000")=$B11) * (INDIRECT("'"&amp;O$1&amp;"'!C2:C1000")=$C11)
        ),
        5,
        FALSE
    )="",
    "",
    VLOOKUP(
        $A11,
        _xlfn._xlws.FILTER(
            INDIRECT("'"&amp;O$1&amp;"'!A2:G1000"), (INDIRECT("'"&amp;O$1&amp;"'!B2:B1000")=$B11) * (INDIRECT("'"&amp;O$1&amp;"'!C2:C1000")=$C11)
        ),7,
        FALSE
    )
)</f>
        <v>Sim</v>
      </c>
      <c r="P11" s="79" t="str">
        <f t="array" aca="1" ref="P11" ca="1">IF(
    VLOOKUP(
        $A11,
        _xlfn._xlws.FILTER(
            INDIRECT("'"&amp;P$1&amp;"'!A2:G1000"), (INDIRECT("'"&amp;P$1&amp;"'!B2:B1000")=$B11) * (INDIRECT("'"&amp;P$1&amp;"'!C2:C1000")=$C11)
        ),
        5,
        FALSE
    )="",
    "",
    VLOOKUP(
        $A11,
        _xlfn._xlws.FILTER(
            INDIRECT("'"&amp;P$1&amp;"'!A2:G1000"), (INDIRECT("'"&amp;P$1&amp;"'!B2:B1000")=$B11) * (INDIRECT("'"&amp;P$1&amp;"'!C2:C1000")=$C11)
        ),7,
        FALSE
    )
)</f>
        <v>Sim</v>
      </c>
      <c r="Q11" s="79" t="str">
        <f t="array" aca="1" ref="Q11" ca="1">IF(
    VLOOKUP(
        $A11,
        _xlfn._xlws.FILTER(
            INDIRECT("'"&amp;Q$1&amp;"'!A2:G1000"), (INDIRECT("'"&amp;Q$1&amp;"'!B2:B1000")=$B11) * (INDIRECT("'"&amp;Q$1&amp;"'!C2:C1000")=$C11)
        ),
        5,
        FALSE
    )="",
    "",
    VLOOKUP(
        $A11,
        _xlfn._xlws.FILTER(
            INDIRECT("'"&amp;Q$1&amp;"'!A2:G1000"), (INDIRECT("'"&amp;Q$1&amp;"'!B2:B1000")=$B11) * (INDIRECT("'"&amp;Q$1&amp;"'!C2:C1000")=$C11)
        ),7,
        FALSE
    )
)</f>
        <v/>
      </c>
    </row>
    <row r="12" spans="1:17" x14ac:dyDescent="0.25">
      <c r="A12" s="75" t="s">
        <v>28</v>
      </c>
      <c r="B12" s="79" t="s">
        <v>85</v>
      </c>
      <c r="C12" s="79">
        <v>1</v>
      </c>
      <c r="D12" s="79" t="str">
        <f t="array" aca="1" ref="D12" ca="1">IF(
    VLOOKUP(
        $A12,
        _xlfn._xlws.FILTER(
            INDIRECT("'"&amp;D$1&amp;"'!A2:G1000"), (INDIRECT("'"&amp;D$1&amp;"'!B2:B1000")=$B12) * (INDIRECT("'"&amp;D$1&amp;"'!C2:C1000")=$C12)
        ),
        5,
        FALSE
    )="",
    "",
    VLOOKUP(
        $A12,
        _xlfn._xlws.FILTER(
            INDIRECT("'"&amp;D$1&amp;"'!A2:G1000"), (INDIRECT("'"&amp;D$1&amp;"'!B2:B1000")=$B12) * (INDIRECT("'"&amp;D$1&amp;"'!C2:C1000")=$C12)
        ),7,
        FALSE
    )
)</f>
        <v>Sim</v>
      </c>
      <c r="E12" s="79" t="str">
        <f t="array" ref="E12" ca="1">IF(
    VLOOKUP(
        $A12,
        _xlfn._xlws.FILTER(
            INDIRECT("'"&amp;E$1&amp;"'!A2:G1000"), (INDIRECT("'"&amp;E$1&amp;"'!B2:B1000")=$B12) * (INDIRECT("'"&amp;E$1&amp;"'!C2:C1000")=$C12)
        ),
        5,
        FALSE
    )="",
    "",
    VLOOKUP(
        $A12,
        _xlfn._xlws.FILTER(
            INDIRECT("'"&amp;E$1&amp;"'!A2:G1000"), (INDIRECT("'"&amp;E$1&amp;"'!B2:B1000")=$B12) * (INDIRECT("'"&amp;E$1&amp;"'!C2:C1000")=$C12)
        ),7,
        FALSE
    )
)</f>
        <v>Sim</v>
      </c>
      <c r="F12" s="79" t="str">
        <f t="array" aca="1" ref="F12" ca="1">IF(
    VLOOKUP(
        $A12,
        _xlfn._xlws.FILTER(
            INDIRECT("'"&amp;F$1&amp;"'!A2:G1000"), (INDIRECT("'"&amp;F$1&amp;"'!B2:B1000")=$B12) * (INDIRECT("'"&amp;F$1&amp;"'!C2:C1000")=$C12)
        ),
        5,
        FALSE
    )="",
    "",
    VLOOKUP(
        $A12,
        _xlfn._xlws.FILTER(
            INDIRECT("'"&amp;F$1&amp;"'!A2:G1000"), (INDIRECT("'"&amp;F$1&amp;"'!B2:B1000")=$B12) * (INDIRECT("'"&amp;F$1&amp;"'!C2:C1000")=$C12)
        ),7,
        FALSE
    )
)</f>
        <v>Sim</v>
      </c>
      <c r="G12" s="79" t="str">
        <f t="array" aca="1" ref="G12" ca="1">IF(
    VLOOKUP(
        $A12,
        _xlfn._xlws.FILTER(
            INDIRECT("'"&amp;G$1&amp;"'!A2:G1000"), (INDIRECT("'"&amp;G$1&amp;"'!B2:B1000")=$B12) * (INDIRECT("'"&amp;G$1&amp;"'!C2:C1000")=$C12)
        ),
        5,
        FALSE
    )="",
    "",
    VLOOKUP(
        $A12,
        _xlfn._xlws.FILTER(
            INDIRECT("'"&amp;G$1&amp;"'!A2:G1000"), (INDIRECT("'"&amp;G$1&amp;"'!B2:B1000")=$B12) * (INDIRECT("'"&amp;G$1&amp;"'!C2:C1000")=$C12)
        ),7,
        FALSE
    )
)</f>
        <v>Sim</v>
      </c>
      <c r="H12" s="79" t="str">
        <f t="array" aca="1" ref="H12" ca="1">IF(
    VLOOKUP(
        $A12,
        _xlfn._xlws.FILTER(
            INDIRECT("'"&amp;H$1&amp;"'!A2:G1000"), (INDIRECT("'"&amp;H$1&amp;"'!B2:B1000")=$B12) * (INDIRECT("'"&amp;H$1&amp;"'!C2:C1000")=$C12)
        ),
        5,
        FALSE
    )="",
    "",
    VLOOKUP(
        $A12,
        _xlfn._xlws.FILTER(
            INDIRECT("'"&amp;H$1&amp;"'!A2:G1000"), (INDIRECT("'"&amp;H$1&amp;"'!B2:B1000")=$B12) * (INDIRECT("'"&amp;H$1&amp;"'!C2:C1000")=$C12)
        ),7,
        FALSE
    )
)</f>
        <v>Sim</v>
      </c>
      <c r="I12" s="79" t="str">
        <f t="array" aca="1" ref="I12" ca="1">IF(
    VLOOKUP(
        $A12,
        _xlfn._xlws.FILTER(
            INDIRECT("'"&amp;I$1&amp;"'!A2:G1000"), (INDIRECT("'"&amp;I$1&amp;"'!B2:B1000")=$B12) * (INDIRECT("'"&amp;I$1&amp;"'!C2:C1000")=$C12)
        ),
        5,
        FALSE
    )="",
    "",
    VLOOKUP(
        $A12,
        _xlfn._xlws.FILTER(
            INDIRECT("'"&amp;I$1&amp;"'!A2:G1000"), (INDIRECT("'"&amp;I$1&amp;"'!B2:B1000")=$B12) * (INDIRECT("'"&amp;I$1&amp;"'!C2:C1000")=$C12)
        ),7,
        FALSE
    )
)</f>
        <v>Sim</v>
      </c>
      <c r="J12" s="79" t="str">
        <f t="array" aca="1" ref="J12" ca="1">IF(
    VLOOKUP(
        $A12,
        _xlfn._xlws.FILTER(
            INDIRECT("'"&amp;J$1&amp;"'!A2:G1000"), (INDIRECT("'"&amp;J$1&amp;"'!B2:B1000")=$B12) * (INDIRECT("'"&amp;J$1&amp;"'!C2:C1000")=$C12)
        ),
        5,
        FALSE
    )="",
    "",
    VLOOKUP(
        $A12,
        _xlfn._xlws.FILTER(
            INDIRECT("'"&amp;J$1&amp;"'!A2:G1000"), (INDIRECT("'"&amp;J$1&amp;"'!B2:B1000")=$B12) * (INDIRECT("'"&amp;J$1&amp;"'!C2:C1000")=$C12)
        ),7,
        FALSE
    )
)</f>
        <v>Sim</v>
      </c>
      <c r="K12" s="79" t="str">
        <f t="array" aca="1" ref="K12" ca="1">IF(
    VLOOKUP(
        $A12,
        _xlfn._xlws.FILTER(
            INDIRECT("'"&amp;K$1&amp;"'!A2:G1000"), (INDIRECT("'"&amp;K$1&amp;"'!B2:B1000")=$B12) * (INDIRECT("'"&amp;K$1&amp;"'!C2:C1000")=$C12)
        ),
        5,
        FALSE
    )="",
    "",
    VLOOKUP(
        $A12,
        _xlfn._xlws.FILTER(
            INDIRECT("'"&amp;K$1&amp;"'!A2:G1000"), (INDIRECT("'"&amp;K$1&amp;"'!B2:B1000")=$B12) * (INDIRECT("'"&amp;K$1&amp;"'!C2:C1000")=$C12)
        ),7,
        FALSE
    )
)</f>
        <v>Sim</v>
      </c>
      <c r="L12" s="79" t="str">
        <f t="array" ref="L12" ca="1">IF(
    VLOOKUP(
        $A12,
        _xlfn._xlws.FILTER(
            INDIRECT("'"&amp;L$1&amp;"'!A2:G1000"), (INDIRECT("'"&amp;L$1&amp;"'!B2:B1000")=$B12) * (INDIRECT("'"&amp;L$1&amp;"'!C2:C1000")=$C12)
        ),
        5,
        FALSE
    )="",
    "",
    VLOOKUP(
        $A12,
        _xlfn._xlws.FILTER(
            INDIRECT("'"&amp;L$1&amp;"'!A2:G1000"), (INDIRECT("'"&amp;L$1&amp;"'!B2:B1000")=$B12) * (INDIRECT("'"&amp;L$1&amp;"'!C2:C1000")=$C12)
        ),7,
        FALSE
    )
)</f>
        <v>Sim</v>
      </c>
      <c r="M12" s="79" t="str">
        <f t="array" aca="1" ref="M12" ca="1">IF(
    VLOOKUP(
        $A12,
        _xlfn._xlws.FILTER(
            INDIRECT("'"&amp;M$1&amp;"'!A2:G1000"), (INDIRECT("'"&amp;M$1&amp;"'!B2:B1000")=$B12) * (INDIRECT("'"&amp;M$1&amp;"'!C2:C1000")=$C12)
        ),
        5,
        FALSE
    )="",
    "",
    VLOOKUP(
        $A12,
        _xlfn._xlws.FILTER(
            INDIRECT("'"&amp;M$1&amp;"'!A2:G1000"), (INDIRECT("'"&amp;M$1&amp;"'!B2:B1000")=$B12) * (INDIRECT("'"&amp;M$1&amp;"'!C2:C1000")=$C12)
        ),7,
        FALSE
    )
)</f>
        <v>Sim</v>
      </c>
      <c r="N12" s="79" t="str">
        <f t="array" aca="1" ref="N12" ca="1">IF(
    VLOOKUP(
        $A12,
        _xlfn._xlws.FILTER(
            INDIRECT("'"&amp;N$1&amp;"'!A2:G1000"), (INDIRECT("'"&amp;N$1&amp;"'!B2:B1000")=$B12) * (INDIRECT("'"&amp;N$1&amp;"'!C2:C1000")=$C12)
        ),
        5,
        FALSE
    )="",
    "",
    VLOOKUP(
        $A12,
        _xlfn._xlws.FILTER(
            INDIRECT("'"&amp;N$1&amp;"'!A2:G1000"), (INDIRECT("'"&amp;N$1&amp;"'!B2:B1000")=$B12) * (INDIRECT("'"&amp;N$1&amp;"'!C2:C1000")=$C12)
        ),7,
        FALSE
    )
)</f>
        <v>Sim</v>
      </c>
      <c r="O12" s="79" t="str">
        <f t="array" aca="1" ref="O12" ca="1">IF(
    VLOOKUP(
        $A12,
        _xlfn._xlws.FILTER(
            INDIRECT("'"&amp;O$1&amp;"'!A2:G1000"), (INDIRECT("'"&amp;O$1&amp;"'!B2:B1000")=$B12) * (INDIRECT("'"&amp;O$1&amp;"'!C2:C1000")=$C12)
        ),
        5,
        FALSE
    )="",
    "",
    VLOOKUP(
        $A12,
        _xlfn._xlws.FILTER(
            INDIRECT("'"&amp;O$1&amp;"'!A2:G1000"), (INDIRECT("'"&amp;O$1&amp;"'!B2:B1000")=$B12) * (INDIRECT("'"&amp;O$1&amp;"'!C2:C1000")=$C12)
        ),7,
        FALSE
    )
)</f>
        <v>Sim</v>
      </c>
      <c r="P12" s="79" t="str">
        <f t="array" aca="1" ref="P12" ca="1">IF(
    VLOOKUP(
        $A12,
        _xlfn._xlws.FILTER(
            INDIRECT("'"&amp;P$1&amp;"'!A2:G1000"), (INDIRECT("'"&amp;P$1&amp;"'!B2:B1000")=$B12) * (INDIRECT("'"&amp;P$1&amp;"'!C2:C1000")=$C12)
        ),
        5,
        FALSE
    )="",
    "",
    VLOOKUP(
        $A12,
        _xlfn._xlws.FILTER(
            INDIRECT("'"&amp;P$1&amp;"'!A2:G1000"), (INDIRECT("'"&amp;P$1&amp;"'!B2:B1000")=$B12) * (INDIRECT("'"&amp;P$1&amp;"'!C2:C1000")=$C12)
        ),7,
        FALSE
    )
)</f>
        <v>Não</v>
      </c>
      <c r="Q12" s="79" t="str">
        <f t="array" aca="1" ref="Q12" ca="1">IF(
    VLOOKUP(
        $A12,
        _xlfn._xlws.FILTER(
            INDIRECT("'"&amp;Q$1&amp;"'!A2:G1000"), (INDIRECT("'"&amp;Q$1&amp;"'!B2:B1000")=$B12) * (INDIRECT("'"&amp;Q$1&amp;"'!C2:C1000")=$C12)
        ),
        5,
        FALSE
    )="",
    "",
    VLOOKUP(
        $A12,
        _xlfn._xlws.FILTER(
            INDIRECT("'"&amp;Q$1&amp;"'!A2:G1000"), (INDIRECT("'"&amp;Q$1&amp;"'!B2:B1000")=$B12) * (INDIRECT("'"&amp;Q$1&amp;"'!C2:C1000")=$C12)
        ),7,
        FALSE
    )
)</f>
        <v/>
      </c>
    </row>
    <row r="13" spans="1:17" x14ac:dyDescent="0.25">
      <c r="A13" s="35"/>
      <c r="B13" s="35"/>
      <c r="C13" s="35"/>
    </row>
    <row r="14" spans="1:17" ht="15.75" customHeight="1" x14ac:dyDescent="0.25">
      <c r="A14" s="40" t="s">
        <v>27</v>
      </c>
      <c r="B14" s="37" t="s">
        <v>86</v>
      </c>
      <c r="C14" s="37" t="s">
        <v>71</v>
      </c>
      <c r="D14" s="42" t="s">
        <v>1</v>
      </c>
      <c r="E14" s="42" t="s">
        <v>2</v>
      </c>
      <c r="F14" s="42" t="s">
        <v>3</v>
      </c>
      <c r="G14" s="42" t="s">
        <v>4</v>
      </c>
      <c r="H14" s="42" t="s">
        <v>5</v>
      </c>
      <c r="I14" s="42" t="s">
        <v>6</v>
      </c>
      <c r="J14" s="42" t="s">
        <v>7</v>
      </c>
      <c r="K14" s="42" t="s">
        <v>8</v>
      </c>
      <c r="L14" s="42" t="s">
        <v>9</v>
      </c>
      <c r="M14" s="42" t="s">
        <v>10</v>
      </c>
      <c r="N14" s="42" t="s">
        <v>11</v>
      </c>
      <c r="O14" s="42" t="s">
        <v>12</v>
      </c>
      <c r="P14" s="42" t="s">
        <v>13</v>
      </c>
      <c r="Q14" s="42" t="s">
        <v>14</v>
      </c>
    </row>
    <row r="15" spans="1:17" x14ac:dyDescent="0.25">
      <c r="A15" s="102" t="s">
        <v>36</v>
      </c>
      <c r="B15" s="79" t="s">
        <v>97</v>
      </c>
      <c r="C15" s="79">
        <v>1</v>
      </c>
      <c r="D15" s="79" t="str">
        <f t="array" aca="1" ref="D15" ca="1">IF(
    VLOOKUP(
        $A15,
        _xlfn._xlws.FILTER(
            INDIRECT("'"&amp;D$1&amp;"'!A2:G1000"), (INDIRECT("'"&amp;D$1&amp;"'!B2:B1000")=$B15) * (INDIRECT("'"&amp;D$1&amp;"'!C2:C1000")=$C15)
        ),
        5,
        FALSE
    )="",
    "",
    VLOOKUP(
        $A15,
        _xlfn._xlws.FILTER(
            INDIRECT("'"&amp;D$1&amp;"'!A2:G1000"), (INDIRECT("'"&amp;D$1&amp;"'!B2:B1000")=$B15) * (INDIRECT("'"&amp;D$1&amp;"'!C2:C1000")=$C15)
        ),7,
        FALSE
    )
)</f>
        <v>Sim</v>
      </c>
      <c r="E15" s="79" t="str">
        <f t="array" aca="1" ref="E15" ca="1">IF(
    VLOOKUP(
        $A15,
        _xlfn._xlws.FILTER(
            INDIRECT("'"&amp;E$1&amp;"'!A2:G1000"), (INDIRECT("'"&amp;E$1&amp;"'!B2:B1000")=$B15) * (INDIRECT("'"&amp;E$1&amp;"'!C2:C1000")=$C15)
        ),
        5,
        FALSE
    )="",
    "",
    VLOOKUP(
        $A15,
        _xlfn._xlws.FILTER(
            INDIRECT("'"&amp;E$1&amp;"'!A2:G1000"), (INDIRECT("'"&amp;E$1&amp;"'!B2:B1000")=$B15) * (INDIRECT("'"&amp;E$1&amp;"'!C2:C1000")=$C15)
        ),7,
        FALSE
    )
)</f>
        <v>Sim</v>
      </c>
      <c r="F15" s="79" t="str">
        <f t="array" aca="1" ref="F15" ca="1">IF(
    VLOOKUP(
        $A15,
        _xlfn._xlws.FILTER(
            INDIRECT("'"&amp;F$1&amp;"'!A2:G1000"), (INDIRECT("'"&amp;F$1&amp;"'!B2:B1000")=$B15) * (INDIRECT("'"&amp;F$1&amp;"'!C2:C1000")=$C15)
        ),
        5,
        FALSE
    )="",
    "",
    VLOOKUP(
        $A15,
        _xlfn._xlws.FILTER(
            INDIRECT("'"&amp;F$1&amp;"'!A2:G1000"), (INDIRECT("'"&amp;F$1&amp;"'!B2:B1000")=$B15) * (INDIRECT("'"&amp;F$1&amp;"'!C2:C1000")=$C15)
        ),7,
        FALSE
    )
)</f>
        <v>Sim</v>
      </c>
      <c r="G15" s="79" t="str">
        <f t="array" aca="1" ref="G15" ca="1">IF(
    VLOOKUP(
        $A15,
        _xlfn._xlws.FILTER(
            INDIRECT("'"&amp;G$1&amp;"'!A2:G1000"), (INDIRECT("'"&amp;G$1&amp;"'!B2:B1000")=$B15) * (INDIRECT("'"&amp;G$1&amp;"'!C2:C1000")=$C15)
        ),
        5,
        FALSE
    )="",
    "",
    VLOOKUP(
        $A15,
        _xlfn._xlws.FILTER(
            INDIRECT("'"&amp;G$1&amp;"'!A2:G1000"), (INDIRECT("'"&amp;G$1&amp;"'!B2:B1000")=$B15) * (INDIRECT("'"&amp;G$1&amp;"'!C2:C1000")=$C15)
        ),7,
        FALSE
    )
)</f>
        <v>Sim</v>
      </c>
      <c r="H15" s="79" t="str">
        <f t="array" aca="1" ref="H15" ca="1">IF(
    VLOOKUP(
        $A15,
        _xlfn._xlws.FILTER(
            INDIRECT("'"&amp;H$1&amp;"'!A2:G1000"), (INDIRECT("'"&amp;H$1&amp;"'!B2:B1000")=$B15) * (INDIRECT("'"&amp;H$1&amp;"'!C2:C1000")=$C15)
        ),
        5,
        FALSE
    )="",
    "",
    VLOOKUP(
        $A15,
        _xlfn._xlws.FILTER(
            INDIRECT("'"&amp;H$1&amp;"'!A2:G1000"), (INDIRECT("'"&amp;H$1&amp;"'!B2:B1000")=$B15) * (INDIRECT("'"&amp;H$1&amp;"'!C2:C1000")=$C15)
        ),7,
        FALSE
    )
)</f>
        <v>Sim</v>
      </c>
      <c r="I15" s="79" t="str">
        <f t="array" aca="1" ref="I15" ca="1">IF(
    VLOOKUP(
        $A15,
        _xlfn._xlws.FILTER(
            INDIRECT("'"&amp;I$1&amp;"'!A2:G1000"), (INDIRECT("'"&amp;I$1&amp;"'!B2:B1000")=$B15) * (INDIRECT("'"&amp;I$1&amp;"'!C2:C1000")=$C15)
        ),
        5,
        FALSE
    )="",
    "",
    VLOOKUP(
        $A15,
        _xlfn._xlws.FILTER(
            INDIRECT("'"&amp;I$1&amp;"'!A2:G1000"), (INDIRECT("'"&amp;I$1&amp;"'!B2:B1000")=$B15) * (INDIRECT("'"&amp;I$1&amp;"'!C2:C1000")=$C15)
        ),7,
        FALSE
    )
)</f>
        <v>Sim</v>
      </c>
      <c r="J15" s="79" t="str">
        <f t="array" aca="1" ref="J15" ca="1">IF(
    VLOOKUP(
        $A15,
        _xlfn._xlws.FILTER(
            INDIRECT("'"&amp;J$1&amp;"'!A2:G1000"), (INDIRECT("'"&amp;J$1&amp;"'!B2:B1000")=$B15) * (INDIRECT("'"&amp;J$1&amp;"'!C2:C1000")=$C15)
        ),
        5,
        FALSE
    )="",
    "",
    VLOOKUP(
        $A15,
        _xlfn._xlws.FILTER(
            INDIRECT("'"&amp;J$1&amp;"'!A2:G1000"), (INDIRECT("'"&amp;J$1&amp;"'!B2:B1000")=$B15) * (INDIRECT("'"&amp;J$1&amp;"'!C2:C1000")=$C15)
        ),7,
        FALSE
    )
)</f>
        <v>Sim</v>
      </c>
      <c r="K15" s="79" t="str">
        <f t="array" aca="1" ref="K15" ca="1">IF(
    VLOOKUP(
        $A15,
        _xlfn._xlws.FILTER(
            INDIRECT("'"&amp;K$1&amp;"'!A2:G1000"), (INDIRECT("'"&amp;K$1&amp;"'!B2:B1000")=$B15) * (INDIRECT("'"&amp;K$1&amp;"'!C2:C1000")=$C15)
        ),
        5,
        FALSE
    )="",
    "",
    VLOOKUP(
        $A15,
        _xlfn._xlws.FILTER(
            INDIRECT("'"&amp;K$1&amp;"'!A2:G1000"), (INDIRECT("'"&amp;K$1&amp;"'!B2:B1000")=$B15) * (INDIRECT("'"&amp;K$1&amp;"'!C2:C1000")=$C15)
        ),7,
        FALSE
    )
)</f>
        <v>Sim</v>
      </c>
      <c r="L15" s="79" t="str">
        <f t="array" aca="1" ref="L15" ca="1">IF(
    VLOOKUP(
        $A15,
        _xlfn._xlws.FILTER(
            INDIRECT("'"&amp;L$1&amp;"'!A2:G1000"), (INDIRECT("'"&amp;L$1&amp;"'!B2:B1000")=$B15) * (INDIRECT("'"&amp;L$1&amp;"'!C2:C1000")=$C15)
        ),
        5,
        FALSE
    )="",
    "",
    VLOOKUP(
        $A15,
        _xlfn._xlws.FILTER(
            INDIRECT("'"&amp;L$1&amp;"'!A2:G1000"), (INDIRECT("'"&amp;L$1&amp;"'!B2:B1000")=$B15) * (INDIRECT("'"&amp;L$1&amp;"'!C2:C1000")=$C15)
        ),7,
        FALSE
    )
)</f>
        <v>Sim</v>
      </c>
      <c r="M15" s="79" t="str">
        <f t="array" aca="1" ref="M15" ca="1">IF(
    VLOOKUP(
        $A15,
        _xlfn._xlws.FILTER(
            INDIRECT("'"&amp;M$1&amp;"'!A2:G1000"), (INDIRECT("'"&amp;M$1&amp;"'!B2:B1000")=$B15) * (INDIRECT("'"&amp;M$1&amp;"'!C2:C1000")=$C15)
        ),
        5,
        FALSE
    )="",
    "",
    VLOOKUP(
        $A15,
        _xlfn._xlws.FILTER(
            INDIRECT("'"&amp;M$1&amp;"'!A2:G1000"), (INDIRECT("'"&amp;M$1&amp;"'!B2:B1000")=$B15) * (INDIRECT("'"&amp;M$1&amp;"'!C2:C1000")=$C15)
        ),7,
        FALSE
    )
)</f>
        <v>Sim</v>
      </c>
      <c r="N15" s="79" t="str">
        <f t="array" aca="1" ref="N15" ca="1">IF(
    VLOOKUP(
        $A15,
        _xlfn._xlws.FILTER(
            INDIRECT("'"&amp;N$1&amp;"'!A2:G1000"), (INDIRECT("'"&amp;N$1&amp;"'!B2:B1000")=$B15) * (INDIRECT("'"&amp;N$1&amp;"'!C2:C1000")=$C15)
        ),
        5,
        FALSE
    )="",
    "",
    VLOOKUP(
        $A15,
        _xlfn._xlws.FILTER(
            INDIRECT("'"&amp;N$1&amp;"'!A2:G1000"), (INDIRECT("'"&amp;N$1&amp;"'!B2:B1000")=$B15) * (INDIRECT("'"&amp;N$1&amp;"'!C2:C1000")=$C15)
        ),7,
        FALSE
    )
)</f>
        <v>Sim</v>
      </c>
      <c r="O15" s="79" t="str">
        <f t="array" aca="1" ref="O15" ca="1">IF(
    VLOOKUP(
        $A15,
        _xlfn._xlws.FILTER(
            INDIRECT("'"&amp;O$1&amp;"'!A2:G1000"), (INDIRECT("'"&amp;O$1&amp;"'!B2:B1000")=$B15) * (INDIRECT("'"&amp;O$1&amp;"'!C2:C1000")=$C15)
        ),
        5,
        FALSE
    )="",
    "",
    VLOOKUP(
        $A15,
        _xlfn._xlws.FILTER(
            INDIRECT("'"&amp;O$1&amp;"'!A2:G1000"), (INDIRECT("'"&amp;O$1&amp;"'!B2:B1000")=$B15) * (INDIRECT("'"&amp;O$1&amp;"'!C2:C1000")=$C15)
        ),7,
        FALSE
    )
)</f>
        <v>Sim</v>
      </c>
      <c r="P15" s="79" t="str">
        <f t="array" aca="1" ref="P15" ca="1">IF(
    VLOOKUP(
        $A15,
        _xlfn._xlws.FILTER(
            INDIRECT("'"&amp;P$1&amp;"'!A2:G1000"), (INDIRECT("'"&amp;P$1&amp;"'!B2:B1000")=$B15) * (INDIRECT("'"&amp;P$1&amp;"'!C2:C1000")=$C15)
        ),
        5,
        FALSE
    )="",
    "",
    VLOOKUP(
        $A15,
        _xlfn._xlws.FILTER(
            INDIRECT("'"&amp;P$1&amp;"'!A2:G1000"), (INDIRECT("'"&amp;P$1&amp;"'!B2:B1000")=$B15) * (INDIRECT("'"&amp;P$1&amp;"'!C2:C1000")=$C15)
        ),7,
        FALSE
    )
)</f>
        <v>Não</v>
      </c>
      <c r="Q15" s="79" t="str">
        <f t="array" aca="1" ref="Q15" ca="1">IF(
    VLOOKUP(
        $A15,
        _xlfn._xlws.FILTER(
            INDIRECT("'"&amp;Q$1&amp;"'!A2:G1000"), (INDIRECT("'"&amp;Q$1&amp;"'!B2:B1000")=$B15) * (INDIRECT("'"&amp;Q$1&amp;"'!C2:C1000")=$C15)
        ),
        5,
        FALSE
    )="",
    "",
    VLOOKUP(
        $A15,
        _xlfn._xlws.FILTER(
            INDIRECT("'"&amp;Q$1&amp;"'!A2:G1000"), (INDIRECT("'"&amp;Q$1&amp;"'!B2:B1000")=$B15) * (INDIRECT("'"&amp;Q$1&amp;"'!C2:C1000")=$C15)
        ),7,
        FALSE
    )
)</f>
        <v/>
      </c>
    </row>
    <row r="16" spans="1:17" x14ac:dyDescent="0.25">
      <c r="A16" s="102" t="s">
        <v>36</v>
      </c>
      <c r="B16" s="79" t="s">
        <v>98</v>
      </c>
      <c r="C16" s="79">
        <v>1</v>
      </c>
      <c r="D16" s="79" t="str">
        <f t="array" ref="D16" ca="1">IF(
    VLOOKUP(
        $A16,
        _xlfn._xlws.FILTER(
            INDIRECT("'"&amp;D$1&amp;"'!A2:G1000"), (INDIRECT("'"&amp;D$1&amp;"'!B2:B1000")=$B16) * (INDIRECT("'"&amp;D$1&amp;"'!C2:C1000")=$C16)
        ),
        5,
        FALSE
    )="",
    "",
    VLOOKUP(
        $A16,
        _xlfn._xlws.FILTER(
            INDIRECT("'"&amp;D$1&amp;"'!A2:G1000"), (INDIRECT("'"&amp;D$1&amp;"'!B2:B1000")=$B16) * (INDIRECT("'"&amp;D$1&amp;"'!C2:C1000")=$C16)
        ),7,
        FALSE
    )
)</f>
        <v>Não</v>
      </c>
      <c r="E16" s="79" t="str">
        <f t="array" aca="1" ref="E16" ca="1">IF(
    VLOOKUP(
        $A16,
        _xlfn._xlws.FILTER(
            INDIRECT("'"&amp;E$1&amp;"'!A2:G1000"), (INDIRECT("'"&amp;E$1&amp;"'!B2:B1000")=$B16) * (INDIRECT("'"&amp;E$1&amp;"'!C2:C1000")=$C16)
        ),
        5,
        FALSE
    )="",
    "",
    VLOOKUP(
        $A16,
        _xlfn._xlws.FILTER(
            INDIRECT("'"&amp;E$1&amp;"'!A2:G1000"), (INDIRECT("'"&amp;E$1&amp;"'!B2:B1000")=$B16) * (INDIRECT("'"&amp;E$1&amp;"'!C2:C1000")=$C16)
        ),7,
        FALSE
    )
)</f>
        <v>Não</v>
      </c>
      <c r="F16" s="79" t="str">
        <f t="array" aca="1" ref="F16" ca="1">IF(
    VLOOKUP(
        $A16,
        _xlfn._xlws.FILTER(
            INDIRECT("'"&amp;F$1&amp;"'!A2:G1000"), (INDIRECT("'"&amp;F$1&amp;"'!B2:B1000")=$B16) * (INDIRECT("'"&amp;F$1&amp;"'!C2:C1000")=$C16)
        ),
        5,
        FALSE
    )="",
    "",
    VLOOKUP(
        $A16,
        _xlfn._xlws.FILTER(
            INDIRECT("'"&amp;F$1&amp;"'!A2:G1000"), (INDIRECT("'"&amp;F$1&amp;"'!B2:B1000")=$B16) * (INDIRECT("'"&amp;F$1&amp;"'!C2:C1000")=$C16)
        ),7,
        FALSE
    )
)</f>
        <v>Não</v>
      </c>
      <c r="G16" s="79" t="str">
        <f t="array" aca="1" ref="G16" ca="1">IF(
    VLOOKUP(
        $A16,
        _xlfn._xlws.FILTER(
            INDIRECT("'"&amp;G$1&amp;"'!A2:G1000"), (INDIRECT("'"&amp;G$1&amp;"'!B2:B1000")=$B16) * (INDIRECT("'"&amp;G$1&amp;"'!C2:C1000")=$C16)
        ),
        5,
        FALSE
    )="",
    "",
    VLOOKUP(
        $A16,
        _xlfn._xlws.FILTER(
            INDIRECT("'"&amp;G$1&amp;"'!A2:G1000"), (INDIRECT("'"&amp;G$1&amp;"'!B2:B1000")=$B16) * (INDIRECT("'"&amp;G$1&amp;"'!C2:C1000")=$C16)
        ),7,
        FALSE
    )
)</f>
        <v>Não</v>
      </c>
      <c r="H16" s="79" t="str">
        <f t="array" aca="1" ref="H16" ca="1">IF(
    VLOOKUP(
        $A16,
        _xlfn._xlws.FILTER(
            INDIRECT("'"&amp;H$1&amp;"'!A2:G1000"), (INDIRECT("'"&amp;H$1&amp;"'!B2:B1000")=$B16) * (INDIRECT("'"&amp;H$1&amp;"'!C2:C1000")=$C16)
        ),
        5,
        FALSE
    )="",
    "",
    VLOOKUP(
        $A16,
        _xlfn._xlws.FILTER(
            INDIRECT("'"&amp;H$1&amp;"'!A2:G1000"), (INDIRECT("'"&amp;H$1&amp;"'!B2:B1000")=$B16) * (INDIRECT("'"&amp;H$1&amp;"'!C2:C1000")=$C16)
        ),7,
        FALSE
    )
)</f>
        <v>Não</v>
      </c>
      <c r="I16" s="79" t="str">
        <f t="array" aca="1" ref="I16" ca="1">IF(
    VLOOKUP(
        $A16,
        _xlfn._xlws.FILTER(
            INDIRECT("'"&amp;I$1&amp;"'!A2:G1000"), (INDIRECT("'"&amp;I$1&amp;"'!B2:B1000")=$B16) * (INDIRECT("'"&amp;I$1&amp;"'!C2:C1000")=$C16)
        ),
        5,
        FALSE
    )="",
    "",
    VLOOKUP(
        $A16,
        _xlfn._xlws.FILTER(
            INDIRECT("'"&amp;I$1&amp;"'!A2:G1000"), (INDIRECT("'"&amp;I$1&amp;"'!B2:B1000")=$B16) * (INDIRECT("'"&amp;I$1&amp;"'!C2:C1000")=$C16)
        ),7,
        FALSE
    )
)</f>
        <v>Não</v>
      </c>
      <c r="J16" s="79" t="str">
        <f t="array" aca="1" ref="J16" ca="1">IF(
    VLOOKUP(
        $A16,
        _xlfn._xlws.FILTER(
            INDIRECT("'"&amp;J$1&amp;"'!A2:G1000"), (INDIRECT("'"&amp;J$1&amp;"'!B2:B1000")=$B16) * (INDIRECT("'"&amp;J$1&amp;"'!C2:C1000")=$C16)
        ),
        5,
        FALSE
    )="",
    "",
    VLOOKUP(
        $A16,
        _xlfn._xlws.FILTER(
            INDIRECT("'"&amp;J$1&amp;"'!A2:G1000"), (INDIRECT("'"&amp;J$1&amp;"'!B2:B1000")=$B16) * (INDIRECT("'"&amp;J$1&amp;"'!C2:C1000")=$C16)
        ),7,
        FALSE
    )
)</f>
        <v>Não</v>
      </c>
      <c r="K16" s="79" t="str">
        <f t="array" aca="1" ref="K16" ca="1">IF(
    VLOOKUP(
        $A16,
        _xlfn._xlws.FILTER(
            INDIRECT("'"&amp;K$1&amp;"'!A2:G1000"), (INDIRECT("'"&amp;K$1&amp;"'!B2:B1000")=$B16) * (INDIRECT("'"&amp;K$1&amp;"'!C2:C1000")=$C16)
        ),
        5,
        FALSE
    )="",
    "",
    VLOOKUP(
        $A16,
        _xlfn._xlws.FILTER(
            INDIRECT("'"&amp;K$1&amp;"'!A2:G1000"), (INDIRECT("'"&amp;K$1&amp;"'!B2:B1000")=$B16) * (INDIRECT("'"&amp;K$1&amp;"'!C2:C1000")=$C16)
        ),7,
        FALSE
    )
)</f>
        <v>Não</v>
      </c>
      <c r="L16" s="79" t="str">
        <f t="array" aca="1" ref="L16" ca="1">IF(
    VLOOKUP(
        $A16,
        _xlfn._xlws.FILTER(
            INDIRECT("'"&amp;L$1&amp;"'!A2:G1000"), (INDIRECT("'"&amp;L$1&amp;"'!B2:B1000")=$B16) * (INDIRECT("'"&amp;L$1&amp;"'!C2:C1000")=$C16)
        ),
        5,
        FALSE
    )="",
    "",
    VLOOKUP(
        $A16,
        _xlfn._xlws.FILTER(
            INDIRECT("'"&amp;L$1&amp;"'!A2:G1000"), (INDIRECT("'"&amp;L$1&amp;"'!B2:B1000")=$B16) * (INDIRECT("'"&amp;L$1&amp;"'!C2:C1000")=$C16)
        ),7,
        FALSE
    )
)</f>
        <v>Não</v>
      </c>
      <c r="M16" s="79" t="str">
        <f t="array" aca="1" ref="M16" ca="1">IF(
    VLOOKUP(
        $A16,
        _xlfn._xlws.FILTER(
            INDIRECT("'"&amp;M$1&amp;"'!A2:G1000"), (INDIRECT("'"&amp;M$1&amp;"'!B2:B1000")=$B16) * (INDIRECT("'"&amp;M$1&amp;"'!C2:C1000")=$C16)
        ),
        5,
        FALSE
    )="",
    "",
    VLOOKUP(
        $A16,
        _xlfn._xlws.FILTER(
            INDIRECT("'"&amp;M$1&amp;"'!A2:G1000"), (INDIRECT("'"&amp;M$1&amp;"'!B2:B1000")=$B16) * (INDIRECT("'"&amp;M$1&amp;"'!C2:C1000")=$C16)
        ),7,
        FALSE
    )
)</f>
        <v>Não</v>
      </c>
      <c r="N16" s="79" t="str">
        <f t="array" aca="1" ref="N16" ca="1">IF(
    VLOOKUP(
        $A16,
        _xlfn._xlws.FILTER(
            INDIRECT("'"&amp;N$1&amp;"'!A2:G1000"), (INDIRECT("'"&amp;N$1&amp;"'!B2:B1000")=$B16) * (INDIRECT("'"&amp;N$1&amp;"'!C2:C1000")=$C16)
        ),
        5,
        FALSE
    )="",
    "",
    VLOOKUP(
        $A16,
        _xlfn._xlws.FILTER(
            INDIRECT("'"&amp;N$1&amp;"'!A2:G1000"), (INDIRECT("'"&amp;N$1&amp;"'!B2:B1000")=$B16) * (INDIRECT("'"&amp;N$1&amp;"'!C2:C1000")=$C16)
        ),7,
        FALSE
    )
)</f>
        <v>Não</v>
      </c>
      <c r="O16" s="79" t="str">
        <f t="array" aca="1" ref="O16" ca="1">IF(
    VLOOKUP(
        $A16,
        _xlfn._xlws.FILTER(
            INDIRECT("'"&amp;O$1&amp;"'!A2:G1000"), (INDIRECT("'"&amp;O$1&amp;"'!B2:B1000")=$B16) * (INDIRECT("'"&amp;O$1&amp;"'!C2:C1000")=$C16)
        ),
        5,
        FALSE
    )="",
    "",
    VLOOKUP(
        $A16,
        _xlfn._xlws.FILTER(
            INDIRECT("'"&amp;O$1&amp;"'!A2:G1000"), (INDIRECT("'"&amp;O$1&amp;"'!B2:B1000")=$B16) * (INDIRECT("'"&amp;O$1&amp;"'!C2:C1000")=$C16)
        ),7,
        FALSE
    )
)</f>
        <v>Não</v>
      </c>
      <c r="P16" s="79" t="str">
        <f t="array" aca="1" ref="P16" ca="1">IF(
    VLOOKUP(
        $A16,
        _xlfn._xlws.FILTER(
            INDIRECT("'"&amp;P$1&amp;"'!A2:G1000"), (INDIRECT("'"&amp;P$1&amp;"'!B2:B1000")=$B16) * (INDIRECT("'"&amp;P$1&amp;"'!C2:C1000")=$C16)
        ),
        5,
        FALSE
    )="",
    "",
    VLOOKUP(
        $A16,
        _xlfn._xlws.FILTER(
            INDIRECT("'"&amp;P$1&amp;"'!A2:G1000"), (INDIRECT("'"&amp;P$1&amp;"'!B2:B1000")=$B16) * (INDIRECT("'"&amp;P$1&amp;"'!C2:C1000")=$C16)
        ),7,
        FALSE
    )
)</f>
        <v>Não</v>
      </c>
      <c r="Q16" s="79" t="str">
        <f t="array" aca="1" ref="Q16" ca="1">IF(
    VLOOKUP(
        $A16,
        _xlfn._xlws.FILTER(
            INDIRECT("'"&amp;Q$1&amp;"'!A2:G1000"), (INDIRECT("'"&amp;Q$1&amp;"'!B2:B1000")=$B16) * (INDIRECT("'"&amp;Q$1&amp;"'!C2:C1000")=$C16)
        ),
        5,
        FALSE
    )="",
    "",
    VLOOKUP(
        $A16,
        _xlfn._xlws.FILTER(
            INDIRECT("'"&amp;Q$1&amp;"'!A2:G1000"), (INDIRECT("'"&amp;Q$1&amp;"'!B2:B1000")=$B16) * (INDIRECT("'"&amp;Q$1&amp;"'!C2:C1000")=$C16)
        ),7,
        FALSE
    )
)</f>
        <v/>
      </c>
    </row>
    <row r="17" spans="1:17" ht="15.75" customHeight="1" x14ac:dyDescent="0.25">
      <c r="A17" s="102" t="s">
        <v>36</v>
      </c>
      <c r="B17" s="79" t="s">
        <v>99</v>
      </c>
      <c r="C17" s="79">
        <v>1</v>
      </c>
      <c r="D17" s="79" t="str">
        <f t="array" aca="1" ref="D17" ca="1">IF(
    VLOOKUP(
        $A17,
        _xlfn._xlws.FILTER(
            INDIRECT("'"&amp;D$1&amp;"'!A2:G1000"), (INDIRECT("'"&amp;D$1&amp;"'!B2:B1000")=$B17) * (INDIRECT("'"&amp;D$1&amp;"'!C2:C1000")=$C17)
        ),
        5,
        FALSE
    )="",
    "",
    VLOOKUP(
        $A17,
        _xlfn._xlws.FILTER(
            INDIRECT("'"&amp;D$1&amp;"'!A2:G1000"), (INDIRECT("'"&amp;D$1&amp;"'!B2:B1000")=$B17) * (INDIRECT("'"&amp;D$1&amp;"'!C2:C1000")=$C17)
        ),7,
        FALSE
    )
)</f>
        <v>Não</v>
      </c>
      <c r="E17" s="79" t="str">
        <f t="array" aca="1" ref="E17" ca="1">IF(
    VLOOKUP(
        $A17,
        _xlfn._xlws.FILTER(
            INDIRECT("'"&amp;E$1&amp;"'!A2:G1000"), (INDIRECT("'"&amp;E$1&amp;"'!B2:B1000")=$B17) * (INDIRECT("'"&amp;E$1&amp;"'!C2:C1000")=$C17)
        ),
        5,
        FALSE
    )="",
    "",
    VLOOKUP(
        $A17,
        _xlfn._xlws.FILTER(
            INDIRECT("'"&amp;E$1&amp;"'!A2:G1000"), (INDIRECT("'"&amp;E$1&amp;"'!B2:B1000")=$B17) * (INDIRECT("'"&amp;E$1&amp;"'!C2:C1000")=$C17)
        ),7,
        FALSE
    )
)</f>
        <v>Não</v>
      </c>
      <c r="F17" s="79" t="str">
        <f t="array" aca="1" ref="F17" ca="1">IF(
    VLOOKUP(
        $A17,
        _xlfn._xlws.FILTER(
            INDIRECT("'"&amp;F$1&amp;"'!A2:G1000"), (INDIRECT("'"&amp;F$1&amp;"'!B2:B1000")=$B17) * (INDIRECT("'"&amp;F$1&amp;"'!C2:C1000")=$C17)
        ),
        5,
        FALSE
    )="",
    "",
    VLOOKUP(
        $A17,
        _xlfn._xlws.FILTER(
            INDIRECT("'"&amp;F$1&amp;"'!A2:G1000"), (INDIRECT("'"&amp;F$1&amp;"'!B2:B1000")=$B17) * (INDIRECT("'"&amp;F$1&amp;"'!C2:C1000")=$C17)
        ),7,
        FALSE
    )
)</f>
        <v>Não</v>
      </c>
      <c r="G17" s="79" t="str">
        <f t="array" aca="1" ref="G17" ca="1">IF(
    VLOOKUP(
        $A17,
        _xlfn._xlws.FILTER(
            INDIRECT("'"&amp;G$1&amp;"'!A2:G1000"), (INDIRECT("'"&amp;G$1&amp;"'!B2:B1000")=$B17) * (INDIRECT("'"&amp;G$1&amp;"'!C2:C1000")=$C17)
        ),
        5,
        FALSE
    )="",
    "",
    VLOOKUP(
        $A17,
        _xlfn._xlws.FILTER(
            INDIRECT("'"&amp;G$1&amp;"'!A2:G1000"), (INDIRECT("'"&amp;G$1&amp;"'!B2:B1000")=$B17) * (INDIRECT("'"&amp;G$1&amp;"'!C2:C1000")=$C17)
        ),7,
        FALSE
    )
)</f>
        <v>Não</v>
      </c>
      <c r="H17" s="79" t="str">
        <f t="array" aca="1" ref="H17" ca="1">IF(
    VLOOKUP(
        $A17,
        _xlfn._xlws.FILTER(
            INDIRECT("'"&amp;H$1&amp;"'!A2:G1000"), (INDIRECT("'"&amp;H$1&amp;"'!B2:B1000")=$B17) * (INDIRECT("'"&amp;H$1&amp;"'!C2:C1000")=$C17)
        ),
        5,
        FALSE
    )="",
    "",
    VLOOKUP(
        $A17,
        _xlfn._xlws.FILTER(
            INDIRECT("'"&amp;H$1&amp;"'!A2:G1000"), (INDIRECT("'"&amp;H$1&amp;"'!B2:B1000")=$B17) * (INDIRECT("'"&amp;H$1&amp;"'!C2:C1000")=$C17)
        ),7,
        FALSE
    )
)</f>
        <v>Não</v>
      </c>
      <c r="I17" s="79" t="str">
        <f t="array" aca="1" ref="I17" ca="1">IF(
    VLOOKUP(
        $A17,
        _xlfn._xlws.FILTER(
            INDIRECT("'"&amp;I$1&amp;"'!A2:G1000"), (INDIRECT("'"&amp;I$1&amp;"'!B2:B1000")=$B17) * (INDIRECT("'"&amp;I$1&amp;"'!C2:C1000")=$C17)
        ),
        5,
        FALSE
    )="",
    "",
    VLOOKUP(
        $A17,
        _xlfn._xlws.FILTER(
            INDIRECT("'"&amp;I$1&amp;"'!A2:G1000"), (INDIRECT("'"&amp;I$1&amp;"'!B2:B1000")=$B17) * (INDIRECT("'"&amp;I$1&amp;"'!C2:C1000")=$C17)
        ),7,
        FALSE
    )
)</f>
        <v>Não</v>
      </c>
      <c r="J17" s="79" t="str">
        <f t="array" aca="1" ref="J17" ca="1">IF(
    VLOOKUP(
        $A17,
        _xlfn._xlws.FILTER(
            INDIRECT("'"&amp;J$1&amp;"'!A2:G1000"), (INDIRECT("'"&amp;J$1&amp;"'!B2:B1000")=$B17) * (INDIRECT("'"&amp;J$1&amp;"'!C2:C1000")=$C17)
        ),
        5,
        FALSE
    )="",
    "",
    VLOOKUP(
        $A17,
        _xlfn._xlws.FILTER(
            INDIRECT("'"&amp;J$1&amp;"'!A2:G1000"), (INDIRECT("'"&amp;J$1&amp;"'!B2:B1000")=$B17) * (INDIRECT("'"&amp;J$1&amp;"'!C2:C1000")=$C17)
        ),7,
        FALSE
    )
)</f>
        <v>Não</v>
      </c>
      <c r="K17" s="79" t="str">
        <f t="array" aca="1" ref="K17" ca="1">IF(
    VLOOKUP(
        $A17,
        _xlfn._xlws.FILTER(
            INDIRECT("'"&amp;K$1&amp;"'!A2:G1000"), (INDIRECT("'"&amp;K$1&amp;"'!B2:B1000")=$B17) * (INDIRECT("'"&amp;K$1&amp;"'!C2:C1000")=$C17)
        ),
        5,
        FALSE
    )="",
    "",
    VLOOKUP(
        $A17,
        _xlfn._xlws.FILTER(
            INDIRECT("'"&amp;K$1&amp;"'!A2:G1000"), (INDIRECT("'"&amp;K$1&amp;"'!B2:B1000")=$B17) * (INDIRECT("'"&amp;K$1&amp;"'!C2:C1000")=$C17)
        ),7,
        FALSE
    )
)</f>
        <v>Não</v>
      </c>
      <c r="L17" s="79" t="str">
        <f t="array" aca="1" ref="L17" ca="1">IF(
    VLOOKUP(
        $A17,
        _xlfn._xlws.FILTER(
            INDIRECT("'"&amp;L$1&amp;"'!A2:G1000"), (INDIRECT("'"&amp;L$1&amp;"'!B2:B1000")=$B17) * (INDIRECT("'"&amp;L$1&amp;"'!C2:C1000")=$C17)
        ),
        5,
        FALSE
    )="",
    "",
    VLOOKUP(
        $A17,
        _xlfn._xlws.FILTER(
            INDIRECT("'"&amp;L$1&amp;"'!A2:G1000"), (INDIRECT("'"&amp;L$1&amp;"'!B2:B1000")=$B17) * (INDIRECT("'"&amp;L$1&amp;"'!C2:C1000")=$C17)
        ),7,
        FALSE
    )
)</f>
        <v>Não</v>
      </c>
      <c r="M17" s="79" t="str">
        <f t="array" aca="1" ref="M17" ca="1">IF(
    VLOOKUP(
        $A17,
        _xlfn._xlws.FILTER(
            INDIRECT("'"&amp;M$1&amp;"'!A2:G1000"), (INDIRECT("'"&amp;M$1&amp;"'!B2:B1000")=$B17) * (INDIRECT("'"&amp;M$1&amp;"'!C2:C1000")=$C17)
        ),
        5,
        FALSE
    )="",
    "",
    VLOOKUP(
        $A17,
        _xlfn._xlws.FILTER(
            INDIRECT("'"&amp;M$1&amp;"'!A2:G1000"), (INDIRECT("'"&amp;M$1&amp;"'!B2:B1000")=$B17) * (INDIRECT("'"&amp;M$1&amp;"'!C2:C1000")=$C17)
        ),7,
        FALSE
    )
)</f>
        <v>Não</v>
      </c>
      <c r="N17" s="79" t="str">
        <f t="array" aca="1" ref="N17" ca="1">IF(
    VLOOKUP(
        $A17,
        _xlfn._xlws.FILTER(
            INDIRECT("'"&amp;N$1&amp;"'!A2:G1000"), (INDIRECT("'"&amp;N$1&amp;"'!B2:B1000")=$B17) * (INDIRECT("'"&amp;N$1&amp;"'!C2:C1000")=$C17)
        ),
        5,
        FALSE
    )="",
    "",
    VLOOKUP(
        $A17,
        _xlfn._xlws.FILTER(
            INDIRECT("'"&amp;N$1&amp;"'!A2:G1000"), (INDIRECT("'"&amp;N$1&amp;"'!B2:B1000")=$B17) * (INDIRECT("'"&amp;N$1&amp;"'!C2:C1000")=$C17)
        ),7,
        FALSE
    )
)</f>
        <v>Não</v>
      </c>
      <c r="O17" s="79" t="str">
        <f t="array" aca="1" ref="O17" ca="1">IF(
    VLOOKUP(
        $A17,
        _xlfn._xlws.FILTER(
            INDIRECT("'"&amp;O$1&amp;"'!A2:G1000"), (INDIRECT("'"&amp;O$1&amp;"'!B2:B1000")=$B17) * (INDIRECT("'"&amp;O$1&amp;"'!C2:C1000")=$C17)
        ),
        5,
        FALSE
    )="",
    "",
    VLOOKUP(
        $A17,
        _xlfn._xlws.FILTER(
            INDIRECT("'"&amp;O$1&amp;"'!A2:G1000"), (INDIRECT("'"&amp;O$1&amp;"'!B2:B1000")=$B17) * (INDIRECT("'"&amp;O$1&amp;"'!C2:C1000")=$C17)
        ),7,
        FALSE
    )
)</f>
        <v>Não</v>
      </c>
      <c r="P17" s="79" t="str">
        <f t="array" aca="1" ref="P17" ca="1">IF(
    VLOOKUP(
        $A17,
        _xlfn._xlws.FILTER(
            INDIRECT("'"&amp;P$1&amp;"'!A2:G1000"), (INDIRECT("'"&amp;P$1&amp;"'!B2:B1000")=$B17) * (INDIRECT("'"&amp;P$1&amp;"'!C2:C1000")=$C17)
        ),
        5,
        FALSE
    )="",
    "",
    VLOOKUP(
        $A17,
        _xlfn._xlws.FILTER(
            INDIRECT("'"&amp;P$1&amp;"'!A2:G1000"), (INDIRECT("'"&amp;P$1&amp;"'!B2:B1000")=$B17) * (INDIRECT("'"&amp;P$1&amp;"'!C2:C1000")=$C17)
        ),7,
        FALSE
    )
)</f>
        <v>Não</v>
      </c>
      <c r="Q17" s="79" t="str">
        <f t="array" ref="Q17" ca="1">IF(
    VLOOKUP(
        $A17,
        _xlfn._xlws.FILTER(
            INDIRECT("'"&amp;Q$1&amp;"'!A2:G1000"), (INDIRECT("'"&amp;Q$1&amp;"'!B2:B1000")=$B17) * (INDIRECT("'"&amp;Q$1&amp;"'!C2:C1000")=$C17)
        ),
        5,
        FALSE
    )="",
    "",
    VLOOKUP(
        $A17,
        _xlfn._xlws.FILTER(
            INDIRECT("'"&amp;Q$1&amp;"'!A2:G1000"), (INDIRECT("'"&amp;Q$1&amp;"'!B2:B1000")=$B17) * (INDIRECT("'"&amp;Q$1&amp;"'!C2:C1000")=$C17)
        ),7,
        FALSE
    )
)</f>
        <v/>
      </c>
    </row>
    <row r="18" spans="1:17" ht="15.75" customHeight="1" x14ac:dyDescent="0.25">
      <c r="A18" s="102" t="s">
        <v>36</v>
      </c>
      <c r="B18" s="79" t="s">
        <v>100</v>
      </c>
      <c r="C18" s="79">
        <v>1</v>
      </c>
      <c r="D18" s="79" t="str">
        <f t="array" aca="1" ref="D18" ca="1">IF(
    VLOOKUP(
        $A18,
        _xlfn._xlws.FILTER(
            INDIRECT("'"&amp;D$1&amp;"'!A2:G1000"), (INDIRECT("'"&amp;D$1&amp;"'!B2:B1000")=$B18) * (INDIRECT("'"&amp;D$1&amp;"'!C2:C1000")=$C18)
        ),
        5,
        FALSE
    )="",
    "",
    VLOOKUP(
        $A18,
        _xlfn._xlws.FILTER(
            INDIRECT("'"&amp;D$1&amp;"'!A2:G1000"), (INDIRECT("'"&amp;D$1&amp;"'!B2:B1000")=$B18) * (INDIRECT("'"&amp;D$1&amp;"'!C2:C1000")=$C18)
        ),7,
        FALSE
    )
)</f>
        <v>Não</v>
      </c>
      <c r="E18" s="79" t="str">
        <f t="array" aca="1" ref="E18" ca="1">IF(
    VLOOKUP(
        $A18,
        _xlfn._xlws.FILTER(
            INDIRECT("'"&amp;E$1&amp;"'!A2:G1000"), (INDIRECT("'"&amp;E$1&amp;"'!B2:B1000")=$B18) * (INDIRECT("'"&amp;E$1&amp;"'!C2:C1000")=$C18)
        ),
        5,
        FALSE
    )="",
    "",
    VLOOKUP(
        $A18,
        _xlfn._xlws.FILTER(
            INDIRECT("'"&amp;E$1&amp;"'!A2:G1000"), (INDIRECT("'"&amp;E$1&amp;"'!B2:B1000")=$B18) * (INDIRECT("'"&amp;E$1&amp;"'!C2:C1000")=$C18)
        ),7,
        FALSE
    )
)</f>
        <v>Não</v>
      </c>
      <c r="F18" s="79" t="str">
        <f t="array" aca="1" ref="F18" ca="1">IF(
    VLOOKUP(
        $A18,
        _xlfn._xlws.FILTER(
            INDIRECT("'"&amp;F$1&amp;"'!A2:G1000"), (INDIRECT("'"&amp;F$1&amp;"'!B2:B1000")=$B18) * (INDIRECT("'"&amp;F$1&amp;"'!C2:C1000")=$C18)
        ),
        5,
        FALSE
    )="",
    "",
    VLOOKUP(
        $A18,
        _xlfn._xlws.FILTER(
            INDIRECT("'"&amp;F$1&amp;"'!A2:G1000"), (INDIRECT("'"&amp;F$1&amp;"'!B2:B1000")=$B18) * (INDIRECT("'"&amp;F$1&amp;"'!C2:C1000")=$C18)
        ),7,
        FALSE
    )
)</f>
        <v>Não</v>
      </c>
      <c r="G18" s="79" t="str">
        <f t="array" aca="1" ref="G18" ca="1">IF(
    VLOOKUP(
        $A18,
        _xlfn._xlws.FILTER(
            INDIRECT("'"&amp;G$1&amp;"'!A2:G1000"), (INDIRECT("'"&amp;G$1&amp;"'!B2:B1000")=$B18) * (INDIRECT("'"&amp;G$1&amp;"'!C2:C1000")=$C18)
        ),
        5,
        FALSE
    )="",
    "",
    VLOOKUP(
        $A18,
        _xlfn._xlws.FILTER(
            INDIRECT("'"&amp;G$1&amp;"'!A2:G1000"), (INDIRECT("'"&amp;G$1&amp;"'!B2:B1000")=$B18) * (INDIRECT("'"&amp;G$1&amp;"'!C2:C1000")=$C18)
        ),7,
        FALSE
    )
)</f>
        <v>Não</v>
      </c>
      <c r="H18" s="79" t="str">
        <f t="array" aca="1" ref="H18" ca="1">IF(
    VLOOKUP(
        $A18,
        _xlfn._xlws.FILTER(
            INDIRECT("'"&amp;H$1&amp;"'!A2:G1000"), (INDIRECT("'"&amp;H$1&amp;"'!B2:B1000")=$B18) * (INDIRECT("'"&amp;H$1&amp;"'!C2:C1000")=$C18)
        ),
        5,
        FALSE
    )="",
    "",
    VLOOKUP(
        $A18,
        _xlfn._xlws.FILTER(
            INDIRECT("'"&amp;H$1&amp;"'!A2:G1000"), (INDIRECT("'"&amp;H$1&amp;"'!B2:B1000")=$B18) * (INDIRECT("'"&amp;H$1&amp;"'!C2:C1000")=$C18)
        ),7,
        FALSE
    )
)</f>
        <v>Não</v>
      </c>
      <c r="I18" s="79" t="str">
        <f t="array" aca="1" ref="I18" ca="1">IF(
    VLOOKUP(
        $A18,
        _xlfn._xlws.FILTER(
            INDIRECT("'"&amp;I$1&amp;"'!A2:G1000"), (INDIRECT("'"&amp;I$1&amp;"'!B2:B1000")=$B18) * (INDIRECT("'"&amp;I$1&amp;"'!C2:C1000")=$C18)
        ),
        5,
        FALSE
    )="",
    "",
    VLOOKUP(
        $A18,
        _xlfn._xlws.FILTER(
            INDIRECT("'"&amp;I$1&amp;"'!A2:G1000"), (INDIRECT("'"&amp;I$1&amp;"'!B2:B1000")=$B18) * (INDIRECT("'"&amp;I$1&amp;"'!C2:C1000")=$C18)
        ),7,
        FALSE
    )
)</f>
        <v>Não</v>
      </c>
      <c r="J18" s="79" t="str">
        <f t="array" aca="1" ref="J18" ca="1">IF(
    VLOOKUP(
        $A18,
        _xlfn._xlws.FILTER(
            INDIRECT("'"&amp;J$1&amp;"'!A2:G1000"), (INDIRECT("'"&amp;J$1&amp;"'!B2:B1000")=$B18) * (INDIRECT("'"&amp;J$1&amp;"'!C2:C1000")=$C18)
        ),
        5,
        FALSE
    )="",
    "",
    VLOOKUP(
        $A18,
        _xlfn._xlws.FILTER(
            INDIRECT("'"&amp;J$1&amp;"'!A2:G1000"), (INDIRECT("'"&amp;J$1&amp;"'!B2:B1000")=$B18) * (INDIRECT("'"&amp;J$1&amp;"'!C2:C1000")=$C18)
        ),7,
        FALSE
    )
)</f>
        <v>Não</v>
      </c>
      <c r="K18" s="79" t="str">
        <f t="array" aca="1" ref="K18" ca="1">IF(
    VLOOKUP(
        $A18,
        _xlfn._xlws.FILTER(
            INDIRECT("'"&amp;K$1&amp;"'!A2:G1000"), (INDIRECT("'"&amp;K$1&amp;"'!B2:B1000")=$B18) * (INDIRECT("'"&amp;K$1&amp;"'!C2:C1000")=$C18)
        ),
        5,
        FALSE
    )="",
    "",
    VLOOKUP(
        $A18,
        _xlfn._xlws.FILTER(
            INDIRECT("'"&amp;K$1&amp;"'!A2:G1000"), (INDIRECT("'"&amp;K$1&amp;"'!B2:B1000")=$B18) * (INDIRECT("'"&amp;K$1&amp;"'!C2:C1000")=$C18)
        ),7,
        FALSE
    )
)</f>
        <v>Não</v>
      </c>
      <c r="L18" s="79" t="str">
        <f t="array" aca="1" ref="L18" ca="1">IF(
    VLOOKUP(
        $A18,
        _xlfn._xlws.FILTER(
            INDIRECT("'"&amp;L$1&amp;"'!A2:G1000"), (INDIRECT("'"&amp;L$1&amp;"'!B2:B1000")=$B18) * (INDIRECT("'"&amp;L$1&amp;"'!C2:C1000")=$C18)
        ),
        5,
        FALSE
    )="",
    "",
    VLOOKUP(
        $A18,
        _xlfn._xlws.FILTER(
            INDIRECT("'"&amp;L$1&amp;"'!A2:G1000"), (INDIRECT("'"&amp;L$1&amp;"'!B2:B1000")=$B18) * (INDIRECT("'"&amp;L$1&amp;"'!C2:C1000")=$C18)
        ),7,
        FALSE
    )
)</f>
        <v>Não</v>
      </c>
      <c r="M18" s="79" t="str">
        <f t="array" aca="1" ref="M18" ca="1">IF(
    VLOOKUP(
        $A18,
        _xlfn._xlws.FILTER(
            INDIRECT("'"&amp;M$1&amp;"'!A2:G1000"), (INDIRECT("'"&amp;M$1&amp;"'!B2:B1000")=$B18) * (INDIRECT("'"&amp;M$1&amp;"'!C2:C1000")=$C18)
        ),
        5,
        FALSE
    )="",
    "",
    VLOOKUP(
        $A18,
        _xlfn._xlws.FILTER(
            INDIRECT("'"&amp;M$1&amp;"'!A2:G1000"), (INDIRECT("'"&amp;M$1&amp;"'!B2:B1000")=$B18) * (INDIRECT("'"&amp;M$1&amp;"'!C2:C1000")=$C18)
        ),7,
        FALSE
    )
)</f>
        <v>Não</v>
      </c>
      <c r="N18" s="79" t="str">
        <f t="array" aca="1" ref="N18" ca="1">IF(
    VLOOKUP(
        $A18,
        _xlfn._xlws.FILTER(
            INDIRECT("'"&amp;N$1&amp;"'!A2:G1000"), (INDIRECT("'"&amp;N$1&amp;"'!B2:B1000")=$B18) * (INDIRECT("'"&amp;N$1&amp;"'!C2:C1000")=$C18)
        ),
        5,
        FALSE
    )="",
    "",
    VLOOKUP(
        $A18,
        _xlfn._xlws.FILTER(
            INDIRECT("'"&amp;N$1&amp;"'!A2:G1000"), (INDIRECT("'"&amp;N$1&amp;"'!B2:B1000")=$B18) * (INDIRECT("'"&amp;N$1&amp;"'!C2:C1000")=$C18)
        ),7,
        FALSE
    )
)</f>
        <v>Não</v>
      </c>
      <c r="O18" s="79" t="str">
        <f t="array" aca="1" ref="O18" ca="1">IF(
    VLOOKUP(
        $A18,
        _xlfn._xlws.FILTER(
            INDIRECT("'"&amp;O$1&amp;"'!A2:G1000"), (INDIRECT("'"&amp;O$1&amp;"'!B2:B1000")=$B18) * (INDIRECT("'"&amp;O$1&amp;"'!C2:C1000")=$C18)
        ),
        5,
        FALSE
    )="",
    "",
    VLOOKUP(
        $A18,
        _xlfn._xlws.FILTER(
            INDIRECT("'"&amp;O$1&amp;"'!A2:G1000"), (INDIRECT("'"&amp;O$1&amp;"'!B2:B1000")=$B18) * (INDIRECT("'"&amp;O$1&amp;"'!C2:C1000")=$C18)
        ),7,
        FALSE
    )
)</f>
        <v>Não</v>
      </c>
      <c r="P18" s="79" t="str">
        <f t="array" aca="1" ref="P18" ca="1">IF(
    VLOOKUP(
        $A18,
        _xlfn._xlws.FILTER(
            INDIRECT("'"&amp;P$1&amp;"'!A2:G1000"), (INDIRECT("'"&amp;P$1&amp;"'!B2:B1000")=$B18) * (INDIRECT("'"&amp;P$1&amp;"'!C2:C1000")=$C18)
        ),
        5,
        FALSE
    )="",
    "",
    VLOOKUP(
        $A18,
        _xlfn._xlws.FILTER(
            INDIRECT("'"&amp;P$1&amp;"'!A2:G1000"), (INDIRECT("'"&amp;P$1&amp;"'!B2:B1000")=$B18) * (INDIRECT("'"&amp;P$1&amp;"'!C2:C1000")=$C18)
        ),7,
        FALSE
    )
)</f>
        <v>Não</v>
      </c>
      <c r="Q18" s="79" t="str">
        <f t="array" aca="1" ref="Q18" ca="1">IF(
    VLOOKUP(
        $A18,
        _xlfn._xlws.FILTER(
            INDIRECT("'"&amp;Q$1&amp;"'!A2:G1000"), (INDIRECT("'"&amp;Q$1&amp;"'!B2:B1000")=$B18) * (INDIRECT("'"&amp;Q$1&amp;"'!C2:C1000")=$C18)
        ),
        5,
        FALSE
    )="",
    "",
    VLOOKUP(
        $A18,
        _xlfn._xlws.FILTER(
            INDIRECT("'"&amp;Q$1&amp;"'!A2:G1000"), (INDIRECT("'"&amp;Q$1&amp;"'!B2:B1000")=$B18) * (INDIRECT("'"&amp;Q$1&amp;"'!C2:C1000")=$C18)
        ),7,
        FALSE
    )
)</f>
        <v/>
      </c>
    </row>
    <row r="19" spans="1:17" ht="15.75" customHeight="1" x14ac:dyDescent="0.25">
      <c r="A19" s="102" t="s">
        <v>36</v>
      </c>
      <c r="B19" s="79" t="s">
        <v>77</v>
      </c>
      <c r="C19" s="79">
        <v>1</v>
      </c>
      <c r="D19" s="79" t="str">
        <f t="array" ref="D19" ca="1">IF(
    VLOOKUP(
        $A19,
        _xlfn._xlws.FILTER(
            INDIRECT("'"&amp;D$1&amp;"'!A2:G1000"), (INDIRECT("'"&amp;D$1&amp;"'!B2:B1000")=$B19) * (INDIRECT("'"&amp;D$1&amp;"'!C2:C1000")=$C19)
        ),
        5,
        FALSE
    )="",
    "",
    VLOOKUP(
        $A19,
        _xlfn._xlws.FILTER(
            INDIRECT("'"&amp;D$1&amp;"'!A2:G1000"), (INDIRECT("'"&amp;D$1&amp;"'!B2:B1000")=$B19) * (INDIRECT("'"&amp;D$1&amp;"'!C2:C1000")=$C19)
        ),7,
        FALSE
    )
)</f>
        <v>Não</v>
      </c>
      <c r="E19" s="79" t="str">
        <f t="array" aca="1" ref="E19" ca="1">IF(
    VLOOKUP(
        $A19,
        _xlfn._xlws.FILTER(
            INDIRECT("'"&amp;E$1&amp;"'!A2:G1000"), (INDIRECT("'"&amp;E$1&amp;"'!B2:B1000")=$B19) * (INDIRECT("'"&amp;E$1&amp;"'!C2:C1000")=$C19)
        ),
        5,
        FALSE
    )="",
    "",
    VLOOKUP(
        $A19,
        _xlfn._xlws.FILTER(
            INDIRECT("'"&amp;E$1&amp;"'!A2:G1000"), (INDIRECT("'"&amp;E$1&amp;"'!B2:B1000")=$B19) * (INDIRECT("'"&amp;E$1&amp;"'!C2:C1000")=$C19)
        ),7,
        FALSE
    )
)</f>
        <v>Sim</v>
      </c>
      <c r="F19" s="79" t="str">
        <f t="array" aca="1" ref="F19" ca="1">IF(
    VLOOKUP(
        $A19,
        _xlfn._xlws.FILTER(
            INDIRECT("'"&amp;F$1&amp;"'!A2:G1000"), (INDIRECT("'"&amp;F$1&amp;"'!B2:B1000")=$B19) * (INDIRECT("'"&amp;F$1&amp;"'!C2:C1000")=$C19)
        ),
        5,
        FALSE
    )="",
    "",
    VLOOKUP(
        $A19,
        _xlfn._xlws.FILTER(
            INDIRECT("'"&amp;F$1&amp;"'!A2:G1000"), (INDIRECT("'"&amp;F$1&amp;"'!B2:B1000")=$B19) * (INDIRECT("'"&amp;F$1&amp;"'!C2:C1000")=$C19)
        ),7,
        FALSE
    )
)</f>
        <v>Sim</v>
      </c>
      <c r="G19" s="79" t="str">
        <f t="array" aca="1" ref="G19" ca="1">IF(
    VLOOKUP(
        $A19,
        _xlfn._xlws.FILTER(
            INDIRECT("'"&amp;G$1&amp;"'!A2:G1000"), (INDIRECT("'"&amp;G$1&amp;"'!B2:B1000")=$B19) * (INDIRECT("'"&amp;G$1&amp;"'!C2:C1000")=$C19)
        ),
        5,
        FALSE
    )="",
    "",
    VLOOKUP(
        $A19,
        _xlfn._xlws.FILTER(
            INDIRECT("'"&amp;G$1&amp;"'!A2:G1000"), (INDIRECT("'"&amp;G$1&amp;"'!B2:B1000")=$B19) * (INDIRECT("'"&amp;G$1&amp;"'!C2:C1000")=$C19)
        ),7,
        FALSE
    )
)</f>
        <v>Sim</v>
      </c>
      <c r="H19" s="79" t="str">
        <f t="array" aca="1" ref="H19" ca="1">IF(
    VLOOKUP(
        $A19,
        _xlfn._xlws.FILTER(
            INDIRECT("'"&amp;H$1&amp;"'!A2:G1000"), (INDIRECT("'"&amp;H$1&amp;"'!B2:B1000")=$B19) * (INDIRECT("'"&amp;H$1&amp;"'!C2:C1000")=$C19)
        ),
        5,
        FALSE
    )="",
    "",
    VLOOKUP(
        $A19,
        _xlfn._xlws.FILTER(
            INDIRECT("'"&amp;H$1&amp;"'!A2:G1000"), (INDIRECT("'"&amp;H$1&amp;"'!B2:B1000")=$B19) * (INDIRECT("'"&amp;H$1&amp;"'!C2:C1000")=$C19)
        ),7,
        FALSE
    )
)</f>
        <v>Sim</v>
      </c>
      <c r="I19" s="79" t="str">
        <f t="array" aca="1" ref="I19" ca="1">IF(
    VLOOKUP(
        $A19,
        _xlfn._xlws.FILTER(
            INDIRECT("'"&amp;I$1&amp;"'!A2:G1000"), (INDIRECT("'"&amp;I$1&amp;"'!B2:B1000")=$B19) * (INDIRECT("'"&amp;I$1&amp;"'!C2:C1000")=$C19)
        ),
        5,
        FALSE
    )="",
    "",
    VLOOKUP(
        $A19,
        _xlfn._xlws.FILTER(
            INDIRECT("'"&amp;I$1&amp;"'!A2:G1000"), (INDIRECT("'"&amp;I$1&amp;"'!B2:B1000")=$B19) * (INDIRECT("'"&amp;I$1&amp;"'!C2:C1000")=$C19)
        ),7,
        FALSE
    )
)</f>
        <v>Sim</v>
      </c>
      <c r="J19" s="79" t="str">
        <f t="array" aca="1" ref="J19" ca="1">IF(
    VLOOKUP(
        $A19,
        _xlfn._xlws.FILTER(
            INDIRECT("'"&amp;J$1&amp;"'!A2:G1000"), (INDIRECT("'"&amp;J$1&amp;"'!B2:B1000")=$B19) * (INDIRECT("'"&amp;J$1&amp;"'!C2:C1000")=$C19)
        ),
        5,
        FALSE
    )="",
    "",
    VLOOKUP(
        $A19,
        _xlfn._xlws.FILTER(
            INDIRECT("'"&amp;J$1&amp;"'!A2:G1000"), (INDIRECT("'"&amp;J$1&amp;"'!B2:B1000")=$B19) * (INDIRECT("'"&amp;J$1&amp;"'!C2:C1000")=$C19)
        ),7,
        FALSE
    )
)</f>
        <v>Sim</v>
      </c>
      <c r="K19" s="79" t="str">
        <f t="array" aca="1" ref="K19" ca="1">IF(
    VLOOKUP(
        $A19,
        _xlfn._xlws.FILTER(
            INDIRECT("'"&amp;K$1&amp;"'!A2:G1000"), (INDIRECT("'"&amp;K$1&amp;"'!B2:B1000")=$B19) * (INDIRECT("'"&amp;K$1&amp;"'!C2:C1000")=$C19)
        ),
        5,
        FALSE
    )="",
    "",
    VLOOKUP(
        $A19,
        _xlfn._xlws.FILTER(
            INDIRECT("'"&amp;K$1&amp;"'!A2:G1000"), (INDIRECT("'"&amp;K$1&amp;"'!B2:B1000")=$B19) * (INDIRECT("'"&amp;K$1&amp;"'!C2:C1000")=$C19)
        ),7,
        FALSE
    )
)</f>
        <v>Sim</v>
      </c>
      <c r="L19" s="79" t="str">
        <f t="array" aca="1" ref="L19" ca="1">IF(
    VLOOKUP(
        $A19,
        _xlfn._xlws.FILTER(
            INDIRECT("'"&amp;L$1&amp;"'!A2:G1000"), (INDIRECT("'"&amp;L$1&amp;"'!B2:B1000")=$B19) * (INDIRECT("'"&amp;L$1&amp;"'!C2:C1000")=$C19)
        ),
        5,
        FALSE
    )="",
    "",
    VLOOKUP(
        $A19,
        _xlfn._xlws.FILTER(
            INDIRECT("'"&amp;L$1&amp;"'!A2:G1000"), (INDIRECT("'"&amp;L$1&amp;"'!B2:B1000")=$B19) * (INDIRECT("'"&amp;L$1&amp;"'!C2:C1000")=$C19)
        ),7,
        FALSE
    )
)</f>
        <v>Não</v>
      </c>
      <c r="M19" s="79" t="str">
        <f t="array" aca="1" ref="M19" ca="1">IF(
    VLOOKUP(
        $A19,
        _xlfn._xlws.FILTER(
            INDIRECT("'"&amp;M$1&amp;"'!A2:G1000"), (INDIRECT("'"&amp;M$1&amp;"'!B2:B1000")=$B19) * (INDIRECT("'"&amp;M$1&amp;"'!C2:C1000")=$C19)
        ),
        5,
        FALSE
    )="",
    "",
    VLOOKUP(
        $A19,
        _xlfn._xlws.FILTER(
            INDIRECT("'"&amp;M$1&amp;"'!A2:G1000"), (INDIRECT("'"&amp;M$1&amp;"'!B2:B1000")=$B19) * (INDIRECT("'"&amp;M$1&amp;"'!C2:C1000")=$C19)
        ),7,
        FALSE
    )
)</f>
        <v>Não</v>
      </c>
      <c r="N19" s="79" t="str">
        <f t="array" aca="1" ref="N19" ca="1">IF(
    VLOOKUP(
        $A19,
        _xlfn._xlws.FILTER(
            INDIRECT("'"&amp;N$1&amp;"'!A2:G1000"), (INDIRECT("'"&amp;N$1&amp;"'!B2:B1000")=$B19) * (INDIRECT("'"&amp;N$1&amp;"'!C2:C1000")=$C19)
        ),
        5,
        FALSE
    )="",
    "",
    VLOOKUP(
        $A19,
        _xlfn._xlws.FILTER(
            INDIRECT("'"&amp;N$1&amp;"'!A2:G1000"), (INDIRECT("'"&amp;N$1&amp;"'!B2:B1000")=$B19) * (INDIRECT("'"&amp;N$1&amp;"'!C2:C1000")=$C19)
        ),7,
        FALSE
    )
)</f>
        <v>Não</v>
      </c>
      <c r="O19" s="79" t="str">
        <f t="array" aca="1" ref="O19" ca="1">IF(
    VLOOKUP(
        $A19,
        _xlfn._xlws.FILTER(
            INDIRECT("'"&amp;O$1&amp;"'!A2:G1000"), (INDIRECT("'"&amp;O$1&amp;"'!B2:B1000")=$B19) * (INDIRECT("'"&amp;O$1&amp;"'!C2:C1000")=$C19)
        ),
        5,
        FALSE
    )="",
    "",
    VLOOKUP(
        $A19,
        _xlfn._xlws.FILTER(
            INDIRECT("'"&amp;O$1&amp;"'!A2:G1000"), (INDIRECT("'"&amp;O$1&amp;"'!B2:B1000")=$B19) * (INDIRECT("'"&amp;O$1&amp;"'!C2:C1000")=$C19)
        ),7,
        FALSE
    )
)</f>
        <v>Não</v>
      </c>
      <c r="P19" s="79" t="str">
        <f t="array" aca="1" ref="P19" ca="1">IF(
    VLOOKUP(
        $A19,
        _xlfn._xlws.FILTER(
            INDIRECT("'"&amp;P$1&amp;"'!A2:G1000"), (INDIRECT("'"&amp;P$1&amp;"'!B2:B1000")=$B19) * (INDIRECT("'"&amp;P$1&amp;"'!C2:C1000")=$C19)
        ),
        5,
        FALSE
    )="",
    "",
    VLOOKUP(
        $A19,
        _xlfn._xlws.FILTER(
            INDIRECT("'"&amp;P$1&amp;"'!A2:G1000"), (INDIRECT("'"&amp;P$1&amp;"'!B2:B1000")=$B19) * (INDIRECT("'"&amp;P$1&amp;"'!C2:C1000")=$C19)
        ),7,
        FALSE
    )
)</f>
        <v>Não</v>
      </c>
      <c r="Q19" s="79" t="str">
        <f t="array" aca="1" ref="Q19" ca="1">IF(
    VLOOKUP(
        $A19,
        _xlfn._xlws.FILTER(
            INDIRECT("'"&amp;Q$1&amp;"'!A2:G1000"), (INDIRECT("'"&amp;Q$1&amp;"'!B2:B1000")=$B19) * (INDIRECT("'"&amp;Q$1&amp;"'!C2:C1000")=$C19)
        ),
        5,
        FALSE
    )="",
    "",
    VLOOKUP(
        $A19,
        _xlfn._xlws.FILTER(
            INDIRECT("'"&amp;Q$1&amp;"'!A2:G1000"), (INDIRECT("'"&amp;Q$1&amp;"'!B2:B1000")=$B19) * (INDIRECT("'"&amp;Q$1&amp;"'!C2:C1000")=$C19)
        ),7,
        FALSE
    )
)</f>
        <v/>
      </c>
    </row>
    <row r="20" spans="1:17" ht="15.75" customHeight="1" x14ac:dyDescent="0.25">
      <c r="A20" s="102" t="s">
        <v>36</v>
      </c>
      <c r="B20" s="79" t="s">
        <v>101</v>
      </c>
      <c r="C20" s="79">
        <v>1</v>
      </c>
      <c r="D20" s="79" t="str">
        <f t="array" aca="1" ref="D20" ca="1">IF(
    VLOOKUP(
        $A20,
        _xlfn._xlws.FILTER(
            INDIRECT("'"&amp;D$1&amp;"'!A2:G1000"), (INDIRECT("'"&amp;D$1&amp;"'!B2:B1000")=$B20) * (INDIRECT("'"&amp;D$1&amp;"'!C2:C1000")=$C20)
        ),
        5,
        FALSE
    )="",
    "",
    VLOOKUP(
        $A20,
        _xlfn._xlws.FILTER(
            INDIRECT("'"&amp;D$1&amp;"'!A2:G1000"), (INDIRECT("'"&amp;D$1&amp;"'!B2:B1000")=$B20) * (INDIRECT("'"&amp;D$1&amp;"'!C2:C1000")=$C20)
        ),7,
        FALSE
    )
)</f>
        <v>Sim</v>
      </c>
      <c r="E20" s="79" t="str">
        <f t="array" aca="1" ref="E20" ca="1">IF(
    VLOOKUP(
        $A20,
        _xlfn._xlws.FILTER(
            INDIRECT("'"&amp;E$1&amp;"'!A2:G1000"), (INDIRECT("'"&amp;E$1&amp;"'!B2:B1000")=$B20) * (INDIRECT("'"&amp;E$1&amp;"'!C2:C1000")=$C20)
        ),
        5,
        FALSE
    )="",
    "",
    VLOOKUP(
        $A20,
        _xlfn._xlws.FILTER(
            INDIRECT("'"&amp;E$1&amp;"'!A2:G1000"), (INDIRECT("'"&amp;E$1&amp;"'!B2:B1000")=$B20) * (INDIRECT("'"&amp;E$1&amp;"'!C2:C1000")=$C20)
        ),7,
        FALSE
    )
)</f>
        <v>Sim</v>
      </c>
      <c r="F20" s="79" t="str">
        <f t="array" aca="1" ref="F20" ca="1">IF(
    VLOOKUP(
        $A20,
        _xlfn._xlws.FILTER(
            INDIRECT("'"&amp;F$1&amp;"'!A2:G1000"), (INDIRECT("'"&amp;F$1&amp;"'!B2:B1000")=$B20) * (INDIRECT("'"&amp;F$1&amp;"'!C2:C1000")=$C20)
        ),
        5,
        FALSE
    )="",
    "",
    VLOOKUP(
        $A20,
        _xlfn._xlws.FILTER(
            INDIRECT("'"&amp;F$1&amp;"'!A2:G1000"), (INDIRECT("'"&amp;F$1&amp;"'!B2:B1000")=$B20) * (INDIRECT("'"&amp;F$1&amp;"'!C2:C1000")=$C20)
        ),7,
        FALSE
    )
)</f>
        <v>Sim</v>
      </c>
      <c r="G20" s="79" t="str">
        <f t="array" aca="1" ref="G20" ca="1">IF(
    VLOOKUP(
        $A20,
        _xlfn._xlws.FILTER(
            INDIRECT("'"&amp;G$1&amp;"'!A2:G1000"), (INDIRECT("'"&amp;G$1&amp;"'!B2:B1000")=$B20) * (INDIRECT("'"&amp;G$1&amp;"'!C2:C1000")=$C20)
        ),
        5,
        FALSE
    )="",
    "",
    VLOOKUP(
        $A20,
        _xlfn._xlws.FILTER(
            INDIRECT("'"&amp;G$1&amp;"'!A2:G1000"), (INDIRECT("'"&amp;G$1&amp;"'!B2:B1000")=$B20) * (INDIRECT("'"&amp;G$1&amp;"'!C2:C1000")=$C20)
        ),7,
        FALSE
    )
)</f>
        <v>Sim</v>
      </c>
      <c r="H20" s="79" t="str">
        <f t="array" aca="1" ref="H20" ca="1">IF(
    VLOOKUP(
        $A20,
        _xlfn._xlws.FILTER(
            INDIRECT("'"&amp;H$1&amp;"'!A2:G1000"), (INDIRECT("'"&amp;H$1&amp;"'!B2:B1000")=$B20) * (INDIRECT("'"&amp;H$1&amp;"'!C2:C1000")=$C20)
        ),
        5,
        FALSE
    )="",
    "",
    VLOOKUP(
        $A20,
        _xlfn._xlws.FILTER(
            INDIRECT("'"&amp;H$1&amp;"'!A2:G1000"), (INDIRECT("'"&amp;H$1&amp;"'!B2:B1000")=$B20) * (INDIRECT("'"&amp;H$1&amp;"'!C2:C1000")=$C20)
        ),7,
        FALSE
    )
)</f>
        <v>Sim</v>
      </c>
      <c r="I20" s="79" t="str">
        <f t="array" ref="I20" ca="1">IF(
    VLOOKUP(
        $A20,
        _xlfn._xlws.FILTER(
            INDIRECT("'"&amp;I$1&amp;"'!A2:G1000"), (INDIRECT("'"&amp;I$1&amp;"'!B2:B1000")=$B20) * (INDIRECT("'"&amp;I$1&amp;"'!C2:C1000")=$C20)
        ),
        5,
        FALSE
    )="",
    "",
    VLOOKUP(
        $A20,
        _xlfn._xlws.FILTER(
            INDIRECT("'"&amp;I$1&amp;"'!A2:G1000"), (INDIRECT("'"&amp;I$1&amp;"'!B2:B1000")=$B20) * (INDIRECT("'"&amp;I$1&amp;"'!C2:C1000")=$C20)
        ),7,
        FALSE
    )
)</f>
        <v>Sim</v>
      </c>
      <c r="J20" s="79" t="str">
        <f t="array" aca="1" ref="J20" ca="1">IF(
    VLOOKUP(
        $A20,
        _xlfn._xlws.FILTER(
            INDIRECT("'"&amp;J$1&amp;"'!A2:G1000"), (INDIRECT("'"&amp;J$1&amp;"'!B2:B1000")=$B20) * (INDIRECT("'"&amp;J$1&amp;"'!C2:C1000")=$C20)
        ),
        5,
        FALSE
    )="",
    "",
    VLOOKUP(
        $A20,
        _xlfn._xlws.FILTER(
            INDIRECT("'"&amp;J$1&amp;"'!A2:G1000"), (INDIRECT("'"&amp;J$1&amp;"'!B2:B1000")=$B20) * (INDIRECT("'"&amp;J$1&amp;"'!C2:C1000")=$C20)
        ),7,
        FALSE
    )
)</f>
        <v>Sim</v>
      </c>
      <c r="K20" s="79" t="str">
        <f t="array" aca="1" ref="K20" ca="1">IF(
    VLOOKUP(
        $A20,
        _xlfn._xlws.FILTER(
            INDIRECT("'"&amp;K$1&amp;"'!A2:G1000"), (INDIRECT("'"&amp;K$1&amp;"'!B2:B1000")=$B20) * (INDIRECT("'"&amp;K$1&amp;"'!C2:C1000")=$C20)
        ),
        5,
        FALSE
    )="",
    "",
    VLOOKUP(
        $A20,
        _xlfn._xlws.FILTER(
            INDIRECT("'"&amp;K$1&amp;"'!A2:G1000"), (INDIRECT("'"&amp;K$1&amp;"'!B2:B1000")=$B20) * (INDIRECT("'"&amp;K$1&amp;"'!C2:C1000")=$C20)
        ),7,
        FALSE
    )
)</f>
        <v>Não</v>
      </c>
      <c r="L20" s="79" t="str">
        <f t="array" aca="1" ref="L20" ca="1">IF(
    VLOOKUP(
        $A20,
        _xlfn._xlws.FILTER(
            INDIRECT("'"&amp;L$1&amp;"'!A2:G1000"), (INDIRECT("'"&amp;L$1&amp;"'!B2:B1000")=$B20) * (INDIRECT("'"&amp;L$1&amp;"'!C2:C1000")=$C20)
        ),
        5,
        FALSE
    )="",
    "",
    VLOOKUP(
        $A20,
        _xlfn._xlws.FILTER(
            INDIRECT("'"&amp;L$1&amp;"'!A2:G1000"), (INDIRECT("'"&amp;L$1&amp;"'!B2:B1000")=$B20) * (INDIRECT("'"&amp;L$1&amp;"'!C2:C1000")=$C20)
        ),7,
        FALSE
    )
)</f>
        <v>Não</v>
      </c>
      <c r="M20" s="79" t="str">
        <f t="array" aca="1" ref="M20" ca="1">IF(
    VLOOKUP(
        $A20,
        _xlfn._xlws.FILTER(
            INDIRECT("'"&amp;M$1&amp;"'!A2:G1000"), (INDIRECT("'"&amp;M$1&amp;"'!B2:B1000")=$B20) * (INDIRECT("'"&amp;M$1&amp;"'!C2:C1000")=$C20)
        ),
        5,
        FALSE
    )="",
    "",
    VLOOKUP(
        $A20,
        _xlfn._xlws.FILTER(
            INDIRECT("'"&amp;M$1&amp;"'!A2:G1000"), (INDIRECT("'"&amp;M$1&amp;"'!B2:B1000")=$B20) * (INDIRECT("'"&amp;M$1&amp;"'!C2:C1000")=$C20)
        ),7,
        FALSE
    )
)</f>
        <v>Não</v>
      </c>
      <c r="N20" s="79" t="str">
        <f t="array" aca="1" ref="N20" ca="1">IF(
    VLOOKUP(
        $A20,
        _xlfn._xlws.FILTER(
            INDIRECT("'"&amp;N$1&amp;"'!A2:G1000"), (INDIRECT("'"&amp;N$1&amp;"'!B2:B1000")=$B20) * (INDIRECT("'"&amp;N$1&amp;"'!C2:C1000")=$C20)
        ),
        5,
        FALSE
    )="",
    "",
    VLOOKUP(
        $A20,
        _xlfn._xlws.FILTER(
            INDIRECT("'"&amp;N$1&amp;"'!A2:G1000"), (INDIRECT("'"&amp;N$1&amp;"'!B2:B1000")=$B20) * (INDIRECT("'"&amp;N$1&amp;"'!C2:C1000")=$C20)
        ),7,
        FALSE
    )
)</f>
        <v>Não</v>
      </c>
      <c r="O20" s="79" t="str">
        <f t="array" aca="1" ref="O20" ca="1">IF(
    VLOOKUP(
        $A20,
        _xlfn._xlws.FILTER(
            INDIRECT("'"&amp;O$1&amp;"'!A2:G1000"), (INDIRECT("'"&amp;O$1&amp;"'!B2:B1000")=$B20) * (INDIRECT("'"&amp;O$1&amp;"'!C2:C1000")=$C20)
        ),
        5,
        FALSE
    )="",
    "",
    VLOOKUP(
        $A20,
        _xlfn._xlws.FILTER(
            INDIRECT("'"&amp;O$1&amp;"'!A2:G1000"), (INDIRECT("'"&amp;O$1&amp;"'!B2:B1000")=$B20) * (INDIRECT("'"&amp;O$1&amp;"'!C2:C1000")=$C20)
        ),7,
        FALSE
    )
)</f>
        <v>Não</v>
      </c>
      <c r="P20" s="79" t="str">
        <f t="array" aca="1" ref="P20" ca="1">IF(
    VLOOKUP(
        $A20,
        _xlfn._xlws.FILTER(
            INDIRECT("'"&amp;P$1&amp;"'!A2:G1000"), (INDIRECT("'"&amp;P$1&amp;"'!B2:B1000")=$B20) * (INDIRECT("'"&amp;P$1&amp;"'!C2:C1000")=$C20)
        ),
        5,
        FALSE
    )="",
    "",
    VLOOKUP(
        $A20,
        _xlfn._xlws.FILTER(
            INDIRECT("'"&amp;P$1&amp;"'!A2:G1000"), (INDIRECT("'"&amp;P$1&amp;"'!B2:B1000")=$B20) * (INDIRECT("'"&amp;P$1&amp;"'!C2:C1000")=$C20)
        ),7,
        FALSE
    )
)</f>
        <v>Não</v>
      </c>
      <c r="Q20" s="79" t="str">
        <f t="array" aca="1" ref="Q20" ca="1">IF(
    VLOOKUP(
        $A20,
        _xlfn._xlws.FILTER(
            INDIRECT("'"&amp;Q$1&amp;"'!A2:G1000"), (INDIRECT("'"&amp;Q$1&amp;"'!B2:B1000")=$B20) * (INDIRECT("'"&amp;Q$1&amp;"'!C2:C1000")=$C20)
        ),
        5,
        FALSE
    )="",
    "",
    VLOOKUP(
        $A20,
        _xlfn._xlws.FILTER(
            INDIRECT("'"&amp;Q$1&amp;"'!A2:G1000"), (INDIRECT("'"&amp;Q$1&amp;"'!B2:B1000")=$B20) * (INDIRECT("'"&amp;Q$1&amp;"'!C2:C1000")=$C20)
        ),7,
        FALSE
    )
)</f>
        <v/>
      </c>
    </row>
    <row r="21" spans="1:17" ht="15.75" customHeight="1" x14ac:dyDescent="0.25">
      <c r="A21" s="102" t="s">
        <v>36</v>
      </c>
      <c r="B21" s="79" t="s">
        <v>102</v>
      </c>
      <c r="C21" s="79">
        <v>1</v>
      </c>
      <c r="D21" s="79" t="str">
        <f t="array" aca="1" ref="D21" ca="1">IF(
    VLOOKUP(
        $A21,
        _xlfn._xlws.FILTER(
            INDIRECT("'"&amp;D$1&amp;"'!A2:G1000"), (INDIRECT("'"&amp;D$1&amp;"'!B2:B1000")=$B21) * (INDIRECT("'"&amp;D$1&amp;"'!C2:C1000")=$C21)
        ),
        5,
        FALSE
    )="",
    "",
    VLOOKUP(
        $A21,
        _xlfn._xlws.FILTER(
            INDIRECT("'"&amp;D$1&amp;"'!A2:G1000"), (INDIRECT("'"&amp;D$1&amp;"'!B2:B1000")=$B21) * (INDIRECT("'"&amp;D$1&amp;"'!C2:C1000")=$C21)
        ),7,
        FALSE
    )
)</f>
        <v>Não</v>
      </c>
      <c r="E21" s="79" t="str">
        <f t="array" aca="1" ref="E21" ca="1">IF(
    VLOOKUP(
        $A21,
        _xlfn._xlws.FILTER(
            INDIRECT("'"&amp;E$1&amp;"'!A2:G1000"), (INDIRECT("'"&amp;E$1&amp;"'!B2:B1000")=$B21) * (INDIRECT("'"&amp;E$1&amp;"'!C2:C1000")=$C21)
        ),
        5,
        FALSE
    )="",
    "",
    VLOOKUP(
        $A21,
        _xlfn._xlws.FILTER(
            INDIRECT("'"&amp;E$1&amp;"'!A2:G1000"), (INDIRECT("'"&amp;E$1&amp;"'!B2:B1000")=$B21) * (INDIRECT("'"&amp;E$1&amp;"'!C2:C1000")=$C21)
        ),7,
        FALSE
    )
)</f>
        <v>Sim</v>
      </c>
      <c r="F21" s="79" t="str">
        <f t="array" aca="1" ref="F21" ca="1">IF(
    VLOOKUP(
        $A21,
        _xlfn._xlws.FILTER(
            INDIRECT("'"&amp;F$1&amp;"'!A2:G1000"), (INDIRECT("'"&amp;F$1&amp;"'!B2:B1000")=$B21) * (INDIRECT("'"&amp;F$1&amp;"'!C2:C1000")=$C21)
        ),
        5,
        FALSE
    )="",
    "",
    VLOOKUP(
        $A21,
        _xlfn._xlws.FILTER(
            INDIRECT("'"&amp;F$1&amp;"'!A2:G1000"), (INDIRECT("'"&amp;F$1&amp;"'!B2:B1000")=$B21) * (INDIRECT("'"&amp;F$1&amp;"'!C2:C1000")=$C21)
        ),7,
        FALSE
    )
)</f>
        <v>Sim</v>
      </c>
      <c r="G21" s="79" t="str">
        <f t="array" aca="1" ref="G21" ca="1">IF(
    VLOOKUP(
        $A21,
        _xlfn._xlws.FILTER(
            INDIRECT("'"&amp;G$1&amp;"'!A2:G1000"), (INDIRECT("'"&amp;G$1&amp;"'!B2:B1000")=$B21) * (INDIRECT("'"&amp;G$1&amp;"'!C2:C1000")=$C21)
        ),
        5,
        FALSE
    )="",
    "",
    VLOOKUP(
        $A21,
        _xlfn._xlws.FILTER(
            INDIRECT("'"&amp;G$1&amp;"'!A2:G1000"), (INDIRECT("'"&amp;G$1&amp;"'!B2:B1000")=$B21) * (INDIRECT("'"&amp;G$1&amp;"'!C2:C1000")=$C21)
        ),7,
        FALSE
    )
)</f>
        <v>Sim</v>
      </c>
      <c r="H21" s="79" t="str">
        <f t="array" aca="1" ref="H21" ca="1">IF(
    VLOOKUP(
        $A21,
        _xlfn._xlws.FILTER(
            INDIRECT("'"&amp;H$1&amp;"'!A2:G1000"), (INDIRECT("'"&amp;H$1&amp;"'!B2:B1000")=$B21) * (INDIRECT("'"&amp;H$1&amp;"'!C2:C1000")=$C21)
        ),
        5,
        FALSE
    )="",
    "",
    VLOOKUP(
        $A21,
        _xlfn._xlws.FILTER(
            INDIRECT("'"&amp;H$1&amp;"'!A2:G1000"), (INDIRECT("'"&amp;H$1&amp;"'!B2:B1000")=$B21) * (INDIRECT("'"&amp;H$1&amp;"'!C2:C1000")=$C21)
        ),7,
        FALSE
    )
)</f>
        <v>Sim</v>
      </c>
      <c r="I21" s="79" t="str">
        <f t="array" aca="1" ref="I21" ca="1">IF(
    VLOOKUP(
        $A21,
        _xlfn._xlws.FILTER(
            INDIRECT("'"&amp;I$1&amp;"'!A2:G1000"), (INDIRECT("'"&amp;I$1&amp;"'!B2:B1000")=$B21) * (INDIRECT("'"&amp;I$1&amp;"'!C2:C1000")=$C21)
        ),
        5,
        FALSE
    )="",
    "",
    VLOOKUP(
        $A21,
        _xlfn._xlws.FILTER(
            INDIRECT("'"&amp;I$1&amp;"'!A2:G1000"), (INDIRECT("'"&amp;I$1&amp;"'!B2:B1000")=$B21) * (INDIRECT("'"&amp;I$1&amp;"'!C2:C1000")=$C21)
        ),7,
        FALSE
    )
)</f>
        <v>Não</v>
      </c>
      <c r="J21" s="79" t="str">
        <f t="array" aca="1" ref="J21" ca="1">IF(
    VLOOKUP(
        $A21,
        _xlfn._xlws.FILTER(
            INDIRECT("'"&amp;J$1&amp;"'!A2:G1000"), (INDIRECT("'"&amp;J$1&amp;"'!B2:B1000")=$B21) * (INDIRECT("'"&amp;J$1&amp;"'!C2:C1000")=$C21)
        ),
        5,
        FALSE
    )="",
    "",
    VLOOKUP(
        $A21,
        _xlfn._xlws.FILTER(
            INDIRECT("'"&amp;J$1&amp;"'!A2:G1000"), (INDIRECT("'"&amp;J$1&amp;"'!B2:B1000")=$B21) * (INDIRECT("'"&amp;J$1&amp;"'!C2:C1000")=$C21)
        ),7,
        FALSE
    )
)</f>
        <v>Não</v>
      </c>
      <c r="K21" s="79" t="str">
        <f t="array" aca="1" ref="K21" ca="1">IF(
    VLOOKUP(
        $A21,
        _xlfn._xlws.FILTER(
            INDIRECT("'"&amp;K$1&amp;"'!A2:G1000"), (INDIRECT("'"&amp;K$1&amp;"'!B2:B1000")=$B21) * (INDIRECT("'"&amp;K$1&amp;"'!C2:C1000")=$C21)
        ),
        5,
        FALSE
    )="",
    "",
    VLOOKUP(
        $A21,
        _xlfn._xlws.FILTER(
            INDIRECT("'"&amp;K$1&amp;"'!A2:G1000"), (INDIRECT("'"&amp;K$1&amp;"'!B2:B1000")=$B21) * (INDIRECT("'"&amp;K$1&amp;"'!C2:C1000")=$C21)
        ),7,
        FALSE
    )
)</f>
        <v>Não</v>
      </c>
      <c r="L21" s="79" t="str">
        <f t="array" aca="1" ref="L21" ca="1">IF(
    VLOOKUP(
        $A21,
        _xlfn._xlws.FILTER(
            INDIRECT("'"&amp;L$1&amp;"'!A2:G1000"), (INDIRECT("'"&amp;L$1&amp;"'!B2:B1000")=$B21) * (INDIRECT("'"&amp;L$1&amp;"'!C2:C1000")=$C21)
        ),
        5,
        FALSE
    )="",
    "",
    VLOOKUP(
        $A21,
        _xlfn._xlws.FILTER(
            INDIRECT("'"&amp;L$1&amp;"'!A2:G1000"), (INDIRECT("'"&amp;L$1&amp;"'!B2:B1000")=$B21) * (INDIRECT("'"&amp;L$1&amp;"'!C2:C1000")=$C21)
        ),7,
        FALSE
    )
)</f>
        <v>Não</v>
      </c>
      <c r="M21" s="79" t="str">
        <f t="array" aca="1" ref="M21" ca="1">IF(
    VLOOKUP(
        $A21,
        _xlfn._xlws.FILTER(
            INDIRECT("'"&amp;M$1&amp;"'!A2:G1000"), (INDIRECT("'"&amp;M$1&amp;"'!B2:B1000")=$B21) * (INDIRECT("'"&amp;M$1&amp;"'!C2:C1000")=$C21)
        ),
        5,
        FALSE
    )="",
    "",
    VLOOKUP(
        $A21,
        _xlfn._xlws.FILTER(
            INDIRECT("'"&amp;M$1&amp;"'!A2:G1000"), (INDIRECT("'"&amp;M$1&amp;"'!B2:B1000")=$B21) * (INDIRECT("'"&amp;M$1&amp;"'!C2:C1000")=$C21)
        ),7,
        FALSE
    )
)</f>
        <v>Não</v>
      </c>
      <c r="N21" s="79" t="str">
        <f t="array" aca="1" ref="N21" ca="1">IF(
    VLOOKUP(
        $A21,
        _xlfn._xlws.FILTER(
            INDIRECT("'"&amp;N$1&amp;"'!A2:G1000"), (INDIRECT("'"&amp;N$1&amp;"'!B2:B1000")=$B21) * (INDIRECT("'"&amp;N$1&amp;"'!C2:C1000")=$C21)
        ),
        5,
        FALSE
    )="",
    "",
    VLOOKUP(
        $A21,
        _xlfn._xlws.FILTER(
            INDIRECT("'"&amp;N$1&amp;"'!A2:G1000"), (INDIRECT("'"&amp;N$1&amp;"'!B2:B1000")=$B21) * (INDIRECT("'"&amp;N$1&amp;"'!C2:C1000")=$C21)
        ),7,
        FALSE
    )
)</f>
        <v>Não</v>
      </c>
      <c r="O21" s="79" t="str">
        <f t="array" aca="1" ref="O21" ca="1">IF(
    VLOOKUP(
        $A21,
        _xlfn._xlws.FILTER(
            INDIRECT("'"&amp;O$1&amp;"'!A2:G1000"), (INDIRECT("'"&amp;O$1&amp;"'!B2:B1000")=$B21) * (INDIRECT("'"&amp;O$1&amp;"'!C2:C1000")=$C21)
        ),
        5,
        FALSE
    )="",
    "",
    VLOOKUP(
        $A21,
        _xlfn._xlws.FILTER(
            INDIRECT("'"&amp;O$1&amp;"'!A2:G1000"), (INDIRECT("'"&amp;O$1&amp;"'!B2:B1000")=$B21) * (INDIRECT("'"&amp;O$1&amp;"'!C2:C1000")=$C21)
        ),7,
        FALSE
    )
)</f>
        <v>Não</v>
      </c>
      <c r="P21" s="79" t="str">
        <f t="array" aca="1" ref="P21" ca="1">IF(
    VLOOKUP(
        $A21,
        _xlfn._xlws.FILTER(
            INDIRECT("'"&amp;P$1&amp;"'!A2:G1000"), (INDIRECT("'"&amp;P$1&amp;"'!B2:B1000")=$B21) * (INDIRECT("'"&amp;P$1&amp;"'!C2:C1000")=$C21)
        ),
        5,
        FALSE
    )="",
    "",
    VLOOKUP(
        $A21,
        _xlfn._xlws.FILTER(
            INDIRECT("'"&amp;P$1&amp;"'!A2:G1000"), (INDIRECT("'"&amp;P$1&amp;"'!B2:B1000")=$B21) * (INDIRECT("'"&amp;P$1&amp;"'!C2:C1000")=$C21)
        ),7,
        FALSE
    )
)</f>
        <v>Não</v>
      </c>
      <c r="Q21" s="79" t="str">
        <f t="array" aca="1" ref="Q21" ca="1">IF(
    VLOOKUP(
        $A21,
        _xlfn._xlws.FILTER(
            INDIRECT("'"&amp;Q$1&amp;"'!A2:G1000"), (INDIRECT("'"&amp;Q$1&amp;"'!B2:B1000")=$B21) * (INDIRECT("'"&amp;Q$1&amp;"'!C2:C1000")=$C21)
        ),
        5,
        FALSE
    )="",
    "",
    VLOOKUP(
        $A21,
        _xlfn._xlws.FILTER(
            INDIRECT("'"&amp;Q$1&amp;"'!A2:G1000"), (INDIRECT("'"&amp;Q$1&amp;"'!B2:B1000")=$B21) * (INDIRECT("'"&amp;Q$1&amp;"'!C2:C1000")=$C21)
        ),7,
        FALSE
    )
)</f>
        <v/>
      </c>
    </row>
    <row r="22" spans="1:17" ht="15.75" customHeight="1" x14ac:dyDescent="0.25">
      <c r="A22" s="102" t="s">
        <v>36</v>
      </c>
      <c r="B22" s="79" t="s">
        <v>103</v>
      </c>
      <c r="C22" s="79">
        <v>1</v>
      </c>
      <c r="D22" s="79" t="str">
        <f t="array" aca="1" ref="D22" ca="1">IF(
    VLOOKUP(
        $A22,
        _xlfn._xlws.FILTER(
            INDIRECT("'"&amp;D$1&amp;"'!A2:G1000"), (INDIRECT("'"&amp;D$1&amp;"'!B2:B1000")=$B22) * (INDIRECT("'"&amp;D$1&amp;"'!C2:C1000")=$C22)
        ),
        5,
        FALSE
    )="",
    "",
    VLOOKUP(
        $A22,
        _xlfn._xlws.FILTER(
            INDIRECT("'"&amp;D$1&amp;"'!A2:G1000"), (INDIRECT("'"&amp;D$1&amp;"'!B2:B1000")=$B22) * (INDIRECT("'"&amp;D$1&amp;"'!C2:C1000")=$C22)
        ),7,
        FALSE
    )
)</f>
        <v>Sim</v>
      </c>
      <c r="E22" s="79" t="str">
        <f t="array" aca="1" ref="E22" ca="1">IF(
    VLOOKUP(
        $A22,
        _xlfn._xlws.FILTER(
            INDIRECT("'"&amp;E$1&amp;"'!A2:G1000"), (INDIRECT("'"&amp;E$1&amp;"'!B2:B1000")=$B22) * (INDIRECT("'"&amp;E$1&amp;"'!C2:C1000")=$C22)
        ),
        5,
        FALSE
    )="",
    "",
    VLOOKUP(
        $A22,
        _xlfn._xlws.FILTER(
            INDIRECT("'"&amp;E$1&amp;"'!A2:G1000"), (INDIRECT("'"&amp;E$1&amp;"'!B2:B1000")=$B22) * (INDIRECT("'"&amp;E$1&amp;"'!C2:C1000")=$C22)
        ),7,
        FALSE
    )
)</f>
        <v>Sim</v>
      </c>
      <c r="F22" s="79" t="str">
        <f t="array" aca="1" ref="F22" ca="1">IF(
    VLOOKUP(
        $A22,
        _xlfn._xlws.FILTER(
            INDIRECT("'"&amp;F$1&amp;"'!A2:G1000"), (INDIRECT("'"&amp;F$1&amp;"'!B2:B1000")=$B22) * (INDIRECT("'"&amp;F$1&amp;"'!C2:C1000")=$C22)
        ),
        5,
        FALSE
    )="",
    "",
    VLOOKUP(
        $A22,
        _xlfn._xlws.FILTER(
            INDIRECT("'"&amp;F$1&amp;"'!A2:G1000"), (INDIRECT("'"&amp;F$1&amp;"'!B2:B1000")=$B22) * (INDIRECT("'"&amp;F$1&amp;"'!C2:C1000")=$C22)
        ),7,
        FALSE
    )
)</f>
        <v>Sim</v>
      </c>
      <c r="G22" s="79" t="str">
        <f t="array" aca="1" ref="G22" ca="1">IF(
    VLOOKUP(
        $A22,
        _xlfn._xlws.FILTER(
            INDIRECT("'"&amp;G$1&amp;"'!A2:G1000"), (INDIRECT("'"&amp;G$1&amp;"'!B2:B1000")=$B22) * (INDIRECT("'"&amp;G$1&amp;"'!C2:C1000")=$C22)
        ),
        5,
        FALSE
    )="",
    "",
    VLOOKUP(
        $A22,
        _xlfn._xlws.FILTER(
            INDIRECT("'"&amp;G$1&amp;"'!A2:G1000"), (INDIRECT("'"&amp;G$1&amp;"'!B2:B1000")=$B22) * (INDIRECT("'"&amp;G$1&amp;"'!C2:C1000")=$C22)
        ),7,
        FALSE
    )
)</f>
        <v>Sim</v>
      </c>
      <c r="H22" s="79" t="str">
        <f t="array" aca="1" ref="H22" ca="1">IF(
    VLOOKUP(
        $A22,
        _xlfn._xlws.FILTER(
            INDIRECT("'"&amp;H$1&amp;"'!A2:G1000"), (INDIRECT("'"&amp;H$1&amp;"'!B2:B1000")=$B22) * (INDIRECT("'"&amp;H$1&amp;"'!C2:C1000")=$C22)
        ),
        5,
        FALSE
    )="",
    "",
    VLOOKUP(
        $A22,
        _xlfn._xlws.FILTER(
            INDIRECT("'"&amp;H$1&amp;"'!A2:G1000"), (INDIRECT("'"&amp;H$1&amp;"'!B2:B1000")=$B22) * (INDIRECT("'"&amp;H$1&amp;"'!C2:C1000")=$C22)
        ),7,
        FALSE
    )
)</f>
        <v>Sim</v>
      </c>
      <c r="I22" s="79" t="str">
        <f t="array" aca="1" ref="I22" ca="1">IF(
    VLOOKUP(
        $A22,
        _xlfn._xlws.FILTER(
            INDIRECT("'"&amp;I$1&amp;"'!A2:G1000"), (INDIRECT("'"&amp;I$1&amp;"'!B2:B1000")=$B22) * (INDIRECT("'"&amp;I$1&amp;"'!C2:C1000")=$C22)
        ),
        5,
        FALSE
    )="",
    "",
    VLOOKUP(
        $A22,
        _xlfn._xlws.FILTER(
            INDIRECT("'"&amp;I$1&amp;"'!A2:G1000"), (INDIRECT("'"&amp;I$1&amp;"'!B2:B1000")=$B22) * (INDIRECT("'"&amp;I$1&amp;"'!C2:C1000")=$C22)
        ),7,
        FALSE
    )
)</f>
        <v>Sim</v>
      </c>
      <c r="J22" s="79" t="str">
        <f t="array" aca="1" ref="J22" ca="1">IF(
    VLOOKUP(
        $A22,
        _xlfn._xlws.FILTER(
            INDIRECT("'"&amp;J$1&amp;"'!A2:G1000"), (INDIRECT("'"&amp;J$1&amp;"'!B2:B1000")=$B22) * (INDIRECT("'"&amp;J$1&amp;"'!C2:C1000")=$C22)
        ),
        5,
        FALSE
    )="",
    "",
    VLOOKUP(
        $A22,
        _xlfn._xlws.FILTER(
            INDIRECT("'"&amp;J$1&amp;"'!A2:G1000"), (INDIRECT("'"&amp;J$1&amp;"'!B2:B1000")=$B22) * (INDIRECT("'"&amp;J$1&amp;"'!C2:C1000")=$C22)
        ),7,
        FALSE
    )
)</f>
        <v>Sim</v>
      </c>
      <c r="K22" s="79" t="str">
        <f t="array" aca="1" ref="K22" ca="1">IF(
    VLOOKUP(
        $A22,
        _xlfn._xlws.FILTER(
            INDIRECT("'"&amp;K$1&amp;"'!A2:G1000"), (INDIRECT("'"&amp;K$1&amp;"'!B2:B1000")=$B22) * (INDIRECT("'"&amp;K$1&amp;"'!C2:C1000")=$C22)
        ),
        5,
        FALSE
    )="",
    "",
    VLOOKUP(
        $A22,
        _xlfn._xlws.FILTER(
            INDIRECT("'"&amp;K$1&amp;"'!A2:G1000"), (INDIRECT("'"&amp;K$1&amp;"'!B2:B1000")=$B22) * (INDIRECT("'"&amp;K$1&amp;"'!C2:C1000")=$C22)
        ),7,
        FALSE
    )
)</f>
        <v>Não</v>
      </c>
      <c r="L22" s="79" t="str">
        <f t="array" aca="1" ref="L22" ca="1">IF(
    VLOOKUP(
        $A22,
        _xlfn._xlws.FILTER(
            INDIRECT("'"&amp;L$1&amp;"'!A2:G1000"), (INDIRECT("'"&amp;L$1&amp;"'!B2:B1000")=$B22) * (INDIRECT("'"&amp;L$1&amp;"'!C2:C1000")=$C22)
        ),
        5,
        FALSE
    )="",
    "",
    VLOOKUP(
        $A22,
        _xlfn._xlws.FILTER(
            INDIRECT("'"&amp;L$1&amp;"'!A2:G1000"), (INDIRECT("'"&amp;L$1&amp;"'!B2:B1000")=$B22) * (INDIRECT("'"&amp;L$1&amp;"'!C2:C1000")=$C22)
        ),7,
        FALSE
    )
)</f>
        <v>Não</v>
      </c>
      <c r="M22" s="79" t="str">
        <f t="array" ref="M22" ca="1">IF(
    VLOOKUP(
        $A22,
        _xlfn._xlws.FILTER(
            INDIRECT("'"&amp;M$1&amp;"'!A2:G1000"), (INDIRECT("'"&amp;M$1&amp;"'!B2:B1000")=$B22) * (INDIRECT("'"&amp;M$1&amp;"'!C2:C1000")=$C22)
        ),
        5,
        FALSE
    )="",
    "",
    VLOOKUP(
        $A22,
        _xlfn._xlws.FILTER(
            INDIRECT("'"&amp;M$1&amp;"'!A2:G1000"), (INDIRECT("'"&amp;M$1&amp;"'!B2:B1000")=$B22) * (INDIRECT("'"&amp;M$1&amp;"'!C2:C1000")=$C22)
        ),7,
        FALSE
    )
)</f>
        <v>Não</v>
      </c>
      <c r="N22" s="79" t="str">
        <f t="array" aca="1" ref="N22" ca="1">IF(
    VLOOKUP(
        $A22,
        _xlfn._xlws.FILTER(
            INDIRECT("'"&amp;N$1&amp;"'!A2:G1000"), (INDIRECT("'"&amp;N$1&amp;"'!B2:B1000")=$B22) * (INDIRECT("'"&amp;N$1&amp;"'!C2:C1000")=$C22)
        ),
        5,
        FALSE
    )="",
    "",
    VLOOKUP(
        $A22,
        _xlfn._xlws.FILTER(
            INDIRECT("'"&amp;N$1&amp;"'!A2:G1000"), (INDIRECT("'"&amp;N$1&amp;"'!B2:B1000")=$B22) * (INDIRECT("'"&amp;N$1&amp;"'!C2:C1000")=$C22)
        ),7,
        FALSE
    )
)</f>
        <v>Não</v>
      </c>
      <c r="O22" s="79" t="str">
        <f t="array" aca="1" ref="O22" ca="1">IF(
    VLOOKUP(
        $A22,
        _xlfn._xlws.FILTER(
            INDIRECT("'"&amp;O$1&amp;"'!A2:G1000"), (INDIRECT("'"&amp;O$1&amp;"'!B2:B1000")=$B22) * (INDIRECT("'"&amp;O$1&amp;"'!C2:C1000")=$C22)
        ),
        5,
        FALSE
    )="",
    "",
    VLOOKUP(
        $A22,
        _xlfn._xlws.FILTER(
            INDIRECT("'"&amp;O$1&amp;"'!A2:G1000"), (INDIRECT("'"&amp;O$1&amp;"'!B2:B1000")=$B22) * (INDIRECT("'"&amp;O$1&amp;"'!C2:C1000")=$C22)
        ),7,
        FALSE
    )
)</f>
        <v>Não</v>
      </c>
      <c r="P22" s="79" t="str">
        <f t="array" aca="1" ref="P22" ca="1">IF(
    VLOOKUP(
        $A22,
        _xlfn._xlws.FILTER(
            INDIRECT("'"&amp;P$1&amp;"'!A2:G1000"), (INDIRECT("'"&amp;P$1&amp;"'!B2:B1000")=$B22) * (INDIRECT("'"&amp;P$1&amp;"'!C2:C1000")=$C22)
        ),
        5,
        FALSE
    )="",
    "",
    VLOOKUP(
        $A22,
        _xlfn._xlws.FILTER(
            INDIRECT("'"&amp;P$1&amp;"'!A2:G1000"), (INDIRECT("'"&amp;P$1&amp;"'!B2:B1000")=$B22) * (INDIRECT("'"&amp;P$1&amp;"'!C2:C1000")=$C22)
        ),7,
        FALSE
    )
)</f>
        <v>Não</v>
      </c>
      <c r="Q22" s="79" t="str">
        <f t="array" aca="1" ref="Q22" ca="1">IF(
    VLOOKUP(
        $A22,
        _xlfn._xlws.FILTER(
            INDIRECT("'"&amp;Q$1&amp;"'!A2:G1000"), (INDIRECT("'"&amp;Q$1&amp;"'!B2:B1000")=$B22) * (INDIRECT("'"&amp;Q$1&amp;"'!C2:C1000")=$C22)
        ),
        5,
        FALSE
    )="",
    "",
    VLOOKUP(
        $A22,
        _xlfn._xlws.FILTER(
            INDIRECT("'"&amp;Q$1&amp;"'!A2:G1000"), (INDIRECT("'"&amp;Q$1&amp;"'!B2:B1000")=$B22) * (INDIRECT("'"&amp;Q$1&amp;"'!C2:C1000")=$C22)
        ),7,
        FALSE
    )
)</f>
        <v/>
      </c>
    </row>
    <row r="23" spans="1:17" ht="15.75" customHeight="1" x14ac:dyDescent="0.25">
      <c r="A23" s="102" t="s">
        <v>36</v>
      </c>
      <c r="B23" s="79" t="s">
        <v>104</v>
      </c>
      <c r="C23" s="79">
        <v>1</v>
      </c>
      <c r="D23" s="79" t="str">
        <f t="array" aca="1" ref="D23" ca="1">IF(
    VLOOKUP(
        $A23,
        _xlfn._xlws.FILTER(
            INDIRECT("'"&amp;D$1&amp;"'!A2:G1000"), (INDIRECT("'"&amp;D$1&amp;"'!B2:B1000")=$B23) * (INDIRECT("'"&amp;D$1&amp;"'!C2:C1000")=$C23)
        ),
        5,
        FALSE
    )="",
    "",
    VLOOKUP(
        $A23,
        _xlfn._xlws.FILTER(
            INDIRECT("'"&amp;D$1&amp;"'!A2:G1000"), (INDIRECT("'"&amp;D$1&amp;"'!B2:B1000")=$B23) * (INDIRECT("'"&amp;D$1&amp;"'!C2:C1000")=$C23)
        ),7,
        FALSE
    )
)</f>
        <v>Não</v>
      </c>
      <c r="E23" s="79" t="str">
        <f t="array" aca="1" ref="E23" ca="1">IF(
    VLOOKUP(
        $A23,
        _xlfn._xlws.FILTER(
            INDIRECT("'"&amp;E$1&amp;"'!A2:G1000"), (INDIRECT("'"&amp;E$1&amp;"'!B2:B1000")=$B23) * (INDIRECT("'"&amp;E$1&amp;"'!C2:C1000")=$C23)
        ),
        5,
        FALSE
    )="",
    "",
    VLOOKUP(
        $A23,
        _xlfn._xlws.FILTER(
            INDIRECT("'"&amp;E$1&amp;"'!A2:G1000"), (INDIRECT("'"&amp;E$1&amp;"'!B2:B1000")=$B23) * (INDIRECT("'"&amp;E$1&amp;"'!C2:C1000")=$C23)
        ),7,
        FALSE
    )
)</f>
        <v>Sim</v>
      </c>
      <c r="F23" s="79" t="str">
        <f t="array" aca="1" ref="F23" ca="1">IF(
    VLOOKUP(
        $A23,
        _xlfn._xlws.FILTER(
            INDIRECT("'"&amp;F$1&amp;"'!A2:G1000"), (INDIRECT("'"&amp;F$1&amp;"'!B2:B1000")=$B23) * (INDIRECT("'"&amp;F$1&amp;"'!C2:C1000")=$C23)
        ),
        5,
        FALSE
    )="",
    "",
    VLOOKUP(
        $A23,
        _xlfn._xlws.FILTER(
            INDIRECT("'"&amp;F$1&amp;"'!A2:G1000"), (INDIRECT("'"&amp;F$1&amp;"'!B2:B1000")=$B23) * (INDIRECT("'"&amp;F$1&amp;"'!C2:C1000")=$C23)
        ),7,
        FALSE
    )
)</f>
        <v>Não</v>
      </c>
      <c r="G23" s="79" t="str">
        <f t="array" aca="1" ref="G23" ca="1">IF(
    VLOOKUP(
        $A23,
        _xlfn._xlws.FILTER(
            INDIRECT("'"&amp;G$1&amp;"'!A2:G1000"), (INDIRECT("'"&amp;G$1&amp;"'!B2:B1000")=$B23) * (INDIRECT("'"&amp;G$1&amp;"'!C2:C1000")=$C23)
        ),
        5,
        FALSE
    )="",
    "",
    VLOOKUP(
        $A23,
        _xlfn._xlws.FILTER(
            INDIRECT("'"&amp;G$1&amp;"'!A2:G1000"), (INDIRECT("'"&amp;G$1&amp;"'!B2:B1000")=$B23) * (INDIRECT("'"&amp;G$1&amp;"'!C2:C1000")=$C23)
        ),7,
        FALSE
    )
)</f>
        <v>Não</v>
      </c>
      <c r="H23" s="79" t="str">
        <f t="array" aca="1" ref="H23" ca="1">IF(
    VLOOKUP(
        $A23,
        _xlfn._xlws.FILTER(
            INDIRECT("'"&amp;H$1&amp;"'!A2:G1000"), (INDIRECT("'"&amp;H$1&amp;"'!B2:B1000")=$B23) * (INDIRECT("'"&amp;H$1&amp;"'!C2:C1000")=$C23)
        ),
        5,
        FALSE
    )="",
    "",
    VLOOKUP(
        $A23,
        _xlfn._xlws.FILTER(
            INDIRECT("'"&amp;H$1&amp;"'!A2:G1000"), (INDIRECT("'"&amp;H$1&amp;"'!B2:B1000")=$B23) * (INDIRECT("'"&amp;H$1&amp;"'!C2:C1000")=$C23)
        ),7,
        FALSE
    )
)</f>
        <v>Sim</v>
      </c>
      <c r="I23" s="79" t="str">
        <f t="array" aca="1" ref="I23" ca="1">IF(
    VLOOKUP(
        $A23,
        _xlfn._xlws.FILTER(
            INDIRECT("'"&amp;I$1&amp;"'!A2:G1000"), (INDIRECT("'"&amp;I$1&amp;"'!B2:B1000")=$B23) * (INDIRECT("'"&amp;I$1&amp;"'!C2:C1000")=$C23)
        ),
        5,
        FALSE
    )="",
    "",
    VLOOKUP(
        $A23,
        _xlfn._xlws.FILTER(
            INDIRECT("'"&amp;I$1&amp;"'!A2:G1000"), (INDIRECT("'"&amp;I$1&amp;"'!B2:B1000")=$B23) * (INDIRECT("'"&amp;I$1&amp;"'!C2:C1000")=$C23)
        ),7,
        FALSE
    )
)</f>
        <v>Sim</v>
      </c>
      <c r="J23" s="79" t="str">
        <f t="array" ref="J23" ca="1">IF(
    VLOOKUP(
        $A23,
        _xlfn._xlws.FILTER(
            INDIRECT("'"&amp;J$1&amp;"'!A2:G1000"), (INDIRECT("'"&amp;J$1&amp;"'!B2:B1000")=$B23) * (INDIRECT("'"&amp;J$1&amp;"'!C2:C1000")=$C23)
        ),
        5,
        FALSE
    )="",
    "",
    VLOOKUP(
        $A23,
        _xlfn._xlws.FILTER(
            INDIRECT("'"&amp;J$1&amp;"'!A2:G1000"), (INDIRECT("'"&amp;J$1&amp;"'!B2:B1000")=$B23) * (INDIRECT("'"&amp;J$1&amp;"'!C2:C1000")=$C23)
        ),7,
        FALSE
    )
)</f>
        <v>Sim</v>
      </c>
      <c r="K23" s="79" t="str">
        <f t="array" aca="1" ref="K23" ca="1">IF(
    VLOOKUP(
        $A23,
        _xlfn._xlws.FILTER(
            INDIRECT("'"&amp;K$1&amp;"'!A2:G1000"), (INDIRECT("'"&amp;K$1&amp;"'!B2:B1000")=$B23) * (INDIRECT("'"&amp;K$1&amp;"'!C2:C1000")=$C23)
        ),
        5,
        FALSE
    )="",
    "",
    VLOOKUP(
        $A23,
        _xlfn._xlws.FILTER(
            INDIRECT("'"&amp;K$1&amp;"'!A2:G1000"), (INDIRECT("'"&amp;K$1&amp;"'!B2:B1000")=$B23) * (INDIRECT("'"&amp;K$1&amp;"'!C2:C1000")=$C23)
        ),7,
        FALSE
    )
)</f>
        <v>Sim</v>
      </c>
      <c r="L23" s="79" t="str">
        <f t="array" aca="1" ref="L23" ca="1">IF(
    VLOOKUP(
        $A23,
        _xlfn._xlws.FILTER(
            INDIRECT("'"&amp;L$1&amp;"'!A2:G1000"), (INDIRECT("'"&amp;L$1&amp;"'!B2:B1000")=$B23) * (INDIRECT("'"&amp;L$1&amp;"'!C2:C1000")=$C23)
        ),
        5,
        FALSE
    )="",
    "",
    VLOOKUP(
        $A23,
        _xlfn._xlws.FILTER(
            INDIRECT("'"&amp;L$1&amp;"'!A2:G1000"), (INDIRECT("'"&amp;L$1&amp;"'!B2:B1000")=$B23) * (INDIRECT("'"&amp;L$1&amp;"'!C2:C1000")=$C23)
        ),7,
        FALSE
    )
)</f>
        <v>Sim</v>
      </c>
      <c r="M23" s="79" t="str">
        <f t="array" aca="1" ref="M23" ca="1">IF(
    VLOOKUP(
        $A23,
        _xlfn._xlws.FILTER(
            INDIRECT("'"&amp;M$1&amp;"'!A2:G1000"), (INDIRECT("'"&amp;M$1&amp;"'!B2:B1000")=$B23) * (INDIRECT("'"&amp;M$1&amp;"'!C2:C1000")=$C23)
        ),
        5,
        FALSE
    )="",
    "",
    VLOOKUP(
        $A23,
        _xlfn._xlws.FILTER(
            INDIRECT("'"&amp;M$1&amp;"'!A2:G1000"), (INDIRECT("'"&amp;M$1&amp;"'!B2:B1000")=$B23) * (INDIRECT("'"&amp;M$1&amp;"'!C2:C1000")=$C23)
        ),7,
        FALSE
    )
)</f>
        <v>Sim</v>
      </c>
      <c r="N23" s="79" t="str">
        <f t="array" aca="1" ref="N23" ca="1">IF(
    VLOOKUP(
        $A23,
        _xlfn._xlws.FILTER(
            INDIRECT("'"&amp;N$1&amp;"'!A2:G1000"), (INDIRECT("'"&amp;N$1&amp;"'!B2:B1000")=$B23) * (INDIRECT("'"&amp;N$1&amp;"'!C2:C1000")=$C23)
        ),
        5,
        FALSE
    )="",
    "",
    VLOOKUP(
        $A23,
        _xlfn._xlws.FILTER(
            INDIRECT("'"&amp;N$1&amp;"'!A2:G1000"), (INDIRECT("'"&amp;N$1&amp;"'!B2:B1000")=$B23) * (INDIRECT("'"&amp;N$1&amp;"'!C2:C1000")=$C23)
        ),7,
        FALSE
    )
)</f>
        <v>Não</v>
      </c>
      <c r="O23" s="79" t="str">
        <f t="array" aca="1" ref="O23" ca="1">IF(
    VLOOKUP(
        $A23,
        _xlfn._xlws.FILTER(
            INDIRECT("'"&amp;O$1&amp;"'!A2:G1000"), (INDIRECT("'"&amp;O$1&amp;"'!B2:B1000")=$B23) * (INDIRECT("'"&amp;O$1&amp;"'!C2:C1000")=$C23)
        ),
        5,
        FALSE
    )="",
    "",
    VLOOKUP(
        $A23,
        _xlfn._xlws.FILTER(
            INDIRECT("'"&amp;O$1&amp;"'!A2:G1000"), (INDIRECT("'"&amp;O$1&amp;"'!B2:B1000")=$B23) * (INDIRECT("'"&amp;O$1&amp;"'!C2:C1000")=$C23)
        ),7,
        FALSE
    )
)</f>
        <v>Não</v>
      </c>
      <c r="P23" s="79" t="str">
        <f t="array" aca="1" ref="P23" ca="1">IF(
    VLOOKUP(
        $A23,
        _xlfn._xlws.FILTER(
            INDIRECT("'"&amp;P$1&amp;"'!A2:G1000"), (INDIRECT("'"&amp;P$1&amp;"'!B2:B1000")=$B23) * (INDIRECT("'"&amp;P$1&amp;"'!C2:C1000")=$C23)
        ),
        5,
        FALSE
    )="",
    "",
    VLOOKUP(
        $A23,
        _xlfn._xlws.FILTER(
            INDIRECT("'"&amp;P$1&amp;"'!A2:G1000"), (INDIRECT("'"&amp;P$1&amp;"'!B2:B1000")=$B23) * (INDIRECT("'"&amp;P$1&amp;"'!C2:C1000")=$C23)
        ),7,
        FALSE
    )
)</f>
        <v>Não</v>
      </c>
      <c r="Q23" s="79" t="str">
        <f t="array" aca="1" ref="Q23" ca="1">IF(
    VLOOKUP(
        $A23,
        _xlfn._xlws.FILTER(
            INDIRECT("'"&amp;Q$1&amp;"'!A2:G1000"), (INDIRECT("'"&amp;Q$1&amp;"'!B2:B1000")=$B23) * (INDIRECT("'"&amp;Q$1&amp;"'!C2:C1000")=$C23)
        ),
        5,
        FALSE
    )="",
    "",
    VLOOKUP(
        $A23,
        _xlfn._xlws.FILTER(
            INDIRECT("'"&amp;Q$1&amp;"'!A2:G1000"), (INDIRECT("'"&amp;Q$1&amp;"'!B2:B1000")=$B23) * (INDIRECT("'"&amp;Q$1&amp;"'!C2:C1000")=$C23)
        ),7,
        FALSE
    )
)</f>
        <v/>
      </c>
    </row>
    <row r="24" spans="1:17" ht="15.75" customHeight="1" x14ac:dyDescent="0.25">
      <c r="A24" s="102" t="s">
        <v>36</v>
      </c>
      <c r="B24" s="79" t="s">
        <v>105</v>
      </c>
      <c r="C24" s="79">
        <v>1</v>
      </c>
      <c r="D24" s="79" t="str">
        <f t="array" aca="1" ref="D24" ca="1">IF(
    VLOOKUP(
        $A24,
        _xlfn._xlws.FILTER(
            INDIRECT("'"&amp;D$1&amp;"'!A2:G1000"), (INDIRECT("'"&amp;D$1&amp;"'!B2:B1000")=$B24) * (INDIRECT("'"&amp;D$1&amp;"'!C2:C1000")=$C24)
        ),
        5,
        FALSE
    )="",
    "",
    VLOOKUP(
        $A24,
        _xlfn._xlws.FILTER(
            INDIRECT("'"&amp;D$1&amp;"'!A2:G1000"), (INDIRECT("'"&amp;D$1&amp;"'!B2:B1000")=$B24) * (INDIRECT("'"&amp;D$1&amp;"'!C2:C1000")=$C24)
        ),7,
        FALSE
    )
)</f>
        <v>Não</v>
      </c>
      <c r="E24" s="79" t="str">
        <f t="array" aca="1" ref="E24" ca="1">IF(
    VLOOKUP(
        $A24,
        _xlfn._xlws.FILTER(
            INDIRECT("'"&amp;E$1&amp;"'!A2:G1000"), (INDIRECT("'"&amp;E$1&amp;"'!B2:B1000")=$B24) * (INDIRECT("'"&amp;E$1&amp;"'!C2:C1000")=$C24)
        ),
        5,
        FALSE
    )="",
    "",
    VLOOKUP(
        $A24,
        _xlfn._xlws.FILTER(
            INDIRECT("'"&amp;E$1&amp;"'!A2:G1000"), (INDIRECT("'"&amp;E$1&amp;"'!B2:B1000")=$B24) * (INDIRECT("'"&amp;E$1&amp;"'!C2:C1000")=$C24)
        ),7,
        FALSE
    )
)</f>
        <v>Não</v>
      </c>
      <c r="F24" s="79" t="str">
        <f t="array" aca="1" ref="F24" ca="1">IF(
    VLOOKUP(
        $A24,
        _xlfn._xlws.FILTER(
            INDIRECT("'"&amp;F$1&amp;"'!A2:G1000"), (INDIRECT("'"&amp;F$1&amp;"'!B2:B1000")=$B24) * (INDIRECT("'"&amp;F$1&amp;"'!C2:C1000")=$C24)
        ),
        5,
        FALSE
    )="",
    "",
    VLOOKUP(
        $A24,
        _xlfn._xlws.FILTER(
            INDIRECT("'"&amp;F$1&amp;"'!A2:G1000"), (INDIRECT("'"&amp;F$1&amp;"'!B2:B1000")=$B24) * (INDIRECT("'"&amp;F$1&amp;"'!C2:C1000")=$C24)
        ),7,
        FALSE
    )
)</f>
        <v>Não</v>
      </c>
      <c r="G24" s="79" t="str">
        <f t="array" aca="1" ref="G24" ca="1">IF(
    VLOOKUP(
        $A24,
        _xlfn._xlws.FILTER(
            INDIRECT("'"&amp;G$1&amp;"'!A2:G1000"), (INDIRECT("'"&amp;G$1&amp;"'!B2:B1000")=$B24) * (INDIRECT("'"&amp;G$1&amp;"'!C2:C1000")=$C24)
        ),
        5,
        FALSE
    )="",
    "",
    VLOOKUP(
        $A24,
        _xlfn._xlws.FILTER(
            INDIRECT("'"&amp;G$1&amp;"'!A2:G1000"), (INDIRECT("'"&amp;G$1&amp;"'!B2:B1000")=$B24) * (INDIRECT("'"&amp;G$1&amp;"'!C2:C1000")=$C24)
        ),7,
        FALSE
    )
)</f>
        <v>Não</v>
      </c>
      <c r="H24" s="79" t="str">
        <f t="array" aca="1" ref="H24" ca="1">IF(
    VLOOKUP(
        $A24,
        _xlfn._xlws.FILTER(
            INDIRECT("'"&amp;H$1&amp;"'!A2:G1000"), (INDIRECT("'"&amp;H$1&amp;"'!B2:B1000")=$B24) * (INDIRECT("'"&amp;H$1&amp;"'!C2:C1000")=$C24)
        ),
        5,
        FALSE
    )="",
    "",
    VLOOKUP(
        $A24,
        _xlfn._xlws.FILTER(
            INDIRECT("'"&amp;H$1&amp;"'!A2:G1000"), (INDIRECT("'"&amp;H$1&amp;"'!B2:B1000")=$B24) * (INDIRECT("'"&amp;H$1&amp;"'!C2:C1000")=$C24)
        ),7,
        FALSE
    )
)</f>
        <v>Não</v>
      </c>
      <c r="I24" s="79" t="str">
        <f t="array" aca="1" ref="I24" ca="1">IF(
    VLOOKUP(
        $A24,
        _xlfn._xlws.FILTER(
            INDIRECT("'"&amp;I$1&amp;"'!A2:G1000"), (INDIRECT("'"&amp;I$1&amp;"'!B2:B1000")=$B24) * (INDIRECT("'"&amp;I$1&amp;"'!C2:C1000")=$C24)
        ),
        5,
        FALSE
    )="",
    "",
    VLOOKUP(
        $A24,
        _xlfn._xlws.FILTER(
            INDIRECT("'"&amp;I$1&amp;"'!A2:G1000"), (INDIRECT("'"&amp;I$1&amp;"'!B2:B1000")=$B24) * (INDIRECT("'"&amp;I$1&amp;"'!C2:C1000")=$C24)
        ),7,
        FALSE
    )
)</f>
        <v>Não</v>
      </c>
      <c r="J24" s="79" t="str">
        <f t="array" aca="1" ref="J24" ca="1">IF(
    VLOOKUP(
        $A24,
        _xlfn._xlws.FILTER(
            INDIRECT("'"&amp;J$1&amp;"'!A2:G1000"), (INDIRECT("'"&amp;J$1&amp;"'!B2:B1000")=$B24) * (INDIRECT("'"&amp;J$1&amp;"'!C2:C1000")=$C24)
        ),
        5,
        FALSE
    )="",
    "",
    VLOOKUP(
        $A24,
        _xlfn._xlws.FILTER(
            INDIRECT("'"&amp;J$1&amp;"'!A2:G1000"), (INDIRECT("'"&amp;J$1&amp;"'!B2:B1000")=$B24) * (INDIRECT("'"&amp;J$1&amp;"'!C2:C1000")=$C24)
        ),7,
        FALSE
    )
)</f>
        <v>Não</v>
      </c>
      <c r="K24" s="79" t="str">
        <f t="array" aca="1" ref="K24" ca="1">IF(
    VLOOKUP(
        $A24,
        _xlfn._xlws.FILTER(
            INDIRECT("'"&amp;K$1&amp;"'!A2:G1000"), (INDIRECT("'"&amp;K$1&amp;"'!B2:B1000")=$B24) * (INDIRECT("'"&amp;K$1&amp;"'!C2:C1000")=$C24)
        ),
        5,
        FALSE
    )="",
    "",
    VLOOKUP(
        $A24,
        _xlfn._xlws.FILTER(
            INDIRECT("'"&amp;K$1&amp;"'!A2:G1000"), (INDIRECT("'"&amp;K$1&amp;"'!B2:B1000")=$B24) * (INDIRECT("'"&amp;K$1&amp;"'!C2:C1000")=$C24)
        ),7,
        FALSE
    )
)</f>
        <v>Não</v>
      </c>
      <c r="L24" s="79" t="str">
        <f t="array" aca="1" ref="L24" ca="1">IF(
    VLOOKUP(
        $A24,
        _xlfn._xlws.FILTER(
            INDIRECT("'"&amp;L$1&amp;"'!A2:G1000"), (INDIRECT("'"&amp;L$1&amp;"'!B2:B1000")=$B24) * (INDIRECT("'"&amp;L$1&amp;"'!C2:C1000")=$C24)
        ),
        5,
        FALSE
    )="",
    "",
    VLOOKUP(
        $A24,
        _xlfn._xlws.FILTER(
            INDIRECT("'"&amp;L$1&amp;"'!A2:G1000"), (INDIRECT("'"&amp;L$1&amp;"'!B2:B1000")=$B24) * (INDIRECT("'"&amp;L$1&amp;"'!C2:C1000")=$C24)
        ),7,
        FALSE
    )
)</f>
        <v>Não</v>
      </c>
      <c r="M24" s="79" t="str">
        <f t="array" aca="1" ref="M24" ca="1">IF(
    VLOOKUP(
        $A24,
        _xlfn._xlws.FILTER(
            INDIRECT("'"&amp;M$1&amp;"'!A2:G1000"), (INDIRECT("'"&amp;M$1&amp;"'!B2:B1000")=$B24) * (INDIRECT("'"&amp;M$1&amp;"'!C2:C1000")=$C24)
        ),
        5,
        FALSE
    )="",
    "",
    VLOOKUP(
        $A24,
        _xlfn._xlws.FILTER(
            INDIRECT("'"&amp;M$1&amp;"'!A2:G1000"), (INDIRECT("'"&amp;M$1&amp;"'!B2:B1000")=$B24) * (INDIRECT("'"&amp;M$1&amp;"'!C2:C1000")=$C24)
        ),7,
        FALSE
    )
)</f>
        <v>Não</v>
      </c>
      <c r="N24" s="79" t="str">
        <f t="array" aca="1" ref="N24" ca="1">IF(
    VLOOKUP(
        $A24,
        _xlfn._xlws.FILTER(
            INDIRECT("'"&amp;N$1&amp;"'!A2:G1000"), (INDIRECT("'"&amp;N$1&amp;"'!B2:B1000")=$B24) * (INDIRECT("'"&amp;N$1&amp;"'!C2:C1000")=$C24)
        ),
        5,
        FALSE
    )="",
    "",
    VLOOKUP(
        $A24,
        _xlfn._xlws.FILTER(
            INDIRECT("'"&amp;N$1&amp;"'!A2:G1000"), (INDIRECT("'"&amp;N$1&amp;"'!B2:B1000")=$B24) * (INDIRECT("'"&amp;N$1&amp;"'!C2:C1000")=$C24)
        ),7,
        FALSE
    )
)</f>
        <v>Não</v>
      </c>
      <c r="O24" s="79" t="str">
        <f t="array" aca="1" ref="O24" ca="1">IF(
    VLOOKUP(
        $A24,
        _xlfn._xlws.FILTER(
            INDIRECT("'"&amp;O$1&amp;"'!A2:G1000"), (INDIRECT("'"&amp;O$1&amp;"'!B2:B1000")=$B24) * (INDIRECT("'"&amp;O$1&amp;"'!C2:C1000")=$C24)
        ),
        5,
        FALSE
    )="",
    "",
    VLOOKUP(
        $A24,
        _xlfn._xlws.FILTER(
            INDIRECT("'"&amp;O$1&amp;"'!A2:G1000"), (INDIRECT("'"&amp;O$1&amp;"'!B2:B1000")=$B24) * (INDIRECT("'"&amp;O$1&amp;"'!C2:C1000")=$C24)
        ),7,
        FALSE
    )
)</f>
        <v>Não</v>
      </c>
      <c r="P24" s="79" t="str">
        <f t="array" aca="1" ref="P24" ca="1">IF(
    VLOOKUP(
        $A24,
        _xlfn._xlws.FILTER(
            INDIRECT("'"&amp;P$1&amp;"'!A2:G1000"), (INDIRECT("'"&amp;P$1&amp;"'!B2:B1000")=$B24) * (INDIRECT("'"&amp;P$1&amp;"'!C2:C1000")=$C24)
        ),
        5,
        FALSE
    )="",
    "",
    VLOOKUP(
        $A24,
        _xlfn._xlws.FILTER(
            INDIRECT("'"&amp;P$1&amp;"'!A2:G1000"), (INDIRECT("'"&amp;P$1&amp;"'!B2:B1000")=$B24) * (INDIRECT("'"&amp;P$1&amp;"'!C2:C1000")=$C24)
        ),7,
        FALSE
    )
)</f>
        <v>Não</v>
      </c>
      <c r="Q24" s="79" t="str">
        <f t="array" aca="1" ref="Q24" ca="1">IF(
    VLOOKUP(
        $A24,
        _xlfn._xlws.FILTER(
            INDIRECT("'"&amp;Q$1&amp;"'!A2:G1000"), (INDIRECT("'"&amp;Q$1&amp;"'!B2:B1000")=$B24) * (INDIRECT("'"&amp;Q$1&amp;"'!C2:C1000")=$C24)
        ),
        5,
        FALSE
    )="",
    "",
    VLOOKUP(
        $A24,
        _xlfn._xlws.FILTER(
            INDIRECT("'"&amp;Q$1&amp;"'!A2:G1000"), (INDIRECT("'"&amp;Q$1&amp;"'!B2:B1000")=$B24) * (INDIRECT("'"&amp;Q$1&amp;"'!C2:C1000")=$C24)
        ),7,
        FALSE
    )
)</f>
        <v/>
      </c>
    </row>
    <row r="25" spans="1:17" ht="15.75" customHeight="1" x14ac:dyDescent="0.25">
      <c r="A25" s="102" t="s">
        <v>36</v>
      </c>
      <c r="B25" s="79" t="s">
        <v>106</v>
      </c>
      <c r="C25" s="79">
        <v>1</v>
      </c>
      <c r="D25" s="79" t="str">
        <f t="array" aca="1" ref="D25" ca="1">IF(
    VLOOKUP(
        $A25,
        _xlfn._xlws.FILTER(
            INDIRECT("'"&amp;D$1&amp;"'!A2:G1000"), (INDIRECT("'"&amp;D$1&amp;"'!B2:B1000")=$B25) * (INDIRECT("'"&amp;D$1&amp;"'!C2:C1000")=$C25)
        ),
        5,
        FALSE
    )="",
    "",
    VLOOKUP(
        $A25,
        _xlfn._xlws.FILTER(
            INDIRECT("'"&amp;D$1&amp;"'!A2:G1000"), (INDIRECT("'"&amp;D$1&amp;"'!B2:B1000")=$B25) * (INDIRECT("'"&amp;D$1&amp;"'!C2:C1000")=$C25)
        ),7,
        FALSE
    )
)</f>
        <v>Não</v>
      </c>
      <c r="E25" s="79" t="str">
        <f t="array" aca="1" ref="E25" ca="1">IF(
    VLOOKUP(
        $A25,
        _xlfn._xlws.FILTER(
            INDIRECT("'"&amp;E$1&amp;"'!A2:G1000"), (INDIRECT("'"&amp;E$1&amp;"'!B2:B1000")=$B25) * (INDIRECT("'"&amp;E$1&amp;"'!C2:C1000")=$C25)
        ),
        5,
        FALSE
    )="",
    "",
    VLOOKUP(
        $A25,
        _xlfn._xlws.FILTER(
            INDIRECT("'"&amp;E$1&amp;"'!A2:G1000"), (INDIRECT("'"&amp;E$1&amp;"'!B2:B1000")=$B25) * (INDIRECT("'"&amp;E$1&amp;"'!C2:C1000")=$C25)
        ),7,
        FALSE
    )
)</f>
        <v>Sim</v>
      </c>
      <c r="F25" s="79" t="str">
        <f t="array" aca="1" ref="F25" ca="1">IF(
    VLOOKUP(
        $A25,
        _xlfn._xlws.FILTER(
            INDIRECT("'"&amp;F$1&amp;"'!A2:G1000"), (INDIRECT("'"&amp;F$1&amp;"'!B2:B1000")=$B25) * (INDIRECT("'"&amp;F$1&amp;"'!C2:C1000")=$C25)
        ),
        5,
        FALSE
    )="",
    "",
    VLOOKUP(
        $A25,
        _xlfn._xlws.FILTER(
            INDIRECT("'"&amp;F$1&amp;"'!A2:G1000"), (INDIRECT("'"&amp;F$1&amp;"'!B2:B1000")=$B25) * (INDIRECT("'"&amp;F$1&amp;"'!C2:C1000")=$C25)
        ),7,
        FALSE
    )
)</f>
        <v>Sim</v>
      </c>
      <c r="G25" s="79" t="str">
        <f t="array" aca="1" ref="G25" ca="1">IF(
    VLOOKUP(
        $A25,
        _xlfn._xlws.FILTER(
            INDIRECT("'"&amp;G$1&amp;"'!A2:G1000"), (INDIRECT("'"&amp;G$1&amp;"'!B2:B1000")=$B25) * (INDIRECT("'"&amp;G$1&amp;"'!C2:C1000")=$C25)
        ),
        5,
        FALSE
    )="",
    "",
    VLOOKUP(
        $A25,
        _xlfn._xlws.FILTER(
            INDIRECT("'"&amp;G$1&amp;"'!A2:G1000"), (INDIRECT("'"&amp;G$1&amp;"'!B2:B1000")=$B25) * (INDIRECT("'"&amp;G$1&amp;"'!C2:C1000")=$C25)
        ),7,
        FALSE
    )
)</f>
        <v>Sim</v>
      </c>
      <c r="H25" s="79" t="str">
        <f t="array" aca="1" ref="H25" ca="1">IF(
    VLOOKUP(
        $A25,
        _xlfn._xlws.FILTER(
            INDIRECT("'"&amp;H$1&amp;"'!A2:G1000"), (INDIRECT("'"&amp;H$1&amp;"'!B2:B1000")=$B25) * (INDIRECT("'"&amp;H$1&amp;"'!C2:C1000")=$C25)
        ),
        5,
        FALSE
    )="",
    "",
    VLOOKUP(
        $A25,
        _xlfn._xlws.FILTER(
            INDIRECT("'"&amp;H$1&amp;"'!A2:G1000"), (INDIRECT("'"&amp;H$1&amp;"'!B2:B1000")=$B25) * (INDIRECT("'"&amp;H$1&amp;"'!C2:C1000")=$C25)
        ),7,
        FALSE
    )
)</f>
        <v>Sim</v>
      </c>
      <c r="I25" s="79" t="str">
        <f t="array" aca="1" ref="I25" ca="1">IF(
    VLOOKUP(
        $A25,
        _xlfn._xlws.FILTER(
            INDIRECT("'"&amp;I$1&amp;"'!A2:G1000"), (INDIRECT("'"&amp;I$1&amp;"'!B2:B1000")=$B25) * (INDIRECT("'"&amp;I$1&amp;"'!C2:C1000")=$C25)
        ),
        5,
        FALSE
    )="",
    "",
    VLOOKUP(
        $A25,
        _xlfn._xlws.FILTER(
            INDIRECT("'"&amp;I$1&amp;"'!A2:G1000"), (INDIRECT("'"&amp;I$1&amp;"'!B2:B1000")=$B25) * (INDIRECT("'"&amp;I$1&amp;"'!C2:C1000")=$C25)
        ),7,
        FALSE
    )
)</f>
        <v>Sim</v>
      </c>
      <c r="J25" s="79" t="str">
        <f t="array" aca="1" ref="J25" ca="1">IF(
    VLOOKUP(
        $A25,
        _xlfn._xlws.FILTER(
            INDIRECT("'"&amp;J$1&amp;"'!A2:G1000"), (INDIRECT("'"&amp;J$1&amp;"'!B2:B1000")=$B25) * (INDIRECT("'"&amp;J$1&amp;"'!C2:C1000")=$C25)
        ),
        5,
        FALSE
    )="",
    "",
    VLOOKUP(
        $A25,
        _xlfn._xlws.FILTER(
            INDIRECT("'"&amp;J$1&amp;"'!A2:G1000"), (INDIRECT("'"&amp;J$1&amp;"'!B2:B1000")=$B25) * (INDIRECT("'"&amp;J$1&amp;"'!C2:C1000")=$C25)
        ),7,
        FALSE
    )
)</f>
        <v>Sim</v>
      </c>
      <c r="K25" s="79" t="str">
        <f t="array" aca="1" ref="K25" ca="1">IF(
    VLOOKUP(
        $A25,
        _xlfn._xlws.FILTER(
            INDIRECT("'"&amp;K$1&amp;"'!A2:G1000"), (INDIRECT("'"&amp;K$1&amp;"'!B2:B1000")=$B25) * (INDIRECT("'"&amp;K$1&amp;"'!C2:C1000")=$C25)
        ),
        5,
        FALSE
    )="",
    "",
    VLOOKUP(
        $A25,
        _xlfn._xlws.FILTER(
            INDIRECT("'"&amp;K$1&amp;"'!A2:G1000"), (INDIRECT("'"&amp;K$1&amp;"'!B2:B1000")=$B25) * (INDIRECT("'"&amp;K$1&amp;"'!C2:C1000")=$C25)
        ),7,
        FALSE
    )
)</f>
        <v>Sim</v>
      </c>
      <c r="L25" s="79" t="str">
        <f t="array" aca="1" ref="L25" ca="1">IF(
    VLOOKUP(
        $A25,
        _xlfn._xlws.FILTER(
            INDIRECT("'"&amp;L$1&amp;"'!A2:G1000"), (INDIRECT("'"&amp;L$1&amp;"'!B2:B1000")=$B25) * (INDIRECT("'"&amp;L$1&amp;"'!C2:C1000")=$C25)
        ),
        5,
        FALSE
    )="",
    "",
    VLOOKUP(
        $A25,
        _xlfn._xlws.FILTER(
            INDIRECT("'"&amp;L$1&amp;"'!A2:G1000"), (INDIRECT("'"&amp;L$1&amp;"'!B2:B1000")=$B25) * (INDIRECT("'"&amp;L$1&amp;"'!C2:C1000")=$C25)
        ),7,
        FALSE
    )
)</f>
        <v>Sim</v>
      </c>
      <c r="M25" s="79" t="str">
        <f t="array" aca="1" ref="M25" ca="1">IF(
    VLOOKUP(
        $A25,
        _xlfn._xlws.FILTER(
            INDIRECT("'"&amp;M$1&amp;"'!A2:G1000"), (INDIRECT("'"&amp;M$1&amp;"'!B2:B1000")=$B25) * (INDIRECT("'"&amp;M$1&amp;"'!C2:C1000")=$C25)
        ),
        5,
        FALSE
    )="",
    "",
    VLOOKUP(
        $A25,
        _xlfn._xlws.FILTER(
            INDIRECT("'"&amp;M$1&amp;"'!A2:G1000"), (INDIRECT("'"&amp;M$1&amp;"'!B2:B1000")=$B25) * (INDIRECT("'"&amp;M$1&amp;"'!C2:C1000")=$C25)
        ),7,
        FALSE
    )
)</f>
        <v>Sim</v>
      </c>
      <c r="N25" s="79" t="str">
        <f t="array" aca="1" ref="N25" ca="1">IF(
    VLOOKUP(
        $A25,
        _xlfn._xlws.FILTER(
            INDIRECT("'"&amp;N$1&amp;"'!A2:G1000"), (INDIRECT("'"&amp;N$1&amp;"'!B2:B1000")=$B25) * (INDIRECT("'"&amp;N$1&amp;"'!C2:C1000")=$C25)
        ),
        5,
        FALSE
    )="",
    "",
    VLOOKUP(
        $A25,
        _xlfn._xlws.FILTER(
            INDIRECT("'"&amp;N$1&amp;"'!A2:G1000"), (INDIRECT("'"&amp;N$1&amp;"'!B2:B1000")=$B25) * (INDIRECT("'"&amp;N$1&amp;"'!C2:C1000")=$C25)
        ),7,
        FALSE
    )
)</f>
        <v>Sim</v>
      </c>
      <c r="O25" s="79" t="str">
        <f t="array" aca="1" ref="O25" ca="1">IF(
    VLOOKUP(
        $A25,
        _xlfn._xlws.FILTER(
            INDIRECT("'"&amp;O$1&amp;"'!A2:G1000"), (INDIRECT("'"&amp;O$1&amp;"'!B2:B1000")=$B25) * (INDIRECT("'"&amp;O$1&amp;"'!C2:C1000")=$C25)
        ),
        5,
        FALSE
    )="",
    "",
    VLOOKUP(
        $A25,
        _xlfn._xlws.FILTER(
            INDIRECT("'"&amp;O$1&amp;"'!A2:G1000"), (INDIRECT("'"&amp;O$1&amp;"'!B2:B1000")=$B25) * (INDIRECT("'"&amp;O$1&amp;"'!C2:C1000")=$C25)
        ),7,
        FALSE
    )
)</f>
        <v>Não</v>
      </c>
      <c r="P25" s="79" t="str">
        <f t="array" aca="1" ref="P25" ca="1">IF(
    VLOOKUP(
        $A25,
        _xlfn._xlws.FILTER(
            INDIRECT("'"&amp;P$1&amp;"'!A2:G1000"), (INDIRECT("'"&amp;P$1&amp;"'!B2:B1000")=$B25) * (INDIRECT("'"&amp;P$1&amp;"'!C2:C1000")=$C25)
        ),
        5,
        FALSE
    )="",
    "",
    VLOOKUP(
        $A25,
        _xlfn._xlws.FILTER(
            INDIRECT("'"&amp;P$1&amp;"'!A2:G1000"), (INDIRECT("'"&amp;P$1&amp;"'!B2:B1000")=$B25) * (INDIRECT("'"&amp;P$1&amp;"'!C2:C1000")=$C25)
        ),7,
        FALSE
    )
)</f>
        <v>Não</v>
      </c>
      <c r="Q25" s="79" t="str">
        <f t="array" aca="1" ref="Q25" ca="1">IF(
    VLOOKUP(
        $A25,
        _xlfn._xlws.FILTER(
            INDIRECT("'"&amp;Q$1&amp;"'!A2:G1000"), (INDIRECT("'"&amp;Q$1&amp;"'!B2:B1000")=$B25) * (INDIRECT("'"&amp;Q$1&amp;"'!C2:C1000")=$C25)
        ),
        5,
        FALSE
    )="",
    "",
    VLOOKUP(
        $A25,
        _xlfn._xlws.FILTER(
            INDIRECT("'"&amp;Q$1&amp;"'!A2:G1000"), (INDIRECT("'"&amp;Q$1&amp;"'!B2:B1000")=$B25) * (INDIRECT("'"&amp;Q$1&amp;"'!C2:C1000")=$C25)
        ),7,
        FALSE
    )
)</f>
        <v/>
      </c>
    </row>
    <row r="26" spans="1:17" ht="15.75" customHeight="1" x14ac:dyDescent="0.25">
      <c r="A26" s="35"/>
      <c r="B26" s="35"/>
      <c r="C26" s="35"/>
    </row>
    <row r="27" spans="1:17" ht="15.75" customHeight="1" x14ac:dyDescent="0.25">
      <c r="A27" s="41" t="s">
        <v>27</v>
      </c>
      <c r="B27" s="37" t="s">
        <v>86</v>
      </c>
      <c r="C27" s="37" t="s">
        <v>71</v>
      </c>
      <c r="D27" s="42" t="s">
        <v>1</v>
      </c>
      <c r="E27" s="42" t="s">
        <v>2</v>
      </c>
      <c r="F27" s="42" t="s">
        <v>3</v>
      </c>
      <c r="G27" s="42" t="s">
        <v>4</v>
      </c>
      <c r="H27" s="42" t="s">
        <v>5</v>
      </c>
      <c r="I27" s="42" t="s">
        <v>6</v>
      </c>
      <c r="J27" s="42" t="s">
        <v>7</v>
      </c>
      <c r="K27" s="42" t="s">
        <v>8</v>
      </c>
      <c r="L27" s="42" t="s">
        <v>9</v>
      </c>
      <c r="M27" s="42" t="s">
        <v>10</v>
      </c>
      <c r="N27" s="42" t="s">
        <v>11</v>
      </c>
      <c r="O27" s="42" t="s">
        <v>12</v>
      </c>
      <c r="P27" s="42" t="s">
        <v>13</v>
      </c>
      <c r="Q27" s="42" t="s">
        <v>14</v>
      </c>
    </row>
    <row r="28" spans="1:17" ht="15.75" customHeight="1" x14ac:dyDescent="0.25">
      <c r="A28" s="81" t="s">
        <v>38</v>
      </c>
      <c r="B28" s="79" t="s">
        <v>78</v>
      </c>
      <c r="C28" s="79">
        <v>1</v>
      </c>
      <c r="D28" s="79" t="str">
        <f t="array" aca="1" ref="D28" ca="1">IF(
    VLOOKUP(
        $A28,
        _xlfn._xlws.FILTER(
            INDIRECT("'"&amp;D$1&amp;"'!A2:G1000"), (INDIRECT("'"&amp;D$1&amp;"'!B2:B1000")=$B28) * (INDIRECT("'"&amp;D$1&amp;"'!C2:C1000")=$C28)
        ),
        5,
        FALSE
    )="",
    "",
    VLOOKUP(
        $A28,
        _xlfn._xlws.FILTER(
            INDIRECT("'"&amp;D$1&amp;"'!A2:G1000"), (INDIRECT("'"&amp;D$1&amp;"'!B2:B1000")=$B28) * (INDIRECT("'"&amp;D$1&amp;"'!C2:C1000")=$C28)
        ),
        7,
        FALSE
    )
)</f>
        <v>Sim</v>
      </c>
      <c r="E28" s="79" t="str">
        <f t="array" aca="1" ref="E28" ca="1">IF(
    VLOOKUP(
        $A28,
        _xlfn._xlws.FILTER(
            INDIRECT("'"&amp;E$1&amp;"'!A2:G1000"), (INDIRECT("'"&amp;E$1&amp;"'!B2:B1000")=$B28) * (INDIRECT("'"&amp;E$1&amp;"'!C2:C1000")=$C28)
        ),
        5,
        FALSE
    )="",
    "",
    VLOOKUP(
        $A28,
        _xlfn._xlws.FILTER(
            INDIRECT("'"&amp;E$1&amp;"'!A2:G1000"), (INDIRECT("'"&amp;E$1&amp;"'!B2:B1000")=$B28) * (INDIRECT("'"&amp;E$1&amp;"'!C2:C1000")=$C28)
        ),7,
        FALSE
    )
)</f>
        <v>Sim</v>
      </c>
      <c r="F28" s="79" t="str">
        <f t="array" aca="1" ref="F28" ca="1">IF(
    VLOOKUP(
        $A28,
        _xlfn._xlws.FILTER(
            INDIRECT("'"&amp;F$1&amp;"'!A2:G1000"), (INDIRECT("'"&amp;F$1&amp;"'!B2:B1000")=$B28) * (INDIRECT("'"&amp;F$1&amp;"'!C2:C1000")=$C28)
        ),
        5,
        FALSE
    )="",
    "",
    VLOOKUP(
        $A28,
        _xlfn._xlws.FILTER(
            INDIRECT("'"&amp;F$1&amp;"'!A2:G1000"), (INDIRECT("'"&amp;F$1&amp;"'!B2:B1000")=$B28) * (INDIRECT("'"&amp;F$1&amp;"'!C2:C1000")=$C28)
        ),7,
        FALSE
    )
)</f>
        <v>Sim</v>
      </c>
      <c r="G28" s="79" t="str">
        <f t="array" aca="1" ref="G28" ca="1">IF(
    VLOOKUP(
        $A28,
        _xlfn._xlws.FILTER(
            INDIRECT("'"&amp;G$1&amp;"'!A2:G1000"), (INDIRECT("'"&amp;G$1&amp;"'!B2:B1000")=$B28) * (INDIRECT("'"&amp;G$1&amp;"'!C2:C1000")=$C28)
        ),
        5,
        FALSE
    )="",
    "",
    VLOOKUP(
        $A28,
        _xlfn._xlws.FILTER(
            INDIRECT("'"&amp;G$1&amp;"'!A2:G1000"), (INDIRECT("'"&amp;G$1&amp;"'!B2:B1000")=$B28) * (INDIRECT("'"&amp;G$1&amp;"'!C2:C1000")=$C28)
        ),7,
        FALSE
    )
)</f>
        <v>Sim</v>
      </c>
      <c r="H28" s="79" t="str">
        <f t="array" aca="1" ref="H28" ca="1">IF(
    VLOOKUP(
        $A28,
        _xlfn._xlws.FILTER(
            INDIRECT("'"&amp;H$1&amp;"'!A2:G1000"), (INDIRECT("'"&amp;H$1&amp;"'!B2:B1000")=$B28) * (INDIRECT("'"&amp;H$1&amp;"'!C2:C1000")=$C28)
        ),
        5,
        FALSE
    )="",
    "",
    VLOOKUP(
        $A28,
        _xlfn._xlws.FILTER(
            INDIRECT("'"&amp;H$1&amp;"'!A2:G1000"), (INDIRECT("'"&amp;H$1&amp;"'!B2:B1000")=$B28) * (INDIRECT("'"&amp;H$1&amp;"'!C2:C1000")=$C28)
        ),7,
        FALSE
    )
)</f>
        <v>Sim</v>
      </c>
      <c r="I28" s="79" t="str">
        <f t="array" aca="1" ref="I28" ca="1">IF(
    VLOOKUP(
        $A28,
        _xlfn._xlws.FILTER(
            INDIRECT("'"&amp;I$1&amp;"'!A2:G1000"), (INDIRECT("'"&amp;I$1&amp;"'!B2:B1000")=$B28) * (INDIRECT("'"&amp;I$1&amp;"'!C2:C1000")=$C28)
        ),
        5,
        FALSE
    )="",
    "",
    VLOOKUP(
        $A28,
        _xlfn._xlws.FILTER(
            INDIRECT("'"&amp;I$1&amp;"'!A2:G1000"), (INDIRECT("'"&amp;I$1&amp;"'!B2:B1000")=$B28) * (INDIRECT("'"&amp;I$1&amp;"'!C2:C1000")=$C28)
        ),7,
        FALSE
    )
)</f>
        <v>Sim</v>
      </c>
      <c r="J28" s="79" t="str">
        <f t="array" aca="1" ref="J28" ca="1">IF(
    VLOOKUP(
        $A28,
        _xlfn._xlws.FILTER(
            INDIRECT("'"&amp;J$1&amp;"'!A2:G1000"), (INDIRECT("'"&amp;J$1&amp;"'!B2:B1000")=$B28) * (INDIRECT("'"&amp;J$1&amp;"'!C2:C1000")=$C28)
        ),
        5,
        FALSE
    )="",
    "",
    VLOOKUP(
        $A28,
        _xlfn._xlws.FILTER(
            INDIRECT("'"&amp;J$1&amp;"'!A2:G1000"), (INDIRECT("'"&amp;J$1&amp;"'!B2:B1000")=$B28) * (INDIRECT("'"&amp;J$1&amp;"'!C2:C1000")=$C28)
        ),7,
        FALSE
    )
)</f>
        <v>Sim</v>
      </c>
      <c r="K28" s="79" t="str">
        <f t="array" aca="1" ref="K28" ca="1">IF(
    VLOOKUP(
        $A28,
        _xlfn._xlws.FILTER(
            INDIRECT("'"&amp;K$1&amp;"'!A2:G1000"), (INDIRECT("'"&amp;K$1&amp;"'!B2:B1000")=$B28) * (INDIRECT("'"&amp;K$1&amp;"'!C2:C1000")=$C28)
        ),
        5,
        FALSE
    )="",
    "",
    VLOOKUP(
        $A28,
        _xlfn._xlws.FILTER(
            INDIRECT("'"&amp;K$1&amp;"'!A2:G1000"), (INDIRECT("'"&amp;K$1&amp;"'!B2:B1000")=$B28) * (INDIRECT("'"&amp;K$1&amp;"'!C2:C1000")=$C28)
        ),7,
        FALSE
    )
)</f>
        <v>Sim</v>
      </c>
      <c r="L28" s="79" t="str">
        <f t="array" aca="1" ref="L28" ca="1">IF(
    VLOOKUP(
        $A28,
        _xlfn._xlws.FILTER(
            INDIRECT("'"&amp;L$1&amp;"'!A2:G1000"), (INDIRECT("'"&amp;L$1&amp;"'!B2:B1000")=$B28) * (INDIRECT("'"&amp;L$1&amp;"'!C2:C1000")=$C28)
        ),
        5,
        FALSE
    )="",
    "",
    VLOOKUP(
        $A28,
        _xlfn._xlws.FILTER(
            INDIRECT("'"&amp;L$1&amp;"'!A2:G1000"), (INDIRECT("'"&amp;L$1&amp;"'!B2:B1000")=$B28) * (INDIRECT("'"&amp;L$1&amp;"'!C2:C1000")=$C28)
        ),7,
        FALSE
    )
)</f>
        <v>Sim</v>
      </c>
      <c r="M28" s="79" t="str">
        <f t="array" aca="1" ref="M28" ca="1">IF(
    VLOOKUP(
        $A28,
        _xlfn._xlws.FILTER(
            INDIRECT("'"&amp;M$1&amp;"'!A2:G1000"), (INDIRECT("'"&amp;M$1&amp;"'!B2:B1000")=$B28) * (INDIRECT("'"&amp;M$1&amp;"'!C2:C1000")=$C28)
        ),
        5,
        FALSE
    )="",
    "",
    VLOOKUP(
        $A28,
        _xlfn._xlws.FILTER(
            INDIRECT("'"&amp;M$1&amp;"'!A2:G1000"), (INDIRECT("'"&amp;M$1&amp;"'!B2:B1000")=$B28) * (INDIRECT("'"&amp;M$1&amp;"'!C2:C1000")=$C28)
        ),7,
        FALSE
    )
)</f>
        <v>Sim</v>
      </c>
      <c r="N28" s="79" t="str">
        <f t="array" aca="1" ref="N28" ca="1">IF(
    VLOOKUP(
        $A28,
        _xlfn._xlws.FILTER(
            INDIRECT("'"&amp;N$1&amp;"'!A2:G1000"), (INDIRECT("'"&amp;N$1&amp;"'!B2:B1000")=$B28) * (INDIRECT("'"&amp;N$1&amp;"'!C2:C1000")=$C28)
        ),
        5,
        FALSE
    )="",
    "",
    VLOOKUP(
        $A28,
        _xlfn._xlws.FILTER(
            INDIRECT("'"&amp;N$1&amp;"'!A2:G1000"), (INDIRECT("'"&amp;N$1&amp;"'!B2:B1000")=$B28) * (INDIRECT("'"&amp;N$1&amp;"'!C2:C1000")=$C28)
        ),7,
        FALSE
    )
)</f>
        <v>Sim</v>
      </c>
      <c r="O28" s="79" t="str">
        <f t="array" aca="1" ref="O28" ca="1">IF(
    VLOOKUP(
        $A28,
        _xlfn._xlws.FILTER(
            INDIRECT("'"&amp;O$1&amp;"'!A2:G1000"), (INDIRECT("'"&amp;O$1&amp;"'!B2:B1000")=$B28) * (INDIRECT("'"&amp;O$1&amp;"'!C2:C1000")=$C28)
        ),
        5,
        FALSE
    )="",
    "",
    VLOOKUP(
        $A28,
        _xlfn._xlws.FILTER(
            INDIRECT("'"&amp;O$1&amp;"'!A2:G1000"), (INDIRECT("'"&amp;O$1&amp;"'!B2:B1000")=$B28) * (INDIRECT("'"&amp;O$1&amp;"'!C2:C1000")=$C28)
        ),7,
        FALSE
    )
)</f>
        <v>Sim</v>
      </c>
      <c r="P28" s="79" t="str">
        <f t="array" aca="1" ref="P28" ca="1">IF(
    VLOOKUP(
        $A28,
        _xlfn._xlws.FILTER(
            INDIRECT("'"&amp;P$1&amp;"'!A2:G1000"), (INDIRECT("'"&amp;P$1&amp;"'!B2:B1000")=$B28) * (INDIRECT("'"&amp;P$1&amp;"'!C2:C1000")=$C28)
        ),
        5,
        FALSE
    )="",
    "",
    VLOOKUP(
        $A28,
        _xlfn._xlws.FILTER(
            INDIRECT("'"&amp;P$1&amp;"'!A2:G1000"), (INDIRECT("'"&amp;P$1&amp;"'!B2:B1000")=$B28) * (INDIRECT("'"&amp;P$1&amp;"'!C2:C1000")=$C28)
        ),7,
        FALSE
    )
)</f>
        <v>Não</v>
      </c>
      <c r="Q28" s="79" t="str">
        <f t="array" aca="1" ref="Q28" ca="1">IF(
    VLOOKUP(
        $A28,
        _xlfn._xlws.FILTER(
            INDIRECT("'"&amp;Q$1&amp;"'!A2:G1000"), (INDIRECT("'"&amp;Q$1&amp;"'!B2:B1000")=$B28) * (INDIRECT("'"&amp;Q$1&amp;"'!C2:C1000")=$C28)
        ),
        5,
        FALSE
    )="",
    "",
    VLOOKUP(
        $A28,
        _xlfn._xlws.FILTER(
            INDIRECT("'"&amp;Q$1&amp;"'!A2:G1000"), (INDIRECT("'"&amp;Q$1&amp;"'!B2:B1000")=$B28) * (INDIRECT("'"&amp;Q$1&amp;"'!C2:C1000")=$C28)
        ),7,
        FALSE
    )
)</f>
        <v/>
      </c>
    </row>
    <row r="29" spans="1:17" ht="15.75" customHeight="1" x14ac:dyDescent="0.25">
      <c r="A29" s="81" t="s">
        <v>38</v>
      </c>
      <c r="B29" s="79" t="s">
        <v>84</v>
      </c>
      <c r="C29" s="79">
        <v>1</v>
      </c>
      <c r="D29" s="79" t="str">
        <f t="array" aca="1" ref="D29" ca="1">IF(
    VLOOKUP(
        $A29,
        _xlfn._xlws.FILTER(
            INDIRECT("'"&amp;D$1&amp;"'!A2:G1000"), (INDIRECT("'"&amp;D$1&amp;"'!B2:B1000")=$B29) * (INDIRECT("'"&amp;D$1&amp;"'!C2:C1000")=$C29)
        ),
        5,
        FALSE
    )="",
    "",
    VLOOKUP(
        $A29,
        _xlfn._xlws.FILTER(
            INDIRECT("'"&amp;D$1&amp;"'!A2:G1000"), (INDIRECT("'"&amp;D$1&amp;"'!B2:B1000")=$B29) * (INDIRECT("'"&amp;D$1&amp;"'!C2:C1000")=$C29)
        ),
        7,
        FALSE
    )
)</f>
        <v>Não</v>
      </c>
      <c r="E29" s="79" t="str">
        <f t="array" aca="1" ref="E29" ca="1">IF(
    VLOOKUP(
        $A29,
        _xlfn._xlws.FILTER(
            INDIRECT("'"&amp;E$1&amp;"'!A2:G1000"), (INDIRECT("'"&amp;E$1&amp;"'!B2:B1000")=$B29) * (INDIRECT("'"&amp;E$1&amp;"'!C2:C1000")=$C29)
        ),
        5,
        FALSE
    )="",
    "",
    VLOOKUP(
        $A29,
        _xlfn._xlws.FILTER(
            INDIRECT("'"&amp;E$1&amp;"'!A2:G1000"), (INDIRECT("'"&amp;E$1&amp;"'!B2:B1000")=$B29) * (INDIRECT("'"&amp;E$1&amp;"'!C2:C1000")=$C29)
        ),7,
        FALSE
    )
)</f>
        <v>Não</v>
      </c>
      <c r="F29" s="79" t="str">
        <f t="array" aca="1" ref="F29" ca="1">IF(
    VLOOKUP(
        $A29,
        _xlfn._xlws.FILTER(
            INDIRECT("'"&amp;F$1&amp;"'!A2:G1000"), (INDIRECT("'"&amp;F$1&amp;"'!B2:B1000")=$B29) * (INDIRECT("'"&amp;F$1&amp;"'!C2:C1000")=$C29)
        ),
        5,
        FALSE
    )="",
    "",
    VLOOKUP(
        $A29,
        _xlfn._xlws.FILTER(
            INDIRECT("'"&amp;F$1&amp;"'!A2:G1000"), (INDIRECT("'"&amp;F$1&amp;"'!B2:B1000")=$B29) * (INDIRECT("'"&amp;F$1&amp;"'!C2:C1000")=$C29)
        ),7,
        FALSE
    )
)</f>
        <v>Não</v>
      </c>
      <c r="G29" s="79" t="str">
        <f t="array" ref="G29" ca="1">IF(
    VLOOKUP(
        $A29,
        _xlfn._xlws.FILTER(
            INDIRECT("'"&amp;G$1&amp;"'!A2:G1000"), (INDIRECT("'"&amp;G$1&amp;"'!B2:B1000")=$B29) * (INDIRECT("'"&amp;G$1&amp;"'!C2:C1000")=$C29)
        ),
        5,
        FALSE
    )="",
    "",
    VLOOKUP(
        $A29,
        _xlfn._xlws.FILTER(
            INDIRECT("'"&amp;G$1&amp;"'!A2:G1000"), (INDIRECT("'"&amp;G$1&amp;"'!B2:B1000")=$B29) * (INDIRECT("'"&amp;G$1&amp;"'!C2:C1000")=$C29)
        ),7,
        FALSE
    )
)</f>
        <v>Não</v>
      </c>
      <c r="H29" s="79" t="str">
        <f t="array" aca="1" ref="H29" ca="1">IF(
    VLOOKUP(
        $A29,
        _xlfn._xlws.FILTER(
            INDIRECT("'"&amp;H$1&amp;"'!A2:G1000"), (INDIRECT("'"&amp;H$1&amp;"'!B2:B1000")=$B29) * (INDIRECT("'"&amp;H$1&amp;"'!C2:C1000")=$C29)
        ),
        5,
        FALSE
    )="",
    "",
    VLOOKUP(
        $A29,
        _xlfn._xlws.FILTER(
            INDIRECT("'"&amp;H$1&amp;"'!A2:G1000"), (INDIRECT("'"&amp;H$1&amp;"'!B2:B1000")=$B29) * (INDIRECT("'"&amp;H$1&amp;"'!C2:C1000")=$C29)
        ),7,
        FALSE
    )
)</f>
        <v>Não</v>
      </c>
      <c r="I29" s="79" t="str">
        <f t="array" aca="1" ref="I29" ca="1">IF(
    VLOOKUP(
        $A29,
        _xlfn._xlws.FILTER(
            INDIRECT("'"&amp;I$1&amp;"'!A2:G1000"), (INDIRECT("'"&amp;I$1&amp;"'!B2:B1000")=$B29) * (INDIRECT("'"&amp;I$1&amp;"'!C2:C1000")=$C29)
        ),
        5,
        FALSE
    )="",
    "",
    VLOOKUP(
        $A29,
        _xlfn._xlws.FILTER(
            INDIRECT("'"&amp;I$1&amp;"'!A2:G1000"), (INDIRECT("'"&amp;I$1&amp;"'!B2:B1000")=$B29) * (INDIRECT("'"&amp;I$1&amp;"'!C2:C1000")=$C29)
        ),7,
        FALSE
    )
)</f>
        <v>Não</v>
      </c>
      <c r="J29" s="79" t="str">
        <f t="array" aca="1" ref="J29" ca="1">IF(
    VLOOKUP(
        $A29,
        _xlfn._xlws.FILTER(
            INDIRECT("'"&amp;J$1&amp;"'!A2:G1000"), (INDIRECT("'"&amp;J$1&amp;"'!B2:B1000")=$B29) * (INDIRECT("'"&amp;J$1&amp;"'!C2:C1000")=$C29)
        ),
        5,
        FALSE
    )="",
    "",
    VLOOKUP(
        $A29,
        _xlfn._xlws.FILTER(
            INDIRECT("'"&amp;J$1&amp;"'!A2:G1000"), (INDIRECT("'"&amp;J$1&amp;"'!B2:B1000")=$B29) * (INDIRECT("'"&amp;J$1&amp;"'!C2:C1000")=$C29)
        ),7,
        FALSE
    )
)</f>
        <v>Não</v>
      </c>
      <c r="K29" s="79" t="str">
        <f t="array" aca="1" ref="K29" ca="1">IF(
    VLOOKUP(
        $A29,
        _xlfn._xlws.FILTER(
            INDIRECT("'"&amp;K$1&amp;"'!A2:G1000"), (INDIRECT("'"&amp;K$1&amp;"'!B2:B1000")=$B29) * (INDIRECT("'"&amp;K$1&amp;"'!C2:C1000")=$C29)
        ),
        5,
        FALSE
    )="",
    "",
    VLOOKUP(
        $A29,
        _xlfn._xlws.FILTER(
            INDIRECT("'"&amp;K$1&amp;"'!A2:G1000"), (INDIRECT("'"&amp;K$1&amp;"'!B2:B1000")=$B29) * (INDIRECT("'"&amp;K$1&amp;"'!C2:C1000")=$C29)
        ),7,
        FALSE
    )
)</f>
        <v>Não</v>
      </c>
      <c r="L29" s="79" t="str">
        <f t="array" aca="1" ref="L29" ca="1">IF(
    VLOOKUP(
        $A29,
        _xlfn._xlws.FILTER(
            INDIRECT("'"&amp;L$1&amp;"'!A2:G1000"), (INDIRECT("'"&amp;L$1&amp;"'!B2:B1000")=$B29) * (INDIRECT("'"&amp;L$1&amp;"'!C2:C1000")=$C29)
        ),
        5,
        FALSE
    )="",
    "",
    VLOOKUP(
        $A29,
        _xlfn._xlws.FILTER(
            INDIRECT("'"&amp;L$1&amp;"'!A2:G1000"), (INDIRECT("'"&amp;L$1&amp;"'!B2:B1000")=$B29) * (INDIRECT("'"&amp;L$1&amp;"'!C2:C1000")=$C29)
        ),7,
        FALSE
    )
)</f>
        <v>Não</v>
      </c>
      <c r="M29" s="79" t="str">
        <f t="array" aca="1" ref="M29" ca="1">IF(
    VLOOKUP(
        $A29,
        _xlfn._xlws.FILTER(
            INDIRECT("'"&amp;M$1&amp;"'!A2:G1000"), (INDIRECT("'"&amp;M$1&amp;"'!B2:B1000")=$B29) * (INDIRECT("'"&amp;M$1&amp;"'!C2:C1000")=$C29)
        ),
        5,
        FALSE
    )="",
    "",
    VLOOKUP(
        $A29,
        _xlfn._xlws.FILTER(
            INDIRECT("'"&amp;M$1&amp;"'!A2:G1000"), (INDIRECT("'"&amp;M$1&amp;"'!B2:B1000")=$B29) * (INDIRECT("'"&amp;M$1&amp;"'!C2:C1000")=$C29)
        ),7,
        FALSE
    )
)</f>
        <v>Não</v>
      </c>
      <c r="N29" s="79" t="str">
        <f t="array" aca="1" ref="N29" ca="1">IF(
    VLOOKUP(
        $A29,
        _xlfn._xlws.FILTER(
            INDIRECT("'"&amp;N$1&amp;"'!A2:G1000"), (INDIRECT("'"&amp;N$1&amp;"'!B2:B1000")=$B29) * (INDIRECT("'"&amp;N$1&amp;"'!C2:C1000")=$C29)
        ),
        5,
        FALSE
    )="",
    "",
    VLOOKUP(
        $A29,
        _xlfn._xlws.FILTER(
            INDIRECT("'"&amp;N$1&amp;"'!A2:G1000"), (INDIRECT("'"&amp;N$1&amp;"'!B2:B1000")=$B29) * (INDIRECT("'"&amp;N$1&amp;"'!C2:C1000")=$C29)
        ),7,
        FALSE
    )
)</f>
        <v>Não</v>
      </c>
      <c r="O29" s="79" t="str">
        <f t="array" aca="1" ref="O29" ca="1">IF(
    VLOOKUP(
        $A29,
        _xlfn._xlws.FILTER(
            INDIRECT("'"&amp;O$1&amp;"'!A2:G1000"), (INDIRECT("'"&amp;O$1&amp;"'!B2:B1000")=$B29) * (INDIRECT("'"&amp;O$1&amp;"'!C2:C1000")=$C29)
        ),
        5,
        FALSE
    )="",
    "",
    VLOOKUP(
        $A29,
        _xlfn._xlws.FILTER(
            INDIRECT("'"&amp;O$1&amp;"'!A2:G1000"), (INDIRECT("'"&amp;O$1&amp;"'!B2:B1000")=$B29) * (INDIRECT("'"&amp;O$1&amp;"'!C2:C1000")=$C29)
        ),7,
        FALSE
    )
)</f>
        <v>Não</v>
      </c>
      <c r="P29" s="79" t="str">
        <f t="array" aca="1" ref="P29" ca="1">IF(
    VLOOKUP(
        $A29,
        _xlfn._xlws.FILTER(
            INDIRECT("'"&amp;P$1&amp;"'!A2:G1000"), (INDIRECT("'"&amp;P$1&amp;"'!B2:B1000")=$B29) * (INDIRECT("'"&amp;P$1&amp;"'!C2:C1000")=$C29)
        ),
        5,
        FALSE
    )="",
    "",
    VLOOKUP(
        $A29,
        _xlfn._xlws.FILTER(
            INDIRECT("'"&amp;P$1&amp;"'!A2:G1000"), (INDIRECT("'"&amp;P$1&amp;"'!B2:B1000")=$B29) * (INDIRECT("'"&amp;P$1&amp;"'!C2:C1000")=$C29)
        ),7,
        FALSE
    )
)</f>
        <v>Não</v>
      </c>
      <c r="Q29" s="79" t="str">
        <f t="array" aca="1" ref="Q29" ca="1">IF(
    VLOOKUP(
        $A29,
        _xlfn._xlws.FILTER(
            INDIRECT("'"&amp;Q$1&amp;"'!A2:G1000"), (INDIRECT("'"&amp;Q$1&amp;"'!B2:B1000")=$B29) * (INDIRECT("'"&amp;Q$1&amp;"'!C2:C1000")=$C29)
        ),
        5,
        FALSE
    )="",
    "",
    VLOOKUP(
        $A29,
        _xlfn._xlws.FILTER(
            INDIRECT("'"&amp;Q$1&amp;"'!A2:G1000"), (INDIRECT("'"&amp;Q$1&amp;"'!B2:B1000")=$B29) * (INDIRECT("'"&amp;Q$1&amp;"'!C2:C1000")=$C29)
        ),7,
        FALSE
    )
)</f>
        <v/>
      </c>
    </row>
    <row r="30" spans="1:17" ht="15.75" customHeight="1" x14ac:dyDescent="0.25">
      <c r="A30" s="81" t="s">
        <v>38</v>
      </c>
      <c r="B30" s="79" t="s">
        <v>79</v>
      </c>
      <c r="C30" s="79">
        <v>1</v>
      </c>
      <c r="D30" s="79" t="str">
        <f t="array" aca="1" ref="D30" ca="1">IF(
    VLOOKUP(
        $A30,
        _xlfn._xlws.FILTER(
            INDIRECT("'"&amp;D$1&amp;"'!A2:G1000"), (INDIRECT("'"&amp;D$1&amp;"'!B2:B1000")=$B30) * (INDIRECT("'"&amp;D$1&amp;"'!C2:C1000")=$C30)
        ),
        5,
        FALSE
    )="",
    "",
    VLOOKUP(
        $A30,
        _xlfn._xlws.FILTER(
            INDIRECT("'"&amp;D$1&amp;"'!A2:G1000"), (INDIRECT("'"&amp;D$1&amp;"'!B2:B1000")=$B30) * (INDIRECT("'"&amp;D$1&amp;"'!C2:C1000")=$C30)
        ),
        7,
        FALSE
    )
)</f>
        <v>Não</v>
      </c>
      <c r="E30" s="79" t="str">
        <f t="array" aca="1" ref="E30" ca="1">IF(
    VLOOKUP(
        $A30,
        _xlfn._xlws.FILTER(
            INDIRECT("'"&amp;E$1&amp;"'!A2:G1000"), (INDIRECT("'"&amp;E$1&amp;"'!B2:B1000")=$B30) * (INDIRECT("'"&amp;E$1&amp;"'!C2:C1000")=$C30)
        ),
        5,
        FALSE
    )="",
    "",
    VLOOKUP(
        $A30,
        _xlfn._xlws.FILTER(
            INDIRECT("'"&amp;E$1&amp;"'!A2:G1000"), (INDIRECT("'"&amp;E$1&amp;"'!B2:B1000")=$B30) * (INDIRECT("'"&amp;E$1&amp;"'!C2:C1000")=$C30)
        ),7,
        FALSE
    )
)</f>
        <v>Não</v>
      </c>
      <c r="F30" s="79" t="str">
        <f t="array" aca="1" ref="F30" ca="1">IF(
    VLOOKUP(
        $A30,
        _xlfn._xlws.FILTER(
            INDIRECT("'"&amp;F$1&amp;"'!A2:G1000"), (INDIRECT("'"&amp;F$1&amp;"'!B2:B1000")=$B30) * (INDIRECT("'"&amp;F$1&amp;"'!C2:C1000")=$C30)
        ),
        5,
        FALSE
    )="",
    "",
    VLOOKUP(
        $A30,
        _xlfn._xlws.FILTER(
            INDIRECT("'"&amp;F$1&amp;"'!A2:G1000"), (INDIRECT("'"&amp;F$1&amp;"'!B2:B1000")=$B30) * (INDIRECT("'"&amp;F$1&amp;"'!C2:C1000")=$C30)
        ),7,
        FALSE
    )
)</f>
        <v>Não</v>
      </c>
      <c r="G30" s="79" t="str">
        <f t="array" aca="1" ref="G30" ca="1">IF(
    VLOOKUP(
        $A30,
        _xlfn._xlws.FILTER(
            INDIRECT("'"&amp;G$1&amp;"'!A2:G1000"), (INDIRECT("'"&amp;G$1&amp;"'!B2:B1000")=$B30) * (INDIRECT("'"&amp;G$1&amp;"'!C2:C1000")=$C30)
        ),
        5,
        FALSE
    )="",
    "",
    VLOOKUP(
        $A30,
        _xlfn._xlws.FILTER(
            INDIRECT("'"&amp;G$1&amp;"'!A2:G1000"), (INDIRECT("'"&amp;G$1&amp;"'!B2:B1000")=$B30) * (INDIRECT("'"&amp;G$1&amp;"'!C2:C1000")=$C30)
        ),7,
        FALSE
    )
)</f>
        <v>Não</v>
      </c>
      <c r="H30" s="79" t="str">
        <f t="array" aca="1" ref="H30" ca="1">IF(
    VLOOKUP(
        $A30,
        _xlfn._xlws.FILTER(
            INDIRECT("'"&amp;H$1&amp;"'!A2:G1000"), (INDIRECT("'"&amp;H$1&amp;"'!B2:B1000")=$B30) * (INDIRECT("'"&amp;H$1&amp;"'!C2:C1000")=$C30)
        ),
        5,
        FALSE
    )="",
    "",
    VLOOKUP(
        $A30,
        _xlfn._xlws.FILTER(
            INDIRECT("'"&amp;H$1&amp;"'!A2:G1000"), (INDIRECT("'"&amp;H$1&amp;"'!B2:B1000")=$B30) * (INDIRECT("'"&amp;H$1&amp;"'!C2:C1000")=$C30)
        ),7,
        FALSE
    )
)</f>
        <v>Não</v>
      </c>
      <c r="I30" s="79" t="str">
        <f t="array" ref="I30" ca="1">IF(
    VLOOKUP(
        $A30,
        _xlfn._xlws.FILTER(
            INDIRECT("'"&amp;I$1&amp;"'!A2:G1000"), (INDIRECT("'"&amp;I$1&amp;"'!B2:B1000")=$B30) * (INDIRECT("'"&amp;I$1&amp;"'!C2:C1000")=$C30)
        ),
        5,
        FALSE
    )="",
    "",
    VLOOKUP(
        $A30,
        _xlfn._xlws.FILTER(
            INDIRECT("'"&amp;I$1&amp;"'!A2:G1000"), (INDIRECT("'"&amp;I$1&amp;"'!B2:B1000")=$B30) * (INDIRECT("'"&amp;I$1&amp;"'!C2:C1000")=$C30)
        ),7,
        FALSE
    )
)</f>
        <v>Não</v>
      </c>
      <c r="J30" s="79" t="str">
        <f t="array" aca="1" ref="J30" ca="1">IF(
    VLOOKUP(
        $A30,
        _xlfn._xlws.FILTER(
            INDIRECT("'"&amp;J$1&amp;"'!A2:G1000"), (INDIRECT("'"&amp;J$1&amp;"'!B2:B1000")=$B30) * (INDIRECT("'"&amp;J$1&amp;"'!C2:C1000")=$C30)
        ),
        5,
        FALSE
    )="",
    "",
    VLOOKUP(
        $A30,
        _xlfn._xlws.FILTER(
            INDIRECT("'"&amp;J$1&amp;"'!A2:G1000"), (INDIRECT("'"&amp;J$1&amp;"'!B2:B1000")=$B30) * (INDIRECT("'"&amp;J$1&amp;"'!C2:C1000")=$C30)
        ),7,
        FALSE
    )
)</f>
        <v>Não</v>
      </c>
      <c r="K30" s="79" t="str">
        <f t="array" aca="1" ref="K30" ca="1">IF(
    VLOOKUP(
        $A30,
        _xlfn._xlws.FILTER(
            INDIRECT("'"&amp;K$1&amp;"'!A2:G1000"), (INDIRECT("'"&amp;K$1&amp;"'!B2:B1000")=$B30) * (INDIRECT("'"&amp;K$1&amp;"'!C2:C1000")=$C30)
        ),
        5,
        FALSE
    )="",
    "",
    VLOOKUP(
        $A30,
        _xlfn._xlws.FILTER(
            INDIRECT("'"&amp;K$1&amp;"'!A2:G1000"), (INDIRECT("'"&amp;K$1&amp;"'!B2:B1000")=$B30) * (INDIRECT("'"&amp;K$1&amp;"'!C2:C1000")=$C30)
        ),7,
        FALSE
    )
)</f>
        <v>Não</v>
      </c>
      <c r="L30" s="79" t="str">
        <f t="array" aca="1" ref="L30" ca="1">IF(
    VLOOKUP(
        $A30,
        _xlfn._xlws.FILTER(
            INDIRECT("'"&amp;L$1&amp;"'!A2:G1000"), (INDIRECT("'"&amp;L$1&amp;"'!B2:B1000")=$B30) * (INDIRECT("'"&amp;L$1&amp;"'!C2:C1000")=$C30)
        ),
        5,
        FALSE
    )="",
    "",
    VLOOKUP(
        $A30,
        _xlfn._xlws.FILTER(
            INDIRECT("'"&amp;L$1&amp;"'!A2:G1000"), (INDIRECT("'"&amp;L$1&amp;"'!B2:B1000")=$B30) * (INDIRECT("'"&amp;L$1&amp;"'!C2:C1000")=$C30)
        ),7,
        FALSE
    )
)</f>
        <v>Não</v>
      </c>
      <c r="M30" s="79" t="str">
        <f t="array" aca="1" ref="M30" ca="1">IF(
    VLOOKUP(
        $A30,
        _xlfn._xlws.FILTER(
            INDIRECT("'"&amp;M$1&amp;"'!A2:G1000"), (INDIRECT("'"&amp;M$1&amp;"'!B2:B1000")=$B30) * (INDIRECT("'"&amp;M$1&amp;"'!C2:C1000")=$C30)
        ),
        5,
        FALSE
    )="",
    "",
    VLOOKUP(
        $A30,
        _xlfn._xlws.FILTER(
            INDIRECT("'"&amp;M$1&amp;"'!A2:G1000"), (INDIRECT("'"&amp;M$1&amp;"'!B2:B1000")=$B30) * (INDIRECT("'"&amp;M$1&amp;"'!C2:C1000")=$C30)
        ),7,
        FALSE
    )
)</f>
        <v>Não</v>
      </c>
      <c r="N30" s="79" t="str">
        <f t="array" aca="1" ref="N30" ca="1">IF(
    VLOOKUP(
        $A30,
        _xlfn._xlws.FILTER(
            INDIRECT("'"&amp;N$1&amp;"'!A2:G1000"), (INDIRECT("'"&amp;N$1&amp;"'!B2:B1000")=$B30) * (INDIRECT("'"&amp;N$1&amp;"'!C2:C1000")=$C30)
        ),
        5,
        FALSE
    )="",
    "",
    VLOOKUP(
        $A30,
        _xlfn._xlws.FILTER(
            INDIRECT("'"&amp;N$1&amp;"'!A2:G1000"), (INDIRECT("'"&amp;N$1&amp;"'!B2:B1000")=$B30) * (INDIRECT("'"&amp;N$1&amp;"'!C2:C1000")=$C30)
        ),7,
        FALSE
    )
)</f>
        <v>Não</v>
      </c>
      <c r="O30" s="79" t="str">
        <f t="array" ref="O30" ca="1">IF(
    VLOOKUP(
        $A30,
        _xlfn._xlws.FILTER(
            INDIRECT("'"&amp;O$1&amp;"'!A2:G1000"), (INDIRECT("'"&amp;O$1&amp;"'!B2:B1000")=$B30) * (INDIRECT("'"&amp;O$1&amp;"'!C2:C1000")=$C30)
        ),
        5,
        FALSE
    )="",
    "",
    VLOOKUP(
        $A30,
        _xlfn._xlws.FILTER(
            INDIRECT("'"&amp;O$1&amp;"'!A2:G1000"), (INDIRECT("'"&amp;O$1&amp;"'!B2:B1000")=$B30) * (INDIRECT("'"&amp;O$1&amp;"'!C2:C1000")=$C30)
        ),7,
        FALSE
    )
)</f>
        <v>Não</v>
      </c>
      <c r="P30" s="79" t="str">
        <f t="array" aca="1" ref="P30" ca="1">IF(
    VLOOKUP(
        $A30,
        _xlfn._xlws.FILTER(
            INDIRECT("'"&amp;P$1&amp;"'!A2:G1000"), (INDIRECT("'"&amp;P$1&amp;"'!B2:B1000")=$B30) * (INDIRECT("'"&amp;P$1&amp;"'!C2:C1000")=$C30)
        ),
        5,
        FALSE
    )="",
    "",
    VLOOKUP(
        $A30,
        _xlfn._xlws.FILTER(
            INDIRECT("'"&amp;P$1&amp;"'!A2:G1000"), (INDIRECT("'"&amp;P$1&amp;"'!B2:B1000")=$B30) * (INDIRECT("'"&amp;P$1&amp;"'!C2:C1000")=$C30)
        ),7,
        FALSE
    )
)</f>
        <v>Não</v>
      </c>
      <c r="Q30" s="79" t="str">
        <f t="array" aca="1" ref="Q30" ca="1">IF(
    VLOOKUP(
        $A30,
        _xlfn._xlws.FILTER(
            INDIRECT("'"&amp;Q$1&amp;"'!A2:G1000"), (INDIRECT("'"&amp;Q$1&amp;"'!B2:B1000")=$B30) * (INDIRECT("'"&amp;Q$1&amp;"'!C2:C1000")=$C30)
        ),
        5,
        FALSE
    )="",
    "",
    VLOOKUP(
        $A30,
        _xlfn._xlws.FILTER(
            INDIRECT("'"&amp;Q$1&amp;"'!A2:G1000"), (INDIRECT("'"&amp;Q$1&amp;"'!B2:B1000")=$B30) * (INDIRECT("'"&amp;Q$1&amp;"'!C2:C1000")=$C30)
        ),7,
        FALSE
    )
)</f>
        <v/>
      </c>
    </row>
    <row r="31" spans="1:17" ht="15.75" customHeight="1" x14ac:dyDescent="0.25">
      <c r="A31" s="81" t="s">
        <v>38</v>
      </c>
      <c r="B31" s="79" t="s">
        <v>75</v>
      </c>
      <c r="C31" s="79">
        <v>1</v>
      </c>
      <c r="D31" s="79" t="str">
        <f t="array" aca="1" ref="D31" ca="1">IF(
    VLOOKUP(
        $A31,
        _xlfn._xlws.FILTER(
            INDIRECT("'"&amp;D$1&amp;"'!A2:G1000"), (INDIRECT("'"&amp;D$1&amp;"'!B2:B1000")=$B31) * (INDIRECT("'"&amp;D$1&amp;"'!C2:C1000")=$C31)
        ),
        5,
        FALSE
    )="",
    "",
    VLOOKUP(
        $A31,
        _xlfn._xlws.FILTER(
            INDIRECT("'"&amp;D$1&amp;"'!A2:G1000"), (INDIRECT("'"&amp;D$1&amp;"'!B2:B1000")=$B31) * (INDIRECT("'"&amp;D$1&amp;"'!C2:C1000")=$C31)
        ),
        7,
        FALSE
    )
)</f>
        <v>Não</v>
      </c>
      <c r="E31" s="79" t="str">
        <f t="array" aca="1" ref="E31" ca="1">IF(
    VLOOKUP(
        $A31,
        _xlfn._xlws.FILTER(
            INDIRECT("'"&amp;E$1&amp;"'!A2:G1000"), (INDIRECT("'"&amp;E$1&amp;"'!B2:B1000")=$B31) * (INDIRECT("'"&amp;E$1&amp;"'!C2:C1000")=$C31)
        ),
        5,
        FALSE
    )="",
    "",
    VLOOKUP(
        $A31,
        _xlfn._xlws.FILTER(
            INDIRECT("'"&amp;E$1&amp;"'!A2:G1000"), (INDIRECT("'"&amp;E$1&amp;"'!B2:B1000")=$B31) * (INDIRECT("'"&amp;E$1&amp;"'!C2:C1000")=$C31)
        ),7,
        FALSE
    )
)</f>
        <v>Não</v>
      </c>
      <c r="F31" s="79" t="str">
        <f t="array" aca="1" ref="F31" ca="1">IF(
    VLOOKUP(
        $A31,
        _xlfn._xlws.FILTER(
            INDIRECT("'"&amp;F$1&amp;"'!A2:G1000"), (INDIRECT("'"&amp;F$1&amp;"'!B2:B1000")=$B31) * (INDIRECT("'"&amp;F$1&amp;"'!C2:C1000")=$C31)
        ),
        5,
        FALSE
    )="",
    "",
    VLOOKUP(
        $A31,
        _xlfn._xlws.FILTER(
            INDIRECT("'"&amp;F$1&amp;"'!A2:G1000"), (INDIRECT("'"&amp;F$1&amp;"'!B2:B1000")=$B31) * (INDIRECT("'"&amp;F$1&amp;"'!C2:C1000")=$C31)
        ),7,
        FALSE
    )
)</f>
        <v>Sim</v>
      </c>
      <c r="G31" s="79" t="str">
        <f t="array" aca="1" ref="G31" ca="1">IF(
    VLOOKUP(
        $A31,
        _xlfn._xlws.FILTER(
            INDIRECT("'"&amp;G$1&amp;"'!A2:G1000"), (INDIRECT("'"&amp;G$1&amp;"'!B2:B1000")=$B31) * (INDIRECT("'"&amp;G$1&amp;"'!C2:C1000")=$C31)
        ),
        5,
        FALSE
    )="",
    "",
    VLOOKUP(
        $A31,
        _xlfn._xlws.FILTER(
            INDIRECT("'"&amp;G$1&amp;"'!A2:G1000"), (INDIRECT("'"&amp;G$1&amp;"'!B2:B1000")=$B31) * (INDIRECT("'"&amp;G$1&amp;"'!C2:C1000")=$C31)
        ),7,
        FALSE
    )
)</f>
        <v>Sim</v>
      </c>
      <c r="H31" s="79" t="str">
        <f t="array" aca="1" ref="H31" ca="1">IF(
    VLOOKUP(
        $A31,
        _xlfn._xlws.FILTER(
            INDIRECT("'"&amp;H$1&amp;"'!A2:G1000"), (INDIRECT("'"&amp;H$1&amp;"'!B2:B1000")=$B31) * (INDIRECT("'"&amp;H$1&amp;"'!C2:C1000")=$C31)
        ),
        5,
        FALSE
    )="",
    "",
    VLOOKUP(
        $A31,
        _xlfn._xlws.FILTER(
            INDIRECT("'"&amp;H$1&amp;"'!A2:G1000"), (INDIRECT("'"&amp;H$1&amp;"'!B2:B1000")=$B31) * (INDIRECT("'"&amp;H$1&amp;"'!C2:C1000")=$C31)
        ),7,
        FALSE
    )
)</f>
        <v>Sim</v>
      </c>
      <c r="I31" s="79" t="str">
        <f t="array" aca="1" ref="I31" ca="1">IF(
    VLOOKUP(
        $A31,
        _xlfn._xlws.FILTER(
            INDIRECT("'"&amp;I$1&amp;"'!A2:G1000"), (INDIRECT("'"&amp;I$1&amp;"'!B2:B1000")=$B31) * (INDIRECT("'"&amp;I$1&amp;"'!C2:C1000")=$C31)
        ),
        5,
        FALSE
    )="",
    "",
    VLOOKUP(
        $A31,
        _xlfn._xlws.FILTER(
            INDIRECT("'"&amp;I$1&amp;"'!A2:G1000"), (INDIRECT("'"&amp;I$1&amp;"'!B2:B1000")=$B31) * (INDIRECT("'"&amp;I$1&amp;"'!C2:C1000")=$C31)
        ),7,
        FALSE
    )
)</f>
        <v>Sim</v>
      </c>
      <c r="J31" s="79" t="str">
        <f t="array" aca="1" ref="J31" ca="1">IF(
    VLOOKUP(
        $A31,
        _xlfn._xlws.FILTER(
            INDIRECT("'"&amp;J$1&amp;"'!A2:G1000"), (INDIRECT("'"&amp;J$1&amp;"'!B2:B1000")=$B31) * (INDIRECT("'"&amp;J$1&amp;"'!C2:C1000")=$C31)
        ),
        5,
        FALSE
    )="",
    "",
    VLOOKUP(
        $A31,
        _xlfn._xlws.FILTER(
            INDIRECT("'"&amp;J$1&amp;"'!A2:G1000"), (INDIRECT("'"&amp;J$1&amp;"'!B2:B1000")=$B31) * (INDIRECT("'"&amp;J$1&amp;"'!C2:C1000")=$C31)
        ),7,
        FALSE
    )
)</f>
        <v>Sim</v>
      </c>
      <c r="K31" s="79" t="str">
        <f t="array" aca="1" ref="K31" ca="1">IF(
    VLOOKUP(
        $A31,
        _xlfn._xlws.FILTER(
            INDIRECT("'"&amp;K$1&amp;"'!A2:G1000"), (INDIRECT("'"&amp;K$1&amp;"'!B2:B1000")=$B31) * (INDIRECT("'"&amp;K$1&amp;"'!C2:C1000")=$C31)
        ),
        5,
        FALSE
    )="",
    "",
    VLOOKUP(
        $A31,
        _xlfn._xlws.FILTER(
            INDIRECT("'"&amp;K$1&amp;"'!A2:G1000"), (INDIRECT("'"&amp;K$1&amp;"'!B2:B1000")=$B31) * (INDIRECT("'"&amp;K$1&amp;"'!C2:C1000")=$C31)
        ),7,
        FALSE
    )
)</f>
        <v>Sim</v>
      </c>
      <c r="L31" s="79" t="str">
        <f t="array" aca="1" ref="L31" ca="1">IF(
    VLOOKUP(
        $A31,
        _xlfn._xlws.FILTER(
            INDIRECT("'"&amp;L$1&amp;"'!A2:G1000"), (INDIRECT("'"&amp;L$1&amp;"'!B2:B1000")=$B31) * (INDIRECT("'"&amp;L$1&amp;"'!C2:C1000")=$C31)
        ),
        5,
        FALSE
    )="",
    "",
    VLOOKUP(
        $A31,
        _xlfn._xlws.FILTER(
            INDIRECT("'"&amp;L$1&amp;"'!A2:G1000"), (INDIRECT("'"&amp;L$1&amp;"'!B2:B1000")=$B31) * (INDIRECT("'"&amp;L$1&amp;"'!C2:C1000")=$C31)
        ),7,
        FALSE
    )
)</f>
        <v>Sim</v>
      </c>
      <c r="M31" s="79" t="str">
        <f t="array" ref="M31" ca="1">IF(
    VLOOKUP(
        $A31,
        _xlfn._xlws.FILTER(
            INDIRECT("'"&amp;M$1&amp;"'!A2:G1000"), (INDIRECT("'"&amp;M$1&amp;"'!B2:B1000")=$B31) * (INDIRECT("'"&amp;M$1&amp;"'!C2:C1000")=$C31)
        ),
        5,
        FALSE
    )="",
    "",
    VLOOKUP(
        $A31,
        _xlfn._xlws.FILTER(
            INDIRECT("'"&amp;M$1&amp;"'!A2:G1000"), (INDIRECT("'"&amp;M$1&amp;"'!B2:B1000")=$B31) * (INDIRECT("'"&amp;M$1&amp;"'!C2:C1000")=$C31)
        ),7,
        FALSE
    )
)</f>
        <v>Sim</v>
      </c>
      <c r="N31" s="79" t="str">
        <f t="array" aca="1" ref="N31" ca="1">IF(
    VLOOKUP(
        $A31,
        _xlfn._xlws.FILTER(
            INDIRECT("'"&amp;N$1&amp;"'!A2:G1000"), (INDIRECT("'"&amp;N$1&amp;"'!B2:B1000")=$B31) * (INDIRECT("'"&amp;N$1&amp;"'!C2:C1000")=$C31)
        ),
        5,
        FALSE
    )="",
    "",
    VLOOKUP(
        $A31,
        _xlfn._xlws.FILTER(
            INDIRECT("'"&amp;N$1&amp;"'!A2:G1000"), (INDIRECT("'"&amp;N$1&amp;"'!B2:B1000")=$B31) * (INDIRECT("'"&amp;N$1&amp;"'!C2:C1000")=$C31)
        ),7,
        FALSE
    )
)</f>
        <v>Sim</v>
      </c>
      <c r="O31" s="79" t="str">
        <f t="array" aca="1" ref="O31" ca="1">IF(
    VLOOKUP(
        $A31,
        _xlfn._xlws.FILTER(
            INDIRECT("'"&amp;O$1&amp;"'!A2:G1000"), (INDIRECT("'"&amp;O$1&amp;"'!B2:B1000")=$B31) * (INDIRECT("'"&amp;O$1&amp;"'!C2:C1000")=$C31)
        ),
        5,
        FALSE
    )="",
    "",
    VLOOKUP(
        $A31,
        _xlfn._xlws.FILTER(
            INDIRECT("'"&amp;O$1&amp;"'!A2:G1000"), (INDIRECT("'"&amp;O$1&amp;"'!B2:B1000")=$B31) * (INDIRECT("'"&amp;O$1&amp;"'!C2:C1000")=$C31)
        ),7,
        FALSE
    )
)</f>
        <v>Sim</v>
      </c>
      <c r="P31" s="79" t="str">
        <f t="array" aca="1" ref="P31" ca="1">IF(
    VLOOKUP(
        $A31,
        _xlfn._xlws.FILTER(
            INDIRECT("'"&amp;P$1&amp;"'!A2:G1000"), (INDIRECT("'"&amp;P$1&amp;"'!B2:B1000")=$B31) * (INDIRECT("'"&amp;P$1&amp;"'!C2:C1000")=$C31)
        ),
        5,
        FALSE
    )="",
    "",
    VLOOKUP(
        $A31,
        _xlfn._xlws.FILTER(
            INDIRECT("'"&amp;P$1&amp;"'!A2:G1000"), (INDIRECT("'"&amp;P$1&amp;"'!B2:B1000")=$B31) * (INDIRECT("'"&amp;P$1&amp;"'!C2:C1000")=$C31)
        ),7,
        FALSE
    )
)</f>
        <v>Sim</v>
      </c>
      <c r="Q31" s="79" t="str">
        <f t="array" aca="1" ref="Q31" ca="1">IF(
    VLOOKUP(
        $A31,
        _xlfn._xlws.FILTER(
            INDIRECT("'"&amp;Q$1&amp;"'!A2:G1000"), (INDIRECT("'"&amp;Q$1&amp;"'!B2:B1000")=$B31) * (INDIRECT("'"&amp;Q$1&amp;"'!C2:C1000")=$C31)
        ),
        5,
        FALSE
    )="",
    "",
    VLOOKUP(
        $A31,
        _xlfn._xlws.FILTER(
            INDIRECT("'"&amp;Q$1&amp;"'!A2:G1000"), (INDIRECT("'"&amp;Q$1&amp;"'!B2:B1000")=$B31) * (INDIRECT("'"&amp;Q$1&amp;"'!C2:C1000")=$C31)
        ),7,
        FALSE
    )
)</f>
        <v/>
      </c>
    </row>
    <row r="32" spans="1:17" x14ac:dyDescent="0.25">
      <c r="A32" s="81" t="s">
        <v>38</v>
      </c>
      <c r="B32" s="79" t="s">
        <v>107</v>
      </c>
      <c r="C32" s="79">
        <v>1</v>
      </c>
      <c r="D32" s="79" t="str">
        <f t="array" aca="1" ref="D32" ca="1">IF(
    VLOOKUP(
        $A32,
        _xlfn._xlws.FILTER(
            INDIRECT("'"&amp;D$1&amp;"'!A2:G1000"), (INDIRECT("'"&amp;D$1&amp;"'!B2:B1000")=$B32) * (INDIRECT("'"&amp;D$1&amp;"'!C2:C1000")=$C32)
        ),
        5,
        FALSE
    )="",
    "",
    VLOOKUP(
        $A32,
        _xlfn._xlws.FILTER(
            INDIRECT("'"&amp;D$1&amp;"'!A2:G1000"), (INDIRECT("'"&amp;D$1&amp;"'!B2:B1000")=$B32) * (INDIRECT("'"&amp;D$1&amp;"'!C2:C1000")=$C32)
        ),
        7,
        FALSE
    )
)</f>
        <v>Não</v>
      </c>
      <c r="E32" s="79" t="str">
        <f t="array" ref="E32" ca="1">IF(
    VLOOKUP(
        $A32,
        _xlfn._xlws.FILTER(
            INDIRECT("'"&amp;E$1&amp;"'!A2:G1000"), (INDIRECT("'"&amp;E$1&amp;"'!B2:B1000")=$B32) * (INDIRECT("'"&amp;E$1&amp;"'!C2:C1000")=$C32)
        ),
        5,
        FALSE
    )="",
    "",
    VLOOKUP(
        $A32,
        _xlfn._xlws.FILTER(
            INDIRECT("'"&amp;E$1&amp;"'!A2:G1000"), (INDIRECT("'"&amp;E$1&amp;"'!B2:B1000")=$B32) * (INDIRECT("'"&amp;E$1&amp;"'!C2:C1000")=$C32)
        ),7,
        FALSE
    )
)</f>
        <v>Não</v>
      </c>
      <c r="F32" s="79" t="str">
        <f t="array" aca="1" ref="F32" ca="1">IF(
    VLOOKUP(
        $A32,
        _xlfn._xlws.FILTER(
            INDIRECT("'"&amp;F$1&amp;"'!A2:G1000"), (INDIRECT("'"&amp;F$1&amp;"'!B2:B1000")=$B32) * (INDIRECT("'"&amp;F$1&amp;"'!C2:C1000")=$C32)
        ),
        5,
        FALSE
    )="",
    "",
    VLOOKUP(
        $A32,
        _xlfn._xlws.FILTER(
            INDIRECT("'"&amp;F$1&amp;"'!A2:G1000"), (INDIRECT("'"&amp;F$1&amp;"'!B2:B1000")=$B32) * (INDIRECT("'"&amp;F$1&amp;"'!C2:C1000")=$C32)
        ),7,
        FALSE
    )
)</f>
        <v>Sim</v>
      </c>
      <c r="G32" s="79" t="str">
        <f t="array" aca="1" ref="G32" ca="1">IF(
    VLOOKUP(
        $A32,
        _xlfn._xlws.FILTER(
            INDIRECT("'"&amp;G$1&amp;"'!A2:G1000"), (INDIRECT("'"&amp;G$1&amp;"'!B2:B1000")=$B32) * (INDIRECT("'"&amp;G$1&amp;"'!C2:C1000")=$C32)
        ),
        5,
        FALSE
    )="",
    "",
    VLOOKUP(
        $A32,
        _xlfn._xlws.FILTER(
            INDIRECT("'"&amp;G$1&amp;"'!A2:G1000"), (INDIRECT("'"&amp;G$1&amp;"'!B2:B1000")=$B32) * (INDIRECT("'"&amp;G$1&amp;"'!C2:C1000")=$C32)
        ),7,
        FALSE
    )
)</f>
        <v>Sim</v>
      </c>
      <c r="H32" s="79" t="str">
        <f t="array" aca="1" ref="H32" ca="1">IF(
    VLOOKUP(
        $A32,
        _xlfn._xlws.FILTER(
            INDIRECT("'"&amp;H$1&amp;"'!A2:G1000"), (INDIRECT("'"&amp;H$1&amp;"'!B2:B1000")=$B32) * (INDIRECT("'"&amp;H$1&amp;"'!C2:C1000")=$C32)
        ),
        5,
        FALSE
    )="",
    "",
    VLOOKUP(
        $A32,
        _xlfn._xlws.FILTER(
            INDIRECT("'"&amp;H$1&amp;"'!A2:G1000"), (INDIRECT("'"&amp;H$1&amp;"'!B2:B1000")=$B32) * (INDIRECT("'"&amp;H$1&amp;"'!C2:C1000")=$C32)
        ),7,
        FALSE
    )
)</f>
        <v>Sim</v>
      </c>
      <c r="I32" s="79" t="str">
        <f t="array" aca="1" ref="I32" ca="1">IF(
    VLOOKUP(
        $A32,
        _xlfn._xlws.FILTER(
            INDIRECT("'"&amp;I$1&amp;"'!A2:G1000"), (INDIRECT("'"&amp;I$1&amp;"'!B2:B1000")=$B32) * (INDIRECT("'"&amp;I$1&amp;"'!C2:C1000")=$C32)
        ),
        5,
        FALSE
    )="",
    "",
    VLOOKUP(
        $A32,
        _xlfn._xlws.FILTER(
            INDIRECT("'"&amp;I$1&amp;"'!A2:G1000"), (INDIRECT("'"&amp;I$1&amp;"'!B2:B1000")=$B32) * (INDIRECT("'"&amp;I$1&amp;"'!C2:C1000")=$C32)
        ),7,
        FALSE
    )
)</f>
        <v>Sim</v>
      </c>
      <c r="J32" s="79" t="str">
        <f t="array" aca="1" ref="J32" ca="1">IF(
    VLOOKUP(
        $A32,
        _xlfn._xlws.FILTER(
            INDIRECT("'"&amp;J$1&amp;"'!A2:G1000"), (INDIRECT("'"&amp;J$1&amp;"'!B2:B1000")=$B32) * (INDIRECT("'"&amp;J$1&amp;"'!C2:C1000")=$C32)
        ),
        5,
        FALSE
    )="",
    "",
    VLOOKUP(
        $A32,
        _xlfn._xlws.FILTER(
            INDIRECT("'"&amp;J$1&amp;"'!A2:G1000"), (INDIRECT("'"&amp;J$1&amp;"'!B2:B1000")=$B32) * (INDIRECT("'"&amp;J$1&amp;"'!C2:C1000")=$C32)
        ),7,
        FALSE
    )
)</f>
        <v>Sim</v>
      </c>
      <c r="K32" s="79" t="str">
        <f t="array" aca="1" ref="K32" ca="1">IF(
    VLOOKUP(
        $A32,
        _xlfn._xlws.FILTER(
            INDIRECT("'"&amp;K$1&amp;"'!A2:G1000"), (INDIRECT("'"&amp;K$1&amp;"'!B2:B1000")=$B32) * (INDIRECT("'"&amp;K$1&amp;"'!C2:C1000")=$C32)
        ),
        5,
        FALSE
    )="",
    "",
    VLOOKUP(
        $A32,
        _xlfn._xlws.FILTER(
            INDIRECT("'"&amp;K$1&amp;"'!A2:G1000"), (INDIRECT("'"&amp;K$1&amp;"'!B2:B1000")=$B32) * (INDIRECT("'"&amp;K$1&amp;"'!C2:C1000")=$C32)
        ),7,
        FALSE
    )
)</f>
        <v>Sim</v>
      </c>
      <c r="L32" s="79" t="str">
        <f t="array" aca="1" ref="L32" ca="1">IF(
    VLOOKUP(
        $A32,
        _xlfn._xlws.FILTER(
            INDIRECT("'"&amp;L$1&amp;"'!A2:G1000"), (INDIRECT("'"&amp;L$1&amp;"'!B2:B1000")=$B32) * (INDIRECT("'"&amp;L$1&amp;"'!C2:C1000")=$C32)
        ),
        5,
        FALSE
    )="",
    "",
    VLOOKUP(
        $A32,
        _xlfn._xlws.FILTER(
            INDIRECT("'"&amp;L$1&amp;"'!A2:G1000"), (INDIRECT("'"&amp;L$1&amp;"'!B2:B1000")=$B32) * (INDIRECT("'"&amp;L$1&amp;"'!C2:C1000")=$C32)
        ),7,
        FALSE
    )
)</f>
        <v>Sim</v>
      </c>
      <c r="M32" s="79" t="str">
        <f t="array" ref="M32" ca="1">IF(
    VLOOKUP(
        $A32,
        _xlfn._xlws.FILTER(
            INDIRECT("'"&amp;M$1&amp;"'!A2:G1000"), (INDIRECT("'"&amp;M$1&amp;"'!B2:B1000")=$B32) * (INDIRECT("'"&amp;M$1&amp;"'!C2:C1000")=$C32)
        ),
        5,
        FALSE
    )="",
    "",
    VLOOKUP(
        $A32,
        _xlfn._xlws.FILTER(
            INDIRECT("'"&amp;M$1&amp;"'!A2:G1000"), (INDIRECT("'"&amp;M$1&amp;"'!B2:B1000")=$B32) * (INDIRECT("'"&amp;M$1&amp;"'!C2:C1000")=$C32)
        ),7,
        FALSE
    )
)</f>
        <v>Sim</v>
      </c>
      <c r="N32" s="79" t="str">
        <f t="array" aca="1" ref="N32" ca="1">IF(
    VLOOKUP(
        $A32,
        _xlfn._xlws.FILTER(
            INDIRECT("'"&amp;N$1&amp;"'!A2:G1000"), (INDIRECT("'"&amp;N$1&amp;"'!B2:B1000")=$B32) * (INDIRECT("'"&amp;N$1&amp;"'!C2:C1000")=$C32)
        ),
        5,
        FALSE
    )="",
    "",
    VLOOKUP(
        $A32,
        _xlfn._xlws.FILTER(
            INDIRECT("'"&amp;N$1&amp;"'!A2:G1000"), (INDIRECT("'"&amp;N$1&amp;"'!B2:B1000")=$B32) * (INDIRECT("'"&amp;N$1&amp;"'!C2:C1000")=$C32)
        ),7,
        FALSE
    )
)</f>
        <v>Sim</v>
      </c>
      <c r="O32" s="79" t="str">
        <f t="array" aca="1" ref="O32" ca="1">IF(
    VLOOKUP(
        $A32,
        _xlfn._xlws.FILTER(
            INDIRECT("'"&amp;O$1&amp;"'!A2:G1000"), (INDIRECT("'"&amp;O$1&amp;"'!B2:B1000")=$B32) * (INDIRECT("'"&amp;O$1&amp;"'!C2:C1000")=$C32)
        ),
        5,
        FALSE
    )="",
    "",
    VLOOKUP(
        $A32,
        _xlfn._xlws.FILTER(
            INDIRECT("'"&amp;O$1&amp;"'!A2:G1000"), (INDIRECT("'"&amp;O$1&amp;"'!B2:B1000")=$B32) * (INDIRECT("'"&amp;O$1&amp;"'!C2:C1000")=$C32)
        ),7,
        FALSE
    )
)</f>
        <v>Sim</v>
      </c>
      <c r="P32" s="79" t="str">
        <f t="array" aca="1" ref="P32" ca="1">IF(
    VLOOKUP(
        $A32,
        _xlfn._xlws.FILTER(
            INDIRECT("'"&amp;P$1&amp;"'!A2:G1000"), (INDIRECT("'"&amp;P$1&amp;"'!B2:B1000")=$B32) * (INDIRECT("'"&amp;P$1&amp;"'!C2:C1000")=$C32)
        ),
        5,
        FALSE
    )="",
    "",
    VLOOKUP(
        $A32,
        _xlfn._xlws.FILTER(
            INDIRECT("'"&amp;P$1&amp;"'!A2:G1000"), (INDIRECT("'"&amp;P$1&amp;"'!B2:B1000")=$B32) * (INDIRECT("'"&amp;P$1&amp;"'!C2:C1000")=$C32)
        ),7,
        FALSE
    )
)</f>
        <v>Sim</v>
      </c>
      <c r="Q32" s="79" t="str">
        <f t="array" aca="1" ref="Q32" ca="1">IF(
    VLOOKUP(
        $A32,
        _xlfn._xlws.FILTER(
            INDIRECT("'"&amp;Q$1&amp;"'!A2:G1000"), (INDIRECT("'"&amp;Q$1&amp;"'!B2:B1000")=$B32) * (INDIRECT("'"&amp;Q$1&amp;"'!C2:C1000")=$C32)
        ),
        5,
        FALSE
    )="",
    "",
    VLOOKUP(
        $A32,
        _xlfn._xlws.FILTER(
            INDIRECT("'"&amp;Q$1&amp;"'!A2:G1000"), (INDIRECT("'"&amp;Q$1&amp;"'!B2:B1000")=$B32) * (INDIRECT("'"&amp;Q$1&amp;"'!C2:C1000")=$C32)
        ),7,
        FALSE
    )
)</f>
        <v/>
      </c>
    </row>
    <row r="33" spans="1:17" ht="15.75" customHeight="1" x14ac:dyDescent="0.25">
      <c r="A33" s="81" t="s">
        <v>38</v>
      </c>
      <c r="B33" s="79" t="s">
        <v>81</v>
      </c>
      <c r="C33" s="79">
        <v>1</v>
      </c>
      <c r="D33" s="79" t="str">
        <f t="array" aca="1" ref="D33" ca="1">IF(
    VLOOKUP(
        $A33,
        _xlfn._xlws.FILTER(
            INDIRECT("'"&amp;D$1&amp;"'!A2:G1000"), (INDIRECT("'"&amp;D$1&amp;"'!B2:B1000")=$B33) * (INDIRECT("'"&amp;D$1&amp;"'!C2:C1000")=$C33)
        ),
        5,
        FALSE
    )="",
    "",
    VLOOKUP(
        $A33,
        _xlfn._xlws.FILTER(
            INDIRECT("'"&amp;D$1&amp;"'!A2:G1000"), (INDIRECT("'"&amp;D$1&amp;"'!B2:B1000")=$B33) * (INDIRECT("'"&amp;D$1&amp;"'!C2:C1000")=$C33)
        ),
        7,
        FALSE
    )
)</f>
        <v>Não</v>
      </c>
      <c r="E33" s="79" t="str">
        <f t="array" aca="1" ref="E33" ca="1">IF(
    VLOOKUP(
        $A33,
        _xlfn._xlws.FILTER(
            INDIRECT("'"&amp;E$1&amp;"'!A2:G1000"), (INDIRECT("'"&amp;E$1&amp;"'!B2:B1000")=$B33) * (INDIRECT("'"&amp;E$1&amp;"'!C2:C1000")=$C33)
        ),
        5,
        FALSE
    )="",
    "",
    VLOOKUP(
        $A33,
        _xlfn._xlws.FILTER(
            INDIRECT("'"&amp;E$1&amp;"'!A2:G1000"), (INDIRECT("'"&amp;E$1&amp;"'!B2:B1000")=$B33) * (INDIRECT("'"&amp;E$1&amp;"'!C2:C1000")=$C33)
        ),7,
        FALSE
    )
)</f>
        <v>Não</v>
      </c>
      <c r="F33" s="79" t="str">
        <f t="array" aca="1" ref="F33" ca="1">IF(
    VLOOKUP(
        $A33,
        _xlfn._xlws.FILTER(
            INDIRECT("'"&amp;F$1&amp;"'!A2:G1000"), (INDIRECT("'"&amp;F$1&amp;"'!B2:B1000")=$B33) * (INDIRECT("'"&amp;F$1&amp;"'!C2:C1000")=$C33)
        ),
        5,
        FALSE
    )="",
    "",
    VLOOKUP(
        $A33,
        _xlfn._xlws.FILTER(
            INDIRECT("'"&amp;F$1&amp;"'!A2:G1000"), (INDIRECT("'"&amp;F$1&amp;"'!B2:B1000")=$B33) * (INDIRECT("'"&amp;F$1&amp;"'!C2:C1000")=$C33)
        ),7,
        FALSE
    )
)</f>
        <v>Não</v>
      </c>
      <c r="G33" s="79" t="str">
        <f t="array" aca="1" ref="G33" ca="1">IF(
    VLOOKUP(
        $A33,
        _xlfn._xlws.FILTER(
            INDIRECT("'"&amp;G$1&amp;"'!A2:G1000"), (INDIRECT("'"&amp;G$1&amp;"'!B2:B1000")=$B33) * (INDIRECT("'"&amp;G$1&amp;"'!C2:C1000")=$C33)
        ),
        5,
        FALSE
    )="",
    "",
    VLOOKUP(
        $A33,
        _xlfn._xlws.FILTER(
            INDIRECT("'"&amp;G$1&amp;"'!A2:G1000"), (INDIRECT("'"&amp;G$1&amp;"'!B2:B1000")=$B33) * (INDIRECT("'"&amp;G$1&amp;"'!C2:C1000")=$C33)
        ),7,
        FALSE
    )
)</f>
        <v>Não</v>
      </c>
      <c r="H33" s="79" t="str">
        <f t="array" aca="1" ref="H33" ca="1">IF(
    VLOOKUP(
        $A33,
        _xlfn._xlws.FILTER(
            INDIRECT("'"&amp;H$1&amp;"'!A2:G1000"), (INDIRECT("'"&amp;H$1&amp;"'!B2:B1000")=$B33) * (INDIRECT("'"&amp;H$1&amp;"'!C2:C1000")=$C33)
        ),
        5,
        FALSE
    )="",
    "",
    VLOOKUP(
        $A33,
        _xlfn._xlws.FILTER(
            INDIRECT("'"&amp;H$1&amp;"'!A2:G1000"), (INDIRECT("'"&amp;H$1&amp;"'!B2:B1000")=$B33) * (INDIRECT("'"&amp;H$1&amp;"'!C2:C1000")=$C33)
        ),7,
        FALSE
    )
)</f>
        <v>Não</v>
      </c>
      <c r="I33" s="79" t="str">
        <f t="array" aca="1" ref="I33" ca="1">IF(
    VLOOKUP(
        $A33,
        _xlfn._xlws.FILTER(
            INDIRECT("'"&amp;I$1&amp;"'!A2:G1000"), (INDIRECT("'"&amp;I$1&amp;"'!B2:B1000")=$B33) * (INDIRECT("'"&amp;I$1&amp;"'!C2:C1000")=$C33)
        ),
        5,
        FALSE
    )="",
    "",
    VLOOKUP(
        $A33,
        _xlfn._xlws.FILTER(
            INDIRECT("'"&amp;I$1&amp;"'!A2:G1000"), (INDIRECT("'"&amp;I$1&amp;"'!B2:B1000")=$B33) * (INDIRECT("'"&amp;I$1&amp;"'!C2:C1000")=$C33)
        ),7,
        FALSE
    )
)</f>
        <v>Não</v>
      </c>
      <c r="J33" s="79" t="str">
        <f t="array" ref="J33" ca="1">IF(
    VLOOKUP(
        $A33,
        _xlfn._xlws.FILTER(
            INDIRECT("'"&amp;J$1&amp;"'!A2:G1000"), (INDIRECT("'"&amp;J$1&amp;"'!B2:B1000")=$B33) * (INDIRECT("'"&amp;J$1&amp;"'!C2:C1000")=$C33)
        ),
        5,
        FALSE
    )="",
    "",
    VLOOKUP(
        $A33,
        _xlfn._xlws.FILTER(
            INDIRECT("'"&amp;J$1&amp;"'!A2:G1000"), (INDIRECT("'"&amp;J$1&amp;"'!B2:B1000")=$B33) * (INDIRECT("'"&amp;J$1&amp;"'!C2:C1000")=$C33)
        ),7,
        FALSE
    )
)</f>
        <v>Não</v>
      </c>
      <c r="K33" s="79" t="str">
        <f t="array" aca="1" ref="K33" ca="1">IF(
    VLOOKUP(
        $A33,
        _xlfn._xlws.FILTER(
            INDIRECT("'"&amp;K$1&amp;"'!A2:G1000"), (INDIRECT("'"&amp;K$1&amp;"'!B2:B1000")=$B33) * (INDIRECT("'"&amp;K$1&amp;"'!C2:C1000")=$C33)
        ),
        5,
        FALSE
    )="",
    "",
    VLOOKUP(
        $A33,
        _xlfn._xlws.FILTER(
            INDIRECT("'"&amp;K$1&amp;"'!A2:G1000"), (INDIRECT("'"&amp;K$1&amp;"'!B2:B1000")=$B33) * (INDIRECT("'"&amp;K$1&amp;"'!C2:C1000")=$C33)
        ),7,
        FALSE
    )
)</f>
        <v>Não</v>
      </c>
      <c r="L33" s="79" t="str">
        <f t="array" aca="1" ref="L33" ca="1">IF(
    VLOOKUP(
        $A33,
        _xlfn._xlws.FILTER(
            INDIRECT("'"&amp;L$1&amp;"'!A2:G1000"), (INDIRECT("'"&amp;L$1&amp;"'!B2:B1000")=$B33) * (INDIRECT("'"&amp;L$1&amp;"'!C2:C1000")=$C33)
        ),
        5,
        FALSE
    )="",
    "",
    VLOOKUP(
        $A33,
        _xlfn._xlws.FILTER(
            INDIRECT("'"&amp;L$1&amp;"'!A2:G1000"), (INDIRECT("'"&amp;L$1&amp;"'!B2:B1000")=$B33) * (INDIRECT("'"&amp;L$1&amp;"'!C2:C1000")=$C33)
        ),7,
        FALSE
    )
)</f>
        <v>Não</v>
      </c>
      <c r="M33" s="79" t="str">
        <f t="array" ref="M33" ca="1">IF(
    VLOOKUP(
        $A33,
        _xlfn._xlws.FILTER(
            INDIRECT("'"&amp;M$1&amp;"'!A2:G1000"), (INDIRECT("'"&amp;M$1&amp;"'!B2:B1000")=$B33) * (INDIRECT("'"&amp;M$1&amp;"'!C2:C1000")=$C33)
        ),
        5,
        FALSE
    )="",
    "",
    VLOOKUP(
        $A33,
        _xlfn._xlws.FILTER(
            INDIRECT("'"&amp;M$1&amp;"'!A2:G1000"), (INDIRECT("'"&amp;M$1&amp;"'!B2:B1000")=$B33) * (INDIRECT("'"&amp;M$1&amp;"'!C2:C1000")=$C33)
        ),7,
        FALSE
    )
)</f>
        <v>Não</v>
      </c>
      <c r="N33" s="79" t="str">
        <f t="array" aca="1" ref="N33" ca="1">IF(
    VLOOKUP(
        $A33,
        _xlfn._xlws.FILTER(
            INDIRECT("'"&amp;N$1&amp;"'!A2:G1000"), (INDIRECT("'"&amp;N$1&amp;"'!B2:B1000")=$B33) * (INDIRECT("'"&amp;N$1&amp;"'!C2:C1000")=$C33)
        ),
        5,
        FALSE
    )="",
    "",
    VLOOKUP(
        $A33,
        _xlfn._xlws.FILTER(
            INDIRECT("'"&amp;N$1&amp;"'!A2:G1000"), (INDIRECT("'"&amp;N$1&amp;"'!B2:B1000")=$B33) * (INDIRECT("'"&amp;N$1&amp;"'!C2:C1000")=$C33)
        ),7,
        FALSE
    )
)</f>
        <v>Não</v>
      </c>
      <c r="O33" s="79" t="str">
        <f t="array" aca="1" ref="O33" ca="1">IF(
    VLOOKUP(
        $A33,
        _xlfn._xlws.FILTER(
            INDIRECT("'"&amp;O$1&amp;"'!A2:G1000"), (INDIRECT("'"&amp;O$1&amp;"'!B2:B1000")=$B33) * (INDIRECT("'"&amp;O$1&amp;"'!C2:C1000")=$C33)
        ),
        5,
        FALSE
    )="",
    "",
    VLOOKUP(
        $A33,
        _xlfn._xlws.FILTER(
            INDIRECT("'"&amp;O$1&amp;"'!A2:G1000"), (INDIRECT("'"&amp;O$1&amp;"'!B2:B1000")=$B33) * (INDIRECT("'"&amp;O$1&amp;"'!C2:C1000")=$C33)
        ),7,
        FALSE
    )
)</f>
        <v>Não</v>
      </c>
      <c r="P33" s="79" t="str">
        <f t="array" aca="1" ref="P33" ca="1">IF(
    VLOOKUP(
        $A33,
        _xlfn._xlws.FILTER(
            INDIRECT("'"&amp;P$1&amp;"'!A2:G1000"), (INDIRECT("'"&amp;P$1&amp;"'!B2:B1000")=$B33) * (INDIRECT("'"&amp;P$1&amp;"'!C2:C1000")=$C33)
        ),
        5,
        FALSE
    )="",
    "",
    VLOOKUP(
        $A33,
        _xlfn._xlws.FILTER(
            INDIRECT("'"&amp;P$1&amp;"'!A2:G1000"), (INDIRECT("'"&amp;P$1&amp;"'!B2:B1000")=$B33) * (INDIRECT("'"&amp;P$1&amp;"'!C2:C1000")=$C33)
        ),7,
        FALSE
    )
)</f>
        <v>Não</v>
      </c>
      <c r="Q33" s="79" t="str">
        <f t="array" aca="1" ref="Q33" ca="1">IF(
    VLOOKUP(
        $A33,
        _xlfn._xlws.FILTER(
            INDIRECT("'"&amp;Q$1&amp;"'!A2:G1000"), (INDIRECT("'"&amp;Q$1&amp;"'!B2:B1000")=$B33) * (INDIRECT("'"&amp;Q$1&amp;"'!C2:C1000")=$C33)
        ),
        5,
        FALSE
    )="",
    "",
    VLOOKUP(
        $A33,
        _xlfn._xlws.FILTER(
            INDIRECT("'"&amp;Q$1&amp;"'!A2:G1000"), (INDIRECT("'"&amp;Q$1&amp;"'!B2:B1000")=$B33) * (INDIRECT("'"&amp;Q$1&amp;"'!C2:C1000")=$C33)
        ),7,
        FALSE
    )
)</f>
        <v/>
      </c>
    </row>
    <row r="34" spans="1:17" ht="15.75" customHeight="1" x14ac:dyDescent="0.25">
      <c r="A34" s="81" t="s">
        <v>38</v>
      </c>
      <c r="B34" s="79" t="s">
        <v>76</v>
      </c>
      <c r="C34" s="79">
        <v>1</v>
      </c>
      <c r="D34" s="79" t="str">
        <f t="array" aca="1" ref="D34" ca="1">IF(
    VLOOKUP(
        $A34,
        _xlfn._xlws.FILTER(
            INDIRECT("'"&amp;D$1&amp;"'!A2:G1000"), (INDIRECT("'"&amp;D$1&amp;"'!B2:B1000")=$B34) * (INDIRECT("'"&amp;D$1&amp;"'!C2:C1000")=$C34)
        ),
        5,
        FALSE
    )="",
    "",
    VLOOKUP(
        $A34,
        _xlfn._xlws.FILTER(
            INDIRECT("'"&amp;D$1&amp;"'!A2:G1000"), (INDIRECT("'"&amp;D$1&amp;"'!B2:B1000")=$B34) * (INDIRECT("'"&amp;D$1&amp;"'!C2:C1000")=$C34)
        ),
        7,
        FALSE
    )
)</f>
        <v>Não</v>
      </c>
      <c r="E34" s="79" t="str">
        <f t="array" aca="1" ref="E34" ca="1">IF(
    VLOOKUP(
        $A34,
        _xlfn._xlws.FILTER(
            INDIRECT("'"&amp;E$1&amp;"'!A2:G1000"), (INDIRECT("'"&amp;E$1&amp;"'!B2:B1000")=$B34) * (INDIRECT("'"&amp;E$1&amp;"'!C2:C1000")=$C34)
        ),
        5,
        FALSE
    )="",
    "",
    VLOOKUP(
        $A34,
        _xlfn._xlws.FILTER(
            INDIRECT("'"&amp;E$1&amp;"'!A2:G1000"), (INDIRECT("'"&amp;E$1&amp;"'!B2:B1000")=$B34) * (INDIRECT("'"&amp;E$1&amp;"'!C2:C1000")=$C34)
        ),7,
        FALSE
    )
)</f>
        <v>Não</v>
      </c>
      <c r="F34" s="79" t="str">
        <f t="array" aca="1" ref="F34" ca="1">IF(
    VLOOKUP(
        $A34,
        _xlfn._xlws.FILTER(
            INDIRECT("'"&amp;F$1&amp;"'!A2:G1000"), (INDIRECT("'"&amp;F$1&amp;"'!B2:B1000")=$B34) * (INDIRECT("'"&amp;F$1&amp;"'!C2:C1000")=$C34)
        ),
        5,
        FALSE
    )="",
    "",
    VLOOKUP(
        $A34,
        _xlfn._xlws.FILTER(
            INDIRECT("'"&amp;F$1&amp;"'!A2:G1000"), (INDIRECT("'"&amp;F$1&amp;"'!B2:B1000")=$B34) * (INDIRECT("'"&amp;F$1&amp;"'!C2:C1000")=$C34)
        ),7,
        FALSE
    )
)</f>
        <v>Sim</v>
      </c>
      <c r="G34" s="79" t="str">
        <f t="array" aca="1" ref="G34" ca="1">IF(
    VLOOKUP(
        $A34,
        _xlfn._xlws.FILTER(
            INDIRECT("'"&amp;G$1&amp;"'!A2:G1000"), (INDIRECT("'"&amp;G$1&amp;"'!B2:B1000")=$B34) * (INDIRECT("'"&amp;G$1&amp;"'!C2:C1000")=$C34)
        ),
        5,
        FALSE
    )="",
    "",
    VLOOKUP(
        $A34,
        _xlfn._xlws.FILTER(
            INDIRECT("'"&amp;G$1&amp;"'!A2:G1000"), (INDIRECT("'"&amp;G$1&amp;"'!B2:B1000")=$B34) * (INDIRECT("'"&amp;G$1&amp;"'!C2:C1000")=$C34)
        ),7,
        FALSE
    )
)</f>
        <v>Sim</v>
      </c>
      <c r="H34" s="79" t="str">
        <f t="array" aca="1" ref="H34" ca="1">IF(
    VLOOKUP(
        $A34,
        _xlfn._xlws.FILTER(
            INDIRECT("'"&amp;H$1&amp;"'!A2:G1000"), (INDIRECT("'"&amp;H$1&amp;"'!B2:B1000")=$B34) * (INDIRECT("'"&amp;H$1&amp;"'!C2:C1000")=$C34)
        ),
        5,
        FALSE
    )="",
    "",
    VLOOKUP(
        $A34,
        _xlfn._xlws.FILTER(
            INDIRECT("'"&amp;H$1&amp;"'!A2:G1000"), (INDIRECT("'"&amp;H$1&amp;"'!B2:B1000")=$B34) * (INDIRECT("'"&amp;H$1&amp;"'!C2:C1000")=$C34)
        ),7,
        FALSE
    )
)</f>
        <v>Sim</v>
      </c>
      <c r="I34" s="79" t="str">
        <f t="array" aca="1" ref="I34" ca="1">IF(
    VLOOKUP(
        $A34,
        _xlfn._xlws.FILTER(
            INDIRECT("'"&amp;I$1&amp;"'!A2:G1000"), (INDIRECT("'"&amp;I$1&amp;"'!B2:B1000")=$B34) * (INDIRECT("'"&amp;I$1&amp;"'!C2:C1000")=$C34)
        ),
        5,
        FALSE
    )="",
    "",
    VLOOKUP(
        $A34,
        _xlfn._xlws.FILTER(
            INDIRECT("'"&amp;I$1&amp;"'!A2:G1000"), (INDIRECT("'"&amp;I$1&amp;"'!B2:B1000")=$B34) * (INDIRECT("'"&amp;I$1&amp;"'!C2:C1000")=$C34)
        ),7,
        FALSE
    )
)</f>
        <v>Sim</v>
      </c>
      <c r="J34" s="79" t="str">
        <f t="array" aca="1" ref="J34" ca="1">IF(
    VLOOKUP(
        $A34,
        _xlfn._xlws.FILTER(
            INDIRECT("'"&amp;J$1&amp;"'!A2:G1000"), (INDIRECT("'"&amp;J$1&amp;"'!B2:B1000")=$B34) * (INDIRECT("'"&amp;J$1&amp;"'!C2:C1000")=$C34)
        ),
        5,
        FALSE
    )="",
    "",
    VLOOKUP(
        $A34,
        _xlfn._xlws.FILTER(
            INDIRECT("'"&amp;J$1&amp;"'!A2:G1000"), (INDIRECT("'"&amp;J$1&amp;"'!B2:B1000")=$B34) * (INDIRECT("'"&amp;J$1&amp;"'!C2:C1000")=$C34)
        ),7,
        FALSE
    )
)</f>
        <v>Sim</v>
      </c>
      <c r="K34" s="79" t="str">
        <f t="array" aca="1" ref="K34" ca="1">IF(
    VLOOKUP(
        $A34,
        _xlfn._xlws.FILTER(
            INDIRECT("'"&amp;K$1&amp;"'!A2:G1000"), (INDIRECT("'"&amp;K$1&amp;"'!B2:B1000")=$B34) * (INDIRECT("'"&amp;K$1&amp;"'!C2:C1000")=$C34)
        ),
        5,
        FALSE
    )="",
    "",
    VLOOKUP(
        $A34,
        _xlfn._xlws.FILTER(
            INDIRECT("'"&amp;K$1&amp;"'!A2:G1000"), (INDIRECT("'"&amp;K$1&amp;"'!B2:B1000")=$B34) * (INDIRECT("'"&amp;K$1&amp;"'!C2:C1000")=$C34)
        ),7,
        FALSE
    )
)</f>
        <v>Sim</v>
      </c>
      <c r="L34" s="79" t="str">
        <f t="array" aca="1" ref="L34" ca="1">IF(
    VLOOKUP(
        $A34,
        _xlfn._xlws.FILTER(
            INDIRECT("'"&amp;L$1&amp;"'!A2:G1000"), (INDIRECT("'"&amp;L$1&amp;"'!B2:B1000")=$B34) * (INDIRECT("'"&amp;L$1&amp;"'!C2:C1000")=$C34)
        ),
        5,
        FALSE
    )="",
    "",
    VLOOKUP(
        $A34,
        _xlfn._xlws.FILTER(
            INDIRECT("'"&amp;L$1&amp;"'!A2:G1000"), (INDIRECT("'"&amp;L$1&amp;"'!B2:B1000")=$B34) * (INDIRECT("'"&amp;L$1&amp;"'!C2:C1000")=$C34)
        ),7,
        FALSE
    )
)</f>
        <v>Sim</v>
      </c>
      <c r="M34" s="79" t="str">
        <f t="array" aca="1" ref="M34" ca="1">IF(
    VLOOKUP(
        $A34,
        _xlfn._xlws.FILTER(
            INDIRECT("'"&amp;M$1&amp;"'!A2:G1000"), (INDIRECT("'"&amp;M$1&amp;"'!B2:B1000")=$B34) * (INDIRECT("'"&amp;M$1&amp;"'!C2:C1000")=$C34)
        ),
        5,
        FALSE
    )="",
    "",
    VLOOKUP(
        $A34,
        _xlfn._xlws.FILTER(
            INDIRECT("'"&amp;M$1&amp;"'!A2:G1000"), (INDIRECT("'"&amp;M$1&amp;"'!B2:B1000")=$B34) * (INDIRECT("'"&amp;M$1&amp;"'!C2:C1000")=$C34)
        ),7,
        FALSE
    )
)</f>
        <v>Sim</v>
      </c>
      <c r="N34" s="79" t="str">
        <f t="array" ref="N34" ca="1">IF(
    VLOOKUP(
        $A34,
        _xlfn._xlws.FILTER(
            INDIRECT("'"&amp;N$1&amp;"'!A2:G1000"), (INDIRECT("'"&amp;N$1&amp;"'!B2:B1000")=$B34) * (INDIRECT("'"&amp;N$1&amp;"'!C2:C1000")=$C34)
        ),
        5,
        FALSE
    )="",
    "",
    VLOOKUP(
        $A34,
        _xlfn._xlws.FILTER(
            INDIRECT("'"&amp;N$1&amp;"'!A2:G1000"), (INDIRECT("'"&amp;N$1&amp;"'!B2:B1000")=$B34) * (INDIRECT("'"&amp;N$1&amp;"'!C2:C1000")=$C34)
        ),7,
        FALSE
    )
)</f>
        <v>Sim</v>
      </c>
      <c r="O34" s="79" t="str">
        <f t="array" aca="1" ref="O34" ca="1">IF(
    VLOOKUP(
        $A34,
        _xlfn._xlws.FILTER(
            INDIRECT("'"&amp;O$1&amp;"'!A2:G1000"), (INDIRECT("'"&amp;O$1&amp;"'!B2:B1000")=$B34) * (INDIRECT("'"&amp;O$1&amp;"'!C2:C1000")=$C34)
        ),
        5,
        FALSE
    )="",
    "",
    VLOOKUP(
        $A34,
        _xlfn._xlws.FILTER(
            INDIRECT("'"&amp;O$1&amp;"'!A2:G1000"), (INDIRECT("'"&amp;O$1&amp;"'!B2:B1000")=$B34) * (INDIRECT("'"&amp;O$1&amp;"'!C2:C1000")=$C34)
        ),7,
        FALSE
    )
)</f>
        <v>Sim</v>
      </c>
      <c r="P34" s="79" t="str">
        <f t="array" aca="1" ref="P34" ca="1">IF(
    VLOOKUP(
        $A34,
        _xlfn._xlws.FILTER(
            INDIRECT("'"&amp;P$1&amp;"'!A2:G1000"), (INDIRECT("'"&amp;P$1&amp;"'!B2:B1000")=$B34) * (INDIRECT("'"&amp;P$1&amp;"'!C2:C1000")=$C34)
        ),
        5,
        FALSE
    )="",
    "",
    VLOOKUP(
        $A34,
        _xlfn._xlws.FILTER(
            INDIRECT("'"&amp;P$1&amp;"'!A2:G1000"), (INDIRECT("'"&amp;P$1&amp;"'!B2:B1000")=$B34) * (INDIRECT("'"&amp;P$1&amp;"'!C2:C1000")=$C34)
        ),7,
        FALSE
    )
)</f>
        <v>Não</v>
      </c>
      <c r="Q34" s="79" t="str">
        <f t="array" aca="1" ref="Q34" ca="1">IF(
    VLOOKUP(
        $A34,
        _xlfn._xlws.FILTER(
            INDIRECT("'"&amp;Q$1&amp;"'!A2:G1000"), (INDIRECT("'"&amp;Q$1&amp;"'!B2:B1000")=$B34) * (INDIRECT("'"&amp;Q$1&amp;"'!C2:C1000")=$C34)
        ),
        5,
        FALSE
    )="",
    "",
    VLOOKUP(
        $A34,
        _xlfn._xlws.FILTER(
            INDIRECT("'"&amp;Q$1&amp;"'!A2:G1000"), (INDIRECT("'"&amp;Q$1&amp;"'!B2:B1000")=$B34) * (INDIRECT("'"&amp;Q$1&amp;"'!C2:C1000")=$C34)
        ),7,
        FALSE
    )
)</f>
        <v>Não</v>
      </c>
    </row>
    <row r="35" spans="1:17" x14ac:dyDescent="0.25">
      <c r="A35" s="81" t="s">
        <v>38</v>
      </c>
      <c r="B35" s="79" t="s">
        <v>108</v>
      </c>
      <c r="C35" s="79">
        <v>1</v>
      </c>
      <c r="D35" s="79" t="str">
        <f t="array" aca="1" ref="D35" ca="1">IF(
    VLOOKUP(
        $A35,
        _xlfn._xlws.FILTER(
            INDIRECT("'"&amp;D$1&amp;"'!A2:G1000"), (INDIRECT("'"&amp;D$1&amp;"'!B2:B1000")=$B35) * (INDIRECT("'"&amp;D$1&amp;"'!C2:C1000")=$C35)
        ),
        5,
        FALSE
    )="",
    "",
    VLOOKUP(
        $A35,
        _xlfn._xlws.FILTER(
            INDIRECT("'"&amp;D$1&amp;"'!A2:G1000"), (INDIRECT("'"&amp;D$1&amp;"'!B2:B1000")=$B35) * (INDIRECT("'"&amp;D$1&amp;"'!C2:C1000")=$C35)
        ),
        7,
        FALSE
    )
)</f>
        <v>Não</v>
      </c>
      <c r="E35" s="79" t="str">
        <f t="array" aca="1" ref="E35" ca="1">IF(
    VLOOKUP(
        $A35,
        _xlfn._xlws.FILTER(
            INDIRECT("'"&amp;E$1&amp;"'!A2:G1000"), (INDIRECT("'"&amp;E$1&amp;"'!B2:B1000")=$B35) * (INDIRECT("'"&amp;E$1&amp;"'!C2:C1000")=$C35)
        ),
        5,
        FALSE
    )="",
    "",
    VLOOKUP(
        $A35,
        _xlfn._xlws.FILTER(
            INDIRECT("'"&amp;E$1&amp;"'!A2:G1000"), (INDIRECT("'"&amp;E$1&amp;"'!B2:B1000")=$B35) * (INDIRECT("'"&amp;E$1&amp;"'!C2:C1000")=$C35)
        ),7,
        FALSE
    )
)</f>
        <v>Não</v>
      </c>
      <c r="F35" s="79" t="str">
        <f t="array" aca="1" ref="F35" ca="1">IF(
    VLOOKUP(
        $A35,
        _xlfn._xlws.FILTER(
            INDIRECT("'"&amp;F$1&amp;"'!A2:G1000"), (INDIRECT("'"&amp;F$1&amp;"'!B2:B1000")=$B35) * (INDIRECT("'"&amp;F$1&amp;"'!C2:C1000")=$C35)
        ),
        5,
        FALSE
    )="",
    "",
    VLOOKUP(
        $A35,
        _xlfn._xlws.FILTER(
            INDIRECT("'"&amp;F$1&amp;"'!A2:G1000"), (INDIRECT("'"&amp;F$1&amp;"'!B2:B1000")=$B35) * (INDIRECT("'"&amp;F$1&amp;"'!C2:C1000")=$C35)
        ),7,
        FALSE
    )
)</f>
        <v>Não</v>
      </c>
      <c r="G35" s="79" t="str">
        <f t="array" aca="1" ref="G35" ca="1">IF(
    VLOOKUP(
        $A35,
        _xlfn._xlws.FILTER(
            INDIRECT("'"&amp;G$1&amp;"'!A2:G1000"), (INDIRECT("'"&amp;G$1&amp;"'!B2:B1000")=$B35) * (INDIRECT("'"&amp;G$1&amp;"'!C2:C1000")=$C35)
        ),
        5,
        FALSE
    )="",
    "",
    VLOOKUP(
        $A35,
        _xlfn._xlws.FILTER(
            INDIRECT("'"&amp;G$1&amp;"'!A2:G1000"), (INDIRECT("'"&amp;G$1&amp;"'!B2:B1000")=$B35) * (INDIRECT("'"&amp;G$1&amp;"'!C2:C1000")=$C35)
        ),7,
        FALSE
    )
)</f>
        <v>Não</v>
      </c>
      <c r="H35" s="79" t="str">
        <f t="array" aca="1" ref="H35" ca="1">IF(
    VLOOKUP(
        $A35,
        _xlfn._xlws.FILTER(
            INDIRECT("'"&amp;H$1&amp;"'!A2:G1000"), (INDIRECT("'"&amp;H$1&amp;"'!B2:B1000")=$B35) * (INDIRECT("'"&amp;H$1&amp;"'!C2:C1000")=$C35)
        ),
        5,
        FALSE
    )="",
    "",
    VLOOKUP(
        $A35,
        _xlfn._xlws.FILTER(
            INDIRECT("'"&amp;H$1&amp;"'!A2:G1000"), (INDIRECT("'"&amp;H$1&amp;"'!B2:B1000")=$B35) * (INDIRECT("'"&amp;H$1&amp;"'!C2:C1000")=$C35)
        ),7,
        FALSE
    )
)</f>
        <v>Não</v>
      </c>
      <c r="I35" s="79" t="str">
        <f t="array" aca="1" ref="I35" ca="1">IF(
    VLOOKUP(
        $A35,
        _xlfn._xlws.FILTER(
            INDIRECT("'"&amp;I$1&amp;"'!A2:G1000"), (INDIRECT("'"&amp;I$1&amp;"'!B2:B1000")=$B35) * (INDIRECT("'"&amp;I$1&amp;"'!C2:C1000")=$C35)
        ),
        5,
        FALSE
    )="",
    "",
    VLOOKUP(
        $A35,
        _xlfn._xlws.FILTER(
            INDIRECT("'"&amp;I$1&amp;"'!A2:G1000"), (INDIRECT("'"&amp;I$1&amp;"'!B2:B1000")=$B35) * (INDIRECT("'"&amp;I$1&amp;"'!C2:C1000")=$C35)
        ),7,
        FALSE
    )
)</f>
        <v>Não</v>
      </c>
      <c r="J35" s="79" t="str">
        <f t="array" ref="J35" ca="1">IF(
    VLOOKUP(
        $A35,
        _xlfn._xlws.FILTER(
            INDIRECT("'"&amp;J$1&amp;"'!A2:G1000"), (INDIRECT("'"&amp;J$1&amp;"'!B2:B1000")=$B35) * (INDIRECT("'"&amp;J$1&amp;"'!C2:C1000")=$C35)
        ),
        5,
        FALSE
    )="",
    "",
    VLOOKUP(
        $A35,
        _xlfn._xlws.FILTER(
            INDIRECT("'"&amp;J$1&amp;"'!A2:G1000"), (INDIRECT("'"&amp;J$1&amp;"'!B2:B1000")=$B35) * (INDIRECT("'"&amp;J$1&amp;"'!C2:C1000")=$C35)
        ),7,
        FALSE
    )
)</f>
        <v>Não</v>
      </c>
      <c r="K35" s="79" t="str">
        <f t="array" aca="1" ref="K35" ca="1">IF(
    VLOOKUP(
        $A35,
        _xlfn._xlws.FILTER(
            INDIRECT("'"&amp;K$1&amp;"'!A2:G1000"), (INDIRECT("'"&amp;K$1&amp;"'!B2:B1000")=$B35) * (INDIRECT("'"&amp;K$1&amp;"'!C2:C1000")=$C35)
        ),
        5,
        FALSE
    )="",
    "",
    VLOOKUP(
        $A35,
        _xlfn._xlws.FILTER(
            INDIRECT("'"&amp;K$1&amp;"'!A2:G1000"), (INDIRECT("'"&amp;K$1&amp;"'!B2:B1000")=$B35) * (INDIRECT("'"&amp;K$1&amp;"'!C2:C1000")=$C35)
        ),7,
        FALSE
    )
)</f>
        <v>Não</v>
      </c>
      <c r="L35" s="79" t="str">
        <f t="array" aca="1" ref="L35" ca="1">IF(
    VLOOKUP(
        $A35,
        _xlfn._xlws.FILTER(
            INDIRECT("'"&amp;L$1&amp;"'!A2:G1000"), (INDIRECT("'"&amp;L$1&amp;"'!B2:B1000")=$B35) * (INDIRECT("'"&amp;L$1&amp;"'!C2:C1000")=$C35)
        ),
        5,
        FALSE
    )="",
    "",
    VLOOKUP(
        $A35,
        _xlfn._xlws.FILTER(
            INDIRECT("'"&amp;L$1&amp;"'!A2:G1000"), (INDIRECT("'"&amp;L$1&amp;"'!B2:B1000")=$B35) * (INDIRECT("'"&amp;L$1&amp;"'!C2:C1000")=$C35)
        ),7,
        FALSE
    )
)</f>
        <v>Não</v>
      </c>
      <c r="M35" s="79" t="str">
        <f t="array" aca="1" ref="M35" ca="1">IF(
    VLOOKUP(
        $A35,
        _xlfn._xlws.FILTER(
            INDIRECT("'"&amp;M$1&amp;"'!A2:G1000"), (INDIRECT("'"&amp;M$1&amp;"'!B2:B1000")=$B35) * (INDIRECT("'"&amp;M$1&amp;"'!C2:C1000")=$C35)
        ),
        5,
        FALSE
    )="",
    "",
    VLOOKUP(
        $A35,
        _xlfn._xlws.FILTER(
            INDIRECT("'"&amp;M$1&amp;"'!A2:G1000"), (INDIRECT("'"&amp;M$1&amp;"'!B2:B1000")=$B35) * (INDIRECT("'"&amp;M$1&amp;"'!C2:C1000")=$C35)
        ),7,
        FALSE
    )
)</f>
        <v>Não</v>
      </c>
      <c r="N35" s="79" t="str">
        <f t="array" aca="1" ref="N35" ca="1">IF(
    VLOOKUP(
        $A35,
        _xlfn._xlws.FILTER(
            INDIRECT("'"&amp;N$1&amp;"'!A2:G1000"), (INDIRECT("'"&amp;N$1&amp;"'!B2:B1000")=$B35) * (INDIRECT("'"&amp;N$1&amp;"'!C2:C1000")=$C35)
        ),
        5,
        FALSE
    )="",
    "",
    VLOOKUP(
        $A35,
        _xlfn._xlws.FILTER(
            INDIRECT("'"&amp;N$1&amp;"'!A2:G1000"), (INDIRECT("'"&amp;N$1&amp;"'!B2:B1000")=$B35) * (INDIRECT("'"&amp;N$1&amp;"'!C2:C1000")=$C35)
        ),7,
        FALSE
    )
)</f>
        <v>Não</v>
      </c>
      <c r="O35" s="79" t="str">
        <f t="array" aca="1" ref="O35" ca="1">IF(
    VLOOKUP(
        $A35,
        _xlfn._xlws.FILTER(
            INDIRECT("'"&amp;O$1&amp;"'!A2:G1000"), (INDIRECT("'"&amp;O$1&amp;"'!B2:B1000")=$B35) * (INDIRECT("'"&amp;O$1&amp;"'!C2:C1000")=$C35)
        ),
        5,
        FALSE
    )="",
    "",
    VLOOKUP(
        $A35,
        _xlfn._xlws.FILTER(
            INDIRECT("'"&amp;O$1&amp;"'!A2:G1000"), (INDIRECT("'"&amp;O$1&amp;"'!B2:B1000")=$B35) * (INDIRECT("'"&amp;O$1&amp;"'!C2:C1000")=$C35)
        ),7,
        FALSE
    )
)</f>
        <v>Não</v>
      </c>
      <c r="P35" s="79" t="str">
        <f t="array" aca="1" ref="P35" ca="1">IF(
    VLOOKUP(
        $A35,
        _xlfn._xlws.FILTER(
            INDIRECT("'"&amp;P$1&amp;"'!A2:G1000"), (INDIRECT("'"&amp;P$1&amp;"'!B2:B1000")=$B35) * (INDIRECT("'"&amp;P$1&amp;"'!C2:C1000")=$C35)
        ),
        5,
        FALSE
    )="",
    "",
    VLOOKUP(
        $A35,
        _xlfn._xlws.FILTER(
            INDIRECT("'"&amp;P$1&amp;"'!A2:G1000"), (INDIRECT("'"&amp;P$1&amp;"'!B2:B1000")=$B35) * (INDIRECT("'"&amp;P$1&amp;"'!C2:C1000")=$C35)
        ),7,
        FALSE
    )
)</f>
        <v>Não</v>
      </c>
      <c r="Q35" s="79" t="str">
        <f t="array" aca="1" ref="Q35" ca="1">IF(
    VLOOKUP(
        $A35,
        _xlfn._xlws.FILTER(
            INDIRECT("'"&amp;Q$1&amp;"'!A2:G1000"), (INDIRECT("'"&amp;Q$1&amp;"'!B2:B1000")=$B35) * (INDIRECT("'"&amp;Q$1&amp;"'!C2:C1000")=$C35)
        ),
        5,
        FALSE
    )="",
    "",
    VLOOKUP(
        $A35,
        _xlfn._xlws.FILTER(
            INDIRECT("'"&amp;Q$1&amp;"'!A2:G1000"), (INDIRECT("'"&amp;Q$1&amp;"'!B2:B1000")=$B35) * (INDIRECT("'"&amp;Q$1&amp;"'!C2:C1000")=$C35)
        ),7,
        FALSE
    )
)</f>
        <v/>
      </c>
    </row>
    <row r="36" spans="1:17" x14ac:dyDescent="0.25">
      <c r="A36" s="81" t="s">
        <v>38</v>
      </c>
      <c r="B36" s="79" t="s">
        <v>83</v>
      </c>
      <c r="C36" s="79">
        <v>1</v>
      </c>
      <c r="D36" s="79" t="str">
        <f t="array" aca="1" ref="D36" ca="1">IF(
    VLOOKUP(
        $A36,
        _xlfn._xlws.FILTER(
            INDIRECT("'"&amp;D$1&amp;"'!A2:G1000"), (INDIRECT("'"&amp;D$1&amp;"'!B2:B1000")=$B36) * (INDIRECT("'"&amp;D$1&amp;"'!C2:C1000")=$C36)
        ),
        5,
        FALSE
    )="",
    "",
    VLOOKUP(
        $A36,
        _xlfn._xlws.FILTER(
            INDIRECT("'"&amp;D$1&amp;"'!A2:G1000"), (INDIRECT("'"&amp;D$1&amp;"'!B2:B1000")=$B36) * (INDIRECT("'"&amp;D$1&amp;"'!C2:C1000")=$C36)
        ),
        7,
        FALSE
    )
)</f>
        <v>Sim</v>
      </c>
      <c r="E36" s="79" t="str">
        <f t="array" aca="1" ref="E36" ca="1">IF(
    VLOOKUP(
        $A36,
        _xlfn._xlws.FILTER(
            INDIRECT("'"&amp;E$1&amp;"'!A2:G1000"), (INDIRECT("'"&amp;E$1&amp;"'!B2:B1000")=$B36) * (INDIRECT("'"&amp;E$1&amp;"'!C2:C1000")=$C36)
        ),
        5,
        FALSE
    )="",
    "",
    VLOOKUP(
        $A36,
        _xlfn._xlws.FILTER(
            INDIRECT("'"&amp;E$1&amp;"'!A2:G1000"), (INDIRECT("'"&amp;E$1&amp;"'!B2:B1000")=$B36) * (INDIRECT("'"&amp;E$1&amp;"'!C2:C1000")=$C36)
        ),7,
        FALSE
    )
)</f>
        <v>Não</v>
      </c>
      <c r="F36" s="79" t="str">
        <f t="array" aca="1" ref="F36" ca="1">IF(
    VLOOKUP(
        $A36,
        _xlfn._xlws.FILTER(
            INDIRECT("'"&amp;F$1&amp;"'!A2:G1000"), (INDIRECT("'"&amp;F$1&amp;"'!B2:B1000")=$B36) * (INDIRECT("'"&amp;F$1&amp;"'!C2:C1000")=$C36)
        ),
        5,
        FALSE
    )="",
    "",
    VLOOKUP(
        $A36,
        _xlfn._xlws.FILTER(
            INDIRECT("'"&amp;F$1&amp;"'!A2:G1000"), (INDIRECT("'"&amp;F$1&amp;"'!B2:B1000")=$B36) * (INDIRECT("'"&amp;F$1&amp;"'!C2:C1000")=$C36)
        ),7,
        FALSE
    )
)</f>
        <v>Não</v>
      </c>
      <c r="G36" s="79" t="str">
        <f t="array" aca="1" ref="G36" ca="1">IF(
    VLOOKUP(
        $A36,
        _xlfn._xlws.FILTER(
            INDIRECT("'"&amp;G$1&amp;"'!A2:G1000"), (INDIRECT("'"&amp;G$1&amp;"'!B2:B1000")=$B36) * (INDIRECT("'"&amp;G$1&amp;"'!C2:C1000")=$C36)
        ),
        5,
        FALSE
    )="",
    "",
    VLOOKUP(
        $A36,
        _xlfn._xlws.FILTER(
            INDIRECT("'"&amp;G$1&amp;"'!A2:G1000"), (INDIRECT("'"&amp;G$1&amp;"'!B2:B1000")=$B36) * (INDIRECT("'"&amp;G$1&amp;"'!C2:C1000")=$C36)
        ),7,
        FALSE
    )
)</f>
        <v>Não</v>
      </c>
      <c r="H36" s="79" t="str">
        <f t="array" aca="1" ref="H36" ca="1">IF(
    VLOOKUP(
        $A36,
        _xlfn._xlws.FILTER(
            INDIRECT("'"&amp;H$1&amp;"'!A2:G1000"), (INDIRECT("'"&amp;H$1&amp;"'!B2:B1000")=$B36) * (INDIRECT("'"&amp;H$1&amp;"'!C2:C1000")=$C36)
        ),
        5,
        FALSE
    )="",
    "",
    VLOOKUP(
        $A36,
        _xlfn._xlws.FILTER(
            INDIRECT("'"&amp;H$1&amp;"'!A2:G1000"), (INDIRECT("'"&amp;H$1&amp;"'!B2:B1000")=$B36) * (INDIRECT("'"&amp;H$1&amp;"'!C2:C1000")=$C36)
        ),7,
        FALSE
    )
)</f>
        <v>Não</v>
      </c>
      <c r="I36" s="79" t="str">
        <f t="array" aca="1" ref="I36" ca="1">IF(
    VLOOKUP(
        $A36,
        _xlfn._xlws.FILTER(
            INDIRECT("'"&amp;I$1&amp;"'!A2:G1000"), (INDIRECT("'"&amp;I$1&amp;"'!B2:B1000")=$B36) * (INDIRECT("'"&amp;I$1&amp;"'!C2:C1000")=$C36)
        ),
        5,
        FALSE
    )="",
    "",
    VLOOKUP(
        $A36,
        _xlfn._xlws.FILTER(
            INDIRECT("'"&amp;I$1&amp;"'!A2:G1000"), (INDIRECT("'"&amp;I$1&amp;"'!B2:B1000")=$B36) * (INDIRECT("'"&amp;I$1&amp;"'!C2:C1000")=$C36)
        ),7,
        FALSE
    )
)</f>
        <v>Não</v>
      </c>
      <c r="J36" s="79" t="str">
        <f t="array" aca="1" ref="J36" ca="1">IF(
    VLOOKUP(
        $A36,
        _xlfn._xlws.FILTER(
            INDIRECT("'"&amp;J$1&amp;"'!A2:G1000"), (INDIRECT("'"&amp;J$1&amp;"'!B2:B1000")=$B36) * (INDIRECT("'"&amp;J$1&amp;"'!C2:C1000")=$C36)
        ),
        5,
        FALSE
    )="",
    "",
    VLOOKUP(
        $A36,
        _xlfn._xlws.FILTER(
            INDIRECT("'"&amp;J$1&amp;"'!A2:G1000"), (INDIRECT("'"&amp;J$1&amp;"'!B2:B1000")=$B36) * (INDIRECT("'"&amp;J$1&amp;"'!C2:C1000")=$C36)
        ),7,
        FALSE
    )
)</f>
        <v>Não</v>
      </c>
      <c r="K36" s="79" t="str">
        <f t="array" aca="1" ref="K36" ca="1">IF(
    VLOOKUP(
        $A36,
        _xlfn._xlws.FILTER(
            INDIRECT("'"&amp;K$1&amp;"'!A2:G1000"), (INDIRECT("'"&amp;K$1&amp;"'!B2:B1000")=$B36) * (INDIRECT("'"&amp;K$1&amp;"'!C2:C1000")=$C36)
        ),
        5,
        FALSE
    )="",
    "",
    VLOOKUP(
        $A36,
        _xlfn._xlws.FILTER(
            INDIRECT("'"&amp;K$1&amp;"'!A2:G1000"), (INDIRECT("'"&amp;K$1&amp;"'!B2:B1000")=$B36) * (INDIRECT("'"&amp;K$1&amp;"'!C2:C1000")=$C36)
        ),7,
        FALSE
    )
)</f>
        <v>Não</v>
      </c>
      <c r="L36" s="79" t="str">
        <f t="array" aca="1" ref="L36" ca="1">IF(
    VLOOKUP(
        $A36,
        _xlfn._xlws.FILTER(
            INDIRECT("'"&amp;L$1&amp;"'!A2:G1000"), (INDIRECT("'"&amp;L$1&amp;"'!B2:B1000")=$B36) * (INDIRECT("'"&amp;L$1&amp;"'!C2:C1000")=$C36)
        ),
        5,
        FALSE
    )="",
    "",
    VLOOKUP(
        $A36,
        _xlfn._xlws.FILTER(
            INDIRECT("'"&amp;L$1&amp;"'!A2:G1000"), (INDIRECT("'"&amp;L$1&amp;"'!B2:B1000")=$B36) * (INDIRECT("'"&amp;L$1&amp;"'!C2:C1000")=$C36)
        ),7,
        FALSE
    )
)</f>
        <v>Não</v>
      </c>
      <c r="M36" s="79" t="str">
        <f t="array" aca="1" ref="M36" ca="1">IF(
    VLOOKUP(
        $A36,
        _xlfn._xlws.FILTER(
            INDIRECT("'"&amp;M$1&amp;"'!A2:G1000"), (INDIRECT("'"&amp;M$1&amp;"'!B2:B1000")=$B36) * (INDIRECT("'"&amp;M$1&amp;"'!C2:C1000")=$C36)
        ),
        5,
        FALSE
    )="",
    "",
    VLOOKUP(
        $A36,
        _xlfn._xlws.FILTER(
            INDIRECT("'"&amp;M$1&amp;"'!A2:G1000"), (INDIRECT("'"&amp;M$1&amp;"'!B2:B1000")=$B36) * (INDIRECT("'"&amp;M$1&amp;"'!C2:C1000")=$C36)
        ),7,
        FALSE
    )
)</f>
        <v>Não</v>
      </c>
      <c r="N36" s="79" t="str">
        <f t="array" ref="N36" ca="1">IF(
    VLOOKUP(
        $A36,
        _xlfn._xlws.FILTER(
            INDIRECT("'"&amp;N$1&amp;"'!A2:G1000"), (INDIRECT("'"&amp;N$1&amp;"'!B2:B1000")=$B36) * (INDIRECT("'"&amp;N$1&amp;"'!C2:C1000")=$C36)
        ),
        5,
        FALSE
    )="",
    "",
    VLOOKUP(
        $A36,
        _xlfn._xlws.FILTER(
            INDIRECT("'"&amp;N$1&amp;"'!A2:G1000"), (INDIRECT("'"&amp;N$1&amp;"'!B2:B1000")=$B36) * (INDIRECT("'"&amp;N$1&amp;"'!C2:C1000")=$C36)
        ),7,
        FALSE
    )
)</f>
        <v>Não</v>
      </c>
      <c r="O36" s="79" t="str">
        <f t="array" aca="1" ref="O36" ca="1">IF(
    VLOOKUP(
        $A36,
        _xlfn._xlws.FILTER(
            INDIRECT("'"&amp;O$1&amp;"'!A2:G1000"), (INDIRECT("'"&amp;O$1&amp;"'!B2:B1000")=$B36) * (INDIRECT("'"&amp;O$1&amp;"'!C2:C1000")=$C36)
        ),
        5,
        FALSE
    )="",
    "",
    VLOOKUP(
        $A36,
        _xlfn._xlws.FILTER(
            INDIRECT("'"&amp;O$1&amp;"'!A2:G1000"), (INDIRECT("'"&amp;O$1&amp;"'!B2:B1000")=$B36) * (INDIRECT("'"&amp;O$1&amp;"'!C2:C1000")=$C36)
        ),7,
        FALSE
    )
)</f>
        <v>Não</v>
      </c>
      <c r="P36" s="79" t="str">
        <f t="array" aca="1" ref="P36" ca="1">IF(
    VLOOKUP(
        $A36,
        _xlfn._xlws.FILTER(
            INDIRECT("'"&amp;P$1&amp;"'!A2:G1000"), (INDIRECT("'"&amp;P$1&amp;"'!B2:B1000")=$B36) * (INDIRECT("'"&amp;P$1&amp;"'!C2:C1000")=$C36)
        ),
        5,
        FALSE
    )="",
    "",
    VLOOKUP(
        $A36,
        _xlfn._xlws.FILTER(
            INDIRECT("'"&amp;P$1&amp;"'!A2:G1000"), (INDIRECT("'"&amp;P$1&amp;"'!B2:B1000")=$B36) * (INDIRECT("'"&amp;P$1&amp;"'!C2:C1000")=$C36)
        ),7,
        FALSE
    )
)</f>
        <v>Não</v>
      </c>
      <c r="Q36" s="79" t="str">
        <f t="array" aca="1" ref="Q36" ca="1">IF(
    VLOOKUP(
        $A36,
        _xlfn._xlws.FILTER(
            INDIRECT("'"&amp;Q$1&amp;"'!A2:G1000"), (INDIRECT("'"&amp;Q$1&amp;"'!B2:B1000")=$B36) * (INDIRECT("'"&amp;Q$1&amp;"'!C2:C1000")=$C36)
        ),
        5,
        FALSE
    )="",
    "",
    VLOOKUP(
        $A36,
        _xlfn._xlws.FILTER(
            INDIRECT("'"&amp;Q$1&amp;"'!A2:G1000"), (INDIRECT("'"&amp;Q$1&amp;"'!B2:B1000")=$B36) * (INDIRECT("'"&amp;Q$1&amp;"'!C2:C1000")=$C36)
        ),7,
        FALSE
    )
)</f>
        <v/>
      </c>
    </row>
    <row r="37" spans="1:17" x14ac:dyDescent="0.25">
      <c r="A37" s="81" t="s">
        <v>38</v>
      </c>
      <c r="B37" s="79" t="s">
        <v>109</v>
      </c>
      <c r="C37" s="79">
        <v>1</v>
      </c>
      <c r="D37" s="79" t="str">
        <f t="array" aca="1" ref="D37" ca="1">IF(
    VLOOKUP(
        $A37,
        _xlfn._xlws.FILTER(
            INDIRECT("'"&amp;D$1&amp;"'!A2:G1000"), (INDIRECT("'"&amp;D$1&amp;"'!B2:B1000")=$B37) * (INDIRECT("'"&amp;D$1&amp;"'!C2:C1000")=$C37)
        ),
        5,
        FALSE
    )="",
    "",
    VLOOKUP(
        $A37,
        _xlfn._xlws.FILTER(
            INDIRECT("'"&amp;D$1&amp;"'!A2:G1000"), (INDIRECT("'"&amp;D$1&amp;"'!B2:B1000")=$B37) * (INDIRECT("'"&amp;D$1&amp;"'!C2:C1000")=$C37)
        ),
        7,
        FALSE
    )
)</f>
        <v>Não</v>
      </c>
      <c r="E37" s="79" t="str">
        <f t="array" aca="1" ref="E37" ca="1">IF(
    VLOOKUP(
        $A37,
        _xlfn._xlws.FILTER(
            INDIRECT("'"&amp;E$1&amp;"'!A2:G1000"), (INDIRECT("'"&amp;E$1&amp;"'!B2:B1000")=$B37) * (INDIRECT("'"&amp;E$1&amp;"'!C2:C1000")=$C37)
        ),
        5,
        FALSE
    )="",
    "",
    VLOOKUP(
        $A37,
        _xlfn._xlws.FILTER(
            INDIRECT("'"&amp;E$1&amp;"'!A2:G1000"), (INDIRECT("'"&amp;E$1&amp;"'!B2:B1000")=$B37) * (INDIRECT("'"&amp;E$1&amp;"'!C2:C1000")=$C37)
        ),7,
        FALSE
    )
)</f>
        <v>Não</v>
      </c>
      <c r="F37" s="79" t="str">
        <f t="array" aca="1" ref="F37" ca="1">IF(
    VLOOKUP(
        $A37,
        _xlfn._xlws.FILTER(
            INDIRECT("'"&amp;F$1&amp;"'!A2:G1000"), (INDIRECT("'"&amp;F$1&amp;"'!B2:B1000")=$B37) * (INDIRECT("'"&amp;F$1&amp;"'!C2:C1000")=$C37)
        ),
        5,
        FALSE
    )="",
    "",
    VLOOKUP(
        $A37,
        _xlfn._xlws.FILTER(
            INDIRECT("'"&amp;F$1&amp;"'!A2:G1000"), (INDIRECT("'"&amp;F$1&amp;"'!B2:B1000")=$B37) * (INDIRECT("'"&amp;F$1&amp;"'!C2:C1000")=$C37)
        ),7,
        FALSE
    )
)</f>
        <v>Sim</v>
      </c>
      <c r="G37" s="79" t="str">
        <f t="array" aca="1" ref="G37" ca="1">IF(
    VLOOKUP(
        $A37,
        _xlfn._xlws.FILTER(
            INDIRECT("'"&amp;G$1&amp;"'!A2:G1000"), (INDIRECT("'"&amp;G$1&amp;"'!B2:B1000")=$B37) * (INDIRECT("'"&amp;G$1&amp;"'!C2:C1000")=$C37)
        ),
        5,
        FALSE
    )="",
    "",
    VLOOKUP(
        $A37,
        _xlfn._xlws.FILTER(
            INDIRECT("'"&amp;G$1&amp;"'!A2:G1000"), (INDIRECT("'"&amp;G$1&amp;"'!B2:B1000")=$B37) * (INDIRECT("'"&amp;G$1&amp;"'!C2:C1000")=$C37)
        ),7,
        FALSE
    )
)</f>
        <v>Sim</v>
      </c>
      <c r="H37" s="79" t="str">
        <f t="array" aca="1" ref="H37" ca="1">IF(
    VLOOKUP(
        $A37,
        _xlfn._xlws.FILTER(
            INDIRECT("'"&amp;H$1&amp;"'!A2:G1000"), (INDIRECT("'"&amp;H$1&amp;"'!B2:B1000")=$B37) * (INDIRECT("'"&amp;H$1&amp;"'!C2:C1000")=$C37)
        ),
        5,
        FALSE
    )="",
    "",
    VLOOKUP(
        $A37,
        _xlfn._xlws.FILTER(
            INDIRECT("'"&amp;H$1&amp;"'!A2:G1000"), (INDIRECT("'"&amp;H$1&amp;"'!B2:B1000")=$B37) * (INDIRECT("'"&amp;H$1&amp;"'!C2:C1000")=$C37)
        ),7,
        FALSE
    )
)</f>
        <v>Sim</v>
      </c>
      <c r="I37" s="79" t="str">
        <f t="array" aca="1" ref="I37" ca="1">IF(
    VLOOKUP(
        $A37,
        _xlfn._xlws.FILTER(
            INDIRECT("'"&amp;I$1&amp;"'!A2:G1000"), (INDIRECT("'"&amp;I$1&amp;"'!B2:B1000")=$B37) * (INDIRECT("'"&amp;I$1&amp;"'!C2:C1000")=$C37)
        ),
        5,
        FALSE
    )="",
    "",
    VLOOKUP(
        $A37,
        _xlfn._xlws.FILTER(
            INDIRECT("'"&amp;I$1&amp;"'!A2:G1000"), (INDIRECT("'"&amp;I$1&amp;"'!B2:B1000")=$B37) * (INDIRECT("'"&amp;I$1&amp;"'!C2:C1000")=$C37)
        ),7,
        FALSE
    )
)</f>
        <v>Sim</v>
      </c>
      <c r="J37" s="79" t="str">
        <f t="array" aca="1" ref="J37" ca="1">IF(
    VLOOKUP(
        $A37,
        _xlfn._xlws.FILTER(
            INDIRECT("'"&amp;J$1&amp;"'!A2:G1000"), (INDIRECT("'"&amp;J$1&amp;"'!B2:B1000")=$B37) * (INDIRECT("'"&amp;J$1&amp;"'!C2:C1000")=$C37)
        ),
        5,
        FALSE
    )="",
    "",
    VLOOKUP(
        $A37,
        _xlfn._xlws.FILTER(
            INDIRECT("'"&amp;J$1&amp;"'!A2:G1000"), (INDIRECT("'"&amp;J$1&amp;"'!B2:B1000")=$B37) * (INDIRECT("'"&amp;J$1&amp;"'!C2:C1000")=$C37)
        ),7,
        FALSE
    )
)</f>
        <v>Sim</v>
      </c>
      <c r="K37" s="79" t="str">
        <f t="array" aca="1" ref="K37" ca="1">IF(
    VLOOKUP(
        $A37,
        _xlfn._xlws.FILTER(
            INDIRECT("'"&amp;K$1&amp;"'!A2:G1000"), (INDIRECT("'"&amp;K$1&amp;"'!B2:B1000")=$B37) * (INDIRECT("'"&amp;K$1&amp;"'!C2:C1000")=$C37)
        ),
        5,
        FALSE
    )="",
    "",
    VLOOKUP(
        $A37,
        _xlfn._xlws.FILTER(
            INDIRECT("'"&amp;K$1&amp;"'!A2:G1000"), (INDIRECT("'"&amp;K$1&amp;"'!B2:B1000")=$B37) * (INDIRECT("'"&amp;K$1&amp;"'!C2:C1000")=$C37)
        ),7,
        FALSE
    )
)</f>
        <v>Sim</v>
      </c>
      <c r="L37" s="79" t="str">
        <f t="array" aca="1" ref="L37" ca="1">IF(
    VLOOKUP(
        $A37,
        _xlfn._xlws.FILTER(
            INDIRECT("'"&amp;L$1&amp;"'!A2:G1000"), (INDIRECT("'"&amp;L$1&amp;"'!B2:B1000")=$B37) * (INDIRECT("'"&amp;L$1&amp;"'!C2:C1000")=$C37)
        ),
        5,
        FALSE
    )="",
    "",
    VLOOKUP(
        $A37,
        _xlfn._xlws.FILTER(
            INDIRECT("'"&amp;L$1&amp;"'!A2:G1000"), (INDIRECT("'"&amp;L$1&amp;"'!B2:B1000")=$B37) * (INDIRECT("'"&amp;L$1&amp;"'!C2:C1000")=$C37)
        ),7,
        FALSE
    )
)</f>
        <v>Sim</v>
      </c>
      <c r="M37" s="79" t="str">
        <f t="array" aca="1" ref="M37" ca="1">IF(
    VLOOKUP(
        $A37,
        _xlfn._xlws.FILTER(
            INDIRECT("'"&amp;M$1&amp;"'!A2:G1000"), (INDIRECT("'"&amp;M$1&amp;"'!B2:B1000")=$B37) * (INDIRECT("'"&amp;M$1&amp;"'!C2:C1000")=$C37)
        ),
        5,
        FALSE
    )="",
    "",
    VLOOKUP(
        $A37,
        _xlfn._xlws.FILTER(
            INDIRECT("'"&amp;M$1&amp;"'!A2:G1000"), (INDIRECT("'"&amp;M$1&amp;"'!B2:B1000")=$B37) * (INDIRECT("'"&amp;M$1&amp;"'!C2:C1000")=$C37)
        ),7,
        FALSE
    )
)</f>
        <v>Sim</v>
      </c>
      <c r="N37" s="79" t="str">
        <f t="array" aca="1" ref="N37" ca="1">IF(
    VLOOKUP(
        $A37,
        _xlfn._xlws.FILTER(
            INDIRECT("'"&amp;N$1&amp;"'!A2:G1000"), (INDIRECT("'"&amp;N$1&amp;"'!B2:B1000")=$B37) * (INDIRECT("'"&amp;N$1&amp;"'!C2:C1000")=$C37)
        ),
        5,
        FALSE
    )="",
    "",
    VLOOKUP(
        $A37,
        _xlfn._xlws.FILTER(
            INDIRECT("'"&amp;N$1&amp;"'!A2:G1000"), (INDIRECT("'"&amp;N$1&amp;"'!B2:B1000")=$B37) * (INDIRECT("'"&amp;N$1&amp;"'!C2:C1000")=$C37)
        ),7,
        FALSE
    )
)</f>
        <v>Sim</v>
      </c>
      <c r="O37" s="79" t="str">
        <f t="array" aca="1" ref="O37" ca="1">IF(
    VLOOKUP(
        $A37,
        _xlfn._xlws.FILTER(
            INDIRECT("'"&amp;O$1&amp;"'!A2:G1000"), (INDIRECT("'"&amp;O$1&amp;"'!B2:B1000")=$B37) * (INDIRECT("'"&amp;O$1&amp;"'!C2:C1000")=$C37)
        ),
        5,
        FALSE
    )="",
    "",
    VLOOKUP(
        $A37,
        _xlfn._xlws.FILTER(
            INDIRECT("'"&amp;O$1&amp;"'!A2:G1000"), (INDIRECT("'"&amp;O$1&amp;"'!B2:B1000")=$B37) * (INDIRECT("'"&amp;O$1&amp;"'!C2:C1000")=$C37)
        ),7,
        FALSE
    )
)</f>
        <v>Sim</v>
      </c>
      <c r="P37" s="79" t="str">
        <f t="array" aca="1" ref="P37" ca="1">IF(
    VLOOKUP(
        $A37,
        _xlfn._xlws.FILTER(
            INDIRECT("'"&amp;P$1&amp;"'!A2:G1000"), (INDIRECT("'"&amp;P$1&amp;"'!B2:B1000")=$B37) * (INDIRECT("'"&amp;P$1&amp;"'!C2:C1000")=$C37)
        ),
        5,
        FALSE
    )="",
    "",
    VLOOKUP(
        $A37,
        _xlfn._xlws.FILTER(
            INDIRECT("'"&amp;P$1&amp;"'!A2:G1000"), (INDIRECT("'"&amp;P$1&amp;"'!B2:B1000")=$B37) * (INDIRECT("'"&amp;P$1&amp;"'!C2:C1000")=$C37)
        ),7,
        FALSE
    )
)</f>
        <v>Sim</v>
      </c>
      <c r="Q37" s="79" t="str">
        <f t="array" aca="1" ref="Q37" ca="1">IF(
    VLOOKUP(
        $A37,
        _xlfn._xlws.FILTER(
            INDIRECT("'"&amp;Q$1&amp;"'!A2:G1000"), (INDIRECT("'"&amp;Q$1&amp;"'!B2:B1000")=$B37) * (INDIRECT("'"&amp;Q$1&amp;"'!C2:C1000")=$C37)
        ),
        5,
        FALSE
    )="",
    "",
    VLOOKUP(
        $A37,
        _xlfn._xlws.FILTER(
            INDIRECT("'"&amp;Q$1&amp;"'!A2:G1000"), (INDIRECT("'"&amp;Q$1&amp;"'!B2:B1000")=$B37) * (INDIRECT("'"&amp;Q$1&amp;"'!C2:C1000")=$C37)
        ),7,
        FALSE
    )
)</f>
        <v/>
      </c>
    </row>
    <row r="38" spans="1:17" x14ac:dyDescent="0.25">
      <c r="A38" s="81" t="s">
        <v>38</v>
      </c>
      <c r="B38" s="79" t="s">
        <v>110</v>
      </c>
      <c r="C38" s="79">
        <v>1</v>
      </c>
      <c r="D38" s="79" t="str">
        <f t="array" aca="1" ref="D38" ca="1">IF(
    VLOOKUP(
        $A38,
        _xlfn._xlws.FILTER(
            INDIRECT("'"&amp;D$1&amp;"'!A2:G1000"), (INDIRECT("'"&amp;D$1&amp;"'!B2:B1000")=$B38) * (INDIRECT("'"&amp;D$1&amp;"'!C2:C1000")=$C38)
        ),
        5,
        FALSE
    )="",
    "",
    VLOOKUP(
        $A38,
        _xlfn._xlws.FILTER(
            INDIRECT("'"&amp;D$1&amp;"'!A2:G1000"), (INDIRECT("'"&amp;D$1&amp;"'!B2:B1000")=$B38) * (INDIRECT("'"&amp;D$1&amp;"'!C2:C1000")=$C38)
        ),
        7,
        FALSE
    )
)</f>
        <v>Não</v>
      </c>
      <c r="E38" s="79" t="str">
        <f t="array" aca="1" ref="E38" ca="1">IF(
    VLOOKUP(
        $A38,
        _xlfn._xlws.FILTER(
            INDIRECT("'"&amp;E$1&amp;"'!A2:G1000"), (INDIRECT("'"&amp;E$1&amp;"'!B2:B1000")=$B38) * (INDIRECT("'"&amp;E$1&amp;"'!C2:C1000")=$C38)
        ),
        5,
        FALSE
    )="",
    "",
    VLOOKUP(
        $A38,
        _xlfn._xlws.FILTER(
            INDIRECT("'"&amp;E$1&amp;"'!A2:G1000"), (INDIRECT("'"&amp;E$1&amp;"'!B2:B1000")=$B38) * (INDIRECT("'"&amp;E$1&amp;"'!C2:C1000")=$C38)
        ),7,
        FALSE
    )
)</f>
        <v>Não</v>
      </c>
      <c r="F38" s="79" t="str">
        <f t="array" ref="F38" ca="1">IF(
    VLOOKUP(
        $A38,
        _xlfn._xlws.FILTER(
            INDIRECT("'"&amp;F$1&amp;"'!A2:G1000"), (INDIRECT("'"&amp;F$1&amp;"'!B2:B1000")=$B38) * (INDIRECT("'"&amp;F$1&amp;"'!C2:C1000")=$C38)
        ),
        5,
        FALSE
    )="",
    "",
    VLOOKUP(
        $A38,
        _xlfn._xlws.FILTER(
            INDIRECT("'"&amp;F$1&amp;"'!A2:G1000"), (INDIRECT("'"&amp;F$1&amp;"'!B2:B1000")=$B38) * (INDIRECT("'"&amp;F$1&amp;"'!C2:C1000")=$C38)
        ),7,
        FALSE
    )
)</f>
        <v>Sim</v>
      </c>
      <c r="G38" s="79" t="str">
        <f t="array" aca="1" ref="G38" ca="1">IF(
    VLOOKUP(
        $A38,
        _xlfn._xlws.FILTER(
            INDIRECT("'"&amp;G$1&amp;"'!A2:G1000"), (INDIRECT("'"&amp;G$1&amp;"'!B2:B1000")=$B38) * (INDIRECT("'"&amp;G$1&amp;"'!C2:C1000")=$C38)
        ),
        5,
        FALSE
    )="",
    "",
    VLOOKUP(
        $A38,
        _xlfn._xlws.FILTER(
            INDIRECT("'"&amp;G$1&amp;"'!A2:G1000"), (INDIRECT("'"&amp;G$1&amp;"'!B2:B1000")=$B38) * (INDIRECT("'"&amp;G$1&amp;"'!C2:C1000")=$C38)
        ),7,
        FALSE
    )
)</f>
        <v>Sim</v>
      </c>
      <c r="H38" s="79" t="str">
        <f t="array" aca="1" ref="H38" ca="1">IF(
    VLOOKUP(
        $A38,
        _xlfn._xlws.FILTER(
            INDIRECT("'"&amp;H$1&amp;"'!A2:G1000"), (INDIRECT("'"&amp;H$1&amp;"'!B2:B1000")=$B38) * (INDIRECT("'"&amp;H$1&amp;"'!C2:C1000")=$C38)
        ),
        5,
        FALSE
    )="",
    "",
    VLOOKUP(
        $A38,
        _xlfn._xlws.FILTER(
            INDIRECT("'"&amp;H$1&amp;"'!A2:G1000"), (INDIRECT("'"&amp;H$1&amp;"'!B2:B1000")=$B38) * (INDIRECT("'"&amp;H$1&amp;"'!C2:C1000")=$C38)
        ),7,
        FALSE
    )
)</f>
        <v>Sim</v>
      </c>
      <c r="I38" s="79" t="str">
        <f t="array" aca="1" ref="I38" ca="1">IF(
    VLOOKUP(
        $A38,
        _xlfn._xlws.FILTER(
            INDIRECT("'"&amp;I$1&amp;"'!A2:G1000"), (INDIRECT("'"&amp;I$1&amp;"'!B2:B1000")=$B38) * (INDIRECT("'"&amp;I$1&amp;"'!C2:C1000")=$C38)
        ),
        5,
        FALSE
    )="",
    "",
    VLOOKUP(
        $A38,
        _xlfn._xlws.FILTER(
            INDIRECT("'"&amp;I$1&amp;"'!A2:G1000"), (INDIRECT("'"&amp;I$1&amp;"'!B2:B1000")=$B38) * (INDIRECT("'"&amp;I$1&amp;"'!C2:C1000")=$C38)
        ),7,
        FALSE
    )
)</f>
        <v>Sim</v>
      </c>
      <c r="J38" s="79" t="str">
        <f t="array" aca="1" ref="J38" ca="1">IF(
    VLOOKUP(
        $A38,
        _xlfn._xlws.FILTER(
            INDIRECT("'"&amp;J$1&amp;"'!A2:G1000"), (INDIRECT("'"&amp;J$1&amp;"'!B2:B1000")=$B38) * (INDIRECT("'"&amp;J$1&amp;"'!C2:C1000")=$C38)
        ),
        5,
        FALSE
    )="",
    "",
    VLOOKUP(
        $A38,
        _xlfn._xlws.FILTER(
            INDIRECT("'"&amp;J$1&amp;"'!A2:G1000"), (INDIRECT("'"&amp;J$1&amp;"'!B2:B1000")=$B38) * (INDIRECT("'"&amp;J$1&amp;"'!C2:C1000")=$C38)
        ),7,
        FALSE
    )
)</f>
        <v>Sim</v>
      </c>
      <c r="K38" s="79" t="str">
        <f t="array" aca="1" ref="K38" ca="1">IF(
    VLOOKUP(
        $A38,
        _xlfn._xlws.FILTER(
            INDIRECT("'"&amp;K$1&amp;"'!A2:G1000"), (INDIRECT("'"&amp;K$1&amp;"'!B2:B1000")=$B38) * (INDIRECT("'"&amp;K$1&amp;"'!C2:C1000")=$C38)
        ),
        5,
        FALSE
    )="",
    "",
    VLOOKUP(
        $A38,
        _xlfn._xlws.FILTER(
            INDIRECT("'"&amp;K$1&amp;"'!A2:G1000"), (INDIRECT("'"&amp;K$1&amp;"'!B2:B1000")=$B38) * (INDIRECT("'"&amp;K$1&amp;"'!C2:C1000")=$C38)
        ),7,
        FALSE
    )
)</f>
        <v>Sim</v>
      </c>
      <c r="L38" s="79" t="str">
        <f t="array" aca="1" ref="L38" ca="1">IF(
    VLOOKUP(
        $A38,
        _xlfn._xlws.FILTER(
            INDIRECT("'"&amp;L$1&amp;"'!A2:G1000"), (INDIRECT("'"&amp;L$1&amp;"'!B2:B1000")=$B38) * (INDIRECT("'"&amp;L$1&amp;"'!C2:C1000")=$C38)
        ),
        5,
        FALSE
    )="",
    "",
    VLOOKUP(
        $A38,
        _xlfn._xlws.FILTER(
            INDIRECT("'"&amp;L$1&amp;"'!A2:G1000"), (INDIRECT("'"&amp;L$1&amp;"'!B2:B1000")=$B38) * (INDIRECT("'"&amp;L$1&amp;"'!C2:C1000")=$C38)
        ),7,
        FALSE
    )
)</f>
        <v>Sim</v>
      </c>
      <c r="M38" s="79" t="str">
        <f t="array" aca="1" ref="M38" ca="1">IF(
    VLOOKUP(
        $A38,
        _xlfn._xlws.FILTER(
            INDIRECT("'"&amp;M$1&amp;"'!A2:G1000"), (INDIRECT("'"&amp;M$1&amp;"'!B2:B1000")=$B38) * (INDIRECT("'"&amp;M$1&amp;"'!C2:C1000")=$C38)
        ),
        5,
        FALSE
    )="",
    "",
    VLOOKUP(
        $A38,
        _xlfn._xlws.FILTER(
            INDIRECT("'"&amp;M$1&amp;"'!A2:G1000"), (INDIRECT("'"&amp;M$1&amp;"'!B2:B1000")=$B38) * (INDIRECT("'"&amp;M$1&amp;"'!C2:C1000")=$C38)
        ),7,
        FALSE
    )
)</f>
        <v>Sim</v>
      </c>
      <c r="N38" s="79" t="str">
        <f t="array" aca="1" ref="N38" ca="1">IF(
    VLOOKUP(
        $A38,
        _xlfn._xlws.FILTER(
            INDIRECT("'"&amp;N$1&amp;"'!A2:G1000"), (INDIRECT("'"&amp;N$1&amp;"'!B2:B1000")=$B38) * (INDIRECT("'"&amp;N$1&amp;"'!C2:C1000")=$C38)
        ),
        5,
        FALSE
    )="",
    "",
    VLOOKUP(
        $A38,
        _xlfn._xlws.FILTER(
            INDIRECT("'"&amp;N$1&amp;"'!A2:G1000"), (INDIRECT("'"&amp;N$1&amp;"'!B2:B1000")=$B38) * (INDIRECT("'"&amp;N$1&amp;"'!C2:C1000")=$C38)
        ),7,
        FALSE
    )
)</f>
        <v>Sim</v>
      </c>
      <c r="O38" s="79" t="str">
        <f t="array" aca="1" ref="O38" ca="1">IF(
    VLOOKUP(
        $A38,
        _xlfn._xlws.FILTER(
            INDIRECT("'"&amp;O$1&amp;"'!A2:G1000"), (INDIRECT("'"&amp;O$1&amp;"'!B2:B1000")=$B38) * (INDIRECT("'"&amp;O$1&amp;"'!C2:C1000")=$C38)
        ),
        5,
        FALSE
    )="",
    "",
    VLOOKUP(
        $A38,
        _xlfn._xlws.FILTER(
            INDIRECT("'"&amp;O$1&amp;"'!A2:G1000"), (INDIRECT("'"&amp;O$1&amp;"'!B2:B1000")=$B38) * (INDIRECT("'"&amp;O$1&amp;"'!C2:C1000")=$C38)
        ),7,
        FALSE
    )
)</f>
        <v>Sim</v>
      </c>
      <c r="P38" s="79" t="str">
        <f t="array" aca="1" ref="P38" ca="1">IF(
    VLOOKUP(
        $A38,
        _xlfn._xlws.FILTER(
            INDIRECT("'"&amp;P$1&amp;"'!A2:G1000"), (INDIRECT("'"&amp;P$1&amp;"'!B2:B1000")=$B38) * (INDIRECT("'"&amp;P$1&amp;"'!C2:C1000")=$C38)
        ),
        5,
        FALSE
    )="",
    "",
    VLOOKUP(
        $A38,
        _xlfn._xlws.FILTER(
            INDIRECT("'"&amp;P$1&amp;"'!A2:G1000"), (INDIRECT("'"&amp;P$1&amp;"'!B2:B1000")=$B38) * (INDIRECT("'"&amp;P$1&amp;"'!C2:C1000")=$C38)
        ),7,
        FALSE
    )
)</f>
        <v>Sim</v>
      </c>
      <c r="Q38" s="79" t="str">
        <f t="array" aca="1" ref="Q38" ca="1">IF(
    VLOOKUP(
        $A38,
        _xlfn._xlws.FILTER(
            INDIRECT("'"&amp;Q$1&amp;"'!A2:G1000"), (INDIRECT("'"&amp;Q$1&amp;"'!B2:B1000")=$B38) * (INDIRECT("'"&amp;Q$1&amp;"'!C2:C1000")=$C38)
        ),
        5,
        FALSE
    )="",
    "",
    VLOOKUP(
        $A38,
        _xlfn._xlws.FILTER(
            INDIRECT("'"&amp;Q$1&amp;"'!A2:G1000"), (INDIRECT("'"&amp;Q$1&amp;"'!B2:B1000")=$B38) * (INDIRECT("'"&amp;Q$1&amp;"'!C2:C1000")=$C38)
        ),7,
        FALSE
    )
)</f>
        <v/>
      </c>
    </row>
    <row r="39" spans="1:17" x14ac:dyDescent="0.25">
      <c r="A39" s="35"/>
      <c r="B39" s="35"/>
      <c r="C39" s="35"/>
    </row>
    <row r="40" spans="1:17" ht="15.75" customHeight="1" x14ac:dyDescent="0.25">
      <c r="A40" s="103" t="s">
        <v>27</v>
      </c>
      <c r="B40" s="37" t="s">
        <v>86</v>
      </c>
      <c r="C40" s="37" t="s">
        <v>71</v>
      </c>
      <c r="D40" s="42" t="s">
        <v>1</v>
      </c>
      <c r="E40" s="42" t="s">
        <v>2</v>
      </c>
      <c r="F40" s="42" t="s">
        <v>3</v>
      </c>
      <c r="G40" s="42" t="s">
        <v>4</v>
      </c>
      <c r="H40" s="42" t="s">
        <v>5</v>
      </c>
      <c r="I40" s="42" t="s">
        <v>6</v>
      </c>
      <c r="J40" s="42" t="s">
        <v>7</v>
      </c>
      <c r="K40" s="42" t="s">
        <v>8</v>
      </c>
      <c r="L40" s="42" t="s">
        <v>9</v>
      </c>
      <c r="M40" s="42" t="s">
        <v>10</v>
      </c>
      <c r="N40" s="42" t="s">
        <v>11</v>
      </c>
      <c r="O40" s="42" t="s">
        <v>12</v>
      </c>
      <c r="P40" s="42" t="s">
        <v>13</v>
      </c>
      <c r="Q40" s="42" t="s">
        <v>14</v>
      </c>
    </row>
    <row r="41" spans="1:17" x14ac:dyDescent="0.25">
      <c r="A41" s="83" t="s">
        <v>40</v>
      </c>
      <c r="B41" s="79" t="s">
        <v>80</v>
      </c>
      <c r="C41" s="79">
        <v>1</v>
      </c>
      <c r="D41" s="79" t="str">
        <f t="array" aca="1" ref="D41" ca="1">IF(
    VLOOKUP(
        $A41,
        _xlfn._xlws.FILTER(
            INDIRECT("'"&amp;D$1&amp;"'!A2:G1000"), (INDIRECT("'"&amp;D$1&amp;"'!B2:B1000")=$B41) * (INDIRECT("'"&amp;D$1&amp;"'!C2:C1000")=$C41)
        ),
        5,
        FALSE
    )="",
    "",
    VLOOKUP(
        $A41,
        _xlfn._xlws.FILTER(
            INDIRECT("'"&amp;D$1&amp;"'!A2:G1000"), (INDIRECT("'"&amp;D$1&amp;"'!B2:B1000")=$B41) * (INDIRECT("'"&amp;D$1&amp;"'!C2:C1000")=$C41)
        ),7,
        FALSE
    )
)</f>
        <v>Sim</v>
      </c>
      <c r="E41" s="79" t="str">
        <f t="array" aca="1" ref="E41" ca="1">IF(
    VLOOKUP(
        $A41,
        _xlfn._xlws.FILTER(
            INDIRECT("'"&amp;E$1&amp;"'!A2:G1000"), (INDIRECT("'"&amp;E$1&amp;"'!B2:B1000")=$B41) * (INDIRECT("'"&amp;E$1&amp;"'!C2:C1000")=$C41)
        ),
        5,
        FALSE
    )="",
    "",
    VLOOKUP(
        $A41,
        _xlfn._xlws.FILTER(
            INDIRECT("'"&amp;E$1&amp;"'!A2:G1000"), (INDIRECT("'"&amp;E$1&amp;"'!B2:B1000")=$B41) * (INDIRECT("'"&amp;E$1&amp;"'!C2:C1000")=$C41)
        ),7,
        FALSE
    )
)</f>
        <v>Sim</v>
      </c>
      <c r="F41" s="79" t="str">
        <f t="array" aca="1" ref="F41" ca="1">IF(
    VLOOKUP(
        $A41,
        _xlfn._xlws.FILTER(
            INDIRECT("'"&amp;F$1&amp;"'!A2:G1000"), (INDIRECT("'"&amp;F$1&amp;"'!B2:B1000")=$B41) * (INDIRECT("'"&amp;F$1&amp;"'!C2:C1000")=$C41)
        ),
        5,
        FALSE
    )="",
    "",
    VLOOKUP(
        $A41,
        _xlfn._xlws.FILTER(
            INDIRECT("'"&amp;F$1&amp;"'!A2:G1000"), (INDIRECT("'"&amp;F$1&amp;"'!B2:B1000")=$B41) * (INDIRECT("'"&amp;F$1&amp;"'!C2:C1000")=$C41)
        ),7,
        FALSE
    )
)</f>
        <v>Sim</v>
      </c>
      <c r="G41" s="79" t="str">
        <f t="array" aca="1" ref="G41" ca="1">IF(
    VLOOKUP(
        $A41,
        _xlfn._xlws.FILTER(
            INDIRECT("'"&amp;G$1&amp;"'!A2:G1000"), (INDIRECT("'"&amp;G$1&amp;"'!B2:B1000")=$B41) * (INDIRECT("'"&amp;G$1&amp;"'!C2:C1000")=$C41)
        ),
        5,
        FALSE
    )="",
    "",
    VLOOKUP(
        $A41,
        _xlfn._xlws.FILTER(
            INDIRECT("'"&amp;G$1&amp;"'!A2:G1000"), (INDIRECT("'"&amp;G$1&amp;"'!B2:B1000")=$B41) * (INDIRECT("'"&amp;G$1&amp;"'!C2:C1000")=$C41)
        ),7,
        FALSE
    )
)</f>
        <v>Sim</v>
      </c>
      <c r="H41" s="79" t="str">
        <f t="array" aca="1" ref="H41" ca="1">IF(
    VLOOKUP(
        $A41,
        _xlfn._xlws.FILTER(
            INDIRECT("'"&amp;H$1&amp;"'!A2:G1000"), (INDIRECT("'"&amp;H$1&amp;"'!B2:B1000")=$B41) * (INDIRECT("'"&amp;H$1&amp;"'!C2:C1000")=$C41)
        ),
        5,
        FALSE
    )="",
    "",
    VLOOKUP(
        $A41,
        _xlfn._xlws.FILTER(
            INDIRECT("'"&amp;H$1&amp;"'!A2:G1000"), (INDIRECT("'"&amp;H$1&amp;"'!B2:B1000")=$B41) * (INDIRECT("'"&amp;H$1&amp;"'!C2:C1000")=$C41)
        ),7,
        FALSE
    )
)</f>
        <v>Sim</v>
      </c>
      <c r="I41" s="79" t="str">
        <f t="array" aca="1" ref="I41" ca="1">IF(
    VLOOKUP(
        $A41,
        _xlfn._xlws.FILTER(
            INDIRECT("'"&amp;I$1&amp;"'!A2:G1000"), (INDIRECT("'"&amp;I$1&amp;"'!B2:B1000")=$B41) * (INDIRECT("'"&amp;I$1&amp;"'!C2:C1000")=$C41)
        ),
        5,
        FALSE
    )="",
    "",
    VLOOKUP(
        $A41,
        _xlfn._xlws.FILTER(
            INDIRECT("'"&amp;I$1&amp;"'!A2:G1000"), (INDIRECT("'"&amp;I$1&amp;"'!B2:B1000")=$B41) * (INDIRECT("'"&amp;I$1&amp;"'!C2:C1000")=$C41)
        ),7,
        FALSE
    )
)</f>
        <v>Sim</v>
      </c>
      <c r="J41" s="79" t="str">
        <f t="array" aca="1" ref="J41" ca="1">IF(
    VLOOKUP(
        $A41,
        _xlfn._xlws.FILTER(
            INDIRECT("'"&amp;J$1&amp;"'!A2:G1000"), (INDIRECT("'"&amp;J$1&amp;"'!B2:B1000")=$B41) * (INDIRECT("'"&amp;J$1&amp;"'!C2:C1000")=$C41)
        ),
        5,
        FALSE
    )="",
    "",
    VLOOKUP(
        $A41,
        _xlfn._xlws.FILTER(
            INDIRECT("'"&amp;J$1&amp;"'!A2:G1000"), (INDIRECT("'"&amp;J$1&amp;"'!B2:B1000")=$B41) * (INDIRECT("'"&amp;J$1&amp;"'!C2:C1000")=$C41)
        ),7,
        FALSE
    )
)</f>
        <v>Sim</v>
      </c>
      <c r="K41" s="79" t="str">
        <f t="array" aca="1" ref="K41" ca="1">IF(
    VLOOKUP(
        $A41,
        _xlfn._xlws.FILTER(
            INDIRECT("'"&amp;K$1&amp;"'!A2:G1000"), (INDIRECT("'"&amp;K$1&amp;"'!B2:B1000")=$B41) * (INDIRECT("'"&amp;K$1&amp;"'!C2:C1000")=$C41)
        ),
        5,
        FALSE
    )="",
    "",
    VLOOKUP(
        $A41,
        _xlfn._xlws.FILTER(
            INDIRECT("'"&amp;K$1&amp;"'!A2:G1000"), (INDIRECT("'"&amp;K$1&amp;"'!B2:B1000")=$B41) * (INDIRECT("'"&amp;K$1&amp;"'!C2:C1000")=$C41)
        ),7,
        FALSE
    )
)</f>
        <v>Sim</v>
      </c>
      <c r="L41" s="79" t="str">
        <f t="array" aca="1" ref="L41" ca="1">IF(
    VLOOKUP(
        $A41,
        _xlfn._xlws.FILTER(
            INDIRECT("'"&amp;L$1&amp;"'!A2:G1000"), (INDIRECT("'"&amp;L$1&amp;"'!B2:B1000")=$B41) * (INDIRECT("'"&amp;L$1&amp;"'!C2:C1000")=$C41)
        ),
        5,
        FALSE
    )="",
    "",
    VLOOKUP(
        $A41,
        _xlfn._xlws.FILTER(
            INDIRECT("'"&amp;L$1&amp;"'!A2:G1000"), (INDIRECT("'"&amp;L$1&amp;"'!B2:B1000")=$B41) * (INDIRECT("'"&amp;L$1&amp;"'!C2:C1000")=$C41)
        ),7,
        FALSE
    )
)</f>
        <v>Sim</v>
      </c>
      <c r="M41" s="79" t="str">
        <f t="array" aca="1" ref="M41" ca="1">IF(
    VLOOKUP(
        $A41,
        _xlfn._xlws.FILTER(
            INDIRECT("'"&amp;M$1&amp;"'!A2:G1000"), (INDIRECT("'"&amp;M$1&amp;"'!B2:B1000")=$B41) * (INDIRECT("'"&amp;M$1&amp;"'!C2:C1000")=$C41)
        ),
        5,
        FALSE
    )="",
    "",
    VLOOKUP(
        $A41,
        _xlfn._xlws.FILTER(
            INDIRECT("'"&amp;M$1&amp;"'!A2:G1000"), (INDIRECT("'"&amp;M$1&amp;"'!B2:B1000")=$B41) * (INDIRECT("'"&amp;M$1&amp;"'!C2:C1000")=$C41)
        ),7,
        FALSE
    )
)</f>
        <v>Sim</v>
      </c>
      <c r="N41" s="79" t="str">
        <f t="array" aca="1" ref="N41" ca="1">IF(
    VLOOKUP(
        $A41,
        _xlfn._xlws.FILTER(
            INDIRECT("'"&amp;N$1&amp;"'!A2:G1000"), (INDIRECT("'"&amp;N$1&amp;"'!B2:B1000")=$B41) * (INDIRECT("'"&amp;N$1&amp;"'!C2:C1000")=$C41)
        ),
        5,
        FALSE
    )="",
    "",
    VLOOKUP(
        $A41,
        _xlfn._xlws.FILTER(
            INDIRECT("'"&amp;N$1&amp;"'!A2:G1000"), (INDIRECT("'"&amp;N$1&amp;"'!B2:B1000")=$B41) * (INDIRECT("'"&amp;N$1&amp;"'!C2:C1000")=$C41)
        ),7,
        FALSE
    )
)</f>
        <v>Sim</v>
      </c>
      <c r="O41" s="79" t="str">
        <f t="array" aca="1" ref="O41" ca="1">IF(
    VLOOKUP(
        $A41,
        _xlfn._xlws.FILTER(
            INDIRECT("'"&amp;O$1&amp;"'!A2:G1000"), (INDIRECT("'"&amp;O$1&amp;"'!B2:B1000")=$B41) * (INDIRECT("'"&amp;O$1&amp;"'!C2:C1000")=$C41)
        ),
        5,
        FALSE
    )="",
    "",
    VLOOKUP(
        $A41,
        _xlfn._xlws.FILTER(
            INDIRECT("'"&amp;O$1&amp;"'!A2:G1000"), (INDIRECT("'"&amp;O$1&amp;"'!B2:B1000")=$B41) * (INDIRECT("'"&amp;O$1&amp;"'!C2:C1000")=$C41)
        ),7,
        FALSE
    )
)</f>
        <v>Sim</v>
      </c>
      <c r="P41" s="79" t="str">
        <f t="array" aca="1" ref="P41" ca="1">IF(
    VLOOKUP(
        $A41,
        _xlfn._xlws.FILTER(
            INDIRECT("'"&amp;P$1&amp;"'!A2:G1000"), (INDIRECT("'"&amp;P$1&amp;"'!B2:B1000")=$B41) * (INDIRECT("'"&amp;P$1&amp;"'!C2:C1000")=$C41)
        ),
        5,
        FALSE
    )="",
    "",
    VLOOKUP(
        $A41,
        _xlfn._xlws.FILTER(
            INDIRECT("'"&amp;P$1&amp;"'!A2:G1000"), (INDIRECT("'"&amp;P$1&amp;"'!B2:B1000")=$B41) * (INDIRECT("'"&amp;P$1&amp;"'!C2:C1000")=$C41)
        ),7,
        FALSE
    )
)</f>
        <v>Sim</v>
      </c>
      <c r="Q41" s="79" t="str">
        <f t="array" aca="1" ref="Q41" ca="1">IF(
    VLOOKUP(
        $A41,
        _xlfn._xlws.FILTER(
            INDIRECT("'"&amp;Q$1&amp;"'!A2:G1000"), (INDIRECT("'"&amp;Q$1&amp;"'!B2:B1000")=$B41) * (INDIRECT("'"&amp;Q$1&amp;"'!C2:C1000")=$C41)
        ),
        5,
        FALSE
    )="",
    "",
    VLOOKUP(
        $A41,
        _xlfn._xlws.FILTER(
            INDIRECT("'"&amp;Q$1&amp;"'!A2:G1000"), (INDIRECT("'"&amp;Q$1&amp;"'!B2:B1000")=$B41) * (INDIRECT("'"&amp;Q$1&amp;"'!C2:C1000")=$C41)
        ),7,
        FALSE
    )
)</f>
        <v/>
      </c>
    </row>
    <row r="42" spans="1:17" x14ac:dyDescent="0.25">
      <c r="A42" s="83" t="s">
        <v>40</v>
      </c>
      <c r="B42" s="79" t="s">
        <v>80</v>
      </c>
      <c r="C42" s="79">
        <v>2</v>
      </c>
      <c r="D42" s="79" t="str">
        <f t="array" aca="1" ref="D42" ca="1">IF(
    VLOOKUP(
        $A42,
        _xlfn._xlws.FILTER(
            INDIRECT("'"&amp;D$1&amp;"'!A2:G1000"), (INDIRECT("'"&amp;D$1&amp;"'!B2:B1000")=$B42) * (INDIRECT("'"&amp;D$1&amp;"'!C2:C1000")=$C42)
        ),
        5,
        FALSE
    )="",
    "",
    VLOOKUP(
        $A42,
        _xlfn._xlws.FILTER(
            INDIRECT("'"&amp;D$1&amp;"'!A2:G1000"), (INDIRECT("'"&amp;D$1&amp;"'!B2:B1000")=$B42) * (INDIRECT("'"&amp;D$1&amp;"'!C2:C1000")=$C42)
        ),7,
        FALSE
    )
)</f>
        <v>Sim</v>
      </c>
      <c r="E42" s="79" t="str">
        <f t="array" aca="1" ref="E42" ca="1">IF(
    VLOOKUP(
        $A42,
        _xlfn._xlws.FILTER(
            INDIRECT("'"&amp;E$1&amp;"'!A2:G1000"), (INDIRECT("'"&amp;E$1&amp;"'!B2:B1000")=$B42) * (INDIRECT("'"&amp;E$1&amp;"'!C2:C1000")=$C42)
        ),
        5,
        FALSE
    )="",
    "",
    VLOOKUP(
        $A42,
        _xlfn._xlws.FILTER(
            INDIRECT("'"&amp;E$1&amp;"'!A2:G1000"), (INDIRECT("'"&amp;E$1&amp;"'!B2:B1000")=$B42) * (INDIRECT("'"&amp;E$1&amp;"'!C2:C1000")=$C42)
        ),7,
        FALSE
    )
)</f>
        <v>Sim</v>
      </c>
      <c r="F42" s="79" t="str">
        <f t="array" aca="1" ref="F42" ca="1">IF(
    VLOOKUP(
        $A42,
        _xlfn._xlws.FILTER(
            INDIRECT("'"&amp;F$1&amp;"'!A2:G1000"), (INDIRECT("'"&amp;F$1&amp;"'!B2:B1000")=$B42) * (INDIRECT("'"&amp;F$1&amp;"'!C2:C1000")=$C42)
        ),
        5,
        FALSE
    )="",
    "",
    VLOOKUP(
        $A42,
        _xlfn._xlws.FILTER(
            INDIRECT("'"&amp;F$1&amp;"'!A2:G1000"), (INDIRECT("'"&amp;F$1&amp;"'!B2:B1000")=$B42) * (INDIRECT("'"&amp;F$1&amp;"'!C2:C1000")=$C42)
        ),7,
        FALSE
    )
)</f>
        <v>Sim</v>
      </c>
      <c r="G42" s="79" t="str">
        <f t="array" aca="1" ref="G42" ca="1">IF(
    VLOOKUP(
        $A42,
        _xlfn._xlws.FILTER(
            INDIRECT("'"&amp;G$1&amp;"'!A2:G1000"), (INDIRECT("'"&amp;G$1&amp;"'!B2:B1000")=$B42) * (INDIRECT("'"&amp;G$1&amp;"'!C2:C1000")=$C42)
        ),
        5,
        FALSE
    )="",
    "",
    VLOOKUP(
        $A42,
        _xlfn._xlws.FILTER(
            INDIRECT("'"&amp;G$1&amp;"'!A2:G1000"), (INDIRECT("'"&amp;G$1&amp;"'!B2:B1000")=$B42) * (INDIRECT("'"&amp;G$1&amp;"'!C2:C1000")=$C42)
        ),7,
        FALSE
    )
)</f>
        <v>Sim</v>
      </c>
      <c r="H42" s="79" t="str">
        <f t="array" aca="1" ref="H42" ca="1">IF(
    VLOOKUP(
        $A42,
        _xlfn._xlws.FILTER(
            INDIRECT("'"&amp;H$1&amp;"'!A2:G1000"), (INDIRECT("'"&amp;H$1&amp;"'!B2:B1000")=$B42) * (INDIRECT("'"&amp;H$1&amp;"'!C2:C1000")=$C42)
        ),
        5,
        FALSE
    )="",
    "",
    VLOOKUP(
        $A42,
        _xlfn._xlws.FILTER(
            INDIRECT("'"&amp;H$1&amp;"'!A2:G1000"), (INDIRECT("'"&amp;H$1&amp;"'!B2:B1000")=$B42) * (INDIRECT("'"&amp;H$1&amp;"'!C2:C1000")=$C42)
        ),7,
        FALSE
    )
)</f>
        <v>Sim</v>
      </c>
      <c r="I42" s="79" t="str">
        <f t="array" aca="1" ref="I42" ca="1">IF(
    VLOOKUP(
        $A42,
        _xlfn._xlws.FILTER(
            INDIRECT("'"&amp;I$1&amp;"'!A2:G1000"), (INDIRECT("'"&amp;I$1&amp;"'!B2:B1000")=$B42) * (INDIRECT("'"&amp;I$1&amp;"'!C2:C1000")=$C42)
        ),
        5,
        FALSE
    )="",
    "",
    VLOOKUP(
        $A42,
        _xlfn._xlws.FILTER(
            INDIRECT("'"&amp;I$1&amp;"'!A2:G1000"), (INDIRECT("'"&amp;I$1&amp;"'!B2:B1000")=$B42) * (INDIRECT("'"&amp;I$1&amp;"'!C2:C1000")=$C42)
        ),7,
        FALSE
    )
)</f>
        <v>Sim</v>
      </c>
      <c r="J42" s="79" t="str">
        <f t="array" aca="1" ref="J42" ca="1">IF(
    VLOOKUP(
        $A42,
        _xlfn._xlws.FILTER(
            INDIRECT("'"&amp;J$1&amp;"'!A2:G1000"), (INDIRECT("'"&amp;J$1&amp;"'!B2:B1000")=$B42) * (INDIRECT("'"&amp;J$1&amp;"'!C2:C1000")=$C42)
        ),
        5,
        FALSE
    )="",
    "",
    VLOOKUP(
        $A42,
        _xlfn._xlws.FILTER(
            INDIRECT("'"&amp;J$1&amp;"'!A2:G1000"), (INDIRECT("'"&amp;J$1&amp;"'!B2:B1000")=$B42) * (INDIRECT("'"&amp;J$1&amp;"'!C2:C1000")=$C42)
        ),7,
        FALSE
    )
)</f>
        <v>Sim</v>
      </c>
      <c r="K42" s="79" t="str">
        <f t="array" aca="1" ref="K42" ca="1">IF(
    VLOOKUP(
        $A42,
        _xlfn._xlws.FILTER(
            INDIRECT("'"&amp;K$1&amp;"'!A2:G1000"), (INDIRECT("'"&amp;K$1&amp;"'!B2:B1000")=$B42) * (INDIRECT("'"&amp;K$1&amp;"'!C2:C1000")=$C42)
        ),
        5,
        FALSE
    )="",
    "",
    VLOOKUP(
        $A42,
        _xlfn._xlws.FILTER(
            INDIRECT("'"&amp;K$1&amp;"'!A2:G1000"), (INDIRECT("'"&amp;K$1&amp;"'!B2:B1000")=$B42) * (INDIRECT("'"&amp;K$1&amp;"'!C2:C1000")=$C42)
        ),7,
        FALSE
    )
)</f>
        <v>Sim</v>
      </c>
      <c r="L42" s="79" t="str">
        <f t="array" aca="1" ref="L42" ca="1">IF(
    VLOOKUP(
        $A42,
        _xlfn._xlws.FILTER(
            INDIRECT("'"&amp;L$1&amp;"'!A2:G1000"), (INDIRECT("'"&amp;L$1&amp;"'!B2:B1000")=$B42) * (INDIRECT("'"&amp;L$1&amp;"'!C2:C1000")=$C42)
        ),
        5,
        FALSE
    )="",
    "",
    VLOOKUP(
        $A42,
        _xlfn._xlws.FILTER(
            INDIRECT("'"&amp;L$1&amp;"'!A2:G1000"), (INDIRECT("'"&amp;L$1&amp;"'!B2:B1000")=$B42) * (INDIRECT("'"&amp;L$1&amp;"'!C2:C1000")=$C42)
        ),7,
        FALSE
    )
)</f>
        <v>Sim</v>
      </c>
      <c r="M42" s="79" t="str">
        <f t="array" aca="1" ref="M42" ca="1">IF(
    VLOOKUP(
        $A42,
        _xlfn._xlws.FILTER(
            INDIRECT("'"&amp;M$1&amp;"'!A2:G1000"), (INDIRECT("'"&amp;M$1&amp;"'!B2:B1000")=$B42) * (INDIRECT("'"&amp;M$1&amp;"'!C2:C1000")=$C42)
        ),
        5,
        FALSE
    )="",
    "",
    VLOOKUP(
        $A42,
        _xlfn._xlws.FILTER(
            INDIRECT("'"&amp;M$1&amp;"'!A2:G1000"), (INDIRECT("'"&amp;M$1&amp;"'!B2:B1000")=$B42) * (INDIRECT("'"&amp;M$1&amp;"'!C2:C1000")=$C42)
        ),7,
        FALSE
    )
)</f>
        <v>Sim</v>
      </c>
      <c r="N42" s="79" t="str">
        <f t="array" aca="1" ref="N42" ca="1">IF(
    VLOOKUP(
        $A42,
        _xlfn._xlws.FILTER(
            INDIRECT("'"&amp;N$1&amp;"'!A2:G1000"), (INDIRECT("'"&amp;N$1&amp;"'!B2:B1000")=$B42) * (INDIRECT("'"&amp;N$1&amp;"'!C2:C1000")=$C42)
        ),
        5,
        FALSE
    )="",
    "",
    VLOOKUP(
        $A42,
        _xlfn._xlws.FILTER(
            INDIRECT("'"&amp;N$1&amp;"'!A2:G1000"), (INDIRECT("'"&amp;N$1&amp;"'!B2:B1000")=$B42) * (INDIRECT("'"&amp;N$1&amp;"'!C2:C1000")=$C42)
        ),7,
        FALSE
    )
)</f>
        <v>Sim</v>
      </c>
      <c r="O42" s="79" t="str">
        <f t="array" aca="1" ref="O42" ca="1">IF(
    VLOOKUP(
        $A42,
        _xlfn._xlws.FILTER(
            INDIRECT("'"&amp;O$1&amp;"'!A2:G1000"), (INDIRECT("'"&amp;O$1&amp;"'!B2:B1000")=$B42) * (INDIRECT("'"&amp;O$1&amp;"'!C2:C1000")=$C42)
        ),
        5,
        FALSE
    )="",
    "",
    VLOOKUP(
        $A42,
        _xlfn._xlws.FILTER(
            INDIRECT("'"&amp;O$1&amp;"'!A2:G1000"), (INDIRECT("'"&amp;O$1&amp;"'!B2:B1000")=$B42) * (INDIRECT("'"&amp;O$1&amp;"'!C2:C1000")=$C42)
        ),7,
        FALSE
    )
)</f>
        <v>Sim</v>
      </c>
      <c r="P42" s="79" t="str">
        <f t="array" aca="1" ref="P42" ca="1">IF(
    VLOOKUP(
        $A42,
        _xlfn._xlws.FILTER(
            INDIRECT("'"&amp;P$1&amp;"'!A2:G1000"), (INDIRECT("'"&amp;P$1&amp;"'!B2:B1000")=$B42) * (INDIRECT("'"&amp;P$1&amp;"'!C2:C1000")=$C42)
        ),
        5,
        FALSE
    )="",
    "",
    VLOOKUP(
        $A42,
        _xlfn._xlws.FILTER(
            INDIRECT("'"&amp;P$1&amp;"'!A2:G1000"), (INDIRECT("'"&amp;P$1&amp;"'!B2:B1000")=$B42) * (INDIRECT("'"&amp;P$1&amp;"'!C2:C1000")=$C42)
        ),7,
        FALSE
    )
)</f>
        <v>Não</v>
      </c>
      <c r="Q42" s="79" t="str">
        <f t="array" aca="1" ref="Q42" ca="1">IF(
    VLOOKUP(
        $A42,
        _xlfn._xlws.FILTER(
            INDIRECT("'"&amp;Q$1&amp;"'!A2:G1000"), (INDIRECT("'"&amp;Q$1&amp;"'!B2:B1000")=$B42) * (INDIRECT("'"&amp;Q$1&amp;"'!C2:C1000")=$C42)
        ),
        5,
        FALSE
    )="",
    "",
    VLOOKUP(
        $A42,
        _xlfn._xlws.FILTER(
            INDIRECT("'"&amp;Q$1&amp;"'!A2:G1000"), (INDIRECT("'"&amp;Q$1&amp;"'!B2:B1000")=$B42) * (INDIRECT("'"&amp;Q$1&amp;"'!C2:C1000")=$C42)
        ),7,
        FALSE
    )
)</f>
        <v/>
      </c>
    </row>
    <row r="43" spans="1:17" x14ac:dyDescent="0.25">
      <c r="A43" s="83" t="s">
        <v>40</v>
      </c>
      <c r="B43" s="79" t="s">
        <v>80</v>
      </c>
      <c r="C43" s="79">
        <v>3</v>
      </c>
      <c r="D43" s="79" t="str">
        <f t="array" ref="D43" ca="1">IF(
    VLOOKUP(
        $A43,
        _xlfn._xlws.FILTER(
            INDIRECT("'"&amp;D$1&amp;"'!A2:G1000"), (INDIRECT("'"&amp;D$1&amp;"'!B2:B1000")=$B43) * (INDIRECT("'"&amp;D$1&amp;"'!C2:C1000")=$C43)
        ),
        5,
        FALSE
    )="",
    "",
    VLOOKUP(
        $A43,
        _xlfn._xlws.FILTER(
            INDIRECT("'"&amp;D$1&amp;"'!A2:G1000"), (INDIRECT("'"&amp;D$1&amp;"'!B2:B1000")=$B43) * (INDIRECT("'"&amp;D$1&amp;"'!C2:C1000")=$C43)
        ),7,
        FALSE
    )
)</f>
        <v>Sim</v>
      </c>
      <c r="E43" s="79" t="str">
        <f t="array" aca="1" ref="E43" ca="1">IF(
    VLOOKUP(
        $A43,
        _xlfn._xlws.FILTER(
            INDIRECT("'"&amp;E$1&amp;"'!A2:G1000"), (INDIRECT("'"&amp;E$1&amp;"'!B2:B1000")=$B43) * (INDIRECT("'"&amp;E$1&amp;"'!C2:C1000")=$C43)
        ),
        5,
        FALSE
    )="",
    "",
    VLOOKUP(
        $A43,
        _xlfn._xlws.FILTER(
            INDIRECT("'"&amp;E$1&amp;"'!A2:G1000"), (INDIRECT("'"&amp;E$1&amp;"'!B2:B1000")=$B43) * (INDIRECT("'"&amp;E$1&amp;"'!C2:C1000")=$C43)
        ),7,
        FALSE
    )
)</f>
        <v>Sim</v>
      </c>
      <c r="F43" s="79" t="str">
        <f t="array" aca="1" ref="F43" ca="1">IF(
    VLOOKUP(
        $A43,
        _xlfn._xlws.FILTER(
            INDIRECT("'"&amp;F$1&amp;"'!A2:G1000"), (INDIRECT("'"&amp;F$1&amp;"'!B2:B1000")=$B43) * (INDIRECT("'"&amp;F$1&amp;"'!C2:C1000")=$C43)
        ),
        5,
        FALSE
    )="",
    "",
    VLOOKUP(
        $A43,
        _xlfn._xlws.FILTER(
            INDIRECT("'"&amp;F$1&amp;"'!A2:G1000"), (INDIRECT("'"&amp;F$1&amp;"'!B2:B1000")=$B43) * (INDIRECT("'"&amp;F$1&amp;"'!C2:C1000")=$C43)
        ),7,
        FALSE
    )
)</f>
        <v>Sim</v>
      </c>
      <c r="G43" s="79" t="str">
        <f t="array" aca="1" ref="G43" ca="1">IF(
    VLOOKUP(
        $A43,
        _xlfn._xlws.FILTER(
            INDIRECT("'"&amp;G$1&amp;"'!A2:G1000"), (INDIRECT("'"&amp;G$1&amp;"'!B2:B1000")=$B43) * (INDIRECT("'"&amp;G$1&amp;"'!C2:C1000")=$C43)
        ),
        5,
        FALSE
    )="",
    "",
    VLOOKUP(
        $A43,
        _xlfn._xlws.FILTER(
            INDIRECT("'"&amp;G$1&amp;"'!A2:G1000"), (INDIRECT("'"&amp;G$1&amp;"'!B2:B1000")=$B43) * (INDIRECT("'"&amp;G$1&amp;"'!C2:C1000")=$C43)
        ),7,
        FALSE
    )
)</f>
        <v>Sim</v>
      </c>
      <c r="H43" s="79" t="str">
        <f t="array" aca="1" ref="H43" ca="1">IF(
    VLOOKUP(
        $A43,
        _xlfn._xlws.FILTER(
            INDIRECT("'"&amp;H$1&amp;"'!A2:G1000"), (INDIRECT("'"&amp;H$1&amp;"'!B2:B1000")=$B43) * (INDIRECT("'"&amp;H$1&amp;"'!C2:C1000")=$C43)
        ),
        5,
        FALSE
    )="",
    "",
    VLOOKUP(
        $A43,
        _xlfn._xlws.FILTER(
            INDIRECT("'"&amp;H$1&amp;"'!A2:G1000"), (INDIRECT("'"&amp;H$1&amp;"'!B2:B1000")=$B43) * (INDIRECT("'"&amp;H$1&amp;"'!C2:C1000")=$C43)
        ),7,
        FALSE
    )
)</f>
        <v>Sim</v>
      </c>
      <c r="I43" s="79" t="str">
        <f t="array" aca="1" ref="I43" ca="1">IF(
    VLOOKUP(
        $A43,
        _xlfn._xlws.FILTER(
            INDIRECT("'"&amp;I$1&amp;"'!A2:G1000"), (INDIRECT("'"&amp;I$1&amp;"'!B2:B1000")=$B43) * (INDIRECT("'"&amp;I$1&amp;"'!C2:C1000")=$C43)
        ),
        5,
        FALSE
    )="",
    "",
    VLOOKUP(
        $A43,
        _xlfn._xlws.FILTER(
            INDIRECT("'"&amp;I$1&amp;"'!A2:G1000"), (INDIRECT("'"&amp;I$1&amp;"'!B2:B1000")=$B43) * (INDIRECT("'"&amp;I$1&amp;"'!C2:C1000")=$C43)
        ),7,
        FALSE
    )
)</f>
        <v>Sim</v>
      </c>
      <c r="J43" s="79" t="str">
        <f t="array" aca="1" ref="J43" ca="1">IF(
    VLOOKUP(
        $A43,
        _xlfn._xlws.FILTER(
            INDIRECT("'"&amp;J$1&amp;"'!A2:G1000"), (INDIRECT("'"&amp;J$1&amp;"'!B2:B1000")=$B43) * (INDIRECT("'"&amp;J$1&amp;"'!C2:C1000")=$C43)
        ),
        5,
        FALSE
    )="",
    "",
    VLOOKUP(
        $A43,
        _xlfn._xlws.FILTER(
            INDIRECT("'"&amp;J$1&amp;"'!A2:G1000"), (INDIRECT("'"&amp;J$1&amp;"'!B2:B1000")=$B43) * (INDIRECT("'"&amp;J$1&amp;"'!C2:C1000")=$C43)
        ),7,
        FALSE
    )
)</f>
        <v>Sim</v>
      </c>
      <c r="K43" s="79" t="str">
        <f t="array" aca="1" ref="K43" ca="1">IF(
    VLOOKUP(
        $A43,
        _xlfn._xlws.FILTER(
            INDIRECT("'"&amp;K$1&amp;"'!A2:G1000"), (INDIRECT("'"&amp;K$1&amp;"'!B2:B1000")=$B43) * (INDIRECT("'"&amp;K$1&amp;"'!C2:C1000")=$C43)
        ),
        5,
        FALSE
    )="",
    "",
    VLOOKUP(
        $A43,
        _xlfn._xlws.FILTER(
            INDIRECT("'"&amp;K$1&amp;"'!A2:G1000"), (INDIRECT("'"&amp;K$1&amp;"'!B2:B1000")=$B43) * (INDIRECT("'"&amp;K$1&amp;"'!C2:C1000")=$C43)
        ),7,
        FALSE
    )
)</f>
        <v>Sim</v>
      </c>
      <c r="L43" s="79" t="str">
        <f t="array" aca="1" ref="L43" ca="1">IF(
    VLOOKUP(
        $A43,
        _xlfn._xlws.FILTER(
            INDIRECT("'"&amp;L$1&amp;"'!A2:G1000"), (INDIRECT("'"&amp;L$1&amp;"'!B2:B1000")=$B43) * (INDIRECT("'"&amp;L$1&amp;"'!C2:C1000")=$C43)
        ),
        5,
        FALSE
    )="",
    "",
    VLOOKUP(
        $A43,
        _xlfn._xlws.FILTER(
            INDIRECT("'"&amp;L$1&amp;"'!A2:G1000"), (INDIRECT("'"&amp;L$1&amp;"'!B2:B1000")=$B43) * (INDIRECT("'"&amp;L$1&amp;"'!C2:C1000")=$C43)
        ),7,
        FALSE
    )
)</f>
        <v>Sim</v>
      </c>
      <c r="M43" s="79" t="str">
        <f t="array" aca="1" ref="M43" ca="1">IF(
    VLOOKUP(
        $A43,
        _xlfn._xlws.FILTER(
            INDIRECT("'"&amp;M$1&amp;"'!A2:G1000"), (INDIRECT("'"&amp;M$1&amp;"'!B2:B1000")=$B43) * (INDIRECT("'"&amp;M$1&amp;"'!C2:C1000")=$C43)
        ),
        5,
        FALSE
    )="",
    "",
    VLOOKUP(
        $A43,
        _xlfn._xlws.FILTER(
            INDIRECT("'"&amp;M$1&amp;"'!A2:G1000"), (INDIRECT("'"&amp;M$1&amp;"'!B2:B1000")=$B43) * (INDIRECT("'"&amp;M$1&amp;"'!C2:C1000")=$C43)
        ),7,
        FALSE
    )
)</f>
        <v>Sim</v>
      </c>
      <c r="N43" s="79" t="str">
        <f t="array" aca="1" ref="N43" ca="1">IF(
    VLOOKUP(
        $A43,
        _xlfn._xlws.FILTER(
            INDIRECT("'"&amp;N$1&amp;"'!A2:G1000"), (INDIRECT("'"&amp;N$1&amp;"'!B2:B1000")=$B43) * (INDIRECT("'"&amp;N$1&amp;"'!C2:C1000")=$C43)
        ),
        5,
        FALSE
    )="",
    "",
    VLOOKUP(
        $A43,
        _xlfn._xlws.FILTER(
            INDIRECT("'"&amp;N$1&amp;"'!A2:G1000"), (INDIRECT("'"&amp;N$1&amp;"'!B2:B1000")=$B43) * (INDIRECT("'"&amp;N$1&amp;"'!C2:C1000")=$C43)
        ),7,
        FALSE
    )
)</f>
        <v>Sim</v>
      </c>
      <c r="O43" s="79" t="str">
        <f t="array" aca="1" ref="O43" ca="1">IF(
    VLOOKUP(
        $A43,
        _xlfn._xlws.FILTER(
            INDIRECT("'"&amp;O$1&amp;"'!A2:G1000"), (INDIRECT("'"&amp;O$1&amp;"'!B2:B1000")=$B43) * (INDIRECT("'"&amp;O$1&amp;"'!C2:C1000")=$C43)
        ),
        5,
        FALSE
    )="",
    "",
    VLOOKUP(
        $A43,
        _xlfn._xlws.FILTER(
            INDIRECT("'"&amp;O$1&amp;"'!A2:G1000"), (INDIRECT("'"&amp;O$1&amp;"'!B2:B1000")=$B43) * (INDIRECT("'"&amp;O$1&amp;"'!C2:C1000")=$C43)
        ),7,
        FALSE
    )
)</f>
        <v>Sim</v>
      </c>
      <c r="P43" s="79" t="str">
        <f t="array" aca="1" ref="P43" ca="1">IF(
    VLOOKUP(
        $A43,
        _xlfn._xlws.FILTER(
            INDIRECT("'"&amp;P$1&amp;"'!A2:G1000"), (INDIRECT("'"&amp;P$1&amp;"'!B2:B1000")=$B43) * (INDIRECT("'"&amp;P$1&amp;"'!C2:C1000")=$C43)
        ),
        5,
        FALSE
    )="",
    "",
    VLOOKUP(
        $A43,
        _xlfn._xlws.FILTER(
            INDIRECT("'"&amp;P$1&amp;"'!A2:G1000"), (INDIRECT("'"&amp;P$1&amp;"'!B2:B1000")=$B43) * (INDIRECT("'"&amp;P$1&amp;"'!C2:C1000")=$C43)
        ),7,
        FALSE
    )
)</f>
        <v>Sim</v>
      </c>
      <c r="Q43" s="79" t="str">
        <f t="array" aca="1" ref="Q43" ca="1">IF(
    VLOOKUP(
        $A43,
        _xlfn._xlws.FILTER(
            INDIRECT("'"&amp;Q$1&amp;"'!A2:G1000"), (INDIRECT("'"&amp;Q$1&amp;"'!B2:B1000")=$B43) * (INDIRECT("'"&amp;Q$1&amp;"'!C2:C1000")=$C43)
        ),
        5,
        FALSE
    )="",
    "",
    VLOOKUP(
        $A43,
        _xlfn._xlws.FILTER(
            INDIRECT("'"&amp;Q$1&amp;"'!A2:G1000"), (INDIRECT("'"&amp;Q$1&amp;"'!B2:B1000")=$B43) * (INDIRECT("'"&amp;Q$1&amp;"'!C2:C1000")=$C43)
        ),7,
        FALSE
    )
)</f>
        <v/>
      </c>
    </row>
    <row r="44" spans="1:17" x14ac:dyDescent="0.25">
      <c r="A44" s="83" t="s">
        <v>40</v>
      </c>
      <c r="B44" s="79" t="s">
        <v>80</v>
      </c>
      <c r="C44" s="79">
        <v>4</v>
      </c>
      <c r="D44" s="79" t="str">
        <f t="array" aca="1" ref="D44" ca="1">IF(
    VLOOKUP(
        $A44,
        _xlfn._xlws.FILTER(
            INDIRECT("'"&amp;D$1&amp;"'!A2:G1000"), (INDIRECT("'"&amp;D$1&amp;"'!B2:B1000")=$B44) * (INDIRECT("'"&amp;D$1&amp;"'!C2:C1000")=$C44)
        ),
        5,
        FALSE
    )="",
    "",
    VLOOKUP(
        $A44,
        _xlfn._xlws.FILTER(
            INDIRECT("'"&amp;D$1&amp;"'!A2:G1000"), (INDIRECT("'"&amp;D$1&amp;"'!B2:B1000")=$B44) * (INDIRECT("'"&amp;D$1&amp;"'!C2:C1000")=$C44)
        ),7,
        FALSE
    )
)</f>
        <v>Sim</v>
      </c>
      <c r="E44" s="79" t="str">
        <f t="array" aca="1" ref="E44" ca="1">IF(
    VLOOKUP(
        $A44,
        _xlfn._xlws.FILTER(
            INDIRECT("'"&amp;E$1&amp;"'!A2:G1000"), (INDIRECT("'"&amp;E$1&amp;"'!B2:B1000")=$B44) * (INDIRECT("'"&amp;E$1&amp;"'!C2:C1000")=$C44)
        ),
        5,
        FALSE
    )="",
    "",
    VLOOKUP(
        $A44,
        _xlfn._xlws.FILTER(
            INDIRECT("'"&amp;E$1&amp;"'!A2:G1000"), (INDIRECT("'"&amp;E$1&amp;"'!B2:B1000")=$B44) * (INDIRECT("'"&amp;E$1&amp;"'!C2:C1000")=$C44)
        ),7,
        FALSE
    )
)</f>
        <v>Sim</v>
      </c>
      <c r="F44" s="79" t="str">
        <f t="array" aca="1" ref="F44" ca="1">IF(
    VLOOKUP(
        $A44,
        _xlfn._xlws.FILTER(
            INDIRECT("'"&amp;F$1&amp;"'!A2:G1000"), (INDIRECT("'"&amp;F$1&amp;"'!B2:B1000")=$B44) * (INDIRECT("'"&amp;F$1&amp;"'!C2:C1000")=$C44)
        ),
        5,
        FALSE
    )="",
    "",
    VLOOKUP(
        $A44,
        _xlfn._xlws.FILTER(
            INDIRECT("'"&amp;F$1&amp;"'!A2:G1000"), (INDIRECT("'"&amp;F$1&amp;"'!B2:B1000")=$B44) * (INDIRECT("'"&amp;F$1&amp;"'!C2:C1000")=$C44)
        ),7,
        FALSE
    )
)</f>
        <v>Sim</v>
      </c>
      <c r="G44" s="79" t="str">
        <f t="array" aca="1" ref="G44" ca="1">IF(
    VLOOKUP(
        $A44,
        _xlfn._xlws.FILTER(
            INDIRECT("'"&amp;G$1&amp;"'!A2:G1000"), (INDIRECT("'"&amp;G$1&amp;"'!B2:B1000")=$B44) * (INDIRECT("'"&amp;G$1&amp;"'!C2:C1000")=$C44)
        ),
        5,
        FALSE
    )="",
    "",
    VLOOKUP(
        $A44,
        _xlfn._xlws.FILTER(
            INDIRECT("'"&amp;G$1&amp;"'!A2:G1000"), (INDIRECT("'"&amp;G$1&amp;"'!B2:B1000")=$B44) * (INDIRECT("'"&amp;G$1&amp;"'!C2:C1000")=$C44)
        ),7,
        FALSE
    )
)</f>
        <v>Sim</v>
      </c>
      <c r="H44" s="79" t="str">
        <f t="array" aca="1" ref="H44" ca="1">IF(
    VLOOKUP(
        $A44,
        _xlfn._xlws.FILTER(
            INDIRECT("'"&amp;H$1&amp;"'!A2:G1000"), (INDIRECT("'"&amp;H$1&amp;"'!B2:B1000")=$B44) * (INDIRECT("'"&amp;H$1&amp;"'!C2:C1000")=$C44)
        ),
        5,
        FALSE
    )="",
    "",
    VLOOKUP(
        $A44,
        _xlfn._xlws.FILTER(
            INDIRECT("'"&amp;H$1&amp;"'!A2:G1000"), (INDIRECT("'"&amp;H$1&amp;"'!B2:B1000")=$B44) * (INDIRECT("'"&amp;H$1&amp;"'!C2:C1000")=$C44)
        ),7,
        FALSE
    )
)</f>
        <v>Sim</v>
      </c>
      <c r="I44" s="79" t="str">
        <f t="array" aca="1" ref="I44" ca="1">IF(
    VLOOKUP(
        $A44,
        _xlfn._xlws.FILTER(
            INDIRECT("'"&amp;I$1&amp;"'!A2:G1000"), (INDIRECT("'"&amp;I$1&amp;"'!B2:B1000")=$B44) * (INDIRECT("'"&amp;I$1&amp;"'!C2:C1000")=$C44)
        ),
        5,
        FALSE
    )="",
    "",
    VLOOKUP(
        $A44,
        _xlfn._xlws.FILTER(
            INDIRECT("'"&amp;I$1&amp;"'!A2:G1000"), (INDIRECT("'"&amp;I$1&amp;"'!B2:B1000")=$B44) * (INDIRECT("'"&amp;I$1&amp;"'!C2:C1000")=$C44)
        ),7,
        FALSE
    )
)</f>
        <v>Sim</v>
      </c>
      <c r="J44" s="79" t="str">
        <f t="array" aca="1" ref="J44" ca="1">IF(
    VLOOKUP(
        $A44,
        _xlfn._xlws.FILTER(
            INDIRECT("'"&amp;J$1&amp;"'!A2:G1000"), (INDIRECT("'"&amp;J$1&amp;"'!B2:B1000")=$B44) * (INDIRECT("'"&amp;J$1&amp;"'!C2:C1000")=$C44)
        ),
        5,
        FALSE
    )="",
    "",
    VLOOKUP(
        $A44,
        _xlfn._xlws.FILTER(
            INDIRECT("'"&amp;J$1&amp;"'!A2:G1000"), (INDIRECT("'"&amp;J$1&amp;"'!B2:B1000")=$B44) * (INDIRECT("'"&amp;J$1&amp;"'!C2:C1000")=$C44)
        ),7,
        FALSE
    )
)</f>
        <v>Sim</v>
      </c>
      <c r="K44" s="79" t="str">
        <f t="array" aca="1" ref="K44" ca="1">IF(
    VLOOKUP(
        $A44,
        _xlfn._xlws.FILTER(
            INDIRECT("'"&amp;K$1&amp;"'!A2:G1000"), (INDIRECT("'"&amp;K$1&amp;"'!B2:B1000")=$B44) * (INDIRECT("'"&amp;K$1&amp;"'!C2:C1000")=$C44)
        ),
        5,
        FALSE
    )="",
    "",
    VLOOKUP(
        $A44,
        _xlfn._xlws.FILTER(
            INDIRECT("'"&amp;K$1&amp;"'!A2:G1000"), (INDIRECT("'"&amp;K$1&amp;"'!B2:B1000")=$B44) * (INDIRECT("'"&amp;K$1&amp;"'!C2:C1000")=$C44)
        ),7,
        FALSE
    )
)</f>
        <v>Sim</v>
      </c>
      <c r="L44" s="79" t="str">
        <f t="array" aca="1" ref="L44" ca="1">IF(
    VLOOKUP(
        $A44,
        _xlfn._xlws.FILTER(
            INDIRECT("'"&amp;L$1&amp;"'!A2:G1000"), (INDIRECT("'"&amp;L$1&amp;"'!B2:B1000")=$B44) * (INDIRECT("'"&amp;L$1&amp;"'!C2:C1000")=$C44)
        ),
        5,
        FALSE
    )="",
    "",
    VLOOKUP(
        $A44,
        _xlfn._xlws.FILTER(
            INDIRECT("'"&amp;L$1&amp;"'!A2:G1000"), (INDIRECT("'"&amp;L$1&amp;"'!B2:B1000")=$B44) * (INDIRECT("'"&amp;L$1&amp;"'!C2:C1000")=$C44)
        ),7,
        FALSE
    )
)</f>
        <v>Sim</v>
      </c>
      <c r="M44" s="79" t="str">
        <f t="array" aca="1" ref="M44" ca="1">IF(
    VLOOKUP(
        $A44,
        _xlfn._xlws.FILTER(
            INDIRECT("'"&amp;M$1&amp;"'!A2:G1000"), (INDIRECT("'"&amp;M$1&amp;"'!B2:B1000")=$B44) * (INDIRECT("'"&amp;M$1&amp;"'!C2:C1000")=$C44)
        ),
        5,
        FALSE
    )="",
    "",
    VLOOKUP(
        $A44,
        _xlfn._xlws.FILTER(
            INDIRECT("'"&amp;M$1&amp;"'!A2:G1000"), (INDIRECT("'"&amp;M$1&amp;"'!B2:B1000")=$B44) * (INDIRECT("'"&amp;M$1&amp;"'!C2:C1000")=$C44)
        ),7,
        FALSE
    )
)</f>
        <v>Sim</v>
      </c>
      <c r="N44" s="79" t="str">
        <f t="array" aca="1" ref="N44" ca="1">IF(
    VLOOKUP(
        $A44,
        _xlfn._xlws.FILTER(
            INDIRECT("'"&amp;N$1&amp;"'!A2:G1000"), (INDIRECT("'"&amp;N$1&amp;"'!B2:B1000")=$B44) * (INDIRECT("'"&amp;N$1&amp;"'!C2:C1000")=$C44)
        ),
        5,
        FALSE
    )="",
    "",
    VLOOKUP(
        $A44,
        _xlfn._xlws.FILTER(
            INDIRECT("'"&amp;N$1&amp;"'!A2:G1000"), (INDIRECT("'"&amp;N$1&amp;"'!B2:B1000")=$B44) * (INDIRECT("'"&amp;N$1&amp;"'!C2:C1000")=$C44)
        ),7,
        FALSE
    )
)</f>
        <v>Sim</v>
      </c>
      <c r="O44" s="79" t="str">
        <f t="array" aca="1" ref="O44" ca="1">IF(
    VLOOKUP(
        $A44,
        _xlfn._xlws.FILTER(
            INDIRECT("'"&amp;O$1&amp;"'!A2:G1000"), (INDIRECT("'"&amp;O$1&amp;"'!B2:B1000")=$B44) * (INDIRECT("'"&amp;O$1&amp;"'!C2:C1000")=$C44)
        ),
        5,
        FALSE
    )="",
    "",
    VLOOKUP(
        $A44,
        _xlfn._xlws.FILTER(
            INDIRECT("'"&amp;O$1&amp;"'!A2:G1000"), (INDIRECT("'"&amp;O$1&amp;"'!B2:B1000")=$B44) * (INDIRECT("'"&amp;O$1&amp;"'!C2:C1000")=$C44)
        ),7,
        FALSE
    )
)</f>
        <v>Sim</v>
      </c>
      <c r="P44" s="79" t="str">
        <f t="array" aca="1" ref="P44" ca="1">IF(
    VLOOKUP(
        $A44,
        _xlfn._xlws.FILTER(
            INDIRECT("'"&amp;P$1&amp;"'!A2:G1000"), (INDIRECT("'"&amp;P$1&amp;"'!B2:B1000")=$B44) * (INDIRECT("'"&amp;P$1&amp;"'!C2:C1000")=$C44)
        ),
        5,
        FALSE
    )="",
    "",
    VLOOKUP(
        $A44,
        _xlfn._xlws.FILTER(
            INDIRECT("'"&amp;P$1&amp;"'!A2:G1000"), (INDIRECT("'"&amp;P$1&amp;"'!B2:B1000")=$B44) * (INDIRECT("'"&amp;P$1&amp;"'!C2:C1000")=$C44)
        ),7,
        FALSE
    )
)</f>
        <v>Não</v>
      </c>
      <c r="Q44" s="79" t="str">
        <f t="array" aca="1" ref="Q44" ca="1">IF(
    VLOOKUP(
        $A44,
        _xlfn._xlws.FILTER(
            INDIRECT("'"&amp;Q$1&amp;"'!A2:G1000"), (INDIRECT("'"&amp;Q$1&amp;"'!B2:B1000")=$B44) * (INDIRECT("'"&amp;Q$1&amp;"'!C2:C1000")=$C44)
        ),
        5,
        FALSE
    )="",
    "",
    VLOOKUP(
        $A44,
        _xlfn._xlws.FILTER(
            INDIRECT("'"&amp;Q$1&amp;"'!A2:G1000"), (INDIRECT("'"&amp;Q$1&amp;"'!B2:B1000")=$B44) * (INDIRECT("'"&amp;Q$1&amp;"'!C2:C1000")=$C44)
        ),7,
        FALSE
    )
)</f>
        <v/>
      </c>
    </row>
    <row r="45" spans="1:17" x14ac:dyDescent="0.25">
      <c r="A45" s="83" t="s">
        <v>40</v>
      </c>
      <c r="B45" s="79" t="s">
        <v>80</v>
      </c>
      <c r="C45" s="79">
        <v>5</v>
      </c>
      <c r="D45" s="79" t="str">
        <f t="array" aca="1" ref="D45" ca="1">IF(
    VLOOKUP(
        $A45,
        _xlfn._xlws.FILTER(
            INDIRECT("'"&amp;D$1&amp;"'!A2:G1000"), (INDIRECT("'"&amp;D$1&amp;"'!B2:B1000")=$B45) * (INDIRECT("'"&amp;D$1&amp;"'!C2:C1000")=$C45)
        ),
        5,
        FALSE
    )="",
    "",
    VLOOKUP(
        $A45,
        _xlfn._xlws.FILTER(
            INDIRECT("'"&amp;D$1&amp;"'!A2:G1000"), (INDIRECT("'"&amp;D$1&amp;"'!B2:B1000")=$B45) * (INDIRECT("'"&amp;D$1&amp;"'!C2:C1000")=$C45)
        ),7,
        FALSE
    )
)</f>
        <v>Sim</v>
      </c>
      <c r="E45" s="79" t="str">
        <f t="array" ref="E45" ca="1">IF(
    VLOOKUP(
        $A45,
        _xlfn._xlws.FILTER(
            INDIRECT("'"&amp;E$1&amp;"'!A2:G1000"), (INDIRECT("'"&amp;E$1&amp;"'!B2:B1000")=$B45) * (INDIRECT("'"&amp;E$1&amp;"'!C2:C1000")=$C45)
        ),
        5,
        FALSE
    )="",
    "",
    VLOOKUP(
        $A45,
        _xlfn._xlws.FILTER(
            INDIRECT("'"&amp;E$1&amp;"'!A2:G1000"), (INDIRECT("'"&amp;E$1&amp;"'!B2:B1000")=$B45) * (INDIRECT("'"&amp;E$1&amp;"'!C2:C1000")=$C45)
        ),7,
        FALSE
    )
)</f>
        <v>Sim</v>
      </c>
      <c r="F45" s="79" t="str">
        <f t="array" aca="1" ref="F45" ca="1">IF(
    VLOOKUP(
        $A45,
        _xlfn._xlws.FILTER(
            INDIRECT("'"&amp;F$1&amp;"'!A2:G1000"), (INDIRECT("'"&amp;F$1&amp;"'!B2:B1000")=$B45) * (INDIRECT("'"&amp;F$1&amp;"'!C2:C1000")=$C45)
        ),
        5,
        FALSE
    )="",
    "",
    VLOOKUP(
        $A45,
        _xlfn._xlws.FILTER(
            INDIRECT("'"&amp;F$1&amp;"'!A2:G1000"), (INDIRECT("'"&amp;F$1&amp;"'!B2:B1000")=$B45) * (INDIRECT("'"&amp;F$1&amp;"'!C2:C1000")=$C45)
        ),7,
        FALSE
    )
)</f>
        <v>Sim</v>
      </c>
      <c r="G45" s="79" t="str">
        <f t="array" ref="G45" ca="1">IF(
    VLOOKUP(
        $A45,
        _xlfn._xlws.FILTER(
            INDIRECT("'"&amp;G$1&amp;"'!A2:G1000"), (INDIRECT("'"&amp;G$1&amp;"'!B2:B1000")=$B45) * (INDIRECT("'"&amp;G$1&amp;"'!C2:C1000")=$C45)
        ),
        5,
        FALSE
    )="",
    "",
    VLOOKUP(
        $A45,
        _xlfn._xlws.FILTER(
            INDIRECT("'"&amp;G$1&amp;"'!A2:G1000"), (INDIRECT("'"&amp;G$1&amp;"'!B2:B1000")=$B45) * (INDIRECT("'"&amp;G$1&amp;"'!C2:C1000")=$C45)
        ),7,
        FALSE
    )
)</f>
        <v>Sim</v>
      </c>
      <c r="H45" s="79" t="str">
        <f t="array" aca="1" ref="H45" ca="1">IF(
    VLOOKUP(
        $A45,
        _xlfn._xlws.FILTER(
            INDIRECT("'"&amp;H$1&amp;"'!A2:G1000"), (INDIRECT("'"&amp;H$1&amp;"'!B2:B1000")=$B45) * (INDIRECT("'"&amp;H$1&amp;"'!C2:C1000")=$C45)
        ),
        5,
        FALSE
    )="",
    "",
    VLOOKUP(
        $A45,
        _xlfn._xlws.FILTER(
            INDIRECT("'"&amp;H$1&amp;"'!A2:G1000"), (INDIRECT("'"&amp;H$1&amp;"'!B2:B1000")=$B45) * (INDIRECT("'"&amp;H$1&amp;"'!C2:C1000")=$C45)
        ),7,
        FALSE
    )
)</f>
        <v>Sim</v>
      </c>
      <c r="I45" s="79" t="str">
        <f t="array" aca="1" ref="I45" ca="1">IF(
    VLOOKUP(
        $A45,
        _xlfn._xlws.FILTER(
            INDIRECT("'"&amp;I$1&amp;"'!A2:G1000"), (INDIRECT("'"&amp;I$1&amp;"'!B2:B1000")=$B45) * (INDIRECT("'"&amp;I$1&amp;"'!C2:C1000")=$C45)
        ),
        5,
        FALSE
    )="",
    "",
    VLOOKUP(
        $A45,
        _xlfn._xlws.FILTER(
            INDIRECT("'"&amp;I$1&amp;"'!A2:G1000"), (INDIRECT("'"&amp;I$1&amp;"'!B2:B1000")=$B45) * (INDIRECT("'"&amp;I$1&amp;"'!C2:C1000")=$C45)
        ),7,
        FALSE
    )
)</f>
        <v>Sim</v>
      </c>
      <c r="J45" s="79" t="str">
        <f t="array" aca="1" ref="J45" ca="1">IF(
    VLOOKUP(
        $A45,
        _xlfn._xlws.FILTER(
            INDIRECT("'"&amp;J$1&amp;"'!A2:G1000"), (INDIRECT("'"&amp;J$1&amp;"'!B2:B1000")=$B45) * (INDIRECT("'"&amp;J$1&amp;"'!C2:C1000")=$C45)
        ),
        5,
        FALSE
    )="",
    "",
    VLOOKUP(
        $A45,
        _xlfn._xlws.FILTER(
            INDIRECT("'"&amp;J$1&amp;"'!A2:G1000"), (INDIRECT("'"&amp;J$1&amp;"'!B2:B1000")=$B45) * (INDIRECT("'"&amp;J$1&amp;"'!C2:C1000")=$C45)
        ),7,
        FALSE
    )
)</f>
        <v>Sim</v>
      </c>
      <c r="K45" s="79" t="str">
        <f t="array" aca="1" ref="K45" ca="1">IF(
    VLOOKUP(
        $A45,
        _xlfn._xlws.FILTER(
            INDIRECT("'"&amp;K$1&amp;"'!A2:G1000"), (INDIRECT("'"&amp;K$1&amp;"'!B2:B1000")=$B45) * (INDIRECT("'"&amp;K$1&amp;"'!C2:C1000")=$C45)
        ),
        5,
        FALSE
    )="",
    "",
    VLOOKUP(
        $A45,
        _xlfn._xlws.FILTER(
            INDIRECT("'"&amp;K$1&amp;"'!A2:G1000"), (INDIRECT("'"&amp;K$1&amp;"'!B2:B1000")=$B45) * (INDIRECT("'"&amp;K$1&amp;"'!C2:C1000")=$C45)
        ),7,
        FALSE
    )
)</f>
        <v>Sim</v>
      </c>
      <c r="L45" s="79" t="str">
        <f t="array" aca="1" ref="L45" ca="1">IF(
    VLOOKUP(
        $A45,
        _xlfn._xlws.FILTER(
            INDIRECT("'"&amp;L$1&amp;"'!A2:G1000"), (INDIRECT("'"&amp;L$1&amp;"'!B2:B1000")=$B45) * (INDIRECT("'"&amp;L$1&amp;"'!C2:C1000")=$C45)
        ),
        5,
        FALSE
    )="",
    "",
    VLOOKUP(
        $A45,
        _xlfn._xlws.FILTER(
            INDIRECT("'"&amp;L$1&amp;"'!A2:G1000"), (INDIRECT("'"&amp;L$1&amp;"'!B2:B1000")=$B45) * (INDIRECT("'"&amp;L$1&amp;"'!C2:C1000")=$C45)
        ),7,
        FALSE
    )
)</f>
        <v>Sim</v>
      </c>
      <c r="M45" s="79" t="str">
        <f t="array" aca="1" ref="M45" ca="1">IF(
    VLOOKUP(
        $A45,
        _xlfn._xlws.FILTER(
            INDIRECT("'"&amp;M$1&amp;"'!A2:G1000"), (INDIRECT("'"&amp;M$1&amp;"'!B2:B1000")=$B45) * (INDIRECT("'"&amp;M$1&amp;"'!C2:C1000")=$C45)
        ),
        5,
        FALSE
    )="",
    "",
    VLOOKUP(
        $A45,
        _xlfn._xlws.FILTER(
            INDIRECT("'"&amp;M$1&amp;"'!A2:G1000"), (INDIRECT("'"&amp;M$1&amp;"'!B2:B1000")=$B45) * (INDIRECT("'"&amp;M$1&amp;"'!C2:C1000")=$C45)
        ),7,
        FALSE
    )
)</f>
        <v>Sim</v>
      </c>
      <c r="N45" s="79" t="str">
        <f t="array" aca="1" ref="N45" ca="1">IF(
    VLOOKUP(
        $A45,
        _xlfn._xlws.FILTER(
            INDIRECT("'"&amp;N$1&amp;"'!A2:G1000"), (INDIRECT("'"&amp;N$1&amp;"'!B2:B1000")=$B45) * (INDIRECT("'"&amp;N$1&amp;"'!C2:C1000")=$C45)
        ),
        5,
        FALSE
    )="",
    "",
    VLOOKUP(
        $A45,
        _xlfn._xlws.FILTER(
            INDIRECT("'"&amp;N$1&amp;"'!A2:G1000"), (INDIRECT("'"&amp;N$1&amp;"'!B2:B1000")=$B45) * (INDIRECT("'"&amp;N$1&amp;"'!C2:C1000")=$C45)
        ),7,
        FALSE
    )
)</f>
        <v>Sim</v>
      </c>
      <c r="O45" s="79" t="str">
        <f t="array" aca="1" ref="O45" ca="1">IF(
    VLOOKUP(
        $A45,
        _xlfn._xlws.FILTER(
            INDIRECT("'"&amp;O$1&amp;"'!A2:G1000"), (INDIRECT("'"&amp;O$1&amp;"'!B2:B1000")=$B45) * (INDIRECT("'"&amp;O$1&amp;"'!C2:C1000")=$C45)
        ),
        5,
        FALSE
    )="",
    "",
    VLOOKUP(
        $A45,
        _xlfn._xlws.FILTER(
            INDIRECT("'"&amp;O$1&amp;"'!A2:G1000"), (INDIRECT("'"&amp;O$1&amp;"'!B2:B1000")=$B45) * (INDIRECT("'"&amp;O$1&amp;"'!C2:C1000")=$C45)
        ),7,
        FALSE
    )
)</f>
        <v>Sim</v>
      </c>
      <c r="P45" s="79" t="str">
        <f t="array" aca="1" ref="P45" ca="1">IF(
    VLOOKUP(
        $A45,
        _xlfn._xlws.FILTER(
            INDIRECT("'"&amp;P$1&amp;"'!A2:G1000"), (INDIRECT("'"&amp;P$1&amp;"'!B2:B1000")=$B45) * (INDIRECT("'"&amp;P$1&amp;"'!C2:C1000")=$C45)
        ),
        5,
        FALSE
    )="",
    "",
    VLOOKUP(
        $A45,
        _xlfn._xlws.FILTER(
            INDIRECT("'"&amp;P$1&amp;"'!A2:G1000"), (INDIRECT("'"&amp;P$1&amp;"'!B2:B1000")=$B45) * (INDIRECT("'"&amp;P$1&amp;"'!C2:C1000")=$C45)
        ),7,
        FALSE
    )
)</f>
        <v>Não</v>
      </c>
      <c r="Q45" s="79" t="str">
        <f t="array" aca="1" ref="Q45" ca="1">IF(
    VLOOKUP(
        $A45,
        _xlfn._xlws.FILTER(
            INDIRECT("'"&amp;Q$1&amp;"'!A2:G1000"), (INDIRECT("'"&amp;Q$1&amp;"'!B2:B1000")=$B45) * (INDIRECT("'"&amp;Q$1&amp;"'!C2:C1000")=$C45)
        ),
        5,
        FALSE
    )="",
    "",
    VLOOKUP(
        $A45,
        _xlfn._xlws.FILTER(
            INDIRECT("'"&amp;Q$1&amp;"'!A2:G1000"), (INDIRECT("'"&amp;Q$1&amp;"'!B2:B1000")=$B45) * (INDIRECT("'"&amp;Q$1&amp;"'!C2:C1000")=$C45)
        ),7,
        FALSE
    )
)</f>
        <v/>
      </c>
    </row>
    <row r="46" spans="1:17" x14ac:dyDescent="0.25">
      <c r="A46" s="83" t="s">
        <v>40</v>
      </c>
      <c r="B46" s="79" t="s">
        <v>80</v>
      </c>
      <c r="C46" s="79">
        <v>6</v>
      </c>
      <c r="D46" s="79" t="str">
        <f t="array" aca="1" ref="D46" ca="1">IF(
    VLOOKUP(
        $A46,
        _xlfn._xlws.FILTER(
            INDIRECT("'"&amp;D$1&amp;"'!A2:G1000"), (INDIRECT("'"&amp;D$1&amp;"'!B2:B1000")=$B46) * (INDIRECT("'"&amp;D$1&amp;"'!C2:C1000")=$C46)
        ),
        5,
        FALSE
    )="",
    "",
    VLOOKUP(
        $A46,
        _xlfn._xlws.FILTER(
            INDIRECT("'"&amp;D$1&amp;"'!A2:G1000"), (INDIRECT("'"&amp;D$1&amp;"'!B2:B1000")=$B46) * (INDIRECT("'"&amp;D$1&amp;"'!C2:C1000")=$C46)
        ),7,
        FALSE
    )
)</f>
        <v>Sim</v>
      </c>
      <c r="E46" s="79" t="str">
        <f t="array" aca="1" ref="E46" ca="1">IF(
    VLOOKUP(
        $A46,
        _xlfn._xlws.FILTER(
            INDIRECT("'"&amp;E$1&amp;"'!A2:G1000"), (INDIRECT("'"&amp;E$1&amp;"'!B2:B1000")=$B46) * (INDIRECT("'"&amp;E$1&amp;"'!C2:C1000")=$C46)
        ),
        5,
        FALSE
    )="",
    "",
    VLOOKUP(
        $A46,
        _xlfn._xlws.FILTER(
            INDIRECT("'"&amp;E$1&amp;"'!A2:G1000"), (INDIRECT("'"&amp;E$1&amp;"'!B2:B1000")=$B46) * (INDIRECT("'"&amp;E$1&amp;"'!C2:C1000")=$C46)
        ),7,
        FALSE
    )
)</f>
        <v>Sim</v>
      </c>
      <c r="F46" s="79" t="str">
        <f t="array" aca="1" ref="F46" ca="1">IF(
    VLOOKUP(
        $A46,
        _xlfn._xlws.FILTER(
            INDIRECT("'"&amp;F$1&amp;"'!A2:G1000"), (INDIRECT("'"&amp;F$1&amp;"'!B2:B1000")=$B46) * (INDIRECT("'"&amp;F$1&amp;"'!C2:C1000")=$C46)
        ),
        5,
        FALSE
    )="",
    "",
    VLOOKUP(
        $A46,
        _xlfn._xlws.FILTER(
            INDIRECT("'"&amp;F$1&amp;"'!A2:G1000"), (INDIRECT("'"&amp;F$1&amp;"'!B2:B1000")=$B46) * (INDIRECT("'"&amp;F$1&amp;"'!C2:C1000")=$C46)
        ),7,
        FALSE
    )
)</f>
        <v>Sim</v>
      </c>
      <c r="G46" s="79" t="str">
        <f t="array" aca="1" ref="G46" ca="1">IF(
    VLOOKUP(
        $A46,
        _xlfn._xlws.FILTER(
            INDIRECT("'"&amp;G$1&amp;"'!A2:G1000"), (INDIRECT("'"&amp;G$1&amp;"'!B2:B1000")=$B46) * (INDIRECT("'"&amp;G$1&amp;"'!C2:C1000")=$C46)
        ),
        5,
        FALSE
    )="",
    "",
    VLOOKUP(
        $A46,
        _xlfn._xlws.FILTER(
            INDIRECT("'"&amp;G$1&amp;"'!A2:G1000"), (INDIRECT("'"&amp;G$1&amp;"'!B2:B1000")=$B46) * (INDIRECT("'"&amp;G$1&amp;"'!C2:C1000")=$C46)
        ),7,
        FALSE
    )
)</f>
        <v>Sim</v>
      </c>
      <c r="H46" s="79" t="str">
        <f t="array" aca="1" ref="H46" ca="1">IF(
    VLOOKUP(
        $A46,
        _xlfn._xlws.FILTER(
            INDIRECT("'"&amp;H$1&amp;"'!A2:G1000"), (INDIRECT("'"&amp;H$1&amp;"'!B2:B1000")=$B46) * (INDIRECT("'"&amp;H$1&amp;"'!C2:C1000")=$C46)
        ),
        5,
        FALSE
    )="",
    "",
    VLOOKUP(
        $A46,
        _xlfn._xlws.FILTER(
            INDIRECT("'"&amp;H$1&amp;"'!A2:G1000"), (INDIRECT("'"&amp;H$1&amp;"'!B2:B1000")=$B46) * (INDIRECT("'"&amp;H$1&amp;"'!C2:C1000")=$C46)
        ),7,
        FALSE
    )
)</f>
        <v>Sim</v>
      </c>
      <c r="I46" s="79" t="str">
        <f t="array" aca="1" ref="I46" ca="1">IF(
    VLOOKUP(
        $A46,
        _xlfn._xlws.FILTER(
            INDIRECT("'"&amp;I$1&amp;"'!A2:G1000"), (INDIRECT("'"&amp;I$1&amp;"'!B2:B1000")=$B46) * (INDIRECT("'"&amp;I$1&amp;"'!C2:C1000")=$C46)
        ),
        5,
        FALSE
    )="",
    "",
    VLOOKUP(
        $A46,
        _xlfn._xlws.FILTER(
            INDIRECT("'"&amp;I$1&amp;"'!A2:G1000"), (INDIRECT("'"&amp;I$1&amp;"'!B2:B1000")=$B46) * (INDIRECT("'"&amp;I$1&amp;"'!C2:C1000")=$C46)
        ),7,
        FALSE
    )
)</f>
        <v>Sim</v>
      </c>
      <c r="J46" s="79" t="str">
        <f t="array" aca="1" ref="J46" ca="1">IF(
    VLOOKUP(
        $A46,
        _xlfn._xlws.FILTER(
            INDIRECT("'"&amp;J$1&amp;"'!A2:G1000"), (INDIRECT("'"&amp;J$1&amp;"'!B2:B1000")=$B46) * (INDIRECT("'"&amp;J$1&amp;"'!C2:C1000")=$C46)
        ),
        5,
        FALSE
    )="",
    "",
    VLOOKUP(
        $A46,
        _xlfn._xlws.FILTER(
            INDIRECT("'"&amp;J$1&amp;"'!A2:G1000"), (INDIRECT("'"&amp;J$1&amp;"'!B2:B1000")=$B46) * (INDIRECT("'"&amp;J$1&amp;"'!C2:C1000")=$C46)
        ),7,
        FALSE
    )
)</f>
        <v>Sim</v>
      </c>
      <c r="K46" s="79" t="str">
        <f t="array" aca="1" ref="K46" ca="1">IF(
    VLOOKUP(
        $A46,
        _xlfn._xlws.FILTER(
            INDIRECT("'"&amp;K$1&amp;"'!A2:G1000"), (INDIRECT("'"&amp;K$1&amp;"'!B2:B1000")=$B46) * (INDIRECT("'"&amp;K$1&amp;"'!C2:C1000")=$C46)
        ),
        5,
        FALSE
    )="",
    "",
    VLOOKUP(
        $A46,
        _xlfn._xlws.FILTER(
            INDIRECT("'"&amp;K$1&amp;"'!A2:G1000"), (INDIRECT("'"&amp;K$1&amp;"'!B2:B1000")=$B46) * (INDIRECT("'"&amp;K$1&amp;"'!C2:C1000")=$C46)
        ),7,
        FALSE
    )
)</f>
        <v>Sim</v>
      </c>
      <c r="L46" s="79" t="str">
        <f t="array" aca="1" ref="L46" ca="1">IF(
    VLOOKUP(
        $A46,
        _xlfn._xlws.FILTER(
            INDIRECT("'"&amp;L$1&amp;"'!A2:G1000"), (INDIRECT("'"&amp;L$1&amp;"'!B2:B1000")=$B46) * (INDIRECT("'"&amp;L$1&amp;"'!C2:C1000")=$C46)
        ),
        5,
        FALSE
    )="",
    "",
    VLOOKUP(
        $A46,
        _xlfn._xlws.FILTER(
            INDIRECT("'"&amp;L$1&amp;"'!A2:G1000"), (INDIRECT("'"&amp;L$1&amp;"'!B2:B1000")=$B46) * (INDIRECT("'"&amp;L$1&amp;"'!C2:C1000")=$C46)
        ),7,
        FALSE
    )
)</f>
        <v>Sim</v>
      </c>
      <c r="M46" s="79" t="str">
        <f t="array" aca="1" ref="M46" ca="1">IF(
    VLOOKUP(
        $A46,
        _xlfn._xlws.FILTER(
            INDIRECT("'"&amp;M$1&amp;"'!A2:G1000"), (INDIRECT("'"&amp;M$1&amp;"'!B2:B1000")=$B46) * (INDIRECT("'"&amp;M$1&amp;"'!C2:C1000")=$C46)
        ),
        5,
        FALSE
    )="",
    "",
    VLOOKUP(
        $A46,
        _xlfn._xlws.FILTER(
            INDIRECT("'"&amp;M$1&amp;"'!A2:G1000"), (INDIRECT("'"&amp;M$1&amp;"'!B2:B1000")=$B46) * (INDIRECT("'"&amp;M$1&amp;"'!C2:C1000")=$C46)
        ),7,
        FALSE
    )
)</f>
        <v>Sim</v>
      </c>
      <c r="N46" s="79" t="str">
        <f t="array" aca="1" ref="N46" ca="1">IF(
    VLOOKUP(
        $A46,
        _xlfn._xlws.FILTER(
            INDIRECT("'"&amp;N$1&amp;"'!A2:G1000"), (INDIRECT("'"&amp;N$1&amp;"'!B2:B1000")=$B46) * (INDIRECT("'"&amp;N$1&amp;"'!C2:C1000")=$C46)
        ),
        5,
        FALSE
    )="",
    "",
    VLOOKUP(
        $A46,
        _xlfn._xlws.FILTER(
            INDIRECT("'"&amp;N$1&amp;"'!A2:G1000"), (INDIRECT("'"&amp;N$1&amp;"'!B2:B1000")=$B46) * (INDIRECT("'"&amp;N$1&amp;"'!C2:C1000")=$C46)
        ),7,
        FALSE
    )
)</f>
        <v>Sim</v>
      </c>
      <c r="O46" s="79" t="str">
        <f t="array" ref="O46" ca="1">IF(
    VLOOKUP(
        $A46,
        _xlfn._xlws.FILTER(
            INDIRECT("'"&amp;O$1&amp;"'!A2:G1000"), (INDIRECT("'"&amp;O$1&amp;"'!B2:B1000")=$B46) * (INDIRECT("'"&amp;O$1&amp;"'!C2:C1000")=$C46)
        ),
        5,
        FALSE
    )="",
    "",
    VLOOKUP(
        $A46,
        _xlfn._xlws.FILTER(
            INDIRECT("'"&amp;O$1&amp;"'!A2:G1000"), (INDIRECT("'"&amp;O$1&amp;"'!B2:B1000")=$B46) * (INDIRECT("'"&amp;O$1&amp;"'!C2:C1000")=$C46)
        ),7,
        FALSE
    )
)</f>
        <v>Sim</v>
      </c>
      <c r="P46" s="79" t="str">
        <f t="array" aca="1" ref="P46" ca="1">IF(
    VLOOKUP(
        $A46,
        _xlfn._xlws.FILTER(
            INDIRECT("'"&amp;P$1&amp;"'!A2:G1000"), (INDIRECT("'"&amp;P$1&amp;"'!B2:B1000")=$B46) * (INDIRECT("'"&amp;P$1&amp;"'!C2:C1000")=$C46)
        ),
        5,
        FALSE
    )="",
    "",
    VLOOKUP(
        $A46,
        _xlfn._xlws.FILTER(
            INDIRECT("'"&amp;P$1&amp;"'!A2:G1000"), (INDIRECT("'"&amp;P$1&amp;"'!B2:B1000")=$B46) * (INDIRECT("'"&amp;P$1&amp;"'!C2:C1000")=$C46)
        ),7,
        FALSE
    )
)</f>
        <v>Não</v>
      </c>
      <c r="Q46" s="79" t="str">
        <f t="array" aca="1" ref="Q46" ca="1">IF(
    VLOOKUP(
        $A46,
        _xlfn._xlws.FILTER(
            INDIRECT("'"&amp;Q$1&amp;"'!A2:G1000"), (INDIRECT("'"&amp;Q$1&amp;"'!B2:B1000")=$B46) * (INDIRECT("'"&amp;Q$1&amp;"'!C2:C1000")=$C46)
        ),
        5,
        FALSE
    )="",
    "",
    VLOOKUP(
        $A46,
        _xlfn._xlws.FILTER(
            INDIRECT("'"&amp;Q$1&amp;"'!A2:G1000"), (INDIRECT("'"&amp;Q$1&amp;"'!B2:B1000")=$B46) * (INDIRECT("'"&amp;Q$1&amp;"'!C2:C1000")=$C46)
        ),7,
        FALSE
    )
)</f>
        <v/>
      </c>
    </row>
    <row r="47" spans="1:17" x14ac:dyDescent="0.25">
      <c r="A47" s="83" t="s">
        <v>40</v>
      </c>
      <c r="B47" s="79" t="s">
        <v>80</v>
      </c>
      <c r="C47" s="79">
        <v>7</v>
      </c>
      <c r="D47" s="79" t="str">
        <f t="array" aca="1" ref="D47" ca="1">IF(
    VLOOKUP(
        $A47,
        _xlfn._xlws.FILTER(
            INDIRECT("'"&amp;D$1&amp;"'!A2:G1000"), (INDIRECT("'"&amp;D$1&amp;"'!B2:B1000")=$B47) * (INDIRECT("'"&amp;D$1&amp;"'!C2:C1000")=$C47)
        ),
        5,
        FALSE
    )="",
    "",
    VLOOKUP(
        $A47,
        _xlfn._xlws.FILTER(
            INDIRECT("'"&amp;D$1&amp;"'!A2:G1000"), (INDIRECT("'"&amp;D$1&amp;"'!B2:B1000")=$B47) * (INDIRECT("'"&amp;D$1&amp;"'!C2:C1000")=$C47)
        ),7,
        FALSE
    )
)</f>
        <v>Sim</v>
      </c>
      <c r="E47" s="79" t="str">
        <f t="array" aca="1" ref="E47" ca="1">IF(
    VLOOKUP(
        $A47,
        _xlfn._xlws.FILTER(
            INDIRECT("'"&amp;E$1&amp;"'!A2:G1000"), (INDIRECT("'"&amp;E$1&amp;"'!B2:B1000")=$B47) * (INDIRECT("'"&amp;E$1&amp;"'!C2:C1000")=$C47)
        ),
        5,
        FALSE
    )="",
    "",
    VLOOKUP(
        $A47,
        _xlfn._xlws.FILTER(
            INDIRECT("'"&amp;E$1&amp;"'!A2:G1000"), (INDIRECT("'"&amp;E$1&amp;"'!B2:B1000")=$B47) * (INDIRECT("'"&amp;E$1&amp;"'!C2:C1000")=$C47)
        ),7,
        FALSE
    )
)</f>
        <v>Sim</v>
      </c>
      <c r="F47" s="79" t="str">
        <f t="array" aca="1" ref="F47" ca="1">IF(
    VLOOKUP(
        $A47,
        _xlfn._xlws.FILTER(
            INDIRECT("'"&amp;F$1&amp;"'!A2:G1000"), (INDIRECT("'"&amp;F$1&amp;"'!B2:B1000")=$B47) * (INDIRECT("'"&amp;F$1&amp;"'!C2:C1000")=$C47)
        ),
        5,
        FALSE
    )="",
    "",
    VLOOKUP(
        $A47,
        _xlfn._xlws.FILTER(
            INDIRECT("'"&amp;F$1&amp;"'!A2:G1000"), (INDIRECT("'"&amp;F$1&amp;"'!B2:B1000")=$B47) * (INDIRECT("'"&amp;F$1&amp;"'!C2:C1000")=$C47)
        ),7,
        FALSE
    )
)</f>
        <v>Sim</v>
      </c>
      <c r="G47" s="79" t="str">
        <f t="array" aca="1" ref="G47" ca="1">IF(
    VLOOKUP(
        $A47,
        _xlfn._xlws.FILTER(
            INDIRECT("'"&amp;G$1&amp;"'!A2:G1000"), (INDIRECT("'"&amp;G$1&amp;"'!B2:B1000")=$B47) * (INDIRECT("'"&amp;G$1&amp;"'!C2:C1000")=$C47)
        ),
        5,
        FALSE
    )="",
    "",
    VLOOKUP(
        $A47,
        _xlfn._xlws.FILTER(
            INDIRECT("'"&amp;G$1&amp;"'!A2:G1000"), (INDIRECT("'"&amp;G$1&amp;"'!B2:B1000")=$B47) * (INDIRECT("'"&amp;G$1&amp;"'!C2:C1000")=$C47)
        ),7,
        FALSE
    )
)</f>
        <v>Sim</v>
      </c>
      <c r="H47" s="79" t="str">
        <f t="array" aca="1" ref="H47" ca="1">IF(
    VLOOKUP(
        $A47,
        _xlfn._xlws.FILTER(
            INDIRECT("'"&amp;H$1&amp;"'!A2:G1000"), (INDIRECT("'"&amp;H$1&amp;"'!B2:B1000")=$B47) * (INDIRECT("'"&amp;H$1&amp;"'!C2:C1000")=$C47)
        ),
        5,
        FALSE
    )="",
    "",
    VLOOKUP(
        $A47,
        _xlfn._xlws.FILTER(
            INDIRECT("'"&amp;H$1&amp;"'!A2:G1000"), (INDIRECT("'"&amp;H$1&amp;"'!B2:B1000")=$B47) * (INDIRECT("'"&amp;H$1&amp;"'!C2:C1000")=$C47)
        ),7,
        FALSE
    )
)</f>
        <v>Sim</v>
      </c>
      <c r="I47" s="79" t="str">
        <f t="array" aca="1" ref="I47" ca="1">IF(
    VLOOKUP(
        $A47,
        _xlfn._xlws.FILTER(
            INDIRECT("'"&amp;I$1&amp;"'!A2:G1000"), (INDIRECT("'"&amp;I$1&amp;"'!B2:B1000")=$B47) * (INDIRECT("'"&amp;I$1&amp;"'!C2:C1000")=$C47)
        ),
        5,
        FALSE
    )="",
    "",
    VLOOKUP(
        $A47,
        _xlfn._xlws.FILTER(
            INDIRECT("'"&amp;I$1&amp;"'!A2:G1000"), (INDIRECT("'"&amp;I$1&amp;"'!B2:B1000")=$B47) * (INDIRECT("'"&amp;I$1&amp;"'!C2:C1000")=$C47)
        ),7,
        FALSE
    )
)</f>
        <v>Sim</v>
      </c>
      <c r="J47" s="79" t="str">
        <f t="array" aca="1" ref="J47" ca="1">IF(
    VLOOKUP(
        $A47,
        _xlfn._xlws.FILTER(
            INDIRECT("'"&amp;J$1&amp;"'!A2:G1000"), (INDIRECT("'"&amp;J$1&amp;"'!B2:B1000")=$B47) * (INDIRECT("'"&amp;J$1&amp;"'!C2:C1000")=$C47)
        ),
        5,
        FALSE
    )="",
    "",
    VLOOKUP(
        $A47,
        _xlfn._xlws.FILTER(
            INDIRECT("'"&amp;J$1&amp;"'!A2:G1000"), (INDIRECT("'"&amp;J$1&amp;"'!B2:B1000")=$B47) * (INDIRECT("'"&amp;J$1&amp;"'!C2:C1000")=$C47)
        ),7,
        FALSE
    )
)</f>
        <v>Sim</v>
      </c>
      <c r="K47" s="79" t="str">
        <f t="array" aca="1" ref="K47" ca="1">IF(
    VLOOKUP(
        $A47,
        _xlfn._xlws.FILTER(
            INDIRECT("'"&amp;K$1&amp;"'!A2:G1000"), (INDIRECT("'"&amp;K$1&amp;"'!B2:B1000")=$B47) * (INDIRECT("'"&amp;K$1&amp;"'!C2:C1000")=$C47)
        ),
        5,
        FALSE
    )="",
    "",
    VLOOKUP(
        $A47,
        _xlfn._xlws.FILTER(
            INDIRECT("'"&amp;K$1&amp;"'!A2:G1000"), (INDIRECT("'"&amp;K$1&amp;"'!B2:B1000")=$B47) * (INDIRECT("'"&amp;K$1&amp;"'!C2:C1000")=$C47)
        ),7,
        FALSE
    )
)</f>
        <v>Sim</v>
      </c>
      <c r="L47" s="79" t="str">
        <f t="array" aca="1" ref="L47" ca="1">IF(
    VLOOKUP(
        $A47,
        _xlfn._xlws.FILTER(
            INDIRECT("'"&amp;L$1&amp;"'!A2:G1000"), (INDIRECT("'"&amp;L$1&amp;"'!B2:B1000")=$B47) * (INDIRECT("'"&amp;L$1&amp;"'!C2:C1000")=$C47)
        ),
        5,
        FALSE
    )="",
    "",
    VLOOKUP(
        $A47,
        _xlfn._xlws.FILTER(
            INDIRECT("'"&amp;L$1&amp;"'!A2:G1000"), (INDIRECT("'"&amp;L$1&amp;"'!B2:B1000")=$B47) * (INDIRECT("'"&amp;L$1&amp;"'!C2:C1000")=$C47)
        ),7,
        FALSE
    )
)</f>
        <v>Sim</v>
      </c>
      <c r="M47" s="79" t="str">
        <f t="array" aca="1" ref="M47" ca="1">IF(
    VLOOKUP(
        $A47,
        _xlfn._xlws.FILTER(
            INDIRECT("'"&amp;M$1&amp;"'!A2:G1000"), (INDIRECT("'"&amp;M$1&amp;"'!B2:B1000")=$B47) * (INDIRECT("'"&amp;M$1&amp;"'!C2:C1000")=$C47)
        ),
        5,
        FALSE
    )="",
    "",
    VLOOKUP(
        $A47,
        _xlfn._xlws.FILTER(
            INDIRECT("'"&amp;M$1&amp;"'!A2:G1000"), (INDIRECT("'"&amp;M$1&amp;"'!B2:B1000")=$B47) * (INDIRECT("'"&amp;M$1&amp;"'!C2:C1000")=$C47)
        ),7,
        FALSE
    )
)</f>
        <v>Sim</v>
      </c>
      <c r="N47" s="79" t="str">
        <f t="array" aca="1" ref="N47" ca="1">IF(
    VLOOKUP(
        $A47,
        _xlfn._xlws.FILTER(
            INDIRECT("'"&amp;N$1&amp;"'!A2:G1000"), (INDIRECT("'"&amp;N$1&amp;"'!B2:B1000")=$B47) * (INDIRECT("'"&amp;N$1&amp;"'!C2:C1000")=$C47)
        ),
        5,
        FALSE
    )="",
    "",
    VLOOKUP(
        $A47,
        _xlfn._xlws.FILTER(
            INDIRECT("'"&amp;N$1&amp;"'!A2:G1000"), (INDIRECT("'"&amp;N$1&amp;"'!B2:B1000")=$B47) * (INDIRECT("'"&amp;N$1&amp;"'!C2:C1000")=$C47)
        ),7,
        FALSE
    )
)</f>
        <v>Sim</v>
      </c>
      <c r="O47" s="79" t="str">
        <f t="array" aca="1" ref="O47" ca="1">IF(
    VLOOKUP(
        $A47,
        _xlfn._xlws.FILTER(
            INDIRECT("'"&amp;O$1&amp;"'!A2:G1000"), (INDIRECT("'"&amp;O$1&amp;"'!B2:B1000")=$B47) * (INDIRECT("'"&amp;O$1&amp;"'!C2:C1000")=$C47)
        ),
        5,
        FALSE
    )="",
    "",
    VLOOKUP(
        $A47,
        _xlfn._xlws.FILTER(
            INDIRECT("'"&amp;O$1&amp;"'!A2:G1000"), (INDIRECT("'"&amp;O$1&amp;"'!B2:B1000")=$B47) * (INDIRECT("'"&amp;O$1&amp;"'!C2:C1000")=$C47)
        ),7,
        FALSE
    )
)</f>
        <v>Não</v>
      </c>
      <c r="P47" s="79" t="str">
        <f t="array" aca="1" ref="P47" ca="1">IF(
    VLOOKUP(
        $A47,
        _xlfn._xlws.FILTER(
            INDIRECT("'"&amp;P$1&amp;"'!A2:G1000"), (INDIRECT("'"&amp;P$1&amp;"'!B2:B1000")=$B47) * (INDIRECT("'"&amp;P$1&amp;"'!C2:C1000")=$C47)
        ),
        5,
        FALSE
    )="",
    "",
    VLOOKUP(
        $A47,
        _xlfn._xlws.FILTER(
            INDIRECT("'"&amp;P$1&amp;"'!A2:G1000"), (INDIRECT("'"&amp;P$1&amp;"'!B2:B1000")=$B47) * (INDIRECT("'"&amp;P$1&amp;"'!C2:C1000")=$C47)
        ),7,
        FALSE
    )
)</f>
        <v>Não</v>
      </c>
      <c r="Q47" s="79" t="str">
        <f t="array" aca="1" ref="Q47" ca="1">IF(
    VLOOKUP(
        $A47,
        _xlfn._xlws.FILTER(
            INDIRECT("'"&amp;Q$1&amp;"'!A2:G1000"), (INDIRECT("'"&amp;Q$1&amp;"'!B2:B1000")=$B47) * (INDIRECT("'"&amp;Q$1&amp;"'!C2:C1000")=$C47)
        ),
        5,
        FALSE
    )="",
    "",
    VLOOKUP(
        $A47,
        _xlfn._xlws.FILTER(
            INDIRECT("'"&amp;Q$1&amp;"'!A2:G1000"), (INDIRECT("'"&amp;Q$1&amp;"'!B2:B1000")=$B47) * (INDIRECT("'"&amp;Q$1&amp;"'!C2:C1000")=$C47)
        ),7,
        FALSE
    )
)</f>
        <v/>
      </c>
    </row>
    <row r="48" spans="1:17" x14ac:dyDescent="0.25">
      <c r="A48" s="83" t="s">
        <v>40</v>
      </c>
      <c r="B48" s="79" t="s">
        <v>80</v>
      </c>
      <c r="C48" s="79">
        <v>8</v>
      </c>
      <c r="D48" s="79" t="str">
        <f t="array" aca="1" ref="D48" ca="1">IF(
    VLOOKUP(
        $A48,
        _xlfn._xlws.FILTER(
            INDIRECT("'"&amp;D$1&amp;"'!A2:G1000"), (INDIRECT("'"&amp;D$1&amp;"'!B2:B1000")=$B48) * (INDIRECT("'"&amp;D$1&amp;"'!C2:C1000")=$C48)
        ),
        5,
        FALSE
    )="",
    "",
    VLOOKUP(
        $A48,
        _xlfn._xlws.FILTER(
            INDIRECT("'"&amp;D$1&amp;"'!A2:G1000"), (INDIRECT("'"&amp;D$1&amp;"'!B2:B1000")=$B48) * (INDIRECT("'"&amp;D$1&amp;"'!C2:C1000")=$C48)
        ),7,
        FALSE
    )
)</f>
        <v>Sim</v>
      </c>
      <c r="E48" s="79" t="str">
        <f t="array" ref="E48" ca="1">IF(
    VLOOKUP(
        $A48,
        _xlfn._xlws.FILTER(
            INDIRECT("'"&amp;E$1&amp;"'!A2:G1000"), (INDIRECT("'"&amp;E$1&amp;"'!B2:B1000")=$B48) * (INDIRECT("'"&amp;E$1&amp;"'!C2:C1000")=$C48)
        ),
        5,
        FALSE
    )="",
    "",
    VLOOKUP(
        $A48,
        _xlfn._xlws.FILTER(
            INDIRECT("'"&amp;E$1&amp;"'!A2:G1000"), (INDIRECT("'"&amp;E$1&amp;"'!B2:B1000")=$B48) * (INDIRECT("'"&amp;E$1&amp;"'!C2:C1000")=$C48)
        ),7,
        FALSE
    )
)</f>
        <v>Sim</v>
      </c>
      <c r="F48" s="79" t="str">
        <f t="array" aca="1" ref="F48" ca="1">IF(
    VLOOKUP(
        $A48,
        _xlfn._xlws.FILTER(
            INDIRECT("'"&amp;F$1&amp;"'!A2:G1000"), (INDIRECT("'"&amp;F$1&amp;"'!B2:B1000")=$B48) * (INDIRECT("'"&amp;F$1&amp;"'!C2:C1000")=$C48)
        ),
        5,
        FALSE
    )="",
    "",
    VLOOKUP(
        $A48,
        _xlfn._xlws.FILTER(
            INDIRECT("'"&amp;F$1&amp;"'!A2:G1000"), (INDIRECT("'"&amp;F$1&amp;"'!B2:B1000")=$B48) * (INDIRECT("'"&amp;F$1&amp;"'!C2:C1000")=$C48)
        ),7,
        FALSE
    )
)</f>
        <v>Sim</v>
      </c>
      <c r="G48" s="79" t="str">
        <f t="array" aca="1" ref="G48" ca="1">IF(
    VLOOKUP(
        $A48,
        _xlfn._xlws.FILTER(
            INDIRECT("'"&amp;G$1&amp;"'!A2:G1000"), (INDIRECT("'"&amp;G$1&amp;"'!B2:B1000")=$B48) * (INDIRECT("'"&amp;G$1&amp;"'!C2:C1000")=$C48)
        ),
        5,
        FALSE
    )="",
    "",
    VLOOKUP(
        $A48,
        _xlfn._xlws.FILTER(
            INDIRECT("'"&amp;G$1&amp;"'!A2:G1000"), (INDIRECT("'"&amp;G$1&amp;"'!B2:B1000")=$B48) * (INDIRECT("'"&amp;G$1&amp;"'!C2:C1000")=$C48)
        ),7,
        FALSE
    )
)</f>
        <v>Sim</v>
      </c>
      <c r="H48" s="79" t="str">
        <f t="array" aca="1" ref="H48" ca="1">IF(
    VLOOKUP(
        $A48,
        _xlfn._xlws.FILTER(
            INDIRECT("'"&amp;H$1&amp;"'!A2:G1000"), (INDIRECT("'"&amp;H$1&amp;"'!B2:B1000")=$B48) * (INDIRECT("'"&amp;H$1&amp;"'!C2:C1000")=$C48)
        ),
        5,
        FALSE
    )="",
    "",
    VLOOKUP(
        $A48,
        _xlfn._xlws.FILTER(
            INDIRECT("'"&amp;H$1&amp;"'!A2:G1000"), (INDIRECT("'"&amp;H$1&amp;"'!B2:B1000")=$B48) * (INDIRECT("'"&amp;H$1&amp;"'!C2:C1000")=$C48)
        ),7,
        FALSE
    )
)</f>
        <v>Sim</v>
      </c>
      <c r="I48" s="79" t="str">
        <f t="array" aca="1" ref="I48" ca="1">IF(
    VLOOKUP(
        $A48,
        _xlfn._xlws.FILTER(
            INDIRECT("'"&amp;I$1&amp;"'!A2:G1000"), (INDIRECT("'"&amp;I$1&amp;"'!B2:B1000")=$B48) * (INDIRECT("'"&amp;I$1&amp;"'!C2:C1000")=$C48)
        ),
        5,
        FALSE
    )="",
    "",
    VLOOKUP(
        $A48,
        _xlfn._xlws.FILTER(
            INDIRECT("'"&amp;I$1&amp;"'!A2:G1000"), (INDIRECT("'"&amp;I$1&amp;"'!B2:B1000")=$B48) * (INDIRECT("'"&amp;I$1&amp;"'!C2:C1000")=$C48)
        ),7,
        FALSE
    )
)</f>
        <v>Sim</v>
      </c>
      <c r="J48" s="79" t="str">
        <f t="array" aca="1" ref="J48" ca="1">IF(
    VLOOKUP(
        $A48,
        _xlfn._xlws.FILTER(
            INDIRECT("'"&amp;J$1&amp;"'!A2:G1000"), (INDIRECT("'"&amp;J$1&amp;"'!B2:B1000")=$B48) * (INDIRECT("'"&amp;J$1&amp;"'!C2:C1000")=$C48)
        ),
        5,
        FALSE
    )="",
    "",
    VLOOKUP(
        $A48,
        _xlfn._xlws.FILTER(
            INDIRECT("'"&amp;J$1&amp;"'!A2:G1000"), (INDIRECT("'"&amp;J$1&amp;"'!B2:B1000")=$B48) * (INDIRECT("'"&amp;J$1&amp;"'!C2:C1000")=$C48)
        ),7,
        FALSE
    )
)</f>
        <v>Sim</v>
      </c>
      <c r="K48" s="79" t="str">
        <f t="array" aca="1" ref="K48" ca="1">IF(
    VLOOKUP(
        $A48,
        _xlfn._xlws.FILTER(
            INDIRECT("'"&amp;K$1&amp;"'!A2:G1000"), (INDIRECT("'"&amp;K$1&amp;"'!B2:B1000")=$B48) * (INDIRECT("'"&amp;K$1&amp;"'!C2:C1000")=$C48)
        ),
        5,
        FALSE
    )="",
    "",
    VLOOKUP(
        $A48,
        _xlfn._xlws.FILTER(
            INDIRECT("'"&amp;K$1&amp;"'!A2:G1000"), (INDIRECT("'"&amp;K$1&amp;"'!B2:B1000")=$B48) * (INDIRECT("'"&amp;K$1&amp;"'!C2:C1000")=$C48)
        ),7,
        FALSE
    )
)</f>
        <v>Sim</v>
      </c>
      <c r="L48" s="79" t="str">
        <f t="array" aca="1" ref="L48" ca="1">IF(
    VLOOKUP(
        $A48,
        _xlfn._xlws.FILTER(
            INDIRECT("'"&amp;L$1&amp;"'!A2:G1000"), (INDIRECT("'"&amp;L$1&amp;"'!B2:B1000")=$B48) * (INDIRECT("'"&amp;L$1&amp;"'!C2:C1000")=$C48)
        ),
        5,
        FALSE
    )="",
    "",
    VLOOKUP(
        $A48,
        _xlfn._xlws.FILTER(
            INDIRECT("'"&amp;L$1&amp;"'!A2:G1000"), (INDIRECT("'"&amp;L$1&amp;"'!B2:B1000")=$B48) * (INDIRECT("'"&amp;L$1&amp;"'!C2:C1000")=$C48)
        ),7,
        FALSE
    )
)</f>
        <v>Sim</v>
      </c>
      <c r="M48" s="79" t="str">
        <f t="array" aca="1" ref="M48" ca="1">IF(
    VLOOKUP(
        $A48,
        _xlfn._xlws.FILTER(
            INDIRECT("'"&amp;M$1&amp;"'!A2:G1000"), (INDIRECT("'"&amp;M$1&amp;"'!B2:B1000")=$B48) * (INDIRECT("'"&amp;M$1&amp;"'!C2:C1000")=$C48)
        ),
        5,
        FALSE
    )="",
    "",
    VLOOKUP(
        $A48,
        _xlfn._xlws.FILTER(
            INDIRECT("'"&amp;M$1&amp;"'!A2:G1000"), (INDIRECT("'"&amp;M$1&amp;"'!B2:B1000")=$B48) * (INDIRECT("'"&amp;M$1&amp;"'!C2:C1000")=$C48)
        ),7,
        FALSE
    )
)</f>
        <v>Sim</v>
      </c>
      <c r="N48" s="79" t="str">
        <f t="array" aca="1" ref="N48" ca="1">IF(
    VLOOKUP(
        $A48,
        _xlfn._xlws.FILTER(
            INDIRECT("'"&amp;N$1&amp;"'!A2:G1000"), (INDIRECT("'"&amp;N$1&amp;"'!B2:B1000")=$B48) * (INDIRECT("'"&amp;N$1&amp;"'!C2:C1000")=$C48)
        ),
        5,
        FALSE
    )="",
    "",
    VLOOKUP(
        $A48,
        _xlfn._xlws.FILTER(
            INDIRECT("'"&amp;N$1&amp;"'!A2:G1000"), (INDIRECT("'"&amp;N$1&amp;"'!B2:B1000")=$B48) * (INDIRECT("'"&amp;N$1&amp;"'!C2:C1000")=$C48)
        ),7,
        FALSE
    )
)</f>
        <v>Sim</v>
      </c>
      <c r="O48" s="79" t="str">
        <f t="array" aca="1" ref="O48" ca="1">IF(
    VLOOKUP(
        $A48,
        _xlfn._xlws.FILTER(
            INDIRECT("'"&amp;O$1&amp;"'!A2:G1000"), (INDIRECT("'"&amp;O$1&amp;"'!B2:B1000")=$B48) * (INDIRECT("'"&amp;O$1&amp;"'!C2:C1000")=$C48)
        ),
        5,
        FALSE
    )="",
    "",
    VLOOKUP(
        $A48,
        _xlfn._xlws.FILTER(
            INDIRECT("'"&amp;O$1&amp;"'!A2:G1000"), (INDIRECT("'"&amp;O$1&amp;"'!B2:B1000")=$B48) * (INDIRECT("'"&amp;O$1&amp;"'!C2:C1000")=$C48)
        ),7,
        FALSE
    )
)</f>
        <v>Sim</v>
      </c>
      <c r="P48" s="79" t="str">
        <f t="array" aca="1" ref="P48" ca="1">IF(
    VLOOKUP(
        $A48,
        _xlfn._xlws.FILTER(
            INDIRECT("'"&amp;P$1&amp;"'!A2:G1000"), (INDIRECT("'"&amp;P$1&amp;"'!B2:B1000")=$B48) * (INDIRECT("'"&amp;P$1&amp;"'!C2:C1000")=$C48)
        ),
        5,
        FALSE
    )="",
    "",
    VLOOKUP(
        $A48,
        _xlfn._xlws.FILTER(
            INDIRECT("'"&amp;P$1&amp;"'!A2:G1000"), (INDIRECT("'"&amp;P$1&amp;"'!B2:B1000")=$B48) * (INDIRECT("'"&amp;P$1&amp;"'!C2:C1000")=$C48)
        ),7,
        FALSE
    )
)</f>
        <v>Não</v>
      </c>
      <c r="Q48" s="79" t="str">
        <f t="array" aca="1" ref="Q48" ca="1">IF(
    VLOOKUP(
        $A48,
        _xlfn._xlws.FILTER(
            INDIRECT("'"&amp;Q$1&amp;"'!A2:G1000"), (INDIRECT("'"&amp;Q$1&amp;"'!B2:B1000")=$B48) * (INDIRECT("'"&amp;Q$1&amp;"'!C2:C1000")=$C48)
        ),
        5,
        FALSE
    )="",
    "",
    VLOOKUP(
        $A48,
        _xlfn._xlws.FILTER(
            INDIRECT("'"&amp;Q$1&amp;"'!A2:G1000"), (INDIRECT("'"&amp;Q$1&amp;"'!B2:B1000")=$B48) * (INDIRECT("'"&amp;Q$1&amp;"'!C2:C1000")=$C48)
        ),7,
        FALSE
    )
)</f>
        <v/>
      </c>
    </row>
    <row r="49" spans="1:17" ht="15.75" customHeight="1" x14ac:dyDescent="0.25">
      <c r="A49" s="83" t="s">
        <v>40</v>
      </c>
      <c r="B49" s="79" t="s">
        <v>80</v>
      </c>
      <c r="C49" s="79">
        <v>9</v>
      </c>
      <c r="D49" s="79" t="str">
        <f t="array" aca="1" ref="D49" ca="1">IF(
    VLOOKUP(
        $A49,
        _xlfn._xlws.FILTER(
            INDIRECT("'"&amp;D$1&amp;"'!A2:G1000"), (INDIRECT("'"&amp;D$1&amp;"'!B2:B1000")=$B49) * (INDIRECT("'"&amp;D$1&amp;"'!C2:C1000")=$C49)
        ),
        5,
        FALSE
    )="",
    "",
    VLOOKUP(
        $A49,
        _xlfn._xlws.FILTER(
            INDIRECT("'"&amp;D$1&amp;"'!A2:G1000"), (INDIRECT("'"&amp;D$1&amp;"'!B2:B1000")=$B49) * (INDIRECT("'"&amp;D$1&amp;"'!C2:C1000")=$C49)
        ),7,
        FALSE
    )
)</f>
        <v>Sim</v>
      </c>
      <c r="E49" s="79" t="str">
        <f t="array" aca="1" ref="E49" ca="1">IF(
    VLOOKUP(
        $A49,
        _xlfn._xlws.FILTER(
            INDIRECT("'"&amp;E$1&amp;"'!A2:G1000"), (INDIRECT("'"&amp;E$1&amp;"'!B2:B1000")=$B49) * (INDIRECT("'"&amp;E$1&amp;"'!C2:C1000")=$C49)
        ),
        5,
        FALSE
    )="",
    "",
    VLOOKUP(
        $A49,
        _xlfn._xlws.FILTER(
            INDIRECT("'"&amp;E$1&amp;"'!A2:G1000"), (INDIRECT("'"&amp;E$1&amp;"'!B2:B1000")=$B49) * (INDIRECT("'"&amp;E$1&amp;"'!C2:C1000")=$C49)
        ),7,
        FALSE
    )
)</f>
        <v>Sim</v>
      </c>
      <c r="F49" s="79" t="str">
        <f t="array" ref="F49" ca="1">IF(
    VLOOKUP(
        $A49,
        _xlfn._xlws.FILTER(
            INDIRECT("'"&amp;F$1&amp;"'!A2:G1000"), (INDIRECT("'"&amp;F$1&amp;"'!B2:B1000")=$B49) * (INDIRECT("'"&amp;F$1&amp;"'!C2:C1000")=$C49)
        ),
        5,
        FALSE
    )="",
    "",
    VLOOKUP(
        $A49,
        _xlfn._xlws.FILTER(
            INDIRECT("'"&amp;F$1&amp;"'!A2:G1000"), (INDIRECT("'"&amp;F$1&amp;"'!B2:B1000")=$B49) * (INDIRECT("'"&amp;F$1&amp;"'!C2:C1000")=$C49)
        ),7,
        FALSE
    )
)</f>
        <v>Sim</v>
      </c>
      <c r="G49" s="79" t="str">
        <f t="array" aca="1" ref="G49" ca="1">IF(
    VLOOKUP(
        $A49,
        _xlfn._xlws.FILTER(
            INDIRECT("'"&amp;G$1&amp;"'!A2:G1000"), (INDIRECT("'"&amp;G$1&amp;"'!B2:B1000")=$B49) * (INDIRECT("'"&amp;G$1&amp;"'!C2:C1000")=$C49)
        ),
        5,
        FALSE
    )="",
    "",
    VLOOKUP(
        $A49,
        _xlfn._xlws.FILTER(
            INDIRECT("'"&amp;G$1&amp;"'!A2:G1000"), (INDIRECT("'"&amp;G$1&amp;"'!B2:B1000")=$B49) * (INDIRECT("'"&amp;G$1&amp;"'!C2:C1000")=$C49)
        ),7,
        FALSE
    )
)</f>
        <v>Sim</v>
      </c>
      <c r="H49" s="79" t="str">
        <f t="array" aca="1" ref="H49" ca="1">IF(
    VLOOKUP(
        $A49,
        _xlfn._xlws.FILTER(
            INDIRECT("'"&amp;H$1&amp;"'!A2:G1000"), (INDIRECT("'"&amp;H$1&amp;"'!B2:B1000")=$B49) * (INDIRECT("'"&amp;H$1&amp;"'!C2:C1000")=$C49)
        ),
        5,
        FALSE
    )="",
    "",
    VLOOKUP(
        $A49,
        _xlfn._xlws.FILTER(
            INDIRECT("'"&amp;H$1&amp;"'!A2:G1000"), (INDIRECT("'"&amp;H$1&amp;"'!B2:B1000")=$B49) * (INDIRECT("'"&amp;H$1&amp;"'!C2:C1000")=$C49)
        ),7,
        FALSE
    )
)</f>
        <v>Sim</v>
      </c>
      <c r="I49" s="79" t="str">
        <f t="array" aca="1" ref="I49" ca="1">IF(
    VLOOKUP(
        $A49,
        _xlfn._xlws.FILTER(
            INDIRECT("'"&amp;I$1&amp;"'!A2:G1000"), (INDIRECT("'"&amp;I$1&amp;"'!B2:B1000")=$B49) * (INDIRECT("'"&amp;I$1&amp;"'!C2:C1000")=$C49)
        ),
        5,
        FALSE
    )="",
    "",
    VLOOKUP(
        $A49,
        _xlfn._xlws.FILTER(
            INDIRECT("'"&amp;I$1&amp;"'!A2:G1000"), (INDIRECT("'"&amp;I$1&amp;"'!B2:B1000")=$B49) * (INDIRECT("'"&amp;I$1&amp;"'!C2:C1000")=$C49)
        ),7,
        FALSE
    )
)</f>
        <v>Sim</v>
      </c>
      <c r="J49" s="79" t="str">
        <f t="array" aca="1" ref="J49" ca="1">IF(
    VLOOKUP(
        $A49,
        _xlfn._xlws.FILTER(
            INDIRECT("'"&amp;J$1&amp;"'!A2:G1000"), (INDIRECT("'"&amp;J$1&amp;"'!B2:B1000")=$B49) * (INDIRECT("'"&amp;J$1&amp;"'!C2:C1000")=$C49)
        ),
        5,
        FALSE
    )="",
    "",
    VLOOKUP(
        $A49,
        _xlfn._xlws.FILTER(
            INDIRECT("'"&amp;J$1&amp;"'!A2:G1000"), (INDIRECT("'"&amp;J$1&amp;"'!B2:B1000")=$B49) * (INDIRECT("'"&amp;J$1&amp;"'!C2:C1000")=$C49)
        ),7,
        FALSE
    )
)</f>
        <v>Sim</v>
      </c>
      <c r="K49" s="79" t="str">
        <f t="array" aca="1" ref="K49" ca="1">IF(
    VLOOKUP(
        $A49,
        _xlfn._xlws.FILTER(
            INDIRECT("'"&amp;K$1&amp;"'!A2:G1000"), (INDIRECT("'"&amp;K$1&amp;"'!B2:B1000")=$B49) * (INDIRECT("'"&amp;K$1&amp;"'!C2:C1000")=$C49)
        ),
        5,
        FALSE
    )="",
    "",
    VLOOKUP(
        $A49,
        _xlfn._xlws.FILTER(
            INDIRECT("'"&amp;K$1&amp;"'!A2:G1000"), (INDIRECT("'"&amp;K$1&amp;"'!B2:B1000")=$B49) * (INDIRECT("'"&amp;K$1&amp;"'!C2:C1000")=$C49)
        ),7,
        FALSE
    )
)</f>
        <v>Sim</v>
      </c>
      <c r="L49" s="79" t="str">
        <f t="array" aca="1" ref="L49" ca="1">IF(
    VLOOKUP(
        $A49,
        _xlfn._xlws.FILTER(
            INDIRECT("'"&amp;L$1&amp;"'!A2:G1000"), (INDIRECT("'"&amp;L$1&amp;"'!B2:B1000")=$B49) * (INDIRECT("'"&amp;L$1&amp;"'!C2:C1000")=$C49)
        ),
        5,
        FALSE
    )="",
    "",
    VLOOKUP(
        $A49,
        _xlfn._xlws.FILTER(
            INDIRECT("'"&amp;L$1&amp;"'!A2:G1000"), (INDIRECT("'"&amp;L$1&amp;"'!B2:B1000")=$B49) * (INDIRECT("'"&amp;L$1&amp;"'!C2:C1000")=$C49)
        ),7,
        FALSE
    )
)</f>
        <v>Sim</v>
      </c>
      <c r="M49" s="79" t="str">
        <f t="array" aca="1" ref="M49" ca="1">IF(
    VLOOKUP(
        $A49,
        _xlfn._xlws.FILTER(
            INDIRECT("'"&amp;M$1&amp;"'!A2:G1000"), (INDIRECT("'"&amp;M$1&amp;"'!B2:B1000")=$B49) * (INDIRECT("'"&amp;M$1&amp;"'!C2:C1000")=$C49)
        ),
        5,
        FALSE
    )="",
    "",
    VLOOKUP(
        $A49,
        _xlfn._xlws.FILTER(
            INDIRECT("'"&amp;M$1&amp;"'!A2:G1000"), (INDIRECT("'"&amp;M$1&amp;"'!B2:B1000")=$B49) * (INDIRECT("'"&amp;M$1&amp;"'!C2:C1000")=$C49)
        ),7,
        FALSE
    )
)</f>
        <v>Sim</v>
      </c>
      <c r="N49" s="79" t="str">
        <f t="array" aca="1" ref="N49" ca="1">IF(
    VLOOKUP(
        $A49,
        _xlfn._xlws.FILTER(
            INDIRECT("'"&amp;N$1&amp;"'!A2:G1000"), (INDIRECT("'"&amp;N$1&amp;"'!B2:B1000")=$B49) * (INDIRECT("'"&amp;N$1&amp;"'!C2:C1000")=$C49)
        ),
        5,
        FALSE
    )="",
    "",
    VLOOKUP(
        $A49,
        _xlfn._xlws.FILTER(
            INDIRECT("'"&amp;N$1&amp;"'!A2:G1000"), (INDIRECT("'"&amp;N$1&amp;"'!B2:B1000")=$B49) * (INDIRECT("'"&amp;N$1&amp;"'!C2:C1000")=$C49)
        ),7,
        FALSE
    )
)</f>
        <v>Sim</v>
      </c>
      <c r="O49" s="79" t="str">
        <f t="array" aca="1" ref="O49" ca="1">IF(
    VLOOKUP(
        $A49,
        _xlfn._xlws.FILTER(
            INDIRECT("'"&amp;O$1&amp;"'!A2:G1000"), (INDIRECT("'"&amp;O$1&amp;"'!B2:B1000")=$B49) * (INDIRECT("'"&amp;O$1&amp;"'!C2:C1000")=$C49)
        ),
        5,
        FALSE
    )="",
    "",
    VLOOKUP(
        $A49,
        _xlfn._xlws.FILTER(
            INDIRECT("'"&amp;O$1&amp;"'!A2:G1000"), (INDIRECT("'"&amp;O$1&amp;"'!B2:B1000")=$B49) * (INDIRECT("'"&amp;O$1&amp;"'!C2:C1000")=$C49)
        ),7,
        FALSE
    )
)</f>
        <v>Sim</v>
      </c>
      <c r="P49" s="79" t="str">
        <f t="array" aca="1" ref="P49" ca="1">IF(
    VLOOKUP(
        $A49,
        _xlfn._xlws.FILTER(
            INDIRECT("'"&amp;P$1&amp;"'!A2:G1000"), (INDIRECT("'"&amp;P$1&amp;"'!B2:B1000")=$B49) * (INDIRECT("'"&amp;P$1&amp;"'!C2:C1000")=$C49)
        ),
        5,
        FALSE
    )="",
    "",
    VLOOKUP(
        $A49,
        _xlfn._xlws.FILTER(
            INDIRECT("'"&amp;P$1&amp;"'!A2:G1000"), (INDIRECT("'"&amp;P$1&amp;"'!B2:B1000")=$B49) * (INDIRECT("'"&amp;P$1&amp;"'!C2:C1000")=$C49)
        ),7,
        FALSE
    )
)</f>
        <v>Sim</v>
      </c>
      <c r="Q49" s="79" t="str">
        <f t="array" aca="1" ref="Q49" ca="1">IF(
    VLOOKUP(
        $A49,
        _xlfn._xlws.FILTER(
            INDIRECT("'"&amp;Q$1&amp;"'!A2:G1000"), (INDIRECT("'"&amp;Q$1&amp;"'!B2:B1000")=$B49) * (INDIRECT("'"&amp;Q$1&amp;"'!C2:C1000")=$C49)
        ),
        5,
        FALSE
    )="",
    "",
    VLOOKUP(
        $A49,
        _xlfn._xlws.FILTER(
            INDIRECT("'"&amp;Q$1&amp;"'!A2:G1000"), (INDIRECT("'"&amp;Q$1&amp;"'!B2:B1000")=$B49) * (INDIRECT("'"&amp;Q$1&amp;"'!C2:C1000")=$C49)
        ),7,
        FALSE
    )
)</f>
        <v/>
      </c>
    </row>
    <row r="50" spans="1:17" x14ac:dyDescent="0.25">
      <c r="A50" s="83" t="s">
        <v>40</v>
      </c>
      <c r="B50" s="79" t="s">
        <v>111</v>
      </c>
      <c r="C50" s="79">
        <v>1</v>
      </c>
      <c r="D50" s="79" t="str">
        <f t="array" aca="1" ref="D50" ca="1">IF(
    VLOOKUP(
        $A50,
        _xlfn._xlws.FILTER(
            INDIRECT("'"&amp;D$1&amp;"'!A2:G1000"), (INDIRECT("'"&amp;D$1&amp;"'!B2:B1000")=$B50) * (INDIRECT("'"&amp;D$1&amp;"'!C2:C1000")=$C50)
        ),
        5,
        FALSE
    )="",
    "",
    VLOOKUP(
        $A50,
        _xlfn._xlws.FILTER(
            INDIRECT("'"&amp;D$1&amp;"'!A2:G1000"), (INDIRECT("'"&amp;D$1&amp;"'!B2:B1000")=$B50) * (INDIRECT("'"&amp;D$1&amp;"'!C2:C1000")=$C50)
        ),7,
        FALSE
    )
)</f>
        <v>Sim</v>
      </c>
      <c r="E50" s="79" t="str">
        <f t="array" aca="1" ref="E50" ca="1">IF(
    VLOOKUP(
        $A50,
        _xlfn._xlws.FILTER(
            INDIRECT("'"&amp;E$1&amp;"'!A2:G1000"), (INDIRECT("'"&amp;E$1&amp;"'!B2:B1000")=$B50) * (INDIRECT("'"&amp;E$1&amp;"'!C2:C1000")=$C50)
        ),
        5,
        FALSE
    )="",
    "",
    VLOOKUP(
        $A50,
        _xlfn._xlws.FILTER(
            INDIRECT("'"&amp;E$1&amp;"'!A2:G1000"), (INDIRECT("'"&amp;E$1&amp;"'!B2:B1000")=$B50) * (INDIRECT("'"&amp;E$1&amp;"'!C2:C1000")=$C50)
        ),7,
        FALSE
    )
)</f>
        <v>Sim</v>
      </c>
      <c r="F50" s="79" t="str">
        <f t="array" aca="1" ref="F50" ca="1">IF(
    VLOOKUP(
        $A50,
        _xlfn._xlws.FILTER(
            INDIRECT("'"&amp;F$1&amp;"'!A2:G1000"), (INDIRECT("'"&amp;F$1&amp;"'!B2:B1000")=$B50) * (INDIRECT("'"&amp;F$1&amp;"'!C2:C1000")=$C50)
        ),
        5,
        FALSE
    )="",
    "",
    VLOOKUP(
        $A50,
        _xlfn._xlws.FILTER(
            INDIRECT("'"&amp;F$1&amp;"'!A2:G1000"), (INDIRECT("'"&amp;F$1&amp;"'!B2:B1000")=$B50) * (INDIRECT("'"&amp;F$1&amp;"'!C2:C1000")=$C50)
        ),7,
        FALSE
    )
)</f>
        <v>Sim</v>
      </c>
      <c r="G50" s="79" t="str">
        <f t="array" aca="1" ref="G50" ca="1">IF(
    VLOOKUP(
        $A50,
        _xlfn._xlws.FILTER(
            INDIRECT("'"&amp;G$1&amp;"'!A2:G1000"), (INDIRECT("'"&amp;G$1&amp;"'!B2:B1000")=$B50) * (INDIRECT("'"&amp;G$1&amp;"'!C2:C1000")=$C50)
        ),
        5,
        FALSE
    )="",
    "",
    VLOOKUP(
        $A50,
        _xlfn._xlws.FILTER(
            INDIRECT("'"&amp;G$1&amp;"'!A2:G1000"), (INDIRECT("'"&amp;G$1&amp;"'!B2:B1000")=$B50) * (INDIRECT("'"&amp;G$1&amp;"'!C2:C1000")=$C50)
        ),7,
        FALSE
    )
)</f>
        <v>Sim</v>
      </c>
      <c r="H50" s="79" t="str">
        <f t="array" aca="1" ref="H50" ca="1">IF(
    VLOOKUP(
        $A50,
        _xlfn._xlws.FILTER(
            INDIRECT("'"&amp;H$1&amp;"'!A2:G1000"), (INDIRECT("'"&amp;H$1&amp;"'!B2:B1000")=$B50) * (INDIRECT("'"&amp;H$1&amp;"'!C2:C1000")=$C50)
        ),
        5,
        FALSE
    )="",
    "",
    VLOOKUP(
        $A50,
        _xlfn._xlws.FILTER(
            INDIRECT("'"&amp;H$1&amp;"'!A2:G1000"), (INDIRECT("'"&amp;H$1&amp;"'!B2:B1000")=$B50) * (INDIRECT("'"&amp;H$1&amp;"'!C2:C1000")=$C50)
        ),7,
        FALSE
    )
)</f>
        <v>Sim</v>
      </c>
      <c r="I50" s="79" t="str">
        <f t="array" aca="1" ref="I50" ca="1">IF(
    VLOOKUP(
        $A50,
        _xlfn._xlws.FILTER(
            INDIRECT("'"&amp;I$1&amp;"'!A2:G1000"), (INDIRECT("'"&amp;I$1&amp;"'!B2:B1000")=$B50) * (INDIRECT("'"&amp;I$1&amp;"'!C2:C1000")=$C50)
        ),
        5,
        FALSE
    )="",
    "",
    VLOOKUP(
        $A50,
        _xlfn._xlws.FILTER(
            INDIRECT("'"&amp;I$1&amp;"'!A2:G1000"), (INDIRECT("'"&amp;I$1&amp;"'!B2:B1000")=$B50) * (INDIRECT("'"&amp;I$1&amp;"'!C2:C1000")=$C50)
        ),7,
        FALSE
    )
)</f>
        <v>Sim</v>
      </c>
      <c r="J50" s="79" t="str">
        <f t="array" ref="J50" ca="1">IF(
    VLOOKUP(
        $A50,
        _xlfn._xlws.FILTER(
            INDIRECT("'"&amp;J$1&amp;"'!A2:G1000"), (INDIRECT("'"&amp;J$1&amp;"'!B2:B1000")=$B50) * (INDIRECT("'"&amp;J$1&amp;"'!C2:C1000")=$C50)
        ),
        5,
        FALSE
    )="",
    "",
    VLOOKUP(
        $A50,
        _xlfn._xlws.FILTER(
            INDIRECT("'"&amp;J$1&amp;"'!A2:G1000"), (INDIRECT("'"&amp;J$1&amp;"'!B2:B1000")=$B50) * (INDIRECT("'"&amp;J$1&amp;"'!C2:C1000")=$C50)
        ),7,
        FALSE
    )
)</f>
        <v>Sim</v>
      </c>
      <c r="K50" s="79" t="str">
        <f t="array" aca="1" ref="K50" ca="1">IF(
    VLOOKUP(
        $A50,
        _xlfn._xlws.FILTER(
            INDIRECT("'"&amp;K$1&amp;"'!A2:G1000"), (INDIRECT("'"&amp;K$1&amp;"'!B2:B1000")=$B50) * (INDIRECT("'"&amp;K$1&amp;"'!C2:C1000")=$C50)
        ),
        5,
        FALSE
    )="",
    "",
    VLOOKUP(
        $A50,
        _xlfn._xlws.FILTER(
            INDIRECT("'"&amp;K$1&amp;"'!A2:G1000"), (INDIRECT("'"&amp;K$1&amp;"'!B2:B1000")=$B50) * (INDIRECT("'"&amp;K$1&amp;"'!C2:C1000")=$C50)
        ),7,
        FALSE
    )
)</f>
        <v>Sim</v>
      </c>
      <c r="L50" s="79" t="str">
        <f t="array" aca="1" ref="L50" ca="1">IF(
    VLOOKUP(
        $A50,
        _xlfn._xlws.FILTER(
            INDIRECT("'"&amp;L$1&amp;"'!A2:G1000"), (INDIRECT("'"&amp;L$1&amp;"'!B2:B1000")=$B50) * (INDIRECT("'"&amp;L$1&amp;"'!C2:C1000")=$C50)
        ),
        5,
        FALSE
    )="",
    "",
    VLOOKUP(
        $A50,
        _xlfn._xlws.FILTER(
            INDIRECT("'"&amp;L$1&amp;"'!A2:G1000"), (INDIRECT("'"&amp;L$1&amp;"'!B2:B1000")=$B50) * (INDIRECT("'"&amp;L$1&amp;"'!C2:C1000")=$C50)
        ),7,
        FALSE
    )
)</f>
        <v>Sim</v>
      </c>
      <c r="M50" s="79" t="str">
        <f t="array" aca="1" ref="M50" ca="1">IF(
    VLOOKUP(
        $A50,
        _xlfn._xlws.FILTER(
            INDIRECT("'"&amp;M$1&amp;"'!A2:G1000"), (INDIRECT("'"&amp;M$1&amp;"'!B2:B1000")=$B50) * (INDIRECT("'"&amp;M$1&amp;"'!C2:C1000")=$C50)
        ),
        5,
        FALSE
    )="",
    "",
    VLOOKUP(
        $A50,
        _xlfn._xlws.FILTER(
            INDIRECT("'"&amp;M$1&amp;"'!A2:G1000"), (INDIRECT("'"&amp;M$1&amp;"'!B2:B1000")=$B50) * (INDIRECT("'"&amp;M$1&amp;"'!C2:C1000")=$C50)
        ),7,
        FALSE
    )
)</f>
        <v>Sim</v>
      </c>
      <c r="N50" s="79" t="str">
        <f t="array" ref="N50" ca="1">IF(
    VLOOKUP(
        $A50,
        _xlfn._xlws.FILTER(
            INDIRECT("'"&amp;N$1&amp;"'!A2:G1000"), (INDIRECT("'"&amp;N$1&amp;"'!B2:B1000")=$B50) * (INDIRECT("'"&amp;N$1&amp;"'!C2:C1000")=$C50)
        ),
        5,
        FALSE
    )="",
    "",
    VLOOKUP(
        $A50,
        _xlfn._xlws.FILTER(
            INDIRECT("'"&amp;N$1&amp;"'!A2:G1000"), (INDIRECT("'"&amp;N$1&amp;"'!B2:B1000")=$B50) * (INDIRECT("'"&amp;N$1&amp;"'!C2:C1000")=$C50)
        ),7,
        FALSE
    )
)</f>
        <v>Sim</v>
      </c>
      <c r="O50" s="79" t="str">
        <f t="array" aca="1" ref="O50" ca="1">IF(
    VLOOKUP(
        $A50,
        _xlfn._xlws.FILTER(
            INDIRECT("'"&amp;O$1&amp;"'!A2:G1000"), (INDIRECT("'"&amp;O$1&amp;"'!B2:B1000")=$B50) * (INDIRECT("'"&amp;O$1&amp;"'!C2:C1000")=$C50)
        ),
        5,
        FALSE
    )="",
    "",
    VLOOKUP(
        $A50,
        _xlfn._xlws.FILTER(
            INDIRECT("'"&amp;O$1&amp;"'!A2:G1000"), (INDIRECT("'"&amp;O$1&amp;"'!B2:B1000")=$B50) * (INDIRECT("'"&amp;O$1&amp;"'!C2:C1000")=$C50)
        ),7,
        FALSE
    )
)</f>
        <v>Sim</v>
      </c>
      <c r="P50" s="79" t="str">
        <f t="array" aca="1" ref="P50" ca="1">IF(
    VLOOKUP(
        $A50,
        _xlfn._xlws.FILTER(
            INDIRECT("'"&amp;P$1&amp;"'!A2:G1000"), (INDIRECT("'"&amp;P$1&amp;"'!B2:B1000")=$B50) * (INDIRECT("'"&amp;P$1&amp;"'!C2:C1000")=$C50)
        ),
        5,
        FALSE
    )="",
    "",
    VLOOKUP(
        $A50,
        _xlfn._xlws.FILTER(
            INDIRECT("'"&amp;P$1&amp;"'!A2:G1000"), (INDIRECT("'"&amp;P$1&amp;"'!B2:B1000")=$B50) * (INDIRECT("'"&amp;P$1&amp;"'!C2:C1000")=$C50)
        ),7,
        FALSE
    )
)</f>
        <v>Sim</v>
      </c>
      <c r="Q50" s="79" t="str">
        <f t="array" aca="1" ref="Q50" ca="1">IF(
    VLOOKUP(
        $A50,
        _xlfn._xlws.FILTER(
            INDIRECT("'"&amp;Q$1&amp;"'!A2:G1000"), (INDIRECT("'"&amp;Q$1&amp;"'!B2:B1000")=$B50) * (INDIRECT("'"&amp;Q$1&amp;"'!C2:C1000")=$C50)
        ),
        5,
        FALSE
    )="",
    "",
    VLOOKUP(
        $A50,
        _xlfn._xlws.FILTER(
            INDIRECT("'"&amp;Q$1&amp;"'!A2:G1000"), (INDIRECT("'"&amp;Q$1&amp;"'!B2:B1000")=$B50) * (INDIRECT("'"&amp;Q$1&amp;"'!C2:C1000")=$C50)
        ),7,
        FALSE
    )
)</f>
        <v/>
      </c>
    </row>
    <row r="51" spans="1:17" x14ac:dyDescent="0.25">
      <c r="A51" s="83" t="s">
        <v>40</v>
      </c>
      <c r="B51" s="79" t="s">
        <v>112</v>
      </c>
      <c r="C51" s="79">
        <v>1</v>
      </c>
      <c r="D51" s="79" t="str">
        <f t="array" aca="1" ref="D51" ca="1">IF(
    VLOOKUP(
        $A51,
        _xlfn._xlws.FILTER(
            INDIRECT("'"&amp;D$1&amp;"'!A2:G1000"), (INDIRECT("'"&amp;D$1&amp;"'!B2:B1000")=$B51) * (INDIRECT("'"&amp;D$1&amp;"'!C2:C1000")=$C51)
        ),
        5,
        FALSE
    )="",
    "",
    VLOOKUP(
        $A51,
        _xlfn._xlws.FILTER(
            INDIRECT("'"&amp;D$1&amp;"'!A2:G1000"), (INDIRECT("'"&amp;D$1&amp;"'!B2:B1000")=$B51) * (INDIRECT("'"&amp;D$1&amp;"'!C2:C1000")=$C51)
        ),7,
        FALSE
    )
)</f>
        <v>Sim</v>
      </c>
      <c r="E51" s="79" t="str">
        <f t="array" aca="1" ref="E51" ca="1">IF(
    VLOOKUP(
        $A51,
        _xlfn._xlws.FILTER(
            INDIRECT("'"&amp;E$1&amp;"'!A2:G1000"), (INDIRECT("'"&amp;E$1&amp;"'!B2:B1000")=$B51) * (INDIRECT("'"&amp;E$1&amp;"'!C2:C1000")=$C51)
        ),
        5,
        FALSE
    )="",
    "",
    VLOOKUP(
        $A51,
        _xlfn._xlws.FILTER(
            INDIRECT("'"&amp;E$1&amp;"'!A2:G1000"), (INDIRECT("'"&amp;E$1&amp;"'!B2:B1000")=$B51) * (INDIRECT("'"&amp;E$1&amp;"'!C2:C1000")=$C51)
        ),7,
        FALSE
    )
)</f>
        <v>Sim</v>
      </c>
      <c r="F51" s="79" t="str">
        <f t="array" aca="1" ref="F51" ca="1">IF(
    VLOOKUP(
        $A51,
        _xlfn._xlws.FILTER(
            INDIRECT("'"&amp;F$1&amp;"'!A2:G1000"), (INDIRECT("'"&amp;F$1&amp;"'!B2:B1000")=$B51) * (INDIRECT("'"&amp;F$1&amp;"'!C2:C1000")=$C51)
        ),
        5,
        FALSE
    )="",
    "",
    VLOOKUP(
        $A51,
        _xlfn._xlws.FILTER(
            INDIRECT("'"&amp;F$1&amp;"'!A2:G1000"), (INDIRECT("'"&amp;F$1&amp;"'!B2:B1000")=$B51) * (INDIRECT("'"&amp;F$1&amp;"'!C2:C1000")=$C51)
        ),7,
        FALSE
    )
)</f>
        <v>Sim</v>
      </c>
      <c r="G51" s="79" t="str">
        <f t="array" aca="1" ref="G51" ca="1">IF(
    VLOOKUP(
        $A51,
        _xlfn._xlws.FILTER(
            INDIRECT("'"&amp;G$1&amp;"'!A2:G1000"), (INDIRECT("'"&amp;G$1&amp;"'!B2:B1000")=$B51) * (INDIRECT("'"&amp;G$1&amp;"'!C2:C1000")=$C51)
        ),
        5,
        FALSE
    )="",
    "",
    VLOOKUP(
        $A51,
        _xlfn._xlws.FILTER(
            INDIRECT("'"&amp;G$1&amp;"'!A2:G1000"), (INDIRECT("'"&amp;G$1&amp;"'!B2:B1000")=$B51) * (INDIRECT("'"&amp;G$1&amp;"'!C2:C1000")=$C51)
        ),7,
        FALSE
    )
)</f>
        <v>Sim</v>
      </c>
      <c r="H51" s="79" t="str">
        <f t="array" aca="1" ref="H51" ca="1">IF(
    VLOOKUP(
        $A51,
        _xlfn._xlws.FILTER(
            INDIRECT("'"&amp;H$1&amp;"'!A2:G1000"), (INDIRECT("'"&amp;H$1&amp;"'!B2:B1000")=$B51) * (INDIRECT("'"&amp;H$1&amp;"'!C2:C1000")=$C51)
        ),
        5,
        FALSE
    )="",
    "",
    VLOOKUP(
        $A51,
        _xlfn._xlws.FILTER(
            INDIRECT("'"&amp;H$1&amp;"'!A2:G1000"), (INDIRECT("'"&amp;H$1&amp;"'!B2:B1000")=$B51) * (INDIRECT("'"&amp;H$1&amp;"'!C2:C1000")=$C51)
        ),7,
        FALSE
    )
)</f>
        <v>Sim</v>
      </c>
      <c r="I51" s="79" t="str">
        <f t="array" aca="1" ref="I51" ca="1">IF(
    VLOOKUP(
        $A51,
        _xlfn._xlws.FILTER(
            INDIRECT("'"&amp;I$1&amp;"'!A2:G1000"), (INDIRECT("'"&amp;I$1&amp;"'!B2:B1000")=$B51) * (INDIRECT("'"&amp;I$1&amp;"'!C2:C1000")=$C51)
        ),
        5,
        FALSE
    )="",
    "",
    VLOOKUP(
        $A51,
        _xlfn._xlws.FILTER(
            INDIRECT("'"&amp;I$1&amp;"'!A2:G1000"), (INDIRECT("'"&amp;I$1&amp;"'!B2:B1000")=$B51) * (INDIRECT("'"&amp;I$1&amp;"'!C2:C1000")=$C51)
        ),7,
        FALSE
    )
)</f>
        <v>Sim</v>
      </c>
      <c r="J51" s="79" t="str">
        <f t="array" aca="1" ref="J51" ca="1">IF(
    VLOOKUP(
        $A51,
        _xlfn._xlws.FILTER(
            INDIRECT("'"&amp;J$1&amp;"'!A2:G1000"), (INDIRECT("'"&amp;J$1&amp;"'!B2:B1000")=$B51) * (INDIRECT("'"&amp;J$1&amp;"'!C2:C1000")=$C51)
        ),
        5,
        FALSE
    )="",
    "",
    VLOOKUP(
        $A51,
        _xlfn._xlws.FILTER(
            INDIRECT("'"&amp;J$1&amp;"'!A2:G1000"), (INDIRECT("'"&amp;J$1&amp;"'!B2:B1000")=$B51) * (INDIRECT("'"&amp;J$1&amp;"'!C2:C1000")=$C51)
        ),7,
        FALSE
    )
)</f>
        <v>Sim</v>
      </c>
      <c r="K51" s="79" t="str">
        <f t="array" aca="1" ref="K51" ca="1">IF(
    VLOOKUP(
        $A51,
        _xlfn._xlws.FILTER(
            INDIRECT("'"&amp;K$1&amp;"'!A2:G1000"), (INDIRECT("'"&amp;K$1&amp;"'!B2:B1000")=$B51) * (INDIRECT("'"&amp;K$1&amp;"'!C2:C1000")=$C51)
        ),
        5,
        FALSE
    )="",
    "",
    VLOOKUP(
        $A51,
        _xlfn._xlws.FILTER(
            INDIRECT("'"&amp;K$1&amp;"'!A2:G1000"), (INDIRECT("'"&amp;K$1&amp;"'!B2:B1000")=$B51) * (INDIRECT("'"&amp;K$1&amp;"'!C2:C1000")=$C51)
        ),7,
        FALSE
    )
)</f>
        <v>Sim</v>
      </c>
      <c r="L51" s="79" t="str">
        <f t="array" aca="1" ref="L51" ca="1">IF(
    VLOOKUP(
        $A51,
        _xlfn._xlws.FILTER(
            INDIRECT("'"&amp;L$1&amp;"'!A2:G1000"), (INDIRECT("'"&amp;L$1&amp;"'!B2:B1000")=$B51) * (INDIRECT("'"&amp;L$1&amp;"'!C2:C1000")=$C51)
        ),
        5,
        FALSE
    )="",
    "",
    VLOOKUP(
        $A51,
        _xlfn._xlws.FILTER(
            INDIRECT("'"&amp;L$1&amp;"'!A2:G1000"), (INDIRECT("'"&amp;L$1&amp;"'!B2:B1000")=$B51) * (INDIRECT("'"&amp;L$1&amp;"'!C2:C1000")=$C51)
        ),7,
        FALSE
    )
)</f>
        <v>Sim</v>
      </c>
      <c r="M51" s="79" t="str">
        <f t="array" aca="1" ref="M51" ca="1">IF(
    VLOOKUP(
        $A51,
        _xlfn._xlws.FILTER(
            INDIRECT("'"&amp;M$1&amp;"'!A2:G1000"), (INDIRECT("'"&amp;M$1&amp;"'!B2:B1000")=$B51) * (INDIRECT("'"&amp;M$1&amp;"'!C2:C1000")=$C51)
        ),
        5,
        FALSE
    )="",
    "",
    VLOOKUP(
        $A51,
        _xlfn._xlws.FILTER(
            INDIRECT("'"&amp;M$1&amp;"'!A2:G1000"), (INDIRECT("'"&amp;M$1&amp;"'!B2:B1000")=$B51) * (INDIRECT("'"&amp;M$1&amp;"'!C2:C1000")=$C51)
        ),7,
        FALSE
    )
)</f>
        <v>Sim</v>
      </c>
      <c r="N51" s="79" t="str">
        <f t="array" aca="1" ref="N51" ca="1">IF(
    VLOOKUP(
        $A51,
        _xlfn._xlws.FILTER(
            INDIRECT("'"&amp;N$1&amp;"'!A2:G1000"), (INDIRECT("'"&amp;N$1&amp;"'!B2:B1000")=$B51) * (INDIRECT("'"&amp;N$1&amp;"'!C2:C1000")=$C51)
        ),
        5,
        FALSE
    )="",
    "",
    VLOOKUP(
        $A51,
        _xlfn._xlws.FILTER(
            INDIRECT("'"&amp;N$1&amp;"'!A2:G1000"), (INDIRECT("'"&amp;N$1&amp;"'!B2:B1000")=$B51) * (INDIRECT("'"&amp;N$1&amp;"'!C2:C1000")=$C51)
        ),7,
        FALSE
    )
)</f>
        <v>Sim</v>
      </c>
      <c r="O51" s="79" t="str">
        <f t="array" aca="1" ref="O51" ca="1">IF(
    VLOOKUP(
        $A51,
        _xlfn._xlws.FILTER(
            INDIRECT("'"&amp;O$1&amp;"'!A2:G1000"), (INDIRECT("'"&amp;O$1&amp;"'!B2:B1000")=$B51) * (INDIRECT("'"&amp;O$1&amp;"'!C2:C1000")=$C51)
        ),
        5,
        FALSE
    )="",
    "",
    VLOOKUP(
        $A51,
        _xlfn._xlws.FILTER(
            INDIRECT("'"&amp;O$1&amp;"'!A2:G1000"), (INDIRECT("'"&amp;O$1&amp;"'!B2:B1000")=$B51) * (INDIRECT("'"&amp;O$1&amp;"'!C2:C1000")=$C51)
        ),7,
        FALSE
    )
)</f>
        <v>Sim</v>
      </c>
      <c r="P51" s="79" t="str">
        <f t="array" aca="1" ref="P51" ca="1">IF(
    VLOOKUP(
        $A51,
        _xlfn._xlws.FILTER(
            INDIRECT("'"&amp;P$1&amp;"'!A2:G1000"), (INDIRECT("'"&amp;P$1&amp;"'!B2:B1000")=$B51) * (INDIRECT("'"&amp;P$1&amp;"'!C2:C1000")=$C51)
        ),
        5,
        FALSE
    )="",
    "",
    VLOOKUP(
        $A51,
        _xlfn._xlws.FILTER(
            INDIRECT("'"&amp;P$1&amp;"'!A2:G1000"), (INDIRECT("'"&amp;P$1&amp;"'!B2:B1000")=$B51) * (INDIRECT("'"&amp;P$1&amp;"'!C2:C1000")=$C51)
        ),7,
        FALSE
    )
)</f>
        <v>Sim</v>
      </c>
      <c r="Q51" s="79" t="str">
        <f t="array" aca="1" ref="Q51" ca="1">IF(
    VLOOKUP(
        $A51,
        _xlfn._xlws.FILTER(
            INDIRECT("'"&amp;Q$1&amp;"'!A2:G1000"), (INDIRECT("'"&amp;Q$1&amp;"'!B2:B1000")=$B51) * (INDIRECT("'"&amp;Q$1&amp;"'!C2:C1000")=$C51)
        ),
        5,
        FALSE
    )="",
    "",
    VLOOKUP(
        $A51,
        _xlfn._xlws.FILTER(
            INDIRECT("'"&amp;Q$1&amp;"'!A2:G1000"), (INDIRECT("'"&amp;Q$1&amp;"'!B2:B1000")=$B51) * (INDIRECT("'"&amp;Q$1&amp;"'!C2:C1000")=$C51)
        ),7,
        FALSE
    )
)</f>
        <v/>
      </c>
    </row>
    <row r="52" spans="1:17" x14ac:dyDescent="0.25">
      <c r="A52" s="83" t="s">
        <v>40</v>
      </c>
      <c r="B52" s="79" t="s">
        <v>113</v>
      </c>
      <c r="C52" s="79">
        <v>1</v>
      </c>
      <c r="D52" s="79" t="str">
        <f t="array" ref="D52" ca="1">IF(
    VLOOKUP(
        $A52,
        _xlfn._xlws.FILTER(
            INDIRECT("'"&amp;D$1&amp;"'!A2:G1000"), (INDIRECT("'"&amp;D$1&amp;"'!B2:B1000")=$B52) * (INDIRECT("'"&amp;D$1&amp;"'!C2:C1000")=$C52)
        ),
        5,
        FALSE
    )="",
    "",
    VLOOKUP(
        $A52,
        _xlfn._xlws.FILTER(
            INDIRECT("'"&amp;D$1&amp;"'!A2:G1000"), (INDIRECT("'"&amp;D$1&amp;"'!B2:B1000")=$B52) * (INDIRECT("'"&amp;D$1&amp;"'!C2:C1000")=$C52)
        ),7,
        FALSE
    )
)</f>
        <v>Sim</v>
      </c>
      <c r="E52" s="79" t="str">
        <f t="array" aca="1" ref="E52" ca="1">IF(
    VLOOKUP(
        $A52,
        _xlfn._xlws.FILTER(
            INDIRECT("'"&amp;E$1&amp;"'!A2:G1000"), (INDIRECT("'"&amp;E$1&amp;"'!B2:B1000")=$B52) * (INDIRECT("'"&amp;E$1&amp;"'!C2:C1000")=$C52)
        ),
        5,
        FALSE
    )="",
    "",
    VLOOKUP(
        $A52,
        _xlfn._xlws.FILTER(
            INDIRECT("'"&amp;E$1&amp;"'!A2:G1000"), (INDIRECT("'"&amp;E$1&amp;"'!B2:B1000")=$B52) * (INDIRECT("'"&amp;E$1&amp;"'!C2:C1000")=$C52)
        ),7,
        FALSE
    )
)</f>
        <v>Sim</v>
      </c>
      <c r="F52" s="79" t="str">
        <f t="array" aca="1" ref="F52" ca="1">IF(
    VLOOKUP(
        $A52,
        _xlfn._xlws.FILTER(
            INDIRECT("'"&amp;F$1&amp;"'!A2:G1000"), (INDIRECT("'"&amp;F$1&amp;"'!B2:B1000")=$B52) * (INDIRECT("'"&amp;F$1&amp;"'!C2:C1000")=$C52)
        ),
        5,
        FALSE
    )="",
    "",
    VLOOKUP(
        $A52,
        _xlfn._xlws.FILTER(
            INDIRECT("'"&amp;F$1&amp;"'!A2:G1000"), (INDIRECT("'"&amp;F$1&amp;"'!B2:B1000")=$B52) * (INDIRECT("'"&amp;F$1&amp;"'!C2:C1000")=$C52)
        ),7,
        FALSE
    )
)</f>
        <v>Sim</v>
      </c>
      <c r="G52" s="79" t="str">
        <f t="array" aca="1" ref="G52" ca="1">IF(
    VLOOKUP(
        $A52,
        _xlfn._xlws.FILTER(
            INDIRECT("'"&amp;G$1&amp;"'!A2:G1000"), (INDIRECT("'"&amp;G$1&amp;"'!B2:B1000")=$B52) * (INDIRECT("'"&amp;G$1&amp;"'!C2:C1000")=$C52)
        ),
        5,
        FALSE
    )="",
    "",
    VLOOKUP(
        $A52,
        _xlfn._xlws.FILTER(
            INDIRECT("'"&amp;G$1&amp;"'!A2:G1000"), (INDIRECT("'"&amp;G$1&amp;"'!B2:B1000")=$B52) * (INDIRECT("'"&amp;G$1&amp;"'!C2:C1000")=$C52)
        ),7,
        FALSE
    )
)</f>
        <v>Sim</v>
      </c>
      <c r="H52" s="79" t="str">
        <f t="array" aca="1" ref="H52" ca="1">IF(
    VLOOKUP(
        $A52,
        _xlfn._xlws.FILTER(
            INDIRECT("'"&amp;H$1&amp;"'!A2:G1000"), (INDIRECT("'"&amp;H$1&amp;"'!B2:B1000")=$B52) * (INDIRECT("'"&amp;H$1&amp;"'!C2:C1000")=$C52)
        ),
        5,
        FALSE
    )="",
    "",
    VLOOKUP(
        $A52,
        _xlfn._xlws.FILTER(
            INDIRECT("'"&amp;H$1&amp;"'!A2:G1000"), (INDIRECT("'"&amp;H$1&amp;"'!B2:B1000")=$B52) * (INDIRECT("'"&amp;H$1&amp;"'!C2:C1000")=$C52)
        ),7,
        FALSE
    )
)</f>
        <v>Sim</v>
      </c>
      <c r="I52" s="79" t="str">
        <f t="array" aca="1" ref="I52" ca="1">IF(
    VLOOKUP(
        $A52,
        _xlfn._xlws.FILTER(
            INDIRECT("'"&amp;I$1&amp;"'!A2:G1000"), (INDIRECT("'"&amp;I$1&amp;"'!B2:B1000")=$B52) * (INDIRECT("'"&amp;I$1&amp;"'!C2:C1000")=$C52)
        ),
        5,
        FALSE
    )="",
    "",
    VLOOKUP(
        $A52,
        _xlfn._xlws.FILTER(
            INDIRECT("'"&amp;I$1&amp;"'!A2:G1000"), (INDIRECT("'"&amp;I$1&amp;"'!B2:B1000")=$B52) * (INDIRECT("'"&amp;I$1&amp;"'!C2:C1000")=$C52)
        ),7,
        FALSE
    )
)</f>
        <v>Sim</v>
      </c>
      <c r="J52" s="79" t="str">
        <f t="array" aca="1" ref="J52" ca="1">IF(
    VLOOKUP(
        $A52,
        _xlfn._xlws.FILTER(
            INDIRECT("'"&amp;J$1&amp;"'!A2:G1000"), (INDIRECT("'"&amp;J$1&amp;"'!B2:B1000")=$B52) * (INDIRECT("'"&amp;J$1&amp;"'!C2:C1000")=$C52)
        ),
        5,
        FALSE
    )="",
    "",
    VLOOKUP(
        $A52,
        _xlfn._xlws.FILTER(
            INDIRECT("'"&amp;J$1&amp;"'!A2:G1000"), (INDIRECT("'"&amp;J$1&amp;"'!B2:B1000")=$B52) * (INDIRECT("'"&amp;J$1&amp;"'!C2:C1000")=$C52)
        ),7,
        FALSE
    )
)</f>
        <v>Sim</v>
      </c>
      <c r="K52" s="79" t="str">
        <f t="array" aca="1" ref="K52" ca="1">IF(
    VLOOKUP(
        $A52,
        _xlfn._xlws.FILTER(
            INDIRECT("'"&amp;K$1&amp;"'!A2:G1000"), (INDIRECT("'"&amp;K$1&amp;"'!B2:B1000")=$B52) * (INDIRECT("'"&amp;K$1&amp;"'!C2:C1000")=$C52)
        ),
        5,
        FALSE
    )="",
    "",
    VLOOKUP(
        $A52,
        _xlfn._xlws.FILTER(
            INDIRECT("'"&amp;K$1&amp;"'!A2:G1000"), (INDIRECT("'"&amp;K$1&amp;"'!B2:B1000")=$B52) * (INDIRECT("'"&amp;K$1&amp;"'!C2:C1000")=$C52)
        ),7,
        FALSE
    )
)</f>
        <v>Sim</v>
      </c>
      <c r="L52" s="79" t="str">
        <f t="array" aca="1" ref="L52" ca="1">IF(
    VLOOKUP(
        $A52,
        _xlfn._xlws.FILTER(
            INDIRECT("'"&amp;L$1&amp;"'!A2:G1000"), (INDIRECT("'"&amp;L$1&amp;"'!B2:B1000")=$B52) * (INDIRECT("'"&amp;L$1&amp;"'!C2:C1000")=$C52)
        ),
        5,
        FALSE
    )="",
    "",
    VLOOKUP(
        $A52,
        _xlfn._xlws.FILTER(
            INDIRECT("'"&amp;L$1&amp;"'!A2:G1000"), (INDIRECT("'"&amp;L$1&amp;"'!B2:B1000")=$B52) * (INDIRECT("'"&amp;L$1&amp;"'!C2:C1000")=$C52)
        ),7,
        FALSE
    )
)</f>
        <v>Sim</v>
      </c>
      <c r="M52" s="79" t="str">
        <f t="array" aca="1" ref="M52" ca="1">IF(
    VLOOKUP(
        $A52,
        _xlfn._xlws.FILTER(
            INDIRECT("'"&amp;M$1&amp;"'!A2:G1000"), (INDIRECT("'"&amp;M$1&amp;"'!B2:B1000")=$B52) * (INDIRECT("'"&amp;M$1&amp;"'!C2:C1000")=$C52)
        ),
        5,
        FALSE
    )="",
    "",
    VLOOKUP(
        $A52,
        _xlfn._xlws.FILTER(
            INDIRECT("'"&amp;M$1&amp;"'!A2:G1000"), (INDIRECT("'"&amp;M$1&amp;"'!B2:B1000")=$B52) * (INDIRECT("'"&amp;M$1&amp;"'!C2:C1000")=$C52)
        ),7,
        FALSE
    )
)</f>
        <v>Sim</v>
      </c>
      <c r="N52" s="79" t="str">
        <f t="array" aca="1" ref="N52" ca="1">IF(
    VLOOKUP(
        $A52,
        _xlfn._xlws.FILTER(
            INDIRECT("'"&amp;N$1&amp;"'!A2:G1000"), (INDIRECT("'"&amp;N$1&amp;"'!B2:B1000")=$B52) * (INDIRECT("'"&amp;N$1&amp;"'!C2:C1000")=$C52)
        ),
        5,
        FALSE
    )="",
    "",
    VLOOKUP(
        $A52,
        _xlfn._xlws.FILTER(
            INDIRECT("'"&amp;N$1&amp;"'!A2:G1000"), (INDIRECT("'"&amp;N$1&amp;"'!B2:B1000")=$B52) * (INDIRECT("'"&amp;N$1&amp;"'!C2:C1000")=$C52)
        ),7,
        FALSE
    )
)</f>
        <v>Sim</v>
      </c>
      <c r="O52" s="79" t="str">
        <f t="array" aca="1" ref="O52" ca="1">IF(
    VLOOKUP(
        $A52,
        _xlfn._xlws.FILTER(
            INDIRECT("'"&amp;O$1&amp;"'!A2:G1000"), (INDIRECT("'"&amp;O$1&amp;"'!B2:B1000")=$B52) * (INDIRECT("'"&amp;O$1&amp;"'!C2:C1000")=$C52)
        ),
        5,
        FALSE
    )="",
    "",
    VLOOKUP(
        $A52,
        _xlfn._xlws.FILTER(
            INDIRECT("'"&amp;O$1&amp;"'!A2:G1000"), (INDIRECT("'"&amp;O$1&amp;"'!B2:B1000")=$B52) * (INDIRECT("'"&amp;O$1&amp;"'!C2:C1000")=$C52)
        ),7,
        FALSE
    )
)</f>
        <v>Sim</v>
      </c>
      <c r="P52" s="79" t="str">
        <f t="array" aca="1" ref="P52" ca="1">IF(
    VLOOKUP(
        $A52,
        _xlfn._xlws.FILTER(
            INDIRECT("'"&amp;P$1&amp;"'!A2:G1000"), (INDIRECT("'"&amp;P$1&amp;"'!B2:B1000")=$B52) * (INDIRECT("'"&amp;P$1&amp;"'!C2:C1000")=$C52)
        ),
        5,
        FALSE
    )="",
    "",
    VLOOKUP(
        $A52,
        _xlfn._xlws.FILTER(
            INDIRECT("'"&amp;P$1&amp;"'!A2:G1000"), (INDIRECT("'"&amp;P$1&amp;"'!B2:B1000")=$B52) * (INDIRECT("'"&amp;P$1&amp;"'!C2:C1000")=$C52)
        ),7,
        FALSE
    )
)</f>
        <v>Sim</v>
      </c>
      <c r="Q52" s="79" t="str">
        <f t="array" aca="1" ref="Q52" ca="1">IF(
    VLOOKUP(
        $A52,
        _xlfn._xlws.FILTER(
            INDIRECT("'"&amp;Q$1&amp;"'!A2:G1000"), (INDIRECT("'"&amp;Q$1&amp;"'!B2:B1000")=$B52) * (INDIRECT("'"&amp;Q$1&amp;"'!C2:C1000")=$C52)
        ),
        5,
        FALSE
    )="",
    "",
    VLOOKUP(
        $A52,
        _xlfn._xlws.FILTER(
            INDIRECT("'"&amp;Q$1&amp;"'!A2:G1000"), (INDIRECT("'"&amp;Q$1&amp;"'!B2:B1000")=$B52) * (INDIRECT("'"&amp;Q$1&amp;"'!C2:C1000")=$C52)
        ),7,
        FALSE
    )
)</f>
        <v/>
      </c>
    </row>
    <row r="53" spans="1:17" x14ac:dyDescent="0.25">
      <c r="A53" s="83" t="s">
        <v>40</v>
      </c>
      <c r="B53" s="79" t="s">
        <v>114</v>
      </c>
      <c r="C53" s="79">
        <v>1</v>
      </c>
      <c r="D53" s="79" t="str">
        <f t="array" aca="1" ref="D53" ca="1">IF(
    VLOOKUP(
        $A53,
        _xlfn._xlws.FILTER(
            INDIRECT("'"&amp;D$1&amp;"'!A2:G1000"), (INDIRECT("'"&amp;D$1&amp;"'!B2:B1000")=$B53) * (INDIRECT("'"&amp;D$1&amp;"'!C2:C1000")=$C53)
        ),
        5,
        FALSE
    )="",
    "",
    VLOOKUP(
        $A53,
        _xlfn._xlws.FILTER(
            INDIRECT("'"&amp;D$1&amp;"'!A2:G1000"), (INDIRECT("'"&amp;D$1&amp;"'!B2:B1000")=$B53) * (INDIRECT("'"&amp;D$1&amp;"'!C2:C1000")=$C53)
        ),7,
        FALSE
    )
)</f>
        <v>Sim</v>
      </c>
      <c r="E53" s="79" t="str">
        <f t="array" aca="1" ref="E53" ca="1">IF(
    VLOOKUP(
        $A53,
        _xlfn._xlws.FILTER(
            INDIRECT("'"&amp;E$1&amp;"'!A2:G1000"), (INDIRECT("'"&amp;E$1&amp;"'!B2:B1000")=$B53) * (INDIRECT("'"&amp;E$1&amp;"'!C2:C1000")=$C53)
        ),
        5,
        FALSE
    )="",
    "",
    VLOOKUP(
        $A53,
        _xlfn._xlws.FILTER(
            INDIRECT("'"&amp;E$1&amp;"'!A2:G1000"), (INDIRECT("'"&amp;E$1&amp;"'!B2:B1000")=$B53) * (INDIRECT("'"&amp;E$1&amp;"'!C2:C1000")=$C53)
        ),7,
        FALSE
    )
)</f>
        <v>Sim</v>
      </c>
      <c r="F53" s="79" t="str">
        <f t="array" aca="1" ref="F53" ca="1">IF(
    VLOOKUP(
        $A53,
        _xlfn._xlws.FILTER(
            INDIRECT("'"&amp;F$1&amp;"'!A2:G1000"), (INDIRECT("'"&amp;F$1&amp;"'!B2:B1000")=$B53) * (INDIRECT("'"&amp;F$1&amp;"'!C2:C1000")=$C53)
        ),
        5,
        FALSE
    )="",
    "",
    VLOOKUP(
        $A53,
        _xlfn._xlws.FILTER(
            INDIRECT("'"&amp;F$1&amp;"'!A2:G1000"), (INDIRECT("'"&amp;F$1&amp;"'!B2:B1000")=$B53) * (INDIRECT("'"&amp;F$1&amp;"'!C2:C1000")=$C53)
        ),7,
        FALSE
    )
)</f>
        <v>Sim</v>
      </c>
      <c r="G53" s="79" t="str">
        <f t="array" aca="1" ref="G53" ca="1">IF(
    VLOOKUP(
        $A53,
        _xlfn._xlws.FILTER(
            INDIRECT("'"&amp;G$1&amp;"'!A2:G1000"), (INDIRECT("'"&amp;G$1&amp;"'!B2:B1000")=$B53) * (INDIRECT("'"&amp;G$1&amp;"'!C2:C1000")=$C53)
        ),
        5,
        FALSE
    )="",
    "",
    VLOOKUP(
        $A53,
        _xlfn._xlws.FILTER(
            INDIRECT("'"&amp;G$1&amp;"'!A2:G1000"), (INDIRECT("'"&amp;G$1&amp;"'!B2:B1000")=$B53) * (INDIRECT("'"&amp;G$1&amp;"'!C2:C1000")=$C53)
        ),7,
        FALSE
    )
)</f>
        <v>Sim</v>
      </c>
      <c r="H53" s="79" t="str">
        <f t="array" aca="1" ref="H53" ca="1">IF(
    VLOOKUP(
        $A53,
        _xlfn._xlws.FILTER(
            INDIRECT("'"&amp;H$1&amp;"'!A2:G1000"), (INDIRECT("'"&amp;H$1&amp;"'!B2:B1000")=$B53) * (INDIRECT("'"&amp;H$1&amp;"'!C2:C1000")=$C53)
        ),
        5,
        FALSE
    )="",
    "",
    VLOOKUP(
        $A53,
        _xlfn._xlws.FILTER(
            INDIRECT("'"&amp;H$1&amp;"'!A2:G1000"), (INDIRECT("'"&amp;H$1&amp;"'!B2:B1000")=$B53) * (INDIRECT("'"&amp;H$1&amp;"'!C2:C1000")=$C53)
        ),7,
        FALSE
    )
)</f>
        <v>Sim</v>
      </c>
      <c r="I53" s="79" t="str">
        <f t="array" aca="1" ref="I53" ca="1">IF(
    VLOOKUP(
        $A53,
        _xlfn._xlws.FILTER(
            INDIRECT("'"&amp;I$1&amp;"'!A2:G1000"), (INDIRECT("'"&amp;I$1&amp;"'!B2:B1000")=$B53) * (INDIRECT("'"&amp;I$1&amp;"'!C2:C1000")=$C53)
        ),
        5,
        FALSE
    )="",
    "",
    VLOOKUP(
        $A53,
        _xlfn._xlws.FILTER(
            INDIRECT("'"&amp;I$1&amp;"'!A2:G1000"), (INDIRECT("'"&amp;I$1&amp;"'!B2:B1000")=$B53) * (INDIRECT("'"&amp;I$1&amp;"'!C2:C1000")=$C53)
        ),7,
        FALSE
    )
)</f>
        <v>Sim</v>
      </c>
      <c r="J53" s="79" t="str">
        <f t="array" aca="1" ref="J53" ca="1">IF(
    VLOOKUP(
        $A53,
        _xlfn._xlws.FILTER(
            INDIRECT("'"&amp;J$1&amp;"'!A2:G1000"), (INDIRECT("'"&amp;J$1&amp;"'!B2:B1000")=$B53) * (INDIRECT("'"&amp;J$1&amp;"'!C2:C1000")=$C53)
        ),
        5,
        FALSE
    )="",
    "",
    VLOOKUP(
        $A53,
        _xlfn._xlws.FILTER(
            INDIRECT("'"&amp;J$1&amp;"'!A2:G1000"), (INDIRECT("'"&amp;J$1&amp;"'!B2:B1000")=$B53) * (INDIRECT("'"&amp;J$1&amp;"'!C2:C1000")=$C53)
        ),7,
        FALSE
    )
)</f>
        <v>Sim</v>
      </c>
      <c r="K53" s="79" t="str">
        <f t="array" aca="1" ref="K53" ca="1">IF(
    VLOOKUP(
        $A53,
        _xlfn._xlws.FILTER(
            INDIRECT("'"&amp;K$1&amp;"'!A2:G1000"), (INDIRECT("'"&amp;K$1&amp;"'!B2:B1000")=$B53) * (INDIRECT("'"&amp;K$1&amp;"'!C2:C1000")=$C53)
        ),
        5,
        FALSE
    )="",
    "",
    VLOOKUP(
        $A53,
        _xlfn._xlws.FILTER(
            INDIRECT("'"&amp;K$1&amp;"'!A2:G1000"), (INDIRECT("'"&amp;K$1&amp;"'!B2:B1000")=$B53) * (INDIRECT("'"&amp;K$1&amp;"'!C2:C1000")=$C53)
        ),7,
        FALSE
    )
)</f>
        <v>Sim</v>
      </c>
      <c r="L53" s="79" t="str">
        <f t="array" aca="1" ref="L53" ca="1">IF(
    VLOOKUP(
        $A53,
        _xlfn._xlws.FILTER(
            INDIRECT("'"&amp;L$1&amp;"'!A2:G1000"), (INDIRECT("'"&amp;L$1&amp;"'!B2:B1000")=$B53) * (INDIRECT("'"&amp;L$1&amp;"'!C2:C1000")=$C53)
        ),
        5,
        FALSE
    )="",
    "",
    VLOOKUP(
        $A53,
        _xlfn._xlws.FILTER(
            INDIRECT("'"&amp;L$1&amp;"'!A2:G1000"), (INDIRECT("'"&amp;L$1&amp;"'!B2:B1000")=$B53) * (INDIRECT("'"&amp;L$1&amp;"'!C2:C1000")=$C53)
        ),7,
        FALSE
    )
)</f>
        <v>Sim</v>
      </c>
      <c r="M53" s="79" t="str">
        <f t="array" aca="1" ref="M53" ca="1">IF(
    VLOOKUP(
        $A53,
        _xlfn._xlws.FILTER(
            INDIRECT("'"&amp;M$1&amp;"'!A2:G1000"), (INDIRECT("'"&amp;M$1&amp;"'!B2:B1000")=$B53) * (INDIRECT("'"&amp;M$1&amp;"'!C2:C1000")=$C53)
        ),
        5,
        FALSE
    )="",
    "",
    VLOOKUP(
        $A53,
        _xlfn._xlws.FILTER(
            INDIRECT("'"&amp;M$1&amp;"'!A2:G1000"), (INDIRECT("'"&amp;M$1&amp;"'!B2:B1000")=$B53) * (INDIRECT("'"&amp;M$1&amp;"'!C2:C1000")=$C53)
        ),7,
        FALSE
    )
)</f>
        <v>Sim</v>
      </c>
      <c r="N53" s="79" t="str">
        <f t="array" aca="1" ref="N53" ca="1">IF(
    VLOOKUP(
        $A53,
        _xlfn._xlws.FILTER(
            INDIRECT("'"&amp;N$1&amp;"'!A2:G1000"), (INDIRECT("'"&amp;N$1&amp;"'!B2:B1000")=$B53) * (INDIRECT("'"&amp;N$1&amp;"'!C2:C1000")=$C53)
        ),
        5,
        FALSE
    )="",
    "",
    VLOOKUP(
        $A53,
        _xlfn._xlws.FILTER(
            INDIRECT("'"&amp;N$1&amp;"'!A2:G1000"), (INDIRECT("'"&amp;N$1&amp;"'!B2:B1000")=$B53) * (INDIRECT("'"&amp;N$1&amp;"'!C2:C1000")=$C53)
        ),7,
        FALSE
    )
)</f>
        <v>Sim</v>
      </c>
      <c r="O53" s="79" t="str">
        <f t="array" aca="1" ref="O53" ca="1">IF(
    VLOOKUP(
        $A53,
        _xlfn._xlws.FILTER(
            INDIRECT("'"&amp;O$1&amp;"'!A2:G1000"), (INDIRECT("'"&amp;O$1&amp;"'!B2:B1000")=$B53) * (INDIRECT("'"&amp;O$1&amp;"'!C2:C1000")=$C53)
        ),
        5,
        FALSE
    )="",
    "",
    VLOOKUP(
        $A53,
        _xlfn._xlws.FILTER(
            INDIRECT("'"&amp;O$1&amp;"'!A2:G1000"), (INDIRECT("'"&amp;O$1&amp;"'!B2:B1000")=$B53) * (INDIRECT("'"&amp;O$1&amp;"'!C2:C1000")=$C53)
        ),7,
        FALSE
    )
)</f>
        <v>Sim</v>
      </c>
      <c r="P53" s="79" t="str">
        <f t="array" aca="1" ref="P53" ca="1">IF(
    VLOOKUP(
        $A53,
        _xlfn._xlws.FILTER(
            INDIRECT("'"&amp;P$1&amp;"'!A2:G1000"), (INDIRECT("'"&amp;P$1&amp;"'!B2:B1000")=$B53) * (INDIRECT("'"&amp;P$1&amp;"'!C2:C1000")=$C53)
        ),
        5,
        FALSE
    )="",
    "",
    VLOOKUP(
        $A53,
        _xlfn._xlws.FILTER(
            INDIRECT("'"&amp;P$1&amp;"'!A2:G1000"), (INDIRECT("'"&amp;P$1&amp;"'!B2:B1000")=$B53) * (INDIRECT("'"&amp;P$1&amp;"'!C2:C1000")=$C53)
        ),7,
        FALSE
    )
)</f>
        <v>Sim</v>
      </c>
      <c r="Q53" s="79" t="str">
        <f t="array" aca="1" ref="Q53" ca="1">IF(
    VLOOKUP(
        $A53,
        _xlfn._xlws.FILTER(
            INDIRECT("'"&amp;Q$1&amp;"'!A2:G1000"), (INDIRECT("'"&amp;Q$1&amp;"'!B2:B1000")=$B53) * (INDIRECT("'"&amp;Q$1&amp;"'!C2:C1000")=$C53)
        ),
        5,
        FALSE
    )="",
    "",
    VLOOKUP(
        $A53,
        _xlfn._xlws.FILTER(
            INDIRECT("'"&amp;Q$1&amp;"'!A2:G1000"), (INDIRECT("'"&amp;Q$1&amp;"'!B2:B1000")=$B53) * (INDIRECT("'"&amp;Q$1&amp;"'!C2:C1000")=$C53)
        ),7,
        FALSE
    )
)</f>
        <v/>
      </c>
    </row>
    <row r="54" spans="1:17" x14ac:dyDescent="0.25">
      <c r="A54" s="35"/>
      <c r="B54" s="35"/>
      <c r="C54" s="35"/>
    </row>
    <row r="55" spans="1:17" ht="15.75" customHeight="1" x14ac:dyDescent="0.25">
      <c r="A55" s="104" t="s">
        <v>27</v>
      </c>
      <c r="B55" s="37" t="s">
        <v>86</v>
      </c>
      <c r="C55" s="37" t="s">
        <v>71</v>
      </c>
      <c r="D55" s="42" t="s">
        <v>1</v>
      </c>
      <c r="E55" s="42" t="s">
        <v>2</v>
      </c>
      <c r="F55" s="42" t="s">
        <v>3</v>
      </c>
      <c r="G55" s="42" t="s">
        <v>4</v>
      </c>
      <c r="H55" s="42" t="s">
        <v>5</v>
      </c>
      <c r="I55" s="42" t="s">
        <v>6</v>
      </c>
      <c r="J55" s="42" t="s">
        <v>7</v>
      </c>
      <c r="K55" s="42" t="s">
        <v>8</v>
      </c>
      <c r="L55" s="42" t="s">
        <v>9</v>
      </c>
      <c r="M55" s="42" t="s">
        <v>10</v>
      </c>
      <c r="N55" s="42" t="s">
        <v>11</v>
      </c>
      <c r="O55" s="42" t="s">
        <v>12</v>
      </c>
      <c r="P55" s="42" t="s">
        <v>13</v>
      </c>
      <c r="Q55" s="42" t="s">
        <v>14</v>
      </c>
    </row>
    <row r="56" spans="1:17" x14ac:dyDescent="0.25">
      <c r="A56" s="85" t="s">
        <v>42</v>
      </c>
      <c r="B56" s="79" t="s">
        <v>115</v>
      </c>
      <c r="C56" s="79">
        <v>1</v>
      </c>
      <c r="D56" s="79" t="str">
        <f t="array" aca="1" ref="D56" ca="1">IF(
    VLOOKUP(
        $A56,
        _xlfn._xlws.FILTER(
            INDIRECT("'"&amp;D$1&amp;"'!A2:G1000"), (INDIRECT("'"&amp;D$1&amp;"'!B2:B1000")=$B56) * (INDIRECT("'"&amp;D$1&amp;"'!C2:C1000")=$C56)
        ),
        5,
        FALSE
    )="",
    "",
    VLOOKUP(
        $A56,
        _xlfn._xlws.FILTER(
            INDIRECT("'"&amp;D$1&amp;"'!A2:G1000"), (INDIRECT("'"&amp;D$1&amp;"'!B2:B1000")=$B56) * (INDIRECT("'"&amp;D$1&amp;"'!C2:C1000")=$C56)
        ),7,
        FALSE
    )
)</f>
        <v>Sim</v>
      </c>
      <c r="E56" s="79" t="str">
        <f t="array" aca="1" ref="E56" ca="1">IF(
    VLOOKUP(
        $A56,
        _xlfn._xlws.FILTER(
            INDIRECT("'"&amp;E$1&amp;"'!A2:G1000"), (INDIRECT("'"&amp;E$1&amp;"'!B2:B1000")=$B56) * (INDIRECT("'"&amp;E$1&amp;"'!C2:C1000")=$C56)
        ),
        5,
        FALSE
    )="",
    "",
    VLOOKUP(
        $A56,
        _xlfn._xlws.FILTER(
            INDIRECT("'"&amp;E$1&amp;"'!A2:G1000"), (INDIRECT("'"&amp;E$1&amp;"'!B2:B1000")=$B56) * (INDIRECT("'"&amp;E$1&amp;"'!C2:C1000")=$C56)
        ),7,
        FALSE
    )
)</f>
        <v>Sim</v>
      </c>
      <c r="F56" s="79" t="str">
        <f t="array" aca="1" ref="F56" ca="1">IF(
    VLOOKUP(
        $A56,
        _xlfn._xlws.FILTER(
            INDIRECT("'"&amp;F$1&amp;"'!A2:G1000"), (INDIRECT("'"&amp;F$1&amp;"'!B2:B1000")=$B56) * (INDIRECT("'"&amp;F$1&amp;"'!C2:C1000")=$C56)
        ),
        5,
        FALSE
    )="",
    "",
    VLOOKUP(
        $A56,
        _xlfn._xlws.FILTER(
            INDIRECT("'"&amp;F$1&amp;"'!A2:G1000"), (INDIRECT("'"&amp;F$1&amp;"'!B2:B1000")=$B56) * (INDIRECT("'"&amp;F$1&amp;"'!C2:C1000")=$C56)
        ),7,
        FALSE
    )
)</f>
        <v>Sim</v>
      </c>
      <c r="G56" s="79" t="str">
        <f t="array" aca="1" ref="G56" ca="1">IF(
    VLOOKUP(
        $A56,
        _xlfn._xlws.FILTER(
            INDIRECT("'"&amp;G$1&amp;"'!A2:G1000"), (INDIRECT("'"&amp;G$1&amp;"'!B2:B1000")=$B56) * (INDIRECT("'"&amp;G$1&amp;"'!C2:C1000")=$C56)
        ),
        5,
        FALSE
    )="",
    "",
    VLOOKUP(
        $A56,
        _xlfn._xlws.FILTER(
            INDIRECT("'"&amp;G$1&amp;"'!A2:G1000"), (INDIRECT("'"&amp;G$1&amp;"'!B2:B1000")=$B56) * (INDIRECT("'"&amp;G$1&amp;"'!C2:C1000")=$C56)
        ),7,
        FALSE
    )
)</f>
        <v>Sim</v>
      </c>
      <c r="H56" s="79" t="str">
        <f t="array" aca="1" ref="H56" ca="1">IF(
    VLOOKUP(
        $A56,
        _xlfn._xlws.FILTER(
            INDIRECT("'"&amp;H$1&amp;"'!A2:G1000"), (INDIRECT("'"&amp;H$1&amp;"'!B2:B1000")=$B56) * (INDIRECT("'"&amp;H$1&amp;"'!C2:C1000")=$C56)
        ),
        5,
        FALSE
    )="",
    "",
    VLOOKUP(
        $A56,
        _xlfn._xlws.FILTER(
            INDIRECT("'"&amp;H$1&amp;"'!A2:G1000"), (INDIRECT("'"&amp;H$1&amp;"'!B2:B1000")=$B56) * (INDIRECT("'"&amp;H$1&amp;"'!C2:C1000")=$C56)
        ),7,
        FALSE
    )
)</f>
        <v>Sim</v>
      </c>
      <c r="I56" s="79" t="str">
        <f t="array" aca="1" ref="I56" ca="1">IF(
    VLOOKUP(
        $A56,
        _xlfn._xlws.FILTER(
            INDIRECT("'"&amp;I$1&amp;"'!A2:G1000"), (INDIRECT("'"&amp;I$1&amp;"'!B2:B1000")=$B56) * (INDIRECT("'"&amp;I$1&amp;"'!C2:C1000")=$C56)
        ),
        5,
        FALSE
    )="",
    "",
    VLOOKUP(
        $A56,
        _xlfn._xlws.FILTER(
            INDIRECT("'"&amp;I$1&amp;"'!A2:G1000"), (INDIRECT("'"&amp;I$1&amp;"'!B2:B1000")=$B56) * (INDIRECT("'"&amp;I$1&amp;"'!C2:C1000")=$C56)
        ),7,
        FALSE
    )
)</f>
        <v>Sim</v>
      </c>
      <c r="J56" s="79" t="str">
        <f t="array" aca="1" ref="J56" ca="1">IF(
    VLOOKUP(
        $A56,
        _xlfn._xlws.FILTER(
            INDIRECT("'"&amp;J$1&amp;"'!A2:G1000"), (INDIRECT("'"&amp;J$1&amp;"'!B2:B1000")=$B56) * (INDIRECT("'"&amp;J$1&amp;"'!C2:C1000")=$C56)
        ),
        5,
        FALSE
    )="",
    "",
    VLOOKUP(
        $A56,
        _xlfn._xlws.FILTER(
            INDIRECT("'"&amp;J$1&amp;"'!A2:G1000"), (INDIRECT("'"&amp;J$1&amp;"'!B2:B1000")=$B56) * (INDIRECT("'"&amp;J$1&amp;"'!C2:C1000")=$C56)
        ),7,
        FALSE
    )
)</f>
        <v>Sim</v>
      </c>
      <c r="K56" s="79" t="str">
        <f t="array" aca="1" ref="K56" ca="1">IF(
    VLOOKUP(
        $A56,
        _xlfn._xlws.FILTER(
            INDIRECT("'"&amp;K$1&amp;"'!A2:G1000"), (INDIRECT("'"&amp;K$1&amp;"'!B2:B1000")=$B56) * (INDIRECT("'"&amp;K$1&amp;"'!C2:C1000")=$C56)
        ),
        5,
        FALSE
    )="",
    "",
    VLOOKUP(
        $A56,
        _xlfn._xlws.FILTER(
            INDIRECT("'"&amp;K$1&amp;"'!A2:G1000"), (INDIRECT("'"&amp;K$1&amp;"'!B2:B1000")=$B56) * (INDIRECT("'"&amp;K$1&amp;"'!C2:C1000")=$C56)
        ),7,
        FALSE
    )
)</f>
        <v>Sim</v>
      </c>
      <c r="L56" s="79" t="str">
        <f t="array" aca="1" ref="L56" ca="1">IF(
    VLOOKUP(
        $A56,
        _xlfn._xlws.FILTER(
            INDIRECT("'"&amp;L$1&amp;"'!A2:G1000"), (INDIRECT("'"&amp;L$1&amp;"'!B2:B1000")=$B56) * (INDIRECT("'"&amp;L$1&amp;"'!C2:C1000")=$C56)
        ),
        5,
        FALSE
    )="",
    "",
    VLOOKUP(
        $A56,
        _xlfn._xlws.FILTER(
            INDIRECT("'"&amp;L$1&amp;"'!A2:G1000"), (INDIRECT("'"&amp;L$1&amp;"'!B2:B1000")=$B56) * (INDIRECT("'"&amp;L$1&amp;"'!C2:C1000")=$C56)
        ),7,
        FALSE
    )
)</f>
        <v>Sim</v>
      </c>
      <c r="M56" s="79" t="str">
        <f t="array" aca="1" ref="M56" ca="1">IF(
    VLOOKUP(
        $A56,
        _xlfn._xlws.FILTER(
            INDIRECT("'"&amp;M$1&amp;"'!A2:G1000"), (INDIRECT("'"&amp;M$1&amp;"'!B2:B1000")=$B56) * (INDIRECT("'"&amp;M$1&amp;"'!C2:C1000")=$C56)
        ),
        5,
        FALSE
    )="",
    "",
    VLOOKUP(
        $A56,
        _xlfn._xlws.FILTER(
            INDIRECT("'"&amp;M$1&amp;"'!A2:G1000"), (INDIRECT("'"&amp;M$1&amp;"'!B2:B1000")=$B56) * (INDIRECT("'"&amp;M$1&amp;"'!C2:C1000")=$C56)
        ),7,
        FALSE
    )
)</f>
        <v>Sim</v>
      </c>
      <c r="N56" s="79" t="str">
        <f t="array" aca="1" ref="N56" ca="1">IF(
    VLOOKUP(
        $A56,
        _xlfn._xlws.FILTER(
            INDIRECT("'"&amp;N$1&amp;"'!A2:G1000"), (INDIRECT("'"&amp;N$1&amp;"'!B2:B1000")=$B56) * (INDIRECT("'"&amp;N$1&amp;"'!C2:C1000")=$C56)
        ),
        5,
        FALSE
    )="",
    "",
    VLOOKUP(
        $A56,
        _xlfn._xlws.FILTER(
            INDIRECT("'"&amp;N$1&amp;"'!A2:G1000"), (INDIRECT("'"&amp;N$1&amp;"'!B2:B1000")=$B56) * (INDIRECT("'"&amp;N$1&amp;"'!C2:C1000")=$C56)
        ),7,
        FALSE
    )
)</f>
        <v>Sim</v>
      </c>
      <c r="O56" s="79" t="str">
        <f t="array" aca="1" ref="O56" ca="1">IF(
    VLOOKUP(
        $A56,
        _xlfn._xlws.FILTER(
            INDIRECT("'"&amp;O$1&amp;"'!A2:G1000"), (INDIRECT("'"&amp;O$1&amp;"'!B2:B1000")=$B56) * (INDIRECT("'"&amp;O$1&amp;"'!C2:C1000")=$C56)
        ),
        5,
        FALSE
    )="",
    "",
    VLOOKUP(
        $A56,
        _xlfn._xlws.FILTER(
            INDIRECT("'"&amp;O$1&amp;"'!A2:G1000"), (INDIRECT("'"&amp;O$1&amp;"'!B2:B1000")=$B56) * (INDIRECT("'"&amp;O$1&amp;"'!C2:C1000")=$C56)
        ),7,
        FALSE
    )
)</f>
        <v>Não</v>
      </c>
      <c r="P56" s="79" t="str">
        <f t="array" aca="1" ref="P56" ca="1">IF(
    VLOOKUP(
        $A56,
        _xlfn._xlws.FILTER(
            INDIRECT("'"&amp;P$1&amp;"'!A2:G1000"), (INDIRECT("'"&amp;P$1&amp;"'!B2:B1000")=$B56) * (INDIRECT("'"&amp;P$1&amp;"'!C2:C1000")=$C56)
        ),
        5,
        FALSE
    )="",
    "",
    VLOOKUP(
        $A56,
        _xlfn._xlws.FILTER(
            INDIRECT("'"&amp;P$1&amp;"'!A2:G1000"), (INDIRECT("'"&amp;P$1&amp;"'!B2:B1000")=$B56) * (INDIRECT("'"&amp;P$1&amp;"'!C2:C1000")=$C56)
        ),7,
        FALSE
    )
)</f>
        <v>Não</v>
      </c>
      <c r="Q56" s="79" t="str">
        <f t="array" aca="1" ref="Q56" ca="1">IF(
    VLOOKUP(
        $A56,
        _xlfn._xlws.FILTER(
            INDIRECT("'"&amp;Q$1&amp;"'!A2:G1000"), (INDIRECT("'"&amp;Q$1&amp;"'!B2:B1000")=$B56) * (INDIRECT("'"&amp;Q$1&amp;"'!C2:C1000")=$C56)
        ),
        5,
        FALSE
    )="",
    "",
    VLOOKUP(
        $A56,
        _xlfn._xlws.FILTER(
            INDIRECT("'"&amp;Q$1&amp;"'!A2:G1000"), (INDIRECT("'"&amp;Q$1&amp;"'!B2:B1000")=$B56) * (INDIRECT("'"&amp;Q$1&amp;"'!C2:C1000")=$C56)
        ),7,
        FALSE
    )
)</f>
        <v/>
      </c>
    </row>
    <row r="57" spans="1:17" x14ac:dyDescent="0.25">
      <c r="A57" s="85" t="s">
        <v>42</v>
      </c>
      <c r="B57" s="79" t="s">
        <v>116</v>
      </c>
      <c r="C57" s="79">
        <v>1</v>
      </c>
      <c r="D57" s="79" t="str">
        <f t="array" ref="D57" ca="1">IF(
    VLOOKUP(
        $A57,
        _xlfn._xlws.FILTER(
            INDIRECT("'"&amp;D$1&amp;"'!A2:G1000"), (INDIRECT("'"&amp;D$1&amp;"'!B2:B1000")=$B57) * (INDIRECT("'"&amp;D$1&amp;"'!C2:C1000")=$C57)
        ),
        5,
        FALSE
    )="",
    "",
    VLOOKUP(
        $A57,
        _xlfn._xlws.FILTER(
            INDIRECT("'"&amp;D$1&amp;"'!A2:G1000"), (INDIRECT("'"&amp;D$1&amp;"'!B2:B1000")=$B57) * (INDIRECT("'"&amp;D$1&amp;"'!C2:C1000")=$C57)
        ),7,
        FALSE
    )
)</f>
        <v>Sim</v>
      </c>
      <c r="E57" s="79" t="str">
        <f t="array" aca="1" ref="E57" ca="1">IF(
    VLOOKUP(
        $A57,
        _xlfn._xlws.FILTER(
            INDIRECT("'"&amp;E$1&amp;"'!A2:G1000"), (INDIRECT("'"&amp;E$1&amp;"'!B2:B1000")=$B57) * (INDIRECT("'"&amp;E$1&amp;"'!C2:C1000")=$C57)
        ),
        5,
        FALSE
    )="",
    "",
    VLOOKUP(
        $A57,
        _xlfn._xlws.FILTER(
            INDIRECT("'"&amp;E$1&amp;"'!A2:G1000"), (INDIRECT("'"&amp;E$1&amp;"'!B2:B1000")=$B57) * (INDIRECT("'"&amp;E$1&amp;"'!C2:C1000")=$C57)
        ),7,
        FALSE
    )
)</f>
        <v>Sim</v>
      </c>
      <c r="F57" s="79" t="str">
        <f t="array" aca="1" ref="F57" ca="1">IF(
    VLOOKUP(
        $A57,
        _xlfn._xlws.FILTER(
            INDIRECT("'"&amp;F$1&amp;"'!A2:G1000"), (INDIRECT("'"&amp;F$1&amp;"'!B2:B1000")=$B57) * (INDIRECT("'"&amp;F$1&amp;"'!C2:C1000")=$C57)
        ),
        5,
        FALSE
    )="",
    "",
    VLOOKUP(
        $A57,
        _xlfn._xlws.FILTER(
            INDIRECT("'"&amp;F$1&amp;"'!A2:G1000"), (INDIRECT("'"&amp;F$1&amp;"'!B2:B1000")=$B57) * (INDIRECT("'"&amp;F$1&amp;"'!C2:C1000")=$C57)
        ),7,
        FALSE
    )
)</f>
        <v>Sim</v>
      </c>
      <c r="G57" s="79" t="str">
        <f t="array" ref="G57" ca="1">IF(
    VLOOKUP(
        $A57,
        _xlfn._xlws.FILTER(
            INDIRECT("'"&amp;G$1&amp;"'!A2:G1000"), (INDIRECT("'"&amp;G$1&amp;"'!B2:B1000")=$B57) * (INDIRECT("'"&amp;G$1&amp;"'!C2:C1000")=$C57)
        ),
        5,
        FALSE
    )="",
    "",
    VLOOKUP(
        $A57,
        _xlfn._xlws.FILTER(
            INDIRECT("'"&amp;G$1&amp;"'!A2:G1000"), (INDIRECT("'"&amp;G$1&amp;"'!B2:B1000")=$B57) * (INDIRECT("'"&amp;G$1&amp;"'!C2:C1000")=$C57)
        ),7,
        FALSE
    )
)</f>
        <v>Sim</v>
      </c>
      <c r="H57" s="79" t="str">
        <f t="array" aca="1" ref="H57" ca="1">IF(
    VLOOKUP(
        $A57,
        _xlfn._xlws.FILTER(
            INDIRECT("'"&amp;H$1&amp;"'!A2:G1000"), (INDIRECT("'"&amp;H$1&amp;"'!B2:B1000")=$B57) * (INDIRECT("'"&amp;H$1&amp;"'!C2:C1000")=$C57)
        ),
        5,
        FALSE
    )="",
    "",
    VLOOKUP(
        $A57,
        _xlfn._xlws.FILTER(
            INDIRECT("'"&amp;H$1&amp;"'!A2:G1000"), (INDIRECT("'"&amp;H$1&amp;"'!B2:B1000")=$B57) * (INDIRECT("'"&amp;H$1&amp;"'!C2:C1000")=$C57)
        ),7,
        FALSE
    )
)</f>
        <v>Sim</v>
      </c>
      <c r="I57" s="79" t="str">
        <f t="array" aca="1" ref="I57" ca="1">IF(
    VLOOKUP(
        $A57,
        _xlfn._xlws.FILTER(
            INDIRECT("'"&amp;I$1&amp;"'!A2:G1000"), (INDIRECT("'"&amp;I$1&amp;"'!B2:B1000")=$B57) * (INDIRECT("'"&amp;I$1&amp;"'!C2:C1000")=$C57)
        ),
        5,
        FALSE
    )="",
    "",
    VLOOKUP(
        $A57,
        _xlfn._xlws.FILTER(
            INDIRECT("'"&amp;I$1&amp;"'!A2:G1000"), (INDIRECT("'"&amp;I$1&amp;"'!B2:B1000")=$B57) * (INDIRECT("'"&amp;I$1&amp;"'!C2:C1000")=$C57)
        ),7,
        FALSE
    )
)</f>
        <v>Sim</v>
      </c>
      <c r="J57" s="79" t="str">
        <f t="array" aca="1" ref="J57" ca="1">IF(
    VLOOKUP(
        $A57,
        _xlfn._xlws.FILTER(
            INDIRECT("'"&amp;J$1&amp;"'!A2:G1000"), (INDIRECT("'"&amp;J$1&amp;"'!B2:B1000")=$B57) * (INDIRECT("'"&amp;J$1&amp;"'!C2:C1000")=$C57)
        ),
        5,
        FALSE
    )="",
    "",
    VLOOKUP(
        $A57,
        _xlfn._xlws.FILTER(
            INDIRECT("'"&amp;J$1&amp;"'!A2:G1000"), (INDIRECT("'"&amp;J$1&amp;"'!B2:B1000")=$B57) * (INDIRECT("'"&amp;J$1&amp;"'!C2:C1000")=$C57)
        ),7,
        FALSE
    )
)</f>
        <v>Sim</v>
      </c>
      <c r="K57" s="79" t="str">
        <f t="array" aca="1" ref="K57" ca="1">IF(
    VLOOKUP(
        $A57,
        _xlfn._xlws.FILTER(
            INDIRECT("'"&amp;K$1&amp;"'!A2:G1000"), (INDIRECT("'"&amp;K$1&amp;"'!B2:B1000")=$B57) * (INDIRECT("'"&amp;K$1&amp;"'!C2:C1000")=$C57)
        ),
        5,
        FALSE
    )="",
    "",
    VLOOKUP(
        $A57,
        _xlfn._xlws.FILTER(
            INDIRECT("'"&amp;K$1&amp;"'!A2:G1000"), (INDIRECT("'"&amp;K$1&amp;"'!B2:B1000")=$B57) * (INDIRECT("'"&amp;K$1&amp;"'!C2:C1000")=$C57)
        ),7,
        FALSE
    )
)</f>
        <v>Sim</v>
      </c>
      <c r="L57" s="79" t="str">
        <f t="array" aca="1" ref="L57" ca="1">IF(
    VLOOKUP(
        $A57,
        _xlfn._xlws.FILTER(
            INDIRECT("'"&amp;L$1&amp;"'!A2:G1000"), (INDIRECT("'"&amp;L$1&amp;"'!B2:B1000")=$B57) * (INDIRECT("'"&amp;L$1&amp;"'!C2:C1000")=$C57)
        ),
        5,
        FALSE
    )="",
    "",
    VLOOKUP(
        $A57,
        _xlfn._xlws.FILTER(
            INDIRECT("'"&amp;L$1&amp;"'!A2:G1000"), (INDIRECT("'"&amp;L$1&amp;"'!B2:B1000")=$B57) * (INDIRECT("'"&amp;L$1&amp;"'!C2:C1000")=$C57)
        ),7,
        FALSE
    )
)</f>
        <v>Sim</v>
      </c>
      <c r="M57" s="79" t="str">
        <f t="array" aca="1" ref="M57" ca="1">IF(
    VLOOKUP(
        $A57,
        _xlfn._xlws.FILTER(
            INDIRECT("'"&amp;M$1&amp;"'!A2:G1000"), (INDIRECT("'"&amp;M$1&amp;"'!B2:B1000")=$B57) * (INDIRECT("'"&amp;M$1&amp;"'!C2:C1000")=$C57)
        ),
        5,
        FALSE
    )="",
    "",
    VLOOKUP(
        $A57,
        _xlfn._xlws.FILTER(
            INDIRECT("'"&amp;M$1&amp;"'!A2:G1000"), (INDIRECT("'"&amp;M$1&amp;"'!B2:B1000")=$B57) * (INDIRECT("'"&amp;M$1&amp;"'!C2:C1000")=$C57)
        ),7,
        FALSE
    )
)</f>
        <v>Sim</v>
      </c>
      <c r="N57" s="79" t="str">
        <f t="array" aca="1" ref="N57" ca="1">IF(
    VLOOKUP(
        $A57,
        _xlfn._xlws.FILTER(
            INDIRECT("'"&amp;N$1&amp;"'!A2:G1000"), (INDIRECT("'"&amp;N$1&amp;"'!B2:B1000")=$B57) * (INDIRECT("'"&amp;N$1&amp;"'!C2:C1000")=$C57)
        ),
        5,
        FALSE
    )="",
    "",
    VLOOKUP(
        $A57,
        _xlfn._xlws.FILTER(
            INDIRECT("'"&amp;N$1&amp;"'!A2:G1000"), (INDIRECT("'"&amp;N$1&amp;"'!B2:B1000")=$B57) * (INDIRECT("'"&amp;N$1&amp;"'!C2:C1000")=$C57)
        ),7,
        FALSE
    )
)</f>
        <v>Não</v>
      </c>
      <c r="O57" s="79" t="str">
        <f t="array" aca="1" ref="O57" ca="1">IF(
    VLOOKUP(
        $A57,
        _xlfn._xlws.FILTER(
            INDIRECT("'"&amp;O$1&amp;"'!A2:G1000"), (INDIRECT("'"&amp;O$1&amp;"'!B2:B1000")=$B57) * (INDIRECT("'"&amp;O$1&amp;"'!C2:C1000")=$C57)
        ),
        5,
        FALSE
    )="",
    "",
    VLOOKUP(
        $A57,
        _xlfn._xlws.FILTER(
            INDIRECT("'"&amp;O$1&amp;"'!A2:G1000"), (INDIRECT("'"&amp;O$1&amp;"'!B2:B1000")=$B57) * (INDIRECT("'"&amp;O$1&amp;"'!C2:C1000")=$C57)
        ),7,
        FALSE
    )
)</f>
        <v>Não</v>
      </c>
      <c r="P57" s="79" t="str">
        <f t="array" ref="P57" ca="1">IF(
    VLOOKUP(
        $A57,
        _xlfn._xlws.FILTER(
            INDIRECT("'"&amp;P$1&amp;"'!A2:G1000"), (INDIRECT("'"&amp;P$1&amp;"'!B2:B1000")=$B57) * (INDIRECT("'"&amp;P$1&amp;"'!C2:C1000")=$C57)
        ),
        5,
        FALSE
    )="",
    "",
    VLOOKUP(
        $A57,
        _xlfn._xlws.FILTER(
            INDIRECT("'"&amp;P$1&amp;"'!A2:G1000"), (INDIRECT("'"&amp;P$1&amp;"'!B2:B1000")=$B57) * (INDIRECT("'"&amp;P$1&amp;"'!C2:C1000")=$C57)
        ),7,
        FALSE
    )
)</f>
        <v>Não</v>
      </c>
      <c r="Q57" s="79" t="str">
        <f t="array" aca="1" ref="Q57" ca="1">IF(
    VLOOKUP(
        $A57,
        _xlfn._xlws.FILTER(
            INDIRECT("'"&amp;Q$1&amp;"'!A2:G1000"), (INDIRECT("'"&amp;Q$1&amp;"'!B2:B1000")=$B57) * (INDIRECT("'"&amp;Q$1&amp;"'!C2:C1000")=$C57)
        ),
        5,
        FALSE
    )="",
    "",
    VLOOKUP(
        $A57,
        _xlfn._xlws.FILTER(
            INDIRECT("'"&amp;Q$1&amp;"'!A2:G1000"), (INDIRECT("'"&amp;Q$1&amp;"'!B2:B1000")=$B57) * (INDIRECT("'"&amp;Q$1&amp;"'!C2:C1000")=$C57)
        ),7,
        FALSE
    )
)</f>
        <v/>
      </c>
    </row>
    <row r="58" spans="1:17" x14ac:dyDescent="0.25">
      <c r="A58" s="85" t="s">
        <v>42</v>
      </c>
      <c r="B58" s="79" t="s">
        <v>117</v>
      </c>
      <c r="C58" s="79">
        <v>1</v>
      </c>
      <c r="D58" s="79" t="str">
        <f t="array" aca="1" ref="D58" ca="1">IF(
    VLOOKUP(
        $A58,
        _xlfn._xlws.FILTER(
            INDIRECT("'"&amp;D$1&amp;"'!A2:G1000"), (INDIRECT("'"&amp;D$1&amp;"'!B2:B1000")=$B58) * (INDIRECT("'"&amp;D$1&amp;"'!C2:C1000")=$C58)
        ),
        5,
        FALSE
    )="",
    "",
    VLOOKUP(
        $A58,
        _xlfn._xlws.FILTER(
            INDIRECT("'"&amp;D$1&amp;"'!A2:G1000"), (INDIRECT("'"&amp;D$1&amp;"'!B2:B1000")=$B58) * (INDIRECT("'"&amp;D$1&amp;"'!C2:C1000")=$C58)
        ),7,
        FALSE
    )
)</f>
        <v>Sim</v>
      </c>
      <c r="E58" s="79" t="str">
        <f t="array" aca="1" ref="E58" ca="1">IF(
    VLOOKUP(
        $A58,
        _xlfn._xlws.FILTER(
            INDIRECT("'"&amp;E$1&amp;"'!A2:G1000"), (INDIRECT("'"&amp;E$1&amp;"'!B2:B1000")=$B58) * (INDIRECT("'"&amp;E$1&amp;"'!C2:C1000")=$C58)
        ),
        5,
        FALSE
    )="",
    "",
    VLOOKUP(
        $A58,
        _xlfn._xlws.FILTER(
            INDIRECT("'"&amp;E$1&amp;"'!A2:G1000"), (INDIRECT("'"&amp;E$1&amp;"'!B2:B1000")=$B58) * (INDIRECT("'"&amp;E$1&amp;"'!C2:C1000")=$C58)
        ),7,
        FALSE
    )
)</f>
        <v>Sim</v>
      </c>
      <c r="F58" s="79" t="str">
        <f t="array" ref="F58" ca="1">IF(
    VLOOKUP(
        $A58,
        _xlfn._xlws.FILTER(
            INDIRECT("'"&amp;F$1&amp;"'!A2:G1000"), (INDIRECT("'"&amp;F$1&amp;"'!B2:B1000")=$B58) * (INDIRECT("'"&amp;F$1&amp;"'!C2:C1000")=$C58)
        ),
        5,
        FALSE
    )="",
    "",
    VLOOKUP(
        $A58,
        _xlfn._xlws.FILTER(
            INDIRECT("'"&amp;F$1&amp;"'!A2:G1000"), (INDIRECT("'"&amp;F$1&amp;"'!B2:B1000")=$B58) * (INDIRECT("'"&amp;F$1&amp;"'!C2:C1000")=$C58)
        ),7,
        FALSE
    )
)</f>
        <v>Sim</v>
      </c>
      <c r="G58" s="79" t="str">
        <f t="array" aca="1" ref="G58" ca="1">IF(
    VLOOKUP(
        $A58,
        _xlfn._xlws.FILTER(
            INDIRECT("'"&amp;G$1&amp;"'!A2:G1000"), (INDIRECT("'"&amp;G$1&amp;"'!B2:B1000")=$B58) * (INDIRECT("'"&amp;G$1&amp;"'!C2:C1000")=$C58)
        ),
        5,
        FALSE
    )="",
    "",
    VLOOKUP(
        $A58,
        _xlfn._xlws.FILTER(
            INDIRECT("'"&amp;G$1&amp;"'!A2:G1000"), (INDIRECT("'"&amp;G$1&amp;"'!B2:B1000")=$B58) * (INDIRECT("'"&amp;G$1&amp;"'!C2:C1000")=$C58)
        ),7,
        FALSE
    )
)</f>
        <v>Sim</v>
      </c>
      <c r="H58" s="79" t="str">
        <f t="array" aca="1" ref="H58" ca="1">IF(
    VLOOKUP(
        $A58,
        _xlfn._xlws.FILTER(
            INDIRECT("'"&amp;H$1&amp;"'!A2:G1000"), (INDIRECT("'"&amp;H$1&amp;"'!B2:B1000")=$B58) * (INDIRECT("'"&amp;H$1&amp;"'!C2:C1000")=$C58)
        ),
        5,
        FALSE
    )="",
    "",
    VLOOKUP(
        $A58,
        _xlfn._xlws.FILTER(
            INDIRECT("'"&amp;H$1&amp;"'!A2:G1000"), (INDIRECT("'"&amp;H$1&amp;"'!B2:B1000")=$B58) * (INDIRECT("'"&amp;H$1&amp;"'!C2:C1000")=$C58)
        ),7,
        FALSE
    )
)</f>
        <v>Sim</v>
      </c>
      <c r="I58" s="79" t="str">
        <f t="array" aca="1" ref="I58" ca="1">IF(
    VLOOKUP(
        $A58,
        _xlfn._xlws.FILTER(
            INDIRECT("'"&amp;I$1&amp;"'!A2:G1000"), (INDIRECT("'"&amp;I$1&amp;"'!B2:B1000")=$B58) * (INDIRECT("'"&amp;I$1&amp;"'!C2:C1000")=$C58)
        ),
        5,
        FALSE
    )="",
    "",
    VLOOKUP(
        $A58,
        _xlfn._xlws.FILTER(
            INDIRECT("'"&amp;I$1&amp;"'!A2:G1000"), (INDIRECT("'"&amp;I$1&amp;"'!B2:B1000")=$B58) * (INDIRECT("'"&amp;I$1&amp;"'!C2:C1000")=$C58)
        ),7,
        FALSE
    )
)</f>
        <v>Sim</v>
      </c>
      <c r="J58" s="79" t="str">
        <f t="array" aca="1" ref="J58" ca="1">IF(
    VLOOKUP(
        $A58,
        _xlfn._xlws.FILTER(
            INDIRECT("'"&amp;J$1&amp;"'!A2:G1000"), (INDIRECT("'"&amp;J$1&amp;"'!B2:B1000")=$B58) * (INDIRECT("'"&amp;J$1&amp;"'!C2:C1000")=$C58)
        ),
        5,
        FALSE
    )="",
    "",
    VLOOKUP(
        $A58,
        _xlfn._xlws.FILTER(
            INDIRECT("'"&amp;J$1&amp;"'!A2:G1000"), (INDIRECT("'"&amp;J$1&amp;"'!B2:B1000")=$B58) * (INDIRECT("'"&amp;J$1&amp;"'!C2:C1000")=$C58)
        ),7,
        FALSE
    )
)</f>
        <v>Não</v>
      </c>
      <c r="K58" s="79" t="str">
        <f t="array" aca="1" ref="K58" ca="1">IF(
    VLOOKUP(
        $A58,
        _xlfn._xlws.FILTER(
            INDIRECT("'"&amp;K$1&amp;"'!A2:G1000"), (INDIRECT("'"&amp;K$1&amp;"'!B2:B1000")=$B58) * (INDIRECT("'"&amp;K$1&amp;"'!C2:C1000")=$C58)
        ),
        5,
        FALSE
    )="",
    "",
    VLOOKUP(
        $A58,
        _xlfn._xlws.FILTER(
            INDIRECT("'"&amp;K$1&amp;"'!A2:G1000"), (INDIRECT("'"&amp;K$1&amp;"'!B2:B1000")=$B58) * (INDIRECT("'"&amp;K$1&amp;"'!C2:C1000")=$C58)
        ),7,
        FALSE
    )
)</f>
        <v>Sim</v>
      </c>
      <c r="L58" s="79" t="str">
        <f t="array" ref="L58" ca="1">IF(
    VLOOKUP(
        $A58,
        _xlfn._xlws.FILTER(
            INDIRECT("'"&amp;L$1&amp;"'!A2:G1000"), (INDIRECT("'"&amp;L$1&amp;"'!B2:B1000")=$B58) * (INDIRECT("'"&amp;L$1&amp;"'!C2:C1000")=$C58)
        ),
        5,
        FALSE
    )="",
    "",
    VLOOKUP(
        $A58,
        _xlfn._xlws.FILTER(
            INDIRECT("'"&amp;L$1&amp;"'!A2:G1000"), (INDIRECT("'"&amp;L$1&amp;"'!B2:B1000")=$B58) * (INDIRECT("'"&amp;L$1&amp;"'!C2:C1000")=$C58)
        ),7,
        FALSE
    )
)</f>
        <v>Sim</v>
      </c>
      <c r="M58" s="79" t="str">
        <f t="array" aca="1" ref="M58" ca="1">IF(
    VLOOKUP(
        $A58,
        _xlfn._xlws.FILTER(
            INDIRECT("'"&amp;M$1&amp;"'!A2:G1000"), (INDIRECT("'"&amp;M$1&amp;"'!B2:B1000")=$B58) * (INDIRECT("'"&amp;M$1&amp;"'!C2:C1000")=$C58)
        ),
        5,
        FALSE
    )="",
    "",
    VLOOKUP(
        $A58,
        _xlfn._xlws.FILTER(
            INDIRECT("'"&amp;M$1&amp;"'!A2:G1000"), (INDIRECT("'"&amp;M$1&amp;"'!B2:B1000")=$B58) * (INDIRECT("'"&amp;M$1&amp;"'!C2:C1000")=$C58)
        ),7,
        FALSE
    )
)</f>
        <v>Sim</v>
      </c>
      <c r="N58" s="79" t="str">
        <f t="array" aca="1" ref="N58" ca="1">IF(
    VLOOKUP(
        $A58,
        _xlfn._xlws.FILTER(
            INDIRECT("'"&amp;N$1&amp;"'!A2:G1000"), (INDIRECT("'"&amp;N$1&amp;"'!B2:B1000")=$B58) * (INDIRECT("'"&amp;N$1&amp;"'!C2:C1000")=$C58)
        ),
        5,
        FALSE
    )="",
    "",
    VLOOKUP(
        $A58,
        _xlfn._xlws.FILTER(
            INDIRECT("'"&amp;N$1&amp;"'!A2:G1000"), (INDIRECT("'"&amp;N$1&amp;"'!B2:B1000")=$B58) * (INDIRECT("'"&amp;N$1&amp;"'!C2:C1000")=$C58)
        ),7,
        FALSE
    )
)</f>
        <v>Não</v>
      </c>
      <c r="O58" s="79" t="str">
        <f t="array" aca="1" ref="O58" ca="1">IF(
    VLOOKUP(
        $A58,
        _xlfn._xlws.FILTER(
            INDIRECT("'"&amp;O$1&amp;"'!A2:G1000"), (INDIRECT("'"&amp;O$1&amp;"'!B2:B1000")=$B58) * (INDIRECT("'"&amp;O$1&amp;"'!C2:C1000")=$C58)
        ),
        5,
        FALSE
    )="",
    "",
    VLOOKUP(
        $A58,
        _xlfn._xlws.FILTER(
            INDIRECT("'"&amp;O$1&amp;"'!A2:G1000"), (INDIRECT("'"&amp;O$1&amp;"'!B2:B1000")=$B58) * (INDIRECT("'"&amp;O$1&amp;"'!C2:C1000")=$C58)
        ),7,
        FALSE
    )
)</f>
        <v>Não</v>
      </c>
      <c r="P58" s="79" t="str">
        <f t="array" aca="1" ref="P58" ca="1">IF(
    VLOOKUP(
        $A58,
        _xlfn._xlws.FILTER(
            INDIRECT("'"&amp;P$1&amp;"'!A2:G1000"), (INDIRECT("'"&amp;P$1&amp;"'!B2:B1000")=$B58) * (INDIRECT("'"&amp;P$1&amp;"'!C2:C1000")=$C58)
        ),
        5,
        FALSE
    )="",
    "",
    VLOOKUP(
        $A58,
        _xlfn._xlws.FILTER(
            INDIRECT("'"&amp;P$1&amp;"'!A2:G1000"), (INDIRECT("'"&amp;P$1&amp;"'!B2:B1000")=$B58) * (INDIRECT("'"&amp;P$1&amp;"'!C2:C1000")=$C58)
        ),7,
        FALSE
    )
)</f>
        <v>Não</v>
      </c>
      <c r="Q58" s="79" t="str">
        <f t="array" aca="1" ref="Q58" ca="1">IF(
    VLOOKUP(
        $A58,
        _xlfn._xlws.FILTER(
            INDIRECT("'"&amp;Q$1&amp;"'!A2:G1000"), (INDIRECT("'"&amp;Q$1&amp;"'!B2:B1000")=$B58) * (INDIRECT("'"&amp;Q$1&amp;"'!C2:C1000")=$C58)
        ),
        5,
        FALSE
    )="",
    "",
    VLOOKUP(
        $A58,
        _xlfn._xlws.FILTER(
            INDIRECT("'"&amp;Q$1&amp;"'!A2:G1000"), (INDIRECT("'"&amp;Q$1&amp;"'!B2:B1000")=$B58) * (INDIRECT("'"&amp;Q$1&amp;"'!C2:C1000")=$C58)
        ),7,
        FALSE
    )
)</f>
        <v/>
      </c>
    </row>
    <row r="59" spans="1:17" x14ac:dyDescent="0.25">
      <c r="A59" s="85" t="s">
        <v>42</v>
      </c>
      <c r="B59" s="79" t="s">
        <v>82</v>
      </c>
      <c r="C59" s="79">
        <v>1</v>
      </c>
      <c r="D59" s="79" t="str">
        <f t="array" aca="1" ref="D59" ca="1">IF(
    VLOOKUP(
        $A59,
        _xlfn._xlws.FILTER(
            INDIRECT("'"&amp;D$1&amp;"'!A2:G1000"), (INDIRECT("'"&amp;D$1&amp;"'!B2:B1000")=$B59) * (INDIRECT("'"&amp;D$1&amp;"'!C2:C1000")=$C59)
        ),
        5,
        FALSE
    )="",
    "",
    VLOOKUP(
        $A59,
        _xlfn._xlws.FILTER(
            INDIRECT("'"&amp;D$1&amp;"'!A2:G1000"), (INDIRECT("'"&amp;D$1&amp;"'!B2:B1000")=$B59) * (INDIRECT("'"&amp;D$1&amp;"'!C2:C1000")=$C59)
        ),7,
        FALSE
    )
)</f>
        <v>Sim</v>
      </c>
      <c r="E59" s="79" t="str">
        <f t="array" aca="1" ref="E59" ca="1">IF(
    VLOOKUP(
        $A59,
        _xlfn._xlws.FILTER(
            INDIRECT("'"&amp;E$1&amp;"'!A2:G1000"), (INDIRECT("'"&amp;E$1&amp;"'!B2:B1000")=$B59) * (INDIRECT("'"&amp;E$1&amp;"'!C2:C1000")=$C59)
        ),
        5,
        FALSE
    )="",
    "",
    VLOOKUP(
        $A59,
        _xlfn._xlws.FILTER(
            INDIRECT("'"&amp;E$1&amp;"'!A2:G1000"), (INDIRECT("'"&amp;E$1&amp;"'!B2:B1000")=$B59) * (INDIRECT("'"&amp;E$1&amp;"'!C2:C1000")=$C59)
        ),7,
        FALSE
    )
)</f>
        <v>Sim</v>
      </c>
      <c r="F59" s="79" t="str">
        <f t="array" aca="1" ref="F59" ca="1">IF(
    VLOOKUP(
        $A59,
        _xlfn._xlws.FILTER(
            INDIRECT("'"&amp;F$1&amp;"'!A2:G1000"), (INDIRECT("'"&amp;F$1&amp;"'!B2:B1000")=$B59) * (INDIRECT("'"&amp;F$1&amp;"'!C2:C1000")=$C59)
        ),
        5,
        FALSE
    )="",
    "",
    VLOOKUP(
        $A59,
        _xlfn._xlws.FILTER(
            INDIRECT("'"&amp;F$1&amp;"'!A2:G1000"), (INDIRECT("'"&amp;F$1&amp;"'!B2:B1000")=$B59) * (INDIRECT("'"&amp;F$1&amp;"'!C2:C1000")=$C59)
        ),7,
        FALSE
    )
)</f>
        <v>Sim</v>
      </c>
      <c r="G59" s="79" t="str">
        <f t="array" aca="1" ref="G59" ca="1">IF(
    VLOOKUP(
        $A59,
        _xlfn._xlws.FILTER(
            INDIRECT("'"&amp;G$1&amp;"'!A2:G1000"), (INDIRECT("'"&amp;G$1&amp;"'!B2:B1000")=$B59) * (INDIRECT("'"&amp;G$1&amp;"'!C2:C1000")=$C59)
        ),
        5,
        FALSE
    )="",
    "",
    VLOOKUP(
        $A59,
        _xlfn._xlws.FILTER(
            INDIRECT("'"&amp;G$1&amp;"'!A2:G1000"), (INDIRECT("'"&amp;G$1&amp;"'!B2:B1000")=$B59) * (INDIRECT("'"&amp;G$1&amp;"'!C2:C1000")=$C59)
        ),7,
        FALSE
    )
)</f>
        <v>Sim</v>
      </c>
      <c r="H59" s="79" t="str">
        <f t="array" aca="1" ref="H59" ca="1">IF(
    VLOOKUP(
        $A59,
        _xlfn._xlws.FILTER(
            INDIRECT("'"&amp;H$1&amp;"'!A2:G1000"), (INDIRECT("'"&amp;H$1&amp;"'!B2:B1000")=$B59) * (INDIRECT("'"&amp;H$1&amp;"'!C2:C1000")=$C59)
        ),
        5,
        FALSE
    )="",
    "",
    VLOOKUP(
        $A59,
        _xlfn._xlws.FILTER(
            INDIRECT("'"&amp;H$1&amp;"'!A2:G1000"), (INDIRECT("'"&amp;H$1&amp;"'!B2:B1000")=$B59) * (INDIRECT("'"&amp;H$1&amp;"'!C2:C1000")=$C59)
        ),7,
        FALSE
    )
)</f>
        <v>Sim</v>
      </c>
      <c r="I59" s="79" t="str">
        <f t="array" aca="1" ref="I59" ca="1">IF(
    VLOOKUP(
        $A59,
        _xlfn._xlws.FILTER(
            INDIRECT("'"&amp;I$1&amp;"'!A2:G1000"), (INDIRECT("'"&amp;I$1&amp;"'!B2:B1000")=$B59) * (INDIRECT("'"&amp;I$1&amp;"'!C2:C1000")=$C59)
        ),
        5,
        FALSE
    )="",
    "",
    VLOOKUP(
        $A59,
        _xlfn._xlws.FILTER(
            INDIRECT("'"&amp;I$1&amp;"'!A2:G1000"), (INDIRECT("'"&amp;I$1&amp;"'!B2:B1000")=$B59) * (INDIRECT("'"&amp;I$1&amp;"'!C2:C1000")=$C59)
        ),7,
        FALSE
    )
)</f>
        <v>Sim</v>
      </c>
      <c r="J59" s="79" t="str">
        <f t="array" aca="1" ref="J59" ca="1">IF(
    VLOOKUP(
        $A59,
        _xlfn._xlws.FILTER(
            INDIRECT("'"&amp;J$1&amp;"'!A2:G1000"), (INDIRECT("'"&amp;J$1&amp;"'!B2:B1000")=$B59) * (INDIRECT("'"&amp;J$1&amp;"'!C2:C1000")=$C59)
        ),
        5,
        FALSE
    )="",
    "",
    VLOOKUP(
        $A59,
        _xlfn._xlws.FILTER(
            INDIRECT("'"&amp;J$1&amp;"'!A2:G1000"), (INDIRECT("'"&amp;J$1&amp;"'!B2:B1000")=$B59) * (INDIRECT("'"&amp;J$1&amp;"'!C2:C1000")=$C59)
        ),7,
        FALSE
    )
)</f>
        <v>Sim</v>
      </c>
      <c r="K59" s="79" t="str">
        <f t="array" aca="1" ref="K59" ca="1">IF(
    VLOOKUP(
        $A59,
        _xlfn._xlws.FILTER(
            INDIRECT("'"&amp;K$1&amp;"'!A2:G1000"), (INDIRECT("'"&amp;K$1&amp;"'!B2:B1000")=$B59) * (INDIRECT("'"&amp;K$1&amp;"'!C2:C1000")=$C59)
        ),
        5,
        FALSE
    )="",
    "",
    VLOOKUP(
        $A59,
        _xlfn._xlws.FILTER(
            INDIRECT("'"&amp;K$1&amp;"'!A2:G1000"), (INDIRECT("'"&amp;K$1&amp;"'!B2:B1000")=$B59) * (INDIRECT("'"&amp;K$1&amp;"'!C2:C1000")=$C59)
        ),7,
        FALSE
    )
)</f>
        <v>Sim</v>
      </c>
      <c r="L59" s="79" t="str">
        <f t="array" aca="1" ref="L59" ca="1">IF(
    VLOOKUP(
        $A59,
        _xlfn._xlws.FILTER(
            INDIRECT("'"&amp;L$1&amp;"'!A2:G1000"), (INDIRECT("'"&amp;L$1&amp;"'!B2:B1000")=$B59) * (INDIRECT("'"&amp;L$1&amp;"'!C2:C1000")=$C59)
        ),
        5,
        FALSE
    )="",
    "",
    VLOOKUP(
        $A59,
        _xlfn._xlws.FILTER(
            INDIRECT("'"&amp;L$1&amp;"'!A2:G1000"), (INDIRECT("'"&amp;L$1&amp;"'!B2:B1000")=$B59) * (INDIRECT("'"&amp;L$1&amp;"'!C2:C1000")=$C59)
        ),7,
        FALSE
    )
)</f>
        <v>Sim</v>
      </c>
      <c r="M59" s="79" t="str">
        <f t="array" aca="1" ref="M59" ca="1">IF(
    VLOOKUP(
        $A59,
        _xlfn._xlws.FILTER(
            INDIRECT("'"&amp;M$1&amp;"'!A2:G1000"), (INDIRECT("'"&amp;M$1&amp;"'!B2:B1000")=$B59) * (INDIRECT("'"&amp;M$1&amp;"'!C2:C1000")=$C59)
        ),
        5,
        FALSE
    )="",
    "",
    VLOOKUP(
        $A59,
        _xlfn._xlws.FILTER(
            INDIRECT("'"&amp;M$1&amp;"'!A2:G1000"), (INDIRECT("'"&amp;M$1&amp;"'!B2:B1000")=$B59) * (INDIRECT("'"&amp;M$1&amp;"'!C2:C1000")=$C59)
        ),7,
        FALSE
    )
)</f>
        <v>Sim</v>
      </c>
      <c r="N59" s="79" t="str">
        <f t="array" aca="1" ref="N59" ca="1">IF(
    VLOOKUP(
        $A59,
        _xlfn._xlws.FILTER(
            INDIRECT("'"&amp;N$1&amp;"'!A2:G1000"), (INDIRECT("'"&amp;N$1&amp;"'!B2:B1000")=$B59) * (INDIRECT("'"&amp;N$1&amp;"'!C2:C1000")=$C59)
        ),
        5,
        FALSE
    )="",
    "",
    VLOOKUP(
        $A59,
        _xlfn._xlws.FILTER(
            INDIRECT("'"&amp;N$1&amp;"'!A2:G1000"), (INDIRECT("'"&amp;N$1&amp;"'!B2:B1000")=$B59) * (INDIRECT("'"&amp;N$1&amp;"'!C2:C1000")=$C59)
        ),7,
        FALSE
    )
)</f>
        <v>Não</v>
      </c>
      <c r="O59" s="79" t="str">
        <f t="array" aca="1" ref="O59" ca="1">IF(
    VLOOKUP(
        $A59,
        _xlfn._xlws.FILTER(
            INDIRECT("'"&amp;O$1&amp;"'!A2:G1000"), (INDIRECT("'"&amp;O$1&amp;"'!B2:B1000")=$B59) * (INDIRECT("'"&amp;O$1&amp;"'!C2:C1000")=$C59)
        ),
        5,
        FALSE
    )="",
    "",
    VLOOKUP(
        $A59,
        _xlfn._xlws.FILTER(
            INDIRECT("'"&amp;O$1&amp;"'!A2:G1000"), (INDIRECT("'"&amp;O$1&amp;"'!B2:B1000")=$B59) * (INDIRECT("'"&amp;O$1&amp;"'!C2:C1000")=$C59)
        ),7,
        FALSE
    )
)</f>
        <v>Não</v>
      </c>
      <c r="P59" s="79" t="str">
        <f t="array" aca="1" ref="P59" ca="1">IF(
    VLOOKUP(
        $A59,
        _xlfn._xlws.FILTER(
            INDIRECT("'"&amp;P$1&amp;"'!A2:G1000"), (INDIRECT("'"&amp;P$1&amp;"'!B2:B1000")=$B59) * (INDIRECT("'"&amp;P$1&amp;"'!C2:C1000")=$C59)
        ),
        5,
        FALSE
    )="",
    "",
    VLOOKUP(
        $A59,
        _xlfn._xlws.FILTER(
            INDIRECT("'"&amp;P$1&amp;"'!A2:G1000"), (INDIRECT("'"&amp;P$1&amp;"'!B2:B1000")=$B59) * (INDIRECT("'"&amp;P$1&amp;"'!C2:C1000")=$C59)
        ),7,
        FALSE
    )
)</f>
        <v>Não</v>
      </c>
      <c r="Q59" s="79" t="str">
        <f t="array" aca="1" ref="Q59" ca="1">IF(
    VLOOKUP(
        $A59,
        _xlfn._xlws.FILTER(
            INDIRECT("'"&amp;Q$1&amp;"'!A2:G1000"), (INDIRECT("'"&amp;Q$1&amp;"'!B2:B1000")=$B59) * (INDIRECT("'"&amp;Q$1&amp;"'!C2:C1000")=$C59)
        ),
        5,
        FALSE
    )="",
    "",
    VLOOKUP(
        $A59,
        _xlfn._xlws.FILTER(
            INDIRECT("'"&amp;Q$1&amp;"'!A2:G1000"), (INDIRECT("'"&amp;Q$1&amp;"'!B2:B1000")=$B59) * (INDIRECT("'"&amp;Q$1&amp;"'!C2:C1000")=$C59)
        ),7,
        FALSE
    )
)</f>
        <v/>
      </c>
    </row>
    <row r="60" spans="1:17" x14ac:dyDescent="0.25">
      <c r="A60" s="85" t="s">
        <v>42</v>
      </c>
      <c r="B60" s="79" t="s">
        <v>82</v>
      </c>
      <c r="C60" s="79">
        <v>2</v>
      </c>
      <c r="D60" s="79" t="str">
        <f t="array" aca="1" ref="D60" ca="1">IF(
    VLOOKUP(
        $A60,
        _xlfn._xlws.FILTER(
            INDIRECT("'"&amp;D$1&amp;"'!A2:G1000"), (INDIRECT("'"&amp;D$1&amp;"'!B2:B1000")=$B60) * (INDIRECT("'"&amp;D$1&amp;"'!C2:C1000")=$C60)
        ),
        5,
        FALSE
    )="",
    "",
    VLOOKUP(
        $A60,
        _xlfn._xlws.FILTER(
            INDIRECT("'"&amp;D$1&amp;"'!A2:G1000"), (INDIRECT("'"&amp;D$1&amp;"'!B2:B1000")=$B60) * (INDIRECT("'"&amp;D$1&amp;"'!C2:C1000")=$C60)
        ),7,
        FALSE
    )
)</f>
        <v>Sim</v>
      </c>
      <c r="E60" s="79" t="str">
        <f t="array" aca="1" ref="E60" ca="1">IF(
    VLOOKUP(
        $A60,
        _xlfn._xlws.FILTER(
            INDIRECT("'"&amp;E$1&amp;"'!A2:G1000"), (INDIRECT("'"&amp;E$1&amp;"'!B2:B1000")=$B60) * (INDIRECT("'"&amp;E$1&amp;"'!C2:C1000")=$C60)
        ),
        5,
        FALSE
    )="",
    "",
    VLOOKUP(
        $A60,
        _xlfn._xlws.FILTER(
            INDIRECT("'"&amp;E$1&amp;"'!A2:G1000"), (INDIRECT("'"&amp;E$1&amp;"'!B2:B1000")=$B60) * (INDIRECT("'"&amp;E$1&amp;"'!C2:C1000")=$C60)
        ),7,
        FALSE
    )
)</f>
        <v>Sim</v>
      </c>
      <c r="F60" s="79" t="str">
        <f t="array" aca="1" ref="F60" ca="1">IF(
    VLOOKUP(
        $A60,
        _xlfn._xlws.FILTER(
            INDIRECT("'"&amp;F$1&amp;"'!A2:G1000"), (INDIRECT("'"&amp;F$1&amp;"'!B2:B1000")=$B60) * (INDIRECT("'"&amp;F$1&amp;"'!C2:C1000")=$C60)
        ),
        5,
        FALSE
    )="",
    "",
    VLOOKUP(
        $A60,
        _xlfn._xlws.FILTER(
            INDIRECT("'"&amp;F$1&amp;"'!A2:G1000"), (INDIRECT("'"&amp;F$1&amp;"'!B2:B1000")=$B60) * (INDIRECT("'"&amp;F$1&amp;"'!C2:C1000")=$C60)
        ),7,
        FALSE
    )
)</f>
        <v>Sim</v>
      </c>
      <c r="G60" s="79" t="str">
        <f t="array" aca="1" ref="G60" ca="1">IF(
    VLOOKUP(
        $A60,
        _xlfn._xlws.FILTER(
            INDIRECT("'"&amp;G$1&amp;"'!A2:G1000"), (INDIRECT("'"&amp;G$1&amp;"'!B2:B1000")=$B60) * (INDIRECT("'"&amp;G$1&amp;"'!C2:C1000")=$C60)
        ),
        5,
        FALSE
    )="",
    "",
    VLOOKUP(
        $A60,
        _xlfn._xlws.FILTER(
            INDIRECT("'"&amp;G$1&amp;"'!A2:G1000"), (INDIRECT("'"&amp;G$1&amp;"'!B2:B1000")=$B60) * (INDIRECT("'"&amp;G$1&amp;"'!C2:C1000")=$C60)
        ),7,
        FALSE
    )
)</f>
        <v>Sim</v>
      </c>
      <c r="H60" s="79" t="str">
        <f t="array" aca="1" ref="H60" ca="1">IF(
    VLOOKUP(
        $A60,
        _xlfn._xlws.FILTER(
            INDIRECT("'"&amp;H$1&amp;"'!A2:G1000"), (INDIRECT("'"&amp;H$1&amp;"'!B2:B1000")=$B60) * (INDIRECT("'"&amp;H$1&amp;"'!C2:C1000")=$C60)
        ),
        5,
        FALSE
    )="",
    "",
    VLOOKUP(
        $A60,
        _xlfn._xlws.FILTER(
            INDIRECT("'"&amp;H$1&amp;"'!A2:G1000"), (INDIRECT("'"&amp;H$1&amp;"'!B2:B1000")=$B60) * (INDIRECT("'"&amp;H$1&amp;"'!C2:C1000")=$C60)
        ),7,
        FALSE
    )
)</f>
        <v>Sim</v>
      </c>
      <c r="I60" s="79" t="str">
        <f t="array" aca="1" ref="I60" ca="1">IF(
    VLOOKUP(
        $A60,
        _xlfn._xlws.FILTER(
            INDIRECT("'"&amp;I$1&amp;"'!A2:G1000"), (INDIRECT("'"&amp;I$1&amp;"'!B2:B1000")=$B60) * (INDIRECT("'"&amp;I$1&amp;"'!C2:C1000")=$C60)
        ),
        5,
        FALSE
    )="",
    "",
    VLOOKUP(
        $A60,
        _xlfn._xlws.FILTER(
            INDIRECT("'"&amp;I$1&amp;"'!A2:G1000"), (INDIRECT("'"&amp;I$1&amp;"'!B2:B1000")=$B60) * (INDIRECT("'"&amp;I$1&amp;"'!C2:C1000")=$C60)
        ),7,
        FALSE
    )
)</f>
        <v>Sim</v>
      </c>
      <c r="J60" s="79" t="str">
        <f t="array" aca="1" ref="J60" ca="1">IF(
    VLOOKUP(
        $A60,
        _xlfn._xlws.FILTER(
            INDIRECT("'"&amp;J$1&amp;"'!A2:G1000"), (INDIRECT("'"&amp;J$1&amp;"'!B2:B1000")=$B60) * (INDIRECT("'"&amp;J$1&amp;"'!C2:C1000")=$C60)
        ),
        5,
        FALSE
    )="",
    "",
    VLOOKUP(
        $A60,
        _xlfn._xlws.FILTER(
            INDIRECT("'"&amp;J$1&amp;"'!A2:G1000"), (INDIRECT("'"&amp;J$1&amp;"'!B2:B1000")=$B60) * (INDIRECT("'"&amp;J$1&amp;"'!C2:C1000")=$C60)
        ),7,
        FALSE
    )
)</f>
        <v>Sim</v>
      </c>
      <c r="K60" s="79" t="str">
        <f t="array" aca="1" ref="K60" ca="1">IF(
    VLOOKUP(
        $A60,
        _xlfn._xlws.FILTER(
            INDIRECT("'"&amp;K$1&amp;"'!A2:G1000"), (INDIRECT("'"&amp;K$1&amp;"'!B2:B1000")=$B60) * (INDIRECT("'"&amp;K$1&amp;"'!C2:C1000")=$C60)
        ),
        5,
        FALSE
    )="",
    "",
    VLOOKUP(
        $A60,
        _xlfn._xlws.FILTER(
            INDIRECT("'"&amp;K$1&amp;"'!A2:G1000"), (INDIRECT("'"&amp;K$1&amp;"'!B2:B1000")=$B60) * (INDIRECT("'"&amp;K$1&amp;"'!C2:C1000")=$C60)
        ),7,
        FALSE
    )
)</f>
        <v>Sim</v>
      </c>
      <c r="L60" s="79" t="str">
        <f t="array" aca="1" ref="L60" ca="1">IF(
    VLOOKUP(
        $A60,
        _xlfn._xlws.FILTER(
            INDIRECT("'"&amp;L$1&amp;"'!A2:G1000"), (INDIRECT("'"&amp;L$1&amp;"'!B2:B1000")=$B60) * (INDIRECT("'"&amp;L$1&amp;"'!C2:C1000")=$C60)
        ),
        5,
        FALSE
    )="",
    "",
    VLOOKUP(
        $A60,
        _xlfn._xlws.FILTER(
            INDIRECT("'"&amp;L$1&amp;"'!A2:G1000"), (INDIRECT("'"&amp;L$1&amp;"'!B2:B1000")=$B60) * (INDIRECT("'"&amp;L$1&amp;"'!C2:C1000")=$C60)
        ),7,
        FALSE
    )
)</f>
        <v>Sim</v>
      </c>
      <c r="M60" s="79" t="str">
        <f t="array" aca="1" ref="M60" ca="1">IF(
    VLOOKUP(
        $A60,
        _xlfn._xlws.FILTER(
            INDIRECT("'"&amp;M$1&amp;"'!A2:G1000"), (INDIRECT("'"&amp;M$1&amp;"'!B2:B1000")=$B60) * (INDIRECT("'"&amp;M$1&amp;"'!C2:C1000")=$C60)
        ),
        5,
        FALSE
    )="",
    "",
    VLOOKUP(
        $A60,
        _xlfn._xlws.FILTER(
            INDIRECT("'"&amp;M$1&amp;"'!A2:G1000"), (INDIRECT("'"&amp;M$1&amp;"'!B2:B1000")=$B60) * (INDIRECT("'"&amp;M$1&amp;"'!C2:C1000")=$C60)
        ),7,
        FALSE
    )
)</f>
        <v>Sim</v>
      </c>
      <c r="N60" s="79" t="str">
        <f t="array" aca="1" ref="N60" ca="1">IF(
    VLOOKUP(
        $A60,
        _xlfn._xlws.FILTER(
            INDIRECT("'"&amp;N$1&amp;"'!A2:G1000"), (INDIRECT("'"&amp;N$1&amp;"'!B2:B1000")=$B60) * (INDIRECT("'"&amp;N$1&amp;"'!C2:C1000")=$C60)
        ),
        5,
        FALSE
    )="",
    "",
    VLOOKUP(
        $A60,
        _xlfn._xlws.FILTER(
            INDIRECT("'"&amp;N$1&amp;"'!A2:G1000"), (INDIRECT("'"&amp;N$1&amp;"'!B2:B1000")=$B60) * (INDIRECT("'"&amp;N$1&amp;"'!C2:C1000")=$C60)
        ),7,
        FALSE
    )
)</f>
        <v>Não</v>
      </c>
      <c r="O60" s="79" t="str">
        <f t="array" aca="1" ref="O60" ca="1">IF(
    VLOOKUP(
        $A60,
        _xlfn._xlws.FILTER(
            INDIRECT("'"&amp;O$1&amp;"'!A2:G1000"), (INDIRECT("'"&amp;O$1&amp;"'!B2:B1000")=$B60) * (INDIRECT("'"&amp;O$1&amp;"'!C2:C1000")=$C60)
        ),
        5,
        FALSE
    )="",
    "",
    VLOOKUP(
        $A60,
        _xlfn._xlws.FILTER(
            INDIRECT("'"&amp;O$1&amp;"'!A2:G1000"), (INDIRECT("'"&amp;O$1&amp;"'!B2:B1000")=$B60) * (INDIRECT("'"&amp;O$1&amp;"'!C2:C1000")=$C60)
        ),7,
        FALSE
    )
)</f>
        <v>Não</v>
      </c>
      <c r="P60" s="79" t="str">
        <f t="array" ref="P60" ca="1">IF(
    VLOOKUP(
        $A60,
        _xlfn._xlws.FILTER(
            INDIRECT("'"&amp;P$1&amp;"'!A2:G1000"), (INDIRECT("'"&amp;P$1&amp;"'!B2:B1000")=$B60) * (INDIRECT("'"&amp;P$1&amp;"'!C2:C1000")=$C60)
        ),
        5,
        FALSE
    )="",
    "",
    VLOOKUP(
        $A60,
        _xlfn._xlws.FILTER(
            INDIRECT("'"&amp;P$1&amp;"'!A2:G1000"), (INDIRECT("'"&amp;P$1&amp;"'!B2:B1000")=$B60) * (INDIRECT("'"&amp;P$1&amp;"'!C2:C1000")=$C60)
        ),7,
        FALSE
    )
)</f>
        <v>Não</v>
      </c>
      <c r="Q60" s="79" t="str">
        <f t="array" aca="1" ref="Q60" ca="1">IF(
    VLOOKUP(
        $A60,
        _xlfn._xlws.FILTER(
            INDIRECT("'"&amp;Q$1&amp;"'!A2:G1000"), (INDIRECT("'"&amp;Q$1&amp;"'!B2:B1000")=$B60) * (INDIRECT("'"&amp;Q$1&amp;"'!C2:C1000")=$C60)
        ),
        5,
        FALSE
    )="",
    "",
    VLOOKUP(
        $A60,
        _xlfn._xlws.FILTER(
            INDIRECT("'"&amp;Q$1&amp;"'!A2:G1000"), (INDIRECT("'"&amp;Q$1&amp;"'!B2:B1000")=$B60) * (INDIRECT("'"&amp;Q$1&amp;"'!C2:C1000")=$C60)
        ),7,
        FALSE
    )
)</f>
        <v/>
      </c>
    </row>
    <row r="61" spans="1:17" x14ac:dyDescent="0.25">
      <c r="A61" s="85" t="s">
        <v>42</v>
      </c>
      <c r="B61" s="79" t="s">
        <v>118</v>
      </c>
      <c r="C61" s="79">
        <v>1</v>
      </c>
      <c r="D61" s="79" t="str">
        <f t="array" aca="1" ref="D61" ca="1">IF(
    VLOOKUP(
        $A61,
        _xlfn._xlws.FILTER(
            INDIRECT("'"&amp;D$1&amp;"'!A2:G1000"), (INDIRECT("'"&amp;D$1&amp;"'!B2:B1000")=$B61) * (INDIRECT("'"&amp;D$1&amp;"'!C2:C1000")=$C61)
        ),
        5,
        FALSE
    )="",
    "",
    VLOOKUP(
        $A61,
        _xlfn._xlws.FILTER(
            INDIRECT("'"&amp;D$1&amp;"'!A2:G1000"), (INDIRECT("'"&amp;D$1&amp;"'!B2:B1000")=$B61) * (INDIRECT("'"&amp;D$1&amp;"'!C2:C1000")=$C61)
        ),7,
        FALSE
    )
)</f>
        <v>Sim</v>
      </c>
      <c r="E61" s="79" t="str">
        <f t="array" aca="1" ref="E61" ca="1">IF(
    VLOOKUP(
        $A61,
        _xlfn._xlws.FILTER(
            INDIRECT("'"&amp;E$1&amp;"'!A2:G1000"), (INDIRECT("'"&amp;E$1&amp;"'!B2:B1000")=$B61) * (INDIRECT("'"&amp;E$1&amp;"'!C2:C1000")=$C61)
        ),
        5,
        FALSE
    )="",
    "",
    VLOOKUP(
        $A61,
        _xlfn._xlws.FILTER(
            INDIRECT("'"&amp;E$1&amp;"'!A2:G1000"), (INDIRECT("'"&amp;E$1&amp;"'!B2:B1000")=$B61) * (INDIRECT("'"&amp;E$1&amp;"'!C2:C1000")=$C61)
        ),7,
        FALSE
    )
)</f>
        <v>Sim</v>
      </c>
      <c r="F61" s="79" t="str">
        <f t="array" aca="1" ref="F61" ca="1">IF(
    VLOOKUP(
        $A61,
        _xlfn._xlws.FILTER(
            INDIRECT("'"&amp;F$1&amp;"'!A2:G1000"), (INDIRECT("'"&amp;F$1&amp;"'!B2:B1000")=$B61) * (INDIRECT("'"&amp;F$1&amp;"'!C2:C1000")=$C61)
        ),
        5,
        FALSE
    )="",
    "",
    VLOOKUP(
        $A61,
        _xlfn._xlws.FILTER(
            INDIRECT("'"&amp;F$1&amp;"'!A2:G1000"), (INDIRECT("'"&amp;F$1&amp;"'!B2:B1000")=$B61) * (INDIRECT("'"&amp;F$1&amp;"'!C2:C1000")=$C61)
        ),7,
        FALSE
    )
)</f>
        <v>Sim</v>
      </c>
      <c r="G61" s="79" t="str">
        <f t="array" aca="1" ref="G61" ca="1">IF(
    VLOOKUP(
        $A61,
        _xlfn._xlws.FILTER(
            INDIRECT("'"&amp;G$1&amp;"'!A2:G1000"), (INDIRECT("'"&amp;G$1&amp;"'!B2:B1000")=$B61) * (INDIRECT("'"&amp;G$1&amp;"'!C2:C1000")=$C61)
        ),
        5,
        FALSE
    )="",
    "",
    VLOOKUP(
        $A61,
        _xlfn._xlws.FILTER(
            INDIRECT("'"&amp;G$1&amp;"'!A2:G1000"), (INDIRECT("'"&amp;G$1&amp;"'!B2:B1000")=$B61) * (INDIRECT("'"&amp;G$1&amp;"'!C2:C1000")=$C61)
        ),7,
        FALSE
    )
)</f>
        <v>Sim</v>
      </c>
      <c r="H61" s="79" t="str">
        <f t="array" aca="1" ref="H61" ca="1">IF(
    VLOOKUP(
        $A61,
        _xlfn._xlws.FILTER(
            INDIRECT("'"&amp;H$1&amp;"'!A2:G1000"), (INDIRECT("'"&amp;H$1&amp;"'!B2:B1000")=$B61) * (INDIRECT("'"&amp;H$1&amp;"'!C2:C1000")=$C61)
        ),
        5,
        FALSE
    )="",
    "",
    VLOOKUP(
        $A61,
        _xlfn._xlws.FILTER(
            INDIRECT("'"&amp;H$1&amp;"'!A2:G1000"), (INDIRECT("'"&amp;H$1&amp;"'!B2:B1000")=$B61) * (INDIRECT("'"&amp;H$1&amp;"'!C2:C1000")=$C61)
        ),7,
        FALSE
    )
)</f>
        <v>Sim</v>
      </c>
      <c r="I61" s="79" t="str">
        <f t="array" aca="1" ref="I61" ca="1">IF(
    VLOOKUP(
        $A61,
        _xlfn._xlws.FILTER(
            INDIRECT("'"&amp;I$1&amp;"'!A2:G1000"), (INDIRECT("'"&amp;I$1&amp;"'!B2:B1000")=$B61) * (INDIRECT("'"&amp;I$1&amp;"'!C2:C1000")=$C61)
        ),
        5,
        FALSE
    )="",
    "",
    VLOOKUP(
        $A61,
        _xlfn._xlws.FILTER(
            INDIRECT("'"&amp;I$1&amp;"'!A2:G1000"), (INDIRECT("'"&amp;I$1&amp;"'!B2:B1000")=$B61) * (INDIRECT("'"&amp;I$1&amp;"'!C2:C1000")=$C61)
        ),7,
        FALSE
    )
)</f>
        <v>Sim</v>
      </c>
      <c r="J61" s="79" t="str">
        <f t="array" aca="1" ref="J61" ca="1">IF(
    VLOOKUP(
        $A61,
        _xlfn._xlws.FILTER(
            INDIRECT("'"&amp;J$1&amp;"'!A2:G1000"), (INDIRECT("'"&amp;J$1&amp;"'!B2:B1000")=$B61) * (INDIRECT("'"&amp;J$1&amp;"'!C2:C1000")=$C61)
        ),
        5,
        FALSE
    )="",
    "",
    VLOOKUP(
        $A61,
        _xlfn._xlws.FILTER(
            INDIRECT("'"&amp;J$1&amp;"'!A2:G1000"), (INDIRECT("'"&amp;J$1&amp;"'!B2:B1000")=$B61) * (INDIRECT("'"&amp;J$1&amp;"'!C2:C1000")=$C61)
        ),7,
        FALSE
    )
)</f>
        <v>Sim</v>
      </c>
      <c r="K61" s="79" t="str">
        <f t="array" aca="1" ref="K61" ca="1">IF(
    VLOOKUP(
        $A61,
        _xlfn._xlws.FILTER(
            INDIRECT("'"&amp;K$1&amp;"'!A2:G1000"), (INDIRECT("'"&amp;K$1&amp;"'!B2:B1000")=$B61) * (INDIRECT("'"&amp;K$1&amp;"'!C2:C1000")=$C61)
        ),
        5,
        FALSE
    )="",
    "",
    VLOOKUP(
        $A61,
        _xlfn._xlws.FILTER(
            INDIRECT("'"&amp;K$1&amp;"'!A2:G1000"), (INDIRECT("'"&amp;K$1&amp;"'!B2:B1000")=$B61) * (INDIRECT("'"&amp;K$1&amp;"'!C2:C1000")=$C61)
        ),7,
        FALSE
    )
)</f>
        <v>Sim</v>
      </c>
      <c r="L61" s="79" t="str">
        <f t="array" aca="1" ref="L61" ca="1">IF(
    VLOOKUP(
        $A61,
        _xlfn._xlws.FILTER(
            INDIRECT("'"&amp;L$1&amp;"'!A2:G1000"), (INDIRECT("'"&amp;L$1&amp;"'!B2:B1000")=$B61) * (INDIRECT("'"&amp;L$1&amp;"'!C2:C1000")=$C61)
        ),
        5,
        FALSE
    )="",
    "",
    VLOOKUP(
        $A61,
        _xlfn._xlws.FILTER(
            INDIRECT("'"&amp;L$1&amp;"'!A2:G1000"), (INDIRECT("'"&amp;L$1&amp;"'!B2:B1000")=$B61) * (INDIRECT("'"&amp;L$1&amp;"'!C2:C1000")=$C61)
        ),7,
        FALSE
    )
)</f>
        <v>Sim</v>
      </c>
      <c r="M61" s="79" t="str">
        <f t="array" aca="1" ref="M61" ca="1">IF(
    VLOOKUP(
        $A61,
        _xlfn._xlws.FILTER(
            INDIRECT("'"&amp;M$1&amp;"'!A2:G1000"), (INDIRECT("'"&amp;M$1&amp;"'!B2:B1000")=$B61) * (INDIRECT("'"&amp;M$1&amp;"'!C2:C1000")=$C61)
        ),
        5,
        FALSE
    )="",
    "",
    VLOOKUP(
        $A61,
        _xlfn._xlws.FILTER(
            INDIRECT("'"&amp;M$1&amp;"'!A2:G1000"), (INDIRECT("'"&amp;M$1&amp;"'!B2:B1000")=$B61) * (INDIRECT("'"&amp;M$1&amp;"'!C2:C1000")=$C61)
        ),7,
        FALSE
    )
)</f>
        <v>Sim</v>
      </c>
      <c r="N61" s="79" t="str">
        <f t="array" ref="N61" ca="1">IF(
    VLOOKUP(
        $A61,
        _xlfn._xlws.FILTER(
            INDIRECT("'"&amp;N$1&amp;"'!A2:G1000"), (INDIRECT("'"&amp;N$1&amp;"'!B2:B1000")=$B61) * (INDIRECT("'"&amp;N$1&amp;"'!C2:C1000")=$C61)
        ),
        5,
        FALSE
    )="",
    "",
    VLOOKUP(
        $A61,
        _xlfn._xlws.FILTER(
            INDIRECT("'"&amp;N$1&amp;"'!A2:G1000"), (INDIRECT("'"&amp;N$1&amp;"'!B2:B1000")=$B61) * (INDIRECT("'"&amp;N$1&amp;"'!C2:C1000")=$C61)
        ),7,
        FALSE
    )
)</f>
        <v>Sim</v>
      </c>
      <c r="O61" s="79" t="str">
        <f t="array" aca="1" ref="O61" ca="1">IF(
    VLOOKUP(
        $A61,
        _xlfn._xlws.FILTER(
            INDIRECT("'"&amp;O$1&amp;"'!A2:G1000"), (INDIRECT("'"&amp;O$1&amp;"'!B2:B1000")=$B61) * (INDIRECT("'"&amp;O$1&amp;"'!C2:C1000")=$C61)
        ),
        5,
        FALSE
    )="",
    "",
    VLOOKUP(
        $A61,
        _xlfn._xlws.FILTER(
            INDIRECT("'"&amp;O$1&amp;"'!A2:G1000"), (INDIRECT("'"&amp;O$1&amp;"'!B2:B1000")=$B61) * (INDIRECT("'"&amp;O$1&amp;"'!C2:C1000")=$C61)
        ),7,
        FALSE
    )
)</f>
        <v>Sim</v>
      </c>
      <c r="P61" s="79" t="str">
        <f t="array" aca="1" ref="P61" ca="1">IF(
    VLOOKUP(
        $A61,
        _xlfn._xlws.FILTER(
            INDIRECT("'"&amp;P$1&amp;"'!A2:G1000"), (INDIRECT("'"&amp;P$1&amp;"'!B2:B1000")=$B61) * (INDIRECT("'"&amp;P$1&amp;"'!C2:C1000")=$C61)
        ),
        5,
        FALSE
    )="",
    "",
    VLOOKUP(
        $A61,
        _xlfn._xlws.FILTER(
            INDIRECT("'"&amp;P$1&amp;"'!A2:G1000"), (INDIRECT("'"&amp;P$1&amp;"'!B2:B1000")=$B61) * (INDIRECT("'"&amp;P$1&amp;"'!C2:C1000")=$C61)
        ),7,
        FALSE
    )
)</f>
        <v>Não</v>
      </c>
      <c r="Q61" s="79" t="str">
        <f t="array" ref="Q61" ca="1">IF(
    VLOOKUP(
        $A61,
        _xlfn._xlws.FILTER(
            INDIRECT("'"&amp;Q$1&amp;"'!A2:G1000"), (INDIRECT("'"&amp;Q$1&amp;"'!B2:B1000")=$B61) * (INDIRECT("'"&amp;Q$1&amp;"'!C2:C1000")=$C61)
        ),
        5,
        FALSE
    )="",
    "",
    VLOOKUP(
        $A61,
        _xlfn._xlws.FILTER(
            INDIRECT("'"&amp;Q$1&amp;"'!A2:G1000"), (INDIRECT("'"&amp;Q$1&amp;"'!B2:B1000")=$B61) * (INDIRECT("'"&amp;Q$1&amp;"'!C2:C1000")=$C61)
        ),7,
        FALSE
    )
)</f>
        <v/>
      </c>
    </row>
    <row r="62" spans="1:17" x14ac:dyDescent="0.25">
      <c r="A62" s="85" t="s">
        <v>42</v>
      </c>
      <c r="B62" s="79" t="s">
        <v>119</v>
      </c>
      <c r="C62" s="79">
        <v>1</v>
      </c>
      <c r="D62" s="79" t="str">
        <f t="array" aca="1" ref="D62" ca="1">IF(
    VLOOKUP(
        $A62,
        _xlfn._xlws.FILTER(
            INDIRECT("'"&amp;D$1&amp;"'!A2:G1000"), (INDIRECT("'"&amp;D$1&amp;"'!B2:B1000")=$B62) * (INDIRECT("'"&amp;D$1&amp;"'!C2:C1000")=$C62)
        ),
        5,
        FALSE
    )="",
    "",
    VLOOKUP(
        $A62,
        _xlfn._xlws.FILTER(
            INDIRECT("'"&amp;D$1&amp;"'!A2:G1000"), (INDIRECT("'"&amp;D$1&amp;"'!B2:B1000")=$B62) * (INDIRECT("'"&amp;D$1&amp;"'!C2:C1000")=$C62)
        ),7,
        FALSE
    )
)</f>
        <v>Sim</v>
      </c>
      <c r="E62" s="79" t="str">
        <f t="array" aca="1" ref="E62" ca="1">IF(
    VLOOKUP(
        $A62,
        _xlfn._xlws.FILTER(
            INDIRECT("'"&amp;E$1&amp;"'!A2:G1000"), (INDIRECT("'"&amp;E$1&amp;"'!B2:B1000")=$B62) * (INDIRECT("'"&amp;E$1&amp;"'!C2:C1000")=$C62)
        ),
        5,
        FALSE
    )="",
    "",
    VLOOKUP(
        $A62,
        _xlfn._xlws.FILTER(
            INDIRECT("'"&amp;E$1&amp;"'!A2:G1000"), (INDIRECT("'"&amp;E$1&amp;"'!B2:B1000")=$B62) * (INDIRECT("'"&amp;E$1&amp;"'!C2:C1000")=$C62)
        ),7,
        FALSE
    )
)</f>
        <v>Sim</v>
      </c>
      <c r="F62" s="79" t="str">
        <f t="array" aca="1" ref="F62" ca="1">IF(
    VLOOKUP(
        $A62,
        _xlfn._xlws.FILTER(
            INDIRECT("'"&amp;F$1&amp;"'!A2:G1000"), (INDIRECT("'"&amp;F$1&amp;"'!B2:B1000")=$B62) * (INDIRECT("'"&amp;F$1&amp;"'!C2:C1000")=$C62)
        ),
        5,
        FALSE
    )="",
    "",
    VLOOKUP(
        $A62,
        _xlfn._xlws.FILTER(
            INDIRECT("'"&amp;F$1&amp;"'!A2:G1000"), (INDIRECT("'"&amp;F$1&amp;"'!B2:B1000")=$B62) * (INDIRECT("'"&amp;F$1&amp;"'!C2:C1000")=$C62)
        ),7,
        FALSE
    )
)</f>
        <v>Sim</v>
      </c>
      <c r="G62" s="79" t="str">
        <f t="array" aca="1" ref="G62" ca="1">IF(
    VLOOKUP(
        $A62,
        _xlfn._xlws.FILTER(
            INDIRECT("'"&amp;G$1&amp;"'!A2:G1000"), (INDIRECT("'"&amp;G$1&amp;"'!B2:B1000")=$B62) * (INDIRECT("'"&amp;G$1&amp;"'!C2:C1000")=$C62)
        ),
        5,
        FALSE
    )="",
    "",
    VLOOKUP(
        $A62,
        _xlfn._xlws.FILTER(
            INDIRECT("'"&amp;G$1&amp;"'!A2:G1000"), (INDIRECT("'"&amp;G$1&amp;"'!B2:B1000")=$B62) * (INDIRECT("'"&amp;G$1&amp;"'!C2:C1000")=$C62)
        ),7,
        FALSE
    )
)</f>
        <v>Sim</v>
      </c>
      <c r="H62" s="79" t="str">
        <f t="array" aca="1" ref="H62" ca="1">IF(
    VLOOKUP(
        $A62,
        _xlfn._xlws.FILTER(
            INDIRECT("'"&amp;H$1&amp;"'!A2:G1000"), (INDIRECT("'"&amp;H$1&amp;"'!B2:B1000")=$B62) * (INDIRECT("'"&amp;H$1&amp;"'!C2:C1000")=$C62)
        ),
        5,
        FALSE
    )="",
    "",
    VLOOKUP(
        $A62,
        _xlfn._xlws.FILTER(
            INDIRECT("'"&amp;H$1&amp;"'!A2:G1000"), (INDIRECT("'"&amp;H$1&amp;"'!B2:B1000")=$B62) * (INDIRECT("'"&amp;H$1&amp;"'!C2:C1000")=$C62)
        ),7,
        FALSE
    )
)</f>
        <v>Sim</v>
      </c>
      <c r="I62" s="79" t="str">
        <f t="array" ref="I62" ca="1">IF(
    VLOOKUP(
        $A62,
        _xlfn._xlws.FILTER(
            INDIRECT("'"&amp;I$1&amp;"'!A2:G1000"), (INDIRECT("'"&amp;I$1&amp;"'!B2:B1000")=$B62) * (INDIRECT("'"&amp;I$1&amp;"'!C2:C1000")=$C62)
        ),
        5,
        FALSE
    )="",
    "",
    VLOOKUP(
        $A62,
        _xlfn._xlws.FILTER(
            INDIRECT("'"&amp;I$1&amp;"'!A2:G1000"), (INDIRECT("'"&amp;I$1&amp;"'!B2:B1000")=$B62) * (INDIRECT("'"&amp;I$1&amp;"'!C2:C1000")=$C62)
        ),7,
        FALSE
    )
)</f>
        <v>Sim</v>
      </c>
      <c r="J62" s="79" t="str">
        <f t="array" aca="1" ref="J62" ca="1">IF(
    VLOOKUP(
        $A62,
        _xlfn._xlws.FILTER(
            INDIRECT("'"&amp;J$1&amp;"'!A2:G1000"), (INDIRECT("'"&amp;J$1&amp;"'!B2:B1000")=$B62) * (INDIRECT("'"&amp;J$1&amp;"'!C2:C1000")=$C62)
        ),
        5,
        FALSE
    )="",
    "",
    VLOOKUP(
        $A62,
        _xlfn._xlws.FILTER(
            INDIRECT("'"&amp;J$1&amp;"'!A2:G1000"), (INDIRECT("'"&amp;J$1&amp;"'!B2:B1000")=$B62) * (INDIRECT("'"&amp;J$1&amp;"'!C2:C1000")=$C62)
        ),7,
        FALSE
    )
)</f>
        <v>Sim</v>
      </c>
      <c r="K62" s="79" t="str">
        <f t="array" aca="1" ref="K62" ca="1">IF(
    VLOOKUP(
        $A62,
        _xlfn._xlws.FILTER(
            INDIRECT("'"&amp;K$1&amp;"'!A2:G1000"), (INDIRECT("'"&amp;K$1&amp;"'!B2:B1000")=$B62) * (INDIRECT("'"&amp;K$1&amp;"'!C2:C1000")=$C62)
        ),
        5,
        FALSE
    )="",
    "",
    VLOOKUP(
        $A62,
        _xlfn._xlws.FILTER(
            INDIRECT("'"&amp;K$1&amp;"'!A2:G1000"), (INDIRECT("'"&amp;K$1&amp;"'!B2:B1000")=$B62) * (INDIRECT("'"&amp;K$1&amp;"'!C2:C1000")=$C62)
        ),7,
        FALSE
    )
)</f>
        <v>Sim</v>
      </c>
      <c r="L62" s="79" t="str">
        <f t="array" aca="1" ref="L62" ca="1">IF(
    VLOOKUP(
        $A62,
        _xlfn._xlws.FILTER(
            INDIRECT("'"&amp;L$1&amp;"'!A2:G1000"), (INDIRECT("'"&amp;L$1&amp;"'!B2:B1000")=$B62) * (INDIRECT("'"&amp;L$1&amp;"'!C2:C1000")=$C62)
        ),
        5,
        FALSE
    )="",
    "",
    VLOOKUP(
        $A62,
        _xlfn._xlws.FILTER(
            INDIRECT("'"&amp;L$1&amp;"'!A2:G1000"), (INDIRECT("'"&amp;L$1&amp;"'!B2:B1000")=$B62) * (INDIRECT("'"&amp;L$1&amp;"'!C2:C1000")=$C62)
        ),7,
        FALSE
    )
)</f>
        <v>Sim</v>
      </c>
      <c r="M62" s="79" t="str">
        <f t="array" aca="1" ref="M62" ca="1">IF(
    VLOOKUP(
        $A62,
        _xlfn._xlws.FILTER(
            INDIRECT("'"&amp;M$1&amp;"'!A2:G1000"), (INDIRECT("'"&amp;M$1&amp;"'!B2:B1000")=$B62) * (INDIRECT("'"&amp;M$1&amp;"'!C2:C1000")=$C62)
        ),
        5,
        FALSE
    )="",
    "",
    VLOOKUP(
        $A62,
        _xlfn._xlws.FILTER(
            INDIRECT("'"&amp;M$1&amp;"'!A2:G1000"), (INDIRECT("'"&amp;M$1&amp;"'!B2:B1000")=$B62) * (INDIRECT("'"&amp;M$1&amp;"'!C2:C1000")=$C62)
        ),7,
        FALSE
    )
)</f>
        <v>Sim</v>
      </c>
      <c r="N62" s="79" t="str">
        <f t="array" aca="1" ref="N62" ca="1">IF(
    VLOOKUP(
        $A62,
        _xlfn._xlws.FILTER(
            INDIRECT("'"&amp;N$1&amp;"'!A2:G1000"), (INDIRECT("'"&amp;N$1&amp;"'!B2:B1000")=$B62) * (INDIRECT("'"&amp;N$1&amp;"'!C2:C1000")=$C62)
        ),
        5,
        FALSE
    )="",
    "",
    VLOOKUP(
        $A62,
        _xlfn._xlws.FILTER(
            INDIRECT("'"&amp;N$1&amp;"'!A2:G1000"), (INDIRECT("'"&amp;N$1&amp;"'!B2:B1000")=$B62) * (INDIRECT("'"&amp;N$1&amp;"'!C2:C1000")=$C62)
        ),7,
        FALSE
    )
)</f>
        <v>Não</v>
      </c>
      <c r="O62" s="79" t="str">
        <f t="array" aca="1" ref="O62" ca="1">IF(
    VLOOKUP(
        $A62,
        _xlfn._xlws.FILTER(
            INDIRECT("'"&amp;O$1&amp;"'!A2:G1000"), (INDIRECT("'"&amp;O$1&amp;"'!B2:B1000")=$B62) * (INDIRECT("'"&amp;O$1&amp;"'!C2:C1000")=$C62)
        ),
        5,
        FALSE
    )="",
    "",
    VLOOKUP(
        $A62,
        _xlfn._xlws.FILTER(
            INDIRECT("'"&amp;O$1&amp;"'!A2:G1000"), (INDIRECT("'"&amp;O$1&amp;"'!B2:B1000")=$B62) * (INDIRECT("'"&amp;O$1&amp;"'!C2:C1000")=$C62)
        ),7,
        FALSE
    )
)</f>
        <v>Não</v>
      </c>
      <c r="P62" s="79" t="str">
        <f t="array" aca="1" ref="P62" ca="1">IF(
    VLOOKUP(
        $A62,
        _xlfn._xlws.FILTER(
            INDIRECT("'"&amp;P$1&amp;"'!A2:G1000"), (INDIRECT("'"&amp;P$1&amp;"'!B2:B1000")=$B62) * (INDIRECT("'"&amp;P$1&amp;"'!C2:C1000")=$C62)
        ),
        5,
        FALSE
    )="",
    "",
    VLOOKUP(
        $A62,
        _xlfn._xlws.FILTER(
            INDIRECT("'"&amp;P$1&amp;"'!A2:G1000"), (INDIRECT("'"&amp;P$1&amp;"'!B2:B1000")=$B62) * (INDIRECT("'"&amp;P$1&amp;"'!C2:C1000")=$C62)
        ),7,
        FALSE
    )
)</f>
        <v>Não</v>
      </c>
      <c r="Q62" s="79" t="str">
        <f t="array" aca="1" ref="Q62" ca="1">IF(
    VLOOKUP(
        $A62,
        _xlfn._xlws.FILTER(
            INDIRECT("'"&amp;Q$1&amp;"'!A2:G1000"), (INDIRECT("'"&amp;Q$1&amp;"'!B2:B1000")=$B62) * (INDIRECT("'"&amp;Q$1&amp;"'!C2:C1000")=$C62)
        ),
        5,
        FALSE
    )="",
    "",
    VLOOKUP(
        $A62,
        _xlfn._xlws.FILTER(
            INDIRECT("'"&amp;Q$1&amp;"'!A2:G1000"), (INDIRECT("'"&amp;Q$1&amp;"'!B2:B1000")=$B62) * (INDIRECT("'"&amp;Q$1&amp;"'!C2:C1000")=$C62)
        ),7,
        FALSE
    )
)</f>
        <v/>
      </c>
    </row>
    <row r="63" spans="1:17" x14ac:dyDescent="0.25">
      <c r="A63" s="85" t="s">
        <v>42</v>
      </c>
      <c r="B63" s="79" t="s">
        <v>120</v>
      </c>
      <c r="C63" s="79">
        <v>1</v>
      </c>
      <c r="D63" s="79" t="str">
        <f t="array" aca="1" ref="D63" ca="1">IF(
    VLOOKUP(
        $A63,
        _xlfn._xlws.FILTER(
            INDIRECT("'"&amp;D$1&amp;"'!A2:G1000"), (INDIRECT("'"&amp;D$1&amp;"'!B2:B1000")=$B63) * (INDIRECT("'"&amp;D$1&amp;"'!C2:C1000")=$C63)
        ),
        5,
        FALSE
    )="",
    "",
    VLOOKUP(
        $A63,
        _xlfn._xlws.FILTER(
            INDIRECT("'"&amp;D$1&amp;"'!A2:G1000"), (INDIRECT("'"&amp;D$1&amp;"'!B2:B1000")=$B63) * (INDIRECT("'"&amp;D$1&amp;"'!C2:C1000")=$C63)
        ),7,
        FALSE
    )
)</f>
        <v>Sim</v>
      </c>
      <c r="E63" s="79" t="str">
        <f t="array" aca="1" ref="E63" ca="1">IF(
    VLOOKUP(
        $A63,
        _xlfn._xlws.FILTER(
            INDIRECT("'"&amp;E$1&amp;"'!A2:G1000"), (INDIRECT("'"&amp;E$1&amp;"'!B2:B1000")=$B63) * (INDIRECT("'"&amp;E$1&amp;"'!C2:C1000")=$C63)
        ),
        5,
        FALSE
    )="",
    "",
    VLOOKUP(
        $A63,
        _xlfn._xlws.FILTER(
            INDIRECT("'"&amp;E$1&amp;"'!A2:G1000"), (INDIRECT("'"&amp;E$1&amp;"'!B2:B1000")=$B63) * (INDIRECT("'"&amp;E$1&amp;"'!C2:C1000")=$C63)
        ),7,
        FALSE
    )
)</f>
        <v>Sim</v>
      </c>
      <c r="F63" s="79" t="str">
        <f t="array" aca="1" ref="F63" ca="1">IF(
    VLOOKUP(
        $A63,
        _xlfn._xlws.FILTER(
            INDIRECT("'"&amp;F$1&amp;"'!A2:G1000"), (INDIRECT("'"&amp;F$1&amp;"'!B2:B1000")=$B63) * (INDIRECT("'"&amp;F$1&amp;"'!C2:C1000")=$C63)
        ),
        5,
        FALSE
    )="",
    "",
    VLOOKUP(
        $A63,
        _xlfn._xlws.FILTER(
            INDIRECT("'"&amp;F$1&amp;"'!A2:G1000"), (INDIRECT("'"&amp;F$1&amp;"'!B2:B1000")=$B63) * (INDIRECT("'"&amp;F$1&amp;"'!C2:C1000")=$C63)
        ),7,
        FALSE
    )
)</f>
        <v>Sim</v>
      </c>
      <c r="G63" s="79" t="str">
        <f t="array" aca="1" ref="G63" ca="1">IF(
    VLOOKUP(
        $A63,
        _xlfn._xlws.FILTER(
            INDIRECT("'"&amp;G$1&amp;"'!A2:G1000"), (INDIRECT("'"&amp;G$1&amp;"'!B2:B1000")=$B63) * (INDIRECT("'"&amp;G$1&amp;"'!C2:C1000")=$C63)
        ),
        5,
        FALSE
    )="",
    "",
    VLOOKUP(
        $A63,
        _xlfn._xlws.FILTER(
            INDIRECT("'"&amp;G$1&amp;"'!A2:G1000"), (INDIRECT("'"&amp;G$1&amp;"'!B2:B1000")=$B63) * (INDIRECT("'"&amp;G$1&amp;"'!C2:C1000")=$C63)
        ),7,
        FALSE
    )
)</f>
        <v>Sim</v>
      </c>
      <c r="H63" s="79" t="str">
        <f t="array" aca="1" ref="H63" ca="1">IF(
    VLOOKUP(
        $A63,
        _xlfn._xlws.FILTER(
            INDIRECT("'"&amp;H$1&amp;"'!A2:G1000"), (INDIRECT("'"&amp;H$1&amp;"'!B2:B1000")=$B63) * (INDIRECT("'"&amp;H$1&amp;"'!C2:C1000")=$C63)
        ),
        5,
        FALSE
    )="",
    "",
    VLOOKUP(
        $A63,
        _xlfn._xlws.FILTER(
            INDIRECT("'"&amp;H$1&amp;"'!A2:G1000"), (INDIRECT("'"&amp;H$1&amp;"'!B2:B1000")=$B63) * (INDIRECT("'"&amp;H$1&amp;"'!C2:C1000")=$C63)
        ),7,
        FALSE
    )
)</f>
        <v>Sim</v>
      </c>
      <c r="I63" s="79" t="str">
        <f t="array" aca="1" ref="I63" ca="1">IF(
    VLOOKUP(
        $A63,
        _xlfn._xlws.FILTER(
            INDIRECT("'"&amp;I$1&amp;"'!A2:G1000"), (INDIRECT("'"&amp;I$1&amp;"'!B2:B1000")=$B63) * (INDIRECT("'"&amp;I$1&amp;"'!C2:C1000")=$C63)
        ),
        5,
        FALSE
    )="",
    "",
    VLOOKUP(
        $A63,
        _xlfn._xlws.FILTER(
            INDIRECT("'"&amp;I$1&amp;"'!A2:G1000"), (INDIRECT("'"&amp;I$1&amp;"'!B2:B1000")=$B63) * (INDIRECT("'"&amp;I$1&amp;"'!C2:C1000")=$C63)
        ),7,
        FALSE
    )
)</f>
        <v>Sim</v>
      </c>
      <c r="J63" s="79" t="str">
        <f t="array" aca="1" ref="J63" ca="1">IF(
    VLOOKUP(
        $A63,
        _xlfn._xlws.FILTER(
            INDIRECT("'"&amp;J$1&amp;"'!A2:G1000"), (INDIRECT("'"&amp;J$1&amp;"'!B2:B1000")=$B63) * (INDIRECT("'"&amp;J$1&amp;"'!C2:C1000")=$C63)
        ),
        5,
        FALSE
    )="",
    "",
    VLOOKUP(
        $A63,
        _xlfn._xlws.FILTER(
            INDIRECT("'"&amp;J$1&amp;"'!A2:G1000"), (INDIRECT("'"&amp;J$1&amp;"'!B2:B1000")=$B63) * (INDIRECT("'"&amp;J$1&amp;"'!C2:C1000")=$C63)
        ),7,
        FALSE
    )
)</f>
        <v>Sim</v>
      </c>
      <c r="K63" s="79" t="str">
        <f t="array" aca="1" ref="K63" ca="1">IF(
    VLOOKUP(
        $A63,
        _xlfn._xlws.FILTER(
            INDIRECT("'"&amp;K$1&amp;"'!A2:G1000"), (INDIRECT("'"&amp;K$1&amp;"'!B2:B1000")=$B63) * (INDIRECT("'"&amp;K$1&amp;"'!C2:C1000")=$C63)
        ),
        5,
        FALSE
    )="",
    "",
    VLOOKUP(
        $A63,
        _xlfn._xlws.FILTER(
            INDIRECT("'"&amp;K$1&amp;"'!A2:G1000"), (INDIRECT("'"&amp;K$1&amp;"'!B2:B1000")=$B63) * (INDIRECT("'"&amp;K$1&amp;"'!C2:C1000")=$C63)
        ),7,
        FALSE
    )
)</f>
        <v>Sim</v>
      </c>
      <c r="L63" s="79" t="str">
        <f t="array" aca="1" ref="L63" ca="1">IF(
    VLOOKUP(
        $A63,
        _xlfn._xlws.FILTER(
            INDIRECT("'"&amp;L$1&amp;"'!A2:G1000"), (INDIRECT("'"&amp;L$1&amp;"'!B2:B1000")=$B63) * (INDIRECT("'"&amp;L$1&amp;"'!C2:C1000")=$C63)
        ),
        5,
        FALSE
    )="",
    "",
    VLOOKUP(
        $A63,
        _xlfn._xlws.FILTER(
            INDIRECT("'"&amp;L$1&amp;"'!A2:G1000"), (INDIRECT("'"&amp;L$1&amp;"'!B2:B1000")=$B63) * (INDIRECT("'"&amp;L$1&amp;"'!C2:C1000")=$C63)
        ),7,
        FALSE
    )
)</f>
        <v>Sim</v>
      </c>
      <c r="M63" s="79" t="str">
        <f t="array" aca="1" ref="M63" ca="1">IF(
    VLOOKUP(
        $A63,
        _xlfn._xlws.FILTER(
            INDIRECT("'"&amp;M$1&amp;"'!A2:G1000"), (INDIRECT("'"&amp;M$1&amp;"'!B2:B1000")=$B63) * (INDIRECT("'"&amp;M$1&amp;"'!C2:C1000")=$C63)
        ),
        5,
        FALSE
    )="",
    "",
    VLOOKUP(
        $A63,
        _xlfn._xlws.FILTER(
            INDIRECT("'"&amp;M$1&amp;"'!A2:G1000"), (INDIRECT("'"&amp;M$1&amp;"'!B2:B1000")=$B63) * (INDIRECT("'"&amp;M$1&amp;"'!C2:C1000")=$C63)
        ),7,
        FALSE
    )
)</f>
        <v>Sim</v>
      </c>
      <c r="N63" s="79" t="str">
        <f t="array" aca="1" ref="N63" ca="1">IF(
    VLOOKUP(
        $A63,
        _xlfn._xlws.FILTER(
            INDIRECT("'"&amp;N$1&amp;"'!A2:G1000"), (INDIRECT("'"&amp;N$1&amp;"'!B2:B1000")=$B63) * (INDIRECT("'"&amp;N$1&amp;"'!C2:C1000")=$C63)
        ),
        5,
        FALSE
    )="",
    "",
    VLOOKUP(
        $A63,
        _xlfn._xlws.FILTER(
            INDIRECT("'"&amp;N$1&amp;"'!A2:G1000"), (INDIRECT("'"&amp;N$1&amp;"'!B2:B1000")=$B63) * (INDIRECT("'"&amp;N$1&amp;"'!C2:C1000")=$C63)
        ),7,
        FALSE
    )
)</f>
        <v>Não</v>
      </c>
      <c r="O63" s="79" t="str">
        <f t="array" aca="1" ref="O63" ca="1">IF(
    VLOOKUP(
        $A63,
        _xlfn._xlws.FILTER(
            INDIRECT("'"&amp;O$1&amp;"'!A2:G1000"), (INDIRECT("'"&amp;O$1&amp;"'!B2:B1000")=$B63) * (INDIRECT("'"&amp;O$1&amp;"'!C2:C1000")=$C63)
        ),
        5,
        FALSE
    )="",
    "",
    VLOOKUP(
        $A63,
        _xlfn._xlws.FILTER(
            INDIRECT("'"&amp;O$1&amp;"'!A2:G1000"), (INDIRECT("'"&amp;O$1&amp;"'!B2:B1000")=$B63) * (INDIRECT("'"&amp;O$1&amp;"'!C2:C1000")=$C63)
        ),7,
        FALSE
    )
)</f>
        <v>Não</v>
      </c>
      <c r="P63" s="79" t="str">
        <f t="array" aca="1" ref="P63" ca="1">IF(
    VLOOKUP(
        $A63,
        _xlfn._xlws.FILTER(
            INDIRECT("'"&amp;P$1&amp;"'!A2:G1000"), (INDIRECT("'"&amp;P$1&amp;"'!B2:B1000")=$B63) * (INDIRECT("'"&amp;P$1&amp;"'!C2:C1000")=$C63)
        ),
        5,
        FALSE
    )="",
    "",
    VLOOKUP(
        $A63,
        _xlfn._xlws.FILTER(
            INDIRECT("'"&amp;P$1&amp;"'!A2:G1000"), (INDIRECT("'"&amp;P$1&amp;"'!B2:B1000")=$B63) * (INDIRECT("'"&amp;P$1&amp;"'!C2:C1000")=$C63)
        ),7,
        FALSE
    )
)</f>
        <v>Não</v>
      </c>
      <c r="Q63" s="79" t="str">
        <f t="array" aca="1" ref="Q63" ca="1">IF(
    VLOOKUP(
        $A63,
        _xlfn._xlws.FILTER(
            INDIRECT("'"&amp;Q$1&amp;"'!A2:G1000"), (INDIRECT("'"&amp;Q$1&amp;"'!B2:B1000")=$B63) * (INDIRECT("'"&amp;Q$1&amp;"'!C2:C1000")=$C63)
        ),
        5,
        FALSE
    )="",
    "",
    VLOOKUP(
        $A63,
        _xlfn._xlws.FILTER(
            INDIRECT("'"&amp;Q$1&amp;"'!A2:G1000"), (INDIRECT("'"&amp;Q$1&amp;"'!B2:B1000")=$B63) * (INDIRECT("'"&amp;Q$1&amp;"'!C2:C1000")=$C63)
        ),7,
        FALSE
    )
)</f>
        <v/>
      </c>
    </row>
    <row r="64" spans="1:17" x14ac:dyDescent="0.25">
      <c r="A64" s="85" t="s">
        <v>42</v>
      </c>
      <c r="B64" s="79" t="s">
        <v>121</v>
      </c>
      <c r="C64" s="79">
        <v>1</v>
      </c>
      <c r="D64" s="79" t="str">
        <f t="array" aca="1" ref="D64" ca="1">IF(
    VLOOKUP(
        $A64,
        _xlfn._xlws.FILTER(
            INDIRECT("'"&amp;D$1&amp;"'!A2:G1000"), (INDIRECT("'"&amp;D$1&amp;"'!B2:B1000")=$B64) * (INDIRECT("'"&amp;D$1&amp;"'!C2:C1000")=$C64)
        ),
        5,
        FALSE
    )="",
    "",
    VLOOKUP(
        $A64,
        _xlfn._xlws.FILTER(
            INDIRECT("'"&amp;D$1&amp;"'!A2:G1000"), (INDIRECT("'"&amp;D$1&amp;"'!B2:B1000")=$B64) * (INDIRECT("'"&amp;D$1&amp;"'!C2:C1000")=$C64)
        ),7,
        FALSE
    )
)</f>
        <v>Sim</v>
      </c>
      <c r="E64" s="79" t="str">
        <f t="array" aca="1" ref="E64" ca="1">IF(
    VLOOKUP(
        $A64,
        _xlfn._xlws.FILTER(
            INDIRECT("'"&amp;E$1&amp;"'!A2:G1000"), (INDIRECT("'"&amp;E$1&amp;"'!B2:B1000")=$B64) * (INDIRECT("'"&amp;E$1&amp;"'!C2:C1000")=$C64)
        ),
        5,
        FALSE
    )="",
    "",
    VLOOKUP(
        $A64,
        _xlfn._xlws.FILTER(
            INDIRECT("'"&amp;E$1&amp;"'!A2:G1000"), (INDIRECT("'"&amp;E$1&amp;"'!B2:B1000")=$B64) * (INDIRECT("'"&amp;E$1&amp;"'!C2:C1000")=$C64)
        ),7,
        FALSE
    )
)</f>
        <v>Sim</v>
      </c>
      <c r="F64" s="79" t="str">
        <f t="array" aca="1" ref="F64" ca="1">IF(
    VLOOKUP(
        $A64,
        _xlfn._xlws.FILTER(
            INDIRECT("'"&amp;F$1&amp;"'!A2:G1000"), (INDIRECT("'"&amp;F$1&amp;"'!B2:B1000")=$B64) * (INDIRECT("'"&amp;F$1&amp;"'!C2:C1000")=$C64)
        ),
        5,
        FALSE
    )="",
    "",
    VLOOKUP(
        $A64,
        _xlfn._xlws.FILTER(
            INDIRECT("'"&amp;F$1&amp;"'!A2:G1000"), (INDIRECT("'"&amp;F$1&amp;"'!B2:B1000")=$B64) * (INDIRECT("'"&amp;F$1&amp;"'!C2:C1000")=$C64)
        ),7,
        FALSE
    )
)</f>
        <v>Sim</v>
      </c>
      <c r="G64" s="79" t="str">
        <f t="array" aca="1" ref="G64" ca="1">IF(
    VLOOKUP(
        $A64,
        _xlfn._xlws.FILTER(
            INDIRECT("'"&amp;G$1&amp;"'!A2:G1000"), (INDIRECT("'"&amp;G$1&amp;"'!B2:B1000")=$B64) * (INDIRECT("'"&amp;G$1&amp;"'!C2:C1000")=$C64)
        ),
        5,
        FALSE
    )="",
    "",
    VLOOKUP(
        $A64,
        _xlfn._xlws.FILTER(
            INDIRECT("'"&amp;G$1&amp;"'!A2:G1000"), (INDIRECT("'"&amp;G$1&amp;"'!B2:B1000")=$B64) * (INDIRECT("'"&amp;G$1&amp;"'!C2:C1000")=$C64)
        ),7,
        FALSE
    )
)</f>
        <v>Sim</v>
      </c>
      <c r="H64" s="79" t="str">
        <f t="array" aca="1" ref="H64" ca="1">IF(
    VLOOKUP(
        $A64,
        _xlfn._xlws.FILTER(
            INDIRECT("'"&amp;H$1&amp;"'!A2:G1000"), (INDIRECT("'"&amp;H$1&amp;"'!B2:B1000")=$B64) * (INDIRECT("'"&amp;H$1&amp;"'!C2:C1000")=$C64)
        ),
        5,
        FALSE
    )="",
    "",
    VLOOKUP(
        $A64,
        _xlfn._xlws.FILTER(
            INDIRECT("'"&amp;H$1&amp;"'!A2:G1000"), (INDIRECT("'"&amp;H$1&amp;"'!B2:B1000")=$B64) * (INDIRECT("'"&amp;H$1&amp;"'!C2:C1000")=$C64)
        ),7,
        FALSE
    )
)</f>
        <v>Sim</v>
      </c>
      <c r="I64" s="79" t="str">
        <f t="array" aca="1" ref="I64" ca="1">IF(
    VLOOKUP(
        $A64,
        _xlfn._xlws.FILTER(
            INDIRECT("'"&amp;I$1&amp;"'!A2:G1000"), (INDIRECT("'"&amp;I$1&amp;"'!B2:B1000")=$B64) * (INDIRECT("'"&amp;I$1&amp;"'!C2:C1000")=$C64)
        ),
        5,
        FALSE
    )="",
    "",
    VLOOKUP(
        $A64,
        _xlfn._xlws.FILTER(
            INDIRECT("'"&amp;I$1&amp;"'!A2:G1000"), (INDIRECT("'"&amp;I$1&amp;"'!B2:B1000")=$B64) * (INDIRECT("'"&amp;I$1&amp;"'!C2:C1000")=$C64)
        ),7,
        FALSE
    )
)</f>
        <v>Sim</v>
      </c>
      <c r="J64" s="79" t="str">
        <f t="array" aca="1" ref="J64" ca="1">IF(
    VLOOKUP(
        $A64,
        _xlfn._xlws.FILTER(
            INDIRECT("'"&amp;J$1&amp;"'!A2:G1000"), (INDIRECT("'"&amp;J$1&amp;"'!B2:B1000")=$B64) * (INDIRECT("'"&amp;J$1&amp;"'!C2:C1000")=$C64)
        ),
        5,
        FALSE
    )="",
    "",
    VLOOKUP(
        $A64,
        _xlfn._xlws.FILTER(
            INDIRECT("'"&amp;J$1&amp;"'!A2:G1000"), (INDIRECT("'"&amp;J$1&amp;"'!B2:B1000")=$B64) * (INDIRECT("'"&amp;J$1&amp;"'!C2:C1000")=$C64)
        ),7,
        FALSE
    )
)</f>
        <v>Sim</v>
      </c>
      <c r="K64" s="79" t="str">
        <f t="array" aca="1" ref="K64" ca="1">IF(
    VLOOKUP(
        $A64,
        _xlfn._xlws.FILTER(
            INDIRECT("'"&amp;K$1&amp;"'!A2:G1000"), (INDIRECT("'"&amp;K$1&amp;"'!B2:B1000")=$B64) * (INDIRECT("'"&amp;K$1&amp;"'!C2:C1000")=$C64)
        ),
        5,
        FALSE
    )="",
    "",
    VLOOKUP(
        $A64,
        _xlfn._xlws.FILTER(
            INDIRECT("'"&amp;K$1&amp;"'!A2:G1000"), (INDIRECT("'"&amp;K$1&amp;"'!B2:B1000")=$B64) * (INDIRECT("'"&amp;K$1&amp;"'!C2:C1000")=$C64)
        ),7,
        FALSE
    )
)</f>
        <v>Sim</v>
      </c>
      <c r="L64" s="79" t="str">
        <f t="array" aca="1" ref="L64" ca="1">IF(
    VLOOKUP(
        $A64,
        _xlfn._xlws.FILTER(
            INDIRECT("'"&amp;L$1&amp;"'!A2:G1000"), (INDIRECT("'"&amp;L$1&amp;"'!B2:B1000")=$B64) * (INDIRECT("'"&amp;L$1&amp;"'!C2:C1000")=$C64)
        ),
        5,
        FALSE
    )="",
    "",
    VLOOKUP(
        $A64,
        _xlfn._xlws.FILTER(
            INDIRECT("'"&amp;L$1&amp;"'!A2:G1000"), (INDIRECT("'"&amp;L$1&amp;"'!B2:B1000")=$B64) * (INDIRECT("'"&amp;L$1&amp;"'!C2:C1000")=$C64)
        ),7,
        FALSE
    )
)</f>
        <v>Sim</v>
      </c>
      <c r="M64" s="79" t="str">
        <f t="array" aca="1" ref="M64" ca="1">IF(
    VLOOKUP(
        $A64,
        _xlfn._xlws.FILTER(
            INDIRECT("'"&amp;M$1&amp;"'!A2:G1000"), (INDIRECT("'"&amp;M$1&amp;"'!B2:B1000")=$B64) * (INDIRECT("'"&amp;M$1&amp;"'!C2:C1000")=$C64)
        ),
        5,
        FALSE
    )="",
    "",
    VLOOKUP(
        $A64,
        _xlfn._xlws.FILTER(
            INDIRECT("'"&amp;M$1&amp;"'!A2:G1000"), (INDIRECT("'"&amp;M$1&amp;"'!B2:B1000")=$B64) * (INDIRECT("'"&amp;M$1&amp;"'!C2:C1000")=$C64)
        ),7,
        FALSE
    )
)</f>
        <v>Sim</v>
      </c>
      <c r="N64" s="79" t="str">
        <f t="array" aca="1" ref="N64" ca="1">IF(
    VLOOKUP(
        $A64,
        _xlfn._xlws.FILTER(
            INDIRECT("'"&amp;N$1&amp;"'!A2:G1000"), (INDIRECT("'"&amp;N$1&amp;"'!B2:B1000")=$B64) * (INDIRECT("'"&amp;N$1&amp;"'!C2:C1000")=$C64)
        ),
        5,
        FALSE
    )="",
    "",
    VLOOKUP(
        $A64,
        _xlfn._xlws.FILTER(
            INDIRECT("'"&amp;N$1&amp;"'!A2:G1000"), (INDIRECT("'"&amp;N$1&amp;"'!B2:B1000")=$B64) * (INDIRECT("'"&amp;N$1&amp;"'!C2:C1000")=$C64)
        ),7,
        FALSE
    )
)</f>
        <v>Não</v>
      </c>
      <c r="O64" s="79" t="str">
        <f t="array" aca="1" ref="O64" ca="1">IF(
    VLOOKUP(
        $A64,
        _xlfn._xlws.FILTER(
            INDIRECT("'"&amp;O$1&amp;"'!A2:G1000"), (INDIRECT("'"&amp;O$1&amp;"'!B2:B1000")=$B64) * (INDIRECT("'"&amp;O$1&amp;"'!C2:C1000")=$C64)
        ),
        5,
        FALSE
    )="",
    "",
    VLOOKUP(
        $A64,
        _xlfn._xlws.FILTER(
            INDIRECT("'"&amp;O$1&amp;"'!A2:G1000"), (INDIRECT("'"&amp;O$1&amp;"'!B2:B1000")=$B64) * (INDIRECT("'"&amp;O$1&amp;"'!C2:C1000")=$C64)
        ),7,
        FALSE
    )
)</f>
        <v>Não</v>
      </c>
      <c r="P64" s="79" t="str">
        <f t="array" aca="1" ref="P64" ca="1">IF(
    VLOOKUP(
        $A64,
        _xlfn._xlws.FILTER(
            INDIRECT("'"&amp;P$1&amp;"'!A2:G1000"), (INDIRECT("'"&amp;P$1&amp;"'!B2:B1000")=$B64) * (INDIRECT("'"&amp;P$1&amp;"'!C2:C1000")=$C64)
        ),
        5,
        FALSE
    )="",
    "",
    VLOOKUP(
        $A64,
        _xlfn._xlws.FILTER(
            INDIRECT("'"&amp;P$1&amp;"'!A2:G1000"), (INDIRECT("'"&amp;P$1&amp;"'!B2:B1000")=$B64) * (INDIRECT("'"&amp;P$1&amp;"'!C2:C1000")=$C64)
        ),7,
        FALSE
    )
)</f>
        <v>Não</v>
      </c>
      <c r="Q64" s="79" t="str">
        <f t="array" aca="1" ref="Q64" ca="1">IF(
    VLOOKUP(
        $A64,
        _xlfn._xlws.FILTER(
            INDIRECT("'"&amp;Q$1&amp;"'!A2:G1000"), (INDIRECT("'"&amp;Q$1&amp;"'!B2:B1000")=$B64) * (INDIRECT("'"&amp;Q$1&amp;"'!C2:C1000")=$C64)
        ),
        5,
        FALSE
    )="",
    "",
    VLOOKUP(
        $A64,
        _xlfn._xlws.FILTER(
            INDIRECT("'"&amp;Q$1&amp;"'!A2:G1000"), (INDIRECT("'"&amp;Q$1&amp;"'!B2:B1000")=$B64) * (INDIRECT("'"&amp;Q$1&amp;"'!C2:C1000")=$C64)
        ),7,
        FALSE
    )
)</f>
        <v/>
      </c>
    </row>
    <row r="65" spans="1:17" ht="15.75" customHeight="1" x14ac:dyDescent="0.25">
      <c r="A65" s="85" t="s">
        <v>42</v>
      </c>
      <c r="B65" s="79" t="s">
        <v>122</v>
      </c>
      <c r="C65" s="79">
        <v>1</v>
      </c>
      <c r="D65" s="79" t="s">
        <v>131</v>
      </c>
      <c r="E65" s="79" t="str">
        <f t="array" aca="1" ref="E65" ca="1">IF(
    VLOOKUP(
        $A65,
        _xlfn._xlws.FILTER(
            INDIRECT("'"&amp;E$1&amp;"'!A2:G1000"), (INDIRECT("'"&amp;E$1&amp;"'!B2:B1000")=$B65) * (INDIRECT("'"&amp;E$1&amp;"'!C2:C1000")=$C65)
        ),
        5,
        FALSE
    )="",
    "",
    VLOOKUP(
        $A65,
        _xlfn._xlws.FILTER(
            INDIRECT("'"&amp;E$1&amp;"'!A2:G1000"), (INDIRECT("'"&amp;E$1&amp;"'!B2:B1000")=$B65) * (INDIRECT("'"&amp;E$1&amp;"'!C2:C1000")=$C65)
        ),7,
        FALSE
    )
)</f>
        <v>Sim</v>
      </c>
      <c r="F65" s="79" t="str">
        <f t="array" aca="1" ref="F65" ca="1">IF(
    VLOOKUP(
        $A65,
        _xlfn._xlws.FILTER(
            INDIRECT("'"&amp;F$1&amp;"'!A2:G1000"), (INDIRECT("'"&amp;F$1&amp;"'!B2:B1000")=$B65) * (INDIRECT("'"&amp;F$1&amp;"'!C2:C1000")=$C65)
        ),
        5,
        FALSE
    )="",
    "",
    VLOOKUP(
        $A65,
        _xlfn._xlws.FILTER(
            INDIRECT("'"&amp;F$1&amp;"'!A2:G1000"), (INDIRECT("'"&amp;F$1&amp;"'!B2:B1000")=$B65) * (INDIRECT("'"&amp;F$1&amp;"'!C2:C1000")=$C65)
        ),7,
        FALSE
    )
)</f>
        <v>Sim</v>
      </c>
      <c r="G65" s="79" t="str">
        <f t="array" aca="1" ref="G65" ca="1">IF(
    VLOOKUP(
        $A65,
        _xlfn._xlws.FILTER(
            INDIRECT("'"&amp;G$1&amp;"'!A2:G1000"), (INDIRECT("'"&amp;G$1&amp;"'!B2:B1000")=$B65) * (INDIRECT("'"&amp;G$1&amp;"'!C2:C1000")=$C65)
        ),
        5,
        FALSE
    )="",
    "",
    VLOOKUP(
        $A65,
        _xlfn._xlws.FILTER(
            INDIRECT("'"&amp;G$1&amp;"'!A2:G1000"), (INDIRECT("'"&amp;G$1&amp;"'!B2:B1000")=$B65) * (INDIRECT("'"&amp;G$1&amp;"'!C2:C1000")=$C65)
        ),7,
        FALSE
    )
)</f>
        <v>Sim</v>
      </c>
      <c r="H65" s="79" t="str">
        <f t="array" aca="1" ref="H65" ca="1">IF(
    VLOOKUP(
        $A65,
        _xlfn._xlws.FILTER(
            INDIRECT("'"&amp;H$1&amp;"'!A2:G1000"), (INDIRECT("'"&amp;H$1&amp;"'!B2:B1000")=$B65) * (INDIRECT("'"&amp;H$1&amp;"'!C2:C1000")=$C65)
        ),
        5,
        FALSE
    )="",
    "",
    VLOOKUP(
        $A65,
        _xlfn._xlws.FILTER(
            INDIRECT("'"&amp;H$1&amp;"'!A2:G1000"), (INDIRECT("'"&amp;H$1&amp;"'!B2:B1000")=$B65) * (INDIRECT("'"&amp;H$1&amp;"'!C2:C1000")=$C65)
        ),7,
        FALSE
    )
)</f>
        <v>Sim</v>
      </c>
      <c r="I65" s="79" t="str">
        <f t="array" aca="1" ref="I65" ca="1">IF(
    VLOOKUP(
        $A65,
        _xlfn._xlws.FILTER(
            INDIRECT("'"&amp;I$1&amp;"'!A2:G1000"), (INDIRECT("'"&amp;I$1&amp;"'!B2:B1000")=$B65) * (INDIRECT("'"&amp;I$1&amp;"'!C2:C1000")=$C65)
        ),
        5,
        FALSE
    )="",
    "",
    VLOOKUP(
        $A65,
        _xlfn._xlws.FILTER(
            INDIRECT("'"&amp;I$1&amp;"'!A2:G1000"), (INDIRECT("'"&amp;I$1&amp;"'!B2:B1000")=$B65) * (INDIRECT("'"&amp;I$1&amp;"'!C2:C1000")=$C65)
        ),7,
        FALSE
    )
)</f>
        <v>Sim</v>
      </c>
      <c r="J65" s="79" t="str">
        <f t="array" ref="J65" ca="1">IF(
    VLOOKUP(
        $A65,
        _xlfn._xlws.FILTER(
            INDIRECT("'"&amp;J$1&amp;"'!A2:G1000"), (INDIRECT("'"&amp;J$1&amp;"'!B2:B1000")=$B65) * (INDIRECT("'"&amp;J$1&amp;"'!C2:C1000")=$C65)
        ),
        5,
        FALSE
    )="",
    "",
    VLOOKUP(
        $A65,
        _xlfn._xlws.FILTER(
            INDIRECT("'"&amp;J$1&amp;"'!A2:G1000"), (INDIRECT("'"&amp;J$1&amp;"'!B2:B1000")=$B65) * (INDIRECT("'"&amp;J$1&amp;"'!C2:C1000")=$C65)
        ),7,
        FALSE
    )
)</f>
        <v>Sim</v>
      </c>
      <c r="K65" s="79" t="str">
        <f t="array" aca="1" ref="K65" ca="1">IF(
    VLOOKUP(
        $A65,
        _xlfn._xlws.FILTER(
            INDIRECT("'"&amp;K$1&amp;"'!A2:G1000"), (INDIRECT("'"&amp;K$1&amp;"'!B2:B1000")=$B65) * (INDIRECT("'"&amp;K$1&amp;"'!C2:C1000")=$C65)
        ),
        5,
        FALSE
    )="",
    "",
    VLOOKUP(
        $A65,
        _xlfn._xlws.FILTER(
            INDIRECT("'"&amp;K$1&amp;"'!A2:G1000"), (INDIRECT("'"&amp;K$1&amp;"'!B2:B1000")=$B65) * (INDIRECT("'"&amp;K$1&amp;"'!C2:C1000")=$C65)
        ),7,
        FALSE
    )
)</f>
        <v>Sim</v>
      </c>
      <c r="L65" s="79" t="str">
        <f t="array" aca="1" ref="L65" ca="1">IF(
    VLOOKUP(
        $A65,
        _xlfn._xlws.FILTER(
            INDIRECT("'"&amp;L$1&amp;"'!A2:G1000"), (INDIRECT("'"&amp;L$1&amp;"'!B2:B1000")=$B65) * (INDIRECT("'"&amp;L$1&amp;"'!C2:C1000")=$C65)
        ),
        5,
        FALSE
    )="",
    "",
    VLOOKUP(
        $A65,
        _xlfn._xlws.FILTER(
            INDIRECT("'"&amp;L$1&amp;"'!A2:G1000"), (INDIRECT("'"&amp;L$1&amp;"'!B2:B1000")=$B65) * (INDIRECT("'"&amp;L$1&amp;"'!C2:C1000")=$C65)
        ),7,
        FALSE
    )
)</f>
        <v>Sim</v>
      </c>
      <c r="M65" s="79" t="str">
        <f t="array" ref="M65" ca="1">IF(
    VLOOKUP(
        $A65,
        _xlfn._xlws.FILTER(
            INDIRECT("'"&amp;M$1&amp;"'!A2:G1000"), (INDIRECT("'"&amp;M$1&amp;"'!B2:B1000")=$B65) * (INDIRECT("'"&amp;M$1&amp;"'!C2:C1000")=$C65)
        ),
        5,
        FALSE
    )="",
    "",
    VLOOKUP(
        $A65,
        _xlfn._xlws.FILTER(
            INDIRECT("'"&amp;M$1&amp;"'!A2:G1000"), (INDIRECT("'"&amp;M$1&amp;"'!B2:B1000")=$B65) * (INDIRECT("'"&amp;M$1&amp;"'!C2:C1000")=$C65)
        ),7,
        FALSE
    )
)</f>
        <v>Sim</v>
      </c>
      <c r="N65" s="79" t="str">
        <f t="array" aca="1" ref="N65" ca="1">IF(
    VLOOKUP(
        $A65,
        _xlfn._xlws.FILTER(
            INDIRECT("'"&amp;N$1&amp;"'!A2:G1000"), (INDIRECT("'"&amp;N$1&amp;"'!B2:B1000")=$B65) * (INDIRECT("'"&amp;N$1&amp;"'!C2:C1000")=$C65)
        ),
        5,
        FALSE
    )="",
    "",
    VLOOKUP(
        $A65,
        _xlfn._xlws.FILTER(
            INDIRECT("'"&amp;N$1&amp;"'!A2:G1000"), (INDIRECT("'"&amp;N$1&amp;"'!B2:B1000")=$B65) * (INDIRECT("'"&amp;N$1&amp;"'!C2:C1000")=$C65)
        ),7,
        FALSE
    )
)</f>
        <v>Não</v>
      </c>
      <c r="O65" s="79" t="str">
        <f t="array" aca="1" ref="O65" ca="1">IF(
    VLOOKUP(
        $A65,
        _xlfn._xlws.FILTER(
            INDIRECT("'"&amp;O$1&amp;"'!A2:G1000"), (INDIRECT("'"&amp;O$1&amp;"'!B2:B1000")=$B65) * (INDIRECT("'"&amp;O$1&amp;"'!C2:C1000")=$C65)
        ),
        5,
        FALSE
    )="",
    "",
    VLOOKUP(
        $A65,
        _xlfn._xlws.FILTER(
            INDIRECT("'"&amp;O$1&amp;"'!A2:G1000"), (INDIRECT("'"&amp;O$1&amp;"'!B2:B1000")=$B65) * (INDIRECT("'"&amp;O$1&amp;"'!C2:C1000")=$C65)
        ),7,
        FALSE
    )
)</f>
        <v>Não</v>
      </c>
      <c r="P65" s="79" t="str">
        <f t="array" aca="1" ref="P65" ca="1">IF(
    VLOOKUP(
        $A65,
        _xlfn._xlws.FILTER(
            INDIRECT("'"&amp;P$1&amp;"'!A2:G1000"), (INDIRECT("'"&amp;P$1&amp;"'!B2:B1000")=$B65) * (INDIRECT("'"&amp;P$1&amp;"'!C2:C1000")=$C65)
        ),
        5,
        FALSE
    )="",
    "",
    VLOOKUP(
        $A65,
        _xlfn._xlws.FILTER(
            INDIRECT("'"&amp;P$1&amp;"'!A2:G1000"), (INDIRECT("'"&amp;P$1&amp;"'!B2:B1000")=$B65) * (INDIRECT("'"&amp;P$1&amp;"'!C2:C1000")=$C65)
        ),7,
        FALSE
    )
)</f>
        <v>Não</v>
      </c>
      <c r="Q65" s="79" t="str">
        <f t="array" aca="1" ref="Q65" ca="1">IF(
    VLOOKUP(
        $A65,
        _xlfn._xlws.FILTER(
            INDIRECT("'"&amp;Q$1&amp;"'!A2:G1000"), (INDIRECT("'"&amp;Q$1&amp;"'!B2:B1000")=$B65) * (INDIRECT("'"&amp;Q$1&amp;"'!C2:C1000")=$C65)
        ),
        5,
        FALSE
    )="",
    "",
    VLOOKUP(
        $A65,
        _xlfn._xlws.FILTER(
            INDIRECT("'"&amp;Q$1&amp;"'!A2:G1000"), (INDIRECT("'"&amp;Q$1&amp;"'!B2:B1000")=$B65) * (INDIRECT("'"&amp;Q$1&amp;"'!C2:C1000")=$C65)
        ),7,
        FALSE
    )
)</f>
        <v/>
      </c>
    </row>
    <row r="66" spans="1:17" x14ac:dyDescent="0.25">
      <c r="A66" s="85" t="s">
        <v>42</v>
      </c>
      <c r="B66" s="79" t="s">
        <v>123</v>
      </c>
      <c r="C66" s="79">
        <v>1</v>
      </c>
      <c r="D66" s="79" t="str">
        <f t="array" aca="1" ref="D66" ca="1">IF(
    VLOOKUP(
        $A66,
        _xlfn._xlws.FILTER(
            INDIRECT("'"&amp;D$1&amp;"'!A2:G1000"), (INDIRECT("'"&amp;D$1&amp;"'!B2:B1000")=$B66) * (INDIRECT("'"&amp;D$1&amp;"'!C2:C1000")=$C66)
        ),
        5,
        FALSE
    )="",
    "",
    VLOOKUP(
        $A66,
        _xlfn._xlws.FILTER(
            INDIRECT("'"&amp;D$1&amp;"'!A2:G1000"), (INDIRECT("'"&amp;D$1&amp;"'!B2:B1000")=$B66) * (INDIRECT("'"&amp;D$1&amp;"'!C2:C1000")=$C66)
        ),7,
        FALSE
    )
)</f>
        <v>Sim</v>
      </c>
      <c r="E66" s="79" t="str">
        <f t="array" aca="1" ref="E66" ca="1">IF(
    VLOOKUP(
        $A66,
        _xlfn._xlws.FILTER(
            INDIRECT("'"&amp;E$1&amp;"'!A2:G1000"), (INDIRECT("'"&amp;E$1&amp;"'!B2:B1000")=$B66) * (INDIRECT("'"&amp;E$1&amp;"'!C2:C1000")=$C66)
        ),
        5,
        FALSE
    )="",
    "",
    VLOOKUP(
        $A66,
        _xlfn._xlws.FILTER(
            INDIRECT("'"&amp;E$1&amp;"'!A2:G1000"), (INDIRECT("'"&amp;E$1&amp;"'!B2:B1000")=$B66) * (INDIRECT("'"&amp;E$1&amp;"'!C2:C1000")=$C66)
        ),7,
        FALSE
    )
)</f>
        <v>Sim</v>
      </c>
      <c r="F66" s="79" t="str">
        <f t="array" aca="1" ref="F66" ca="1">IF(
    VLOOKUP(
        $A66,
        _xlfn._xlws.FILTER(
            INDIRECT("'"&amp;F$1&amp;"'!A2:G1000"), (INDIRECT("'"&amp;F$1&amp;"'!B2:B1000")=$B66) * (INDIRECT("'"&amp;F$1&amp;"'!C2:C1000")=$C66)
        ),
        5,
        FALSE
    )="",
    "",
    VLOOKUP(
        $A66,
        _xlfn._xlws.FILTER(
            INDIRECT("'"&amp;F$1&amp;"'!A2:G1000"), (INDIRECT("'"&amp;F$1&amp;"'!B2:B1000")=$B66) * (INDIRECT("'"&amp;F$1&amp;"'!C2:C1000")=$C66)
        ),7,
        FALSE
    )
)</f>
        <v>Sim</v>
      </c>
      <c r="G66" s="79" t="str">
        <f t="array" aca="1" ref="G66" ca="1">IF(
    VLOOKUP(
        $A66,
        _xlfn._xlws.FILTER(
            INDIRECT("'"&amp;G$1&amp;"'!A2:G1000"), (INDIRECT("'"&amp;G$1&amp;"'!B2:B1000")=$B66) * (INDIRECT("'"&amp;G$1&amp;"'!C2:C1000")=$C66)
        ),
        5,
        FALSE
    )="",
    "",
    VLOOKUP(
        $A66,
        _xlfn._xlws.FILTER(
            INDIRECT("'"&amp;G$1&amp;"'!A2:G1000"), (INDIRECT("'"&amp;G$1&amp;"'!B2:B1000")=$B66) * (INDIRECT("'"&amp;G$1&amp;"'!C2:C1000")=$C66)
        ),7,
        FALSE
    )
)</f>
        <v>Sim</v>
      </c>
      <c r="H66" s="79" t="str">
        <f t="array" aca="1" ref="H66" ca="1">IF(
    VLOOKUP(
        $A66,
        _xlfn._xlws.FILTER(
            INDIRECT("'"&amp;H$1&amp;"'!A2:G1000"), (INDIRECT("'"&amp;H$1&amp;"'!B2:B1000")=$B66) * (INDIRECT("'"&amp;H$1&amp;"'!C2:C1000")=$C66)
        ),
        5,
        FALSE
    )="",
    "",
    VLOOKUP(
        $A66,
        _xlfn._xlws.FILTER(
            INDIRECT("'"&amp;H$1&amp;"'!A2:G1000"), (INDIRECT("'"&amp;H$1&amp;"'!B2:B1000")=$B66) * (INDIRECT("'"&amp;H$1&amp;"'!C2:C1000")=$C66)
        ),7,
        FALSE
    )
)</f>
        <v>Sim</v>
      </c>
      <c r="I66" s="79" t="str">
        <f t="array" aca="1" ref="I66" ca="1">IF(
    VLOOKUP(
        $A66,
        _xlfn._xlws.FILTER(
            INDIRECT("'"&amp;I$1&amp;"'!A2:G1000"), (INDIRECT("'"&amp;I$1&amp;"'!B2:B1000")=$B66) * (INDIRECT("'"&amp;I$1&amp;"'!C2:C1000")=$C66)
        ),
        5,
        FALSE
    )="",
    "",
    VLOOKUP(
        $A66,
        _xlfn._xlws.FILTER(
            INDIRECT("'"&amp;I$1&amp;"'!A2:G1000"), (INDIRECT("'"&amp;I$1&amp;"'!B2:B1000")=$B66) * (INDIRECT("'"&amp;I$1&amp;"'!C2:C1000")=$C66)
        ),7,
        FALSE
    )
)</f>
        <v>Sim</v>
      </c>
      <c r="J66" s="79" t="str">
        <f t="array" aca="1" ref="J66" ca="1">IF(
    VLOOKUP(
        $A66,
        _xlfn._xlws.FILTER(
            INDIRECT("'"&amp;J$1&amp;"'!A2:G1000"), (INDIRECT("'"&amp;J$1&amp;"'!B2:B1000")=$B66) * (INDIRECT("'"&amp;J$1&amp;"'!C2:C1000")=$C66)
        ),
        5,
        FALSE
    )="",
    "",
    VLOOKUP(
        $A66,
        _xlfn._xlws.FILTER(
            INDIRECT("'"&amp;J$1&amp;"'!A2:G1000"), (INDIRECT("'"&amp;J$1&amp;"'!B2:B1000")=$B66) * (INDIRECT("'"&amp;J$1&amp;"'!C2:C1000")=$C66)
        ),7,
        FALSE
    )
)</f>
        <v>Sim</v>
      </c>
      <c r="K66" s="79" t="str">
        <f t="array" aca="1" ref="K66" ca="1">IF(
    VLOOKUP(
        $A66,
        _xlfn._xlws.FILTER(
            INDIRECT("'"&amp;K$1&amp;"'!A2:G1000"), (INDIRECT("'"&amp;K$1&amp;"'!B2:B1000")=$B66) * (INDIRECT("'"&amp;K$1&amp;"'!C2:C1000")=$C66)
        ),
        5,
        FALSE
    )="",
    "",
    VLOOKUP(
        $A66,
        _xlfn._xlws.FILTER(
            INDIRECT("'"&amp;K$1&amp;"'!A2:G1000"), (INDIRECT("'"&amp;K$1&amp;"'!B2:B1000")=$B66) * (INDIRECT("'"&amp;K$1&amp;"'!C2:C1000")=$C66)
        ),7,
        FALSE
    )
)</f>
        <v>Sim</v>
      </c>
      <c r="L66" s="79" t="str">
        <f t="array" aca="1" ref="L66" ca="1">IF(
    VLOOKUP(
        $A66,
        _xlfn._xlws.FILTER(
            INDIRECT("'"&amp;L$1&amp;"'!A2:G1000"), (INDIRECT("'"&amp;L$1&amp;"'!B2:B1000")=$B66) * (INDIRECT("'"&amp;L$1&amp;"'!C2:C1000")=$C66)
        ),
        5,
        FALSE
    )="",
    "",
    VLOOKUP(
        $A66,
        _xlfn._xlws.FILTER(
            INDIRECT("'"&amp;L$1&amp;"'!A2:G1000"), (INDIRECT("'"&amp;L$1&amp;"'!B2:B1000")=$B66) * (INDIRECT("'"&amp;L$1&amp;"'!C2:C1000")=$C66)
        ),7,
        FALSE
    )
)</f>
        <v>Sim</v>
      </c>
      <c r="M66" s="79" t="str">
        <f t="array" aca="1" ref="M66" ca="1">IF(
    VLOOKUP(
        $A66,
        _xlfn._xlws.FILTER(
            INDIRECT("'"&amp;M$1&amp;"'!A2:G1000"), (INDIRECT("'"&amp;M$1&amp;"'!B2:B1000")=$B66) * (INDIRECT("'"&amp;M$1&amp;"'!C2:C1000")=$C66)
        ),
        5,
        FALSE
    )="",
    "",
    VLOOKUP(
        $A66,
        _xlfn._xlws.FILTER(
            INDIRECT("'"&amp;M$1&amp;"'!A2:G1000"), (INDIRECT("'"&amp;M$1&amp;"'!B2:B1000")=$B66) * (INDIRECT("'"&amp;M$1&amp;"'!C2:C1000")=$C66)
        ),7,
        FALSE
    )
)</f>
        <v>Sim</v>
      </c>
      <c r="N66" s="79" t="str">
        <f t="array" aca="1" ref="N66" ca="1">IF(
    VLOOKUP(
        $A66,
        _xlfn._xlws.FILTER(
            INDIRECT("'"&amp;N$1&amp;"'!A2:G1000"), (INDIRECT("'"&amp;N$1&amp;"'!B2:B1000")=$B66) * (INDIRECT("'"&amp;N$1&amp;"'!C2:C1000")=$C66)
        ),
        5,
        FALSE
    )="",
    "",
    VLOOKUP(
        $A66,
        _xlfn._xlws.FILTER(
            INDIRECT("'"&amp;N$1&amp;"'!A2:G1000"), (INDIRECT("'"&amp;N$1&amp;"'!B2:B1000")=$B66) * (INDIRECT("'"&amp;N$1&amp;"'!C2:C1000")=$C66)
        ),7,
        FALSE
    )
)</f>
        <v>Não</v>
      </c>
      <c r="O66" s="79" t="str">
        <f t="array" aca="1" ref="O66" ca="1">IF(
    VLOOKUP(
        $A66,
        _xlfn._xlws.FILTER(
            INDIRECT("'"&amp;O$1&amp;"'!A2:G1000"), (INDIRECT("'"&amp;O$1&amp;"'!B2:B1000")=$B66) * (INDIRECT("'"&amp;O$1&amp;"'!C2:C1000")=$C66)
        ),
        5,
        FALSE
    )="",
    "",
    VLOOKUP(
        $A66,
        _xlfn._xlws.FILTER(
            INDIRECT("'"&amp;O$1&amp;"'!A2:G1000"), (INDIRECT("'"&amp;O$1&amp;"'!B2:B1000")=$B66) * (INDIRECT("'"&amp;O$1&amp;"'!C2:C1000")=$C66)
        ),7,
        FALSE
    )
)</f>
        <v>Não</v>
      </c>
      <c r="P66" s="79" t="str">
        <f t="array" aca="1" ref="P66" ca="1">IF(
    VLOOKUP(
        $A66,
        _xlfn._xlws.FILTER(
            INDIRECT("'"&amp;P$1&amp;"'!A2:G1000"), (INDIRECT("'"&amp;P$1&amp;"'!B2:B1000")=$B66) * (INDIRECT("'"&amp;P$1&amp;"'!C2:C1000")=$C66)
        ),
        5,
        FALSE
    )="",
    "",
    VLOOKUP(
        $A66,
        _xlfn._xlws.FILTER(
            INDIRECT("'"&amp;P$1&amp;"'!A2:G1000"), (INDIRECT("'"&amp;P$1&amp;"'!B2:B1000")=$B66) * (INDIRECT("'"&amp;P$1&amp;"'!C2:C1000")=$C66)
        ),7,
        FALSE
    )
)</f>
        <v>Não</v>
      </c>
      <c r="Q66" s="79" t="str">
        <f t="array" ref="Q66" ca="1">IF(
    VLOOKUP(
        $A66,
        _xlfn._xlws.FILTER(
            INDIRECT("'"&amp;Q$1&amp;"'!A2:G1000"), (INDIRECT("'"&amp;Q$1&amp;"'!B2:B1000")=$B66) * (INDIRECT("'"&amp;Q$1&amp;"'!C2:C1000")=$C66)
        ),
        5,
        FALSE
    )="",
    "",
    VLOOKUP(
        $A66,
        _xlfn._xlws.FILTER(
            INDIRECT("'"&amp;Q$1&amp;"'!A2:G1000"), (INDIRECT("'"&amp;Q$1&amp;"'!B2:B1000")=$B66) * (INDIRECT("'"&amp;Q$1&amp;"'!C2:C1000")=$C66)
        ),7,
        FALSE
    )
)</f>
        <v/>
      </c>
    </row>
    <row r="67" spans="1:17" x14ac:dyDescent="0.25">
      <c r="A67" s="85" t="s">
        <v>42</v>
      </c>
      <c r="B67" s="79" t="s">
        <v>124</v>
      </c>
      <c r="C67" s="79">
        <v>1</v>
      </c>
      <c r="D67" s="79" t="str">
        <f t="array" aca="1" ref="D67" ca="1">IF(
    VLOOKUP(
        $A67,
        _xlfn._xlws.FILTER(
            INDIRECT("'"&amp;D$1&amp;"'!A2:G1000"), (INDIRECT("'"&amp;D$1&amp;"'!B2:B1000")=$B67) * (INDIRECT("'"&amp;D$1&amp;"'!C2:C1000")=$C67)
        ),
        5,
        FALSE
    )="",
    "",
    VLOOKUP(
        $A67,
        _xlfn._xlws.FILTER(
            INDIRECT("'"&amp;D$1&amp;"'!A2:G1000"), (INDIRECT("'"&amp;D$1&amp;"'!B2:B1000")=$B67) * (INDIRECT("'"&amp;D$1&amp;"'!C2:C1000")=$C67)
        ),7,
        FALSE
    )
)</f>
        <v>Sim</v>
      </c>
      <c r="E67" s="79" t="str">
        <f t="array" aca="1" ref="E67" ca="1">IF(
    VLOOKUP(
        $A67,
        _xlfn._xlws.FILTER(
            INDIRECT("'"&amp;E$1&amp;"'!A2:G1000"), (INDIRECT("'"&amp;E$1&amp;"'!B2:B1000")=$B67) * (INDIRECT("'"&amp;E$1&amp;"'!C2:C1000")=$C67)
        ),
        5,
        FALSE
    )="",
    "",
    VLOOKUP(
        $A67,
        _xlfn._xlws.FILTER(
            INDIRECT("'"&amp;E$1&amp;"'!A2:G1000"), (INDIRECT("'"&amp;E$1&amp;"'!B2:B1000")=$B67) * (INDIRECT("'"&amp;E$1&amp;"'!C2:C1000")=$C67)
        ),7,
        FALSE
    )
)</f>
        <v>Sim</v>
      </c>
      <c r="F67" s="79" t="str">
        <f t="array" aca="1" ref="F67" ca="1">IF(
    VLOOKUP(
        $A67,
        _xlfn._xlws.FILTER(
            INDIRECT("'"&amp;F$1&amp;"'!A2:G1000"), (INDIRECT("'"&amp;F$1&amp;"'!B2:B1000")=$B67) * (INDIRECT("'"&amp;F$1&amp;"'!C2:C1000")=$C67)
        ),
        5,
        FALSE
    )="",
    "",
    VLOOKUP(
        $A67,
        _xlfn._xlws.FILTER(
            INDIRECT("'"&amp;F$1&amp;"'!A2:G1000"), (INDIRECT("'"&amp;F$1&amp;"'!B2:B1000")=$B67) * (INDIRECT("'"&amp;F$1&amp;"'!C2:C1000")=$C67)
        ),7,
        FALSE
    )
)</f>
        <v>Sim</v>
      </c>
      <c r="G67" s="79" t="str">
        <f t="array" aca="1" ref="G67" ca="1">IF(
    VLOOKUP(
        $A67,
        _xlfn._xlws.FILTER(
            INDIRECT("'"&amp;G$1&amp;"'!A2:G1000"), (INDIRECT("'"&amp;G$1&amp;"'!B2:B1000")=$B67) * (INDIRECT("'"&amp;G$1&amp;"'!C2:C1000")=$C67)
        ),
        5,
        FALSE
    )="",
    "",
    VLOOKUP(
        $A67,
        _xlfn._xlws.FILTER(
            INDIRECT("'"&amp;G$1&amp;"'!A2:G1000"), (INDIRECT("'"&amp;G$1&amp;"'!B2:B1000")=$B67) * (INDIRECT("'"&amp;G$1&amp;"'!C2:C1000")=$C67)
        ),7,
        FALSE
    )
)</f>
        <v>Sim</v>
      </c>
      <c r="H67" s="79" t="str">
        <f t="array" aca="1" ref="H67" ca="1">IF(
    VLOOKUP(
        $A67,
        _xlfn._xlws.FILTER(
            INDIRECT("'"&amp;H$1&amp;"'!A2:G1000"), (INDIRECT("'"&amp;H$1&amp;"'!B2:B1000")=$B67) * (INDIRECT("'"&amp;H$1&amp;"'!C2:C1000")=$C67)
        ),
        5,
        FALSE
    )="",
    "",
    VLOOKUP(
        $A67,
        _xlfn._xlws.FILTER(
            INDIRECT("'"&amp;H$1&amp;"'!A2:G1000"), (INDIRECT("'"&amp;H$1&amp;"'!B2:B1000")=$B67) * (INDIRECT("'"&amp;H$1&amp;"'!C2:C1000")=$C67)
        ),7,
        FALSE
    )
)</f>
        <v>Sim</v>
      </c>
      <c r="I67" s="79" t="str">
        <f t="array" ref="I67" ca="1">IF(
    VLOOKUP(
        $A67,
        _xlfn._xlws.FILTER(
            INDIRECT("'"&amp;I$1&amp;"'!A2:G1000"), (INDIRECT("'"&amp;I$1&amp;"'!B2:B1000")=$B67) * (INDIRECT("'"&amp;I$1&amp;"'!C2:C1000")=$C67)
        ),
        5,
        FALSE
    )="",
    "",
    VLOOKUP(
        $A67,
        _xlfn._xlws.FILTER(
            INDIRECT("'"&amp;I$1&amp;"'!A2:G1000"), (INDIRECT("'"&amp;I$1&amp;"'!B2:B1000")=$B67) * (INDIRECT("'"&amp;I$1&amp;"'!C2:C1000")=$C67)
        ),7,
        FALSE
    )
)</f>
        <v>Sim</v>
      </c>
      <c r="J67" s="79" t="str">
        <f t="array" ref="J67" ca="1">IF(
    VLOOKUP(
        $A67,
        _xlfn._xlws.FILTER(
            INDIRECT("'"&amp;J$1&amp;"'!A2:G1000"), (INDIRECT("'"&amp;J$1&amp;"'!B2:B1000")=$B67) * (INDIRECT("'"&amp;J$1&amp;"'!C2:C1000")=$C67)
        ),
        5,
        FALSE
    )="",
    "",
    VLOOKUP(
        $A67,
        _xlfn._xlws.FILTER(
            INDIRECT("'"&amp;J$1&amp;"'!A2:G1000"), (INDIRECT("'"&amp;J$1&amp;"'!B2:B1000")=$B67) * (INDIRECT("'"&amp;J$1&amp;"'!C2:C1000")=$C67)
        ),7,
        FALSE
    )
)</f>
        <v>Sim</v>
      </c>
      <c r="K67" s="79" t="str">
        <f t="array" aca="1" ref="K67" ca="1">IF(
    VLOOKUP(
        $A67,
        _xlfn._xlws.FILTER(
            INDIRECT("'"&amp;K$1&amp;"'!A2:G1000"), (INDIRECT("'"&amp;K$1&amp;"'!B2:B1000")=$B67) * (INDIRECT("'"&amp;K$1&amp;"'!C2:C1000")=$C67)
        ),
        5,
        FALSE
    )="",
    "",
    VLOOKUP(
        $A67,
        _xlfn._xlws.FILTER(
            INDIRECT("'"&amp;K$1&amp;"'!A2:G1000"), (INDIRECT("'"&amp;K$1&amp;"'!B2:B1000")=$B67) * (INDIRECT("'"&amp;K$1&amp;"'!C2:C1000")=$C67)
        ),7,
        FALSE
    )
)</f>
        <v>Sim</v>
      </c>
      <c r="L67" s="79" t="str">
        <f t="array" ref="L67" ca="1">IF(
    VLOOKUP(
        $A67,
        _xlfn._xlws.FILTER(
            INDIRECT("'"&amp;L$1&amp;"'!A2:G1000"), (INDIRECT("'"&amp;L$1&amp;"'!B2:B1000")=$B67) * (INDIRECT("'"&amp;L$1&amp;"'!C2:C1000")=$C67)
        ),
        5,
        FALSE
    )="",
    "",
    VLOOKUP(
        $A67,
        _xlfn._xlws.FILTER(
            INDIRECT("'"&amp;L$1&amp;"'!A2:G1000"), (INDIRECT("'"&amp;L$1&amp;"'!B2:B1000")=$B67) * (INDIRECT("'"&amp;L$1&amp;"'!C2:C1000")=$C67)
        ),7,
        FALSE
    )
)</f>
        <v>Sim</v>
      </c>
      <c r="M67" s="79" t="str">
        <f t="array" ref="M67" ca="1">IF(
    VLOOKUP(
        $A67,
        _xlfn._xlws.FILTER(
            INDIRECT("'"&amp;M$1&amp;"'!A2:G1000"), (INDIRECT("'"&amp;M$1&amp;"'!B2:B1000")=$B67) * (INDIRECT("'"&amp;M$1&amp;"'!C2:C1000")=$C67)
        ),
        5,
        FALSE
    )="",
    "",
    VLOOKUP(
        $A67,
        _xlfn._xlws.FILTER(
            INDIRECT("'"&amp;M$1&amp;"'!A2:G1000"), (INDIRECT("'"&amp;M$1&amp;"'!B2:B1000")=$B67) * (INDIRECT("'"&amp;M$1&amp;"'!C2:C1000")=$C67)
        ),7,
        FALSE
    )
)</f>
        <v>Sim</v>
      </c>
      <c r="N67" s="79" t="str">
        <f t="array" aca="1" ref="N67" ca="1">IF(
    VLOOKUP(
        $A67,
        _xlfn._xlws.FILTER(
            INDIRECT("'"&amp;N$1&amp;"'!A2:G1000"), (INDIRECT("'"&amp;N$1&amp;"'!B2:B1000")=$B67) * (INDIRECT("'"&amp;N$1&amp;"'!C2:C1000")=$C67)
        ),
        5,
        FALSE
    )="",
    "",
    VLOOKUP(
        $A67,
        _xlfn._xlws.FILTER(
            INDIRECT("'"&amp;N$1&amp;"'!A2:G1000"), (INDIRECT("'"&amp;N$1&amp;"'!B2:B1000")=$B67) * (INDIRECT("'"&amp;N$1&amp;"'!C2:C1000")=$C67)
        ),7,
        FALSE
    )
)</f>
        <v>Não</v>
      </c>
      <c r="O67" s="79" t="str">
        <f t="array" aca="1" ref="O67" ca="1">IF(
    VLOOKUP(
        $A67,
        _xlfn._xlws.FILTER(
            INDIRECT("'"&amp;O$1&amp;"'!A2:G1000"), (INDIRECT("'"&amp;O$1&amp;"'!B2:B1000")=$B67) * (INDIRECT("'"&amp;O$1&amp;"'!C2:C1000")=$C67)
        ),
        5,
        FALSE
    )="",
    "",
    VLOOKUP(
        $A67,
        _xlfn._xlws.FILTER(
            INDIRECT("'"&amp;O$1&amp;"'!A2:G1000"), (INDIRECT("'"&amp;O$1&amp;"'!B2:B1000")=$B67) * (INDIRECT("'"&amp;O$1&amp;"'!C2:C1000")=$C67)
        ),7,
        FALSE
    )
)</f>
        <v>Não</v>
      </c>
      <c r="P67" s="79" t="str">
        <f t="array" ref="P67" ca="1">IF(
    VLOOKUP(
        $A67,
        _xlfn._xlws.FILTER(
            INDIRECT("'"&amp;P$1&amp;"'!A2:G1000"), (INDIRECT("'"&amp;P$1&amp;"'!B2:B1000")=$B67) * (INDIRECT("'"&amp;P$1&amp;"'!C2:C1000")=$C67)
        ),
        5,
        FALSE
    )="",
    "",
    VLOOKUP(
        $A67,
        _xlfn._xlws.FILTER(
            INDIRECT("'"&amp;P$1&amp;"'!A2:G1000"), (INDIRECT("'"&amp;P$1&amp;"'!B2:B1000")=$B67) * (INDIRECT("'"&amp;P$1&amp;"'!C2:C1000")=$C67)
        ),7,
        FALSE
    )
)</f>
        <v>Não</v>
      </c>
      <c r="Q67" s="79" t="str">
        <f t="array" aca="1" ref="Q67" ca="1">IF(
    VLOOKUP(
        $A67,
        _xlfn._xlws.FILTER(
            INDIRECT("'"&amp;Q$1&amp;"'!A2:G1000"), (INDIRECT("'"&amp;Q$1&amp;"'!B2:B1000")=$B67) * (INDIRECT("'"&amp;Q$1&amp;"'!C2:C1000")=$C67)
        ),
        5,
        FALSE
    )="",
    "",
    VLOOKUP(
        $A67,
        _xlfn._xlws.FILTER(
            INDIRECT("'"&amp;Q$1&amp;"'!A2:G1000"), (INDIRECT("'"&amp;Q$1&amp;"'!B2:B1000")=$B67) * (INDIRECT("'"&amp;Q$1&amp;"'!C2:C1000")=$C67)
        ),7,
        FALSE
    )
)</f>
        <v/>
      </c>
    </row>
    <row r="68" spans="1:17" x14ac:dyDescent="0.25">
      <c r="A68" s="35"/>
      <c r="B68" s="35"/>
      <c r="C68" s="35"/>
    </row>
    <row r="69" spans="1:17" ht="15.75" customHeight="1" x14ac:dyDescent="0.25">
      <c r="A69" s="105" t="s">
        <v>27</v>
      </c>
      <c r="B69" s="37" t="s">
        <v>86</v>
      </c>
      <c r="C69" s="37" t="s">
        <v>71</v>
      </c>
      <c r="D69" s="42" t="s">
        <v>1</v>
      </c>
      <c r="E69" s="42" t="s">
        <v>2</v>
      </c>
      <c r="F69" s="42" t="s">
        <v>3</v>
      </c>
      <c r="G69" s="42" t="s">
        <v>4</v>
      </c>
      <c r="H69" s="42" t="s">
        <v>5</v>
      </c>
      <c r="I69" s="42" t="s">
        <v>6</v>
      </c>
      <c r="J69" s="42" t="s">
        <v>7</v>
      </c>
      <c r="K69" s="42" t="s">
        <v>8</v>
      </c>
      <c r="L69" s="42" t="s">
        <v>9</v>
      </c>
      <c r="M69" s="42" t="s">
        <v>10</v>
      </c>
      <c r="N69" s="42" t="s">
        <v>11</v>
      </c>
      <c r="O69" s="42" t="s">
        <v>12</v>
      </c>
      <c r="P69" s="42" t="s">
        <v>13</v>
      </c>
      <c r="Q69" s="42" t="s">
        <v>14</v>
      </c>
    </row>
    <row r="70" spans="1:17" x14ac:dyDescent="0.25">
      <c r="A70" s="87" t="s">
        <v>43</v>
      </c>
      <c r="B70" s="79" t="s">
        <v>125</v>
      </c>
      <c r="C70" s="79">
        <v>1</v>
      </c>
      <c r="D70" s="79" t="str">
        <f t="array" aca="1" ref="D70" ca="1">IF(
    VLOOKUP(
        $A70,
        _xlfn._xlws.FILTER(
            INDIRECT("'"&amp;D$1&amp;"'!A2:G1000"), (INDIRECT("'"&amp;D$1&amp;"'!B2:B1000")=$B70) * (INDIRECT("'"&amp;D$1&amp;"'!C2:C1000")=$C70)
        ),
        5,
        FALSE
    )="",
    "",
    VLOOKUP(
        $A70,
        _xlfn._xlws.FILTER(
            INDIRECT("'"&amp;D$1&amp;"'!A2:G1000"), (INDIRECT("'"&amp;D$1&amp;"'!B2:B1000")=$B70) * (INDIRECT("'"&amp;D$1&amp;"'!C2:C1000")=$C70)
        ),7,
        FALSE
    )
)</f>
        <v>Sim</v>
      </c>
      <c r="E70" s="79" t="str">
        <f t="array" ref="E70" ca="1">IF(
    VLOOKUP(
        $A70,
        _xlfn._xlws.FILTER(
            INDIRECT("'"&amp;E$1&amp;"'!A2:G1000"), (INDIRECT("'"&amp;E$1&amp;"'!B2:B1000")=$B70) * (INDIRECT("'"&amp;E$1&amp;"'!C2:C1000")=$C70)
        ),
        5,
        FALSE
    )="",
    "",
    VLOOKUP(
        $A70,
        _xlfn._xlws.FILTER(
            INDIRECT("'"&amp;E$1&amp;"'!A2:G1000"), (INDIRECT("'"&amp;E$1&amp;"'!B2:B1000")=$B70) * (INDIRECT("'"&amp;E$1&amp;"'!C2:C1000")=$C70)
        ),7,
        FALSE
    )
)</f>
        <v>Sim</v>
      </c>
      <c r="F70" s="79" t="str">
        <f t="array" aca="1" ref="F70" ca="1">IF(
    VLOOKUP(
        $A70,
        _xlfn._xlws.FILTER(
            INDIRECT("'"&amp;F$1&amp;"'!A2:G1000"), (INDIRECT("'"&amp;F$1&amp;"'!B2:B1000")=$B70) * (INDIRECT("'"&amp;F$1&amp;"'!C2:C1000")=$C70)
        ),
        5,
        FALSE
    )="",
    "",
    VLOOKUP(
        $A70,
        _xlfn._xlws.FILTER(
            INDIRECT("'"&amp;F$1&amp;"'!A2:G1000"), (INDIRECT("'"&amp;F$1&amp;"'!B2:B1000")=$B70) * (INDIRECT("'"&amp;F$1&amp;"'!C2:C1000")=$C70)
        ),7,
        FALSE
    )
)</f>
        <v>Sim</v>
      </c>
      <c r="G70" s="79" t="str">
        <f t="array" aca="1" ref="G70" ca="1">IF(
    VLOOKUP(
        $A70,
        _xlfn._xlws.FILTER(
            INDIRECT("'"&amp;G$1&amp;"'!A2:G1000"), (INDIRECT("'"&amp;G$1&amp;"'!B2:B1000")=$B70) * (INDIRECT("'"&amp;G$1&amp;"'!C2:C1000")=$C70)
        ),
        5,
        FALSE
    )="",
    "",
    VLOOKUP(
        $A70,
        _xlfn._xlws.FILTER(
            INDIRECT("'"&amp;G$1&amp;"'!A2:G1000"), (INDIRECT("'"&amp;G$1&amp;"'!B2:B1000")=$B70) * (INDIRECT("'"&amp;G$1&amp;"'!C2:C1000")=$C70)
        ),7,
        FALSE
    )
)</f>
        <v>Sim</v>
      </c>
      <c r="H70" s="79" t="str">
        <f t="array" ref="H70" ca="1">IF(
    VLOOKUP(
        $A70,
        _xlfn._xlws.FILTER(
            INDIRECT("'"&amp;H$1&amp;"'!A2:G1000"), (INDIRECT("'"&amp;H$1&amp;"'!B2:B1000")=$B70) * (INDIRECT("'"&amp;H$1&amp;"'!C2:C1000")=$C70)
        ),
        5,
        FALSE
    )="",
    "",
    VLOOKUP(
        $A70,
        _xlfn._xlws.FILTER(
            INDIRECT("'"&amp;H$1&amp;"'!A2:G1000"), (INDIRECT("'"&amp;H$1&amp;"'!B2:B1000")=$B70) * (INDIRECT("'"&amp;H$1&amp;"'!C2:C1000")=$C70)
        ),7,
        FALSE
    )
)</f>
        <v>Sim</v>
      </c>
      <c r="I70" s="79" t="str">
        <f t="array" aca="1" ref="I70" ca="1">IF(
    VLOOKUP(
        $A70,
        _xlfn._xlws.FILTER(
            INDIRECT("'"&amp;I$1&amp;"'!A2:G1000"), (INDIRECT("'"&amp;I$1&amp;"'!B2:B1000")=$B70) * (INDIRECT("'"&amp;I$1&amp;"'!C2:C1000")=$C70)
        ),
        5,
        FALSE
    )="",
    "",
    VLOOKUP(
        $A70,
        _xlfn._xlws.FILTER(
            INDIRECT("'"&amp;I$1&amp;"'!A2:G1000"), (INDIRECT("'"&amp;I$1&amp;"'!B2:B1000")=$B70) * (INDIRECT("'"&amp;I$1&amp;"'!C2:C1000")=$C70)
        ),7,
        FALSE
    )
)</f>
        <v>Sim</v>
      </c>
      <c r="J70" s="79" t="str">
        <f t="array" ref="J70" ca="1">IF(
    VLOOKUP(
        $A70,
        _xlfn._xlws.FILTER(
            INDIRECT("'"&amp;J$1&amp;"'!A2:G1000"), (INDIRECT("'"&amp;J$1&amp;"'!B2:B1000")=$B70) * (INDIRECT("'"&amp;J$1&amp;"'!C2:C1000")=$C70)
        ),
        5,
        FALSE
    )="",
    "",
    VLOOKUP(
        $A70,
        _xlfn._xlws.FILTER(
            INDIRECT("'"&amp;J$1&amp;"'!A2:G1000"), (INDIRECT("'"&amp;J$1&amp;"'!B2:B1000")=$B70) * (INDIRECT("'"&amp;J$1&amp;"'!C2:C1000")=$C70)
        ),7,
        FALSE
    )
)</f>
        <v>Sim</v>
      </c>
      <c r="K70" s="79" t="str">
        <f t="array" ref="K70" ca="1">IF(
    VLOOKUP(
        $A70,
        _xlfn._xlws.FILTER(
            INDIRECT("'"&amp;K$1&amp;"'!A2:G1000"), (INDIRECT("'"&amp;K$1&amp;"'!B2:B1000")=$B70) * (INDIRECT("'"&amp;K$1&amp;"'!C2:C1000")=$C70)
        ),
        5,
        FALSE
    )="",
    "",
    VLOOKUP(
        $A70,
        _xlfn._xlws.FILTER(
            INDIRECT("'"&amp;K$1&amp;"'!A2:G1000"), (INDIRECT("'"&amp;K$1&amp;"'!B2:B1000")=$B70) * (INDIRECT("'"&amp;K$1&amp;"'!C2:C1000")=$C70)
        ),7,
        FALSE
    )
)</f>
        <v>Sim</v>
      </c>
      <c r="L70" s="79" t="str">
        <f t="array" aca="1" ref="L70" ca="1">IF(
    VLOOKUP(
        $A70,
        _xlfn._xlws.FILTER(
            INDIRECT("'"&amp;L$1&amp;"'!A2:G1000"), (INDIRECT("'"&amp;L$1&amp;"'!B2:B1000")=$B70) * (INDIRECT("'"&amp;L$1&amp;"'!C2:C1000")=$C70)
        ),
        5,
        FALSE
    )="",
    "",
    VLOOKUP(
        $A70,
        _xlfn._xlws.FILTER(
            INDIRECT("'"&amp;L$1&amp;"'!A2:G1000"), (INDIRECT("'"&amp;L$1&amp;"'!B2:B1000")=$B70) * (INDIRECT("'"&amp;L$1&amp;"'!C2:C1000")=$C70)
        ),7,
        FALSE
    )
)</f>
        <v>Sim</v>
      </c>
      <c r="M70" s="79" t="str">
        <f t="array" aca="1" ref="M70" ca="1">IF(
    VLOOKUP(
        $A70,
        _xlfn._xlws.FILTER(
            INDIRECT("'"&amp;M$1&amp;"'!A2:G1000"), (INDIRECT("'"&amp;M$1&amp;"'!B2:B1000")=$B70) * (INDIRECT("'"&amp;M$1&amp;"'!C2:C1000")=$C70)
        ),
        5,
        FALSE
    )="",
    "",
    VLOOKUP(
        $A70,
        _xlfn._xlws.FILTER(
            INDIRECT("'"&amp;M$1&amp;"'!A2:G1000"), (INDIRECT("'"&amp;M$1&amp;"'!B2:B1000")=$B70) * (INDIRECT("'"&amp;M$1&amp;"'!C2:C1000")=$C70)
        ),7,
        FALSE
    )
)</f>
        <v>Sim</v>
      </c>
      <c r="N70" s="79" t="str">
        <f t="array" ref="N70" ca="1">IF(
    VLOOKUP(
        $A70,
        _xlfn._xlws.FILTER(
            INDIRECT("'"&amp;N$1&amp;"'!A2:G1000"), (INDIRECT("'"&amp;N$1&amp;"'!B2:B1000")=$B70) * (INDIRECT("'"&amp;N$1&amp;"'!C2:C1000")=$C70)
        ),
        5,
        FALSE
    )="",
    "",
    VLOOKUP(
        $A70,
        _xlfn._xlws.FILTER(
            INDIRECT("'"&amp;N$1&amp;"'!A2:G1000"), (INDIRECT("'"&amp;N$1&amp;"'!B2:B1000")=$B70) * (INDIRECT("'"&amp;N$1&amp;"'!C2:C1000")=$C70)
        ),7,
        FALSE
    )
)</f>
        <v>Sim</v>
      </c>
      <c r="O70" s="79" t="str">
        <f t="array" aca="1" ref="O70" ca="1">IF(
    VLOOKUP(
        $A70,
        _xlfn._xlws.FILTER(
            INDIRECT("'"&amp;O$1&amp;"'!A2:G1000"), (INDIRECT("'"&amp;O$1&amp;"'!B2:B1000")=$B70) * (INDIRECT("'"&amp;O$1&amp;"'!C2:C1000")=$C70)
        ),
        5,
        FALSE
    )="",
    "",
    VLOOKUP(
        $A70,
        _xlfn._xlws.FILTER(
            INDIRECT("'"&amp;O$1&amp;"'!A2:G1000"), (INDIRECT("'"&amp;O$1&amp;"'!B2:B1000")=$B70) * (INDIRECT("'"&amp;O$1&amp;"'!C2:C1000")=$C70)
        ),7,
        FALSE
    )
)</f>
        <v>Sim</v>
      </c>
      <c r="P70" s="79" t="str">
        <f t="array" aca="1" ref="P70" ca="1">IF(
    VLOOKUP(
        $A70,
        _xlfn._xlws.FILTER(
            INDIRECT("'"&amp;P$1&amp;"'!A2:G1000"), (INDIRECT("'"&amp;P$1&amp;"'!B2:B1000")=$B70) * (INDIRECT("'"&amp;P$1&amp;"'!C2:C1000")=$C70)
        ),
        5,
        FALSE
    )="",
    "",
    VLOOKUP(
        $A70,
        _xlfn._xlws.FILTER(
            INDIRECT("'"&amp;P$1&amp;"'!A2:G1000"), (INDIRECT("'"&amp;P$1&amp;"'!B2:B1000")=$B70) * (INDIRECT("'"&amp;P$1&amp;"'!C2:C1000")=$C70)
        ),7,
        FALSE
    )
)</f>
        <v>Sim</v>
      </c>
      <c r="Q70" s="79" t="str">
        <f t="array" ref="Q70" ca="1">IF(
    VLOOKUP(
        $A70,
        _xlfn._xlws.FILTER(
            INDIRECT("'"&amp;Q$1&amp;"'!A2:G1000"), (INDIRECT("'"&amp;Q$1&amp;"'!B2:B1000")=$B70) * (INDIRECT("'"&amp;Q$1&amp;"'!C2:C1000")=$C70)
        ),
        5,
        FALSE
    )="",
    "",
    VLOOKUP(
        $A70,
        _xlfn._xlws.FILTER(
            INDIRECT("'"&amp;Q$1&amp;"'!A2:G1000"), (INDIRECT("'"&amp;Q$1&amp;"'!B2:B1000")=$B70) * (INDIRECT("'"&amp;Q$1&amp;"'!C2:C1000")=$C70)
        ),7,
        FALSE
    )
)</f>
        <v/>
      </c>
    </row>
    <row r="71" spans="1:17" x14ac:dyDescent="0.25">
      <c r="A71" s="87" t="s">
        <v>43</v>
      </c>
      <c r="B71" s="79" t="s">
        <v>126</v>
      </c>
      <c r="C71" s="79">
        <v>1</v>
      </c>
      <c r="D71" s="79" t="str">
        <f t="array" aca="1" ref="D71" ca="1">IF(
    VLOOKUP(
        $A71,
        _xlfn._xlws.FILTER(
            INDIRECT("'"&amp;D$1&amp;"'!A2:G1000"), (INDIRECT("'"&amp;D$1&amp;"'!B2:B1000")=$B71) * (INDIRECT("'"&amp;D$1&amp;"'!C2:C1000")=$C71)
        ),
        5,
        FALSE
    )="",
    "",
    VLOOKUP(
        $A71,
        _xlfn._xlws.FILTER(
            INDIRECT("'"&amp;D$1&amp;"'!A2:G1000"), (INDIRECT("'"&amp;D$1&amp;"'!B2:B1000")=$B71) * (INDIRECT("'"&amp;D$1&amp;"'!C2:C1000")=$C71)
        ),7,
        FALSE
    )
)</f>
        <v>Não</v>
      </c>
      <c r="E71" s="79" t="str">
        <f t="array" aca="1" ref="E71" ca="1">IF(
    VLOOKUP(
        $A71,
        _xlfn._xlws.FILTER(
            INDIRECT("'"&amp;E$1&amp;"'!A2:G1000"), (INDIRECT("'"&amp;E$1&amp;"'!B2:B1000")=$B71) * (INDIRECT("'"&amp;E$1&amp;"'!C2:C1000")=$C71)
        ),
        5,
        FALSE
    )="",
    "",
    VLOOKUP(
        $A71,
        _xlfn._xlws.FILTER(
            INDIRECT("'"&amp;E$1&amp;"'!A2:G1000"), (INDIRECT("'"&amp;E$1&amp;"'!B2:B1000")=$B71) * (INDIRECT("'"&amp;E$1&amp;"'!C2:C1000")=$C71)
        ),7,
        FALSE
    )
)</f>
        <v>Não</v>
      </c>
      <c r="F71" s="79" t="str">
        <f t="array" ref="F71" ca="1">IF(
    VLOOKUP(
        $A71,
        _xlfn._xlws.FILTER(
            INDIRECT("'"&amp;F$1&amp;"'!A2:G1000"), (INDIRECT("'"&amp;F$1&amp;"'!B2:B1000")=$B71) * (INDIRECT("'"&amp;F$1&amp;"'!C2:C1000")=$C71)
        ),
        5,
        FALSE
    )="",
    "",
    VLOOKUP(
        $A71,
        _xlfn._xlws.FILTER(
            INDIRECT("'"&amp;F$1&amp;"'!A2:G1000"), (INDIRECT("'"&amp;F$1&amp;"'!B2:B1000")=$B71) * (INDIRECT("'"&amp;F$1&amp;"'!C2:C1000")=$C71)
        ),7,
        FALSE
    )
)</f>
        <v>Sim</v>
      </c>
      <c r="G71" s="79" t="str">
        <f t="array" aca="1" ref="G71" ca="1">IF(
    VLOOKUP(
        $A71,
        _xlfn._xlws.FILTER(
            INDIRECT("'"&amp;G$1&amp;"'!A2:G1000"), (INDIRECT("'"&amp;G$1&amp;"'!B2:B1000")=$B71) * (INDIRECT("'"&amp;G$1&amp;"'!C2:C1000")=$C71)
        ),
        5,
        FALSE
    )="",
    "",
    VLOOKUP(
        $A71,
        _xlfn._xlws.FILTER(
            INDIRECT("'"&amp;G$1&amp;"'!A2:G1000"), (INDIRECT("'"&amp;G$1&amp;"'!B2:B1000")=$B71) * (INDIRECT("'"&amp;G$1&amp;"'!C2:C1000")=$C71)
        ),7,
        FALSE
    )
)</f>
        <v>Sim</v>
      </c>
      <c r="H71" s="79" t="str">
        <f t="array" aca="1" ref="H71" ca="1">IF(
    VLOOKUP(
        $A71,
        _xlfn._xlws.FILTER(
            INDIRECT("'"&amp;H$1&amp;"'!A2:G1000"), (INDIRECT("'"&amp;H$1&amp;"'!B2:B1000")=$B71) * (INDIRECT("'"&amp;H$1&amp;"'!C2:C1000")=$C71)
        ),
        5,
        FALSE
    )="",
    "",
    VLOOKUP(
        $A71,
        _xlfn._xlws.FILTER(
            INDIRECT("'"&amp;H$1&amp;"'!A2:G1000"), (INDIRECT("'"&amp;H$1&amp;"'!B2:B1000")=$B71) * (INDIRECT("'"&amp;H$1&amp;"'!C2:C1000")=$C71)
        ),7,
        FALSE
    )
)</f>
        <v>Sim</v>
      </c>
      <c r="I71" s="79" t="str">
        <f t="array" ref="I71" ca="1">IF(
    VLOOKUP(
        $A71,
        _xlfn._xlws.FILTER(
            INDIRECT("'"&amp;I$1&amp;"'!A2:G1000"), (INDIRECT("'"&amp;I$1&amp;"'!B2:B1000")=$B71) * (INDIRECT("'"&amp;I$1&amp;"'!C2:C1000")=$C71)
        ),
        5,
        FALSE
    )="",
    "",
    VLOOKUP(
        $A71,
        _xlfn._xlws.FILTER(
            INDIRECT("'"&amp;I$1&amp;"'!A2:G1000"), (INDIRECT("'"&amp;I$1&amp;"'!B2:B1000")=$B71) * (INDIRECT("'"&amp;I$1&amp;"'!C2:C1000")=$C71)
        ),7,
        FALSE
    )
)</f>
        <v>Sim</v>
      </c>
      <c r="J71" s="79" t="str">
        <f t="array" aca="1" ref="J71" ca="1">IF(
    VLOOKUP(
        $A71,
        _xlfn._xlws.FILTER(
            INDIRECT("'"&amp;J$1&amp;"'!A2:G1000"), (INDIRECT("'"&amp;J$1&amp;"'!B2:B1000")=$B71) * (INDIRECT("'"&amp;J$1&amp;"'!C2:C1000")=$C71)
        ),
        5,
        FALSE
    )="",
    "",
    VLOOKUP(
        $A71,
        _xlfn._xlws.FILTER(
            INDIRECT("'"&amp;J$1&amp;"'!A2:G1000"), (INDIRECT("'"&amp;J$1&amp;"'!B2:B1000")=$B71) * (INDIRECT("'"&amp;J$1&amp;"'!C2:C1000")=$C71)
        ),7,
        FALSE
    )
)</f>
        <v>Sim</v>
      </c>
      <c r="K71" s="79" t="str">
        <f t="array" aca="1" ref="K71" ca="1">IF(
    VLOOKUP(
        $A71,
        _xlfn._xlws.FILTER(
            INDIRECT("'"&amp;K$1&amp;"'!A2:G1000"), (INDIRECT("'"&amp;K$1&amp;"'!B2:B1000")=$B71) * (INDIRECT("'"&amp;K$1&amp;"'!C2:C1000")=$C71)
        ),
        5,
        FALSE
    )="",
    "",
    VLOOKUP(
        $A71,
        _xlfn._xlws.FILTER(
            INDIRECT("'"&amp;K$1&amp;"'!A2:G1000"), (INDIRECT("'"&amp;K$1&amp;"'!B2:B1000")=$B71) * (INDIRECT("'"&amp;K$1&amp;"'!C2:C1000")=$C71)
        ),7,
        FALSE
    )
)</f>
        <v>Sim</v>
      </c>
      <c r="L71" s="79" t="str">
        <f t="array" ref="L71" ca="1">IF(
    VLOOKUP(
        $A71,
        _xlfn._xlws.FILTER(
            INDIRECT("'"&amp;L$1&amp;"'!A2:G1000"), (INDIRECT("'"&amp;L$1&amp;"'!B2:B1000")=$B71) * (INDIRECT("'"&amp;L$1&amp;"'!C2:C1000")=$C71)
        ),
        5,
        FALSE
    )="",
    "",
    VLOOKUP(
        $A71,
        _xlfn._xlws.FILTER(
            INDIRECT("'"&amp;L$1&amp;"'!A2:G1000"), (INDIRECT("'"&amp;L$1&amp;"'!B2:B1000")=$B71) * (INDIRECT("'"&amp;L$1&amp;"'!C2:C1000")=$C71)
        ),7,
        FALSE
    )
)</f>
        <v>Sim</v>
      </c>
      <c r="M71" s="79" t="str">
        <f t="array" aca="1" ref="M71" ca="1">IF(
    VLOOKUP(
        $A71,
        _xlfn._xlws.FILTER(
            INDIRECT("'"&amp;M$1&amp;"'!A2:G1000"), (INDIRECT("'"&amp;M$1&amp;"'!B2:B1000")=$B71) * (INDIRECT("'"&amp;M$1&amp;"'!C2:C1000")=$C71)
        ),
        5,
        FALSE
    )="",
    "",
    VLOOKUP(
        $A71,
        _xlfn._xlws.FILTER(
            INDIRECT("'"&amp;M$1&amp;"'!A2:G1000"), (INDIRECT("'"&amp;M$1&amp;"'!B2:B1000")=$B71) * (INDIRECT("'"&amp;M$1&amp;"'!C2:C1000")=$C71)
        ),7,
        FALSE
    )
)</f>
        <v>Sim</v>
      </c>
      <c r="N71" s="79" t="str">
        <f t="array" ref="N71" ca="1">IF(
    VLOOKUP(
        $A71,
        _xlfn._xlws.FILTER(
            INDIRECT("'"&amp;N$1&amp;"'!A2:G1000"), (INDIRECT("'"&amp;N$1&amp;"'!B2:B1000")=$B71) * (INDIRECT("'"&amp;N$1&amp;"'!C2:C1000")=$C71)
        ),
        5,
        FALSE
    )="",
    "",
    VLOOKUP(
        $A71,
        _xlfn._xlws.FILTER(
            INDIRECT("'"&amp;N$1&amp;"'!A2:G1000"), (INDIRECT("'"&amp;N$1&amp;"'!B2:B1000")=$B71) * (INDIRECT("'"&amp;N$1&amp;"'!C2:C1000")=$C71)
        ),7,
        FALSE
    )
)</f>
        <v>Sim</v>
      </c>
      <c r="O71" s="79" t="str">
        <f t="array" ref="O71" ca="1">IF(
    VLOOKUP(
        $A71,
        _xlfn._xlws.FILTER(
            INDIRECT("'"&amp;O$1&amp;"'!A2:G1000"), (INDIRECT("'"&amp;O$1&amp;"'!B2:B1000")=$B71) * (INDIRECT("'"&amp;O$1&amp;"'!C2:C1000")=$C71)
        ),
        5,
        FALSE
    )="",
    "",
    VLOOKUP(
        $A71,
        _xlfn._xlws.FILTER(
            INDIRECT("'"&amp;O$1&amp;"'!A2:G1000"), (INDIRECT("'"&amp;O$1&amp;"'!B2:B1000")=$B71) * (INDIRECT("'"&amp;O$1&amp;"'!C2:C1000")=$C71)
        ),7,
        FALSE
    )
)</f>
        <v>Sim</v>
      </c>
      <c r="P71" s="79" t="str">
        <f t="array" ref="P71" ca="1">IF(
    VLOOKUP(
        $A71,
        _xlfn._xlws.FILTER(
            INDIRECT("'"&amp;P$1&amp;"'!A2:G1000"), (INDIRECT("'"&amp;P$1&amp;"'!B2:B1000")=$B71) * (INDIRECT("'"&amp;P$1&amp;"'!C2:C1000")=$C71)
        ),
        5,
        FALSE
    )="",
    "",
    VLOOKUP(
        $A71,
        _xlfn._xlws.FILTER(
            INDIRECT("'"&amp;P$1&amp;"'!A2:G1000"), (INDIRECT("'"&amp;P$1&amp;"'!B2:B1000")=$B71) * (INDIRECT("'"&amp;P$1&amp;"'!C2:C1000")=$C71)
        ),7,
        FALSE
    )
)</f>
        <v>Sim</v>
      </c>
      <c r="Q71" s="79" t="str">
        <f t="array" ref="Q71" ca="1">IF(
    VLOOKUP(
        $A71,
        _xlfn._xlws.FILTER(
            INDIRECT("'"&amp;Q$1&amp;"'!A2:G1000"), (INDIRECT("'"&amp;Q$1&amp;"'!B2:B1000")=$B71) * (INDIRECT("'"&amp;Q$1&amp;"'!C2:C1000")=$C71)
        ),
        5,
        FALSE
    )="",
    "",
    VLOOKUP(
        $A71,
        _xlfn._xlws.FILTER(
            INDIRECT("'"&amp;Q$1&amp;"'!A2:G1000"), (INDIRECT("'"&amp;Q$1&amp;"'!B2:B1000")=$B71) * (INDIRECT("'"&amp;Q$1&amp;"'!C2:C1000")=$C71)
        ),7,
        FALSE
    )
)</f>
        <v/>
      </c>
    </row>
    <row r="72" spans="1:17" x14ac:dyDescent="0.25">
      <c r="A72" s="87" t="s">
        <v>43</v>
      </c>
      <c r="B72" s="79" t="s">
        <v>126</v>
      </c>
      <c r="C72" s="79">
        <v>2</v>
      </c>
      <c r="D72" s="79" t="str">
        <f t="array" ref="D72" ca="1">IF(
    VLOOKUP(
        $A72,
        _xlfn._xlws.FILTER(
            INDIRECT("'"&amp;D$1&amp;"'!A2:G1000"), (INDIRECT("'"&amp;D$1&amp;"'!B2:B1000")=$B72) * (INDIRECT("'"&amp;D$1&amp;"'!C2:C1000")=$C72)
        ),
        5,
        FALSE
    )="",
    "",
    VLOOKUP(
        $A72,
        _xlfn._xlws.FILTER(
            INDIRECT("'"&amp;D$1&amp;"'!A2:G1000"), (INDIRECT("'"&amp;D$1&amp;"'!B2:B1000")=$B72) * (INDIRECT("'"&amp;D$1&amp;"'!C2:C1000")=$C72)
        ),7,
        FALSE
    )
)</f>
        <v>Não</v>
      </c>
      <c r="E72" s="79" t="str">
        <f t="array" aca="1" ref="E72" ca="1">IF(
    VLOOKUP(
        $A72,
        _xlfn._xlws.FILTER(
            INDIRECT("'"&amp;E$1&amp;"'!A2:G1000"), (INDIRECT("'"&amp;E$1&amp;"'!B2:B1000")=$B72) * (INDIRECT("'"&amp;E$1&amp;"'!C2:C1000")=$C72)
        ),
        5,
        FALSE
    )="",
    "",
    VLOOKUP(
        $A72,
        _xlfn._xlws.FILTER(
            INDIRECT("'"&amp;E$1&amp;"'!A2:G1000"), (INDIRECT("'"&amp;E$1&amp;"'!B2:B1000")=$B72) * (INDIRECT("'"&amp;E$1&amp;"'!C2:C1000")=$C72)
        ),7,
        FALSE
    )
)</f>
        <v>Não</v>
      </c>
      <c r="F72" s="79" t="str">
        <f t="array" aca="1" ref="F72" ca="1">IF(
    VLOOKUP(
        $A72,
        _xlfn._xlws.FILTER(
            INDIRECT("'"&amp;F$1&amp;"'!A2:G1000"), (INDIRECT("'"&amp;F$1&amp;"'!B2:B1000")=$B72) * (INDIRECT("'"&amp;F$1&amp;"'!C2:C1000")=$C72)
        ),
        5,
        FALSE
    )="",
    "",
    VLOOKUP(
        $A72,
        _xlfn._xlws.FILTER(
            INDIRECT("'"&amp;F$1&amp;"'!A2:G1000"), (INDIRECT("'"&amp;F$1&amp;"'!B2:B1000")=$B72) * (INDIRECT("'"&amp;F$1&amp;"'!C2:C1000")=$C72)
        ),7,
        FALSE
    )
)</f>
        <v>Sim</v>
      </c>
      <c r="G72" s="79" t="str">
        <f t="array" aca="1" ref="G72" ca="1">IF(
    VLOOKUP(
        $A72,
        _xlfn._xlws.FILTER(
            INDIRECT("'"&amp;G$1&amp;"'!A2:G1000"), (INDIRECT("'"&amp;G$1&amp;"'!B2:B1000")=$B72) * (INDIRECT("'"&amp;G$1&amp;"'!C2:C1000")=$C72)
        ),
        5,
        FALSE
    )="",
    "",
    VLOOKUP(
        $A72,
        _xlfn._xlws.FILTER(
            INDIRECT("'"&amp;G$1&amp;"'!A2:G1000"), (INDIRECT("'"&amp;G$1&amp;"'!B2:B1000")=$B72) * (INDIRECT("'"&amp;G$1&amp;"'!C2:C1000")=$C72)
        ),7,
        FALSE
    )
)</f>
        <v>Sim</v>
      </c>
      <c r="H72" s="79" t="str">
        <f t="array" aca="1" ref="H72" ca="1">IF(
    VLOOKUP(
        $A72,
        _xlfn._xlws.FILTER(
            INDIRECT("'"&amp;H$1&amp;"'!A2:G1000"), (INDIRECT("'"&amp;H$1&amp;"'!B2:B1000")=$B72) * (INDIRECT("'"&amp;H$1&amp;"'!C2:C1000")=$C72)
        ),
        5,
        FALSE
    )="",
    "",
    VLOOKUP(
        $A72,
        _xlfn._xlws.FILTER(
            INDIRECT("'"&amp;H$1&amp;"'!A2:G1000"), (INDIRECT("'"&amp;H$1&amp;"'!B2:B1000")=$B72) * (INDIRECT("'"&amp;H$1&amp;"'!C2:C1000")=$C72)
        ),7,
        FALSE
    )
)</f>
        <v>Sim</v>
      </c>
      <c r="I72" s="79" t="str">
        <f t="array" aca="1" ref="I72" ca="1">IF(
    VLOOKUP(
        $A72,
        _xlfn._xlws.FILTER(
            INDIRECT("'"&amp;I$1&amp;"'!A2:G1000"), (INDIRECT("'"&amp;I$1&amp;"'!B2:B1000")=$B72) * (INDIRECT("'"&amp;I$1&amp;"'!C2:C1000")=$C72)
        ),
        5,
        FALSE
    )="",
    "",
    VLOOKUP(
        $A72,
        _xlfn._xlws.FILTER(
            INDIRECT("'"&amp;I$1&amp;"'!A2:G1000"), (INDIRECT("'"&amp;I$1&amp;"'!B2:B1000")=$B72) * (INDIRECT("'"&amp;I$1&amp;"'!C2:C1000")=$C72)
        ),7,
        FALSE
    )
)</f>
        <v>Sim</v>
      </c>
      <c r="J72" s="79" t="str">
        <f t="array" aca="1" ref="J72" ca="1">IF(
    VLOOKUP(
        $A72,
        _xlfn._xlws.FILTER(
            INDIRECT("'"&amp;J$1&amp;"'!A2:G1000"), (INDIRECT("'"&amp;J$1&amp;"'!B2:B1000")=$B72) * (INDIRECT("'"&amp;J$1&amp;"'!C2:C1000")=$C72)
        ),
        5,
        FALSE
    )="",
    "",
    VLOOKUP(
        $A72,
        _xlfn._xlws.FILTER(
            INDIRECT("'"&amp;J$1&amp;"'!A2:G1000"), (INDIRECT("'"&amp;J$1&amp;"'!B2:B1000")=$B72) * (INDIRECT("'"&amp;J$1&amp;"'!C2:C1000")=$C72)
        ),7,
        FALSE
    )
)</f>
        <v>Sim</v>
      </c>
      <c r="K72" s="79" t="str">
        <f t="array" aca="1" ref="K72" ca="1">IF(
    VLOOKUP(
        $A72,
        _xlfn._xlws.FILTER(
            INDIRECT("'"&amp;K$1&amp;"'!A2:G1000"), (INDIRECT("'"&amp;K$1&amp;"'!B2:B1000")=$B72) * (INDIRECT("'"&amp;K$1&amp;"'!C2:C1000")=$C72)
        ),
        5,
        FALSE
    )="",
    "",
    VLOOKUP(
        $A72,
        _xlfn._xlws.FILTER(
            INDIRECT("'"&amp;K$1&amp;"'!A2:G1000"), (INDIRECT("'"&amp;K$1&amp;"'!B2:B1000")=$B72) * (INDIRECT("'"&amp;K$1&amp;"'!C2:C1000")=$C72)
        ),7,
        FALSE
    )
)</f>
        <v>Sim</v>
      </c>
      <c r="L72" s="79" t="str">
        <f t="array" aca="1" ref="L72" ca="1">IF(
    VLOOKUP(
        $A72,
        _xlfn._xlws.FILTER(
            INDIRECT("'"&amp;L$1&amp;"'!A2:G1000"), (INDIRECT("'"&amp;L$1&amp;"'!B2:B1000")=$B72) * (INDIRECT("'"&amp;L$1&amp;"'!C2:C1000")=$C72)
        ),
        5,
        FALSE
    )="",
    "",
    VLOOKUP(
        $A72,
        _xlfn._xlws.FILTER(
            INDIRECT("'"&amp;L$1&amp;"'!A2:G1000"), (INDIRECT("'"&amp;L$1&amp;"'!B2:B1000")=$B72) * (INDIRECT("'"&amp;L$1&amp;"'!C2:C1000")=$C72)
        ),7,
        FALSE
    )
)</f>
        <v>Sim</v>
      </c>
      <c r="M72" s="79" t="str">
        <f t="array" aca="1" ref="M72" ca="1">IF(
    VLOOKUP(
        $A72,
        _xlfn._xlws.FILTER(
            INDIRECT("'"&amp;M$1&amp;"'!A2:G1000"), (INDIRECT("'"&amp;M$1&amp;"'!B2:B1000")=$B72) * (INDIRECT("'"&amp;M$1&amp;"'!C2:C1000")=$C72)
        ),
        5,
        FALSE
    )="",
    "",
    VLOOKUP(
        $A72,
        _xlfn._xlws.FILTER(
            INDIRECT("'"&amp;M$1&amp;"'!A2:G1000"), (INDIRECT("'"&amp;M$1&amp;"'!B2:B1000")=$B72) * (INDIRECT("'"&amp;M$1&amp;"'!C2:C1000")=$C72)
        ),7,
        FALSE
    )
)</f>
        <v>Sim</v>
      </c>
      <c r="N72" s="79" t="str">
        <f t="array" aca="1" ref="N72" ca="1">IF(
    VLOOKUP(
        $A72,
        _xlfn._xlws.FILTER(
            INDIRECT("'"&amp;N$1&amp;"'!A2:G1000"), (INDIRECT("'"&amp;N$1&amp;"'!B2:B1000")=$B72) * (INDIRECT("'"&amp;N$1&amp;"'!C2:C1000")=$C72)
        ),
        5,
        FALSE
    )="",
    "",
    VLOOKUP(
        $A72,
        _xlfn._xlws.FILTER(
            INDIRECT("'"&amp;N$1&amp;"'!A2:G1000"), (INDIRECT("'"&amp;N$1&amp;"'!B2:B1000")=$B72) * (INDIRECT("'"&amp;N$1&amp;"'!C2:C1000")=$C72)
        ),7,
        FALSE
    )
)</f>
        <v>Sim</v>
      </c>
      <c r="O72" s="79" t="str">
        <f t="array" aca="1" ref="O72" ca="1">IF(
    VLOOKUP(
        $A72,
        _xlfn._xlws.FILTER(
            INDIRECT("'"&amp;O$1&amp;"'!A2:G1000"), (INDIRECT("'"&amp;O$1&amp;"'!B2:B1000")=$B72) * (INDIRECT("'"&amp;O$1&amp;"'!C2:C1000")=$C72)
        ),
        5,
        FALSE
    )="",
    "",
    VLOOKUP(
        $A72,
        _xlfn._xlws.FILTER(
            INDIRECT("'"&amp;O$1&amp;"'!A2:G1000"), (INDIRECT("'"&amp;O$1&amp;"'!B2:B1000")=$B72) * (INDIRECT("'"&amp;O$1&amp;"'!C2:C1000")=$C72)
        ),7,
        FALSE
    )
)</f>
        <v>Sim</v>
      </c>
      <c r="P72" s="79" t="str">
        <f t="array" aca="1" ref="P72" ca="1">IF(
    VLOOKUP(
        $A72,
        _xlfn._xlws.FILTER(
            INDIRECT("'"&amp;P$1&amp;"'!A2:G1000"), (INDIRECT("'"&amp;P$1&amp;"'!B2:B1000")=$B72) * (INDIRECT("'"&amp;P$1&amp;"'!C2:C1000")=$C72)
        ),
        5,
        FALSE
    )="",
    "",
    VLOOKUP(
        $A72,
        _xlfn._xlws.FILTER(
            INDIRECT("'"&amp;P$1&amp;"'!A2:G1000"), (INDIRECT("'"&amp;P$1&amp;"'!B2:B1000")=$B72) * (INDIRECT("'"&amp;P$1&amp;"'!C2:C1000")=$C72)
        ),7,
        FALSE
    )
)</f>
        <v>Sim</v>
      </c>
      <c r="Q72" s="79" t="str">
        <f t="array" aca="1" ref="Q72" ca="1">IF(
    VLOOKUP(
        $A72,
        _xlfn._xlws.FILTER(
            INDIRECT("'"&amp;Q$1&amp;"'!A2:G1000"), (INDIRECT("'"&amp;Q$1&amp;"'!B2:B1000")=$B72) * (INDIRECT("'"&amp;Q$1&amp;"'!C2:C1000")=$C72)
        ),
        5,
        FALSE
    )="",
    "",
    VLOOKUP(
        $A72,
        _xlfn._xlws.FILTER(
            INDIRECT("'"&amp;Q$1&amp;"'!A2:G1000"), (INDIRECT("'"&amp;Q$1&amp;"'!B2:B1000")=$B72) * (INDIRECT("'"&amp;Q$1&amp;"'!C2:C1000")=$C72)
        ),7,
        FALSE
    )
)</f>
        <v/>
      </c>
    </row>
    <row r="73" spans="1:17" x14ac:dyDescent="0.25">
      <c r="A73" s="87" t="s">
        <v>43</v>
      </c>
      <c r="B73" s="79" t="s">
        <v>126</v>
      </c>
      <c r="C73" s="79">
        <v>3</v>
      </c>
      <c r="D73" s="79" t="str">
        <f t="array" aca="1" ref="D73" ca="1">IF(
    VLOOKUP(
        $A73,
        _xlfn._xlws.FILTER(
            INDIRECT("'"&amp;D$1&amp;"'!A2:G1000"), (INDIRECT("'"&amp;D$1&amp;"'!B2:B1000")=$B73) * (INDIRECT("'"&amp;D$1&amp;"'!C2:C1000")=$C73)
        ),
        5,
        FALSE
    )="",
    "",
    VLOOKUP(
        $A73,
        _xlfn._xlws.FILTER(
            INDIRECT("'"&amp;D$1&amp;"'!A2:G1000"), (INDIRECT("'"&amp;D$1&amp;"'!B2:B1000")=$B73) * (INDIRECT("'"&amp;D$1&amp;"'!C2:C1000")=$C73)
        ),7,
        FALSE
    )
)</f>
        <v>Não</v>
      </c>
      <c r="E73" s="79" t="str">
        <f t="array" aca="1" ref="E73" ca="1">IF(
    VLOOKUP(
        $A73,
        _xlfn._xlws.FILTER(
            INDIRECT("'"&amp;E$1&amp;"'!A2:G1000"), (INDIRECT("'"&amp;E$1&amp;"'!B2:B1000")=$B73) * (INDIRECT("'"&amp;E$1&amp;"'!C2:C1000")=$C73)
        ),
        5,
        FALSE
    )="",
    "",
    VLOOKUP(
        $A73,
        _xlfn._xlws.FILTER(
            INDIRECT("'"&amp;E$1&amp;"'!A2:G1000"), (INDIRECT("'"&amp;E$1&amp;"'!B2:B1000")=$B73) * (INDIRECT("'"&amp;E$1&amp;"'!C2:C1000")=$C73)
        ),7,
        FALSE
    )
)</f>
        <v>Não</v>
      </c>
      <c r="F73" s="79" t="str">
        <f t="array" aca="1" ref="F73" ca="1">IF(
    VLOOKUP(
        $A73,
        _xlfn._xlws.FILTER(
            INDIRECT("'"&amp;F$1&amp;"'!A2:G1000"), (INDIRECT("'"&amp;F$1&amp;"'!B2:B1000")=$B73) * (INDIRECT("'"&amp;F$1&amp;"'!C2:C1000")=$C73)
        ),
        5,
        FALSE
    )="",
    "",
    VLOOKUP(
        $A73,
        _xlfn._xlws.FILTER(
            INDIRECT("'"&amp;F$1&amp;"'!A2:G1000"), (INDIRECT("'"&amp;F$1&amp;"'!B2:B1000")=$B73) * (INDIRECT("'"&amp;F$1&amp;"'!C2:C1000")=$C73)
        ),7,
        FALSE
    )
)</f>
        <v>Sim</v>
      </c>
      <c r="G73" s="79" t="str">
        <f t="array" aca="1" ref="G73" ca="1">IF(
    VLOOKUP(
        $A73,
        _xlfn._xlws.FILTER(
            INDIRECT("'"&amp;G$1&amp;"'!A2:G1000"), (INDIRECT("'"&amp;G$1&amp;"'!B2:B1000")=$B73) * (INDIRECT("'"&amp;G$1&amp;"'!C2:C1000")=$C73)
        ),
        5,
        FALSE
    )="",
    "",
    VLOOKUP(
        $A73,
        _xlfn._xlws.FILTER(
            INDIRECT("'"&amp;G$1&amp;"'!A2:G1000"), (INDIRECT("'"&amp;G$1&amp;"'!B2:B1000")=$B73) * (INDIRECT("'"&amp;G$1&amp;"'!C2:C1000")=$C73)
        ),7,
        FALSE
    )
)</f>
        <v>Sim</v>
      </c>
      <c r="H73" s="79" t="str">
        <f t="array" aca="1" ref="H73" ca="1">IF(
    VLOOKUP(
        $A73,
        _xlfn._xlws.FILTER(
            INDIRECT("'"&amp;H$1&amp;"'!A2:G1000"), (INDIRECT("'"&amp;H$1&amp;"'!B2:B1000")=$B73) * (INDIRECT("'"&amp;H$1&amp;"'!C2:C1000")=$C73)
        ),
        5,
        FALSE
    )="",
    "",
    VLOOKUP(
        $A73,
        _xlfn._xlws.FILTER(
            INDIRECT("'"&amp;H$1&amp;"'!A2:G1000"), (INDIRECT("'"&amp;H$1&amp;"'!B2:B1000")=$B73) * (INDIRECT("'"&amp;H$1&amp;"'!C2:C1000")=$C73)
        ),7,
        FALSE
    )
)</f>
        <v>Sim</v>
      </c>
      <c r="I73" s="79" t="str">
        <f t="array" aca="1" ref="I73" ca="1">IF(
    VLOOKUP(
        $A73,
        _xlfn._xlws.FILTER(
            INDIRECT("'"&amp;I$1&amp;"'!A2:G1000"), (INDIRECT("'"&amp;I$1&amp;"'!B2:B1000")=$B73) * (INDIRECT("'"&amp;I$1&amp;"'!C2:C1000")=$C73)
        ),
        5,
        FALSE
    )="",
    "",
    VLOOKUP(
        $A73,
        _xlfn._xlws.FILTER(
            INDIRECT("'"&amp;I$1&amp;"'!A2:G1000"), (INDIRECT("'"&amp;I$1&amp;"'!B2:B1000")=$B73) * (INDIRECT("'"&amp;I$1&amp;"'!C2:C1000")=$C73)
        ),7,
        FALSE
    )
)</f>
        <v>Sim</v>
      </c>
      <c r="J73" s="79" t="str">
        <f t="array" aca="1" ref="J73" ca="1">IF(
    VLOOKUP(
        $A73,
        _xlfn._xlws.FILTER(
            INDIRECT("'"&amp;J$1&amp;"'!A2:G1000"), (INDIRECT("'"&amp;J$1&amp;"'!B2:B1000")=$B73) * (INDIRECT("'"&amp;J$1&amp;"'!C2:C1000")=$C73)
        ),
        5,
        FALSE
    )="",
    "",
    VLOOKUP(
        $A73,
        _xlfn._xlws.FILTER(
            INDIRECT("'"&amp;J$1&amp;"'!A2:G1000"), (INDIRECT("'"&amp;J$1&amp;"'!B2:B1000")=$B73) * (INDIRECT("'"&amp;J$1&amp;"'!C2:C1000")=$C73)
        ),7,
        FALSE
    )
)</f>
        <v>Sim</v>
      </c>
      <c r="K73" s="79" t="str">
        <f t="array" aca="1" ref="K73" ca="1">IF(
    VLOOKUP(
        $A73,
        _xlfn._xlws.FILTER(
            INDIRECT("'"&amp;K$1&amp;"'!A2:G1000"), (INDIRECT("'"&amp;K$1&amp;"'!B2:B1000")=$B73) * (INDIRECT("'"&amp;K$1&amp;"'!C2:C1000")=$C73)
        ),
        5,
        FALSE
    )="",
    "",
    VLOOKUP(
        $A73,
        _xlfn._xlws.FILTER(
            INDIRECT("'"&amp;K$1&amp;"'!A2:G1000"), (INDIRECT("'"&amp;K$1&amp;"'!B2:B1000")=$B73) * (INDIRECT("'"&amp;K$1&amp;"'!C2:C1000")=$C73)
        ),7,
        FALSE
    )
)</f>
        <v>Sim</v>
      </c>
      <c r="L73" s="79" t="str">
        <f t="array" aca="1" ref="L73" ca="1">IF(
    VLOOKUP(
        $A73,
        _xlfn._xlws.FILTER(
            INDIRECT("'"&amp;L$1&amp;"'!A2:G1000"), (INDIRECT("'"&amp;L$1&amp;"'!B2:B1000")=$B73) * (INDIRECT("'"&amp;L$1&amp;"'!C2:C1000")=$C73)
        ),
        5,
        FALSE
    )="",
    "",
    VLOOKUP(
        $A73,
        _xlfn._xlws.FILTER(
            INDIRECT("'"&amp;L$1&amp;"'!A2:G1000"), (INDIRECT("'"&amp;L$1&amp;"'!B2:B1000")=$B73) * (INDIRECT("'"&amp;L$1&amp;"'!C2:C1000")=$C73)
        ),7,
        FALSE
    )
)</f>
        <v>Sim</v>
      </c>
      <c r="M73" s="79" t="str">
        <f t="array" aca="1" ref="M73" ca="1">IF(
    VLOOKUP(
        $A73,
        _xlfn._xlws.FILTER(
            INDIRECT("'"&amp;M$1&amp;"'!A2:G1000"), (INDIRECT("'"&amp;M$1&amp;"'!B2:B1000")=$B73) * (INDIRECT("'"&amp;M$1&amp;"'!C2:C1000")=$C73)
        ),
        5,
        FALSE
    )="",
    "",
    VLOOKUP(
        $A73,
        _xlfn._xlws.FILTER(
            INDIRECT("'"&amp;M$1&amp;"'!A2:G1000"), (INDIRECT("'"&amp;M$1&amp;"'!B2:B1000")=$B73) * (INDIRECT("'"&amp;M$1&amp;"'!C2:C1000")=$C73)
        ),7,
        FALSE
    )
)</f>
        <v>Sim</v>
      </c>
      <c r="N73" s="79" t="str">
        <f t="array" aca="1" ref="N73" ca="1">IF(
    VLOOKUP(
        $A73,
        _xlfn._xlws.FILTER(
            INDIRECT("'"&amp;N$1&amp;"'!A2:G1000"), (INDIRECT("'"&amp;N$1&amp;"'!B2:B1000")=$B73) * (INDIRECT("'"&amp;N$1&amp;"'!C2:C1000")=$C73)
        ),
        5,
        FALSE
    )="",
    "",
    VLOOKUP(
        $A73,
        _xlfn._xlws.FILTER(
            INDIRECT("'"&amp;N$1&amp;"'!A2:G1000"), (INDIRECT("'"&amp;N$1&amp;"'!B2:B1000")=$B73) * (INDIRECT("'"&amp;N$1&amp;"'!C2:C1000")=$C73)
        ),7,
        FALSE
    )
)</f>
        <v>Sim</v>
      </c>
      <c r="O73" s="79" t="str">
        <f t="array" aca="1" ref="O73" ca="1">IF(
    VLOOKUP(
        $A73,
        _xlfn._xlws.FILTER(
            INDIRECT("'"&amp;O$1&amp;"'!A2:G1000"), (INDIRECT("'"&amp;O$1&amp;"'!B2:B1000")=$B73) * (INDIRECT("'"&amp;O$1&amp;"'!C2:C1000")=$C73)
        ),
        5,
        FALSE
    )="",
    "",
    VLOOKUP(
        $A73,
        _xlfn._xlws.FILTER(
            INDIRECT("'"&amp;O$1&amp;"'!A2:G1000"), (INDIRECT("'"&amp;O$1&amp;"'!B2:B1000")=$B73) * (INDIRECT("'"&amp;O$1&amp;"'!C2:C1000")=$C73)
        ),7,
        FALSE
    )
)</f>
        <v>Sim</v>
      </c>
      <c r="P73" s="79" t="str">
        <f t="array" aca="1" ref="P73" ca="1">IF(
    VLOOKUP(
        $A73,
        _xlfn._xlws.FILTER(
            INDIRECT("'"&amp;P$1&amp;"'!A2:G1000"), (INDIRECT("'"&amp;P$1&amp;"'!B2:B1000")=$B73) * (INDIRECT("'"&amp;P$1&amp;"'!C2:C1000")=$C73)
        ),
        5,
        FALSE
    )="",
    "",
    VLOOKUP(
        $A73,
        _xlfn._xlws.FILTER(
            INDIRECT("'"&amp;P$1&amp;"'!A2:G1000"), (INDIRECT("'"&amp;P$1&amp;"'!B2:B1000")=$B73) * (INDIRECT("'"&amp;P$1&amp;"'!C2:C1000")=$C73)
        ),7,
        FALSE
    )
)</f>
        <v>Não</v>
      </c>
      <c r="Q73" s="79" t="str">
        <f t="array" aca="1" ref="Q73" ca="1">IF(
    VLOOKUP(
        $A73,
        _xlfn._xlws.FILTER(
            INDIRECT("'"&amp;Q$1&amp;"'!A2:G1000"), (INDIRECT("'"&amp;Q$1&amp;"'!B2:B1000")=$B73) * (INDIRECT("'"&amp;Q$1&amp;"'!C2:C1000")=$C73)
        ),
        5,
        FALSE
    )="",
    "",
    VLOOKUP(
        $A73,
        _xlfn._xlws.FILTER(
            INDIRECT("'"&amp;Q$1&amp;"'!A2:G1000"), (INDIRECT("'"&amp;Q$1&amp;"'!B2:B1000")=$B73) * (INDIRECT("'"&amp;Q$1&amp;"'!C2:C1000")=$C73)
        ),7,
        FALSE
    )
)</f>
        <v/>
      </c>
    </row>
    <row r="74" spans="1:17" x14ac:dyDescent="0.25">
      <c r="A74" s="87" t="s">
        <v>43</v>
      </c>
      <c r="B74" s="79" t="s">
        <v>126</v>
      </c>
      <c r="C74" s="79">
        <v>4</v>
      </c>
      <c r="D74" s="79" t="str">
        <f t="array" aca="1" ref="D74" ca="1">IF(
    VLOOKUP(
        $A74,
        _xlfn._xlws.FILTER(
            INDIRECT("'"&amp;D$1&amp;"'!A2:G1000"), (INDIRECT("'"&amp;D$1&amp;"'!B2:B1000")=$B74) * (INDIRECT("'"&amp;D$1&amp;"'!C2:C1000")=$C74)
        ),
        5,
        FALSE
    )="",
    "",
    VLOOKUP(
        $A74,
        _xlfn._xlws.FILTER(
            INDIRECT("'"&amp;D$1&amp;"'!A2:G1000"), (INDIRECT("'"&amp;D$1&amp;"'!B2:B1000")=$B74) * (INDIRECT("'"&amp;D$1&amp;"'!C2:C1000")=$C74)
        ),7,
        FALSE
    )
)</f>
        <v>Não</v>
      </c>
      <c r="E74" s="79" t="str">
        <f t="array" aca="1" ref="E74" ca="1">IF(
    VLOOKUP(
        $A74,
        _xlfn._xlws.FILTER(
            INDIRECT("'"&amp;E$1&amp;"'!A2:G1000"), (INDIRECT("'"&amp;E$1&amp;"'!B2:B1000")=$B74) * (INDIRECT("'"&amp;E$1&amp;"'!C2:C1000")=$C74)
        ),
        5,
        FALSE
    )="",
    "",
    VLOOKUP(
        $A74,
        _xlfn._xlws.FILTER(
            INDIRECT("'"&amp;E$1&amp;"'!A2:G1000"), (INDIRECT("'"&amp;E$1&amp;"'!B2:B1000")=$B74) * (INDIRECT("'"&amp;E$1&amp;"'!C2:C1000")=$C74)
        ),7,
        FALSE
    )
)</f>
        <v>Não</v>
      </c>
      <c r="F74" s="79" t="str">
        <f t="array" aca="1" ref="F74" ca="1">IF(
    VLOOKUP(
        $A74,
        _xlfn._xlws.FILTER(
            INDIRECT("'"&amp;F$1&amp;"'!A2:G1000"), (INDIRECT("'"&amp;F$1&amp;"'!B2:B1000")=$B74) * (INDIRECT("'"&amp;F$1&amp;"'!C2:C1000")=$C74)
        ),
        5,
        FALSE
    )="",
    "",
    VLOOKUP(
        $A74,
        _xlfn._xlws.FILTER(
            INDIRECT("'"&amp;F$1&amp;"'!A2:G1000"), (INDIRECT("'"&amp;F$1&amp;"'!B2:B1000")=$B74) * (INDIRECT("'"&amp;F$1&amp;"'!C2:C1000")=$C74)
        ),7,
        FALSE
    )
)</f>
        <v>Sim</v>
      </c>
      <c r="G74" s="79" t="str">
        <f t="array" aca="1" ref="G74" ca="1">IF(
    VLOOKUP(
        $A74,
        _xlfn._xlws.FILTER(
            INDIRECT("'"&amp;G$1&amp;"'!A2:G1000"), (INDIRECT("'"&amp;G$1&amp;"'!B2:B1000")=$B74) * (INDIRECT("'"&amp;G$1&amp;"'!C2:C1000")=$C74)
        ),
        5,
        FALSE
    )="",
    "",
    VLOOKUP(
        $A74,
        _xlfn._xlws.FILTER(
            INDIRECT("'"&amp;G$1&amp;"'!A2:G1000"), (INDIRECT("'"&amp;G$1&amp;"'!B2:B1000")=$B74) * (INDIRECT("'"&amp;G$1&amp;"'!C2:C1000")=$C74)
        ),7,
        FALSE
    )
)</f>
        <v>Sim</v>
      </c>
      <c r="H74" s="79" t="str">
        <f t="array" aca="1" ref="H74" ca="1">IF(
    VLOOKUP(
        $A74,
        _xlfn._xlws.FILTER(
            INDIRECT("'"&amp;H$1&amp;"'!A2:G1000"), (INDIRECT("'"&amp;H$1&amp;"'!B2:B1000")=$B74) * (INDIRECT("'"&amp;H$1&amp;"'!C2:C1000")=$C74)
        ),
        5,
        FALSE
    )="",
    "",
    VLOOKUP(
        $A74,
        _xlfn._xlws.FILTER(
            INDIRECT("'"&amp;H$1&amp;"'!A2:G1000"), (INDIRECT("'"&amp;H$1&amp;"'!B2:B1000")=$B74) * (INDIRECT("'"&amp;H$1&amp;"'!C2:C1000")=$C74)
        ),7,
        FALSE
    )
)</f>
        <v>Sim</v>
      </c>
      <c r="I74" s="79" t="str">
        <f t="array" aca="1" ref="I74" ca="1">IF(
    VLOOKUP(
        $A74,
        _xlfn._xlws.FILTER(
            INDIRECT("'"&amp;I$1&amp;"'!A2:G1000"), (INDIRECT("'"&amp;I$1&amp;"'!B2:B1000")=$B74) * (INDIRECT("'"&amp;I$1&amp;"'!C2:C1000")=$C74)
        ),
        5,
        FALSE
    )="",
    "",
    VLOOKUP(
        $A74,
        _xlfn._xlws.FILTER(
            INDIRECT("'"&amp;I$1&amp;"'!A2:G1000"), (INDIRECT("'"&amp;I$1&amp;"'!B2:B1000")=$B74) * (INDIRECT("'"&amp;I$1&amp;"'!C2:C1000")=$C74)
        ),7,
        FALSE
    )
)</f>
        <v>Sim</v>
      </c>
      <c r="J74" s="79" t="str">
        <f t="array" aca="1" ref="J74" ca="1">IF(
    VLOOKUP(
        $A74,
        _xlfn._xlws.FILTER(
            INDIRECT("'"&amp;J$1&amp;"'!A2:G1000"), (INDIRECT("'"&amp;J$1&amp;"'!B2:B1000")=$B74) * (INDIRECT("'"&amp;J$1&amp;"'!C2:C1000")=$C74)
        ),
        5,
        FALSE
    )="",
    "",
    VLOOKUP(
        $A74,
        _xlfn._xlws.FILTER(
            INDIRECT("'"&amp;J$1&amp;"'!A2:G1000"), (INDIRECT("'"&amp;J$1&amp;"'!B2:B1000")=$B74) * (INDIRECT("'"&amp;J$1&amp;"'!C2:C1000")=$C74)
        ),7,
        FALSE
    )
)</f>
        <v>Sim</v>
      </c>
      <c r="K74" s="79" t="str">
        <f t="array" aca="1" ref="K74" ca="1">IF(
    VLOOKUP(
        $A74,
        _xlfn._xlws.FILTER(
            INDIRECT("'"&amp;K$1&amp;"'!A2:G1000"), (INDIRECT("'"&amp;K$1&amp;"'!B2:B1000")=$B74) * (INDIRECT("'"&amp;K$1&amp;"'!C2:C1000")=$C74)
        ),
        5,
        FALSE
    )="",
    "",
    VLOOKUP(
        $A74,
        _xlfn._xlws.FILTER(
            INDIRECT("'"&amp;K$1&amp;"'!A2:G1000"), (INDIRECT("'"&amp;K$1&amp;"'!B2:B1000")=$B74) * (INDIRECT("'"&amp;K$1&amp;"'!C2:C1000")=$C74)
        ),7,
        FALSE
    )
)</f>
        <v>Sim</v>
      </c>
      <c r="L74" s="79" t="str">
        <f t="array" aca="1" ref="L74" ca="1">IF(
    VLOOKUP(
        $A74,
        _xlfn._xlws.FILTER(
            INDIRECT("'"&amp;L$1&amp;"'!A2:G1000"), (INDIRECT("'"&amp;L$1&amp;"'!B2:B1000")=$B74) * (INDIRECT("'"&amp;L$1&amp;"'!C2:C1000")=$C74)
        ),
        5,
        FALSE
    )="",
    "",
    VLOOKUP(
        $A74,
        _xlfn._xlws.FILTER(
            INDIRECT("'"&amp;L$1&amp;"'!A2:G1000"), (INDIRECT("'"&amp;L$1&amp;"'!B2:B1000")=$B74) * (INDIRECT("'"&amp;L$1&amp;"'!C2:C1000")=$C74)
        ),7,
        FALSE
    )
)</f>
        <v>Sim</v>
      </c>
      <c r="M74" s="79" t="str">
        <f t="array" aca="1" ref="M74" ca="1">IF(
    VLOOKUP(
        $A74,
        _xlfn._xlws.FILTER(
            INDIRECT("'"&amp;M$1&amp;"'!A2:G1000"), (INDIRECT("'"&amp;M$1&amp;"'!B2:B1000")=$B74) * (INDIRECT("'"&amp;M$1&amp;"'!C2:C1000")=$C74)
        ),
        5,
        FALSE
    )="",
    "",
    VLOOKUP(
        $A74,
        _xlfn._xlws.FILTER(
            INDIRECT("'"&amp;M$1&amp;"'!A2:G1000"), (INDIRECT("'"&amp;M$1&amp;"'!B2:B1000")=$B74) * (INDIRECT("'"&amp;M$1&amp;"'!C2:C1000")=$C74)
        ),7,
        FALSE
    )
)</f>
        <v>Sim</v>
      </c>
      <c r="N74" s="79" t="str">
        <f t="array" aca="1" ref="N74" ca="1">IF(
    VLOOKUP(
        $A74,
        _xlfn._xlws.FILTER(
            INDIRECT("'"&amp;N$1&amp;"'!A2:G1000"), (INDIRECT("'"&amp;N$1&amp;"'!B2:B1000")=$B74) * (INDIRECT("'"&amp;N$1&amp;"'!C2:C1000")=$C74)
        ),
        5,
        FALSE
    )="",
    "",
    VLOOKUP(
        $A74,
        _xlfn._xlws.FILTER(
            INDIRECT("'"&amp;N$1&amp;"'!A2:G1000"), (INDIRECT("'"&amp;N$1&amp;"'!B2:B1000")=$B74) * (INDIRECT("'"&amp;N$1&amp;"'!C2:C1000")=$C74)
        ),7,
        FALSE
    )
)</f>
        <v>Sim</v>
      </c>
      <c r="O74" s="79" t="str">
        <f t="array" aca="1" ref="O74" ca="1">IF(
    VLOOKUP(
        $A74,
        _xlfn._xlws.FILTER(
            INDIRECT("'"&amp;O$1&amp;"'!A2:G1000"), (INDIRECT("'"&amp;O$1&amp;"'!B2:B1000")=$B74) * (INDIRECT("'"&amp;O$1&amp;"'!C2:C1000")=$C74)
        ),
        5,
        FALSE
    )="",
    "",
    VLOOKUP(
        $A74,
        _xlfn._xlws.FILTER(
            INDIRECT("'"&amp;O$1&amp;"'!A2:G1000"), (INDIRECT("'"&amp;O$1&amp;"'!B2:B1000")=$B74) * (INDIRECT("'"&amp;O$1&amp;"'!C2:C1000")=$C74)
        ),7,
        FALSE
    )
)</f>
        <v>Sim</v>
      </c>
      <c r="P74" s="79" t="str">
        <f t="array" aca="1" ref="P74" ca="1">IF(
    VLOOKUP(
        $A74,
        _xlfn._xlws.FILTER(
            INDIRECT("'"&amp;P$1&amp;"'!A2:G1000"), (INDIRECT("'"&amp;P$1&amp;"'!B2:B1000")=$B74) * (INDIRECT("'"&amp;P$1&amp;"'!C2:C1000")=$C74)
        ),
        5,
        FALSE
    )="",
    "",
    VLOOKUP(
        $A74,
        _xlfn._xlws.FILTER(
            INDIRECT("'"&amp;P$1&amp;"'!A2:G1000"), (INDIRECT("'"&amp;P$1&amp;"'!B2:B1000")=$B74) * (INDIRECT("'"&amp;P$1&amp;"'!C2:C1000")=$C74)
        ),7,
        FALSE
    )
)</f>
        <v>Sim</v>
      </c>
      <c r="Q74" s="79" t="str">
        <f t="array" aca="1" ref="Q74" ca="1">IF(
    VLOOKUP(
        $A74,
        _xlfn._xlws.FILTER(
            INDIRECT("'"&amp;Q$1&amp;"'!A2:G1000"), (INDIRECT("'"&amp;Q$1&amp;"'!B2:B1000")=$B74) * (INDIRECT("'"&amp;Q$1&amp;"'!C2:C1000")=$C74)
        ),
        5,
        FALSE
    )="",
    "",
    VLOOKUP(
        $A74,
        _xlfn._xlws.FILTER(
            INDIRECT("'"&amp;Q$1&amp;"'!A2:G1000"), (INDIRECT("'"&amp;Q$1&amp;"'!B2:B1000")=$B74) * (INDIRECT("'"&amp;Q$1&amp;"'!C2:C1000")=$C74)
        ),7,
        FALSE
    )
)</f>
        <v/>
      </c>
    </row>
    <row r="75" spans="1:17" x14ac:dyDescent="0.25">
      <c r="A75" s="87" t="s">
        <v>43</v>
      </c>
      <c r="B75" s="79" t="s">
        <v>126</v>
      </c>
      <c r="C75" s="79">
        <v>5</v>
      </c>
      <c r="D75" s="79" t="str">
        <f t="array" aca="1" ref="D75" ca="1">IF(
    VLOOKUP(
        $A75,
        _xlfn._xlws.FILTER(
            INDIRECT("'"&amp;D$1&amp;"'!A2:G1000"), (INDIRECT("'"&amp;D$1&amp;"'!B2:B1000")=$B75) * (INDIRECT("'"&amp;D$1&amp;"'!C2:C1000")=$C75)
        ),
        5,
        FALSE
    )="",
    "",
    VLOOKUP(
        $A75,
        _xlfn._xlws.FILTER(
            INDIRECT("'"&amp;D$1&amp;"'!A2:G1000"), (INDIRECT("'"&amp;D$1&amp;"'!B2:B1000")=$B75) * (INDIRECT("'"&amp;D$1&amp;"'!C2:C1000")=$C75)
        ),7,
        FALSE
    )
)</f>
        <v>Não</v>
      </c>
      <c r="E75" s="79" t="str">
        <f t="array" aca="1" ref="E75" ca="1">IF(
    VLOOKUP(
        $A75,
        _xlfn._xlws.FILTER(
            INDIRECT("'"&amp;E$1&amp;"'!A2:G1000"), (INDIRECT("'"&amp;E$1&amp;"'!B2:B1000")=$B75) * (INDIRECT("'"&amp;E$1&amp;"'!C2:C1000")=$C75)
        ),
        5,
        FALSE
    )="",
    "",
    VLOOKUP(
        $A75,
        _xlfn._xlws.FILTER(
            INDIRECT("'"&amp;E$1&amp;"'!A2:G1000"), (INDIRECT("'"&amp;E$1&amp;"'!B2:B1000")=$B75) * (INDIRECT("'"&amp;E$1&amp;"'!C2:C1000")=$C75)
        ),7,
        FALSE
    )
)</f>
        <v>Não</v>
      </c>
      <c r="F75" s="79" t="str">
        <f t="array" aca="1" ref="F75" ca="1">IF(
    VLOOKUP(
        $A75,
        _xlfn._xlws.FILTER(
            INDIRECT("'"&amp;F$1&amp;"'!A2:G1000"), (INDIRECT("'"&amp;F$1&amp;"'!B2:B1000")=$B75) * (INDIRECT("'"&amp;F$1&amp;"'!C2:C1000")=$C75)
        ),
        5,
        FALSE
    )="",
    "",
    VLOOKUP(
        $A75,
        _xlfn._xlws.FILTER(
            INDIRECT("'"&amp;F$1&amp;"'!A2:G1000"), (INDIRECT("'"&amp;F$1&amp;"'!B2:B1000")=$B75) * (INDIRECT("'"&amp;F$1&amp;"'!C2:C1000")=$C75)
        ),7,
        FALSE
    )
)</f>
        <v>Sim</v>
      </c>
      <c r="G75" s="79" t="str">
        <f t="array" aca="1" ref="G75" ca="1">IF(
    VLOOKUP(
        $A75,
        _xlfn._xlws.FILTER(
            INDIRECT("'"&amp;G$1&amp;"'!A2:G1000"), (INDIRECT("'"&amp;G$1&amp;"'!B2:B1000")=$B75) * (INDIRECT("'"&amp;G$1&amp;"'!C2:C1000")=$C75)
        ),
        5,
        FALSE
    )="",
    "",
    VLOOKUP(
        $A75,
        _xlfn._xlws.FILTER(
            INDIRECT("'"&amp;G$1&amp;"'!A2:G1000"), (INDIRECT("'"&amp;G$1&amp;"'!B2:B1000")=$B75) * (INDIRECT("'"&amp;G$1&amp;"'!C2:C1000")=$C75)
        ),7,
        FALSE
    )
)</f>
        <v>Sim</v>
      </c>
      <c r="H75" s="79" t="str">
        <f t="array" aca="1" ref="H75" ca="1">IF(
    VLOOKUP(
        $A75,
        _xlfn._xlws.FILTER(
            INDIRECT("'"&amp;H$1&amp;"'!A2:G1000"), (INDIRECT("'"&amp;H$1&amp;"'!B2:B1000")=$B75) * (INDIRECT("'"&amp;H$1&amp;"'!C2:C1000")=$C75)
        ),
        5,
        FALSE
    )="",
    "",
    VLOOKUP(
        $A75,
        _xlfn._xlws.FILTER(
            INDIRECT("'"&amp;H$1&amp;"'!A2:G1000"), (INDIRECT("'"&amp;H$1&amp;"'!B2:B1000")=$B75) * (INDIRECT("'"&amp;H$1&amp;"'!C2:C1000")=$C75)
        ),7,
        FALSE
    )
)</f>
        <v>Sim</v>
      </c>
      <c r="I75" s="79" t="str">
        <f t="array" aca="1" ref="I75" ca="1">IF(
    VLOOKUP(
        $A75,
        _xlfn._xlws.FILTER(
            INDIRECT("'"&amp;I$1&amp;"'!A2:G1000"), (INDIRECT("'"&amp;I$1&amp;"'!B2:B1000")=$B75) * (INDIRECT("'"&amp;I$1&amp;"'!C2:C1000")=$C75)
        ),
        5,
        FALSE
    )="",
    "",
    VLOOKUP(
        $A75,
        _xlfn._xlws.FILTER(
            INDIRECT("'"&amp;I$1&amp;"'!A2:G1000"), (INDIRECT("'"&amp;I$1&amp;"'!B2:B1000")=$B75) * (INDIRECT("'"&amp;I$1&amp;"'!C2:C1000")=$C75)
        ),7,
        FALSE
    )
)</f>
        <v>Sim</v>
      </c>
      <c r="J75" s="79" t="str">
        <f t="array" aca="1" ref="J75" ca="1">IF(
    VLOOKUP(
        $A75,
        _xlfn._xlws.FILTER(
            INDIRECT("'"&amp;J$1&amp;"'!A2:G1000"), (INDIRECT("'"&amp;J$1&amp;"'!B2:B1000")=$B75) * (INDIRECT("'"&amp;J$1&amp;"'!C2:C1000")=$C75)
        ),
        5,
        FALSE
    )="",
    "",
    VLOOKUP(
        $A75,
        _xlfn._xlws.FILTER(
            INDIRECT("'"&amp;J$1&amp;"'!A2:G1000"), (INDIRECT("'"&amp;J$1&amp;"'!B2:B1000")=$B75) * (INDIRECT("'"&amp;J$1&amp;"'!C2:C1000")=$C75)
        ),7,
        FALSE
    )
)</f>
        <v>Sim</v>
      </c>
      <c r="K75" s="79" t="str">
        <f t="array" aca="1" ref="K75" ca="1">IF(
    VLOOKUP(
        $A75,
        _xlfn._xlws.FILTER(
            INDIRECT("'"&amp;K$1&amp;"'!A2:G1000"), (INDIRECT("'"&amp;K$1&amp;"'!B2:B1000")=$B75) * (INDIRECT("'"&amp;K$1&amp;"'!C2:C1000")=$C75)
        ),
        5,
        FALSE
    )="",
    "",
    VLOOKUP(
        $A75,
        _xlfn._xlws.FILTER(
            INDIRECT("'"&amp;K$1&amp;"'!A2:G1000"), (INDIRECT("'"&amp;K$1&amp;"'!B2:B1000")=$B75) * (INDIRECT("'"&amp;K$1&amp;"'!C2:C1000")=$C75)
        ),7,
        FALSE
    )
)</f>
        <v>Sim</v>
      </c>
      <c r="L75" s="79" t="str">
        <f t="array" aca="1" ref="L75" ca="1">IF(
    VLOOKUP(
        $A75,
        _xlfn._xlws.FILTER(
            INDIRECT("'"&amp;L$1&amp;"'!A2:G1000"), (INDIRECT("'"&amp;L$1&amp;"'!B2:B1000")=$B75) * (INDIRECT("'"&amp;L$1&amp;"'!C2:C1000")=$C75)
        ),
        5,
        FALSE
    )="",
    "",
    VLOOKUP(
        $A75,
        _xlfn._xlws.FILTER(
            INDIRECT("'"&amp;L$1&amp;"'!A2:G1000"), (INDIRECT("'"&amp;L$1&amp;"'!B2:B1000")=$B75) * (INDIRECT("'"&amp;L$1&amp;"'!C2:C1000")=$C75)
        ),7,
        FALSE
    )
)</f>
        <v>Sim</v>
      </c>
      <c r="M75" s="79" t="str">
        <f t="array" aca="1" ref="M75" ca="1">IF(
    VLOOKUP(
        $A75,
        _xlfn._xlws.FILTER(
            INDIRECT("'"&amp;M$1&amp;"'!A2:G1000"), (INDIRECT("'"&amp;M$1&amp;"'!B2:B1000")=$B75) * (INDIRECT("'"&amp;M$1&amp;"'!C2:C1000")=$C75)
        ),
        5,
        FALSE
    )="",
    "",
    VLOOKUP(
        $A75,
        _xlfn._xlws.FILTER(
            INDIRECT("'"&amp;M$1&amp;"'!A2:G1000"), (INDIRECT("'"&amp;M$1&amp;"'!B2:B1000")=$B75) * (INDIRECT("'"&amp;M$1&amp;"'!C2:C1000")=$C75)
        ),7,
        FALSE
    )
)</f>
        <v>Sim</v>
      </c>
      <c r="N75" s="79" t="str">
        <f t="array" aca="1" ref="N75" ca="1">IF(
    VLOOKUP(
        $A75,
        _xlfn._xlws.FILTER(
            INDIRECT("'"&amp;N$1&amp;"'!A2:G1000"), (INDIRECT("'"&amp;N$1&amp;"'!B2:B1000")=$B75) * (INDIRECT("'"&amp;N$1&amp;"'!C2:C1000")=$C75)
        ),
        5,
        FALSE
    )="",
    "",
    VLOOKUP(
        $A75,
        _xlfn._xlws.FILTER(
            INDIRECT("'"&amp;N$1&amp;"'!A2:G1000"), (INDIRECT("'"&amp;N$1&amp;"'!B2:B1000")=$B75) * (INDIRECT("'"&amp;N$1&amp;"'!C2:C1000")=$C75)
        ),7,
        FALSE
    )
)</f>
        <v>Sim</v>
      </c>
      <c r="O75" s="79" t="str">
        <f t="array" aca="1" ref="O75" ca="1">IF(
    VLOOKUP(
        $A75,
        _xlfn._xlws.FILTER(
            INDIRECT("'"&amp;O$1&amp;"'!A2:G1000"), (INDIRECT("'"&amp;O$1&amp;"'!B2:B1000")=$B75) * (INDIRECT("'"&amp;O$1&amp;"'!C2:C1000")=$C75)
        ),
        5,
        FALSE
    )="",
    "",
    VLOOKUP(
        $A75,
        _xlfn._xlws.FILTER(
            INDIRECT("'"&amp;O$1&amp;"'!A2:G1000"), (INDIRECT("'"&amp;O$1&amp;"'!B2:B1000")=$B75) * (INDIRECT("'"&amp;O$1&amp;"'!C2:C1000")=$C75)
        ),7,
        FALSE
    )
)</f>
        <v>Sim</v>
      </c>
      <c r="P75" s="79" t="str">
        <f t="array" aca="1" ref="P75" ca="1">IF(
    VLOOKUP(
        $A75,
        _xlfn._xlws.FILTER(
            INDIRECT("'"&amp;P$1&amp;"'!A2:G1000"), (INDIRECT("'"&amp;P$1&amp;"'!B2:B1000")=$B75) * (INDIRECT("'"&amp;P$1&amp;"'!C2:C1000")=$C75)
        ),
        5,
        FALSE
    )="",
    "",
    VLOOKUP(
        $A75,
        _xlfn._xlws.FILTER(
            INDIRECT("'"&amp;P$1&amp;"'!A2:G1000"), (INDIRECT("'"&amp;P$1&amp;"'!B2:B1000")=$B75) * (INDIRECT("'"&amp;P$1&amp;"'!C2:C1000")=$C75)
        ),7,
        FALSE
    )
)</f>
        <v>Sim</v>
      </c>
      <c r="Q75" s="79" t="str">
        <f t="array" aca="1" ref="Q75" ca="1">IF(
    VLOOKUP(
        $A75,
        _xlfn._xlws.FILTER(
            INDIRECT("'"&amp;Q$1&amp;"'!A2:G1000"), (INDIRECT("'"&amp;Q$1&amp;"'!B2:B1000")=$B75) * (INDIRECT("'"&amp;Q$1&amp;"'!C2:C1000")=$C75)
        ),
        5,
        FALSE
    )="",
    "",
    VLOOKUP(
        $A75,
        _xlfn._xlws.FILTER(
            INDIRECT("'"&amp;Q$1&amp;"'!A2:G1000"), (INDIRECT("'"&amp;Q$1&amp;"'!B2:B1000")=$B75) * (INDIRECT("'"&amp;Q$1&amp;"'!C2:C1000")=$C75)
        ),7,
        FALSE
    )
)</f>
        <v/>
      </c>
    </row>
    <row r="76" spans="1:17" x14ac:dyDescent="0.25">
      <c r="A76" s="87" t="s">
        <v>43</v>
      </c>
      <c r="B76" s="79" t="s">
        <v>126</v>
      </c>
      <c r="C76" s="79">
        <v>6</v>
      </c>
      <c r="D76" s="79" t="str">
        <f t="array" aca="1" ref="D76" ca="1">IF(
    VLOOKUP(
        $A76,
        _xlfn._xlws.FILTER(
            INDIRECT("'"&amp;D$1&amp;"'!A2:G1000"), (INDIRECT("'"&amp;D$1&amp;"'!B2:B1000")=$B76) * (INDIRECT("'"&amp;D$1&amp;"'!C2:C1000")=$C76)
        ),
        5,
        FALSE
    )="",
    "",
    VLOOKUP(
        $A76,
        _xlfn._xlws.FILTER(
            INDIRECT("'"&amp;D$1&amp;"'!A2:G1000"), (INDIRECT("'"&amp;D$1&amp;"'!B2:B1000")=$B76) * (INDIRECT("'"&amp;D$1&amp;"'!C2:C1000")=$C76)
        ),7,
        FALSE
    )
)</f>
        <v>Não</v>
      </c>
      <c r="E76" s="79" t="str">
        <f t="array" aca="1" ref="E76" ca="1">IF(
    VLOOKUP(
        $A76,
        _xlfn._xlws.FILTER(
            INDIRECT("'"&amp;E$1&amp;"'!A2:G1000"), (INDIRECT("'"&amp;E$1&amp;"'!B2:B1000")=$B76) * (INDIRECT("'"&amp;E$1&amp;"'!C2:C1000")=$C76)
        ),
        5,
        FALSE
    )="",
    "",
    VLOOKUP(
        $A76,
        _xlfn._xlws.FILTER(
            INDIRECT("'"&amp;E$1&amp;"'!A2:G1000"), (INDIRECT("'"&amp;E$1&amp;"'!B2:B1000")=$B76) * (INDIRECT("'"&amp;E$1&amp;"'!C2:C1000")=$C76)
        ),7,
        FALSE
    )
)</f>
        <v>Não</v>
      </c>
      <c r="F76" s="79" t="str">
        <f t="array" aca="1" ref="F76" ca="1">IF(
    VLOOKUP(
        $A76,
        _xlfn._xlws.FILTER(
            INDIRECT("'"&amp;F$1&amp;"'!A2:G1000"), (INDIRECT("'"&amp;F$1&amp;"'!B2:B1000")=$B76) * (INDIRECT("'"&amp;F$1&amp;"'!C2:C1000")=$C76)
        ),
        5,
        FALSE
    )="",
    "",
    VLOOKUP(
        $A76,
        _xlfn._xlws.FILTER(
            INDIRECT("'"&amp;F$1&amp;"'!A2:G1000"), (INDIRECT("'"&amp;F$1&amp;"'!B2:B1000")=$B76) * (INDIRECT("'"&amp;F$1&amp;"'!C2:C1000")=$C76)
        ),7,
        FALSE
    )
)</f>
        <v>Sim</v>
      </c>
      <c r="G76" s="79" t="str">
        <f t="array" aca="1" ref="G76" ca="1">IF(
    VLOOKUP(
        $A76,
        _xlfn._xlws.FILTER(
            INDIRECT("'"&amp;G$1&amp;"'!A2:G1000"), (INDIRECT("'"&amp;G$1&amp;"'!B2:B1000")=$B76) * (INDIRECT("'"&amp;G$1&amp;"'!C2:C1000")=$C76)
        ),
        5,
        FALSE
    )="",
    "",
    VLOOKUP(
        $A76,
        _xlfn._xlws.FILTER(
            INDIRECT("'"&amp;G$1&amp;"'!A2:G1000"), (INDIRECT("'"&amp;G$1&amp;"'!B2:B1000")=$B76) * (INDIRECT("'"&amp;G$1&amp;"'!C2:C1000")=$C76)
        ),7,
        FALSE
    )
)</f>
        <v>Sim</v>
      </c>
      <c r="H76" s="79" t="str">
        <f t="array" aca="1" ref="H76" ca="1">IF(
    VLOOKUP(
        $A76,
        _xlfn._xlws.FILTER(
            INDIRECT("'"&amp;H$1&amp;"'!A2:G1000"), (INDIRECT("'"&amp;H$1&amp;"'!B2:B1000")=$B76) * (INDIRECT("'"&amp;H$1&amp;"'!C2:C1000")=$C76)
        ),
        5,
        FALSE
    )="",
    "",
    VLOOKUP(
        $A76,
        _xlfn._xlws.FILTER(
            INDIRECT("'"&amp;H$1&amp;"'!A2:G1000"), (INDIRECT("'"&amp;H$1&amp;"'!B2:B1000")=$B76) * (INDIRECT("'"&amp;H$1&amp;"'!C2:C1000")=$C76)
        ),7,
        FALSE
    )
)</f>
        <v>Sim</v>
      </c>
      <c r="I76" s="79" t="str">
        <f t="array" aca="1" ref="I76" ca="1">IF(
    VLOOKUP(
        $A76,
        _xlfn._xlws.FILTER(
            INDIRECT("'"&amp;I$1&amp;"'!A2:G1000"), (INDIRECT("'"&amp;I$1&amp;"'!B2:B1000")=$B76) * (INDIRECT("'"&amp;I$1&amp;"'!C2:C1000")=$C76)
        ),
        5,
        FALSE
    )="",
    "",
    VLOOKUP(
        $A76,
        _xlfn._xlws.FILTER(
            INDIRECT("'"&amp;I$1&amp;"'!A2:G1000"), (INDIRECT("'"&amp;I$1&amp;"'!B2:B1000")=$B76) * (INDIRECT("'"&amp;I$1&amp;"'!C2:C1000")=$C76)
        ),7,
        FALSE
    )
)</f>
        <v>Sim</v>
      </c>
      <c r="J76" s="79" t="str">
        <f t="array" aca="1" ref="J76" ca="1">IF(
    VLOOKUP(
        $A76,
        _xlfn._xlws.FILTER(
            INDIRECT("'"&amp;J$1&amp;"'!A2:G1000"), (INDIRECT("'"&amp;J$1&amp;"'!B2:B1000")=$B76) * (INDIRECT("'"&amp;J$1&amp;"'!C2:C1000")=$C76)
        ),
        5,
        FALSE
    )="",
    "",
    VLOOKUP(
        $A76,
        _xlfn._xlws.FILTER(
            INDIRECT("'"&amp;J$1&amp;"'!A2:G1000"), (INDIRECT("'"&amp;J$1&amp;"'!B2:B1000")=$B76) * (INDIRECT("'"&amp;J$1&amp;"'!C2:C1000")=$C76)
        ),7,
        FALSE
    )
)</f>
        <v>Sim</v>
      </c>
      <c r="K76" s="79" t="str">
        <f t="array" aca="1" ref="K76" ca="1">IF(
    VLOOKUP(
        $A76,
        _xlfn._xlws.FILTER(
            INDIRECT("'"&amp;K$1&amp;"'!A2:G1000"), (INDIRECT("'"&amp;K$1&amp;"'!B2:B1000")=$B76) * (INDIRECT("'"&amp;K$1&amp;"'!C2:C1000")=$C76)
        ),
        5,
        FALSE
    )="",
    "",
    VLOOKUP(
        $A76,
        _xlfn._xlws.FILTER(
            INDIRECT("'"&amp;K$1&amp;"'!A2:G1000"), (INDIRECT("'"&amp;K$1&amp;"'!B2:B1000")=$B76) * (INDIRECT("'"&amp;K$1&amp;"'!C2:C1000")=$C76)
        ),7,
        FALSE
    )
)</f>
        <v>Sim</v>
      </c>
      <c r="L76" s="79" t="str">
        <f t="array" aca="1" ref="L76" ca="1">IF(
    VLOOKUP(
        $A76,
        _xlfn._xlws.FILTER(
            INDIRECT("'"&amp;L$1&amp;"'!A2:G1000"), (INDIRECT("'"&amp;L$1&amp;"'!B2:B1000")=$B76) * (INDIRECT("'"&amp;L$1&amp;"'!C2:C1000")=$C76)
        ),
        5,
        FALSE
    )="",
    "",
    VLOOKUP(
        $A76,
        _xlfn._xlws.FILTER(
            INDIRECT("'"&amp;L$1&amp;"'!A2:G1000"), (INDIRECT("'"&amp;L$1&amp;"'!B2:B1000")=$B76) * (INDIRECT("'"&amp;L$1&amp;"'!C2:C1000")=$C76)
        ),7,
        FALSE
    )
)</f>
        <v>Sim</v>
      </c>
      <c r="M76" s="79" t="str">
        <f t="array" aca="1" ref="M76" ca="1">IF(
    VLOOKUP(
        $A76,
        _xlfn._xlws.FILTER(
            INDIRECT("'"&amp;M$1&amp;"'!A2:G1000"), (INDIRECT("'"&amp;M$1&amp;"'!B2:B1000")=$B76) * (INDIRECT("'"&amp;M$1&amp;"'!C2:C1000")=$C76)
        ),
        5,
        FALSE
    )="",
    "",
    VLOOKUP(
        $A76,
        _xlfn._xlws.FILTER(
            INDIRECT("'"&amp;M$1&amp;"'!A2:G1000"), (INDIRECT("'"&amp;M$1&amp;"'!B2:B1000")=$B76) * (INDIRECT("'"&amp;M$1&amp;"'!C2:C1000")=$C76)
        ),7,
        FALSE
    )
)</f>
        <v>Sim</v>
      </c>
      <c r="N76" s="79" t="str">
        <f t="array" aca="1" ref="N76" ca="1">IF(
    VLOOKUP(
        $A76,
        _xlfn._xlws.FILTER(
            INDIRECT("'"&amp;N$1&amp;"'!A2:G1000"), (INDIRECT("'"&amp;N$1&amp;"'!B2:B1000")=$B76) * (INDIRECT("'"&amp;N$1&amp;"'!C2:C1000")=$C76)
        ),
        5,
        FALSE
    )="",
    "",
    VLOOKUP(
        $A76,
        _xlfn._xlws.FILTER(
            INDIRECT("'"&amp;N$1&amp;"'!A2:G1000"), (INDIRECT("'"&amp;N$1&amp;"'!B2:B1000")=$B76) * (INDIRECT("'"&amp;N$1&amp;"'!C2:C1000")=$C76)
        ),7,
        FALSE
    )
)</f>
        <v>Sim</v>
      </c>
      <c r="O76" s="79" t="str">
        <f t="array" aca="1" ref="O76" ca="1">IF(
    VLOOKUP(
        $A76,
        _xlfn._xlws.FILTER(
            INDIRECT("'"&amp;O$1&amp;"'!A2:G1000"), (INDIRECT("'"&amp;O$1&amp;"'!B2:B1000")=$B76) * (INDIRECT("'"&amp;O$1&amp;"'!C2:C1000")=$C76)
        ),
        5,
        FALSE
    )="",
    "",
    VLOOKUP(
        $A76,
        _xlfn._xlws.FILTER(
            INDIRECT("'"&amp;O$1&amp;"'!A2:G1000"), (INDIRECT("'"&amp;O$1&amp;"'!B2:B1000")=$B76) * (INDIRECT("'"&amp;O$1&amp;"'!C2:C1000")=$C76)
        ),7,
        FALSE
    )
)</f>
        <v>Sim</v>
      </c>
      <c r="P76" s="79" t="str">
        <f t="array" aca="1" ref="P76" ca="1">IF(
    VLOOKUP(
        $A76,
        _xlfn._xlws.FILTER(
            INDIRECT("'"&amp;P$1&amp;"'!A2:G1000"), (INDIRECT("'"&amp;P$1&amp;"'!B2:B1000")=$B76) * (INDIRECT("'"&amp;P$1&amp;"'!C2:C1000")=$C76)
        ),
        5,
        FALSE
    )="",
    "",
    VLOOKUP(
        $A76,
        _xlfn._xlws.FILTER(
            INDIRECT("'"&amp;P$1&amp;"'!A2:G1000"), (INDIRECT("'"&amp;P$1&amp;"'!B2:B1000")=$B76) * (INDIRECT("'"&amp;P$1&amp;"'!C2:C1000")=$C76)
        ),7,
        FALSE
    )
)</f>
        <v>Sim</v>
      </c>
      <c r="Q76" s="79" t="str">
        <f t="array" aca="1" ref="Q76" ca="1">IF(
    VLOOKUP(
        $A76,
        _xlfn._xlws.FILTER(
            INDIRECT("'"&amp;Q$1&amp;"'!A2:G1000"), (INDIRECT("'"&amp;Q$1&amp;"'!B2:B1000")=$B76) * (INDIRECT("'"&amp;Q$1&amp;"'!C2:C1000")=$C76)
        ),
        5,
        FALSE
    )="",
    "",
    VLOOKUP(
        $A76,
        _xlfn._xlws.FILTER(
            INDIRECT("'"&amp;Q$1&amp;"'!A2:G1000"), (INDIRECT("'"&amp;Q$1&amp;"'!B2:B1000")=$B76) * (INDIRECT("'"&amp;Q$1&amp;"'!C2:C1000")=$C76)
        ),7,
        FALSE
    )
)</f>
        <v/>
      </c>
    </row>
    <row r="77" spans="1:17" x14ac:dyDescent="0.25">
      <c r="A77" s="87" t="s">
        <v>43</v>
      </c>
      <c r="B77" s="79" t="s">
        <v>127</v>
      </c>
      <c r="C77" s="79">
        <v>1</v>
      </c>
      <c r="D77" s="79" t="str">
        <f t="array" aca="1" ref="D77" ca="1">IF(
    VLOOKUP(
        $A77,
        _xlfn._xlws.FILTER(
            INDIRECT("'"&amp;D$1&amp;"'!A2:G1000"), (INDIRECT("'"&amp;D$1&amp;"'!B2:B1000")=$B77) * (INDIRECT("'"&amp;D$1&amp;"'!C2:C1000")=$C77)
        ),
        5,
        FALSE
    )="",
    "",
    VLOOKUP(
        $A77,
        _xlfn._xlws.FILTER(
            INDIRECT("'"&amp;D$1&amp;"'!A2:G1000"), (INDIRECT("'"&amp;D$1&amp;"'!B2:B1000")=$B77) * (INDIRECT("'"&amp;D$1&amp;"'!C2:C1000")=$C77)
        ),7,
        FALSE
    )
)</f>
        <v>Não</v>
      </c>
      <c r="E77" s="79" t="str">
        <f t="array" aca="1" ref="E77" ca="1">IF(
    VLOOKUP(
        $A77,
        _xlfn._xlws.FILTER(
            INDIRECT("'"&amp;E$1&amp;"'!A2:G1000"), (INDIRECT("'"&amp;E$1&amp;"'!B2:B1000")=$B77) * (INDIRECT("'"&amp;E$1&amp;"'!C2:C1000")=$C77)
        ),
        5,
        FALSE
    )="",
    "",
    VLOOKUP(
        $A77,
        _xlfn._xlws.FILTER(
            INDIRECT("'"&amp;E$1&amp;"'!A2:G1000"), (INDIRECT("'"&amp;E$1&amp;"'!B2:B1000")=$B77) * (INDIRECT("'"&amp;E$1&amp;"'!C2:C1000")=$C77)
        ),7,
        FALSE
    )
)</f>
        <v>Sim</v>
      </c>
      <c r="F77" s="79" t="str">
        <f t="array" aca="1" ref="F77" ca="1">IF(
    VLOOKUP(
        $A77,
        _xlfn._xlws.FILTER(
            INDIRECT("'"&amp;F$1&amp;"'!A2:G1000"), (INDIRECT("'"&amp;F$1&amp;"'!B2:B1000")=$B77) * (INDIRECT("'"&amp;F$1&amp;"'!C2:C1000")=$C77)
        ),
        5,
        FALSE
    )="",
    "",
    VLOOKUP(
        $A77,
        _xlfn._xlws.FILTER(
            INDIRECT("'"&amp;F$1&amp;"'!A2:G1000"), (INDIRECT("'"&amp;F$1&amp;"'!B2:B1000")=$B77) * (INDIRECT("'"&amp;F$1&amp;"'!C2:C1000")=$C77)
        ),7,
        FALSE
    )
)</f>
        <v>Sim</v>
      </c>
      <c r="G77" s="79" t="str">
        <f t="array" aca="1" ref="G77" ca="1">IF(
    VLOOKUP(
        $A77,
        _xlfn._xlws.FILTER(
            INDIRECT("'"&amp;G$1&amp;"'!A2:G1000"), (INDIRECT("'"&amp;G$1&amp;"'!B2:B1000")=$B77) * (INDIRECT("'"&amp;G$1&amp;"'!C2:C1000")=$C77)
        ),
        5,
        FALSE
    )="",
    "",
    VLOOKUP(
        $A77,
        _xlfn._xlws.FILTER(
            INDIRECT("'"&amp;G$1&amp;"'!A2:G1000"), (INDIRECT("'"&amp;G$1&amp;"'!B2:B1000")=$B77) * (INDIRECT("'"&amp;G$1&amp;"'!C2:C1000")=$C77)
        ),7,
        FALSE
    )
)</f>
        <v>Sim</v>
      </c>
      <c r="H77" s="79" t="str">
        <f t="array" aca="1" ref="H77" ca="1">IF(
    VLOOKUP(
        $A77,
        _xlfn._xlws.FILTER(
            INDIRECT("'"&amp;H$1&amp;"'!A2:G1000"), (INDIRECT("'"&amp;H$1&amp;"'!B2:B1000")=$B77) * (INDIRECT("'"&amp;H$1&amp;"'!C2:C1000")=$C77)
        ),
        5,
        FALSE
    )="",
    "",
    VLOOKUP(
        $A77,
        _xlfn._xlws.FILTER(
            INDIRECT("'"&amp;H$1&amp;"'!A2:G1000"), (INDIRECT("'"&amp;H$1&amp;"'!B2:B1000")=$B77) * (INDIRECT("'"&amp;H$1&amp;"'!C2:C1000")=$C77)
        ),7,
        FALSE
    )
)</f>
        <v>Sim</v>
      </c>
      <c r="I77" s="79" t="str">
        <f t="array" aca="1" ref="I77" ca="1">IF(
    VLOOKUP(
        $A77,
        _xlfn._xlws.FILTER(
            INDIRECT("'"&amp;I$1&amp;"'!A2:G1000"), (INDIRECT("'"&amp;I$1&amp;"'!B2:B1000")=$B77) * (INDIRECT("'"&amp;I$1&amp;"'!C2:C1000")=$C77)
        ),
        5,
        FALSE
    )="",
    "",
    VLOOKUP(
        $A77,
        _xlfn._xlws.FILTER(
            INDIRECT("'"&amp;I$1&amp;"'!A2:G1000"), (INDIRECT("'"&amp;I$1&amp;"'!B2:B1000")=$B77) * (INDIRECT("'"&amp;I$1&amp;"'!C2:C1000")=$C77)
        ),7,
        FALSE
    )
)</f>
        <v>Sim</v>
      </c>
      <c r="J77" s="79" t="str">
        <f t="array" aca="1" ref="J77" ca="1">IF(
    VLOOKUP(
        $A77,
        _xlfn._xlws.FILTER(
            INDIRECT("'"&amp;J$1&amp;"'!A2:G1000"), (INDIRECT("'"&amp;J$1&amp;"'!B2:B1000")=$B77) * (INDIRECT("'"&amp;J$1&amp;"'!C2:C1000")=$C77)
        ),
        5,
        FALSE
    )="",
    "",
    VLOOKUP(
        $A77,
        _xlfn._xlws.FILTER(
            INDIRECT("'"&amp;J$1&amp;"'!A2:G1000"), (INDIRECT("'"&amp;J$1&amp;"'!B2:B1000")=$B77) * (INDIRECT("'"&amp;J$1&amp;"'!C2:C1000")=$C77)
        ),7,
        FALSE
    )
)</f>
        <v>Sim</v>
      </c>
      <c r="K77" s="79" t="str">
        <f t="array" aca="1" ref="K77" ca="1">IF(
    VLOOKUP(
        $A77,
        _xlfn._xlws.FILTER(
            INDIRECT("'"&amp;K$1&amp;"'!A2:G1000"), (INDIRECT("'"&amp;K$1&amp;"'!B2:B1000")=$B77) * (INDIRECT("'"&amp;K$1&amp;"'!C2:C1000")=$C77)
        ),
        5,
        FALSE
    )="",
    "",
    VLOOKUP(
        $A77,
        _xlfn._xlws.FILTER(
            INDIRECT("'"&amp;K$1&amp;"'!A2:G1000"), (INDIRECT("'"&amp;K$1&amp;"'!B2:B1000")=$B77) * (INDIRECT("'"&amp;K$1&amp;"'!C2:C1000")=$C77)
        ),7,
        FALSE
    )
)</f>
        <v>Sim</v>
      </c>
      <c r="L77" s="79" t="str">
        <f t="array" aca="1" ref="L77" ca="1">IF(
    VLOOKUP(
        $A77,
        _xlfn._xlws.FILTER(
            INDIRECT("'"&amp;L$1&amp;"'!A2:G1000"), (INDIRECT("'"&amp;L$1&amp;"'!B2:B1000")=$B77) * (INDIRECT("'"&amp;L$1&amp;"'!C2:C1000")=$C77)
        ),
        5,
        FALSE
    )="",
    "",
    VLOOKUP(
        $A77,
        _xlfn._xlws.FILTER(
            INDIRECT("'"&amp;L$1&amp;"'!A2:G1000"), (INDIRECT("'"&amp;L$1&amp;"'!B2:B1000")=$B77) * (INDIRECT("'"&amp;L$1&amp;"'!C2:C1000")=$C77)
        ),7,
        FALSE
    )
)</f>
        <v>Sim</v>
      </c>
      <c r="M77" s="79" t="str">
        <f t="array" aca="1" ref="M77" ca="1">IF(
    VLOOKUP(
        $A77,
        _xlfn._xlws.FILTER(
            INDIRECT("'"&amp;M$1&amp;"'!A2:G1000"), (INDIRECT("'"&amp;M$1&amp;"'!B2:B1000")=$B77) * (INDIRECT("'"&amp;M$1&amp;"'!C2:C1000")=$C77)
        ),
        5,
        FALSE
    )="",
    "",
    VLOOKUP(
        $A77,
        _xlfn._xlws.FILTER(
            INDIRECT("'"&amp;M$1&amp;"'!A2:G1000"), (INDIRECT("'"&amp;M$1&amp;"'!B2:B1000")=$B77) * (INDIRECT("'"&amp;M$1&amp;"'!C2:C1000")=$C77)
        ),7,
        FALSE
    )
)</f>
        <v>Sim</v>
      </c>
      <c r="N77" s="79" t="str">
        <f t="array" aca="1" ref="N77" ca="1">IF(
    VLOOKUP(
        $A77,
        _xlfn._xlws.FILTER(
            INDIRECT("'"&amp;N$1&amp;"'!A2:G1000"), (INDIRECT("'"&amp;N$1&amp;"'!B2:B1000")=$B77) * (INDIRECT("'"&amp;N$1&amp;"'!C2:C1000")=$C77)
        ),
        5,
        FALSE
    )="",
    "",
    VLOOKUP(
        $A77,
        _xlfn._xlws.FILTER(
            INDIRECT("'"&amp;N$1&amp;"'!A2:G1000"), (INDIRECT("'"&amp;N$1&amp;"'!B2:B1000")=$B77) * (INDIRECT("'"&amp;N$1&amp;"'!C2:C1000")=$C77)
        ),7,
        FALSE
    )
)</f>
        <v>Sim</v>
      </c>
      <c r="O77" s="79" t="str">
        <f t="array" aca="1" ref="O77" ca="1">IF(
    VLOOKUP(
        $A77,
        _xlfn._xlws.FILTER(
            INDIRECT("'"&amp;O$1&amp;"'!A2:G1000"), (INDIRECT("'"&amp;O$1&amp;"'!B2:B1000")=$B77) * (INDIRECT("'"&amp;O$1&amp;"'!C2:C1000")=$C77)
        ),
        5,
        FALSE
    )="",
    "",
    VLOOKUP(
        $A77,
        _xlfn._xlws.FILTER(
            INDIRECT("'"&amp;O$1&amp;"'!A2:G1000"), (INDIRECT("'"&amp;O$1&amp;"'!B2:B1000")=$B77) * (INDIRECT("'"&amp;O$1&amp;"'!C2:C1000")=$C77)
        ),7,
        FALSE
    )
)</f>
        <v>Sim</v>
      </c>
      <c r="P77" s="79" t="str">
        <f t="array" aca="1" ref="P77" ca="1">IF(
    VLOOKUP(
        $A77,
        _xlfn._xlws.FILTER(
            INDIRECT("'"&amp;P$1&amp;"'!A2:G1000"), (INDIRECT("'"&amp;P$1&amp;"'!B2:B1000")=$B77) * (INDIRECT("'"&amp;P$1&amp;"'!C2:C1000")=$C77)
        ),
        5,
        FALSE
    )="",
    "",
    VLOOKUP(
        $A77,
        _xlfn._xlws.FILTER(
            INDIRECT("'"&amp;P$1&amp;"'!A2:G1000"), (INDIRECT("'"&amp;P$1&amp;"'!B2:B1000")=$B77) * (INDIRECT("'"&amp;P$1&amp;"'!C2:C1000")=$C77)
        ),7,
        FALSE
    )
)</f>
        <v>Sim</v>
      </c>
      <c r="Q77" s="79" t="str">
        <f t="array" aca="1" ref="Q77" ca="1">IF(
    VLOOKUP(
        $A77,
        _xlfn._xlws.FILTER(
            INDIRECT("'"&amp;Q$1&amp;"'!A2:G1000"), (INDIRECT("'"&amp;Q$1&amp;"'!B2:B1000")=$B77) * (INDIRECT("'"&amp;Q$1&amp;"'!C2:C1000")=$C77)
        ),
        5,
        FALSE
    )="",
    "",
    VLOOKUP(
        $A77,
        _xlfn._xlws.FILTER(
            INDIRECT("'"&amp;Q$1&amp;"'!A2:G1000"), (INDIRECT("'"&amp;Q$1&amp;"'!B2:B1000")=$B77) * (INDIRECT("'"&amp;Q$1&amp;"'!C2:C1000")=$C77)
        ),7,
        FALSE
    )
)</f>
        <v/>
      </c>
    </row>
    <row r="78" spans="1:17" x14ac:dyDescent="0.25">
      <c r="A78" s="87" t="s">
        <v>43</v>
      </c>
      <c r="B78" s="79" t="s">
        <v>128</v>
      </c>
      <c r="C78" s="79">
        <v>1</v>
      </c>
      <c r="D78" s="79" t="str">
        <f t="array" aca="1" ref="D78" ca="1">IF(
    VLOOKUP(
        $A78,
        _xlfn._xlws.FILTER(
            INDIRECT("'"&amp;D$1&amp;"'!A2:G1000"), (INDIRECT("'"&amp;D$1&amp;"'!B2:B1000")=$B78) * (INDIRECT("'"&amp;D$1&amp;"'!C2:C1000")=$C78)
        ),
        5,
        FALSE
    )="",
    "",
    VLOOKUP(
        $A78,
        _xlfn._xlws.FILTER(
            INDIRECT("'"&amp;D$1&amp;"'!A2:G1000"), (INDIRECT("'"&amp;D$1&amp;"'!B2:B1000")=$B78) * (INDIRECT("'"&amp;D$1&amp;"'!C2:C1000")=$C78)
        ),7,
        FALSE
    )
)</f>
        <v>Sim</v>
      </c>
      <c r="E78" s="79" t="str">
        <f t="array" aca="1" ref="E78" ca="1">IF(
    VLOOKUP(
        $A78,
        _xlfn._xlws.FILTER(
            INDIRECT("'"&amp;E$1&amp;"'!A2:G1000"), (INDIRECT("'"&amp;E$1&amp;"'!B2:B1000")=$B78) * (INDIRECT("'"&amp;E$1&amp;"'!C2:C1000")=$C78)
        ),
        5,
        FALSE
    )="",
    "",
    VLOOKUP(
        $A78,
        _xlfn._xlws.FILTER(
            INDIRECT("'"&amp;E$1&amp;"'!A2:G1000"), (INDIRECT("'"&amp;E$1&amp;"'!B2:B1000")=$B78) * (INDIRECT("'"&amp;E$1&amp;"'!C2:C1000")=$C78)
        ),7,
        FALSE
    )
)</f>
        <v>Sim</v>
      </c>
      <c r="F78" s="79" t="str">
        <f t="array" aca="1" ref="F78" ca="1">IF(
    VLOOKUP(
        $A78,
        _xlfn._xlws.FILTER(
            INDIRECT("'"&amp;F$1&amp;"'!A2:G1000"), (INDIRECT("'"&amp;F$1&amp;"'!B2:B1000")=$B78) * (INDIRECT("'"&amp;F$1&amp;"'!C2:C1000")=$C78)
        ),
        5,
        FALSE
    )="",
    "",
    VLOOKUP(
        $A78,
        _xlfn._xlws.FILTER(
            INDIRECT("'"&amp;F$1&amp;"'!A2:G1000"), (INDIRECT("'"&amp;F$1&amp;"'!B2:B1000")=$B78) * (INDIRECT("'"&amp;F$1&amp;"'!C2:C1000")=$C78)
        ),7,
        FALSE
    )
)</f>
        <v>Sim</v>
      </c>
      <c r="G78" s="79" t="str">
        <f t="array" aca="1" ref="G78" ca="1">IF(
    VLOOKUP(
        $A78,
        _xlfn._xlws.FILTER(
            INDIRECT("'"&amp;G$1&amp;"'!A2:G1000"), (INDIRECT("'"&amp;G$1&amp;"'!B2:B1000")=$B78) * (INDIRECT("'"&amp;G$1&amp;"'!C2:C1000")=$C78)
        ),
        5,
        FALSE
    )="",
    "",
    VLOOKUP(
        $A78,
        _xlfn._xlws.FILTER(
            INDIRECT("'"&amp;G$1&amp;"'!A2:G1000"), (INDIRECT("'"&amp;G$1&amp;"'!B2:B1000")=$B78) * (INDIRECT("'"&amp;G$1&amp;"'!C2:C1000")=$C78)
        ),7,
        FALSE
    )
)</f>
        <v>Sim</v>
      </c>
      <c r="H78" s="79" t="str">
        <f t="array" aca="1" ref="H78" ca="1">IF(
    VLOOKUP(
        $A78,
        _xlfn._xlws.FILTER(
            INDIRECT("'"&amp;H$1&amp;"'!A2:G1000"), (INDIRECT("'"&amp;H$1&amp;"'!B2:B1000")=$B78) * (INDIRECT("'"&amp;H$1&amp;"'!C2:C1000")=$C78)
        ),
        5,
        FALSE
    )="",
    "",
    VLOOKUP(
        $A78,
        _xlfn._xlws.FILTER(
            INDIRECT("'"&amp;H$1&amp;"'!A2:G1000"), (INDIRECT("'"&amp;H$1&amp;"'!B2:B1000")=$B78) * (INDIRECT("'"&amp;H$1&amp;"'!C2:C1000")=$C78)
        ),7,
        FALSE
    )
)</f>
        <v>Sim</v>
      </c>
      <c r="I78" s="79" t="str">
        <f t="array" aca="1" ref="I78" ca="1">IF(
    VLOOKUP(
        $A78,
        _xlfn._xlws.FILTER(
            INDIRECT("'"&amp;I$1&amp;"'!A2:G1000"), (INDIRECT("'"&amp;I$1&amp;"'!B2:B1000")=$B78) * (INDIRECT("'"&amp;I$1&amp;"'!C2:C1000")=$C78)
        ),
        5,
        FALSE
    )="",
    "",
    VLOOKUP(
        $A78,
        _xlfn._xlws.FILTER(
            INDIRECT("'"&amp;I$1&amp;"'!A2:G1000"), (INDIRECT("'"&amp;I$1&amp;"'!B2:B1000")=$B78) * (INDIRECT("'"&amp;I$1&amp;"'!C2:C1000")=$C78)
        ),7,
        FALSE
    )
)</f>
        <v>Sim</v>
      </c>
      <c r="J78" s="79" t="str">
        <f t="array" aca="1" ref="J78" ca="1">IF(
    VLOOKUP(
        $A78,
        _xlfn._xlws.FILTER(
            INDIRECT("'"&amp;J$1&amp;"'!A2:G1000"), (INDIRECT("'"&amp;J$1&amp;"'!B2:B1000")=$B78) * (INDIRECT("'"&amp;J$1&amp;"'!C2:C1000")=$C78)
        ),
        5,
        FALSE
    )="",
    "",
    VLOOKUP(
        $A78,
        _xlfn._xlws.FILTER(
            INDIRECT("'"&amp;J$1&amp;"'!A2:G1000"), (INDIRECT("'"&amp;J$1&amp;"'!B2:B1000")=$B78) * (INDIRECT("'"&amp;J$1&amp;"'!C2:C1000")=$C78)
        ),7,
        FALSE
    )
)</f>
        <v>Sim</v>
      </c>
      <c r="K78" s="79" t="str">
        <f t="array" aca="1" ref="K78" ca="1">IF(
    VLOOKUP(
        $A78,
        _xlfn._xlws.FILTER(
            INDIRECT("'"&amp;K$1&amp;"'!A2:G1000"), (INDIRECT("'"&amp;K$1&amp;"'!B2:B1000")=$B78) * (INDIRECT("'"&amp;K$1&amp;"'!C2:C1000")=$C78)
        ),
        5,
        FALSE
    )="",
    "",
    VLOOKUP(
        $A78,
        _xlfn._xlws.FILTER(
            INDIRECT("'"&amp;K$1&amp;"'!A2:G1000"), (INDIRECT("'"&amp;K$1&amp;"'!B2:B1000")=$B78) * (INDIRECT("'"&amp;K$1&amp;"'!C2:C1000")=$C78)
        ),7,
        FALSE
    )
)</f>
        <v>Sim</v>
      </c>
      <c r="L78" s="79" t="str">
        <f t="array" aca="1" ref="L78" ca="1">IF(
    VLOOKUP(
        $A78,
        _xlfn._xlws.FILTER(
            INDIRECT("'"&amp;L$1&amp;"'!A2:G1000"), (INDIRECT("'"&amp;L$1&amp;"'!B2:B1000")=$B78) * (INDIRECT("'"&amp;L$1&amp;"'!C2:C1000")=$C78)
        ),
        5,
        FALSE
    )="",
    "",
    VLOOKUP(
        $A78,
        _xlfn._xlws.FILTER(
            INDIRECT("'"&amp;L$1&amp;"'!A2:G1000"), (INDIRECT("'"&amp;L$1&amp;"'!B2:B1000")=$B78) * (INDIRECT("'"&amp;L$1&amp;"'!C2:C1000")=$C78)
        ),7,
        FALSE
    )
)</f>
        <v>Sim</v>
      </c>
      <c r="M78" s="79" t="str">
        <f t="array" aca="1" ref="M78" ca="1">IF(
    VLOOKUP(
        $A78,
        _xlfn._xlws.FILTER(
            INDIRECT("'"&amp;M$1&amp;"'!A2:G1000"), (INDIRECT("'"&amp;M$1&amp;"'!B2:B1000")=$B78) * (INDIRECT("'"&amp;M$1&amp;"'!C2:C1000")=$C78)
        ),
        5,
        FALSE
    )="",
    "",
    VLOOKUP(
        $A78,
        _xlfn._xlws.FILTER(
            INDIRECT("'"&amp;M$1&amp;"'!A2:G1000"), (INDIRECT("'"&amp;M$1&amp;"'!B2:B1000")=$B78) * (INDIRECT("'"&amp;M$1&amp;"'!C2:C1000")=$C78)
        ),7,
        FALSE
    )
)</f>
        <v>Sim</v>
      </c>
      <c r="N78" s="79" t="str">
        <f t="array" aca="1" ref="N78" ca="1">IF(
    VLOOKUP(
        $A78,
        _xlfn._xlws.FILTER(
            INDIRECT("'"&amp;N$1&amp;"'!A2:G1000"), (INDIRECT("'"&amp;N$1&amp;"'!B2:B1000")=$B78) * (INDIRECT("'"&amp;N$1&amp;"'!C2:C1000")=$C78)
        ),
        5,
        FALSE
    )="",
    "",
    VLOOKUP(
        $A78,
        _xlfn._xlws.FILTER(
            INDIRECT("'"&amp;N$1&amp;"'!A2:G1000"), (INDIRECT("'"&amp;N$1&amp;"'!B2:B1000")=$B78) * (INDIRECT("'"&amp;N$1&amp;"'!C2:C1000")=$C78)
        ),7,
        FALSE
    )
)</f>
        <v>Sim</v>
      </c>
      <c r="O78" s="79" t="str">
        <f t="array" aca="1" ref="O78" ca="1">IF(
    VLOOKUP(
        $A78,
        _xlfn._xlws.FILTER(
            INDIRECT("'"&amp;O$1&amp;"'!A2:G1000"), (INDIRECT("'"&amp;O$1&amp;"'!B2:B1000")=$B78) * (INDIRECT("'"&amp;O$1&amp;"'!C2:C1000")=$C78)
        ),
        5,
        FALSE
    )="",
    "",
    VLOOKUP(
        $A78,
        _xlfn._xlws.FILTER(
            INDIRECT("'"&amp;O$1&amp;"'!A2:G1000"), (INDIRECT("'"&amp;O$1&amp;"'!B2:B1000")=$B78) * (INDIRECT("'"&amp;O$1&amp;"'!C2:C1000")=$C78)
        ),7,
        FALSE
    )
)</f>
        <v>Sim</v>
      </c>
      <c r="P78" s="79" t="str">
        <f t="array" aca="1" ref="P78" ca="1">IF(
    VLOOKUP(
        $A78,
        _xlfn._xlws.FILTER(
            INDIRECT("'"&amp;P$1&amp;"'!A2:G1000"), (INDIRECT("'"&amp;P$1&amp;"'!B2:B1000")=$B78) * (INDIRECT("'"&amp;P$1&amp;"'!C2:C1000")=$C78)
        ),
        5,
        FALSE
    )="",
    "",
    VLOOKUP(
        $A78,
        _xlfn._xlws.FILTER(
            INDIRECT("'"&amp;P$1&amp;"'!A2:G1000"), (INDIRECT("'"&amp;P$1&amp;"'!B2:B1000")=$B78) * (INDIRECT("'"&amp;P$1&amp;"'!C2:C1000")=$C78)
        ),7,
        FALSE
    )
)</f>
        <v>Sim</v>
      </c>
      <c r="Q78" s="79" t="str">
        <f t="array" aca="1" ref="Q78" ca="1">IF(
    VLOOKUP(
        $A78,
        _xlfn._xlws.FILTER(
            INDIRECT("'"&amp;Q$1&amp;"'!A2:G1000"), (INDIRECT("'"&amp;Q$1&amp;"'!B2:B1000")=$B78) * (INDIRECT("'"&amp;Q$1&amp;"'!C2:C1000")=$C78)
        ),
        5,
        FALSE
    )="",
    "",
    VLOOKUP(
        $A78,
        _xlfn._xlws.FILTER(
            INDIRECT("'"&amp;Q$1&amp;"'!A2:G1000"), (INDIRECT("'"&amp;Q$1&amp;"'!B2:B1000")=$B78) * (INDIRECT("'"&amp;Q$1&amp;"'!C2:C1000")=$C78)
        ),7,
        FALSE
    )
)</f>
        <v/>
      </c>
    </row>
    <row r="79" spans="1:17" x14ac:dyDescent="0.25">
      <c r="A79" s="87" t="s">
        <v>43</v>
      </c>
      <c r="B79" s="79" t="s">
        <v>129</v>
      </c>
      <c r="C79" s="79">
        <v>1</v>
      </c>
      <c r="D79" s="79" t="str">
        <f t="array" aca="1" ref="D79" ca="1">IF(
    VLOOKUP(
        $A79,
        _xlfn._xlws.FILTER(
            INDIRECT("'"&amp;D$1&amp;"'!A2:G1000"), (INDIRECT("'"&amp;D$1&amp;"'!B2:B1000")=$B79) * (INDIRECT("'"&amp;D$1&amp;"'!C2:C1000")=$C79)
        ),
        5,
        FALSE
    )="",
    "",
    VLOOKUP(
        $A79,
        _xlfn._xlws.FILTER(
            INDIRECT("'"&amp;D$1&amp;"'!A2:G1000"), (INDIRECT("'"&amp;D$1&amp;"'!B2:B1000")=$B79) * (INDIRECT("'"&amp;D$1&amp;"'!C2:C1000")=$C79)
        ),7,
        FALSE
    )
)</f>
        <v>Sim</v>
      </c>
      <c r="E79" s="79" t="str">
        <f t="array" aca="1" ref="E79" ca="1">IF(
    VLOOKUP(
        $A79,
        _xlfn._xlws.FILTER(
            INDIRECT("'"&amp;E$1&amp;"'!A2:G1000"), (INDIRECT("'"&amp;E$1&amp;"'!B2:B1000")=$B79) * (INDIRECT("'"&amp;E$1&amp;"'!C2:C1000")=$C79)
        ),
        5,
        FALSE
    )="",
    "",
    VLOOKUP(
        $A79,
        _xlfn._xlws.FILTER(
            INDIRECT("'"&amp;E$1&amp;"'!A2:G1000"), (INDIRECT("'"&amp;E$1&amp;"'!B2:B1000")=$B79) * (INDIRECT("'"&amp;E$1&amp;"'!C2:C1000")=$C79)
        ),7,
        FALSE
    )
)</f>
        <v>Sim</v>
      </c>
      <c r="F79" s="79" t="str">
        <f t="array" aca="1" ref="F79" ca="1">IF(
    VLOOKUP(
        $A79,
        _xlfn._xlws.FILTER(
            INDIRECT("'"&amp;F$1&amp;"'!A2:G1000"), (INDIRECT("'"&amp;F$1&amp;"'!B2:B1000")=$B79) * (INDIRECT("'"&amp;F$1&amp;"'!C2:C1000")=$C79)
        ),
        5,
        FALSE
    )="",
    "",
    VLOOKUP(
        $A79,
        _xlfn._xlws.FILTER(
            INDIRECT("'"&amp;F$1&amp;"'!A2:G1000"), (INDIRECT("'"&amp;F$1&amp;"'!B2:B1000")=$B79) * (INDIRECT("'"&amp;F$1&amp;"'!C2:C1000")=$C79)
        ),7,
        FALSE
    )
)</f>
        <v>Sim</v>
      </c>
      <c r="G79" s="79" t="str">
        <f t="array" aca="1" ref="G79" ca="1">IF(
    VLOOKUP(
        $A79,
        _xlfn._xlws.FILTER(
            INDIRECT("'"&amp;G$1&amp;"'!A2:G1000"), (INDIRECT("'"&amp;G$1&amp;"'!B2:B1000")=$B79) * (INDIRECT("'"&amp;G$1&amp;"'!C2:C1000")=$C79)
        ),
        5,
        FALSE
    )="",
    "",
    VLOOKUP(
        $A79,
        _xlfn._xlws.FILTER(
            INDIRECT("'"&amp;G$1&amp;"'!A2:G1000"), (INDIRECT("'"&amp;G$1&amp;"'!B2:B1000")=$B79) * (INDIRECT("'"&amp;G$1&amp;"'!C2:C1000")=$C79)
        ),7,
        FALSE
    )
)</f>
        <v>Sim</v>
      </c>
      <c r="H79" s="79" t="str">
        <f t="array" aca="1" ref="H79" ca="1">IF(
    VLOOKUP(
        $A79,
        _xlfn._xlws.FILTER(
            INDIRECT("'"&amp;H$1&amp;"'!A2:G1000"), (INDIRECT("'"&amp;H$1&amp;"'!B2:B1000")=$B79) * (INDIRECT("'"&amp;H$1&amp;"'!C2:C1000")=$C79)
        ),
        5,
        FALSE
    )="",
    "",
    VLOOKUP(
        $A79,
        _xlfn._xlws.FILTER(
            INDIRECT("'"&amp;H$1&amp;"'!A2:G1000"), (INDIRECT("'"&amp;H$1&amp;"'!B2:B1000")=$B79) * (INDIRECT("'"&amp;H$1&amp;"'!C2:C1000")=$C79)
        ),7,
        FALSE
    )
)</f>
        <v>Sim</v>
      </c>
      <c r="I79" s="79" t="str">
        <f t="array" aca="1" ref="I79" ca="1">IF(
    VLOOKUP(
        $A79,
        _xlfn._xlws.FILTER(
            INDIRECT("'"&amp;I$1&amp;"'!A2:G1000"), (INDIRECT("'"&amp;I$1&amp;"'!B2:B1000")=$B79) * (INDIRECT("'"&amp;I$1&amp;"'!C2:C1000")=$C79)
        ),
        5,
        FALSE
    )="",
    "",
    VLOOKUP(
        $A79,
        _xlfn._xlws.FILTER(
            INDIRECT("'"&amp;I$1&amp;"'!A2:G1000"), (INDIRECT("'"&amp;I$1&amp;"'!B2:B1000")=$B79) * (INDIRECT("'"&amp;I$1&amp;"'!C2:C1000")=$C79)
        ),7,
        FALSE
    )
)</f>
        <v>Sim</v>
      </c>
      <c r="J79" s="79" t="str">
        <f t="array" aca="1" ref="J79" ca="1">IF(
    VLOOKUP(
        $A79,
        _xlfn._xlws.FILTER(
            INDIRECT("'"&amp;J$1&amp;"'!A2:G1000"), (INDIRECT("'"&amp;J$1&amp;"'!B2:B1000")=$B79) * (INDIRECT("'"&amp;J$1&amp;"'!C2:C1000")=$C79)
        ),
        5,
        FALSE
    )="",
    "",
    VLOOKUP(
        $A79,
        _xlfn._xlws.FILTER(
            INDIRECT("'"&amp;J$1&amp;"'!A2:G1000"), (INDIRECT("'"&amp;J$1&amp;"'!B2:B1000")=$B79) * (INDIRECT("'"&amp;J$1&amp;"'!C2:C1000")=$C79)
        ),7,
        FALSE
    )
)</f>
        <v>Sim</v>
      </c>
      <c r="K79" s="79" t="str">
        <f t="array" aca="1" ref="K79" ca="1">IF(
    VLOOKUP(
        $A79,
        _xlfn._xlws.FILTER(
            INDIRECT("'"&amp;K$1&amp;"'!A2:G1000"), (INDIRECT("'"&amp;K$1&amp;"'!B2:B1000")=$B79) * (INDIRECT("'"&amp;K$1&amp;"'!C2:C1000")=$C79)
        ),
        5,
        FALSE
    )="",
    "",
    VLOOKUP(
        $A79,
        _xlfn._xlws.FILTER(
            INDIRECT("'"&amp;K$1&amp;"'!A2:G1000"), (INDIRECT("'"&amp;K$1&amp;"'!B2:B1000")=$B79) * (INDIRECT("'"&amp;K$1&amp;"'!C2:C1000")=$C79)
        ),7,
        FALSE
    )
)</f>
        <v>Sim</v>
      </c>
      <c r="L79" s="79" t="str">
        <f t="array" aca="1" ref="L79" ca="1">IF(
    VLOOKUP(
        $A79,
        _xlfn._xlws.FILTER(
            INDIRECT("'"&amp;L$1&amp;"'!A2:G1000"), (INDIRECT("'"&amp;L$1&amp;"'!B2:B1000")=$B79) * (INDIRECT("'"&amp;L$1&amp;"'!C2:C1000")=$C79)
        ),
        5,
        FALSE
    )="",
    "",
    VLOOKUP(
        $A79,
        _xlfn._xlws.FILTER(
            INDIRECT("'"&amp;L$1&amp;"'!A2:G1000"), (INDIRECT("'"&amp;L$1&amp;"'!B2:B1000")=$B79) * (INDIRECT("'"&amp;L$1&amp;"'!C2:C1000")=$C79)
        ),7,
        FALSE
    )
)</f>
        <v>Sim</v>
      </c>
      <c r="M79" s="79" t="str">
        <f t="array" aca="1" ref="M79" ca="1">IF(
    VLOOKUP(
        $A79,
        _xlfn._xlws.FILTER(
            INDIRECT("'"&amp;M$1&amp;"'!A2:G1000"), (INDIRECT("'"&amp;M$1&amp;"'!B2:B1000")=$B79) * (INDIRECT("'"&amp;M$1&amp;"'!C2:C1000")=$C79)
        ),
        5,
        FALSE
    )="",
    "",
    VLOOKUP(
        $A79,
        _xlfn._xlws.FILTER(
            INDIRECT("'"&amp;M$1&amp;"'!A2:G1000"), (INDIRECT("'"&amp;M$1&amp;"'!B2:B1000")=$B79) * (INDIRECT("'"&amp;M$1&amp;"'!C2:C1000")=$C79)
        ),7,
        FALSE
    )
)</f>
        <v>Sim</v>
      </c>
      <c r="N79" s="79" t="str">
        <f t="array" aca="1" ref="N79" ca="1">IF(
    VLOOKUP(
        $A79,
        _xlfn._xlws.FILTER(
            INDIRECT("'"&amp;N$1&amp;"'!A2:G1000"), (INDIRECT("'"&amp;N$1&amp;"'!B2:B1000")=$B79) * (INDIRECT("'"&amp;N$1&amp;"'!C2:C1000")=$C79)
        ),
        5,
        FALSE
    )="",
    "",
    VLOOKUP(
        $A79,
        _xlfn._xlws.FILTER(
            INDIRECT("'"&amp;N$1&amp;"'!A2:G1000"), (INDIRECT("'"&amp;N$1&amp;"'!B2:B1000")=$B79) * (INDIRECT("'"&amp;N$1&amp;"'!C2:C1000")=$C79)
        ),7,
        FALSE
    )
)</f>
        <v>Sim</v>
      </c>
      <c r="O79" s="79" t="str">
        <f t="array" aca="1" ref="O79" ca="1">IF(
    VLOOKUP(
        $A79,
        _xlfn._xlws.FILTER(
            INDIRECT("'"&amp;O$1&amp;"'!A2:G1000"), (INDIRECT("'"&amp;O$1&amp;"'!B2:B1000")=$B79) * (INDIRECT("'"&amp;O$1&amp;"'!C2:C1000")=$C79)
        ),
        5,
        FALSE
    )="",
    "",
    VLOOKUP(
        $A79,
        _xlfn._xlws.FILTER(
            INDIRECT("'"&amp;O$1&amp;"'!A2:G1000"), (INDIRECT("'"&amp;O$1&amp;"'!B2:B1000")=$B79) * (INDIRECT("'"&amp;O$1&amp;"'!C2:C1000")=$C79)
        ),7,
        FALSE
    )
)</f>
        <v>Sim</v>
      </c>
      <c r="P79" s="79" t="str">
        <f t="array" aca="1" ref="P79" ca="1">IF(
    VLOOKUP(
        $A79,
        _xlfn._xlws.FILTER(
            INDIRECT("'"&amp;P$1&amp;"'!A2:G1000"), (INDIRECT("'"&amp;P$1&amp;"'!B2:B1000")=$B79) * (INDIRECT("'"&amp;P$1&amp;"'!C2:C1000")=$C79)
        ),
        5,
        FALSE
    )="",
    "",
    VLOOKUP(
        $A79,
        _xlfn._xlws.FILTER(
            INDIRECT("'"&amp;P$1&amp;"'!A2:G1000"), (INDIRECT("'"&amp;P$1&amp;"'!B2:B1000")=$B79) * (INDIRECT("'"&amp;P$1&amp;"'!C2:C1000")=$C79)
        ),7,
        FALSE
    )
)</f>
        <v>Sim</v>
      </c>
      <c r="Q79" s="79" t="str">
        <f t="array" aca="1" ref="Q79" ca="1">IF(
    VLOOKUP(
        $A79,
        _xlfn._xlws.FILTER(
            INDIRECT("'"&amp;Q$1&amp;"'!A2:G1000"), (INDIRECT("'"&amp;Q$1&amp;"'!B2:B1000")=$B79) * (INDIRECT("'"&amp;Q$1&amp;"'!C2:C1000")=$C79)
        ),
        5,
        FALSE
    )="",
    "",
    VLOOKUP(
        $A79,
        _xlfn._xlws.FILTER(
            INDIRECT("'"&amp;Q$1&amp;"'!A2:G1000"), (INDIRECT("'"&amp;Q$1&amp;"'!B2:B1000")=$B79) * (INDIRECT("'"&amp;Q$1&amp;"'!C2:C1000")=$C79)
        ),7,
        FALSE
    )
)</f>
        <v/>
      </c>
    </row>
    <row r="80" spans="1:17" x14ac:dyDescent="0.25">
      <c r="A80" s="87" t="s">
        <v>43</v>
      </c>
      <c r="B80" s="79" t="s">
        <v>130</v>
      </c>
      <c r="C80" s="79">
        <v>1</v>
      </c>
      <c r="D80" s="79" t="str">
        <f t="array" aca="1" ref="D80" ca="1">IF(
    VLOOKUP(
        $A80,
        _xlfn._xlws.FILTER(
            INDIRECT("'"&amp;D$1&amp;"'!A2:G1000"), (INDIRECT("'"&amp;D$1&amp;"'!B2:B1000")=$B80) * (INDIRECT("'"&amp;D$1&amp;"'!C2:C1000")=$C80)
        ),
        5,
        FALSE
    )="",
    "",
    VLOOKUP(
        $A80,
        _xlfn._xlws.FILTER(
            INDIRECT("'"&amp;D$1&amp;"'!A2:G1000"), (INDIRECT("'"&amp;D$1&amp;"'!B2:B1000")=$B80) * (INDIRECT("'"&amp;D$1&amp;"'!C2:C1000")=$C80)
        ),7,
        FALSE
    )
)</f>
        <v>Sim</v>
      </c>
      <c r="E80" s="79" t="str">
        <f t="array" aca="1" ref="E80" ca="1">IF(
    VLOOKUP(
        $A80,
        _xlfn._xlws.FILTER(
            INDIRECT("'"&amp;E$1&amp;"'!A2:G1000"), (INDIRECT("'"&amp;E$1&amp;"'!B2:B1000")=$B80) * (INDIRECT("'"&amp;E$1&amp;"'!C2:C1000")=$C80)
        ),
        5,
        FALSE
    )="",
    "",
    VLOOKUP(
        $A80,
        _xlfn._xlws.FILTER(
            INDIRECT("'"&amp;E$1&amp;"'!A2:G1000"), (INDIRECT("'"&amp;E$1&amp;"'!B2:B1000")=$B80) * (INDIRECT("'"&amp;E$1&amp;"'!C2:C1000")=$C80)
        ),7,
        FALSE
    )
)</f>
        <v>Sim</v>
      </c>
      <c r="F80" s="79" t="str">
        <f t="array" aca="1" ref="F80" ca="1">IF(
    VLOOKUP(
        $A80,
        _xlfn._xlws.FILTER(
            INDIRECT("'"&amp;F$1&amp;"'!A2:G1000"), (INDIRECT("'"&amp;F$1&amp;"'!B2:B1000")=$B80) * (INDIRECT("'"&amp;F$1&amp;"'!C2:C1000")=$C80)
        ),
        5,
        FALSE
    )="",
    "",
    VLOOKUP(
        $A80,
        _xlfn._xlws.FILTER(
            INDIRECT("'"&amp;F$1&amp;"'!A2:G1000"), (INDIRECT("'"&amp;F$1&amp;"'!B2:B1000")=$B80) * (INDIRECT("'"&amp;F$1&amp;"'!C2:C1000")=$C80)
        ),7,
        FALSE
    )
)</f>
        <v>Sim</v>
      </c>
      <c r="G80" s="79" t="str">
        <f t="array" aca="1" ref="G80" ca="1">IF(
    VLOOKUP(
        $A80,
        _xlfn._xlws.FILTER(
            INDIRECT("'"&amp;G$1&amp;"'!A2:G1000"), (INDIRECT("'"&amp;G$1&amp;"'!B2:B1000")=$B80) * (INDIRECT("'"&amp;G$1&amp;"'!C2:C1000")=$C80)
        ),
        5,
        FALSE
    )="",
    "",
    VLOOKUP(
        $A80,
        _xlfn._xlws.FILTER(
            INDIRECT("'"&amp;G$1&amp;"'!A2:G1000"), (INDIRECT("'"&amp;G$1&amp;"'!B2:B1000")=$B80) * (INDIRECT("'"&amp;G$1&amp;"'!C2:C1000")=$C80)
        ),7,
        FALSE
    )
)</f>
        <v>Sim</v>
      </c>
      <c r="H80" s="79" t="str">
        <f t="array" aca="1" ref="H80" ca="1">IF(
    VLOOKUP(
        $A80,
        _xlfn._xlws.FILTER(
            INDIRECT("'"&amp;H$1&amp;"'!A2:G1000"), (INDIRECT("'"&amp;H$1&amp;"'!B2:B1000")=$B80) * (INDIRECT("'"&amp;H$1&amp;"'!C2:C1000")=$C80)
        ),
        5,
        FALSE
    )="",
    "",
    VLOOKUP(
        $A80,
        _xlfn._xlws.FILTER(
            INDIRECT("'"&amp;H$1&amp;"'!A2:G1000"), (INDIRECT("'"&amp;H$1&amp;"'!B2:B1000")=$B80) * (INDIRECT("'"&amp;H$1&amp;"'!C2:C1000")=$C80)
        ),7,
        FALSE
    )
)</f>
        <v>Sim</v>
      </c>
      <c r="I80" s="79" t="str">
        <f t="array" aca="1" ref="I80" ca="1">IF(
    VLOOKUP(
        $A80,
        _xlfn._xlws.FILTER(
            INDIRECT("'"&amp;I$1&amp;"'!A2:G1000"), (INDIRECT("'"&amp;I$1&amp;"'!B2:B1000")=$B80) * (INDIRECT("'"&amp;I$1&amp;"'!C2:C1000")=$C80)
        ),
        5,
        FALSE
    )="",
    "",
    VLOOKUP(
        $A80,
        _xlfn._xlws.FILTER(
            INDIRECT("'"&amp;I$1&amp;"'!A2:G1000"), (INDIRECT("'"&amp;I$1&amp;"'!B2:B1000")=$B80) * (INDIRECT("'"&amp;I$1&amp;"'!C2:C1000")=$C80)
        ),7,
        FALSE
    )
)</f>
        <v>Sim</v>
      </c>
      <c r="J80" s="79" t="str">
        <f t="array" aca="1" ref="J80" ca="1">IF(
    VLOOKUP(
        $A80,
        _xlfn._xlws.FILTER(
            INDIRECT("'"&amp;J$1&amp;"'!A2:G1000"), (INDIRECT("'"&amp;J$1&amp;"'!B2:B1000")=$B80) * (INDIRECT("'"&amp;J$1&amp;"'!C2:C1000")=$C80)
        ),
        5,
        FALSE
    )="",
    "",
    VLOOKUP(
        $A80,
        _xlfn._xlws.FILTER(
            INDIRECT("'"&amp;J$1&amp;"'!A2:G1000"), (INDIRECT("'"&amp;J$1&amp;"'!B2:B1000")=$B80) * (INDIRECT("'"&amp;J$1&amp;"'!C2:C1000")=$C80)
        ),7,
        FALSE
    )
)</f>
        <v>Sim</v>
      </c>
      <c r="K80" s="79" t="str">
        <f t="array" aca="1" ref="K80" ca="1">IF(
    VLOOKUP(
        $A80,
        _xlfn._xlws.FILTER(
            INDIRECT("'"&amp;K$1&amp;"'!A2:G1000"), (INDIRECT("'"&amp;K$1&amp;"'!B2:B1000")=$B80) * (INDIRECT("'"&amp;K$1&amp;"'!C2:C1000")=$C80)
        ),
        5,
        FALSE
    )="",
    "",
    VLOOKUP(
        $A80,
        _xlfn._xlws.FILTER(
            INDIRECT("'"&amp;K$1&amp;"'!A2:G1000"), (INDIRECT("'"&amp;K$1&amp;"'!B2:B1000")=$B80) * (INDIRECT("'"&amp;K$1&amp;"'!C2:C1000")=$C80)
        ),7,
        FALSE
    )
)</f>
        <v>Sim</v>
      </c>
      <c r="L80" s="79" t="str">
        <f t="array" aca="1" ref="L80" ca="1">IF(
    VLOOKUP(
        $A80,
        _xlfn._xlws.FILTER(
            INDIRECT("'"&amp;L$1&amp;"'!A2:G1000"), (INDIRECT("'"&amp;L$1&amp;"'!B2:B1000")=$B80) * (INDIRECT("'"&amp;L$1&amp;"'!C2:C1000")=$C80)
        ),
        5,
        FALSE
    )="",
    "",
    VLOOKUP(
        $A80,
        _xlfn._xlws.FILTER(
            INDIRECT("'"&amp;L$1&amp;"'!A2:G1000"), (INDIRECT("'"&amp;L$1&amp;"'!B2:B1000")=$B80) * (INDIRECT("'"&amp;L$1&amp;"'!C2:C1000")=$C80)
        ),7,
        FALSE
    )
)</f>
        <v>Sim</v>
      </c>
      <c r="M80" s="79" t="str">
        <f t="array" aca="1" ref="M80" ca="1">IF(
    VLOOKUP(
        $A80,
        _xlfn._xlws.FILTER(
            INDIRECT("'"&amp;M$1&amp;"'!A2:G1000"), (INDIRECT("'"&amp;M$1&amp;"'!B2:B1000")=$B80) * (INDIRECT("'"&amp;M$1&amp;"'!C2:C1000")=$C80)
        ),
        5,
        FALSE
    )="",
    "",
    VLOOKUP(
        $A80,
        _xlfn._xlws.FILTER(
            INDIRECT("'"&amp;M$1&amp;"'!A2:G1000"), (INDIRECT("'"&amp;M$1&amp;"'!B2:B1000")=$B80) * (INDIRECT("'"&amp;M$1&amp;"'!C2:C1000")=$C80)
        ),7,
        FALSE
    )
)</f>
        <v>Sim</v>
      </c>
      <c r="N80" s="79" t="str">
        <f t="array" aca="1" ref="N80" ca="1">IF(
    VLOOKUP(
        $A80,
        _xlfn._xlws.FILTER(
            INDIRECT("'"&amp;N$1&amp;"'!A2:G1000"), (INDIRECT("'"&amp;N$1&amp;"'!B2:B1000")=$B80) * (INDIRECT("'"&amp;N$1&amp;"'!C2:C1000")=$C80)
        ),
        5,
        FALSE
    )="",
    "",
    VLOOKUP(
        $A80,
        _xlfn._xlws.FILTER(
            INDIRECT("'"&amp;N$1&amp;"'!A2:G1000"), (INDIRECT("'"&amp;N$1&amp;"'!B2:B1000")=$B80) * (INDIRECT("'"&amp;N$1&amp;"'!C2:C1000")=$C80)
        ),7,
        FALSE
    )
)</f>
        <v>Sim</v>
      </c>
      <c r="O80" s="79" t="str">
        <f t="array" aca="1" ref="O80" ca="1">IF(
    VLOOKUP(
        $A80,
        _xlfn._xlws.FILTER(
            INDIRECT("'"&amp;O$1&amp;"'!A2:G1000"), (INDIRECT("'"&amp;O$1&amp;"'!B2:B1000")=$B80) * (INDIRECT("'"&amp;O$1&amp;"'!C2:C1000")=$C80)
        ),
        5,
        FALSE
    )="",
    "",
    VLOOKUP(
        $A80,
        _xlfn._xlws.FILTER(
            INDIRECT("'"&amp;O$1&amp;"'!A2:G1000"), (INDIRECT("'"&amp;O$1&amp;"'!B2:B1000")=$B80) * (INDIRECT("'"&amp;O$1&amp;"'!C2:C1000")=$C80)
        ),7,
        FALSE
    )
)</f>
        <v>Sim</v>
      </c>
      <c r="P80" s="79" t="str">
        <f t="array" aca="1" ref="P80" ca="1">IF(
    VLOOKUP(
        $A80,
        _xlfn._xlws.FILTER(
            INDIRECT("'"&amp;P$1&amp;"'!A2:G1000"), (INDIRECT("'"&amp;P$1&amp;"'!B2:B1000")=$B80) * (INDIRECT("'"&amp;P$1&amp;"'!C2:C1000")=$C80)
        ),
        5,
        FALSE
    )="",
    "",
    VLOOKUP(
        $A80,
        _xlfn._xlws.FILTER(
            INDIRECT("'"&amp;P$1&amp;"'!A2:G1000"), (INDIRECT("'"&amp;P$1&amp;"'!B2:B1000")=$B80) * (INDIRECT("'"&amp;P$1&amp;"'!C2:C1000")=$C80)
        ),7,
        FALSE
    )
)</f>
        <v>Sim</v>
      </c>
      <c r="Q80" s="79" t="str">
        <f t="array" aca="1" ref="Q80" ca="1">IF(
    VLOOKUP(
        $A80,
        _xlfn._xlws.FILTER(
            INDIRECT("'"&amp;Q$1&amp;"'!A2:G1000"), (INDIRECT("'"&amp;Q$1&amp;"'!B2:B1000")=$B80) * (INDIRECT("'"&amp;Q$1&amp;"'!C2:C1000")=$C80)
        ),
        5,
        FALSE
    )="",
    "",
    VLOOKUP(
        $A80,
        _xlfn._xlws.FILTER(
            INDIRECT("'"&amp;Q$1&amp;"'!A2:G1000"), (INDIRECT("'"&amp;Q$1&amp;"'!B2:B1000")=$B80) * (INDIRECT("'"&amp;Q$1&amp;"'!C2:C1000")=$C80)
        ),7,
        FALSE
    )
)</f>
        <v/>
      </c>
    </row>
  </sheetData>
  <conditionalFormatting sqref="D2:Q80">
    <cfRule type="cellIs" dxfId="192" priority="21" operator="equal">
      <formula>"Sim"</formula>
    </cfRule>
    <cfRule type="cellIs" dxfId="191" priority="22" operator="equal">
      <formula>"Não"</formula>
    </cfRule>
  </conditionalFormatting>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70"/>
  <sheetViews>
    <sheetView workbookViewId="0">
      <pane xSplit="3" topLeftCell="D1" activePane="topRight" state="frozen"/>
      <selection pane="topRight"/>
    </sheetView>
  </sheetViews>
  <sheetFormatPr defaultRowHeight="15" x14ac:dyDescent="0.25"/>
  <cols>
    <col min="1" max="1" width="14" customWidth="1"/>
    <col min="2" max="2" width="30" customWidth="1"/>
    <col min="3" max="3" width="8" customWidth="1"/>
    <col min="4" max="4" width="45" customWidth="1"/>
    <col min="5" max="5" width="18" customWidth="1"/>
    <col min="6" max="6" width="24" customWidth="1"/>
    <col min="7" max="7" width="27" customWidth="1"/>
    <col min="8" max="8" width="40" customWidth="1"/>
    <col min="9" max="9" width="34" customWidth="1"/>
    <col min="10" max="10" width="25" customWidth="1"/>
    <col min="11" max="11" width="26" customWidth="1"/>
  </cols>
  <sheetData>
    <row r="1" spans="1:11" x14ac:dyDescent="0.25">
      <c r="A1" s="43" t="s">
        <v>27</v>
      </c>
      <c r="B1" s="43" t="s">
        <v>70</v>
      </c>
      <c r="C1" s="43" t="s">
        <v>71</v>
      </c>
      <c r="D1" s="43" t="s">
        <v>132</v>
      </c>
      <c r="E1" s="43" t="s">
        <v>133</v>
      </c>
      <c r="F1" s="43" t="s">
        <v>134</v>
      </c>
      <c r="G1" s="43" t="s">
        <v>135</v>
      </c>
      <c r="H1" s="43" t="s">
        <v>136</v>
      </c>
      <c r="I1" s="43" t="s">
        <v>137</v>
      </c>
      <c r="J1" s="43" t="s">
        <v>138</v>
      </c>
      <c r="K1" s="43" t="s">
        <v>139</v>
      </c>
    </row>
    <row r="2" spans="1:11" x14ac:dyDescent="0.25">
      <c r="A2" s="44" t="s">
        <v>36</v>
      </c>
      <c r="B2" s="45" t="s">
        <v>97</v>
      </c>
      <c r="C2" s="45">
        <v>1</v>
      </c>
      <c r="D2" s="45" t="str">
        <f>IFERROR(IF(INDEX('01.25'!D2:D500, MATCH(B2&amp;C2, INDEX('01.25'!B2:B500&amp;'01.25'!C2:C500, 0), 0))="", "", INDEX('01.25'!D2:D500, MATCH(B2&amp;C2, INDEX('01.25'!B2:B500&amp;'01.25'!C2:C500, 0), 0))), "")</f>
        <v>Paula Tatiana Santana Vechi</v>
      </c>
      <c r="E2" s="106" t="s">
        <v>18</v>
      </c>
      <c r="F2" s="45"/>
      <c r="G2" s="46" t="s">
        <v>140</v>
      </c>
      <c r="H2" s="45"/>
      <c r="I2" s="45"/>
      <c r="J2" s="45" t="s">
        <v>140</v>
      </c>
      <c r="K2" s="45"/>
    </row>
    <row r="3" spans="1:11" x14ac:dyDescent="0.25">
      <c r="A3" s="47" t="s">
        <v>28</v>
      </c>
      <c r="B3" s="45" t="s">
        <v>87</v>
      </c>
      <c r="C3" s="45">
        <v>1</v>
      </c>
      <c r="D3" s="45" t="str">
        <f>IFERROR(IF(INDEX('01.25'!D2:D500, MATCH(B3&amp;C3, INDEX('01.25'!B2:B500&amp;'01.25'!C2:C500, 0), 0))="", "", INDEX('01.25'!D2:D500, MATCH(B3&amp;C3, INDEX('01.25'!B2:B500&amp;'01.25'!C2:C500, 0), 0))), "")</f>
        <v>Willian de Oliveira Lino</v>
      </c>
      <c r="E3" s="106" t="s">
        <v>18</v>
      </c>
      <c r="F3" s="45"/>
      <c r="G3" s="46" t="s">
        <v>140</v>
      </c>
      <c r="H3" s="45"/>
      <c r="I3" s="45"/>
      <c r="J3" s="45" t="s">
        <v>140</v>
      </c>
      <c r="K3" s="45"/>
    </row>
    <row r="4" spans="1:11" x14ac:dyDescent="0.25">
      <c r="A4" s="48" t="s">
        <v>38</v>
      </c>
      <c r="B4" s="45" t="s">
        <v>78</v>
      </c>
      <c r="C4" s="45">
        <v>1</v>
      </c>
      <c r="D4" s="45" t="str">
        <f>IFERROR(IF(INDEX('01.25'!D2:D500, MATCH(B4&amp;C4, INDEX('01.25'!B2:B500&amp;'01.25'!C2:C500, 0), 0))="", "", INDEX('01.25'!D2:D500, MATCH(B4&amp;C4, INDEX('01.25'!B2:B500&amp;'01.25'!C2:C500, 0), 0))), "")</f>
        <v>Gisele Cássia Tamparowsky de Oliveira</v>
      </c>
      <c r="E4" s="106" t="s">
        <v>18</v>
      </c>
      <c r="F4" s="45"/>
      <c r="G4" s="46" t="s">
        <v>140</v>
      </c>
      <c r="H4" s="45"/>
      <c r="I4" s="45"/>
      <c r="J4" s="45" t="s">
        <v>140</v>
      </c>
      <c r="K4" s="45"/>
    </row>
    <row r="5" spans="1:11" x14ac:dyDescent="0.25">
      <c r="A5" s="47" t="s">
        <v>28</v>
      </c>
      <c r="B5" s="45" t="s">
        <v>88</v>
      </c>
      <c r="C5" s="45">
        <v>1</v>
      </c>
      <c r="D5" s="45" t="str">
        <f>IFERROR(IF(INDEX('01.25'!D2:D500, MATCH(B5&amp;C5, INDEX('01.25'!B2:B500&amp;'01.25'!C2:C500, 0), 0))="", "", INDEX('01.25'!D2:D500, MATCH(B5&amp;C5, INDEX('01.25'!B2:B500&amp;'01.25'!C2:C500, 0), 0))), "")</f>
        <v>Marcos Gabriel Franciosi Borges</v>
      </c>
      <c r="E5" s="106" t="s">
        <v>18</v>
      </c>
      <c r="F5" s="45"/>
      <c r="G5" s="46" t="s">
        <v>140</v>
      </c>
      <c r="H5" s="45"/>
      <c r="I5" s="45"/>
      <c r="J5" s="45" t="s">
        <v>140</v>
      </c>
      <c r="K5" s="45"/>
    </row>
    <row r="6" spans="1:11" x14ac:dyDescent="0.25">
      <c r="A6" s="47" t="s">
        <v>28</v>
      </c>
      <c r="B6" s="45" t="s">
        <v>89</v>
      </c>
      <c r="C6" s="45">
        <v>1</v>
      </c>
      <c r="D6" s="45" t="str">
        <f>IFERROR(IF(INDEX('01.25'!D2:D500, MATCH(B6&amp;C6, INDEX('01.25'!B2:B500&amp;'01.25'!C2:C500, 0), 0))="", "", INDEX('01.25'!D2:D500, MATCH(B6&amp;C6, INDEX('01.25'!B2:B500&amp;'01.25'!C2:C500, 0), 0))), "")</f>
        <v>Chayla Bianca Gazoli</v>
      </c>
      <c r="E6" s="106" t="s">
        <v>18</v>
      </c>
      <c r="F6" s="45"/>
      <c r="G6" s="46" t="s">
        <v>140</v>
      </c>
      <c r="H6" s="45"/>
      <c r="I6" s="45"/>
      <c r="J6" s="45" t="s">
        <v>140</v>
      </c>
      <c r="K6" s="45"/>
    </row>
    <row r="7" spans="1:11" x14ac:dyDescent="0.25">
      <c r="A7" s="48" t="s">
        <v>38</v>
      </c>
      <c r="B7" s="45" t="s">
        <v>84</v>
      </c>
      <c r="C7" s="45">
        <v>1</v>
      </c>
      <c r="D7" s="45" t="str">
        <f>IFERROR(IF(INDEX('01.25'!D2:D500, MATCH(B7&amp;C7, INDEX('01.25'!B2:B500&amp;'01.25'!C2:C500, 0), 0))="", "", INDEX('01.25'!D2:D500, MATCH(B7&amp;C7, INDEX('01.25'!B2:B500&amp;'01.25'!C2:C500, 0), 0))), "")</f>
        <v>Solange Maria Masqueti</v>
      </c>
      <c r="E7" s="106" t="s">
        <v>18</v>
      </c>
      <c r="F7" s="45"/>
      <c r="G7" s="46" t="s">
        <v>140</v>
      </c>
      <c r="H7" s="45"/>
      <c r="I7" s="45"/>
      <c r="J7" s="45" t="s">
        <v>140</v>
      </c>
      <c r="K7" s="45"/>
    </row>
    <row r="8" spans="1:11" x14ac:dyDescent="0.25">
      <c r="A8" s="48" t="s">
        <v>38</v>
      </c>
      <c r="B8" s="45" t="s">
        <v>79</v>
      </c>
      <c r="C8" s="45">
        <v>1</v>
      </c>
      <c r="D8" s="45" t="str">
        <f>IFERROR(IF(INDEX('01.25'!D2:D500, MATCH(B8&amp;C8, INDEX('01.25'!B2:B500&amp;'01.25'!C2:C500, 0), 0))="", "", INDEX('01.25'!D2:D500, MATCH(B8&amp;C8, INDEX('01.25'!B2:B500&amp;'01.25'!C2:C500, 0), 0))), "")</f>
        <v>Cristiane Petry Vieira</v>
      </c>
      <c r="E8" s="107" t="s">
        <v>16</v>
      </c>
      <c r="F8" s="45" t="s">
        <v>141</v>
      </c>
      <c r="G8" s="46" t="s">
        <v>140</v>
      </c>
      <c r="H8" s="45"/>
      <c r="I8" s="45"/>
      <c r="J8" s="45" t="s">
        <v>140</v>
      </c>
      <c r="K8" s="45"/>
    </row>
    <row r="9" spans="1:11" x14ac:dyDescent="0.25">
      <c r="A9" s="47" t="s">
        <v>28</v>
      </c>
      <c r="B9" s="45" t="s">
        <v>90</v>
      </c>
      <c r="C9" s="45">
        <v>1</v>
      </c>
      <c r="D9" s="45" t="str">
        <f>IFERROR(IF(INDEX('01.25'!D2:D500, MATCH(B9&amp;C9, INDEX('01.25'!B2:B500&amp;'01.25'!C2:C500, 0), 0))="", "", INDEX('01.25'!D2:D500, MATCH(B9&amp;C9, INDEX('01.25'!B2:B500&amp;'01.25'!C2:C500, 0), 0))), "")</f>
        <v>Diego Hemerich</v>
      </c>
      <c r="E9" s="106" t="s">
        <v>18</v>
      </c>
      <c r="F9" s="45"/>
      <c r="G9" s="46" t="s">
        <v>140</v>
      </c>
      <c r="H9" s="45"/>
      <c r="I9" s="45"/>
      <c r="J9" s="45" t="s">
        <v>140</v>
      </c>
      <c r="K9" s="45"/>
    </row>
    <row r="10" spans="1:11" x14ac:dyDescent="0.25">
      <c r="A10" s="49" t="s">
        <v>43</v>
      </c>
      <c r="B10" s="45" t="s">
        <v>125</v>
      </c>
      <c r="C10" s="45">
        <v>1</v>
      </c>
      <c r="D10" s="45" t="str">
        <f>IFERROR(IF(INDEX('01.25'!D2:D500, MATCH(B10&amp;C10, INDEX('01.25'!B2:B500&amp;'01.25'!C2:C500, 0), 0))="", "", INDEX('01.25'!D2:D500, MATCH(B10&amp;C10, INDEX('01.25'!B2:B500&amp;'01.25'!C2:C500, 0), 0))), "")</f>
        <v>Tatiane Girardi</v>
      </c>
      <c r="E10" s="106" t="s">
        <v>18</v>
      </c>
      <c r="F10" s="45"/>
      <c r="G10" s="46" t="s">
        <v>140</v>
      </c>
      <c r="H10" s="45"/>
      <c r="I10" s="45"/>
      <c r="J10" s="45" t="s">
        <v>140</v>
      </c>
      <c r="K10" s="45"/>
    </row>
    <row r="11" spans="1:11" x14ac:dyDescent="0.25">
      <c r="A11" s="49" t="s">
        <v>43</v>
      </c>
      <c r="B11" s="45" t="s">
        <v>126</v>
      </c>
      <c r="C11" s="45">
        <v>1</v>
      </c>
      <c r="D11" s="45" t="str">
        <f>IFERROR(IF(INDEX('01.25'!D2:D500, MATCH(B11&amp;C11, INDEX('01.25'!B2:B500&amp;'01.25'!C2:C500, 0), 0))="", "", INDEX('01.25'!D2:D500, MATCH(B11&amp;C11, INDEX('01.25'!B2:B500&amp;'01.25'!C2:C500, 0), 0))), "")</f>
        <v>Edson Batista de Castro</v>
      </c>
      <c r="E11" s="107" t="s">
        <v>16</v>
      </c>
      <c r="F11" s="45" t="s">
        <v>142</v>
      </c>
      <c r="G11" s="46" t="s">
        <v>140</v>
      </c>
      <c r="H11" s="45"/>
      <c r="I11" s="45"/>
      <c r="J11" s="45" t="s">
        <v>140</v>
      </c>
      <c r="K11" s="45"/>
    </row>
    <row r="12" spans="1:11" x14ac:dyDescent="0.25">
      <c r="A12" s="49" t="s">
        <v>43</v>
      </c>
      <c r="B12" s="45" t="s">
        <v>126</v>
      </c>
      <c r="C12" s="45">
        <v>2</v>
      </c>
      <c r="D12" s="45" t="str">
        <f>IFERROR(IF(INDEX('01.25'!D2:D500, MATCH(B12&amp;C12, INDEX('01.25'!B2:B500&amp;'01.25'!C2:C500, 0), 0))="", "", INDEX('01.25'!D2:D500, MATCH(B12&amp;C12, INDEX('01.25'!B2:B500&amp;'01.25'!C2:C500, 0), 0))), "")</f>
        <v>Gabriela Fernanda Sandri</v>
      </c>
      <c r="E12" s="107" t="s">
        <v>16</v>
      </c>
      <c r="F12" s="45" t="s">
        <v>143</v>
      </c>
      <c r="G12" s="46" t="s">
        <v>140</v>
      </c>
      <c r="H12" s="45"/>
      <c r="I12" s="45"/>
      <c r="J12" s="45" t="s">
        <v>140</v>
      </c>
      <c r="K12" s="45"/>
    </row>
    <row r="13" spans="1:11" x14ac:dyDescent="0.25">
      <c r="A13" s="49" t="s">
        <v>43</v>
      </c>
      <c r="B13" s="45" t="s">
        <v>126</v>
      </c>
      <c r="C13" s="45">
        <v>3</v>
      </c>
      <c r="D13" s="45" t="str">
        <f>IFERROR(IF(INDEX('01.25'!D2:D500, MATCH(B13&amp;C13, INDEX('01.25'!B2:B500&amp;'01.25'!C2:C500, 0), 0))="", "", INDEX('01.25'!D2:D500, MATCH(B13&amp;C13, INDEX('01.25'!B2:B500&amp;'01.25'!C2:C500, 0), 0))), "")</f>
        <v>Eduarda Rohden Donasolo</v>
      </c>
      <c r="E13" s="107" t="s">
        <v>16</v>
      </c>
      <c r="F13" s="45" t="s">
        <v>143</v>
      </c>
      <c r="G13" s="46" t="s">
        <v>140</v>
      </c>
      <c r="H13" s="45"/>
      <c r="I13" s="45"/>
      <c r="J13" s="45" t="s">
        <v>140</v>
      </c>
      <c r="K13" s="45"/>
    </row>
    <row r="14" spans="1:11" x14ac:dyDescent="0.25">
      <c r="A14" s="49" t="s">
        <v>43</v>
      </c>
      <c r="B14" s="45" t="s">
        <v>126</v>
      </c>
      <c r="C14" s="45">
        <v>4</v>
      </c>
      <c r="D14" s="45" t="str">
        <f>IFERROR(IF(INDEX('01.25'!D2:D500, MATCH(B14&amp;C14, INDEX('01.25'!B2:B500&amp;'01.25'!C2:C500, 0), 0))="", "", INDEX('01.25'!D2:D500, MATCH(B14&amp;C14, INDEX('01.25'!B2:B500&amp;'01.25'!C2:C500, 0), 0))), "")</f>
        <v>Mauricio Pinto de Lima</v>
      </c>
      <c r="E14" s="107" t="s">
        <v>16</v>
      </c>
      <c r="F14" s="45" t="s">
        <v>144</v>
      </c>
      <c r="G14" s="46" t="s">
        <v>140</v>
      </c>
      <c r="H14" s="45"/>
      <c r="I14" s="45"/>
      <c r="J14" s="45" t="s">
        <v>140</v>
      </c>
      <c r="K14" s="45"/>
    </row>
    <row r="15" spans="1:11" x14ac:dyDescent="0.25">
      <c r="A15" s="49" t="s">
        <v>43</v>
      </c>
      <c r="B15" s="45" t="s">
        <v>126</v>
      </c>
      <c r="C15" s="45">
        <v>5</v>
      </c>
      <c r="D15" s="45" t="str">
        <f>IFERROR(IF(INDEX('01.25'!D2:D500, MATCH(B15&amp;C15, INDEX('01.25'!B2:B500&amp;'01.25'!C2:C500, 0), 0))="", "", INDEX('01.25'!D2:D500, MATCH(B15&amp;C15, INDEX('01.25'!B2:B500&amp;'01.25'!C2:C500, 0), 0))), "")</f>
        <v xml:space="preserve">Débora Laize Lampert Gnass </v>
      </c>
      <c r="E15" s="107" t="s">
        <v>16</v>
      </c>
      <c r="F15" s="45" t="s">
        <v>144</v>
      </c>
      <c r="G15" s="46" t="s">
        <v>140</v>
      </c>
      <c r="H15" s="45"/>
      <c r="I15" s="45"/>
      <c r="J15" s="45" t="s">
        <v>140</v>
      </c>
      <c r="K15" s="45"/>
    </row>
    <row r="16" spans="1:11" x14ac:dyDescent="0.25">
      <c r="A16" s="49" t="s">
        <v>43</v>
      </c>
      <c r="B16" s="45" t="s">
        <v>126</v>
      </c>
      <c r="C16" s="45">
        <v>6</v>
      </c>
      <c r="D16" s="45" t="str">
        <f>IFERROR(IF(INDEX('01.25'!D2:D500, MATCH(B16&amp;C16, INDEX('01.25'!B2:B500&amp;'01.25'!C2:C500, 0), 0))="", "", INDEX('01.25'!D2:D500, MATCH(B16&amp;C16, INDEX('01.25'!B2:B500&amp;'01.25'!C2:C500, 0), 0))), "")</f>
        <v/>
      </c>
      <c r="E16" s="107" t="s">
        <v>16</v>
      </c>
      <c r="F16" s="45" t="s">
        <v>143</v>
      </c>
      <c r="G16" s="46" t="s">
        <v>140</v>
      </c>
      <c r="H16" s="45"/>
      <c r="I16" s="45"/>
      <c r="J16" s="45" t="s">
        <v>140</v>
      </c>
      <c r="K16" s="45"/>
    </row>
    <row r="17" spans="1:11" x14ac:dyDescent="0.25">
      <c r="A17" s="47" t="s">
        <v>28</v>
      </c>
      <c r="B17" s="45" t="s">
        <v>91</v>
      </c>
      <c r="C17" s="45">
        <v>1</v>
      </c>
      <c r="D17" s="45" t="str">
        <f>IFERROR(IF(INDEX('01.25'!D2:D500, MATCH(B17&amp;C17, INDEX('01.25'!B2:B500&amp;'01.25'!C2:C500, 0), 0))="", "", INDEX('01.25'!D2:D500, MATCH(B17&amp;C17, INDEX('01.25'!B2:B500&amp;'01.25'!C2:C500, 0), 0))), "")</f>
        <v>Cristina Harumi Enokida</v>
      </c>
      <c r="E17" s="106" t="s">
        <v>18</v>
      </c>
      <c r="F17" s="45"/>
      <c r="G17" s="46" t="s">
        <v>140</v>
      </c>
      <c r="H17" s="45"/>
      <c r="I17" s="45"/>
      <c r="J17" s="45" t="s">
        <v>140</v>
      </c>
      <c r="K17" s="45"/>
    </row>
    <row r="18" spans="1:11" x14ac:dyDescent="0.25">
      <c r="A18" s="49" t="s">
        <v>43</v>
      </c>
      <c r="B18" s="45" t="s">
        <v>127</v>
      </c>
      <c r="C18" s="45">
        <v>1</v>
      </c>
      <c r="D18" s="45" t="str">
        <f>IFERROR(IF(INDEX('01.25'!D2:D500, MATCH(B18&amp;C18, INDEX('01.25'!B2:B500&amp;'01.25'!C2:C500, 0), 0))="", "", INDEX('01.25'!D2:D500, MATCH(B18&amp;C18, INDEX('01.25'!B2:B500&amp;'01.25'!C2:C500, 0), 0))), "")</f>
        <v>Douglas de Mattia</v>
      </c>
      <c r="E18" s="106" t="s">
        <v>18</v>
      </c>
      <c r="F18" s="45"/>
      <c r="G18" s="46" t="s">
        <v>140</v>
      </c>
      <c r="H18" s="45"/>
      <c r="I18" s="45"/>
      <c r="J18" s="45" t="s">
        <v>140</v>
      </c>
      <c r="K18" s="45"/>
    </row>
    <row r="19" spans="1:11" x14ac:dyDescent="0.25">
      <c r="A19" s="47" t="s">
        <v>28</v>
      </c>
      <c r="B19" s="45" t="s">
        <v>92</v>
      </c>
      <c r="C19" s="45">
        <v>1</v>
      </c>
      <c r="D19" s="45" t="str">
        <f>IFERROR(IF(INDEX('01.25'!D2:D500, MATCH(B19&amp;C19, INDEX('01.25'!B2:B500&amp;'01.25'!C2:C500, 0), 0))="", "", INDEX('01.25'!D2:D500, MATCH(B19&amp;C19, INDEX('01.25'!B2:B500&amp;'01.25'!C2:C500, 0), 0))), "")</f>
        <v>Vanderson Pasetti</v>
      </c>
      <c r="E19" s="106" t="s">
        <v>18</v>
      </c>
      <c r="F19" s="45"/>
      <c r="G19" s="46" t="s">
        <v>140</v>
      </c>
      <c r="H19" s="45"/>
      <c r="I19" s="45"/>
      <c r="J19" s="45" t="s">
        <v>140</v>
      </c>
      <c r="K19" s="45"/>
    </row>
    <row r="20" spans="1:11" x14ac:dyDescent="0.25">
      <c r="A20" s="50" t="s">
        <v>42</v>
      </c>
      <c r="B20" s="45" t="s">
        <v>115</v>
      </c>
      <c r="C20" s="45">
        <v>1</v>
      </c>
      <c r="D20" s="45" t="str">
        <f>IFERROR(IF(INDEX('01.25'!D2:D500, MATCH(B20&amp;C20, INDEX('01.25'!B2:B500&amp;'01.25'!C2:C500, 0), 0))="", "", INDEX('01.25'!D2:D500, MATCH(B20&amp;C20, INDEX('01.25'!B2:B500&amp;'01.25'!C2:C500, 0), 0))), "")</f>
        <v>Bruna Schneider Guimarães</v>
      </c>
      <c r="E20" s="106" t="s">
        <v>18</v>
      </c>
      <c r="F20" s="45"/>
      <c r="G20" s="46" t="s">
        <v>140</v>
      </c>
      <c r="H20" s="45"/>
      <c r="I20" s="45"/>
      <c r="J20" s="45" t="s">
        <v>140</v>
      </c>
      <c r="K20" s="45"/>
    </row>
    <row r="21" spans="1:11" x14ac:dyDescent="0.25">
      <c r="A21" s="47" t="s">
        <v>28</v>
      </c>
      <c r="B21" s="45" t="s">
        <v>93</v>
      </c>
      <c r="C21" s="45">
        <v>1</v>
      </c>
      <c r="D21" s="45" t="str">
        <f>IFERROR(IF(INDEX('01.25'!D2:D500, MATCH(B21&amp;C21, INDEX('01.25'!B2:B500&amp;'01.25'!C2:C500, 0), 0))="", "", INDEX('01.25'!D2:D500, MATCH(B21&amp;C21, INDEX('01.25'!B2:B500&amp;'01.25'!C2:C500, 0), 0))), "")</f>
        <v>Keilla Avezedo</v>
      </c>
      <c r="E21" s="106" t="s">
        <v>18</v>
      </c>
      <c r="F21" s="45"/>
      <c r="G21" s="46" t="s">
        <v>140</v>
      </c>
      <c r="H21" s="45"/>
      <c r="I21" s="45"/>
      <c r="J21" s="45" t="s">
        <v>140</v>
      </c>
      <c r="K21" s="45"/>
    </row>
    <row r="22" spans="1:11" x14ac:dyDescent="0.25">
      <c r="A22" s="50" t="s">
        <v>42</v>
      </c>
      <c r="B22" s="45" t="s">
        <v>116</v>
      </c>
      <c r="C22" s="45">
        <v>1</v>
      </c>
      <c r="D22" s="45" t="str">
        <f>IFERROR(IF(INDEX('01.25'!D2:D500, MATCH(B22&amp;C22, INDEX('01.25'!B2:B500&amp;'01.25'!C2:C500, 0), 0))="", "", INDEX('01.25'!D2:D500, MATCH(B22&amp;C22, INDEX('01.25'!B2:B500&amp;'01.25'!C2:C500, 0), 0))), "")</f>
        <v>Carmen Maria Stein Weiler</v>
      </c>
      <c r="E22" s="106" t="s">
        <v>18</v>
      </c>
      <c r="F22" s="45"/>
      <c r="G22" s="46" t="s">
        <v>140</v>
      </c>
      <c r="H22" s="45"/>
      <c r="I22" s="45"/>
      <c r="J22" s="45" t="s">
        <v>140</v>
      </c>
      <c r="K22" s="45"/>
    </row>
    <row r="23" spans="1:11" x14ac:dyDescent="0.25">
      <c r="A23" s="48" t="s">
        <v>38</v>
      </c>
      <c r="B23" s="45" t="s">
        <v>75</v>
      </c>
      <c r="C23" s="45">
        <v>1</v>
      </c>
      <c r="D23" s="45" t="str">
        <f>IFERROR(IF(INDEX('01.25'!D2:D500, MATCH(B23&amp;C23, INDEX('01.25'!B2:B500&amp;'01.25'!C2:C500, 0), 0))="", "", INDEX('01.25'!D2:D500, MATCH(B23&amp;C23, INDEX('01.25'!B2:B500&amp;'01.25'!C2:C500, 0), 0))), "")</f>
        <v>Thiago Varaschim Cenci</v>
      </c>
      <c r="E23" s="106" t="s">
        <v>18</v>
      </c>
      <c r="F23" s="45"/>
      <c r="G23" s="46" t="s">
        <v>140</v>
      </c>
      <c r="H23" s="45"/>
      <c r="I23" s="45"/>
      <c r="J23" s="45" t="s">
        <v>140</v>
      </c>
      <c r="K23" s="45"/>
    </row>
    <row r="24" spans="1:11" x14ac:dyDescent="0.25">
      <c r="A24" s="51" t="s">
        <v>40</v>
      </c>
      <c r="B24" s="45" t="s">
        <v>80</v>
      </c>
      <c r="C24" s="45">
        <v>1</v>
      </c>
      <c r="D24" s="45" t="str">
        <f>IFERROR(IF(INDEX('01.25'!D2:D500, MATCH(B24&amp;C24, INDEX('01.25'!B2:B500&amp;'01.25'!C2:C500, 0), 0))="", "", INDEX('01.25'!D2:D500, MATCH(B24&amp;C24, INDEX('01.25'!B2:B500&amp;'01.25'!C2:C500, 0), 0))), "")</f>
        <v>Éber Alexandre Nascimento Araújo</v>
      </c>
      <c r="E24" s="108" t="s">
        <v>21</v>
      </c>
      <c r="F24" s="45"/>
      <c r="G24" s="52" t="s">
        <v>131</v>
      </c>
      <c r="H24" s="45"/>
      <c r="I24" s="45"/>
      <c r="J24" s="45" t="s">
        <v>140</v>
      </c>
      <c r="K24" s="45"/>
    </row>
    <row r="25" spans="1:11" x14ac:dyDescent="0.25">
      <c r="A25" s="51" t="s">
        <v>40</v>
      </c>
      <c r="B25" s="45" t="s">
        <v>80</v>
      </c>
      <c r="C25" s="45">
        <v>2</v>
      </c>
      <c r="D25" s="45" t="str">
        <f>IFERROR(IF(INDEX('01.25'!D2:D500, MATCH(B25&amp;C25, INDEX('01.25'!B2:B500&amp;'01.25'!C2:C500, 0), 0))="", "", INDEX('01.25'!D2:D500, MATCH(B25&amp;C25, INDEX('01.25'!B2:B500&amp;'01.25'!C2:C500, 0), 0))), "")</f>
        <v>Andrea Carla Winkelmann</v>
      </c>
      <c r="E25" s="107" t="s">
        <v>16</v>
      </c>
      <c r="F25" s="45" t="s">
        <v>141</v>
      </c>
      <c r="G25" s="46" t="s">
        <v>140</v>
      </c>
      <c r="H25" s="45"/>
      <c r="I25" s="45"/>
      <c r="J25" s="45" t="s">
        <v>140</v>
      </c>
      <c r="K25" s="45"/>
    </row>
    <row r="26" spans="1:11" x14ac:dyDescent="0.25">
      <c r="A26" s="51" t="s">
        <v>40</v>
      </c>
      <c r="B26" s="45" t="s">
        <v>80</v>
      </c>
      <c r="C26" s="45">
        <v>3</v>
      </c>
      <c r="D26" s="45" t="str">
        <f>IFERROR(IF(INDEX('01.25'!D2:D500, MATCH(B26&amp;C26, INDEX('01.25'!B2:B500&amp;'01.25'!C2:C500, 0), 0))="", "", INDEX('01.25'!D2:D500, MATCH(B26&amp;C26, INDEX('01.25'!B2:B500&amp;'01.25'!C2:C500, 0), 0))), "")</f>
        <v>Lorizete de Andrade</v>
      </c>
      <c r="E26" s="107" t="s">
        <v>16</v>
      </c>
      <c r="F26" s="45" t="s">
        <v>141</v>
      </c>
      <c r="G26" s="46" t="s">
        <v>140</v>
      </c>
      <c r="H26" s="45"/>
      <c r="I26" s="45"/>
      <c r="J26" s="45" t="s">
        <v>140</v>
      </c>
      <c r="K26" s="45"/>
    </row>
    <row r="27" spans="1:11" x14ac:dyDescent="0.25">
      <c r="A27" s="51" t="s">
        <v>40</v>
      </c>
      <c r="B27" s="45" t="s">
        <v>80</v>
      </c>
      <c r="C27" s="45">
        <v>4</v>
      </c>
      <c r="D27" s="45" t="str">
        <f>IFERROR(IF(INDEX('01.25'!D2:D500, MATCH(B27&amp;C27, INDEX('01.25'!B2:B500&amp;'01.25'!C2:C500, 0), 0))="", "", INDEX('01.25'!D2:D500, MATCH(B27&amp;C27, INDEX('01.25'!B2:B500&amp;'01.25'!C2:C500, 0), 0))), "")</f>
        <v>Andressa Maia</v>
      </c>
      <c r="E27" s="107" t="s">
        <v>16</v>
      </c>
      <c r="F27" s="45" t="s">
        <v>141</v>
      </c>
      <c r="G27" s="46" t="s">
        <v>140</v>
      </c>
      <c r="H27" s="45"/>
      <c r="I27" s="45"/>
      <c r="J27" s="45" t="s">
        <v>140</v>
      </c>
      <c r="K27" s="45"/>
    </row>
    <row r="28" spans="1:11" x14ac:dyDescent="0.25">
      <c r="A28" s="51" t="s">
        <v>40</v>
      </c>
      <c r="B28" s="45" t="s">
        <v>80</v>
      </c>
      <c r="C28" s="45">
        <v>5</v>
      </c>
      <c r="D28" s="45" t="str">
        <f>IFERROR(IF(INDEX('01.25'!D2:D500, MATCH(B28&amp;C28, INDEX('01.25'!B2:B500&amp;'01.25'!C2:C500, 0), 0))="", "", INDEX('01.25'!D2:D500, MATCH(B28&amp;C28, INDEX('01.25'!B2:B500&amp;'01.25'!C2:C500, 0), 0))), "")</f>
        <v>Lucas Correia de Souza</v>
      </c>
      <c r="E28" s="107" t="s">
        <v>16</v>
      </c>
      <c r="F28" s="45" t="s">
        <v>141</v>
      </c>
      <c r="G28" s="46" t="s">
        <v>140</v>
      </c>
      <c r="H28" s="45"/>
      <c r="I28" s="45"/>
      <c r="J28" s="45" t="s">
        <v>140</v>
      </c>
      <c r="K28" s="45"/>
    </row>
    <row r="29" spans="1:11" x14ac:dyDescent="0.25">
      <c r="A29" s="51" t="s">
        <v>40</v>
      </c>
      <c r="B29" s="45" t="s">
        <v>80</v>
      </c>
      <c r="C29" s="45">
        <v>6</v>
      </c>
      <c r="D29" s="45" t="str">
        <f>IFERROR(IF(INDEX('01.25'!D2:D500, MATCH(B29&amp;C29, INDEX('01.25'!B2:B500&amp;'01.25'!C2:C500, 0), 0))="", "", INDEX('01.25'!D2:D500, MATCH(B29&amp;C29, INDEX('01.25'!B2:B500&amp;'01.25'!C2:C500, 0), 0))), "")</f>
        <v>Jose Francisco Mariano de Faria Filho</v>
      </c>
      <c r="E29" s="107" t="s">
        <v>16</v>
      </c>
      <c r="F29" s="45" t="s">
        <v>141</v>
      </c>
      <c r="G29" s="46" t="s">
        <v>140</v>
      </c>
      <c r="H29" s="45"/>
      <c r="I29" s="45"/>
      <c r="J29" s="45" t="s">
        <v>140</v>
      </c>
      <c r="K29" s="45"/>
    </row>
    <row r="30" spans="1:11" x14ac:dyDescent="0.25">
      <c r="A30" s="51" t="s">
        <v>40</v>
      </c>
      <c r="B30" s="45" t="s">
        <v>80</v>
      </c>
      <c r="C30" s="45">
        <v>7</v>
      </c>
      <c r="D30" s="45" t="str">
        <f>IFERROR(IF(INDEX('01.25'!D2:D500, MATCH(B30&amp;C30, INDEX('01.25'!B2:B500&amp;'01.25'!C2:C500, 0), 0))="", "", INDEX('01.25'!D2:D500, MATCH(B30&amp;C30, INDEX('01.25'!B2:B500&amp;'01.25'!C2:C500, 0), 0))), "")</f>
        <v>Pedro Henrique Mariano de Faria</v>
      </c>
      <c r="E30" s="107" t="s">
        <v>16</v>
      </c>
      <c r="F30" s="45" t="s">
        <v>145</v>
      </c>
      <c r="G30" s="46" t="s">
        <v>140</v>
      </c>
      <c r="H30" s="45"/>
      <c r="I30" s="45"/>
      <c r="J30" s="45" t="s">
        <v>140</v>
      </c>
      <c r="K30" s="45"/>
    </row>
    <row r="31" spans="1:11" x14ac:dyDescent="0.25">
      <c r="A31" s="51" t="s">
        <v>40</v>
      </c>
      <c r="B31" s="45" t="s">
        <v>80</v>
      </c>
      <c r="C31" s="45">
        <v>8</v>
      </c>
      <c r="D31" s="45" t="str">
        <f>IFERROR(IF(INDEX('01.25'!D2:D500, MATCH(B31&amp;C31, INDEX('01.25'!B2:B500&amp;'01.25'!C2:C500, 0), 0))="", "", INDEX('01.25'!D2:D500, MATCH(B31&amp;C31, INDEX('01.25'!B2:B500&amp;'01.25'!C2:C500, 0), 0))), "")</f>
        <v>Renata Aparecida de Souza</v>
      </c>
      <c r="E31" s="107" t="s">
        <v>16</v>
      </c>
      <c r="F31" s="45" t="s">
        <v>145</v>
      </c>
      <c r="G31" s="46" t="s">
        <v>140</v>
      </c>
      <c r="H31" s="45"/>
      <c r="I31" s="45"/>
      <c r="J31" s="45" t="s">
        <v>140</v>
      </c>
      <c r="K31" s="45"/>
    </row>
    <row r="32" spans="1:11" x14ac:dyDescent="0.25">
      <c r="A32" s="51" t="s">
        <v>40</v>
      </c>
      <c r="B32" s="45" t="s">
        <v>80</v>
      </c>
      <c r="C32" s="45">
        <v>9</v>
      </c>
      <c r="D32" s="45" t="str">
        <f>IFERROR(IF(INDEX('01.25'!D2:D500, MATCH(B32&amp;C32, INDEX('01.25'!B2:B500&amp;'01.25'!C2:C500, 0), 0))="", "", INDEX('01.25'!D2:D500, MATCH(B32&amp;C32, INDEX('01.25'!B2:B500&amp;'01.25'!C2:C500, 0), 0))), "")</f>
        <v>Maria Eduarda dos Santos Arias</v>
      </c>
      <c r="E32" s="108" t="s">
        <v>21</v>
      </c>
      <c r="F32" s="45"/>
      <c r="G32" s="52" t="s">
        <v>131</v>
      </c>
      <c r="H32" s="45"/>
      <c r="I32" s="45"/>
      <c r="J32" s="45" t="s">
        <v>140</v>
      </c>
      <c r="K32" s="45"/>
    </row>
    <row r="33" spans="1:11" x14ac:dyDescent="0.25">
      <c r="A33" s="44" t="s">
        <v>36</v>
      </c>
      <c r="B33" s="45" t="s">
        <v>98</v>
      </c>
      <c r="C33" s="45">
        <v>1</v>
      </c>
      <c r="D33" s="45" t="str">
        <f>IFERROR(IF(INDEX('01.25'!D2:D500, MATCH(B33&amp;C33, INDEX('01.25'!B2:B500&amp;'01.25'!C2:C500, 0), 0))="", "", INDEX('01.25'!D2:D500, MATCH(B33&amp;C33, INDEX('01.25'!B2:B500&amp;'01.25'!C2:C500, 0), 0))), "")</f>
        <v>Paulo Rogerio Hiroshi Fujii</v>
      </c>
      <c r="E33" s="107" t="s">
        <v>16</v>
      </c>
      <c r="F33" s="45" t="s">
        <v>146</v>
      </c>
      <c r="G33" s="46" t="s">
        <v>140</v>
      </c>
      <c r="H33" s="45"/>
      <c r="I33" s="45"/>
      <c r="J33" s="45" t="s">
        <v>140</v>
      </c>
      <c r="K33" s="45"/>
    </row>
    <row r="34" spans="1:11" x14ac:dyDescent="0.25">
      <c r="A34" s="44" t="s">
        <v>36</v>
      </c>
      <c r="B34" s="45" t="s">
        <v>99</v>
      </c>
      <c r="C34" s="45">
        <v>1</v>
      </c>
      <c r="D34" s="45" t="str">
        <f>IFERROR(IF(INDEX('01.25'!D2:D500, MATCH(B34&amp;C34, INDEX('01.25'!B2:B500&amp;'01.25'!C2:C500, 0), 0))="", "", INDEX('01.25'!D2:D500, MATCH(B34&amp;C34, INDEX('01.25'!B2:B500&amp;'01.25'!C2:C500, 0), 0))), "")</f>
        <v>Marlene R. Oliveira Dallacosta</v>
      </c>
      <c r="E34" s="107" t="s">
        <v>16</v>
      </c>
      <c r="F34" s="45" t="s">
        <v>141</v>
      </c>
      <c r="G34" s="46" t="s">
        <v>140</v>
      </c>
      <c r="H34" s="45"/>
      <c r="I34" s="45"/>
      <c r="J34" s="45" t="s">
        <v>140</v>
      </c>
      <c r="K34" s="45"/>
    </row>
    <row r="35" spans="1:11" x14ac:dyDescent="0.25">
      <c r="A35" s="47" t="s">
        <v>28</v>
      </c>
      <c r="B35" s="45" t="s">
        <v>94</v>
      </c>
      <c r="C35" s="45">
        <v>1</v>
      </c>
      <c r="D35" s="45" t="str">
        <f>IFERROR(IF(INDEX('01.25'!D2:D500, MATCH(B35&amp;C35, INDEX('01.25'!B2:B500&amp;'01.25'!C2:C500, 0), 0))="", "", INDEX('01.25'!D2:D500, MATCH(B35&amp;C35, INDEX('01.25'!B2:B500&amp;'01.25'!C2:C500, 0), 0))), "")</f>
        <v>Vitolor dos Santos Almeida</v>
      </c>
      <c r="E35" s="106" t="s">
        <v>18</v>
      </c>
      <c r="F35" s="45"/>
      <c r="G35" s="46" t="s">
        <v>140</v>
      </c>
      <c r="H35" s="45"/>
      <c r="I35" s="45"/>
      <c r="J35" s="45" t="s">
        <v>140</v>
      </c>
      <c r="K35" s="45"/>
    </row>
    <row r="36" spans="1:11" x14ac:dyDescent="0.25">
      <c r="A36" s="47" t="s">
        <v>28</v>
      </c>
      <c r="B36" s="45" t="s">
        <v>95</v>
      </c>
      <c r="C36" s="45">
        <v>1</v>
      </c>
      <c r="D36" s="45" t="str">
        <f>IFERROR(IF(INDEX('01.25'!D2:D500, MATCH(B36&amp;C36, INDEX('01.25'!B2:B500&amp;'01.25'!C2:C500, 0), 0))="", "", INDEX('01.25'!D2:D500, MATCH(B36&amp;C36, INDEX('01.25'!B2:B500&amp;'01.25'!C2:C500, 0), 0))), "")</f>
        <v>Kelly Jackeline Silva do Valle</v>
      </c>
      <c r="E36" s="106" t="s">
        <v>18</v>
      </c>
      <c r="F36" s="45"/>
      <c r="G36" s="46" t="s">
        <v>140</v>
      </c>
      <c r="H36" s="45"/>
      <c r="I36" s="45"/>
      <c r="J36" s="45" t="s">
        <v>140</v>
      </c>
      <c r="K36" s="45"/>
    </row>
    <row r="37" spans="1:11" x14ac:dyDescent="0.25">
      <c r="A37" s="47" t="s">
        <v>28</v>
      </c>
      <c r="B37" s="45" t="s">
        <v>96</v>
      </c>
      <c r="C37" s="45">
        <v>1</v>
      </c>
      <c r="D37" s="45" t="str">
        <f>IFERROR(IF(INDEX('01.25'!D2:D500, MATCH(B37&amp;C37, INDEX('01.25'!B2:B500&amp;'01.25'!C2:C500, 0), 0))="", "", INDEX('01.25'!D2:D500, MATCH(B37&amp;C37, INDEX('01.25'!B2:B500&amp;'01.25'!C2:C500, 0), 0))), "")</f>
        <v>Felipe Carvalho Zydek</v>
      </c>
      <c r="E37" s="106" t="s">
        <v>18</v>
      </c>
      <c r="F37" s="45"/>
      <c r="G37" s="46" t="s">
        <v>140</v>
      </c>
      <c r="H37" s="45"/>
      <c r="I37" s="45"/>
      <c r="J37" s="45" t="s">
        <v>140</v>
      </c>
      <c r="K37" s="45"/>
    </row>
    <row r="38" spans="1:11" x14ac:dyDescent="0.25">
      <c r="A38" s="48" t="s">
        <v>38</v>
      </c>
      <c r="B38" s="45" t="s">
        <v>107</v>
      </c>
      <c r="C38" s="45">
        <v>1</v>
      </c>
      <c r="D38" s="45" t="str">
        <f>IFERROR(IF(INDEX('01.25'!D2:D500, MATCH(B38&amp;C38, INDEX('01.25'!B2:B500&amp;'01.25'!C2:C500, 0), 0))="", "", INDEX('01.25'!D2:D500, MATCH(B38&amp;C38, INDEX('01.25'!B2:B500&amp;'01.25'!C2:C500, 0), 0))), "")</f>
        <v>Eliane Borin</v>
      </c>
      <c r="E38" s="106" t="s">
        <v>18</v>
      </c>
      <c r="F38" s="45"/>
      <c r="G38" s="46" t="s">
        <v>140</v>
      </c>
      <c r="H38" s="45"/>
      <c r="I38" s="45"/>
      <c r="J38" s="45" t="s">
        <v>140</v>
      </c>
      <c r="K38" s="45"/>
    </row>
    <row r="39" spans="1:11" x14ac:dyDescent="0.25">
      <c r="A39" s="50" t="s">
        <v>42</v>
      </c>
      <c r="B39" s="45" t="s">
        <v>117</v>
      </c>
      <c r="C39" s="45">
        <v>1</v>
      </c>
      <c r="D39" s="45" t="str">
        <f>IFERROR(IF(INDEX('01.25'!D2:D500, MATCH(B39&amp;C39, INDEX('01.25'!B2:B500&amp;'01.25'!C2:C500, 0), 0))="", "", INDEX('01.25'!D2:D500, MATCH(B39&amp;C39, INDEX('01.25'!B2:B500&amp;'01.25'!C2:C500, 0), 0))), "")</f>
        <v>Tatiana schrard</v>
      </c>
      <c r="E39" s="106" t="s">
        <v>18</v>
      </c>
      <c r="F39" s="45"/>
      <c r="G39" s="46" t="s">
        <v>140</v>
      </c>
      <c r="H39" s="45"/>
      <c r="I39" s="45"/>
      <c r="J39" s="45" t="s">
        <v>140</v>
      </c>
      <c r="K39" s="45"/>
    </row>
    <row r="40" spans="1:11" x14ac:dyDescent="0.25">
      <c r="A40" s="48" t="s">
        <v>38</v>
      </c>
      <c r="B40" s="45" t="s">
        <v>81</v>
      </c>
      <c r="C40" s="45">
        <v>1</v>
      </c>
      <c r="D40" s="45" t="str">
        <f>IFERROR(IF(INDEX('01.25'!D2:D500, MATCH(B40&amp;C40, INDEX('01.25'!B2:B500&amp;'01.25'!C2:C500, 0), 0))="", "", INDEX('01.25'!D2:D500, MATCH(B40&amp;C40, INDEX('01.25'!B2:B500&amp;'01.25'!C2:C500, 0), 0))), "")</f>
        <v>César Piva Glinglani</v>
      </c>
      <c r="E40" s="107" t="s">
        <v>16</v>
      </c>
      <c r="F40" s="45" t="s">
        <v>141</v>
      </c>
      <c r="G40" s="46" t="s">
        <v>140</v>
      </c>
      <c r="H40" s="45"/>
      <c r="I40" s="45"/>
      <c r="J40" s="45" t="s">
        <v>140</v>
      </c>
      <c r="K40" s="45"/>
    </row>
    <row r="41" spans="1:11" x14ac:dyDescent="0.25">
      <c r="A41" s="49" t="s">
        <v>43</v>
      </c>
      <c r="B41" s="45" t="s">
        <v>128</v>
      </c>
      <c r="C41" s="45">
        <v>1</v>
      </c>
      <c r="D41" s="45" t="str">
        <f>IFERROR(IF(INDEX('01.25'!D2:D500, MATCH(B41&amp;C41, INDEX('01.25'!B2:B500&amp;'01.25'!C2:C500, 0), 0))="", "", INDEX('01.25'!D2:D500, MATCH(B41&amp;C41, INDEX('01.25'!B2:B500&amp;'01.25'!C2:C500, 0), 0))), "")</f>
        <v>Ailton Carlos Fialho</v>
      </c>
      <c r="E41" s="106" t="s">
        <v>18</v>
      </c>
      <c r="F41" s="45"/>
      <c r="G41" s="46" t="s">
        <v>140</v>
      </c>
      <c r="H41" s="45"/>
      <c r="I41" s="45"/>
      <c r="J41" s="45" t="s">
        <v>140</v>
      </c>
      <c r="K41" s="45"/>
    </row>
    <row r="42" spans="1:11" x14ac:dyDescent="0.25">
      <c r="A42" s="50" t="s">
        <v>42</v>
      </c>
      <c r="B42" s="45" t="s">
        <v>82</v>
      </c>
      <c r="C42" s="45">
        <v>1</v>
      </c>
      <c r="D42" s="45" t="str">
        <f>IFERROR(IF(INDEX('01.25'!D2:D500, MATCH(B42&amp;C42, INDEX('01.25'!B2:B500&amp;'01.25'!C2:C500, 0), 0))="", "", INDEX('01.25'!D2:D500, MATCH(B42&amp;C42, INDEX('01.25'!B2:B500&amp;'01.25'!C2:C500, 0), 0))), "")</f>
        <v>Marcos José Chaves</v>
      </c>
      <c r="E42" s="107" t="s">
        <v>16</v>
      </c>
      <c r="F42" s="45" t="s">
        <v>145</v>
      </c>
      <c r="G42" s="46" t="s">
        <v>140</v>
      </c>
      <c r="H42" s="45"/>
      <c r="I42" s="45"/>
      <c r="J42" s="45" t="s">
        <v>140</v>
      </c>
      <c r="K42" s="45"/>
    </row>
    <row r="43" spans="1:11" x14ac:dyDescent="0.25">
      <c r="A43" s="50" t="s">
        <v>42</v>
      </c>
      <c r="B43" s="45" t="s">
        <v>82</v>
      </c>
      <c r="C43" s="45">
        <v>2</v>
      </c>
      <c r="D43" s="45" t="str">
        <f>IFERROR(IF(INDEX('01.25'!D2:D500, MATCH(B43&amp;C43, INDEX('01.25'!B2:B500&amp;'01.25'!C2:C500, 0), 0))="", "", INDEX('01.25'!D2:D500, MATCH(B43&amp;C43, INDEX('01.25'!B2:B500&amp;'01.25'!C2:C500, 0), 0))), "")</f>
        <v>Diego Matheus Reinicke</v>
      </c>
      <c r="E43" s="107" t="s">
        <v>16</v>
      </c>
      <c r="F43" s="45" t="s">
        <v>147</v>
      </c>
      <c r="G43" s="46" t="s">
        <v>140</v>
      </c>
      <c r="H43" s="45"/>
      <c r="I43" s="45"/>
      <c r="J43" s="45" t="s">
        <v>140</v>
      </c>
      <c r="K43" s="45"/>
    </row>
    <row r="44" spans="1:11" x14ac:dyDescent="0.25">
      <c r="A44" s="48" t="s">
        <v>38</v>
      </c>
      <c r="B44" s="45" t="s">
        <v>76</v>
      </c>
      <c r="C44" s="45">
        <v>1</v>
      </c>
      <c r="D44" s="45" t="str">
        <f>IFERROR(IF(INDEX('01.25'!D2:D500, MATCH(B44&amp;C44, INDEX('01.25'!B2:B500&amp;'01.25'!C2:C500, 0), 0))="", "", INDEX('01.25'!D2:D500, MATCH(B44&amp;C44, INDEX('01.25'!B2:B500&amp;'01.25'!C2:C500, 0), 0))), "")</f>
        <v>Cleiton Manske</v>
      </c>
      <c r="E44" s="107" t="s">
        <v>16</v>
      </c>
      <c r="F44" s="45" t="s">
        <v>141</v>
      </c>
      <c r="G44" s="46" t="s">
        <v>140</v>
      </c>
      <c r="H44" s="45"/>
      <c r="I44" s="45"/>
      <c r="J44" s="45" t="s">
        <v>140</v>
      </c>
      <c r="K44" s="45"/>
    </row>
    <row r="45" spans="1:11" x14ac:dyDescent="0.25">
      <c r="A45" s="50" t="s">
        <v>42</v>
      </c>
      <c r="B45" s="45" t="s">
        <v>118</v>
      </c>
      <c r="C45" s="45">
        <v>1</v>
      </c>
      <c r="D45" s="45" t="str">
        <f>IFERROR(IF(INDEX('01.25'!D2:D500, MATCH(B45&amp;C45, INDEX('01.25'!B2:B500&amp;'01.25'!C2:C500, 0), 0))="", "", INDEX('01.25'!D2:D500, MATCH(B45&amp;C45, INDEX('01.25'!B2:B500&amp;'01.25'!C2:C500, 0), 0))), "")</f>
        <v>Alexandro Aparecido de Lima Vieira</v>
      </c>
      <c r="E45" s="107" t="s">
        <v>16</v>
      </c>
      <c r="F45" s="45" t="s">
        <v>141</v>
      </c>
      <c r="G45" s="46" t="s">
        <v>140</v>
      </c>
      <c r="H45" s="45"/>
      <c r="I45" s="45"/>
      <c r="J45" s="45" t="s">
        <v>140</v>
      </c>
      <c r="K45" s="45"/>
    </row>
    <row r="46" spans="1:11" x14ac:dyDescent="0.25">
      <c r="A46" s="51" t="s">
        <v>40</v>
      </c>
      <c r="B46" s="45" t="s">
        <v>111</v>
      </c>
      <c r="C46" s="45">
        <v>1</v>
      </c>
      <c r="D46" s="45" t="str">
        <f>IFERROR(IF(INDEX('01.25'!D2:D500, MATCH(B46&amp;C46, INDEX('01.25'!B2:B500&amp;'01.25'!C2:C500, 0), 0))="", "", INDEX('01.25'!D2:D500, MATCH(B46&amp;C46, INDEX('01.25'!B2:B500&amp;'01.25'!C2:C500, 0), 0))), "")</f>
        <v>Rafael Henrique Caetano</v>
      </c>
      <c r="E46" s="107" t="s">
        <v>16</v>
      </c>
      <c r="F46" s="45" t="s">
        <v>148</v>
      </c>
      <c r="G46" s="46" t="s">
        <v>140</v>
      </c>
      <c r="H46" s="45"/>
      <c r="I46" s="45"/>
      <c r="J46" s="45" t="s">
        <v>140</v>
      </c>
      <c r="K46" s="45"/>
    </row>
    <row r="47" spans="1:11" x14ac:dyDescent="0.25">
      <c r="A47" s="44" t="s">
        <v>36</v>
      </c>
      <c r="B47" s="45" t="s">
        <v>100</v>
      </c>
      <c r="C47" s="45">
        <v>1</v>
      </c>
      <c r="D47" s="45" t="str">
        <f>IFERROR(IF(INDEX('01.25'!D2:D500, MATCH(B47&amp;C47, INDEX('01.25'!B2:B500&amp;'01.25'!C2:C500, 0), 0))="", "", INDEX('01.25'!D2:D500, MATCH(B47&amp;C47, INDEX('01.25'!B2:B500&amp;'01.25'!C2:C500, 0), 0))), "")</f>
        <v>Roberto Pedron</v>
      </c>
      <c r="E47" s="107" t="s">
        <v>16</v>
      </c>
      <c r="F47" s="45" t="s">
        <v>141</v>
      </c>
      <c r="G47" s="46" t="s">
        <v>140</v>
      </c>
      <c r="H47" s="45"/>
      <c r="I47" s="45"/>
      <c r="J47" s="45" t="s">
        <v>140</v>
      </c>
      <c r="K47" s="45"/>
    </row>
    <row r="48" spans="1:11" x14ac:dyDescent="0.25">
      <c r="A48" s="50" t="s">
        <v>42</v>
      </c>
      <c r="B48" s="45" t="s">
        <v>119</v>
      </c>
      <c r="C48" s="45">
        <v>1</v>
      </c>
      <c r="D48" s="45" t="str">
        <f>IFERROR(IF(INDEX('01.25'!D2:D500, MATCH(B48&amp;C48, INDEX('01.25'!B2:B500&amp;'01.25'!C2:C500, 0), 0))="", "", INDEX('01.25'!D2:D500, MATCH(B48&amp;C48, INDEX('01.25'!B2:B500&amp;'01.25'!C2:C500, 0), 0))), "")</f>
        <v>Luciane Spies</v>
      </c>
      <c r="E48" s="107" t="s">
        <v>16</v>
      </c>
      <c r="F48" s="45" t="s">
        <v>145</v>
      </c>
      <c r="G48" s="46" t="s">
        <v>140</v>
      </c>
      <c r="H48" s="45"/>
      <c r="I48" s="45"/>
      <c r="J48" s="45" t="s">
        <v>140</v>
      </c>
      <c r="K48" s="45"/>
    </row>
    <row r="49" spans="1:11" x14ac:dyDescent="0.25">
      <c r="A49" s="44" t="s">
        <v>36</v>
      </c>
      <c r="B49" s="45" t="s">
        <v>77</v>
      </c>
      <c r="C49" s="45">
        <v>1</v>
      </c>
      <c r="D49" s="45" t="str">
        <f>IFERROR(IF(INDEX('01.25'!D2:D500, MATCH(B49&amp;C49, INDEX('01.25'!B2:B500&amp;'01.25'!C2:C500, 0), 0))="", "", INDEX('01.25'!D2:D500, MATCH(B49&amp;C49, INDEX('01.25'!B2:B500&amp;'01.25'!C2:C500, 0), 0))), "")</f>
        <v>Jaqueline Fernanda Meireles</v>
      </c>
      <c r="E49" s="106" t="s">
        <v>18</v>
      </c>
      <c r="F49" s="53">
        <v>45649</v>
      </c>
      <c r="G49" s="52" t="s">
        <v>131</v>
      </c>
      <c r="H49" s="45" t="s">
        <v>149</v>
      </c>
      <c r="I49" s="45"/>
      <c r="J49" s="45" t="s">
        <v>140</v>
      </c>
      <c r="K49" s="45"/>
    </row>
    <row r="50" spans="1:11" x14ac:dyDescent="0.25">
      <c r="A50" s="48" t="s">
        <v>38</v>
      </c>
      <c r="B50" s="45" t="s">
        <v>108</v>
      </c>
      <c r="C50" s="45">
        <v>1</v>
      </c>
      <c r="D50" s="45" t="str">
        <f>IFERROR(IF(INDEX('01.25'!D2:D500, MATCH(B50&amp;C50, INDEX('01.25'!B2:B500&amp;'01.25'!C2:C500, 0), 0))="", "", INDEX('01.25'!D2:D500, MATCH(B50&amp;C50, INDEX('01.25'!B2:B500&amp;'01.25'!C2:C500, 0), 0))), "")</f>
        <v>Luiz Fernando Pereira Barbosa</v>
      </c>
      <c r="E50" s="106" t="s">
        <v>18</v>
      </c>
      <c r="F50" s="45"/>
      <c r="G50" s="46" t="s">
        <v>140</v>
      </c>
      <c r="H50" s="45"/>
      <c r="I50" s="45"/>
      <c r="J50" s="45" t="s">
        <v>140</v>
      </c>
      <c r="K50" s="45"/>
    </row>
    <row r="51" spans="1:11" x14ac:dyDescent="0.25">
      <c r="A51" s="44" t="s">
        <v>36</v>
      </c>
      <c r="B51" s="45" t="s">
        <v>101</v>
      </c>
      <c r="C51" s="45">
        <v>1</v>
      </c>
      <c r="D51" s="45" t="str">
        <f>IFERROR(IF(INDEX('01.25'!D2:D500, MATCH(B51&amp;C51, INDEX('01.25'!B2:B500&amp;'01.25'!C2:C500, 0), 0))="", "", INDEX('01.25'!D2:D500, MATCH(B51&amp;C51, INDEX('01.25'!B2:B500&amp;'01.25'!C2:C500, 0), 0))), "")</f>
        <v>Carolina Eggers</v>
      </c>
      <c r="E51" s="107" t="s">
        <v>16</v>
      </c>
      <c r="F51" s="45" t="s">
        <v>141</v>
      </c>
      <c r="G51" s="52" t="s">
        <v>131</v>
      </c>
      <c r="H51" s="45" t="s">
        <v>150</v>
      </c>
      <c r="I51" s="45"/>
      <c r="J51" s="45" t="s">
        <v>140</v>
      </c>
      <c r="K51" s="45"/>
    </row>
    <row r="52" spans="1:11" x14ac:dyDescent="0.25">
      <c r="A52" s="44" t="s">
        <v>36</v>
      </c>
      <c r="B52" s="45" t="s">
        <v>102</v>
      </c>
      <c r="C52" s="45">
        <v>1</v>
      </c>
      <c r="D52" s="45" t="str">
        <f>IFERROR(IF(INDEX('01.25'!D2:D500, MATCH(B52&amp;C52, INDEX('01.25'!B2:B500&amp;'01.25'!C2:C500, 0), 0))="", "", INDEX('01.25'!D2:D500, MATCH(B52&amp;C52, INDEX('01.25'!B2:B500&amp;'01.25'!C2:C500, 0), 0))), "")</f>
        <v>Ivan Gonçalves da Silva</v>
      </c>
      <c r="E52" s="107" t="s">
        <v>16</v>
      </c>
      <c r="F52" s="45" t="s">
        <v>141</v>
      </c>
      <c r="G52" s="52" t="s">
        <v>131</v>
      </c>
      <c r="H52" s="45"/>
      <c r="I52" s="45"/>
      <c r="J52" s="45" t="s">
        <v>140</v>
      </c>
      <c r="K52" s="45"/>
    </row>
    <row r="53" spans="1:11" x14ac:dyDescent="0.25">
      <c r="A53" s="48" t="s">
        <v>38</v>
      </c>
      <c r="B53" s="45" t="s">
        <v>83</v>
      </c>
      <c r="C53" s="45">
        <v>1</v>
      </c>
      <c r="D53" s="45" t="str">
        <f>IFERROR(IF(INDEX('01.25'!D2:D500, MATCH(B53&amp;C53, INDEX('01.25'!B2:B500&amp;'01.25'!C2:C500, 0), 0))="", "", INDEX('01.25'!D2:D500, MATCH(B53&amp;C53, INDEX('01.25'!B2:B500&amp;'01.25'!C2:C500, 0), 0))), "")</f>
        <v>Dorival Manoel Canhete</v>
      </c>
      <c r="E53" s="107" t="s">
        <v>16</v>
      </c>
      <c r="F53" s="45" t="s">
        <v>141</v>
      </c>
      <c r="G53" s="46" t="s">
        <v>140</v>
      </c>
      <c r="H53" s="45"/>
      <c r="I53" s="45"/>
      <c r="J53" s="45" t="s">
        <v>140</v>
      </c>
      <c r="K53" s="45"/>
    </row>
    <row r="54" spans="1:11" x14ac:dyDescent="0.25">
      <c r="A54" s="50" t="s">
        <v>42</v>
      </c>
      <c r="B54" s="45" t="s">
        <v>120</v>
      </c>
      <c r="C54" s="45">
        <v>1</v>
      </c>
      <c r="D54" s="45" t="str">
        <f>IFERROR(IF(INDEX('01.25'!D2:D500, MATCH(B54&amp;C54, INDEX('01.25'!B2:B500&amp;'01.25'!C2:C500, 0), 0))="", "", INDEX('01.25'!D2:D500, MATCH(B54&amp;C54, INDEX('01.25'!B2:B500&amp;'01.25'!C2:C500, 0), 0))), "")</f>
        <v>Jaqueline Vanelli</v>
      </c>
      <c r="E54" s="106" t="s">
        <v>18</v>
      </c>
      <c r="F54" s="45"/>
      <c r="G54" s="46" t="s">
        <v>140</v>
      </c>
      <c r="H54" s="45"/>
      <c r="I54" s="45"/>
      <c r="J54" s="45" t="s">
        <v>140</v>
      </c>
      <c r="K54" s="45"/>
    </row>
    <row r="55" spans="1:11" x14ac:dyDescent="0.25">
      <c r="A55" s="44" t="s">
        <v>36</v>
      </c>
      <c r="B55" s="45" t="s">
        <v>103</v>
      </c>
      <c r="C55" s="45">
        <v>1</v>
      </c>
      <c r="D55" s="45" t="str">
        <f>IFERROR(IF(INDEX('01.25'!D2:D500, MATCH(B55&amp;C55, INDEX('01.25'!B2:B500&amp;'01.25'!C2:C500, 0), 0))="", "", INDEX('01.25'!D2:D500, MATCH(B55&amp;C55, INDEX('01.25'!B2:B500&amp;'01.25'!C2:C500, 0), 0))), "")</f>
        <v>Fernanda Jung</v>
      </c>
      <c r="E55" s="107" t="s">
        <v>16</v>
      </c>
      <c r="F55" s="45" t="s">
        <v>141</v>
      </c>
      <c r="G55" s="52" t="s">
        <v>131</v>
      </c>
      <c r="H55" s="45" t="s">
        <v>151</v>
      </c>
      <c r="I55" s="45"/>
      <c r="J55" s="45" t="s">
        <v>140</v>
      </c>
      <c r="K55" s="45"/>
    </row>
    <row r="56" spans="1:11" x14ac:dyDescent="0.25">
      <c r="A56" s="50" t="s">
        <v>42</v>
      </c>
      <c r="B56" s="45" t="s">
        <v>121</v>
      </c>
      <c r="C56" s="45">
        <v>1</v>
      </c>
      <c r="D56" s="45" t="str">
        <f>IFERROR(IF(INDEX('01.25'!D2:D500, MATCH(B56&amp;C56, INDEX('01.25'!B2:B500&amp;'01.25'!C2:C500, 0), 0))="", "", INDEX('01.25'!D2:D500, MATCH(B56&amp;C56, INDEX('01.25'!B2:B500&amp;'01.25'!C2:C500, 0), 0))), "")</f>
        <v>Ana Paula Romagnoli</v>
      </c>
      <c r="E56" s="107" t="s">
        <v>16</v>
      </c>
      <c r="F56" s="45" t="s">
        <v>146</v>
      </c>
      <c r="G56" s="46" t="s">
        <v>140</v>
      </c>
      <c r="H56" s="45"/>
      <c r="I56" s="45"/>
      <c r="J56" s="45" t="s">
        <v>140</v>
      </c>
      <c r="K56" s="45"/>
    </row>
    <row r="57" spans="1:11" x14ac:dyDescent="0.25">
      <c r="A57" s="50" t="s">
        <v>42</v>
      </c>
      <c r="B57" s="45" t="s">
        <v>122</v>
      </c>
      <c r="C57" s="45">
        <v>1</v>
      </c>
      <c r="D57" s="45" t="str">
        <f>IFERROR(IF(INDEX('01.25'!D2:D500, MATCH(B57&amp;C57, INDEX('01.25'!B2:B500&amp;'01.25'!C2:C500, 0), 0))="", "", INDEX('01.25'!D2:D500, MATCH(B57&amp;C57, INDEX('01.25'!B2:B500&amp;'01.25'!C2:C500, 0), 0))), "")</f>
        <v>Alexandro Schaparini</v>
      </c>
      <c r="E57" s="107" t="s">
        <v>16</v>
      </c>
      <c r="F57" s="45" t="s">
        <v>147</v>
      </c>
      <c r="G57" s="46" t="s">
        <v>140</v>
      </c>
      <c r="H57" s="45"/>
      <c r="I57" s="45"/>
      <c r="J57" s="45" t="s">
        <v>140</v>
      </c>
      <c r="K57" s="45"/>
    </row>
    <row r="58" spans="1:11" x14ac:dyDescent="0.25">
      <c r="A58" s="49" t="s">
        <v>43</v>
      </c>
      <c r="B58" s="45" t="s">
        <v>129</v>
      </c>
      <c r="C58" s="45">
        <v>1</v>
      </c>
      <c r="D58" s="45" t="str">
        <f>IFERROR(IF(INDEX('01.25'!D2:D500, MATCH(B58&amp;C58, INDEX('01.25'!B2:B500&amp;'01.25'!C2:C500, 0), 0))="", "", INDEX('01.25'!D2:D500, MATCH(B58&amp;C58, INDEX('01.25'!B2:B500&amp;'01.25'!C2:C500, 0), 0))), "")</f>
        <v>Marina Ancelmo da Silva</v>
      </c>
      <c r="E58" s="106" t="s">
        <v>18</v>
      </c>
      <c r="F58" s="45"/>
      <c r="G58" s="46" t="s">
        <v>140</v>
      </c>
      <c r="H58" s="45"/>
      <c r="I58" s="45"/>
      <c r="J58" s="45" t="s">
        <v>140</v>
      </c>
      <c r="K58" s="45"/>
    </row>
    <row r="59" spans="1:11" x14ac:dyDescent="0.25">
      <c r="A59" s="49" t="s">
        <v>43</v>
      </c>
      <c r="B59" s="45" t="s">
        <v>130</v>
      </c>
      <c r="C59" s="45">
        <v>1</v>
      </c>
      <c r="D59" s="45" t="str">
        <f>IFERROR(IF(INDEX('01.25'!D2:D500, MATCH(B59&amp;C59, INDEX('01.25'!B2:B500&amp;'01.25'!C2:C500, 0), 0))="", "", INDEX('01.25'!D2:D500, MATCH(B59&amp;C59, INDEX('01.25'!B2:B500&amp;'01.25'!C2:C500, 0), 0))), "")</f>
        <v>Ana Carolina Peterle Ribeiro</v>
      </c>
      <c r="E59" s="106" t="s">
        <v>18</v>
      </c>
      <c r="F59" s="45"/>
      <c r="G59" s="46" t="s">
        <v>140</v>
      </c>
      <c r="H59" s="45"/>
      <c r="I59" s="45"/>
      <c r="J59" s="45" t="s">
        <v>140</v>
      </c>
      <c r="K59" s="45"/>
    </row>
    <row r="60" spans="1:11" x14ac:dyDescent="0.25">
      <c r="A60" s="51" t="s">
        <v>40</v>
      </c>
      <c r="B60" s="45" t="s">
        <v>112</v>
      </c>
      <c r="C60" s="45">
        <v>1</v>
      </c>
      <c r="D60" s="45" t="str">
        <f>IFERROR(IF(INDEX('01.25'!D2:D500, MATCH(B60&amp;C60, INDEX('01.25'!B2:B500&amp;'01.25'!C2:C500, 0), 0))="", "", INDEX('01.25'!D2:D500, MATCH(B60&amp;C60, INDEX('01.25'!B2:B500&amp;'01.25'!C2:C500, 0), 0))), "")</f>
        <v>Taiane Amélia Mondardo</v>
      </c>
      <c r="E60" s="107" t="s">
        <v>16</v>
      </c>
      <c r="F60" s="45" t="s">
        <v>148</v>
      </c>
      <c r="G60" s="46" t="s">
        <v>140</v>
      </c>
      <c r="H60" s="45"/>
      <c r="I60" s="45"/>
      <c r="J60" s="45" t="s">
        <v>140</v>
      </c>
      <c r="K60" s="45"/>
    </row>
    <row r="61" spans="1:11" x14ac:dyDescent="0.25">
      <c r="A61" s="44" t="s">
        <v>36</v>
      </c>
      <c r="B61" s="45" t="s">
        <v>104</v>
      </c>
      <c r="C61" s="45">
        <v>1</v>
      </c>
      <c r="D61" s="45" t="str">
        <f>IFERROR(IF(INDEX('01.25'!D2:D500, MATCH(B61&amp;C61, INDEX('01.25'!B2:B500&amp;'01.25'!C2:C500, 0), 0))="", "", INDEX('01.25'!D2:D500, MATCH(B61&amp;C61, INDEX('01.25'!B2:B500&amp;'01.25'!C2:C500, 0), 0))), "")</f>
        <v>Regiane Lucia Pereira</v>
      </c>
      <c r="E61" s="107" t="s">
        <v>16</v>
      </c>
      <c r="F61" s="45" t="s">
        <v>146</v>
      </c>
      <c r="G61" s="46" t="s">
        <v>140</v>
      </c>
      <c r="H61" s="45"/>
      <c r="I61" s="45"/>
      <c r="J61" s="45" t="s">
        <v>140</v>
      </c>
      <c r="K61" s="45"/>
    </row>
    <row r="62" spans="1:11" x14ac:dyDescent="0.25">
      <c r="A62" s="51" t="s">
        <v>40</v>
      </c>
      <c r="B62" s="45" t="s">
        <v>113</v>
      </c>
      <c r="C62" s="45">
        <v>1</v>
      </c>
      <c r="D62" s="45" t="str">
        <f>IFERROR(IF(INDEX('01.25'!D2:D500, MATCH(B62&amp;C62, INDEX('01.25'!B2:B500&amp;'01.25'!C2:C500, 0), 0))="", "", INDEX('01.25'!D2:D500, MATCH(B62&amp;C62, INDEX('01.25'!B2:B500&amp;'01.25'!C2:C500, 0), 0))), "")</f>
        <v>Andryws Rafael Gois</v>
      </c>
      <c r="E62" s="106" t="s">
        <v>18</v>
      </c>
      <c r="F62" s="45"/>
      <c r="G62" s="46" t="s">
        <v>140</v>
      </c>
      <c r="H62" s="45"/>
      <c r="I62" s="45"/>
      <c r="J62" s="45" t="s">
        <v>140</v>
      </c>
      <c r="K62" s="45"/>
    </row>
    <row r="63" spans="1:11" x14ac:dyDescent="0.25">
      <c r="A63" s="50" t="s">
        <v>42</v>
      </c>
      <c r="B63" s="45" t="s">
        <v>123</v>
      </c>
      <c r="C63" s="45">
        <v>1</v>
      </c>
      <c r="D63" s="45" t="str">
        <f>IFERROR(IF(INDEX('01.25'!D2:D500, MATCH(B63&amp;C63, INDEX('01.25'!B2:B500&amp;'01.25'!C2:C500, 0), 0))="", "", INDEX('01.25'!D2:D500, MATCH(B63&amp;C63, INDEX('01.25'!B2:B500&amp;'01.25'!C2:C500, 0), 0))), "")</f>
        <v>Mayara Ketllyn de Paula Rosetti</v>
      </c>
      <c r="E63" s="106" t="s">
        <v>18</v>
      </c>
      <c r="F63" s="45"/>
      <c r="G63" s="46" t="s">
        <v>140</v>
      </c>
      <c r="H63" s="45"/>
      <c r="I63" s="45"/>
      <c r="J63" s="45" t="s">
        <v>140</v>
      </c>
      <c r="K63" s="45"/>
    </row>
    <row r="64" spans="1:11" x14ac:dyDescent="0.25">
      <c r="A64" s="51" t="s">
        <v>40</v>
      </c>
      <c r="B64" s="45" t="s">
        <v>114</v>
      </c>
      <c r="C64" s="45">
        <v>1</v>
      </c>
      <c r="D64" s="45" t="str">
        <f>IFERROR(IF(INDEX('01.25'!D2:D500, MATCH(B64&amp;C64, INDEX('01.25'!B2:B500&amp;'01.25'!C2:C500, 0), 0))="", "", INDEX('01.25'!D2:D500, MATCH(B64&amp;C64, INDEX('01.25'!B2:B500&amp;'01.25'!C2:C500, 0), 0))), "")</f>
        <v>Junior Andre Britzke</v>
      </c>
      <c r="E64" s="107" t="s">
        <v>16</v>
      </c>
      <c r="F64" s="45" t="s">
        <v>147</v>
      </c>
      <c r="G64" s="46" t="s">
        <v>140</v>
      </c>
      <c r="H64" s="45"/>
      <c r="I64" s="45"/>
      <c r="J64" s="45" t="s">
        <v>140</v>
      </c>
      <c r="K64" s="45"/>
    </row>
    <row r="65" spans="1:11" x14ac:dyDescent="0.25">
      <c r="A65" s="44" t="s">
        <v>36</v>
      </c>
      <c r="B65" s="45" t="s">
        <v>105</v>
      </c>
      <c r="C65" s="45">
        <v>1</v>
      </c>
      <c r="D65" s="45" t="str">
        <f>IFERROR(IF(INDEX('01.25'!D2:D500, MATCH(B65&amp;C65, INDEX('01.25'!B2:B500&amp;'01.25'!C2:C500, 0), 0))="", "", INDEX('01.25'!D2:D500, MATCH(B65&amp;C65, INDEX('01.25'!B2:B500&amp;'01.25'!C2:C500, 0), 0))), "")</f>
        <v>Adriano Pereira Guedes</v>
      </c>
      <c r="E65" s="107" t="s">
        <v>16</v>
      </c>
      <c r="F65" s="45" t="s">
        <v>141</v>
      </c>
      <c r="G65" s="46" t="s">
        <v>140</v>
      </c>
      <c r="H65" s="45"/>
      <c r="I65" s="45"/>
      <c r="J65" s="45" t="s">
        <v>140</v>
      </c>
      <c r="K65" s="45"/>
    </row>
    <row r="66" spans="1:11" x14ac:dyDescent="0.25">
      <c r="A66" s="44" t="s">
        <v>36</v>
      </c>
      <c r="B66" s="45" t="s">
        <v>106</v>
      </c>
      <c r="C66" s="45">
        <v>1</v>
      </c>
      <c r="D66" s="45" t="str">
        <f>IFERROR(IF(INDEX('01.25'!D2:D500, MATCH(B66&amp;C66, INDEX('01.25'!B2:B500&amp;'01.25'!C2:C500, 0), 0))="", "", INDEX('01.25'!D2:D500, MATCH(B66&amp;C66, INDEX('01.25'!B2:B500&amp;'01.25'!C2:C500, 0), 0))), "")</f>
        <v xml:space="preserve">Suzana Cristina de Almeida </v>
      </c>
      <c r="E66" s="106" t="s">
        <v>18</v>
      </c>
      <c r="F66" s="45"/>
      <c r="G66" s="46" t="s">
        <v>140</v>
      </c>
      <c r="H66" s="45"/>
      <c r="I66" s="45"/>
      <c r="J66" s="45" t="s">
        <v>140</v>
      </c>
      <c r="K66" s="45"/>
    </row>
    <row r="67" spans="1:11" x14ac:dyDescent="0.25">
      <c r="A67" s="47" t="s">
        <v>28</v>
      </c>
      <c r="B67" s="45" t="s">
        <v>85</v>
      </c>
      <c r="C67" s="45">
        <v>1</v>
      </c>
      <c r="D67" s="45" t="str">
        <f>IFERROR(IF(INDEX('01.25'!D2:D500, MATCH(B67&amp;C67, INDEX('01.25'!B2:B500&amp;'01.25'!C2:C500, 0), 0))="", "", INDEX('01.25'!D2:D500, MATCH(B67&amp;C67, INDEX('01.25'!B2:B500&amp;'01.25'!C2:C500, 0), 0))), "")</f>
        <v>Alice Cristiane Zancheta</v>
      </c>
      <c r="E67" s="106" t="s">
        <v>18</v>
      </c>
      <c r="F67" s="45"/>
      <c r="G67" s="46" t="s">
        <v>140</v>
      </c>
      <c r="H67" s="45"/>
      <c r="I67" s="45"/>
      <c r="J67" s="45" t="s">
        <v>140</v>
      </c>
      <c r="K67" s="45"/>
    </row>
    <row r="68" spans="1:11" x14ac:dyDescent="0.25">
      <c r="A68" s="48" t="s">
        <v>38</v>
      </c>
      <c r="B68" s="45" t="s">
        <v>109</v>
      </c>
      <c r="C68" s="45">
        <v>1</v>
      </c>
      <c r="D68" s="45" t="str">
        <f>IFERROR(IF(INDEX('01.25'!D2:D500, MATCH(B68&amp;C68, INDEX('01.25'!B2:B500&amp;'01.25'!C2:C500, 0), 0))="", "", INDEX('01.25'!D2:D500, MATCH(B68&amp;C68, INDEX('01.25'!B2:B500&amp;'01.25'!C2:C500, 0), 0))), "")</f>
        <v>Fernanda kaezer de Godoy</v>
      </c>
      <c r="E68" s="107" t="s">
        <v>16</v>
      </c>
      <c r="F68" s="45" t="s">
        <v>152</v>
      </c>
      <c r="G68" s="46" t="s">
        <v>140</v>
      </c>
      <c r="H68" s="45"/>
      <c r="I68" s="45"/>
      <c r="J68" s="45" t="s">
        <v>140</v>
      </c>
      <c r="K68" s="45"/>
    </row>
    <row r="69" spans="1:11" x14ac:dyDescent="0.25">
      <c r="A69" s="48" t="s">
        <v>38</v>
      </c>
      <c r="B69" s="45" t="s">
        <v>110</v>
      </c>
      <c r="C69" s="45">
        <v>1</v>
      </c>
      <c r="D69" s="45" t="str">
        <f>IFERROR(IF(INDEX('01.25'!D2:D500, MATCH(B69&amp;C69, INDEX('01.25'!B2:B500&amp;'01.25'!C2:C500, 0), 0))="", "", INDEX('01.25'!D2:D500, MATCH(B69&amp;C69, INDEX('01.25'!B2:B500&amp;'01.25'!C2:C500, 0), 0))), "")</f>
        <v xml:space="preserve">Ademir Papini Júnior </v>
      </c>
      <c r="E69" s="106" t="s">
        <v>18</v>
      </c>
      <c r="F69" s="45"/>
      <c r="G69" s="46" t="s">
        <v>140</v>
      </c>
      <c r="H69" s="45"/>
      <c r="I69" s="45"/>
      <c r="J69" s="45" t="s">
        <v>140</v>
      </c>
      <c r="K69" s="45"/>
    </row>
    <row r="70" spans="1:11" x14ac:dyDescent="0.25">
      <c r="A70" s="50" t="s">
        <v>42</v>
      </c>
      <c r="B70" s="45" t="s">
        <v>124</v>
      </c>
      <c r="C70" s="45">
        <v>1</v>
      </c>
      <c r="D70" s="45" t="str">
        <f>IFERROR(IF(INDEX('01.25'!D2:D500, MATCH(B70&amp;C70, INDEX('01.25'!B2:B500&amp;'01.25'!C2:C500, 0), 0))="", "", INDEX('01.25'!D2:D500, MATCH(B70&amp;C70, INDEX('01.25'!B2:B500&amp;'01.25'!C2:C500, 0), 0))), "")</f>
        <v>Heloísa Maria Beloni Insenha</v>
      </c>
      <c r="E70" s="106" t="s">
        <v>18</v>
      </c>
      <c r="F70" s="45"/>
      <c r="G70" s="46" t="s">
        <v>140</v>
      </c>
      <c r="H70" s="45"/>
      <c r="I70" s="45"/>
      <c r="J70" s="45" t="s">
        <v>140</v>
      </c>
      <c r="K70" s="45"/>
    </row>
  </sheetData>
  <autoFilter ref="A1:G1" xr:uid="{00000000-0009-0000-0000-000003000000}"/>
  <conditionalFormatting sqref="E2:E70">
    <cfRule type="cellIs" dxfId="190" priority="6" stopIfTrue="1" operator="equal">
      <formula>"Enviado"</formula>
    </cfRule>
    <cfRule type="cellIs" dxfId="189" priority="7" stopIfTrue="1" operator="equal">
      <formula>"Atrasado"</formula>
    </cfRule>
    <cfRule type="cellIs" dxfId="188" priority="8" stopIfTrue="1" operator="equal">
      <formula>"Atrasado &gt;= 2"</formula>
    </cfRule>
    <cfRule type="cellIs" dxfId="187" priority="9" stopIfTrue="1" operator="equal">
      <formula>"Outras Ocorrências"</formula>
    </cfRule>
    <cfRule type="cellIs" dxfId="186" priority="10" stopIfTrue="1" operator="equal">
      <formula>"Sem Técnico"</formula>
    </cfRule>
    <cfRule type="cellIs" dxfId="185" priority="11" stopIfTrue="1" operator="equal">
      <formula>"Duplicado"</formula>
    </cfRule>
  </conditionalFormatting>
  <conditionalFormatting sqref="G2:G70">
    <cfRule type="cellIs" dxfId="184" priority="1" stopIfTrue="1" operator="equal">
      <formula>"Sim"</formula>
    </cfRule>
    <cfRule type="cellIs" dxfId="183" priority="3" stopIfTrue="1" operator="equal">
      <formula>"Não"</formula>
    </cfRule>
  </conditionalFormatting>
  <conditionalFormatting sqref="J2:J70">
    <cfRule type="cellIs" dxfId="182" priority="4" stopIfTrue="1" operator="equal">
      <formula>"Sim"</formula>
    </cfRule>
    <cfRule type="cellIs" dxfId="181" priority="4" stopIfTrue="1" operator="equal">
      <formula>"Não"</formula>
    </cfRule>
    <cfRule type="cellIs" dxfId="180" priority="5" stopIfTrue="1" operator="equal">
      <formula>"Em Análise"</formula>
    </cfRule>
  </conditionalFormatting>
  <dataValidations count="3">
    <dataValidation type="list" allowBlank="1" sqref="G2 G3 G4 G5 G6 G7 G8 G9 G10 G11 G12 G13 G14 G15 G16 G17 G18 G19 G20 G21 G22 G23 G24 G25 G26 G27 G28 G29 G30 G31 G32 G33 G34 G35 G36 G37 G38 G39 G40 G41 G42 G43 G44 G45 G46 G47 G48 G49 G50 G51 G52 G53 G54 G55 G56 G57 G58 G59 G60 G61 G62 G63 G64 G65 G66 G67 G68 G69 G70" xr:uid="{00000000-0002-0000-0300-000000000000}">
      <formula1>"Sim,Não"</formula1>
    </dataValidation>
    <dataValidation type="list" allowBlank="1" sqref="J2 J3 J4 J5 J6 J7 J8 J9 J10 J11 J12 J13 J14 J15 J16 J17 J18 J19 J20 J21 J22 J23 J24 J25 J26 J27 J28 J29 J30 J31 J32 J33 J34 J35 J36 J37 J38 J39 J40 J41 J42 J43 J44 J45 J46 J47 J48 J49 J50 J51 J52 J53 J54 J55 J56 J57 J58 J59 J60 J61 J62 J63 J64 J65 J66 J67 J68 J69 J70" xr:uid="{00000000-0002-0000-0300-000001000000}">
      <formula1>"Sim,Não,Em Análise"</formula1>
    </dataValidation>
    <dataValidation type="list" allowBlank="1" sqref="E2 E3 E4 E5 E6 E7 E8 E9 E10 E11 E12 E13 E14 E15 E16 E17 E18 E19 E20 E21 E22 E23 E24 E25 E26 E27 E28 E29 E30 E31 E32 E33 E34 E35 E36 E37 E38 E39 E40 E41 E42 E43 E44 E45 E46 E47 E48 E49 E50 E51 E52 E53 E54 E55 E56 E57 E58 E59 E60 E61 E62 E63 E64 E65 E66 E67 E68 E69 E70" xr:uid="{00000000-0002-0000-0300-000002000000}">
      <formula1>"Enviado, Atrasado, Atrasado &gt;= 2, Outras Ocorrências, Sem Técnico, Duplicado"</formula1>
    </dataValidation>
  </dataValidation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70"/>
  <sheetViews>
    <sheetView workbookViewId="0">
      <pane xSplit="3" topLeftCell="D1" activePane="topRight" state="frozen"/>
      <selection pane="topRight"/>
    </sheetView>
  </sheetViews>
  <sheetFormatPr defaultRowHeight="15" x14ac:dyDescent="0.25"/>
  <cols>
    <col min="1" max="1" width="14" customWidth="1"/>
    <col min="2" max="2" width="30" customWidth="1"/>
    <col min="3" max="3" width="8" customWidth="1"/>
    <col min="4" max="4" width="45" customWidth="1"/>
    <col min="5" max="5" width="18" customWidth="1"/>
    <col min="6" max="6" width="24" customWidth="1"/>
    <col min="7" max="7" width="27" customWidth="1"/>
    <col min="8" max="8" width="40" customWidth="1"/>
    <col min="9" max="9" width="34" customWidth="1"/>
    <col min="10" max="10" width="25" customWidth="1"/>
    <col min="11" max="11" width="26" customWidth="1"/>
  </cols>
  <sheetData>
    <row r="1" spans="1:11" x14ac:dyDescent="0.25">
      <c r="A1" s="43" t="s">
        <v>27</v>
      </c>
      <c r="B1" s="43" t="s">
        <v>70</v>
      </c>
      <c r="C1" s="43" t="s">
        <v>71</v>
      </c>
      <c r="D1" s="43" t="s">
        <v>132</v>
      </c>
      <c r="E1" s="43" t="s">
        <v>133</v>
      </c>
      <c r="F1" s="43" t="s">
        <v>134</v>
      </c>
      <c r="G1" s="43" t="s">
        <v>135</v>
      </c>
      <c r="H1" s="43" t="s">
        <v>136</v>
      </c>
      <c r="I1" s="43" t="s">
        <v>137</v>
      </c>
      <c r="J1" s="43" t="s">
        <v>138</v>
      </c>
      <c r="K1" s="43" t="s">
        <v>139</v>
      </c>
    </row>
    <row r="2" spans="1:11" x14ac:dyDescent="0.25">
      <c r="A2" s="44" t="s">
        <v>36</v>
      </c>
      <c r="B2" s="45" t="s">
        <v>97</v>
      </c>
      <c r="C2" s="45">
        <v>1</v>
      </c>
      <c r="D2" s="45" t="str">
        <f>IFERROR(IF(INDEX('01.25'!D2:D500, MATCH(B2&amp;C2, INDEX('01.25'!B2:B500&amp;'01.25'!C2:C500, 0), 0))="", "", INDEX('01.25'!D2:D500, MATCH(B2&amp;C2, INDEX('01.25'!B2:B500&amp;'01.25'!C2:C500, 0), 0))), "")</f>
        <v>Paula Tatiana Santana Vechi</v>
      </c>
      <c r="E2" s="106" t="s">
        <v>18</v>
      </c>
      <c r="F2" s="45"/>
      <c r="G2" s="46" t="s">
        <v>140</v>
      </c>
      <c r="H2" s="45"/>
      <c r="I2" s="45"/>
      <c r="J2" s="45" t="s">
        <v>140</v>
      </c>
      <c r="K2" s="45"/>
    </row>
    <row r="3" spans="1:11" x14ac:dyDescent="0.25">
      <c r="A3" s="47" t="s">
        <v>28</v>
      </c>
      <c r="B3" s="45" t="s">
        <v>87</v>
      </c>
      <c r="C3" s="45">
        <v>1</v>
      </c>
      <c r="D3" s="45" t="str">
        <f>IFERROR(IF(INDEX('01.25'!D2:D500, MATCH(B3&amp;C3, INDEX('01.25'!B2:B500&amp;'01.25'!C2:C500, 0), 0))="", "", INDEX('01.25'!D2:D500, MATCH(B3&amp;C3, INDEX('01.25'!B2:B500&amp;'01.25'!C2:C500, 0), 0))), "")</f>
        <v>Willian de Oliveira Lino</v>
      </c>
      <c r="E3" s="106" t="s">
        <v>18</v>
      </c>
      <c r="F3" s="45"/>
      <c r="G3" s="46" t="s">
        <v>140</v>
      </c>
      <c r="H3" s="45"/>
      <c r="I3" s="45"/>
      <c r="J3" s="45" t="s">
        <v>140</v>
      </c>
      <c r="K3" s="45"/>
    </row>
    <row r="4" spans="1:11" x14ac:dyDescent="0.25">
      <c r="A4" s="48" t="s">
        <v>38</v>
      </c>
      <c r="B4" s="45" t="s">
        <v>78</v>
      </c>
      <c r="C4" s="45">
        <v>1</v>
      </c>
      <c r="D4" s="45" t="str">
        <f>IFERROR(IF(INDEX('01.25'!D2:D500, MATCH(B4&amp;C4, INDEX('01.25'!B2:B500&amp;'01.25'!C2:C500, 0), 0))="", "", INDEX('01.25'!D2:D500, MATCH(B4&amp;C4, INDEX('01.25'!B2:B500&amp;'01.25'!C2:C500, 0), 0))), "")</f>
        <v>Gisele Cássia Tamparowsky de Oliveira</v>
      </c>
      <c r="E4" s="106" t="s">
        <v>18</v>
      </c>
      <c r="F4" s="45"/>
      <c r="G4" s="46" t="s">
        <v>140</v>
      </c>
      <c r="H4" s="45"/>
      <c r="I4" s="45"/>
      <c r="J4" s="45" t="s">
        <v>140</v>
      </c>
      <c r="K4" s="45"/>
    </row>
    <row r="5" spans="1:11" x14ac:dyDescent="0.25">
      <c r="A5" s="47" t="s">
        <v>28</v>
      </c>
      <c r="B5" s="45" t="s">
        <v>88</v>
      </c>
      <c r="C5" s="45">
        <v>1</v>
      </c>
      <c r="D5" s="45" t="str">
        <f>IFERROR(IF(INDEX('01.25'!D2:D500, MATCH(B5&amp;C5, INDEX('01.25'!B2:B500&amp;'01.25'!C2:C500, 0), 0))="", "", INDEX('01.25'!D2:D500, MATCH(B5&amp;C5, INDEX('01.25'!B2:B500&amp;'01.25'!C2:C500, 0), 0))), "")</f>
        <v>Marcos Gabriel Franciosi Borges</v>
      </c>
      <c r="E5" s="106" t="s">
        <v>18</v>
      </c>
      <c r="F5" s="45"/>
      <c r="G5" s="46" t="s">
        <v>140</v>
      </c>
      <c r="H5" s="45"/>
      <c r="I5" s="45"/>
      <c r="J5" s="45" t="s">
        <v>140</v>
      </c>
      <c r="K5" s="45"/>
    </row>
    <row r="6" spans="1:11" x14ac:dyDescent="0.25">
      <c r="A6" s="47" t="s">
        <v>28</v>
      </c>
      <c r="B6" s="45" t="s">
        <v>89</v>
      </c>
      <c r="C6" s="45">
        <v>1</v>
      </c>
      <c r="D6" s="45" t="str">
        <f>IFERROR(IF(INDEX('01.25'!D2:D500, MATCH(B6&amp;C6, INDEX('01.25'!B2:B500&amp;'01.25'!C2:C500, 0), 0))="", "", INDEX('01.25'!D2:D500, MATCH(B6&amp;C6, INDEX('01.25'!B2:B500&amp;'01.25'!C2:C500, 0), 0))), "")</f>
        <v>Chayla Bianca Gazoli</v>
      </c>
      <c r="E6" s="106" t="s">
        <v>18</v>
      </c>
      <c r="F6" s="45"/>
      <c r="G6" s="46" t="s">
        <v>140</v>
      </c>
      <c r="H6" s="45"/>
      <c r="I6" s="45"/>
      <c r="J6" s="45" t="s">
        <v>140</v>
      </c>
      <c r="K6" s="45"/>
    </row>
    <row r="7" spans="1:11" x14ac:dyDescent="0.25">
      <c r="A7" s="48" t="s">
        <v>38</v>
      </c>
      <c r="B7" s="45" t="s">
        <v>84</v>
      </c>
      <c r="C7" s="45">
        <v>1</v>
      </c>
      <c r="D7" s="45" t="str">
        <f>IFERROR(IF(INDEX('01.25'!D2:D500, MATCH(B7&amp;C7, INDEX('01.25'!B2:B500&amp;'01.25'!C2:C500, 0), 0))="", "", INDEX('01.25'!D2:D500, MATCH(B7&amp;C7, INDEX('01.25'!B2:B500&amp;'01.25'!C2:C500, 0), 0))), "")</f>
        <v>Solange Maria Masqueti</v>
      </c>
      <c r="E7" s="106" t="s">
        <v>18</v>
      </c>
      <c r="F7" s="45"/>
      <c r="G7" s="46" t="s">
        <v>140</v>
      </c>
      <c r="H7" s="45"/>
      <c r="I7" s="45"/>
      <c r="J7" s="45" t="s">
        <v>140</v>
      </c>
      <c r="K7" s="45"/>
    </row>
    <row r="8" spans="1:11" x14ac:dyDescent="0.25">
      <c r="A8" s="48" t="s">
        <v>38</v>
      </c>
      <c r="B8" s="45" t="s">
        <v>79</v>
      </c>
      <c r="C8" s="45">
        <v>1</v>
      </c>
      <c r="D8" s="45" t="str">
        <f>IFERROR(IF(INDEX('01.25'!D2:D500, MATCH(B8&amp;C8, INDEX('01.25'!B2:B500&amp;'01.25'!C2:C500, 0), 0))="", "", INDEX('01.25'!D2:D500, MATCH(B8&amp;C8, INDEX('01.25'!B2:B500&amp;'01.25'!C2:C500, 0), 0))), "")</f>
        <v>Cristiane Petry Vieira</v>
      </c>
      <c r="E8" s="107" t="s">
        <v>16</v>
      </c>
      <c r="F8" s="45" t="s">
        <v>141</v>
      </c>
      <c r="G8" s="46" t="s">
        <v>140</v>
      </c>
      <c r="H8" s="45"/>
      <c r="I8" s="45"/>
      <c r="J8" s="45" t="s">
        <v>140</v>
      </c>
      <c r="K8" s="45"/>
    </row>
    <row r="9" spans="1:11" x14ac:dyDescent="0.25">
      <c r="A9" s="47" t="s">
        <v>28</v>
      </c>
      <c r="B9" s="45" t="s">
        <v>90</v>
      </c>
      <c r="C9" s="45">
        <v>1</v>
      </c>
      <c r="D9" s="45" t="str">
        <f>IFERROR(IF(INDEX('01.25'!D2:D500, MATCH(B9&amp;C9, INDEX('01.25'!B2:B500&amp;'01.25'!C2:C500, 0), 0))="", "", INDEX('01.25'!D2:D500, MATCH(B9&amp;C9, INDEX('01.25'!B2:B500&amp;'01.25'!C2:C500, 0), 0))), "")</f>
        <v>Diego Hemerich</v>
      </c>
      <c r="E9" s="106" t="s">
        <v>18</v>
      </c>
      <c r="F9" s="45"/>
      <c r="G9" s="46" t="s">
        <v>140</v>
      </c>
      <c r="H9" s="45"/>
      <c r="I9" s="45"/>
      <c r="J9" s="45" t="s">
        <v>140</v>
      </c>
      <c r="K9" s="45"/>
    </row>
    <row r="10" spans="1:11" x14ac:dyDescent="0.25">
      <c r="A10" s="49" t="s">
        <v>43</v>
      </c>
      <c r="B10" s="45" t="s">
        <v>125</v>
      </c>
      <c r="C10" s="45">
        <v>1</v>
      </c>
      <c r="D10" s="45" t="str">
        <f>IFERROR(IF(INDEX('01.25'!D2:D500, MATCH(B10&amp;C10, INDEX('01.25'!B2:B500&amp;'01.25'!C2:C500, 0), 0))="", "", INDEX('01.25'!D2:D500, MATCH(B10&amp;C10, INDEX('01.25'!B2:B500&amp;'01.25'!C2:C500, 0), 0))), "")</f>
        <v>Tatiane Girardi</v>
      </c>
      <c r="E10" s="106" t="s">
        <v>18</v>
      </c>
      <c r="F10" s="45"/>
      <c r="G10" s="46" t="s">
        <v>140</v>
      </c>
      <c r="H10" s="45"/>
      <c r="I10" s="45"/>
      <c r="J10" s="45" t="s">
        <v>140</v>
      </c>
      <c r="K10" s="45"/>
    </row>
    <row r="11" spans="1:11" x14ac:dyDescent="0.25">
      <c r="A11" s="49" t="s">
        <v>43</v>
      </c>
      <c r="B11" s="45" t="s">
        <v>126</v>
      </c>
      <c r="C11" s="45">
        <v>1</v>
      </c>
      <c r="D11" s="45" t="str">
        <f>IFERROR(IF(INDEX('01.25'!D2:D500, MATCH(B11&amp;C11, INDEX('01.25'!B2:B500&amp;'01.25'!C2:C500, 0), 0))="", "", INDEX('01.25'!D2:D500, MATCH(B11&amp;C11, INDEX('01.25'!B2:B500&amp;'01.25'!C2:C500, 0), 0))), "")</f>
        <v>Edson Batista de Castro</v>
      </c>
      <c r="E11" s="107" t="s">
        <v>16</v>
      </c>
      <c r="F11" s="45" t="s">
        <v>144</v>
      </c>
      <c r="G11" s="46" t="s">
        <v>140</v>
      </c>
      <c r="H11" s="45"/>
      <c r="I11" s="45"/>
      <c r="J11" s="45" t="s">
        <v>140</v>
      </c>
      <c r="K11" s="45"/>
    </row>
    <row r="12" spans="1:11" x14ac:dyDescent="0.25">
      <c r="A12" s="49" t="s">
        <v>43</v>
      </c>
      <c r="B12" s="45" t="s">
        <v>126</v>
      </c>
      <c r="C12" s="45">
        <v>2</v>
      </c>
      <c r="D12" s="45" t="str">
        <f>IFERROR(IF(INDEX('01.25'!D2:D500, MATCH(B12&amp;C12, INDEX('01.25'!B2:B500&amp;'01.25'!C2:C500, 0), 0))="", "", INDEX('01.25'!D2:D500, MATCH(B12&amp;C12, INDEX('01.25'!B2:B500&amp;'01.25'!C2:C500, 0), 0))), "")</f>
        <v>Gabriela Fernanda Sandri</v>
      </c>
      <c r="E12" s="107" t="s">
        <v>16</v>
      </c>
      <c r="F12" s="45" t="s">
        <v>143</v>
      </c>
      <c r="G12" s="46" t="s">
        <v>140</v>
      </c>
      <c r="H12" s="45"/>
      <c r="I12" s="45"/>
      <c r="J12" s="45" t="s">
        <v>140</v>
      </c>
      <c r="K12" s="45"/>
    </row>
    <row r="13" spans="1:11" x14ac:dyDescent="0.25">
      <c r="A13" s="49" t="s">
        <v>43</v>
      </c>
      <c r="B13" s="45" t="s">
        <v>126</v>
      </c>
      <c r="C13" s="45">
        <v>3</v>
      </c>
      <c r="D13" s="45" t="str">
        <f>IFERROR(IF(INDEX('01.25'!D2:D500, MATCH(B13&amp;C13, INDEX('01.25'!B2:B500&amp;'01.25'!C2:C500, 0), 0))="", "", INDEX('01.25'!D2:D500, MATCH(B13&amp;C13, INDEX('01.25'!B2:B500&amp;'01.25'!C2:C500, 0), 0))), "")</f>
        <v>Eduarda Rohden Donasolo</v>
      </c>
      <c r="E13" s="107" t="s">
        <v>16</v>
      </c>
      <c r="F13" s="45" t="s">
        <v>143</v>
      </c>
      <c r="G13" s="46" t="s">
        <v>140</v>
      </c>
      <c r="H13" s="45"/>
      <c r="I13" s="45"/>
      <c r="J13" s="45" t="s">
        <v>140</v>
      </c>
      <c r="K13" s="45"/>
    </row>
    <row r="14" spans="1:11" x14ac:dyDescent="0.25">
      <c r="A14" s="49" t="s">
        <v>43</v>
      </c>
      <c r="B14" s="45" t="s">
        <v>126</v>
      </c>
      <c r="C14" s="45">
        <v>4</v>
      </c>
      <c r="D14" s="45" t="str">
        <f>IFERROR(IF(INDEX('01.25'!D2:D500, MATCH(B14&amp;C14, INDEX('01.25'!B2:B500&amp;'01.25'!C2:C500, 0), 0))="", "", INDEX('01.25'!D2:D500, MATCH(B14&amp;C14, INDEX('01.25'!B2:B500&amp;'01.25'!C2:C500, 0), 0))), "")</f>
        <v>Mauricio Pinto de Lima</v>
      </c>
      <c r="E14" s="107" t="s">
        <v>16</v>
      </c>
      <c r="F14" s="45" t="s">
        <v>144</v>
      </c>
      <c r="G14" s="46" t="s">
        <v>140</v>
      </c>
      <c r="H14" s="45"/>
      <c r="I14" s="45"/>
      <c r="J14" s="45" t="s">
        <v>140</v>
      </c>
      <c r="K14" s="45"/>
    </row>
    <row r="15" spans="1:11" x14ac:dyDescent="0.25">
      <c r="A15" s="49" t="s">
        <v>43</v>
      </c>
      <c r="B15" s="45" t="s">
        <v>126</v>
      </c>
      <c r="C15" s="45">
        <v>5</v>
      </c>
      <c r="D15" s="45" t="str">
        <f>IFERROR(IF(INDEX('01.25'!D2:D500, MATCH(B15&amp;C15, INDEX('01.25'!B2:B500&amp;'01.25'!C2:C500, 0), 0))="", "", INDEX('01.25'!D2:D500, MATCH(B15&amp;C15, INDEX('01.25'!B2:B500&amp;'01.25'!C2:C500, 0), 0))), "")</f>
        <v xml:space="preserve">Débora Laize Lampert Gnass </v>
      </c>
      <c r="E15" s="107" t="s">
        <v>16</v>
      </c>
      <c r="F15" s="45" t="s">
        <v>143</v>
      </c>
      <c r="G15" s="46" t="s">
        <v>140</v>
      </c>
      <c r="H15" s="45"/>
      <c r="I15" s="45"/>
      <c r="J15" s="45" t="s">
        <v>140</v>
      </c>
      <c r="K15" s="45"/>
    </row>
    <row r="16" spans="1:11" x14ac:dyDescent="0.25">
      <c r="A16" s="49" t="s">
        <v>43</v>
      </c>
      <c r="B16" s="45" t="s">
        <v>126</v>
      </c>
      <c r="C16" s="45">
        <v>6</v>
      </c>
      <c r="D16" s="45" t="str">
        <f>IFERROR(IF(INDEX('01.25'!D2:D500, MATCH(B16&amp;C16, INDEX('01.25'!B2:B500&amp;'01.25'!C2:C500, 0), 0))="", "", INDEX('01.25'!D2:D500, MATCH(B16&amp;C16, INDEX('01.25'!B2:B500&amp;'01.25'!C2:C500, 0), 0))), "")</f>
        <v/>
      </c>
      <c r="E16" s="107" t="s">
        <v>16</v>
      </c>
      <c r="F16" s="45" t="s">
        <v>143</v>
      </c>
      <c r="G16" s="46" t="s">
        <v>140</v>
      </c>
      <c r="H16" s="45"/>
      <c r="I16" s="45"/>
      <c r="J16" s="45" t="s">
        <v>140</v>
      </c>
      <c r="K16" s="45"/>
    </row>
    <row r="17" spans="1:11" x14ac:dyDescent="0.25">
      <c r="A17" s="47" t="s">
        <v>28</v>
      </c>
      <c r="B17" s="45" t="s">
        <v>91</v>
      </c>
      <c r="C17" s="45">
        <v>1</v>
      </c>
      <c r="D17" s="45" t="str">
        <f>IFERROR(IF(INDEX('01.25'!D2:D500, MATCH(B17&amp;C17, INDEX('01.25'!B2:B500&amp;'01.25'!C2:C500, 0), 0))="", "", INDEX('01.25'!D2:D500, MATCH(B17&amp;C17, INDEX('01.25'!B2:B500&amp;'01.25'!C2:C500, 0), 0))), "")</f>
        <v>Cristina Harumi Enokida</v>
      </c>
      <c r="E17" s="106" t="s">
        <v>18</v>
      </c>
      <c r="F17" s="45"/>
      <c r="G17" s="46" t="s">
        <v>140</v>
      </c>
      <c r="H17" s="45"/>
      <c r="I17" s="45"/>
      <c r="J17" s="45" t="s">
        <v>140</v>
      </c>
      <c r="K17" s="45"/>
    </row>
    <row r="18" spans="1:11" x14ac:dyDescent="0.25">
      <c r="A18" s="49" t="s">
        <v>43</v>
      </c>
      <c r="B18" s="45" t="s">
        <v>127</v>
      </c>
      <c r="C18" s="45">
        <v>1</v>
      </c>
      <c r="D18" s="45" t="str">
        <f>IFERROR(IF(INDEX('01.25'!D2:D500, MATCH(B18&amp;C18, INDEX('01.25'!B2:B500&amp;'01.25'!C2:C500, 0), 0))="", "", INDEX('01.25'!D2:D500, MATCH(B18&amp;C18, INDEX('01.25'!B2:B500&amp;'01.25'!C2:C500, 0), 0))), "")</f>
        <v>Douglas de Mattia</v>
      </c>
      <c r="E18" s="106" t="s">
        <v>18</v>
      </c>
      <c r="F18" s="45"/>
      <c r="G18" s="46" t="s">
        <v>140</v>
      </c>
      <c r="H18" s="45"/>
      <c r="I18" s="45"/>
      <c r="J18" s="45" t="s">
        <v>140</v>
      </c>
      <c r="K18" s="45"/>
    </row>
    <row r="19" spans="1:11" x14ac:dyDescent="0.25">
      <c r="A19" s="47" t="s">
        <v>28</v>
      </c>
      <c r="B19" s="45" t="s">
        <v>92</v>
      </c>
      <c r="C19" s="45">
        <v>1</v>
      </c>
      <c r="D19" s="45" t="str">
        <f>IFERROR(IF(INDEX('01.25'!D2:D500, MATCH(B19&amp;C19, INDEX('01.25'!B2:B500&amp;'01.25'!C2:C500, 0), 0))="", "", INDEX('01.25'!D2:D500, MATCH(B19&amp;C19, INDEX('01.25'!B2:B500&amp;'01.25'!C2:C500, 0), 0))), "")</f>
        <v>Vanderson Pasetti</v>
      </c>
      <c r="E19" s="106" t="s">
        <v>18</v>
      </c>
      <c r="F19" s="45"/>
      <c r="G19" s="46" t="s">
        <v>140</v>
      </c>
      <c r="H19" s="45"/>
      <c r="I19" s="45"/>
      <c r="J19" s="45" t="s">
        <v>140</v>
      </c>
      <c r="K19" s="45"/>
    </row>
    <row r="20" spans="1:11" x14ac:dyDescent="0.25">
      <c r="A20" s="50" t="s">
        <v>42</v>
      </c>
      <c r="B20" s="45" t="s">
        <v>115</v>
      </c>
      <c r="C20" s="45">
        <v>1</v>
      </c>
      <c r="D20" s="45" t="str">
        <f>IFERROR(IF(INDEX('01.25'!D2:D500, MATCH(B20&amp;C20, INDEX('01.25'!B2:B500&amp;'01.25'!C2:C500, 0), 0))="", "", INDEX('01.25'!D2:D500, MATCH(B20&amp;C20, INDEX('01.25'!B2:B500&amp;'01.25'!C2:C500, 0), 0))), "")</f>
        <v>Bruna Schneider Guimarães</v>
      </c>
      <c r="E20" s="106" t="s">
        <v>18</v>
      </c>
      <c r="F20" s="45"/>
      <c r="G20" s="46" t="s">
        <v>140</v>
      </c>
      <c r="H20" s="45"/>
      <c r="I20" s="45"/>
      <c r="J20" s="45" t="s">
        <v>140</v>
      </c>
      <c r="K20" s="45"/>
    </row>
    <row r="21" spans="1:11" x14ac:dyDescent="0.25">
      <c r="A21" s="47" t="s">
        <v>28</v>
      </c>
      <c r="B21" s="45" t="s">
        <v>93</v>
      </c>
      <c r="C21" s="45">
        <v>1</v>
      </c>
      <c r="D21" s="45" t="str">
        <f>IFERROR(IF(INDEX('01.25'!D2:D500, MATCH(B21&amp;C21, INDEX('01.25'!B2:B500&amp;'01.25'!C2:C500, 0), 0))="", "", INDEX('01.25'!D2:D500, MATCH(B21&amp;C21, INDEX('01.25'!B2:B500&amp;'01.25'!C2:C500, 0), 0))), "")</f>
        <v>Keilla Avezedo</v>
      </c>
      <c r="E21" s="106" t="s">
        <v>18</v>
      </c>
      <c r="F21" s="45"/>
      <c r="G21" s="46" t="s">
        <v>140</v>
      </c>
      <c r="H21" s="45"/>
      <c r="I21" s="45"/>
      <c r="J21" s="45" t="s">
        <v>140</v>
      </c>
      <c r="K21" s="45"/>
    </row>
    <row r="22" spans="1:11" x14ac:dyDescent="0.25">
      <c r="A22" s="50" t="s">
        <v>42</v>
      </c>
      <c r="B22" s="45" t="s">
        <v>116</v>
      </c>
      <c r="C22" s="45">
        <v>1</v>
      </c>
      <c r="D22" s="45" t="str">
        <f>IFERROR(IF(INDEX('01.25'!D2:D500, MATCH(B22&amp;C22, INDEX('01.25'!B2:B500&amp;'01.25'!C2:C500, 0), 0))="", "", INDEX('01.25'!D2:D500, MATCH(B22&amp;C22, INDEX('01.25'!B2:B500&amp;'01.25'!C2:C500, 0), 0))), "")</f>
        <v>Carmen Maria Stein Weiler</v>
      </c>
      <c r="E22" s="106" t="s">
        <v>18</v>
      </c>
      <c r="F22" s="45"/>
      <c r="G22" s="46" t="s">
        <v>140</v>
      </c>
      <c r="H22" s="45"/>
      <c r="I22" s="45"/>
      <c r="J22" s="45" t="s">
        <v>140</v>
      </c>
      <c r="K22" s="45"/>
    </row>
    <row r="23" spans="1:11" x14ac:dyDescent="0.25">
      <c r="A23" s="48" t="s">
        <v>38</v>
      </c>
      <c r="B23" s="45" t="s">
        <v>75</v>
      </c>
      <c r="C23" s="45">
        <v>1</v>
      </c>
      <c r="D23" s="45" t="str">
        <f>IFERROR(IF(INDEX('01.25'!D2:D500, MATCH(B23&amp;C23, INDEX('01.25'!B2:B500&amp;'01.25'!C2:C500, 0), 0))="", "", INDEX('01.25'!D2:D500, MATCH(B23&amp;C23, INDEX('01.25'!B2:B500&amp;'01.25'!C2:C500, 0), 0))), "")</f>
        <v>Thiago Varaschim Cenci</v>
      </c>
      <c r="E23" s="106" t="s">
        <v>18</v>
      </c>
      <c r="F23" s="45"/>
      <c r="G23" s="46" t="s">
        <v>140</v>
      </c>
      <c r="H23" s="45"/>
      <c r="I23" s="45"/>
      <c r="J23" s="45" t="s">
        <v>140</v>
      </c>
      <c r="K23" s="45"/>
    </row>
    <row r="24" spans="1:11" x14ac:dyDescent="0.25">
      <c r="A24" s="51" t="s">
        <v>40</v>
      </c>
      <c r="B24" s="45" t="s">
        <v>80</v>
      </c>
      <c r="C24" s="45">
        <v>1</v>
      </c>
      <c r="D24" s="45" t="str">
        <f>IFERROR(IF(INDEX('01.25'!D2:D500, MATCH(B24&amp;C24, INDEX('01.25'!B2:B500&amp;'01.25'!C2:C500, 0), 0))="", "", INDEX('01.25'!D2:D500, MATCH(B24&amp;C24, INDEX('01.25'!B2:B500&amp;'01.25'!C2:C500, 0), 0))), "")</f>
        <v>Éber Alexandre Nascimento Araújo</v>
      </c>
      <c r="E24" s="108" t="s">
        <v>21</v>
      </c>
      <c r="F24" s="45"/>
      <c r="G24" s="52" t="s">
        <v>131</v>
      </c>
      <c r="H24" s="45"/>
      <c r="I24" s="45"/>
      <c r="J24" s="45" t="s">
        <v>140</v>
      </c>
      <c r="K24" s="45"/>
    </row>
    <row r="25" spans="1:11" x14ac:dyDescent="0.25">
      <c r="A25" s="51" t="s">
        <v>40</v>
      </c>
      <c r="B25" s="45" t="s">
        <v>80</v>
      </c>
      <c r="C25" s="45">
        <v>2</v>
      </c>
      <c r="D25" s="45" t="str">
        <f>IFERROR(IF(INDEX('01.25'!D2:D500, MATCH(B25&amp;C25, INDEX('01.25'!B2:B500&amp;'01.25'!C2:C500, 0), 0))="", "", INDEX('01.25'!D2:D500, MATCH(B25&amp;C25, INDEX('01.25'!B2:B500&amp;'01.25'!C2:C500, 0), 0))), "")</f>
        <v>Andrea Carla Winkelmann</v>
      </c>
      <c r="E25" s="107" t="s">
        <v>16</v>
      </c>
      <c r="F25" s="45" t="s">
        <v>141</v>
      </c>
      <c r="G25" s="46" t="s">
        <v>140</v>
      </c>
      <c r="H25" s="45"/>
      <c r="I25" s="45"/>
      <c r="J25" s="45" t="s">
        <v>140</v>
      </c>
      <c r="K25" s="45"/>
    </row>
    <row r="26" spans="1:11" x14ac:dyDescent="0.25">
      <c r="A26" s="51" t="s">
        <v>40</v>
      </c>
      <c r="B26" s="45" t="s">
        <v>80</v>
      </c>
      <c r="C26" s="45">
        <v>3</v>
      </c>
      <c r="D26" s="45" t="str">
        <f>IFERROR(IF(INDEX('01.25'!D2:D500, MATCH(B26&amp;C26, INDEX('01.25'!B2:B500&amp;'01.25'!C2:C500, 0), 0))="", "", INDEX('01.25'!D2:D500, MATCH(B26&amp;C26, INDEX('01.25'!B2:B500&amp;'01.25'!C2:C500, 0), 0))), "")</f>
        <v>Lorizete de Andrade</v>
      </c>
      <c r="E26" s="107" t="s">
        <v>16</v>
      </c>
      <c r="F26" s="45" t="s">
        <v>141</v>
      </c>
      <c r="G26" s="46" t="s">
        <v>140</v>
      </c>
      <c r="H26" s="45"/>
      <c r="I26" s="45"/>
      <c r="J26" s="45" t="s">
        <v>140</v>
      </c>
      <c r="K26" s="45"/>
    </row>
    <row r="27" spans="1:11" x14ac:dyDescent="0.25">
      <c r="A27" s="51" t="s">
        <v>40</v>
      </c>
      <c r="B27" s="45" t="s">
        <v>80</v>
      </c>
      <c r="C27" s="45">
        <v>4</v>
      </c>
      <c r="D27" s="45" t="str">
        <f>IFERROR(IF(INDEX('01.25'!D2:D500, MATCH(B27&amp;C27, INDEX('01.25'!B2:B500&amp;'01.25'!C2:C500, 0), 0))="", "", INDEX('01.25'!D2:D500, MATCH(B27&amp;C27, INDEX('01.25'!B2:B500&amp;'01.25'!C2:C500, 0), 0))), "")</f>
        <v>Andressa Maia</v>
      </c>
      <c r="E27" s="107" t="s">
        <v>16</v>
      </c>
      <c r="F27" s="45" t="s">
        <v>141</v>
      </c>
      <c r="G27" s="46" t="s">
        <v>140</v>
      </c>
      <c r="H27" s="45"/>
      <c r="I27" s="45"/>
      <c r="J27" s="45" t="s">
        <v>140</v>
      </c>
      <c r="K27" s="45"/>
    </row>
    <row r="28" spans="1:11" x14ac:dyDescent="0.25">
      <c r="A28" s="51" t="s">
        <v>40</v>
      </c>
      <c r="B28" s="45" t="s">
        <v>80</v>
      </c>
      <c r="C28" s="45">
        <v>5</v>
      </c>
      <c r="D28" s="45" t="str">
        <f>IFERROR(IF(INDEX('01.25'!D2:D500, MATCH(B28&amp;C28, INDEX('01.25'!B2:B500&amp;'01.25'!C2:C500, 0), 0))="", "", INDEX('01.25'!D2:D500, MATCH(B28&amp;C28, INDEX('01.25'!B2:B500&amp;'01.25'!C2:C500, 0), 0))), "")</f>
        <v>Lucas Correia de Souza</v>
      </c>
      <c r="E28" s="107" t="s">
        <v>16</v>
      </c>
      <c r="F28" s="45" t="s">
        <v>141</v>
      </c>
      <c r="G28" s="46" t="s">
        <v>140</v>
      </c>
      <c r="H28" s="45"/>
      <c r="I28" s="45"/>
      <c r="J28" s="45" t="s">
        <v>140</v>
      </c>
      <c r="K28" s="45"/>
    </row>
    <row r="29" spans="1:11" x14ac:dyDescent="0.25">
      <c r="A29" s="51" t="s">
        <v>40</v>
      </c>
      <c r="B29" s="45" t="s">
        <v>80</v>
      </c>
      <c r="C29" s="45">
        <v>6</v>
      </c>
      <c r="D29" s="45" t="str">
        <f>IFERROR(IF(INDEX('01.25'!D2:D500, MATCH(B29&amp;C29, INDEX('01.25'!B2:B500&amp;'01.25'!C2:C500, 0), 0))="", "", INDEX('01.25'!D2:D500, MATCH(B29&amp;C29, INDEX('01.25'!B2:B500&amp;'01.25'!C2:C500, 0), 0))), "")</f>
        <v>Jose Francisco Mariano de Faria Filho</v>
      </c>
      <c r="E29" s="107" t="s">
        <v>16</v>
      </c>
      <c r="F29" s="45" t="s">
        <v>145</v>
      </c>
      <c r="G29" s="46" t="s">
        <v>140</v>
      </c>
      <c r="H29" s="45"/>
      <c r="I29" s="45"/>
      <c r="J29" s="45" t="s">
        <v>140</v>
      </c>
      <c r="K29" s="45"/>
    </row>
    <row r="30" spans="1:11" x14ac:dyDescent="0.25">
      <c r="A30" s="51" t="s">
        <v>40</v>
      </c>
      <c r="B30" s="45" t="s">
        <v>80</v>
      </c>
      <c r="C30" s="45">
        <v>7</v>
      </c>
      <c r="D30" s="45" t="str">
        <f>IFERROR(IF(INDEX('01.25'!D2:D500, MATCH(B30&amp;C30, INDEX('01.25'!B2:B500&amp;'01.25'!C2:C500, 0), 0))="", "", INDEX('01.25'!D2:D500, MATCH(B30&amp;C30, INDEX('01.25'!B2:B500&amp;'01.25'!C2:C500, 0), 0))), "")</f>
        <v>Pedro Henrique Mariano de Faria</v>
      </c>
      <c r="E30" s="107" t="s">
        <v>16</v>
      </c>
      <c r="F30" s="45" t="s">
        <v>145</v>
      </c>
      <c r="G30" s="46" t="s">
        <v>140</v>
      </c>
      <c r="H30" s="45"/>
      <c r="I30" s="45"/>
      <c r="J30" s="45" t="s">
        <v>140</v>
      </c>
      <c r="K30" s="45"/>
    </row>
    <row r="31" spans="1:11" x14ac:dyDescent="0.25">
      <c r="A31" s="51" t="s">
        <v>40</v>
      </c>
      <c r="B31" s="45" t="s">
        <v>80</v>
      </c>
      <c r="C31" s="45">
        <v>8</v>
      </c>
      <c r="D31" s="45" t="str">
        <f>IFERROR(IF(INDEX('01.25'!D2:D500, MATCH(B31&amp;C31, INDEX('01.25'!B2:B500&amp;'01.25'!C2:C500, 0), 0))="", "", INDEX('01.25'!D2:D500, MATCH(B31&amp;C31, INDEX('01.25'!B2:B500&amp;'01.25'!C2:C500, 0), 0))), "")</f>
        <v>Renata Aparecida de Souza</v>
      </c>
      <c r="E31" s="107" t="s">
        <v>16</v>
      </c>
      <c r="F31" s="45" t="s">
        <v>145</v>
      </c>
      <c r="G31" s="46" t="s">
        <v>140</v>
      </c>
      <c r="H31" s="45"/>
      <c r="I31" s="45"/>
      <c r="J31" s="45" t="s">
        <v>140</v>
      </c>
      <c r="K31" s="45"/>
    </row>
    <row r="32" spans="1:11" x14ac:dyDescent="0.25">
      <c r="A32" s="51" t="s">
        <v>40</v>
      </c>
      <c r="B32" s="45" t="s">
        <v>80</v>
      </c>
      <c r="C32" s="45">
        <v>9</v>
      </c>
      <c r="D32" s="45" t="str">
        <f>IFERROR(IF(INDEX('01.25'!D2:D500, MATCH(B32&amp;C32, INDEX('01.25'!B2:B500&amp;'01.25'!C2:C500, 0), 0))="", "", INDEX('01.25'!D2:D500, MATCH(B32&amp;C32, INDEX('01.25'!B2:B500&amp;'01.25'!C2:C500, 0), 0))), "")</f>
        <v>Maria Eduarda dos Santos Arias</v>
      </c>
      <c r="E32" s="108" t="s">
        <v>21</v>
      </c>
      <c r="F32" s="45"/>
      <c r="G32" s="52" t="s">
        <v>131</v>
      </c>
      <c r="H32" s="45"/>
      <c r="I32" s="45"/>
      <c r="J32" s="45" t="s">
        <v>140</v>
      </c>
      <c r="K32" s="45"/>
    </row>
    <row r="33" spans="1:11" x14ac:dyDescent="0.25">
      <c r="A33" s="44" t="s">
        <v>36</v>
      </c>
      <c r="B33" s="45" t="s">
        <v>98</v>
      </c>
      <c r="C33" s="45">
        <v>1</v>
      </c>
      <c r="D33" s="45" t="str">
        <f>IFERROR(IF(INDEX('01.25'!D2:D500, MATCH(B33&amp;C33, INDEX('01.25'!B2:B500&amp;'01.25'!C2:C500, 0), 0))="", "", INDEX('01.25'!D2:D500, MATCH(B33&amp;C33, INDEX('01.25'!B2:B500&amp;'01.25'!C2:C500, 0), 0))), "")</f>
        <v>Paulo Rogerio Hiroshi Fujii</v>
      </c>
      <c r="E33" s="107" t="s">
        <v>16</v>
      </c>
      <c r="F33" s="45" t="s">
        <v>146</v>
      </c>
      <c r="G33" s="46" t="s">
        <v>140</v>
      </c>
      <c r="H33" s="45"/>
      <c r="I33" s="45"/>
      <c r="J33" s="45" t="s">
        <v>140</v>
      </c>
      <c r="K33" s="45"/>
    </row>
    <row r="34" spans="1:11" x14ac:dyDescent="0.25">
      <c r="A34" s="44" t="s">
        <v>36</v>
      </c>
      <c r="B34" s="45" t="s">
        <v>99</v>
      </c>
      <c r="C34" s="45">
        <v>1</v>
      </c>
      <c r="D34" s="45" t="str">
        <f>IFERROR(IF(INDEX('01.25'!D2:D500, MATCH(B34&amp;C34, INDEX('01.25'!B2:B500&amp;'01.25'!C2:C500, 0), 0))="", "", INDEX('01.25'!D2:D500, MATCH(B34&amp;C34, INDEX('01.25'!B2:B500&amp;'01.25'!C2:C500, 0), 0))), "")</f>
        <v>Marlene R. Oliveira Dallacosta</v>
      </c>
      <c r="E34" s="107" t="s">
        <v>16</v>
      </c>
      <c r="F34" s="45" t="s">
        <v>141</v>
      </c>
      <c r="G34" s="46" t="s">
        <v>140</v>
      </c>
      <c r="H34" s="45"/>
      <c r="I34" s="45"/>
      <c r="J34" s="45" t="s">
        <v>140</v>
      </c>
      <c r="K34" s="45"/>
    </row>
    <row r="35" spans="1:11" x14ac:dyDescent="0.25">
      <c r="A35" s="47" t="s">
        <v>28</v>
      </c>
      <c r="B35" s="45" t="s">
        <v>94</v>
      </c>
      <c r="C35" s="45">
        <v>1</v>
      </c>
      <c r="D35" s="45" t="str">
        <f>IFERROR(IF(INDEX('01.25'!D2:D500, MATCH(B35&amp;C35, INDEX('01.25'!B2:B500&amp;'01.25'!C2:C500, 0), 0))="", "", INDEX('01.25'!D2:D500, MATCH(B35&amp;C35, INDEX('01.25'!B2:B500&amp;'01.25'!C2:C500, 0), 0))), "")</f>
        <v>Vitolor dos Santos Almeida</v>
      </c>
      <c r="E35" s="106" t="s">
        <v>18</v>
      </c>
      <c r="F35" s="45"/>
      <c r="G35" s="46" t="s">
        <v>140</v>
      </c>
      <c r="H35" s="45"/>
      <c r="I35" s="45"/>
      <c r="J35" s="45" t="s">
        <v>140</v>
      </c>
      <c r="K35" s="45"/>
    </row>
    <row r="36" spans="1:11" x14ac:dyDescent="0.25">
      <c r="A36" s="47" t="s">
        <v>28</v>
      </c>
      <c r="B36" s="45" t="s">
        <v>95</v>
      </c>
      <c r="C36" s="45">
        <v>1</v>
      </c>
      <c r="D36" s="45" t="str">
        <f>IFERROR(IF(INDEX('01.25'!D2:D500, MATCH(B36&amp;C36, INDEX('01.25'!B2:B500&amp;'01.25'!C2:C500, 0), 0))="", "", INDEX('01.25'!D2:D500, MATCH(B36&amp;C36, INDEX('01.25'!B2:B500&amp;'01.25'!C2:C500, 0), 0))), "")</f>
        <v>Kelly Jackeline Silva do Valle</v>
      </c>
      <c r="E36" s="106" t="s">
        <v>18</v>
      </c>
      <c r="F36" s="45"/>
      <c r="G36" s="46" t="s">
        <v>140</v>
      </c>
      <c r="H36" s="45"/>
      <c r="I36" s="45"/>
      <c r="J36" s="45" t="s">
        <v>140</v>
      </c>
      <c r="K36" s="45"/>
    </row>
    <row r="37" spans="1:11" x14ac:dyDescent="0.25">
      <c r="A37" s="47" t="s">
        <v>28</v>
      </c>
      <c r="B37" s="45" t="s">
        <v>96</v>
      </c>
      <c r="C37" s="45">
        <v>1</v>
      </c>
      <c r="D37" s="45" t="str">
        <f>IFERROR(IF(INDEX('01.25'!D2:D500, MATCH(B37&amp;C37, INDEX('01.25'!B2:B500&amp;'01.25'!C2:C500, 0), 0))="", "", INDEX('01.25'!D2:D500, MATCH(B37&amp;C37, INDEX('01.25'!B2:B500&amp;'01.25'!C2:C500, 0), 0))), "")</f>
        <v>Felipe Carvalho Zydek</v>
      </c>
      <c r="E37" s="106" t="s">
        <v>18</v>
      </c>
      <c r="F37" s="45"/>
      <c r="G37" s="46" t="s">
        <v>140</v>
      </c>
      <c r="H37" s="45"/>
      <c r="I37" s="45"/>
      <c r="J37" s="45" t="s">
        <v>140</v>
      </c>
      <c r="K37" s="45"/>
    </row>
    <row r="38" spans="1:11" x14ac:dyDescent="0.25">
      <c r="A38" s="48" t="s">
        <v>38</v>
      </c>
      <c r="B38" s="45" t="s">
        <v>107</v>
      </c>
      <c r="C38" s="45">
        <v>1</v>
      </c>
      <c r="D38" s="45" t="str">
        <f>IFERROR(IF(INDEX('01.25'!D2:D500, MATCH(B38&amp;C38, INDEX('01.25'!B2:B500&amp;'01.25'!C2:C500, 0), 0))="", "", INDEX('01.25'!D2:D500, MATCH(B38&amp;C38, INDEX('01.25'!B2:B500&amp;'01.25'!C2:C500, 0), 0))), "")</f>
        <v>Eliane Borin</v>
      </c>
      <c r="E38" s="106" t="s">
        <v>18</v>
      </c>
      <c r="F38" s="45"/>
      <c r="G38" s="46" t="s">
        <v>140</v>
      </c>
      <c r="H38" s="45"/>
      <c r="I38" s="45"/>
      <c r="J38" s="45" t="s">
        <v>140</v>
      </c>
      <c r="K38" s="45"/>
    </row>
    <row r="39" spans="1:11" x14ac:dyDescent="0.25">
      <c r="A39" s="50" t="s">
        <v>42</v>
      </c>
      <c r="B39" s="45" t="s">
        <v>117</v>
      </c>
      <c r="C39" s="45">
        <v>1</v>
      </c>
      <c r="D39" s="45" t="str">
        <f>IFERROR(IF(INDEX('01.25'!D2:D500, MATCH(B39&amp;C39, INDEX('01.25'!B2:B500&amp;'01.25'!C2:C500, 0), 0))="", "", INDEX('01.25'!D2:D500, MATCH(B39&amp;C39, INDEX('01.25'!B2:B500&amp;'01.25'!C2:C500, 0), 0))), "")</f>
        <v>Tatiana schrard</v>
      </c>
      <c r="E39" s="106" t="s">
        <v>18</v>
      </c>
      <c r="F39" s="45"/>
      <c r="G39" s="46" t="s">
        <v>140</v>
      </c>
      <c r="H39" s="45"/>
      <c r="I39" s="45"/>
      <c r="J39" s="45" t="s">
        <v>140</v>
      </c>
      <c r="K39" s="45"/>
    </row>
    <row r="40" spans="1:11" x14ac:dyDescent="0.25">
      <c r="A40" s="48" t="s">
        <v>38</v>
      </c>
      <c r="B40" s="45" t="s">
        <v>81</v>
      </c>
      <c r="C40" s="45">
        <v>1</v>
      </c>
      <c r="D40" s="45" t="str">
        <f>IFERROR(IF(INDEX('01.25'!D2:D500, MATCH(B40&amp;C40, INDEX('01.25'!B2:B500&amp;'01.25'!C2:C500, 0), 0))="", "", INDEX('01.25'!D2:D500, MATCH(B40&amp;C40, INDEX('01.25'!B2:B500&amp;'01.25'!C2:C500, 0), 0))), "")</f>
        <v>César Piva Glinglani</v>
      </c>
      <c r="E40" s="107" t="s">
        <v>16</v>
      </c>
      <c r="F40" s="45" t="s">
        <v>141</v>
      </c>
      <c r="G40" s="46" t="s">
        <v>140</v>
      </c>
      <c r="H40" s="45"/>
      <c r="I40" s="45"/>
      <c r="J40" s="45" t="s">
        <v>140</v>
      </c>
      <c r="K40" s="45"/>
    </row>
    <row r="41" spans="1:11" x14ac:dyDescent="0.25">
      <c r="A41" s="49" t="s">
        <v>43</v>
      </c>
      <c r="B41" s="45" t="s">
        <v>128</v>
      </c>
      <c r="C41" s="45">
        <v>1</v>
      </c>
      <c r="D41" s="45" t="str">
        <f>IFERROR(IF(INDEX('01.25'!D2:D500, MATCH(B41&amp;C41, INDEX('01.25'!B2:B500&amp;'01.25'!C2:C500, 0), 0))="", "", INDEX('01.25'!D2:D500, MATCH(B41&amp;C41, INDEX('01.25'!B2:B500&amp;'01.25'!C2:C500, 0), 0))), "")</f>
        <v>Ailton Carlos Fialho</v>
      </c>
      <c r="E41" s="106" t="s">
        <v>18</v>
      </c>
      <c r="F41" s="45"/>
      <c r="G41" s="46" t="s">
        <v>140</v>
      </c>
      <c r="H41" s="45"/>
      <c r="I41" s="45"/>
      <c r="J41" s="45" t="s">
        <v>140</v>
      </c>
      <c r="K41" s="45"/>
    </row>
    <row r="42" spans="1:11" x14ac:dyDescent="0.25">
      <c r="A42" s="50" t="s">
        <v>42</v>
      </c>
      <c r="B42" s="45" t="s">
        <v>82</v>
      </c>
      <c r="C42" s="45">
        <v>1</v>
      </c>
      <c r="D42" s="45" t="str">
        <f>IFERROR(IF(INDEX('01.25'!D2:D500, MATCH(B42&amp;C42, INDEX('01.25'!B2:B500&amp;'01.25'!C2:C500, 0), 0))="", "", INDEX('01.25'!D2:D500, MATCH(B42&amp;C42, INDEX('01.25'!B2:B500&amp;'01.25'!C2:C500, 0), 0))), "")</f>
        <v>Marcos José Chaves</v>
      </c>
      <c r="E42" s="107" t="s">
        <v>16</v>
      </c>
      <c r="F42" s="45" t="s">
        <v>145</v>
      </c>
      <c r="G42" s="46" t="s">
        <v>140</v>
      </c>
      <c r="H42" s="45"/>
      <c r="I42" s="45"/>
      <c r="J42" s="45" t="s">
        <v>140</v>
      </c>
      <c r="K42" s="45"/>
    </row>
    <row r="43" spans="1:11" x14ac:dyDescent="0.25">
      <c r="A43" s="50" t="s">
        <v>42</v>
      </c>
      <c r="B43" s="45" t="s">
        <v>82</v>
      </c>
      <c r="C43" s="45">
        <v>2</v>
      </c>
      <c r="D43" s="45" t="str">
        <f>IFERROR(IF(INDEX('01.25'!D2:D500, MATCH(B43&amp;C43, INDEX('01.25'!B2:B500&amp;'01.25'!C2:C500, 0), 0))="", "", INDEX('01.25'!D2:D500, MATCH(B43&amp;C43, INDEX('01.25'!B2:B500&amp;'01.25'!C2:C500, 0), 0))), "")</f>
        <v>Diego Matheus Reinicke</v>
      </c>
      <c r="E43" s="107" t="s">
        <v>16</v>
      </c>
      <c r="F43" s="45" t="s">
        <v>147</v>
      </c>
      <c r="G43" s="46" t="s">
        <v>140</v>
      </c>
      <c r="H43" s="45"/>
      <c r="I43" s="45"/>
      <c r="J43" s="45" t="s">
        <v>140</v>
      </c>
      <c r="K43" s="45"/>
    </row>
    <row r="44" spans="1:11" x14ac:dyDescent="0.25">
      <c r="A44" s="48" t="s">
        <v>38</v>
      </c>
      <c r="B44" s="45" t="s">
        <v>76</v>
      </c>
      <c r="C44" s="45">
        <v>1</v>
      </c>
      <c r="D44" s="45" t="str">
        <f>IFERROR(IF(INDEX('01.25'!D2:D500, MATCH(B44&amp;C44, INDEX('01.25'!B2:B500&amp;'01.25'!C2:C500, 0), 0))="", "", INDEX('01.25'!D2:D500, MATCH(B44&amp;C44, INDEX('01.25'!B2:B500&amp;'01.25'!C2:C500, 0), 0))), "")</f>
        <v>Cleiton Manske</v>
      </c>
      <c r="E44" s="107" t="s">
        <v>16</v>
      </c>
      <c r="F44" s="45" t="s">
        <v>141</v>
      </c>
      <c r="G44" s="46" t="s">
        <v>140</v>
      </c>
      <c r="H44" s="45"/>
      <c r="I44" s="45"/>
      <c r="J44" s="45" t="s">
        <v>140</v>
      </c>
      <c r="K44" s="45"/>
    </row>
    <row r="45" spans="1:11" x14ac:dyDescent="0.25">
      <c r="A45" s="50" t="s">
        <v>42</v>
      </c>
      <c r="B45" s="45" t="s">
        <v>118</v>
      </c>
      <c r="C45" s="45">
        <v>1</v>
      </c>
      <c r="D45" s="45" t="str">
        <f>IFERROR(IF(INDEX('01.25'!D2:D500, MATCH(B45&amp;C45, INDEX('01.25'!B2:B500&amp;'01.25'!C2:C500, 0), 0))="", "", INDEX('01.25'!D2:D500, MATCH(B45&amp;C45, INDEX('01.25'!B2:B500&amp;'01.25'!C2:C500, 0), 0))), "")</f>
        <v>Alexandro Aparecido de Lima Vieira</v>
      </c>
      <c r="E45" s="107" t="s">
        <v>16</v>
      </c>
      <c r="F45" s="45" t="s">
        <v>141</v>
      </c>
      <c r="G45" s="46" t="s">
        <v>140</v>
      </c>
      <c r="H45" s="45"/>
      <c r="I45" s="45"/>
      <c r="J45" s="45" t="s">
        <v>140</v>
      </c>
      <c r="K45" s="45"/>
    </row>
    <row r="46" spans="1:11" x14ac:dyDescent="0.25">
      <c r="A46" s="51" t="s">
        <v>40</v>
      </c>
      <c r="B46" s="45" t="s">
        <v>111</v>
      </c>
      <c r="C46" s="45">
        <v>1</v>
      </c>
      <c r="D46" s="45" t="str">
        <f>IFERROR(IF(INDEX('01.25'!D2:D500, MATCH(B46&amp;C46, INDEX('01.25'!B2:B500&amp;'01.25'!C2:C500, 0), 0))="", "", INDEX('01.25'!D2:D500, MATCH(B46&amp;C46, INDEX('01.25'!B2:B500&amp;'01.25'!C2:C500, 0), 0))), "")</f>
        <v>Rafael Henrique Caetano</v>
      </c>
      <c r="E46" s="107" t="s">
        <v>16</v>
      </c>
      <c r="F46" s="45" t="s">
        <v>148</v>
      </c>
      <c r="G46" s="46" t="s">
        <v>140</v>
      </c>
      <c r="H46" s="45"/>
      <c r="I46" s="45"/>
      <c r="J46" s="45" t="s">
        <v>140</v>
      </c>
      <c r="K46" s="45"/>
    </row>
    <row r="47" spans="1:11" x14ac:dyDescent="0.25">
      <c r="A47" s="44" t="s">
        <v>36</v>
      </c>
      <c r="B47" s="45" t="s">
        <v>100</v>
      </c>
      <c r="C47" s="45">
        <v>1</v>
      </c>
      <c r="D47" s="45" t="str">
        <f>IFERROR(IF(INDEX('01.25'!D2:D500, MATCH(B47&amp;C47, INDEX('01.25'!B2:B500&amp;'01.25'!C2:C500, 0), 0))="", "", INDEX('01.25'!D2:D500, MATCH(B47&amp;C47, INDEX('01.25'!B2:B500&amp;'01.25'!C2:C500, 0), 0))), "")</f>
        <v>Roberto Pedron</v>
      </c>
      <c r="E47" s="107" t="s">
        <v>16</v>
      </c>
      <c r="F47" s="45" t="s">
        <v>141</v>
      </c>
      <c r="G47" s="46" t="s">
        <v>140</v>
      </c>
      <c r="H47" s="45"/>
      <c r="I47" s="45"/>
      <c r="J47" s="45" t="s">
        <v>140</v>
      </c>
      <c r="K47" s="45"/>
    </row>
    <row r="48" spans="1:11" x14ac:dyDescent="0.25">
      <c r="A48" s="50" t="s">
        <v>42</v>
      </c>
      <c r="B48" s="45" t="s">
        <v>119</v>
      </c>
      <c r="C48" s="45">
        <v>1</v>
      </c>
      <c r="D48" s="45" t="str">
        <f>IFERROR(IF(INDEX('01.25'!D2:D500, MATCH(B48&amp;C48, INDEX('01.25'!B2:B500&amp;'01.25'!C2:C500, 0), 0))="", "", INDEX('01.25'!D2:D500, MATCH(B48&amp;C48, INDEX('01.25'!B2:B500&amp;'01.25'!C2:C500, 0), 0))), "")</f>
        <v>Luciane Spies</v>
      </c>
      <c r="E48" s="107" t="s">
        <v>16</v>
      </c>
      <c r="F48" s="45" t="s">
        <v>143</v>
      </c>
      <c r="G48" s="46" t="s">
        <v>140</v>
      </c>
      <c r="H48" s="45"/>
      <c r="I48" s="45"/>
      <c r="J48" s="45" t="s">
        <v>140</v>
      </c>
      <c r="K48" s="45"/>
    </row>
    <row r="49" spans="1:11" x14ac:dyDescent="0.25">
      <c r="A49" s="44" t="s">
        <v>36</v>
      </c>
      <c r="B49" s="45" t="s">
        <v>77</v>
      </c>
      <c r="C49" s="45">
        <v>1</v>
      </c>
      <c r="D49" s="45" t="str">
        <f>IFERROR(IF(INDEX('01.25'!D2:D500, MATCH(B49&amp;C49, INDEX('01.25'!B2:B500&amp;'01.25'!C2:C500, 0), 0))="", "", INDEX('01.25'!D2:D500, MATCH(B49&amp;C49, INDEX('01.25'!B2:B500&amp;'01.25'!C2:C500, 0), 0))), "")</f>
        <v>Jaqueline Fernanda Meireles</v>
      </c>
      <c r="E49" s="106" t="s">
        <v>18</v>
      </c>
      <c r="F49" s="53">
        <v>45649</v>
      </c>
      <c r="G49" s="52" t="s">
        <v>131</v>
      </c>
      <c r="H49" s="45" t="s">
        <v>149</v>
      </c>
      <c r="I49" s="45"/>
      <c r="J49" s="45" t="s">
        <v>140</v>
      </c>
      <c r="K49" s="45"/>
    </row>
    <row r="50" spans="1:11" x14ac:dyDescent="0.25">
      <c r="A50" s="48" t="s">
        <v>38</v>
      </c>
      <c r="B50" s="45" t="s">
        <v>108</v>
      </c>
      <c r="C50" s="45">
        <v>1</v>
      </c>
      <c r="D50" s="45" t="str">
        <f>IFERROR(IF(INDEX('01.25'!D2:D500, MATCH(B50&amp;C50, INDEX('01.25'!B2:B500&amp;'01.25'!C2:C500, 0), 0))="", "", INDEX('01.25'!D2:D500, MATCH(B50&amp;C50, INDEX('01.25'!B2:B500&amp;'01.25'!C2:C500, 0), 0))), "")</f>
        <v>Luiz Fernando Pereira Barbosa</v>
      </c>
      <c r="E50" s="106" t="s">
        <v>18</v>
      </c>
      <c r="F50" s="45"/>
      <c r="G50" s="46" t="s">
        <v>140</v>
      </c>
      <c r="H50" s="45"/>
      <c r="I50" s="45"/>
      <c r="J50" s="45" t="s">
        <v>140</v>
      </c>
      <c r="K50" s="45"/>
    </row>
    <row r="51" spans="1:11" x14ac:dyDescent="0.25">
      <c r="A51" s="44" t="s">
        <v>36</v>
      </c>
      <c r="B51" s="45" t="s">
        <v>101</v>
      </c>
      <c r="C51" s="45">
        <v>1</v>
      </c>
      <c r="D51" s="45" t="str">
        <f>IFERROR(IF(INDEX('01.25'!D2:D500, MATCH(B51&amp;C51, INDEX('01.25'!B2:B500&amp;'01.25'!C2:C500, 0), 0))="", "", INDEX('01.25'!D2:D500, MATCH(B51&amp;C51, INDEX('01.25'!B2:B500&amp;'01.25'!C2:C500, 0), 0))), "")</f>
        <v>Carolina Eggers</v>
      </c>
      <c r="E51" s="107" t="s">
        <v>16</v>
      </c>
      <c r="F51" s="45" t="s">
        <v>141</v>
      </c>
      <c r="G51" s="52" t="s">
        <v>131</v>
      </c>
      <c r="H51" s="45" t="s">
        <v>153</v>
      </c>
      <c r="I51" s="45"/>
      <c r="J51" s="45" t="s">
        <v>140</v>
      </c>
      <c r="K51" s="45"/>
    </row>
    <row r="52" spans="1:11" x14ac:dyDescent="0.25">
      <c r="A52" s="44" t="s">
        <v>36</v>
      </c>
      <c r="B52" s="45" t="s">
        <v>102</v>
      </c>
      <c r="C52" s="45">
        <v>1</v>
      </c>
      <c r="D52" s="45" t="str">
        <f>IFERROR(IF(INDEX('01.25'!D2:D500, MATCH(B52&amp;C52, INDEX('01.25'!B2:B500&amp;'01.25'!C2:C500, 0), 0))="", "", INDEX('01.25'!D2:D500, MATCH(B52&amp;C52, INDEX('01.25'!B2:B500&amp;'01.25'!C2:C500, 0), 0))), "")</f>
        <v>Ivan Gonçalves da Silva</v>
      </c>
      <c r="E52" s="107" t="s">
        <v>16</v>
      </c>
      <c r="F52" s="45" t="s">
        <v>141</v>
      </c>
      <c r="G52" s="46" t="s">
        <v>140</v>
      </c>
      <c r="H52" s="45"/>
      <c r="I52" s="45"/>
      <c r="J52" s="45" t="s">
        <v>140</v>
      </c>
      <c r="K52" s="45"/>
    </row>
    <row r="53" spans="1:11" x14ac:dyDescent="0.25">
      <c r="A53" s="48" t="s">
        <v>38</v>
      </c>
      <c r="B53" s="45" t="s">
        <v>83</v>
      </c>
      <c r="C53" s="45">
        <v>1</v>
      </c>
      <c r="D53" s="45" t="str">
        <f>IFERROR(IF(INDEX('01.25'!D2:D500, MATCH(B53&amp;C53, INDEX('01.25'!B2:B500&amp;'01.25'!C2:C500, 0), 0))="", "", INDEX('01.25'!D2:D500, MATCH(B53&amp;C53, INDEX('01.25'!B2:B500&amp;'01.25'!C2:C500, 0), 0))), "")</f>
        <v>Dorival Manoel Canhete</v>
      </c>
      <c r="E53" s="107" t="s">
        <v>16</v>
      </c>
      <c r="F53" s="45" t="s">
        <v>141</v>
      </c>
      <c r="G53" s="46" t="s">
        <v>140</v>
      </c>
      <c r="H53" s="45"/>
      <c r="I53" s="45"/>
      <c r="J53" s="45" t="s">
        <v>140</v>
      </c>
      <c r="K53" s="45"/>
    </row>
    <row r="54" spans="1:11" x14ac:dyDescent="0.25">
      <c r="A54" s="50" t="s">
        <v>42</v>
      </c>
      <c r="B54" s="45" t="s">
        <v>120</v>
      </c>
      <c r="C54" s="45">
        <v>1</v>
      </c>
      <c r="D54" s="45" t="str">
        <f>IFERROR(IF(INDEX('01.25'!D2:D500, MATCH(B54&amp;C54, INDEX('01.25'!B2:B500&amp;'01.25'!C2:C500, 0), 0))="", "", INDEX('01.25'!D2:D500, MATCH(B54&amp;C54, INDEX('01.25'!B2:B500&amp;'01.25'!C2:C500, 0), 0))), "")</f>
        <v>Jaqueline Vanelli</v>
      </c>
      <c r="E54" s="106" t="s">
        <v>18</v>
      </c>
      <c r="F54" s="45"/>
      <c r="G54" s="46" t="s">
        <v>140</v>
      </c>
      <c r="H54" s="45"/>
      <c r="I54" s="45"/>
      <c r="J54" s="45" t="s">
        <v>140</v>
      </c>
      <c r="K54" s="45"/>
    </row>
    <row r="55" spans="1:11" x14ac:dyDescent="0.25">
      <c r="A55" s="44" t="s">
        <v>36</v>
      </c>
      <c r="B55" s="45" t="s">
        <v>103</v>
      </c>
      <c r="C55" s="45">
        <v>1</v>
      </c>
      <c r="D55" s="45" t="str">
        <f>IFERROR(IF(INDEX('01.25'!D2:D500, MATCH(B55&amp;C55, INDEX('01.25'!B2:B500&amp;'01.25'!C2:C500, 0), 0))="", "", INDEX('01.25'!D2:D500, MATCH(B55&amp;C55, INDEX('01.25'!B2:B500&amp;'01.25'!C2:C500, 0), 0))), "")</f>
        <v>Fernanda Jung</v>
      </c>
      <c r="E55" s="107" t="s">
        <v>16</v>
      </c>
      <c r="F55" s="45" t="s">
        <v>141</v>
      </c>
      <c r="G55" s="52" t="s">
        <v>131</v>
      </c>
      <c r="H55" s="45" t="s">
        <v>150</v>
      </c>
      <c r="I55" s="45"/>
      <c r="J55" s="45" t="s">
        <v>140</v>
      </c>
      <c r="K55" s="45"/>
    </row>
    <row r="56" spans="1:11" x14ac:dyDescent="0.25">
      <c r="A56" s="50" t="s">
        <v>42</v>
      </c>
      <c r="B56" s="45" t="s">
        <v>121</v>
      </c>
      <c r="C56" s="45">
        <v>1</v>
      </c>
      <c r="D56" s="45" t="str">
        <f>IFERROR(IF(INDEX('01.25'!D2:D500, MATCH(B56&amp;C56, INDEX('01.25'!B2:B500&amp;'01.25'!C2:C500, 0), 0))="", "", INDEX('01.25'!D2:D500, MATCH(B56&amp;C56, INDEX('01.25'!B2:B500&amp;'01.25'!C2:C500, 0), 0))), "")</f>
        <v>Ana Paula Romagnoli</v>
      </c>
      <c r="E56" s="107" t="s">
        <v>16</v>
      </c>
      <c r="F56" s="45" t="s">
        <v>146</v>
      </c>
      <c r="G56" s="46" t="s">
        <v>140</v>
      </c>
      <c r="H56" s="45"/>
      <c r="I56" s="45"/>
      <c r="J56" s="45" t="s">
        <v>140</v>
      </c>
      <c r="K56" s="45"/>
    </row>
    <row r="57" spans="1:11" x14ac:dyDescent="0.25">
      <c r="A57" s="50" t="s">
        <v>42</v>
      </c>
      <c r="B57" s="45" t="s">
        <v>122</v>
      </c>
      <c r="C57" s="45">
        <v>1</v>
      </c>
      <c r="D57" s="45" t="str">
        <f>IFERROR(IF(INDEX('01.25'!D2:D500, MATCH(B57&amp;C57, INDEX('01.25'!B2:B500&amp;'01.25'!C2:C500, 0), 0))="", "", INDEX('01.25'!D2:D500, MATCH(B57&amp;C57, INDEX('01.25'!B2:B500&amp;'01.25'!C2:C500, 0), 0))), "")</f>
        <v>Alexandro Schaparini</v>
      </c>
      <c r="E57" s="107" t="s">
        <v>16</v>
      </c>
      <c r="F57" s="45" t="s">
        <v>147</v>
      </c>
      <c r="G57" s="46" t="s">
        <v>140</v>
      </c>
      <c r="H57" s="45"/>
      <c r="I57" s="45"/>
      <c r="J57" s="45" t="s">
        <v>140</v>
      </c>
      <c r="K57" s="45"/>
    </row>
    <row r="58" spans="1:11" x14ac:dyDescent="0.25">
      <c r="A58" s="49" t="s">
        <v>43</v>
      </c>
      <c r="B58" s="45" t="s">
        <v>129</v>
      </c>
      <c r="C58" s="45">
        <v>1</v>
      </c>
      <c r="D58" s="45" t="str">
        <f>IFERROR(IF(INDEX('01.25'!D2:D500, MATCH(B58&amp;C58, INDEX('01.25'!B2:B500&amp;'01.25'!C2:C500, 0), 0))="", "", INDEX('01.25'!D2:D500, MATCH(B58&amp;C58, INDEX('01.25'!B2:B500&amp;'01.25'!C2:C500, 0), 0))), "")</f>
        <v>Marina Ancelmo da Silva</v>
      </c>
      <c r="E58" s="106" t="s">
        <v>18</v>
      </c>
      <c r="F58" s="45"/>
      <c r="G58" s="46" t="s">
        <v>140</v>
      </c>
      <c r="H58" s="45"/>
      <c r="I58" s="45"/>
      <c r="J58" s="45" t="s">
        <v>140</v>
      </c>
      <c r="K58" s="45"/>
    </row>
    <row r="59" spans="1:11" x14ac:dyDescent="0.25">
      <c r="A59" s="49" t="s">
        <v>43</v>
      </c>
      <c r="B59" s="45" t="s">
        <v>130</v>
      </c>
      <c r="C59" s="45">
        <v>1</v>
      </c>
      <c r="D59" s="45" t="str">
        <f>IFERROR(IF(INDEX('01.25'!D2:D500, MATCH(B59&amp;C59, INDEX('01.25'!B2:B500&amp;'01.25'!C2:C500, 0), 0))="", "", INDEX('01.25'!D2:D500, MATCH(B59&amp;C59, INDEX('01.25'!B2:B500&amp;'01.25'!C2:C500, 0), 0))), "")</f>
        <v>Ana Carolina Peterle Ribeiro</v>
      </c>
      <c r="E59" s="106" t="s">
        <v>18</v>
      </c>
      <c r="F59" s="45"/>
      <c r="G59" s="46" t="s">
        <v>140</v>
      </c>
      <c r="H59" s="45"/>
      <c r="I59" s="45"/>
      <c r="J59" s="45" t="s">
        <v>140</v>
      </c>
      <c r="K59" s="45"/>
    </row>
    <row r="60" spans="1:11" x14ac:dyDescent="0.25">
      <c r="A60" s="51" t="s">
        <v>40</v>
      </c>
      <c r="B60" s="45" t="s">
        <v>112</v>
      </c>
      <c r="C60" s="45">
        <v>1</v>
      </c>
      <c r="D60" s="45" t="str">
        <f>IFERROR(IF(INDEX('01.25'!D2:D500, MATCH(B60&amp;C60, INDEX('01.25'!B2:B500&amp;'01.25'!C2:C500, 0), 0))="", "", INDEX('01.25'!D2:D500, MATCH(B60&amp;C60, INDEX('01.25'!B2:B500&amp;'01.25'!C2:C500, 0), 0))), "")</f>
        <v>Taiane Amélia Mondardo</v>
      </c>
      <c r="E60" s="107" t="s">
        <v>16</v>
      </c>
      <c r="F60" s="45" t="s">
        <v>148</v>
      </c>
      <c r="G60" s="46" t="s">
        <v>140</v>
      </c>
      <c r="H60" s="45"/>
      <c r="I60" s="45"/>
      <c r="J60" s="45" t="s">
        <v>140</v>
      </c>
      <c r="K60" s="45"/>
    </row>
    <row r="61" spans="1:11" x14ac:dyDescent="0.25">
      <c r="A61" s="44" t="s">
        <v>36</v>
      </c>
      <c r="B61" s="45" t="s">
        <v>104</v>
      </c>
      <c r="C61" s="45">
        <v>1</v>
      </c>
      <c r="D61" s="45" t="str">
        <f>IFERROR(IF(INDEX('01.25'!D2:D500, MATCH(B61&amp;C61, INDEX('01.25'!B2:B500&amp;'01.25'!C2:C500, 0), 0))="", "", INDEX('01.25'!D2:D500, MATCH(B61&amp;C61, INDEX('01.25'!B2:B500&amp;'01.25'!C2:C500, 0), 0))), "")</f>
        <v>Regiane Lucia Pereira</v>
      </c>
      <c r="E61" s="107" t="s">
        <v>16</v>
      </c>
      <c r="F61" s="45" t="s">
        <v>146</v>
      </c>
      <c r="G61" s="46" t="s">
        <v>140</v>
      </c>
      <c r="H61" s="45"/>
      <c r="I61" s="45"/>
      <c r="J61" s="45" t="s">
        <v>140</v>
      </c>
      <c r="K61" s="45"/>
    </row>
    <row r="62" spans="1:11" x14ac:dyDescent="0.25">
      <c r="A62" s="51" t="s">
        <v>40</v>
      </c>
      <c r="B62" s="45" t="s">
        <v>113</v>
      </c>
      <c r="C62" s="45">
        <v>1</v>
      </c>
      <c r="D62" s="45" t="str">
        <f>IFERROR(IF(INDEX('01.25'!D2:D500, MATCH(B62&amp;C62, INDEX('01.25'!B2:B500&amp;'01.25'!C2:C500, 0), 0))="", "", INDEX('01.25'!D2:D500, MATCH(B62&amp;C62, INDEX('01.25'!B2:B500&amp;'01.25'!C2:C500, 0), 0))), "")</f>
        <v>Andryws Rafael Gois</v>
      </c>
      <c r="E62" s="107" t="s">
        <v>16</v>
      </c>
      <c r="F62" s="45" t="s">
        <v>152</v>
      </c>
      <c r="G62" s="46" t="s">
        <v>140</v>
      </c>
      <c r="H62" s="45"/>
      <c r="I62" s="45"/>
      <c r="J62" s="45" t="s">
        <v>140</v>
      </c>
      <c r="K62" s="45"/>
    </row>
    <row r="63" spans="1:11" x14ac:dyDescent="0.25">
      <c r="A63" s="50" t="s">
        <v>42</v>
      </c>
      <c r="B63" s="45" t="s">
        <v>123</v>
      </c>
      <c r="C63" s="45">
        <v>1</v>
      </c>
      <c r="D63" s="45" t="str">
        <f>IFERROR(IF(INDEX('01.25'!D2:D500, MATCH(B63&amp;C63, INDEX('01.25'!B2:B500&amp;'01.25'!C2:C500, 0), 0))="", "", INDEX('01.25'!D2:D500, MATCH(B63&amp;C63, INDEX('01.25'!B2:B500&amp;'01.25'!C2:C500, 0), 0))), "")</f>
        <v>Mayara Ketllyn de Paula Rosetti</v>
      </c>
      <c r="E63" s="107" t="s">
        <v>16</v>
      </c>
      <c r="F63" s="45" t="s">
        <v>154</v>
      </c>
      <c r="G63" s="46" t="s">
        <v>140</v>
      </c>
      <c r="H63" s="45"/>
      <c r="I63" s="45"/>
      <c r="J63" s="45" t="s">
        <v>140</v>
      </c>
      <c r="K63" s="45"/>
    </row>
    <row r="64" spans="1:11" x14ac:dyDescent="0.25">
      <c r="A64" s="51" t="s">
        <v>40</v>
      </c>
      <c r="B64" s="45" t="s">
        <v>114</v>
      </c>
      <c r="C64" s="45">
        <v>1</v>
      </c>
      <c r="D64" s="45" t="str">
        <f>IFERROR(IF(INDEX('01.25'!D2:D500, MATCH(B64&amp;C64, INDEX('01.25'!B2:B500&amp;'01.25'!C2:C500, 0), 0))="", "", INDEX('01.25'!D2:D500, MATCH(B64&amp;C64, INDEX('01.25'!B2:B500&amp;'01.25'!C2:C500, 0), 0))), "")</f>
        <v>Junior Andre Britzke</v>
      </c>
      <c r="E64" s="107" t="s">
        <v>16</v>
      </c>
      <c r="F64" s="45" t="s">
        <v>143</v>
      </c>
      <c r="G64" s="46" t="s">
        <v>140</v>
      </c>
      <c r="H64" s="45"/>
      <c r="I64" s="45"/>
      <c r="J64" s="45" t="s">
        <v>140</v>
      </c>
      <c r="K64" s="45"/>
    </row>
    <row r="65" spans="1:11" x14ac:dyDescent="0.25">
      <c r="A65" s="44" t="s">
        <v>36</v>
      </c>
      <c r="B65" s="45" t="s">
        <v>105</v>
      </c>
      <c r="C65" s="45">
        <v>1</v>
      </c>
      <c r="D65" s="45" t="str">
        <f>IFERROR(IF(INDEX('01.25'!D2:D500, MATCH(B65&amp;C65, INDEX('01.25'!B2:B500&amp;'01.25'!C2:C500, 0), 0))="", "", INDEX('01.25'!D2:D500, MATCH(B65&amp;C65, INDEX('01.25'!B2:B500&amp;'01.25'!C2:C500, 0), 0))), "")</f>
        <v>Adriano Pereira Guedes</v>
      </c>
      <c r="E65" s="107" t="s">
        <v>16</v>
      </c>
      <c r="F65" s="45" t="s">
        <v>141</v>
      </c>
      <c r="G65" s="46" t="s">
        <v>140</v>
      </c>
      <c r="H65" s="45"/>
      <c r="I65" s="45"/>
      <c r="J65" s="45" t="s">
        <v>140</v>
      </c>
      <c r="K65" s="45"/>
    </row>
    <row r="66" spans="1:11" x14ac:dyDescent="0.25">
      <c r="A66" s="44" t="s">
        <v>36</v>
      </c>
      <c r="B66" s="45" t="s">
        <v>106</v>
      </c>
      <c r="C66" s="45">
        <v>1</v>
      </c>
      <c r="D66" s="45" t="str">
        <f>IFERROR(IF(INDEX('01.25'!D2:D500, MATCH(B66&amp;C66, INDEX('01.25'!B2:B500&amp;'01.25'!C2:C500, 0), 0))="", "", INDEX('01.25'!D2:D500, MATCH(B66&amp;C66, INDEX('01.25'!B2:B500&amp;'01.25'!C2:C500, 0), 0))), "")</f>
        <v xml:space="preserve">Suzana Cristina de Almeida </v>
      </c>
      <c r="E66" s="106" t="s">
        <v>18</v>
      </c>
      <c r="F66" s="45"/>
      <c r="G66" s="46" t="s">
        <v>140</v>
      </c>
      <c r="H66" s="45"/>
      <c r="I66" s="45"/>
      <c r="J66" s="45" t="s">
        <v>140</v>
      </c>
      <c r="K66" s="45"/>
    </row>
    <row r="67" spans="1:11" x14ac:dyDescent="0.25">
      <c r="A67" s="47" t="s">
        <v>28</v>
      </c>
      <c r="B67" s="45" t="s">
        <v>85</v>
      </c>
      <c r="C67" s="45">
        <v>1</v>
      </c>
      <c r="D67" s="45" t="str">
        <f>IFERROR(IF(INDEX('01.25'!D2:D500, MATCH(B67&amp;C67, INDEX('01.25'!B2:B500&amp;'01.25'!C2:C500, 0), 0))="", "", INDEX('01.25'!D2:D500, MATCH(B67&amp;C67, INDEX('01.25'!B2:B500&amp;'01.25'!C2:C500, 0), 0))), "")</f>
        <v>Alice Cristiane Zancheta</v>
      </c>
      <c r="E67" s="106" t="s">
        <v>18</v>
      </c>
      <c r="F67" s="45"/>
      <c r="G67" s="46" t="s">
        <v>140</v>
      </c>
      <c r="H67" s="45"/>
      <c r="I67" s="45"/>
      <c r="J67" s="45" t="s">
        <v>140</v>
      </c>
      <c r="K67" s="45"/>
    </row>
    <row r="68" spans="1:11" x14ac:dyDescent="0.25">
      <c r="A68" s="48" t="s">
        <v>38</v>
      </c>
      <c r="B68" s="45" t="s">
        <v>109</v>
      </c>
      <c r="C68" s="45">
        <v>1</v>
      </c>
      <c r="D68" s="45" t="str">
        <f>IFERROR(IF(INDEX('01.25'!D2:D500, MATCH(B68&amp;C68, INDEX('01.25'!B2:B500&amp;'01.25'!C2:C500, 0), 0))="", "", INDEX('01.25'!D2:D500, MATCH(B68&amp;C68, INDEX('01.25'!B2:B500&amp;'01.25'!C2:C500, 0), 0))), "")</f>
        <v>Fernanda kaezer de Godoy</v>
      </c>
      <c r="E68" s="107" t="s">
        <v>16</v>
      </c>
      <c r="F68" s="45" t="s">
        <v>152</v>
      </c>
      <c r="G68" s="46" t="s">
        <v>140</v>
      </c>
      <c r="H68" s="45"/>
      <c r="I68" s="45"/>
      <c r="J68" s="45" t="s">
        <v>140</v>
      </c>
      <c r="K68" s="45"/>
    </row>
    <row r="69" spans="1:11" x14ac:dyDescent="0.25">
      <c r="A69" s="48" t="s">
        <v>38</v>
      </c>
      <c r="B69" s="45" t="s">
        <v>110</v>
      </c>
      <c r="C69" s="45">
        <v>1</v>
      </c>
      <c r="D69" s="45" t="str">
        <f>IFERROR(IF(INDEX('01.25'!D2:D500, MATCH(B69&amp;C69, INDEX('01.25'!B2:B500&amp;'01.25'!C2:C500, 0), 0))="", "", INDEX('01.25'!D2:D500, MATCH(B69&amp;C69, INDEX('01.25'!B2:B500&amp;'01.25'!C2:C500, 0), 0))), "")</f>
        <v xml:space="preserve">Ademir Papini Júnior </v>
      </c>
      <c r="E69" s="106" t="s">
        <v>18</v>
      </c>
      <c r="F69" s="45"/>
      <c r="G69" s="46" t="s">
        <v>140</v>
      </c>
      <c r="H69" s="45"/>
      <c r="I69" s="45"/>
      <c r="J69" s="45" t="s">
        <v>140</v>
      </c>
      <c r="K69" s="45"/>
    </row>
    <row r="70" spans="1:11" x14ac:dyDescent="0.25">
      <c r="A70" s="50" t="s">
        <v>42</v>
      </c>
      <c r="B70" s="45" t="s">
        <v>124</v>
      </c>
      <c r="C70" s="45">
        <v>1</v>
      </c>
      <c r="D70" s="45" t="str">
        <f>IFERROR(IF(INDEX('01.25'!D2:D500, MATCH(B70&amp;C70, INDEX('01.25'!B2:B500&amp;'01.25'!C2:C500, 0), 0))="", "", INDEX('01.25'!D2:D500, MATCH(B70&amp;C70, INDEX('01.25'!B2:B500&amp;'01.25'!C2:C500, 0), 0))), "")</f>
        <v>Heloísa Maria Beloni Insenha</v>
      </c>
      <c r="E70" s="106" t="s">
        <v>18</v>
      </c>
      <c r="F70" s="45"/>
      <c r="G70" s="46" t="s">
        <v>140</v>
      </c>
      <c r="H70" s="45"/>
      <c r="I70" s="45"/>
      <c r="J70" s="45" t="s">
        <v>140</v>
      </c>
      <c r="K70" s="45"/>
    </row>
  </sheetData>
  <autoFilter ref="A1:G1" xr:uid="{00000000-0009-0000-0000-000004000000}"/>
  <conditionalFormatting sqref="E2:E70">
    <cfRule type="cellIs" dxfId="179" priority="6" stopIfTrue="1" operator="equal">
      <formula>"Enviado"</formula>
    </cfRule>
    <cfRule type="cellIs" dxfId="178" priority="7" stopIfTrue="1" operator="equal">
      <formula>"Atrasado"</formula>
    </cfRule>
    <cfRule type="cellIs" dxfId="177" priority="8" stopIfTrue="1" operator="equal">
      <formula>"Atrasado &gt;= 2"</formula>
    </cfRule>
    <cfRule type="cellIs" dxfId="176" priority="9" stopIfTrue="1" operator="equal">
      <formula>"Outras Ocorrências"</formula>
    </cfRule>
    <cfRule type="cellIs" dxfId="175" priority="10" stopIfTrue="1" operator="equal">
      <formula>"Sem Técnico"</formula>
    </cfRule>
    <cfRule type="cellIs" dxfId="174" priority="11" stopIfTrue="1" operator="equal">
      <formula>"Duplicado"</formula>
    </cfRule>
  </conditionalFormatting>
  <conditionalFormatting sqref="G2:G70">
    <cfRule type="cellIs" dxfId="173" priority="1" stopIfTrue="1" operator="equal">
      <formula>"Sim"</formula>
    </cfRule>
    <cfRule type="cellIs" dxfId="172" priority="3" stopIfTrue="1" operator="equal">
      <formula>"Não"</formula>
    </cfRule>
  </conditionalFormatting>
  <conditionalFormatting sqref="J2:J70">
    <cfRule type="cellIs" dxfId="171" priority="4" stopIfTrue="1" operator="equal">
      <formula>"Sim"</formula>
    </cfRule>
    <cfRule type="cellIs" dxfId="170" priority="4" stopIfTrue="1" operator="equal">
      <formula>"Não"</formula>
    </cfRule>
    <cfRule type="cellIs" dxfId="169" priority="5" stopIfTrue="1" operator="equal">
      <formula>"Em Análise"</formula>
    </cfRule>
  </conditionalFormatting>
  <dataValidations count="3">
    <dataValidation type="list" allowBlank="1" sqref="G2 G3 G4 G5 G6 G7 G8 G9 G10 G11 G12 G13 G14 G15 G16 G17 G18 G19 G20 G21 G22 G23 G24 G25 G26 G27 G28 G29 G30 G31 G32 G33 G34 G35 G36 G37 G38 G39 G40 G41 G42 G43 G44 G45 G46 G47 G48 G49 G50 G51 G52 G53 G54 G55 G56 G57 G58 G59 G60 G61 G62 G63 G64 G65 G66 G67 G68 G69 G70" xr:uid="{00000000-0002-0000-0400-000000000000}">
      <formula1>"Sim,Não"</formula1>
    </dataValidation>
    <dataValidation type="list" allowBlank="1" sqref="J2 J3 J4 J5 J6 J7 J8 J9 J10 J11 J12 J13 J14 J15 J16 J17 J18 J19 J20 J21 J22 J23 J24 J25 J26 J27 J28 J29 J30 J31 J32 J33 J34 J35 J36 J37 J38 J39 J40 J41 J42 J43 J44 J45 J46 J47 J48 J49 J50 J51 J52 J53 J54 J55 J56 J57 J58 J59 J60 J61 J62 J63 J64 J65 J66 J67 J68 J69 J70" xr:uid="{00000000-0002-0000-0400-000001000000}">
      <formula1>"Sim,Não,Em Análise"</formula1>
    </dataValidation>
    <dataValidation type="list" allowBlank="1" sqref="E2 E3 E4 E5 E6 E7 E8 E9 E10 E11 E12 E13 E14 E15 E16 E17 E18 E19 E20 E21 E22 E23 E24 E25 E26 E27 E28 E29 E30 E31 E32 E33 E34 E35 E36 E37 E38 E39 E40 E41 E42 E43 E44 E45 E46 E47 E48 E49 E50 E51 E52 E53 E54 E55 E56 E57 E58 E59 E60 E61 E62 E63 E64 E65 E66 E67 E68 E69 E70" xr:uid="{00000000-0002-0000-0400-000002000000}">
      <formula1>"Enviado, Atrasado, Atrasado &gt;= 2, Outras Ocorrências, Sem Técnico, Duplicado"</formula1>
    </dataValidation>
  </dataValidation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70"/>
  <sheetViews>
    <sheetView workbookViewId="0">
      <pane xSplit="3" topLeftCell="D1" activePane="topRight" state="frozen"/>
      <selection pane="topRight"/>
    </sheetView>
  </sheetViews>
  <sheetFormatPr defaultRowHeight="15" x14ac:dyDescent="0.25"/>
  <cols>
    <col min="1" max="1" width="14" customWidth="1"/>
    <col min="2" max="2" width="30" customWidth="1"/>
    <col min="3" max="3" width="8" customWidth="1"/>
    <col min="4" max="4" width="45" customWidth="1"/>
    <col min="5" max="5" width="18" customWidth="1"/>
    <col min="6" max="7" width="27" customWidth="1"/>
    <col min="8" max="8" width="48" customWidth="1"/>
    <col min="9" max="9" width="34" customWidth="1"/>
    <col min="10" max="10" width="25" customWidth="1"/>
    <col min="11" max="11" width="26" customWidth="1"/>
  </cols>
  <sheetData>
    <row r="1" spans="1:11" x14ac:dyDescent="0.25">
      <c r="A1" s="43" t="s">
        <v>27</v>
      </c>
      <c r="B1" s="43" t="s">
        <v>70</v>
      </c>
      <c r="C1" s="43" t="s">
        <v>71</v>
      </c>
      <c r="D1" s="43" t="s">
        <v>132</v>
      </c>
      <c r="E1" s="43" t="s">
        <v>133</v>
      </c>
      <c r="F1" s="43" t="s">
        <v>134</v>
      </c>
      <c r="G1" s="43" t="s">
        <v>135</v>
      </c>
      <c r="H1" s="43" t="s">
        <v>136</v>
      </c>
      <c r="I1" s="43" t="s">
        <v>137</v>
      </c>
      <c r="J1" s="43" t="s">
        <v>138</v>
      </c>
      <c r="K1" s="43" t="s">
        <v>139</v>
      </c>
    </row>
    <row r="2" spans="1:11" x14ac:dyDescent="0.25">
      <c r="A2" s="44" t="s">
        <v>36</v>
      </c>
      <c r="B2" s="45" t="s">
        <v>97</v>
      </c>
      <c r="C2" s="45">
        <v>1</v>
      </c>
      <c r="D2" s="45" t="str">
        <f>IFERROR(IF(INDEX('01.25'!D2:D500, MATCH(B2&amp;C2, INDEX('01.25'!B2:B500&amp;'01.25'!C2:C500, 0), 0))="", "", INDEX('01.25'!D2:D500, MATCH(B2&amp;C2, INDEX('01.25'!B2:B500&amp;'01.25'!C2:C500, 0), 0))), "")</f>
        <v>Paula Tatiana Santana Vechi</v>
      </c>
      <c r="E2" s="106" t="s">
        <v>18</v>
      </c>
      <c r="F2" s="45"/>
      <c r="G2" s="46" t="s">
        <v>140</v>
      </c>
      <c r="H2" s="45"/>
      <c r="I2" s="45"/>
      <c r="J2" s="45" t="s">
        <v>140</v>
      </c>
      <c r="K2" s="45"/>
    </row>
    <row r="3" spans="1:11" x14ac:dyDescent="0.25">
      <c r="A3" s="47" t="s">
        <v>28</v>
      </c>
      <c r="B3" s="45" t="s">
        <v>87</v>
      </c>
      <c r="C3" s="45">
        <v>1</v>
      </c>
      <c r="D3" s="45" t="str">
        <f>IFERROR(IF(INDEX('01.25'!D2:D500, MATCH(B3&amp;C3, INDEX('01.25'!B2:B500&amp;'01.25'!C2:C500, 0), 0))="", "", INDEX('01.25'!D2:D500, MATCH(B3&amp;C3, INDEX('01.25'!B2:B500&amp;'01.25'!C2:C500, 0), 0))), "")</f>
        <v>Willian de Oliveira Lino</v>
      </c>
      <c r="E3" s="106" t="s">
        <v>18</v>
      </c>
      <c r="F3" s="45"/>
      <c r="G3" s="46" t="s">
        <v>140</v>
      </c>
      <c r="H3" s="45"/>
      <c r="I3" s="45"/>
      <c r="J3" s="45" t="s">
        <v>140</v>
      </c>
      <c r="K3" s="45"/>
    </row>
    <row r="4" spans="1:11" x14ac:dyDescent="0.25">
      <c r="A4" s="48" t="s">
        <v>38</v>
      </c>
      <c r="B4" s="45" t="s">
        <v>78</v>
      </c>
      <c r="C4" s="45">
        <v>1</v>
      </c>
      <c r="D4" s="45" t="str">
        <f>IFERROR(IF(INDEX('01.25'!D2:D500, MATCH(B4&amp;C4, INDEX('01.25'!B2:B500&amp;'01.25'!C2:C500, 0), 0))="", "", INDEX('01.25'!D2:D500, MATCH(B4&amp;C4, INDEX('01.25'!B2:B500&amp;'01.25'!C2:C500, 0), 0))), "")</f>
        <v>Gisele Cássia Tamparowsky de Oliveira</v>
      </c>
      <c r="E4" s="107" t="s">
        <v>16</v>
      </c>
      <c r="F4" s="45" t="s">
        <v>155</v>
      </c>
      <c r="G4" s="46" t="s">
        <v>140</v>
      </c>
      <c r="H4" s="45"/>
      <c r="I4" s="45"/>
      <c r="J4" s="45" t="s">
        <v>140</v>
      </c>
      <c r="K4" s="45"/>
    </row>
    <row r="5" spans="1:11" x14ac:dyDescent="0.25">
      <c r="A5" s="47" t="s">
        <v>28</v>
      </c>
      <c r="B5" s="45" t="s">
        <v>88</v>
      </c>
      <c r="C5" s="45">
        <v>1</v>
      </c>
      <c r="D5" s="45" t="str">
        <f>IFERROR(IF(INDEX('01.25'!D2:D500, MATCH(B5&amp;C5, INDEX('01.25'!B2:B500&amp;'01.25'!C2:C500, 0), 0))="", "", INDEX('01.25'!D2:D500, MATCH(B5&amp;C5, INDEX('01.25'!B2:B500&amp;'01.25'!C2:C500, 0), 0))), "")</f>
        <v>Marcos Gabriel Franciosi Borges</v>
      </c>
      <c r="E5" s="106" t="s">
        <v>18</v>
      </c>
      <c r="F5" s="45"/>
      <c r="G5" s="46" t="s">
        <v>140</v>
      </c>
      <c r="H5" s="45"/>
      <c r="I5" s="45"/>
      <c r="J5" s="45" t="s">
        <v>140</v>
      </c>
      <c r="K5" s="45"/>
    </row>
    <row r="6" spans="1:11" x14ac:dyDescent="0.25">
      <c r="A6" s="47" t="s">
        <v>28</v>
      </c>
      <c r="B6" s="45" t="s">
        <v>89</v>
      </c>
      <c r="C6" s="45">
        <v>1</v>
      </c>
      <c r="D6" s="45" t="str">
        <f>IFERROR(IF(INDEX('01.25'!D2:D500, MATCH(B6&amp;C6, INDEX('01.25'!B2:B500&amp;'01.25'!C2:C500, 0), 0))="", "", INDEX('01.25'!D2:D500, MATCH(B6&amp;C6, INDEX('01.25'!B2:B500&amp;'01.25'!C2:C500, 0), 0))), "")</f>
        <v>Chayla Bianca Gazoli</v>
      </c>
      <c r="E6" s="106" t="s">
        <v>18</v>
      </c>
      <c r="F6" s="45"/>
      <c r="G6" s="46" t="s">
        <v>140</v>
      </c>
      <c r="H6" s="45"/>
      <c r="I6" s="45"/>
      <c r="J6" s="45" t="s">
        <v>140</v>
      </c>
      <c r="K6" s="45"/>
    </row>
    <row r="7" spans="1:11" x14ac:dyDescent="0.25">
      <c r="A7" s="48" t="s">
        <v>38</v>
      </c>
      <c r="B7" s="45" t="s">
        <v>84</v>
      </c>
      <c r="C7" s="45">
        <v>1</v>
      </c>
      <c r="D7" s="45" t="str">
        <f>IFERROR(IF(INDEX('01.25'!D2:D500, MATCH(B7&amp;C7, INDEX('01.25'!B2:B500&amp;'01.25'!C2:C500, 0), 0))="", "", INDEX('01.25'!D2:D500, MATCH(B7&amp;C7, INDEX('01.25'!B2:B500&amp;'01.25'!C2:C500, 0), 0))), "")</f>
        <v>Solange Maria Masqueti</v>
      </c>
      <c r="E7" s="106" t="s">
        <v>18</v>
      </c>
      <c r="F7" s="45"/>
      <c r="G7" s="46" t="s">
        <v>140</v>
      </c>
      <c r="H7" s="45"/>
      <c r="I7" s="45"/>
      <c r="J7" s="45" t="s">
        <v>140</v>
      </c>
      <c r="K7" s="45"/>
    </row>
    <row r="8" spans="1:11" x14ac:dyDescent="0.25">
      <c r="A8" s="48" t="s">
        <v>38</v>
      </c>
      <c r="B8" s="45" t="s">
        <v>79</v>
      </c>
      <c r="C8" s="45">
        <v>1</v>
      </c>
      <c r="D8" s="45" t="str">
        <f>IFERROR(IF(INDEX('01.25'!D2:D500, MATCH(B8&amp;C8, INDEX('01.25'!B2:B500&amp;'01.25'!C2:C500, 0), 0))="", "", INDEX('01.25'!D2:D500, MATCH(B8&amp;C8, INDEX('01.25'!B2:B500&amp;'01.25'!C2:C500, 0), 0))), "")</f>
        <v>Cristiane Petry Vieira</v>
      </c>
      <c r="E8" s="107" t="s">
        <v>16</v>
      </c>
      <c r="F8" s="45" t="s">
        <v>141</v>
      </c>
      <c r="G8" s="46" t="s">
        <v>140</v>
      </c>
      <c r="H8" s="45"/>
      <c r="I8" s="45"/>
      <c r="J8" s="45" t="s">
        <v>140</v>
      </c>
      <c r="K8" s="45"/>
    </row>
    <row r="9" spans="1:11" x14ac:dyDescent="0.25">
      <c r="A9" s="47" t="s">
        <v>28</v>
      </c>
      <c r="B9" s="45" t="s">
        <v>90</v>
      </c>
      <c r="C9" s="45">
        <v>1</v>
      </c>
      <c r="D9" s="45" t="str">
        <f>IFERROR(IF(INDEX('01.25'!D2:D500, MATCH(B9&amp;C9, INDEX('01.25'!B2:B500&amp;'01.25'!C2:C500, 0), 0))="", "", INDEX('01.25'!D2:D500, MATCH(B9&amp;C9, INDEX('01.25'!B2:B500&amp;'01.25'!C2:C500, 0), 0))), "")</f>
        <v>Diego Hemerich</v>
      </c>
      <c r="E9" s="106" t="s">
        <v>18</v>
      </c>
      <c r="F9" s="45"/>
      <c r="G9" s="46" t="s">
        <v>140</v>
      </c>
      <c r="H9" s="45"/>
      <c r="I9" s="45"/>
      <c r="J9" s="45" t="s">
        <v>140</v>
      </c>
      <c r="K9" s="45"/>
    </row>
    <row r="10" spans="1:11" x14ac:dyDescent="0.25">
      <c r="A10" s="49" t="s">
        <v>43</v>
      </c>
      <c r="B10" s="45" t="s">
        <v>125</v>
      </c>
      <c r="C10" s="45">
        <v>1</v>
      </c>
      <c r="D10" s="45" t="str">
        <f>IFERROR(IF(INDEX('01.25'!D2:D500, MATCH(B10&amp;C10, INDEX('01.25'!B2:B500&amp;'01.25'!C2:C500, 0), 0))="", "", INDEX('01.25'!D2:D500, MATCH(B10&amp;C10, INDEX('01.25'!B2:B500&amp;'01.25'!C2:C500, 0), 0))), "")</f>
        <v>Tatiane Girardi</v>
      </c>
      <c r="E10" s="106" t="s">
        <v>18</v>
      </c>
      <c r="F10" s="45"/>
      <c r="G10" s="46" t="s">
        <v>140</v>
      </c>
      <c r="H10" s="45"/>
      <c r="I10" s="45"/>
      <c r="J10" s="45" t="s">
        <v>140</v>
      </c>
      <c r="K10" s="45"/>
    </row>
    <row r="11" spans="1:11" x14ac:dyDescent="0.25">
      <c r="A11" s="49" t="s">
        <v>43</v>
      </c>
      <c r="B11" s="45" t="s">
        <v>126</v>
      </c>
      <c r="C11" s="45">
        <v>1</v>
      </c>
      <c r="D11" s="45" t="str">
        <f>IFERROR(IF(INDEX('01.25'!D2:D500, MATCH(B11&amp;C11, INDEX('01.25'!B2:B500&amp;'01.25'!C2:C500, 0), 0))="", "", INDEX('01.25'!D2:D500, MATCH(B11&amp;C11, INDEX('01.25'!B2:B500&amp;'01.25'!C2:C500, 0), 0))), "")</f>
        <v>Edson Batista de Castro</v>
      </c>
      <c r="E11" s="107" t="s">
        <v>16</v>
      </c>
      <c r="F11" s="45" t="s">
        <v>144</v>
      </c>
      <c r="G11" s="46" t="s">
        <v>140</v>
      </c>
      <c r="H11" s="45"/>
      <c r="I11" s="45"/>
      <c r="J11" s="45" t="s">
        <v>140</v>
      </c>
      <c r="K11" s="45"/>
    </row>
    <row r="12" spans="1:11" x14ac:dyDescent="0.25">
      <c r="A12" s="49" t="s">
        <v>43</v>
      </c>
      <c r="B12" s="45" t="s">
        <v>126</v>
      </c>
      <c r="C12" s="45">
        <v>2</v>
      </c>
      <c r="D12" s="45" t="str">
        <f>IFERROR(IF(INDEX('01.25'!D2:D500, MATCH(B12&amp;C12, INDEX('01.25'!B2:B500&amp;'01.25'!C2:C500, 0), 0))="", "", INDEX('01.25'!D2:D500, MATCH(B12&amp;C12, INDEX('01.25'!B2:B500&amp;'01.25'!C2:C500, 0), 0))), "")</f>
        <v>Gabriela Fernanda Sandri</v>
      </c>
      <c r="E12" s="107" t="s">
        <v>16</v>
      </c>
      <c r="F12" s="45" t="s">
        <v>143</v>
      </c>
      <c r="G12" s="46" t="s">
        <v>140</v>
      </c>
      <c r="H12" s="45"/>
      <c r="I12" s="45"/>
      <c r="J12" s="45" t="s">
        <v>140</v>
      </c>
      <c r="K12" s="45"/>
    </row>
    <row r="13" spans="1:11" x14ac:dyDescent="0.25">
      <c r="A13" s="49" t="s">
        <v>43</v>
      </c>
      <c r="B13" s="45" t="s">
        <v>126</v>
      </c>
      <c r="C13" s="45">
        <v>3</v>
      </c>
      <c r="D13" s="45" t="str">
        <f>IFERROR(IF(INDEX('01.25'!D2:D500, MATCH(B13&amp;C13, INDEX('01.25'!B2:B500&amp;'01.25'!C2:C500, 0), 0))="", "", INDEX('01.25'!D2:D500, MATCH(B13&amp;C13, INDEX('01.25'!B2:B500&amp;'01.25'!C2:C500, 0), 0))), "")</f>
        <v>Eduarda Rohden Donasolo</v>
      </c>
      <c r="E13" s="107" t="s">
        <v>16</v>
      </c>
      <c r="F13" s="45" t="s">
        <v>143</v>
      </c>
      <c r="G13" s="46" t="s">
        <v>140</v>
      </c>
      <c r="H13" s="45"/>
      <c r="I13" s="45"/>
      <c r="J13" s="45" t="s">
        <v>140</v>
      </c>
      <c r="K13" s="45"/>
    </row>
    <row r="14" spans="1:11" x14ac:dyDescent="0.25">
      <c r="A14" s="49" t="s">
        <v>43</v>
      </c>
      <c r="B14" s="45" t="s">
        <v>126</v>
      </c>
      <c r="C14" s="45">
        <v>4</v>
      </c>
      <c r="D14" s="45" t="str">
        <f>IFERROR(IF(INDEX('01.25'!D2:D500, MATCH(B14&amp;C14, INDEX('01.25'!B2:B500&amp;'01.25'!C2:C500, 0), 0))="", "", INDEX('01.25'!D2:D500, MATCH(B14&amp;C14, INDEX('01.25'!B2:B500&amp;'01.25'!C2:C500, 0), 0))), "")</f>
        <v>Mauricio Pinto de Lima</v>
      </c>
      <c r="E14" s="107" t="s">
        <v>16</v>
      </c>
      <c r="F14" s="45" t="s">
        <v>144</v>
      </c>
      <c r="G14" s="46" t="s">
        <v>140</v>
      </c>
      <c r="H14" s="45"/>
      <c r="I14" s="45"/>
      <c r="J14" s="45" t="s">
        <v>140</v>
      </c>
      <c r="K14" s="45"/>
    </row>
    <row r="15" spans="1:11" x14ac:dyDescent="0.25">
      <c r="A15" s="49" t="s">
        <v>43</v>
      </c>
      <c r="B15" s="45" t="s">
        <v>126</v>
      </c>
      <c r="C15" s="45">
        <v>5</v>
      </c>
      <c r="D15" s="45" t="str">
        <f>IFERROR(IF(INDEX('01.25'!D2:D500, MATCH(B15&amp;C15, INDEX('01.25'!B2:B500&amp;'01.25'!C2:C500, 0), 0))="", "", INDEX('01.25'!D2:D500, MATCH(B15&amp;C15, INDEX('01.25'!B2:B500&amp;'01.25'!C2:C500, 0), 0))), "")</f>
        <v xml:space="preserve">Débora Laize Lampert Gnass </v>
      </c>
      <c r="E15" s="107" t="s">
        <v>16</v>
      </c>
      <c r="F15" s="45" t="s">
        <v>143</v>
      </c>
      <c r="G15" s="46" t="s">
        <v>140</v>
      </c>
      <c r="H15" s="45"/>
      <c r="I15" s="45"/>
      <c r="J15" s="45" t="s">
        <v>140</v>
      </c>
      <c r="K15" s="45"/>
    </row>
    <row r="16" spans="1:11" x14ac:dyDescent="0.25">
      <c r="A16" s="49" t="s">
        <v>43</v>
      </c>
      <c r="B16" s="45" t="s">
        <v>126</v>
      </c>
      <c r="C16" s="45">
        <v>6</v>
      </c>
      <c r="D16" s="45" t="str">
        <f>IFERROR(IF(INDEX('01.25'!D2:D500, MATCH(B16&amp;C16, INDEX('01.25'!B2:B500&amp;'01.25'!C2:C500, 0), 0))="", "", INDEX('01.25'!D2:D500, MATCH(B16&amp;C16, INDEX('01.25'!B2:B500&amp;'01.25'!C2:C500, 0), 0))), "")</f>
        <v/>
      </c>
      <c r="E16" s="107" t="s">
        <v>16</v>
      </c>
      <c r="F16" s="45" t="s">
        <v>143</v>
      </c>
      <c r="G16" s="46" t="s">
        <v>140</v>
      </c>
      <c r="H16" s="45"/>
      <c r="I16" s="45"/>
      <c r="J16" s="45" t="s">
        <v>140</v>
      </c>
      <c r="K16" s="45"/>
    </row>
    <row r="17" spans="1:11" x14ac:dyDescent="0.25">
      <c r="A17" s="47" t="s">
        <v>28</v>
      </c>
      <c r="B17" s="45" t="s">
        <v>91</v>
      </c>
      <c r="C17" s="45">
        <v>1</v>
      </c>
      <c r="D17" s="45" t="str">
        <f>IFERROR(IF(INDEX('01.25'!D2:D500, MATCH(B17&amp;C17, INDEX('01.25'!B2:B500&amp;'01.25'!C2:C500, 0), 0))="", "", INDEX('01.25'!D2:D500, MATCH(B17&amp;C17, INDEX('01.25'!B2:B500&amp;'01.25'!C2:C500, 0), 0))), "")</f>
        <v>Cristina Harumi Enokida</v>
      </c>
      <c r="E17" s="106" t="s">
        <v>18</v>
      </c>
      <c r="F17" s="45"/>
      <c r="G17" s="46" t="s">
        <v>140</v>
      </c>
      <c r="H17" s="45"/>
      <c r="I17" s="45"/>
      <c r="J17" s="45" t="s">
        <v>140</v>
      </c>
      <c r="K17" s="45"/>
    </row>
    <row r="18" spans="1:11" x14ac:dyDescent="0.25">
      <c r="A18" s="49" t="s">
        <v>43</v>
      </c>
      <c r="B18" s="45" t="s">
        <v>127</v>
      </c>
      <c r="C18" s="45">
        <v>1</v>
      </c>
      <c r="D18" s="45" t="str">
        <f>IFERROR(IF(INDEX('01.25'!D2:D500, MATCH(B18&amp;C18, INDEX('01.25'!B2:B500&amp;'01.25'!C2:C500, 0), 0))="", "", INDEX('01.25'!D2:D500, MATCH(B18&amp;C18, INDEX('01.25'!B2:B500&amp;'01.25'!C2:C500, 0), 0))), "")</f>
        <v>Douglas de Mattia</v>
      </c>
      <c r="E18" s="106" t="s">
        <v>18</v>
      </c>
      <c r="F18" s="45"/>
      <c r="G18" s="46" t="s">
        <v>140</v>
      </c>
      <c r="H18" s="45"/>
      <c r="I18" s="45"/>
      <c r="J18" s="45" t="s">
        <v>140</v>
      </c>
      <c r="K18" s="45"/>
    </row>
    <row r="19" spans="1:11" x14ac:dyDescent="0.25">
      <c r="A19" s="47" t="s">
        <v>28</v>
      </c>
      <c r="B19" s="45" t="s">
        <v>92</v>
      </c>
      <c r="C19" s="45">
        <v>1</v>
      </c>
      <c r="D19" s="45" t="str">
        <f>IFERROR(IF(INDEX('01.25'!D2:D500, MATCH(B19&amp;C19, INDEX('01.25'!B2:B500&amp;'01.25'!C2:C500, 0), 0))="", "", INDEX('01.25'!D2:D500, MATCH(B19&amp;C19, INDEX('01.25'!B2:B500&amp;'01.25'!C2:C500, 0), 0))), "")</f>
        <v>Vanderson Pasetti</v>
      </c>
      <c r="E19" s="106" t="s">
        <v>18</v>
      </c>
      <c r="F19" s="45"/>
      <c r="G19" s="46" t="s">
        <v>140</v>
      </c>
      <c r="H19" s="45"/>
      <c r="I19" s="45"/>
      <c r="J19" s="45" t="s">
        <v>140</v>
      </c>
      <c r="K19" s="45"/>
    </row>
    <row r="20" spans="1:11" x14ac:dyDescent="0.25">
      <c r="A20" s="50" t="s">
        <v>42</v>
      </c>
      <c r="B20" s="45" t="s">
        <v>115</v>
      </c>
      <c r="C20" s="45">
        <v>1</v>
      </c>
      <c r="D20" s="45" t="str">
        <f>IFERROR(IF(INDEX('01.25'!D2:D500, MATCH(B20&amp;C20, INDEX('01.25'!B2:B500&amp;'01.25'!C2:C500, 0), 0))="", "", INDEX('01.25'!D2:D500, MATCH(B20&amp;C20, INDEX('01.25'!B2:B500&amp;'01.25'!C2:C500, 0), 0))), "")</f>
        <v>Bruna Schneider Guimarães</v>
      </c>
      <c r="E20" s="106" t="s">
        <v>18</v>
      </c>
      <c r="F20" s="45"/>
      <c r="G20" s="46" t="s">
        <v>140</v>
      </c>
      <c r="H20" s="45"/>
      <c r="I20" s="45"/>
      <c r="J20" s="45" t="s">
        <v>140</v>
      </c>
      <c r="K20" s="45"/>
    </row>
    <row r="21" spans="1:11" x14ac:dyDescent="0.25">
      <c r="A21" s="47" t="s">
        <v>28</v>
      </c>
      <c r="B21" s="45" t="s">
        <v>93</v>
      </c>
      <c r="C21" s="45">
        <v>1</v>
      </c>
      <c r="D21" s="45" t="str">
        <f>IFERROR(IF(INDEX('01.25'!D2:D500, MATCH(B21&amp;C21, INDEX('01.25'!B2:B500&amp;'01.25'!C2:C500, 0), 0))="", "", INDEX('01.25'!D2:D500, MATCH(B21&amp;C21, INDEX('01.25'!B2:B500&amp;'01.25'!C2:C500, 0), 0))), "")</f>
        <v>Keilla Avezedo</v>
      </c>
      <c r="E21" s="106" t="s">
        <v>18</v>
      </c>
      <c r="F21" s="45"/>
      <c r="G21" s="46" t="s">
        <v>140</v>
      </c>
      <c r="H21" s="45"/>
      <c r="I21" s="45"/>
      <c r="J21" s="45" t="s">
        <v>140</v>
      </c>
      <c r="K21" s="45"/>
    </row>
    <row r="22" spans="1:11" x14ac:dyDescent="0.25">
      <c r="A22" s="50" t="s">
        <v>42</v>
      </c>
      <c r="B22" s="45" t="s">
        <v>116</v>
      </c>
      <c r="C22" s="45">
        <v>1</v>
      </c>
      <c r="D22" s="45" t="str">
        <f>IFERROR(IF(INDEX('01.25'!D2:D500, MATCH(B22&amp;C22, INDEX('01.25'!B2:B500&amp;'01.25'!C2:C500, 0), 0))="", "", INDEX('01.25'!D2:D500, MATCH(B22&amp;C22, INDEX('01.25'!B2:B500&amp;'01.25'!C2:C500, 0), 0))), "")</f>
        <v>Carmen Maria Stein Weiler</v>
      </c>
      <c r="E22" s="106" t="s">
        <v>18</v>
      </c>
      <c r="F22" s="45"/>
      <c r="G22" s="46" t="s">
        <v>140</v>
      </c>
      <c r="H22" s="45"/>
      <c r="I22" s="45"/>
      <c r="J22" s="45" t="s">
        <v>140</v>
      </c>
      <c r="K22" s="45"/>
    </row>
    <row r="23" spans="1:11" x14ac:dyDescent="0.25">
      <c r="A23" s="48" t="s">
        <v>38</v>
      </c>
      <c r="B23" s="45" t="s">
        <v>75</v>
      </c>
      <c r="C23" s="45">
        <v>1</v>
      </c>
      <c r="D23" s="45" t="str">
        <f>IFERROR(IF(INDEX('01.25'!D2:D500, MATCH(B23&amp;C23, INDEX('01.25'!B2:B500&amp;'01.25'!C2:C500, 0), 0))="", "", INDEX('01.25'!D2:D500, MATCH(B23&amp;C23, INDEX('01.25'!B2:B500&amp;'01.25'!C2:C500, 0), 0))), "")</f>
        <v>Thiago Varaschim Cenci</v>
      </c>
      <c r="E23" s="106" t="s">
        <v>18</v>
      </c>
      <c r="F23" s="45"/>
      <c r="G23" s="46" t="s">
        <v>140</v>
      </c>
      <c r="H23" s="45"/>
      <c r="I23" s="45"/>
      <c r="J23" s="45" t="s">
        <v>140</v>
      </c>
      <c r="K23" s="45"/>
    </row>
    <row r="24" spans="1:11" x14ac:dyDescent="0.25">
      <c r="A24" s="51" t="s">
        <v>40</v>
      </c>
      <c r="B24" s="45" t="s">
        <v>80</v>
      </c>
      <c r="C24" s="45">
        <v>1</v>
      </c>
      <c r="D24" s="45" t="str">
        <f>IFERROR(IF(INDEX('01.25'!D2:D500, MATCH(B24&amp;C24, INDEX('01.25'!B2:B500&amp;'01.25'!C2:C500, 0), 0))="", "", INDEX('01.25'!D2:D500, MATCH(B24&amp;C24, INDEX('01.25'!B2:B500&amp;'01.25'!C2:C500, 0), 0))), "")</f>
        <v>Éber Alexandre Nascimento Araújo</v>
      </c>
      <c r="E24" s="108" t="s">
        <v>21</v>
      </c>
      <c r="F24" s="45"/>
      <c r="G24" s="52" t="s">
        <v>131</v>
      </c>
      <c r="H24" s="45"/>
      <c r="I24" s="45"/>
      <c r="J24" s="45" t="s">
        <v>140</v>
      </c>
      <c r="K24" s="45"/>
    </row>
    <row r="25" spans="1:11" x14ac:dyDescent="0.25">
      <c r="A25" s="51" t="s">
        <v>40</v>
      </c>
      <c r="B25" s="45" t="s">
        <v>80</v>
      </c>
      <c r="C25" s="45">
        <v>2</v>
      </c>
      <c r="D25" s="45" t="str">
        <f>IFERROR(IF(INDEX('01.25'!D2:D500, MATCH(B25&amp;C25, INDEX('01.25'!B2:B500&amp;'01.25'!C2:C500, 0), 0))="", "", INDEX('01.25'!D2:D500, MATCH(B25&amp;C25, INDEX('01.25'!B2:B500&amp;'01.25'!C2:C500, 0), 0))), "")</f>
        <v>Andrea Carla Winkelmann</v>
      </c>
      <c r="E25" s="107" t="s">
        <v>16</v>
      </c>
      <c r="F25" s="45" t="s">
        <v>141</v>
      </c>
      <c r="G25" s="46" t="s">
        <v>140</v>
      </c>
      <c r="H25" s="45"/>
      <c r="I25" s="45"/>
      <c r="J25" s="45" t="s">
        <v>140</v>
      </c>
      <c r="K25" s="45"/>
    </row>
    <row r="26" spans="1:11" x14ac:dyDescent="0.25">
      <c r="A26" s="51" t="s">
        <v>40</v>
      </c>
      <c r="B26" s="45" t="s">
        <v>80</v>
      </c>
      <c r="C26" s="45">
        <v>3</v>
      </c>
      <c r="D26" s="45" t="str">
        <f>IFERROR(IF(INDEX('01.25'!D2:D500, MATCH(B26&amp;C26, INDEX('01.25'!B2:B500&amp;'01.25'!C2:C500, 0), 0))="", "", INDEX('01.25'!D2:D500, MATCH(B26&amp;C26, INDEX('01.25'!B2:B500&amp;'01.25'!C2:C500, 0), 0))), "")</f>
        <v>Lorizete de Andrade</v>
      </c>
      <c r="E26" s="107" t="s">
        <v>16</v>
      </c>
      <c r="F26" s="45" t="s">
        <v>141</v>
      </c>
      <c r="G26" s="46" t="s">
        <v>140</v>
      </c>
      <c r="H26" s="45"/>
      <c r="I26" s="45"/>
      <c r="J26" s="45" t="s">
        <v>140</v>
      </c>
      <c r="K26" s="45"/>
    </row>
    <row r="27" spans="1:11" x14ac:dyDescent="0.25">
      <c r="A27" s="51" t="s">
        <v>40</v>
      </c>
      <c r="B27" s="45" t="s">
        <v>80</v>
      </c>
      <c r="C27" s="45">
        <v>4</v>
      </c>
      <c r="D27" s="45" t="str">
        <f>IFERROR(IF(INDEX('01.25'!D2:D500, MATCH(B27&amp;C27, INDEX('01.25'!B2:B500&amp;'01.25'!C2:C500, 0), 0))="", "", INDEX('01.25'!D2:D500, MATCH(B27&amp;C27, INDEX('01.25'!B2:B500&amp;'01.25'!C2:C500, 0), 0))), "")</f>
        <v>Andressa Maia</v>
      </c>
      <c r="E27" s="107" t="s">
        <v>16</v>
      </c>
      <c r="F27" s="45" t="s">
        <v>141</v>
      </c>
      <c r="G27" s="46" t="s">
        <v>140</v>
      </c>
      <c r="H27" s="45"/>
      <c r="I27" s="45"/>
      <c r="J27" s="45" t="s">
        <v>140</v>
      </c>
      <c r="K27" s="45"/>
    </row>
    <row r="28" spans="1:11" x14ac:dyDescent="0.25">
      <c r="A28" s="51" t="s">
        <v>40</v>
      </c>
      <c r="B28" s="45" t="s">
        <v>80</v>
      </c>
      <c r="C28" s="45">
        <v>5</v>
      </c>
      <c r="D28" s="45" t="str">
        <f>IFERROR(IF(INDEX('01.25'!D2:D500, MATCH(B28&amp;C28, INDEX('01.25'!B2:B500&amp;'01.25'!C2:C500, 0), 0))="", "", INDEX('01.25'!D2:D500, MATCH(B28&amp;C28, INDEX('01.25'!B2:B500&amp;'01.25'!C2:C500, 0), 0))), "")</f>
        <v>Lucas Correia de Souza</v>
      </c>
      <c r="E28" s="107" t="s">
        <v>16</v>
      </c>
      <c r="F28" s="45" t="s">
        <v>141</v>
      </c>
      <c r="G28" s="46" t="s">
        <v>140</v>
      </c>
      <c r="H28" s="45"/>
      <c r="I28" s="45"/>
      <c r="J28" s="45" t="s">
        <v>140</v>
      </c>
      <c r="K28" s="45"/>
    </row>
    <row r="29" spans="1:11" x14ac:dyDescent="0.25">
      <c r="A29" s="51" t="s">
        <v>40</v>
      </c>
      <c r="B29" s="45" t="s">
        <v>80</v>
      </c>
      <c r="C29" s="45">
        <v>6</v>
      </c>
      <c r="D29" s="45" t="str">
        <f>IFERROR(IF(INDEX('01.25'!D2:D500, MATCH(B29&amp;C29, INDEX('01.25'!B2:B500&amp;'01.25'!C2:C500, 0), 0))="", "", INDEX('01.25'!D2:D500, MATCH(B29&amp;C29, INDEX('01.25'!B2:B500&amp;'01.25'!C2:C500, 0), 0))), "")</f>
        <v>Jose Francisco Mariano de Faria Filho</v>
      </c>
      <c r="E29" s="107" t="s">
        <v>16</v>
      </c>
      <c r="F29" s="45" t="s">
        <v>145</v>
      </c>
      <c r="G29" s="46" t="s">
        <v>140</v>
      </c>
      <c r="H29" s="45"/>
      <c r="I29" s="45"/>
      <c r="J29" s="45" t="s">
        <v>140</v>
      </c>
      <c r="K29" s="45"/>
    </row>
    <row r="30" spans="1:11" x14ac:dyDescent="0.25">
      <c r="A30" s="51" t="s">
        <v>40</v>
      </c>
      <c r="B30" s="45" t="s">
        <v>80</v>
      </c>
      <c r="C30" s="45">
        <v>7</v>
      </c>
      <c r="D30" s="45" t="str">
        <f>IFERROR(IF(INDEX('01.25'!D2:D500, MATCH(B30&amp;C30, INDEX('01.25'!B2:B500&amp;'01.25'!C2:C500, 0), 0))="", "", INDEX('01.25'!D2:D500, MATCH(B30&amp;C30, INDEX('01.25'!B2:B500&amp;'01.25'!C2:C500, 0), 0))), "")</f>
        <v>Pedro Henrique Mariano de Faria</v>
      </c>
      <c r="E30" s="107" t="s">
        <v>16</v>
      </c>
      <c r="F30" s="45" t="s">
        <v>145</v>
      </c>
      <c r="G30" s="46" t="s">
        <v>140</v>
      </c>
      <c r="H30" s="45"/>
      <c r="I30" s="45"/>
      <c r="J30" s="45" t="s">
        <v>140</v>
      </c>
      <c r="K30" s="45"/>
    </row>
    <row r="31" spans="1:11" x14ac:dyDescent="0.25">
      <c r="A31" s="51" t="s">
        <v>40</v>
      </c>
      <c r="B31" s="45" t="s">
        <v>80</v>
      </c>
      <c r="C31" s="45">
        <v>8</v>
      </c>
      <c r="D31" s="45" t="str">
        <f>IFERROR(IF(INDEX('01.25'!D2:D500, MATCH(B31&amp;C31, INDEX('01.25'!B2:B500&amp;'01.25'!C2:C500, 0), 0))="", "", INDEX('01.25'!D2:D500, MATCH(B31&amp;C31, INDEX('01.25'!B2:B500&amp;'01.25'!C2:C500, 0), 0))), "")</f>
        <v>Renata Aparecida de Souza</v>
      </c>
      <c r="E31" s="107" t="s">
        <v>16</v>
      </c>
      <c r="F31" s="45" t="s">
        <v>145</v>
      </c>
      <c r="G31" s="46" t="s">
        <v>140</v>
      </c>
      <c r="H31" s="45"/>
      <c r="I31" s="45"/>
      <c r="J31" s="45" t="s">
        <v>140</v>
      </c>
      <c r="K31" s="45"/>
    </row>
    <row r="32" spans="1:11" x14ac:dyDescent="0.25">
      <c r="A32" s="51" t="s">
        <v>40</v>
      </c>
      <c r="B32" s="45" t="s">
        <v>80</v>
      </c>
      <c r="C32" s="45">
        <v>9</v>
      </c>
      <c r="D32" s="45" t="str">
        <f>IFERROR(IF(INDEX('01.25'!D2:D500, MATCH(B32&amp;C32, INDEX('01.25'!B2:B500&amp;'01.25'!C2:C500, 0), 0))="", "", INDEX('01.25'!D2:D500, MATCH(B32&amp;C32, INDEX('01.25'!B2:B500&amp;'01.25'!C2:C500, 0), 0))), "")</f>
        <v>Maria Eduarda dos Santos Arias</v>
      </c>
      <c r="E32" s="108" t="s">
        <v>21</v>
      </c>
      <c r="F32" s="45"/>
      <c r="G32" s="52" t="s">
        <v>131</v>
      </c>
      <c r="H32" s="45"/>
      <c r="I32" s="45"/>
      <c r="J32" s="45" t="s">
        <v>140</v>
      </c>
      <c r="K32" s="45"/>
    </row>
    <row r="33" spans="1:11" x14ac:dyDescent="0.25">
      <c r="A33" s="44" t="s">
        <v>36</v>
      </c>
      <c r="B33" s="45" t="s">
        <v>98</v>
      </c>
      <c r="C33" s="45">
        <v>1</v>
      </c>
      <c r="D33" s="45" t="str">
        <f>IFERROR(IF(INDEX('01.25'!D2:D500, MATCH(B33&amp;C33, INDEX('01.25'!B2:B500&amp;'01.25'!C2:C500, 0), 0))="", "", INDEX('01.25'!D2:D500, MATCH(B33&amp;C33, INDEX('01.25'!B2:B500&amp;'01.25'!C2:C500, 0), 0))), "")</f>
        <v>Paulo Rogerio Hiroshi Fujii</v>
      </c>
      <c r="E33" s="107" t="s">
        <v>16</v>
      </c>
      <c r="F33" s="45" t="s">
        <v>146</v>
      </c>
      <c r="G33" s="46" t="s">
        <v>140</v>
      </c>
      <c r="H33" s="45"/>
      <c r="I33" s="45"/>
      <c r="J33" s="45" t="s">
        <v>140</v>
      </c>
      <c r="K33" s="45"/>
    </row>
    <row r="34" spans="1:11" x14ac:dyDescent="0.25">
      <c r="A34" s="44" t="s">
        <v>36</v>
      </c>
      <c r="B34" s="45" t="s">
        <v>99</v>
      </c>
      <c r="C34" s="45">
        <v>1</v>
      </c>
      <c r="D34" s="45" t="str">
        <f>IFERROR(IF(INDEX('01.25'!D2:D500, MATCH(B34&amp;C34, INDEX('01.25'!B2:B500&amp;'01.25'!C2:C500, 0), 0))="", "", INDEX('01.25'!D2:D500, MATCH(B34&amp;C34, INDEX('01.25'!B2:B500&amp;'01.25'!C2:C500, 0), 0))), "")</f>
        <v>Marlene R. Oliveira Dallacosta</v>
      </c>
      <c r="E34" s="107" t="s">
        <v>16</v>
      </c>
      <c r="F34" s="45" t="s">
        <v>141</v>
      </c>
      <c r="G34" s="46" t="s">
        <v>140</v>
      </c>
      <c r="H34" s="45"/>
      <c r="I34" s="45"/>
      <c r="J34" s="45" t="s">
        <v>140</v>
      </c>
      <c r="K34" s="45"/>
    </row>
    <row r="35" spans="1:11" x14ac:dyDescent="0.25">
      <c r="A35" s="47" t="s">
        <v>28</v>
      </c>
      <c r="B35" s="45" t="s">
        <v>94</v>
      </c>
      <c r="C35" s="45">
        <v>1</v>
      </c>
      <c r="D35" s="45" t="str">
        <f>IFERROR(IF(INDEX('01.25'!D2:D500, MATCH(B35&amp;C35, INDEX('01.25'!B2:B500&amp;'01.25'!C2:C500, 0), 0))="", "", INDEX('01.25'!D2:D500, MATCH(B35&amp;C35, INDEX('01.25'!B2:B500&amp;'01.25'!C2:C500, 0), 0))), "")</f>
        <v>Vitolor dos Santos Almeida</v>
      </c>
      <c r="E35" s="106" t="s">
        <v>18</v>
      </c>
      <c r="F35" s="45"/>
      <c r="G35" s="46" t="s">
        <v>140</v>
      </c>
      <c r="H35" s="45"/>
      <c r="I35" s="45"/>
      <c r="J35" s="45" t="s">
        <v>140</v>
      </c>
      <c r="K35" s="45"/>
    </row>
    <row r="36" spans="1:11" x14ac:dyDescent="0.25">
      <c r="A36" s="47" t="s">
        <v>28</v>
      </c>
      <c r="B36" s="45" t="s">
        <v>95</v>
      </c>
      <c r="C36" s="45">
        <v>1</v>
      </c>
      <c r="D36" s="45" t="str">
        <f>IFERROR(IF(INDEX('01.25'!D2:D500, MATCH(B36&amp;C36, INDEX('01.25'!B2:B500&amp;'01.25'!C2:C500, 0), 0))="", "", INDEX('01.25'!D2:D500, MATCH(B36&amp;C36, INDEX('01.25'!B2:B500&amp;'01.25'!C2:C500, 0), 0))), "")</f>
        <v>Kelly Jackeline Silva do Valle</v>
      </c>
      <c r="E36" s="106" t="s">
        <v>18</v>
      </c>
      <c r="F36" s="45"/>
      <c r="G36" s="46" t="s">
        <v>140</v>
      </c>
      <c r="H36" s="45"/>
      <c r="I36" s="45"/>
      <c r="J36" s="45" t="s">
        <v>140</v>
      </c>
      <c r="K36" s="45"/>
    </row>
    <row r="37" spans="1:11" x14ac:dyDescent="0.25">
      <c r="A37" s="47" t="s">
        <v>28</v>
      </c>
      <c r="B37" s="45" t="s">
        <v>96</v>
      </c>
      <c r="C37" s="45">
        <v>1</v>
      </c>
      <c r="D37" s="45" t="str">
        <f>IFERROR(IF(INDEX('01.25'!D2:D500, MATCH(B37&amp;C37, INDEX('01.25'!B2:B500&amp;'01.25'!C2:C500, 0), 0))="", "", INDEX('01.25'!D2:D500, MATCH(B37&amp;C37, INDEX('01.25'!B2:B500&amp;'01.25'!C2:C500, 0), 0))), "")</f>
        <v>Felipe Carvalho Zydek</v>
      </c>
      <c r="E37" s="106" t="s">
        <v>18</v>
      </c>
      <c r="F37" s="45"/>
      <c r="G37" s="46" t="s">
        <v>140</v>
      </c>
      <c r="H37" s="45"/>
      <c r="I37" s="45"/>
      <c r="J37" s="45" t="s">
        <v>140</v>
      </c>
      <c r="K37" s="45"/>
    </row>
    <row r="38" spans="1:11" x14ac:dyDescent="0.25">
      <c r="A38" s="48" t="s">
        <v>38</v>
      </c>
      <c r="B38" s="45" t="s">
        <v>107</v>
      </c>
      <c r="C38" s="45">
        <v>1</v>
      </c>
      <c r="D38" s="45" t="str">
        <f>IFERROR(IF(INDEX('01.25'!D2:D500, MATCH(B38&amp;C38, INDEX('01.25'!B2:B500&amp;'01.25'!C2:C500, 0), 0))="", "", INDEX('01.25'!D2:D500, MATCH(B38&amp;C38, INDEX('01.25'!B2:B500&amp;'01.25'!C2:C500, 0), 0))), "")</f>
        <v>Eliane Borin</v>
      </c>
      <c r="E38" s="106" t="s">
        <v>18</v>
      </c>
      <c r="F38" s="45"/>
      <c r="G38" s="46" t="s">
        <v>140</v>
      </c>
      <c r="H38" s="45"/>
      <c r="I38" s="45"/>
      <c r="J38" s="45" t="s">
        <v>140</v>
      </c>
      <c r="K38" s="45"/>
    </row>
    <row r="39" spans="1:11" x14ac:dyDescent="0.25">
      <c r="A39" s="50" t="s">
        <v>42</v>
      </c>
      <c r="B39" s="45" t="s">
        <v>117</v>
      </c>
      <c r="C39" s="45">
        <v>1</v>
      </c>
      <c r="D39" s="45" t="str">
        <f>IFERROR(IF(INDEX('01.25'!D2:D500, MATCH(B39&amp;C39, INDEX('01.25'!B2:B500&amp;'01.25'!C2:C500, 0), 0))="", "", INDEX('01.25'!D2:D500, MATCH(B39&amp;C39, INDEX('01.25'!B2:B500&amp;'01.25'!C2:C500, 0), 0))), "")</f>
        <v>Tatiana schrard</v>
      </c>
      <c r="E39" s="106" t="s">
        <v>18</v>
      </c>
      <c r="F39" s="45"/>
      <c r="G39" s="46" t="s">
        <v>140</v>
      </c>
      <c r="H39" s="45"/>
      <c r="I39" s="45"/>
      <c r="J39" s="45" t="s">
        <v>140</v>
      </c>
      <c r="K39" s="45"/>
    </row>
    <row r="40" spans="1:11" x14ac:dyDescent="0.25">
      <c r="A40" s="48" t="s">
        <v>38</v>
      </c>
      <c r="B40" s="45" t="s">
        <v>81</v>
      </c>
      <c r="C40" s="45">
        <v>1</v>
      </c>
      <c r="D40" s="45" t="str">
        <f>IFERROR(IF(INDEX('01.25'!D2:D500, MATCH(B40&amp;C40, INDEX('01.25'!B2:B500&amp;'01.25'!C2:C500, 0), 0))="", "", INDEX('01.25'!D2:D500, MATCH(B40&amp;C40, INDEX('01.25'!B2:B500&amp;'01.25'!C2:C500, 0), 0))), "")</f>
        <v>César Piva Glinglani</v>
      </c>
      <c r="E40" s="107" t="s">
        <v>16</v>
      </c>
      <c r="F40" s="45" t="s">
        <v>141</v>
      </c>
      <c r="G40" s="46" t="s">
        <v>140</v>
      </c>
      <c r="H40" s="45"/>
      <c r="I40" s="45"/>
      <c r="J40" s="45" t="s">
        <v>140</v>
      </c>
      <c r="K40" s="45"/>
    </row>
    <row r="41" spans="1:11" x14ac:dyDescent="0.25">
      <c r="A41" s="49" t="s">
        <v>43</v>
      </c>
      <c r="B41" s="45" t="s">
        <v>128</v>
      </c>
      <c r="C41" s="45">
        <v>1</v>
      </c>
      <c r="D41" s="45" t="str">
        <f>IFERROR(IF(INDEX('01.25'!D2:D500, MATCH(B41&amp;C41, INDEX('01.25'!B2:B500&amp;'01.25'!C2:C500, 0), 0))="", "", INDEX('01.25'!D2:D500, MATCH(B41&amp;C41, INDEX('01.25'!B2:B500&amp;'01.25'!C2:C500, 0), 0))), "")</f>
        <v>Ailton Carlos Fialho</v>
      </c>
      <c r="E41" s="106" t="s">
        <v>18</v>
      </c>
      <c r="F41" s="45"/>
      <c r="G41" s="46" t="s">
        <v>140</v>
      </c>
      <c r="H41" s="45"/>
      <c r="I41" s="45"/>
      <c r="J41" s="45" t="s">
        <v>140</v>
      </c>
      <c r="K41" s="45"/>
    </row>
    <row r="42" spans="1:11" x14ac:dyDescent="0.25">
      <c r="A42" s="50" t="s">
        <v>42</v>
      </c>
      <c r="B42" s="45" t="s">
        <v>82</v>
      </c>
      <c r="C42" s="45">
        <v>1</v>
      </c>
      <c r="D42" s="45" t="str">
        <f>IFERROR(IF(INDEX('01.25'!D2:D500, MATCH(B42&amp;C42, INDEX('01.25'!B2:B500&amp;'01.25'!C2:C500, 0), 0))="", "", INDEX('01.25'!D2:D500, MATCH(B42&amp;C42, INDEX('01.25'!B2:B500&amp;'01.25'!C2:C500, 0), 0))), "")</f>
        <v>Marcos José Chaves</v>
      </c>
      <c r="E42" s="107" t="s">
        <v>16</v>
      </c>
      <c r="F42" s="45" t="s">
        <v>145</v>
      </c>
      <c r="G42" s="46" t="s">
        <v>140</v>
      </c>
      <c r="H42" s="45"/>
      <c r="I42" s="45"/>
      <c r="J42" s="45" t="s">
        <v>140</v>
      </c>
      <c r="K42" s="45"/>
    </row>
    <row r="43" spans="1:11" x14ac:dyDescent="0.25">
      <c r="A43" s="50" t="s">
        <v>42</v>
      </c>
      <c r="B43" s="45" t="s">
        <v>82</v>
      </c>
      <c r="C43" s="45">
        <v>2</v>
      </c>
      <c r="D43" s="45" t="str">
        <f>IFERROR(IF(INDEX('01.25'!D2:D500, MATCH(B43&amp;C43, INDEX('01.25'!B2:B500&amp;'01.25'!C2:C500, 0), 0))="", "", INDEX('01.25'!D2:D500, MATCH(B43&amp;C43, INDEX('01.25'!B2:B500&amp;'01.25'!C2:C500, 0), 0))), "")</f>
        <v>Diego Matheus Reinicke</v>
      </c>
      <c r="E43" s="107" t="s">
        <v>16</v>
      </c>
      <c r="F43" s="45" t="s">
        <v>147</v>
      </c>
      <c r="G43" s="46" t="s">
        <v>140</v>
      </c>
      <c r="H43" s="45"/>
      <c r="I43" s="45"/>
      <c r="J43" s="45" t="s">
        <v>140</v>
      </c>
      <c r="K43" s="45"/>
    </row>
    <row r="44" spans="1:11" x14ac:dyDescent="0.25">
      <c r="A44" s="48" t="s">
        <v>38</v>
      </c>
      <c r="B44" s="45" t="s">
        <v>76</v>
      </c>
      <c r="C44" s="45">
        <v>1</v>
      </c>
      <c r="D44" s="45" t="str">
        <f>IFERROR(IF(INDEX('01.25'!D2:D500, MATCH(B44&amp;C44, INDEX('01.25'!B2:B500&amp;'01.25'!C2:C500, 0), 0))="", "", INDEX('01.25'!D2:D500, MATCH(B44&amp;C44, INDEX('01.25'!B2:B500&amp;'01.25'!C2:C500, 0), 0))), "")</f>
        <v>Cleiton Manske</v>
      </c>
      <c r="E44" s="107" t="s">
        <v>16</v>
      </c>
      <c r="F44" s="45" t="s">
        <v>141</v>
      </c>
      <c r="G44" s="46" t="s">
        <v>140</v>
      </c>
      <c r="H44" s="45"/>
      <c r="I44" s="45"/>
      <c r="J44" s="45" t="s">
        <v>140</v>
      </c>
      <c r="K44" s="45"/>
    </row>
    <row r="45" spans="1:11" x14ac:dyDescent="0.25">
      <c r="A45" s="50" t="s">
        <v>42</v>
      </c>
      <c r="B45" s="45" t="s">
        <v>118</v>
      </c>
      <c r="C45" s="45">
        <v>1</v>
      </c>
      <c r="D45" s="45" t="str">
        <f>IFERROR(IF(INDEX('01.25'!D2:D500, MATCH(B45&amp;C45, INDEX('01.25'!B2:B500&amp;'01.25'!C2:C500, 0), 0))="", "", INDEX('01.25'!D2:D500, MATCH(B45&amp;C45, INDEX('01.25'!B2:B500&amp;'01.25'!C2:C500, 0), 0))), "")</f>
        <v>Alexandro Aparecido de Lima Vieira</v>
      </c>
      <c r="E45" s="109" t="s">
        <v>19</v>
      </c>
      <c r="F45" s="45" t="s">
        <v>156</v>
      </c>
      <c r="G45" s="46" t="s">
        <v>140</v>
      </c>
      <c r="H45" s="45"/>
      <c r="I45" s="45"/>
      <c r="J45" s="45" t="s">
        <v>140</v>
      </c>
      <c r="K45" s="45"/>
    </row>
    <row r="46" spans="1:11" x14ac:dyDescent="0.25">
      <c r="A46" s="51" t="s">
        <v>40</v>
      </c>
      <c r="B46" s="45" t="s">
        <v>111</v>
      </c>
      <c r="C46" s="45">
        <v>1</v>
      </c>
      <c r="D46" s="45" t="str">
        <f>IFERROR(IF(INDEX('01.25'!D2:D500, MATCH(B46&amp;C46, INDEX('01.25'!B2:B500&amp;'01.25'!C2:C500, 0), 0))="", "", INDEX('01.25'!D2:D500, MATCH(B46&amp;C46, INDEX('01.25'!B2:B500&amp;'01.25'!C2:C500, 0), 0))), "")</f>
        <v>Rafael Henrique Caetano</v>
      </c>
      <c r="E46" s="107" t="s">
        <v>16</v>
      </c>
      <c r="F46" s="45" t="s">
        <v>148</v>
      </c>
      <c r="G46" s="46" t="s">
        <v>140</v>
      </c>
      <c r="H46" s="45"/>
      <c r="I46" s="45"/>
      <c r="J46" s="45" t="s">
        <v>140</v>
      </c>
      <c r="K46" s="45"/>
    </row>
    <row r="47" spans="1:11" x14ac:dyDescent="0.25">
      <c r="A47" s="44" t="s">
        <v>36</v>
      </c>
      <c r="B47" s="45" t="s">
        <v>100</v>
      </c>
      <c r="C47" s="45">
        <v>1</v>
      </c>
      <c r="D47" s="45" t="str">
        <f>IFERROR(IF(INDEX('01.25'!D2:D500, MATCH(B47&amp;C47, INDEX('01.25'!B2:B500&amp;'01.25'!C2:C500, 0), 0))="", "", INDEX('01.25'!D2:D500, MATCH(B47&amp;C47, INDEX('01.25'!B2:B500&amp;'01.25'!C2:C500, 0), 0))), "")</f>
        <v>Roberto Pedron</v>
      </c>
      <c r="E47" s="107" t="s">
        <v>16</v>
      </c>
      <c r="F47" s="45" t="s">
        <v>141</v>
      </c>
      <c r="G47" s="46" t="s">
        <v>140</v>
      </c>
      <c r="H47" s="45"/>
      <c r="I47" s="45"/>
      <c r="J47" s="45" t="s">
        <v>140</v>
      </c>
      <c r="K47" s="45"/>
    </row>
    <row r="48" spans="1:11" x14ac:dyDescent="0.25">
      <c r="A48" s="50" t="s">
        <v>42</v>
      </c>
      <c r="B48" s="45" t="s">
        <v>119</v>
      </c>
      <c r="C48" s="45">
        <v>1</v>
      </c>
      <c r="D48" s="45" t="str">
        <f>IFERROR(IF(INDEX('01.25'!D2:D500, MATCH(B48&amp;C48, INDEX('01.25'!B2:B500&amp;'01.25'!C2:C500, 0), 0))="", "", INDEX('01.25'!D2:D500, MATCH(B48&amp;C48, INDEX('01.25'!B2:B500&amp;'01.25'!C2:C500, 0), 0))), "")</f>
        <v>Luciane Spies</v>
      </c>
      <c r="E48" s="107" t="s">
        <v>16</v>
      </c>
      <c r="F48" s="45" t="s">
        <v>143</v>
      </c>
      <c r="G48" s="46" t="s">
        <v>140</v>
      </c>
      <c r="H48" s="45"/>
      <c r="I48" s="45"/>
      <c r="J48" s="45" t="s">
        <v>140</v>
      </c>
      <c r="K48" s="45"/>
    </row>
    <row r="49" spans="1:11" x14ac:dyDescent="0.25">
      <c r="A49" s="44" t="s">
        <v>36</v>
      </c>
      <c r="B49" s="45" t="s">
        <v>77</v>
      </c>
      <c r="C49" s="45">
        <v>1</v>
      </c>
      <c r="D49" s="45" t="str">
        <f>IFERROR(IF(INDEX('01.25'!D2:D500, MATCH(B49&amp;C49, INDEX('01.25'!B2:B500&amp;'01.25'!C2:C500, 0), 0))="", "", INDEX('01.25'!D2:D500, MATCH(B49&amp;C49, INDEX('01.25'!B2:B500&amp;'01.25'!C2:C500, 0), 0))), "")</f>
        <v>Jaqueline Fernanda Meireles</v>
      </c>
      <c r="E49" s="106" t="s">
        <v>18</v>
      </c>
      <c r="F49" s="53">
        <v>45649</v>
      </c>
      <c r="G49" s="52" t="s">
        <v>131</v>
      </c>
      <c r="H49" s="45" t="s">
        <v>157</v>
      </c>
      <c r="I49" s="45"/>
      <c r="J49" s="45" t="s">
        <v>140</v>
      </c>
      <c r="K49" s="45"/>
    </row>
    <row r="50" spans="1:11" x14ac:dyDescent="0.25">
      <c r="A50" s="48" t="s">
        <v>38</v>
      </c>
      <c r="B50" s="45" t="s">
        <v>108</v>
      </c>
      <c r="C50" s="45">
        <v>1</v>
      </c>
      <c r="D50" s="45" t="str">
        <f>IFERROR(IF(INDEX('01.25'!D2:D500, MATCH(B50&amp;C50, INDEX('01.25'!B2:B500&amp;'01.25'!C2:C500, 0), 0))="", "", INDEX('01.25'!D2:D500, MATCH(B50&amp;C50, INDEX('01.25'!B2:B500&amp;'01.25'!C2:C500, 0), 0))), "")</f>
        <v>Luiz Fernando Pereira Barbosa</v>
      </c>
      <c r="E50" s="106" t="s">
        <v>18</v>
      </c>
      <c r="F50" s="45"/>
      <c r="G50" s="46" t="s">
        <v>140</v>
      </c>
      <c r="H50" s="45"/>
      <c r="I50" s="45"/>
      <c r="J50" s="45" t="s">
        <v>140</v>
      </c>
      <c r="K50" s="45"/>
    </row>
    <row r="51" spans="1:11" x14ac:dyDescent="0.25">
      <c r="A51" s="44" t="s">
        <v>36</v>
      </c>
      <c r="B51" s="45" t="s">
        <v>101</v>
      </c>
      <c r="C51" s="45">
        <v>1</v>
      </c>
      <c r="D51" s="45" t="str">
        <f>IFERROR(IF(INDEX('01.25'!D2:D500, MATCH(B51&amp;C51, INDEX('01.25'!B2:B500&amp;'01.25'!C2:C500, 0), 0))="", "", INDEX('01.25'!D2:D500, MATCH(B51&amp;C51, INDEX('01.25'!B2:B500&amp;'01.25'!C2:C500, 0), 0))), "")</f>
        <v>Carolina Eggers</v>
      </c>
      <c r="E51" s="107" t="s">
        <v>16</v>
      </c>
      <c r="F51" s="45" t="s">
        <v>141</v>
      </c>
      <c r="G51" s="52" t="s">
        <v>131</v>
      </c>
      <c r="H51" s="45" t="s">
        <v>158</v>
      </c>
      <c r="I51" s="45"/>
      <c r="J51" s="45" t="s">
        <v>140</v>
      </c>
      <c r="K51" s="45"/>
    </row>
    <row r="52" spans="1:11" x14ac:dyDescent="0.25">
      <c r="A52" s="44" t="s">
        <v>36</v>
      </c>
      <c r="B52" s="45" t="s">
        <v>102</v>
      </c>
      <c r="C52" s="45">
        <v>1</v>
      </c>
      <c r="D52" s="45" t="str">
        <f>IFERROR(IF(INDEX('01.25'!D2:D500, MATCH(B52&amp;C52, INDEX('01.25'!B2:B500&amp;'01.25'!C2:C500, 0), 0))="", "", INDEX('01.25'!D2:D500, MATCH(B52&amp;C52, INDEX('01.25'!B2:B500&amp;'01.25'!C2:C500, 0), 0))), "")</f>
        <v>Ivan Gonçalves da Silva</v>
      </c>
      <c r="E52" s="107" t="s">
        <v>16</v>
      </c>
      <c r="F52" s="45" t="s">
        <v>141</v>
      </c>
      <c r="G52" s="46" t="s">
        <v>140</v>
      </c>
      <c r="H52" s="45"/>
      <c r="I52" s="45"/>
      <c r="J52" s="45" t="s">
        <v>140</v>
      </c>
      <c r="K52" s="45"/>
    </row>
    <row r="53" spans="1:11" x14ac:dyDescent="0.25">
      <c r="A53" s="48" t="s">
        <v>38</v>
      </c>
      <c r="B53" s="45" t="s">
        <v>83</v>
      </c>
      <c r="C53" s="45">
        <v>1</v>
      </c>
      <c r="D53" s="45" t="str">
        <f>IFERROR(IF(INDEX('01.25'!D2:D500, MATCH(B53&amp;C53, INDEX('01.25'!B2:B500&amp;'01.25'!C2:C500, 0), 0))="", "", INDEX('01.25'!D2:D500, MATCH(B53&amp;C53, INDEX('01.25'!B2:B500&amp;'01.25'!C2:C500, 0), 0))), "")</f>
        <v>Dorival Manoel Canhete</v>
      </c>
      <c r="E53" s="107" t="s">
        <v>16</v>
      </c>
      <c r="F53" s="45" t="s">
        <v>141</v>
      </c>
      <c r="G53" s="46" t="s">
        <v>140</v>
      </c>
      <c r="H53" s="45"/>
      <c r="I53" s="45"/>
      <c r="J53" s="45" t="s">
        <v>140</v>
      </c>
      <c r="K53" s="45"/>
    </row>
    <row r="54" spans="1:11" x14ac:dyDescent="0.25">
      <c r="A54" s="50" t="s">
        <v>42</v>
      </c>
      <c r="B54" s="45" t="s">
        <v>120</v>
      </c>
      <c r="C54" s="45">
        <v>1</v>
      </c>
      <c r="D54" s="45" t="str">
        <f>IFERROR(IF(INDEX('01.25'!D2:D500, MATCH(B54&amp;C54, INDEX('01.25'!B2:B500&amp;'01.25'!C2:C500, 0), 0))="", "", INDEX('01.25'!D2:D500, MATCH(B54&amp;C54, INDEX('01.25'!B2:B500&amp;'01.25'!C2:C500, 0), 0))), "")</f>
        <v>Jaqueline Vanelli</v>
      </c>
      <c r="E54" s="106" t="s">
        <v>18</v>
      </c>
      <c r="F54" s="45"/>
      <c r="G54" s="46" t="s">
        <v>140</v>
      </c>
      <c r="H54" s="45"/>
      <c r="I54" s="45"/>
      <c r="J54" s="45" t="s">
        <v>140</v>
      </c>
      <c r="K54" s="45"/>
    </row>
    <row r="55" spans="1:11" x14ac:dyDescent="0.25">
      <c r="A55" s="44" t="s">
        <v>36</v>
      </c>
      <c r="B55" s="45" t="s">
        <v>103</v>
      </c>
      <c r="C55" s="45">
        <v>1</v>
      </c>
      <c r="D55" s="45" t="str">
        <f>IFERROR(IF(INDEX('01.25'!D2:D500, MATCH(B55&amp;C55, INDEX('01.25'!B2:B500&amp;'01.25'!C2:C500, 0), 0))="", "", INDEX('01.25'!D2:D500, MATCH(B55&amp;C55, INDEX('01.25'!B2:B500&amp;'01.25'!C2:C500, 0), 0))), "")</f>
        <v>Fernanda Jung</v>
      </c>
      <c r="E55" s="107" t="s">
        <v>16</v>
      </c>
      <c r="F55" s="45" t="s">
        <v>141</v>
      </c>
      <c r="G55" s="52" t="s">
        <v>131</v>
      </c>
      <c r="H55" s="45" t="s">
        <v>150</v>
      </c>
      <c r="I55" s="45"/>
      <c r="J55" s="45" t="s">
        <v>140</v>
      </c>
      <c r="K55" s="45"/>
    </row>
    <row r="56" spans="1:11" x14ac:dyDescent="0.25">
      <c r="A56" s="50" t="s">
        <v>42</v>
      </c>
      <c r="B56" s="45" t="s">
        <v>121</v>
      </c>
      <c r="C56" s="45">
        <v>1</v>
      </c>
      <c r="D56" s="45" t="str">
        <f>IFERROR(IF(INDEX('01.25'!D2:D500, MATCH(B56&amp;C56, INDEX('01.25'!B2:B500&amp;'01.25'!C2:C500, 0), 0))="", "", INDEX('01.25'!D2:D500, MATCH(B56&amp;C56, INDEX('01.25'!B2:B500&amp;'01.25'!C2:C500, 0), 0))), "")</f>
        <v>Ana Paula Romagnoli</v>
      </c>
      <c r="E56" s="107" t="s">
        <v>16</v>
      </c>
      <c r="F56" s="45" t="s">
        <v>146</v>
      </c>
      <c r="G56" s="46" t="s">
        <v>140</v>
      </c>
      <c r="H56" s="45"/>
      <c r="I56" s="45"/>
      <c r="J56" s="45" t="s">
        <v>140</v>
      </c>
      <c r="K56" s="45"/>
    </row>
    <row r="57" spans="1:11" x14ac:dyDescent="0.25">
      <c r="A57" s="50" t="s">
        <v>42</v>
      </c>
      <c r="B57" s="45" t="s">
        <v>122</v>
      </c>
      <c r="C57" s="45">
        <v>1</v>
      </c>
      <c r="D57" s="45" t="str">
        <f>IFERROR(IF(INDEX('01.25'!D2:D500, MATCH(B57&amp;C57, INDEX('01.25'!B2:B500&amp;'01.25'!C2:C500, 0), 0))="", "", INDEX('01.25'!D2:D500, MATCH(B57&amp;C57, INDEX('01.25'!B2:B500&amp;'01.25'!C2:C500, 0), 0))), "")</f>
        <v>Alexandro Schaparini</v>
      </c>
      <c r="E57" s="107" t="s">
        <v>16</v>
      </c>
      <c r="F57" s="45" t="s">
        <v>147</v>
      </c>
      <c r="G57" s="46" t="s">
        <v>140</v>
      </c>
      <c r="H57" s="45"/>
      <c r="I57" s="45"/>
      <c r="J57" s="45" t="s">
        <v>140</v>
      </c>
      <c r="K57" s="45"/>
    </row>
    <row r="58" spans="1:11" x14ac:dyDescent="0.25">
      <c r="A58" s="49" t="s">
        <v>43</v>
      </c>
      <c r="B58" s="45" t="s">
        <v>129</v>
      </c>
      <c r="C58" s="45">
        <v>1</v>
      </c>
      <c r="D58" s="45" t="str">
        <f>IFERROR(IF(INDEX('01.25'!D2:D500, MATCH(B58&amp;C58, INDEX('01.25'!B2:B500&amp;'01.25'!C2:C500, 0), 0))="", "", INDEX('01.25'!D2:D500, MATCH(B58&amp;C58, INDEX('01.25'!B2:B500&amp;'01.25'!C2:C500, 0), 0))), "")</f>
        <v>Marina Ancelmo da Silva</v>
      </c>
      <c r="E58" s="106" t="s">
        <v>18</v>
      </c>
      <c r="F58" s="45"/>
      <c r="G58" s="46" t="s">
        <v>140</v>
      </c>
      <c r="H58" s="45"/>
      <c r="I58" s="45"/>
      <c r="J58" s="45" t="s">
        <v>140</v>
      </c>
      <c r="K58" s="45"/>
    </row>
    <row r="59" spans="1:11" x14ac:dyDescent="0.25">
      <c r="A59" s="49" t="s">
        <v>43</v>
      </c>
      <c r="B59" s="45" t="s">
        <v>130</v>
      </c>
      <c r="C59" s="45">
        <v>1</v>
      </c>
      <c r="D59" s="45" t="str">
        <f>IFERROR(IF(INDEX('01.25'!D2:D500, MATCH(B59&amp;C59, INDEX('01.25'!B2:B500&amp;'01.25'!C2:C500, 0), 0))="", "", INDEX('01.25'!D2:D500, MATCH(B59&amp;C59, INDEX('01.25'!B2:B500&amp;'01.25'!C2:C500, 0), 0))), "")</f>
        <v>Ana Carolina Peterle Ribeiro</v>
      </c>
      <c r="E59" s="106" t="s">
        <v>18</v>
      </c>
      <c r="F59" s="45"/>
      <c r="G59" s="46" t="s">
        <v>140</v>
      </c>
      <c r="H59" s="45"/>
      <c r="I59" s="45"/>
      <c r="J59" s="45" t="s">
        <v>140</v>
      </c>
      <c r="K59" s="45"/>
    </row>
    <row r="60" spans="1:11" x14ac:dyDescent="0.25">
      <c r="A60" s="51" t="s">
        <v>40</v>
      </c>
      <c r="B60" s="45" t="s">
        <v>112</v>
      </c>
      <c r="C60" s="45">
        <v>1</v>
      </c>
      <c r="D60" s="45" t="str">
        <f>IFERROR(IF(INDEX('01.25'!D2:D500, MATCH(B60&amp;C60, INDEX('01.25'!B2:B500&amp;'01.25'!C2:C500, 0), 0))="", "", INDEX('01.25'!D2:D500, MATCH(B60&amp;C60, INDEX('01.25'!B2:B500&amp;'01.25'!C2:C500, 0), 0))), "")</f>
        <v>Taiane Amélia Mondardo</v>
      </c>
      <c r="E60" s="107" t="s">
        <v>16</v>
      </c>
      <c r="F60" s="45" t="s">
        <v>148</v>
      </c>
      <c r="G60" s="46" t="s">
        <v>140</v>
      </c>
      <c r="H60" s="45"/>
      <c r="I60" s="45"/>
      <c r="J60" s="45" t="s">
        <v>140</v>
      </c>
      <c r="K60" s="45"/>
    </row>
    <row r="61" spans="1:11" x14ac:dyDescent="0.25">
      <c r="A61" s="44" t="s">
        <v>36</v>
      </c>
      <c r="B61" s="45" t="s">
        <v>104</v>
      </c>
      <c r="C61" s="45">
        <v>1</v>
      </c>
      <c r="D61" s="45" t="str">
        <f>IFERROR(IF(INDEX('01.25'!D2:D500, MATCH(B61&amp;C61, INDEX('01.25'!B2:B500&amp;'01.25'!C2:C500, 0), 0))="", "", INDEX('01.25'!D2:D500, MATCH(B61&amp;C61, INDEX('01.25'!B2:B500&amp;'01.25'!C2:C500, 0), 0))), "")</f>
        <v>Regiane Lucia Pereira</v>
      </c>
      <c r="E61" s="107" t="s">
        <v>16</v>
      </c>
      <c r="F61" s="45" t="s">
        <v>146</v>
      </c>
      <c r="G61" s="46" t="s">
        <v>140</v>
      </c>
      <c r="H61" s="45"/>
      <c r="I61" s="45"/>
      <c r="J61" s="45" t="s">
        <v>140</v>
      </c>
      <c r="K61" s="45"/>
    </row>
    <row r="62" spans="1:11" x14ac:dyDescent="0.25">
      <c r="A62" s="51" t="s">
        <v>40</v>
      </c>
      <c r="B62" s="45" t="s">
        <v>113</v>
      </c>
      <c r="C62" s="45">
        <v>1</v>
      </c>
      <c r="D62" s="45" t="str">
        <f>IFERROR(IF(INDEX('01.25'!D2:D500, MATCH(B62&amp;C62, INDEX('01.25'!B2:B500&amp;'01.25'!C2:C500, 0), 0))="", "", INDEX('01.25'!D2:D500, MATCH(B62&amp;C62, INDEX('01.25'!B2:B500&amp;'01.25'!C2:C500, 0), 0))), "")</f>
        <v>Andryws Rafael Gois</v>
      </c>
      <c r="E62" s="107" t="s">
        <v>16</v>
      </c>
      <c r="F62" s="45" t="s">
        <v>152</v>
      </c>
      <c r="G62" s="46" t="s">
        <v>140</v>
      </c>
      <c r="H62" s="45"/>
      <c r="I62" s="45"/>
      <c r="J62" s="45" t="s">
        <v>140</v>
      </c>
      <c r="K62" s="45"/>
    </row>
    <row r="63" spans="1:11" x14ac:dyDescent="0.25">
      <c r="A63" s="50" t="s">
        <v>42</v>
      </c>
      <c r="B63" s="45" t="s">
        <v>123</v>
      </c>
      <c r="C63" s="45">
        <v>1</v>
      </c>
      <c r="D63" s="45" t="str">
        <f>IFERROR(IF(INDEX('01.25'!D2:D500, MATCH(B63&amp;C63, INDEX('01.25'!B2:B500&amp;'01.25'!C2:C500, 0), 0))="", "", INDEX('01.25'!D2:D500, MATCH(B63&amp;C63, INDEX('01.25'!B2:B500&amp;'01.25'!C2:C500, 0), 0))), "")</f>
        <v>Mayara Ketllyn de Paula Rosetti</v>
      </c>
      <c r="E63" s="107" t="s">
        <v>16</v>
      </c>
      <c r="F63" s="45" t="s">
        <v>159</v>
      </c>
      <c r="G63" s="46" t="s">
        <v>140</v>
      </c>
      <c r="H63" s="45"/>
      <c r="I63" s="45"/>
      <c r="J63" s="45" t="s">
        <v>140</v>
      </c>
      <c r="K63" s="45"/>
    </row>
    <row r="64" spans="1:11" x14ac:dyDescent="0.25">
      <c r="A64" s="51" t="s">
        <v>40</v>
      </c>
      <c r="B64" s="45" t="s">
        <v>114</v>
      </c>
      <c r="C64" s="45">
        <v>1</v>
      </c>
      <c r="D64" s="45" t="str">
        <f>IFERROR(IF(INDEX('01.25'!D2:D500, MATCH(B64&amp;C64, INDEX('01.25'!B2:B500&amp;'01.25'!C2:C500, 0), 0))="", "", INDEX('01.25'!D2:D500, MATCH(B64&amp;C64, INDEX('01.25'!B2:B500&amp;'01.25'!C2:C500, 0), 0))), "")</f>
        <v>Junior Andre Britzke</v>
      </c>
      <c r="E64" s="107" t="s">
        <v>16</v>
      </c>
      <c r="F64" s="45" t="s">
        <v>143</v>
      </c>
      <c r="G64" s="46" t="s">
        <v>140</v>
      </c>
      <c r="H64" s="45"/>
      <c r="I64" s="45"/>
      <c r="J64" s="45" t="s">
        <v>140</v>
      </c>
      <c r="K64" s="45"/>
    </row>
    <row r="65" spans="1:11" x14ac:dyDescent="0.25">
      <c r="A65" s="44" t="s">
        <v>36</v>
      </c>
      <c r="B65" s="45" t="s">
        <v>105</v>
      </c>
      <c r="C65" s="45">
        <v>1</v>
      </c>
      <c r="D65" s="45" t="str">
        <f>IFERROR(IF(INDEX('01.25'!D2:D500, MATCH(B65&amp;C65, INDEX('01.25'!B2:B500&amp;'01.25'!C2:C500, 0), 0))="", "", INDEX('01.25'!D2:D500, MATCH(B65&amp;C65, INDEX('01.25'!B2:B500&amp;'01.25'!C2:C500, 0), 0))), "")</f>
        <v>Adriano Pereira Guedes</v>
      </c>
      <c r="E65" s="107" t="s">
        <v>16</v>
      </c>
      <c r="F65" s="45" t="s">
        <v>141</v>
      </c>
      <c r="G65" s="46" t="s">
        <v>140</v>
      </c>
      <c r="H65" s="45"/>
      <c r="I65" s="45"/>
      <c r="J65" s="45" t="s">
        <v>140</v>
      </c>
      <c r="K65" s="45"/>
    </row>
    <row r="66" spans="1:11" x14ac:dyDescent="0.25">
      <c r="A66" s="44" t="s">
        <v>36</v>
      </c>
      <c r="B66" s="45" t="s">
        <v>106</v>
      </c>
      <c r="C66" s="45">
        <v>1</v>
      </c>
      <c r="D66" s="45" t="str">
        <f>IFERROR(IF(INDEX('01.25'!D2:D500, MATCH(B66&amp;C66, INDEX('01.25'!B2:B500&amp;'01.25'!C2:C500, 0), 0))="", "", INDEX('01.25'!D2:D500, MATCH(B66&amp;C66, INDEX('01.25'!B2:B500&amp;'01.25'!C2:C500, 0), 0))), "")</f>
        <v xml:space="preserve">Suzana Cristina de Almeida </v>
      </c>
      <c r="E66" s="106" t="s">
        <v>18</v>
      </c>
      <c r="F66" s="45"/>
      <c r="G66" s="46" t="s">
        <v>140</v>
      </c>
      <c r="H66" s="45"/>
      <c r="I66" s="45"/>
      <c r="J66" s="45" t="s">
        <v>140</v>
      </c>
      <c r="K66" s="45"/>
    </row>
    <row r="67" spans="1:11" x14ac:dyDescent="0.25">
      <c r="A67" s="47" t="s">
        <v>28</v>
      </c>
      <c r="B67" s="45" t="s">
        <v>85</v>
      </c>
      <c r="C67" s="45">
        <v>1</v>
      </c>
      <c r="D67" s="45" t="str">
        <f>IFERROR(IF(INDEX('01.25'!D2:D500, MATCH(B67&amp;C67, INDEX('01.25'!B2:B500&amp;'01.25'!C2:C500, 0), 0))="", "", INDEX('01.25'!D2:D500, MATCH(B67&amp;C67, INDEX('01.25'!B2:B500&amp;'01.25'!C2:C500, 0), 0))), "")</f>
        <v>Alice Cristiane Zancheta</v>
      </c>
      <c r="E67" s="106" t="s">
        <v>18</v>
      </c>
      <c r="F67" s="45"/>
      <c r="G67" s="46" t="s">
        <v>140</v>
      </c>
      <c r="H67" s="45"/>
      <c r="I67" s="45"/>
      <c r="J67" s="45" t="s">
        <v>140</v>
      </c>
      <c r="K67" s="45"/>
    </row>
    <row r="68" spans="1:11" x14ac:dyDescent="0.25">
      <c r="A68" s="48" t="s">
        <v>38</v>
      </c>
      <c r="B68" s="45" t="s">
        <v>109</v>
      </c>
      <c r="C68" s="45">
        <v>1</v>
      </c>
      <c r="D68" s="45" t="str">
        <f>IFERROR(IF(INDEX('01.25'!D2:D500, MATCH(B68&amp;C68, INDEX('01.25'!B2:B500&amp;'01.25'!C2:C500, 0), 0))="", "", INDEX('01.25'!D2:D500, MATCH(B68&amp;C68, INDEX('01.25'!B2:B500&amp;'01.25'!C2:C500, 0), 0))), "")</f>
        <v>Fernanda kaezer de Godoy</v>
      </c>
      <c r="E68" s="107" t="s">
        <v>16</v>
      </c>
      <c r="F68" s="45" t="s">
        <v>152</v>
      </c>
      <c r="G68" s="46" t="s">
        <v>140</v>
      </c>
      <c r="H68" s="45"/>
      <c r="I68" s="45"/>
      <c r="J68" s="45" t="s">
        <v>140</v>
      </c>
      <c r="K68" s="45"/>
    </row>
    <row r="69" spans="1:11" x14ac:dyDescent="0.25">
      <c r="A69" s="48" t="s">
        <v>38</v>
      </c>
      <c r="B69" s="45" t="s">
        <v>110</v>
      </c>
      <c r="C69" s="45">
        <v>1</v>
      </c>
      <c r="D69" s="45" t="str">
        <f>IFERROR(IF(INDEX('01.25'!D2:D500, MATCH(B69&amp;C69, INDEX('01.25'!B2:B500&amp;'01.25'!C2:C500, 0), 0))="", "", INDEX('01.25'!D2:D500, MATCH(B69&amp;C69, INDEX('01.25'!B2:B500&amp;'01.25'!C2:C500, 0), 0))), "")</f>
        <v xml:space="preserve">Ademir Papini Júnior </v>
      </c>
      <c r="E69" s="106" t="s">
        <v>18</v>
      </c>
      <c r="F69" s="45"/>
      <c r="G69" s="46" t="s">
        <v>140</v>
      </c>
      <c r="H69" s="45"/>
      <c r="I69" s="45"/>
      <c r="J69" s="45" t="s">
        <v>140</v>
      </c>
      <c r="K69" s="45"/>
    </row>
    <row r="70" spans="1:11" x14ac:dyDescent="0.25">
      <c r="A70" s="50" t="s">
        <v>42</v>
      </c>
      <c r="B70" s="45" t="s">
        <v>124</v>
      </c>
      <c r="C70" s="45">
        <v>1</v>
      </c>
      <c r="D70" s="45" t="str">
        <f>IFERROR(IF(INDEX('01.25'!D2:D500, MATCH(B70&amp;C70, INDEX('01.25'!B2:B500&amp;'01.25'!C2:C500, 0), 0))="", "", INDEX('01.25'!D2:D500, MATCH(B70&amp;C70, INDEX('01.25'!B2:B500&amp;'01.25'!C2:C500, 0), 0))), "")</f>
        <v>Heloísa Maria Beloni Insenha</v>
      </c>
      <c r="E70" s="106" t="s">
        <v>18</v>
      </c>
      <c r="F70" s="45"/>
      <c r="G70" s="46" t="s">
        <v>140</v>
      </c>
      <c r="H70" s="45"/>
      <c r="I70" s="45"/>
      <c r="J70" s="45" t="s">
        <v>140</v>
      </c>
      <c r="K70" s="45"/>
    </row>
  </sheetData>
  <autoFilter ref="A1:G1" xr:uid="{00000000-0009-0000-0000-000005000000}"/>
  <conditionalFormatting sqref="E2:E70">
    <cfRule type="cellIs" dxfId="168" priority="6" stopIfTrue="1" operator="equal">
      <formula>"Enviado"</formula>
    </cfRule>
    <cfRule type="cellIs" dxfId="167" priority="7" stopIfTrue="1" operator="equal">
      <formula>"Atrasado"</formula>
    </cfRule>
    <cfRule type="cellIs" dxfId="166" priority="8" stopIfTrue="1" operator="equal">
      <formula>"Atrasado &gt;= 2"</formula>
    </cfRule>
    <cfRule type="cellIs" dxfId="165" priority="9" stopIfTrue="1" operator="equal">
      <formula>"Outras Ocorrências"</formula>
    </cfRule>
    <cfRule type="cellIs" dxfId="164" priority="10" stopIfTrue="1" operator="equal">
      <formula>"Sem Técnico"</formula>
    </cfRule>
    <cfRule type="cellIs" dxfId="163" priority="11" stopIfTrue="1" operator="equal">
      <formula>"Duplicado"</formula>
    </cfRule>
  </conditionalFormatting>
  <conditionalFormatting sqref="G2:G70">
    <cfRule type="cellIs" dxfId="162" priority="1" stopIfTrue="1" operator="equal">
      <formula>"Sim"</formula>
    </cfRule>
    <cfRule type="cellIs" dxfId="161" priority="3" stopIfTrue="1" operator="equal">
      <formula>"Não"</formula>
    </cfRule>
  </conditionalFormatting>
  <conditionalFormatting sqref="J2:J70">
    <cfRule type="cellIs" dxfId="160" priority="4" stopIfTrue="1" operator="equal">
      <formula>"Sim"</formula>
    </cfRule>
    <cfRule type="cellIs" dxfId="159" priority="4" stopIfTrue="1" operator="equal">
      <formula>"Não"</formula>
    </cfRule>
    <cfRule type="cellIs" dxfId="158" priority="5" stopIfTrue="1" operator="equal">
      <formula>"Em Análise"</formula>
    </cfRule>
  </conditionalFormatting>
  <dataValidations count="3">
    <dataValidation type="list" allowBlank="1" sqref="G2 G3 G4 G5 G6 G7 G8 G9 G10 G11 G12 G13 G14 G15 G16 G17 G18 G19 G20 G21 G22 G23 G24 G25 G26 G27 G28 G29 G30 G31 G32 G33 G34 G35 G36 G37 G38 G39 G40 G41 G42 G43 G44 G45 G46 G47 G48 G49 G50 G51 G52 G53 G54 G55 G56 G57 G58 G59 G60 G61 G62 G63 G64 G65 G66 G67 G68 G69 G70" xr:uid="{00000000-0002-0000-0500-000000000000}">
      <formula1>"Sim,Não"</formula1>
    </dataValidation>
    <dataValidation type="list" allowBlank="1" sqref="J2 J3 J4 J5 J6 J7 J8 J9 J10 J11 J12 J13 J14 J15 J16 J17 J18 J19 J20 J21 J22 J23 J24 J25 J26 J27 J28 J29 J30 J31 J32 J33 J34 J35 J36 J37 J38 J39 J40 J41 J42 J43 J44 J45 J46 J47 J48 J49 J50 J51 J52 J53 J54 J55 J56 J57 J58 J59 J60 J61 J62 J63 J64 J65 J66 J67 J68 J69 J70" xr:uid="{00000000-0002-0000-0500-000001000000}">
      <formula1>"Sim,Não,Em Análise"</formula1>
    </dataValidation>
    <dataValidation type="list" allowBlank="1" sqref="E2 E3 E4 E5 E6 E7 E8 E9 E10 E11 E12 E13 E14 E15 E16 E17 E18 E19 E20 E21 E22 E23 E24 E25 E26 E27 E28 E29 E30 E31 E32 E33 E34 E35 E36 E37 E38 E39 E40 E41 E42 E43 E44 E45 E46 E47 E48 E49 E50 E51 E52 E53 E54 E55 E56 E57 E58 E59 E60 E61 E62 E63 E64 E65 E66 E67 E68 E69 E70" xr:uid="{00000000-0002-0000-0500-000002000000}">
      <formula1>"Enviado, Atrasado, Atrasado &gt;= 2, Outras Ocorrências, Sem Técnico, Duplicado"</formula1>
    </dataValidation>
  </dataValidation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filterMode="1"/>
  <dimension ref="A1:K70"/>
  <sheetViews>
    <sheetView workbookViewId="0">
      <pane xSplit="3" topLeftCell="D1" activePane="topRight" state="frozen"/>
      <selection pane="topRight" activeCell="G81" sqref="G81"/>
    </sheetView>
  </sheetViews>
  <sheetFormatPr defaultRowHeight="15" x14ac:dyDescent="0.25"/>
  <cols>
    <col min="1" max="1" width="14" customWidth="1"/>
    <col min="2" max="2" width="30" customWidth="1"/>
    <col min="3" max="3" width="8" customWidth="1"/>
    <col min="4" max="4" width="45" customWidth="1"/>
    <col min="5" max="5" width="18" customWidth="1"/>
    <col min="6" max="6" width="39" customWidth="1"/>
    <col min="7" max="7" width="27" customWidth="1"/>
    <col min="8" max="8" width="169" customWidth="1"/>
    <col min="9" max="9" width="34" customWidth="1"/>
    <col min="10" max="10" width="25" customWidth="1"/>
    <col min="11" max="11" width="70.28515625" bestFit="1" customWidth="1"/>
  </cols>
  <sheetData>
    <row r="1" spans="1:11" x14ac:dyDescent="0.25">
      <c r="A1" s="43" t="s">
        <v>27</v>
      </c>
      <c r="B1" s="43" t="s">
        <v>70</v>
      </c>
      <c r="C1" s="43" t="s">
        <v>71</v>
      </c>
      <c r="D1" s="43" t="s">
        <v>132</v>
      </c>
      <c r="E1" s="43" t="s">
        <v>133</v>
      </c>
      <c r="F1" s="43" t="s">
        <v>134</v>
      </c>
      <c r="G1" s="43" t="s">
        <v>135</v>
      </c>
      <c r="H1" s="43" t="s">
        <v>136</v>
      </c>
      <c r="I1" s="43" t="s">
        <v>137</v>
      </c>
      <c r="J1" s="43" t="s">
        <v>138</v>
      </c>
      <c r="K1" s="43" t="s">
        <v>139</v>
      </c>
    </row>
    <row r="2" spans="1:11" hidden="1" x14ac:dyDescent="0.25">
      <c r="A2" s="44" t="s">
        <v>36</v>
      </c>
      <c r="B2" s="45" t="s">
        <v>97</v>
      </c>
      <c r="C2" s="45">
        <v>1</v>
      </c>
      <c r="D2" s="45" t="str">
        <f>IFERROR(IF(INDEX('01.25'!D2:D500, MATCH(B2&amp;C2, INDEX('01.25'!B2:B500&amp;'01.25'!C2:C500, 0), 0))="", "", INDEX('01.25'!D2:D500, MATCH(B2&amp;C2, INDEX('01.25'!B2:B500&amp;'01.25'!C2:C500, 0), 0))), "")</f>
        <v>Paula Tatiana Santana Vechi</v>
      </c>
      <c r="E2" s="107" t="s">
        <v>16</v>
      </c>
      <c r="F2" s="45" t="s">
        <v>160</v>
      </c>
      <c r="G2" s="52" t="s">
        <v>131</v>
      </c>
      <c r="H2" s="45" t="s">
        <v>161</v>
      </c>
      <c r="I2" s="45"/>
      <c r="J2" s="45" t="s">
        <v>140</v>
      </c>
      <c r="K2" s="45"/>
    </row>
    <row r="3" spans="1:11" hidden="1" x14ac:dyDescent="0.25">
      <c r="A3" s="47" t="s">
        <v>28</v>
      </c>
      <c r="B3" s="45" t="s">
        <v>87</v>
      </c>
      <c r="C3" s="45">
        <v>1</v>
      </c>
      <c r="D3" s="45" t="str">
        <f>IFERROR(IF(INDEX('01.25'!D2:D500, MATCH(B3&amp;C3, INDEX('01.25'!B2:B500&amp;'01.25'!C2:C500, 0), 0))="", "", INDEX('01.25'!D2:D500, MATCH(B3&amp;C3, INDEX('01.25'!B2:B500&amp;'01.25'!C2:C500, 0), 0))), "")</f>
        <v>Willian de Oliveira Lino</v>
      </c>
      <c r="E3" s="107" t="s">
        <v>16</v>
      </c>
      <c r="F3" s="45" t="s">
        <v>160</v>
      </c>
      <c r="G3" s="52" t="s">
        <v>131</v>
      </c>
      <c r="H3" s="45" t="s">
        <v>162</v>
      </c>
      <c r="I3" s="45"/>
      <c r="J3" s="45" t="s">
        <v>140</v>
      </c>
      <c r="K3" s="45"/>
    </row>
    <row r="4" spans="1:11" hidden="1" x14ac:dyDescent="0.25">
      <c r="A4" s="48" t="s">
        <v>38</v>
      </c>
      <c r="B4" s="45" t="s">
        <v>78</v>
      </c>
      <c r="C4" s="45">
        <v>1</v>
      </c>
      <c r="D4" s="45" t="str">
        <f>IFERROR(IF(INDEX('01.25'!D2:D500, MATCH(B4&amp;C4, INDEX('01.25'!B2:B500&amp;'01.25'!C2:C500, 0), 0))="", "", INDEX('01.25'!D2:D500, MATCH(B4&amp;C4, INDEX('01.25'!B2:B500&amp;'01.25'!C2:C500, 0), 0))), "")</f>
        <v>Gisele Cássia Tamparowsky de Oliveira</v>
      </c>
      <c r="E4" s="107" t="s">
        <v>16</v>
      </c>
      <c r="F4" s="45" t="s">
        <v>155</v>
      </c>
      <c r="G4" s="52" t="s">
        <v>131</v>
      </c>
      <c r="H4" s="45" t="s">
        <v>163</v>
      </c>
      <c r="I4" s="45" t="s">
        <v>164</v>
      </c>
      <c r="J4" s="45" t="s">
        <v>131</v>
      </c>
      <c r="K4" s="45" t="s">
        <v>165</v>
      </c>
    </row>
    <row r="5" spans="1:11" hidden="1" x14ac:dyDescent="0.25">
      <c r="A5" s="47" t="s">
        <v>28</v>
      </c>
      <c r="B5" s="45" t="s">
        <v>88</v>
      </c>
      <c r="C5" s="45">
        <v>1</v>
      </c>
      <c r="D5" s="45" t="str">
        <f>IFERROR(IF(INDEX('01.25'!D2:D500, MATCH(B5&amp;C5, INDEX('01.25'!B2:B500&amp;'01.25'!C2:C500, 0), 0))="", "", INDEX('01.25'!D2:D500, MATCH(B5&amp;C5, INDEX('01.25'!B2:B500&amp;'01.25'!C2:C500, 0), 0))), "")</f>
        <v>Marcos Gabriel Franciosi Borges</v>
      </c>
      <c r="E5" s="107" t="s">
        <v>16</v>
      </c>
      <c r="F5" s="45" t="s">
        <v>166</v>
      </c>
      <c r="G5" s="52" t="s">
        <v>131</v>
      </c>
      <c r="H5" s="45" t="s">
        <v>167</v>
      </c>
      <c r="I5" s="45"/>
      <c r="J5" s="45" t="s">
        <v>140</v>
      </c>
      <c r="K5" s="45"/>
    </row>
    <row r="6" spans="1:11" hidden="1" x14ac:dyDescent="0.25">
      <c r="A6" s="47" t="s">
        <v>28</v>
      </c>
      <c r="B6" s="45" t="s">
        <v>89</v>
      </c>
      <c r="C6" s="45">
        <v>1</v>
      </c>
      <c r="D6" s="45" t="str">
        <f>IFERROR(IF(INDEX('01.25'!D2:D500, MATCH(B6&amp;C6, INDEX('01.25'!B2:B500&amp;'01.25'!C2:C500, 0), 0))="", "", INDEX('01.25'!D2:D500, MATCH(B6&amp;C6, INDEX('01.25'!B2:B500&amp;'01.25'!C2:C500, 0), 0))), "")</f>
        <v>Chayla Bianca Gazoli</v>
      </c>
      <c r="E6" s="107" t="s">
        <v>16</v>
      </c>
      <c r="F6" s="45" t="s">
        <v>168</v>
      </c>
      <c r="G6" s="52" t="s">
        <v>131</v>
      </c>
      <c r="H6" s="45" t="s">
        <v>169</v>
      </c>
      <c r="I6" s="45" t="s">
        <v>170</v>
      </c>
      <c r="J6" s="45" t="s">
        <v>131</v>
      </c>
      <c r="K6" s="45" t="s">
        <v>171</v>
      </c>
    </row>
    <row r="7" spans="1:11" hidden="1" x14ac:dyDescent="0.25">
      <c r="A7" s="48" t="s">
        <v>38</v>
      </c>
      <c r="B7" s="45" t="s">
        <v>84</v>
      </c>
      <c r="C7" s="45">
        <v>1</v>
      </c>
      <c r="D7" s="45" t="str">
        <f>IFERROR(IF(INDEX('01.25'!D2:D500, MATCH(B7&amp;C7, INDEX('01.25'!B2:B500&amp;'01.25'!C2:C500, 0), 0))="", "", INDEX('01.25'!D2:D500, MATCH(B7&amp;C7, INDEX('01.25'!B2:B500&amp;'01.25'!C2:C500, 0), 0))), "")</f>
        <v>Solange Maria Masqueti</v>
      </c>
      <c r="E7" s="109" t="s">
        <v>19</v>
      </c>
      <c r="F7" s="45" t="s">
        <v>172</v>
      </c>
      <c r="G7" s="46" t="s">
        <v>140</v>
      </c>
      <c r="H7" s="45"/>
      <c r="I7" s="45"/>
      <c r="J7" s="45" t="s">
        <v>140</v>
      </c>
      <c r="K7" s="45"/>
    </row>
    <row r="8" spans="1:11" hidden="1" x14ac:dyDescent="0.25">
      <c r="A8" s="48" t="s">
        <v>38</v>
      </c>
      <c r="B8" s="45" t="s">
        <v>79</v>
      </c>
      <c r="C8" s="45">
        <v>1</v>
      </c>
      <c r="D8" s="45" t="str">
        <f>IFERROR(IF(INDEX('01.25'!D2:D500, MATCH(B8&amp;C8, INDEX('01.25'!B2:B500&amp;'01.25'!C2:C500, 0), 0))="", "", INDEX('01.25'!D2:D500, MATCH(B8&amp;C8, INDEX('01.25'!B2:B500&amp;'01.25'!C2:C500, 0), 0))), "")</f>
        <v>Cristiane Petry Vieira</v>
      </c>
      <c r="E8" s="107" t="s">
        <v>16</v>
      </c>
      <c r="F8" s="45" t="s">
        <v>173</v>
      </c>
      <c r="G8" s="46" t="s">
        <v>140</v>
      </c>
      <c r="H8" s="45"/>
      <c r="I8" s="45"/>
      <c r="J8" s="45" t="s">
        <v>140</v>
      </c>
      <c r="K8" s="45"/>
    </row>
    <row r="9" spans="1:11" hidden="1" x14ac:dyDescent="0.25">
      <c r="A9" s="47" t="s">
        <v>28</v>
      </c>
      <c r="B9" s="45" t="s">
        <v>90</v>
      </c>
      <c r="C9" s="45">
        <v>1</v>
      </c>
      <c r="D9" s="45" t="str">
        <f>IFERROR(IF(INDEX('01.25'!D2:D500, MATCH(B9&amp;C9, INDEX('01.25'!B2:B500&amp;'01.25'!C2:C500, 0), 0))="", "", INDEX('01.25'!D2:D500, MATCH(B9&amp;C9, INDEX('01.25'!B2:B500&amp;'01.25'!C2:C500, 0), 0))), "")</f>
        <v>Diego Hemerich</v>
      </c>
      <c r="E9" s="107" t="s">
        <v>16</v>
      </c>
      <c r="F9" s="45" t="s">
        <v>160</v>
      </c>
      <c r="G9" s="52" t="s">
        <v>131</v>
      </c>
      <c r="H9" s="45" t="s">
        <v>174</v>
      </c>
      <c r="I9" s="45"/>
      <c r="J9" s="45" t="s">
        <v>140</v>
      </c>
      <c r="K9" s="45"/>
    </row>
    <row r="10" spans="1:11" hidden="1" x14ac:dyDescent="0.25">
      <c r="A10" s="49" t="s">
        <v>43</v>
      </c>
      <c r="B10" s="45" t="s">
        <v>125</v>
      </c>
      <c r="C10" s="45">
        <v>1</v>
      </c>
      <c r="D10" s="45" t="str">
        <f>IFERROR(IF(INDEX('01.25'!D2:D500, MATCH(B10&amp;C10, INDEX('01.25'!B2:B500&amp;'01.25'!C2:C500, 0), 0))="", "", INDEX('01.25'!D2:D500, MATCH(B10&amp;C10, INDEX('01.25'!B2:B500&amp;'01.25'!C2:C500, 0), 0))), "")</f>
        <v>Tatiane Girardi</v>
      </c>
      <c r="E10" s="107" t="s">
        <v>16</v>
      </c>
      <c r="F10" s="45" t="s">
        <v>175</v>
      </c>
      <c r="G10" s="52" t="s">
        <v>131</v>
      </c>
      <c r="H10" s="45" t="s">
        <v>176</v>
      </c>
      <c r="I10" s="45" t="s">
        <v>177</v>
      </c>
      <c r="J10" s="45" t="s">
        <v>131</v>
      </c>
      <c r="K10" s="45" t="s">
        <v>178</v>
      </c>
    </row>
    <row r="11" spans="1:11" hidden="1" x14ac:dyDescent="0.25">
      <c r="A11" s="49" t="s">
        <v>43</v>
      </c>
      <c r="B11" s="45" t="s">
        <v>126</v>
      </c>
      <c r="C11" s="45">
        <v>1</v>
      </c>
      <c r="D11" s="45" t="str">
        <f>IFERROR(IF(INDEX('01.25'!D2:D500, MATCH(B11&amp;C11, INDEX('01.25'!B2:B500&amp;'01.25'!C2:C500, 0), 0))="", "", INDEX('01.25'!D2:D500, MATCH(B11&amp;C11, INDEX('01.25'!B2:B500&amp;'01.25'!C2:C500, 0), 0))), "")</f>
        <v>Edson Batista de Castro</v>
      </c>
      <c r="E11" s="109" t="s">
        <v>19</v>
      </c>
      <c r="F11" s="45" t="s">
        <v>179</v>
      </c>
      <c r="G11" s="46" t="s">
        <v>140</v>
      </c>
      <c r="H11" s="45"/>
      <c r="I11" s="45"/>
      <c r="J11" s="45" t="s">
        <v>140</v>
      </c>
      <c r="K11" s="45"/>
    </row>
    <row r="12" spans="1:11" hidden="1" x14ac:dyDescent="0.25">
      <c r="A12" s="49" t="s">
        <v>43</v>
      </c>
      <c r="B12" s="45" t="s">
        <v>126</v>
      </c>
      <c r="C12" s="45">
        <v>2</v>
      </c>
      <c r="D12" s="45" t="str">
        <f>IFERROR(IF(INDEX('01.25'!D2:D500, MATCH(B12&amp;C12, INDEX('01.25'!B2:B500&amp;'01.25'!C2:C500, 0), 0))="", "", INDEX('01.25'!D2:D500, MATCH(B12&amp;C12, INDEX('01.25'!B2:B500&amp;'01.25'!C2:C500, 0), 0))), "")</f>
        <v>Gabriela Fernanda Sandri</v>
      </c>
      <c r="E12" s="107" t="s">
        <v>16</v>
      </c>
      <c r="F12" s="45" t="s">
        <v>180</v>
      </c>
      <c r="G12" s="46" t="s">
        <v>140</v>
      </c>
      <c r="H12" s="45"/>
      <c r="I12" s="45"/>
      <c r="J12" s="45" t="s">
        <v>140</v>
      </c>
      <c r="K12" s="45"/>
    </row>
    <row r="13" spans="1:11" hidden="1" x14ac:dyDescent="0.25">
      <c r="A13" s="49" t="s">
        <v>43</v>
      </c>
      <c r="B13" s="45" t="s">
        <v>126</v>
      </c>
      <c r="C13" s="45">
        <v>3</v>
      </c>
      <c r="D13" s="45" t="str">
        <f>IFERROR(IF(INDEX('01.25'!D2:D500, MATCH(B13&amp;C13, INDEX('01.25'!B2:B500&amp;'01.25'!C2:C500, 0), 0))="", "", INDEX('01.25'!D2:D500, MATCH(B13&amp;C13, INDEX('01.25'!B2:B500&amp;'01.25'!C2:C500, 0), 0))), "")</f>
        <v>Eduarda Rohden Donasolo</v>
      </c>
      <c r="E13" s="107" t="s">
        <v>16</v>
      </c>
      <c r="F13" s="45" t="s">
        <v>160</v>
      </c>
      <c r="G13" s="46" t="s">
        <v>140</v>
      </c>
      <c r="H13" s="45"/>
      <c r="I13" s="45"/>
      <c r="J13" s="45" t="s">
        <v>140</v>
      </c>
      <c r="K13" s="45"/>
    </row>
    <row r="14" spans="1:11" hidden="1" x14ac:dyDescent="0.25">
      <c r="A14" s="49" t="s">
        <v>43</v>
      </c>
      <c r="B14" s="45" t="s">
        <v>126</v>
      </c>
      <c r="C14" s="45">
        <v>4</v>
      </c>
      <c r="D14" s="45" t="str">
        <f>IFERROR(IF(INDEX('01.25'!D2:D500, MATCH(B14&amp;C14, INDEX('01.25'!B2:B500&amp;'01.25'!C2:C500, 0), 0))="", "", INDEX('01.25'!D2:D500, MATCH(B14&amp;C14, INDEX('01.25'!B2:B500&amp;'01.25'!C2:C500, 0), 0))), "")</f>
        <v>Mauricio Pinto de Lima</v>
      </c>
      <c r="E14" s="107" t="s">
        <v>16</v>
      </c>
      <c r="F14" s="45" t="s">
        <v>181</v>
      </c>
      <c r="G14" s="46" t="s">
        <v>140</v>
      </c>
      <c r="H14" s="45"/>
      <c r="I14" s="45"/>
      <c r="J14" s="45" t="s">
        <v>140</v>
      </c>
      <c r="K14" s="45"/>
    </row>
    <row r="15" spans="1:11" hidden="1" x14ac:dyDescent="0.25">
      <c r="A15" s="49" t="s">
        <v>43</v>
      </c>
      <c r="B15" s="45" t="s">
        <v>126</v>
      </c>
      <c r="C15" s="45">
        <v>5</v>
      </c>
      <c r="D15" s="45" t="str">
        <f>IFERROR(IF(INDEX('01.25'!D2:D500, MATCH(B15&amp;C15, INDEX('01.25'!B2:B500&amp;'01.25'!C2:C500, 0), 0))="", "", INDEX('01.25'!D2:D500, MATCH(B15&amp;C15, INDEX('01.25'!B2:B500&amp;'01.25'!C2:C500, 0), 0))), "")</f>
        <v xml:space="preserve">Débora Laize Lampert Gnass </v>
      </c>
      <c r="E15" s="107" t="s">
        <v>16</v>
      </c>
      <c r="F15" s="45" t="s">
        <v>160</v>
      </c>
      <c r="G15" s="46" t="s">
        <v>140</v>
      </c>
      <c r="H15" s="45"/>
      <c r="I15" s="45"/>
      <c r="J15" s="45" t="s">
        <v>140</v>
      </c>
      <c r="K15" s="45"/>
    </row>
    <row r="16" spans="1:11" hidden="1" x14ac:dyDescent="0.25">
      <c r="A16" s="49" t="s">
        <v>43</v>
      </c>
      <c r="B16" s="45" t="s">
        <v>126</v>
      </c>
      <c r="C16" s="45">
        <v>6</v>
      </c>
      <c r="D16" s="45" t="str">
        <f>IFERROR(IF(INDEX('01.25'!D2:D500, MATCH(B16&amp;C16, INDEX('01.25'!B2:B500&amp;'01.25'!C2:C500, 0), 0))="", "", INDEX('01.25'!D2:D500, MATCH(B16&amp;C16, INDEX('01.25'!B2:B500&amp;'01.25'!C2:C500, 0), 0))), "")</f>
        <v/>
      </c>
      <c r="E16" s="107" t="s">
        <v>16</v>
      </c>
      <c r="F16" s="45" t="s">
        <v>182</v>
      </c>
      <c r="G16" s="46" t="s">
        <v>140</v>
      </c>
      <c r="H16" s="45"/>
      <c r="I16" s="45"/>
      <c r="J16" s="45" t="s">
        <v>140</v>
      </c>
      <c r="K16" s="45"/>
    </row>
    <row r="17" spans="1:11" hidden="1" x14ac:dyDescent="0.25">
      <c r="A17" s="47" t="s">
        <v>28</v>
      </c>
      <c r="B17" s="45" t="s">
        <v>91</v>
      </c>
      <c r="C17" s="45">
        <v>1</v>
      </c>
      <c r="D17" s="45" t="str">
        <f>IFERROR(IF(INDEX('01.25'!D2:D500, MATCH(B17&amp;C17, INDEX('01.25'!B2:B500&amp;'01.25'!C2:C500, 0), 0))="", "", INDEX('01.25'!D2:D500, MATCH(B17&amp;C17, INDEX('01.25'!B2:B500&amp;'01.25'!C2:C500, 0), 0))), "")</f>
        <v>Cristina Harumi Enokida</v>
      </c>
      <c r="E17" s="107" t="s">
        <v>16</v>
      </c>
      <c r="F17" s="45" t="s">
        <v>183</v>
      </c>
      <c r="G17" s="52" t="s">
        <v>131</v>
      </c>
      <c r="H17" s="45"/>
      <c r="I17" s="45"/>
      <c r="J17" s="45" t="s">
        <v>140</v>
      </c>
      <c r="K17" s="45"/>
    </row>
    <row r="18" spans="1:11" hidden="1" x14ac:dyDescent="0.25">
      <c r="A18" s="49" t="s">
        <v>43</v>
      </c>
      <c r="B18" s="45" t="s">
        <v>127</v>
      </c>
      <c r="C18" s="45">
        <v>1</v>
      </c>
      <c r="D18" s="45" t="str">
        <f>IFERROR(IF(INDEX('01.25'!D2:D500, MATCH(B18&amp;C18, INDEX('01.25'!B2:B500&amp;'01.25'!C2:C500, 0), 0))="", "", INDEX('01.25'!D2:D500, MATCH(B18&amp;C18, INDEX('01.25'!B2:B500&amp;'01.25'!C2:C500, 0), 0))), "")</f>
        <v>Douglas de Mattia</v>
      </c>
      <c r="E18" s="109" t="s">
        <v>19</v>
      </c>
      <c r="F18" s="45" t="s">
        <v>184</v>
      </c>
      <c r="G18" s="46" t="s">
        <v>140</v>
      </c>
      <c r="H18" s="45" t="s">
        <v>185</v>
      </c>
      <c r="I18" s="45"/>
      <c r="J18" s="45" t="s">
        <v>140</v>
      </c>
      <c r="K18" s="45"/>
    </row>
    <row r="19" spans="1:11" hidden="1" x14ac:dyDescent="0.25">
      <c r="A19" s="47" t="s">
        <v>28</v>
      </c>
      <c r="B19" s="45" t="s">
        <v>92</v>
      </c>
      <c r="C19" s="45">
        <v>1</v>
      </c>
      <c r="D19" s="45" t="str">
        <f>IFERROR(IF(INDEX('01.25'!D2:D500, MATCH(B19&amp;C19, INDEX('01.25'!B2:B500&amp;'01.25'!C2:C500, 0), 0))="", "", INDEX('01.25'!D2:D500, MATCH(B19&amp;C19, INDEX('01.25'!B2:B500&amp;'01.25'!C2:C500, 0), 0))), "")</f>
        <v>Vanderson Pasetti</v>
      </c>
      <c r="E19" s="107" t="s">
        <v>16</v>
      </c>
      <c r="F19" s="45" t="s">
        <v>160</v>
      </c>
      <c r="G19" s="52" t="s">
        <v>131</v>
      </c>
      <c r="H19" s="45" t="s">
        <v>186</v>
      </c>
      <c r="I19" s="45"/>
      <c r="J19" s="45" t="s">
        <v>140</v>
      </c>
      <c r="K19" s="45"/>
    </row>
    <row r="20" spans="1:11" x14ac:dyDescent="0.25">
      <c r="A20" s="50" t="s">
        <v>42</v>
      </c>
      <c r="B20" s="45" t="s">
        <v>115</v>
      </c>
      <c r="C20" s="45">
        <v>1</v>
      </c>
      <c r="D20" s="45" t="str">
        <f>IFERROR(IF(INDEX('01.25'!D2:D500, MATCH(B20&amp;C20, INDEX('01.25'!B2:B500&amp;'01.25'!C2:C500, 0), 0))="", "", INDEX('01.25'!D2:D500, MATCH(B20&amp;C20, INDEX('01.25'!B2:B500&amp;'01.25'!C2:C500, 0), 0))), "")</f>
        <v>Bruna Schneider Guimarães</v>
      </c>
      <c r="E20" s="107" t="s">
        <v>16</v>
      </c>
      <c r="F20" s="45" t="s">
        <v>187</v>
      </c>
      <c r="G20" s="52" t="s">
        <v>131</v>
      </c>
      <c r="H20" s="45"/>
      <c r="I20" s="45"/>
      <c r="J20" s="45" t="s">
        <v>140</v>
      </c>
      <c r="K20" s="45"/>
    </row>
    <row r="21" spans="1:11" hidden="1" x14ac:dyDescent="0.25">
      <c r="A21" s="47" t="s">
        <v>28</v>
      </c>
      <c r="B21" s="45" t="s">
        <v>93</v>
      </c>
      <c r="C21" s="45">
        <v>1</v>
      </c>
      <c r="D21" s="45" t="str">
        <f>IFERROR(IF(INDEX('01.25'!D2:D500, MATCH(B21&amp;C21, INDEX('01.25'!B2:B500&amp;'01.25'!C2:C500, 0), 0))="", "", INDEX('01.25'!D2:D500, MATCH(B21&amp;C21, INDEX('01.25'!B2:B500&amp;'01.25'!C2:C500, 0), 0))), "")</f>
        <v>Keilla Avezedo</v>
      </c>
      <c r="E21" s="107" t="s">
        <v>16</v>
      </c>
      <c r="F21" s="45" t="s">
        <v>187</v>
      </c>
      <c r="G21" s="52" t="s">
        <v>131</v>
      </c>
      <c r="H21" s="45"/>
      <c r="I21" s="45"/>
      <c r="J21" s="45" t="s">
        <v>140</v>
      </c>
      <c r="K21" s="45"/>
    </row>
    <row r="22" spans="1:11" x14ac:dyDescent="0.25">
      <c r="A22" s="50" t="s">
        <v>42</v>
      </c>
      <c r="B22" s="45" t="s">
        <v>116</v>
      </c>
      <c r="C22" s="45">
        <v>1</v>
      </c>
      <c r="D22" s="45" t="str">
        <f>IFERROR(IF(INDEX('01.25'!D2:D500, MATCH(B22&amp;C22, INDEX('01.25'!B2:B500&amp;'01.25'!C2:C500, 0), 0))="", "", INDEX('01.25'!D2:D500, MATCH(B22&amp;C22, INDEX('01.25'!B2:B500&amp;'01.25'!C2:C500, 0), 0))), "")</f>
        <v>Carmen Maria Stein Weiler</v>
      </c>
      <c r="E22" s="107" t="s">
        <v>16</v>
      </c>
      <c r="F22" s="45" t="s">
        <v>188</v>
      </c>
      <c r="G22" s="52" t="s">
        <v>131</v>
      </c>
      <c r="H22" s="45"/>
      <c r="I22" s="45"/>
      <c r="J22" s="45" t="s">
        <v>140</v>
      </c>
      <c r="K22" s="45"/>
    </row>
    <row r="23" spans="1:11" hidden="1" x14ac:dyDescent="0.25">
      <c r="A23" s="48" t="s">
        <v>38</v>
      </c>
      <c r="B23" s="54" t="s">
        <v>75</v>
      </c>
      <c r="C23" s="45">
        <v>1</v>
      </c>
      <c r="D23" s="45" t="str">
        <f>IFERROR(IF(INDEX('01.25'!D2:D500, MATCH(B23&amp;C23, INDEX('01.25'!B2:B500&amp;'01.25'!C2:C500, 0), 0))="", "", INDEX('01.25'!D2:D500, MATCH(B23&amp;C23, INDEX('01.25'!B2:B500&amp;'01.25'!C2:C500, 0), 0))), "")</f>
        <v>Thiago Varaschim Cenci</v>
      </c>
      <c r="E23" s="107" t="s">
        <v>16</v>
      </c>
      <c r="F23" s="45" t="s">
        <v>189</v>
      </c>
      <c r="G23" s="46" t="s">
        <v>140</v>
      </c>
      <c r="H23" s="45"/>
      <c r="I23" s="45" t="s">
        <v>190</v>
      </c>
      <c r="J23" s="45" t="s">
        <v>687</v>
      </c>
      <c r="K23" s="45" t="s">
        <v>688</v>
      </c>
    </row>
    <row r="24" spans="1:11" hidden="1" x14ac:dyDescent="0.25">
      <c r="A24" s="51" t="s">
        <v>40</v>
      </c>
      <c r="B24" s="45" t="s">
        <v>80</v>
      </c>
      <c r="C24" s="45">
        <v>1</v>
      </c>
      <c r="D24" s="45" t="str">
        <f>IFERROR(IF(INDEX('01.25'!D2:D500, MATCH(B24&amp;C24, INDEX('01.25'!B2:B500&amp;'01.25'!C2:C500, 0), 0))="", "", INDEX('01.25'!D2:D500, MATCH(B24&amp;C24, INDEX('01.25'!B2:B500&amp;'01.25'!C2:C500, 0), 0))), "")</f>
        <v>Éber Alexandre Nascimento Araújo</v>
      </c>
      <c r="E24" s="108" t="s">
        <v>21</v>
      </c>
      <c r="F24" s="45"/>
      <c r="G24" s="52" t="s">
        <v>131</v>
      </c>
      <c r="H24" s="45"/>
      <c r="I24" s="45"/>
      <c r="J24" s="45" t="s">
        <v>140</v>
      </c>
      <c r="K24" s="45"/>
    </row>
    <row r="25" spans="1:11" hidden="1" x14ac:dyDescent="0.25">
      <c r="A25" s="51" t="s">
        <v>40</v>
      </c>
      <c r="B25" s="45" t="s">
        <v>80</v>
      </c>
      <c r="C25" s="45">
        <v>2</v>
      </c>
      <c r="D25" s="45" t="str">
        <f>IFERROR(IF(INDEX('01.25'!D2:D500, MATCH(B25&amp;C25, INDEX('01.25'!B2:B500&amp;'01.25'!C2:C500, 0), 0))="", "", INDEX('01.25'!D2:D500, MATCH(B25&amp;C25, INDEX('01.25'!B2:B500&amp;'01.25'!C2:C500, 0), 0))), "")</f>
        <v>Andrea Carla Winkelmann</v>
      </c>
      <c r="E25" s="107" t="s">
        <v>16</v>
      </c>
      <c r="F25" s="45" t="s">
        <v>191</v>
      </c>
      <c r="G25" s="52" t="s">
        <v>131</v>
      </c>
      <c r="H25" s="45" t="s">
        <v>192</v>
      </c>
      <c r="I25" s="45"/>
      <c r="J25" s="45" t="s">
        <v>140</v>
      </c>
      <c r="K25" s="45"/>
    </row>
    <row r="26" spans="1:11" hidden="1" x14ac:dyDescent="0.25">
      <c r="A26" s="51" t="s">
        <v>40</v>
      </c>
      <c r="B26" s="45" t="s">
        <v>80</v>
      </c>
      <c r="C26" s="45">
        <v>3</v>
      </c>
      <c r="D26" s="45" t="str">
        <f>IFERROR(IF(INDEX('01.25'!D2:D500, MATCH(B26&amp;C26, INDEX('01.25'!B2:B500&amp;'01.25'!C2:C500, 0), 0))="", "", INDEX('01.25'!D2:D500, MATCH(B26&amp;C26, INDEX('01.25'!B2:B500&amp;'01.25'!C2:C500, 0), 0))), "")</f>
        <v>Lorizete de Andrade</v>
      </c>
      <c r="E26" s="107" t="s">
        <v>16</v>
      </c>
      <c r="F26" s="45" t="s">
        <v>191</v>
      </c>
      <c r="G26" s="52" t="s">
        <v>131</v>
      </c>
      <c r="H26" s="45" t="s">
        <v>193</v>
      </c>
      <c r="I26" s="45"/>
      <c r="J26" s="45" t="s">
        <v>140</v>
      </c>
      <c r="K26" s="45"/>
    </row>
    <row r="27" spans="1:11" hidden="1" x14ac:dyDescent="0.25">
      <c r="A27" s="51" t="s">
        <v>40</v>
      </c>
      <c r="B27" s="45" t="s">
        <v>80</v>
      </c>
      <c r="C27" s="45">
        <v>4</v>
      </c>
      <c r="D27" s="45" t="str">
        <f>IFERROR(IF(INDEX('01.25'!D2:D500, MATCH(B27&amp;C27, INDEX('01.25'!B2:B500&amp;'01.25'!C2:C500, 0), 0))="", "", INDEX('01.25'!D2:D500, MATCH(B27&amp;C27, INDEX('01.25'!B2:B500&amp;'01.25'!C2:C500, 0), 0))), "")</f>
        <v>Andressa Maia</v>
      </c>
      <c r="E27" s="107" t="s">
        <v>16</v>
      </c>
      <c r="F27" s="45" t="s">
        <v>191</v>
      </c>
      <c r="G27" s="52" t="s">
        <v>131</v>
      </c>
      <c r="H27" s="45" t="s">
        <v>193</v>
      </c>
      <c r="I27" s="45"/>
      <c r="J27" s="45" t="s">
        <v>140</v>
      </c>
      <c r="K27" s="45"/>
    </row>
    <row r="28" spans="1:11" hidden="1" x14ac:dyDescent="0.25">
      <c r="A28" s="51" t="s">
        <v>40</v>
      </c>
      <c r="B28" s="45" t="s">
        <v>80</v>
      </c>
      <c r="C28" s="45">
        <v>5</v>
      </c>
      <c r="D28" s="45" t="str">
        <f>IFERROR(IF(INDEX('01.25'!D2:D500, MATCH(B28&amp;C28, INDEX('01.25'!B2:B500&amp;'01.25'!C2:C500, 0), 0))="", "", INDEX('01.25'!D2:D500, MATCH(B28&amp;C28, INDEX('01.25'!B2:B500&amp;'01.25'!C2:C500, 0), 0))), "")</f>
        <v>Lucas Correia de Souza</v>
      </c>
      <c r="E28" s="107" t="s">
        <v>16</v>
      </c>
      <c r="F28" s="45" t="s">
        <v>191</v>
      </c>
      <c r="G28" s="52" t="s">
        <v>131</v>
      </c>
      <c r="H28" s="45" t="s">
        <v>194</v>
      </c>
      <c r="I28" s="45"/>
      <c r="J28" s="45" t="s">
        <v>140</v>
      </c>
      <c r="K28" s="45"/>
    </row>
    <row r="29" spans="1:11" hidden="1" x14ac:dyDescent="0.25">
      <c r="A29" s="51" t="s">
        <v>40</v>
      </c>
      <c r="B29" s="45" t="s">
        <v>80</v>
      </c>
      <c r="C29" s="45">
        <v>6</v>
      </c>
      <c r="D29" s="45" t="str">
        <f>IFERROR(IF(INDEX('01.25'!D2:D500, MATCH(B29&amp;C29, INDEX('01.25'!B2:B500&amp;'01.25'!C2:C500, 0), 0))="", "", INDEX('01.25'!D2:D500, MATCH(B29&amp;C29, INDEX('01.25'!B2:B500&amp;'01.25'!C2:C500, 0), 0))), "")</f>
        <v>Jose Francisco Mariano de Faria Filho</v>
      </c>
      <c r="E29" s="107" t="s">
        <v>16</v>
      </c>
      <c r="F29" s="45" t="s">
        <v>191</v>
      </c>
      <c r="G29" s="52" t="s">
        <v>131</v>
      </c>
      <c r="H29" s="45" t="s">
        <v>195</v>
      </c>
      <c r="I29" s="45"/>
      <c r="J29" s="45" t="s">
        <v>140</v>
      </c>
      <c r="K29" s="45"/>
    </row>
    <row r="30" spans="1:11" hidden="1" x14ac:dyDescent="0.25">
      <c r="A30" s="51" t="s">
        <v>40</v>
      </c>
      <c r="B30" s="45" t="s">
        <v>80</v>
      </c>
      <c r="C30" s="45">
        <v>7</v>
      </c>
      <c r="D30" s="45" t="str">
        <f>IFERROR(IF(INDEX('01.25'!D2:D500, MATCH(B30&amp;C30, INDEX('01.25'!B2:B500&amp;'01.25'!C2:C500, 0), 0))="", "", INDEX('01.25'!D2:D500, MATCH(B30&amp;C30, INDEX('01.25'!B2:B500&amp;'01.25'!C2:C500, 0), 0))), "")</f>
        <v>Pedro Henrique Mariano de Faria</v>
      </c>
      <c r="E30" s="107" t="s">
        <v>16</v>
      </c>
      <c r="F30" s="45" t="s">
        <v>191</v>
      </c>
      <c r="G30" s="52" t="s">
        <v>131</v>
      </c>
      <c r="H30" s="45" t="s">
        <v>195</v>
      </c>
      <c r="I30" s="45"/>
      <c r="J30" s="45" t="s">
        <v>140</v>
      </c>
      <c r="K30" s="45"/>
    </row>
    <row r="31" spans="1:11" hidden="1" x14ac:dyDescent="0.25">
      <c r="A31" s="51" t="s">
        <v>40</v>
      </c>
      <c r="B31" s="45" t="s">
        <v>80</v>
      </c>
      <c r="C31" s="45">
        <v>8</v>
      </c>
      <c r="D31" s="45" t="str">
        <f>IFERROR(IF(INDEX('01.25'!D2:D500, MATCH(B31&amp;C31, INDEX('01.25'!B2:B500&amp;'01.25'!C2:C500, 0), 0))="", "", INDEX('01.25'!D2:D500, MATCH(B31&amp;C31, INDEX('01.25'!B2:B500&amp;'01.25'!C2:C500, 0), 0))), "")</f>
        <v>Renata Aparecida de Souza</v>
      </c>
      <c r="E31" s="107" t="s">
        <v>16</v>
      </c>
      <c r="F31" s="45" t="s">
        <v>191</v>
      </c>
      <c r="G31" s="52" t="s">
        <v>131</v>
      </c>
      <c r="H31" s="45" t="s">
        <v>192</v>
      </c>
      <c r="I31" s="45"/>
      <c r="J31" s="45" t="s">
        <v>140</v>
      </c>
      <c r="K31" s="45"/>
    </row>
    <row r="32" spans="1:11" hidden="1" x14ac:dyDescent="0.25">
      <c r="A32" s="51" t="s">
        <v>40</v>
      </c>
      <c r="B32" s="45" t="s">
        <v>80</v>
      </c>
      <c r="C32" s="45">
        <v>9</v>
      </c>
      <c r="D32" s="45" t="str">
        <f>IFERROR(IF(INDEX('01.25'!D2:D500, MATCH(B32&amp;C32, INDEX('01.25'!B2:B500&amp;'01.25'!C2:C500, 0), 0))="", "", INDEX('01.25'!D2:D500, MATCH(B32&amp;C32, INDEX('01.25'!B2:B500&amp;'01.25'!C2:C500, 0), 0))), "")</f>
        <v>Maria Eduarda dos Santos Arias</v>
      </c>
      <c r="E32" s="108" t="s">
        <v>21</v>
      </c>
      <c r="F32" s="45"/>
      <c r="G32" s="52" t="s">
        <v>131</v>
      </c>
      <c r="H32" s="45"/>
      <c r="I32" s="45"/>
      <c r="J32" s="45" t="s">
        <v>140</v>
      </c>
      <c r="K32" s="45"/>
    </row>
    <row r="33" spans="1:11" hidden="1" x14ac:dyDescent="0.25">
      <c r="A33" s="44" t="s">
        <v>36</v>
      </c>
      <c r="B33" s="45" t="s">
        <v>98</v>
      </c>
      <c r="C33" s="45">
        <v>1</v>
      </c>
      <c r="D33" s="45" t="str">
        <f>IFERROR(IF(INDEX('01.25'!D2:D500, MATCH(B33&amp;C33, INDEX('01.25'!B2:B500&amp;'01.25'!C2:C500, 0), 0))="", "", INDEX('01.25'!D2:D500, MATCH(B33&amp;C33, INDEX('01.25'!B2:B500&amp;'01.25'!C2:C500, 0), 0))), "")</f>
        <v>Paulo Rogerio Hiroshi Fujii</v>
      </c>
      <c r="E33" s="107" t="s">
        <v>16</v>
      </c>
      <c r="F33" s="45" t="s">
        <v>187</v>
      </c>
      <c r="G33" s="46" t="s">
        <v>140</v>
      </c>
      <c r="H33" s="45"/>
      <c r="I33" s="45"/>
      <c r="J33" s="45" t="s">
        <v>140</v>
      </c>
      <c r="K33" s="45"/>
    </row>
    <row r="34" spans="1:11" hidden="1" x14ac:dyDescent="0.25">
      <c r="A34" s="44" t="s">
        <v>36</v>
      </c>
      <c r="B34" s="45" t="s">
        <v>99</v>
      </c>
      <c r="C34" s="45">
        <v>1</v>
      </c>
      <c r="D34" s="45" t="str">
        <f>IFERROR(IF(INDEX('01.25'!D2:D500, MATCH(B34&amp;C34, INDEX('01.25'!B2:B500&amp;'01.25'!C2:C500, 0), 0))="", "", INDEX('01.25'!D2:D500, MATCH(B34&amp;C34, INDEX('01.25'!B2:B500&amp;'01.25'!C2:C500, 0), 0))), "")</f>
        <v>Marlene R. Oliveira Dallacosta</v>
      </c>
      <c r="E34" s="107" t="s">
        <v>16</v>
      </c>
      <c r="F34" s="45" t="s">
        <v>187</v>
      </c>
      <c r="G34" s="46" t="s">
        <v>140</v>
      </c>
      <c r="H34" s="45"/>
      <c r="I34" s="45"/>
      <c r="J34" s="45" t="s">
        <v>140</v>
      </c>
      <c r="K34" s="45"/>
    </row>
    <row r="35" spans="1:11" hidden="1" x14ac:dyDescent="0.25">
      <c r="A35" s="47" t="s">
        <v>28</v>
      </c>
      <c r="B35" s="45" t="s">
        <v>94</v>
      </c>
      <c r="C35" s="45">
        <v>1</v>
      </c>
      <c r="D35" s="45" t="str">
        <f>IFERROR(IF(INDEX('01.25'!D2:D500, MATCH(B35&amp;C35, INDEX('01.25'!B2:B500&amp;'01.25'!C2:C500, 0), 0))="", "", INDEX('01.25'!D2:D500, MATCH(B35&amp;C35, INDEX('01.25'!B2:B500&amp;'01.25'!C2:C500, 0), 0))), "")</f>
        <v>Vitolor dos Santos Almeida</v>
      </c>
      <c r="E35" s="107" t="s">
        <v>16</v>
      </c>
      <c r="F35" s="45" t="s">
        <v>187</v>
      </c>
      <c r="G35" s="52" t="s">
        <v>131</v>
      </c>
      <c r="H35" s="45" t="s">
        <v>196</v>
      </c>
      <c r="I35" s="45"/>
      <c r="J35" s="45" t="s">
        <v>140</v>
      </c>
      <c r="K35" s="45"/>
    </row>
    <row r="36" spans="1:11" hidden="1" x14ac:dyDescent="0.25">
      <c r="A36" s="47" t="s">
        <v>28</v>
      </c>
      <c r="B36" s="45" t="s">
        <v>95</v>
      </c>
      <c r="C36" s="45">
        <v>1</v>
      </c>
      <c r="D36" s="45" t="str">
        <f>IFERROR(IF(INDEX('01.25'!D2:D500, MATCH(B36&amp;C36, INDEX('01.25'!B2:B500&amp;'01.25'!C2:C500, 0), 0))="", "", INDEX('01.25'!D2:D500, MATCH(B36&amp;C36, INDEX('01.25'!B2:B500&amp;'01.25'!C2:C500, 0), 0))), "")</f>
        <v>Kelly Jackeline Silva do Valle</v>
      </c>
      <c r="E36" s="107" t="s">
        <v>16</v>
      </c>
      <c r="F36" s="45" t="s">
        <v>197</v>
      </c>
      <c r="G36" s="52" t="s">
        <v>131</v>
      </c>
      <c r="H36" s="45" t="s">
        <v>198</v>
      </c>
      <c r="I36" s="45" t="s">
        <v>199</v>
      </c>
      <c r="J36" s="45" t="s">
        <v>131</v>
      </c>
      <c r="K36" s="45" t="s">
        <v>200</v>
      </c>
    </row>
    <row r="37" spans="1:11" hidden="1" x14ac:dyDescent="0.25">
      <c r="A37" s="47" t="s">
        <v>28</v>
      </c>
      <c r="B37" s="45" t="s">
        <v>96</v>
      </c>
      <c r="C37" s="45">
        <v>1</v>
      </c>
      <c r="D37" s="45" t="str">
        <f>IFERROR(IF(INDEX('01.25'!D2:D500, MATCH(B37&amp;C37, INDEX('01.25'!B2:B500&amp;'01.25'!C2:C500, 0), 0))="", "", INDEX('01.25'!D2:D500, MATCH(B37&amp;C37, INDEX('01.25'!B2:B500&amp;'01.25'!C2:C500, 0), 0))), "")</f>
        <v>Felipe Carvalho Zydek</v>
      </c>
      <c r="E37" s="107" t="s">
        <v>16</v>
      </c>
      <c r="F37" s="45" t="s">
        <v>160</v>
      </c>
      <c r="G37" s="52" t="s">
        <v>131</v>
      </c>
      <c r="H37" s="45" t="s">
        <v>201</v>
      </c>
      <c r="I37" s="45"/>
      <c r="J37" s="45" t="s">
        <v>140</v>
      </c>
      <c r="K37" s="45"/>
    </row>
    <row r="38" spans="1:11" hidden="1" x14ac:dyDescent="0.25">
      <c r="A38" s="48" t="s">
        <v>38</v>
      </c>
      <c r="B38" s="45" t="s">
        <v>107</v>
      </c>
      <c r="C38" s="45">
        <v>1</v>
      </c>
      <c r="D38" s="45" t="str">
        <f>IFERROR(IF(INDEX('01.25'!D2:D500, MATCH(B38&amp;C38, INDEX('01.25'!B2:B500&amp;'01.25'!C2:C500, 0), 0))="", "", INDEX('01.25'!D2:D500, MATCH(B38&amp;C38, INDEX('01.25'!B2:B500&amp;'01.25'!C2:C500, 0), 0))), "")</f>
        <v>Eliane Borin</v>
      </c>
      <c r="E38" s="107" t="s">
        <v>16</v>
      </c>
      <c r="F38" s="45" t="s">
        <v>160</v>
      </c>
      <c r="G38" s="46" t="s">
        <v>140</v>
      </c>
      <c r="H38" s="45"/>
      <c r="I38" s="45"/>
      <c r="J38" s="45" t="s">
        <v>140</v>
      </c>
      <c r="K38" s="45"/>
    </row>
    <row r="39" spans="1:11" x14ac:dyDescent="0.25">
      <c r="A39" s="50" t="s">
        <v>42</v>
      </c>
      <c r="B39" s="45" t="s">
        <v>117</v>
      </c>
      <c r="C39" s="45">
        <v>1</v>
      </c>
      <c r="D39" s="45" t="str">
        <f>IFERROR(IF(INDEX('01.25'!D2:D500, MATCH(B39&amp;C39, INDEX('01.25'!B2:B500&amp;'01.25'!C2:C500, 0), 0))="", "", INDEX('01.25'!D2:D500, MATCH(B39&amp;C39, INDEX('01.25'!B2:B500&amp;'01.25'!C2:C500, 0), 0))), "")</f>
        <v>Tatiana schrard</v>
      </c>
      <c r="E39" s="107" t="s">
        <v>16</v>
      </c>
      <c r="F39" s="45" t="s">
        <v>191</v>
      </c>
      <c r="G39" s="52" t="s">
        <v>131</v>
      </c>
      <c r="H39" s="45" t="s">
        <v>202</v>
      </c>
      <c r="I39" s="45"/>
      <c r="J39" s="45" t="s">
        <v>140</v>
      </c>
      <c r="K39" s="45"/>
    </row>
    <row r="40" spans="1:11" hidden="1" x14ac:dyDescent="0.25">
      <c r="A40" s="48" t="s">
        <v>38</v>
      </c>
      <c r="B40" s="45" t="s">
        <v>81</v>
      </c>
      <c r="C40" s="45">
        <v>1</v>
      </c>
      <c r="D40" s="45" t="str">
        <f>IFERROR(IF(INDEX('01.25'!D2:D500, MATCH(B40&amp;C40, INDEX('01.25'!B2:B500&amp;'01.25'!C2:C500, 0), 0))="", "", INDEX('01.25'!D2:D500, MATCH(B40&amp;C40, INDEX('01.25'!B2:B500&amp;'01.25'!C2:C500, 0), 0))), "")</f>
        <v>César Piva Glinglani</v>
      </c>
      <c r="E40" s="107" t="s">
        <v>16</v>
      </c>
      <c r="F40" s="45" t="s">
        <v>187</v>
      </c>
      <c r="G40" s="46" t="s">
        <v>140</v>
      </c>
      <c r="H40" s="45"/>
      <c r="I40" s="45"/>
      <c r="J40" s="45" t="s">
        <v>140</v>
      </c>
      <c r="K40" s="45"/>
    </row>
    <row r="41" spans="1:11" hidden="1" x14ac:dyDescent="0.25">
      <c r="A41" s="49" t="s">
        <v>43</v>
      </c>
      <c r="B41" s="45" t="s">
        <v>128</v>
      </c>
      <c r="C41" s="45">
        <v>1</v>
      </c>
      <c r="D41" s="45" t="str">
        <f>IFERROR(IF(INDEX('01.25'!D2:D500, MATCH(B41&amp;C41, INDEX('01.25'!B2:B500&amp;'01.25'!C2:C500, 0), 0))="", "", INDEX('01.25'!D2:D500, MATCH(B41&amp;C41, INDEX('01.25'!B2:B500&amp;'01.25'!C2:C500, 0), 0))), "")</f>
        <v>Ailton Carlos Fialho</v>
      </c>
      <c r="E41" s="107" t="s">
        <v>16</v>
      </c>
      <c r="F41" s="45" t="s">
        <v>187</v>
      </c>
      <c r="G41" s="52" t="s">
        <v>131</v>
      </c>
      <c r="H41" s="45"/>
      <c r="I41" s="45"/>
      <c r="J41" s="45" t="s">
        <v>140</v>
      </c>
      <c r="K41" s="45"/>
    </row>
    <row r="42" spans="1:11" x14ac:dyDescent="0.25">
      <c r="A42" s="50" t="s">
        <v>42</v>
      </c>
      <c r="B42" s="45" t="s">
        <v>82</v>
      </c>
      <c r="C42" s="45">
        <v>1</v>
      </c>
      <c r="D42" s="45" t="str">
        <f>IFERROR(IF(INDEX('01.25'!D2:D500, MATCH(B42&amp;C42, INDEX('01.25'!B2:B500&amp;'01.25'!C2:C500, 0), 0))="", "", INDEX('01.25'!D2:D500, MATCH(B42&amp;C42, INDEX('01.25'!B2:B500&amp;'01.25'!C2:C500, 0), 0))), "")</f>
        <v>Marcos José Chaves</v>
      </c>
      <c r="E42" s="106" t="s">
        <v>18</v>
      </c>
      <c r="F42" s="45" t="s">
        <v>166</v>
      </c>
      <c r="G42" s="46" t="s">
        <v>131</v>
      </c>
      <c r="H42" s="45" t="s">
        <v>203</v>
      </c>
      <c r="I42" s="45"/>
      <c r="J42" s="45" t="s">
        <v>140</v>
      </c>
      <c r="K42" s="45"/>
    </row>
    <row r="43" spans="1:11" x14ac:dyDescent="0.25">
      <c r="A43" s="50" t="s">
        <v>42</v>
      </c>
      <c r="B43" s="45" t="s">
        <v>82</v>
      </c>
      <c r="C43" s="45">
        <v>2</v>
      </c>
      <c r="D43" s="45" t="str">
        <f>IFERROR(IF(INDEX('01.25'!D2:D500, MATCH(B43&amp;C43, INDEX('01.25'!B2:B500&amp;'01.25'!C2:C500, 0), 0))="", "", INDEX('01.25'!D2:D500, MATCH(B43&amp;C43, INDEX('01.25'!B2:B500&amp;'01.25'!C2:C500, 0), 0))), "")</f>
        <v>Diego Matheus Reinicke</v>
      </c>
      <c r="E43" s="107" t="s">
        <v>16</v>
      </c>
      <c r="F43" s="45" t="s">
        <v>166</v>
      </c>
      <c r="G43" s="46" t="s">
        <v>131</v>
      </c>
      <c r="H43" s="147" t="s">
        <v>701</v>
      </c>
      <c r="I43" s="45"/>
      <c r="J43" s="45" t="s">
        <v>140</v>
      </c>
      <c r="K43" s="45"/>
    </row>
    <row r="44" spans="1:11" hidden="1" x14ac:dyDescent="0.25">
      <c r="A44" s="48" t="s">
        <v>38</v>
      </c>
      <c r="B44" s="55" t="s">
        <v>76</v>
      </c>
      <c r="C44" s="45">
        <v>1</v>
      </c>
      <c r="D44" s="45" t="str">
        <f>IFERROR(IF(INDEX('01.25'!D2:D500, MATCH(B44&amp;C44, INDEX('01.25'!B2:B500&amp;'01.25'!C2:C500, 0), 0))="", "", INDEX('01.25'!D2:D500, MATCH(B44&amp;C44, INDEX('01.25'!B2:B500&amp;'01.25'!C2:C500, 0), 0))), "")</f>
        <v>Cleiton Manske</v>
      </c>
      <c r="E44" s="109" t="s">
        <v>19</v>
      </c>
      <c r="F44" s="45" t="s">
        <v>204</v>
      </c>
      <c r="G44" s="46" t="s">
        <v>140</v>
      </c>
      <c r="H44" s="45"/>
      <c r="I44" s="45"/>
      <c r="J44" s="45" t="s">
        <v>140</v>
      </c>
      <c r="K44" s="45"/>
    </row>
    <row r="45" spans="1:11" x14ac:dyDescent="0.25">
      <c r="A45" s="50" t="s">
        <v>42</v>
      </c>
      <c r="B45" s="45" t="s">
        <v>118</v>
      </c>
      <c r="C45" s="45">
        <v>1</v>
      </c>
      <c r="D45" s="45" t="str">
        <f>IFERROR(IF(INDEX('01.25'!D2:D500, MATCH(B45&amp;C45, INDEX('01.25'!B2:B500&amp;'01.25'!C2:C500, 0), 0))="", "", INDEX('01.25'!D2:D500, MATCH(B45&amp;C45, INDEX('01.25'!B2:B500&amp;'01.25'!C2:C500, 0), 0))), "")</f>
        <v>Alexandro Aparecido de Lima Vieira</v>
      </c>
      <c r="E45" s="107" t="s">
        <v>16</v>
      </c>
      <c r="F45" s="45" t="s">
        <v>205</v>
      </c>
      <c r="G45" s="52" t="s">
        <v>131</v>
      </c>
      <c r="H45" s="45"/>
      <c r="I45" s="45" t="s">
        <v>206</v>
      </c>
      <c r="J45" s="45" t="s">
        <v>131</v>
      </c>
      <c r="K45" s="45" t="s">
        <v>207</v>
      </c>
    </row>
    <row r="46" spans="1:11" hidden="1" x14ac:dyDescent="0.25">
      <c r="A46" s="51" t="s">
        <v>40</v>
      </c>
      <c r="B46" s="45" t="s">
        <v>111</v>
      </c>
      <c r="C46" s="45">
        <v>1</v>
      </c>
      <c r="D46" s="45" t="str">
        <f>IFERROR(IF(INDEX('01.25'!D2:D500, MATCH(B46&amp;C46, INDEX('01.25'!B2:B500&amp;'01.25'!C2:C500, 0), 0))="", "", INDEX('01.25'!D2:D500, MATCH(B46&amp;C46, INDEX('01.25'!B2:B500&amp;'01.25'!C2:C500, 0), 0))), "")</f>
        <v>Rafael Henrique Caetano</v>
      </c>
      <c r="E46" s="107" t="s">
        <v>16</v>
      </c>
      <c r="F46" s="45" t="s">
        <v>191</v>
      </c>
      <c r="G46" s="52" t="s">
        <v>131</v>
      </c>
      <c r="H46" s="45" t="s">
        <v>208</v>
      </c>
      <c r="I46" s="45"/>
      <c r="J46" s="45" t="s">
        <v>140</v>
      </c>
      <c r="K46" s="45"/>
    </row>
    <row r="47" spans="1:11" hidden="1" x14ac:dyDescent="0.25">
      <c r="A47" s="44" t="s">
        <v>36</v>
      </c>
      <c r="B47" s="45" t="s">
        <v>100</v>
      </c>
      <c r="C47" s="45">
        <v>1</v>
      </c>
      <c r="D47" s="45" t="str">
        <f>IFERROR(IF(INDEX('01.25'!D2:D500, MATCH(B47&amp;C47, INDEX('01.25'!B2:B500&amp;'01.25'!C2:C500, 0), 0))="", "", INDEX('01.25'!D2:D500, MATCH(B47&amp;C47, INDEX('01.25'!B2:B500&amp;'01.25'!C2:C500, 0), 0))), "")</f>
        <v>Roberto Pedron</v>
      </c>
      <c r="E47" s="107" t="s">
        <v>16</v>
      </c>
      <c r="F47" s="45" t="s">
        <v>187</v>
      </c>
      <c r="G47" s="46" t="s">
        <v>140</v>
      </c>
      <c r="H47" s="45"/>
      <c r="I47" s="45"/>
      <c r="J47" s="45" t="s">
        <v>140</v>
      </c>
      <c r="K47" s="45"/>
    </row>
    <row r="48" spans="1:11" x14ac:dyDescent="0.25">
      <c r="A48" s="50" t="s">
        <v>42</v>
      </c>
      <c r="B48" s="45" t="s">
        <v>119</v>
      </c>
      <c r="C48" s="45">
        <v>1</v>
      </c>
      <c r="D48" s="45" t="str">
        <f>IFERROR(IF(INDEX('01.25'!D2:D500, MATCH(B48&amp;C48, INDEX('01.25'!B2:B500&amp;'01.25'!C2:C500, 0), 0))="", "", INDEX('01.25'!D2:D500, MATCH(B48&amp;C48, INDEX('01.25'!B2:B500&amp;'01.25'!C2:C500, 0), 0))), "")</f>
        <v>Luciane Spies</v>
      </c>
      <c r="E48" s="107" t="s">
        <v>16</v>
      </c>
      <c r="F48" s="45" t="s">
        <v>209</v>
      </c>
      <c r="G48" s="52" t="s">
        <v>131</v>
      </c>
      <c r="H48" s="45"/>
      <c r="I48" s="45"/>
      <c r="J48" s="45" t="s">
        <v>140</v>
      </c>
      <c r="K48" s="45"/>
    </row>
    <row r="49" spans="1:11" hidden="1" x14ac:dyDescent="0.25">
      <c r="A49" s="44" t="s">
        <v>36</v>
      </c>
      <c r="B49" s="54" t="s">
        <v>77</v>
      </c>
      <c r="C49" s="45">
        <v>1</v>
      </c>
      <c r="D49" s="45" t="str">
        <f>IFERROR(IF(INDEX('01.25'!D2:D500, MATCH(B49&amp;C49, INDEX('01.25'!B2:B500&amp;'01.25'!C2:C500, 0), 0))="", "", INDEX('01.25'!D2:D500, MATCH(B49&amp;C49, INDEX('01.25'!B2:B500&amp;'01.25'!C2:C500, 0), 0))), "")</f>
        <v>Jaqueline Fernanda Meireles</v>
      </c>
      <c r="E49" s="107" t="s">
        <v>16</v>
      </c>
      <c r="F49" s="45" t="s">
        <v>189</v>
      </c>
      <c r="G49" s="46" t="s">
        <v>140</v>
      </c>
      <c r="H49" s="45"/>
      <c r="I49" s="45"/>
      <c r="J49" s="45" t="s">
        <v>140</v>
      </c>
      <c r="K49" s="45"/>
    </row>
    <row r="50" spans="1:11" hidden="1" x14ac:dyDescent="0.25">
      <c r="A50" s="48" t="s">
        <v>38</v>
      </c>
      <c r="B50" s="45" t="s">
        <v>108</v>
      </c>
      <c r="C50" s="45">
        <v>1</v>
      </c>
      <c r="D50" s="45" t="str">
        <f>IFERROR(IF(INDEX('01.25'!D2:D500, MATCH(B50&amp;C50, INDEX('01.25'!B2:B500&amp;'01.25'!C2:C500, 0), 0))="", "", INDEX('01.25'!D2:D500, MATCH(B50&amp;C50, INDEX('01.25'!B2:B500&amp;'01.25'!C2:C500, 0), 0))), "")</f>
        <v>Luiz Fernando Pereira Barbosa</v>
      </c>
      <c r="E50" s="109" t="s">
        <v>19</v>
      </c>
      <c r="F50" s="45" t="s">
        <v>210</v>
      </c>
      <c r="G50" s="46" t="s">
        <v>140</v>
      </c>
      <c r="H50" s="45"/>
      <c r="I50" s="45"/>
      <c r="J50" s="45" t="s">
        <v>140</v>
      </c>
      <c r="K50" s="45"/>
    </row>
    <row r="51" spans="1:11" hidden="1" x14ac:dyDescent="0.25">
      <c r="A51" s="44" t="s">
        <v>36</v>
      </c>
      <c r="B51" s="45" t="s">
        <v>101</v>
      </c>
      <c r="C51" s="45">
        <v>1</v>
      </c>
      <c r="D51" s="45" t="str">
        <f>IFERROR(IF(INDEX('01.25'!D2:D500, MATCH(B51&amp;C51, INDEX('01.25'!B2:B500&amp;'01.25'!C2:C500, 0), 0))="", "", INDEX('01.25'!D2:D500, MATCH(B51&amp;C51, INDEX('01.25'!B2:B500&amp;'01.25'!C2:C500, 0), 0))), "")</f>
        <v>Carolina Eggers</v>
      </c>
      <c r="E51" s="107" t="s">
        <v>16</v>
      </c>
      <c r="F51" s="45" t="s">
        <v>166</v>
      </c>
      <c r="G51" s="52" t="s">
        <v>131</v>
      </c>
      <c r="H51" s="45" t="s">
        <v>149</v>
      </c>
      <c r="I51" s="45"/>
      <c r="J51" s="45" t="s">
        <v>140</v>
      </c>
      <c r="K51" s="45"/>
    </row>
    <row r="52" spans="1:11" hidden="1" x14ac:dyDescent="0.25">
      <c r="A52" s="44" t="s">
        <v>36</v>
      </c>
      <c r="B52" s="45" t="s">
        <v>102</v>
      </c>
      <c r="C52" s="45">
        <v>1</v>
      </c>
      <c r="D52" s="45" t="str">
        <f>IFERROR(IF(INDEX('01.25'!D2:D500, MATCH(B52&amp;C52, INDEX('01.25'!B2:B500&amp;'01.25'!C2:C500, 0), 0))="", "", INDEX('01.25'!D2:D500, MATCH(B52&amp;C52, INDEX('01.25'!B2:B500&amp;'01.25'!C2:C500, 0), 0))), "")</f>
        <v>Ivan Gonçalves da Silva</v>
      </c>
      <c r="E52" s="107" t="s">
        <v>16</v>
      </c>
      <c r="F52" s="45" t="s">
        <v>166</v>
      </c>
      <c r="G52" s="46" t="s">
        <v>140</v>
      </c>
      <c r="H52" s="45"/>
      <c r="I52" s="45"/>
      <c r="J52" s="45" t="s">
        <v>140</v>
      </c>
      <c r="K52" s="45"/>
    </row>
    <row r="53" spans="1:11" hidden="1" x14ac:dyDescent="0.25">
      <c r="A53" s="48" t="s">
        <v>38</v>
      </c>
      <c r="B53" s="45" t="s">
        <v>83</v>
      </c>
      <c r="C53" s="45">
        <v>1</v>
      </c>
      <c r="D53" s="45" t="str">
        <f>IFERROR(IF(INDEX('01.25'!D2:D500, MATCH(B53&amp;C53, INDEX('01.25'!B2:B500&amp;'01.25'!C2:C500, 0), 0))="", "", INDEX('01.25'!D2:D500, MATCH(B53&amp;C53, INDEX('01.25'!B2:B500&amp;'01.25'!C2:C500, 0), 0))), "")</f>
        <v>Dorival Manoel Canhete</v>
      </c>
      <c r="E53" s="107" t="s">
        <v>16</v>
      </c>
      <c r="F53" s="45" t="s">
        <v>160</v>
      </c>
      <c r="G53" s="52" t="s">
        <v>131</v>
      </c>
      <c r="H53" s="45" t="s">
        <v>211</v>
      </c>
      <c r="I53" s="45" t="s">
        <v>212</v>
      </c>
      <c r="J53" s="45" t="s">
        <v>131</v>
      </c>
      <c r="K53" s="45" t="s">
        <v>213</v>
      </c>
    </row>
    <row r="54" spans="1:11" x14ac:dyDescent="0.25">
      <c r="A54" s="50" t="s">
        <v>42</v>
      </c>
      <c r="B54" s="45" t="s">
        <v>120</v>
      </c>
      <c r="C54" s="45">
        <v>1</v>
      </c>
      <c r="D54" s="45" t="str">
        <f>IFERROR(IF(INDEX('01.25'!D2:D500, MATCH(B54&amp;C54, INDEX('01.25'!B2:B500&amp;'01.25'!C2:C500, 0), 0))="", "", INDEX('01.25'!D2:D500, MATCH(B54&amp;C54, INDEX('01.25'!B2:B500&amp;'01.25'!C2:C500, 0), 0))), "")</f>
        <v>Jaqueline Vanelli</v>
      </c>
      <c r="E54" s="107" t="s">
        <v>16</v>
      </c>
      <c r="F54" s="45" t="s">
        <v>160</v>
      </c>
      <c r="G54" s="52" t="s">
        <v>131</v>
      </c>
      <c r="H54" s="45"/>
      <c r="I54" s="45"/>
      <c r="J54" s="45" t="s">
        <v>140</v>
      </c>
      <c r="K54" s="45"/>
    </row>
    <row r="55" spans="1:11" hidden="1" x14ac:dyDescent="0.25">
      <c r="A55" s="44" t="s">
        <v>36</v>
      </c>
      <c r="B55" s="45" t="s">
        <v>103</v>
      </c>
      <c r="C55" s="45">
        <v>1</v>
      </c>
      <c r="D55" s="45" t="str">
        <f>IFERROR(IF(INDEX('01.25'!D2:D500, MATCH(B55&amp;C55, INDEX('01.25'!B2:B500&amp;'01.25'!C2:C500, 0), 0))="", "", INDEX('01.25'!D2:D500, MATCH(B55&amp;C55, INDEX('01.25'!B2:B500&amp;'01.25'!C2:C500, 0), 0))), "")</f>
        <v>Fernanda Jung</v>
      </c>
      <c r="E55" s="107" t="s">
        <v>16</v>
      </c>
      <c r="F55" s="45" t="s">
        <v>160</v>
      </c>
      <c r="G55" s="52" t="s">
        <v>131</v>
      </c>
      <c r="H55" s="45" t="s">
        <v>150</v>
      </c>
      <c r="I55" s="45"/>
      <c r="J55" s="45" t="s">
        <v>140</v>
      </c>
      <c r="K55" s="45"/>
    </row>
    <row r="56" spans="1:11" x14ac:dyDescent="0.25">
      <c r="A56" s="50" t="s">
        <v>42</v>
      </c>
      <c r="B56" s="45" t="s">
        <v>121</v>
      </c>
      <c r="C56" s="45">
        <v>1</v>
      </c>
      <c r="D56" s="45" t="str">
        <f>IFERROR(IF(INDEX('01.25'!D2:D500, MATCH(B56&amp;C56, INDEX('01.25'!B2:B500&amp;'01.25'!C2:C500, 0), 0))="", "", INDEX('01.25'!D2:D500, MATCH(B56&amp;C56, INDEX('01.25'!B2:B500&amp;'01.25'!C2:C500, 0), 0))), "")</f>
        <v>Ana Paula Romagnoli</v>
      </c>
      <c r="E56" s="107" t="s">
        <v>16</v>
      </c>
      <c r="F56" s="45" t="s">
        <v>166</v>
      </c>
      <c r="G56" s="46" t="s">
        <v>131</v>
      </c>
      <c r="H56" s="45"/>
      <c r="I56" s="45"/>
      <c r="J56" s="45" t="s">
        <v>140</v>
      </c>
      <c r="K56" s="45"/>
    </row>
    <row r="57" spans="1:11" x14ac:dyDescent="0.25">
      <c r="A57" s="50" t="s">
        <v>42</v>
      </c>
      <c r="B57" s="45" t="s">
        <v>122</v>
      </c>
      <c r="C57" s="45">
        <v>1</v>
      </c>
      <c r="D57" s="45" t="str">
        <f>IFERROR(IF(INDEX('01.25'!D2:D500, MATCH(B57&amp;C57, INDEX('01.25'!B2:B500&amp;'01.25'!C2:C500, 0), 0))="", "", INDEX('01.25'!D2:D500, MATCH(B57&amp;C57, INDEX('01.25'!B2:B500&amp;'01.25'!C2:C500, 0), 0))), "")</f>
        <v>Alexandro Schaparini</v>
      </c>
      <c r="E57" s="107" t="s">
        <v>16</v>
      </c>
      <c r="F57" s="45" t="s">
        <v>191</v>
      </c>
      <c r="G57" s="52" t="s">
        <v>131</v>
      </c>
      <c r="H57" s="45" t="s">
        <v>214</v>
      </c>
      <c r="I57" s="45"/>
      <c r="J57" s="45" t="s">
        <v>140</v>
      </c>
      <c r="K57" s="45"/>
    </row>
    <row r="58" spans="1:11" hidden="1" x14ac:dyDescent="0.25">
      <c r="A58" s="49" t="s">
        <v>43</v>
      </c>
      <c r="B58" s="45" t="s">
        <v>129</v>
      </c>
      <c r="C58" s="45">
        <v>1</v>
      </c>
      <c r="D58" s="45" t="str">
        <f>IFERROR(IF(INDEX('01.25'!D2:D500, MATCH(B58&amp;C58, INDEX('01.25'!B2:B500&amp;'01.25'!C2:C500, 0), 0))="", "", INDEX('01.25'!D2:D500, MATCH(B58&amp;C58, INDEX('01.25'!B2:B500&amp;'01.25'!C2:C500, 0), 0))), "")</f>
        <v>Marina Ancelmo da Silva</v>
      </c>
      <c r="E58" s="107" t="s">
        <v>16</v>
      </c>
      <c r="F58" s="45" t="s">
        <v>160</v>
      </c>
      <c r="G58" s="52" t="s">
        <v>131</v>
      </c>
      <c r="H58" s="45" t="s">
        <v>215</v>
      </c>
      <c r="I58" s="45"/>
      <c r="J58" s="45" t="s">
        <v>140</v>
      </c>
      <c r="K58" s="45"/>
    </row>
    <row r="59" spans="1:11" hidden="1" x14ac:dyDescent="0.25">
      <c r="A59" s="49" t="s">
        <v>43</v>
      </c>
      <c r="B59" s="45" t="s">
        <v>130</v>
      </c>
      <c r="C59" s="45">
        <v>1</v>
      </c>
      <c r="D59" s="45" t="str">
        <f>IFERROR(IF(INDEX('01.25'!D2:D500, MATCH(B59&amp;C59, INDEX('01.25'!B2:B500&amp;'01.25'!C2:C500, 0), 0))="", "", INDEX('01.25'!D2:D500, MATCH(B59&amp;C59, INDEX('01.25'!B2:B500&amp;'01.25'!C2:C500, 0), 0))), "")</f>
        <v>Ana Carolina Peterle Ribeiro</v>
      </c>
      <c r="E59" s="107" t="s">
        <v>16</v>
      </c>
      <c r="F59" s="45" t="s">
        <v>187</v>
      </c>
      <c r="G59" s="52" t="s">
        <v>131</v>
      </c>
      <c r="H59" s="45"/>
      <c r="I59" s="45"/>
      <c r="J59" s="45" t="s">
        <v>140</v>
      </c>
      <c r="K59" s="45"/>
    </row>
    <row r="60" spans="1:11" hidden="1" x14ac:dyDescent="0.25">
      <c r="A60" s="51" t="s">
        <v>40</v>
      </c>
      <c r="B60" s="45" t="s">
        <v>112</v>
      </c>
      <c r="C60" s="45">
        <v>1</v>
      </c>
      <c r="D60" s="45" t="str">
        <f>IFERROR(IF(INDEX('01.25'!D2:D500, MATCH(B60&amp;C60, INDEX('01.25'!B2:B500&amp;'01.25'!C2:C500, 0), 0))="", "", INDEX('01.25'!D2:D500, MATCH(B60&amp;C60, INDEX('01.25'!B2:B500&amp;'01.25'!C2:C500, 0), 0))), "")</f>
        <v>Taiane Amélia Mondardo</v>
      </c>
      <c r="E60" s="107" t="s">
        <v>16</v>
      </c>
      <c r="F60" s="45" t="s">
        <v>191</v>
      </c>
      <c r="G60" s="52" t="s">
        <v>131</v>
      </c>
      <c r="H60" s="45" t="s">
        <v>216</v>
      </c>
      <c r="I60" s="45"/>
      <c r="J60" s="45" t="s">
        <v>140</v>
      </c>
      <c r="K60" s="45"/>
    </row>
    <row r="61" spans="1:11" hidden="1" x14ac:dyDescent="0.25">
      <c r="A61" s="44" t="s">
        <v>36</v>
      </c>
      <c r="B61" s="45" t="s">
        <v>104</v>
      </c>
      <c r="C61" s="45">
        <v>1</v>
      </c>
      <c r="D61" s="45" t="str">
        <f>IFERROR(IF(INDEX('01.25'!D2:D500, MATCH(B61&amp;C61, INDEX('01.25'!B2:B500&amp;'01.25'!C2:C500, 0), 0))="", "", INDEX('01.25'!D2:D500, MATCH(B61&amp;C61, INDEX('01.25'!B2:B500&amp;'01.25'!C2:C500, 0), 0))), "")</f>
        <v>Regiane Lucia Pereira</v>
      </c>
      <c r="E61" s="107" t="s">
        <v>16</v>
      </c>
      <c r="F61" s="45" t="s">
        <v>217</v>
      </c>
      <c r="G61" s="46" t="s">
        <v>140</v>
      </c>
      <c r="H61" s="45" t="s">
        <v>218</v>
      </c>
      <c r="I61" s="45" t="s">
        <v>219</v>
      </c>
      <c r="J61" s="45" t="s">
        <v>131</v>
      </c>
      <c r="K61" s="45" t="s">
        <v>220</v>
      </c>
    </row>
    <row r="62" spans="1:11" hidden="1" x14ac:dyDescent="0.25">
      <c r="A62" s="51" t="s">
        <v>40</v>
      </c>
      <c r="B62" s="45" t="s">
        <v>113</v>
      </c>
      <c r="C62" s="45">
        <v>1</v>
      </c>
      <c r="D62" s="45" t="str">
        <f>IFERROR(IF(INDEX('01.25'!D2:D500, MATCH(B62&amp;C62, INDEX('01.25'!B2:B500&amp;'01.25'!C2:C500, 0), 0))="", "", INDEX('01.25'!D2:D500, MATCH(B62&amp;C62, INDEX('01.25'!B2:B500&amp;'01.25'!C2:C500, 0), 0))), "")</f>
        <v>Andryws Rafael Gois</v>
      </c>
      <c r="E62" s="107" t="s">
        <v>16</v>
      </c>
      <c r="F62" s="45" t="s">
        <v>191</v>
      </c>
      <c r="G62" s="52" t="s">
        <v>131</v>
      </c>
      <c r="H62" s="45" t="s">
        <v>221</v>
      </c>
      <c r="I62" s="45"/>
      <c r="J62" s="45" t="s">
        <v>140</v>
      </c>
      <c r="K62" s="45"/>
    </row>
    <row r="63" spans="1:11" ht="15.75" customHeight="1" x14ac:dyDescent="0.25">
      <c r="A63" s="50" t="s">
        <v>42</v>
      </c>
      <c r="B63" s="45" t="s">
        <v>123</v>
      </c>
      <c r="C63" s="45">
        <v>1</v>
      </c>
      <c r="D63" s="45" t="str">
        <f>IFERROR(IF(INDEX('01.25'!D2:D500, MATCH(B63&amp;C63, INDEX('01.25'!B2:B500&amp;'01.25'!C2:C500, 0), 0))="", "", INDEX('01.25'!D2:D500, MATCH(B63&amp;C63, INDEX('01.25'!B2:B500&amp;'01.25'!C2:C500, 0), 0))), "")</f>
        <v>Mayara Ketllyn de Paula Rosetti</v>
      </c>
      <c r="E63" s="109" t="s">
        <v>19</v>
      </c>
      <c r="F63" s="45" t="s">
        <v>222</v>
      </c>
      <c r="G63" s="52" t="s">
        <v>131</v>
      </c>
      <c r="H63" s="45" t="s">
        <v>223</v>
      </c>
      <c r="I63" s="56" t="s">
        <v>224</v>
      </c>
      <c r="J63" s="45" t="s">
        <v>131</v>
      </c>
      <c r="K63" s="45" t="s">
        <v>689</v>
      </c>
    </row>
    <row r="64" spans="1:11" hidden="1" x14ac:dyDescent="0.25">
      <c r="A64" s="51" t="s">
        <v>40</v>
      </c>
      <c r="B64" s="45" t="s">
        <v>114</v>
      </c>
      <c r="C64" s="45">
        <v>1</v>
      </c>
      <c r="D64" s="45" t="str">
        <f>IFERROR(IF(INDEX('01.25'!D2:D500, MATCH(B64&amp;C64, INDEX('01.25'!B2:B500&amp;'01.25'!C2:C500, 0), 0))="", "", INDEX('01.25'!D2:D500, MATCH(B64&amp;C64, INDEX('01.25'!B2:B500&amp;'01.25'!C2:C500, 0), 0))), "")</f>
        <v>Junior Andre Britzke</v>
      </c>
      <c r="E64" s="107" t="s">
        <v>16</v>
      </c>
      <c r="F64" s="45" t="s">
        <v>191</v>
      </c>
      <c r="G64" s="52" t="s">
        <v>131</v>
      </c>
      <c r="H64" s="45" t="s">
        <v>225</v>
      </c>
      <c r="I64" s="45" t="s">
        <v>226</v>
      </c>
      <c r="J64" s="45" t="s">
        <v>131</v>
      </c>
      <c r="K64" s="45" t="s">
        <v>227</v>
      </c>
    </row>
    <row r="65" spans="1:11" hidden="1" x14ac:dyDescent="0.25">
      <c r="A65" s="44" t="s">
        <v>36</v>
      </c>
      <c r="B65" s="45" t="s">
        <v>105</v>
      </c>
      <c r="C65" s="45">
        <v>1</v>
      </c>
      <c r="D65" s="45" t="str">
        <f>IFERROR(IF(INDEX('01.25'!D2:D500, MATCH(B65&amp;C65, INDEX('01.25'!B2:B500&amp;'01.25'!C2:C500, 0), 0))="", "", INDEX('01.25'!D2:D500, MATCH(B65&amp;C65, INDEX('01.25'!B2:B500&amp;'01.25'!C2:C500, 0), 0))), "")</f>
        <v>Adriano Pereira Guedes</v>
      </c>
      <c r="E65" s="107" t="s">
        <v>16</v>
      </c>
      <c r="F65" s="45" t="s">
        <v>228</v>
      </c>
      <c r="G65" s="46" t="s">
        <v>140</v>
      </c>
      <c r="H65" s="45"/>
      <c r="I65" s="45"/>
      <c r="J65" s="45" t="s">
        <v>140</v>
      </c>
      <c r="K65" s="45"/>
    </row>
    <row r="66" spans="1:11" hidden="1" x14ac:dyDescent="0.25">
      <c r="A66" s="44" t="s">
        <v>36</v>
      </c>
      <c r="B66" s="45" t="s">
        <v>106</v>
      </c>
      <c r="C66" s="45">
        <v>1</v>
      </c>
      <c r="D66" s="45" t="str">
        <f>IFERROR(IF(INDEX('01.25'!D2:D500, MATCH(B66&amp;C66, INDEX('01.25'!B2:B500&amp;'01.25'!C2:C500, 0), 0))="", "", INDEX('01.25'!D2:D500, MATCH(B66&amp;C66, INDEX('01.25'!B2:B500&amp;'01.25'!C2:C500, 0), 0))), "")</f>
        <v xml:space="preserve">Suzana Cristina de Almeida </v>
      </c>
      <c r="E66" s="107" t="s">
        <v>16</v>
      </c>
      <c r="F66" s="45" t="s">
        <v>229</v>
      </c>
      <c r="G66" s="46" t="s">
        <v>140</v>
      </c>
      <c r="H66" s="45"/>
      <c r="I66" s="55" t="s">
        <v>230</v>
      </c>
      <c r="J66" s="45" t="s">
        <v>131</v>
      </c>
      <c r="K66" s="45" t="s">
        <v>231</v>
      </c>
    </row>
    <row r="67" spans="1:11" hidden="1" x14ac:dyDescent="0.25">
      <c r="A67" s="47" t="s">
        <v>28</v>
      </c>
      <c r="B67" s="45" t="s">
        <v>85</v>
      </c>
      <c r="C67" s="45">
        <v>1</v>
      </c>
      <c r="D67" s="45" t="str">
        <f>IFERROR(IF(INDEX('01.25'!D2:D500, MATCH(B67&amp;C67, INDEX('01.25'!B2:B500&amp;'01.25'!C2:C500, 0), 0))="", "", INDEX('01.25'!D2:D500, MATCH(B67&amp;C67, INDEX('01.25'!B2:B500&amp;'01.25'!C2:C500, 0), 0))), "")</f>
        <v>Alice Cristiane Zancheta</v>
      </c>
      <c r="E67" s="107" t="s">
        <v>16</v>
      </c>
      <c r="F67" s="45" t="s">
        <v>187</v>
      </c>
      <c r="G67" s="52" t="s">
        <v>131</v>
      </c>
      <c r="H67" s="45" t="s">
        <v>232</v>
      </c>
      <c r="I67" s="45"/>
      <c r="J67" s="45" t="s">
        <v>140</v>
      </c>
      <c r="K67" s="45"/>
    </row>
    <row r="68" spans="1:11" hidden="1" x14ac:dyDescent="0.25">
      <c r="A68" s="48" t="s">
        <v>38</v>
      </c>
      <c r="B68" s="45" t="s">
        <v>109</v>
      </c>
      <c r="C68" s="45">
        <v>1</v>
      </c>
      <c r="D68" s="45" t="str">
        <f>IFERROR(IF(INDEX('01.25'!D2:D500, MATCH(B68&amp;C68, INDEX('01.25'!B2:B500&amp;'01.25'!C2:C500, 0), 0))="", "", INDEX('01.25'!D2:D500, MATCH(B68&amp;C68, INDEX('01.25'!B2:B500&amp;'01.25'!C2:C500, 0), 0))), "")</f>
        <v>Fernanda kaezer de Godoy</v>
      </c>
      <c r="E68" s="107" t="s">
        <v>16</v>
      </c>
      <c r="F68" s="45" t="s">
        <v>187</v>
      </c>
      <c r="G68" s="46" t="s">
        <v>140</v>
      </c>
      <c r="H68" s="45"/>
      <c r="I68" s="45"/>
      <c r="J68" s="45" t="s">
        <v>140</v>
      </c>
      <c r="K68" s="45"/>
    </row>
    <row r="69" spans="1:11" hidden="1" x14ac:dyDescent="0.25">
      <c r="A69" s="48" t="s">
        <v>38</v>
      </c>
      <c r="B69" s="45" t="s">
        <v>110</v>
      </c>
      <c r="C69" s="45">
        <v>1</v>
      </c>
      <c r="D69" s="45" t="str">
        <f>IFERROR(IF(INDEX('01.25'!D2:D500, MATCH(B69&amp;C69, INDEX('01.25'!B2:B500&amp;'01.25'!C2:C500, 0), 0))="", "", INDEX('01.25'!D2:D500, MATCH(B69&amp;C69, INDEX('01.25'!B2:B500&amp;'01.25'!C2:C500, 0), 0))), "")</f>
        <v xml:space="preserve">Ademir Papini Júnior </v>
      </c>
      <c r="E69" s="109" t="s">
        <v>19</v>
      </c>
      <c r="F69" s="45" t="s">
        <v>233</v>
      </c>
      <c r="G69" s="46" t="s">
        <v>140</v>
      </c>
      <c r="H69" s="45"/>
      <c r="I69" s="45"/>
      <c r="J69" s="45" t="s">
        <v>140</v>
      </c>
      <c r="K69" s="45"/>
    </row>
    <row r="70" spans="1:11" x14ac:dyDescent="0.25">
      <c r="A70" s="50" t="s">
        <v>42</v>
      </c>
      <c r="B70" s="45" t="s">
        <v>124</v>
      </c>
      <c r="C70" s="45">
        <v>1</v>
      </c>
      <c r="D70" s="45" t="str">
        <f>IFERROR(IF(INDEX('01.25'!D2:D500, MATCH(B70&amp;C70, INDEX('01.25'!B2:B500&amp;'01.25'!C2:C500, 0), 0))="", "", INDEX('01.25'!D2:D500, MATCH(B70&amp;C70, INDEX('01.25'!B2:B500&amp;'01.25'!C2:C500, 0), 0))), "")</f>
        <v>Heloísa Maria Beloni Insenha</v>
      </c>
      <c r="E70" s="107" t="s">
        <v>16</v>
      </c>
      <c r="F70" s="45" t="s">
        <v>187</v>
      </c>
      <c r="G70" s="52" t="s">
        <v>131</v>
      </c>
      <c r="H70" s="45"/>
      <c r="I70" s="45"/>
      <c r="J70" s="45" t="s">
        <v>140</v>
      </c>
      <c r="K70" s="45"/>
    </row>
  </sheetData>
  <autoFilter ref="A1:G70" xr:uid="{00000000-0009-0000-0000-000006000000}">
    <filterColumn colId="0">
      <filters>
        <filter val="Luana"/>
      </filters>
    </filterColumn>
  </autoFilter>
  <conditionalFormatting sqref="E2:E70">
    <cfRule type="cellIs" dxfId="157" priority="6" stopIfTrue="1" operator="equal">
      <formula>"Enviado"</formula>
    </cfRule>
    <cfRule type="cellIs" dxfId="156" priority="7" stopIfTrue="1" operator="equal">
      <formula>"Atrasado"</formula>
    </cfRule>
    <cfRule type="cellIs" dxfId="155" priority="8" stopIfTrue="1" operator="equal">
      <formula>"Atrasado &gt;= 2"</formula>
    </cfRule>
    <cfRule type="cellIs" dxfId="154" priority="9" stopIfTrue="1" operator="equal">
      <formula>"Outras Ocorrências"</formula>
    </cfRule>
    <cfRule type="cellIs" dxfId="153" priority="10" stopIfTrue="1" operator="equal">
      <formula>"Sem Técnico"</formula>
    </cfRule>
    <cfRule type="cellIs" dxfId="152" priority="11" stopIfTrue="1" operator="equal">
      <formula>"Duplicado"</formula>
    </cfRule>
  </conditionalFormatting>
  <conditionalFormatting sqref="G2:G70">
    <cfRule type="cellIs" dxfId="151" priority="1" stopIfTrue="1" operator="equal">
      <formula>"Sim"</formula>
    </cfRule>
    <cfRule type="cellIs" dxfId="150" priority="3" stopIfTrue="1" operator="equal">
      <formula>"Não"</formula>
    </cfRule>
  </conditionalFormatting>
  <conditionalFormatting sqref="J2:J70">
    <cfRule type="cellIs" dxfId="149" priority="4" stopIfTrue="1" operator="equal">
      <formula>"Sim"</formula>
    </cfRule>
    <cfRule type="cellIs" dxfId="148" priority="4" stopIfTrue="1" operator="equal">
      <formula>"Não"</formula>
    </cfRule>
    <cfRule type="cellIs" dxfId="147" priority="5" stopIfTrue="1" operator="equal">
      <formula>"Em Análise"</formula>
    </cfRule>
  </conditionalFormatting>
  <dataValidations count="3">
    <dataValidation type="list" allowBlank="1" sqref="G2 G3 G4 G5 G6 G7 G8 G9 G10 G11 G12 G13 G14 G15 G16 G17 G18 G19 G20 G21 G22 G23 G24 G25 G26 G27 G28 G29 G30 G31 G32 G33 G34 G35 G36 G37 G38 G39 G40 G41 G42 G43 G44 G45 G46 G47 G48 G49 G50 G51 G52 G53 G54 G55 G56 G57 G58 G59 G60 G61 G62 G63 G64 G65 G66 G67 G68 G69 G70" xr:uid="{00000000-0002-0000-0600-000000000000}">
      <formula1>"Sim,Não"</formula1>
    </dataValidation>
    <dataValidation type="list" allowBlank="1" sqref="J2 J3 J4 J5 J6 J7 J8 J9 J10 J11 J12 J13 J14 J15 J16 J17 J18 J19 J20 J21 J22 J23 J24 J25 J26 J27 J28 J29 J30 J31 J32 J33 J34 J35 J36 J37 J38 J39 J40 J41 J42 J43 J44 J45 J46 J47 J48 J49 J50 J51 J52 J53 J54 J55 J56 J57 J58 J59 J60 J61 J62 J63 J64 J65 J66 J67 J68 J69 J70" xr:uid="{00000000-0002-0000-0600-000001000000}">
      <formula1>"Sim,Não,Em Análise"</formula1>
    </dataValidation>
    <dataValidation type="list" allowBlank="1" sqref="E2 E3 E4 E5 E6 E7 E8 E9 E10 E11 E12 E13 E14 E15 E16 E17 E18 E19 E20 E21 E22 E23 E24 E25 E26 E27 E28 E29 E30 E31 E32 E33 E34 E35 E36 E37 E38 E39 E40 E41 E42 E43 E44 E45 E46 E47 E48 E49 E50 E51 E52 E53 E54 E55 E56 E57 E58 E59 E60 E61 E62 E63 E64 E65 E66 E67 E68 E69 E70" xr:uid="{00000000-0002-0000-0600-000002000000}">
      <formula1>"Enviado, Atrasado, Atrasado &gt;= 2, Outras Ocorrências, Sem Técnico, Duplicado"</formula1>
    </dataValidation>
  </dataValidation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filterMode="1"/>
  <dimension ref="A1:K70"/>
  <sheetViews>
    <sheetView workbookViewId="0">
      <pane xSplit="3" topLeftCell="E1" activePane="topRight" state="frozen"/>
      <selection pane="topRight" activeCell="H83" sqref="H83"/>
    </sheetView>
  </sheetViews>
  <sheetFormatPr defaultRowHeight="15" x14ac:dyDescent="0.25"/>
  <cols>
    <col min="1" max="1" width="14" customWidth="1"/>
    <col min="2" max="2" width="30" customWidth="1"/>
    <col min="3" max="3" width="8" customWidth="1"/>
    <col min="4" max="4" width="45" customWidth="1"/>
    <col min="5" max="5" width="18" customWidth="1"/>
    <col min="6" max="7" width="27" customWidth="1"/>
    <col min="8" max="8" width="304" customWidth="1"/>
    <col min="9" max="9" width="34" customWidth="1"/>
    <col min="10" max="10" width="25" customWidth="1"/>
    <col min="11" max="11" width="26" customWidth="1"/>
  </cols>
  <sheetData>
    <row r="1" spans="1:11" x14ac:dyDescent="0.25">
      <c r="A1" s="43" t="s">
        <v>27</v>
      </c>
      <c r="B1" s="43" t="s">
        <v>70</v>
      </c>
      <c r="C1" s="43" t="s">
        <v>71</v>
      </c>
      <c r="D1" s="43" t="s">
        <v>132</v>
      </c>
      <c r="E1" s="43" t="s">
        <v>133</v>
      </c>
      <c r="F1" s="43" t="s">
        <v>134</v>
      </c>
      <c r="G1" s="43" t="s">
        <v>135</v>
      </c>
      <c r="H1" s="43" t="s">
        <v>136</v>
      </c>
      <c r="I1" s="43" t="s">
        <v>137</v>
      </c>
      <c r="J1" s="43" t="s">
        <v>138</v>
      </c>
      <c r="K1" s="43" t="s">
        <v>139</v>
      </c>
    </row>
    <row r="2" spans="1:11" hidden="1" x14ac:dyDescent="0.25">
      <c r="A2" s="44" t="s">
        <v>36</v>
      </c>
      <c r="B2" s="45" t="s">
        <v>97</v>
      </c>
      <c r="C2" s="45">
        <v>1</v>
      </c>
      <c r="D2" s="45" t="str">
        <f>IFERROR(IF(INDEX('01.25'!D2:D500, MATCH(B2&amp;C2, INDEX('01.25'!B2:B500&amp;'01.25'!C2:C500, 0), 0))="", "", INDEX('01.25'!D2:D500, MATCH(B2&amp;C2, INDEX('01.25'!B2:B500&amp;'01.25'!C2:C500, 0), 0))), "")</f>
        <v>Paula Tatiana Santana Vechi</v>
      </c>
      <c r="E2" s="107" t="s">
        <v>16</v>
      </c>
      <c r="F2" s="45" t="s">
        <v>234</v>
      </c>
      <c r="G2" s="52" t="s">
        <v>131</v>
      </c>
      <c r="H2" s="45" t="s">
        <v>235</v>
      </c>
      <c r="I2" s="45"/>
      <c r="J2" s="45" t="s">
        <v>140</v>
      </c>
      <c r="K2" s="45"/>
    </row>
    <row r="3" spans="1:11" hidden="1" x14ac:dyDescent="0.25">
      <c r="A3" s="47" t="s">
        <v>28</v>
      </c>
      <c r="B3" s="45" t="s">
        <v>87</v>
      </c>
      <c r="C3" s="45">
        <v>1</v>
      </c>
      <c r="D3" s="45" t="str">
        <f>IFERROR(IF(INDEX('01.25'!D2:D500, MATCH(B3&amp;C3, INDEX('01.25'!B2:B500&amp;'01.25'!C2:C500, 0), 0))="", "", INDEX('01.25'!D2:D500, MATCH(B3&amp;C3, INDEX('01.25'!B2:B500&amp;'01.25'!C2:C500, 0), 0))), "")</f>
        <v>Willian de Oliveira Lino</v>
      </c>
      <c r="E3" s="107" t="s">
        <v>16</v>
      </c>
      <c r="F3" s="45" t="s">
        <v>209</v>
      </c>
      <c r="G3" s="52" t="s">
        <v>131</v>
      </c>
      <c r="H3" s="45" t="s">
        <v>236</v>
      </c>
      <c r="I3" s="45"/>
      <c r="J3" s="45" t="s">
        <v>140</v>
      </c>
      <c r="K3" s="45"/>
    </row>
    <row r="4" spans="1:11" hidden="1" x14ac:dyDescent="0.25">
      <c r="A4" s="48" t="s">
        <v>38</v>
      </c>
      <c r="B4" s="55" t="s">
        <v>78</v>
      </c>
      <c r="C4" s="45">
        <v>1</v>
      </c>
      <c r="D4" s="45" t="str">
        <f>IFERROR(IF(INDEX('01.25'!D2:D500, MATCH(B4&amp;C4, INDEX('01.25'!B2:B500&amp;'01.25'!C2:C500, 0), 0))="", "", INDEX('01.25'!D2:D500, MATCH(B4&amp;C4, INDEX('01.25'!B2:B500&amp;'01.25'!C2:C500, 0), 0))), "")</f>
        <v>Gisele Cássia Tamparowsky de Oliveira</v>
      </c>
      <c r="E4" s="109" t="s">
        <v>19</v>
      </c>
      <c r="F4" s="45" t="s">
        <v>237</v>
      </c>
      <c r="G4" s="52" t="s">
        <v>131</v>
      </c>
      <c r="H4" s="45"/>
      <c r="I4" s="45" t="s">
        <v>238</v>
      </c>
      <c r="J4" s="45" t="s">
        <v>131</v>
      </c>
      <c r="K4" s="45" t="s">
        <v>690</v>
      </c>
    </row>
    <row r="5" spans="1:11" hidden="1" x14ac:dyDescent="0.25">
      <c r="A5" s="47" t="s">
        <v>28</v>
      </c>
      <c r="B5" s="45" t="s">
        <v>88</v>
      </c>
      <c r="C5" s="45">
        <v>1</v>
      </c>
      <c r="D5" s="45" t="str">
        <f>IFERROR(IF(INDEX('01.25'!D2:D500, MATCH(B5&amp;C5, INDEX('01.25'!B2:B500&amp;'01.25'!C2:C500, 0), 0))="", "", INDEX('01.25'!D2:D500, MATCH(B5&amp;C5, INDEX('01.25'!B2:B500&amp;'01.25'!C2:C500, 0), 0))), "")</f>
        <v>Marcos Gabriel Franciosi Borges</v>
      </c>
      <c r="E5" s="107" t="s">
        <v>16</v>
      </c>
      <c r="F5" s="45" t="s">
        <v>166</v>
      </c>
      <c r="G5" s="52" t="s">
        <v>131</v>
      </c>
      <c r="H5" s="45" t="s">
        <v>239</v>
      </c>
      <c r="I5" s="45"/>
      <c r="J5" s="45" t="s">
        <v>140</v>
      </c>
      <c r="K5" s="45"/>
    </row>
    <row r="6" spans="1:11" hidden="1" x14ac:dyDescent="0.25">
      <c r="A6" s="47" t="s">
        <v>28</v>
      </c>
      <c r="B6" s="45" t="s">
        <v>89</v>
      </c>
      <c r="C6" s="45">
        <v>1</v>
      </c>
      <c r="D6" s="45" t="str">
        <f>IFERROR(IF(INDEX('01.25'!D2:D500, MATCH(B6&amp;C6, INDEX('01.25'!B2:B500&amp;'01.25'!C2:C500, 0), 0))="", "", INDEX('01.25'!D2:D500, MATCH(B6&amp;C6, INDEX('01.25'!B2:B500&amp;'01.25'!C2:C500, 0), 0))), "")</f>
        <v>Chayla Bianca Gazoli</v>
      </c>
      <c r="E6" s="107" t="s">
        <v>16</v>
      </c>
      <c r="F6" s="45" t="s">
        <v>175</v>
      </c>
      <c r="G6" s="52" t="s">
        <v>131</v>
      </c>
      <c r="H6" s="45" t="s">
        <v>240</v>
      </c>
      <c r="I6" s="45"/>
      <c r="J6" s="45" t="s">
        <v>140</v>
      </c>
      <c r="K6" s="45"/>
    </row>
    <row r="7" spans="1:11" hidden="1" x14ac:dyDescent="0.25">
      <c r="A7" s="48" t="s">
        <v>38</v>
      </c>
      <c r="B7" s="45" t="s">
        <v>84</v>
      </c>
      <c r="C7" s="45">
        <v>1</v>
      </c>
      <c r="D7" s="45" t="str">
        <f>IFERROR(IF(INDEX('01.25'!D2:D500, MATCH(B7&amp;C7, INDEX('01.25'!B2:B500&amp;'01.25'!C2:C500, 0), 0))="", "", INDEX('01.25'!D2:D500, MATCH(B7&amp;C7, INDEX('01.25'!B2:B500&amp;'01.25'!C2:C500, 0), 0))), "")</f>
        <v>Solange Maria Masqueti</v>
      </c>
      <c r="E7" s="107" t="s">
        <v>16</v>
      </c>
      <c r="F7" s="45" t="s">
        <v>241</v>
      </c>
      <c r="G7" s="46" t="s">
        <v>140</v>
      </c>
      <c r="H7" s="45"/>
      <c r="I7" s="45"/>
      <c r="J7" s="45" t="s">
        <v>140</v>
      </c>
      <c r="K7" s="45"/>
    </row>
    <row r="8" spans="1:11" hidden="1" x14ac:dyDescent="0.25">
      <c r="A8" s="48" t="s">
        <v>38</v>
      </c>
      <c r="B8" s="54" t="s">
        <v>79</v>
      </c>
      <c r="C8" s="45">
        <v>1</v>
      </c>
      <c r="D8" s="45" t="str">
        <f>IFERROR(IF(INDEX('01.25'!D2:D500, MATCH(B8&amp;C8, INDEX('01.25'!B2:B500&amp;'01.25'!C2:C500, 0), 0))="", "", INDEX('01.25'!D2:D500, MATCH(B8&amp;C8, INDEX('01.25'!B2:B500&amp;'01.25'!C2:C500, 0), 0))), "")</f>
        <v>Cristiane Petry Vieira</v>
      </c>
      <c r="E8" s="107" t="s">
        <v>16</v>
      </c>
      <c r="F8" s="45" t="s">
        <v>189</v>
      </c>
      <c r="G8" s="46" t="s">
        <v>140</v>
      </c>
      <c r="H8" s="45"/>
      <c r="I8" s="45"/>
      <c r="J8" s="45" t="s">
        <v>140</v>
      </c>
      <c r="K8" s="45"/>
    </row>
    <row r="9" spans="1:11" hidden="1" x14ac:dyDescent="0.25">
      <c r="A9" s="47" t="s">
        <v>28</v>
      </c>
      <c r="B9" s="45" t="s">
        <v>90</v>
      </c>
      <c r="C9" s="45">
        <v>1</v>
      </c>
      <c r="D9" s="45" t="str">
        <f>IFERROR(IF(INDEX('01.25'!D2:D500, MATCH(B9&amp;C9, INDEX('01.25'!B2:B500&amp;'01.25'!C2:C500, 0), 0))="", "", INDEX('01.25'!D2:D500, MATCH(B9&amp;C9, INDEX('01.25'!B2:B500&amp;'01.25'!C2:C500, 0), 0))), "")</f>
        <v>Diego Hemerich</v>
      </c>
      <c r="E9" s="107" t="s">
        <v>16</v>
      </c>
      <c r="F9" s="45" t="s">
        <v>175</v>
      </c>
      <c r="G9" s="52" t="s">
        <v>131</v>
      </c>
      <c r="H9" s="45" t="s">
        <v>242</v>
      </c>
      <c r="I9" s="45"/>
      <c r="J9" s="45" t="s">
        <v>140</v>
      </c>
      <c r="K9" s="45"/>
    </row>
    <row r="10" spans="1:11" hidden="1" x14ac:dyDescent="0.25">
      <c r="A10" s="49" t="s">
        <v>43</v>
      </c>
      <c r="B10" s="45" t="s">
        <v>125</v>
      </c>
      <c r="C10" s="45">
        <v>1</v>
      </c>
      <c r="D10" s="45" t="str">
        <f>IFERROR(IF(INDEX('01.25'!D2:D500, MATCH(B10&amp;C10, INDEX('01.25'!B2:B500&amp;'01.25'!C2:C500, 0), 0))="", "", INDEX('01.25'!D2:D500, MATCH(B10&amp;C10, INDEX('01.25'!B2:B500&amp;'01.25'!C2:C500, 0), 0))), "")</f>
        <v>Tatiane Girardi</v>
      </c>
      <c r="E10" s="107" t="s">
        <v>16</v>
      </c>
      <c r="F10" s="45" t="s">
        <v>243</v>
      </c>
      <c r="G10" s="52" t="s">
        <v>131</v>
      </c>
      <c r="H10" s="45" t="s">
        <v>244</v>
      </c>
      <c r="I10" s="45"/>
      <c r="J10" s="45" t="s">
        <v>140</v>
      </c>
      <c r="K10" s="45"/>
    </row>
    <row r="11" spans="1:11" hidden="1" x14ac:dyDescent="0.25">
      <c r="A11" s="49" t="s">
        <v>43</v>
      </c>
      <c r="B11" s="45" t="s">
        <v>126</v>
      </c>
      <c r="C11" s="45">
        <v>1</v>
      </c>
      <c r="D11" s="45" t="str">
        <f>IFERROR(IF(INDEX('01.25'!D2:D500, MATCH(B11&amp;C11, INDEX('01.25'!B2:B500&amp;'01.25'!C2:C500, 0), 0))="", "", INDEX('01.25'!D2:D500, MATCH(B11&amp;C11, INDEX('01.25'!B2:B500&amp;'01.25'!C2:C500, 0), 0))), "")</f>
        <v>Edson Batista de Castro</v>
      </c>
      <c r="E11" s="106" t="s">
        <v>18</v>
      </c>
      <c r="F11" s="45"/>
      <c r="G11" s="46" t="s">
        <v>140</v>
      </c>
      <c r="H11" s="45"/>
      <c r="I11" s="45"/>
      <c r="J11" s="45" t="s">
        <v>140</v>
      </c>
      <c r="K11" s="45"/>
    </row>
    <row r="12" spans="1:11" hidden="1" x14ac:dyDescent="0.25">
      <c r="A12" s="49" t="s">
        <v>43</v>
      </c>
      <c r="B12" s="45" t="s">
        <v>126</v>
      </c>
      <c r="C12" s="45">
        <v>2</v>
      </c>
      <c r="D12" s="45" t="str">
        <f>IFERROR(IF(INDEX('01.25'!D2:D500, MATCH(B12&amp;C12, INDEX('01.25'!B2:B500&amp;'01.25'!C2:C500, 0), 0))="", "", INDEX('01.25'!D2:D500, MATCH(B12&amp;C12, INDEX('01.25'!B2:B500&amp;'01.25'!C2:C500, 0), 0))), "")</f>
        <v>Gabriela Fernanda Sandri</v>
      </c>
      <c r="E12" s="107" t="s">
        <v>16</v>
      </c>
      <c r="F12" s="45" t="s">
        <v>180</v>
      </c>
      <c r="G12" s="46" t="s">
        <v>140</v>
      </c>
      <c r="H12" s="45"/>
      <c r="I12" s="45"/>
      <c r="J12" s="45" t="s">
        <v>140</v>
      </c>
      <c r="K12" s="45"/>
    </row>
    <row r="13" spans="1:11" hidden="1" x14ac:dyDescent="0.25">
      <c r="A13" s="49" t="s">
        <v>43</v>
      </c>
      <c r="B13" s="45" t="s">
        <v>126</v>
      </c>
      <c r="C13" s="45">
        <v>3</v>
      </c>
      <c r="D13" s="45" t="str">
        <f>IFERROR(IF(INDEX('01.25'!D2:D500, MATCH(B13&amp;C13, INDEX('01.25'!B2:B500&amp;'01.25'!C2:C500, 0), 0))="", "", INDEX('01.25'!D2:D500, MATCH(B13&amp;C13, INDEX('01.25'!B2:B500&amp;'01.25'!C2:C500, 0), 0))), "")</f>
        <v>Eduarda Rohden Donasolo</v>
      </c>
      <c r="E13" s="107" t="s">
        <v>16</v>
      </c>
      <c r="F13" s="45" t="s">
        <v>229</v>
      </c>
      <c r="G13" s="46" t="s">
        <v>140</v>
      </c>
      <c r="H13" s="45"/>
      <c r="I13" s="45"/>
      <c r="J13" s="45" t="s">
        <v>140</v>
      </c>
      <c r="K13" s="45"/>
    </row>
    <row r="14" spans="1:11" hidden="1" x14ac:dyDescent="0.25">
      <c r="A14" s="49" t="s">
        <v>43</v>
      </c>
      <c r="B14" s="45" t="s">
        <v>126</v>
      </c>
      <c r="C14" s="45">
        <v>4</v>
      </c>
      <c r="D14" s="45" t="str">
        <f>IFERROR(IF(INDEX('01.25'!D2:D500, MATCH(B14&amp;C14, INDEX('01.25'!B2:B500&amp;'01.25'!C2:C500, 0), 0))="", "", INDEX('01.25'!D2:D500, MATCH(B14&amp;C14, INDEX('01.25'!B2:B500&amp;'01.25'!C2:C500, 0), 0))), "")</f>
        <v>Mauricio Pinto de Lima</v>
      </c>
      <c r="E14" s="106" t="s">
        <v>18</v>
      </c>
      <c r="F14" s="45"/>
      <c r="G14" s="46" t="s">
        <v>140</v>
      </c>
      <c r="H14" s="45"/>
      <c r="I14" s="45"/>
      <c r="J14" s="45" t="s">
        <v>140</v>
      </c>
      <c r="K14" s="45"/>
    </row>
    <row r="15" spans="1:11" hidden="1" x14ac:dyDescent="0.25">
      <c r="A15" s="49" t="s">
        <v>43</v>
      </c>
      <c r="B15" s="45" t="s">
        <v>126</v>
      </c>
      <c r="C15" s="45">
        <v>5</v>
      </c>
      <c r="D15" s="45" t="str">
        <f>IFERROR(IF(INDEX('01.25'!D2:D500, MATCH(B15&amp;C15, INDEX('01.25'!B2:B500&amp;'01.25'!C2:C500, 0), 0))="", "", INDEX('01.25'!D2:D500, MATCH(B15&amp;C15, INDEX('01.25'!B2:B500&amp;'01.25'!C2:C500, 0), 0))), "")</f>
        <v xml:space="preserve">Débora Laize Lampert Gnass </v>
      </c>
      <c r="E15" s="107" t="s">
        <v>16</v>
      </c>
      <c r="F15" s="45" t="s">
        <v>182</v>
      </c>
      <c r="G15" s="46" t="s">
        <v>140</v>
      </c>
      <c r="H15" s="45"/>
      <c r="I15" s="45"/>
      <c r="J15" s="45" t="s">
        <v>140</v>
      </c>
      <c r="K15" s="45"/>
    </row>
    <row r="16" spans="1:11" hidden="1" x14ac:dyDescent="0.25">
      <c r="A16" s="49" t="s">
        <v>43</v>
      </c>
      <c r="B16" s="45" t="s">
        <v>126</v>
      </c>
      <c r="C16" s="45">
        <v>6</v>
      </c>
      <c r="D16" s="45" t="str">
        <f>IFERROR(IF(INDEX('01.25'!D2:D500, MATCH(B16&amp;C16, INDEX('01.25'!B2:B500&amp;'01.25'!C2:C500, 0), 0))="", "", INDEX('01.25'!D2:D500, MATCH(B16&amp;C16, INDEX('01.25'!B2:B500&amp;'01.25'!C2:C500, 0), 0))), "")</f>
        <v/>
      </c>
      <c r="E16" s="107" t="s">
        <v>16</v>
      </c>
      <c r="F16" s="45" t="s">
        <v>182</v>
      </c>
      <c r="G16" s="46" t="s">
        <v>140</v>
      </c>
      <c r="H16" s="45"/>
      <c r="I16" s="45"/>
      <c r="J16" s="45" t="s">
        <v>140</v>
      </c>
      <c r="K16" s="45"/>
    </row>
    <row r="17" spans="1:11" hidden="1" x14ac:dyDescent="0.25">
      <c r="A17" s="47" t="s">
        <v>28</v>
      </c>
      <c r="B17" s="45" t="s">
        <v>91</v>
      </c>
      <c r="C17" s="45">
        <v>1</v>
      </c>
      <c r="D17" s="45" t="str">
        <f>IFERROR(IF(INDEX('01.25'!D2:D500, MATCH(B17&amp;C17, INDEX('01.25'!B2:B500&amp;'01.25'!C2:C500, 0), 0))="", "", INDEX('01.25'!D2:D500, MATCH(B17&amp;C17, INDEX('01.25'!B2:B500&amp;'01.25'!C2:C500, 0), 0))), "")</f>
        <v>Cristina Harumi Enokida</v>
      </c>
      <c r="E17" s="107" t="s">
        <v>16</v>
      </c>
      <c r="F17" s="45" t="s">
        <v>183</v>
      </c>
      <c r="G17" s="52" t="s">
        <v>131</v>
      </c>
      <c r="H17" s="45"/>
      <c r="I17" s="45"/>
      <c r="J17" s="45" t="s">
        <v>140</v>
      </c>
      <c r="K17" s="45"/>
    </row>
    <row r="18" spans="1:11" hidden="1" x14ac:dyDescent="0.25">
      <c r="A18" s="49" t="s">
        <v>43</v>
      </c>
      <c r="B18" s="45" t="s">
        <v>127</v>
      </c>
      <c r="C18" s="45">
        <v>1</v>
      </c>
      <c r="D18" s="45" t="str">
        <f>IFERROR(IF(INDEX('01.25'!D2:D500, MATCH(B18&amp;C18, INDEX('01.25'!B2:B500&amp;'01.25'!C2:C500, 0), 0))="", "", INDEX('01.25'!D2:D500, MATCH(B18&amp;C18, INDEX('01.25'!B2:B500&amp;'01.25'!C2:C500, 0), 0))), "")</f>
        <v>Douglas de Mattia</v>
      </c>
      <c r="E18" s="109" t="s">
        <v>19</v>
      </c>
      <c r="F18" s="45" t="s">
        <v>245</v>
      </c>
      <c r="G18" s="52" t="s">
        <v>131</v>
      </c>
      <c r="H18" s="45" t="s">
        <v>246</v>
      </c>
      <c r="I18" s="45"/>
      <c r="J18" s="45" t="s">
        <v>140</v>
      </c>
      <c r="K18" s="45"/>
    </row>
    <row r="19" spans="1:11" hidden="1" x14ac:dyDescent="0.25">
      <c r="A19" s="47" t="s">
        <v>28</v>
      </c>
      <c r="B19" s="45" t="s">
        <v>92</v>
      </c>
      <c r="C19" s="45">
        <v>1</v>
      </c>
      <c r="D19" s="45" t="str">
        <f>IFERROR(IF(INDEX('01.25'!D2:D500, MATCH(B19&amp;C19, INDEX('01.25'!B2:B500&amp;'01.25'!C2:C500, 0), 0))="", "", INDEX('01.25'!D2:D500, MATCH(B19&amp;C19, INDEX('01.25'!B2:B500&amp;'01.25'!C2:C500, 0), 0))), "")</f>
        <v>Vanderson Pasetti</v>
      </c>
      <c r="E19" s="107" t="s">
        <v>16</v>
      </c>
      <c r="F19" s="45" t="s">
        <v>247</v>
      </c>
      <c r="G19" s="52" t="s">
        <v>131</v>
      </c>
      <c r="H19" s="45" t="s">
        <v>248</v>
      </c>
      <c r="I19" s="45"/>
      <c r="J19" s="45" t="s">
        <v>140</v>
      </c>
      <c r="K19" s="45"/>
    </row>
    <row r="20" spans="1:11" x14ac:dyDescent="0.25">
      <c r="A20" s="50" t="s">
        <v>42</v>
      </c>
      <c r="B20" s="45" t="s">
        <v>115</v>
      </c>
      <c r="C20" s="45">
        <v>1</v>
      </c>
      <c r="D20" s="45" t="str">
        <f>IFERROR(IF(INDEX('01.25'!D2:D500, MATCH(B20&amp;C20, INDEX('01.25'!B2:B500&amp;'01.25'!C2:C500, 0), 0))="", "", INDEX('01.25'!D2:D500, MATCH(B20&amp;C20, INDEX('01.25'!B2:B500&amp;'01.25'!C2:C500, 0), 0))), "")</f>
        <v>Bruna Schneider Guimarães</v>
      </c>
      <c r="E20" s="107" t="s">
        <v>16</v>
      </c>
      <c r="F20" s="45" t="s">
        <v>173</v>
      </c>
      <c r="G20" s="52" t="s">
        <v>131</v>
      </c>
      <c r="H20" s="45"/>
      <c r="I20" s="45"/>
      <c r="J20" s="45" t="s">
        <v>140</v>
      </c>
      <c r="K20" s="45"/>
    </row>
    <row r="21" spans="1:11" hidden="1" x14ac:dyDescent="0.25">
      <c r="A21" s="47" t="s">
        <v>28</v>
      </c>
      <c r="B21" s="45" t="s">
        <v>93</v>
      </c>
      <c r="C21" s="45">
        <v>1</v>
      </c>
      <c r="D21" s="45" t="str">
        <f>IFERROR(IF(INDEX('01.25'!D2:D500, MATCH(B21&amp;C21, INDEX('01.25'!B2:B500&amp;'01.25'!C2:C500, 0), 0))="", "", INDEX('01.25'!D2:D500, MATCH(B21&amp;C21, INDEX('01.25'!B2:B500&amp;'01.25'!C2:C500, 0), 0))), "")</f>
        <v>Keilla Avezedo</v>
      </c>
      <c r="E21" s="107" t="s">
        <v>16</v>
      </c>
      <c r="F21" s="45" t="s">
        <v>249</v>
      </c>
      <c r="G21" s="52" t="s">
        <v>131</v>
      </c>
      <c r="H21" s="45"/>
      <c r="I21" s="45"/>
      <c r="J21" s="45" t="s">
        <v>140</v>
      </c>
      <c r="K21" s="45"/>
    </row>
    <row r="22" spans="1:11" x14ac:dyDescent="0.25">
      <c r="A22" s="50" t="s">
        <v>42</v>
      </c>
      <c r="B22" s="45" t="s">
        <v>116</v>
      </c>
      <c r="C22" s="45">
        <v>1</v>
      </c>
      <c r="D22" s="45" t="str">
        <f>IFERROR(IF(INDEX('01.25'!D2:D500, MATCH(B22&amp;C22, INDEX('01.25'!B2:B500&amp;'01.25'!C2:C500, 0), 0))="", "", INDEX('01.25'!D2:D500, MATCH(B22&amp;C22, INDEX('01.25'!B2:B500&amp;'01.25'!C2:C500, 0), 0))), "")</f>
        <v>Carmen Maria Stein Weiler</v>
      </c>
      <c r="E22" s="107" t="s">
        <v>16</v>
      </c>
      <c r="F22" s="45" t="s">
        <v>250</v>
      </c>
      <c r="G22" s="52" t="s">
        <v>131</v>
      </c>
      <c r="H22" s="45"/>
      <c r="I22" s="45"/>
      <c r="J22" s="45" t="s">
        <v>140</v>
      </c>
      <c r="K22" s="45"/>
    </row>
    <row r="23" spans="1:11" hidden="1" x14ac:dyDescent="0.25">
      <c r="A23" s="48" t="s">
        <v>38</v>
      </c>
      <c r="B23" s="54" t="s">
        <v>75</v>
      </c>
      <c r="C23" s="45">
        <v>1</v>
      </c>
      <c r="D23" s="45" t="str">
        <f>IFERROR(IF(INDEX('01.25'!D2:D500, MATCH(B23&amp;C23, INDEX('01.25'!B2:B500&amp;'01.25'!C2:C500, 0), 0))="", "", INDEX('01.25'!D2:D500, MATCH(B23&amp;C23, INDEX('01.25'!B2:B500&amp;'01.25'!C2:C500, 0), 0))), "")</f>
        <v>Thiago Varaschim Cenci</v>
      </c>
      <c r="E23" s="107" t="s">
        <v>16</v>
      </c>
      <c r="F23" s="45" t="s">
        <v>189</v>
      </c>
      <c r="G23" s="46" t="s">
        <v>140</v>
      </c>
      <c r="H23" s="45"/>
      <c r="I23" s="45"/>
      <c r="J23" s="45" t="s">
        <v>140</v>
      </c>
      <c r="K23" s="45"/>
    </row>
    <row r="24" spans="1:11" hidden="1" x14ac:dyDescent="0.25">
      <c r="A24" s="51" t="s">
        <v>40</v>
      </c>
      <c r="B24" s="45" t="s">
        <v>80</v>
      </c>
      <c r="C24" s="45">
        <v>1</v>
      </c>
      <c r="D24" s="45" t="str">
        <f>IFERROR(IF(INDEX('01.25'!D2:D500, MATCH(B24&amp;C24, INDEX('01.25'!B2:B500&amp;'01.25'!C2:C500, 0), 0))="", "", INDEX('01.25'!D2:D500, MATCH(B24&amp;C24, INDEX('01.25'!B2:B500&amp;'01.25'!C2:C500, 0), 0))), "")</f>
        <v>Éber Alexandre Nascimento Araújo</v>
      </c>
      <c r="E24" s="108" t="s">
        <v>21</v>
      </c>
      <c r="F24" s="45"/>
      <c r="G24" s="52" t="s">
        <v>131</v>
      </c>
      <c r="H24" s="45"/>
      <c r="I24" s="45"/>
      <c r="J24" s="45" t="s">
        <v>140</v>
      </c>
      <c r="K24" s="45"/>
    </row>
    <row r="25" spans="1:11" hidden="1" x14ac:dyDescent="0.25">
      <c r="A25" s="51" t="s">
        <v>40</v>
      </c>
      <c r="B25" s="45" t="s">
        <v>80</v>
      </c>
      <c r="C25" s="45">
        <v>2</v>
      </c>
      <c r="D25" s="45" t="str">
        <f>IFERROR(IF(INDEX('01.25'!D2:D500, MATCH(B25&amp;C25, INDEX('01.25'!B2:B500&amp;'01.25'!C2:C500, 0), 0))="", "", INDEX('01.25'!D2:D500, MATCH(B25&amp;C25, INDEX('01.25'!B2:B500&amp;'01.25'!C2:C500, 0), 0))), "")</f>
        <v>Andrea Carla Winkelmann</v>
      </c>
      <c r="E25" s="107" t="s">
        <v>16</v>
      </c>
      <c r="F25" s="45" t="s">
        <v>249</v>
      </c>
      <c r="G25" s="52" t="s">
        <v>131</v>
      </c>
      <c r="H25" s="45"/>
      <c r="I25" s="45"/>
      <c r="J25" s="45" t="s">
        <v>140</v>
      </c>
      <c r="K25" s="45"/>
    </row>
    <row r="26" spans="1:11" hidden="1" x14ac:dyDescent="0.25">
      <c r="A26" s="51" t="s">
        <v>40</v>
      </c>
      <c r="B26" s="45" t="s">
        <v>80</v>
      </c>
      <c r="C26" s="45">
        <v>3</v>
      </c>
      <c r="D26" s="45" t="str">
        <f>IFERROR(IF(INDEX('01.25'!D2:D500, MATCH(B26&amp;C26, INDEX('01.25'!B2:B500&amp;'01.25'!C2:C500, 0), 0))="", "", INDEX('01.25'!D2:D500, MATCH(B26&amp;C26, INDEX('01.25'!B2:B500&amp;'01.25'!C2:C500, 0), 0))), "")</f>
        <v>Lorizete de Andrade</v>
      </c>
      <c r="E26" s="107" t="s">
        <v>16</v>
      </c>
      <c r="F26" s="45" t="s">
        <v>175</v>
      </c>
      <c r="G26" s="52" t="s">
        <v>131</v>
      </c>
      <c r="H26" s="45" t="s">
        <v>251</v>
      </c>
      <c r="I26" s="45"/>
      <c r="J26" s="45" t="s">
        <v>140</v>
      </c>
      <c r="K26" s="45"/>
    </row>
    <row r="27" spans="1:11" hidden="1" x14ac:dyDescent="0.25">
      <c r="A27" s="51" t="s">
        <v>40</v>
      </c>
      <c r="B27" s="45" t="s">
        <v>80</v>
      </c>
      <c r="C27" s="45">
        <v>4</v>
      </c>
      <c r="D27" s="45" t="str">
        <f>IFERROR(IF(INDEX('01.25'!D2:D500, MATCH(B27&amp;C27, INDEX('01.25'!B2:B500&amp;'01.25'!C2:C500, 0), 0))="", "", INDEX('01.25'!D2:D500, MATCH(B27&amp;C27, INDEX('01.25'!B2:B500&amp;'01.25'!C2:C500, 0), 0))), "")</f>
        <v>Andressa Maia</v>
      </c>
      <c r="E27" s="107" t="s">
        <v>16</v>
      </c>
      <c r="F27" s="45" t="s">
        <v>229</v>
      </c>
      <c r="G27" s="52" t="s">
        <v>131</v>
      </c>
      <c r="H27" s="45"/>
      <c r="I27" s="45"/>
      <c r="J27" s="45" t="s">
        <v>140</v>
      </c>
      <c r="K27" s="45"/>
    </row>
    <row r="28" spans="1:11" hidden="1" x14ac:dyDescent="0.25">
      <c r="A28" s="51" t="s">
        <v>40</v>
      </c>
      <c r="B28" s="45" t="s">
        <v>80</v>
      </c>
      <c r="C28" s="45">
        <v>5</v>
      </c>
      <c r="D28" s="45" t="str">
        <f>IFERROR(IF(INDEX('01.25'!D2:D500, MATCH(B28&amp;C28, INDEX('01.25'!B2:B500&amp;'01.25'!C2:C500, 0), 0))="", "", INDEX('01.25'!D2:D500, MATCH(B28&amp;C28, INDEX('01.25'!B2:B500&amp;'01.25'!C2:C500, 0), 0))), "")</f>
        <v>Lucas Correia de Souza</v>
      </c>
      <c r="E28" s="107" t="s">
        <v>16</v>
      </c>
      <c r="F28" s="45" t="s">
        <v>183</v>
      </c>
      <c r="G28" s="52" t="s">
        <v>131</v>
      </c>
      <c r="H28" s="45"/>
      <c r="I28" s="45"/>
      <c r="J28" s="45" t="s">
        <v>140</v>
      </c>
      <c r="K28" s="45"/>
    </row>
    <row r="29" spans="1:11" hidden="1" x14ac:dyDescent="0.25">
      <c r="A29" s="51" t="s">
        <v>40</v>
      </c>
      <c r="B29" s="54" t="s">
        <v>80</v>
      </c>
      <c r="C29" s="45">
        <v>6</v>
      </c>
      <c r="D29" s="45" t="str">
        <f>IFERROR(IF(INDEX('01.25'!D2:D500, MATCH(B29&amp;C29, INDEX('01.25'!B2:B500&amp;'01.25'!C2:C500, 0), 0))="", "", INDEX('01.25'!D2:D500, MATCH(B29&amp;C29, INDEX('01.25'!B2:B500&amp;'01.25'!C2:C500, 0), 0))), "")</f>
        <v>Jose Francisco Mariano de Faria Filho</v>
      </c>
      <c r="E29" s="107" t="s">
        <v>16</v>
      </c>
      <c r="F29" s="45" t="s">
        <v>189</v>
      </c>
      <c r="G29" s="52" t="s">
        <v>131</v>
      </c>
      <c r="H29" s="45" t="s">
        <v>252</v>
      </c>
      <c r="I29" s="45"/>
      <c r="J29" s="45" t="s">
        <v>140</v>
      </c>
      <c r="K29" s="45"/>
    </row>
    <row r="30" spans="1:11" hidden="1" x14ac:dyDescent="0.25">
      <c r="A30" s="51" t="s">
        <v>40</v>
      </c>
      <c r="B30" s="45" t="s">
        <v>80</v>
      </c>
      <c r="C30" s="45">
        <v>7</v>
      </c>
      <c r="D30" s="45" t="str">
        <f>IFERROR(IF(INDEX('01.25'!D2:D500, MATCH(B30&amp;C30, INDEX('01.25'!B2:B500&amp;'01.25'!C2:C500, 0), 0))="", "", INDEX('01.25'!D2:D500, MATCH(B30&amp;C30, INDEX('01.25'!B2:B500&amp;'01.25'!C2:C500, 0), 0))), "")</f>
        <v>Pedro Henrique Mariano de Faria</v>
      </c>
      <c r="E30" s="107" t="s">
        <v>16</v>
      </c>
      <c r="F30" s="45" t="s">
        <v>175</v>
      </c>
      <c r="G30" s="52" t="s">
        <v>131</v>
      </c>
      <c r="H30" s="45" t="s">
        <v>253</v>
      </c>
      <c r="I30" s="45"/>
      <c r="J30" s="45" t="s">
        <v>140</v>
      </c>
      <c r="K30" s="45"/>
    </row>
    <row r="31" spans="1:11" hidden="1" x14ac:dyDescent="0.25">
      <c r="A31" s="51" t="s">
        <v>40</v>
      </c>
      <c r="B31" s="45" t="s">
        <v>80</v>
      </c>
      <c r="C31" s="45">
        <v>8</v>
      </c>
      <c r="D31" s="45" t="str">
        <f>IFERROR(IF(INDEX('01.25'!D2:D500, MATCH(B31&amp;C31, INDEX('01.25'!B2:B500&amp;'01.25'!C2:C500, 0), 0))="", "", INDEX('01.25'!D2:D500, MATCH(B31&amp;C31, INDEX('01.25'!B2:B500&amp;'01.25'!C2:C500, 0), 0))), "")</f>
        <v>Renata Aparecida de Souza</v>
      </c>
      <c r="E31" s="107" t="s">
        <v>16</v>
      </c>
      <c r="F31" s="45" t="s">
        <v>175</v>
      </c>
      <c r="G31" s="52" t="s">
        <v>131</v>
      </c>
      <c r="H31" s="45"/>
      <c r="I31" s="45"/>
      <c r="J31" s="45" t="s">
        <v>140</v>
      </c>
      <c r="K31" s="45"/>
    </row>
    <row r="32" spans="1:11" hidden="1" x14ac:dyDescent="0.25">
      <c r="A32" s="51" t="s">
        <v>40</v>
      </c>
      <c r="B32" s="45" t="s">
        <v>80</v>
      </c>
      <c r="C32" s="45">
        <v>9</v>
      </c>
      <c r="D32" s="45" t="str">
        <f>IFERROR(IF(INDEX('01.25'!D2:D500, MATCH(B32&amp;C32, INDEX('01.25'!B2:B500&amp;'01.25'!C2:C500, 0), 0))="", "", INDEX('01.25'!D2:D500, MATCH(B32&amp;C32, INDEX('01.25'!B2:B500&amp;'01.25'!C2:C500, 0), 0))), "")</f>
        <v>Maria Eduarda dos Santos Arias</v>
      </c>
      <c r="E32" s="108" t="s">
        <v>21</v>
      </c>
      <c r="F32" s="45"/>
      <c r="G32" s="52" t="s">
        <v>131</v>
      </c>
      <c r="H32" s="45"/>
      <c r="I32" s="45"/>
      <c r="J32" s="45" t="s">
        <v>140</v>
      </c>
      <c r="K32" s="45"/>
    </row>
    <row r="33" spans="1:11" hidden="1" x14ac:dyDescent="0.25">
      <c r="A33" s="44" t="s">
        <v>36</v>
      </c>
      <c r="B33" s="45" t="s">
        <v>98</v>
      </c>
      <c r="C33" s="45">
        <v>1</v>
      </c>
      <c r="D33" s="45" t="str">
        <f>IFERROR(IF(INDEX('01.25'!D2:D500, MATCH(B33&amp;C33, INDEX('01.25'!B2:B500&amp;'01.25'!C2:C500, 0), 0))="", "", INDEX('01.25'!D2:D500, MATCH(B33&amp;C33, INDEX('01.25'!B2:B500&amp;'01.25'!C2:C500, 0), 0))), "")</f>
        <v>Paulo Rogerio Hiroshi Fujii</v>
      </c>
      <c r="E33" s="107" t="s">
        <v>16</v>
      </c>
      <c r="F33" s="45" t="s">
        <v>175</v>
      </c>
      <c r="G33" s="46" t="s">
        <v>140</v>
      </c>
      <c r="H33" s="45"/>
      <c r="I33" s="45" t="s">
        <v>254</v>
      </c>
      <c r="J33" s="45" t="s">
        <v>131</v>
      </c>
      <c r="K33" s="45" t="s">
        <v>255</v>
      </c>
    </row>
    <row r="34" spans="1:11" hidden="1" x14ac:dyDescent="0.25">
      <c r="A34" s="44" t="s">
        <v>36</v>
      </c>
      <c r="B34" s="45" t="s">
        <v>99</v>
      </c>
      <c r="C34" s="45">
        <v>1</v>
      </c>
      <c r="D34" s="45" t="str">
        <f>IFERROR(IF(INDEX('01.25'!D2:D500, MATCH(B34&amp;C34, INDEX('01.25'!B2:B500&amp;'01.25'!C2:C500, 0), 0))="", "", INDEX('01.25'!D2:D500, MATCH(B34&amp;C34, INDEX('01.25'!B2:B500&amp;'01.25'!C2:C500, 0), 0))), "")</f>
        <v>Marlene R. Oliveira Dallacosta</v>
      </c>
      <c r="E34" s="107" t="s">
        <v>16</v>
      </c>
      <c r="F34" s="45" t="s">
        <v>217</v>
      </c>
      <c r="G34" s="46" t="s">
        <v>140</v>
      </c>
      <c r="H34" s="45"/>
      <c r="I34" s="45"/>
      <c r="J34" s="45" t="s">
        <v>140</v>
      </c>
      <c r="K34" s="45"/>
    </row>
    <row r="35" spans="1:11" hidden="1" x14ac:dyDescent="0.25">
      <c r="A35" s="47" t="s">
        <v>28</v>
      </c>
      <c r="B35" s="45" t="s">
        <v>94</v>
      </c>
      <c r="C35" s="45">
        <v>1</v>
      </c>
      <c r="D35" s="45" t="str">
        <f>IFERROR(IF(INDEX('01.25'!D2:D500, MATCH(B35&amp;C35, INDEX('01.25'!B2:B500&amp;'01.25'!C2:C500, 0), 0))="", "", INDEX('01.25'!D2:D500, MATCH(B35&amp;C35, INDEX('01.25'!B2:B500&amp;'01.25'!C2:C500, 0), 0))), "")</f>
        <v>Vitolor dos Santos Almeida</v>
      </c>
      <c r="E35" s="107" t="s">
        <v>16</v>
      </c>
      <c r="F35" s="45" t="s">
        <v>168</v>
      </c>
      <c r="G35" s="52" t="s">
        <v>131</v>
      </c>
      <c r="H35" s="45" t="s">
        <v>256</v>
      </c>
      <c r="I35" s="45"/>
      <c r="J35" s="45" t="s">
        <v>140</v>
      </c>
      <c r="K35" s="45"/>
    </row>
    <row r="36" spans="1:11" hidden="1" x14ac:dyDescent="0.25">
      <c r="A36" s="47" t="s">
        <v>28</v>
      </c>
      <c r="B36" s="45" t="s">
        <v>95</v>
      </c>
      <c r="C36" s="45">
        <v>1</v>
      </c>
      <c r="D36" s="45" t="str">
        <f>IFERROR(IF(INDEX('01.25'!D2:D500, MATCH(B36&amp;C36, INDEX('01.25'!B2:B500&amp;'01.25'!C2:C500, 0), 0))="", "", INDEX('01.25'!D2:D500, MATCH(B36&amp;C36, INDEX('01.25'!B2:B500&amp;'01.25'!C2:C500, 0), 0))), "")</f>
        <v>Kelly Jackeline Silva do Valle</v>
      </c>
      <c r="E36" s="107" t="s">
        <v>16</v>
      </c>
      <c r="F36" s="45" t="s">
        <v>197</v>
      </c>
      <c r="G36" s="52" t="s">
        <v>131</v>
      </c>
      <c r="H36" s="45" t="s">
        <v>257</v>
      </c>
      <c r="I36" s="45"/>
      <c r="J36" s="45" t="s">
        <v>140</v>
      </c>
      <c r="K36" s="45"/>
    </row>
    <row r="37" spans="1:11" hidden="1" x14ac:dyDescent="0.25">
      <c r="A37" s="47" t="s">
        <v>28</v>
      </c>
      <c r="B37" s="45" t="s">
        <v>96</v>
      </c>
      <c r="C37" s="45">
        <v>1</v>
      </c>
      <c r="D37" s="45" t="str">
        <f>IFERROR(IF(INDEX('01.25'!D2:D500, MATCH(B37&amp;C37, INDEX('01.25'!B2:B500&amp;'01.25'!C2:C500, 0), 0))="", "", INDEX('01.25'!D2:D500, MATCH(B37&amp;C37, INDEX('01.25'!B2:B500&amp;'01.25'!C2:C500, 0), 0))), "")</f>
        <v>Felipe Carvalho Zydek</v>
      </c>
      <c r="E37" s="107" t="s">
        <v>16</v>
      </c>
      <c r="F37" s="45" t="s">
        <v>183</v>
      </c>
      <c r="G37" s="52" t="s">
        <v>131</v>
      </c>
      <c r="H37" s="45"/>
      <c r="I37" s="45"/>
      <c r="J37" s="45" t="s">
        <v>140</v>
      </c>
      <c r="K37" s="45"/>
    </row>
    <row r="38" spans="1:11" hidden="1" x14ac:dyDescent="0.25">
      <c r="A38" s="48" t="s">
        <v>38</v>
      </c>
      <c r="B38" s="45" t="s">
        <v>107</v>
      </c>
      <c r="C38" s="45">
        <v>1</v>
      </c>
      <c r="D38" s="45" t="str">
        <f>IFERROR(IF(INDEX('01.25'!D2:D500, MATCH(B38&amp;C38, INDEX('01.25'!B2:B500&amp;'01.25'!C2:C500, 0), 0))="", "", INDEX('01.25'!D2:D500, MATCH(B38&amp;C38, INDEX('01.25'!B2:B500&amp;'01.25'!C2:C500, 0), 0))), "")</f>
        <v>Eliane Borin</v>
      </c>
      <c r="E38" s="107" t="s">
        <v>16</v>
      </c>
      <c r="F38" s="45" t="s">
        <v>168</v>
      </c>
      <c r="G38" s="46" t="s">
        <v>140</v>
      </c>
      <c r="H38" s="45"/>
      <c r="I38" s="45"/>
      <c r="J38" s="45" t="s">
        <v>140</v>
      </c>
      <c r="K38" s="45"/>
    </row>
    <row r="39" spans="1:11" x14ac:dyDescent="0.25">
      <c r="A39" s="50" t="s">
        <v>42</v>
      </c>
      <c r="B39" s="45" t="s">
        <v>117</v>
      </c>
      <c r="C39" s="45">
        <v>1</v>
      </c>
      <c r="D39" s="45" t="str">
        <f>IFERROR(IF(INDEX('01.25'!D2:D500, MATCH(B39&amp;C39, INDEX('01.25'!B2:B500&amp;'01.25'!C2:C500, 0), 0))="", "", INDEX('01.25'!D2:D500, MATCH(B39&amp;C39, INDEX('01.25'!B2:B500&amp;'01.25'!C2:C500, 0), 0))), "")</f>
        <v>Tatiana schrard</v>
      </c>
      <c r="E39" s="107" t="s">
        <v>16</v>
      </c>
      <c r="F39" s="45" t="s">
        <v>258</v>
      </c>
      <c r="G39" s="46" t="s">
        <v>131</v>
      </c>
      <c r="I39" s="45"/>
      <c r="J39" s="45" t="s">
        <v>140</v>
      </c>
      <c r="K39" s="45"/>
    </row>
    <row r="40" spans="1:11" hidden="1" x14ac:dyDescent="0.25">
      <c r="A40" s="48" t="s">
        <v>38</v>
      </c>
      <c r="B40" s="54" t="s">
        <v>81</v>
      </c>
      <c r="C40" s="45">
        <v>1</v>
      </c>
      <c r="D40" s="45" t="str">
        <f>IFERROR(IF(INDEX('01.25'!D2:D500, MATCH(B40&amp;C40, INDEX('01.25'!B2:B500&amp;'01.25'!C2:C500, 0), 0))="", "", INDEX('01.25'!D2:D500, MATCH(B40&amp;C40, INDEX('01.25'!B2:B500&amp;'01.25'!C2:C500, 0), 0))), "")</f>
        <v>César Piva Glinglani</v>
      </c>
      <c r="E40" s="107" t="s">
        <v>16</v>
      </c>
      <c r="F40" s="45" t="s">
        <v>189</v>
      </c>
      <c r="G40" s="46" t="s">
        <v>140</v>
      </c>
      <c r="H40" s="45"/>
      <c r="I40" s="45"/>
      <c r="J40" s="45" t="s">
        <v>140</v>
      </c>
      <c r="K40" s="45"/>
    </row>
    <row r="41" spans="1:11" hidden="1" x14ac:dyDescent="0.25">
      <c r="A41" s="49" t="s">
        <v>43</v>
      </c>
      <c r="B41" s="45" t="s">
        <v>128</v>
      </c>
      <c r="C41" s="45">
        <v>1</v>
      </c>
      <c r="D41" s="45" t="str">
        <f>IFERROR(IF(INDEX('01.25'!D2:D500, MATCH(B41&amp;C41, INDEX('01.25'!B2:B500&amp;'01.25'!C2:C500, 0), 0))="", "", INDEX('01.25'!D2:D500, MATCH(B41&amp;C41, INDEX('01.25'!B2:B500&amp;'01.25'!C2:C500, 0), 0))), "")</f>
        <v>Ailton Carlos Fialho</v>
      </c>
      <c r="E41" s="107" t="s">
        <v>16</v>
      </c>
      <c r="F41" s="45" t="s">
        <v>209</v>
      </c>
      <c r="G41" s="52" t="s">
        <v>131</v>
      </c>
      <c r="H41" s="45"/>
      <c r="I41" s="45"/>
      <c r="J41" s="45" t="s">
        <v>140</v>
      </c>
      <c r="K41" s="45"/>
    </row>
    <row r="42" spans="1:11" x14ac:dyDescent="0.25">
      <c r="A42" s="50" t="s">
        <v>42</v>
      </c>
      <c r="B42" s="54" t="s">
        <v>82</v>
      </c>
      <c r="C42" s="45">
        <v>1</v>
      </c>
      <c r="D42" s="45" t="str">
        <f>IFERROR(IF(INDEX('01.25'!D2:D500, MATCH(B42&amp;C42, INDEX('01.25'!B2:B500&amp;'01.25'!C2:C500, 0), 0))="", "", INDEX('01.25'!D2:D500, MATCH(B42&amp;C42, INDEX('01.25'!B2:B500&amp;'01.25'!C2:C500, 0), 0))), "")</f>
        <v>Marcos José Chaves</v>
      </c>
      <c r="E42" s="107" t="s">
        <v>16</v>
      </c>
      <c r="F42" s="45" t="s">
        <v>189</v>
      </c>
      <c r="G42" s="46" t="s">
        <v>131</v>
      </c>
      <c r="H42" s="147" t="s">
        <v>702</v>
      </c>
      <c r="I42" s="45"/>
      <c r="J42" s="45" t="s">
        <v>140</v>
      </c>
      <c r="K42" s="45"/>
    </row>
    <row r="43" spans="1:11" x14ac:dyDescent="0.25">
      <c r="A43" s="50" t="s">
        <v>42</v>
      </c>
      <c r="B43" s="54" t="s">
        <v>82</v>
      </c>
      <c r="C43" s="45">
        <v>2</v>
      </c>
      <c r="D43" s="45" t="str">
        <f>IFERROR(IF(INDEX('01.25'!D2:D500, MATCH(B43&amp;C43, INDEX('01.25'!B2:B500&amp;'01.25'!C2:C500, 0), 0))="", "", INDEX('01.25'!D2:D500, MATCH(B43&amp;C43, INDEX('01.25'!B2:B500&amp;'01.25'!C2:C500, 0), 0))), "")</f>
        <v>Diego Matheus Reinicke</v>
      </c>
      <c r="E43" s="107" t="s">
        <v>16</v>
      </c>
      <c r="F43" s="45" t="s">
        <v>189</v>
      </c>
      <c r="G43" s="52" t="s">
        <v>131</v>
      </c>
      <c r="H43" s="147" t="s">
        <v>702</v>
      </c>
      <c r="I43" s="45"/>
      <c r="J43" s="45" t="s">
        <v>140</v>
      </c>
      <c r="K43" s="45"/>
    </row>
    <row r="44" spans="1:11" hidden="1" x14ac:dyDescent="0.25">
      <c r="A44" s="48" t="s">
        <v>38</v>
      </c>
      <c r="B44" s="55" t="s">
        <v>76</v>
      </c>
      <c r="C44" s="45">
        <v>1</v>
      </c>
      <c r="D44" s="45" t="str">
        <f>IFERROR(IF(INDEX('01.25'!D2:D500, MATCH(B44&amp;C44, INDEX('01.25'!B2:B500&amp;'01.25'!C2:C500, 0), 0))="", "", INDEX('01.25'!D2:D500, MATCH(B44&amp;C44, INDEX('01.25'!B2:B500&amp;'01.25'!C2:C500, 0), 0))), "")</f>
        <v>Cleiton Manske</v>
      </c>
      <c r="E44" s="109" t="s">
        <v>19</v>
      </c>
      <c r="F44" s="45" t="s">
        <v>259</v>
      </c>
      <c r="G44" s="46" t="s">
        <v>140</v>
      </c>
      <c r="H44" s="45"/>
      <c r="I44" s="45"/>
      <c r="J44" s="45" t="s">
        <v>140</v>
      </c>
      <c r="K44" s="45"/>
    </row>
    <row r="45" spans="1:11" x14ac:dyDescent="0.25">
      <c r="A45" s="50" t="s">
        <v>42</v>
      </c>
      <c r="B45" s="45" t="s">
        <v>118</v>
      </c>
      <c r="C45" s="45">
        <v>1</v>
      </c>
      <c r="D45" s="45" t="str">
        <f>IFERROR(IF(INDEX('01.25'!D2:D500, MATCH(B45&amp;C45, INDEX('01.25'!B2:B500&amp;'01.25'!C2:C500, 0), 0))="", "", INDEX('01.25'!D2:D500, MATCH(B45&amp;C45, INDEX('01.25'!B2:B500&amp;'01.25'!C2:C500, 0), 0))), "")</f>
        <v>Alexandro Aparecido de Lima Vieira</v>
      </c>
      <c r="E45" s="107" t="s">
        <v>16</v>
      </c>
      <c r="F45" s="45" t="s">
        <v>205</v>
      </c>
      <c r="G45" s="52" t="s">
        <v>131</v>
      </c>
      <c r="H45" s="45"/>
      <c r="I45" s="45"/>
      <c r="J45" s="45" t="s">
        <v>140</v>
      </c>
      <c r="K45" s="45"/>
    </row>
    <row r="46" spans="1:11" hidden="1" x14ac:dyDescent="0.25">
      <c r="A46" s="51" t="s">
        <v>40</v>
      </c>
      <c r="B46" s="45" t="s">
        <v>111</v>
      </c>
      <c r="C46" s="45">
        <v>1</v>
      </c>
      <c r="D46" s="45" t="str">
        <f>IFERROR(IF(INDEX('01.25'!D2:D500, MATCH(B46&amp;C46, INDEX('01.25'!B2:B500&amp;'01.25'!C2:C500, 0), 0))="", "", INDEX('01.25'!D2:D500, MATCH(B46&amp;C46, INDEX('01.25'!B2:B500&amp;'01.25'!C2:C500, 0), 0))), "")</f>
        <v>Rafael Henrique Caetano</v>
      </c>
      <c r="E46" s="107" t="s">
        <v>16</v>
      </c>
      <c r="F46" s="45" t="s">
        <v>260</v>
      </c>
      <c r="G46" s="52" t="s">
        <v>131</v>
      </c>
      <c r="H46" s="45" t="s">
        <v>261</v>
      </c>
      <c r="I46" s="45"/>
      <c r="J46" s="45" t="s">
        <v>140</v>
      </c>
      <c r="K46" s="45"/>
    </row>
    <row r="47" spans="1:11" hidden="1" x14ac:dyDescent="0.25">
      <c r="A47" s="44" t="s">
        <v>36</v>
      </c>
      <c r="B47" s="45" t="s">
        <v>100</v>
      </c>
      <c r="C47" s="45">
        <v>1</v>
      </c>
      <c r="D47" s="45" t="str">
        <f>IFERROR(IF(INDEX('01.25'!D2:D500, MATCH(B47&amp;C47, INDEX('01.25'!B2:B500&amp;'01.25'!C2:C500, 0), 0))="", "", INDEX('01.25'!D2:D500, MATCH(B47&amp;C47, INDEX('01.25'!B2:B500&amp;'01.25'!C2:C500, 0), 0))), "")</f>
        <v>Roberto Pedron</v>
      </c>
      <c r="E47" s="107" t="s">
        <v>16</v>
      </c>
      <c r="F47" s="45" t="s">
        <v>183</v>
      </c>
      <c r="G47" s="46" t="s">
        <v>140</v>
      </c>
      <c r="H47" s="45"/>
      <c r="I47" s="45"/>
      <c r="J47" s="45" t="s">
        <v>140</v>
      </c>
      <c r="K47" s="45"/>
    </row>
    <row r="48" spans="1:11" x14ac:dyDescent="0.25">
      <c r="A48" s="50" t="s">
        <v>42</v>
      </c>
      <c r="B48" s="45" t="s">
        <v>119</v>
      </c>
      <c r="C48" s="45">
        <v>1</v>
      </c>
      <c r="D48" s="45" t="str">
        <f>IFERROR(IF(INDEX('01.25'!D2:D500, MATCH(B48&amp;C48, INDEX('01.25'!B2:B500&amp;'01.25'!C2:C500, 0), 0))="", "", INDEX('01.25'!D2:D500, MATCH(B48&amp;C48, INDEX('01.25'!B2:B500&amp;'01.25'!C2:C500, 0), 0))), "")</f>
        <v>Luciane Spies</v>
      </c>
      <c r="E48" s="107" t="s">
        <v>16</v>
      </c>
      <c r="F48" s="45" t="s">
        <v>209</v>
      </c>
      <c r="G48" s="52" t="s">
        <v>131</v>
      </c>
      <c r="H48" s="45"/>
      <c r="I48" s="45"/>
      <c r="J48" s="45" t="s">
        <v>140</v>
      </c>
      <c r="K48" s="45"/>
    </row>
    <row r="49" spans="1:11" hidden="1" x14ac:dyDescent="0.25">
      <c r="A49" s="44" t="s">
        <v>36</v>
      </c>
      <c r="B49" s="45" t="s">
        <v>77</v>
      </c>
      <c r="C49" s="45">
        <v>1</v>
      </c>
      <c r="D49" s="45" t="str">
        <f>IFERROR(IF(INDEX('01.25'!D2:D500, MATCH(B49&amp;C49, INDEX('01.25'!B2:B500&amp;'01.25'!C2:C500, 0), 0))="", "", INDEX('01.25'!D2:D500, MATCH(B49&amp;C49, INDEX('01.25'!B2:B500&amp;'01.25'!C2:C500, 0), 0))), "")</f>
        <v>Jaqueline Fernanda Meireles</v>
      </c>
      <c r="E49" s="107" t="s">
        <v>16</v>
      </c>
      <c r="F49" s="45" t="s">
        <v>166</v>
      </c>
      <c r="G49" s="52" t="s">
        <v>131</v>
      </c>
      <c r="H49" s="45" t="s">
        <v>262</v>
      </c>
      <c r="I49" s="45"/>
      <c r="J49" s="45" t="s">
        <v>140</v>
      </c>
      <c r="K49" s="45"/>
    </row>
    <row r="50" spans="1:11" hidden="1" x14ac:dyDescent="0.25">
      <c r="A50" s="48" t="s">
        <v>38</v>
      </c>
      <c r="B50" s="45" t="s">
        <v>108</v>
      </c>
      <c r="C50" s="45">
        <v>1</v>
      </c>
      <c r="D50" s="45" t="str">
        <f>IFERROR(IF(INDEX('01.25'!D2:D500, MATCH(B50&amp;C50, INDEX('01.25'!B2:B500&amp;'01.25'!C2:C500, 0), 0))="", "", INDEX('01.25'!D2:D500, MATCH(B50&amp;C50, INDEX('01.25'!B2:B500&amp;'01.25'!C2:C500, 0), 0))), "")</f>
        <v>Luiz Fernando Pereira Barbosa</v>
      </c>
      <c r="E50" s="107" t="s">
        <v>16</v>
      </c>
      <c r="F50" s="45" t="s">
        <v>263</v>
      </c>
      <c r="G50" s="46" t="s">
        <v>140</v>
      </c>
      <c r="H50" s="45"/>
      <c r="I50" s="45"/>
      <c r="J50" s="45" t="s">
        <v>140</v>
      </c>
      <c r="K50" s="45"/>
    </row>
    <row r="51" spans="1:11" hidden="1" x14ac:dyDescent="0.25">
      <c r="A51" s="44" t="s">
        <v>36</v>
      </c>
      <c r="B51" s="45" t="s">
        <v>101</v>
      </c>
      <c r="C51" s="45">
        <v>1</v>
      </c>
      <c r="D51" s="45" t="str">
        <f>IFERROR(IF(INDEX('01.25'!D2:D500, MATCH(B51&amp;C51, INDEX('01.25'!B2:B500&amp;'01.25'!C2:C500, 0), 0))="", "", INDEX('01.25'!D2:D500, MATCH(B51&amp;C51, INDEX('01.25'!B2:B500&amp;'01.25'!C2:C500, 0), 0))), "")</f>
        <v>Carolina Eggers</v>
      </c>
      <c r="E51" s="107" t="s">
        <v>16</v>
      </c>
      <c r="F51" s="45" t="s">
        <v>264</v>
      </c>
      <c r="G51" s="52" t="s">
        <v>131</v>
      </c>
      <c r="H51" s="45" t="s">
        <v>149</v>
      </c>
      <c r="I51" s="45"/>
      <c r="J51" s="45" t="s">
        <v>140</v>
      </c>
      <c r="K51" s="45"/>
    </row>
    <row r="52" spans="1:11" hidden="1" x14ac:dyDescent="0.25">
      <c r="A52" s="44" t="s">
        <v>36</v>
      </c>
      <c r="B52" s="45" t="s">
        <v>102</v>
      </c>
      <c r="C52" s="45">
        <v>1</v>
      </c>
      <c r="D52" s="45" t="str">
        <f>IFERROR(IF(INDEX('01.25'!D2:D500, MATCH(B52&amp;C52, INDEX('01.25'!B2:B500&amp;'01.25'!C2:C500, 0), 0))="", "", INDEX('01.25'!D2:D500, MATCH(B52&amp;C52, INDEX('01.25'!B2:B500&amp;'01.25'!C2:C500, 0), 0))), "")</f>
        <v>Ivan Gonçalves da Silva</v>
      </c>
      <c r="E52" s="107" t="s">
        <v>16</v>
      </c>
      <c r="F52" s="45" t="s">
        <v>166</v>
      </c>
      <c r="G52" s="52" t="s">
        <v>131</v>
      </c>
      <c r="H52" s="45" t="s">
        <v>149</v>
      </c>
      <c r="I52" s="45"/>
      <c r="J52" s="45" t="s">
        <v>140</v>
      </c>
      <c r="K52" s="45"/>
    </row>
    <row r="53" spans="1:11" hidden="1" x14ac:dyDescent="0.25">
      <c r="A53" s="48" t="s">
        <v>38</v>
      </c>
      <c r="B53" s="45" t="s">
        <v>83</v>
      </c>
      <c r="C53" s="45">
        <v>1</v>
      </c>
      <c r="D53" s="45" t="str">
        <f>IFERROR(IF(INDEX('01.25'!D2:D500, MATCH(B53&amp;C53, INDEX('01.25'!B2:B500&amp;'01.25'!C2:C500, 0), 0))="", "", INDEX('01.25'!D2:D500, MATCH(B53&amp;C53, INDEX('01.25'!B2:B500&amp;'01.25'!C2:C500, 0), 0))), "")</f>
        <v>Dorival Manoel Canhete</v>
      </c>
      <c r="E53" s="109" t="s">
        <v>19</v>
      </c>
      <c r="F53" s="45" t="s">
        <v>265</v>
      </c>
      <c r="G53" s="46" t="s">
        <v>140</v>
      </c>
      <c r="H53" s="45"/>
      <c r="I53" s="45"/>
      <c r="J53" s="45" t="s">
        <v>140</v>
      </c>
      <c r="K53" s="45"/>
    </row>
    <row r="54" spans="1:11" x14ac:dyDescent="0.25">
      <c r="A54" s="50" t="s">
        <v>42</v>
      </c>
      <c r="B54" s="45" t="s">
        <v>120</v>
      </c>
      <c r="C54" s="45">
        <v>1</v>
      </c>
      <c r="D54" s="45" t="str">
        <f>IFERROR(IF(INDEX('01.25'!D2:D500, MATCH(B54&amp;C54, INDEX('01.25'!B2:B500&amp;'01.25'!C2:C500, 0), 0))="", "", INDEX('01.25'!D2:D500, MATCH(B54&amp;C54, INDEX('01.25'!B2:B500&amp;'01.25'!C2:C500, 0), 0))), "")</f>
        <v>Jaqueline Vanelli</v>
      </c>
      <c r="E54" s="107" t="s">
        <v>16</v>
      </c>
      <c r="F54" s="45" t="s">
        <v>266</v>
      </c>
      <c r="G54" s="52" t="s">
        <v>131</v>
      </c>
      <c r="H54" s="45"/>
      <c r="I54" s="45"/>
      <c r="J54" s="45" t="s">
        <v>140</v>
      </c>
      <c r="K54" s="45"/>
    </row>
    <row r="55" spans="1:11" hidden="1" x14ac:dyDescent="0.25">
      <c r="A55" s="44" t="s">
        <v>36</v>
      </c>
      <c r="B55" s="45" t="s">
        <v>103</v>
      </c>
      <c r="C55" s="45">
        <v>1</v>
      </c>
      <c r="D55" s="45" t="str">
        <f>IFERROR(IF(INDEX('01.25'!D2:D500, MATCH(B55&amp;C55, INDEX('01.25'!B2:B500&amp;'01.25'!C2:C500, 0), 0))="", "", INDEX('01.25'!D2:D500, MATCH(B55&amp;C55, INDEX('01.25'!B2:B500&amp;'01.25'!C2:C500, 0), 0))), "")</f>
        <v>Fernanda Jung</v>
      </c>
      <c r="E55" s="107" t="s">
        <v>16</v>
      </c>
      <c r="F55" s="45" t="s">
        <v>228</v>
      </c>
      <c r="G55" s="52" t="s">
        <v>131</v>
      </c>
      <c r="H55" s="45" t="s">
        <v>150</v>
      </c>
      <c r="I55" s="45"/>
      <c r="J55" s="45" t="s">
        <v>140</v>
      </c>
      <c r="K55" s="45"/>
    </row>
    <row r="56" spans="1:11" x14ac:dyDescent="0.25">
      <c r="A56" s="50" t="s">
        <v>42</v>
      </c>
      <c r="B56" s="45" t="s">
        <v>121</v>
      </c>
      <c r="C56" s="45">
        <v>1</v>
      </c>
      <c r="D56" s="45" t="str">
        <f>IFERROR(IF(INDEX('01.25'!D2:D500, MATCH(B56&amp;C56, INDEX('01.25'!B2:B500&amp;'01.25'!C2:C500, 0), 0))="", "", INDEX('01.25'!D2:D500, MATCH(B56&amp;C56, INDEX('01.25'!B2:B500&amp;'01.25'!C2:C500, 0), 0))), "")</f>
        <v>Ana Paula Romagnoli</v>
      </c>
      <c r="E56" s="107" t="s">
        <v>16</v>
      </c>
      <c r="F56" s="45" t="s">
        <v>267</v>
      </c>
      <c r="G56" s="52" t="s">
        <v>131</v>
      </c>
      <c r="H56" s="45"/>
      <c r="I56" s="45"/>
      <c r="J56" s="45" t="s">
        <v>140</v>
      </c>
      <c r="K56" s="45"/>
    </row>
    <row r="57" spans="1:11" x14ac:dyDescent="0.25">
      <c r="A57" s="50" t="s">
        <v>42</v>
      </c>
      <c r="B57" s="45" t="s">
        <v>122</v>
      </c>
      <c r="C57" s="45">
        <v>1</v>
      </c>
      <c r="D57" s="45" t="str">
        <f>IFERROR(IF(INDEX('01.25'!D2:D500, MATCH(B57&amp;C57, INDEX('01.25'!B2:B500&amp;'01.25'!C2:C500, 0), 0))="", "", INDEX('01.25'!D2:D500, MATCH(B57&amp;C57, INDEX('01.25'!B2:B500&amp;'01.25'!C2:C500, 0), 0))), "")</f>
        <v>Alexandro Schaparini</v>
      </c>
      <c r="E57" s="107" t="s">
        <v>16</v>
      </c>
      <c r="F57" s="45" t="s">
        <v>173</v>
      </c>
      <c r="G57" s="52" t="s">
        <v>131</v>
      </c>
      <c r="H57" s="45"/>
      <c r="I57" s="45"/>
      <c r="J57" s="45" t="s">
        <v>140</v>
      </c>
      <c r="K57" s="45"/>
    </row>
    <row r="58" spans="1:11" hidden="1" x14ac:dyDescent="0.25">
      <c r="A58" s="49" t="s">
        <v>43</v>
      </c>
      <c r="B58" s="45" t="s">
        <v>129</v>
      </c>
      <c r="C58" s="45">
        <v>1</v>
      </c>
      <c r="D58" s="45" t="str">
        <f>IFERROR(IF(INDEX('01.25'!D2:D500, MATCH(B58&amp;C58, INDEX('01.25'!B2:B500&amp;'01.25'!C2:C500, 0), 0))="", "", INDEX('01.25'!D2:D500, MATCH(B58&amp;C58, INDEX('01.25'!B2:B500&amp;'01.25'!C2:C500, 0), 0))), "")</f>
        <v>Marina Ancelmo da Silva</v>
      </c>
      <c r="E58" s="107" t="s">
        <v>16</v>
      </c>
      <c r="F58" s="45" t="s">
        <v>217</v>
      </c>
      <c r="G58" s="52" t="s">
        <v>131</v>
      </c>
      <c r="H58" s="45" t="s">
        <v>268</v>
      </c>
      <c r="I58" s="45"/>
      <c r="J58" s="45" t="s">
        <v>140</v>
      </c>
      <c r="K58" s="45"/>
    </row>
    <row r="59" spans="1:11" hidden="1" x14ac:dyDescent="0.25">
      <c r="A59" s="49" t="s">
        <v>43</v>
      </c>
      <c r="B59" s="45" t="s">
        <v>130</v>
      </c>
      <c r="C59" s="45">
        <v>1</v>
      </c>
      <c r="D59" s="45" t="str">
        <f>IFERROR(IF(INDEX('01.25'!D2:D500, MATCH(B59&amp;C59, INDEX('01.25'!B2:B500&amp;'01.25'!C2:C500, 0), 0))="", "", INDEX('01.25'!D2:D500, MATCH(B59&amp;C59, INDEX('01.25'!B2:B500&amp;'01.25'!C2:C500, 0), 0))), "")</f>
        <v>Ana Carolina Peterle Ribeiro</v>
      </c>
      <c r="E59" s="107" t="s">
        <v>16</v>
      </c>
      <c r="F59" s="45" t="s">
        <v>266</v>
      </c>
      <c r="G59" s="52" t="s">
        <v>131</v>
      </c>
      <c r="H59" s="45"/>
      <c r="I59" s="45"/>
      <c r="J59" s="45" t="s">
        <v>140</v>
      </c>
      <c r="K59" s="45"/>
    </row>
    <row r="60" spans="1:11" hidden="1" x14ac:dyDescent="0.25">
      <c r="A60" s="51" t="s">
        <v>40</v>
      </c>
      <c r="B60" s="45" t="s">
        <v>112</v>
      </c>
      <c r="C60" s="45">
        <v>1</v>
      </c>
      <c r="D60" s="45" t="str">
        <f>IFERROR(IF(INDEX('01.25'!D2:D500, MATCH(B60&amp;C60, INDEX('01.25'!B2:B500&amp;'01.25'!C2:C500, 0), 0))="", "", INDEX('01.25'!D2:D500, MATCH(B60&amp;C60, INDEX('01.25'!B2:B500&amp;'01.25'!C2:C500, 0), 0))), "")</f>
        <v>Taiane Amélia Mondardo</v>
      </c>
      <c r="E60" s="107" t="s">
        <v>16</v>
      </c>
      <c r="F60" s="45" t="s">
        <v>209</v>
      </c>
      <c r="G60" s="52" t="s">
        <v>131</v>
      </c>
      <c r="H60" s="45" t="s">
        <v>253</v>
      </c>
      <c r="I60" s="45"/>
      <c r="J60" s="45" t="s">
        <v>140</v>
      </c>
      <c r="K60" s="45"/>
    </row>
    <row r="61" spans="1:11" hidden="1" x14ac:dyDescent="0.25">
      <c r="A61" s="44" t="s">
        <v>36</v>
      </c>
      <c r="B61" s="45" t="s">
        <v>104</v>
      </c>
      <c r="C61" s="45">
        <v>1</v>
      </c>
      <c r="D61" s="45" t="str">
        <f>IFERROR(IF(INDEX('01.25'!D2:D500, MATCH(B61&amp;C61, INDEX('01.25'!B2:B500&amp;'01.25'!C2:C500, 0), 0))="", "", INDEX('01.25'!D2:D500, MATCH(B61&amp;C61, INDEX('01.25'!B2:B500&amp;'01.25'!C2:C500, 0), 0))), "")</f>
        <v>Regiane Lucia Pereira</v>
      </c>
      <c r="E61" s="107" t="s">
        <v>16</v>
      </c>
      <c r="F61" s="45" t="s">
        <v>260</v>
      </c>
      <c r="G61" s="52" t="s">
        <v>131</v>
      </c>
      <c r="H61" s="45" t="s">
        <v>269</v>
      </c>
      <c r="I61" s="45"/>
      <c r="J61" s="45" t="s">
        <v>140</v>
      </c>
      <c r="K61" s="45"/>
    </row>
    <row r="62" spans="1:11" hidden="1" x14ac:dyDescent="0.25">
      <c r="A62" s="51" t="s">
        <v>40</v>
      </c>
      <c r="B62" s="45" t="s">
        <v>113</v>
      </c>
      <c r="C62" s="45">
        <v>1</v>
      </c>
      <c r="D62" s="45" t="str">
        <f>IFERROR(IF(INDEX('01.25'!D2:D500, MATCH(B62&amp;C62, INDEX('01.25'!B2:B500&amp;'01.25'!C2:C500, 0), 0))="", "", INDEX('01.25'!D2:D500, MATCH(B62&amp;C62, INDEX('01.25'!B2:B500&amp;'01.25'!C2:C500, 0), 0))), "")</f>
        <v>Andryws Rafael Gois</v>
      </c>
      <c r="E62" s="107" t="s">
        <v>16</v>
      </c>
      <c r="F62" s="45" t="s">
        <v>173</v>
      </c>
      <c r="G62" s="52" t="s">
        <v>131</v>
      </c>
      <c r="H62" s="45" t="s">
        <v>253</v>
      </c>
      <c r="I62" s="45"/>
      <c r="J62" s="45" t="s">
        <v>140</v>
      </c>
      <c r="K62" s="45"/>
    </row>
    <row r="63" spans="1:11" x14ac:dyDescent="0.25">
      <c r="A63" s="50" t="s">
        <v>42</v>
      </c>
      <c r="B63" s="45" t="s">
        <v>123</v>
      </c>
      <c r="C63" s="45">
        <v>1</v>
      </c>
      <c r="D63" s="45" t="str">
        <f>IFERROR(IF(INDEX('01.25'!D2:D500, MATCH(B63&amp;C63, INDEX('01.25'!B2:B500&amp;'01.25'!C2:C500, 0), 0))="", "", INDEX('01.25'!D2:D500, MATCH(B63&amp;C63, INDEX('01.25'!B2:B500&amp;'01.25'!C2:C500, 0), 0))), "")</f>
        <v>Mayara Ketllyn de Paula Rosetti</v>
      </c>
      <c r="E63" s="107" t="s">
        <v>16</v>
      </c>
      <c r="F63" s="45" t="s">
        <v>159</v>
      </c>
      <c r="G63" s="52" t="s">
        <v>131</v>
      </c>
      <c r="H63" s="45"/>
      <c r="I63" s="45"/>
      <c r="J63" s="45" t="s">
        <v>140</v>
      </c>
      <c r="K63" s="45"/>
    </row>
    <row r="64" spans="1:11" hidden="1" x14ac:dyDescent="0.25">
      <c r="A64" s="51" t="s">
        <v>40</v>
      </c>
      <c r="B64" s="45" t="s">
        <v>114</v>
      </c>
      <c r="C64" s="45">
        <v>1</v>
      </c>
      <c r="D64" s="45" t="str">
        <f>IFERROR(IF(INDEX('01.25'!D2:D500, MATCH(B64&amp;C64, INDEX('01.25'!B2:B500&amp;'01.25'!C2:C500, 0), 0))="", "", INDEX('01.25'!D2:D500, MATCH(B64&amp;C64, INDEX('01.25'!B2:B500&amp;'01.25'!C2:C500, 0), 0))), "")</f>
        <v>Junior Andre Britzke</v>
      </c>
      <c r="E64" s="107" t="s">
        <v>16</v>
      </c>
      <c r="F64" s="45" t="s">
        <v>270</v>
      </c>
      <c r="G64" s="52" t="s">
        <v>131</v>
      </c>
      <c r="H64" s="45" t="s">
        <v>253</v>
      </c>
      <c r="I64" s="45"/>
      <c r="J64" s="45" t="s">
        <v>140</v>
      </c>
      <c r="K64" s="45"/>
    </row>
    <row r="65" spans="1:11" hidden="1" x14ac:dyDescent="0.25">
      <c r="A65" s="44" t="s">
        <v>36</v>
      </c>
      <c r="B65" s="45" t="s">
        <v>105</v>
      </c>
      <c r="C65" s="45">
        <v>1</v>
      </c>
      <c r="D65" s="45" t="str">
        <f>IFERROR(IF(INDEX('01.25'!D2:D500, MATCH(B65&amp;C65, INDEX('01.25'!B2:B500&amp;'01.25'!C2:C500, 0), 0))="", "", INDEX('01.25'!D2:D500, MATCH(B65&amp;C65, INDEX('01.25'!B2:B500&amp;'01.25'!C2:C500, 0), 0))), "")</f>
        <v>Adriano Pereira Guedes</v>
      </c>
      <c r="E65" s="107" t="s">
        <v>16</v>
      </c>
      <c r="F65" s="45" t="s">
        <v>228</v>
      </c>
      <c r="G65" s="46" t="s">
        <v>140</v>
      </c>
      <c r="H65" s="45"/>
      <c r="I65" s="45"/>
      <c r="J65" s="45" t="s">
        <v>140</v>
      </c>
      <c r="K65" s="45"/>
    </row>
    <row r="66" spans="1:11" hidden="1" x14ac:dyDescent="0.25">
      <c r="A66" s="44" t="s">
        <v>36</v>
      </c>
      <c r="B66" s="45" t="s">
        <v>106</v>
      </c>
      <c r="C66" s="45">
        <v>1</v>
      </c>
      <c r="D66" s="45" t="str">
        <f>IFERROR(IF(INDEX('01.25'!D2:D500, MATCH(B66&amp;C66, INDEX('01.25'!B2:B500&amp;'01.25'!C2:C500, 0), 0))="", "", INDEX('01.25'!D2:D500, MATCH(B66&amp;C66, INDEX('01.25'!B2:B500&amp;'01.25'!C2:C500, 0), 0))), "")</f>
        <v xml:space="preserve">Suzana Cristina de Almeida </v>
      </c>
      <c r="E66" s="107" t="s">
        <v>16</v>
      </c>
      <c r="F66" s="45" t="s">
        <v>271</v>
      </c>
      <c r="G66" s="52" t="s">
        <v>131</v>
      </c>
      <c r="H66" s="45"/>
      <c r="I66" s="45"/>
      <c r="J66" s="45" t="s">
        <v>140</v>
      </c>
      <c r="K66" s="45"/>
    </row>
    <row r="67" spans="1:11" hidden="1" x14ac:dyDescent="0.25">
      <c r="A67" s="47" t="s">
        <v>28</v>
      </c>
      <c r="B67" s="45" t="s">
        <v>85</v>
      </c>
      <c r="C67" s="45">
        <v>1</v>
      </c>
      <c r="D67" s="45" t="str">
        <f>IFERROR(IF(INDEX('01.25'!D2:D500, MATCH(B67&amp;C67, INDEX('01.25'!B2:B500&amp;'01.25'!C2:C500, 0), 0))="", "", INDEX('01.25'!D2:D500, MATCH(B67&amp;C67, INDEX('01.25'!B2:B500&amp;'01.25'!C2:C500, 0), 0))), "")</f>
        <v>Alice Cristiane Zancheta</v>
      </c>
      <c r="E67" s="107" t="s">
        <v>16</v>
      </c>
      <c r="F67" s="45" t="s">
        <v>166</v>
      </c>
      <c r="G67" s="52" t="s">
        <v>131</v>
      </c>
      <c r="H67" s="45" t="s">
        <v>272</v>
      </c>
      <c r="I67" s="45"/>
      <c r="J67" s="45" t="s">
        <v>140</v>
      </c>
      <c r="K67" s="45"/>
    </row>
    <row r="68" spans="1:11" hidden="1" x14ac:dyDescent="0.25">
      <c r="A68" s="48" t="s">
        <v>38</v>
      </c>
      <c r="B68" s="45" t="s">
        <v>109</v>
      </c>
      <c r="C68" s="45">
        <v>1</v>
      </c>
      <c r="D68" s="45" t="str">
        <f>IFERROR(IF(INDEX('01.25'!D2:D500, MATCH(B68&amp;C68, INDEX('01.25'!B2:B500&amp;'01.25'!C2:C500, 0), 0))="", "", INDEX('01.25'!D2:D500, MATCH(B68&amp;C68, INDEX('01.25'!B2:B500&amp;'01.25'!C2:C500, 0), 0))), "")</f>
        <v>Fernanda kaezer de Godoy</v>
      </c>
      <c r="E68" s="107" t="s">
        <v>16</v>
      </c>
      <c r="F68" s="45" t="s">
        <v>183</v>
      </c>
      <c r="G68" s="46" t="s">
        <v>140</v>
      </c>
      <c r="H68" s="45"/>
      <c r="I68" s="45"/>
      <c r="J68" s="45" t="s">
        <v>140</v>
      </c>
      <c r="K68" s="45"/>
    </row>
    <row r="69" spans="1:11" hidden="1" x14ac:dyDescent="0.25">
      <c r="A69" s="48" t="s">
        <v>38</v>
      </c>
      <c r="B69" s="45" t="s">
        <v>110</v>
      </c>
      <c r="C69" s="45">
        <v>1</v>
      </c>
      <c r="D69" s="45" t="str">
        <f>IFERROR(IF(INDEX('01.25'!D2:D500, MATCH(B69&amp;C69, INDEX('01.25'!B2:B500&amp;'01.25'!C2:C500, 0), 0))="", "", INDEX('01.25'!D2:D500, MATCH(B69&amp;C69, INDEX('01.25'!B2:B500&amp;'01.25'!C2:C500, 0), 0))), "")</f>
        <v xml:space="preserve">Ademir Papini Júnior </v>
      </c>
      <c r="E69" s="107" t="s">
        <v>16</v>
      </c>
      <c r="F69" s="45" t="s">
        <v>273</v>
      </c>
      <c r="G69" s="46" t="s">
        <v>140</v>
      </c>
      <c r="H69" s="45"/>
      <c r="I69" s="45"/>
      <c r="J69" s="45" t="s">
        <v>140</v>
      </c>
      <c r="K69" s="45"/>
    </row>
    <row r="70" spans="1:11" x14ac:dyDescent="0.25">
      <c r="A70" s="50" t="s">
        <v>42</v>
      </c>
      <c r="B70" s="45" t="s">
        <v>124</v>
      </c>
      <c r="C70" s="45">
        <v>1</v>
      </c>
      <c r="D70" s="45" t="str">
        <f>IFERROR(IF(INDEX('01.25'!D2:D500, MATCH(B70&amp;C70, INDEX('01.25'!B2:B500&amp;'01.25'!C2:C500, 0), 0))="", "", INDEX('01.25'!D2:D500, MATCH(B70&amp;C70, INDEX('01.25'!B2:B500&amp;'01.25'!C2:C500, 0), 0))), "")</f>
        <v>Heloísa Maria Beloni Insenha</v>
      </c>
      <c r="E70" s="107" t="s">
        <v>16</v>
      </c>
      <c r="F70" s="45" t="s">
        <v>250</v>
      </c>
      <c r="G70" s="52" t="s">
        <v>131</v>
      </c>
      <c r="H70" s="45"/>
      <c r="I70" s="45"/>
      <c r="J70" s="45" t="s">
        <v>140</v>
      </c>
      <c r="K70" s="45"/>
    </row>
  </sheetData>
  <autoFilter ref="A1:G70" xr:uid="{00000000-0009-0000-0000-000007000000}">
    <filterColumn colId="0">
      <filters>
        <filter val="Luana"/>
      </filters>
    </filterColumn>
  </autoFilter>
  <conditionalFormatting sqref="E2:E70">
    <cfRule type="cellIs" dxfId="146" priority="6" stopIfTrue="1" operator="equal">
      <formula>"Enviado"</formula>
    </cfRule>
    <cfRule type="cellIs" dxfId="145" priority="7" stopIfTrue="1" operator="equal">
      <formula>"Atrasado"</formula>
    </cfRule>
    <cfRule type="cellIs" dxfId="144" priority="8" stopIfTrue="1" operator="equal">
      <formula>"Atrasado &gt;= 2"</formula>
    </cfRule>
    <cfRule type="cellIs" dxfId="143" priority="9" stopIfTrue="1" operator="equal">
      <formula>"Outras Ocorrências"</formula>
    </cfRule>
    <cfRule type="cellIs" dxfId="142" priority="10" stopIfTrue="1" operator="equal">
      <formula>"Sem Técnico"</formula>
    </cfRule>
    <cfRule type="cellIs" dxfId="141" priority="11" stopIfTrue="1" operator="equal">
      <formula>"Duplicado"</formula>
    </cfRule>
  </conditionalFormatting>
  <conditionalFormatting sqref="G2:G70">
    <cfRule type="cellIs" dxfId="140" priority="1" stopIfTrue="1" operator="equal">
      <formula>"Sim"</formula>
    </cfRule>
    <cfRule type="cellIs" dxfId="139" priority="3" stopIfTrue="1" operator="equal">
      <formula>"Não"</formula>
    </cfRule>
  </conditionalFormatting>
  <conditionalFormatting sqref="J2:J70">
    <cfRule type="cellIs" dxfId="138" priority="4" stopIfTrue="1" operator="equal">
      <formula>"Sim"</formula>
    </cfRule>
    <cfRule type="cellIs" dxfId="137" priority="4" stopIfTrue="1" operator="equal">
      <formula>"Não"</formula>
    </cfRule>
    <cfRule type="cellIs" dxfId="136" priority="5" stopIfTrue="1" operator="equal">
      <formula>"Em Análise"</formula>
    </cfRule>
  </conditionalFormatting>
  <dataValidations count="3">
    <dataValidation type="list" allowBlank="1" sqref="G2:G70" xr:uid="{00000000-0002-0000-0700-000000000000}">
      <formula1>"Sim,Não"</formula1>
    </dataValidation>
    <dataValidation type="list" allowBlank="1" sqref="J2:J70" xr:uid="{00000000-0002-0000-0700-000001000000}">
      <formula1>"Sim,Não,Em Análise"</formula1>
    </dataValidation>
    <dataValidation type="list" allowBlank="1" sqref="E2:E70" xr:uid="{00000000-0002-0000-0700-000002000000}">
      <formula1>"Enviado, Atrasado, Atrasado &gt;= 2, Outras Ocorrências, Sem Técnico, Duplicado"</formula1>
    </dataValidation>
  </dataValidation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filterMode="1"/>
  <dimension ref="A1:K70"/>
  <sheetViews>
    <sheetView workbookViewId="0">
      <pane xSplit="3" topLeftCell="D1" activePane="topRight" state="frozen"/>
      <selection pane="topRight" activeCell="H79" sqref="H79"/>
    </sheetView>
  </sheetViews>
  <sheetFormatPr defaultRowHeight="15" x14ac:dyDescent="0.25"/>
  <cols>
    <col min="1" max="1" width="14" customWidth="1"/>
    <col min="2" max="2" width="30" customWidth="1"/>
    <col min="3" max="3" width="8" customWidth="1"/>
    <col min="4" max="4" width="45" customWidth="1"/>
    <col min="5" max="5" width="18" customWidth="1"/>
    <col min="6" max="7" width="27" customWidth="1"/>
    <col min="8" max="8" width="125" customWidth="1"/>
    <col min="9" max="9" width="34" customWidth="1"/>
    <col min="10" max="10" width="25" customWidth="1"/>
    <col min="11" max="11" width="26" customWidth="1"/>
  </cols>
  <sheetData>
    <row r="1" spans="1:11" x14ac:dyDescent="0.25">
      <c r="A1" s="43" t="s">
        <v>27</v>
      </c>
      <c r="B1" s="43" t="s">
        <v>70</v>
      </c>
      <c r="C1" s="43" t="s">
        <v>71</v>
      </c>
      <c r="D1" s="43" t="s">
        <v>132</v>
      </c>
      <c r="E1" s="43" t="s">
        <v>133</v>
      </c>
      <c r="F1" s="43" t="s">
        <v>134</v>
      </c>
      <c r="G1" s="43" t="s">
        <v>135</v>
      </c>
      <c r="H1" s="43" t="s">
        <v>136</v>
      </c>
      <c r="I1" s="43" t="s">
        <v>137</v>
      </c>
      <c r="J1" s="43" t="s">
        <v>138</v>
      </c>
      <c r="K1" s="43" t="s">
        <v>139</v>
      </c>
    </row>
    <row r="2" spans="1:11" hidden="1" x14ac:dyDescent="0.25">
      <c r="A2" s="44" t="s">
        <v>36</v>
      </c>
      <c r="B2" s="45" t="s">
        <v>97</v>
      </c>
      <c r="C2" s="45">
        <v>1</v>
      </c>
      <c r="D2" s="45" t="s">
        <v>274</v>
      </c>
      <c r="E2" s="107" t="s">
        <v>16</v>
      </c>
      <c r="F2" s="45" t="s">
        <v>275</v>
      </c>
      <c r="G2" s="52" t="s">
        <v>131</v>
      </c>
      <c r="H2" s="45" t="s">
        <v>276</v>
      </c>
      <c r="I2" s="45"/>
      <c r="J2" s="45" t="s">
        <v>140</v>
      </c>
      <c r="K2" s="45"/>
    </row>
    <row r="3" spans="1:11" hidden="1" x14ac:dyDescent="0.25">
      <c r="A3" s="47" t="s">
        <v>28</v>
      </c>
      <c r="B3" s="45" t="s">
        <v>87</v>
      </c>
      <c r="C3" s="45">
        <v>1</v>
      </c>
      <c r="D3" s="45" t="s">
        <v>277</v>
      </c>
      <c r="E3" s="107" t="s">
        <v>16</v>
      </c>
      <c r="F3" s="45" t="s">
        <v>209</v>
      </c>
      <c r="G3" s="52" t="s">
        <v>131</v>
      </c>
      <c r="H3" s="45" t="s">
        <v>149</v>
      </c>
      <c r="I3" s="45"/>
      <c r="J3" s="45" t="s">
        <v>140</v>
      </c>
      <c r="K3" s="45"/>
    </row>
    <row r="4" spans="1:11" hidden="1" x14ac:dyDescent="0.25">
      <c r="A4" s="48" t="s">
        <v>38</v>
      </c>
      <c r="B4" s="45" t="s">
        <v>78</v>
      </c>
      <c r="C4" s="45">
        <v>1</v>
      </c>
      <c r="D4" s="45" t="s">
        <v>278</v>
      </c>
      <c r="E4" s="109" t="s">
        <v>19</v>
      </c>
      <c r="F4" s="45" t="s">
        <v>237</v>
      </c>
      <c r="G4" s="52" t="s">
        <v>131</v>
      </c>
      <c r="H4" s="45" t="s">
        <v>149</v>
      </c>
      <c r="I4" s="45" t="s">
        <v>279</v>
      </c>
      <c r="J4" s="45" t="s">
        <v>131</v>
      </c>
      <c r="K4" s="45" t="s">
        <v>691</v>
      </c>
    </row>
    <row r="5" spans="1:11" hidden="1" x14ac:dyDescent="0.25">
      <c r="A5" s="47" t="s">
        <v>28</v>
      </c>
      <c r="B5" s="45" t="s">
        <v>88</v>
      </c>
      <c r="C5" s="45">
        <v>1</v>
      </c>
      <c r="D5" s="45" t="s">
        <v>280</v>
      </c>
      <c r="E5" s="107" t="s">
        <v>16</v>
      </c>
      <c r="F5" s="45" t="s">
        <v>166</v>
      </c>
      <c r="G5" s="52" t="s">
        <v>131</v>
      </c>
      <c r="H5" s="45" t="s">
        <v>149</v>
      </c>
      <c r="I5" s="45"/>
      <c r="J5" s="45" t="s">
        <v>140</v>
      </c>
      <c r="K5" s="45"/>
    </row>
    <row r="6" spans="1:11" hidden="1" x14ac:dyDescent="0.25">
      <c r="A6" s="47" t="s">
        <v>28</v>
      </c>
      <c r="B6" s="45" t="s">
        <v>89</v>
      </c>
      <c r="C6" s="45">
        <v>1</v>
      </c>
      <c r="D6" s="45" t="s">
        <v>281</v>
      </c>
      <c r="E6" s="107" t="s">
        <v>16</v>
      </c>
      <c r="F6" s="45" t="s">
        <v>264</v>
      </c>
      <c r="G6" s="52" t="s">
        <v>131</v>
      </c>
      <c r="H6" s="45" t="s">
        <v>149</v>
      </c>
      <c r="I6" s="45"/>
      <c r="J6" s="45" t="s">
        <v>140</v>
      </c>
      <c r="K6" s="45"/>
    </row>
    <row r="7" spans="1:11" hidden="1" x14ac:dyDescent="0.25">
      <c r="A7" s="48" t="s">
        <v>38</v>
      </c>
      <c r="B7" s="54" t="s">
        <v>84</v>
      </c>
      <c r="C7" s="45">
        <v>1</v>
      </c>
      <c r="D7" s="45" t="s">
        <v>282</v>
      </c>
      <c r="E7" s="107" t="s">
        <v>16</v>
      </c>
      <c r="F7" s="45" t="s">
        <v>189</v>
      </c>
      <c r="G7" s="46" t="s">
        <v>140</v>
      </c>
      <c r="H7" s="45"/>
      <c r="I7" s="45"/>
      <c r="J7" s="45" t="s">
        <v>140</v>
      </c>
      <c r="K7" s="45"/>
    </row>
    <row r="8" spans="1:11" hidden="1" x14ac:dyDescent="0.25">
      <c r="A8" s="48" t="s">
        <v>38</v>
      </c>
      <c r="B8" s="54" t="s">
        <v>79</v>
      </c>
      <c r="C8" s="45">
        <v>1</v>
      </c>
      <c r="D8" s="45" t="s">
        <v>283</v>
      </c>
      <c r="E8" s="107" t="s">
        <v>16</v>
      </c>
      <c r="F8" s="45" t="s">
        <v>189</v>
      </c>
      <c r="G8" s="46" t="s">
        <v>140</v>
      </c>
      <c r="H8" s="45"/>
      <c r="I8" s="45"/>
      <c r="J8" s="45" t="s">
        <v>140</v>
      </c>
      <c r="K8" s="45"/>
    </row>
    <row r="9" spans="1:11" ht="28.5" hidden="1" customHeight="1" x14ac:dyDescent="0.25">
      <c r="A9" s="47" t="s">
        <v>28</v>
      </c>
      <c r="B9" s="45" t="s">
        <v>90</v>
      </c>
      <c r="C9" s="45">
        <v>1</v>
      </c>
      <c r="D9" s="45" t="s">
        <v>284</v>
      </c>
      <c r="E9" s="107" t="s">
        <v>16</v>
      </c>
      <c r="F9" s="45" t="s">
        <v>175</v>
      </c>
      <c r="G9" s="52" t="s">
        <v>131</v>
      </c>
      <c r="H9" s="57" t="s">
        <v>285</v>
      </c>
      <c r="I9" s="45"/>
      <c r="J9" s="45" t="s">
        <v>140</v>
      </c>
      <c r="K9" s="45"/>
    </row>
    <row r="10" spans="1:11" hidden="1" x14ac:dyDescent="0.25">
      <c r="A10" s="49" t="s">
        <v>43</v>
      </c>
      <c r="B10" s="45" t="s">
        <v>125</v>
      </c>
      <c r="C10" s="45">
        <v>1</v>
      </c>
      <c r="D10" s="45" t="s">
        <v>286</v>
      </c>
      <c r="E10" s="107" t="s">
        <v>16</v>
      </c>
      <c r="F10" s="45" t="s">
        <v>243</v>
      </c>
      <c r="G10" s="52" t="s">
        <v>131</v>
      </c>
      <c r="H10" s="45" t="s">
        <v>287</v>
      </c>
      <c r="I10" s="45"/>
      <c r="J10" s="45" t="s">
        <v>140</v>
      </c>
      <c r="K10" s="45"/>
    </row>
    <row r="11" spans="1:11" hidden="1" x14ac:dyDescent="0.25">
      <c r="A11" s="49" t="s">
        <v>43</v>
      </c>
      <c r="B11" s="45" t="s">
        <v>126</v>
      </c>
      <c r="C11" s="45">
        <v>1</v>
      </c>
      <c r="D11" s="45" t="s">
        <v>288</v>
      </c>
      <c r="E11" s="107" t="s">
        <v>16</v>
      </c>
      <c r="F11" s="45" t="s">
        <v>289</v>
      </c>
      <c r="G11" s="46" t="s">
        <v>131</v>
      </c>
      <c r="H11" s="45" t="s">
        <v>680</v>
      </c>
      <c r="I11" s="45"/>
      <c r="J11" s="45" t="s">
        <v>140</v>
      </c>
      <c r="K11" s="45"/>
    </row>
    <row r="12" spans="1:11" hidden="1" x14ac:dyDescent="0.25">
      <c r="A12" s="49" t="s">
        <v>43</v>
      </c>
      <c r="B12" s="45" t="s">
        <v>126</v>
      </c>
      <c r="C12" s="45">
        <v>2</v>
      </c>
      <c r="D12" s="45" t="s">
        <v>290</v>
      </c>
      <c r="E12" s="107" t="s">
        <v>16</v>
      </c>
      <c r="F12" s="45" t="s">
        <v>291</v>
      </c>
      <c r="G12" s="46" t="s">
        <v>131</v>
      </c>
      <c r="H12" s="45" t="s">
        <v>149</v>
      </c>
      <c r="I12" s="45"/>
      <c r="J12" s="45" t="s">
        <v>140</v>
      </c>
      <c r="K12" s="45"/>
    </row>
    <row r="13" spans="1:11" hidden="1" x14ac:dyDescent="0.25">
      <c r="A13" s="49" t="s">
        <v>43</v>
      </c>
      <c r="B13" s="45" t="s">
        <v>126</v>
      </c>
      <c r="C13" s="45">
        <v>3</v>
      </c>
      <c r="D13" s="45" t="s">
        <v>292</v>
      </c>
      <c r="E13" s="107" t="s">
        <v>16</v>
      </c>
      <c r="F13" s="45" t="s">
        <v>229</v>
      </c>
      <c r="G13" s="46" t="s">
        <v>131</v>
      </c>
      <c r="H13" s="45" t="s">
        <v>681</v>
      </c>
      <c r="I13" s="45"/>
      <c r="J13" s="45" t="s">
        <v>140</v>
      </c>
      <c r="K13" s="45"/>
    </row>
    <row r="14" spans="1:11" hidden="1" x14ac:dyDescent="0.25">
      <c r="A14" s="49" t="s">
        <v>43</v>
      </c>
      <c r="B14" s="45" t="s">
        <v>126</v>
      </c>
      <c r="C14" s="45">
        <v>4</v>
      </c>
      <c r="D14" s="45" t="s">
        <v>293</v>
      </c>
      <c r="E14" s="106" t="s">
        <v>18</v>
      </c>
      <c r="F14" s="45"/>
      <c r="G14" s="46" t="s">
        <v>131</v>
      </c>
      <c r="H14" s="45" t="s">
        <v>682</v>
      </c>
      <c r="I14" s="45"/>
      <c r="J14" s="45" t="s">
        <v>140</v>
      </c>
      <c r="K14" s="45"/>
    </row>
    <row r="15" spans="1:11" hidden="1" x14ac:dyDescent="0.25">
      <c r="A15" s="49" t="s">
        <v>43</v>
      </c>
      <c r="B15" s="45" t="s">
        <v>126</v>
      </c>
      <c r="C15" s="45">
        <v>5</v>
      </c>
      <c r="D15" s="45" t="s">
        <v>294</v>
      </c>
      <c r="E15" s="107" t="s">
        <v>16</v>
      </c>
      <c r="F15" s="45" t="s">
        <v>295</v>
      </c>
      <c r="G15" s="46" t="s">
        <v>131</v>
      </c>
      <c r="H15" s="45" t="s">
        <v>149</v>
      </c>
      <c r="I15" s="45"/>
      <c r="J15" s="45" t="s">
        <v>140</v>
      </c>
      <c r="K15" s="45"/>
    </row>
    <row r="16" spans="1:11" hidden="1" x14ac:dyDescent="0.25">
      <c r="A16" s="49" t="s">
        <v>43</v>
      </c>
      <c r="B16" s="45" t="s">
        <v>126</v>
      </c>
      <c r="C16" s="45">
        <v>6</v>
      </c>
      <c r="D16" s="45"/>
      <c r="E16" s="107" t="s">
        <v>16</v>
      </c>
      <c r="F16" s="45" t="s">
        <v>296</v>
      </c>
      <c r="G16" s="46" t="s">
        <v>131</v>
      </c>
      <c r="H16" s="45" t="s">
        <v>683</v>
      </c>
      <c r="I16" s="45"/>
      <c r="J16" s="45" t="s">
        <v>140</v>
      </c>
      <c r="K16" s="45"/>
    </row>
    <row r="17" spans="1:11" hidden="1" x14ac:dyDescent="0.25">
      <c r="A17" s="47" t="s">
        <v>28</v>
      </c>
      <c r="B17" s="45" t="s">
        <v>91</v>
      </c>
      <c r="C17" s="45">
        <v>1</v>
      </c>
      <c r="D17" s="45" t="s">
        <v>297</v>
      </c>
      <c r="E17" s="107" t="s">
        <v>16</v>
      </c>
      <c r="F17" s="45" t="s">
        <v>243</v>
      </c>
      <c r="G17" s="52" t="s">
        <v>131</v>
      </c>
      <c r="H17" s="45" t="s">
        <v>149</v>
      </c>
      <c r="I17" s="45"/>
      <c r="J17" s="45" t="s">
        <v>140</v>
      </c>
      <c r="K17" s="45"/>
    </row>
    <row r="18" spans="1:11" ht="15.75" hidden="1" customHeight="1" x14ac:dyDescent="0.25">
      <c r="A18" s="49" t="s">
        <v>43</v>
      </c>
      <c r="B18" s="45" t="s">
        <v>127</v>
      </c>
      <c r="C18" s="45">
        <v>1</v>
      </c>
      <c r="D18" s="45" t="s">
        <v>298</v>
      </c>
      <c r="E18" s="107" t="s">
        <v>16</v>
      </c>
      <c r="F18" s="45" t="s">
        <v>299</v>
      </c>
      <c r="G18" s="52" t="s">
        <v>131</v>
      </c>
      <c r="H18" s="45" t="s">
        <v>300</v>
      </c>
      <c r="I18" s="58" t="s">
        <v>301</v>
      </c>
      <c r="J18" s="45" t="s">
        <v>131</v>
      </c>
      <c r="K18" s="45" t="s">
        <v>302</v>
      </c>
    </row>
    <row r="19" spans="1:11" hidden="1" x14ac:dyDescent="0.25">
      <c r="A19" s="47" t="s">
        <v>28</v>
      </c>
      <c r="B19" s="45" t="s">
        <v>92</v>
      </c>
      <c r="C19" s="45">
        <v>1</v>
      </c>
      <c r="D19" s="45" t="s">
        <v>303</v>
      </c>
      <c r="E19" s="107" t="s">
        <v>16</v>
      </c>
      <c r="F19" s="45" t="s">
        <v>209</v>
      </c>
      <c r="G19" s="52" t="s">
        <v>131</v>
      </c>
      <c r="H19" s="45" t="s">
        <v>304</v>
      </c>
      <c r="I19" s="45"/>
      <c r="J19" s="45" t="s">
        <v>140</v>
      </c>
      <c r="K19" s="45"/>
    </row>
    <row r="20" spans="1:11" x14ac:dyDescent="0.25">
      <c r="A20" s="50" t="s">
        <v>42</v>
      </c>
      <c r="B20" s="45" t="s">
        <v>115</v>
      </c>
      <c r="C20" s="45">
        <v>1</v>
      </c>
      <c r="D20" s="45" t="s">
        <v>305</v>
      </c>
      <c r="E20" s="107" t="s">
        <v>16</v>
      </c>
      <c r="F20" s="45" t="s">
        <v>168</v>
      </c>
      <c r="G20" s="52" t="s">
        <v>131</v>
      </c>
      <c r="H20" s="45" t="s">
        <v>306</v>
      </c>
      <c r="I20" s="45"/>
      <c r="J20" s="45" t="s">
        <v>140</v>
      </c>
      <c r="K20" s="45"/>
    </row>
    <row r="21" spans="1:11" hidden="1" x14ac:dyDescent="0.25">
      <c r="A21" s="47" t="s">
        <v>28</v>
      </c>
      <c r="B21" s="45" t="s">
        <v>93</v>
      </c>
      <c r="C21" s="45">
        <v>1</v>
      </c>
      <c r="D21" s="45" t="s">
        <v>307</v>
      </c>
      <c r="E21" s="107" t="s">
        <v>16</v>
      </c>
      <c r="F21" s="45" t="s">
        <v>249</v>
      </c>
      <c r="G21" s="52" t="s">
        <v>131</v>
      </c>
      <c r="H21" s="45" t="s">
        <v>149</v>
      </c>
      <c r="I21" s="45"/>
      <c r="J21" s="45" t="s">
        <v>140</v>
      </c>
      <c r="K21" s="45"/>
    </row>
    <row r="22" spans="1:11" x14ac:dyDescent="0.25">
      <c r="A22" s="50" t="s">
        <v>42</v>
      </c>
      <c r="B22" s="45" t="s">
        <v>116</v>
      </c>
      <c r="C22" s="45">
        <v>1</v>
      </c>
      <c r="D22" s="45" t="s">
        <v>308</v>
      </c>
      <c r="E22" s="107" t="s">
        <v>16</v>
      </c>
      <c r="F22" s="45" t="s">
        <v>250</v>
      </c>
      <c r="G22" s="52" t="s">
        <v>131</v>
      </c>
      <c r="H22" s="45"/>
      <c r="I22" s="45"/>
      <c r="J22" s="45" t="s">
        <v>140</v>
      </c>
      <c r="K22" s="45"/>
    </row>
    <row r="23" spans="1:11" hidden="1" x14ac:dyDescent="0.25">
      <c r="A23" s="48" t="s">
        <v>38</v>
      </c>
      <c r="B23" s="45" t="s">
        <v>75</v>
      </c>
      <c r="C23" s="45">
        <v>1</v>
      </c>
      <c r="D23" s="45" t="s">
        <v>309</v>
      </c>
      <c r="E23" s="106" t="s">
        <v>18</v>
      </c>
      <c r="F23" s="45"/>
      <c r="G23" s="46" t="s">
        <v>131</v>
      </c>
      <c r="H23" s="45" t="s">
        <v>703</v>
      </c>
      <c r="I23" s="45"/>
      <c r="J23" s="45" t="s">
        <v>140</v>
      </c>
      <c r="K23" s="45"/>
    </row>
    <row r="24" spans="1:11" hidden="1" x14ac:dyDescent="0.25">
      <c r="A24" s="51" t="s">
        <v>40</v>
      </c>
      <c r="B24" s="45" t="s">
        <v>80</v>
      </c>
      <c r="C24" s="45">
        <v>1</v>
      </c>
      <c r="D24" s="45" t="s">
        <v>310</v>
      </c>
      <c r="E24" s="108" t="s">
        <v>21</v>
      </c>
      <c r="F24" s="45"/>
      <c r="G24" s="52" t="s">
        <v>131</v>
      </c>
      <c r="H24" s="45"/>
      <c r="I24" s="45"/>
      <c r="J24" s="45" t="s">
        <v>140</v>
      </c>
      <c r="K24" s="45"/>
    </row>
    <row r="25" spans="1:11" hidden="1" x14ac:dyDescent="0.25">
      <c r="A25" s="51" t="s">
        <v>40</v>
      </c>
      <c r="B25" s="45" t="s">
        <v>80</v>
      </c>
      <c r="C25" s="45">
        <v>2</v>
      </c>
      <c r="D25" s="45" t="s">
        <v>311</v>
      </c>
      <c r="E25" s="107" t="s">
        <v>16</v>
      </c>
      <c r="F25" s="45" t="s">
        <v>249</v>
      </c>
      <c r="G25" s="52" t="s">
        <v>131</v>
      </c>
      <c r="H25" s="45"/>
      <c r="I25" s="45"/>
      <c r="J25" s="45" t="s">
        <v>140</v>
      </c>
      <c r="K25" s="45"/>
    </row>
    <row r="26" spans="1:11" ht="28.5" hidden="1" customHeight="1" x14ac:dyDescent="0.25">
      <c r="A26" s="51" t="s">
        <v>40</v>
      </c>
      <c r="B26" s="45" t="s">
        <v>80</v>
      </c>
      <c r="C26" s="45">
        <v>3</v>
      </c>
      <c r="D26" s="45" t="s">
        <v>312</v>
      </c>
      <c r="E26" s="107" t="s">
        <v>16</v>
      </c>
      <c r="F26" s="45" t="s">
        <v>175</v>
      </c>
      <c r="G26" s="52" t="s">
        <v>131</v>
      </c>
      <c r="H26" s="57" t="s">
        <v>313</v>
      </c>
      <c r="I26" s="45" t="s">
        <v>314</v>
      </c>
      <c r="J26" s="45" t="s">
        <v>131</v>
      </c>
      <c r="K26" s="45" t="s">
        <v>315</v>
      </c>
    </row>
    <row r="27" spans="1:11" hidden="1" x14ac:dyDescent="0.25">
      <c r="A27" s="51" t="s">
        <v>40</v>
      </c>
      <c r="B27" s="45" t="s">
        <v>80</v>
      </c>
      <c r="C27" s="45">
        <v>4</v>
      </c>
      <c r="D27" s="45" t="s">
        <v>316</v>
      </c>
      <c r="E27" s="107" t="s">
        <v>16</v>
      </c>
      <c r="F27" s="45" t="s">
        <v>291</v>
      </c>
      <c r="G27" s="52" t="s">
        <v>131</v>
      </c>
      <c r="H27" s="45"/>
      <c r="I27" s="45"/>
      <c r="J27" s="45" t="s">
        <v>140</v>
      </c>
      <c r="K27" s="45"/>
    </row>
    <row r="28" spans="1:11" hidden="1" x14ac:dyDescent="0.25">
      <c r="A28" s="51" t="s">
        <v>40</v>
      </c>
      <c r="B28" s="45" t="s">
        <v>80</v>
      </c>
      <c r="C28" s="45">
        <v>5</v>
      </c>
      <c r="D28" s="45" t="s">
        <v>317</v>
      </c>
      <c r="E28" s="107" t="s">
        <v>16</v>
      </c>
      <c r="F28" s="45" t="s">
        <v>183</v>
      </c>
      <c r="G28" s="52" t="s">
        <v>131</v>
      </c>
      <c r="H28" s="45"/>
      <c r="I28" s="45"/>
      <c r="J28" s="45" t="s">
        <v>140</v>
      </c>
      <c r="K28" s="45"/>
    </row>
    <row r="29" spans="1:11" hidden="1" x14ac:dyDescent="0.25">
      <c r="A29" s="51" t="s">
        <v>40</v>
      </c>
      <c r="B29" s="54" t="s">
        <v>80</v>
      </c>
      <c r="C29" s="45">
        <v>6</v>
      </c>
      <c r="D29" s="45" t="s">
        <v>318</v>
      </c>
      <c r="E29" s="107" t="s">
        <v>16</v>
      </c>
      <c r="F29" s="45" t="s">
        <v>189</v>
      </c>
      <c r="G29" s="52" t="s">
        <v>131</v>
      </c>
      <c r="H29" s="45"/>
      <c r="I29" s="45"/>
      <c r="J29" s="45" t="s">
        <v>140</v>
      </c>
      <c r="K29" s="45"/>
    </row>
    <row r="30" spans="1:11" hidden="1" x14ac:dyDescent="0.25">
      <c r="A30" s="51" t="s">
        <v>40</v>
      </c>
      <c r="B30" s="45" t="s">
        <v>80</v>
      </c>
      <c r="C30" s="45">
        <v>7</v>
      </c>
      <c r="D30" s="45" t="s">
        <v>319</v>
      </c>
      <c r="E30" s="107" t="s">
        <v>16</v>
      </c>
      <c r="F30" s="45" t="s">
        <v>229</v>
      </c>
      <c r="G30" s="52" t="s">
        <v>131</v>
      </c>
      <c r="H30" s="45" t="s">
        <v>320</v>
      </c>
      <c r="I30" s="45"/>
      <c r="J30" s="45" t="s">
        <v>140</v>
      </c>
      <c r="K30" s="45"/>
    </row>
    <row r="31" spans="1:11" hidden="1" x14ac:dyDescent="0.25">
      <c r="A31" s="51" t="s">
        <v>40</v>
      </c>
      <c r="B31" s="45" t="s">
        <v>80</v>
      </c>
      <c r="C31" s="45">
        <v>8</v>
      </c>
      <c r="D31" s="45" t="s">
        <v>321</v>
      </c>
      <c r="E31" s="107" t="s">
        <v>16</v>
      </c>
      <c r="F31" s="45" t="s">
        <v>175</v>
      </c>
      <c r="G31" s="52" t="s">
        <v>131</v>
      </c>
      <c r="H31" s="45"/>
      <c r="I31" s="45"/>
      <c r="J31" s="45" t="s">
        <v>140</v>
      </c>
      <c r="K31" s="45"/>
    </row>
    <row r="32" spans="1:11" hidden="1" x14ac:dyDescent="0.25">
      <c r="A32" s="51" t="s">
        <v>40</v>
      </c>
      <c r="B32" s="45" t="s">
        <v>80</v>
      </c>
      <c r="C32" s="45">
        <v>9</v>
      </c>
      <c r="D32" s="45" t="s">
        <v>322</v>
      </c>
      <c r="E32" s="108" t="s">
        <v>21</v>
      </c>
      <c r="F32" s="45"/>
      <c r="G32" s="52" t="s">
        <v>131</v>
      </c>
      <c r="H32" s="45" t="s">
        <v>323</v>
      </c>
      <c r="I32" s="45"/>
      <c r="J32" s="45" t="s">
        <v>140</v>
      </c>
      <c r="K32" s="45"/>
    </row>
    <row r="33" spans="1:11" hidden="1" x14ac:dyDescent="0.25">
      <c r="A33" s="44" t="s">
        <v>36</v>
      </c>
      <c r="B33" s="45" t="s">
        <v>98</v>
      </c>
      <c r="C33" s="45">
        <v>1</v>
      </c>
      <c r="D33" s="45" t="s">
        <v>324</v>
      </c>
      <c r="E33" s="107" t="s">
        <v>16</v>
      </c>
      <c r="F33" s="45" t="s">
        <v>260</v>
      </c>
      <c r="G33" s="46" t="s">
        <v>140</v>
      </c>
      <c r="H33" s="45"/>
      <c r="I33" s="45"/>
      <c r="J33" s="45" t="s">
        <v>140</v>
      </c>
      <c r="K33" s="45"/>
    </row>
    <row r="34" spans="1:11" hidden="1" x14ac:dyDescent="0.25">
      <c r="A34" s="44" t="s">
        <v>36</v>
      </c>
      <c r="B34" s="45" t="s">
        <v>99</v>
      </c>
      <c r="C34" s="45">
        <v>1</v>
      </c>
      <c r="D34" s="45" t="s">
        <v>325</v>
      </c>
      <c r="E34" s="107" t="s">
        <v>16</v>
      </c>
      <c r="F34" s="45" t="s">
        <v>188</v>
      </c>
      <c r="G34" s="46" t="s">
        <v>140</v>
      </c>
      <c r="H34" s="45"/>
      <c r="I34" s="45"/>
      <c r="J34" s="45" t="s">
        <v>140</v>
      </c>
      <c r="K34" s="45"/>
    </row>
    <row r="35" spans="1:11" hidden="1" x14ac:dyDescent="0.25">
      <c r="A35" s="47" t="s">
        <v>28</v>
      </c>
      <c r="B35" s="45" t="s">
        <v>94</v>
      </c>
      <c r="C35" s="45">
        <v>1</v>
      </c>
      <c r="D35" s="45" t="s">
        <v>326</v>
      </c>
      <c r="E35" s="107" t="s">
        <v>16</v>
      </c>
      <c r="F35" s="45" t="s">
        <v>327</v>
      </c>
      <c r="G35" s="52" t="s">
        <v>131</v>
      </c>
      <c r="H35" s="45" t="s">
        <v>149</v>
      </c>
      <c r="I35" s="45" t="s">
        <v>328</v>
      </c>
      <c r="J35" s="45" t="s">
        <v>131</v>
      </c>
      <c r="K35" s="45" t="s">
        <v>329</v>
      </c>
    </row>
    <row r="36" spans="1:11" hidden="1" x14ac:dyDescent="0.25">
      <c r="A36" s="47" t="s">
        <v>28</v>
      </c>
      <c r="B36" s="45" t="s">
        <v>95</v>
      </c>
      <c r="C36" s="45">
        <v>1</v>
      </c>
      <c r="D36" s="45" t="s">
        <v>330</v>
      </c>
      <c r="E36" s="107" t="s">
        <v>16</v>
      </c>
      <c r="F36" s="45" t="s">
        <v>154</v>
      </c>
      <c r="G36" s="52" t="s">
        <v>131</v>
      </c>
      <c r="H36" s="45" t="s">
        <v>149</v>
      </c>
      <c r="I36" s="45"/>
      <c r="J36" s="45" t="s">
        <v>140</v>
      </c>
      <c r="K36" s="45"/>
    </row>
    <row r="37" spans="1:11" hidden="1" x14ac:dyDescent="0.25">
      <c r="A37" s="47" t="s">
        <v>28</v>
      </c>
      <c r="B37" s="45" t="s">
        <v>96</v>
      </c>
      <c r="C37" s="45">
        <v>1</v>
      </c>
      <c r="D37" s="45" t="s">
        <v>331</v>
      </c>
      <c r="E37" s="107" t="s">
        <v>16</v>
      </c>
      <c r="F37" s="45" t="s">
        <v>183</v>
      </c>
      <c r="G37" s="52" t="s">
        <v>131</v>
      </c>
      <c r="H37" s="45" t="s">
        <v>149</v>
      </c>
      <c r="I37" s="45"/>
      <c r="J37" s="45" t="s">
        <v>140</v>
      </c>
      <c r="K37" s="45"/>
    </row>
    <row r="38" spans="1:11" hidden="1" x14ac:dyDescent="0.25">
      <c r="A38" s="48" t="s">
        <v>38</v>
      </c>
      <c r="B38" s="45" t="s">
        <v>107</v>
      </c>
      <c r="C38" s="45">
        <v>1</v>
      </c>
      <c r="D38" s="45" t="s">
        <v>332</v>
      </c>
      <c r="E38" s="107" t="s">
        <v>16</v>
      </c>
      <c r="F38" s="45" t="s">
        <v>168</v>
      </c>
      <c r="G38" s="46" t="s">
        <v>131</v>
      </c>
      <c r="H38" s="45" t="s">
        <v>704</v>
      </c>
      <c r="I38" s="45"/>
      <c r="J38" s="45" t="s">
        <v>140</v>
      </c>
      <c r="K38" s="45"/>
    </row>
    <row r="39" spans="1:11" x14ac:dyDescent="0.25">
      <c r="A39" s="50" t="s">
        <v>42</v>
      </c>
      <c r="B39" s="45" t="s">
        <v>117</v>
      </c>
      <c r="C39" s="45">
        <v>1</v>
      </c>
      <c r="D39" s="45" t="s">
        <v>333</v>
      </c>
      <c r="E39" s="107" t="s">
        <v>16</v>
      </c>
      <c r="F39" s="45" t="s">
        <v>334</v>
      </c>
      <c r="G39" s="46" t="s">
        <v>131</v>
      </c>
      <c r="H39" s="45"/>
      <c r="I39" s="45"/>
      <c r="J39" s="45" t="s">
        <v>140</v>
      </c>
      <c r="K39" s="45"/>
    </row>
    <row r="40" spans="1:11" hidden="1" x14ac:dyDescent="0.25">
      <c r="A40" s="48" t="s">
        <v>38</v>
      </c>
      <c r="B40" s="54" t="s">
        <v>81</v>
      </c>
      <c r="C40" s="45">
        <v>1</v>
      </c>
      <c r="D40" s="45" t="s">
        <v>335</v>
      </c>
      <c r="E40" s="107" t="s">
        <v>16</v>
      </c>
      <c r="F40" s="45" t="s">
        <v>189</v>
      </c>
      <c r="G40" s="46" t="s">
        <v>140</v>
      </c>
      <c r="H40" s="45"/>
      <c r="I40" s="45"/>
      <c r="J40" s="45" t="s">
        <v>140</v>
      </c>
      <c r="K40" s="45"/>
    </row>
    <row r="41" spans="1:11" hidden="1" x14ac:dyDescent="0.25">
      <c r="A41" s="49" t="s">
        <v>43</v>
      </c>
      <c r="B41" s="45" t="s">
        <v>128</v>
      </c>
      <c r="C41" s="45">
        <v>1</v>
      </c>
      <c r="D41" s="45" t="s">
        <v>336</v>
      </c>
      <c r="E41" s="107" t="s">
        <v>16</v>
      </c>
      <c r="F41" s="45" t="s">
        <v>188</v>
      </c>
      <c r="G41" s="52" t="s">
        <v>131</v>
      </c>
      <c r="H41" s="45" t="s">
        <v>149</v>
      </c>
      <c r="I41" s="45"/>
      <c r="J41" s="45" t="s">
        <v>140</v>
      </c>
      <c r="K41" s="45"/>
    </row>
    <row r="42" spans="1:11" x14ac:dyDescent="0.25">
      <c r="A42" s="50" t="s">
        <v>42</v>
      </c>
      <c r="B42" s="54" t="s">
        <v>82</v>
      </c>
      <c r="C42" s="45">
        <v>1</v>
      </c>
      <c r="D42" s="45" t="s">
        <v>337</v>
      </c>
      <c r="E42" s="107" t="s">
        <v>16</v>
      </c>
      <c r="F42" s="45" t="s">
        <v>189</v>
      </c>
      <c r="G42" s="46" t="s">
        <v>131</v>
      </c>
      <c r="H42" s="45" t="s">
        <v>338</v>
      </c>
      <c r="I42" s="45"/>
      <c r="J42" s="45" t="s">
        <v>140</v>
      </c>
      <c r="K42" s="45"/>
    </row>
    <row r="43" spans="1:11" ht="17.25" x14ac:dyDescent="0.3">
      <c r="A43" s="50" t="s">
        <v>42</v>
      </c>
      <c r="B43" s="54" t="s">
        <v>82</v>
      </c>
      <c r="C43" s="45">
        <v>2</v>
      </c>
      <c r="D43" s="45" t="s">
        <v>339</v>
      </c>
      <c r="E43" s="109" t="s">
        <v>19</v>
      </c>
      <c r="F43" s="45" t="s">
        <v>340</v>
      </c>
      <c r="G43" s="46" t="s">
        <v>131</v>
      </c>
      <c r="H43" s="45"/>
      <c r="I43" s="144" t="s">
        <v>692</v>
      </c>
      <c r="J43" s="45" t="s">
        <v>140</v>
      </c>
      <c r="K43" s="45"/>
    </row>
    <row r="44" spans="1:11" hidden="1" x14ac:dyDescent="0.25">
      <c r="A44" s="48" t="s">
        <v>38</v>
      </c>
      <c r="B44" s="45" t="s">
        <v>76</v>
      </c>
      <c r="C44" s="45">
        <v>1</v>
      </c>
      <c r="D44" s="45" t="s">
        <v>341</v>
      </c>
      <c r="E44" s="107" t="s">
        <v>16</v>
      </c>
      <c r="F44" s="45" t="s">
        <v>342</v>
      </c>
      <c r="G44" s="52" t="s">
        <v>131</v>
      </c>
      <c r="H44" s="45"/>
      <c r="I44" s="45"/>
      <c r="J44" s="45" t="s">
        <v>140</v>
      </c>
      <c r="K44" s="45"/>
    </row>
    <row r="45" spans="1:11" x14ac:dyDescent="0.25">
      <c r="A45" s="50" t="s">
        <v>42</v>
      </c>
      <c r="B45" s="45" t="s">
        <v>118</v>
      </c>
      <c r="C45" s="45">
        <v>1</v>
      </c>
      <c r="D45" s="45" t="s">
        <v>343</v>
      </c>
      <c r="E45" s="107" t="s">
        <v>16</v>
      </c>
      <c r="F45" s="45" t="s">
        <v>205</v>
      </c>
      <c r="G45" s="52" t="s">
        <v>131</v>
      </c>
      <c r="H45" s="45"/>
      <c r="I45" s="45"/>
      <c r="J45" s="45" t="s">
        <v>140</v>
      </c>
      <c r="K45" s="45"/>
    </row>
    <row r="46" spans="1:11" hidden="1" x14ac:dyDescent="0.25">
      <c r="A46" s="51" t="s">
        <v>40</v>
      </c>
      <c r="B46" s="45" t="s">
        <v>111</v>
      </c>
      <c r="C46" s="45">
        <v>1</v>
      </c>
      <c r="D46" s="45" t="s">
        <v>344</v>
      </c>
      <c r="E46" s="107" t="s">
        <v>16</v>
      </c>
      <c r="F46" s="45" t="s">
        <v>260</v>
      </c>
      <c r="G46" s="52" t="s">
        <v>131</v>
      </c>
      <c r="H46" s="45"/>
      <c r="I46" s="45"/>
      <c r="J46" s="45" t="s">
        <v>140</v>
      </c>
      <c r="K46" s="45"/>
    </row>
    <row r="47" spans="1:11" hidden="1" x14ac:dyDescent="0.25">
      <c r="A47" s="44" t="s">
        <v>36</v>
      </c>
      <c r="B47" s="45" t="s">
        <v>100</v>
      </c>
      <c r="C47" s="45">
        <v>1</v>
      </c>
      <c r="D47" s="45" t="s">
        <v>345</v>
      </c>
      <c r="E47" s="107" t="s">
        <v>16</v>
      </c>
      <c r="F47" s="45" t="s">
        <v>346</v>
      </c>
      <c r="G47" s="46" t="s">
        <v>140</v>
      </c>
      <c r="H47" s="45"/>
      <c r="I47" s="45"/>
      <c r="J47" s="45" t="s">
        <v>140</v>
      </c>
      <c r="K47" s="45"/>
    </row>
    <row r="48" spans="1:11" x14ac:dyDescent="0.25">
      <c r="A48" s="50" t="s">
        <v>42</v>
      </c>
      <c r="B48" s="45" t="s">
        <v>119</v>
      </c>
      <c r="C48" s="45">
        <v>1</v>
      </c>
      <c r="D48" s="45" t="s">
        <v>347</v>
      </c>
      <c r="E48" s="107" t="s">
        <v>16</v>
      </c>
      <c r="F48" s="45" t="s">
        <v>348</v>
      </c>
      <c r="G48" s="52" t="s">
        <v>131</v>
      </c>
      <c r="H48" s="45"/>
      <c r="I48" s="45"/>
      <c r="J48" s="45" t="s">
        <v>140</v>
      </c>
      <c r="K48" s="45"/>
    </row>
    <row r="49" spans="1:11" hidden="1" x14ac:dyDescent="0.25">
      <c r="A49" s="44" t="s">
        <v>36</v>
      </c>
      <c r="B49" s="45" t="s">
        <v>77</v>
      </c>
      <c r="C49" s="45">
        <v>1</v>
      </c>
      <c r="D49" s="45" t="s">
        <v>349</v>
      </c>
      <c r="E49" s="107" t="s">
        <v>16</v>
      </c>
      <c r="F49" s="45" t="s">
        <v>350</v>
      </c>
      <c r="G49" s="52" t="s">
        <v>131</v>
      </c>
      <c r="H49" s="45" t="s">
        <v>149</v>
      </c>
      <c r="I49" s="45"/>
      <c r="J49" s="45" t="s">
        <v>140</v>
      </c>
      <c r="K49" s="45"/>
    </row>
    <row r="50" spans="1:11" hidden="1" x14ac:dyDescent="0.25">
      <c r="A50" s="48" t="s">
        <v>38</v>
      </c>
      <c r="B50" s="45" t="s">
        <v>108</v>
      </c>
      <c r="C50" s="45">
        <v>1</v>
      </c>
      <c r="D50" s="45" t="s">
        <v>351</v>
      </c>
      <c r="E50" s="107" t="s">
        <v>16</v>
      </c>
      <c r="F50" s="45" t="s">
        <v>352</v>
      </c>
      <c r="G50" s="46" t="s">
        <v>140</v>
      </c>
      <c r="H50" s="45"/>
      <c r="I50" s="45"/>
      <c r="J50" s="45" t="s">
        <v>140</v>
      </c>
      <c r="K50" s="45"/>
    </row>
    <row r="51" spans="1:11" hidden="1" x14ac:dyDescent="0.25">
      <c r="A51" s="44" t="s">
        <v>36</v>
      </c>
      <c r="B51" s="45" t="s">
        <v>101</v>
      </c>
      <c r="C51" s="45">
        <v>1</v>
      </c>
      <c r="D51" s="45" t="s">
        <v>353</v>
      </c>
      <c r="E51" s="107" t="s">
        <v>16</v>
      </c>
      <c r="F51" s="45" t="s">
        <v>354</v>
      </c>
      <c r="G51" s="52" t="s">
        <v>131</v>
      </c>
      <c r="H51" s="45" t="s">
        <v>149</v>
      </c>
      <c r="I51" s="45"/>
      <c r="J51" s="45" t="s">
        <v>140</v>
      </c>
      <c r="K51" s="45"/>
    </row>
    <row r="52" spans="1:11" hidden="1" x14ac:dyDescent="0.25">
      <c r="A52" s="44" t="s">
        <v>36</v>
      </c>
      <c r="B52" s="45" t="s">
        <v>102</v>
      </c>
      <c r="C52" s="45">
        <v>1</v>
      </c>
      <c r="D52" s="45" t="s">
        <v>355</v>
      </c>
      <c r="E52" s="107" t="s">
        <v>16</v>
      </c>
      <c r="F52" s="45" t="s">
        <v>154</v>
      </c>
      <c r="G52" s="52" t="s">
        <v>131</v>
      </c>
      <c r="H52" s="45" t="s">
        <v>356</v>
      </c>
      <c r="I52" s="45"/>
      <c r="J52" s="45" t="s">
        <v>140</v>
      </c>
      <c r="K52" s="45"/>
    </row>
    <row r="53" spans="1:11" hidden="1" x14ac:dyDescent="0.25">
      <c r="A53" s="48" t="s">
        <v>38</v>
      </c>
      <c r="B53" s="45" t="s">
        <v>83</v>
      </c>
      <c r="C53" s="45">
        <v>1</v>
      </c>
      <c r="D53" s="45" t="s">
        <v>357</v>
      </c>
      <c r="E53" s="107" t="s">
        <v>16</v>
      </c>
      <c r="F53" s="45" t="s">
        <v>358</v>
      </c>
      <c r="G53" s="46" t="s">
        <v>140</v>
      </c>
      <c r="H53" s="45"/>
      <c r="I53" s="45"/>
      <c r="J53" s="45" t="s">
        <v>140</v>
      </c>
      <c r="K53" s="45"/>
    </row>
    <row r="54" spans="1:11" x14ac:dyDescent="0.25">
      <c r="A54" s="50" t="s">
        <v>42</v>
      </c>
      <c r="B54" s="45" t="s">
        <v>120</v>
      </c>
      <c r="C54" s="45">
        <v>1</v>
      </c>
      <c r="D54" s="45" t="s">
        <v>359</v>
      </c>
      <c r="E54" s="107" t="s">
        <v>16</v>
      </c>
      <c r="F54" s="45" t="s">
        <v>266</v>
      </c>
      <c r="G54" s="46" t="s">
        <v>131</v>
      </c>
      <c r="H54" s="45"/>
      <c r="I54" s="45"/>
      <c r="J54" s="45" t="s">
        <v>140</v>
      </c>
      <c r="K54" s="45"/>
    </row>
    <row r="55" spans="1:11" hidden="1" x14ac:dyDescent="0.25">
      <c r="A55" s="44" t="s">
        <v>36</v>
      </c>
      <c r="B55" s="45" t="s">
        <v>103</v>
      </c>
      <c r="C55" s="45">
        <v>1</v>
      </c>
      <c r="D55" s="45" t="s">
        <v>360</v>
      </c>
      <c r="E55" s="107" t="s">
        <v>16</v>
      </c>
      <c r="F55" s="45" t="s">
        <v>250</v>
      </c>
      <c r="G55" s="52" t="s">
        <v>131</v>
      </c>
      <c r="H55" s="45" t="s">
        <v>149</v>
      </c>
      <c r="I55" s="45"/>
      <c r="J55" s="45" t="s">
        <v>140</v>
      </c>
      <c r="K55" s="45"/>
    </row>
    <row r="56" spans="1:11" x14ac:dyDescent="0.25">
      <c r="A56" s="50" t="s">
        <v>42</v>
      </c>
      <c r="B56" s="45" t="s">
        <v>121</v>
      </c>
      <c r="C56" s="45">
        <v>1</v>
      </c>
      <c r="D56" s="45" t="s">
        <v>361</v>
      </c>
      <c r="E56" s="107" t="s">
        <v>16</v>
      </c>
      <c r="F56" s="45" t="s">
        <v>362</v>
      </c>
      <c r="G56" s="52" t="s">
        <v>131</v>
      </c>
      <c r="H56" s="45" t="s">
        <v>363</v>
      </c>
      <c r="I56" s="45"/>
      <c r="J56" s="45" t="s">
        <v>140</v>
      </c>
      <c r="K56" s="45"/>
    </row>
    <row r="57" spans="1:11" x14ac:dyDescent="0.25">
      <c r="A57" s="50" t="s">
        <v>42</v>
      </c>
      <c r="B57" s="45" t="s">
        <v>122</v>
      </c>
      <c r="C57" s="45">
        <v>1</v>
      </c>
      <c r="D57" s="45" t="s">
        <v>364</v>
      </c>
      <c r="E57" s="107" t="s">
        <v>16</v>
      </c>
      <c r="F57" s="45" t="s">
        <v>250</v>
      </c>
      <c r="G57" s="52" t="s">
        <v>131</v>
      </c>
      <c r="H57" s="45"/>
      <c r="I57" s="45"/>
      <c r="J57" s="45" t="s">
        <v>140</v>
      </c>
      <c r="K57" s="45"/>
    </row>
    <row r="58" spans="1:11" hidden="1" x14ac:dyDescent="0.25">
      <c r="A58" s="49" t="s">
        <v>43</v>
      </c>
      <c r="B58" s="45" t="s">
        <v>129</v>
      </c>
      <c r="C58" s="45">
        <v>1</v>
      </c>
      <c r="D58" s="45" t="s">
        <v>365</v>
      </c>
      <c r="E58" s="107" t="s">
        <v>16</v>
      </c>
      <c r="F58" s="45" t="s">
        <v>348</v>
      </c>
      <c r="G58" s="52" t="s">
        <v>131</v>
      </c>
      <c r="H58" s="45" t="s">
        <v>149</v>
      </c>
      <c r="I58" s="45"/>
      <c r="J58" s="45" t="s">
        <v>140</v>
      </c>
      <c r="K58" s="45"/>
    </row>
    <row r="59" spans="1:11" hidden="1" x14ac:dyDescent="0.25">
      <c r="A59" s="49" t="s">
        <v>43</v>
      </c>
      <c r="B59" s="45" t="s">
        <v>130</v>
      </c>
      <c r="C59" s="45">
        <v>1</v>
      </c>
      <c r="D59" s="45" t="s">
        <v>366</v>
      </c>
      <c r="E59" s="107" t="s">
        <v>16</v>
      </c>
      <c r="F59" s="45" t="s">
        <v>183</v>
      </c>
      <c r="G59" s="46" t="s">
        <v>131</v>
      </c>
      <c r="H59" s="45" t="s">
        <v>681</v>
      </c>
      <c r="I59" s="45"/>
      <c r="J59" s="45" t="s">
        <v>140</v>
      </c>
      <c r="K59" s="45"/>
    </row>
    <row r="60" spans="1:11" hidden="1" x14ac:dyDescent="0.25">
      <c r="A60" s="51" t="s">
        <v>40</v>
      </c>
      <c r="B60" s="45" t="s">
        <v>112</v>
      </c>
      <c r="C60" s="45">
        <v>1</v>
      </c>
      <c r="D60" s="45" t="s">
        <v>367</v>
      </c>
      <c r="E60" s="107" t="s">
        <v>16</v>
      </c>
      <c r="F60" s="45" t="s">
        <v>209</v>
      </c>
      <c r="G60" s="52" t="s">
        <v>131</v>
      </c>
      <c r="H60" s="45" t="s">
        <v>368</v>
      </c>
      <c r="I60" s="45"/>
      <c r="J60" s="45" t="s">
        <v>140</v>
      </c>
      <c r="K60" s="45"/>
    </row>
    <row r="61" spans="1:11" hidden="1" x14ac:dyDescent="0.25">
      <c r="A61" s="44" t="s">
        <v>36</v>
      </c>
      <c r="B61" s="45" t="s">
        <v>104</v>
      </c>
      <c r="C61" s="45">
        <v>1</v>
      </c>
      <c r="D61" s="45" t="s">
        <v>369</v>
      </c>
      <c r="E61" s="107" t="s">
        <v>16</v>
      </c>
      <c r="F61" s="45" t="s">
        <v>217</v>
      </c>
      <c r="G61" s="46" t="s">
        <v>140</v>
      </c>
      <c r="H61" s="45"/>
      <c r="I61" s="45"/>
      <c r="J61" s="45" t="s">
        <v>140</v>
      </c>
      <c r="K61" s="45"/>
    </row>
    <row r="62" spans="1:11" hidden="1" x14ac:dyDescent="0.25">
      <c r="A62" s="51" t="s">
        <v>40</v>
      </c>
      <c r="B62" s="45" t="s">
        <v>113</v>
      </c>
      <c r="C62" s="45">
        <v>1</v>
      </c>
      <c r="D62" s="45" t="s">
        <v>370</v>
      </c>
      <c r="E62" s="107" t="s">
        <v>16</v>
      </c>
      <c r="F62" s="45" t="s">
        <v>173</v>
      </c>
      <c r="G62" s="52" t="s">
        <v>131</v>
      </c>
      <c r="H62" s="45"/>
      <c r="I62" s="45"/>
      <c r="J62" s="45" t="s">
        <v>140</v>
      </c>
      <c r="K62" s="45"/>
    </row>
    <row r="63" spans="1:11" x14ac:dyDescent="0.25">
      <c r="A63" s="50" t="s">
        <v>42</v>
      </c>
      <c r="B63" s="45" t="s">
        <v>123</v>
      </c>
      <c r="C63" s="45">
        <v>1</v>
      </c>
      <c r="D63" s="45" t="s">
        <v>371</v>
      </c>
      <c r="E63" s="107" t="s">
        <v>16</v>
      </c>
      <c r="F63" s="45" t="s">
        <v>296</v>
      </c>
      <c r="G63" s="52" t="s">
        <v>131</v>
      </c>
      <c r="H63" s="45" t="s">
        <v>372</v>
      </c>
      <c r="I63" s="45"/>
      <c r="J63" s="45" t="s">
        <v>140</v>
      </c>
      <c r="K63" s="45"/>
    </row>
    <row r="64" spans="1:11" hidden="1" x14ac:dyDescent="0.25">
      <c r="A64" s="51" t="s">
        <v>40</v>
      </c>
      <c r="B64" s="45" t="s">
        <v>114</v>
      </c>
      <c r="C64" s="45">
        <v>1</v>
      </c>
      <c r="D64" s="45" t="s">
        <v>373</v>
      </c>
      <c r="E64" s="107" t="s">
        <v>16</v>
      </c>
      <c r="F64" s="45" t="s">
        <v>270</v>
      </c>
      <c r="G64" s="52" t="s">
        <v>131</v>
      </c>
      <c r="H64" s="45"/>
      <c r="I64" s="45"/>
      <c r="J64" s="45" t="s">
        <v>140</v>
      </c>
      <c r="K64" s="45"/>
    </row>
    <row r="65" spans="1:11" hidden="1" x14ac:dyDescent="0.25">
      <c r="A65" s="44" t="s">
        <v>36</v>
      </c>
      <c r="B65" s="45" t="s">
        <v>105</v>
      </c>
      <c r="C65" s="45">
        <v>1</v>
      </c>
      <c r="D65" s="45" t="s">
        <v>374</v>
      </c>
      <c r="E65" s="107" t="s">
        <v>16</v>
      </c>
      <c r="F65" s="45" t="s">
        <v>228</v>
      </c>
      <c r="G65" s="46" t="s">
        <v>140</v>
      </c>
      <c r="H65" s="45"/>
      <c r="I65" s="45"/>
      <c r="J65" s="45" t="s">
        <v>140</v>
      </c>
      <c r="K65" s="45"/>
    </row>
    <row r="66" spans="1:11" hidden="1" x14ac:dyDescent="0.25">
      <c r="A66" s="44" t="s">
        <v>36</v>
      </c>
      <c r="B66" s="45" t="s">
        <v>106</v>
      </c>
      <c r="C66" s="45">
        <v>1</v>
      </c>
      <c r="D66" s="45" t="s">
        <v>375</v>
      </c>
      <c r="E66" s="107" t="s">
        <v>16</v>
      </c>
      <c r="F66" s="45" t="s">
        <v>376</v>
      </c>
      <c r="G66" s="52" t="s">
        <v>131</v>
      </c>
      <c r="H66" s="45"/>
      <c r="I66" s="45" t="s">
        <v>377</v>
      </c>
      <c r="J66" s="45" t="s">
        <v>131</v>
      </c>
      <c r="K66" s="45" t="s">
        <v>378</v>
      </c>
    </row>
    <row r="67" spans="1:11" hidden="1" x14ac:dyDescent="0.25">
      <c r="A67" s="47" t="s">
        <v>28</v>
      </c>
      <c r="B67" s="55" t="s">
        <v>85</v>
      </c>
      <c r="C67" s="45">
        <v>1</v>
      </c>
      <c r="D67" s="45" t="s">
        <v>379</v>
      </c>
      <c r="E67" s="107" t="s">
        <v>16</v>
      </c>
      <c r="F67" s="45" t="s">
        <v>189</v>
      </c>
      <c r="G67" s="52" t="s">
        <v>131</v>
      </c>
      <c r="H67" s="45" t="s">
        <v>380</v>
      </c>
      <c r="I67" s="45"/>
      <c r="J67" s="45" t="s">
        <v>140</v>
      </c>
      <c r="K67" s="45"/>
    </row>
    <row r="68" spans="1:11" hidden="1" x14ac:dyDescent="0.25">
      <c r="A68" s="48" t="s">
        <v>38</v>
      </c>
      <c r="B68" s="45" t="s">
        <v>109</v>
      </c>
      <c r="C68" s="45">
        <v>1</v>
      </c>
      <c r="D68" s="45" t="s">
        <v>381</v>
      </c>
      <c r="E68" s="107" t="s">
        <v>16</v>
      </c>
      <c r="F68" s="45" t="s">
        <v>243</v>
      </c>
      <c r="G68" s="46" t="s">
        <v>131</v>
      </c>
      <c r="H68" s="45" t="s">
        <v>704</v>
      </c>
      <c r="I68" s="45"/>
      <c r="J68" s="45" t="s">
        <v>140</v>
      </c>
      <c r="K68" s="45"/>
    </row>
    <row r="69" spans="1:11" hidden="1" x14ac:dyDescent="0.25">
      <c r="A69" s="48" t="s">
        <v>38</v>
      </c>
      <c r="B69" s="45" t="s">
        <v>110</v>
      </c>
      <c r="C69" s="45">
        <v>1</v>
      </c>
      <c r="D69" s="45" t="s">
        <v>382</v>
      </c>
      <c r="E69" s="107" t="s">
        <v>16</v>
      </c>
      <c r="F69" s="45" t="s">
        <v>273</v>
      </c>
      <c r="G69" s="46" t="s">
        <v>131</v>
      </c>
      <c r="H69" s="45" t="s">
        <v>711</v>
      </c>
      <c r="I69" s="45"/>
      <c r="J69" s="45" t="s">
        <v>140</v>
      </c>
      <c r="K69" s="45"/>
    </row>
    <row r="70" spans="1:11" x14ac:dyDescent="0.25">
      <c r="A70" s="50" t="s">
        <v>42</v>
      </c>
      <c r="B70" s="45" t="s">
        <v>124</v>
      </c>
      <c r="C70" s="45">
        <v>1</v>
      </c>
      <c r="D70" s="45" t="s">
        <v>383</v>
      </c>
      <c r="E70" s="107" t="s">
        <v>16</v>
      </c>
      <c r="F70" s="45" t="s">
        <v>264</v>
      </c>
      <c r="G70" s="46" t="s">
        <v>131</v>
      </c>
      <c r="H70" s="45"/>
      <c r="I70" s="45"/>
      <c r="J70" s="45" t="s">
        <v>140</v>
      </c>
      <c r="K70" s="45"/>
    </row>
  </sheetData>
  <autoFilter ref="A1:G70" xr:uid="{00000000-0009-0000-0000-000008000000}">
    <filterColumn colId="0">
      <filters>
        <filter val="Luana"/>
      </filters>
    </filterColumn>
  </autoFilter>
  <conditionalFormatting sqref="E2:E70">
    <cfRule type="cellIs" dxfId="135" priority="6" stopIfTrue="1" operator="equal">
      <formula>"Enviado"</formula>
    </cfRule>
    <cfRule type="cellIs" dxfId="134" priority="7" stopIfTrue="1" operator="equal">
      <formula>"Atrasado"</formula>
    </cfRule>
    <cfRule type="cellIs" dxfId="133" priority="8" stopIfTrue="1" operator="equal">
      <formula>"Atrasado &gt;= 2"</formula>
    </cfRule>
    <cfRule type="cellIs" dxfId="132" priority="9" stopIfTrue="1" operator="equal">
      <formula>"Outras Ocorrências"</formula>
    </cfRule>
    <cfRule type="cellIs" dxfId="131" priority="10" stopIfTrue="1" operator="equal">
      <formula>"Sem Técnico"</formula>
    </cfRule>
    <cfRule type="cellIs" dxfId="130" priority="11" stopIfTrue="1" operator="equal">
      <formula>"Duplicado"</formula>
    </cfRule>
  </conditionalFormatting>
  <conditionalFormatting sqref="G2:G70">
    <cfRule type="cellIs" dxfId="129" priority="1" stopIfTrue="1" operator="equal">
      <formula>"Sim"</formula>
    </cfRule>
    <cfRule type="cellIs" dxfId="128" priority="3" stopIfTrue="1" operator="equal">
      <formula>"Não"</formula>
    </cfRule>
  </conditionalFormatting>
  <conditionalFormatting sqref="J2:J70">
    <cfRule type="cellIs" dxfId="127" priority="4" stopIfTrue="1" operator="equal">
      <formula>"Sim"</formula>
    </cfRule>
    <cfRule type="cellIs" dxfId="126" priority="4" stopIfTrue="1" operator="equal">
      <formula>"Não"</formula>
    </cfRule>
    <cfRule type="cellIs" dxfId="125" priority="5" stopIfTrue="1" operator="equal">
      <formula>"Em Análise"</formula>
    </cfRule>
  </conditionalFormatting>
  <dataValidations count="3">
    <dataValidation type="list" allowBlank="1" sqref="G2 G3 G4 G5 G6 G7 G8 G9 G10 G11 G12 G13 G14 G15 G16 G17 G18 G19 G20 G21 G22 G23 G24 G25 G26 G27 G28 G29 G30 G31 G32 G33 G34 G35 G36 G37 G38 G39 G40 G41 G42 G43 G44 G45 G46 G47 G48 G49 G50 G51 G52 G53 G54 G55 G56 G57 G58 G59 G60 G61 G62 G63 G64 G65 G66 G67 G68 G69 G70" xr:uid="{00000000-0002-0000-0800-000000000000}">
      <formula1>"Sim,Não"</formula1>
    </dataValidation>
    <dataValidation type="list" allowBlank="1" sqref="J2 J3 J4 J5 J6 J7 J8 J9 J10 J11 J12 J13 J14 J15 J16 J17 J18 J19 J20 J21 J22 J23 J24 J25 J26 J27 J28 J29 J30 J31 J32 J33 J34 J35 J36 J37 J38 J39 J40 J41 J42 J43 J44 J45 J46 J47 J48 J49 J50 J51 J52 J53 J54 J55 J56 J57 J58 J59 J60 J61 J62 J63 J64 J65 J66 J67 J68 J69 J70" xr:uid="{00000000-0002-0000-0800-000001000000}">
      <formula1>"Sim,Não,Em Análise"</formula1>
    </dataValidation>
    <dataValidation type="list" allowBlank="1" sqref="E2 E3 E4 E5 E6 E7 E8 E9 E10 E11 E12 E13 E14 E15 E16 E17 E18 E19 E20 E21 E22 E23 E24 E25 E26 E27 E28 E29 E30 E31 E32 E33 E34 E35 E36 E37 E38 E39 E40 E41 E42 E43 E44 E45 E46 E47 E48 E49 E50 E51 E52 E53 E54 E55 E56 E57 E58 E59 E60 E61 E62 E63 E64 E65 E66 E67 E68 E69 E70" xr:uid="{00000000-0002-0000-0800-000002000000}">
      <formula1>"Enviado, Atrasado, Atrasado &gt;= 2, Outras Ocorrências, Sem Técnico, Duplicado"</formula1>
    </dataValidation>
  </dataValidation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filterMode="1"/>
  <dimension ref="A1:K70"/>
  <sheetViews>
    <sheetView workbookViewId="0">
      <pane xSplit="3" topLeftCell="D1" activePane="topRight" state="frozen"/>
      <selection pane="topRight" activeCell="G75" sqref="G75"/>
    </sheetView>
  </sheetViews>
  <sheetFormatPr defaultRowHeight="15" x14ac:dyDescent="0.25"/>
  <cols>
    <col min="1" max="1" width="14" customWidth="1"/>
    <col min="2" max="2" width="30" customWidth="1"/>
    <col min="3" max="3" width="8" customWidth="1"/>
    <col min="4" max="4" width="45" customWidth="1"/>
    <col min="5" max="5" width="18" customWidth="1"/>
    <col min="6" max="7" width="27" customWidth="1"/>
    <col min="8" max="8" width="149" customWidth="1"/>
    <col min="9" max="9" width="111" customWidth="1"/>
    <col min="10" max="10" width="25" customWidth="1"/>
    <col min="11" max="11" width="26" customWidth="1"/>
  </cols>
  <sheetData>
    <row r="1" spans="1:11" x14ac:dyDescent="0.25">
      <c r="A1" s="43" t="s">
        <v>27</v>
      </c>
      <c r="B1" s="43" t="s">
        <v>70</v>
      </c>
      <c r="C1" s="43" t="s">
        <v>71</v>
      </c>
      <c r="D1" s="43" t="s">
        <v>132</v>
      </c>
      <c r="E1" s="43" t="s">
        <v>133</v>
      </c>
      <c r="F1" s="43" t="s">
        <v>134</v>
      </c>
      <c r="G1" s="43" t="s">
        <v>135</v>
      </c>
      <c r="H1" s="43" t="s">
        <v>136</v>
      </c>
      <c r="I1" s="43" t="s">
        <v>137</v>
      </c>
      <c r="J1" s="43" t="s">
        <v>138</v>
      </c>
      <c r="K1" s="43" t="s">
        <v>139</v>
      </c>
    </row>
    <row r="2" spans="1:11" hidden="1" x14ac:dyDescent="0.25">
      <c r="A2" s="44" t="s">
        <v>36</v>
      </c>
      <c r="B2" s="45" t="s">
        <v>97</v>
      </c>
      <c r="C2" s="45">
        <v>1</v>
      </c>
      <c r="D2" s="45" t="str">
        <f>IFERROR(IF(INDEX('01.25'!D2:D500, MATCH(B2&amp;C2, INDEX('01.25'!B2:B500&amp;'01.25'!C2:C500, 0), 0))="", "", INDEX('01.25'!D2:D500, MATCH(B2&amp;C2, INDEX('01.25'!B2:B500&amp;'01.25'!C2:C500, 0), 0))), "")</f>
        <v>Paula Tatiana Santana Vechi</v>
      </c>
      <c r="E2" s="107" t="s">
        <v>16</v>
      </c>
      <c r="F2" s="45" t="s">
        <v>166</v>
      </c>
      <c r="G2" s="52" t="s">
        <v>131</v>
      </c>
      <c r="H2" s="45" t="s">
        <v>384</v>
      </c>
      <c r="I2" s="45"/>
      <c r="J2" s="45" t="s">
        <v>140</v>
      </c>
      <c r="K2" s="45"/>
    </row>
    <row r="3" spans="1:11" hidden="1" x14ac:dyDescent="0.25">
      <c r="A3" s="47" t="s">
        <v>28</v>
      </c>
      <c r="B3" s="45" t="s">
        <v>87</v>
      </c>
      <c r="C3" s="45">
        <v>1</v>
      </c>
      <c r="D3" s="45" t="str">
        <f>IFERROR(IF(INDEX('01.25'!D2:D500, MATCH(B3&amp;C3, INDEX('01.25'!B2:B500&amp;'01.25'!C2:C500, 0), 0))="", "", INDEX('01.25'!D2:D500, MATCH(B3&amp;C3, INDEX('01.25'!B2:B500&amp;'01.25'!C2:C500, 0), 0))), "")</f>
        <v>Willian de Oliveira Lino</v>
      </c>
      <c r="E3" s="107" t="s">
        <v>16</v>
      </c>
      <c r="F3" s="45" t="s">
        <v>217</v>
      </c>
      <c r="G3" s="52" t="s">
        <v>131</v>
      </c>
      <c r="H3" s="45" t="s">
        <v>149</v>
      </c>
      <c r="I3" s="45"/>
      <c r="J3" s="45" t="s">
        <v>140</v>
      </c>
      <c r="K3" s="45"/>
    </row>
    <row r="4" spans="1:11" hidden="1" x14ac:dyDescent="0.25">
      <c r="A4" s="48" t="s">
        <v>38</v>
      </c>
      <c r="B4" s="45" t="s">
        <v>78</v>
      </c>
      <c r="C4" s="45">
        <v>1</v>
      </c>
      <c r="D4" s="45" t="str">
        <f>IFERROR(IF(INDEX('01.25'!D2:D500, MATCH(B4&amp;C4, INDEX('01.25'!B2:B500&amp;'01.25'!C2:C500, 0), 0))="", "", INDEX('01.25'!D2:D500, MATCH(B4&amp;C4, INDEX('01.25'!B2:B500&amp;'01.25'!C2:C500, 0), 0))), "")</f>
        <v>Gisele Cássia Tamparowsky de Oliveira</v>
      </c>
      <c r="E4" s="107" t="s">
        <v>16</v>
      </c>
      <c r="F4" s="45" t="s">
        <v>155</v>
      </c>
      <c r="G4" s="52" t="s">
        <v>131</v>
      </c>
      <c r="H4" s="45"/>
      <c r="I4" s="45"/>
      <c r="J4" s="45" t="s">
        <v>140</v>
      </c>
      <c r="K4" s="45"/>
    </row>
    <row r="5" spans="1:11" hidden="1" x14ac:dyDescent="0.25">
      <c r="A5" s="47" t="s">
        <v>28</v>
      </c>
      <c r="B5" s="45" t="s">
        <v>88</v>
      </c>
      <c r="C5" s="45">
        <v>1</v>
      </c>
      <c r="D5" s="45" t="str">
        <f>IFERROR(IF(INDEX('01.25'!D2:D500, MATCH(B5&amp;C5, INDEX('01.25'!B2:B500&amp;'01.25'!C2:C500, 0), 0))="", "", INDEX('01.25'!D2:D500, MATCH(B5&amp;C5, INDEX('01.25'!B2:B500&amp;'01.25'!C2:C500, 0), 0))), "")</f>
        <v>Marcos Gabriel Franciosi Borges</v>
      </c>
      <c r="E5" s="107" t="s">
        <v>16</v>
      </c>
      <c r="F5" s="45" t="s">
        <v>175</v>
      </c>
      <c r="G5" s="52" t="s">
        <v>131</v>
      </c>
      <c r="H5" s="45" t="s">
        <v>149</v>
      </c>
      <c r="I5" s="45"/>
      <c r="J5" s="45" t="s">
        <v>140</v>
      </c>
      <c r="K5" s="45"/>
    </row>
    <row r="6" spans="1:11" hidden="1" x14ac:dyDescent="0.25">
      <c r="A6" s="47" t="s">
        <v>28</v>
      </c>
      <c r="B6" s="45" t="s">
        <v>89</v>
      </c>
      <c r="C6" s="45">
        <v>1</v>
      </c>
      <c r="D6" s="45" t="str">
        <f>IFERROR(IF(INDEX('01.25'!D2:D500, MATCH(B6&amp;C6, INDEX('01.25'!B2:B500&amp;'01.25'!C2:C500, 0), 0))="", "", INDEX('01.25'!D2:D500, MATCH(B6&amp;C6, INDEX('01.25'!B2:B500&amp;'01.25'!C2:C500, 0), 0))), "")</f>
        <v>Chayla Bianca Gazoli</v>
      </c>
      <c r="E6" s="107" t="s">
        <v>16</v>
      </c>
      <c r="F6" s="45" t="s">
        <v>260</v>
      </c>
      <c r="G6" s="52" t="s">
        <v>131</v>
      </c>
      <c r="H6" s="45" t="s">
        <v>149</v>
      </c>
      <c r="I6" s="45"/>
      <c r="J6" s="45" t="s">
        <v>140</v>
      </c>
      <c r="K6" s="45"/>
    </row>
    <row r="7" spans="1:11" hidden="1" x14ac:dyDescent="0.25">
      <c r="A7" s="48" t="s">
        <v>38</v>
      </c>
      <c r="B7" s="45" t="s">
        <v>84</v>
      </c>
      <c r="C7" s="45">
        <v>1</v>
      </c>
      <c r="D7" s="45" t="str">
        <f>IFERROR(IF(INDEX('01.25'!D2:D500, MATCH(B7&amp;C7, INDEX('01.25'!B2:B500&amp;'01.25'!C2:C500, 0), 0))="", "", INDEX('01.25'!D2:D500, MATCH(B7&amp;C7, INDEX('01.25'!B2:B500&amp;'01.25'!C2:C500, 0), 0))), "")</f>
        <v>Solange Maria Masqueti</v>
      </c>
      <c r="E7" s="107" t="s">
        <v>16</v>
      </c>
      <c r="F7" s="45" t="s">
        <v>217</v>
      </c>
      <c r="G7" s="46" t="s">
        <v>140</v>
      </c>
      <c r="H7" s="45"/>
      <c r="I7" s="45"/>
      <c r="J7" s="45" t="s">
        <v>140</v>
      </c>
      <c r="K7" s="45"/>
    </row>
    <row r="8" spans="1:11" hidden="1" x14ac:dyDescent="0.25">
      <c r="A8" s="48" t="s">
        <v>38</v>
      </c>
      <c r="B8" s="45" t="s">
        <v>79</v>
      </c>
      <c r="C8" s="45">
        <v>1</v>
      </c>
      <c r="D8" s="45" t="str">
        <f>IFERROR(IF(INDEX('01.25'!D2:D500, MATCH(B8&amp;C8, INDEX('01.25'!B2:B500&amp;'01.25'!C2:C500, 0), 0))="", "", INDEX('01.25'!D2:D500, MATCH(B8&amp;C8, INDEX('01.25'!B2:B500&amp;'01.25'!C2:C500, 0), 0))), "")</f>
        <v>Cristiane Petry Vieira</v>
      </c>
      <c r="E8" s="107" t="s">
        <v>16</v>
      </c>
      <c r="F8" s="45" t="s">
        <v>209</v>
      </c>
      <c r="G8" s="46" t="s">
        <v>140</v>
      </c>
      <c r="H8" s="45"/>
      <c r="I8" s="45"/>
      <c r="J8" s="45" t="s">
        <v>140</v>
      </c>
      <c r="K8" s="45"/>
    </row>
    <row r="9" spans="1:11" ht="28.5" hidden="1" customHeight="1" x14ac:dyDescent="0.25">
      <c r="A9" s="47" t="s">
        <v>28</v>
      </c>
      <c r="B9" s="45" t="s">
        <v>90</v>
      </c>
      <c r="C9" s="45">
        <v>1</v>
      </c>
      <c r="D9" s="45" t="str">
        <f>IFERROR(IF(INDEX('01.25'!D2:D500, MATCH(B9&amp;C9, INDEX('01.25'!B2:B500&amp;'01.25'!C2:C500, 0), 0))="", "", INDEX('01.25'!D2:D500, MATCH(B9&amp;C9, INDEX('01.25'!B2:B500&amp;'01.25'!C2:C500, 0), 0))), "")</f>
        <v>Diego Hemerich</v>
      </c>
      <c r="E9" s="107" t="s">
        <v>16</v>
      </c>
      <c r="F9" s="45" t="s">
        <v>217</v>
      </c>
      <c r="G9" s="52" t="s">
        <v>131</v>
      </c>
      <c r="H9" s="57" t="s">
        <v>385</v>
      </c>
      <c r="I9" s="45"/>
      <c r="J9" s="45" t="s">
        <v>140</v>
      </c>
      <c r="K9" s="45"/>
    </row>
    <row r="10" spans="1:11" hidden="1" x14ac:dyDescent="0.25">
      <c r="A10" s="49" t="s">
        <v>43</v>
      </c>
      <c r="B10" s="45" t="s">
        <v>125</v>
      </c>
      <c r="C10" s="45">
        <v>1</v>
      </c>
      <c r="D10" s="45" t="str">
        <f>IFERROR(IF(INDEX('01.25'!D2:D500, MATCH(B10&amp;C10, INDEX('01.25'!B2:B500&amp;'01.25'!C2:C500, 0), 0))="", "", INDEX('01.25'!D2:D500, MATCH(B10&amp;C10, INDEX('01.25'!B2:B500&amp;'01.25'!C2:C500, 0), 0))), "")</f>
        <v>Tatiane Girardi</v>
      </c>
      <c r="E10" s="109" t="s">
        <v>19</v>
      </c>
      <c r="F10" s="45" t="s">
        <v>386</v>
      </c>
      <c r="G10" s="46" t="s">
        <v>131</v>
      </c>
      <c r="H10" s="45" t="s">
        <v>287</v>
      </c>
      <c r="I10" s="45"/>
      <c r="J10" s="45" t="s">
        <v>140</v>
      </c>
      <c r="K10" s="45"/>
    </row>
    <row r="11" spans="1:11" hidden="1" x14ac:dyDescent="0.25">
      <c r="A11" s="49" t="s">
        <v>43</v>
      </c>
      <c r="B11" s="45" t="s">
        <v>126</v>
      </c>
      <c r="C11" s="45">
        <v>1</v>
      </c>
      <c r="D11" s="45" t="str">
        <f>IFERROR(IF(INDEX('01.25'!D2:D500, MATCH(B11&amp;C11, INDEX('01.25'!B2:B500&amp;'01.25'!C2:C500, 0), 0))="", "", INDEX('01.25'!D2:D500, MATCH(B11&amp;C11, INDEX('01.25'!B2:B500&amp;'01.25'!C2:C500, 0), 0))), "")</f>
        <v>Edson Batista de Castro</v>
      </c>
      <c r="E11" s="107" t="s">
        <v>16</v>
      </c>
      <c r="F11" s="45" t="s">
        <v>289</v>
      </c>
      <c r="G11" s="46" t="s">
        <v>131</v>
      </c>
      <c r="H11" s="45" t="s">
        <v>684</v>
      </c>
      <c r="I11" s="45"/>
      <c r="J11" s="45" t="s">
        <v>140</v>
      </c>
      <c r="K11" s="45"/>
    </row>
    <row r="12" spans="1:11" hidden="1" x14ac:dyDescent="0.25">
      <c r="A12" s="49" t="s">
        <v>43</v>
      </c>
      <c r="B12" s="45" t="s">
        <v>126</v>
      </c>
      <c r="C12" s="45">
        <v>2</v>
      </c>
      <c r="D12" s="45" t="str">
        <f>IFERROR(IF(INDEX('01.25'!D2:D500, MATCH(B12&amp;C12, INDEX('01.25'!B2:B500&amp;'01.25'!C2:C500, 0), 0))="", "", INDEX('01.25'!D2:D500, MATCH(B12&amp;C12, INDEX('01.25'!B2:B500&amp;'01.25'!C2:C500, 0), 0))), "")</f>
        <v>Gabriela Fernanda Sandri</v>
      </c>
      <c r="E12" s="107" t="s">
        <v>16</v>
      </c>
      <c r="F12" s="45" t="s">
        <v>291</v>
      </c>
      <c r="G12" s="46" t="s">
        <v>131</v>
      </c>
      <c r="H12" s="45" t="s">
        <v>149</v>
      </c>
      <c r="I12" s="45"/>
      <c r="J12" s="45" t="s">
        <v>140</v>
      </c>
      <c r="K12" s="45"/>
    </row>
    <row r="13" spans="1:11" hidden="1" x14ac:dyDescent="0.25">
      <c r="A13" s="49" t="s">
        <v>43</v>
      </c>
      <c r="B13" s="45" t="s">
        <v>126</v>
      </c>
      <c r="C13" s="45">
        <v>3</v>
      </c>
      <c r="D13" s="45" t="str">
        <f>IFERROR(IF(INDEX('01.25'!D2:D500, MATCH(B13&amp;C13, INDEX('01.25'!B2:B500&amp;'01.25'!C2:C500, 0), 0))="", "", INDEX('01.25'!D2:D500, MATCH(B13&amp;C13, INDEX('01.25'!B2:B500&amp;'01.25'!C2:C500, 0), 0))), "")</f>
        <v>Eduarda Rohden Donasolo</v>
      </c>
      <c r="E13" s="107" t="s">
        <v>16</v>
      </c>
      <c r="F13" s="45" t="s">
        <v>229</v>
      </c>
      <c r="G13" s="46" t="s">
        <v>131</v>
      </c>
      <c r="H13" s="45" t="s">
        <v>149</v>
      </c>
      <c r="I13" s="45"/>
      <c r="J13" s="45" t="s">
        <v>140</v>
      </c>
      <c r="K13" s="45"/>
    </row>
    <row r="14" spans="1:11" hidden="1" x14ac:dyDescent="0.25">
      <c r="A14" s="49" t="s">
        <v>43</v>
      </c>
      <c r="B14" s="45" t="s">
        <v>126</v>
      </c>
      <c r="C14" s="45">
        <v>4</v>
      </c>
      <c r="D14" s="45" t="str">
        <f>IFERROR(IF(INDEX('01.25'!D2:D500, MATCH(B14&amp;C14, INDEX('01.25'!B2:B500&amp;'01.25'!C2:C500, 0), 0))="", "", INDEX('01.25'!D2:D500, MATCH(B14&amp;C14, INDEX('01.25'!B2:B500&amp;'01.25'!C2:C500, 0), 0))), "")</f>
        <v>Mauricio Pinto de Lima</v>
      </c>
      <c r="E14" s="106" t="s">
        <v>18</v>
      </c>
      <c r="F14" s="45"/>
      <c r="G14" s="46" t="s">
        <v>131</v>
      </c>
      <c r="H14" s="45" t="s">
        <v>682</v>
      </c>
      <c r="I14" s="45"/>
      <c r="J14" s="45" t="s">
        <v>140</v>
      </c>
      <c r="K14" s="45"/>
    </row>
    <row r="15" spans="1:11" hidden="1" x14ac:dyDescent="0.25">
      <c r="A15" s="49" t="s">
        <v>43</v>
      </c>
      <c r="B15" s="45" t="s">
        <v>126</v>
      </c>
      <c r="C15" s="45">
        <v>5</v>
      </c>
      <c r="D15" s="45" t="str">
        <f>IFERROR(IF(INDEX('01.25'!D2:D500, MATCH(B15&amp;C15, INDEX('01.25'!B2:B500&amp;'01.25'!C2:C500, 0), 0))="", "", INDEX('01.25'!D2:D500, MATCH(B15&amp;C15, INDEX('01.25'!B2:B500&amp;'01.25'!C2:C500, 0), 0))), "")</f>
        <v xml:space="preserve">Débora Laize Lampert Gnass </v>
      </c>
      <c r="E15" s="107" t="s">
        <v>16</v>
      </c>
      <c r="F15" s="45" t="s">
        <v>387</v>
      </c>
      <c r="G15" s="46" t="s">
        <v>131</v>
      </c>
      <c r="H15" s="45" t="s">
        <v>685</v>
      </c>
      <c r="I15" s="45"/>
      <c r="J15" s="45" t="s">
        <v>140</v>
      </c>
      <c r="K15" s="45"/>
    </row>
    <row r="16" spans="1:11" hidden="1" x14ac:dyDescent="0.25">
      <c r="A16" s="49" t="s">
        <v>43</v>
      </c>
      <c r="B16" s="45" t="s">
        <v>126</v>
      </c>
      <c r="C16" s="45">
        <v>6</v>
      </c>
      <c r="D16" s="45" t="str">
        <f>IFERROR(IF(INDEX('01.25'!D2:D500, MATCH(B16&amp;C16, INDEX('01.25'!B2:B500&amp;'01.25'!C2:C500, 0), 0))="", "", INDEX('01.25'!D2:D500, MATCH(B16&amp;C16, INDEX('01.25'!B2:B500&amp;'01.25'!C2:C500, 0), 0))), "")</f>
        <v/>
      </c>
      <c r="E16" s="107" t="s">
        <v>16</v>
      </c>
      <c r="F16" s="45" t="s">
        <v>388</v>
      </c>
      <c r="G16" s="46" t="s">
        <v>131</v>
      </c>
      <c r="H16" s="45" t="s">
        <v>686</v>
      </c>
      <c r="I16" s="45"/>
      <c r="J16" s="45" t="s">
        <v>140</v>
      </c>
      <c r="K16" s="45"/>
    </row>
    <row r="17" spans="1:11" hidden="1" x14ac:dyDescent="0.25">
      <c r="A17" s="47" t="s">
        <v>28</v>
      </c>
      <c r="B17" s="45" t="s">
        <v>91</v>
      </c>
      <c r="C17" s="45">
        <v>1</v>
      </c>
      <c r="D17" s="45" t="str">
        <f>IFERROR(IF(INDEX('01.25'!D2:D500, MATCH(B17&amp;C17, INDEX('01.25'!B2:B500&amp;'01.25'!C2:C500, 0), 0))="", "", INDEX('01.25'!D2:D500, MATCH(B17&amp;C17, INDEX('01.25'!B2:B500&amp;'01.25'!C2:C500, 0), 0))), "")</f>
        <v>Cristina Harumi Enokida</v>
      </c>
      <c r="E17" s="107" t="s">
        <v>16</v>
      </c>
      <c r="F17" s="45" t="s">
        <v>346</v>
      </c>
      <c r="G17" s="52" t="s">
        <v>131</v>
      </c>
      <c r="H17" s="45" t="s">
        <v>149</v>
      </c>
      <c r="I17" s="45"/>
      <c r="J17" s="45" t="s">
        <v>140</v>
      </c>
      <c r="K17" s="45"/>
    </row>
    <row r="18" spans="1:11" hidden="1" x14ac:dyDescent="0.25">
      <c r="A18" s="49" t="s">
        <v>43</v>
      </c>
      <c r="B18" s="45" t="s">
        <v>127</v>
      </c>
      <c r="C18" s="45">
        <v>1</v>
      </c>
      <c r="D18" s="45" t="str">
        <f>IFERROR(IF(INDEX('01.25'!D2:D500, MATCH(B18&amp;C18, INDEX('01.25'!B2:B500&amp;'01.25'!C2:C500, 0), 0))="", "", INDEX('01.25'!D2:D500, MATCH(B18&amp;C18, INDEX('01.25'!B2:B500&amp;'01.25'!C2:C500, 0), 0))), "")</f>
        <v>Douglas de Mattia</v>
      </c>
      <c r="E18" s="107" t="s">
        <v>16</v>
      </c>
      <c r="F18" s="45" t="s">
        <v>299</v>
      </c>
      <c r="G18" s="52" t="s">
        <v>131</v>
      </c>
      <c r="H18" s="45" t="s">
        <v>389</v>
      </c>
      <c r="I18" s="45" t="s">
        <v>390</v>
      </c>
      <c r="J18" s="45" t="s">
        <v>131</v>
      </c>
      <c r="K18" s="45" t="s">
        <v>391</v>
      </c>
    </row>
    <row r="19" spans="1:11" hidden="1" x14ac:dyDescent="0.25">
      <c r="A19" s="47" t="s">
        <v>28</v>
      </c>
      <c r="B19" s="45" t="s">
        <v>92</v>
      </c>
      <c r="C19" s="45">
        <v>1</v>
      </c>
      <c r="D19" s="45" t="str">
        <f>IFERROR(IF(INDEX('01.25'!D2:D500, MATCH(B19&amp;C19, INDEX('01.25'!B2:B500&amp;'01.25'!C2:C500, 0), 0))="", "", INDEX('01.25'!D2:D500, MATCH(B19&amp;C19, INDEX('01.25'!B2:B500&amp;'01.25'!C2:C500, 0), 0))), "")</f>
        <v>Vanderson Pasetti</v>
      </c>
      <c r="E19" s="107" t="s">
        <v>16</v>
      </c>
      <c r="F19" s="45" t="s">
        <v>267</v>
      </c>
      <c r="G19" s="52" t="s">
        <v>131</v>
      </c>
      <c r="H19" s="45" t="s">
        <v>392</v>
      </c>
      <c r="I19" s="45"/>
      <c r="J19" s="45" t="s">
        <v>140</v>
      </c>
      <c r="K19" s="45"/>
    </row>
    <row r="20" spans="1:11" x14ac:dyDescent="0.25">
      <c r="A20" s="50" t="s">
        <v>42</v>
      </c>
      <c r="B20" s="45" t="s">
        <v>115</v>
      </c>
      <c r="C20" s="45">
        <v>1</v>
      </c>
      <c r="D20" s="45" t="str">
        <f>IFERROR(IF(INDEX('01.25'!D2:D500, MATCH(B20&amp;C20, INDEX('01.25'!B2:B500&amp;'01.25'!C2:C500, 0), 0))="", "", INDEX('01.25'!D2:D500, MATCH(B20&amp;C20, INDEX('01.25'!B2:B500&amp;'01.25'!C2:C500, 0), 0))), "")</f>
        <v>Bruna Schneider Guimarães</v>
      </c>
      <c r="E20" s="107" t="s">
        <v>16</v>
      </c>
      <c r="F20" s="45" t="s">
        <v>260</v>
      </c>
      <c r="G20" s="52" t="s">
        <v>131</v>
      </c>
      <c r="H20" s="45"/>
      <c r="I20" s="45"/>
      <c r="J20" s="45" t="s">
        <v>140</v>
      </c>
      <c r="K20" s="45"/>
    </row>
    <row r="21" spans="1:11" hidden="1" x14ac:dyDescent="0.25">
      <c r="A21" s="47" t="s">
        <v>28</v>
      </c>
      <c r="B21" s="45" t="s">
        <v>93</v>
      </c>
      <c r="C21" s="45">
        <v>1</v>
      </c>
      <c r="D21" s="45" t="str">
        <f>IFERROR(IF(INDEX('01.25'!D2:D500, MATCH(B21&amp;C21, INDEX('01.25'!B2:B500&amp;'01.25'!C2:C500, 0), 0))="", "", INDEX('01.25'!D2:D500, MATCH(B21&amp;C21, INDEX('01.25'!B2:B500&amp;'01.25'!C2:C500, 0), 0))), "")</f>
        <v>Keilla Avezedo</v>
      </c>
      <c r="E21" s="107" t="s">
        <v>16</v>
      </c>
      <c r="F21" s="45" t="s">
        <v>249</v>
      </c>
      <c r="G21" s="52" t="s">
        <v>131</v>
      </c>
      <c r="H21" s="45" t="s">
        <v>149</v>
      </c>
      <c r="I21" s="45"/>
      <c r="J21" s="45" t="s">
        <v>140</v>
      </c>
      <c r="K21" s="45"/>
    </row>
    <row r="22" spans="1:11" x14ac:dyDescent="0.25">
      <c r="A22" s="50" t="s">
        <v>42</v>
      </c>
      <c r="B22" s="45" t="s">
        <v>116</v>
      </c>
      <c r="C22" s="45">
        <v>1</v>
      </c>
      <c r="D22" s="45" t="str">
        <f>IFERROR(IF(INDEX('01.25'!D2:D500, MATCH(B22&amp;C22, INDEX('01.25'!B2:B500&amp;'01.25'!C2:C500, 0), 0))="", "", INDEX('01.25'!D2:D500, MATCH(B22&amp;C22, INDEX('01.25'!B2:B500&amp;'01.25'!C2:C500, 0), 0))), "")</f>
        <v>Carmen Maria Stein Weiler</v>
      </c>
      <c r="E22" s="107" t="s">
        <v>16</v>
      </c>
      <c r="F22" s="45" t="s">
        <v>393</v>
      </c>
      <c r="G22" s="46" t="s">
        <v>131</v>
      </c>
      <c r="H22" s="45"/>
      <c r="I22" s="45"/>
      <c r="J22" s="45" t="s">
        <v>140</v>
      </c>
      <c r="K22" s="45"/>
    </row>
    <row r="23" spans="1:11" hidden="1" x14ac:dyDescent="0.25">
      <c r="A23" s="48" t="s">
        <v>38</v>
      </c>
      <c r="B23" s="45" t="s">
        <v>75</v>
      </c>
      <c r="C23" s="45">
        <v>1</v>
      </c>
      <c r="D23" s="45" t="str">
        <f>IFERROR(IF(INDEX('01.25'!D2:D500, MATCH(B23&amp;C23, INDEX('01.25'!B2:B500&amp;'01.25'!C2:C500, 0), 0))="", "", INDEX('01.25'!D2:D500, MATCH(B23&amp;C23, INDEX('01.25'!B2:B500&amp;'01.25'!C2:C500, 0), 0))), "")</f>
        <v>Thiago Varaschim Cenci</v>
      </c>
      <c r="E23" s="106" t="s">
        <v>18</v>
      </c>
      <c r="F23" s="45"/>
      <c r="G23" s="46" t="s">
        <v>131</v>
      </c>
      <c r="H23" s="148" t="s">
        <v>703</v>
      </c>
      <c r="I23" s="45"/>
      <c r="J23" s="45" t="s">
        <v>140</v>
      </c>
      <c r="K23" s="45"/>
    </row>
    <row r="24" spans="1:11" hidden="1" x14ac:dyDescent="0.25">
      <c r="A24" s="51" t="s">
        <v>40</v>
      </c>
      <c r="B24" s="45" t="s">
        <v>80</v>
      </c>
      <c r="C24" s="45">
        <v>1</v>
      </c>
      <c r="D24" s="45" t="str">
        <f>IFERROR(IF(INDEX('01.25'!D2:D500, MATCH(B24&amp;C24, INDEX('01.25'!B2:B500&amp;'01.25'!C2:C500, 0), 0))="", "", INDEX('01.25'!D2:D500, MATCH(B24&amp;C24, INDEX('01.25'!B2:B500&amp;'01.25'!C2:C500, 0), 0))), "")</f>
        <v>Éber Alexandre Nascimento Araújo</v>
      </c>
      <c r="E24" s="108" t="s">
        <v>21</v>
      </c>
      <c r="F24" s="45"/>
      <c r="G24" s="52" t="s">
        <v>131</v>
      </c>
      <c r="H24" s="45"/>
      <c r="I24" s="45"/>
      <c r="J24" s="45" t="s">
        <v>140</v>
      </c>
      <c r="K24" s="45"/>
    </row>
    <row r="25" spans="1:11" hidden="1" x14ac:dyDescent="0.25">
      <c r="A25" s="51" t="s">
        <v>40</v>
      </c>
      <c r="B25" s="45" t="s">
        <v>80</v>
      </c>
      <c r="C25" s="45">
        <v>2</v>
      </c>
      <c r="D25" s="45" t="str">
        <f>IFERROR(IF(INDEX('01.25'!D2:D500, MATCH(B25&amp;C25, INDEX('01.25'!B2:B500&amp;'01.25'!C2:C500, 0), 0))="", "", INDEX('01.25'!D2:D500, MATCH(B25&amp;C25, INDEX('01.25'!B2:B500&amp;'01.25'!C2:C500, 0), 0))), "")</f>
        <v>Andrea Carla Winkelmann</v>
      </c>
      <c r="E25" s="107" t="s">
        <v>16</v>
      </c>
      <c r="F25" s="45" t="s">
        <v>249</v>
      </c>
      <c r="G25" s="52" t="s">
        <v>131</v>
      </c>
      <c r="H25" s="45"/>
      <c r="I25" s="45"/>
      <c r="J25" s="45" t="s">
        <v>140</v>
      </c>
      <c r="K25" s="45"/>
    </row>
    <row r="26" spans="1:11" hidden="1" x14ac:dyDescent="0.25">
      <c r="A26" s="51" t="s">
        <v>40</v>
      </c>
      <c r="B26" s="45" t="s">
        <v>80</v>
      </c>
      <c r="C26" s="45">
        <v>3</v>
      </c>
      <c r="D26" s="45" t="str">
        <f>IFERROR(IF(INDEX('01.25'!D2:D500, MATCH(B26&amp;C26, INDEX('01.25'!B2:B500&amp;'01.25'!C2:C500, 0), 0))="", "", INDEX('01.25'!D2:D500, MATCH(B26&amp;C26, INDEX('01.25'!B2:B500&amp;'01.25'!C2:C500, 0), 0))), "")</f>
        <v>Lorizete de Andrade</v>
      </c>
      <c r="E26" s="107" t="s">
        <v>16</v>
      </c>
      <c r="F26" s="45" t="s">
        <v>209</v>
      </c>
      <c r="G26" s="52" t="s">
        <v>131</v>
      </c>
      <c r="H26" s="45" t="s">
        <v>394</v>
      </c>
      <c r="I26" s="45"/>
      <c r="J26" s="45" t="s">
        <v>140</v>
      </c>
      <c r="K26" s="45"/>
    </row>
    <row r="27" spans="1:11" hidden="1" x14ac:dyDescent="0.25">
      <c r="A27" s="51" t="s">
        <v>40</v>
      </c>
      <c r="B27" s="45" t="s">
        <v>80</v>
      </c>
      <c r="C27" s="45">
        <v>4</v>
      </c>
      <c r="D27" s="45" t="str">
        <f>IFERROR(IF(INDEX('01.25'!D2:D500, MATCH(B27&amp;C27, INDEX('01.25'!B2:B500&amp;'01.25'!C2:C500, 0), 0))="", "", INDEX('01.25'!D2:D500, MATCH(B27&amp;C27, INDEX('01.25'!B2:B500&amp;'01.25'!C2:C500, 0), 0))), "")</f>
        <v>Andressa Maia</v>
      </c>
      <c r="E27" s="107" t="s">
        <v>16</v>
      </c>
      <c r="F27" s="45" t="s">
        <v>217</v>
      </c>
      <c r="G27" s="52" t="s">
        <v>131</v>
      </c>
      <c r="H27" s="45"/>
      <c r="I27" s="45"/>
      <c r="J27" s="45" t="s">
        <v>140</v>
      </c>
      <c r="K27" s="45"/>
    </row>
    <row r="28" spans="1:11" hidden="1" x14ac:dyDescent="0.25">
      <c r="A28" s="51" t="s">
        <v>40</v>
      </c>
      <c r="B28" s="45" t="s">
        <v>80</v>
      </c>
      <c r="C28" s="45">
        <v>5</v>
      </c>
      <c r="D28" s="45" t="str">
        <f>IFERROR(IF(INDEX('01.25'!D2:D500, MATCH(B28&amp;C28, INDEX('01.25'!B2:B500&amp;'01.25'!C2:C500, 0), 0))="", "", INDEX('01.25'!D2:D500, MATCH(B28&amp;C28, INDEX('01.25'!B2:B500&amp;'01.25'!C2:C500, 0), 0))), "")</f>
        <v>Lucas Correia de Souza</v>
      </c>
      <c r="E28" s="107" t="s">
        <v>16</v>
      </c>
      <c r="F28" s="45" t="s">
        <v>243</v>
      </c>
      <c r="G28" s="52" t="s">
        <v>131</v>
      </c>
      <c r="H28" s="45" t="s">
        <v>395</v>
      </c>
      <c r="I28" s="45" t="s">
        <v>396</v>
      </c>
      <c r="J28" s="45" t="s">
        <v>131</v>
      </c>
      <c r="K28" s="45" t="s">
        <v>397</v>
      </c>
    </row>
    <row r="29" spans="1:11" hidden="1" x14ac:dyDescent="0.25">
      <c r="A29" s="51" t="s">
        <v>40</v>
      </c>
      <c r="B29" s="45" t="s">
        <v>80</v>
      </c>
      <c r="C29" s="45">
        <v>6</v>
      </c>
      <c r="D29" s="45" t="str">
        <f>IFERROR(IF(INDEX('01.25'!D2:D500, MATCH(B29&amp;C29, INDEX('01.25'!B2:B500&amp;'01.25'!C2:C500, 0), 0))="", "", INDEX('01.25'!D2:D500, MATCH(B29&amp;C29, INDEX('01.25'!B2:B500&amp;'01.25'!C2:C500, 0), 0))), "")</f>
        <v>Jose Francisco Mariano de Faria Filho</v>
      </c>
      <c r="E29" s="107" t="s">
        <v>16</v>
      </c>
      <c r="F29" s="45" t="s">
        <v>209</v>
      </c>
      <c r="G29" s="52" t="s">
        <v>131</v>
      </c>
      <c r="H29" s="45" t="s">
        <v>394</v>
      </c>
      <c r="I29" s="45"/>
      <c r="J29" s="45" t="s">
        <v>140</v>
      </c>
      <c r="K29" s="45"/>
    </row>
    <row r="30" spans="1:11" hidden="1" x14ac:dyDescent="0.25">
      <c r="A30" s="51" t="s">
        <v>40</v>
      </c>
      <c r="B30" s="45" t="s">
        <v>80</v>
      </c>
      <c r="C30" s="45">
        <v>7</v>
      </c>
      <c r="D30" s="45" t="str">
        <f>IFERROR(IF(INDEX('01.25'!D2:D500, MATCH(B30&amp;C30, INDEX('01.25'!B2:B500&amp;'01.25'!C2:C500, 0), 0))="", "", INDEX('01.25'!D2:D500, MATCH(B30&amp;C30, INDEX('01.25'!B2:B500&amp;'01.25'!C2:C500, 0), 0))), "")</f>
        <v>Pedro Henrique Mariano de Faria</v>
      </c>
      <c r="E30" s="107" t="s">
        <v>16</v>
      </c>
      <c r="F30" s="45" t="s">
        <v>209</v>
      </c>
      <c r="G30" s="52" t="s">
        <v>131</v>
      </c>
      <c r="H30" s="45" t="s">
        <v>398</v>
      </c>
      <c r="I30" s="45"/>
      <c r="J30" s="45" t="s">
        <v>140</v>
      </c>
      <c r="K30" s="45"/>
    </row>
    <row r="31" spans="1:11" hidden="1" x14ac:dyDescent="0.25">
      <c r="A31" s="51" t="s">
        <v>40</v>
      </c>
      <c r="B31" s="45" t="s">
        <v>80</v>
      </c>
      <c r="C31" s="45">
        <v>8</v>
      </c>
      <c r="D31" s="45" t="str">
        <f>IFERROR(IF(INDEX('01.25'!D2:D500, MATCH(B31&amp;C31, INDEX('01.25'!B2:B500&amp;'01.25'!C2:C500, 0), 0))="", "", INDEX('01.25'!D2:D500, MATCH(B31&amp;C31, INDEX('01.25'!B2:B500&amp;'01.25'!C2:C500, 0), 0))), "")</f>
        <v>Renata Aparecida de Souza</v>
      </c>
      <c r="E31" s="107" t="s">
        <v>16</v>
      </c>
      <c r="F31" s="45" t="s">
        <v>217</v>
      </c>
      <c r="G31" s="52" t="s">
        <v>131</v>
      </c>
      <c r="H31" s="45"/>
      <c r="I31" s="45"/>
      <c r="J31" s="45" t="s">
        <v>140</v>
      </c>
      <c r="K31" s="45"/>
    </row>
    <row r="32" spans="1:11" hidden="1" x14ac:dyDescent="0.25">
      <c r="A32" s="51" t="s">
        <v>40</v>
      </c>
      <c r="B32" s="45" t="s">
        <v>80</v>
      </c>
      <c r="C32" s="45">
        <v>9</v>
      </c>
      <c r="D32" s="45" t="str">
        <f>IFERROR(IF(INDEX('01.25'!D2:D500, MATCH(B32&amp;C32, INDEX('01.25'!B2:B500&amp;'01.25'!C2:C500, 0), 0))="", "", INDEX('01.25'!D2:D500, MATCH(B32&amp;C32, INDEX('01.25'!B2:B500&amp;'01.25'!C2:C500, 0), 0))), "")</f>
        <v>Maria Eduarda dos Santos Arias</v>
      </c>
      <c r="E32" s="108" t="s">
        <v>21</v>
      </c>
      <c r="F32" s="45"/>
      <c r="G32" s="52" t="s">
        <v>131</v>
      </c>
      <c r="H32" s="45"/>
      <c r="I32" s="45"/>
      <c r="J32" s="45" t="s">
        <v>140</v>
      </c>
      <c r="K32" s="45"/>
    </row>
    <row r="33" spans="1:11" hidden="1" x14ac:dyDescent="0.25">
      <c r="A33" s="44" t="s">
        <v>36</v>
      </c>
      <c r="B33" s="45" t="s">
        <v>98</v>
      </c>
      <c r="C33" s="45">
        <v>1</v>
      </c>
      <c r="D33" s="45" t="str">
        <f>IFERROR(IF(INDEX('01.25'!D2:D500, MATCH(B33&amp;C33, INDEX('01.25'!B2:B500&amp;'01.25'!C2:C500, 0), 0))="", "", INDEX('01.25'!D2:D500, MATCH(B33&amp;C33, INDEX('01.25'!B2:B500&amp;'01.25'!C2:C500, 0), 0))), "")</f>
        <v>Paulo Rogerio Hiroshi Fujii</v>
      </c>
      <c r="E33" s="107" t="s">
        <v>16</v>
      </c>
      <c r="F33" s="45" t="s">
        <v>175</v>
      </c>
      <c r="G33" s="46" t="s">
        <v>140</v>
      </c>
      <c r="H33" s="45"/>
      <c r="I33" s="45"/>
      <c r="J33" s="45" t="s">
        <v>140</v>
      </c>
      <c r="K33" s="45"/>
    </row>
    <row r="34" spans="1:11" hidden="1" x14ac:dyDescent="0.25">
      <c r="A34" s="44" t="s">
        <v>36</v>
      </c>
      <c r="B34" s="45" t="s">
        <v>99</v>
      </c>
      <c r="C34" s="45">
        <v>1</v>
      </c>
      <c r="D34" s="45" t="str">
        <f>IFERROR(IF(INDEX('01.25'!D2:D500, MATCH(B34&amp;C34, INDEX('01.25'!B2:B500&amp;'01.25'!C2:C500, 0), 0))="", "", INDEX('01.25'!D2:D500, MATCH(B34&amp;C34, INDEX('01.25'!B2:B500&amp;'01.25'!C2:C500, 0), 0))), "")</f>
        <v>Marlene R. Oliveira Dallacosta</v>
      </c>
      <c r="E34" s="107" t="s">
        <v>16</v>
      </c>
      <c r="F34" s="45" t="s">
        <v>188</v>
      </c>
      <c r="G34" s="46" t="s">
        <v>140</v>
      </c>
      <c r="H34" s="45"/>
      <c r="I34" s="45"/>
      <c r="J34" s="45" t="s">
        <v>140</v>
      </c>
      <c r="K34" s="45"/>
    </row>
    <row r="35" spans="1:11" hidden="1" x14ac:dyDescent="0.25">
      <c r="A35" s="47" t="s">
        <v>28</v>
      </c>
      <c r="B35" s="45" t="s">
        <v>94</v>
      </c>
      <c r="C35" s="45">
        <v>1</v>
      </c>
      <c r="D35" s="45" t="str">
        <f>IFERROR(IF(INDEX('01.25'!D2:D500, MATCH(B35&amp;C35, INDEX('01.25'!B2:B500&amp;'01.25'!C2:C500, 0), 0))="", "", INDEX('01.25'!D2:D500, MATCH(B35&amp;C35, INDEX('01.25'!B2:B500&amp;'01.25'!C2:C500, 0), 0))), "")</f>
        <v>Vitolor dos Santos Almeida</v>
      </c>
      <c r="E35" s="107" t="s">
        <v>16</v>
      </c>
      <c r="F35" s="45" t="s">
        <v>399</v>
      </c>
      <c r="G35" s="52" t="s">
        <v>131</v>
      </c>
      <c r="H35" s="45" t="s">
        <v>149</v>
      </c>
      <c r="I35" s="45" t="s">
        <v>400</v>
      </c>
      <c r="J35" s="45" t="s">
        <v>131</v>
      </c>
      <c r="K35" s="45" t="s">
        <v>401</v>
      </c>
    </row>
    <row r="36" spans="1:11" hidden="1" x14ac:dyDescent="0.25">
      <c r="A36" s="47" t="s">
        <v>28</v>
      </c>
      <c r="B36" s="45" t="s">
        <v>95</v>
      </c>
      <c r="C36" s="45">
        <v>1</v>
      </c>
      <c r="D36" s="45" t="str">
        <f>IFERROR(IF(INDEX('01.25'!D2:D500, MATCH(B36&amp;C36, INDEX('01.25'!B2:B500&amp;'01.25'!C2:C500, 0), 0))="", "", INDEX('01.25'!D2:D500, MATCH(B36&amp;C36, INDEX('01.25'!B2:B500&amp;'01.25'!C2:C500, 0), 0))), "")</f>
        <v>Kelly Jackeline Silva do Valle</v>
      </c>
      <c r="E36" s="107" t="s">
        <v>16</v>
      </c>
      <c r="F36" s="45" t="s">
        <v>159</v>
      </c>
      <c r="G36" s="52" t="s">
        <v>131</v>
      </c>
      <c r="H36" s="45" t="s">
        <v>149</v>
      </c>
      <c r="I36" s="45"/>
      <c r="J36" s="45" t="s">
        <v>140</v>
      </c>
      <c r="K36" s="45"/>
    </row>
    <row r="37" spans="1:11" hidden="1" x14ac:dyDescent="0.25">
      <c r="A37" s="47" t="s">
        <v>28</v>
      </c>
      <c r="B37" s="45" t="s">
        <v>96</v>
      </c>
      <c r="C37" s="45">
        <v>1</v>
      </c>
      <c r="D37" s="45" t="str">
        <f>IFERROR(IF(INDEX('01.25'!D2:D500, MATCH(B37&amp;C37, INDEX('01.25'!B2:B500&amp;'01.25'!C2:C500, 0), 0))="", "", INDEX('01.25'!D2:D500, MATCH(B37&amp;C37, INDEX('01.25'!B2:B500&amp;'01.25'!C2:C500, 0), 0))), "")</f>
        <v>Felipe Carvalho Zydek</v>
      </c>
      <c r="E37" s="107" t="s">
        <v>16</v>
      </c>
      <c r="F37" s="45" t="s">
        <v>217</v>
      </c>
      <c r="G37" s="52" t="s">
        <v>131</v>
      </c>
      <c r="H37" s="45" t="s">
        <v>149</v>
      </c>
      <c r="I37" s="45"/>
      <c r="J37" s="45" t="s">
        <v>140</v>
      </c>
      <c r="K37" s="45"/>
    </row>
    <row r="38" spans="1:11" hidden="1" x14ac:dyDescent="0.25">
      <c r="A38" s="48" t="s">
        <v>38</v>
      </c>
      <c r="B38" s="45" t="s">
        <v>107</v>
      </c>
      <c r="C38" s="45">
        <v>1</v>
      </c>
      <c r="D38" s="45" t="str">
        <f>IFERROR(IF(INDEX('01.25'!D2:D500, MATCH(B38&amp;C38, INDEX('01.25'!B2:B500&amp;'01.25'!C2:C500, 0), 0))="", "", INDEX('01.25'!D2:D500, MATCH(B38&amp;C38, INDEX('01.25'!B2:B500&amp;'01.25'!C2:C500, 0), 0))), "")</f>
        <v>Eliane Borin</v>
      </c>
      <c r="E38" s="107" t="s">
        <v>16</v>
      </c>
      <c r="F38" s="45" t="s">
        <v>168</v>
      </c>
      <c r="G38" s="46" t="s">
        <v>131</v>
      </c>
      <c r="H38" s="45" t="s">
        <v>704</v>
      </c>
      <c r="I38" s="45"/>
      <c r="J38" s="45" t="s">
        <v>140</v>
      </c>
      <c r="K38" s="45"/>
    </row>
    <row r="39" spans="1:11" x14ac:dyDescent="0.25">
      <c r="A39" s="50" t="s">
        <v>42</v>
      </c>
      <c r="B39" s="45" t="s">
        <v>117</v>
      </c>
      <c r="C39" s="45">
        <v>1</v>
      </c>
      <c r="D39" s="45" t="str">
        <f>IFERROR(IF(INDEX('01.25'!D2:D500, MATCH(B39&amp;C39, INDEX('01.25'!B2:B500&amp;'01.25'!C2:C500, 0), 0))="", "", INDEX('01.25'!D2:D500, MATCH(B39&amp;C39, INDEX('01.25'!B2:B500&amp;'01.25'!C2:C500, 0), 0))), "")</f>
        <v>Tatiana schrard</v>
      </c>
      <c r="E39" s="107" t="s">
        <v>16</v>
      </c>
      <c r="F39" s="45" t="s">
        <v>258</v>
      </c>
      <c r="G39" s="46" t="s">
        <v>131</v>
      </c>
      <c r="H39" s="45"/>
      <c r="I39" s="45"/>
      <c r="J39" s="45" t="s">
        <v>140</v>
      </c>
      <c r="K39" s="45"/>
    </row>
    <row r="40" spans="1:11" hidden="1" x14ac:dyDescent="0.25">
      <c r="A40" s="48" t="s">
        <v>38</v>
      </c>
      <c r="B40" s="45" t="s">
        <v>81</v>
      </c>
      <c r="C40" s="45">
        <v>1</v>
      </c>
      <c r="D40" s="45" t="str">
        <f>IFERROR(IF(INDEX('01.25'!D2:D500, MATCH(B40&amp;C40, INDEX('01.25'!B2:B500&amp;'01.25'!C2:C500, 0), 0))="", "", INDEX('01.25'!D2:D500, MATCH(B40&amp;C40, INDEX('01.25'!B2:B500&amp;'01.25'!C2:C500, 0), 0))), "")</f>
        <v>César Piva Glinglani</v>
      </c>
      <c r="E40" s="107" t="s">
        <v>16</v>
      </c>
      <c r="F40" s="45" t="s">
        <v>402</v>
      </c>
      <c r="G40" s="46" t="s">
        <v>140</v>
      </c>
      <c r="H40" s="45"/>
      <c r="I40" s="45"/>
      <c r="J40" s="45" t="s">
        <v>140</v>
      </c>
      <c r="K40" s="45"/>
    </row>
    <row r="41" spans="1:11" hidden="1" x14ac:dyDescent="0.25">
      <c r="A41" s="49" t="s">
        <v>43</v>
      </c>
      <c r="B41" s="45" t="s">
        <v>128</v>
      </c>
      <c r="C41" s="45">
        <v>1</v>
      </c>
      <c r="D41" s="45" t="str">
        <f>IFERROR(IF(INDEX('01.25'!D2:D500, MATCH(B41&amp;C41, INDEX('01.25'!B2:B500&amp;'01.25'!C2:C500, 0), 0))="", "", INDEX('01.25'!D2:D500, MATCH(B41&amp;C41, INDEX('01.25'!B2:B500&amp;'01.25'!C2:C500, 0), 0))), "")</f>
        <v>Ailton Carlos Fialho</v>
      </c>
      <c r="E41" s="107" t="s">
        <v>16</v>
      </c>
      <c r="F41" s="45" t="s">
        <v>217</v>
      </c>
      <c r="G41" s="52" t="s">
        <v>131</v>
      </c>
      <c r="H41" s="45" t="s">
        <v>149</v>
      </c>
      <c r="I41" s="45"/>
      <c r="J41" s="45" t="s">
        <v>140</v>
      </c>
      <c r="K41" s="45"/>
    </row>
    <row r="42" spans="1:11" x14ac:dyDescent="0.25">
      <c r="A42" s="50" t="s">
        <v>42</v>
      </c>
      <c r="B42" s="45" t="s">
        <v>82</v>
      </c>
      <c r="C42" s="45">
        <v>1</v>
      </c>
      <c r="D42" s="45" t="str">
        <f>IFERROR(IF(INDEX('01.25'!D2:D500, MATCH(B42&amp;C42, INDEX('01.25'!B2:B500&amp;'01.25'!C2:C500, 0), 0))="", "", INDEX('01.25'!D2:D500, MATCH(B42&amp;C42, INDEX('01.25'!B2:B500&amp;'01.25'!C2:C500, 0), 0))), "")</f>
        <v>Marcos José Chaves</v>
      </c>
      <c r="E42" s="107" t="s">
        <v>16</v>
      </c>
      <c r="F42" s="45" t="s">
        <v>403</v>
      </c>
      <c r="G42" s="46" t="s">
        <v>131</v>
      </c>
      <c r="H42" s="45"/>
      <c r="I42" s="45"/>
      <c r="J42" s="45" t="s">
        <v>140</v>
      </c>
      <c r="K42" s="45"/>
    </row>
    <row r="43" spans="1:11" x14ac:dyDescent="0.25">
      <c r="A43" s="50" t="s">
        <v>42</v>
      </c>
      <c r="B43" s="45" t="s">
        <v>82</v>
      </c>
      <c r="C43" s="45">
        <v>2</v>
      </c>
      <c r="D43" s="45" t="str">
        <f>IFERROR(IF(INDEX('01.25'!D2:D500, MATCH(B43&amp;C43, INDEX('01.25'!B2:B500&amp;'01.25'!C2:C500, 0), 0))="", "", INDEX('01.25'!D2:D500, MATCH(B43&amp;C43, INDEX('01.25'!B2:B500&amp;'01.25'!C2:C500, 0), 0))), "")</f>
        <v>Diego Matheus Reinicke</v>
      </c>
      <c r="E43" s="107" t="s">
        <v>16</v>
      </c>
      <c r="F43" s="45" t="s">
        <v>404</v>
      </c>
      <c r="G43" s="46" t="s">
        <v>131</v>
      </c>
      <c r="H43" s="45"/>
      <c r="I43" s="45"/>
      <c r="J43" s="45" t="s">
        <v>140</v>
      </c>
      <c r="K43" s="45"/>
    </row>
    <row r="44" spans="1:11" hidden="1" x14ac:dyDescent="0.25">
      <c r="A44" s="48" t="s">
        <v>38</v>
      </c>
      <c r="B44" s="45" t="s">
        <v>76</v>
      </c>
      <c r="C44" s="45">
        <v>1</v>
      </c>
      <c r="D44" s="45" t="str">
        <f>IFERROR(IF(INDEX('01.25'!D2:D500, MATCH(B44&amp;C44, INDEX('01.25'!B2:B500&amp;'01.25'!C2:C500, 0), 0))="", "", INDEX('01.25'!D2:D500, MATCH(B44&amp;C44, INDEX('01.25'!B2:B500&amp;'01.25'!C2:C500, 0), 0))), "")</f>
        <v>Cleiton Manske</v>
      </c>
      <c r="E44" s="107" t="s">
        <v>16</v>
      </c>
      <c r="F44" s="45" t="s">
        <v>342</v>
      </c>
      <c r="G44" s="52" t="s">
        <v>131</v>
      </c>
      <c r="H44" s="45"/>
      <c r="I44" s="45"/>
      <c r="J44" s="45" t="s">
        <v>140</v>
      </c>
      <c r="K44" s="45"/>
    </row>
    <row r="45" spans="1:11" x14ac:dyDescent="0.25">
      <c r="A45" s="50" t="s">
        <v>42</v>
      </c>
      <c r="B45" s="45" t="s">
        <v>118</v>
      </c>
      <c r="C45" s="45">
        <v>1</v>
      </c>
      <c r="D45" s="45" t="str">
        <f>IFERROR(IF(INDEX('01.25'!D2:D500, MATCH(B45&amp;C45, INDEX('01.25'!B2:B500&amp;'01.25'!C2:C500, 0), 0))="", "", INDEX('01.25'!D2:D500, MATCH(B45&amp;C45, INDEX('01.25'!B2:B500&amp;'01.25'!C2:C500, 0), 0))), "")</f>
        <v>Alexandro Aparecido de Lima Vieira</v>
      </c>
      <c r="E45" s="107" t="s">
        <v>16</v>
      </c>
      <c r="F45" s="45" t="s">
        <v>209</v>
      </c>
      <c r="G45" s="52" t="s">
        <v>131</v>
      </c>
      <c r="H45" s="45"/>
      <c r="I45" s="45"/>
      <c r="J45" s="45" t="s">
        <v>140</v>
      </c>
      <c r="K45" s="45"/>
    </row>
    <row r="46" spans="1:11" hidden="1" x14ac:dyDescent="0.25">
      <c r="A46" s="51" t="s">
        <v>40</v>
      </c>
      <c r="B46" s="45" t="s">
        <v>111</v>
      </c>
      <c r="C46" s="45">
        <v>1</v>
      </c>
      <c r="D46" s="45" t="str">
        <f>IFERROR(IF(INDEX('01.25'!D2:D500, MATCH(B46&amp;C46, INDEX('01.25'!B2:B500&amp;'01.25'!C2:C500, 0), 0))="", "", INDEX('01.25'!D2:D500, MATCH(B46&amp;C46, INDEX('01.25'!B2:B500&amp;'01.25'!C2:C500, 0), 0))), "")</f>
        <v>Rafael Henrique Caetano</v>
      </c>
      <c r="E46" s="107" t="s">
        <v>16</v>
      </c>
      <c r="F46" s="45" t="s">
        <v>209</v>
      </c>
      <c r="G46" s="52" t="s">
        <v>131</v>
      </c>
      <c r="H46" s="45"/>
      <c r="I46" s="45"/>
      <c r="J46" s="45" t="s">
        <v>140</v>
      </c>
      <c r="K46" s="45"/>
    </row>
    <row r="47" spans="1:11" hidden="1" x14ac:dyDescent="0.25">
      <c r="A47" s="44" t="s">
        <v>36</v>
      </c>
      <c r="B47" s="45" t="s">
        <v>100</v>
      </c>
      <c r="C47" s="45">
        <v>1</v>
      </c>
      <c r="D47" s="45" t="str">
        <f>IFERROR(IF(INDEX('01.25'!D2:D500, MATCH(B47&amp;C47, INDEX('01.25'!B2:B500&amp;'01.25'!C2:C500, 0), 0))="", "", INDEX('01.25'!D2:D500, MATCH(B47&amp;C47, INDEX('01.25'!B2:B500&amp;'01.25'!C2:C500, 0), 0))), "")</f>
        <v>Roberto Pedron</v>
      </c>
      <c r="E47" s="107" t="s">
        <v>16</v>
      </c>
      <c r="F47" s="45" t="s">
        <v>209</v>
      </c>
      <c r="G47" s="46" t="s">
        <v>140</v>
      </c>
      <c r="H47" s="45"/>
      <c r="I47" s="45"/>
      <c r="J47" s="45" t="s">
        <v>140</v>
      </c>
      <c r="K47" s="45"/>
    </row>
    <row r="48" spans="1:11" x14ac:dyDescent="0.25">
      <c r="A48" s="50" t="s">
        <v>42</v>
      </c>
      <c r="B48" s="45" t="s">
        <v>119</v>
      </c>
      <c r="C48" s="45">
        <v>1</v>
      </c>
      <c r="D48" s="45" t="str">
        <f>IFERROR(IF(INDEX('01.25'!D2:D500, MATCH(B48&amp;C48, INDEX('01.25'!B2:B500&amp;'01.25'!C2:C500, 0), 0))="", "", INDEX('01.25'!D2:D500, MATCH(B48&amp;C48, INDEX('01.25'!B2:B500&amp;'01.25'!C2:C500, 0), 0))), "")</f>
        <v>Luciane Spies</v>
      </c>
      <c r="E48" s="107" t="s">
        <v>16</v>
      </c>
      <c r="F48" s="45" t="s">
        <v>249</v>
      </c>
      <c r="G48" s="52" t="s">
        <v>131</v>
      </c>
      <c r="H48" s="45"/>
      <c r="I48" s="45"/>
      <c r="J48" s="45" t="s">
        <v>140</v>
      </c>
      <c r="K48" s="45"/>
    </row>
    <row r="49" spans="1:11" hidden="1" x14ac:dyDescent="0.25">
      <c r="A49" s="44" t="s">
        <v>36</v>
      </c>
      <c r="B49" s="45" t="s">
        <v>77</v>
      </c>
      <c r="C49" s="45">
        <v>1</v>
      </c>
      <c r="D49" s="45" t="str">
        <f>IFERROR(IF(INDEX('01.25'!D2:D500, MATCH(B49&amp;C49, INDEX('01.25'!B2:B500&amp;'01.25'!C2:C500, 0), 0))="", "", INDEX('01.25'!D2:D500, MATCH(B49&amp;C49, INDEX('01.25'!B2:B500&amp;'01.25'!C2:C500, 0), 0))), "")</f>
        <v>Jaqueline Fernanda Meireles</v>
      </c>
      <c r="E49" s="107" t="s">
        <v>16</v>
      </c>
      <c r="F49" s="45" t="s">
        <v>350</v>
      </c>
      <c r="G49" s="52" t="s">
        <v>131</v>
      </c>
      <c r="H49" s="45" t="s">
        <v>149</v>
      </c>
      <c r="I49" s="45"/>
      <c r="J49" s="45" t="s">
        <v>140</v>
      </c>
      <c r="K49" s="45"/>
    </row>
    <row r="50" spans="1:11" hidden="1" x14ac:dyDescent="0.25">
      <c r="A50" s="48" t="s">
        <v>38</v>
      </c>
      <c r="B50" s="45" t="s">
        <v>108</v>
      </c>
      <c r="C50" s="45">
        <v>1</v>
      </c>
      <c r="D50" s="45" t="str">
        <f>IFERROR(IF(INDEX('01.25'!D2:D500, MATCH(B50&amp;C50, INDEX('01.25'!B2:B500&amp;'01.25'!C2:C500, 0), 0))="", "", INDEX('01.25'!D2:D500, MATCH(B50&amp;C50, INDEX('01.25'!B2:B500&amp;'01.25'!C2:C500, 0), 0))), "")</f>
        <v>Luiz Fernando Pereira Barbosa</v>
      </c>
      <c r="E50" s="107" t="s">
        <v>16</v>
      </c>
      <c r="F50" s="45" t="s">
        <v>405</v>
      </c>
      <c r="G50" s="46" t="s">
        <v>140</v>
      </c>
      <c r="H50" s="45"/>
      <c r="I50" s="45"/>
      <c r="J50" s="45" t="s">
        <v>140</v>
      </c>
      <c r="K50" s="45"/>
    </row>
    <row r="51" spans="1:11" hidden="1" x14ac:dyDescent="0.25">
      <c r="A51" s="44" t="s">
        <v>36</v>
      </c>
      <c r="B51" s="45" t="s">
        <v>101</v>
      </c>
      <c r="C51" s="45">
        <v>1</v>
      </c>
      <c r="D51" s="45" t="str">
        <f>IFERROR(IF(INDEX('01.25'!D2:D500, MATCH(B51&amp;C51, INDEX('01.25'!B2:B500&amp;'01.25'!C2:C500, 0), 0))="", "", INDEX('01.25'!D2:D500, MATCH(B51&amp;C51, INDEX('01.25'!B2:B500&amp;'01.25'!C2:C500, 0), 0))), "")</f>
        <v>Carolina Eggers</v>
      </c>
      <c r="E51" s="107" t="s">
        <v>16</v>
      </c>
      <c r="F51" s="45" t="s">
        <v>168</v>
      </c>
      <c r="G51" s="52" t="s">
        <v>131</v>
      </c>
      <c r="H51" s="45" t="s">
        <v>406</v>
      </c>
      <c r="I51" s="45"/>
      <c r="J51" s="45" t="s">
        <v>140</v>
      </c>
      <c r="K51" s="45"/>
    </row>
    <row r="52" spans="1:11" hidden="1" x14ac:dyDescent="0.25">
      <c r="A52" s="44" t="s">
        <v>36</v>
      </c>
      <c r="B52" s="45" t="s">
        <v>102</v>
      </c>
      <c r="C52" s="45">
        <v>1</v>
      </c>
      <c r="D52" s="45" t="str">
        <f>IFERROR(IF(INDEX('01.25'!D2:D500, MATCH(B52&amp;C52, INDEX('01.25'!B2:B500&amp;'01.25'!C2:C500, 0), 0))="", "", INDEX('01.25'!D2:D500, MATCH(B52&amp;C52, INDEX('01.25'!B2:B500&amp;'01.25'!C2:C500, 0), 0))), "")</f>
        <v>Ivan Gonçalves da Silva</v>
      </c>
      <c r="E52" s="107" t="s">
        <v>16</v>
      </c>
      <c r="F52" s="45" t="s">
        <v>154</v>
      </c>
      <c r="G52" s="52" t="s">
        <v>131</v>
      </c>
      <c r="H52" s="45"/>
      <c r="I52" s="45"/>
      <c r="J52" s="45" t="s">
        <v>140</v>
      </c>
      <c r="K52" s="45"/>
    </row>
    <row r="53" spans="1:11" hidden="1" x14ac:dyDescent="0.25">
      <c r="A53" s="48" t="s">
        <v>38</v>
      </c>
      <c r="B53" s="45" t="s">
        <v>83</v>
      </c>
      <c r="C53" s="45">
        <v>1</v>
      </c>
      <c r="D53" s="45" t="str">
        <f>IFERROR(IF(INDEX('01.25'!D2:D500, MATCH(B53&amp;C53, INDEX('01.25'!B2:B500&amp;'01.25'!C2:C500, 0), 0))="", "", INDEX('01.25'!D2:D500, MATCH(B53&amp;C53, INDEX('01.25'!B2:B500&amp;'01.25'!C2:C500, 0), 0))), "")</f>
        <v>Dorival Manoel Canhete</v>
      </c>
      <c r="E53" s="107" t="s">
        <v>16</v>
      </c>
      <c r="F53" s="45" t="s">
        <v>407</v>
      </c>
      <c r="G53" s="46" t="s">
        <v>140</v>
      </c>
      <c r="H53" s="45"/>
      <c r="I53" s="45"/>
      <c r="J53" s="45" t="s">
        <v>140</v>
      </c>
      <c r="K53" s="45"/>
    </row>
    <row r="54" spans="1:11" x14ac:dyDescent="0.25">
      <c r="A54" s="50" t="s">
        <v>42</v>
      </c>
      <c r="B54" s="45" t="s">
        <v>120</v>
      </c>
      <c r="C54" s="45">
        <v>1</v>
      </c>
      <c r="D54" s="45" t="str">
        <f>IFERROR(IF(INDEX('01.25'!D2:D500, MATCH(B54&amp;C54, INDEX('01.25'!B2:B500&amp;'01.25'!C2:C500, 0), 0))="", "", INDEX('01.25'!D2:D500, MATCH(B54&amp;C54, INDEX('01.25'!B2:B500&amp;'01.25'!C2:C500, 0), 0))), "")</f>
        <v>Jaqueline Vanelli</v>
      </c>
      <c r="E54" s="107" t="s">
        <v>16</v>
      </c>
      <c r="F54" s="45" t="s">
        <v>243</v>
      </c>
      <c r="G54" s="46" t="s">
        <v>131</v>
      </c>
      <c r="H54" s="45"/>
      <c r="I54" s="45"/>
      <c r="J54" s="45" t="s">
        <v>140</v>
      </c>
      <c r="K54" s="45"/>
    </row>
    <row r="55" spans="1:11" hidden="1" x14ac:dyDescent="0.25">
      <c r="A55" s="44" t="s">
        <v>36</v>
      </c>
      <c r="B55" s="45" t="s">
        <v>103</v>
      </c>
      <c r="C55" s="45">
        <v>1</v>
      </c>
      <c r="D55" s="45" t="str">
        <f>IFERROR(IF(INDEX('01.25'!D2:D500, MATCH(B55&amp;C55, INDEX('01.25'!B2:B500&amp;'01.25'!C2:C500, 0), 0))="", "", INDEX('01.25'!D2:D500, MATCH(B55&amp;C55, INDEX('01.25'!B2:B500&amp;'01.25'!C2:C500, 0), 0))), "")</f>
        <v>Fernanda Jung</v>
      </c>
      <c r="E55" s="107" t="s">
        <v>16</v>
      </c>
      <c r="F55" s="45" t="s">
        <v>408</v>
      </c>
      <c r="G55" s="52" t="s">
        <v>131</v>
      </c>
      <c r="H55" s="45" t="s">
        <v>149</v>
      </c>
      <c r="I55" s="45"/>
      <c r="J55" s="45" t="s">
        <v>140</v>
      </c>
      <c r="K55" s="45"/>
    </row>
    <row r="56" spans="1:11" x14ac:dyDescent="0.25">
      <c r="A56" s="50" t="s">
        <v>42</v>
      </c>
      <c r="B56" s="45" t="s">
        <v>121</v>
      </c>
      <c r="C56" s="45">
        <v>1</v>
      </c>
      <c r="D56" s="45" t="str">
        <f>IFERROR(IF(INDEX('01.25'!D2:D500, MATCH(B56&amp;C56, INDEX('01.25'!B2:B500&amp;'01.25'!C2:C500, 0), 0))="", "", INDEX('01.25'!D2:D500, MATCH(B56&amp;C56, INDEX('01.25'!B2:B500&amp;'01.25'!C2:C500, 0), 0))), "")</f>
        <v>Ana Paula Romagnoli</v>
      </c>
      <c r="E56" s="107" t="s">
        <v>16</v>
      </c>
      <c r="F56" s="45" t="s">
        <v>362</v>
      </c>
      <c r="G56" s="46" t="s">
        <v>131</v>
      </c>
      <c r="H56" s="45"/>
      <c r="I56" s="45"/>
      <c r="J56" s="45" t="s">
        <v>140</v>
      </c>
      <c r="K56" s="45"/>
    </row>
    <row r="57" spans="1:11" x14ac:dyDescent="0.25">
      <c r="A57" s="50" t="s">
        <v>42</v>
      </c>
      <c r="B57" s="45" t="s">
        <v>122</v>
      </c>
      <c r="C57" s="45">
        <v>1</v>
      </c>
      <c r="D57" s="45" t="str">
        <f>IFERROR(IF(INDEX('01.25'!D2:D500, MATCH(B57&amp;C57, INDEX('01.25'!B2:B500&amp;'01.25'!C2:C500, 0), 0))="", "", INDEX('01.25'!D2:D500, MATCH(B57&amp;C57, INDEX('01.25'!B2:B500&amp;'01.25'!C2:C500, 0), 0))), "")</f>
        <v>Alexandro Schaparini</v>
      </c>
      <c r="E57" s="107" t="s">
        <v>16</v>
      </c>
      <c r="F57" s="45" t="s">
        <v>409</v>
      </c>
      <c r="G57" s="52" t="s">
        <v>131</v>
      </c>
      <c r="H57" s="45"/>
      <c r="I57" s="45"/>
      <c r="J57" s="45" t="s">
        <v>140</v>
      </c>
      <c r="K57" s="45"/>
    </row>
    <row r="58" spans="1:11" hidden="1" x14ac:dyDescent="0.25">
      <c r="A58" s="49" t="s">
        <v>43</v>
      </c>
      <c r="B58" s="45" t="s">
        <v>129</v>
      </c>
      <c r="C58" s="45">
        <v>1</v>
      </c>
      <c r="D58" s="45" t="str">
        <f>IFERROR(IF(INDEX('01.25'!D2:D500, MATCH(B58&amp;C58, INDEX('01.25'!B2:B500&amp;'01.25'!C2:C500, 0), 0))="", "", INDEX('01.25'!D2:D500, MATCH(B58&amp;C58, INDEX('01.25'!B2:B500&amp;'01.25'!C2:C500, 0), 0))), "")</f>
        <v>Marina Ancelmo da Silva</v>
      </c>
      <c r="E58" s="107" t="s">
        <v>16</v>
      </c>
      <c r="F58" s="45" t="s">
        <v>354</v>
      </c>
      <c r="G58" s="52" t="s">
        <v>131</v>
      </c>
      <c r="H58" s="45" t="s">
        <v>149</v>
      </c>
      <c r="I58" s="45"/>
      <c r="J58" s="45" t="s">
        <v>140</v>
      </c>
      <c r="K58" s="45"/>
    </row>
    <row r="59" spans="1:11" hidden="1" x14ac:dyDescent="0.25">
      <c r="A59" s="49" t="s">
        <v>43</v>
      </c>
      <c r="B59" s="45" t="s">
        <v>130</v>
      </c>
      <c r="C59" s="45">
        <v>1</v>
      </c>
      <c r="D59" s="45" t="str">
        <f>IFERROR(IF(INDEX('01.25'!D2:D500, MATCH(B59&amp;C59, INDEX('01.25'!B2:B500&amp;'01.25'!C2:C500, 0), 0))="", "", INDEX('01.25'!D2:D500, MATCH(B59&amp;C59, INDEX('01.25'!B2:B500&amp;'01.25'!C2:C500, 0), 0))), "")</f>
        <v>Ana Carolina Peterle Ribeiro</v>
      </c>
      <c r="E59" s="107" t="s">
        <v>16</v>
      </c>
      <c r="F59" s="45" t="s">
        <v>217</v>
      </c>
      <c r="G59" s="46" t="s">
        <v>131</v>
      </c>
      <c r="H59" s="45" t="s">
        <v>684</v>
      </c>
      <c r="I59" s="45"/>
      <c r="J59" s="45" t="s">
        <v>140</v>
      </c>
      <c r="K59" s="45"/>
    </row>
    <row r="60" spans="1:11" hidden="1" x14ac:dyDescent="0.25">
      <c r="A60" s="51" t="s">
        <v>40</v>
      </c>
      <c r="B60" s="45" t="s">
        <v>112</v>
      </c>
      <c r="C60" s="45">
        <v>1</v>
      </c>
      <c r="D60" s="45" t="str">
        <f>IFERROR(IF(INDEX('01.25'!D2:D500, MATCH(B60&amp;C60, INDEX('01.25'!B2:B500&amp;'01.25'!C2:C500, 0), 0))="", "", INDEX('01.25'!D2:D500, MATCH(B60&amp;C60, INDEX('01.25'!B2:B500&amp;'01.25'!C2:C500, 0), 0))), "")</f>
        <v>Taiane Amélia Mondardo</v>
      </c>
      <c r="E60" s="107" t="s">
        <v>16</v>
      </c>
      <c r="F60" s="45" t="s">
        <v>348</v>
      </c>
      <c r="G60" s="52" t="s">
        <v>131</v>
      </c>
      <c r="H60" s="45"/>
      <c r="I60" s="45"/>
      <c r="J60" s="45" t="s">
        <v>140</v>
      </c>
      <c r="K60" s="45"/>
    </row>
    <row r="61" spans="1:11" hidden="1" x14ac:dyDescent="0.25">
      <c r="A61" s="44" t="s">
        <v>36</v>
      </c>
      <c r="B61" s="45" t="s">
        <v>104</v>
      </c>
      <c r="C61" s="45">
        <v>1</v>
      </c>
      <c r="D61" s="45" t="str">
        <f>IFERROR(IF(INDEX('01.25'!D2:D500, MATCH(B61&amp;C61, INDEX('01.25'!B2:B500&amp;'01.25'!C2:C500, 0), 0))="", "", INDEX('01.25'!D2:D500, MATCH(B61&amp;C61, INDEX('01.25'!B2:B500&amp;'01.25'!C2:C500, 0), 0))), "")</f>
        <v>Regiane Lucia Pereira</v>
      </c>
      <c r="E61" s="107" t="s">
        <v>16</v>
      </c>
      <c r="F61" s="45" t="s">
        <v>346</v>
      </c>
      <c r="G61" s="46" t="s">
        <v>140</v>
      </c>
      <c r="H61" s="45"/>
      <c r="I61" s="45"/>
      <c r="J61" s="45" t="s">
        <v>140</v>
      </c>
      <c r="K61" s="45"/>
    </row>
    <row r="62" spans="1:11" hidden="1" x14ac:dyDescent="0.25">
      <c r="A62" s="51" t="s">
        <v>40</v>
      </c>
      <c r="B62" s="45" t="s">
        <v>113</v>
      </c>
      <c r="C62" s="45">
        <v>1</v>
      </c>
      <c r="D62" s="45" t="str">
        <f>IFERROR(IF(INDEX('01.25'!D2:D500, MATCH(B62&amp;C62, INDEX('01.25'!B2:B500&amp;'01.25'!C2:C500, 0), 0))="", "", INDEX('01.25'!D2:D500, MATCH(B62&amp;C62, INDEX('01.25'!B2:B500&amp;'01.25'!C2:C500, 0), 0))), "")</f>
        <v>Andryws Rafael Gois</v>
      </c>
      <c r="E62" s="107" t="s">
        <v>16</v>
      </c>
      <c r="F62" s="45" t="s">
        <v>173</v>
      </c>
      <c r="G62" s="52" t="s">
        <v>131</v>
      </c>
      <c r="H62" s="45" t="s">
        <v>410</v>
      </c>
      <c r="I62" s="45"/>
      <c r="J62" s="45" t="s">
        <v>140</v>
      </c>
      <c r="K62" s="45"/>
    </row>
    <row r="63" spans="1:11" x14ac:dyDescent="0.25">
      <c r="A63" s="50" t="s">
        <v>42</v>
      </c>
      <c r="B63" s="45" t="s">
        <v>123</v>
      </c>
      <c r="C63" s="45">
        <v>1</v>
      </c>
      <c r="D63" s="45" t="str">
        <f>IFERROR(IF(INDEX('01.25'!D2:D500, MATCH(B63&amp;C63, INDEX('01.25'!B2:B500&amp;'01.25'!C2:C500, 0), 0))="", "", INDEX('01.25'!D2:D500, MATCH(B63&amp;C63, INDEX('01.25'!B2:B500&amp;'01.25'!C2:C500, 0), 0))), "")</f>
        <v>Mayara Ketllyn de Paula Rosetti</v>
      </c>
      <c r="E63" s="107" t="s">
        <v>16</v>
      </c>
      <c r="F63" s="45" t="s">
        <v>296</v>
      </c>
      <c r="G63" s="46" t="s">
        <v>131</v>
      </c>
      <c r="H63" s="45"/>
      <c r="I63" s="45"/>
      <c r="J63" s="45" t="s">
        <v>140</v>
      </c>
      <c r="K63" s="45"/>
    </row>
    <row r="64" spans="1:11" hidden="1" x14ac:dyDescent="0.25">
      <c r="A64" s="51" t="s">
        <v>40</v>
      </c>
      <c r="B64" s="45" t="s">
        <v>114</v>
      </c>
      <c r="C64" s="45">
        <v>1</v>
      </c>
      <c r="D64" s="45" t="str">
        <f>IFERROR(IF(INDEX('01.25'!D2:D500, MATCH(B64&amp;C64, INDEX('01.25'!B2:B500&amp;'01.25'!C2:C500, 0), 0))="", "", INDEX('01.25'!D2:D500, MATCH(B64&amp;C64, INDEX('01.25'!B2:B500&amp;'01.25'!C2:C500, 0), 0))), "")</f>
        <v>Junior Andre Britzke</v>
      </c>
      <c r="E64" s="107" t="s">
        <v>16</v>
      </c>
      <c r="F64" s="45" t="s">
        <v>270</v>
      </c>
      <c r="G64" s="52" t="s">
        <v>131</v>
      </c>
      <c r="H64" s="45" t="s">
        <v>410</v>
      </c>
      <c r="I64" s="45"/>
      <c r="J64" s="45" t="s">
        <v>140</v>
      </c>
      <c r="K64" s="45"/>
    </row>
    <row r="65" spans="1:11" hidden="1" x14ac:dyDescent="0.25">
      <c r="A65" s="44" t="s">
        <v>36</v>
      </c>
      <c r="B65" s="45" t="s">
        <v>105</v>
      </c>
      <c r="C65" s="45">
        <v>1</v>
      </c>
      <c r="D65" s="45" t="str">
        <f>IFERROR(IF(INDEX('01.25'!D2:D500, MATCH(B65&amp;C65, INDEX('01.25'!B2:B500&amp;'01.25'!C2:C500, 0), 0))="", "", INDEX('01.25'!D2:D500, MATCH(B65&amp;C65, INDEX('01.25'!B2:B500&amp;'01.25'!C2:C500, 0), 0))), "")</f>
        <v>Adriano Pereira Guedes</v>
      </c>
      <c r="E65" s="107" t="s">
        <v>16</v>
      </c>
      <c r="F65" s="45" t="s">
        <v>228</v>
      </c>
      <c r="G65" s="46" t="s">
        <v>140</v>
      </c>
      <c r="H65" s="45"/>
      <c r="I65" s="45"/>
      <c r="J65" s="45" t="s">
        <v>140</v>
      </c>
      <c r="K65" s="45"/>
    </row>
    <row r="66" spans="1:11" hidden="1" x14ac:dyDescent="0.25">
      <c r="A66" s="44" t="s">
        <v>36</v>
      </c>
      <c r="B66" s="45" t="s">
        <v>106</v>
      </c>
      <c r="C66" s="45">
        <v>1</v>
      </c>
      <c r="D66" s="45" t="str">
        <f>IFERROR(IF(INDEX('01.25'!D2:D500, MATCH(B66&amp;C66, INDEX('01.25'!B2:B500&amp;'01.25'!C2:C500, 0), 0))="", "", INDEX('01.25'!D2:D500, MATCH(B66&amp;C66, INDEX('01.25'!B2:B500&amp;'01.25'!C2:C500, 0), 0))), "")</f>
        <v xml:space="preserve">Suzana Cristina de Almeida </v>
      </c>
      <c r="E66" s="107" t="s">
        <v>16</v>
      </c>
      <c r="F66" s="45" t="s">
        <v>376</v>
      </c>
      <c r="G66" s="52" t="s">
        <v>131</v>
      </c>
      <c r="H66" s="45"/>
      <c r="I66" s="45" t="s">
        <v>411</v>
      </c>
      <c r="J66" s="45" t="s">
        <v>131</v>
      </c>
      <c r="K66" s="45" t="s">
        <v>412</v>
      </c>
    </row>
    <row r="67" spans="1:11" hidden="1" x14ac:dyDescent="0.25">
      <c r="A67" s="47" t="s">
        <v>28</v>
      </c>
      <c r="B67" s="45" t="s">
        <v>85</v>
      </c>
      <c r="C67" s="45">
        <v>1</v>
      </c>
      <c r="D67" s="45" t="str">
        <f>IFERROR(IF(INDEX('01.25'!D2:D500, MATCH(B67&amp;C67, INDEX('01.25'!B2:B500&amp;'01.25'!C2:C500, 0), 0))="", "", INDEX('01.25'!D2:D500, MATCH(B67&amp;C67, INDEX('01.25'!B2:B500&amp;'01.25'!C2:C500, 0), 0))), "")</f>
        <v>Alice Cristiane Zancheta</v>
      </c>
      <c r="E67" s="107" t="s">
        <v>16</v>
      </c>
      <c r="F67" s="45" t="s">
        <v>217</v>
      </c>
      <c r="G67" s="52" t="s">
        <v>131</v>
      </c>
      <c r="H67" s="45" t="s">
        <v>413</v>
      </c>
      <c r="I67" s="45"/>
      <c r="J67" s="45" t="s">
        <v>140</v>
      </c>
      <c r="K67" s="45"/>
    </row>
    <row r="68" spans="1:11" hidden="1" x14ac:dyDescent="0.25">
      <c r="A68" s="48" t="s">
        <v>38</v>
      </c>
      <c r="B68" s="45" t="s">
        <v>109</v>
      </c>
      <c r="C68" s="45">
        <v>1</v>
      </c>
      <c r="D68" s="45" t="str">
        <f>IFERROR(IF(INDEX('01.25'!D2:D500, MATCH(B68&amp;C68, INDEX('01.25'!B2:B500&amp;'01.25'!C2:C500, 0), 0))="", "", INDEX('01.25'!D2:D500, MATCH(B68&amp;C68, INDEX('01.25'!B2:B500&amp;'01.25'!C2:C500, 0), 0))), "")</f>
        <v>Fernanda kaezer de Godoy</v>
      </c>
      <c r="E68" s="107" t="s">
        <v>16</v>
      </c>
      <c r="F68" s="45" t="s">
        <v>217</v>
      </c>
      <c r="G68" s="46" t="s">
        <v>131</v>
      </c>
      <c r="H68" s="148" t="s">
        <v>704</v>
      </c>
      <c r="I68" s="45"/>
      <c r="J68" s="45" t="s">
        <v>140</v>
      </c>
      <c r="K68" s="45"/>
    </row>
    <row r="69" spans="1:11" hidden="1" x14ac:dyDescent="0.25">
      <c r="A69" s="48" t="s">
        <v>38</v>
      </c>
      <c r="B69" s="45" t="s">
        <v>110</v>
      </c>
      <c r="C69" s="45">
        <v>1</v>
      </c>
      <c r="D69" s="45" t="str">
        <f>IFERROR(IF(INDEX('01.25'!D2:D500, MATCH(B69&amp;C69, INDEX('01.25'!B2:B500&amp;'01.25'!C2:C500, 0), 0))="", "", INDEX('01.25'!D2:D500, MATCH(B69&amp;C69, INDEX('01.25'!B2:B500&amp;'01.25'!C2:C500, 0), 0))), "")</f>
        <v xml:space="preserve">Ademir Papini Júnior </v>
      </c>
      <c r="E69" s="107" t="s">
        <v>16</v>
      </c>
      <c r="F69" s="45" t="s">
        <v>273</v>
      </c>
      <c r="G69" s="46" t="s">
        <v>131</v>
      </c>
      <c r="H69" s="148" t="s">
        <v>711</v>
      </c>
      <c r="I69" s="45"/>
      <c r="J69" s="45" t="s">
        <v>140</v>
      </c>
      <c r="K69" s="45"/>
    </row>
    <row r="70" spans="1:11" x14ac:dyDescent="0.25">
      <c r="A70" s="50" t="s">
        <v>42</v>
      </c>
      <c r="B70" s="45" t="s">
        <v>124</v>
      </c>
      <c r="C70" s="45">
        <v>1</v>
      </c>
      <c r="D70" s="45" t="str">
        <f>IFERROR(IF(INDEX('01.25'!D2:D500, MATCH(B70&amp;C70, INDEX('01.25'!B2:B500&amp;'01.25'!C2:C500, 0), 0))="", "", INDEX('01.25'!D2:D500, MATCH(B70&amp;C70, INDEX('01.25'!B2:B500&amp;'01.25'!C2:C500, 0), 0))), "")</f>
        <v>Heloísa Maria Beloni Insenha</v>
      </c>
      <c r="E70" s="107" t="s">
        <v>16</v>
      </c>
      <c r="F70" s="45" t="s">
        <v>264</v>
      </c>
      <c r="G70" s="46" t="s">
        <v>131</v>
      </c>
      <c r="H70" s="45"/>
      <c r="I70" s="45"/>
      <c r="J70" s="45" t="s">
        <v>140</v>
      </c>
      <c r="K70" s="45"/>
    </row>
  </sheetData>
  <autoFilter ref="A1:G70" xr:uid="{00000000-0009-0000-0000-000009000000}">
    <filterColumn colId="0">
      <filters>
        <filter val="Luana"/>
      </filters>
    </filterColumn>
  </autoFilter>
  <conditionalFormatting sqref="E2:E70">
    <cfRule type="cellIs" dxfId="124" priority="6" stopIfTrue="1" operator="equal">
      <formula>"Enviado"</formula>
    </cfRule>
    <cfRule type="cellIs" dxfId="123" priority="7" stopIfTrue="1" operator="equal">
      <formula>"Atrasado"</formula>
    </cfRule>
    <cfRule type="cellIs" dxfId="122" priority="8" stopIfTrue="1" operator="equal">
      <formula>"Atrasado &gt;= 2"</formula>
    </cfRule>
    <cfRule type="cellIs" dxfId="121" priority="9" stopIfTrue="1" operator="equal">
      <formula>"Outras Ocorrências"</formula>
    </cfRule>
    <cfRule type="cellIs" dxfId="120" priority="10" stopIfTrue="1" operator="equal">
      <formula>"Sem Técnico"</formula>
    </cfRule>
    <cfRule type="cellIs" dxfId="119" priority="11" stopIfTrue="1" operator="equal">
      <formula>"Duplicado"</formula>
    </cfRule>
  </conditionalFormatting>
  <conditionalFormatting sqref="G2:G70">
    <cfRule type="cellIs" dxfId="118" priority="1" stopIfTrue="1" operator="equal">
      <formula>"Sim"</formula>
    </cfRule>
    <cfRule type="cellIs" dxfId="117" priority="3" stopIfTrue="1" operator="equal">
      <formula>"Não"</formula>
    </cfRule>
  </conditionalFormatting>
  <conditionalFormatting sqref="J2:J70">
    <cfRule type="cellIs" dxfId="116" priority="4" stopIfTrue="1" operator="equal">
      <formula>"Sim"</formula>
    </cfRule>
    <cfRule type="cellIs" dxfId="115" priority="4" stopIfTrue="1" operator="equal">
      <formula>"Não"</formula>
    </cfRule>
    <cfRule type="cellIs" dxfId="114" priority="5" stopIfTrue="1" operator="equal">
      <formula>"Em Análise"</formula>
    </cfRule>
  </conditionalFormatting>
  <dataValidations count="3">
    <dataValidation type="list" allowBlank="1" sqref="G2 G3 G4 G5 G6 G7 G8 G9 G10 G11 G12 G13 G14 G15 G16 G17 G18 G19 G20 G21 G22 G23 G24 G25 G26 G27 G28 G29 G30 G31 G32 G33 G34 G35 G36 G37 G38 G39 G40 G41 G42 G43 G44 G45 G46 G47 G48 G49 G50 G51 G52 G53 G54 G55 G56 G57 G58 G59 G60 G61 G62 G63 G64 G65 G66 G67 G68 G69 G70" xr:uid="{00000000-0002-0000-0900-000000000000}">
      <formula1>"Sim,Não"</formula1>
    </dataValidation>
    <dataValidation type="list" allowBlank="1" sqref="J2 J3 J4 J5 J6 J7 J8 J9 J10 J11 J12 J13 J14 J15 J16 J17 J18 J19 J20 J21 J22 J23 J24 J25 J26 J27 J28 J29 J30 J31 J32 J33 J34 J35 J36 J37 J38 J39 J40 J41 J42 J43 J44 J45 J46 J47 J48 J49 J50 J51 J52 J53 J54 J55 J56 J57 J58 J59 J60 J61 J62 J63 J64 J65 J66 J67 J68 J69 J70" xr:uid="{00000000-0002-0000-0900-000001000000}">
      <formula1>"Sim,Não,Em Análise"</formula1>
    </dataValidation>
    <dataValidation type="list" allowBlank="1" sqref="E2 E3 E4 E5 E6 E7 E8 E9 E10 E11 E12 E13 E14 E15 E16 E17 E18 E19 E20 E21 E22 E23 E24 E25 E26 E27 E28 E29 E30 E31 E32 E33 E34 E35 E36 E37 E38 E39 E40 E41 E42 E43 E44 E45 E46 E47 E48 E49 E50 E51 E52 E53 E54 E55 E56 E57 E58 E59 E60 E61 E62 E63 E64 E65 E66 E67 E68 E69 E70" xr:uid="{00000000-0002-0000-0900-000002000000}">
      <formula1>"Enviado, Atrasado, Atrasado &gt;= 2, Outras Ocorrências, Sem Técnico, Duplicado"</formula1>
    </dataValidation>
  </dataValidation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filterMode="1"/>
  <dimension ref="A1:K70"/>
  <sheetViews>
    <sheetView workbookViewId="0">
      <pane xSplit="3" topLeftCell="D1" activePane="topRight" state="frozen"/>
      <selection pane="topRight" activeCell="H75" sqref="H75"/>
    </sheetView>
  </sheetViews>
  <sheetFormatPr defaultRowHeight="15" x14ac:dyDescent="0.25"/>
  <cols>
    <col min="1" max="1" width="14" customWidth="1"/>
    <col min="2" max="2" width="30" customWidth="1"/>
    <col min="3" max="3" width="8" customWidth="1"/>
    <col min="4" max="4" width="45" customWidth="1"/>
    <col min="5" max="5" width="16" customWidth="1"/>
    <col min="6" max="6" width="18" customWidth="1"/>
    <col min="7" max="7" width="27" customWidth="1"/>
    <col min="8" max="8" width="107" customWidth="1"/>
    <col min="9" max="9" width="34" customWidth="1"/>
    <col min="10" max="10" width="25" customWidth="1"/>
    <col min="11" max="11" width="26" customWidth="1"/>
  </cols>
  <sheetData>
    <row r="1" spans="1:11" x14ac:dyDescent="0.25">
      <c r="A1" s="43" t="s">
        <v>27</v>
      </c>
      <c r="B1" s="43" t="s">
        <v>70</v>
      </c>
      <c r="C1" s="43" t="s">
        <v>71</v>
      </c>
      <c r="D1" s="43" t="s">
        <v>132</v>
      </c>
      <c r="E1" s="43" t="s">
        <v>133</v>
      </c>
      <c r="F1" s="43" t="s">
        <v>134</v>
      </c>
      <c r="G1" s="43" t="s">
        <v>135</v>
      </c>
      <c r="H1" s="43" t="s">
        <v>136</v>
      </c>
      <c r="I1" s="43" t="s">
        <v>137</v>
      </c>
      <c r="J1" s="43" t="s">
        <v>138</v>
      </c>
      <c r="K1" s="43" t="s">
        <v>139</v>
      </c>
    </row>
    <row r="2" spans="1:11" hidden="1" x14ac:dyDescent="0.25">
      <c r="A2" s="44" t="s">
        <v>36</v>
      </c>
      <c r="B2" s="45" t="s">
        <v>97</v>
      </c>
      <c r="C2" s="45">
        <v>1</v>
      </c>
      <c r="D2" s="45" t="str">
        <f>IFERROR(IF(INDEX('01.25'!D2:D500, MATCH(B2&amp;C2, INDEX('01.25'!B2:B500&amp;'01.25'!C2:C500, 0), 0))="", "", INDEX('01.25'!D2:D500, MATCH(B2&amp;C2, INDEX('01.25'!B2:B500&amp;'01.25'!C2:C500, 0), 0))), "")</f>
        <v>Paula Tatiana Santana Vechi</v>
      </c>
      <c r="E2" s="107" t="s">
        <v>16</v>
      </c>
      <c r="F2" s="45" t="s">
        <v>267</v>
      </c>
      <c r="G2" s="52" t="s">
        <v>131</v>
      </c>
      <c r="H2" s="45" t="s">
        <v>414</v>
      </c>
      <c r="I2" s="45"/>
      <c r="J2" s="45" t="s">
        <v>140</v>
      </c>
      <c r="K2" s="45"/>
    </row>
    <row r="3" spans="1:11" hidden="1" x14ac:dyDescent="0.25">
      <c r="A3" s="47" t="s">
        <v>28</v>
      </c>
      <c r="B3" s="45" t="s">
        <v>87</v>
      </c>
      <c r="C3" s="45">
        <v>1</v>
      </c>
      <c r="D3" s="45" t="str">
        <f>IFERROR(IF(INDEX('01.25'!D2:D500, MATCH(B3&amp;C3, INDEX('01.25'!B2:B500&amp;'01.25'!C2:C500, 0), 0))="", "", INDEX('01.25'!D2:D500, MATCH(B3&amp;C3, INDEX('01.25'!B2:B500&amp;'01.25'!C2:C500, 0), 0))), "")</f>
        <v>Willian de Oliveira Lino</v>
      </c>
      <c r="E3" s="107" t="s">
        <v>16</v>
      </c>
      <c r="F3" s="45" t="s">
        <v>228</v>
      </c>
      <c r="G3" s="52" t="s">
        <v>131</v>
      </c>
      <c r="H3" s="45" t="s">
        <v>149</v>
      </c>
      <c r="I3" s="45"/>
      <c r="J3" s="45" t="s">
        <v>140</v>
      </c>
      <c r="K3" s="45"/>
    </row>
    <row r="4" spans="1:11" hidden="1" x14ac:dyDescent="0.25">
      <c r="A4" s="48" t="s">
        <v>38</v>
      </c>
      <c r="B4" s="45" t="s">
        <v>78</v>
      </c>
      <c r="C4" s="45">
        <v>1</v>
      </c>
      <c r="D4" s="45" t="str">
        <f>IFERROR(IF(INDEX('01.25'!D2:D500, MATCH(B4&amp;C4, INDEX('01.25'!B2:B500&amp;'01.25'!C2:C500, 0), 0))="", "", INDEX('01.25'!D2:D500, MATCH(B4&amp;C4, INDEX('01.25'!B2:B500&amp;'01.25'!C2:C500, 0), 0))), "")</f>
        <v>Gisele Cássia Tamparowsky de Oliveira</v>
      </c>
      <c r="E4" s="107" t="s">
        <v>16</v>
      </c>
      <c r="F4" s="45" t="s">
        <v>155</v>
      </c>
      <c r="G4" s="52" t="s">
        <v>131</v>
      </c>
      <c r="H4" s="45" t="s">
        <v>149</v>
      </c>
      <c r="I4" s="45"/>
      <c r="J4" s="45" t="s">
        <v>140</v>
      </c>
      <c r="K4" s="45"/>
    </row>
    <row r="5" spans="1:11" hidden="1" x14ac:dyDescent="0.25">
      <c r="A5" s="47" t="s">
        <v>28</v>
      </c>
      <c r="B5" s="45" t="s">
        <v>88</v>
      </c>
      <c r="C5" s="45">
        <v>1</v>
      </c>
      <c r="D5" s="45" t="str">
        <f>IFERROR(IF(INDEX('01.25'!D2:D500, MATCH(B5&amp;C5, INDEX('01.25'!B2:B500&amp;'01.25'!C2:C500, 0), 0))="", "", INDEX('01.25'!D2:D500, MATCH(B5&amp;C5, INDEX('01.25'!B2:B500&amp;'01.25'!C2:C500, 0), 0))), "")</f>
        <v>Marcos Gabriel Franciosi Borges</v>
      </c>
      <c r="E5" s="107" t="s">
        <v>16</v>
      </c>
      <c r="F5" s="45" t="s">
        <v>415</v>
      </c>
      <c r="G5" s="52" t="s">
        <v>131</v>
      </c>
      <c r="H5" s="45" t="s">
        <v>149</v>
      </c>
      <c r="I5" s="45"/>
      <c r="J5" s="45" t="s">
        <v>140</v>
      </c>
      <c r="K5" s="45"/>
    </row>
    <row r="6" spans="1:11" hidden="1" x14ac:dyDescent="0.25">
      <c r="A6" s="47" t="s">
        <v>28</v>
      </c>
      <c r="B6" s="45" t="s">
        <v>89</v>
      </c>
      <c r="C6" s="45">
        <v>1</v>
      </c>
      <c r="D6" s="45" t="str">
        <f>IFERROR(IF(INDEX('01.25'!D2:D500, MATCH(B6&amp;C6, INDEX('01.25'!B2:B500&amp;'01.25'!C2:C500, 0), 0))="", "", INDEX('01.25'!D2:D500, MATCH(B6&amp;C6, INDEX('01.25'!B2:B500&amp;'01.25'!C2:C500, 0), 0))), "")</f>
        <v>Chayla Bianca Gazoli</v>
      </c>
      <c r="E6" s="107" t="s">
        <v>16</v>
      </c>
      <c r="F6" s="45" t="s">
        <v>362</v>
      </c>
      <c r="G6" s="52" t="s">
        <v>131</v>
      </c>
      <c r="H6" s="45" t="s">
        <v>149</v>
      </c>
      <c r="I6" s="45"/>
      <c r="J6" s="45" t="s">
        <v>140</v>
      </c>
      <c r="K6" s="45"/>
    </row>
    <row r="7" spans="1:11" hidden="1" x14ac:dyDescent="0.25">
      <c r="A7" s="48" t="s">
        <v>38</v>
      </c>
      <c r="B7" s="45" t="s">
        <v>84</v>
      </c>
      <c r="C7" s="45">
        <v>1</v>
      </c>
      <c r="D7" s="45" t="str">
        <f>IFERROR(IF(INDEX('01.25'!D2:D500, MATCH(B7&amp;C7, INDEX('01.25'!B2:B500&amp;'01.25'!C2:C500, 0), 0))="", "", INDEX('01.25'!D2:D500, MATCH(B7&amp;C7, INDEX('01.25'!B2:B500&amp;'01.25'!C2:C500, 0), 0))), "")</f>
        <v>Solange Maria Masqueti</v>
      </c>
      <c r="E7" s="107" t="s">
        <v>16</v>
      </c>
      <c r="F7" s="45" t="s">
        <v>267</v>
      </c>
      <c r="G7" s="46" t="s">
        <v>140</v>
      </c>
      <c r="H7" s="45"/>
      <c r="I7" s="45"/>
      <c r="J7" s="45" t="s">
        <v>140</v>
      </c>
      <c r="K7" s="45"/>
    </row>
    <row r="8" spans="1:11" hidden="1" x14ac:dyDescent="0.25">
      <c r="A8" s="48" t="s">
        <v>38</v>
      </c>
      <c r="B8" s="45" t="s">
        <v>79</v>
      </c>
      <c r="C8" s="45">
        <v>1</v>
      </c>
      <c r="D8" s="45" t="str">
        <f>IFERROR(IF(INDEX('01.25'!D2:D500, MATCH(B8&amp;C8, INDEX('01.25'!B2:B500&amp;'01.25'!C2:C500, 0), 0))="", "", INDEX('01.25'!D2:D500, MATCH(B8&amp;C8, INDEX('01.25'!B2:B500&amp;'01.25'!C2:C500, 0), 0))), "")</f>
        <v>Cristiane Petry Vieira</v>
      </c>
      <c r="E8" s="107" t="s">
        <v>16</v>
      </c>
      <c r="F8" s="45" t="s">
        <v>258</v>
      </c>
      <c r="G8" s="46" t="s">
        <v>140</v>
      </c>
      <c r="H8" s="45"/>
      <c r="I8" s="45"/>
      <c r="J8" s="45" t="s">
        <v>140</v>
      </c>
      <c r="K8" s="45"/>
    </row>
    <row r="9" spans="1:11" ht="28.5" hidden="1" customHeight="1" x14ac:dyDescent="0.25">
      <c r="A9" s="47" t="s">
        <v>28</v>
      </c>
      <c r="B9" s="45" t="s">
        <v>90</v>
      </c>
      <c r="C9" s="45">
        <v>1</v>
      </c>
      <c r="D9" s="45" t="str">
        <f>IFERROR(IF(INDEX('01.25'!D2:D500, MATCH(B9&amp;C9, INDEX('01.25'!B2:B500&amp;'01.25'!C2:C500, 0), 0))="", "", INDEX('01.25'!D2:D500, MATCH(B9&amp;C9, INDEX('01.25'!B2:B500&amp;'01.25'!C2:C500, 0), 0))), "")</f>
        <v>Diego Hemerich</v>
      </c>
      <c r="E9" s="107" t="s">
        <v>16</v>
      </c>
      <c r="F9" s="45" t="s">
        <v>362</v>
      </c>
      <c r="G9" s="52" t="s">
        <v>131</v>
      </c>
      <c r="H9" s="57" t="s">
        <v>416</v>
      </c>
      <c r="I9" s="45"/>
      <c r="J9" s="45" t="s">
        <v>140</v>
      </c>
      <c r="K9" s="45"/>
    </row>
    <row r="10" spans="1:11" hidden="1" x14ac:dyDescent="0.25">
      <c r="A10" s="49" t="s">
        <v>43</v>
      </c>
      <c r="B10" s="45" t="s">
        <v>125</v>
      </c>
      <c r="C10" s="45">
        <v>1</v>
      </c>
      <c r="D10" s="45" t="str">
        <f>IFERROR(IF(INDEX('01.25'!D2:D500, MATCH(B10&amp;C10, INDEX('01.25'!B2:B500&amp;'01.25'!C2:C500, 0), 0))="", "", INDEX('01.25'!D2:D500, MATCH(B10&amp;C10, INDEX('01.25'!B2:B500&amp;'01.25'!C2:C500, 0), 0))), "")</f>
        <v>Tatiane Girardi</v>
      </c>
      <c r="E10" s="107" t="s">
        <v>16</v>
      </c>
      <c r="F10" s="45" t="s">
        <v>409</v>
      </c>
      <c r="G10" s="52" t="s">
        <v>131</v>
      </c>
      <c r="H10" s="45" t="s">
        <v>149</v>
      </c>
      <c r="I10" s="45"/>
      <c r="J10" s="45" t="s">
        <v>140</v>
      </c>
      <c r="K10" s="45"/>
    </row>
    <row r="11" spans="1:11" hidden="1" x14ac:dyDescent="0.25">
      <c r="A11" s="49" t="s">
        <v>43</v>
      </c>
      <c r="B11" s="45" t="s">
        <v>126</v>
      </c>
      <c r="C11" s="45">
        <v>1</v>
      </c>
      <c r="D11" s="45" t="str">
        <f>IFERROR(IF(INDEX('01.25'!D2:D500, MATCH(B11&amp;C11, INDEX('01.25'!B2:B500&amp;'01.25'!C2:C500, 0), 0))="", "", INDEX('01.25'!D2:D500, MATCH(B11&amp;C11, INDEX('01.25'!B2:B500&amp;'01.25'!C2:C500, 0), 0))), "")</f>
        <v>Edson Batista de Castro</v>
      </c>
      <c r="E11" s="107" t="s">
        <v>16</v>
      </c>
      <c r="F11" s="45" t="s">
        <v>399</v>
      </c>
      <c r="G11" s="46" t="s">
        <v>131</v>
      </c>
      <c r="H11" s="45" t="s">
        <v>697</v>
      </c>
      <c r="I11" s="45"/>
      <c r="J11" s="45" t="s">
        <v>140</v>
      </c>
      <c r="K11" s="45"/>
    </row>
    <row r="12" spans="1:11" hidden="1" x14ac:dyDescent="0.25">
      <c r="A12" s="49" t="s">
        <v>43</v>
      </c>
      <c r="B12" s="45" t="s">
        <v>126</v>
      </c>
      <c r="C12" s="45">
        <v>2</v>
      </c>
      <c r="D12" s="45" t="str">
        <f>IFERROR(IF(INDEX('01.25'!D2:D500, MATCH(B12&amp;C12, INDEX('01.25'!B2:B500&amp;'01.25'!C2:C500, 0), 0))="", "", INDEX('01.25'!D2:D500, MATCH(B12&amp;C12, INDEX('01.25'!B2:B500&amp;'01.25'!C2:C500, 0), 0))), "")</f>
        <v>Gabriela Fernanda Sandri</v>
      </c>
      <c r="E12" s="107" t="s">
        <v>16</v>
      </c>
      <c r="F12" s="45" t="s">
        <v>350</v>
      </c>
      <c r="G12" s="46" t="s">
        <v>131</v>
      </c>
      <c r="H12" s="45" t="s">
        <v>696</v>
      </c>
      <c r="I12" s="45"/>
      <c r="J12" s="45" t="s">
        <v>140</v>
      </c>
      <c r="K12" s="45"/>
    </row>
    <row r="13" spans="1:11" hidden="1" x14ac:dyDescent="0.25">
      <c r="A13" s="49" t="s">
        <v>43</v>
      </c>
      <c r="B13" s="45" t="s">
        <v>126</v>
      </c>
      <c r="C13" s="45">
        <v>3</v>
      </c>
      <c r="D13" s="45" t="str">
        <f>IFERROR(IF(INDEX('01.25'!D2:D500, MATCH(B13&amp;C13, INDEX('01.25'!B2:B500&amp;'01.25'!C2:C500, 0), 0))="", "", INDEX('01.25'!D2:D500, MATCH(B13&amp;C13, INDEX('01.25'!B2:B500&amp;'01.25'!C2:C500, 0), 0))), "")</f>
        <v>Eduarda Rohden Donasolo</v>
      </c>
      <c r="E13" s="107" t="s">
        <v>16</v>
      </c>
      <c r="F13" s="45" t="s">
        <v>229</v>
      </c>
      <c r="G13" s="46" t="s">
        <v>131</v>
      </c>
      <c r="H13" s="45" t="s">
        <v>149</v>
      </c>
      <c r="I13" s="45"/>
      <c r="J13" s="45" t="s">
        <v>140</v>
      </c>
      <c r="K13" s="45"/>
    </row>
    <row r="14" spans="1:11" hidden="1" x14ac:dyDescent="0.25">
      <c r="A14" s="49" t="s">
        <v>43</v>
      </c>
      <c r="B14" s="45" t="s">
        <v>126</v>
      </c>
      <c r="C14" s="45">
        <v>4</v>
      </c>
      <c r="D14" s="45" t="str">
        <f>IFERROR(IF(INDEX('01.25'!D2:D500, MATCH(B14&amp;C14, INDEX('01.25'!B2:B500&amp;'01.25'!C2:C500, 0), 0))="", "", INDEX('01.25'!D2:D500, MATCH(B14&amp;C14, INDEX('01.25'!B2:B500&amp;'01.25'!C2:C500, 0), 0))), "")</f>
        <v>Mauricio Pinto de Lima</v>
      </c>
      <c r="E14" s="107" t="s">
        <v>16</v>
      </c>
      <c r="F14" s="45" t="s">
        <v>417</v>
      </c>
      <c r="G14" s="46" t="s">
        <v>131</v>
      </c>
      <c r="H14" s="45" t="s">
        <v>697</v>
      </c>
      <c r="I14" s="45"/>
      <c r="J14" s="45" t="s">
        <v>140</v>
      </c>
      <c r="K14" s="45"/>
    </row>
    <row r="15" spans="1:11" hidden="1" x14ac:dyDescent="0.25">
      <c r="A15" s="49" t="s">
        <v>43</v>
      </c>
      <c r="B15" s="45" t="s">
        <v>126</v>
      </c>
      <c r="C15" s="45">
        <v>5</v>
      </c>
      <c r="D15" s="45" t="str">
        <f>IFERROR(IF(INDEX('01.25'!D2:D500, MATCH(B15&amp;C15, INDEX('01.25'!B2:B500&amp;'01.25'!C2:C500, 0), 0))="", "", INDEX('01.25'!D2:D500, MATCH(B15&amp;C15, INDEX('01.25'!B2:B500&amp;'01.25'!C2:C500, 0), 0))), "")</f>
        <v xml:space="preserve">Débora Laize Lampert Gnass </v>
      </c>
      <c r="E15" s="107" t="s">
        <v>16</v>
      </c>
      <c r="F15" s="45" t="s">
        <v>387</v>
      </c>
      <c r="G15" s="46" t="s">
        <v>131</v>
      </c>
      <c r="H15" s="45" t="s">
        <v>696</v>
      </c>
      <c r="I15" s="45"/>
      <c r="J15" s="45" t="s">
        <v>140</v>
      </c>
      <c r="K15" s="45"/>
    </row>
    <row r="16" spans="1:11" hidden="1" x14ac:dyDescent="0.25">
      <c r="A16" s="49" t="s">
        <v>43</v>
      </c>
      <c r="B16" s="45" t="s">
        <v>126</v>
      </c>
      <c r="C16" s="45">
        <v>6</v>
      </c>
      <c r="D16" s="45" t="str">
        <f>IFERROR(IF(INDEX('01.25'!D2:D500, MATCH(B16&amp;C16, INDEX('01.25'!B2:B500&amp;'01.25'!C2:C500, 0), 0))="", "", INDEX('01.25'!D2:D500, MATCH(B16&amp;C16, INDEX('01.25'!B2:B500&amp;'01.25'!C2:C500, 0), 0))), "")</f>
        <v/>
      </c>
      <c r="E16" s="107" t="s">
        <v>16</v>
      </c>
      <c r="F16" s="45" t="s">
        <v>362</v>
      </c>
      <c r="G16" s="46" t="s">
        <v>131</v>
      </c>
      <c r="H16" s="45" t="s">
        <v>696</v>
      </c>
      <c r="I16" s="45"/>
      <c r="J16" s="45" t="s">
        <v>140</v>
      </c>
      <c r="K16" s="45"/>
    </row>
    <row r="17" spans="1:11" hidden="1" x14ac:dyDescent="0.25">
      <c r="A17" s="47" t="s">
        <v>28</v>
      </c>
      <c r="B17" s="45" t="s">
        <v>91</v>
      </c>
      <c r="C17" s="45">
        <v>1</v>
      </c>
      <c r="D17" s="45" t="str">
        <f>IFERROR(IF(INDEX('01.25'!D2:D500, MATCH(B17&amp;C17, INDEX('01.25'!B2:B500&amp;'01.25'!C2:C500, 0), 0))="", "", INDEX('01.25'!D2:D500, MATCH(B17&amp;C17, INDEX('01.25'!B2:B500&amp;'01.25'!C2:C500, 0), 0))), "")</f>
        <v>Cristina Harumi Enokida</v>
      </c>
      <c r="E17" s="107" t="s">
        <v>16</v>
      </c>
      <c r="F17" s="45" t="s">
        <v>362</v>
      </c>
      <c r="G17" s="52" t="s">
        <v>131</v>
      </c>
      <c r="H17" s="45" t="s">
        <v>149</v>
      </c>
      <c r="I17" s="45"/>
      <c r="J17" s="45" t="s">
        <v>140</v>
      </c>
      <c r="K17" s="45"/>
    </row>
    <row r="18" spans="1:11" hidden="1" x14ac:dyDescent="0.25">
      <c r="A18" s="49" t="s">
        <v>43</v>
      </c>
      <c r="B18" s="45" t="s">
        <v>127</v>
      </c>
      <c r="C18" s="45">
        <v>1</v>
      </c>
      <c r="D18" s="45" t="str">
        <f>IFERROR(IF(INDEX('01.25'!D2:D500, MATCH(B18&amp;C18, INDEX('01.25'!B2:B500&amp;'01.25'!C2:C500, 0), 0))="", "", INDEX('01.25'!D2:D500, MATCH(B18&amp;C18, INDEX('01.25'!B2:B500&amp;'01.25'!C2:C500, 0), 0))), "")</f>
        <v>Douglas de Mattia</v>
      </c>
      <c r="E18" s="107" t="s">
        <v>16</v>
      </c>
      <c r="F18" s="45" t="s">
        <v>291</v>
      </c>
      <c r="G18" s="52" t="s">
        <v>131</v>
      </c>
      <c r="H18" s="45" t="s">
        <v>699</v>
      </c>
      <c r="I18" s="45"/>
      <c r="J18" s="45" t="s">
        <v>140</v>
      </c>
      <c r="K18" s="45"/>
    </row>
    <row r="19" spans="1:11" hidden="1" x14ac:dyDescent="0.25">
      <c r="A19" s="47" t="s">
        <v>28</v>
      </c>
      <c r="B19" s="45" t="s">
        <v>92</v>
      </c>
      <c r="C19" s="45">
        <v>1</v>
      </c>
      <c r="D19" s="45" t="str">
        <f>IFERROR(IF(INDEX('01.25'!D2:D500, MATCH(B19&amp;C19, INDEX('01.25'!B2:B500&amp;'01.25'!C2:C500, 0), 0))="", "", INDEX('01.25'!D2:D500, MATCH(B19&amp;C19, INDEX('01.25'!B2:B500&amp;'01.25'!C2:C500, 0), 0))), "")</f>
        <v>Vanderson Pasetti</v>
      </c>
      <c r="E19" s="107" t="s">
        <v>16</v>
      </c>
      <c r="F19" s="45" t="s">
        <v>229</v>
      </c>
      <c r="G19" s="52" t="s">
        <v>131</v>
      </c>
      <c r="H19" s="45" t="s">
        <v>149</v>
      </c>
      <c r="I19" s="45"/>
      <c r="J19" s="45" t="s">
        <v>140</v>
      </c>
      <c r="K19" s="45"/>
    </row>
    <row r="20" spans="1:11" x14ac:dyDescent="0.25">
      <c r="A20" s="50" t="s">
        <v>42</v>
      </c>
      <c r="B20" s="45" t="s">
        <v>115</v>
      </c>
      <c r="C20" s="45">
        <v>1</v>
      </c>
      <c r="D20" s="45" t="str">
        <f>IFERROR(IF(INDEX('01.25'!D2:D500, MATCH(B20&amp;C20, INDEX('01.25'!B2:B500&amp;'01.25'!C2:C500, 0), 0))="", "", INDEX('01.25'!D2:D500, MATCH(B20&amp;C20, INDEX('01.25'!B2:B500&amp;'01.25'!C2:C500, 0), 0))), "")</f>
        <v>Bruna Schneider Guimarães</v>
      </c>
      <c r="E20" s="107" t="s">
        <v>16</v>
      </c>
      <c r="F20" s="45" t="s">
        <v>296</v>
      </c>
      <c r="G20" s="52" t="s">
        <v>131</v>
      </c>
      <c r="H20" s="45"/>
      <c r="I20" s="45"/>
      <c r="J20" s="45" t="s">
        <v>140</v>
      </c>
      <c r="K20" s="45"/>
    </row>
    <row r="21" spans="1:11" hidden="1" x14ac:dyDescent="0.25">
      <c r="A21" s="47" t="s">
        <v>28</v>
      </c>
      <c r="B21" s="45" t="s">
        <v>93</v>
      </c>
      <c r="C21" s="45">
        <v>1</v>
      </c>
      <c r="D21" s="45" t="str">
        <f>IFERROR(IF(INDEX('01.25'!D2:D500, MATCH(B21&amp;C21, INDEX('01.25'!B2:B500&amp;'01.25'!C2:C500, 0), 0))="", "", INDEX('01.25'!D2:D500, MATCH(B21&amp;C21, INDEX('01.25'!B2:B500&amp;'01.25'!C2:C500, 0), 0))), "")</f>
        <v>Keilla Avezedo</v>
      </c>
      <c r="E21" s="107" t="s">
        <v>16</v>
      </c>
      <c r="F21" s="45" t="s">
        <v>267</v>
      </c>
      <c r="G21" s="52" t="s">
        <v>131</v>
      </c>
      <c r="H21" s="45" t="s">
        <v>149</v>
      </c>
      <c r="I21" s="45"/>
      <c r="J21" s="45" t="s">
        <v>140</v>
      </c>
      <c r="K21" s="45"/>
    </row>
    <row r="22" spans="1:11" x14ac:dyDescent="0.25">
      <c r="A22" s="50" t="s">
        <v>42</v>
      </c>
      <c r="B22" s="45" t="s">
        <v>116</v>
      </c>
      <c r="C22" s="45">
        <v>1</v>
      </c>
      <c r="D22" s="45" t="str">
        <f>IFERROR(IF(INDEX('01.25'!D2:D500, MATCH(B22&amp;C22, INDEX('01.25'!B2:B500&amp;'01.25'!C2:C500, 0), 0))="", "", INDEX('01.25'!D2:D500, MATCH(B22&amp;C22, INDEX('01.25'!B2:B500&amp;'01.25'!C2:C500, 0), 0))), "")</f>
        <v>Carmen Maria Stein Weiler</v>
      </c>
      <c r="E22" s="107" t="s">
        <v>16</v>
      </c>
      <c r="F22" s="45" t="s">
        <v>334</v>
      </c>
      <c r="G22" s="52" t="s">
        <v>131</v>
      </c>
      <c r="H22" s="45"/>
      <c r="I22" s="45"/>
      <c r="J22" s="45" t="s">
        <v>140</v>
      </c>
      <c r="K22" s="45"/>
    </row>
    <row r="23" spans="1:11" hidden="1" x14ac:dyDescent="0.25">
      <c r="A23" s="48" t="s">
        <v>38</v>
      </c>
      <c r="B23" s="45" t="s">
        <v>75</v>
      </c>
      <c r="C23" s="45">
        <v>1</v>
      </c>
      <c r="D23" s="45" t="str">
        <f>IFERROR(IF(INDEX('01.25'!D2:D500, MATCH(B23&amp;C23, INDEX('01.25'!B2:B500&amp;'01.25'!C2:C500, 0), 0))="", "", INDEX('01.25'!D2:D500, MATCH(B23&amp;C23, INDEX('01.25'!B2:B500&amp;'01.25'!C2:C500, 0), 0))), "")</f>
        <v>Thiago Varaschim Cenci</v>
      </c>
      <c r="E23" s="107" t="s">
        <v>16</v>
      </c>
      <c r="F23" s="45" t="s">
        <v>228</v>
      </c>
      <c r="G23" s="46" t="s">
        <v>131</v>
      </c>
      <c r="H23" s="111" t="s">
        <v>705</v>
      </c>
      <c r="I23" s="45"/>
      <c r="J23" s="45" t="s">
        <v>140</v>
      </c>
      <c r="K23" s="45"/>
    </row>
    <row r="24" spans="1:11" hidden="1" x14ac:dyDescent="0.25">
      <c r="A24" s="51" t="s">
        <v>40</v>
      </c>
      <c r="B24" s="45" t="s">
        <v>80</v>
      </c>
      <c r="C24" s="45">
        <v>1</v>
      </c>
      <c r="D24" s="45" t="str">
        <f>IFERROR(IF(INDEX('01.25'!D2:D500, MATCH(B24&amp;C24, INDEX('01.25'!B2:B500&amp;'01.25'!C2:C500, 0), 0))="", "", INDEX('01.25'!D2:D500, MATCH(B24&amp;C24, INDEX('01.25'!B2:B500&amp;'01.25'!C2:C500, 0), 0))), "")</f>
        <v>Éber Alexandre Nascimento Araújo</v>
      </c>
      <c r="E24" s="108" t="s">
        <v>21</v>
      </c>
      <c r="F24" s="45"/>
      <c r="G24" s="52" t="s">
        <v>131</v>
      </c>
      <c r="H24" s="45"/>
      <c r="I24" s="45"/>
      <c r="J24" s="45" t="s">
        <v>140</v>
      </c>
      <c r="K24" s="45"/>
    </row>
    <row r="25" spans="1:11" hidden="1" x14ac:dyDescent="0.25">
      <c r="A25" s="51" t="s">
        <v>40</v>
      </c>
      <c r="B25" s="45" t="s">
        <v>80</v>
      </c>
      <c r="C25" s="45">
        <v>2</v>
      </c>
      <c r="D25" s="45" t="str">
        <f>IFERROR(IF(INDEX('01.25'!D2:D500, MATCH(B25&amp;C25, INDEX('01.25'!B2:B500&amp;'01.25'!C2:C500, 0), 0))="", "", INDEX('01.25'!D2:D500, MATCH(B25&amp;C25, INDEX('01.25'!B2:B500&amp;'01.25'!C2:C500, 0), 0))), "")</f>
        <v>Andrea Carla Winkelmann</v>
      </c>
      <c r="E25" s="107" t="s">
        <v>16</v>
      </c>
      <c r="F25" s="45" t="s">
        <v>362</v>
      </c>
      <c r="G25" s="52" t="s">
        <v>131</v>
      </c>
      <c r="H25" s="45"/>
      <c r="I25" s="45"/>
      <c r="J25" s="45" t="s">
        <v>140</v>
      </c>
      <c r="K25" s="45"/>
    </row>
    <row r="26" spans="1:11" hidden="1" x14ac:dyDescent="0.25">
      <c r="A26" s="51" t="s">
        <v>40</v>
      </c>
      <c r="B26" s="45" t="s">
        <v>80</v>
      </c>
      <c r="C26" s="45">
        <v>3</v>
      </c>
      <c r="D26" s="45" t="str">
        <f>IFERROR(IF(INDEX('01.25'!D2:D500, MATCH(B26&amp;C26, INDEX('01.25'!B2:B500&amp;'01.25'!C2:C500, 0), 0))="", "", INDEX('01.25'!D2:D500, MATCH(B26&amp;C26, INDEX('01.25'!B2:B500&amp;'01.25'!C2:C500, 0), 0))), "")</f>
        <v>Lorizete de Andrade</v>
      </c>
      <c r="E26" s="107" t="s">
        <v>16</v>
      </c>
      <c r="F26" s="45" t="s">
        <v>362</v>
      </c>
      <c r="G26" s="52" t="s">
        <v>131</v>
      </c>
      <c r="H26" s="45" t="s">
        <v>418</v>
      </c>
      <c r="I26" s="45"/>
      <c r="J26" s="45" t="s">
        <v>140</v>
      </c>
      <c r="K26" s="45"/>
    </row>
    <row r="27" spans="1:11" hidden="1" x14ac:dyDescent="0.25">
      <c r="A27" s="51" t="s">
        <v>40</v>
      </c>
      <c r="B27" s="45" t="s">
        <v>80</v>
      </c>
      <c r="C27" s="45">
        <v>4</v>
      </c>
      <c r="D27" s="45" t="str">
        <f>IFERROR(IF(INDEX('01.25'!D2:D500, MATCH(B27&amp;C27, INDEX('01.25'!B2:B500&amp;'01.25'!C2:C500, 0), 0))="", "", INDEX('01.25'!D2:D500, MATCH(B27&amp;C27, INDEX('01.25'!B2:B500&amp;'01.25'!C2:C500, 0), 0))), "")</f>
        <v>Andressa Maia</v>
      </c>
      <c r="E27" s="107" t="s">
        <v>16</v>
      </c>
      <c r="F27" s="45" t="s">
        <v>267</v>
      </c>
      <c r="G27" s="52" t="s">
        <v>131</v>
      </c>
      <c r="H27" s="45" t="s">
        <v>419</v>
      </c>
      <c r="I27" s="45"/>
      <c r="J27" s="45" t="s">
        <v>140</v>
      </c>
      <c r="K27" s="45"/>
    </row>
    <row r="28" spans="1:11" hidden="1" x14ac:dyDescent="0.25">
      <c r="A28" s="51" t="s">
        <v>40</v>
      </c>
      <c r="B28" s="45" t="s">
        <v>80</v>
      </c>
      <c r="C28" s="45">
        <v>5</v>
      </c>
      <c r="D28" s="45" t="str">
        <f>IFERROR(IF(INDEX('01.25'!D2:D500, MATCH(B28&amp;C28, INDEX('01.25'!B2:B500&amp;'01.25'!C2:C500, 0), 0))="", "", INDEX('01.25'!D2:D500, MATCH(B28&amp;C28, INDEX('01.25'!B2:B500&amp;'01.25'!C2:C500, 0), 0))), "")</f>
        <v>Lucas Correia de Souza</v>
      </c>
      <c r="E28" s="107" t="s">
        <v>16</v>
      </c>
      <c r="F28" s="45" t="s">
        <v>247</v>
      </c>
      <c r="G28" s="52" t="s">
        <v>131</v>
      </c>
      <c r="H28" s="45"/>
      <c r="I28" s="45"/>
      <c r="J28" s="45" t="s">
        <v>140</v>
      </c>
      <c r="K28" s="45"/>
    </row>
    <row r="29" spans="1:11" hidden="1" x14ac:dyDescent="0.25">
      <c r="A29" s="51" t="s">
        <v>40</v>
      </c>
      <c r="B29" s="45" t="s">
        <v>80</v>
      </c>
      <c r="C29" s="45">
        <v>6</v>
      </c>
      <c r="D29" s="45" t="str">
        <f>IFERROR(IF(INDEX('01.25'!D2:D500, MATCH(B29&amp;C29, INDEX('01.25'!B2:B500&amp;'01.25'!C2:C500, 0), 0))="", "", INDEX('01.25'!D2:D500, MATCH(B29&amp;C29, INDEX('01.25'!B2:B500&amp;'01.25'!C2:C500, 0), 0))), "")</f>
        <v>Jose Francisco Mariano de Faria Filho</v>
      </c>
      <c r="E29" s="107" t="s">
        <v>16</v>
      </c>
      <c r="F29" s="45" t="s">
        <v>399</v>
      </c>
      <c r="G29" s="52" t="s">
        <v>131</v>
      </c>
      <c r="H29" s="45" t="s">
        <v>420</v>
      </c>
      <c r="I29" s="45"/>
      <c r="J29" s="45" t="s">
        <v>140</v>
      </c>
      <c r="K29" s="45"/>
    </row>
    <row r="30" spans="1:11" hidden="1" x14ac:dyDescent="0.25">
      <c r="A30" s="51" t="s">
        <v>40</v>
      </c>
      <c r="B30" s="45" t="s">
        <v>80</v>
      </c>
      <c r="C30" s="45">
        <v>7</v>
      </c>
      <c r="D30" s="45" t="str">
        <f>IFERROR(IF(INDEX('01.25'!D2:D500, MATCH(B30&amp;C30, INDEX('01.25'!B2:B500&amp;'01.25'!C2:C500, 0), 0))="", "", INDEX('01.25'!D2:D500, MATCH(B30&amp;C30, INDEX('01.25'!B2:B500&amp;'01.25'!C2:C500, 0), 0))), "")</f>
        <v>Pedro Henrique Mariano de Faria</v>
      </c>
      <c r="E30" s="107" t="s">
        <v>16</v>
      </c>
      <c r="F30" s="45" t="s">
        <v>267</v>
      </c>
      <c r="G30" s="52" t="s">
        <v>131</v>
      </c>
      <c r="H30" s="45" t="s">
        <v>421</v>
      </c>
      <c r="I30" s="45"/>
      <c r="J30" s="45" t="s">
        <v>140</v>
      </c>
      <c r="K30" s="45"/>
    </row>
    <row r="31" spans="1:11" hidden="1" x14ac:dyDescent="0.25">
      <c r="A31" s="51" t="s">
        <v>40</v>
      </c>
      <c r="B31" s="45" t="s">
        <v>80</v>
      </c>
      <c r="C31" s="45">
        <v>8</v>
      </c>
      <c r="D31" s="45" t="str">
        <f>IFERROR(IF(INDEX('01.25'!D2:D500, MATCH(B31&amp;C31, INDEX('01.25'!B2:B500&amp;'01.25'!C2:C500, 0), 0))="", "", INDEX('01.25'!D2:D500, MATCH(B31&amp;C31, INDEX('01.25'!B2:B500&amp;'01.25'!C2:C500, 0), 0))), "")</f>
        <v>Renata Aparecida de Souza</v>
      </c>
      <c r="E31" s="107" t="s">
        <v>16</v>
      </c>
      <c r="F31" s="45" t="s">
        <v>362</v>
      </c>
      <c r="G31" s="52" t="s">
        <v>131</v>
      </c>
      <c r="H31" s="45" t="s">
        <v>422</v>
      </c>
      <c r="I31" s="45"/>
      <c r="J31" s="45" t="s">
        <v>140</v>
      </c>
      <c r="K31" s="45"/>
    </row>
    <row r="32" spans="1:11" hidden="1" x14ac:dyDescent="0.25">
      <c r="A32" s="51" t="s">
        <v>40</v>
      </c>
      <c r="B32" s="45" t="s">
        <v>80</v>
      </c>
      <c r="C32" s="45">
        <v>9</v>
      </c>
      <c r="D32" s="45" t="str">
        <f>IFERROR(IF(INDEX('01.25'!D2:D500, MATCH(B32&amp;C32, INDEX('01.25'!B2:B500&amp;'01.25'!C2:C500, 0), 0))="", "", INDEX('01.25'!D2:D500, MATCH(B32&amp;C32, INDEX('01.25'!B2:B500&amp;'01.25'!C2:C500, 0), 0))), "")</f>
        <v>Maria Eduarda dos Santos Arias</v>
      </c>
      <c r="E32" s="108" t="s">
        <v>21</v>
      </c>
      <c r="F32" s="45"/>
      <c r="G32" s="52" t="s">
        <v>131</v>
      </c>
      <c r="H32" s="45"/>
      <c r="I32" s="45"/>
      <c r="J32" s="45" t="s">
        <v>140</v>
      </c>
      <c r="K32" s="45"/>
    </row>
    <row r="33" spans="1:11" hidden="1" x14ac:dyDescent="0.25">
      <c r="A33" s="44" t="s">
        <v>36</v>
      </c>
      <c r="B33" s="45" t="s">
        <v>98</v>
      </c>
      <c r="C33" s="45">
        <v>1</v>
      </c>
      <c r="D33" s="45" t="str">
        <f>IFERROR(IF(INDEX('01.25'!D2:D500, MATCH(B33&amp;C33, INDEX('01.25'!B2:B500&amp;'01.25'!C2:C500, 0), 0))="", "", INDEX('01.25'!D2:D500, MATCH(B33&amp;C33, INDEX('01.25'!B2:B500&amp;'01.25'!C2:C500, 0), 0))), "")</f>
        <v>Paulo Rogerio Hiroshi Fujii</v>
      </c>
      <c r="E33" s="107" t="s">
        <v>16</v>
      </c>
      <c r="F33" s="45" t="s">
        <v>388</v>
      </c>
      <c r="G33" s="46" t="s">
        <v>140</v>
      </c>
      <c r="H33" s="45"/>
      <c r="I33" s="45"/>
      <c r="J33" s="45" t="s">
        <v>140</v>
      </c>
      <c r="K33" s="45"/>
    </row>
    <row r="34" spans="1:11" hidden="1" x14ac:dyDescent="0.25">
      <c r="A34" s="44" t="s">
        <v>36</v>
      </c>
      <c r="B34" s="45" t="s">
        <v>99</v>
      </c>
      <c r="C34" s="45">
        <v>1</v>
      </c>
      <c r="D34" s="45" t="str">
        <f>IFERROR(IF(INDEX('01.25'!D2:D500, MATCH(B34&amp;C34, INDEX('01.25'!B2:B500&amp;'01.25'!C2:C500, 0), 0))="", "", INDEX('01.25'!D2:D500, MATCH(B34&amp;C34, INDEX('01.25'!B2:B500&amp;'01.25'!C2:C500, 0), 0))), "")</f>
        <v>Marlene R. Oliveira Dallacosta</v>
      </c>
      <c r="E34" s="107" t="s">
        <v>16</v>
      </c>
      <c r="F34" s="45" t="s">
        <v>296</v>
      </c>
      <c r="G34" s="46" t="s">
        <v>140</v>
      </c>
      <c r="H34" s="45"/>
      <c r="I34" s="45"/>
      <c r="J34" s="45" t="s">
        <v>140</v>
      </c>
      <c r="K34" s="45"/>
    </row>
    <row r="35" spans="1:11" hidden="1" x14ac:dyDescent="0.25">
      <c r="A35" s="47" t="s">
        <v>28</v>
      </c>
      <c r="B35" s="45" t="s">
        <v>94</v>
      </c>
      <c r="C35" s="45">
        <v>1</v>
      </c>
      <c r="D35" s="45" t="str">
        <f>IFERROR(IF(INDEX('01.25'!D2:D500, MATCH(B35&amp;C35, INDEX('01.25'!B2:B500&amp;'01.25'!C2:C500, 0), 0))="", "", INDEX('01.25'!D2:D500, MATCH(B35&amp;C35, INDEX('01.25'!B2:B500&amp;'01.25'!C2:C500, 0), 0))), "")</f>
        <v>Vitolor dos Santos Almeida</v>
      </c>
      <c r="E35" s="107" t="s">
        <v>16</v>
      </c>
      <c r="F35" s="45" t="s">
        <v>399</v>
      </c>
      <c r="G35" s="52" t="s">
        <v>131</v>
      </c>
      <c r="H35" s="45" t="s">
        <v>149</v>
      </c>
      <c r="I35" s="45">
        <v>4578</v>
      </c>
      <c r="J35" s="45" t="s">
        <v>131</v>
      </c>
      <c r="K35" s="45" t="s">
        <v>423</v>
      </c>
    </row>
    <row r="36" spans="1:11" hidden="1" x14ac:dyDescent="0.25">
      <c r="A36" s="47" t="s">
        <v>28</v>
      </c>
      <c r="B36" s="45" t="s">
        <v>95</v>
      </c>
      <c r="C36" s="45">
        <v>1</v>
      </c>
      <c r="D36" s="45" t="str">
        <f>IFERROR(IF(INDEX('01.25'!D2:D500, MATCH(B36&amp;C36, INDEX('01.25'!B2:B500&amp;'01.25'!C2:C500, 0), 0))="", "", INDEX('01.25'!D2:D500, MATCH(B36&amp;C36, INDEX('01.25'!B2:B500&amp;'01.25'!C2:C500, 0), 0))), "")</f>
        <v>Kelly Jackeline Silva do Valle</v>
      </c>
      <c r="E36" s="107" t="s">
        <v>16</v>
      </c>
      <c r="F36" s="45" t="s">
        <v>424</v>
      </c>
      <c r="G36" s="52" t="s">
        <v>131</v>
      </c>
      <c r="H36" s="45" t="s">
        <v>149</v>
      </c>
      <c r="I36" s="45"/>
      <c r="J36" s="45" t="s">
        <v>140</v>
      </c>
      <c r="K36" s="45"/>
    </row>
    <row r="37" spans="1:11" hidden="1" x14ac:dyDescent="0.25">
      <c r="A37" s="47" t="s">
        <v>28</v>
      </c>
      <c r="B37" s="45" t="s">
        <v>96</v>
      </c>
      <c r="C37" s="45">
        <v>1</v>
      </c>
      <c r="D37" s="45" t="str">
        <f>IFERROR(IF(INDEX('01.25'!D2:D500, MATCH(B37&amp;C37, INDEX('01.25'!B2:B500&amp;'01.25'!C2:C500, 0), 0))="", "", INDEX('01.25'!D2:D500, MATCH(B37&amp;C37, INDEX('01.25'!B2:B500&amp;'01.25'!C2:C500, 0), 0))), "")</f>
        <v>Felipe Carvalho Zydek</v>
      </c>
      <c r="E37" s="107" t="s">
        <v>16</v>
      </c>
      <c r="F37" s="45" t="s">
        <v>362</v>
      </c>
      <c r="G37" s="52" t="s">
        <v>131</v>
      </c>
      <c r="H37" s="45" t="s">
        <v>149</v>
      </c>
      <c r="I37" s="45"/>
      <c r="J37" s="45" t="s">
        <v>140</v>
      </c>
      <c r="K37" s="45"/>
    </row>
    <row r="38" spans="1:11" hidden="1" x14ac:dyDescent="0.25">
      <c r="A38" s="48" t="s">
        <v>38</v>
      </c>
      <c r="B38" s="45" t="s">
        <v>107</v>
      </c>
      <c r="C38" s="45">
        <v>1</v>
      </c>
      <c r="D38" s="45" t="str">
        <f>IFERROR(IF(INDEX('01.25'!D2:D500, MATCH(B38&amp;C38, INDEX('01.25'!B2:B500&amp;'01.25'!C2:C500, 0), 0))="", "", INDEX('01.25'!D2:D500, MATCH(B38&amp;C38, INDEX('01.25'!B2:B500&amp;'01.25'!C2:C500, 0), 0))), "")</f>
        <v>Eliane Borin</v>
      </c>
      <c r="E38" s="107" t="s">
        <v>16</v>
      </c>
      <c r="F38" s="45" t="s">
        <v>350</v>
      </c>
      <c r="G38" s="46" t="s">
        <v>131</v>
      </c>
      <c r="H38" s="148" t="s">
        <v>149</v>
      </c>
      <c r="I38" s="45"/>
      <c r="J38" s="45" t="s">
        <v>140</v>
      </c>
      <c r="K38" s="45"/>
    </row>
    <row r="39" spans="1:11" x14ac:dyDescent="0.25">
      <c r="A39" s="50" t="s">
        <v>42</v>
      </c>
      <c r="B39" s="45" t="s">
        <v>117</v>
      </c>
      <c r="C39" s="45">
        <v>1</v>
      </c>
      <c r="D39" s="45" t="str">
        <f>IFERROR(IF(INDEX('01.25'!D2:D500, MATCH(B39&amp;C39, INDEX('01.25'!B2:B500&amp;'01.25'!C2:C500, 0), 0))="", "", INDEX('01.25'!D2:D500, MATCH(B39&amp;C39, INDEX('01.25'!B2:B500&amp;'01.25'!C2:C500, 0), 0))), "")</f>
        <v>Tatiana schrard</v>
      </c>
      <c r="E39" s="107" t="s">
        <v>16</v>
      </c>
      <c r="F39" s="45" t="s">
        <v>159</v>
      </c>
      <c r="G39" s="52" t="s">
        <v>131</v>
      </c>
      <c r="H39" s="45" t="s">
        <v>425</v>
      </c>
      <c r="I39" s="45"/>
      <c r="J39" s="45" t="s">
        <v>140</v>
      </c>
      <c r="K39" s="45"/>
    </row>
    <row r="40" spans="1:11" hidden="1" x14ac:dyDescent="0.25">
      <c r="A40" s="48" t="s">
        <v>38</v>
      </c>
      <c r="B40" s="45" t="s">
        <v>81</v>
      </c>
      <c r="C40" s="45">
        <v>1</v>
      </c>
      <c r="D40" s="45" t="str">
        <f>IFERROR(IF(INDEX('01.25'!D2:D500, MATCH(B40&amp;C40, INDEX('01.25'!B2:B500&amp;'01.25'!C2:C500, 0), 0))="", "", INDEX('01.25'!D2:D500, MATCH(B40&amp;C40, INDEX('01.25'!B2:B500&amp;'01.25'!C2:C500, 0), 0))), "")</f>
        <v>César Piva Glinglani</v>
      </c>
      <c r="E40" s="107" t="s">
        <v>16</v>
      </c>
      <c r="F40" s="45" t="s">
        <v>426</v>
      </c>
      <c r="G40" s="46" t="s">
        <v>140</v>
      </c>
      <c r="H40" s="45"/>
      <c r="I40" s="45"/>
      <c r="J40" s="45" t="s">
        <v>140</v>
      </c>
      <c r="K40" s="45"/>
    </row>
    <row r="41" spans="1:11" hidden="1" x14ac:dyDescent="0.25">
      <c r="A41" s="49" t="s">
        <v>43</v>
      </c>
      <c r="B41" s="45" t="s">
        <v>128</v>
      </c>
      <c r="C41" s="45">
        <v>1</v>
      </c>
      <c r="D41" s="45" t="str">
        <f>IFERROR(IF(INDEX('01.25'!D2:D500, MATCH(B41&amp;C41, INDEX('01.25'!B2:B500&amp;'01.25'!C2:C500, 0), 0))="", "", INDEX('01.25'!D2:D500, MATCH(B41&amp;C41, INDEX('01.25'!B2:B500&amp;'01.25'!C2:C500, 0), 0))), "")</f>
        <v>Ailton Carlos Fialho</v>
      </c>
      <c r="E41" s="107" t="s">
        <v>16</v>
      </c>
      <c r="F41" s="45" t="s">
        <v>399</v>
      </c>
      <c r="G41" s="52" t="s">
        <v>131</v>
      </c>
      <c r="H41" s="45" t="s">
        <v>149</v>
      </c>
      <c r="I41" s="45"/>
      <c r="J41" s="45" t="s">
        <v>140</v>
      </c>
      <c r="K41" s="45"/>
    </row>
    <row r="42" spans="1:11" x14ac:dyDescent="0.25">
      <c r="A42" s="50" t="s">
        <v>42</v>
      </c>
      <c r="B42" s="45" t="s">
        <v>82</v>
      </c>
      <c r="C42" s="45">
        <v>1</v>
      </c>
      <c r="D42" s="45" t="str">
        <f>IFERROR(IF(INDEX('01.25'!D2:D500, MATCH(B42&amp;C42, INDEX('01.25'!B2:B500&amp;'01.25'!C2:C500, 0), 0))="", "", INDEX('01.25'!D2:D500, MATCH(B42&amp;C42, INDEX('01.25'!B2:B500&amp;'01.25'!C2:C500, 0), 0))), "")</f>
        <v>Marcos José Chaves</v>
      </c>
      <c r="E42" s="107" t="s">
        <v>16</v>
      </c>
      <c r="F42" s="45" t="s">
        <v>403</v>
      </c>
      <c r="G42" s="46" t="s">
        <v>131</v>
      </c>
      <c r="H42" s="45"/>
      <c r="I42" s="45"/>
      <c r="J42" s="45" t="s">
        <v>140</v>
      </c>
      <c r="K42" s="45"/>
    </row>
    <row r="43" spans="1:11" x14ac:dyDescent="0.25">
      <c r="A43" s="50" t="s">
        <v>42</v>
      </c>
      <c r="B43" s="45" t="s">
        <v>82</v>
      </c>
      <c r="C43" s="45">
        <v>2</v>
      </c>
      <c r="D43" s="45" t="str">
        <f>IFERROR(IF(INDEX('01.25'!D2:D500, MATCH(B43&amp;C43, INDEX('01.25'!B2:B500&amp;'01.25'!C2:C500, 0), 0))="", "", INDEX('01.25'!D2:D500, MATCH(B43&amp;C43, INDEX('01.25'!B2:B500&amp;'01.25'!C2:C500, 0), 0))), "")</f>
        <v>Diego Matheus Reinicke</v>
      </c>
      <c r="E43" s="107" t="s">
        <v>16</v>
      </c>
      <c r="F43" s="45" t="s">
        <v>404</v>
      </c>
      <c r="G43" s="46" t="s">
        <v>131</v>
      </c>
      <c r="H43" s="147" t="s">
        <v>714</v>
      </c>
      <c r="I43" s="45"/>
      <c r="J43" s="45" t="s">
        <v>140</v>
      </c>
      <c r="K43" s="45"/>
    </row>
    <row r="44" spans="1:11" hidden="1" x14ac:dyDescent="0.25">
      <c r="A44" s="48" t="s">
        <v>38</v>
      </c>
      <c r="B44" s="45" t="s">
        <v>76</v>
      </c>
      <c r="C44" s="45">
        <v>1</v>
      </c>
      <c r="D44" s="45" t="str">
        <f>IFERROR(IF(INDEX('01.25'!D2:D500, MATCH(B44&amp;C44, INDEX('01.25'!B2:B500&amp;'01.25'!C2:C500, 0), 0))="", "", INDEX('01.25'!D2:D500, MATCH(B44&amp;C44, INDEX('01.25'!B2:B500&amp;'01.25'!C2:C500, 0), 0))), "")</f>
        <v>Cleiton Manske</v>
      </c>
      <c r="E44" s="107" t="s">
        <v>16</v>
      </c>
      <c r="F44" s="45" t="s">
        <v>342</v>
      </c>
      <c r="G44" s="52" t="s">
        <v>131</v>
      </c>
      <c r="H44" s="45"/>
      <c r="I44" s="45"/>
      <c r="J44" s="45" t="s">
        <v>140</v>
      </c>
      <c r="K44" s="45"/>
    </row>
    <row r="45" spans="1:11" x14ac:dyDescent="0.25">
      <c r="A45" s="50" t="s">
        <v>42</v>
      </c>
      <c r="B45" s="45" t="s">
        <v>118</v>
      </c>
      <c r="C45" s="45">
        <v>1</v>
      </c>
      <c r="D45" s="45" t="str">
        <f>IFERROR(IF(INDEX('01.25'!D2:D500, MATCH(B45&amp;C45, INDEX('01.25'!B2:B500&amp;'01.25'!C2:C500, 0), 0))="", "", INDEX('01.25'!D2:D500, MATCH(B45&amp;C45, INDEX('01.25'!B2:B500&amp;'01.25'!C2:C500, 0), 0))), "")</f>
        <v>Alexandro Aparecido de Lima Vieira</v>
      </c>
      <c r="E45" s="107" t="s">
        <v>16</v>
      </c>
      <c r="F45" s="45" t="s">
        <v>362</v>
      </c>
      <c r="G45" s="52" t="s">
        <v>131</v>
      </c>
      <c r="H45" s="45" t="s">
        <v>421</v>
      </c>
      <c r="I45" s="45"/>
      <c r="J45" s="45" t="s">
        <v>140</v>
      </c>
      <c r="K45" s="45"/>
    </row>
    <row r="46" spans="1:11" hidden="1" x14ac:dyDescent="0.25">
      <c r="A46" s="51" t="s">
        <v>40</v>
      </c>
      <c r="B46" s="45" t="s">
        <v>111</v>
      </c>
      <c r="C46" s="45">
        <v>1</v>
      </c>
      <c r="D46" s="45" t="str">
        <f>IFERROR(IF(INDEX('01.25'!D2:D500, MATCH(B46&amp;C46, INDEX('01.25'!B2:B500&amp;'01.25'!C2:C500, 0), 0))="", "", INDEX('01.25'!D2:D500, MATCH(B46&amp;C46, INDEX('01.25'!B2:B500&amp;'01.25'!C2:C500, 0), 0))), "")</f>
        <v>Rafael Henrique Caetano</v>
      </c>
      <c r="E46" s="107" t="s">
        <v>16</v>
      </c>
      <c r="F46" s="45" t="s">
        <v>154</v>
      </c>
      <c r="G46" s="52" t="s">
        <v>131</v>
      </c>
      <c r="H46" s="45"/>
      <c r="I46" s="45"/>
      <c r="J46" s="45" t="s">
        <v>140</v>
      </c>
      <c r="K46" s="45"/>
    </row>
    <row r="47" spans="1:11" hidden="1" x14ac:dyDescent="0.25">
      <c r="A47" s="44" t="s">
        <v>36</v>
      </c>
      <c r="B47" s="45" t="s">
        <v>100</v>
      </c>
      <c r="C47" s="45">
        <v>1</v>
      </c>
      <c r="D47" s="45" t="str">
        <f>IFERROR(IF(INDEX('01.25'!D2:D500, MATCH(B47&amp;C47, INDEX('01.25'!B2:B500&amp;'01.25'!C2:C500, 0), 0))="", "", INDEX('01.25'!D2:D500, MATCH(B47&amp;C47, INDEX('01.25'!B2:B500&amp;'01.25'!C2:C500, 0), 0))), "")</f>
        <v>Roberto Pedron</v>
      </c>
      <c r="E47" s="107" t="s">
        <v>16</v>
      </c>
      <c r="F47" s="45" t="s">
        <v>427</v>
      </c>
      <c r="G47" s="46" t="s">
        <v>140</v>
      </c>
      <c r="H47" s="45"/>
      <c r="I47" s="45"/>
      <c r="J47" s="45" t="s">
        <v>140</v>
      </c>
      <c r="K47" s="45"/>
    </row>
    <row r="48" spans="1:11" x14ac:dyDescent="0.25">
      <c r="A48" s="50" t="s">
        <v>42</v>
      </c>
      <c r="B48" s="45" t="s">
        <v>119</v>
      </c>
      <c r="C48" s="45">
        <v>1</v>
      </c>
      <c r="D48" s="45" t="str">
        <f>IFERROR(IF(INDEX('01.25'!D2:D500, MATCH(B48&amp;C48, INDEX('01.25'!B2:B500&amp;'01.25'!C2:C500, 0), 0))="", "", INDEX('01.25'!D2:D500, MATCH(B48&amp;C48, INDEX('01.25'!B2:B500&amp;'01.25'!C2:C500, 0), 0))), "")</f>
        <v>Luciane Spies</v>
      </c>
      <c r="E48" s="107" t="s">
        <v>16</v>
      </c>
      <c r="F48" s="45" t="s">
        <v>350</v>
      </c>
      <c r="G48" s="52" t="s">
        <v>131</v>
      </c>
      <c r="H48" s="45"/>
      <c r="I48" s="45"/>
      <c r="J48" s="45" t="s">
        <v>140</v>
      </c>
      <c r="K48" s="45"/>
    </row>
    <row r="49" spans="1:11" hidden="1" x14ac:dyDescent="0.25">
      <c r="A49" s="44" t="s">
        <v>36</v>
      </c>
      <c r="B49" s="45" t="s">
        <v>77</v>
      </c>
      <c r="C49" s="45">
        <v>1</v>
      </c>
      <c r="D49" s="45" t="str">
        <f>IFERROR(IF(INDEX('01.25'!D2:D500, MATCH(B49&amp;C49, INDEX('01.25'!B2:B500&amp;'01.25'!C2:C500, 0), 0))="", "", INDEX('01.25'!D2:D500, MATCH(B49&amp;C49, INDEX('01.25'!B2:B500&amp;'01.25'!C2:C500, 0), 0))), "")</f>
        <v>Jaqueline Fernanda Meireles</v>
      </c>
      <c r="E49" s="107" t="s">
        <v>16</v>
      </c>
      <c r="F49" s="45" t="s">
        <v>350</v>
      </c>
      <c r="G49" s="52" t="s">
        <v>131</v>
      </c>
      <c r="H49" s="45" t="s">
        <v>149</v>
      </c>
      <c r="I49" s="45"/>
      <c r="J49" s="45" t="s">
        <v>140</v>
      </c>
      <c r="K49" s="45"/>
    </row>
    <row r="50" spans="1:11" hidden="1" x14ac:dyDescent="0.25">
      <c r="A50" s="48" t="s">
        <v>38</v>
      </c>
      <c r="B50" s="45" t="s">
        <v>108</v>
      </c>
      <c r="C50" s="45">
        <v>1</v>
      </c>
      <c r="D50" s="45" t="str">
        <f>IFERROR(IF(INDEX('01.25'!D2:D500, MATCH(B50&amp;C50, INDEX('01.25'!B2:B500&amp;'01.25'!C2:C500, 0), 0))="", "", INDEX('01.25'!D2:D500, MATCH(B50&amp;C50, INDEX('01.25'!B2:B500&amp;'01.25'!C2:C500, 0), 0))), "")</f>
        <v>Luiz Fernando Pereira Barbosa</v>
      </c>
      <c r="E50" s="107" t="s">
        <v>16</v>
      </c>
      <c r="F50" s="45" t="s">
        <v>405</v>
      </c>
      <c r="G50" s="46" t="s">
        <v>140</v>
      </c>
      <c r="H50" s="45"/>
      <c r="I50" s="45"/>
      <c r="J50" s="45" t="s">
        <v>140</v>
      </c>
      <c r="K50" s="45"/>
    </row>
    <row r="51" spans="1:11" hidden="1" x14ac:dyDescent="0.25">
      <c r="A51" s="44" t="s">
        <v>36</v>
      </c>
      <c r="B51" s="45" t="s">
        <v>101</v>
      </c>
      <c r="C51" s="45">
        <v>1</v>
      </c>
      <c r="D51" s="45" t="str">
        <f>IFERROR(IF(INDEX('01.25'!D2:D500, MATCH(B51&amp;C51, INDEX('01.25'!B2:B500&amp;'01.25'!C2:C500, 0), 0))="", "", INDEX('01.25'!D2:D500, MATCH(B51&amp;C51, INDEX('01.25'!B2:B500&amp;'01.25'!C2:C500, 0), 0))), "")</f>
        <v>Carolina Eggers</v>
      </c>
      <c r="E51" s="107" t="s">
        <v>16</v>
      </c>
      <c r="F51" s="45" t="s">
        <v>362</v>
      </c>
      <c r="G51" s="52" t="s">
        <v>131</v>
      </c>
      <c r="H51" s="45" t="s">
        <v>428</v>
      </c>
      <c r="I51" s="45"/>
      <c r="J51" s="45" t="s">
        <v>140</v>
      </c>
      <c r="K51" s="45"/>
    </row>
    <row r="52" spans="1:11" hidden="1" x14ac:dyDescent="0.25">
      <c r="A52" s="44" t="s">
        <v>36</v>
      </c>
      <c r="B52" s="45" t="s">
        <v>102</v>
      </c>
      <c r="C52" s="45">
        <v>1</v>
      </c>
      <c r="D52" s="45" t="str">
        <f>IFERROR(IF(INDEX('01.25'!D2:D500, MATCH(B52&amp;C52, INDEX('01.25'!B2:B500&amp;'01.25'!C2:C500, 0), 0))="", "", INDEX('01.25'!D2:D500, MATCH(B52&amp;C52, INDEX('01.25'!B2:B500&amp;'01.25'!C2:C500, 0), 0))), "")</f>
        <v>Ivan Gonçalves da Silva</v>
      </c>
      <c r="E52" s="107" t="s">
        <v>16</v>
      </c>
      <c r="F52" s="45" t="s">
        <v>247</v>
      </c>
      <c r="G52" s="52" t="s">
        <v>131</v>
      </c>
      <c r="H52" s="45" t="s">
        <v>429</v>
      </c>
      <c r="I52" s="45"/>
      <c r="J52" s="45" t="s">
        <v>140</v>
      </c>
      <c r="K52" s="45"/>
    </row>
    <row r="53" spans="1:11" hidden="1" x14ac:dyDescent="0.25">
      <c r="A53" s="48" t="s">
        <v>38</v>
      </c>
      <c r="B53" s="45" t="s">
        <v>83</v>
      </c>
      <c r="C53" s="45">
        <v>1</v>
      </c>
      <c r="D53" s="45" t="str">
        <f>IFERROR(IF(INDEX('01.25'!D2:D500, MATCH(B53&amp;C53, INDEX('01.25'!B2:B500&amp;'01.25'!C2:C500, 0), 0))="", "", INDEX('01.25'!D2:D500, MATCH(B53&amp;C53, INDEX('01.25'!B2:B500&amp;'01.25'!C2:C500, 0), 0))), "")</f>
        <v>Dorival Manoel Canhete</v>
      </c>
      <c r="E53" s="107" t="s">
        <v>16</v>
      </c>
      <c r="F53" s="45" t="s">
        <v>430</v>
      </c>
      <c r="G53" s="46" t="s">
        <v>140</v>
      </c>
      <c r="H53" s="45"/>
      <c r="I53" s="45"/>
      <c r="J53" s="45" t="s">
        <v>140</v>
      </c>
      <c r="K53" s="45"/>
    </row>
    <row r="54" spans="1:11" x14ac:dyDescent="0.25">
      <c r="A54" s="50" t="s">
        <v>42</v>
      </c>
      <c r="B54" s="45" t="s">
        <v>120</v>
      </c>
      <c r="C54" s="45">
        <v>1</v>
      </c>
      <c r="D54" s="45" t="str">
        <f>IFERROR(IF(INDEX('01.25'!D2:D500, MATCH(B54&amp;C54, INDEX('01.25'!B2:B500&amp;'01.25'!C2:C500, 0), 0))="", "", INDEX('01.25'!D2:D500, MATCH(B54&amp;C54, INDEX('01.25'!B2:B500&amp;'01.25'!C2:C500, 0), 0))), "")</f>
        <v>Jaqueline Vanelli</v>
      </c>
      <c r="E54" s="107" t="s">
        <v>16</v>
      </c>
      <c r="F54" s="45" t="s">
        <v>267</v>
      </c>
      <c r="G54" s="52" t="s">
        <v>131</v>
      </c>
      <c r="H54" s="45" t="s">
        <v>431</v>
      </c>
      <c r="I54" s="45"/>
      <c r="J54" s="45" t="s">
        <v>140</v>
      </c>
      <c r="K54" s="45"/>
    </row>
    <row r="55" spans="1:11" hidden="1" x14ac:dyDescent="0.25">
      <c r="A55" s="44" t="s">
        <v>36</v>
      </c>
      <c r="B55" s="45" t="s">
        <v>103</v>
      </c>
      <c r="C55" s="45">
        <v>1</v>
      </c>
      <c r="D55" s="45" t="str">
        <f>IFERROR(IF(INDEX('01.25'!D2:D500, MATCH(B55&amp;C55, INDEX('01.25'!B2:B500&amp;'01.25'!C2:C500, 0), 0))="", "", INDEX('01.25'!D2:D500, MATCH(B55&amp;C55, INDEX('01.25'!B2:B500&amp;'01.25'!C2:C500, 0), 0))), "")</f>
        <v>Fernanda Jung</v>
      </c>
      <c r="E55" s="107" t="s">
        <v>16</v>
      </c>
      <c r="F55" s="45" t="s">
        <v>408</v>
      </c>
      <c r="G55" s="52" t="s">
        <v>131</v>
      </c>
      <c r="H55" s="45" t="s">
        <v>149</v>
      </c>
      <c r="I55" s="45"/>
      <c r="J55" s="45" t="s">
        <v>140</v>
      </c>
      <c r="K55" s="45"/>
    </row>
    <row r="56" spans="1:11" x14ac:dyDescent="0.25">
      <c r="A56" s="50" t="s">
        <v>42</v>
      </c>
      <c r="B56" s="45" t="s">
        <v>121</v>
      </c>
      <c r="C56" s="45">
        <v>1</v>
      </c>
      <c r="D56" s="45" t="str">
        <f>IFERROR(IF(INDEX('01.25'!D2:D500, MATCH(B56&amp;C56, INDEX('01.25'!B2:B500&amp;'01.25'!C2:C500, 0), 0))="", "", INDEX('01.25'!D2:D500, MATCH(B56&amp;C56, INDEX('01.25'!B2:B500&amp;'01.25'!C2:C500, 0), 0))), "")</f>
        <v>Ana Paula Romagnoli</v>
      </c>
      <c r="E56" s="107" t="s">
        <v>16</v>
      </c>
      <c r="F56" s="45" t="s">
        <v>432</v>
      </c>
      <c r="G56" s="52" t="s">
        <v>131</v>
      </c>
      <c r="H56" s="45"/>
      <c r="I56" s="45"/>
      <c r="J56" s="45" t="s">
        <v>140</v>
      </c>
      <c r="K56" s="45"/>
    </row>
    <row r="57" spans="1:11" x14ac:dyDescent="0.25">
      <c r="A57" s="50" t="s">
        <v>42</v>
      </c>
      <c r="B57" s="45" t="s">
        <v>122</v>
      </c>
      <c r="C57" s="45">
        <v>1</v>
      </c>
      <c r="D57" s="45" t="str">
        <f>IFERROR(IF(INDEX('01.25'!D2:D500, MATCH(B57&amp;C57, INDEX('01.25'!B2:B500&amp;'01.25'!C2:C500, 0), 0))="", "", INDEX('01.25'!D2:D500, MATCH(B57&amp;C57, INDEX('01.25'!B2:B500&amp;'01.25'!C2:C500, 0), 0))), "")</f>
        <v>Alexandro Schaparini</v>
      </c>
      <c r="E57" s="107" t="s">
        <v>16</v>
      </c>
      <c r="F57" s="45" t="s">
        <v>399</v>
      </c>
      <c r="G57" s="52" t="s">
        <v>131</v>
      </c>
      <c r="H57" s="45" t="s">
        <v>431</v>
      </c>
      <c r="I57" s="45"/>
      <c r="J57" s="45" t="s">
        <v>140</v>
      </c>
      <c r="K57" s="45"/>
    </row>
    <row r="58" spans="1:11" hidden="1" x14ac:dyDescent="0.25">
      <c r="A58" s="49" t="s">
        <v>43</v>
      </c>
      <c r="B58" s="45" t="s">
        <v>129</v>
      </c>
      <c r="C58" s="45">
        <v>1</v>
      </c>
      <c r="D58" s="45" t="str">
        <f>IFERROR(IF(INDEX('01.25'!D2:D500, MATCH(B58&amp;C58, INDEX('01.25'!B2:B500&amp;'01.25'!C2:C500, 0), 0))="", "", INDEX('01.25'!D2:D500, MATCH(B58&amp;C58, INDEX('01.25'!B2:B500&amp;'01.25'!C2:C500, 0), 0))), "")</f>
        <v>Marina Ancelmo da Silva</v>
      </c>
      <c r="E58" s="107" t="s">
        <v>16</v>
      </c>
      <c r="F58" s="45" t="s">
        <v>267</v>
      </c>
      <c r="G58" s="52" t="s">
        <v>131</v>
      </c>
      <c r="H58" s="45" t="s">
        <v>149</v>
      </c>
      <c r="I58" s="45"/>
      <c r="J58" s="45" t="s">
        <v>140</v>
      </c>
      <c r="K58" s="45"/>
    </row>
    <row r="59" spans="1:11" hidden="1" x14ac:dyDescent="0.25">
      <c r="A59" s="49" t="s">
        <v>43</v>
      </c>
      <c r="B59" s="45" t="s">
        <v>130</v>
      </c>
      <c r="C59" s="45">
        <v>1</v>
      </c>
      <c r="D59" s="45" t="str">
        <f>IFERROR(IF(INDEX('01.25'!D2:D500, MATCH(B59&amp;C59, INDEX('01.25'!B2:B500&amp;'01.25'!C2:C500, 0), 0))="", "", INDEX('01.25'!D2:D500, MATCH(B59&amp;C59, INDEX('01.25'!B2:B500&amp;'01.25'!C2:C500, 0), 0))), "")</f>
        <v>Ana Carolina Peterle Ribeiro</v>
      </c>
      <c r="E59" s="107" t="s">
        <v>16</v>
      </c>
      <c r="F59" s="45" t="s">
        <v>291</v>
      </c>
      <c r="G59" s="52" t="s">
        <v>131</v>
      </c>
      <c r="H59" s="45" t="s">
        <v>698</v>
      </c>
      <c r="I59" s="45"/>
      <c r="J59" s="45" t="s">
        <v>140</v>
      </c>
      <c r="K59" s="45"/>
    </row>
    <row r="60" spans="1:11" hidden="1" x14ac:dyDescent="0.25">
      <c r="A60" s="51" t="s">
        <v>40</v>
      </c>
      <c r="B60" s="45" t="s">
        <v>112</v>
      </c>
      <c r="C60" s="45">
        <v>1</v>
      </c>
      <c r="D60" s="45" t="str">
        <f>IFERROR(IF(INDEX('01.25'!D2:D500, MATCH(B60&amp;C60, INDEX('01.25'!B2:B500&amp;'01.25'!C2:C500, 0), 0))="", "", INDEX('01.25'!D2:D500, MATCH(B60&amp;C60, INDEX('01.25'!B2:B500&amp;'01.25'!C2:C500, 0), 0))), "")</f>
        <v>Taiane Amélia Mondardo</v>
      </c>
      <c r="E60" s="107" t="s">
        <v>16</v>
      </c>
      <c r="F60" s="45" t="s">
        <v>433</v>
      </c>
      <c r="G60" s="52" t="s">
        <v>131</v>
      </c>
      <c r="H60" s="45"/>
      <c r="I60" s="45"/>
      <c r="J60" s="45" t="s">
        <v>140</v>
      </c>
      <c r="K60" s="45"/>
    </row>
    <row r="61" spans="1:11" hidden="1" x14ac:dyDescent="0.25">
      <c r="A61" s="44" t="s">
        <v>36</v>
      </c>
      <c r="B61" s="45" t="s">
        <v>104</v>
      </c>
      <c r="C61" s="45">
        <v>1</v>
      </c>
      <c r="D61" s="45" t="str">
        <f>IFERROR(IF(INDEX('01.25'!D2:D500, MATCH(B61&amp;C61, INDEX('01.25'!B2:B500&amp;'01.25'!C2:C500, 0), 0))="", "", INDEX('01.25'!D2:D500, MATCH(B61&amp;C61, INDEX('01.25'!B2:B500&amp;'01.25'!C2:C500, 0), 0))), "")</f>
        <v>Regiane Lucia Pereira</v>
      </c>
      <c r="E61" s="107" t="s">
        <v>16</v>
      </c>
      <c r="F61" s="45" t="s">
        <v>350</v>
      </c>
      <c r="G61" s="52" t="s">
        <v>131</v>
      </c>
      <c r="H61" s="45" t="s">
        <v>434</v>
      </c>
      <c r="I61" s="45"/>
      <c r="J61" s="45" t="s">
        <v>140</v>
      </c>
      <c r="K61" s="45"/>
    </row>
    <row r="62" spans="1:11" hidden="1" x14ac:dyDescent="0.25">
      <c r="A62" s="51" t="s">
        <v>40</v>
      </c>
      <c r="B62" s="45" t="s">
        <v>113</v>
      </c>
      <c r="C62" s="45">
        <v>1</v>
      </c>
      <c r="D62" s="45" t="str">
        <f>IFERROR(IF(INDEX('01.25'!D2:D500, MATCH(B62&amp;C62, INDEX('01.25'!B2:B500&amp;'01.25'!C2:C500, 0), 0))="", "", INDEX('01.25'!D2:D500, MATCH(B62&amp;C62, INDEX('01.25'!B2:B500&amp;'01.25'!C2:C500, 0), 0))), "")</f>
        <v>Andryws Rafael Gois</v>
      </c>
      <c r="E62" s="107" t="s">
        <v>16</v>
      </c>
      <c r="F62" s="45" t="s">
        <v>388</v>
      </c>
      <c r="G62" s="52" t="s">
        <v>131</v>
      </c>
      <c r="H62" s="45" t="s">
        <v>435</v>
      </c>
      <c r="I62" s="45"/>
      <c r="J62" s="45" t="s">
        <v>140</v>
      </c>
      <c r="K62" s="45"/>
    </row>
    <row r="63" spans="1:11" x14ac:dyDescent="0.25">
      <c r="A63" s="50" t="s">
        <v>42</v>
      </c>
      <c r="B63" s="45" t="s">
        <v>123</v>
      </c>
      <c r="C63" s="45">
        <v>1</v>
      </c>
      <c r="D63" s="45" t="str">
        <f>IFERROR(IF(INDEX('01.25'!D2:D500, MATCH(B63&amp;C63, INDEX('01.25'!B2:B500&amp;'01.25'!C2:C500, 0), 0))="", "", INDEX('01.25'!D2:D500, MATCH(B63&amp;C63, INDEX('01.25'!B2:B500&amp;'01.25'!C2:C500, 0), 0))), "")</f>
        <v>Mayara Ketllyn de Paula Rosetti</v>
      </c>
      <c r="E63" s="107" t="s">
        <v>16</v>
      </c>
      <c r="F63" s="45" t="s">
        <v>296</v>
      </c>
      <c r="G63" s="52" t="s">
        <v>131</v>
      </c>
      <c r="H63" s="45"/>
      <c r="I63" s="45"/>
      <c r="J63" s="45" t="s">
        <v>140</v>
      </c>
      <c r="K63" s="45"/>
    </row>
    <row r="64" spans="1:11" hidden="1" x14ac:dyDescent="0.25">
      <c r="A64" s="51" t="s">
        <v>40</v>
      </c>
      <c r="B64" s="45" t="s">
        <v>114</v>
      </c>
      <c r="C64" s="45">
        <v>1</v>
      </c>
      <c r="D64" s="45" t="str">
        <f>IFERROR(IF(INDEX('01.25'!D2:D500, MATCH(B64&amp;C64, INDEX('01.25'!B2:B500&amp;'01.25'!C2:C500, 0), 0))="", "", INDEX('01.25'!D2:D500, MATCH(B64&amp;C64, INDEX('01.25'!B2:B500&amp;'01.25'!C2:C500, 0), 0))), "")</f>
        <v>Junior Andre Britzke</v>
      </c>
      <c r="E64" s="107" t="s">
        <v>16</v>
      </c>
      <c r="F64" s="45" t="s">
        <v>267</v>
      </c>
      <c r="G64" s="52" t="s">
        <v>131</v>
      </c>
      <c r="H64" s="45"/>
      <c r="I64" s="45"/>
      <c r="J64" s="45" t="s">
        <v>140</v>
      </c>
      <c r="K64" s="45"/>
    </row>
    <row r="65" spans="1:11" hidden="1" x14ac:dyDescent="0.25">
      <c r="A65" s="44" t="s">
        <v>36</v>
      </c>
      <c r="B65" s="45" t="s">
        <v>105</v>
      </c>
      <c r="C65" s="45">
        <v>1</v>
      </c>
      <c r="D65" s="45" t="str">
        <f>IFERROR(IF(INDEX('01.25'!D2:D500, MATCH(B65&amp;C65, INDEX('01.25'!B2:B500&amp;'01.25'!C2:C500, 0), 0))="", "", INDEX('01.25'!D2:D500, MATCH(B65&amp;C65, INDEX('01.25'!B2:B500&amp;'01.25'!C2:C500, 0), 0))), "")</f>
        <v>Adriano Pereira Guedes</v>
      </c>
      <c r="E65" s="107" t="s">
        <v>16</v>
      </c>
      <c r="F65" s="45" t="s">
        <v>247</v>
      </c>
      <c r="G65" s="46" t="s">
        <v>140</v>
      </c>
      <c r="H65" s="45"/>
      <c r="I65" s="45" t="s">
        <v>436</v>
      </c>
      <c r="J65" s="45" t="s">
        <v>131</v>
      </c>
      <c r="K65" s="45" t="s">
        <v>437</v>
      </c>
    </row>
    <row r="66" spans="1:11" hidden="1" x14ac:dyDescent="0.25">
      <c r="A66" s="44" t="s">
        <v>36</v>
      </c>
      <c r="B66" s="45" t="s">
        <v>106</v>
      </c>
      <c r="C66" s="45">
        <v>1</v>
      </c>
      <c r="D66" s="45" t="str">
        <f>IFERROR(IF(INDEX('01.25'!D2:D500, MATCH(B66&amp;C66, INDEX('01.25'!B2:B500&amp;'01.25'!C2:C500, 0), 0))="", "", INDEX('01.25'!D2:D500, MATCH(B66&amp;C66, INDEX('01.25'!B2:B500&amp;'01.25'!C2:C500, 0), 0))), "")</f>
        <v xml:space="preserve">Suzana Cristina de Almeida </v>
      </c>
      <c r="E66" s="107" t="s">
        <v>16</v>
      </c>
      <c r="F66" s="45" t="s">
        <v>438</v>
      </c>
      <c r="G66" s="52" t="s">
        <v>131</v>
      </c>
      <c r="H66" s="45"/>
      <c r="I66" s="45"/>
      <c r="J66" s="45" t="s">
        <v>140</v>
      </c>
      <c r="K66" s="45"/>
    </row>
    <row r="67" spans="1:11" hidden="1" x14ac:dyDescent="0.25">
      <c r="A67" s="47" t="s">
        <v>28</v>
      </c>
      <c r="B67" s="45" t="s">
        <v>85</v>
      </c>
      <c r="C67" s="45">
        <v>1</v>
      </c>
      <c r="D67" s="45" t="str">
        <f>IFERROR(IF(INDEX('01.25'!D2:D500, MATCH(B67&amp;C67, INDEX('01.25'!B2:B500&amp;'01.25'!C2:C500, 0), 0))="", "", INDEX('01.25'!D2:D500, MATCH(B67&amp;C67, INDEX('01.25'!B2:B500&amp;'01.25'!C2:C500, 0), 0))), "")</f>
        <v>Alice Cristiane Zancheta</v>
      </c>
      <c r="E67" s="107" t="s">
        <v>16</v>
      </c>
      <c r="F67" s="45" t="s">
        <v>159</v>
      </c>
      <c r="G67" s="52" t="s">
        <v>131</v>
      </c>
      <c r="H67" s="45" t="s">
        <v>149</v>
      </c>
      <c r="I67" s="45"/>
      <c r="J67" s="45" t="s">
        <v>140</v>
      </c>
      <c r="K67" s="45"/>
    </row>
    <row r="68" spans="1:11" hidden="1" x14ac:dyDescent="0.25">
      <c r="A68" s="48" t="s">
        <v>38</v>
      </c>
      <c r="B68" s="45" t="s">
        <v>109</v>
      </c>
      <c r="C68" s="45">
        <v>1</v>
      </c>
      <c r="D68" s="45" t="str">
        <f>IFERROR(IF(INDEX('01.25'!D2:D500, MATCH(B68&amp;C68, INDEX('01.25'!B2:B500&amp;'01.25'!C2:C500, 0), 0))="", "", INDEX('01.25'!D2:D500, MATCH(B68&amp;C68, INDEX('01.25'!B2:B500&amp;'01.25'!C2:C500, 0), 0))), "")</f>
        <v>Fernanda kaezer de Godoy</v>
      </c>
      <c r="E68" s="107" t="s">
        <v>16</v>
      </c>
      <c r="F68" s="45" t="s">
        <v>362</v>
      </c>
      <c r="G68" s="46" t="s">
        <v>131</v>
      </c>
      <c r="H68" s="148" t="s">
        <v>704</v>
      </c>
      <c r="I68" s="45"/>
      <c r="J68" s="45" t="s">
        <v>140</v>
      </c>
      <c r="K68" s="45"/>
    </row>
    <row r="69" spans="1:11" hidden="1" x14ac:dyDescent="0.25">
      <c r="A69" s="48" t="s">
        <v>38</v>
      </c>
      <c r="B69" s="45" t="s">
        <v>110</v>
      </c>
      <c r="C69" s="45">
        <v>1</v>
      </c>
      <c r="D69" s="45" t="str">
        <f>IFERROR(IF(INDEX('01.25'!D2:D500, MATCH(B69&amp;C69, INDEX('01.25'!B2:B500&amp;'01.25'!C2:C500, 0), 0))="", "", INDEX('01.25'!D2:D500, MATCH(B69&amp;C69, INDEX('01.25'!B2:B500&amp;'01.25'!C2:C500, 0), 0))), "")</f>
        <v xml:space="preserve">Ademir Papini Júnior </v>
      </c>
      <c r="E69" s="107" t="s">
        <v>16</v>
      </c>
      <c r="F69" s="45" t="s">
        <v>273</v>
      </c>
      <c r="G69" s="46" t="s">
        <v>131</v>
      </c>
      <c r="H69" s="45" t="s">
        <v>711</v>
      </c>
      <c r="I69" s="45"/>
      <c r="J69" s="45" t="s">
        <v>140</v>
      </c>
      <c r="K69" s="45"/>
    </row>
    <row r="70" spans="1:11" x14ac:dyDescent="0.25">
      <c r="A70" s="50" t="s">
        <v>42</v>
      </c>
      <c r="B70" s="45" t="s">
        <v>124</v>
      </c>
      <c r="C70" s="45">
        <v>1</v>
      </c>
      <c r="D70" s="45" t="str">
        <f>IFERROR(IF(INDEX('01.25'!D2:D500, MATCH(B70&amp;C70, INDEX('01.25'!B2:B500&amp;'01.25'!C2:C500, 0), 0))="", "", INDEX('01.25'!D2:D500, MATCH(B70&amp;C70, INDEX('01.25'!B2:B500&amp;'01.25'!C2:C500, 0), 0))), "")</f>
        <v>Heloísa Maria Beloni Insenha</v>
      </c>
      <c r="E70" s="107" t="s">
        <v>16</v>
      </c>
      <c r="F70" s="45" t="s">
        <v>439</v>
      </c>
      <c r="G70" s="52" t="s">
        <v>131</v>
      </c>
      <c r="H70" s="45" t="s">
        <v>440</v>
      </c>
      <c r="I70" s="45"/>
      <c r="J70" s="45" t="s">
        <v>140</v>
      </c>
      <c r="K70" s="45"/>
    </row>
  </sheetData>
  <autoFilter ref="A1:G70" xr:uid="{00000000-0009-0000-0000-00000A000000}">
    <filterColumn colId="0">
      <filters>
        <filter val="Luana"/>
      </filters>
    </filterColumn>
  </autoFilter>
  <conditionalFormatting sqref="E2:E70">
    <cfRule type="cellIs" dxfId="113" priority="6" stopIfTrue="1" operator="equal">
      <formula>"Enviado"</formula>
    </cfRule>
    <cfRule type="cellIs" dxfId="112" priority="7" stopIfTrue="1" operator="equal">
      <formula>"Atrasado"</formula>
    </cfRule>
    <cfRule type="cellIs" dxfId="111" priority="8" stopIfTrue="1" operator="equal">
      <formula>"Atrasado &gt;= 2"</formula>
    </cfRule>
    <cfRule type="cellIs" dxfId="110" priority="9" stopIfTrue="1" operator="equal">
      <formula>"Outras Ocorrências"</formula>
    </cfRule>
    <cfRule type="cellIs" dxfId="109" priority="10" stopIfTrue="1" operator="equal">
      <formula>"Sem Técnico"</formula>
    </cfRule>
    <cfRule type="cellIs" dxfId="108" priority="11" stopIfTrue="1" operator="equal">
      <formula>"Duplicado"</formula>
    </cfRule>
  </conditionalFormatting>
  <conditionalFormatting sqref="G2:G70">
    <cfRule type="cellIs" dxfId="107" priority="1" stopIfTrue="1" operator="equal">
      <formula>"Sim"</formula>
    </cfRule>
    <cfRule type="cellIs" dxfId="106" priority="3" stopIfTrue="1" operator="equal">
      <formula>"Não"</formula>
    </cfRule>
  </conditionalFormatting>
  <conditionalFormatting sqref="J2:J70">
    <cfRule type="cellIs" dxfId="105" priority="4" stopIfTrue="1" operator="equal">
      <formula>"Sim"</formula>
    </cfRule>
    <cfRule type="cellIs" dxfId="104" priority="4" stopIfTrue="1" operator="equal">
      <formula>"Não"</formula>
    </cfRule>
    <cfRule type="cellIs" dxfId="103" priority="5" stopIfTrue="1" operator="equal">
      <formula>"Em Análise"</formula>
    </cfRule>
  </conditionalFormatting>
  <dataValidations count="3">
    <dataValidation type="list" allowBlank="1" sqref="G2 G3 G4 G5 G6 G7 G8 G9 G10 G11 G12 G13 G14 G15 G16 G17 G18 G19 G20 G21 G22 G23 G24 G25 G26 G27 G28 G29 G30 G31 G32 G33 G34 G35 G36 G37 G38 G39 G40 G41 G42 G43 G44 G45 G46 G47 G48 G49 G50 G51 G52 G53 G54 G55 G56 G57 G58 G59 G60 G61 G62 G63 G64 G65 G66 G67 G68 G69 G70" xr:uid="{00000000-0002-0000-0A00-000000000000}">
      <formula1>"Sim,Não"</formula1>
    </dataValidation>
    <dataValidation type="list" allowBlank="1" sqref="J2 J3 J4 J5 J6 J7 J8 J9 J10 J11 J12 J13 J14 J15 J16 J17 J18 J19 J20 J21 J22 J23 J24 J25 J26 J27 J28 J29 J30 J31 J32 J33 J34 J35 J36 J37 J38 J39 J40 J41 J42 J43 J44 J45 J46 J47 J48 J49 J50 J51 J52 J53 J54 J55 J56 J57 J58 J59 J60 J61 J62 J63 J64 J65 J66 J67 J68 J69 J70" xr:uid="{00000000-0002-0000-0A00-000001000000}">
      <formula1>"Sim,Não,Em Análise"</formula1>
    </dataValidation>
    <dataValidation type="list" allowBlank="1" sqref="E2 E3 E4 E5 E6 E7 E8 E9 E10 E11 E12 E13 E14 E15 E16 E17 E18 E19 E20 E21 E22 E23 E24 E25 E26 E27 E28 E29 E30 E31 E32 E33 E34 E35 E36 E37 E38 E39 E40 E41 E42 E43 E44 E45 E46 E47 E48 E49 E50 E51 E52 E53 E54 E55 E56 E57 E58 E59 E60 E61 E62 E63 E64 E65 E66 E67 E68 E69 E70" xr:uid="{00000000-0002-0000-0A00-000002000000}">
      <formula1>"Enviado, Atrasado, Atrasado &gt;= 2, Outras Ocorrências, Sem Técnico, Duplicado"</formula1>
    </dataValidation>
  </dataValidation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filterMode="1"/>
  <dimension ref="A1:K70"/>
  <sheetViews>
    <sheetView workbookViewId="0">
      <pane xSplit="3" topLeftCell="D1" activePane="topRight" state="frozen"/>
      <selection pane="topRight" activeCell="H78" sqref="H78"/>
    </sheetView>
  </sheetViews>
  <sheetFormatPr defaultRowHeight="15" x14ac:dyDescent="0.25"/>
  <cols>
    <col min="1" max="1" width="14" customWidth="1"/>
    <col min="2" max="2" width="30" customWidth="1"/>
    <col min="3" max="3" width="8" customWidth="1"/>
    <col min="4" max="4" width="45" customWidth="1"/>
    <col min="5" max="5" width="16" customWidth="1"/>
    <col min="6" max="6" width="18" customWidth="1"/>
    <col min="7" max="7" width="27" customWidth="1"/>
    <col min="8" max="8" width="64" customWidth="1"/>
    <col min="9" max="9" width="34" customWidth="1"/>
    <col min="10" max="10" width="25" customWidth="1"/>
    <col min="11" max="11" width="26" customWidth="1"/>
  </cols>
  <sheetData>
    <row r="1" spans="1:11" x14ac:dyDescent="0.25">
      <c r="A1" s="43" t="s">
        <v>27</v>
      </c>
      <c r="B1" s="43" t="s">
        <v>70</v>
      </c>
      <c r="C1" s="43" t="s">
        <v>71</v>
      </c>
      <c r="D1" s="43" t="s">
        <v>132</v>
      </c>
      <c r="E1" s="43" t="s">
        <v>133</v>
      </c>
      <c r="F1" s="43" t="s">
        <v>134</v>
      </c>
      <c r="G1" s="43" t="s">
        <v>135</v>
      </c>
      <c r="H1" s="43" t="s">
        <v>136</v>
      </c>
      <c r="I1" s="43" t="s">
        <v>137</v>
      </c>
      <c r="J1" s="43" t="s">
        <v>138</v>
      </c>
      <c r="K1" s="43" t="s">
        <v>139</v>
      </c>
    </row>
    <row r="2" spans="1:11" hidden="1" x14ac:dyDescent="0.25">
      <c r="A2" s="44" t="s">
        <v>36</v>
      </c>
      <c r="B2" s="45" t="s">
        <v>97</v>
      </c>
      <c r="C2" s="45">
        <v>1</v>
      </c>
      <c r="D2" s="45" t="str">
        <f>IFERROR(IF(INDEX('01.25'!D2:D500, MATCH(B2&amp;C2, INDEX('01.25'!B2:B500&amp;'01.25'!C2:C500, 0), 0))="", "", INDEX('01.25'!D2:D500, MATCH(B2&amp;C2, INDEX('01.25'!B2:B500&amp;'01.25'!C2:C500, 0), 0))), "")</f>
        <v>Paula Tatiana Santana Vechi</v>
      </c>
      <c r="E2" s="107" t="s">
        <v>16</v>
      </c>
      <c r="F2" s="45" t="s">
        <v>180</v>
      </c>
      <c r="G2" s="52" t="s">
        <v>131</v>
      </c>
      <c r="H2" s="45" t="s">
        <v>441</v>
      </c>
      <c r="I2" s="45"/>
      <c r="J2" s="45" t="s">
        <v>140</v>
      </c>
      <c r="K2" s="45"/>
    </row>
    <row r="3" spans="1:11" hidden="1" x14ac:dyDescent="0.25">
      <c r="A3" s="47" t="s">
        <v>28</v>
      </c>
      <c r="B3" s="45" t="s">
        <v>87</v>
      </c>
      <c r="C3" s="45">
        <v>1</v>
      </c>
      <c r="D3" s="45" t="str">
        <f>IFERROR(IF(INDEX('01.25'!D2:D500, MATCH(B3&amp;C3, INDEX('01.25'!B2:B500&amp;'01.25'!C2:C500, 0), 0))="", "", INDEX('01.25'!D2:D500, MATCH(B3&amp;C3, INDEX('01.25'!B2:B500&amp;'01.25'!C2:C500, 0), 0))), "")</f>
        <v>Willian de Oliveira Lino</v>
      </c>
      <c r="E3" s="107" t="s">
        <v>16</v>
      </c>
      <c r="F3" s="45" t="s">
        <v>387</v>
      </c>
      <c r="G3" s="52" t="s">
        <v>131</v>
      </c>
      <c r="H3" s="45" t="s">
        <v>149</v>
      </c>
      <c r="I3" s="45"/>
      <c r="J3" s="45" t="s">
        <v>140</v>
      </c>
      <c r="K3" s="45"/>
    </row>
    <row r="4" spans="1:11" hidden="1" x14ac:dyDescent="0.25">
      <c r="A4" s="48" t="s">
        <v>38</v>
      </c>
      <c r="B4" s="45" t="s">
        <v>78</v>
      </c>
      <c r="C4" s="45">
        <v>1</v>
      </c>
      <c r="D4" s="45" t="str">
        <f>IFERROR(IF(INDEX('01.25'!D2:D500, MATCH(B4&amp;C4, INDEX('01.25'!B2:B500&amp;'01.25'!C2:C500, 0), 0))="", "", INDEX('01.25'!D2:D500, MATCH(B4&amp;C4, INDEX('01.25'!B2:B500&amp;'01.25'!C2:C500, 0), 0))), "")</f>
        <v>Gisele Cássia Tamparowsky de Oliveira</v>
      </c>
      <c r="E4" s="107" t="s">
        <v>16</v>
      </c>
      <c r="F4" s="45" t="s">
        <v>155</v>
      </c>
      <c r="G4" s="52" t="s">
        <v>131</v>
      </c>
      <c r="H4" s="45"/>
      <c r="I4" s="45"/>
      <c r="J4" s="45" t="s">
        <v>140</v>
      </c>
      <c r="K4" s="45"/>
    </row>
    <row r="5" spans="1:11" hidden="1" x14ac:dyDescent="0.25">
      <c r="A5" s="47" t="s">
        <v>28</v>
      </c>
      <c r="B5" s="45" t="s">
        <v>88</v>
      </c>
      <c r="C5" s="45">
        <v>1</v>
      </c>
      <c r="D5" s="45" t="str">
        <f>IFERROR(IF(INDEX('01.25'!D2:D500, MATCH(B5&amp;C5, INDEX('01.25'!B2:B500&amp;'01.25'!C2:C500, 0), 0))="", "", INDEX('01.25'!D2:D500, MATCH(B5&amp;C5, INDEX('01.25'!B2:B500&amp;'01.25'!C2:C500, 0), 0))), "")</f>
        <v>Marcos Gabriel Franciosi Borges</v>
      </c>
      <c r="E5" s="107" t="s">
        <v>16</v>
      </c>
      <c r="F5" s="45" t="s">
        <v>424</v>
      </c>
      <c r="G5" s="52" t="s">
        <v>131</v>
      </c>
      <c r="H5" s="45" t="s">
        <v>149</v>
      </c>
      <c r="I5" s="45"/>
      <c r="J5" s="45" t="s">
        <v>140</v>
      </c>
      <c r="K5" s="45"/>
    </row>
    <row r="6" spans="1:11" hidden="1" x14ac:dyDescent="0.25">
      <c r="A6" s="47" t="s">
        <v>28</v>
      </c>
      <c r="B6" s="45" t="s">
        <v>89</v>
      </c>
      <c r="C6" s="45">
        <v>1</v>
      </c>
      <c r="D6" s="45" t="str">
        <f>IFERROR(IF(INDEX('01.25'!D2:D500, MATCH(B6&amp;C6, INDEX('01.25'!B2:B500&amp;'01.25'!C2:C500, 0), 0))="", "", INDEX('01.25'!D2:D500, MATCH(B6&amp;C6, INDEX('01.25'!B2:B500&amp;'01.25'!C2:C500, 0), 0))), "")</f>
        <v>Chayla Bianca Gazoli</v>
      </c>
      <c r="E6" s="107" t="s">
        <v>16</v>
      </c>
      <c r="F6" s="45" t="s">
        <v>180</v>
      </c>
      <c r="G6" s="52" t="s">
        <v>131</v>
      </c>
      <c r="H6" s="45" t="s">
        <v>149</v>
      </c>
      <c r="I6" s="45"/>
      <c r="J6" s="45" t="s">
        <v>140</v>
      </c>
      <c r="K6" s="45"/>
    </row>
    <row r="7" spans="1:11" hidden="1" x14ac:dyDescent="0.25">
      <c r="A7" s="48" t="s">
        <v>38</v>
      </c>
      <c r="B7" s="45" t="s">
        <v>84</v>
      </c>
      <c r="C7" s="45">
        <v>1</v>
      </c>
      <c r="D7" s="45" t="str">
        <f>IFERROR(IF(INDEX('01.25'!D2:D500, MATCH(B7&amp;C7, INDEX('01.25'!B2:B500&amp;'01.25'!C2:C500, 0), 0))="", "", INDEX('01.25'!D2:D500, MATCH(B7&amp;C7, INDEX('01.25'!B2:B500&amp;'01.25'!C2:C500, 0), 0))), "")</f>
        <v>Solange Maria Masqueti</v>
      </c>
      <c r="E7" s="107" t="s">
        <v>16</v>
      </c>
      <c r="F7" s="45" t="s">
        <v>180</v>
      </c>
      <c r="G7" s="46" t="s">
        <v>140</v>
      </c>
      <c r="H7" s="45"/>
      <c r="I7" s="45"/>
      <c r="J7" s="45" t="s">
        <v>140</v>
      </c>
      <c r="K7" s="45"/>
    </row>
    <row r="8" spans="1:11" hidden="1" x14ac:dyDescent="0.25">
      <c r="A8" s="48" t="s">
        <v>38</v>
      </c>
      <c r="B8" s="45" t="s">
        <v>79</v>
      </c>
      <c r="C8" s="45">
        <v>1</v>
      </c>
      <c r="D8" s="45" t="str">
        <f>IFERROR(IF(INDEX('01.25'!D2:D500, MATCH(B8&amp;C8, INDEX('01.25'!B2:B500&amp;'01.25'!C2:C500, 0), 0))="", "", INDEX('01.25'!D2:D500, MATCH(B8&amp;C8, INDEX('01.25'!B2:B500&amp;'01.25'!C2:C500, 0), 0))), "")</f>
        <v>Cristiane Petry Vieira</v>
      </c>
      <c r="E8" s="107" t="s">
        <v>16</v>
      </c>
      <c r="F8" s="45" t="s">
        <v>442</v>
      </c>
      <c r="G8" s="46" t="s">
        <v>140</v>
      </c>
      <c r="H8" s="45"/>
      <c r="I8" s="45"/>
      <c r="J8" s="45" t="s">
        <v>140</v>
      </c>
      <c r="K8" s="45"/>
    </row>
    <row r="9" spans="1:11" hidden="1" x14ac:dyDescent="0.25">
      <c r="A9" s="47" t="s">
        <v>28</v>
      </c>
      <c r="B9" s="45" t="s">
        <v>90</v>
      </c>
      <c r="C9" s="45">
        <v>1</v>
      </c>
      <c r="D9" s="45" t="str">
        <f>IFERROR(IF(INDEX('01.25'!D2:D500, MATCH(B9&amp;C9, INDEX('01.25'!B2:B500&amp;'01.25'!C2:C500, 0), 0))="", "", INDEX('01.25'!D2:D500, MATCH(B9&amp;C9, INDEX('01.25'!B2:B500&amp;'01.25'!C2:C500, 0), 0))), "")</f>
        <v>Diego Hemerich</v>
      </c>
      <c r="E9" s="107" t="s">
        <v>16</v>
      </c>
      <c r="F9" s="45" t="s">
        <v>263</v>
      </c>
      <c r="G9" s="52" t="s">
        <v>131</v>
      </c>
      <c r="H9" s="45" t="s">
        <v>443</v>
      </c>
      <c r="I9" s="45"/>
      <c r="J9" s="45" t="s">
        <v>140</v>
      </c>
      <c r="K9" s="45"/>
    </row>
    <row r="10" spans="1:11" hidden="1" x14ac:dyDescent="0.25">
      <c r="A10" s="49" t="s">
        <v>43</v>
      </c>
      <c r="B10" s="45" t="s">
        <v>125</v>
      </c>
      <c r="C10" s="45">
        <v>1</v>
      </c>
      <c r="D10" s="45" t="str">
        <f>IFERROR(IF(INDEX('01.25'!D2:D500, MATCH(B10&amp;C10, INDEX('01.25'!B2:B500&amp;'01.25'!C2:C500, 0), 0))="", "", INDEX('01.25'!D2:D500, MATCH(B10&amp;C10, INDEX('01.25'!B2:B500&amp;'01.25'!C2:C500, 0), 0))), "")</f>
        <v>Tatiane Girardi</v>
      </c>
      <c r="E10" s="107" t="s">
        <v>16</v>
      </c>
      <c r="F10" s="45" t="s">
        <v>444</v>
      </c>
      <c r="G10" s="52" t="s">
        <v>131</v>
      </c>
      <c r="H10" s="45" t="s">
        <v>149</v>
      </c>
      <c r="I10" s="45"/>
      <c r="J10" s="45" t="s">
        <v>140</v>
      </c>
      <c r="K10" s="45"/>
    </row>
    <row r="11" spans="1:11" hidden="1" x14ac:dyDescent="0.25">
      <c r="A11" s="49" t="s">
        <v>43</v>
      </c>
      <c r="B11" s="45" t="s">
        <v>126</v>
      </c>
      <c r="C11" s="45">
        <v>1</v>
      </c>
      <c r="D11" s="45" t="str">
        <f>IFERROR(IF(INDEX('01.25'!D2:D500, MATCH(B11&amp;C11, INDEX('01.25'!B2:B500&amp;'01.25'!C2:C500, 0), 0))="", "", INDEX('01.25'!D2:D500, MATCH(B11&amp;C11, INDEX('01.25'!B2:B500&amp;'01.25'!C2:C500, 0), 0))), "")</f>
        <v>Edson Batista de Castro</v>
      </c>
      <c r="E11" s="107" t="s">
        <v>16</v>
      </c>
      <c r="F11" s="45" t="s">
        <v>445</v>
      </c>
      <c r="G11" s="46" t="s">
        <v>131</v>
      </c>
      <c r="H11" s="45" t="s">
        <v>697</v>
      </c>
      <c r="I11" s="45"/>
      <c r="J11" s="45" t="s">
        <v>140</v>
      </c>
      <c r="K11" s="45"/>
    </row>
    <row r="12" spans="1:11" hidden="1" x14ac:dyDescent="0.25">
      <c r="A12" s="49" t="s">
        <v>43</v>
      </c>
      <c r="B12" s="45" t="s">
        <v>126</v>
      </c>
      <c r="C12" s="45">
        <v>2</v>
      </c>
      <c r="D12" s="45" t="str">
        <f>IFERROR(IF(INDEX('01.25'!D2:D500, MATCH(B12&amp;C12, INDEX('01.25'!B2:B500&amp;'01.25'!C2:C500, 0), 0))="", "", INDEX('01.25'!D2:D500, MATCH(B12&amp;C12, INDEX('01.25'!B2:B500&amp;'01.25'!C2:C500, 0), 0))), "")</f>
        <v>Gabriela Fernanda Sandri</v>
      </c>
      <c r="E12" s="107" t="s">
        <v>16</v>
      </c>
      <c r="F12" s="45" t="s">
        <v>446</v>
      </c>
      <c r="G12" s="46" t="s">
        <v>131</v>
      </c>
      <c r="H12" s="45" t="s">
        <v>700</v>
      </c>
      <c r="I12" s="45"/>
      <c r="J12" s="45" t="s">
        <v>140</v>
      </c>
      <c r="K12" s="45"/>
    </row>
    <row r="13" spans="1:11" hidden="1" x14ac:dyDescent="0.25">
      <c r="A13" s="49" t="s">
        <v>43</v>
      </c>
      <c r="B13" s="45" t="s">
        <v>126</v>
      </c>
      <c r="C13" s="45">
        <v>3</v>
      </c>
      <c r="D13" s="45" t="str">
        <f>IFERROR(IF(INDEX('01.25'!D2:D500, MATCH(B13&amp;C13, INDEX('01.25'!B2:B500&amp;'01.25'!C2:C500, 0), 0))="", "", INDEX('01.25'!D2:D500, MATCH(B13&amp;C13, INDEX('01.25'!B2:B500&amp;'01.25'!C2:C500, 0), 0))), "")</f>
        <v>Eduarda Rohden Donasolo</v>
      </c>
      <c r="E13" s="107" t="s">
        <v>16</v>
      </c>
      <c r="F13" s="45" t="s">
        <v>447</v>
      </c>
      <c r="G13" s="46" t="s">
        <v>131</v>
      </c>
      <c r="H13" s="45" t="s">
        <v>149</v>
      </c>
      <c r="I13" s="45"/>
      <c r="J13" s="45" t="s">
        <v>140</v>
      </c>
      <c r="K13" s="45"/>
    </row>
    <row r="14" spans="1:11" hidden="1" x14ac:dyDescent="0.25">
      <c r="A14" s="49" t="s">
        <v>43</v>
      </c>
      <c r="B14" s="45" t="s">
        <v>126</v>
      </c>
      <c r="C14" s="45">
        <v>4</v>
      </c>
      <c r="D14" s="45" t="str">
        <f>IFERROR(IF(INDEX('01.25'!D2:D500, MATCH(B14&amp;C14, INDEX('01.25'!B2:B500&amp;'01.25'!C2:C500, 0), 0))="", "", INDEX('01.25'!D2:D500, MATCH(B14&amp;C14, INDEX('01.25'!B2:B500&amp;'01.25'!C2:C500, 0), 0))), "")</f>
        <v>Mauricio Pinto de Lima</v>
      </c>
      <c r="E14" s="107" t="s">
        <v>16</v>
      </c>
      <c r="F14" s="45" t="s">
        <v>445</v>
      </c>
      <c r="G14" s="46" t="s">
        <v>131</v>
      </c>
      <c r="H14" s="45" t="s">
        <v>700</v>
      </c>
      <c r="I14" s="45"/>
      <c r="J14" s="45" t="s">
        <v>140</v>
      </c>
      <c r="K14" s="45"/>
    </row>
    <row r="15" spans="1:11" hidden="1" x14ac:dyDescent="0.25">
      <c r="A15" s="49" t="s">
        <v>43</v>
      </c>
      <c r="B15" s="45" t="s">
        <v>126</v>
      </c>
      <c r="C15" s="45">
        <v>5</v>
      </c>
      <c r="D15" s="45" t="str">
        <f>IFERROR(IF(INDEX('01.25'!D2:D500, MATCH(B15&amp;C15, INDEX('01.25'!B2:B500&amp;'01.25'!C2:C500, 0), 0))="", "", INDEX('01.25'!D2:D500, MATCH(B15&amp;C15, INDEX('01.25'!B2:B500&amp;'01.25'!C2:C500, 0), 0))), "")</f>
        <v xml:space="preserve">Débora Laize Lampert Gnass </v>
      </c>
      <c r="E15" s="107" t="s">
        <v>16</v>
      </c>
      <c r="F15" s="45" t="s">
        <v>180</v>
      </c>
      <c r="G15" s="46" t="s">
        <v>131</v>
      </c>
      <c r="H15" s="45" t="s">
        <v>700</v>
      </c>
      <c r="I15" s="45"/>
      <c r="J15" s="45" t="s">
        <v>140</v>
      </c>
      <c r="K15" s="45"/>
    </row>
    <row r="16" spans="1:11" hidden="1" x14ac:dyDescent="0.25">
      <c r="A16" s="49" t="s">
        <v>43</v>
      </c>
      <c r="B16" s="45" t="s">
        <v>126</v>
      </c>
      <c r="C16" s="45">
        <v>6</v>
      </c>
      <c r="D16" s="45" t="str">
        <f>IFERROR(IF(INDEX('01.25'!D2:D500, MATCH(B16&amp;C16, INDEX('01.25'!B2:B500&amp;'01.25'!C2:C500, 0), 0))="", "", INDEX('01.25'!D2:D500, MATCH(B16&amp;C16, INDEX('01.25'!B2:B500&amp;'01.25'!C2:C500, 0), 0))), "")</f>
        <v/>
      </c>
      <c r="E16" s="107" t="s">
        <v>16</v>
      </c>
      <c r="F16" s="45" t="s">
        <v>446</v>
      </c>
      <c r="G16" s="46" t="s">
        <v>131</v>
      </c>
      <c r="H16" s="45" t="s">
        <v>700</v>
      </c>
      <c r="I16" s="45"/>
      <c r="J16" s="45" t="s">
        <v>140</v>
      </c>
      <c r="K16" s="45"/>
    </row>
    <row r="17" spans="1:11" hidden="1" x14ac:dyDescent="0.25">
      <c r="A17" s="47" t="s">
        <v>28</v>
      </c>
      <c r="B17" s="45" t="s">
        <v>91</v>
      </c>
      <c r="C17" s="45">
        <v>1</v>
      </c>
      <c r="D17" s="45" t="str">
        <f>IFERROR(IF(INDEX('01.25'!D2:D500, MATCH(B17&amp;C17, INDEX('01.25'!B2:B500&amp;'01.25'!C2:C500, 0), 0))="", "", INDEX('01.25'!D2:D500, MATCH(B17&amp;C17, INDEX('01.25'!B2:B500&amp;'01.25'!C2:C500, 0), 0))), "")</f>
        <v>Cristina Harumi Enokida</v>
      </c>
      <c r="E17" s="107" t="s">
        <v>16</v>
      </c>
      <c r="F17" s="45" t="s">
        <v>446</v>
      </c>
      <c r="G17" s="52" t="s">
        <v>131</v>
      </c>
      <c r="H17" s="45" t="s">
        <v>149</v>
      </c>
      <c r="I17" s="45"/>
      <c r="J17" s="45" t="s">
        <v>140</v>
      </c>
      <c r="K17" s="45"/>
    </row>
    <row r="18" spans="1:11" hidden="1" x14ac:dyDescent="0.25">
      <c r="A18" s="49" t="s">
        <v>43</v>
      </c>
      <c r="B18" s="45" t="s">
        <v>127</v>
      </c>
      <c r="C18" s="45">
        <v>1</v>
      </c>
      <c r="D18" s="45" t="str">
        <f>IFERROR(IF(INDEX('01.25'!D2:D500, MATCH(B18&amp;C18, INDEX('01.25'!B2:B500&amp;'01.25'!C2:C500, 0), 0))="", "", INDEX('01.25'!D2:D500, MATCH(B18&amp;C18, INDEX('01.25'!B2:B500&amp;'01.25'!C2:C500, 0), 0))), "")</f>
        <v>Douglas de Mattia</v>
      </c>
      <c r="E18" s="107" t="s">
        <v>16</v>
      </c>
      <c r="F18" s="45" t="s">
        <v>445</v>
      </c>
      <c r="G18" s="52" t="s">
        <v>131</v>
      </c>
      <c r="H18" s="45" t="s">
        <v>700</v>
      </c>
      <c r="I18" s="45"/>
      <c r="J18" s="45" t="s">
        <v>140</v>
      </c>
      <c r="K18" s="45"/>
    </row>
    <row r="19" spans="1:11" hidden="1" x14ac:dyDescent="0.25">
      <c r="A19" s="47" t="s">
        <v>28</v>
      </c>
      <c r="B19" s="45" t="s">
        <v>92</v>
      </c>
      <c r="C19" s="45">
        <v>1</v>
      </c>
      <c r="D19" s="45" t="str">
        <f>IFERROR(IF(INDEX('01.25'!D2:D500, MATCH(B19&amp;C19, INDEX('01.25'!B2:B500&amp;'01.25'!C2:C500, 0), 0))="", "", INDEX('01.25'!D2:D500, MATCH(B19&amp;C19, INDEX('01.25'!B2:B500&amp;'01.25'!C2:C500, 0), 0))), "")</f>
        <v>Vanderson Pasetti</v>
      </c>
      <c r="E19" s="107" t="s">
        <v>16</v>
      </c>
      <c r="F19" s="45" t="s">
        <v>229</v>
      </c>
      <c r="G19" s="52" t="s">
        <v>131</v>
      </c>
      <c r="H19" s="45" t="s">
        <v>149</v>
      </c>
      <c r="I19" s="45"/>
      <c r="J19" s="45" t="s">
        <v>140</v>
      </c>
      <c r="K19" s="45"/>
    </row>
    <row r="20" spans="1:11" x14ac:dyDescent="0.25">
      <c r="A20" s="50" t="s">
        <v>42</v>
      </c>
      <c r="B20" s="45" t="s">
        <v>115</v>
      </c>
      <c r="C20" s="45">
        <v>1</v>
      </c>
      <c r="D20" s="45" t="str">
        <f>IFERROR(IF(INDEX('01.25'!D2:D500, MATCH(B20&amp;C20, INDEX('01.25'!B2:B500&amp;'01.25'!C2:C500, 0), 0))="", "", INDEX('01.25'!D2:D500, MATCH(B20&amp;C20, INDEX('01.25'!B2:B500&amp;'01.25'!C2:C500, 0), 0))), "")</f>
        <v>Bruna Schneider Guimarães</v>
      </c>
      <c r="E20" s="107" t="s">
        <v>16</v>
      </c>
      <c r="F20" s="45" t="s">
        <v>405</v>
      </c>
      <c r="G20" s="52" t="s">
        <v>131</v>
      </c>
      <c r="H20" s="45"/>
      <c r="I20" s="45"/>
      <c r="J20" s="45" t="s">
        <v>140</v>
      </c>
      <c r="K20" s="45"/>
    </row>
    <row r="21" spans="1:11" hidden="1" x14ac:dyDescent="0.25">
      <c r="A21" s="47" t="s">
        <v>28</v>
      </c>
      <c r="B21" s="45" t="s">
        <v>93</v>
      </c>
      <c r="C21" s="45">
        <v>1</v>
      </c>
      <c r="D21" s="45" t="str">
        <f>IFERROR(IF(INDEX('01.25'!D2:D500, MATCH(B21&amp;C21, INDEX('01.25'!B2:B500&amp;'01.25'!C2:C500, 0), 0))="", "", INDEX('01.25'!D2:D500, MATCH(B21&amp;C21, INDEX('01.25'!B2:B500&amp;'01.25'!C2:C500, 0), 0))), "")</f>
        <v>Keilla Avezedo</v>
      </c>
      <c r="E21" s="107" t="s">
        <v>16</v>
      </c>
      <c r="F21" s="45" t="s">
        <v>445</v>
      </c>
      <c r="G21" s="52" t="s">
        <v>131</v>
      </c>
      <c r="H21" s="45" t="s">
        <v>149</v>
      </c>
      <c r="I21" s="45"/>
      <c r="J21" s="45" t="s">
        <v>140</v>
      </c>
      <c r="K21" s="45"/>
    </row>
    <row r="22" spans="1:11" x14ac:dyDescent="0.25">
      <c r="A22" s="50" t="s">
        <v>42</v>
      </c>
      <c r="B22" s="45" t="s">
        <v>116</v>
      </c>
      <c r="C22" s="45">
        <v>1</v>
      </c>
      <c r="D22" s="45" t="str">
        <f>IFERROR(IF(INDEX('01.25'!D2:D500, MATCH(B22&amp;C22, INDEX('01.25'!B2:B500&amp;'01.25'!C2:C500, 0), 0))="", "", INDEX('01.25'!D2:D500, MATCH(B22&amp;C22, INDEX('01.25'!B2:B500&amp;'01.25'!C2:C500, 0), 0))), "")</f>
        <v>Carmen Maria Stein Weiler</v>
      </c>
      <c r="E22" s="107" t="s">
        <v>16</v>
      </c>
      <c r="F22" s="45" t="s">
        <v>352</v>
      </c>
      <c r="G22" s="52" t="s">
        <v>131</v>
      </c>
      <c r="H22" s="45"/>
      <c r="I22" s="45"/>
      <c r="J22" s="45" t="s">
        <v>140</v>
      </c>
      <c r="K22" s="45"/>
    </row>
    <row r="23" spans="1:11" hidden="1" x14ac:dyDescent="0.25">
      <c r="A23" s="48" t="s">
        <v>38</v>
      </c>
      <c r="B23" s="45" t="s">
        <v>75</v>
      </c>
      <c r="C23" s="45">
        <v>1</v>
      </c>
      <c r="D23" s="45" t="str">
        <f>IFERROR(IF(INDEX('01.25'!D2:D500, MATCH(B23&amp;C23, INDEX('01.25'!B2:B500&amp;'01.25'!C2:C500, 0), 0))="", "", INDEX('01.25'!D2:D500, MATCH(B23&amp;C23, INDEX('01.25'!B2:B500&amp;'01.25'!C2:C500, 0), 0))), "")</f>
        <v>Thiago Varaschim Cenci</v>
      </c>
      <c r="E23" s="107" t="s">
        <v>16</v>
      </c>
      <c r="F23" s="45" t="s">
        <v>448</v>
      </c>
      <c r="G23" s="46" t="s">
        <v>131</v>
      </c>
      <c r="H23" s="45" t="s">
        <v>674</v>
      </c>
      <c r="I23" s="45" t="s">
        <v>693</v>
      </c>
      <c r="J23" s="45" t="s">
        <v>131</v>
      </c>
      <c r="K23" s="45" t="s">
        <v>695</v>
      </c>
    </row>
    <row r="24" spans="1:11" hidden="1" x14ac:dyDescent="0.25">
      <c r="A24" s="51" t="s">
        <v>40</v>
      </c>
      <c r="B24" s="45" t="s">
        <v>80</v>
      </c>
      <c r="C24" s="45">
        <v>1</v>
      </c>
      <c r="D24" s="45" t="str">
        <f>IFERROR(IF(INDEX('01.25'!D2:D500, MATCH(B24&amp;C24, INDEX('01.25'!B2:B500&amp;'01.25'!C2:C500, 0), 0))="", "", INDEX('01.25'!D2:D500, MATCH(B24&amp;C24, INDEX('01.25'!B2:B500&amp;'01.25'!C2:C500, 0), 0))), "")</f>
        <v>Éber Alexandre Nascimento Araújo</v>
      </c>
      <c r="E24" s="108" t="s">
        <v>21</v>
      </c>
      <c r="F24" s="45"/>
      <c r="G24" s="52" t="s">
        <v>131</v>
      </c>
      <c r="H24" s="45"/>
      <c r="I24" s="45"/>
      <c r="J24" s="45" t="s">
        <v>140</v>
      </c>
      <c r="K24" s="45"/>
    </row>
    <row r="25" spans="1:11" hidden="1" x14ac:dyDescent="0.25">
      <c r="A25" s="51" t="s">
        <v>40</v>
      </c>
      <c r="B25" s="45" t="s">
        <v>80</v>
      </c>
      <c r="C25" s="45">
        <v>2</v>
      </c>
      <c r="D25" s="45" t="str">
        <f>IFERROR(IF(INDEX('01.25'!D2:D500, MATCH(B25&amp;C25, INDEX('01.25'!B2:B500&amp;'01.25'!C2:C500, 0), 0))="", "", INDEX('01.25'!D2:D500, MATCH(B25&amp;C25, INDEX('01.25'!B2:B500&amp;'01.25'!C2:C500, 0), 0))), "")</f>
        <v>Andrea Carla Winkelmann</v>
      </c>
      <c r="E25" s="107" t="s">
        <v>16</v>
      </c>
      <c r="F25" s="45" t="s">
        <v>445</v>
      </c>
      <c r="G25" s="52" t="s">
        <v>131</v>
      </c>
      <c r="H25" s="45"/>
      <c r="I25" s="45"/>
      <c r="J25" s="45" t="s">
        <v>140</v>
      </c>
      <c r="K25" s="45"/>
    </row>
    <row r="26" spans="1:11" hidden="1" x14ac:dyDescent="0.25">
      <c r="A26" s="51" t="s">
        <v>40</v>
      </c>
      <c r="B26" s="45" t="s">
        <v>80</v>
      </c>
      <c r="C26" s="45">
        <v>3</v>
      </c>
      <c r="D26" s="45" t="str">
        <f>IFERROR(IF(INDEX('01.25'!D2:D500, MATCH(B26&amp;C26, INDEX('01.25'!B2:B500&amp;'01.25'!C2:C500, 0), 0))="", "", INDEX('01.25'!D2:D500, MATCH(B26&amp;C26, INDEX('01.25'!B2:B500&amp;'01.25'!C2:C500, 0), 0))), "")</f>
        <v>Lorizete de Andrade</v>
      </c>
      <c r="E26" s="107" t="s">
        <v>16</v>
      </c>
      <c r="F26" s="45" t="s">
        <v>446</v>
      </c>
      <c r="G26" s="52" t="s">
        <v>131</v>
      </c>
      <c r="H26" s="45" t="s">
        <v>449</v>
      </c>
      <c r="I26" s="45"/>
      <c r="J26" s="45" t="s">
        <v>140</v>
      </c>
      <c r="K26" s="45"/>
    </row>
    <row r="27" spans="1:11" hidden="1" x14ac:dyDescent="0.25">
      <c r="A27" s="51" t="s">
        <v>40</v>
      </c>
      <c r="B27" s="45" t="s">
        <v>80</v>
      </c>
      <c r="C27" s="45">
        <v>4</v>
      </c>
      <c r="D27" s="45" t="str">
        <f>IFERROR(IF(INDEX('01.25'!D2:D500, MATCH(B27&amp;C27, INDEX('01.25'!B2:B500&amp;'01.25'!C2:C500, 0), 0))="", "", INDEX('01.25'!D2:D500, MATCH(B27&amp;C27, INDEX('01.25'!B2:B500&amp;'01.25'!C2:C500, 0), 0))), "")</f>
        <v>Andressa Maia</v>
      </c>
      <c r="E27" s="107" t="s">
        <v>16</v>
      </c>
      <c r="F27" s="45" t="s">
        <v>387</v>
      </c>
      <c r="G27" s="52" t="s">
        <v>131</v>
      </c>
      <c r="H27" s="45" t="s">
        <v>450</v>
      </c>
      <c r="I27" s="45"/>
      <c r="J27" s="45" t="s">
        <v>140</v>
      </c>
      <c r="K27" s="45"/>
    </row>
    <row r="28" spans="1:11" hidden="1" x14ac:dyDescent="0.25">
      <c r="A28" s="51" t="s">
        <v>40</v>
      </c>
      <c r="B28" s="45" t="s">
        <v>80</v>
      </c>
      <c r="C28" s="45">
        <v>5</v>
      </c>
      <c r="D28" s="45" t="str">
        <f>IFERROR(IF(INDEX('01.25'!D2:D500, MATCH(B28&amp;C28, INDEX('01.25'!B2:B500&amp;'01.25'!C2:C500, 0), 0))="", "", INDEX('01.25'!D2:D500, MATCH(B28&amp;C28, INDEX('01.25'!B2:B500&amp;'01.25'!C2:C500, 0), 0))), "")</f>
        <v>Lucas Correia de Souza</v>
      </c>
      <c r="E28" s="107" t="s">
        <v>16</v>
      </c>
      <c r="F28" s="45" t="s">
        <v>451</v>
      </c>
      <c r="G28" s="52" t="s">
        <v>131</v>
      </c>
      <c r="H28" s="45"/>
      <c r="I28" s="45"/>
      <c r="J28" s="45" t="s">
        <v>140</v>
      </c>
      <c r="K28" s="45"/>
    </row>
    <row r="29" spans="1:11" hidden="1" x14ac:dyDescent="0.25">
      <c r="A29" s="51" t="s">
        <v>40</v>
      </c>
      <c r="B29" s="45" t="s">
        <v>80</v>
      </c>
      <c r="C29" s="45">
        <v>6</v>
      </c>
      <c r="D29" s="45" t="str">
        <f>IFERROR(IF(INDEX('01.25'!D2:D500, MATCH(B29&amp;C29, INDEX('01.25'!B2:B500&amp;'01.25'!C2:C500, 0), 0))="", "", INDEX('01.25'!D2:D500, MATCH(B29&amp;C29, INDEX('01.25'!B2:B500&amp;'01.25'!C2:C500, 0), 0))), "")</f>
        <v>Jose Francisco Mariano de Faria Filho</v>
      </c>
      <c r="E29" s="107" t="s">
        <v>16</v>
      </c>
      <c r="F29" s="45" t="s">
        <v>452</v>
      </c>
      <c r="G29" s="52" t="s">
        <v>131</v>
      </c>
      <c r="H29" s="45" t="s">
        <v>450</v>
      </c>
      <c r="I29" s="45"/>
      <c r="J29" s="45" t="s">
        <v>140</v>
      </c>
      <c r="K29" s="45"/>
    </row>
    <row r="30" spans="1:11" hidden="1" x14ac:dyDescent="0.25">
      <c r="A30" s="51" t="s">
        <v>40</v>
      </c>
      <c r="B30" s="45" t="s">
        <v>80</v>
      </c>
      <c r="C30" s="45">
        <v>7</v>
      </c>
      <c r="D30" s="45" t="str">
        <f>IFERROR(IF(INDEX('01.25'!D2:D500, MATCH(B30&amp;C30, INDEX('01.25'!B2:B500&amp;'01.25'!C2:C500, 0), 0))="", "", INDEX('01.25'!D2:D500, MATCH(B30&amp;C30, INDEX('01.25'!B2:B500&amp;'01.25'!C2:C500, 0), 0))), "")</f>
        <v>Pedro Henrique Mariano de Faria</v>
      </c>
      <c r="E30" s="107" t="s">
        <v>16</v>
      </c>
      <c r="F30" s="45" t="s">
        <v>352</v>
      </c>
      <c r="G30" s="52" t="s">
        <v>131</v>
      </c>
      <c r="H30" s="45"/>
      <c r="I30" s="45" t="s">
        <v>453</v>
      </c>
      <c r="J30" s="45" t="s">
        <v>131</v>
      </c>
      <c r="K30" s="45" t="s">
        <v>454</v>
      </c>
    </row>
    <row r="31" spans="1:11" hidden="1" x14ac:dyDescent="0.25">
      <c r="A31" s="51" t="s">
        <v>40</v>
      </c>
      <c r="B31" s="45" t="s">
        <v>80</v>
      </c>
      <c r="C31" s="45">
        <v>8</v>
      </c>
      <c r="D31" s="45" t="str">
        <f>IFERROR(IF(INDEX('01.25'!D2:D500, MATCH(B31&amp;C31, INDEX('01.25'!B2:B500&amp;'01.25'!C2:C500, 0), 0))="", "", INDEX('01.25'!D2:D500, MATCH(B31&amp;C31, INDEX('01.25'!B2:B500&amp;'01.25'!C2:C500, 0), 0))), "")</f>
        <v>Renata Aparecida de Souza</v>
      </c>
      <c r="E31" s="107" t="s">
        <v>16</v>
      </c>
      <c r="F31" s="45" t="s">
        <v>455</v>
      </c>
      <c r="G31" s="52" t="s">
        <v>131</v>
      </c>
      <c r="H31" s="45" t="s">
        <v>456</v>
      </c>
      <c r="I31" s="45"/>
      <c r="J31" s="45" t="s">
        <v>140</v>
      </c>
      <c r="K31" s="45"/>
    </row>
    <row r="32" spans="1:11" hidden="1" x14ac:dyDescent="0.25">
      <c r="A32" s="51" t="s">
        <v>40</v>
      </c>
      <c r="B32" s="45" t="s">
        <v>80</v>
      </c>
      <c r="C32" s="45">
        <v>9</v>
      </c>
      <c r="D32" s="45" t="str">
        <f>IFERROR(IF(INDEX('01.25'!D2:D500, MATCH(B32&amp;C32, INDEX('01.25'!B2:B500&amp;'01.25'!C2:C500, 0), 0))="", "", INDEX('01.25'!D2:D500, MATCH(B32&amp;C32, INDEX('01.25'!B2:B500&amp;'01.25'!C2:C500, 0), 0))), "")</f>
        <v>Maria Eduarda dos Santos Arias</v>
      </c>
      <c r="E32" s="108" t="s">
        <v>21</v>
      </c>
      <c r="F32" s="45"/>
      <c r="G32" s="52" t="s">
        <v>131</v>
      </c>
      <c r="H32" s="45"/>
      <c r="I32" s="45"/>
      <c r="J32" s="45" t="s">
        <v>140</v>
      </c>
      <c r="K32" s="45"/>
    </row>
    <row r="33" spans="1:11" hidden="1" x14ac:dyDescent="0.25">
      <c r="A33" s="44" t="s">
        <v>36</v>
      </c>
      <c r="B33" s="45" t="s">
        <v>98</v>
      </c>
      <c r="C33" s="45">
        <v>1</v>
      </c>
      <c r="D33" s="45" t="str">
        <f>IFERROR(IF(INDEX('01.25'!D2:D500, MATCH(B33&amp;C33, INDEX('01.25'!B2:B500&amp;'01.25'!C2:C500, 0), 0))="", "", INDEX('01.25'!D2:D500, MATCH(B33&amp;C33, INDEX('01.25'!B2:B500&amp;'01.25'!C2:C500, 0), 0))), "")</f>
        <v>Paulo Rogerio Hiroshi Fujii</v>
      </c>
      <c r="E33" s="107" t="s">
        <v>16</v>
      </c>
      <c r="F33" s="45" t="s">
        <v>457</v>
      </c>
      <c r="G33" s="46" t="s">
        <v>140</v>
      </c>
      <c r="H33" s="45"/>
      <c r="I33" s="45"/>
      <c r="J33" s="45" t="s">
        <v>140</v>
      </c>
      <c r="K33" s="45"/>
    </row>
    <row r="34" spans="1:11" hidden="1" x14ac:dyDescent="0.25">
      <c r="A34" s="44" t="s">
        <v>36</v>
      </c>
      <c r="B34" s="45" t="s">
        <v>99</v>
      </c>
      <c r="C34" s="45">
        <v>1</v>
      </c>
      <c r="D34" s="45" t="str">
        <f>IFERROR(IF(INDEX('01.25'!D2:D500, MATCH(B34&amp;C34, INDEX('01.25'!B2:B500&amp;'01.25'!C2:C500, 0), 0))="", "", INDEX('01.25'!D2:D500, MATCH(B34&amp;C34, INDEX('01.25'!B2:B500&amp;'01.25'!C2:C500, 0), 0))), "")</f>
        <v>Marlene R. Oliveira Dallacosta</v>
      </c>
      <c r="E34" s="107" t="s">
        <v>16</v>
      </c>
      <c r="F34" s="45" t="s">
        <v>445</v>
      </c>
      <c r="G34" s="46" t="s">
        <v>140</v>
      </c>
      <c r="H34" s="45"/>
      <c r="I34" s="45"/>
      <c r="J34" s="45" t="s">
        <v>140</v>
      </c>
      <c r="K34" s="45"/>
    </row>
    <row r="35" spans="1:11" hidden="1" x14ac:dyDescent="0.25">
      <c r="A35" s="47" t="s">
        <v>28</v>
      </c>
      <c r="B35" s="45" t="s">
        <v>94</v>
      </c>
      <c r="C35" s="45">
        <v>1</v>
      </c>
      <c r="D35" s="45" t="str">
        <f>IFERROR(IF(INDEX('01.25'!D2:D500, MATCH(B35&amp;C35, INDEX('01.25'!B2:B500&amp;'01.25'!C2:C500, 0), 0))="", "", INDEX('01.25'!D2:D500, MATCH(B35&amp;C35, INDEX('01.25'!B2:B500&amp;'01.25'!C2:C500, 0), 0))), "")</f>
        <v>Vitolor dos Santos Almeida</v>
      </c>
      <c r="E35" s="107" t="s">
        <v>16</v>
      </c>
      <c r="F35" s="45" t="s">
        <v>445</v>
      </c>
      <c r="G35" s="52" t="s">
        <v>131</v>
      </c>
      <c r="H35" s="45" t="s">
        <v>149</v>
      </c>
      <c r="I35" s="45"/>
      <c r="J35" s="45" t="s">
        <v>140</v>
      </c>
      <c r="K35" s="45"/>
    </row>
    <row r="36" spans="1:11" hidden="1" x14ac:dyDescent="0.25">
      <c r="A36" s="47" t="s">
        <v>28</v>
      </c>
      <c r="B36" s="45" t="s">
        <v>95</v>
      </c>
      <c r="C36" s="45">
        <v>1</v>
      </c>
      <c r="D36" s="45" t="str">
        <f>IFERROR(IF(INDEX('01.25'!D2:D500, MATCH(B36&amp;C36, INDEX('01.25'!B2:B500&amp;'01.25'!C2:C500, 0), 0))="", "", INDEX('01.25'!D2:D500, MATCH(B36&amp;C36, INDEX('01.25'!B2:B500&amp;'01.25'!C2:C500, 0), 0))), "")</f>
        <v>Kelly Jackeline Silva do Valle</v>
      </c>
      <c r="E36" s="107" t="s">
        <v>16</v>
      </c>
      <c r="F36" s="45" t="s">
        <v>424</v>
      </c>
      <c r="G36" s="52" t="s">
        <v>131</v>
      </c>
      <c r="H36" s="45" t="s">
        <v>458</v>
      </c>
      <c r="I36" s="45"/>
      <c r="J36" s="45" t="s">
        <v>140</v>
      </c>
      <c r="K36" s="45"/>
    </row>
    <row r="37" spans="1:11" hidden="1" x14ac:dyDescent="0.25">
      <c r="A37" s="47" t="s">
        <v>28</v>
      </c>
      <c r="B37" s="45" t="s">
        <v>96</v>
      </c>
      <c r="C37" s="45">
        <v>1</v>
      </c>
      <c r="D37" s="45" t="str">
        <f>IFERROR(IF(INDEX('01.25'!D2:D500, MATCH(B37&amp;C37, INDEX('01.25'!B2:B500&amp;'01.25'!C2:C500, 0), 0))="", "", INDEX('01.25'!D2:D500, MATCH(B37&amp;C37, INDEX('01.25'!B2:B500&amp;'01.25'!C2:C500, 0), 0))), "")</f>
        <v>Felipe Carvalho Zydek</v>
      </c>
      <c r="E37" s="107" t="s">
        <v>16</v>
      </c>
      <c r="F37" s="45" t="s">
        <v>387</v>
      </c>
      <c r="G37" s="52" t="s">
        <v>131</v>
      </c>
      <c r="H37" s="45" t="s">
        <v>149</v>
      </c>
      <c r="I37" s="45"/>
      <c r="J37" s="45" t="s">
        <v>140</v>
      </c>
      <c r="K37" s="45"/>
    </row>
    <row r="38" spans="1:11" hidden="1" x14ac:dyDescent="0.25">
      <c r="A38" s="48" t="s">
        <v>38</v>
      </c>
      <c r="B38" s="45" t="s">
        <v>107</v>
      </c>
      <c r="C38" s="45">
        <v>1</v>
      </c>
      <c r="D38" s="45" t="str">
        <f>IFERROR(IF(INDEX('01.25'!D2:D500, MATCH(B38&amp;C38, INDEX('01.25'!B2:B500&amp;'01.25'!C2:C500, 0), 0))="", "", INDEX('01.25'!D2:D500, MATCH(B38&amp;C38, INDEX('01.25'!B2:B500&amp;'01.25'!C2:C500, 0), 0))), "")</f>
        <v>Eliane Borin</v>
      </c>
      <c r="E38" s="107" t="s">
        <v>16</v>
      </c>
      <c r="F38" s="45" t="s">
        <v>433</v>
      </c>
      <c r="G38" s="46" t="s">
        <v>131</v>
      </c>
      <c r="H38" s="45" t="s">
        <v>149</v>
      </c>
      <c r="I38" s="45"/>
      <c r="J38" s="45" t="s">
        <v>140</v>
      </c>
      <c r="K38" s="45"/>
    </row>
    <row r="39" spans="1:11" x14ac:dyDescent="0.25">
      <c r="A39" s="50" t="s">
        <v>42</v>
      </c>
      <c r="B39" s="45" t="s">
        <v>117</v>
      </c>
      <c r="C39" s="45">
        <v>1</v>
      </c>
      <c r="D39" s="45" t="str">
        <f>IFERROR(IF(INDEX('01.25'!D2:D500, MATCH(B39&amp;C39, INDEX('01.25'!B2:B500&amp;'01.25'!C2:C500, 0), 0))="", "", INDEX('01.25'!D2:D500, MATCH(B39&amp;C39, INDEX('01.25'!B2:B500&amp;'01.25'!C2:C500, 0), 0))), "")</f>
        <v>Tatiana schrard</v>
      </c>
      <c r="E39" s="107" t="s">
        <v>16</v>
      </c>
      <c r="F39" s="45" t="s">
        <v>455</v>
      </c>
      <c r="G39" s="52" t="s">
        <v>131</v>
      </c>
      <c r="H39" s="45"/>
      <c r="I39" s="45"/>
      <c r="J39" s="45" t="s">
        <v>140</v>
      </c>
      <c r="K39" s="45"/>
    </row>
    <row r="40" spans="1:11" hidden="1" x14ac:dyDescent="0.25">
      <c r="A40" s="48" t="s">
        <v>38</v>
      </c>
      <c r="B40" s="45" t="s">
        <v>81</v>
      </c>
      <c r="C40" s="45">
        <v>1</v>
      </c>
      <c r="D40" s="45" t="str">
        <f>IFERROR(IF(INDEX('01.25'!D2:D500, MATCH(B40&amp;C40, INDEX('01.25'!B2:B500&amp;'01.25'!C2:C500, 0), 0))="", "", INDEX('01.25'!D2:D500, MATCH(B40&amp;C40, INDEX('01.25'!B2:B500&amp;'01.25'!C2:C500, 0), 0))), "")</f>
        <v>César Piva Glinglani</v>
      </c>
      <c r="E40" s="107" t="s">
        <v>16</v>
      </c>
      <c r="F40" s="45" t="s">
        <v>459</v>
      </c>
      <c r="G40" s="46" t="s">
        <v>140</v>
      </c>
      <c r="H40" s="45"/>
      <c r="I40" s="45"/>
      <c r="J40" s="45" t="s">
        <v>140</v>
      </c>
      <c r="K40" s="45"/>
    </row>
    <row r="41" spans="1:11" hidden="1" x14ac:dyDescent="0.25">
      <c r="A41" s="49" t="s">
        <v>43</v>
      </c>
      <c r="B41" s="45" t="s">
        <v>128</v>
      </c>
      <c r="C41" s="45">
        <v>1</v>
      </c>
      <c r="D41" s="45" t="str">
        <f>IFERROR(IF(INDEX('01.25'!D2:D500, MATCH(B41&amp;C41, INDEX('01.25'!B2:B500&amp;'01.25'!C2:C500, 0), 0))="", "", INDEX('01.25'!D2:D500, MATCH(B41&amp;C41, INDEX('01.25'!B2:B500&amp;'01.25'!C2:C500, 0), 0))), "")</f>
        <v>Ailton Carlos Fialho</v>
      </c>
      <c r="E41" s="107" t="s">
        <v>16</v>
      </c>
      <c r="F41" s="45" t="s">
        <v>352</v>
      </c>
      <c r="G41" s="52" t="s">
        <v>131</v>
      </c>
      <c r="H41" s="45" t="s">
        <v>149</v>
      </c>
      <c r="I41" s="45"/>
      <c r="J41" s="45" t="s">
        <v>140</v>
      </c>
      <c r="K41" s="45"/>
    </row>
    <row r="42" spans="1:11" x14ac:dyDescent="0.25">
      <c r="A42" s="50" t="s">
        <v>42</v>
      </c>
      <c r="B42" s="45" t="s">
        <v>82</v>
      </c>
      <c r="C42" s="45">
        <v>1</v>
      </c>
      <c r="D42" s="45" t="str">
        <f>IFERROR(IF(INDEX('01.25'!D2:D500, MATCH(B42&amp;C42, INDEX('01.25'!B2:B500&amp;'01.25'!C2:C500, 0), 0))="", "", INDEX('01.25'!D2:D500, MATCH(B42&amp;C42, INDEX('01.25'!B2:B500&amp;'01.25'!C2:C500, 0), 0))), "")</f>
        <v>Marcos José Chaves</v>
      </c>
      <c r="E42" s="107" t="s">
        <v>16</v>
      </c>
      <c r="F42" s="45" t="s">
        <v>460</v>
      </c>
      <c r="G42" s="46" t="s">
        <v>131</v>
      </c>
      <c r="H42" s="149" t="s">
        <v>715</v>
      </c>
      <c r="I42" s="45"/>
      <c r="J42" s="45" t="s">
        <v>140</v>
      </c>
      <c r="K42" s="45"/>
    </row>
    <row r="43" spans="1:11" x14ac:dyDescent="0.25">
      <c r="A43" s="50" t="s">
        <v>42</v>
      </c>
      <c r="B43" s="45" t="s">
        <v>82</v>
      </c>
      <c r="C43" s="45">
        <v>2</v>
      </c>
      <c r="D43" s="45" t="str">
        <f>IFERROR(IF(INDEX('01.25'!D2:D500, MATCH(B43&amp;C43, INDEX('01.25'!B2:B500&amp;'01.25'!C2:C500, 0), 0))="", "", INDEX('01.25'!D2:D500, MATCH(B43&amp;C43, INDEX('01.25'!B2:B500&amp;'01.25'!C2:C500, 0), 0))), "")</f>
        <v>Diego Matheus Reinicke</v>
      </c>
      <c r="E43" s="107" t="s">
        <v>16</v>
      </c>
      <c r="F43" s="45" t="s">
        <v>404</v>
      </c>
      <c r="G43" s="46" t="s">
        <v>131</v>
      </c>
      <c r="H43" s="150"/>
      <c r="I43" s="45"/>
      <c r="J43" s="45" t="s">
        <v>140</v>
      </c>
      <c r="K43" s="45"/>
    </row>
    <row r="44" spans="1:11" hidden="1" x14ac:dyDescent="0.25">
      <c r="A44" s="48" t="s">
        <v>38</v>
      </c>
      <c r="B44" s="45" t="s">
        <v>76</v>
      </c>
      <c r="C44" s="45">
        <v>1</v>
      </c>
      <c r="D44" s="45" t="str">
        <f>IFERROR(IF(INDEX('01.25'!D2:D500, MATCH(B44&amp;C44, INDEX('01.25'!B2:B500&amp;'01.25'!C2:C500, 0), 0))="", "", INDEX('01.25'!D2:D500, MATCH(B44&amp;C44, INDEX('01.25'!B2:B500&amp;'01.25'!C2:C500, 0), 0))), "")</f>
        <v>Cleiton Manske</v>
      </c>
      <c r="E44" s="107" t="s">
        <v>16</v>
      </c>
      <c r="F44" s="45" t="s">
        <v>342</v>
      </c>
      <c r="G44" s="52" t="s">
        <v>131</v>
      </c>
      <c r="H44" s="45"/>
      <c r="I44" s="45"/>
      <c r="J44" s="45" t="s">
        <v>140</v>
      </c>
      <c r="K44" s="45"/>
    </row>
    <row r="45" spans="1:11" x14ac:dyDescent="0.25">
      <c r="A45" s="50" t="s">
        <v>42</v>
      </c>
      <c r="B45" s="45" t="s">
        <v>118</v>
      </c>
      <c r="C45" s="45">
        <v>1</v>
      </c>
      <c r="D45" s="45" t="str">
        <f>IFERROR(IF(INDEX('01.25'!D2:D500, MATCH(B45&amp;C45, INDEX('01.25'!B2:B500&amp;'01.25'!C2:C500, 0), 0))="", "", INDEX('01.25'!D2:D500, MATCH(B45&amp;C45, INDEX('01.25'!B2:B500&amp;'01.25'!C2:C500, 0), 0))), "")</f>
        <v>Alexandro Aparecido de Lima Vieira</v>
      </c>
      <c r="E45" s="107" t="s">
        <v>16</v>
      </c>
      <c r="F45" s="45" t="s">
        <v>451</v>
      </c>
      <c r="G45" s="52" t="s">
        <v>131</v>
      </c>
      <c r="H45" s="45" t="s">
        <v>461</v>
      </c>
      <c r="I45" s="45"/>
      <c r="J45" s="45" t="s">
        <v>140</v>
      </c>
      <c r="K45" s="45"/>
    </row>
    <row r="46" spans="1:11" hidden="1" x14ac:dyDescent="0.25">
      <c r="A46" s="51" t="s">
        <v>40</v>
      </c>
      <c r="B46" s="45" t="s">
        <v>111</v>
      </c>
      <c r="C46" s="45">
        <v>1</v>
      </c>
      <c r="D46" s="45" t="str">
        <f>IFERROR(IF(INDEX('01.25'!D2:D500, MATCH(B46&amp;C46, INDEX('01.25'!B2:B500&amp;'01.25'!C2:C500, 0), 0))="", "", INDEX('01.25'!D2:D500, MATCH(B46&amp;C46, INDEX('01.25'!B2:B500&amp;'01.25'!C2:C500, 0), 0))), "")</f>
        <v>Rafael Henrique Caetano</v>
      </c>
      <c r="E46" s="107" t="s">
        <v>16</v>
      </c>
      <c r="F46" s="45" t="s">
        <v>446</v>
      </c>
      <c r="G46" s="52" t="s">
        <v>131</v>
      </c>
      <c r="H46" s="45"/>
      <c r="I46" s="45"/>
      <c r="J46" s="45" t="s">
        <v>140</v>
      </c>
      <c r="K46" s="45"/>
    </row>
    <row r="47" spans="1:11" hidden="1" x14ac:dyDescent="0.25">
      <c r="A47" s="44" t="s">
        <v>36</v>
      </c>
      <c r="B47" s="45" t="s">
        <v>100</v>
      </c>
      <c r="C47" s="45">
        <v>1</v>
      </c>
      <c r="D47" s="45" t="str">
        <f>IFERROR(IF(INDEX('01.25'!D2:D500, MATCH(B47&amp;C47, INDEX('01.25'!B2:B500&amp;'01.25'!C2:C500, 0), 0))="", "", INDEX('01.25'!D2:D500, MATCH(B47&amp;C47, INDEX('01.25'!B2:B500&amp;'01.25'!C2:C500, 0), 0))), "")</f>
        <v>Roberto Pedron</v>
      </c>
      <c r="E47" s="107" t="s">
        <v>16</v>
      </c>
      <c r="F47" s="45" t="s">
        <v>405</v>
      </c>
      <c r="G47" s="46" t="s">
        <v>140</v>
      </c>
      <c r="H47" s="45"/>
      <c r="I47" s="45"/>
      <c r="J47" s="45" t="s">
        <v>140</v>
      </c>
      <c r="K47" s="45"/>
    </row>
    <row r="48" spans="1:11" x14ac:dyDescent="0.25">
      <c r="A48" s="50" t="s">
        <v>42</v>
      </c>
      <c r="B48" s="45" t="s">
        <v>119</v>
      </c>
      <c r="C48" s="45">
        <v>1</v>
      </c>
      <c r="D48" s="45" t="str">
        <f>IFERROR(IF(INDEX('01.25'!D2:D500, MATCH(B48&amp;C48, INDEX('01.25'!B2:B500&amp;'01.25'!C2:C500, 0), 0))="", "", INDEX('01.25'!D2:D500, MATCH(B48&amp;C48, INDEX('01.25'!B2:B500&amp;'01.25'!C2:C500, 0), 0))), "")</f>
        <v>Luciane Spies</v>
      </c>
      <c r="E48" s="107" t="s">
        <v>16</v>
      </c>
      <c r="F48" s="45" t="s">
        <v>408</v>
      </c>
      <c r="G48" s="52" t="s">
        <v>131</v>
      </c>
      <c r="H48" s="45"/>
      <c r="I48" s="45"/>
      <c r="J48" s="45" t="s">
        <v>140</v>
      </c>
      <c r="K48" s="45"/>
    </row>
    <row r="49" spans="1:11" hidden="1" x14ac:dyDescent="0.25">
      <c r="A49" s="44" t="s">
        <v>36</v>
      </c>
      <c r="B49" s="45" t="s">
        <v>77</v>
      </c>
      <c r="C49" s="45">
        <v>1</v>
      </c>
      <c r="D49" s="45" t="str">
        <f>IFERROR(IF(INDEX('01.25'!D2:D500, MATCH(B49&amp;C49, INDEX('01.25'!B2:B500&amp;'01.25'!C2:C500, 0), 0))="", "", INDEX('01.25'!D2:D500, MATCH(B49&amp;C49, INDEX('01.25'!B2:B500&amp;'01.25'!C2:C500, 0), 0))), "")</f>
        <v>Jaqueline Fernanda Meireles</v>
      </c>
      <c r="E49" s="107" t="s">
        <v>16</v>
      </c>
      <c r="F49" s="45" t="s">
        <v>452</v>
      </c>
      <c r="G49" s="52" t="s">
        <v>131</v>
      </c>
      <c r="H49" s="45" t="s">
        <v>149</v>
      </c>
      <c r="I49" s="45"/>
      <c r="J49" s="45" t="s">
        <v>140</v>
      </c>
      <c r="K49" s="45"/>
    </row>
    <row r="50" spans="1:11" hidden="1" x14ac:dyDescent="0.25">
      <c r="A50" s="48" t="s">
        <v>38</v>
      </c>
      <c r="B50" s="45" t="s">
        <v>108</v>
      </c>
      <c r="C50" s="45">
        <v>1</v>
      </c>
      <c r="D50" s="45" t="str">
        <f>IFERROR(IF(INDEX('01.25'!D2:D500, MATCH(B50&amp;C50, INDEX('01.25'!B2:B500&amp;'01.25'!C2:C500, 0), 0))="", "", INDEX('01.25'!D2:D500, MATCH(B50&amp;C50, INDEX('01.25'!B2:B500&amp;'01.25'!C2:C500, 0), 0))), "")</f>
        <v>Luiz Fernando Pereira Barbosa</v>
      </c>
      <c r="E50" s="107" t="s">
        <v>16</v>
      </c>
      <c r="F50" s="45" t="s">
        <v>462</v>
      </c>
      <c r="G50" s="46" t="s">
        <v>140</v>
      </c>
      <c r="H50" s="45"/>
      <c r="I50" s="45"/>
      <c r="J50" s="45" t="s">
        <v>140</v>
      </c>
      <c r="K50" s="45"/>
    </row>
    <row r="51" spans="1:11" hidden="1" x14ac:dyDescent="0.25">
      <c r="A51" s="44" t="s">
        <v>36</v>
      </c>
      <c r="B51" s="45" t="s">
        <v>101</v>
      </c>
      <c r="C51" s="45">
        <v>1</v>
      </c>
      <c r="D51" s="45" t="str">
        <f>IFERROR(IF(INDEX('01.25'!D2:D500, MATCH(B51&amp;C51, INDEX('01.25'!B2:B500&amp;'01.25'!C2:C500, 0), 0))="", "", INDEX('01.25'!D2:D500, MATCH(B51&amp;C51, INDEX('01.25'!B2:B500&amp;'01.25'!C2:C500, 0), 0))), "")</f>
        <v>Carolina Eggers</v>
      </c>
      <c r="E51" s="107" t="s">
        <v>16</v>
      </c>
      <c r="F51" s="45" t="s">
        <v>387</v>
      </c>
      <c r="G51" s="52" t="s">
        <v>131</v>
      </c>
      <c r="H51" s="45" t="s">
        <v>149</v>
      </c>
      <c r="I51" s="45"/>
      <c r="J51" s="45" t="s">
        <v>140</v>
      </c>
      <c r="K51" s="45"/>
    </row>
    <row r="52" spans="1:11" hidden="1" x14ac:dyDescent="0.25">
      <c r="A52" s="44" t="s">
        <v>36</v>
      </c>
      <c r="B52" s="45" t="s">
        <v>102</v>
      </c>
      <c r="C52" s="45">
        <v>1</v>
      </c>
      <c r="D52" s="45" t="str">
        <f>IFERROR(IF(INDEX('01.25'!D2:D500, MATCH(B52&amp;C52, INDEX('01.25'!B2:B500&amp;'01.25'!C2:C500, 0), 0))="", "", INDEX('01.25'!D2:D500, MATCH(B52&amp;C52, INDEX('01.25'!B2:B500&amp;'01.25'!C2:C500, 0), 0))), "")</f>
        <v>Ivan Gonçalves da Silva</v>
      </c>
      <c r="E52" s="107" t="s">
        <v>16</v>
      </c>
      <c r="F52" s="45" t="s">
        <v>408</v>
      </c>
      <c r="G52" s="46" t="s">
        <v>140</v>
      </c>
      <c r="H52" s="45"/>
      <c r="I52" s="45"/>
      <c r="J52" s="45" t="s">
        <v>140</v>
      </c>
      <c r="K52" s="45"/>
    </row>
    <row r="53" spans="1:11" hidden="1" x14ac:dyDescent="0.25">
      <c r="A53" s="48" t="s">
        <v>38</v>
      </c>
      <c r="B53" s="45" t="s">
        <v>83</v>
      </c>
      <c r="C53" s="45">
        <v>1</v>
      </c>
      <c r="D53" s="45" t="str">
        <f>IFERROR(IF(INDEX('01.25'!D2:D500, MATCH(B53&amp;C53, INDEX('01.25'!B2:B500&amp;'01.25'!C2:C500, 0), 0))="", "", INDEX('01.25'!D2:D500, MATCH(B53&amp;C53, INDEX('01.25'!B2:B500&amp;'01.25'!C2:C500, 0), 0))), "")</f>
        <v>Dorival Manoel Canhete</v>
      </c>
      <c r="E53" s="107" t="s">
        <v>16</v>
      </c>
      <c r="F53" s="45" t="s">
        <v>463</v>
      </c>
      <c r="G53" s="46" t="s">
        <v>140</v>
      </c>
      <c r="H53" s="45"/>
      <c r="I53" s="45"/>
      <c r="J53" s="45" t="s">
        <v>140</v>
      </c>
      <c r="K53" s="45"/>
    </row>
    <row r="54" spans="1:11" x14ac:dyDescent="0.25">
      <c r="A54" s="50" t="s">
        <v>42</v>
      </c>
      <c r="B54" s="45" t="s">
        <v>120</v>
      </c>
      <c r="C54" s="45">
        <v>1</v>
      </c>
      <c r="D54" s="45" t="str">
        <f>IFERROR(IF(INDEX('01.25'!D2:D500, MATCH(B54&amp;C54, INDEX('01.25'!B2:B500&amp;'01.25'!C2:C500, 0), 0))="", "", INDEX('01.25'!D2:D500, MATCH(B54&amp;C54, INDEX('01.25'!B2:B500&amp;'01.25'!C2:C500, 0), 0))), "")</f>
        <v>Jaqueline Vanelli</v>
      </c>
      <c r="E54" s="107" t="s">
        <v>16</v>
      </c>
      <c r="F54" s="45" t="s">
        <v>444</v>
      </c>
      <c r="G54" s="52" t="s">
        <v>131</v>
      </c>
      <c r="H54" s="45"/>
      <c r="I54" s="45"/>
      <c r="J54" s="45" t="s">
        <v>140</v>
      </c>
      <c r="K54" s="45"/>
    </row>
    <row r="55" spans="1:11" hidden="1" x14ac:dyDescent="0.25">
      <c r="A55" s="44" t="s">
        <v>36</v>
      </c>
      <c r="B55" s="45" t="s">
        <v>103</v>
      </c>
      <c r="C55" s="45">
        <v>1</v>
      </c>
      <c r="D55" s="45" t="str">
        <f>IFERROR(IF(INDEX('01.25'!D2:D500, MATCH(B55&amp;C55, INDEX('01.25'!B2:B500&amp;'01.25'!C2:C500, 0), 0))="", "", INDEX('01.25'!D2:D500, MATCH(B55&amp;C55, INDEX('01.25'!B2:B500&amp;'01.25'!C2:C500, 0), 0))), "")</f>
        <v>Fernanda Jung</v>
      </c>
      <c r="E55" s="107" t="s">
        <v>16</v>
      </c>
      <c r="F55" s="45" t="s">
        <v>424</v>
      </c>
      <c r="G55" s="52" t="s">
        <v>131</v>
      </c>
      <c r="H55" s="45" t="s">
        <v>149</v>
      </c>
      <c r="I55" s="45"/>
      <c r="J55" s="45" t="s">
        <v>140</v>
      </c>
      <c r="K55" s="45"/>
    </row>
    <row r="56" spans="1:11" x14ac:dyDescent="0.25">
      <c r="A56" s="50" t="s">
        <v>42</v>
      </c>
      <c r="B56" s="45" t="s">
        <v>121</v>
      </c>
      <c r="C56" s="45">
        <v>1</v>
      </c>
      <c r="D56" s="45" t="str">
        <f>IFERROR(IF(INDEX('01.25'!D2:D500, MATCH(B56&amp;C56, INDEX('01.25'!B2:B500&amp;'01.25'!C2:C500, 0), 0))="", "", INDEX('01.25'!D2:D500, MATCH(B56&amp;C56, INDEX('01.25'!B2:B500&amp;'01.25'!C2:C500, 0), 0))), "")</f>
        <v>Ana Paula Romagnoli</v>
      </c>
      <c r="E56" s="107" t="s">
        <v>16</v>
      </c>
      <c r="F56" s="45" t="s">
        <v>464</v>
      </c>
      <c r="G56" s="52" t="s">
        <v>131</v>
      </c>
      <c r="H56" s="45"/>
      <c r="I56" s="45"/>
      <c r="J56" s="45" t="s">
        <v>140</v>
      </c>
      <c r="K56" s="45"/>
    </row>
    <row r="57" spans="1:11" x14ac:dyDescent="0.25">
      <c r="A57" s="50" t="s">
        <v>42</v>
      </c>
      <c r="B57" s="45" t="s">
        <v>122</v>
      </c>
      <c r="C57" s="45">
        <v>1</v>
      </c>
      <c r="D57" s="45" t="str">
        <f>IFERROR(IF(INDEX('01.25'!D2:D500, MATCH(B57&amp;C57, INDEX('01.25'!B2:B500&amp;'01.25'!C2:C500, 0), 0))="", "", INDEX('01.25'!D2:D500, MATCH(B57&amp;C57, INDEX('01.25'!B2:B500&amp;'01.25'!C2:C500, 0), 0))), "")</f>
        <v>Alexandro Schaparini</v>
      </c>
      <c r="E57" s="107" t="s">
        <v>16</v>
      </c>
      <c r="F57" s="45" t="s">
        <v>263</v>
      </c>
      <c r="G57" s="52" t="s">
        <v>131</v>
      </c>
      <c r="H57" s="45" t="s">
        <v>465</v>
      </c>
      <c r="I57" s="45"/>
      <c r="J57" s="45" t="s">
        <v>140</v>
      </c>
      <c r="K57" s="45"/>
    </row>
    <row r="58" spans="1:11" hidden="1" x14ac:dyDescent="0.25">
      <c r="A58" s="49" t="s">
        <v>43</v>
      </c>
      <c r="B58" s="45" t="s">
        <v>129</v>
      </c>
      <c r="C58" s="45">
        <v>1</v>
      </c>
      <c r="D58" s="45" t="str">
        <f>IFERROR(IF(INDEX('01.25'!D2:D500, MATCH(B58&amp;C58, INDEX('01.25'!B2:B500&amp;'01.25'!C2:C500, 0), 0))="", "", INDEX('01.25'!D2:D500, MATCH(B58&amp;C58, INDEX('01.25'!B2:B500&amp;'01.25'!C2:C500, 0), 0))), "")</f>
        <v>Marina Ancelmo da Silva</v>
      </c>
      <c r="E58" s="107" t="s">
        <v>16</v>
      </c>
      <c r="F58" s="45" t="s">
        <v>451</v>
      </c>
      <c r="G58" s="52" t="s">
        <v>131</v>
      </c>
      <c r="H58" s="45" t="s">
        <v>149</v>
      </c>
      <c r="I58" s="45"/>
      <c r="J58" s="45" t="s">
        <v>140</v>
      </c>
      <c r="K58" s="45"/>
    </row>
    <row r="59" spans="1:11" hidden="1" x14ac:dyDescent="0.25">
      <c r="A59" s="49" t="s">
        <v>43</v>
      </c>
      <c r="B59" s="45" t="s">
        <v>130</v>
      </c>
      <c r="C59" s="45">
        <v>1</v>
      </c>
      <c r="D59" s="45" t="str">
        <f>IFERROR(IF(INDEX('01.25'!D2:D500, MATCH(B59&amp;C59, INDEX('01.25'!B2:B500&amp;'01.25'!C2:C500, 0), 0))="", "", INDEX('01.25'!D2:D500, MATCH(B59&amp;C59, INDEX('01.25'!B2:B500&amp;'01.25'!C2:C500, 0), 0))), "")</f>
        <v>Ana Carolina Peterle Ribeiro</v>
      </c>
      <c r="E59" s="107" t="s">
        <v>16</v>
      </c>
      <c r="F59" s="45" t="s">
        <v>387</v>
      </c>
      <c r="G59" s="52" t="s">
        <v>131</v>
      </c>
      <c r="H59" s="45" t="s">
        <v>465</v>
      </c>
      <c r="I59" s="45"/>
      <c r="J59" s="45" t="s">
        <v>140</v>
      </c>
      <c r="K59" s="45"/>
    </row>
    <row r="60" spans="1:11" hidden="1" x14ac:dyDescent="0.25">
      <c r="A60" s="51" t="s">
        <v>40</v>
      </c>
      <c r="B60" s="45" t="s">
        <v>112</v>
      </c>
      <c r="C60" s="45">
        <v>1</v>
      </c>
      <c r="D60" s="45" t="str">
        <f>IFERROR(IF(INDEX('01.25'!D2:D500, MATCH(B60&amp;C60, INDEX('01.25'!B2:B500&amp;'01.25'!C2:C500, 0), 0))="", "", INDEX('01.25'!D2:D500, MATCH(B60&amp;C60, INDEX('01.25'!B2:B500&amp;'01.25'!C2:C500, 0), 0))), "")</f>
        <v>Taiane Amélia Mondardo</v>
      </c>
      <c r="E60" s="107" t="s">
        <v>16</v>
      </c>
      <c r="F60" s="45" t="s">
        <v>452</v>
      </c>
      <c r="G60" s="52" t="s">
        <v>131</v>
      </c>
      <c r="H60" s="45"/>
      <c r="I60" s="45"/>
      <c r="J60" s="45" t="s">
        <v>140</v>
      </c>
      <c r="K60" s="45"/>
    </row>
    <row r="61" spans="1:11" hidden="1" x14ac:dyDescent="0.25">
      <c r="A61" s="44" t="s">
        <v>36</v>
      </c>
      <c r="B61" s="45" t="s">
        <v>104</v>
      </c>
      <c r="C61" s="45">
        <v>1</v>
      </c>
      <c r="D61" s="45" t="str">
        <f>IFERROR(IF(INDEX('01.25'!D2:D500, MATCH(B61&amp;C61, INDEX('01.25'!B2:B500&amp;'01.25'!C2:C500, 0), 0))="", "", INDEX('01.25'!D2:D500, MATCH(B61&amp;C61, INDEX('01.25'!B2:B500&amp;'01.25'!C2:C500, 0), 0))), "")</f>
        <v>Regiane Lucia Pereira</v>
      </c>
      <c r="E61" s="107" t="s">
        <v>16</v>
      </c>
      <c r="F61" s="45" t="s">
        <v>466</v>
      </c>
      <c r="G61" s="52" t="s">
        <v>131</v>
      </c>
      <c r="H61" s="45"/>
      <c r="I61" s="45"/>
      <c r="J61" s="45" t="s">
        <v>140</v>
      </c>
      <c r="K61" s="45"/>
    </row>
    <row r="62" spans="1:11" hidden="1" x14ac:dyDescent="0.25">
      <c r="A62" s="51" t="s">
        <v>40</v>
      </c>
      <c r="B62" s="45" t="s">
        <v>113</v>
      </c>
      <c r="C62" s="45">
        <v>1</v>
      </c>
      <c r="D62" s="45" t="str">
        <f>IFERROR(IF(INDEX('01.25'!D2:D500, MATCH(B62&amp;C62, INDEX('01.25'!B2:B500&amp;'01.25'!C2:C500, 0), 0))="", "", INDEX('01.25'!D2:D500, MATCH(B62&amp;C62, INDEX('01.25'!B2:B500&amp;'01.25'!C2:C500, 0), 0))), "")</f>
        <v>Andryws Rafael Gois</v>
      </c>
      <c r="E62" s="107" t="s">
        <v>16</v>
      </c>
      <c r="F62" s="45" t="s">
        <v>433</v>
      </c>
      <c r="G62" s="52" t="s">
        <v>131</v>
      </c>
      <c r="H62" s="45"/>
      <c r="I62" s="45"/>
      <c r="J62" s="45" t="s">
        <v>140</v>
      </c>
      <c r="K62" s="45"/>
    </row>
    <row r="63" spans="1:11" x14ac:dyDescent="0.25">
      <c r="A63" s="50" t="s">
        <v>42</v>
      </c>
      <c r="B63" s="45" t="s">
        <v>123</v>
      </c>
      <c r="C63" s="45">
        <v>1</v>
      </c>
      <c r="D63" s="45" t="str">
        <f>IFERROR(IF(INDEX('01.25'!D2:D500, MATCH(B63&amp;C63, INDEX('01.25'!B2:B500&amp;'01.25'!C2:C500, 0), 0))="", "", INDEX('01.25'!D2:D500, MATCH(B63&amp;C63, INDEX('01.25'!B2:B500&amp;'01.25'!C2:C500, 0), 0))), "")</f>
        <v>Mayara Ketllyn de Paula Rosetti</v>
      </c>
      <c r="E63" s="107" t="s">
        <v>16</v>
      </c>
      <c r="F63" s="45" t="s">
        <v>452</v>
      </c>
      <c r="G63" s="52" t="s">
        <v>131</v>
      </c>
      <c r="H63" s="45"/>
      <c r="I63" s="45"/>
      <c r="J63" s="45" t="s">
        <v>140</v>
      </c>
      <c r="K63" s="45"/>
    </row>
    <row r="64" spans="1:11" hidden="1" x14ac:dyDescent="0.25">
      <c r="A64" s="51" t="s">
        <v>40</v>
      </c>
      <c r="B64" s="45" t="s">
        <v>114</v>
      </c>
      <c r="C64" s="45">
        <v>1</v>
      </c>
      <c r="D64" s="45" t="str">
        <f>IFERROR(IF(INDEX('01.25'!D2:D500, MATCH(B64&amp;C64, INDEX('01.25'!B2:B500&amp;'01.25'!C2:C500, 0), 0))="", "", INDEX('01.25'!D2:D500, MATCH(B64&amp;C64, INDEX('01.25'!B2:B500&amp;'01.25'!C2:C500, 0), 0))), "")</f>
        <v>Junior Andre Britzke</v>
      </c>
      <c r="E64" s="107" t="s">
        <v>16</v>
      </c>
      <c r="F64" s="45" t="s">
        <v>433</v>
      </c>
      <c r="G64" s="52" t="s">
        <v>131</v>
      </c>
      <c r="H64" s="45" t="s">
        <v>467</v>
      </c>
      <c r="I64" s="45"/>
      <c r="J64" s="45" t="s">
        <v>140</v>
      </c>
      <c r="K64" s="45"/>
    </row>
    <row r="65" spans="1:11" hidden="1" x14ac:dyDescent="0.25">
      <c r="A65" s="44" t="s">
        <v>36</v>
      </c>
      <c r="B65" s="45" t="s">
        <v>105</v>
      </c>
      <c r="C65" s="45">
        <v>1</v>
      </c>
      <c r="D65" s="45" t="str">
        <f>IFERROR(IF(INDEX('01.25'!D2:D500, MATCH(B65&amp;C65, INDEX('01.25'!B2:B500&amp;'01.25'!C2:C500, 0), 0))="", "", INDEX('01.25'!D2:D500, MATCH(B65&amp;C65, INDEX('01.25'!B2:B500&amp;'01.25'!C2:C500, 0), 0))), "")</f>
        <v>Adriano Pereira Guedes</v>
      </c>
      <c r="E65" s="107" t="s">
        <v>16</v>
      </c>
      <c r="F65" s="45" t="s">
        <v>445</v>
      </c>
      <c r="G65" s="46" t="s">
        <v>140</v>
      </c>
      <c r="H65" s="45"/>
      <c r="I65" s="45"/>
      <c r="J65" s="45" t="s">
        <v>140</v>
      </c>
      <c r="K65" s="45"/>
    </row>
    <row r="66" spans="1:11" hidden="1" x14ac:dyDescent="0.25">
      <c r="A66" s="44" t="s">
        <v>36</v>
      </c>
      <c r="B66" s="45" t="s">
        <v>106</v>
      </c>
      <c r="C66" s="45">
        <v>1</v>
      </c>
      <c r="D66" s="45" t="str">
        <f>IFERROR(IF(INDEX('01.25'!D2:D500, MATCH(B66&amp;C66, INDEX('01.25'!B2:B500&amp;'01.25'!C2:C500, 0), 0))="", "", INDEX('01.25'!D2:D500, MATCH(B66&amp;C66, INDEX('01.25'!B2:B500&amp;'01.25'!C2:C500, 0), 0))), "")</f>
        <v xml:space="preserve">Suzana Cristina de Almeida </v>
      </c>
      <c r="E66" s="107" t="s">
        <v>16</v>
      </c>
      <c r="F66" s="45" t="s">
        <v>376</v>
      </c>
      <c r="G66" s="52" t="s">
        <v>131</v>
      </c>
      <c r="H66" s="45"/>
      <c r="I66" s="45"/>
      <c r="J66" s="45" t="s">
        <v>140</v>
      </c>
      <c r="K66" s="45"/>
    </row>
    <row r="67" spans="1:11" hidden="1" x14ac:dyDescent="0.25">
      <c r="A67" s="47" t="s">
        <v>28</v>
      </c>
      <c r="B67" s="45" t="s">
        <v>85</v>
      </c>
      <c r="C67" s="45">
        <v>1</v>
      </c>
      <c r="D67" s="45" t="str">
        <f>IFERROR(IF(INDEX('01.25'!D2:D500, MATCH(B67&amp;C67, INDEX('01.25'!B2:B500&amp;'01.25'!C2:C500, 0), 0))="", "", INDEX('01.25'!D2:D500, MATCH(B67&amp;C67, INDEX('01.25'!B2:B500&amp;'01.25'!C2:C500, 0), 0))), "")</f>
        <v>Alice Cristiane Zancheta</v>
      </c>
      <c r="E67" s="107" t="s">
        <v>16</v>
      </c>
      <c r="F67" s="45" t="s">
        <v>446</v>
      </c>
      <c r="G67" s="52" t="s">
        <v>131</v>
      </c>
      <c r="H67" s="45" t="s">
        <v>149</v>
      </c>
      <c r="I67" s="45"/>
      <c r="J67" s="45" t="s">
        <v>140</v>
      </c>
      <c r="K67" s="45"/>
    </row>
    <row r="68" spans="1:11" hidden="1" x14ac:dyDescent="0.25">
      <c r="A68" s="48" t="s">
        <v>38</v>
      </c>
      <c r="B68" s="45" t="s">
        <v>109</v>
      </c>
      <c r="C68" s="45">
        <v>1</v>
      </c>
      <c r="D68" s="45" t="str">
        <f>IFERROR(IF(INDEX('01.25'!D2:D500, MATCH(B68&amp;C68, INDEX('01.25'!B2:B500&amp;'01.25'!C2:C500, 0), 0))="", "", INDEX('01.25'!D2:D500, MATCH(B68&amp;C68, INDEX('01.25'!B2:B500&amp;'01.25'!C2:C500, 0), 0))), "")</f>
        <v>Fernanda kaezer de Godoy</v>
      </c>
      <c r="E68" s="107" t="s">
        <v>16</v>
      </c>
      <c r="F68" s="45" t="s">
        <v>408</v>
      </c>
      <c r="G68" s="46" t="s">
        <v>131</v>
      </c>
      <c r="H68" s="45" t="s">
        <v>710</v>
      </c>
      <c r="I68" s="45"/>
      <c r="J68" s="45" t="s">
        <v>140</v>
      </c>
      <c r="K68" s="45"/>
    </row>
    <row r="69" spans="1:11" hidden="1" x14ac:dyDescent="0.25">
      <c r="A69" s="48" t="s">
        <v>38</v>
      </c>
      <c r="B69" s="45" t="s">
        <v>110</v>
      </c>
      <c r="C69" s="45">
        <v>1</v>
      </c>
      <c r="D69" s="45" t="str">
        <f>IFERROR(IF(INDEX('01.25'!D2:D500, MATCH(B69&amp;C69, INDEX('01.25'!B2:B500&amp;'01.25'!C2:C500, 0), 0))="", "", INDEX('01.25'!D2:D500, MATCH(B69&amp;C69, INDEX('01.25'!B2:B500&amp;'01.25'!C2:C500, 0), 0))), "")</f>
        <v xml:space="preserve">Ademir Papini Júnior </v>
      </c>
      <c r="E69" s="107" t="s">
        <v>16</v>
      </c>
      <c r="F69" s="45" t="s">
        <v>468</v>
      </c>
      <c r="G69" s="46" t="s">
        <v>131</v>
      </c>
      <c r="H69" s="45" t="s">
        <v>710</v>
      </c>
      <c r="I69" s="45"/>
      <c r="J69" s="45" t="s">
        <v>140</v>
      </c>
      <c r="K69" s="45"/>
    </row>
    <row r="70" spans="1:11" x14ac:dyDescent="0.25">
      <c r="A70" s="50" t="s">
        <v>42</v>
      </c>
      <c r="B70" s="45" t="s">
        <v>124</v>
      </c>
      <c r="C70" s="45">
        <v>1</v>
      </c>
      <c r="D70" s="45" t="str">
        <f>IFERROR(IF(INDEX('01.25'!D2:D500, MATCH(B70&amp;C70, INDEX('01.25'!B2:B500&amp;'01.25'!C2:C500, 0), 0))="", "", INDEX('01.25'!D2:D500, MATCH(B70&amp;C70, INDEX('01.25'!B2:B500&amp;'01.25'!C2:C500, 0), 0))), "")</f>
        <v>Heloísa Maria Beloni Insenha</v>
      </c>
      <c r="E70" s="107" t="s">
        <v>16</v>
      </c>
      <c r="F70" s="45" t="s">
        <v>469</v>
      </c>
      <c r="G70" s="52" t="s">
        <v>131</v>
      </c>
      <c r="H70" s="45" t="s">
        <v>470</v>
      </c>
      <c r="I70" s="45"/>
      <c r="J70" s="45" t="s">
        <v>140</v>
      </c>
      <c r="K70" s="45"/>
    </row>
  </sheetData>
  <autoFilter ref="A1:G70" xr:uid="{00000000-0009-0000-0000-00000B000000}">
    <filterColumn colId="0">
      <filters>
        <filter val="Luana"/>
      </filters>
    </filterColumn>
  </autoFilter>
  <mergeCells count="1">
    <mergeCell ref="H42:H43"/>
  </mergeCells>
  <conditionalFormatting sqref="E2:E70">
    <cfRule type="cellIs" dxfId="102" priority="6" stopIfTrue="1" operator="equal">
      <formula>"Enviado"</formula>
    </cfRule>
    <cfRule type="cellIs" dxfId="101" priority="7" stopIfTrue="1" operator="equal">
      <formula>"Atrasado"</formula>
    </cfRule>
    <cfRule type="cellIs" dxfId="100" priority="8" stopIfTrue="1" operator="equal">
      <formula>"Atrasado &gt;= 2"</formula>
    </cfRule>
    <cfRule type="cellIs" dxfId="99" priority="9" stopIfTrue="1" operator="equal">
      <formula>"Outras Ocorrências"</formula>
    </cfRule>
    <cfRule type="cellIs" dxfId="98" priority="10" stopIfTrue="1" operator="equal">
      <formula>"Sem Técnico"</formula>
    </cfRule>
    <cfRule type="cellIs" dxfId="97" priority="11" stopIfTrue="1" operator="equal">
      <formula>"Duplicado"</formula>
    </cfRule>
  </conditionalFormatting>
  <conditionalFormatting sqref="G2:G70">
    <cfRule type="cellIs" dxfId="96" priority="1" stopIfTrue="1" operator="equal">
      <formula>"Sim"</formula>
    </cfRule>
    <cfRule type="cellIs" dxfId="95" priority="3" stopIfTrue="1" operator="equal">
      <formula>"Não"</formula>
    </cfRule>
  </conditionalFormatting>
  <conditionalFormatting sqref="J2:J70">
    <cfRule type="cellIs" dxfId="94" priority="4" stopIfTrue="1" operator="equal">
      <formula>"Sim"</formula>
    </cfRule>
    <cfRule type="cellIs" dxfId="93" priority="4" stopIfTrue="1" operator="equal">
      <formula>"Não"</formula>
    </cfRule>
    <cfRule type="cellIs" dxfId="92" priority="5" stopIfTrue="1" operator="equal">
      <formula>"Em Análise"</formula>
    </cfRule>
  </conditionalFormatting>
  <dataValidations count="3">
    <dataValidation type="list" allowBlank="1" sqref="G2:G70" xr:uid="{00000000-0002-0000-0B00-000000000000}">
      <formula1>"Sim,Não"</formula1>
    </dataValidation>
    <dataValidation type="list" allowBlank="1" sqref="J2:J70" xr:uid="{00000000-0002-0000-0B00-000001000000}">
      <formula1>"Sim,Não,Em Análise"</formula1>
    </dataValidation>
    <dataValidation type="list" allowBlank="1" sqref="E2:E70" xr:uid="{00000000-0002-0000-0B00-000002000000}">
      <formula1>"Enviado, Atrasado, Atrasado &gt;= 2, Outras Ocorrências, Sem Técnico, Duplicado"</formula1>
    </dataValidation>
  </dataValidation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filterMode="1"/>
  <dimension ref="A1:K70"/>
  <sheetViews>
    <sheetView workbookViewId="0">
      <pane xSplit="3" topLeftCell="G1" activePane="topRight" state="frozen"/>
      <selection pane="topRight" activeCell="G43" sqref="G43"/>
    </sheetView>
  </sheetViews>
  <sheetFormatPr defaultRowHeight="15" x14ac:dyDescent="0.25"/>
  <cols>
    <col min="1" max="1" width="14" customWidth="1"/>
    <col min="2" max="2" width="30" customWidth="1"/>
    <col min="3" max="3" width="8" customWidth="1"/>
    <col min="4" max="4" width="45" customWidth="1"/>
    <col min="5" max="6" width="18" customWidth="1"/>
    <col min="7" max="7" width="27" customWidth="1"/>
    <col min="8" max="8" width="139" customWidth="1"/>
    <col min="9" max="9" width="34" customWidth="1"/>
    <col min="10" max="10" width="25" customWidth="1"/>
    <col min="11" max="11" width="26" customWidth="1"/>
  </cols>
  <sheetData>
    <row r="1" spans="1:11" x14ac:dyDescent="0.25">
      <c r="A1" s="43" t="s">
        <v>27</v>
      </c>
      <c r="B1" s="43" t="s">
        <v>70</v>
      </c>
      <c r="C1" s="43" t="s">
        <v>71</v>
      </c>
      <c r="D1" s="43" t="s">
        <v>132</v>
      </c>
      <c r="E1" s="43" t="s">
        <v>133</v>
      </c>
      <c r="F1" s="43" t="s">
        <v>134</v>
      </c>
      <c r="G1" s="43" t="s">
        <v>135</v>
      </c>
      <c r="H1" s="43" t="s">
        <v>136</v>
      </c>
      <c r="I1" s="43" t="s">
        <v>137</v>
      </c>
      <c r="J1" s="43" t="s">
        <v>138</v>
      </c>
      <c r="K1" s="43" t="s">
        <v>139</v>
      </c>
    </row>
    <row r="2" spans="1:11" hidden="1" x14ac:dyDescent="0.25">
      <c r="A2" s="44" t="s">
        <v>36</v>
      </c>
      <c r="B2" s="45" t="s">
        <v>97</v>
      </c>
      <c r="C2" s="45">
        <v>1</v>
      </c>
      <c r="D2" s="45" t="str">
        <f>IFERROR(IF(INDEX('01.25'!D2:D500, MATCH(B2&amp;C2, INDEX('01.25'!B2:B500&amp;'01.25'!C2:C500, 0), 0))="", "", INDEX('01.25'!D2:D500, MATCH(B2&amp;C2, INDEX('01.25'!B2:B500&amp;'01.25'!C2:C500, 0), 0))), "")</f>
        <v>Paula Tatiana Santana Vechi</v>
      </c>
      <c r="E2" s="107" t="s">
        <v>16</v>
      </c>
      <c r="F2" s="45" t="s">
        <v>289</v>
      </c>
      <c r="G2" s="52" t="s">
        <v>131</v>
      </c>
      <c r="H2" s="45" t="s">
        <v>471</v>
      </c>
      <c r="I2" s="45"/>
      <c r="J2" s="45" t="s">
        <v>140</v>
      </c>
      <c r="K2" s="45"/>
    </row>
    <row r="3" spans="1:11" hidden="1" x14ac:dyDescent="0.25">
      <c r="A3" s="47" t="s">
        <v>28</v>
      </c>
      <c r="B3" s="45" t="s">
        <v>87</v>
      </c>
      <c r="C3" s="45">
        <v>1</v>
      </c>
      <c r="D3" s="45" t="str">
        <f>IFERROR(IF(INDEX('01.25'!D2:D500, MATCH(B3&amp;C3, INDEX('01.25'!B2:B500&amp;'01.25'!C2:C500, 0), 0))="", "", INDEX('01.25'!D2:D500, MATCH(B3&amp;C3, INDEX('01.25'!B2:B500&amp;'01.25'!C2:C500, 0), 0))), "")</f>
        <v>Willian de Oliveira Lino</v>
      </c>
      <c r="E3" s="107" t="s">
        <v>16</v>
      </c>
      <c r="F3" s="45" t="s">
        <v>229</v>
      </c>
      <c r="G3" s="52" t="s">
        <v>131</v>
      </c>
      <c r="H3" s="45" t="s">
        <v>149</v>
      </c>
      <c r="I3" s="45"/>
      <c r="J3" s="45" t="s">
        <v>140</v>
      </c>
      <c r="K3" s="45"/>
    </row>
    <row r="4" spans="1:11" hidden="1" x14ac:dyDescent="0.25">
      <c r="A4" s="48" t="s">
        <v>38</v>
      </c>
      <c r="B4" s="45" t="s">
        <v>78</v>
      </c>
      <c r="C4" s="45">
        <v>1</v>
      </c>
      <c r="D4" s="45" t="str">
        <f>IFERROR(IF(INDEX('01.25'!D2:D500, MATCH(B4&amp;C4, INDEX('01.25'!B2:B500&amp;'01.25'!C2:C500, 0), 0))="", "", INDEX('01.25'!D2:D500, MATCH(B4&amp;C4, INDEX('01.25'!B2:B500&amp;'01.25'!C2:C500, 0), 0))), "")</f>
        <v>Gisele Cássia Tamparowsky de Oliveira</v>
      </c>
      <c r="E4" s="107" t="s">
        <v>16</v>
      </c>
      <c r="F4" s="45" t="s">
        <v>271</v>
      </c>
      <c r="G4" s="52" t="s">
        <v>131</v>
      </c>
      <c r="H4" s="45"/>
      <c r="I4" s="45"/>
      <c r="J4" s="45" t="s">
        <v>140</v>
      </c>
      <c r="K4" s="45"/>
    </row>
    <row r="5" spans="1:11" hidden="1" x14ac:dyDescent="0.25">
      <c r="A5" s="47" t="s">
        <v>28</v>
      </c>
      <c r="B5" s="45" t="s">
        <v>88</v>
      </c>
      <c r="C5" s="45">
        <v>1</v>
      </c>
      <c r="D5" s="45" t="str">
        <f>IFERROR(IF(INDEX('01.25'!D2:D500, MATCH(B5&amp;C5, INDEX('01.25'!B2:B500&amp;'01.25'!C2:C500, 0), 0))="", "", INDEX('01.25'!D2:D500, MATCH(B5&amp;C5, INDEX('01.25'!B2:B500&amp;'01.25'!C2:C500, 0), 0))), "")</f>
        <v>Marcos Gabriel Franciosi Borges</v>
      </c>
      <c r="E5" s="107" t="s">
        <v>16</v>
      </c>
      <c r="F5" s="45" t="s">
        <v>472</v>
      </c>
      <c r="G5" s="52" t="s">
        <v>131</v>
      </c>
      <c r="H5" s="45" t="s">
        <v>149</v>
      </c>
      <c r="I5" s="45"/>
      <c r="J5" s="45" t="s">
        <v>140</v>
      </c>
      <c r="K5" s="45"/>
    </row>
    <row r="6" spans="1:11" hidden="1" x14ac:dyDescent="0.25">
      <c r="A6" s="47" t="s">
        <v>28</v>
      </c>
      <c r="B6" s="45" t="s">
        <v>89</v>
      </c>
      <c r="C6" s="45">
        <v>1</v>
      </c>
      <c r="D6" s="45" t="str">
        <f>IFERROR(IF(INDEX('01.25'!D2:D500, MATCH(B6&amp;C6, INDEX('01.25'!B2:B500&amp;'01.25'!C2:C500, 0), 0))="", "", INDEX('01.25'!D2:D500, MATCH(B6&amp;C6, INDEX('01.25'!B2:B500&amp;'01.25'!C2:C500, 0), 0))), "")</f>
        <v>Chayla Bianca Gazoli</v>
      </c>
      <c r="E6" s="107" t="s">
        <v>16</v>
      </c>
      <c r="F6" s="45" t="s">
        <v>181</v>
      </c>
      <c r="G6" s="52" t="s">
        <v>131</v>
      </c>
      <c r="H6" s="45" t="s">
        <v>149</v>
      </c>
      <c r="I6" s="45"/>
      <c r="J6" s="45" t="s">
        <v>140</v>
      </c>
      <c r="K6" s="45"/>
    </row>
    <row r="7" spans="1:11" hidden="1" x14ac:dyDescent="0.25">
      <c r="A7" s="48" t="s">
        <v>38</v>
      </c>
      <c r="B7" s="45" t="s">
        <v>84</v>
      </c>
      <c r="C7" s="45">
        <v>1</v>
      </c>
      <c r="D7" s="45" t="str">
        <f>IFERROR(IF(INDEX('01.25'!D2:D500, MATCH(B7&amp;C7, INDEX('01.25'!B2:B500&amp;'01.25'!C2:C500, 0), 0))="", "", INDEX('01.25'!D2:D500, MATCH(B7&amp;C7, INDEX('01.25'!B2:B500&amp;'01.25'!C2:C500, 0), 0))), "")</f>
        <v>Solange Maria Masqueti</v>
      </c>
      <c r="E7" s="107" t="s">
        <v>16</v>
      </c>
      <c r="F7" s="45" t="s">
        <v>473</v>
      </c>
      <c r="G7" s="46" t="s">
        <v>140</v>
      </c>
      <c r="H7" s="45"/>
      <c r="I7" s="45"/>
      <c r="J7" s="45" t="s">
        <v>140</v>
      </c>
      <c r="K7" s="45"/>
    </row>
    <row r="8" spans="1:11" hidden="1" x14ac:dyDescent="0.25">
      <c r="A8" s="48" t="s">
        <v>38</v>
      </c>
      <c r="B8" s="45" t="s">
        <v>79</v>
      </c>
      <c r="C8" s="45">
        <v>1</v>
      </c>
      <c r="D8" s="45" t="str">
        <f>IFERROR(IF(INDEX('01.25'!D2:D500, MATCH(B8&amp;C8, INDEX('01.25'!B2:B500&amp;'01.25'!C2:C500, 0), 0))="", "", INDEX('01.25'!D2:D500, MATCH(B8&amp;C8, INDEX('01.25'!B2:B500&amp;'01.25'!C2:C500, 0), 0))), "")</f>
        <v>Cristiane Petry Vieira</v>
      </c>
      <c r="E8" s="107" t="s">
        <v>16</v>
      </c>
      <c r="F8" s="45" t="s">
        <v>295</v>
      </c>
      <c r="G8" s="46" t="s">
        <v>140</v>
      </c>
      <c r="H8" s="45"/>
      <c r="I8" s="45"/>
      <c r="J8" s="45" t="s">
        <v>140</v>
      </c>
      <c r="K8" s="45"/>
    </row>
    <row r="9" spans="1:11" ht="28.5" hidden="1" customHeight="1" x14ac:dyDescent="0.25">
      <c r="A9" s="47" t="s">
        <v>28</v>
      </c>
      <c r="B9" s="45" t="s">
        <v>90</v>
      </c>
      <c r="C9" s="45">
        <v>1</v>
      </c>
      <c r="D9" s="45" t="str">
        <f>IFERROR(IF(INDEX('01.25'!D2:D500, MATCH(B9&amp;C9, INDEX('01.25'!B2:B500&amp;'01.25'!C2:C500, 0), 0))="", "", INDEX('01.25'!D2:D500, MATCH(B9&amp;C9, INDEX('01.25'!B2:B500&amp;'01.25'!C2:C500, 0), 0))), "")</f>
        <v>Diego Hemerich</v>
      </c>
      <c r="E9" s="107" t="s">
        <v>16</v>
      </c>
      <c r="F9" s="45" t="s">
        <v>295</v>
      </c>
      <c r="G9" s="52" t="s">
        <v>131</v>
      </c>
      <c r="H9" s="57" t="s">
        <v>474</v>
      </c>
      <c r="I9" s="45"/>
      <c r="J9" s="45" t="s">
        <v>140</v>
      </c>
      <c r="K9" s="45"/>
    </row>
    <row r="10" spans="1:11" hidden="1" x14ac:dyDescent="0.25">
      <c r="A10" s="49" t="s">
        <v>43</v>
      </c>
      <c r="B10" s="45" t="s">
        <v>125</v>
      </c>
      <c r="C10" s="45">
        <v>1</v>
      </c>
      <c r="D10" s="45" t="str">
        <f>IFERROR(IF(INDEX('01.25'!D2:D500, MATCH(B10&amp;C10, INDEX('01.25'!B2:B500&amp;'01.25'!C2:C500, 0), 0))="", "", INDEX('01.25'!D2:D500, MATCH(B10&amp;C10, INDEX('01.25'!B2:B500&amp;'01.25'!C2:C500, 0), 0))), "")</f>
        <v>Tatiane Girardi</v>
      </c>
      <c r="E10" s="107" t="s">
        <v>16</v>
      </c>
      <c r="F10" s="45" t="s">
        <v>464</v>
      </c>
      <c r="G10" s="52" t="s">
        <v>131</v>
      </c>
      <c r="H10" s="45" t="s">
        <v>149</v>
      </c>
      <c r="I10" s="45"/>
      <c r="J10" s="45" t="s">
        <v>140</v>
      </c>
      <c r="K10" s="45"/>
    </row>
    <row r="11" spans="1:11" hidden="1" x14ac:dyDescent="0.25">
      <c r="A11" s="49" t="s">
        <v>43</v>
      </c>
      <c r="B11" s="45" t="s">
        <v>126</v>
      </c>
      <c r="C11" s="45">
        <v>1</v>
      </c>
      <c r="D11" s="45" t="str">
        <f>IFERROR(IF(INDEX('01.25'!D2:D500, MATCH(B11&amp;C11, INDEX('01.25'!B2:B500&amp;'01.25'!C2:C500, 0), 0))="", "", INDEX('01.25'!D2:D500, MATCH(B11&amp;C11, INDEX('01.25'!B2:B500&amp;'01.25'!C2:C500, 0), 0))), "")</f>
        <v>Edson Batista de Castro</v>
      </c>
      <c r="E11" s="107" t="s">
        <v>16</v>
      </c>
      <c r="F11" s="45" t="s">
        <v>295</v>
      </c>
      <c r="G11" s="46" t="s">
        <v>131</v>
      </c>
      <c r="H11" s="45" t="s">
        <v>475</v>
      </c>
      <c r="I11" s="45"/>
      <c r="J11" s="45" t="s">
        <v>140</v>
      </c>
      <c r="K11" s="45"/>
    </row>
    <row r="12" spans="1:11" hidden="1" x14ac:dyDescent="0.25">
      <c r="A12" s="49" t="s">
        <v>43</v>
      </c>
      <c r="B12" s="45" t="s">
        <v>126</v>
      </c>
      <c r="C12" s="45">
        <v>2</v>
      </c>
      <c r="D12" s="45" t="str">
        <f>IFERROR(IF(INDEX('01.25'!D2:D500, MATCH(B12&amp;C12, INDEX('01.25'!B2:B500&amp;'01.25'!C2:C500, 0), 0))="", "", INDEX('01.25'!D2:D500, MATCH(B12&amp;C12, INDEX('01.25'!B2:B500&amp;'01.25'!C2:C500, 0), 0))), "")</f>
        <v>Gabriela Fernanda Sandri</v>
      </c>
      <c r="E12" s="107" t="s">
        <v>16</v>
      </c>
      <c r="F12" s="45" t="s">
        <v>295</v>
      </c>
      <c r="G12" s="46" t="s">
        <v>131</v>
      </c>
      <c r="H12" s="45" t="s">
        <v>476</v>
      </c>
      <c r="I12" s="45"/>
      <c r="J12" s="45" t="s">
        <v>140</v>
      </c>
      <c r="K12" s="45"/>
    </row>
    <row r="13" spans="1:11" hidden="1" x14ac:dyDescent="0.25">
      <c r="A13" s="49" t="s">
        <v>43</v>
      </c>
      <c r="B13" s="45" t="s">
        <v>126</v>
      </c>
      <c r="C13" s="45">
        <v>3</v>
      </c>
      <c r="D13" s="45" t="str">
        <f>IFERROR(IF(INDEX('01.25'!D2:D500, MATCH(B13&amp;C13, INDEX('01.25'!B2:B500&amp;'01.25'!C2:C500, 0), 0))="", "", INDEX('01.25'!D2:D500, MATCH(B13&amp;C13, INDEX('01.25'!B2:B500&amp;'01.25'!C2:C500, 0), 0))), "")</f>
        <v>Eduarda Rohden Donasolo</v>
      </c>
      <c r="E13" s="107" t="s">
        <v>16</v>
      </c>
      <c r="F13" s="45" t="s">
        <v>289</v>
      </c>
      <c r="G13" s="46" t="s">
        <v>131</v>
      </c>
      <c r="H13" s="45" t="s">
        <v>476</v>
      </c>
      <c r="I13" s="45"/>
      <c r="J13" s="45" t="s">
        <v>140</v>
      </c>
      <c r="K13" s="45"/>
    </row>
    <row r="14" spans="1:11" hidden="1" x14ac:dyDescent="0.25">
      <c r="A14" s="49" t="s">
        <v>43</v>
      </c>
      <c r="B14" s="45" t="s">
        <v>126</v>
      </c>
      <c r="C14" s="45">
        <v>4</v>
      </c>
      <c r="D14" s="45" t="str">
        <f>IFERROR(IF(INDEX('01.25'!D2:D500, MATCH(B14&amp;C14, INDEX('01.25'!B2:B500&amp;'01.25'!C2:C500, 0), 0))="", "", INDEX('01.25'!D2:D500, MATCH(B14&amp;C14, INDEX('01.25'!B2:B500&amp;'01.25'!C2:C500, 0), 0))), "")</f>
        <v>Mauricio Pinto de Lima</v>
      </c>
      <c r="E14" s="107" t="s">
        <v>16</v>
      </c>
      <c r="F14" s="45" t="s">
        <v>447</v>
      </c>
      <c r="G14" s="46" t="s">
        <v>131</v>
      </c>
      <c r="H14" s="111" t="s">
        <v>477</v>
      </c>
      <c r="I14" s="45"/>
      <c r="J14" s="45" t="s">
        <v>140</v>
      </c>
      <c r="K14" s="45"/>
    </row>
    <row r="15" spans="1:11" hidden="1" x14ac:dyDescent="0.25">
      <c r="A15" s="49" t="s">
        <v>43</v>
      </c>
      <c r="B15" s="45" t="s">
        <v>126</v>
      </c>
      <c r="C15" s="45">
        <v>5</v>
      </c>
      <c r="D15" s="45" t="str">
        <f>IFERROR(IF(INDEX('01.25'!D2:D500, MATCH(B15&amp;C15, INDEX('01.25'!B2:B500&amp;'01.25'!C2:C500, 0), 0))="", "", INDEX('01.25'!D2:D500, MATCH(B15&amp;C15, INDEX('01.25'!B2:B500&amp;'01.25'!C2:C500, 0), 0))), "")</f>
        <v xml:space="preserve">Débora Laize Lampert Gnass </v>
      </c>
      <c r="E15" s="107" t="s">
        <v>16</v>
      </c>
      <c r="F15" s="45" t="s">
        <v>478</v>
      </c>
      <c r="G15" s="52" t="s">
        <v>131</v>
      </c>
      <c r="H15" s="45" t="s">
        <v>479</v>
      </c>
      <c r="I15" s="45"/>
      <c r="J15" s="45" t="s">
        <v>140</v>
      </c>
      <c r="K15" s="45"/>
    </row>
    <row r="16" spans="1:11" hidden="1" x14ac:dyDescent="0.25">
      <c r="A16" s="49" t="s">
        <v>43</v>
      </c>
      <c r="B16" s="45" t="s">
        <v>126</v>
      </c>
      <c r="C16" s="45">
        <v>6</v>
      </c>
      <c r="D16" s="45" t="str">
        <f>IFERROR(IF(INDEX('01.25'!D2:D500, MATCH(B16&amp;C16, INDEX('01.25'!B2:B500&amp;'01.25'!C2:C500, 0), 0))="", "", INDEX('01.25'!D2:D500, MATCH(B16&amp;C16, INDEX('01.25'!B2:B500&amp;'01.25'!C2:C500, 0), 0))), "")</f>
        <v/>
      </c>
      <c r="E16" s="107" t="s">
        <v>16</v>
      </c>
      <c r="F16" s="45" t="s">
        <v>480</v>
      </c>
      <c r="G16" s="46" t="s">
        <v>131</v>
      </c>
      <c r="H16" s="45" t="s">
        <v>476</v>
      </c>
      <c r="I16" s="45"/>
      <c r="J16" s="45" t="s">
        <v>140</v>
      </c>
      <c r="K16" s="45"/>
    </row>
    <row r="17" spans="1:11" hidden="1" x14ac:dyDescent="0.25">
      <c r="A17" s="47" t="s">
        <v>28</v>
      </c>
      <c r="B17" s="45" t="s">
        <v>91</v>
      </c>
      <c r="C17" s="45">
        <v>1</v>
      </c>
      <c r="D17" s="45" t="str">
        <f>IFERROR(IF(INDEX('01.25'!D2:D500, MATCH(B17&amp;C17, INDEX('01.25'!B2:B500&amp;'01.25'!C2:C500, 0), 0))="", "", INDEX('01.25'!D2:D500, MATCH(B17&amp;C17, INDEX('01.25'!B2:B500&amp;'01.25'!C2:C500, 0), 0))), "")</f>
        <v>Cristina Harumi Enokida</v>
      </c>
      <c r="E17" s="107" t="s">
        <v>16</v>
      </c>
      <c r="F17" s="45" t="s">
        <v>229</v>
      </c>
      <c r="G17" s="52" t="s">
        <v>131</v>
      </c>
      <c r="H17" s="45" t="s">
        <v>149</v>
      </c>
      <c r="I17" s="45"/>
      <c r="J17" s="45" t="s">
        <v>140</v>
      </c>
      <c r="K17" s="45"/>
    </row>
    <row r="18" spans="1:11" hidden="1" x14ac:dyDescent="0.25">
      <c r="A18" s="49" t="s">
        <v>43</v>
      </c>
      <c r="B18" s="45" t="s">
        <v>127</v>
      </c>
      <c r="C18" s="45">
        <v>1</v>
      </c>
      <c r="D18" s="45" t="str">
        <f>IFERROR(IF(INDEX('01.25'!D2:D500, MATCH(B18&amp;C18, INDEX('01.25'!B2:B500&amp;'01.25'!C2:C500, 0), 0))="", "", INDEX('01.25'!D2:D500, MATCH(B18&amp;C18, INDEX('01.25'!B2:B500&amp;'01.25'!C2:C500, 0), 0))), "")</f>
        <v>Douglas de Mattia</v>
      </c>
      <c r="E18" s="107" t="s">
        <v>16</v>
      </c>
      <c r="F18" s="45" t="s">
        <v>464</v>
      </c>
      <c r="G18" s="52" t="s">
        <v>131</v>
      </c>
      <c r="H18" s="45" t="s">
        <v>481</v>
      </c>
      <c r="I18" s="45"/>
      <c r="J18" s="45" t="s">
        <v>140</v>
      </c>
      <c r="K18" s="45"/>
    </row>
    <row r="19" spans="1:11" hidden="1" x14ac:dyDescent="0.25">
      <c r="A19" s="47" t="s">
        <v>28</v>
      </c>
      <c r="B19" s="45" t="s">
        <v>92</v>
      </c>
      <c r="C19" s="45">
        <v>1</v>
      </c>
      <c r="D19" s="45" t="str">
        <f>IFERROR(IF(INDEX('01.25'!D2:D500, MATCH(B19&amp;C19, INDEX('01.25'!B2:B500&amp;'01.25'!C2:C500, 0), 0))="", "", INDEX('01.25'!D2:D500, MATCH(B19&amp;C19, INDEX('01.25'!B2:B500&amp;'01.25'!C2:C500, 0), 0))), "")</f>
        <v>Vanderson Pasetti</v>
      </c>
      <c r="E19" s="107" t="s">
        <v>16</v>
      </c>
      <c r="F19" s="45" t="s">
        <v>482</v>
      </c>
      <c r="G19" s="52" t="s">
        <v>131</v>
      </c>
      <c r="H19" s="45" t="s">
        <v>149</v>
      </c>
      <c r="I19" s="45"/>
      <c r="J19" s="45" t="s">
        <v>140</v>
      </c>
      <c r="K19" s="45"/>
    </row>
    <row r="20" spans="1:11" x14ac:dyDescent="0.25">
      <c r="A20" s="50" t="s">
        <v>42</v>
      </c>
      <c r="B20" s="45" t="s">
        <v>115</v>
      </c>
      <c r="C20" s="45">
        <v>1</v>
      </c>
      <c r="D20" s="45" t="str">
        <f>IFERROR(IF(INDEX('01.25'!D2:D500, MATCH(B20&amp;C20, INDEX('01.25'!B2:B500&amp;'01.25'!C2:C500, 0), 0))="", "", INDEX('01.25'!D2:D500, MATCH(B20&amp;C20, INDEX('01.25'!B2:B500&amp;'01.25'!C2:C500, 0), 0))), "")</f>
        <v>Bruna Schneider Guimarães</v>
      </c>
      <c r="E20" s="107" t="s">
        <v>16</v>
      </c>
      <c r="F20" s="45" t="s">
        <v>483</v>
      </c>
      <c r="G20" s="52" t="s">
        <v>131</v>
      </c>
      <c r="H20" s="45"/>
      <c r="I20" s="45"/>
      <c r="J20" s="45" t="s">
        <v>140</v>
      </c>
      <c r="K20" s="45"/>
    </row>
    <row r="21" spans="1:11" hidden="1" x14ac:dyDescent="0.25">
      <c r="A21" s="47" t="s">
        <v>28</v>
      </c>
      <c r="B21" s="45" t="s">
        <v>93</v>
      </c>
      <c r="C21" s="45">
        <v>1</v>
      </c>
      <c r="D21" s="45" t="str">
        <f>IFERROR(IF(INDEX('01.25'!D2:D500, MATCH(B21&amp;C21, INDEX('01.25'!B2:B500&amp;'01.25'!C2:C500, 0), 0))="", "", INDEX('01.25'!D2:D500, MATCH(B21&amp;C21, INDEX('01.25'!B2:B500&amp;'01.25'!C2:C500, 0), 0))), "")</f>
        <v>Keilla Avezedo</v>
      </c>
      <c r="E21" s="107" t="s">
        <v>16</v>
      </c>
      <c r="F21" s="45" t="s">
        <v>484</v>
      </c>
      <c r="G21" s="52" t="s">
        <v>131</v>
      </c>
      <c r="H21" s="45" t="s">
        <v>149</v>
      </c>
      <c r="I21" s="45"/>
      <c r="J21" s="45" t="s">
        <v>140</v>
      </c>
      <c r="K21" s="45"/>
    </row>
    <row r="22" spans="1:11" x14ac:dyDescent="0.25">
      <c r="A22" s="50" t="s">
        <v>42</v>
      </c>
      <c r="B22" s="45" t="s">
        <v>116</v>
      </c>
      <c r="C22" s="45">
        <v>1</v>
      </c>
      <c r="D22" s="45" t="str">
        <f>IFERROR(IF(INDEX('01.25'!D2:D500, MATCH(B22&amp;C22, INDEX('01.25'!B2:B500&amp;'01.25'!C2:C500, 0), 0))="", "", INDEX('01.25'!D2:D500, MATCH(B22&amp;C22, INDEX('01.25'!B2:B500&amp;'01.25'!C2:C500, 0), 0))), "")</f>
        <v>Carmen Maria Stein Weiler</v>
      </c>
      <c r="E22" s="107" t="s">
        <v>16</v>
      </c>
      <c r="F22" s="45" t="s">
        <v>485</v>
      </c>
      <c r="G22" s="52" t="s">
        <v>131</v>
      </c>
      <c r="H22" s="45"/>
      <c r="I22" s="45"/>
      <c r="J22" s="45" t="s">
        <v>140</v>
      </c>
      <c r="K22" s="45"/>
    </row>
    <row r="23" spans="1:11" hidden="1" x14ac:dyDescent="0.25">
      <c r="A23" s="48" t="s">
        <v>38</v>
      </c>
      <c r="B23" s="45" t="s">
        <v>75</v>
      </c>
      <c r="C23" s="45">
        <v>1</v>
      </c>
      <c r="D23" s="45" t="str">
        <f>IFERROR(IF(INDEX('01.25'!D2:D500, MATCH(B23&amp;C23, INDEX('01.25'!B2:B500&amp;'01.25'!C2:C500, 0), 0))="", "", INDEX('01.25'!D2:D500, MATCH(B23&amp;C23, INDEX('01.25'!B2:B500&amp;'01.25'!C2:C500, 0), 0))), "")</f>
        <v>Thiago Varaschim Cenci</v>
      </c>
      <c r="E23" s="107" t="s">
        <v>16</v>
      </c>
      <c r="F23" s="45" t="s">
        <v>182</v>
      </c>
      <c r="G23" s="46" t="s">
        <v>131</v>
      </c>
      <c r="H23" s="111" t="s">
        <v>679</v>
      </c>
      <c r="I23" s="45"/>
      <c r="J23" s="45" t="s">
        <v>140</v>
      </c>
      <c r="K23" s="45"/>
    </row>
    <row r="24" spans="1:11" hidden="1" x14ac:dyDescent="0.25">
      <c r="A24" s="51" t="s">
        <v>40</v>
      </c>
      <c r="B24" s="45" t="s">
        <v>80</v>
      </c>
      <c r="C24" s="45">
        <v>1</v>
      </c>
      <c r="D24" s="45" t="str">
        <f>IFERROR(IF(INDEX('01.25'!D2:D500, MATCH(B24&amp;C24, INDEX('01.25'!B2:B500&amp;'01.25'!C2:C500, 0), 0))="", "", INDEX('01.25'!D2:D500, MATCH(B24&amp;C24, INDEX('01.25'!B2:B500&amp;'01.25'!C2:C500, 0), 0))), "")</f>
        <v>Éber Alexandre Nascimento Araújo</v>
      </c>
      <c r="E24" s="108" t="s">
        <v>21</v>
      </c>
      <c r="F24" s="45"/>
      <c r="G24" s="52" t="s">
        <v>131</v>
      </c>
      <c r="H24" s="45"/>
      <c r="I24" s="45"/>
      <c r="J24" s="45" t="s">
        <v>140</v>
      </c>
      <c r="K24" s="45"/>
    </row>
    <row r="25" spans="1:11" hidden="1" x14ac:dyDescent="0.25">
      <c r="A25" s="51" t="s">
        <v>40</v>
      </c>
      <c r="B25" s="45" t="s">
        <v>80</v>
      </c>
      <c r="C25" s="45">
        <v>2</v>
      </c>
      <c r="D25" s="45" t="str">
        <f>IFERROR(IF(INDEX('01.25'!D2:D500, MATCH(B25&amp;C25, INDEX('01.25'!B2:B500&amp;'01.25'!C2:C500, 0), 0))="", "", INDEX('01.25'!D2:D500, MATCH(B25&amp;C25, INDEX('01.25'!B2:B500&amp;'01.25'!C2:C500, 0), 0))), "")</f>
        <v>Andrea Carla Winkelmann</v>
      </c>
      <c r="E25" s="107" t="s">
        <v>16</v>
      </c>
      <c r="F25" s="45" t="s">
        <v>181</v>
      </c>
      <c r="G25" s="52" t="s">
        <v>131</v>
      </c>
      <c r="H25" s="45" t="s">
        <v>486</v>
      </c>
      <c r="I25" s="45"/>
      <c r="J25" s="45" t="s">
        <v>140</v>
      </c>
      <c r="K25" s="45"/>
    </row>
    <row r="26" spans="1:11" hidden="1" x14ac:dyDescent="0.25">
      <c r="A26" s="51" t="s">
        <v>40</v>
      </c>
      <c r="B26" s="45" t="s">
        <v>80</v>
      </c>
      <c r="C26" s="45">
        <v>3</v>
      </c>
      <c r="D26" s="45" t="str">
        <f>IFERROR(IF(INDEX('01.25'!D2:D500, MATCH(B26&amp;C26, INDEX('01.25'!B2:B500&amp;'01.25'!C2:C500, 0), 0))="", "", INDEX('01.25'!D2:D500, MATCH(B26&amp;C26, INDEX('01.25'!B2:B500&amp;'01.25'!C2:C500, 0), 0))), "")</f>
        <v>Lorizete de Andrade</v>
      </c>
      <c r="E26" s="107" t="s">
        <v>16</v>
      </c>
      <c r="F26" s="45" t="s">
        <v>295</v>
      </c>
      <c r="G26" s="52" t="s">
        <v>131</v>
      </c>
      <c r="H26" s="45" t="s">
        <v>487</v>
      </c>
      <c r="I26" s="45"/>
      <c r="J26" s="45" t="s">
        <v>140</v>
      </c>
      <c r="K26" s="45"/>
    </row>
    <row r="27" spans="1:11" hidden="1" x14ac:dyDescent="0.25">
      <c r="A27" s="51" t="s">
        <v>40</v>
      </c>
      <c r="B27" s="45" t="s">
        <v>80</v>
      </c>
      <c r="C27" s="45">
        <v>4</v>
      </c>
      <c r="D27" s="45" t="str">
        <f>IFERROR(IF(INDEX('01.25'!D2:D500, MATCH(B27&amp;C27, INDEX('01.25'!B2:B500&amp;'01.25'!C2:C500, 0), 0))="", "", INDEX('01.25'!D2:D500, MATCH(B27&amp;C27, INDEX('01.25'!B2:B500&amp;'01.25'!C2:C500, 0), 0))), "")</f>
        <v>Andressa Maia</v>
      </c>
      <c r="E27" s="107" t="s">
        <v>16</v>
      </c>
      <c r="F27" s="45" t="s">
        <v>229</v>
      </c>
      <c r="G27" s="52" t="s">
        <v>131</v>
      </c>
      <c r="H27" s="45"/>
      <c r="I27" s="45"/>
      <c r="J27" s="45" t="s">
        <v>140</v>
      </c>
      <c r="K27" s="45"/>
    </row>
    <row r="28" spans="1:11" hidden="1" x14ac:dyDescent="0.25">
      <c r="A28" s="51" t="s">
        <v>40</v>
      </c>
      <c r="B28" s="45" t="s">
        <v>80</v>
      </c>
      <c r="C28" s="45">
        <v>5</v>
      </c>
      <c r="D28" s="45" t="str">
        <f>IFERROR(IF(INDEX('01.25'!D2:D500, MATCH(B28&amp;C28, INDEX('01.25'!B2:B500&amp;'01.25'!C2:C500, 0), 0))="", "", INDEX('01.25'!D2:D500, MATCH(B28&amp;C28, INDEX('01.25'!B2:B500&amp;'01.25'!C2:C500, 0), 0))), "")</f>
        <v>Lucas Correia de Souza</v>
      </c>
      <c r="E28" s="107" t="s">
        <v>16</v>
      </c>
      <c r="F28" s="45" t="s">
        <v>181</v>
      </c>
      <c r="G28" s="52" t="s">
        <v>131</v>
      </c>
      <c r="H28" s="45"/>
      <c r="I28" s="45"/>
      <c r="J28" s="45" t="s">
        <v>140</v>
      </c>
      <c r="K28" s="45"/>
    </row>
    <row r="29" spans="1:11" hidden="1" x14ac:dyDescent="0.25">
      <c r="A29" s="51" t="s">
        <v>40</v>
      </c>
      <c r="B29" s="45" t="s">
        <v>80</v>
      </c>
      <c r="C29" s="45">
        <v>6</v>
      </c>
      <c r="D29" s="45" t="str">
        <f>IFERROR(IF(INDEX('01.25'!D2:D500, MATCH(B29&amp;C29, INDEX('01.25'!B2:B500&amp;'01.25'!C2:C500, 0), 0))="", "", INDEX('01.25'!D2:D500, MATCH(B29&amp;C29, INDEX('01.25'!B2:B500&amp;'01.25'!C2:C500, 0), 0))), "")</f>
        <v>Jose Francisco Mariano de Faria Filho</v>
      </c>
      <c r="E29" s="107" t="s">
        <v>16</v>
      </c>
      <c r="F29" s="45" t="s">
        <v>289</v>
      </c>
      <c r="G29" s="52" t="s">
        <v>131</v>
      </c>
      <c r="H29" s="45" t="s">
        <v>488</v>
      </c>
      <c r="I29" s="45"/>
      <c r="J29" s="45" t="s">
        <v>140</v>
      </c>
      <c r="K29" s="45"/>
    </row>
    <row r="30" spans="1:11" hidden="1" x14ac:dyDescent="0.25">
      <c r="A30" s="51" t="s">
        <v>40</v>
      </c>
      <c r="B30" s="45" t="s">
        <v>80</v>
      </c>
      <c r="C30" s="45">
        <v>7</v>
      </c>
      <c r="D30" s="45" t="str">
        <f>IFERROR(IF(INDEX('01.25'!D2:D500, MATCH(B30&amp;C30, INDEX('01.25'!B2:B500&amp;'01.25'!C2:C500, 0), 0))="", "", INDEX('01.25'!D2:D500, MATCH(B30&amp;C30, INDEX('01.25'!B2:B500&amp;'01.25'!C2:C500, 0), 0))), "")</f>
        <v>Pedro Henrique Mariano de Faria</v>
      </c>
      <c r="E30" s="107" t="s">
        <v>16</v>
      </c>
      <c r="F30" s="45" t="s">
        <v>489</v>
      </c>
      <c r="G30" s="52" t="s">
        <v>131</v>
      </c>
      <c r="H30" s="45" t="s">
        <v>488</v>
      </c>
      <c r="I30" s="45"/>
      <c r="J30" s="45" t="s">
        <v>140</v>
      </c>
      <c r="K30" s="45"/>
    </row>
    <row r="31" spans="1:11" hidden="1" x14ac:dyDescent="0.25">
      <c r="A31" s="51" t="s">
        <v>40</v>
      </c>
      <c r="B31" s="45" t="s">
        <v>80</v>
      </c>
      <c r="C31" s="45">
        <v>8</v>
      </c>
      <c r="D31" s="45" t="str">
        <f>IFERROR(IF(INDEX('01.25'!D2:D500, MATCH(B31&amp;C31, INDEX('01.25'!B2:B500&amp;'01.25'!C2:C500, 0), 0))="", "", INDEX('01.25'!D2:D500, MATCH(B31&amp;C31, INDEX('01.25'!B2:B500&amp;'01.25'!C2:C500, 0), 0))), "")</f>
        <v>Renata Aparecida de Souza</v>
      </c>
      <c r="E31" s="107" t="s">
        <v>16</v>
      </c>
      <c r="F31" s="45" t="s">
        <v>181</v>
      </c>
      <c r="G31" s="52" t="s">
        <v>131</v>
      </c>
      <c r="H31" s="45"/>
      <c r="I31" s="45"/>
      <c r="J31" s="45" t="s">
        <v>140</v>
      </c>
      <c r="K31" s="45"/>
    </row>
    <row r="32" spans="1:11" hidden="1" x14ac:dyDescent="0.25">
      <c r="A32" s="51" t="s">
        <v>40</v>
      </c>
      <c r="B32" s="45" t="s">
        <v>80</v>
      </c>
      <c r="C32" s="45">
        <v>9</v>
      </c>
      <c r="D32" s="45" t="str">
        <f>IFERROR(IF(INDEX('01.25'!D2:D500, MATCH(B32&amp;C32, INDEX('01.25'!B2:B500&amp;'01.25'!C2:C500, 0), 0))="", "", INDEX('01.25'!D2:D500, MATCH(B32&amp;C32, INDEX('01.25'!B2:B500&amp;'01.25'!C2:C500, 0), 0))), "")</f>
        <v>Maria Eduarda dos Santos Arias</v>
      </c>
      <c r="E32" s="107" t="s">
        <v>16</v>
      </c>
      <c r="F32" s="45" t="s">
        <v>490</v>
      </c>
      <c r="G32" s="52" t="s">
        <v>131</v>
      </c>
      <c r="H32" s="45" t="s">
        <v>491</v>
      </c>
      <c r="I32" s="45"/>
      <c r="J32" s="45" t="s">
        <v>140</v>
      </c>
      <c r="K32" s="45"/>
    </row>
    <row r="33" spans="1:11" hidden="1" x14ac:dyDescent="0.25">
      <c r="A33" s="44" t="s">
        <v>36</v>
      </c>
      <c r="B33" s="45" t="s">
        <v>98</v>
      </c>
      <c r="C33" s="45">
        <v>1</v>
      </c>
      <c r="D33" s="45" t="str">
        <f>IFERROR(IF(INDEX('01.25'!D2:D500, MATCH(B33&amp;C33, INDEX('01.25'!B2:B500&amp;'01.25'!C2:C500, 0), 0))="", "", INDEX('01.25'!D2:D500, MATCH(B33&amp;C33, INDEX('01.25'!B2:B500&amp;'01.25'!C2:C500, 0), 0))), "")</f>
        <v>Paulo Rogerio Hiroshi Fujii</v>
      </c>
      <c r="E33" s="107" t="s">
        <v>16</v>
      </c>
      <c r="F33" s="45" t="s">
        <v>289</v>
      </c>
      <c r="G33" s="46" t="s">
        <v>140</v>
      </c>
      <c r="H33" s="45"/>
      <c r="I33" s="45"/>
      <c r="J33" s="45" t="s">
        <v>140</v>
      </c>
      <c r="K33" s="45"/>
    </row>
    <row r="34" spans="1:11" hidden="1" x14ac:dyDescent="0.25">
      <c r="A34" s="44" t="s">
        <v>36</v>
      </c>
      <c r="B34" s="45" t="s">
        <v>99</v>
      </c>
      <c r="C34" s="45">
        <v>1</v>
      </c>
      <c r="D34" s="45" t="str">
        <f>IFERROR(IF(INDEX('01.25'!D2:D500, MATCH(B34&amp;C34, INDEX('01.25'!B2:B500&amp;'01.25'!C2:C500, 0), 0))="", "", INDEX('01.25'!D2:D500, MATCH(B34&amp;C34, INDEX('01.25'!B2:B500&amp;'01.25'!C2:C500, 0), 0))), "")</f>
        <v>Marlene R. Oliveira Dallacosta</v>
      </c>
      <c r="E34" s="107" t="s">
        <v>16</v>
      </c>
      <c r="F34" s="45" t="s">
        <v>473</v>
      </c>
      <c r="G34" s="46" t="s">
        <v>140</v>
      </c>
      <c r="H34" s="45"/>
      <c r="I34" s="45"/>
      <c r="J34" s="45" t="s">
        <v>140</v>
      </c>
      <c r="K34" s="45"/>
    </row>
    <row r="35" spans="1:11" hidden="1" x14ac:dyDescent="0.25">
      <c r="A35" s="47" t="s">
        <v>28</v>
      </c>
      <c r="B35" s="45" t="s">
        <v>94</v>
      </c>
      <c r="C35" s="45">
        <v>1</v>
      </c>
      <c r="D35" s="45" t="str">
        <f>IFERROR(IF(INDEX('01.25'!D2:D500, MATCH(B35&amp;C35, INDEX('01.25'!B2:B500&amp;'01.25'!C2:C500, 0), 0))="", "", INDEX('01.25'!D2:D500, MATCH(B35&amp;C35, INDEX('01.25'!B2:B500&amp;'01.25'!C2:C500, 0), 0))), "")</f>
        <v>Vitolor dos Santos Almeida</v>
      </c>
      <c r="E35" s="107" t="s">
        <v>16</v>
      </c>
      <c r="F35" s="45" t="s">
        <v>492</v>
      </c>
      <c r="G35" s="52" t="s">
        <v>131</v>
      </c>
      <c r="H35" s="45" t="s">
        <v>149</v>
      </c>
      <c r="I35" s="45" t="s">
        <v>493</v>
      </c>
      <c r="J35" s="45" t="s">
        <v>131</v>
      </c>
      <c r="K35" s="45" t="s">
        <v>494</v>
      </c>
    </row>
    <row r="36" spans="1:11" hidden="1" x14ac:dyDescent="0.25">
      <c r="A36" s="47" t="s">
        <v>28</v>
      </c>
      <c r="B36" s="45" t="s">
        <v>95</v>
      </c>
      <c r="C36" s="45">
        <v>1</v>
      </c>
      <c r="D36" s="45" t="str">
        <f>IFERROR(IF(INDEX('01.25'!D2:D500, MATCH(B36&amp;C36, INDEX('01.25'!B2:B500&amp;'01.25'!C2:C500, 0), 0))="", "", INDEX('01.25'!D2:D500, MATCH(B36&amp;C36, INDEX('01.25'!B2:B500&amp;'01.25'!C2:C500, 0), 0))), "")</f>
        <v>Kelly Jackeline Silva do Valle</v>
      </c>
      <c r="E36" s="107" t="s">
        <v>16</v>
      </c>
      <c r="F36" s="45" t="s">
        <v>439</v>
      </c>
      <c r="G36" s="52" t="s">
        <v>131</v>
      </c>
      <c r="H36" s="45" t="s">
        <v>149</v>
      </c>
      <c r="I36" s="45"/>
      <c r="J36" s="45" t="s">
        <v>140</v>
      </c>
      <c r="K36" s="45"/>
    </row>
    <row r="37" spans="1:11" hidden="1" x14ac:dyDescent="0.25">
      <c r="A37" s="47" t="s">
        <v>28</v>
      </c>
      <c r="B37" s="45" t="s">
        <v>96</v>
      </c>
      <c r="C37" s="45">
        <v>1</v>
      </c>
      <c r="D37" s="45" t="str">
        <f>IFERROR(IF(INDEX('01.25'!D2:D500, MATCH(B37&amp;C37, INDEX('01.25'!B2:B500&amp;'01.25'!C2:C500, 0), 0))="", "", INDEX('01.25'!D2:D500, MATCH(B37&amp;C37, INDEX('01.25'!B2:B500&amp;'01.25'!C2:C500, 0), 0))), "")</f>
        <v>Felipe Carvalho Zydek</v>
      </c>
      <c r="E37" s="107" t="s">
        <v>16</v>
      </c>
      <c r="F37" s="45" t="s">
        <v>229</v>
      </c>
      <c r="G37" s="52" t="s">
        <v>131</v>
      </c>
      <c r="H37" s="45" t="s">
        <v>149</v>
      </c>
      <c r="I37" s="45"/>
      <c r="J37" s="45" t="s">
        <v>140</v>
      </c>
      <c r="K37" s="45"/>
    </row>
    <row r="38" spans="1:11" hidden="1" x14ac:dyDescent="0.25">
      <c r="A38" s="48" t="s">
        <v>38</v>
      </c>
      <c r="B38" s="45" t="s">
        <v>107</v>
      </c>
      <c r="C38" s="45">
        <v>1</v>
      </c>
      <c r="D38" s="45" t="str">
        <f>IFERROR(IF(INDEX('01.25'!D2:D500, MATCH(B38&amp;C38, INDEX('01.25'!B2:B500&amp;'01.25'!C2:C500, 0), 0))="", "", INDEX('01.25'!D2:D500, MATCH(B38&amp;C38, INDEX('01.25'!B2:B500&amp;'01.25'!C2:C500, 0), 0))), "")</f>
        <v>Eliane Borin</v>
      </c>
      <c r="E38" s="107" t="s">
        <v>16</v>
      </c>
      <c r="F38" s="45" t="s">
        <v>295</v>
      </c>
      <c r="G38" s="46" t="s">
        <v>131</v>
      </c>
      <c r="H38" s="45" t="s">
        <v>149</v>
      </c>
      <c r="I38" s="45"/>
      <c r="J38" s="45" t="s">
        <v>140</v>
      </c>
      <c r="K38" s="45"/>
    </row>
    <row r="39" spans="1:11" x14ac:dyDescent="0.25">
      <c r="A39" s="50" t="s">
        <v>42</v>
      </c>
      <c r="B39" s="45" t="s">
        <v>117</v>
      </c>
      <c r="C39" s="45">
        <v>1</v>
      </c>
      <c r="D39" s="45" t="str">
        <f>IFERROR(IF(INDEX('01.25'!D2:D500, MATCH(B39&amp;C39, INDEX('01.25'!B2:B500&amp;'01.25'!C2:C500, 0), 0))="", "", INDEX('01.25'!D2:D500, MATCH(B39&amp;C39, INDEX('01.25'!B2:B500&amp;'01.25'!C2:C500, 0), 0))), "")</f>
        <v>Tatiana schrard</v>
      </c>
      <c r="E39" s="106" t="s">
        <v>18</v>
      </c>
      <c r="F39" s="45"/>
      <c r="G39" s="46" t="s">
        <v>140</v>
      </c>
      <c r="H39" s="45" t="s">
        <v>495</v>
      </c>
      <c r="I39" s="45"/>
      <c r="J39" s="45" t="s">
        <v>140</v>
      </c>
      <c r="K39" s="45"/>
    </row>
    <row r="40" spans="1:11" hidden="1" x14ac:dyDescent="0.25">
      <c r="A40" s="48" t="s">
        <v>38</v>
      </c>
      <c r="B40" s="45" t="s">
        <v>81</v>
      </c>
      <c r="C40" s="45">
        <v>1</v>
      </c>
      <c r="D40" s="45" t="str">
        <f>IFERROR(IF(INDEX('01.25'!D2:D500, MATCH(B40&amp;C40, INDEX('01.25'!B2:B500&amp;'01.25'!C2:C500, 0), 0))="", "", INDEX('01.25'!D2:D500, MATCH(B40&amp;C40, INDEX('01.25'!B2:B500&amp;'01.25'!C2:C500, 0), 0))), "")</f>
        <v>César Piva Glinglani</v>
      </c>
      <c r="E40" s="107" t="s">
        <v>16</v>
      </c>
      <c r="F40" s="45" t="s">
        <v>181</v>
      </c>
      <c r="G40" s="46" t="s">
        <v>140</v>
      </c>
      <c r="H40" s="45"/>
      <c r="I40" s="45"/>
      <c r="J40" s="45" t="s">
        <v>140</v>
      </c>
      <c r="K40" s="45"/>
    </row>
    <row r="41" spans="1:11" hidden="1" x14ac:dyDescent="0.25">
      <c r="A41" s="49" t="s">
        <v>43</v>
      </c>
      <c r="B41" s="45" t="s">
        <v>128</v>
      </c>
      <c r="C41" s="45">
        <v>1</v>
      </c>
      <c r="D41" s="45" t="str">
        <f>IFERROR(IF(INDEX('01.25'!D2:D500, MATCH(B41&amp;C41, INDEX('01.25'!B2:B500&amp;'01.25'!C2:C500, 0), 0))="", "", INDEX('01.25'!D2:D500, MATCH(B41&amp;C41, INDEX('01.25'!B2:B500&amp;'01.25'!C2:C500, 0), 0))), "")</f>
        <v>Ailton Carlos Fialho</v>
      </c>
      <c r="E41" s="107" t="s">
        <v>16</v>
      </c>
      <c r="F41" s="45" t="s">
        <v>295</v>
      </c>
      <c r="G41" s="52" t="s">
        <v>131</v>
      </c>
      <c r="H41" s="45" t="s">
        <v>149</v>
      </c>
      <c r="I41" s="45"/>
      <c r="J41" s="45" t="s">
        <v>140</v>
      </c>
      <c r="K41" s="45"/>
    </row>
    <row r="42" spans="1:11" x14ac:dyDescent="0.25">
      <c r="A42" s="50" t="s">
        <v>42</v>
      </c>
      <c r="B42" s="45" t="s">
        <v>82</v>
      </c>
      <c r="C42" s="45">
        <v>1</v>
      </c>
      <c r="D42" s="45" t="str">
        <f>IFERROR(IF(INDEX('01.25'!D2:D500, MATCH(B42&amp;C42, INDEX('01.25'!B2:B500&amp;'01.25'!C2:C500, 0), 0))="", "", INDEX('01.25'!D2:D500, MATCH(B42&amp;C42, INDEX('01.25'!B2:B500&amp;'01.25'!C2:C500, 0), 0))), "")</f>
        <v>Marcos José Chaves</v>
      </c>
      <c r="E42" s="107" t="s">
        <v>16</v>
      </c>
      <c r="F42" s="45" t="s">
        <v>485</v>
      </c>
      <c r="G42" s="52" t="s">
        <v>131</v>
      </c>
      <c r="H42" s="45" t="s">
        <v>496</v>
      </c>
      <c r="I42" s="45"/>
      <c r="J42" s="45" t="s">
        <v>140</v>
      </c>
      <c r="K42" s="45"/>
    </row>
    <row r="43" spans="1:11" x14ac:dyDescent="0.25">
      <c r="A43" s="50" t="s">
        <v>42</v>
      </c>
      <c r="B43" s="45" t="s">
        <v>82</v>
      </c>
      <c r="C43" s="45">
        <v>2</v>
      </c>
      <c r="D43" s="45" t="str">
        <f>IFERROR(IF(INDEX('01.25'!D2:D500, MATCH(B43&amp;C43, INDEX('01.25'!B2:B500&amp;'01.25'!C2:C500, 0), 0))="", "", INDEX('01.25'!D2:D500, MATCH(B43&amp;C43, INDEX('01.25'!B2:B500&amp;'01.25'!C2:C500, 0), 0))), "")</f>
        <v>Diego Matheus Reinicke</v>
      </c>
      <c r="E43" s="107" t="s">
        <v>16</v>
      </c>
      <c r="F43" s="45" t="s">
        <v>404</v>
      </c>
      <c r="G43" s="46" t="s">
        <v>131</v>
      </c>
      <c r="H43" s="45"/>
      <c r="I43" s="45"/>
      <c r="J43" s="45" t="s">
        <v>140</v>
      </c>
      <c r="K43" s="45"/>
    </row>
    <row r="44" spans="1:11" hidden="1" x14ac:dyDescent="0.25">
      <c r="A44" s="48" t="s">
        <v>38</v>
      </c>
      <c r="B44" s="45" t="s">
        <v>76</v>
      </c>
      <c r="C44" s="45">
        <v>1</v>
      </c>
      <c r="D44" s="45" t="str">
        <f>IFERROR(IF(INDEX('01.25'!D2:D500, MATCH(B44&amp;C44, INDEX('01.25'!B2:B500&amp;'01.25'!C2:C500, 0), 0))="", "", INDEX('01.25'!D2:D500, MATCH(B44&amp;C44, INDEX('01.25'!B2:B500&amp;'01.25'!C2:C500, 0), 0))), "")</f>
        <v>Cleiton Manske</v>
      </c>
      <c r="E44" s="107" t="s">
        <v>16</v>
      </c>
      <c r="F44" s="45" t="s">
        <v>438</v>
      </c>
      <c r="G44" s="52" t="s">
        <v>131</v>
      </c>
      <c r="H44" s="45" t="s">
        <v>149</v>
      </c>
      <c r="I44" s="45"/>
      <c r="J44" s="45" t="s">
        <v>140</v>
      </c>
      <c r="K44" s="45"/>
    </row>
    <row r="45" spans="1:11" x14ac:dyDescent="0.25">
      <c r="A45" s="50" t="s">
        <v>42</v>
      </c>
      <c r="B45" s="45" t="s">
        <v>118</v>
      </c>
      <c r="C45" s="45">
        <v>1</v>
      </c>
      <c r="D45" s="45" t="str">
        <f>IFERROR(IF(INDEX('01.25'!D2:D500, MATCH(B45&amp;C45, INDEX('01.25'!B2:B500&amp;'01.25'!C2:C500, 0), 0))="", "", INDEX('01.25'!D2:D500, MATCH(B45&amp;C45, INDEX('01.25'!B2:B500&amp;'01.25'!C2:C500, 0), 0))), "")</f>
        <v>Alexandro Aparecido de Lima Vieira</v>
      </c>
      <c r="E45" s="107" t="s">
        <v>16</v>
      </c>
      <c r="F45" s="45" t="s">
        <v>229</v>
      </c>
      <c r="G45" s="52" t="s">
        <v>131</v>
      </c>
      <c r="H45" s="45"/>
      <c r="I45" s="45"/>
      <c r="J45" s="45" t="s">
        <v>140</v>
      </c>
      <c r="K45" s="45"/>
    </row>
    <row r="46" spans="1:11" hidden="1" x14ac:dyDescent="0.25">
      <c r="A46" s="51" t="s">
        <v>40</v>
      </c>
      <c r="B46" s="45" t="s">
        <v>111</v>
      </c>
      <c r="C46" s="45">
        <v>1</v>
      </c>
      <c r="D46" s="45" t="str">
        <f>IFERROR(IF(INDEX('01.25'!D2:D500, MATCH(B46&amp;C46, INDEX('01.25'!B2:B500&amp;'01.25'!C2:C500, 0), 0))="", "", INDEX('01.25'!D2:D500, MATCH(B46&amp;C46, INDEX('01.25'!B2:B500&amp;'01.25'!C2:C500, 0), 0))), "")</f>
        <v>Rafael Henrique Caetano</v>
      </c>
      <c r="E46" s="107" t="s">
        <v>16</v>
      </c>
      <c r="F46" s="45" t="s">
        <v>497</v>
      </c>
      <c r="G46" s="52" t="s">
        <v>131</v>
      </c>
      <c r="H46" s="45" t="s">
        <v>498</v>
      </c>
      <c r="I46" s="45"/>
      <c r="J46" s="45" t="s">
        <v>140</v>
      </c>
      <c r="K46" s="45"/>
    </row>
    <row r="47" spans="1:11" hidden="1" x14ac:dyDescent="0.25">
      <c r="A47" s="44" t="s">
        <v>36</v>
      </c>
      <c r="B47" s="45" t="s">
        <v>100</v>
      </c>
      <c r="C47" s="45">
        <v>1</v>
      </c>
      <c r="D47" s="45" t="str">
        <f>IFERROR(IF(INDEX('01.25'!D2:D500, MATCH(B47&amp;C47, INDEX('01.25'!B2:B500&amp;'01.25'!C2:C500, 0), 0))="", "", INDEX('01.25'!D2:D500, MATCH(B47&amp;C47, INDEX('01.25'!B2:B500&amp;'01.25'!C2:C500, 0), 0))), "")</f>
        <v>Roberto Pedron</v>
      </c>
      <c r="E47" s="107" t="s">
        <v>16</v>
      </c>
      <c r="F47" s="45" t="s">
        <v>484</v>
      </c>
      <c r="G47" s="46" t="s">
        <v>140</v>
      </c>
      <c r="H47" s="45"/>
      <c r="I47" s="45"/>
      <c r="J47" s="45" t="s">
        <v>140</v>
      </c>
      <c r="K47" s="45"/>
    </row>
    <row r="48" spans="1:11" x14ac:dyDescent="0.25">
      <c r="A48" s="50" t="s">
        <v>42</v>
      </c>
      <c r="B48" s="45" t="s">
        <v>119</v>
      </c>
      <c r="C48" s="45">
        <v>1</v>
      </c>
      <c r="D48" s="45" t="str">
        <f>IFERROR(IF(INDEX('01.25'!D2:D500, MATCH(B48&amp;C48, INDEX('01.25'!B2:B500&amp;'01.25'!C2:C500, 0), 0))="", "", INDEX('01.25'!D2:D500, MATCH(B48&amp;C48, INDEX('01.25'!B2:B500&amp;'01.25'!C2:C500, 0), 0))), "")</f>
        <v>Luciane Spies</v>
      </c>
      <c r="E48" s="107" t="s">
        <v>16</v>
      </c>
      <c r="F48" s="45" t="s">
        <v>499</v>
      </c>
      <c r="G48" s="52" t="s">
        <v>131</v>
      </c>
      <c r="H48" s="45"/>
      <c r="I48" s="45"/>
      <c r="J48" s="45" t="s">
        <v>140</v>
      </c>
      <c r="K48" s="45"/>
    </row>
    <row r="49" spans="1:11" hidden="1" x14ac:dyDescent="0.25">
      <c r="A49" s="44" t="s">
        <v>36</v>
      </c>
      <c r="B49" s="45" t="s">
        <v>77</v>
      </c>
      <c r="C49" s="45">
        <v>1</v>
      </c>
      <c r="D49" s="45" t="str">
        <f>IFERROR(IF(INDEX('01.25'!D2:D500, MATCH(B49&amp;C49, INDEX('01.25'!B2:B500&amp;'01.25'!C2:C500, 0), 0))="", "", INDEX('01.25'!D2:D500, MATCH(B49&amp;C49, INDEX('01.25'!B2:B500&amp;'01.25'!C2:C500, 0), 0))), "")</f>
        <v>Jaqueline Fernanda Meireles</v>
      </c>
      <c r="E49" s="107" t="s">
        <v>16</v>
      </c>
      <c r="F49" s="45" t="s">
        <v>480</v>
      </c>
      <c r="G49" s="52" t="s">
        <v>131</v>
      </c>
      <c r="H49" s="45" t="s">
        <v>149</v>
      </c>
      <c r="I49" s="45"/>
      <c r="J49" s="45" t="s">
        <v>140</v>
      </c>
      <c r="K49" s="45"/>
    </row>
    <row r="50" spans="1:11" hidden="1" x14ac:dyDescent="0.25">
      <c r="A50" s="48" t="s">
        <v>38</v>
      </c>
      <c r="B50" s="45" t="s">
        <v>108</v>
      </c>
      <c r="C50" s="45">
        <v>1</v>
      </c>
      <c r="D50" s="45" t="str">
        <f>IFERROR(IF(INDEX('01.25'!D2:D500, MATCH(B50&amp;C50, INDEX('01.25'!B2:B500&amp;'01.25'!C2:C500, 0), 0))="", "", INDEX('01.25'!D2:D500, MATCH(B50&amp;C50, INDEX('01.25'!B2:B500&amp;'01.25'!C2:C500, 0), 0))), "")</f>
        <v>Luiz Fernando Pereira Barbosa</v>
      </c>
      <c r="E50" s="107" t="s">
        <v>16</v>
      </c>
      <c r="F50" s="45" t="s">
        <v>500</v>
      </c>
      <c r="G50" s="46" t="s">
        <v>140</v>
      </c>
      <c r="H50" s="45"/>
      <c r="I50" s="45"/>
      <c r="J50" s="45" t="s">
        <v>140</v>
      </c>
      <c r="K50" s="45"/>
    </row>
    <row r="51" spans="1:11" hidden="1" x14ac:dyDescent="0.25">
      <c r="A51" s="44" t="s">
        <v>36</v>
      </c>
      <c r="B51" s="45" t="s">
        <v>101</v>
      </c>
      <c r="C51" s="45">
        <v>1</v>
      </c>
      <c r="D51" s="45" t="str">
        <f>IFERROR(IF(INDEX('01.25'!D2:D500, MATCH(B51&amp;C51, INDEX('01.25'!B2:B500&amp;'01.25'!C2:C500, 0), 0))="", "", INDEX('01.25'!D2:D500, MATCH(B51&amp;C51, INDEX('01.25'!B2:B500&amp;'01.25'!C2:C500, 0), 0))), "")</f>
        <v>Carolina Eggers</v>
      </c>
      <c r="E51" s="107" t="s">
        <v>16</v>
      </c>
      <c r="F51" s="45" t="s">
        <v>447</v>
      </c>
      <c r="G51" s="52" t="s">
        <v>131</v>
      </c>
      <c r="H51" s="45" t="s">
        <v>149</v>
      </c>
      <c r="I51" s="45"/>
      <c r="J51" s="45" t="s">
        <v>140</v>
      </c>
      <c r="K51" s="45"/>
    </row>
    <row r="52" spans="1:11" hidden="1" x14ac:dyDescent="0.25">
      <c r="A52" s="44" t="s">
        <v>36</v>
      </c>
      <c r="B52" s="45" t="s">
        <v>102</v>
      </c>
      <c r="C52" s="45">
        <v>1</v>
      </c>
      <c r="D52" s="45" t="str">
        <f>IFERROR(IF(INDEX('01.25'!D2:D500, MATCH(B52&amp;C52, INDEX('01.25'!B2:B500&amp;'01.25'!C2:C500, 0), 0))="", "", INDEX('01.25'!D2:D500, MATCH(B52&amp;C52, INDEX('01.25'!B2:B500&amp;'01.25'!C2:C500, 0), 0))), "")</f>
        <v>Ivan Gonçalves da Silva</v>
      </c>
      <c r="E52" s="107" t="s">
        <v>16</v>
      </c>
      <c r="F52" s="45" t="s">
        <v>229</v>
      </c>
      <c r="G52" s="46" t="s">
        <v>140</v>
      </c>
      <c r="H52" s="45"/>
      <c r="I52" s="45"/>
      <c r="J52" s="45" t="s">
        <v>140</v>
      </c>
      <c r="K52" s="45"/>
    </row>
    <row r="53" spans="1:11" hidden="1" x14ac:dyDescent="0.25">
      <c r="A53" s="48" t="s">
        <v>38</v>
      </c>
      <c r="B53" s="45" t="s">
        <v>83</v>
      </c>
      <c r="C53" s="45">
        <v>1</v>
      </c>
      <c r="D53" s="45" t="str">
        <f>IFERROR(IF(INDEX('01.25'!D2:D500, MATCH(B53&amp;C53, INDEX('01.25'!B2:B500&amp;'01.25'!C2:C500, 0), 0))="", "", INDEX('01.25'!D2:D500, MATCH(B53&amp;C53, INDEX('01.25'!B2:B500&amp;'01.25'!C2:C500, 0), 0))), "")</f>
        <v>Dorival Manoel Canhete</v>
      </c>
      <c r="E53" s="107" t="s">
        <v>16</v>
      </c>
      <c r="F53" s="45" t="s">
        <v>464</v>
      </c>
      <c r="G53" s="46" t="s">
        <v>140</v>
      </c>
      <c r="H53" s="45"/>
      <c r="I53" s="45"/>
      <c r="J53" s="45" t="s">
        <v>140</v>
      </c>
      <c r="K53" s="45"/>
    </row>
    <row r="54" spans="1:11" x14ac:dyDescent="0.25">
      <c r="A54" s="50" t="s">
        <v>42</v>
      </c>
      <c r="B54" s="45" t="s">
        <v>120</v>
      </c>
      <c r="C54" s="45">
        <v>1</v>
      </c>
      <c r="D54" s="45" t="str">
        <f>IFERROR(IF(INDEX('01.25'!D2:D500, MATCH(B54&amp;C54, INDEX('01.25'!B2:B500&amp;'01.25'!C2:C500, 0), 0))="", "", INDEX('01.25'!D2:D500, MATCH(B54&amp;C54, INDEX('01.25'!B2:B500&amp;'01.25'!C2:C500, 0), 0))), "")</f>
        <v>Jaqueline Vanelli</v>
      </c>
      <c r="E54" s="107" t="s">
        <v>16</v>
      </c>
      <c r="F54" s="45" t="s">
        <v>181</v>
      </c>
      <c r="G54" s="52" t="s">
        <v>131</v>
      </c>
      <c r="H54" s="45" t="s">
        <v>496</v>
      </c>
      <c r="I54" s="45"/>
      <c r="J54" s="45" t="s">
        <v>140</v>
      </c>
      <c r="K54" s="45"/>
    </row>
    <row r="55" spans="1:11" hidden="1" x14ac:dyDescent="0.25">
      <c r="A55" s="44" t="s">
        <v>36</v>
      </c>
      <c r="B55" s="45" t="s">
        <v>103</v>
      </c>
      <c r="C55" s="45">
        <v>1</v>
      </c>
      <c r="D55" s="45" t="str">
        <f>IFERROR(IF(INDEX('01.25'!D2:D500, MATCH(B55&amp;C55, INDEX('01.25'!B2:B500&amp;'01.25'!C2:C500, 0), 0))="", "", INDEX('01.25'!D2:D500, MATCH(B55&amp;C55, INDEX('01.25'!B2:B500&amp;'01.25'!C2:C500, 0), 0))), "")</f>
        <v>Fernanda Jung</v>
      </c>
      <c r="E55" s="107" t="s">
        <v>16</v>
      </c>
      <c r="F55" s="45" t="s">
        <v>501</v>
      </c>
      <c r="G55" s="52" t="s">
        <v>131</v>
      </c>
      <c r="H55" s="45" t="s">
        <v>149</v>
      </c>
      <c r="I55" s="45"/>
      <c r="J55" s="45" t="s">
        <v>140</v>
      </c>
      <c r="K55" s="45"/>
    </row>
    <row r="56" spans="1:11" x14ac:dyDescent="0.25">
      <c r="A56" s="50" t="s">
        <v>42</v>
      </c>
      <c r="B56" s="45" t="s">
        <v>121</v>
      </c>
      <c r="C56" s="45">
        <v>1</v>
      </c>
      <c r="D56" s="45" t="str">
        <f>IFERROR(IF(INDEX('01.25'!D2:D500, MATCH(B56&amp;C56, INDEX('01.25'!B2:B500&amp;'01.25'!C2:C500, 0), 0))="", "", INDEX('01.25'!D2:D500, MATCH(B56&amp;C56, INDEX('01.25'!B2:B500&amp;'01.25'!C2:C500, 0), 0))), "")</f>
        <v>Ana Paula Romagnoli</v>
      </c>
      <c r="E56" s="107" t="s">
        <v>16</v>
      </c>
      <c r="F56" s="45" t="s">
        <v>447</v>
      </c>
      <c r="G56" s="52" t="s">
        <v>131</v>
      </c>
      <c r="H56" s="45"/>
      <c r="I56" s="45"/>
      <c r="J56" s="45" t="s">
        <v>140</v>
      </c>
      <c r="K56" s="45"/>
    </row>
    <row r="57" spans="1:11" x14ac:dyDescent="0.25">
      <c r="A57" s="50" t="s">
        <v>42</v>
      </c>
      <c r="B57" s="45" t="s">
        <v>122</v>
      </c>
      <c r="C57" s="45">
        <v>1</v>
      </c>
      <c r="D57" s="45" t="str">
        <f>IFERROR(IF(INDEX('01.25'!D2:D500, MATCH(B57&amp;C57, INDEX('01.25'!B2:B500&amp;'01.25'!C2:C500, 0), 0))="", "", INDEX('01.25'!D2:D500, MATCH(B57&amp;C57, INDEX('01.25'!B2:B500&amp;'01.25'!C2:C500, 0), 0))), "")</f>
        <v>Alexandro Schaparini</v>
      </c>
      <c r="E57" s="107" t="s">
        <v>16</v>
      </c>
      <c r="F57" s="45" t="s">
        <v>473</v>
      </c>
      <c r="G57" s="52" t="s">
        <v>131</v>
      </c>
      <c r="H57" s="45" t="s">
        <v>502</v>
      </c>
      <c r="I57" s="45"/>
      <c r="J57" s="45" t="s">
        <v>140</v>
      </c>
      <c r="K57" s="45"/>
    </row>
    <row r="58" spans="1:11" hidden="1" x14ac:dyDescent="0.25">
      <c r="A58" s="49" t="s">
        <v>43</v>
      </c>
      <c r="B58" s="45" t="s">
        <v>129</v>
      </c>
      <c r="C58" s="45">
        <v>1</v>
      </c>
      <c r="D58" s="45" t="str">
        <f>IFERROR(IF(INDEX('01.25'!D2:D500, MATCH(B58&amp;C58, INDEX('01.25'!B2:B500&amp;'01.25'!C2:C500, 0), 0))="", "", INDEX('01.25'!D2:D500, MATCH(B58&amp;C58, INDEX('01.25'!B2:B500&amp;'01.25'!C2:C500, 0), 0))), "")</f>
        <v>Marina Ancelmo da Silva</v>
      </c>
      <c r="E58" s="107" t="s">
        <v>16</v>
      </c>
      <c r="F58" s="45" t="s">
        <v>473</v>
      </c>
      <c r="G58" s="52" t="s">
        <v>131</v>
      </c>
      <c r="H58" s="45" t="s">
        <v>149</v>
      </c>
      <c r="I58" s="45"/>
      <c r="J58" s="45" t="s">
        <v>140</v>
      </c>
      <c r="K58" s="45"/>
    </row>
    <row r="59" spans="1:11" hidden="1" x14ac:dyDescent="0.25">
      <c r="A59" s="49" t="s">
        <v>43</v>
      </c>
      <c r="B59" s="45" t="s">
        <v>130</v>
      </c>
      <c r="C59" s="45">
        <v>1</v>
      </c>
      <c r="D59" s="45" t="str">
        <f>IFERROR(IF(INDEX('01.25'!D2:D500, MATCH(B59&amp;C59, INDEX('01.25'!B2:B500&amp;'01.25'!C2:C500, 0), 0))="", "", INDEX('01.25'!D2:D500, MATCH(B59&amp;C59, INDEX('01.25'!B2:B500&amp;'01.25'!C2:C500, 0), 0))), "")</f>
        <v>Ana Carolina Peterle Ribeiro</v>
      </c>
      <c r="E59" s="107" t="s">
        <v>16</v>
      </c>
      <c r="F59" s="45" t="s">
        <v>482</v>
      </c>
      <c r="G59" s="52" t="s">
        <v>131</v>
      </c>
      <c r="H59" s="148" t="s">
        <v>477</v>
      </c>
      <c r="I59" s="45"/>
      <c r="J59" s="45" t="s">
        <v>140</v>
      </c>
      <c r="K59" s="45"/>
    </row>
    <row r="60" spans="1:11" hidden="1" x14ac:dyDescent="0.25">
      <c r="A60" s="51" t="s">
        <v>40</v>
      </c>
      <c r="B60" s="45" t="s">
        <v>112</v>
      </c>
      <c r="C60" s="45">
        <v>1</v>
      </c>
      <c r="D60" s="45" t="str">
        <f>IFERROR(IF(INDEX('01.25'!D2:D500, MATCH(B60&amp;C60, INDEX('01.25'!B2:B500&amp;'01.25'!C2:C500, 0), 0))="", "", INDEX('01.25'!D2:D500, MATCH(B60&amp;C60, INDEX('01.25'!B2:B500&amp;'01.25'!C2:C500, 0), 0))), "")</f>
        <v>Taiane Amélia Mondardo</v>
      </c>
      <c r="E60" s="107" t="s">
        <v>16</v>
      </c>
      <c r="F60" s="45" t="s">
        <v>295</v>
      </c>
      <c r="G60" s="52" t="s">
        <v>131</v>
      </c>
      <c r="H60" s="45" t="s">
        <v>503</v>
      </c>
      <c r="I60" s="45"/>
      <c r="J60" s="45" t="s">
        <v>140</v>
      </c>
      <c r="K60" s="45"/>
    </row>
    <row r="61" spans="1:11" hidden="1" x14ac:dyDescent="0.25">
      <c r="A61" s="44" t="s">
        <v>36</v>
      </c>
      <c r="B61" s="45" t="s">
        <v>104</v>
      </c>
      <c r="C61" s="45">
        <v>1</v>
      </c>
      <c r="D61" s="45" t="str">
        <f>IFERROR(IF(INDEX('01.25'!D2:D500, MATCH(B61&amp;C61, INDEX('01.25'!B2:B500&amp;'01.25'!C2:C500, 0), 0))="", "", INDEX('01.25'!D2:D500, MATCH(B61&amp;C61, INDEX('01.25'!B2:B500&amp;'01.25'!C2:C500, 0), 0))), "")</f>
        <v>Regiane Lucia Pereira</v>
      </c>
      <c r="E61" s="107" t="s">
        <v>16</v>
      </c>
      <c r="F61" s="45" t="s">
        <v>447</v>
      </c>
      <c r="G61" s="52" t="s">
        <v>131</v>
      </c>
      <c r="H61" s="45"/>
      <c r="I61" s="45"/>
      <c r="J61" s="45" t="s">
        <v>140</v>
      </c>
      <c r="K61" s="45"/>
    </row>
    <row r="62" spans="1:11" hidden="1" x14ac:dyDescent="0.25">
      <c r="A62" s="51" t="s">
        <v>40</v>
      </c>
      <c r="B62" s="45" t="s">
        <v>113</v>
      </c>
      <c r="C62" s="45">
        <v>1</v>
      </c>
      <c r="D62" s="45" t="str">
        <f>IFERROR(IF(INDEX('01.25'!D2:D500, MATCH(B62&amp;C62, INDEX('01.25'!B2:B500&amp;'01.25'!C2:C500, 0), 0))="", "", INDEX('01.25'!D2:D500, MATCH(B62&amp;C62, INDEX('01.25'!B2:B500&amp;'01.25'!C2:C500, 0), 0))), "")</f>
        <v>Andryws Rafael Gois</v>
      </c>
      <c r="E62" s="107" t="s">
        <v>16</v>
      </c>
      <c r="F62" s="45" t="s">
        <v>499</v>
      </c>
      <c r="G62" s="52" t="s">
        <v>131</v>
      </c>
      <c r="H62" s="45"/>
      <c r="I62" s="45"/>
      <c r="J62" s="45" t="s">
        <v>140</v>
      </c>
      <c r="K62" s="45"/>
    </row>
    <row r="63" spans="1:11" x14ac:dyDescent="0.25">
      <c r="A63" s="50" t="s">
        <v>42</v>
      </c>
      <c r="B63" s="45" t="s">
        <v>123</v>
      </c>
      <c r="C63" s="45">
        <v>1</v>
      </c>
      <c r="D63" s="45" t="str">
        <f>IFERROR(IF(INDEX('01.25'!D2:D500, MATCH(B63&amp;C63, INDEX('01.25'!B2:B500&amp;'01.25'!C2:C500, 0), 0))="", "", INDEX('01.25'!D2:D500, MATCH(B63&amp;C63, INDEX('01.25'!B2:B500&amp;'01.25'!C2:C500, 0), 0))), "")</f>
        <v>Mayara Ketllyn de Paula Rosetti</v>
      </c>
      <c r="E63" s="107" t="s">
        <v>16</v>
      </c>
      <c r="F63" s="45" t="s">
        <v>289</v>
      </c>
      <c r="G63" s="52" t="s">
        <v>131</v>
      </c>
      <c r="H63" s="45"/>
      <c r="I63" s="45"/>
      <c r="J63" s="45" t="s">
        <v>140</v>
      </c>
      <c r="K63" s="45"/>
    </row>
    <row r="64" spans="1:11" hidden="1" x14ac:dyDescent="0.25">
      <c r="A64" s="51" t="s">
        <v>40</v>
      </c>
      <c r="B64" s="45" t="s">
        <v>114</v>
      </c>
      <c r="C64" s="45">
        <v>1</v>
      </c>
      <c r="D64" s="45" t="str">
        <f>IFERROR(IF(INDEX('01.25'!D2:D500, MATCH(B64&amp;C64, INDEX('01.25'!B2:B500&amp;'01.25'!C2:C500, 0), 0))="", "", INDEX('01.25'!D2:D500, MATCH(B64&amp;C64, INDEX('01.25'!B2:B500&amp;'01.25'!C2:C500, 0), 0))), "")</f>
        <v>Junior Andre Britzke</v>
      </c>
      <c r="E64" s="107" t="s">
        <v>16</v>
      </c>
      <c r="F64" s="45" t="s">
        <v>501</v>
      </c>
      <c r="G64" s="52" t="s">
        <v>131</v>
      </c>
      <c r="H64" s="45"/>
      <c r="I64" s="45"/>
      <c r="J64" s="45" t="s">
        <v>140</v>
      </c>
      <c r="K64" s="45"/>
    </row>
    <row r="65" spans="1:11" hidden="1" x14ac:dyDescent="0.25">
      <c r="A65" s="44" t="s">
        <v>36</v>
      </c>
      <c r="B65" s="45" t="s">
        <v>105</v>
      </c>
      <c r="C65" s="45">
        <v>1</v>
      </c>
      <c r="D65" s="45" t="str">
        <f>IFERROR(IF(INDEX('01.25'!D2:D500, MATCH(B65&amp;C65, INDEX('01.25'!B2:B500&amp;'01.25'!C2:C500, 0), 0))="", "", INDEX('01.25'!D2:D500, MATCH(B65&amp;C65, INDEX('01.25'!B2:B500&amp;'01.25'!C2:C500, 0), 0))), "")</f>
        <v>Adriano Pereira Guedes</v>
      </c>
      <c r="E65" s="107" t="s">
        <v>16</v>
      </c>
      <c r="F65" s="45" t="s">
        <v>295</v>
      </c>
      <c r="G65" s="46" t="s">
        <v>140</v>
      </c>
      <c r="H65" s="45"/>
      <c r="I65" s="45"/>
      <c r="J65" s="45" t="s">
        <v>140</v>
      </c>
      <c r="K65" s="45"/>
    </row>
    <row r="66" spans="1:11" hidden="1" x14ac:dyDescent="0.25">
      <c r="A66" s="44" t="s">
        <v>36</v>
      </c>
      <c r="B66" s="45" t="s">
        <v>106</v>
      </c>
      <c r="C66" s="45">
        <v>1</v>
      </c>
      <c r="D66" s="45" t="str">
        <f>IFERROR(IF(INDEX('01.25'!D2:D500, MATCH(B66&amp;C66, INDEX('01.25'!B2:B500&amp;'01.25'!C2:C500, 0), 0))="", "", INDEX('01.25'!D2:D500, MATCH(B66&amp;C66, INDEX('01.25'!B2:B500&amp;'01.25'!C2:C500, 0), 0))), "")</f>
        <v xml:space="preserve">Suzana Cristina de Almeida </v>
      </c>
      <c r="E66" s="107" t="s">
        <v>16</v>
      </c>
      <c r="F66" s="45" t="s">
        <v>504</v>
      </c>
      <c r="G66" s="52" t="s">
        <v>131</v>
      </c>
      <c r="H66" s="45"/>
      <c r="I66" s="45"/>
      <c r="J66" s="45" t="s">
        <v>140</v>
      </c>
      <c r="K66" s="45"/>
    </row>
    <row r="67" spans="1:11" hidden="1" x14ac:dyDescent="0.25">
      <c r="A67" s="47" t="s">
        <v>28</v>
      </c>
      <c r="B67" s="45" t="s">
        <v>85</v>
      </c>
      <c r="C67" s="45">
        <v>1</v>
      </c>
      <c r="D67" s="45" t="str">
        <f>IFERROR(IF(INDEX('01.25'!D2:D500, MATCH(B67&amp;C67, INDEX('01.25'!B2:B500&amp;'01.25'!C2:C500, 0), 0))="", "", INDEX('01.25'!D2:D500, MATCH(B67&amp;C67, INDEX('01.25'!B2:B500&amp;'01.25'!C2:C500, 0), 0))), "")</f>
        <v>Alice Cristiane Zancheta</v>
      </c>
      <c r="E67" s="107" t="s">
        <v>16</v>
      </c>
      <c r="F67" s="45" t="s">
        <v>229</v>
      </c>
      <c r="G67" s="52" t="s">
        <v>131</v>
      </c>
      <c r="H67" s="45" t="s">
        <v>149</v>
      </c>
      <c r="I67" s="45"/>
      <c r="J67" s="45" t="s">
        <v>140</v>
      </c>
      <c r="K67" s="45"/>
    </row>
    <row r="68" spans="1:11" hidden="1" x14ac:dyDescent="0.25">
      <c r="A68" s="48" t="s">
        <v>38</v>
      </c>
      <c r="B68" s="45" t="s">
        <v>109</v>
      </c>
      <c r="C68" s="45">
        <v>1</v>
      </c>
      <c r="D68" s="45" t="str">
        <f>IFERROR(IF(INDEX('01.25'!D2:D500, MATCH(B68&amp;C68, INDEX('01.25'!B2:B500&amp;'01.25'!C2:C500, 0), 0))="", "", INDEX('01.25'!D2:D500, MATCH(B68&amp;C68, INDEX('01.25'!B2:B500&amp;'01.25'!C2:C500, 0), 0))), "")</f>
        <v>Fernanda kaezer de Godoy</v>
      </c>
      <c r="E68" s="107" t="s">
        <v>16</v>
      </c>
      <c r="F68" s="45" t="s">
        <v>181</v>
      </c>
      <c r="G68" s="46" t="s">
        <v>131</v>
      </c>
      <c r="H68" s="45" t="s">
        <v>704</v>
      </c>
      <c r="I68" s="45"/>
      <c r="J68" s="45" t="s">
        <v>140</v>
      </c>
      <c r="K68" s="45"/>
    </row>
    <row r="69" spans="1:11" hidden="1" x14ac:dyDescent="0.25">
      <c r="A69" s="48" t="s">
        <v>38</v>
      </c>
      <c r="B69" s="45" t="s">
        <v>110</v>
      </c>
      <c r="C69" s="45">
        <v>1</v>
      </c>
      <c r="D69" s="45" t="str">
        <f>IFERROR(IF(INDEX('01.25'!D2:D500, MATCH(B69&amp;C69, INDEX('01.25'!B2:B500&amp;'01.25'!C2:C500, 0), 0))="", "", INDEX('01.25'!D2:D500, MATCH(B69&amp;C69, INDEX('01.25'!B2:B500&amp;'01.25'!C2:C500, 0), 0))), "")</f>
        <v xml:space="preserve">Ademir Papini Júnior </v>
      </c>
      <c r="E69" s="107" t="s">
        <v>16</v>
      </c>
      <c r="F69" s="45" t="s">
        <v>468</v>
      </c>
      <c r="G69" s="46" t="s">
        <v>131</v>
      </c>
      <c r="H69" s="45" t="s">
        <v>712</v>
      </c>
      <c r="I69" s="45"/>
      <c r="J69" s="45" t="s">
        <v>140</v>
      </c>
      <c r="K69" s="45"/>
    </row>
    <row r="70" spans="1:11" x14ac:dyDescent="0.25">
      <c r="A70" s="50" t="s">
        <v>42</v>
      </c>
      <c r="B70" s="45" t="s">
        <v>124</v>
      </c>
      <c r="C70" s="45">
        <v>1</v>
      </c>
      <c r="D70" s="45" t="str">
        <f>IFERROR(IF(INDEX('01.25'!D2:D500, MATCH(B70&amp;C70, INDEX('01.25'!B2:B500&amp;'01.25'!C2:C500, 0), 0))="", "", INDEX('01.25'!D2:D500, MATCH(B70&amp;C70, INDEX('01.25'!B2:B500&amp;'01.25'!C2:C500, 0), 0))), "")</f>
        <v>Heloísa Maria Beloni Insenha</v>
      </c>
      <c r="E70" s="107" t="s">
        <v>16</v>
      </c>
      <c r="F70" s="45" t="s">
        <v>505</v>
      </c>
      <c r="G70" s="52" t="s">
        <v>131</v>
      </c>
      <c r="H70" s="45"/>
      <c r="I70" s="45"/>
      <c r="J70" s="45" t="s">
        <v>140</v>
      </c>
      <c r="K70" s="45"/>
    </row>
  </sheetData>
  <autoFilter ref="A1:G70" xr:uid="{00000000-0009-0000-0000-00000C000000}">
    <filterColumn colId="0">
      <filters>
        <filter val="Luana"/>
      </filters>
    </filterColumn>
  </autoFilter>
  <conditionalFormatting sqref="E2:E70">
    <cfRule type="cellIs" dxfId="91" priority="6" stopIfTrue="1" operator="equal">
      <formula>"Enviado"</formula>
    </cfRule>
    <cfRule type="cellIs" dxfId="90" priority="7" stopIfTrue="1" operator="equal">
      <formula>"Atrasado"</formula>
    </cfRule>
    <cfRule type="cellIs" dxfId="89" priority="8" stopIfTrue="1" operator="equal">
      <formula>"Atrasado &gt;= 2"</formula>
    </cfRule>
    <cfRule type="cellIs" dxfId="88" priority="9" stopIfTrue="1" operator="equal">
      <formula>"Outras Ocorrências"</formula>
    </cfRule>
    <cfRule type="cellIs" dxfId="87" priority="10" stopIfTrue="1" operator="equal">
      <formula>"Sem Técnico"</formula>
    </cfRule>
    <cfRule type="cellIs" dxfId="86" priority="11" stopIfTrue="1" operator="equal">
      <formula>"Duplicado"</formula>
    </cfRule>
  </conditionalFormatting>
  <conditionalFormatting sqref="G2:G70">
    <cfRule type="cellIs" dxfId="85" priority="1" stopIfTrue="1" operator="equal">
      <formula>"Sim"</formula>
    </cfRule>
    <cfRule type="cellIs" dxfId="84" priority="3" stopIfTrue="1" operator="equal">
      <formula>"Não"</formula>
    </cfRule>
  </conditionalFormatting>
  <conditionalFormatting sqref="J2:J70">
    <cfRule type="cellIs" dxfId="83" priority="4" stopIfTrue="1" operator="equal">
      <formula>"Sim"</formula>
    </cfRule>
    <cfRule type="cellIs" dxfId="82" priority="4" stopIfTrue="1" operator="equal">
      <formula>"Não"</formula>
    </cfRule>
    <cfRule type="cellIs" dxfId="81" priority="5" stopIfTrue="1" operator="equal">
      <formula>"Em Análise"</formula>
    </cfRule>
  </conditionalFormatting>
  <dataValidations count="3">
    <dataValidation type="list" allowBlank="1" sqref="G2 G3 G4 G5 G6 G7 G8 G9 G10 G11 G12 G13 G14 G15 G16 G17 G18 G19 G20 G21 G22 G23 G24 G25 G26 G27 G28 G29 G30 G31 G32 G33 G34 G35 G36 G37 G38 G39 G40 G41 G42 G43 G44 G45 G46 G47 G48 G49 G50 G51 G52 G53 G54 G55 G56 G57 G58 G59 G60 G61 G62 G63 G64 G65 G66 G67 G68 G69 G70" xr:uid="{00000000-0002-0000-0C00-000000000000}">
      <formula1>"Sim,Não"</formula1>
    </dataValidation>
    <dataValidation type="list" allowBlank="1" sqref="J2 J3 J4 J5 J6 J7 J8 J9 J10 J11 J12 J13 J14 J15 J16 J17 J18 J19 J20 J21 J22 J23 J24 J25 J26 J27 J28 J29 J30 J31 J32 J33 J34 J35 J36 J37 J38 J39 J40 J41 J42 J43 J44 J45 J46 J47 J48 J49 J50 J51 J52 J53 J54 J55 J56 J57 J58 J59 J60 J61 J62 J63 J64 J65 J66 J67 J68 J69 J70" xr:uid="{00000000-0002-0000-0C00-000001000000}">
      <formula1>"Sim,Não,Em Análise"</formula1>
    </dataValidation>
    <dataValidation type="list" allowBlank="1" sqref="E2 E3 E4 E5 E6 E7 E8 E9 E10 E11 E12 E13 E14 E15 E16 E17 E18 E19 E20 E21 E22 E23 E24 E25 E26 E27 E28 E29 E30 E31 E32 E33 E34 E35 E36 E37 E38 E39 E40 E41 E42 E43 E44 E45 E46 E47 E48 E49 E50 E51 E52 E53 E54 E55 E56 E57 E58 E59 E60 E61 E62 E63 E64 E65 E66 E67 E68 E69 E70" xr:uid="{00000000-0002-0000-0C00-000002000000}">
      <formula1>"Enviado, Atrasado, Atrasado &gt;= 2, Outras Ocorrências, Sem Técnico, Duplicado"</formula1>
    </dataValidation>
  </dataValidation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filterMode="1"/>
  <dimension ref="A1:K70"/>
  <sheetViews>
    <sheetView workbookViewId="0">
      <pane xSplit="3" topLeftCell="G1" activePane="topRight" state="frozen"/>
      <selection pane="topRight" activeCell="H71" sqref="H71"/>
    </sheetView>
  </sheetViews>
  <sheetFormatPr defaultRowHeight="15" x14ac:dyDescent="0.25"/>
  <cols>
    <col min="1" max="1" width="14" customWidth="1"/>
    <col min="2" max="2" width="30" customWidth="1"/>
    <col min="3" max="3" width="8" customWidth="1"/>
    <col min="4" max="4" width="45" customWidth="1"/>
    <col min="5" max="5" width="16" customWidth="1"/>
    <col min="6" max="6" width="18" customWidth="1"/>
    <col min="7" max="7" width="27" customWidth="1"/>
    <col min="8" max="8" width="138" customWidth="1"/>
    <col min="9" max="9" width="34" customWidth="1"/>
    <col min="10" max="10" width="25" customWidth="1"/>
    <col min="11" max="11" width="35" customWidth="1"/>
  </cols>
  <sheetData>
    <row r="1" spans="1:11" x14ac:dyDescent="0.25">
      <c r="A1" s="43" t="s">
        <v>27</v>
      </c>
      <c r="B1" s="43" t="s">
        <v>70</v>
      </c>
      <c r="C1" s="43" t="s">
        <v>71</v>
      </c>
      <c r="D1" s="43" t="s">
        <v>132</v>
      </c>
      <c r="E1" s="43" t="s">
        <v>133</v>
      </c>
      <c r="F1" s="43" t="s">
        <v>134</v>
      </c>
      <c r="G1" s="43" t="s">
        <v>135</v>
      </c>
      <c r="H1" s="43" t="s">
        <v>136</v>
      </c>
      <c r="I1" s="43" t="s">
        <v>137</v>
      </c>
      <c r="J1" s="43" t="s">
        <v>138</v>
      </c>
      <c r="K1" s="43" t="s">
        <v>139</v>
      </c>
    </row>
    <row r="2" spans="1:11" hidden="1" x14ac:dyDescent="0.25">
      <c r="A2" s="44" t="s">
        <v>36</v>
      </c>
      <c r="B2" s="45" t="s">
        <v>97</v>
      </c>
      <c r="C2" s="45">
        <v>1</v>
      </c>
      <c r="D2" s="45" t="str">
        <f>IFERROR(IF(INDEX('01.25'!D2:D500, MATCH(B2&amp;C2, INDEX('01.25'!B2:B500&amp;'01.25'!C2:C500, 0), 0))="", "", INDEX('01.25'!D2:D500, MATCH(B2&amp;C2, INDEX('01.25'!B2:B500&amp;'01.25'!C2:C500, 0), 0))), "")</f>
        <v>Paula Tatiana Santana Vechi</v>
      </c>
      <c r="E2" s="107" t="s">
        <v>16</v>
      </c>
      <c r="F2" s="45" t="s">
        <v>506</v>
      </c>
      <c r="G2" s="52" t="s">
        <v>131</v>
      </c>
      <c r="H2" s="45"/>
      <c r="I2" s="45"/>
      <c r="J2" s="45" t="s">
        <v>140</v>
      </c>
      <c r="K2" s="45"/>
    </row>
    <row r="3" spans="1:11" hidden="1" x14ac:dyDescent="0.25">
      <c r="A3" s="47" t="s">
        <v>28</v>
      </c>
      <c r="B3" s="45" t="s">
        <v>87</v>
      </c>
      <c r="C3" s="45">
        <v>1</v>
      </c>
      <c r="D3" s="45" t="str">
        <f>IFERROR(IF(INDEX('01.25'!D2:D500, MATCH(B3&amp;C3, INDEX('01.25'!B2:B500&amp;'01.25'!C2:C500, 0), 0))="", "", INDEX('01.25'!D2:D500, MATCH(B3&amp;C3, INDEX('01.25'!B2:B500&amp;'01.25'!C2:C500, 0), 0))), "")</f>
        <v>Willian de Oliveira Lino</v>
      </c>
      <c r="E3" s="107" t="s">
        <v>16</v>
      </c>
      <c r="F3" s="45" t="s">
        <v>507</v>
      </c>
      <c r="G3" s="52" t="s">
        <v>131</v>
      </c>
      <c r="H3" s="45" t="s">
        <v>149</v>
      </c>
      <c r="I3" s="45"/>
      <c r="J3" s="45" t="s">
        <v>140</v>
      </c>
      <c r="K3" s="45"/>
    </row>
    <row r="4" spans="1:11" hidden="1" x14ac:dyDescent="0.25">
      <c r="A4" s="48" t="s">
        <v>38</v>
      </c>
      <c r="B4" s="45" t="s">
        <v>78</v>
      </c>
      <c r="C4" s="45">
        <v>1</v>
      </c>
      <c r="D4" s="45" t="str">
        <f>IFERROR(IF(INDEX('01.25'!D2:D500, MATCH(B4&amp;C4, INDEX('01.25'!B2:B500&amp;'01.25'!C2:C500, 0), 0))="", "", INDEX('01.25'!D2:D500, MATCH(B4&amp;C4, INDEX('01.25'!B2:B500&amp;'01.25'!C2:C500, 0), 0))), "")</f>
        <v>Gisele Cássia Tamparowsky de Oliveira</v>
      </c>
      <c r="E4" s="107" t="s">
        <v>16</v>
      </c>
      <c r="F4" s="45" t="s">
        <v>155</v>
      </c>
      <c r="G4" s="52" t="s">
        <v>131</v>
      </c>
      <c r="H4" s="45"/>
      <c r="I4" s="45"/>
      <c r="J4" s="45" t="s">
        <v>140</v>
      </c>
      <c r="K4" s="45"/>
    </row>
    <row r="5" spans="1:11" hidden="1" x14ac:dyDescent="0.25">
      <c r="A5" s="47" t="s">
        <v>28</v>
      </c>
      <c r="B5" s="45" t="s">
        <v>88</v>
      </c>
      <c r="C5" s="45">
        <v>1</v>
      </c>
      <c r="D5" s="45" t="str">
        <f>IFERROR(IF(INDEX('01.25'!D2:D500, MATCH(B5&amp;C5, INDEX('01.25'!B2:B500&amp;'01.25'!C2:C500, 0), 0))="", "", INDEX('01.25'!D2:D500, MATCH(B5&amp;C5, INDEX('01.25'!B2:B500&amp;'01.25'!C2:C500, 0), 0))), "")</f>
        <v>Marcos Gabriel Franciosi Borges</v>
      </c>
      <c r="E5" s="107" t="s">
        <v>16</v>
      </c>
      <c r="F5" s="45" t="s">
        <v>508</v>
      </c>
      <c r="G5" s="52" t="s">
        <v>131</v>
      </c>
      <c r="H5" s="45" t="s">
        <v>149</v>
      </c>
      <c r="I5" s="45"/>
      <c r="J5" s="45" t="s">
        <v>140</v>
      </c>
      <c r="K5" s="45"/>
    </row>
    <row r="6" spans="1:11" hidden="1" x14ac:dyDescent="0.25">
      <c r="A6" s="47" t="s">
        <v>28</v>
      </c>
      <c r="B6" s="45" t="s">
        <v>89</v>
      </c>
      <c r="C6" s="45">
        <v>1</v>
      </c>
      <c r="D6" s="45" t="str">
        <f>IFERROR(IF(INDEX('01.25'!D2:D500, MATCH(B6&amp;C6, INDEX('01.25'!B2:B500&amp;'01.25'!C2:C500, 0), 0))="", "", INDEX('01.25'!D2:D500, MATCH(B6&amp;C6, INDEX('01.25'!B2:B500&amp;'01.25'!C2:C500, 0), 0))), "")</f>
        <v>Chayla Bianca Gazoli</v>
      </c>
      <c r="E6" s="107" t="s">
        <v>16</v>
      </c>
      <c r="F6" s="45" t="s">
        <v>478</v>
      </c>
      <c r="G6" s="52" t="s">
        <v>131</v>
      </c>
      <c r="H6" s="45" t="s">
        <v>149</v>
      </c>
      <c r="I6" s="45"/>
      <c r="J6" s="45" t="s">
        <v>140</v>
      </c>
      <c r="K6" s="45"/>
    </row>
    <row r="7" spans="1:11" hidden="1" x14ac:dyDescent="0.25">
      <c r="A7" s="48" t="s">
        <v>38</v>
      </c>
      <c r="B7" s="45" t="s">
        <v>84</v>
      </c>
      <c r="C7" s="45">
        <v>1</v>
      </c>
      <c r="D7" s="45" t="str">
        <f>IFERROR(IF(INDEX('01.25'!D2:D500, MATCH(B7&amp;C7, INDEX('01.25'!B2:B500&amp;'01.25'!C2:C500, 0), 0))="", "", INDEX('01.25'!D2:D500, MATCH(B7&amp;C7, INDEX('01.25'!B2:B500&amp;'01.25'!C2:C500, 0), 0))), "")</f>
        <v>Solange Maria Masqueti</v>
      </c>
      <c r="E7" s="107" t="s">
        <v>16</v>
      </c>
      <c r="F7" s="45" t="s">
        <v>241</v>
      </c>
      <c r="G7" s="46" t="s">
        <v>140</v>
      </c>
      <c r="H7" s="45"/>
      <c r="I7" s="45"/>
      <c r="J7" s="45" t="s">
        <v>140</v>
      </c>
      <c r="K7" s="45"/>
    </row>
    <row r="8" spans="1:11" hidden="1" x14ac:dyDescent="0.25">
      <c r="A8" s="48" t="s">
        <v>38</v>
      </c>
      <c r="B8" s="45" t="s">
        <v>79</v>
      </c>
      <c r="C8" s="45">
        <v>1</v>
      </c>
      <c r="D8" s="45" t="str">
        <f>IFERROR(IF(INDEX('01.25'!D2:D500, MATCH(B8&amp;C8, INDEX('01.25'!B2:B500&amp;'01.25'!C2:C500, 0), 0))="", "", INDEX('01.25'!D2:D500, MATCH(B8&amp;C8, INDEX('01.25'!B2:B500&amp;'01.25'!C2:C500, 0), 0))), "")</f>
        <v>Cristiane Petry Vieira</v>
      </c>
      <c r="E8" s="107" t="s">
        <v>16</v>
      </c>
      <c r="F8" s="45" t="s">
        <v>508</v>
      </c>
      <c r="G8" s="46" t="s">
        <v>140</v>
      </c>
      <c r="H8" s="45"/>
      <c r="I8" s="45"/>
      <c r="J8" s="45" t="s">
        <v>140</v>
      </c>
      <c r="K8" s="45"/>
    </row>
    <row r="9" spans="1:11" ht="28.5" hidden="1" customHeight="1" x14ac:dyDescent="0.25">
      <c r="A9" s="47" t="s">
        <v>28</v>
      </c>
      <c r="B9" s="45" t="s">
        <v>90</v>
      </c>
      <c r="C9" s="45">
        <v>1</v>
      </c>
      <c r="D9" s="45" t="str">
        <f>IFERROR(IF(INDEX('01.25'!D2:D500, MATCH(B9&amp;C9, INDEX('01.25'!B2:B500&amp;'01.25'!C2:C500, 0), 0))="", "", INDEX('01.25'!D2:D500, MATCH(B9&amp;C9, INDEX('01.25'!B2:B500&amp;'01.25'!C2:C500, 0), 0))), "")</f>
        <v>Diego Hemerich</v>
      </c>
      <c r="E9" s="107" t="s">
        <v>16</v>
      </c>
      <c r="F9" s="45" t="s">
        <v>492</v>
      </c>
      <c r="G9" s="52" t="s">
        <v>131</v>
      </c>
      <c r="H9" s="57" t="s">
        <v>509</v>
      </c>
      <c r="I9" s="45"/>
      <c r="J9" s="45" t="s">
        <v>140</v>
      </c>
      <c r="K9" s="45"/>
    </row>
    <row r="10" spans="1:11" hidden="1" x14ac:dyDescent="0.25">
      <c r="A10" s="49" t="s">
        <v>43</v>
      </c>
      <c r="B10" s="45" t="s">
        <v>125</v>
      </c>
      <c r="C10" s="45">
        <v>1</v>
      </c>
      <c r="D10" s="45" t="str">
        <f>IFERROR(IF(INDEX('01.25'!D2:D500, MATCH(B10&amp;C10, INDEX('01.25'!B2:B500&amp;'01.25'!C2:C500, 0), 0))="", "", INDEX('01.25'!D2:D500, MATCH(B10&amp;C10, INDEX('01.25'!B2:B500&amp;'01.25'!C2:C500, 0), 0))), "")</f>
        <v>Tatiane Girardi</v>
      </c>
      <c r="E10" s="107" t="s">
        <v>16</v>
      </c>
      <c r="F10" s="45" t="s">
        <v>510</v>
      </c>
      <c r="G10" s="52" t="s">
        <v>131</v>
      </c>
      <c r="H10" s="45" t="s">
        <v>149</v>
      </c>
      <c r="I10" s="45"/>
      <c r="J10" s="45" t="s">
        <v>140</v>
      </c>
      <c r="K10" s="45"/>
    </row>
    <row r="11" spans="1:11" hidden="1" x14ac:dyDescent="0.25">
      <c r="A11" s="49" t="s">
        <v>43</v>
      </c>
      <c r="B11" s="45" t="s">
        <v>126</v>
      </c>
      <c r="C11" s="45">
        <v>1</v>
      </c>
      <c r="D11" s="45" t="str">
        <f>IFERROR(IF(INDEX('01.25'!D2:D500, MATCH(B11&amp;C11, INDEX('01.25'!B2:B500&amp;'01.25'!C2:C500, 0), 0))="", "", INDEX('01.25'!D2:D500, MATCH(B11&amp;C11, INDEX('01.25'!B2:B500&amp;'01.25'!C2:C500, 0), 0))), "")</f>
        <v>Edson Batista de Castro</v>
      </c>
      <c r="E11" s="107" t="s">
        <v>16</v>
      </c>
      <c r="F11" s="45" t="s">
        <v>480</v>
      </c>
      <c r="G11" s="46" t="s">
        <v>131</v>
      </c>
      <c r="H11" s="45" t="s">
        <v>476</v>
      </c>
      <c r="I11" s="45"/>
      <c r="J11" s="45" t="s">
        <v>140</v>
      </c>
      <c r="K11" s="45"/>
    </row>
    <row r="12" spans="1:11" hidden="1" x14ac:dyDescent="0.25">
      <c r="A12" s="49" t="s">
        <v>43</v>
      </c>
      <c r="B12" s="45" t="s">
        <v>126</v>
      </c>
      <c r="C12" s="45">
        <v>2</v>
      </c>
      <c r="D12" s="45" t="str">
        <f>IFERROR(IF(INDEX('01.25'!D2:D500, MATCH(B12&amp;C12, INDEX('01.25'!B2:B500&amp;'01.25'!C2:C500, 0), 0))="", "", INDEX('01.25'!D2:D500, MATCH(B12&amp;C12, INDEX('01.25'!B2:B500&amp;'01.25'!C2:C500, 0), 0))), "")</f>
        <v>Gabriela Fernanda Sandri</v>
      </c>
      <c r="E12" s="107" t="s">
        <v>16</v>
      </c>
      <c r="F12" s="45" t="s">
        <v>480</v>
      </c>
      <c r="G12" s="46" t="s">
        <v>131</v>
      </c>
      <c r="H12" s="45" t="s">
        <v>477</v>
      </c>
      <c r="I12" s="45"/>
      <c r="J12" s="45" t="s">
        <v>140</v>
      </c>
      <c r="K12" s="45"/>
    </row>
    <row r="13" spans="1:11" hidden="1" x14ac:dyDescent="0.25">
      <c r="A13" s="49" t="s">
        <v>43</v>
      </c>
      <c r="B13" s="45" t="s">
        <v>126</v>
      </c>
      <c r="C13" s="45">
        <v>3</v>
      </c>
      <c r="D13" s="45" t="str">
        <f>IFERROR(IF(INDEX('01.25'!D2:D500, MATCH(B13&amp;C13, INDEX('01.25'!B2:B500&amp;'01.25'!C2:C500, 0), 0))="", "", INDEX('01.25'!D2:D500, MATCH(B13&amp;C13, INDEX('01.25'!B2:B500&amp;'01.25'!C2:C500, 0), 0))), "")</f>
        <v>Eduarda Rohden Donasolo</v>
      </c>
      <c r="E13" s="107" t="s">
        <v>16</v>
      </c>
      <c r="F13" s="45" t="s">
        <v>241</v>
      </c>
      <c r="G13" s="46" t="s">
        <v>131</v>
      </c>
      <c r="H13" s="45" t="s">
        <v>476</v>
      </c>
      <c r="I13" s="45"/>
      <c r="J13" s="45" t="s">
        <v>140</v>
      </c>
      <c r="K13" s="45"/>
    </row>
    <row r="14" spans="1:11" hidden="1" x14ac:dyDescent="0.25">
      <c r="A14" s="49" t="s">
        <v>43</v>
      </c>
      <c r="B14" s="45" t="s">
        <v>126</v>
      </c>
      <c r="C14" s="45">
        <v>4</v>
      </c>
      <c r="D14" s="45" t="str">
        <f>IFERROR(IF(INDEX('01.25'!D2:D500, MATCH(B14&amp;C14, INDEX('01.25'!B2:B500&amp;'01.25'!C2:C500, 0), 0))="", "", INDEX('01.25'!D2:D500, MATCH(B14&amp;C14, INDEX('01.25'!B2:B500&amp;'01.25'!C2:C500, 0), 0))), "")</f>
        <v>Mauricio Pinto de Lima</v>
      </c>
      <c r="E14" s="107" t="s">
        <v>16</v>
      </c>
      <c r="F14" s="45" t="s">
        <v>480</v>
      </c>
      <c r="G14" s="46" t="s">
        <v>131</v>
      </c>
      <c r="H14" s="111" t="s">
        <v>475</v>
      </c>
      <c r="I14" s="45"/>
      <c r="J14" s="45" t="s">
        <v>140</v>
      </c>
      <c r="K14" s="45"/>
    </row>
    <row r="15" spans="1:11" hidden="1" x14ac:dyDescent="0.25">
      <c r="A15" s="49" t="s">
        <v>43</v>
      </c>
      <c r="B15" s="45" t="s">
        <v>126</v>
      </c>
      <c r="C15" s="45">
        <v>5</v>
      </c>
      <c r="D15" s="45" t="str">
        <f>IFERROR(IF(INDEX('01.25'!D2:D500, MATCH(B15&amp;C15, INDEX('01.25'!B2:B500&amp;'01.25'!C2:C500, 0), 0))="", "", INDEX('01.25'!D2:D500, MATCH(B15&amp;C15, INDEX('01.25'!B2:B500&amp;'01.25'!C2:C500, 0), 0))), "")</f>
        <v xml:space="preserve">Débora Laize Lampert Gnass </v>
      </c>
      <c r="E15" s="107" t="s">
        <v>16</v>
      </c>
      <c r="F15" s="45" t="s">
        <v>511</v>
      </c>
      <c r="G15" s="46" t="s">
        <v>131</v>
      </c>
      <c r="H15" s="45" t="s">
        <v>477</v>
      </c>
      <c r="I15" s="45"/>
      <c r="J15" s="45" t="s">
        <v>140</v>
      </c>
      <c r="K15" s="45"/>
    </row>
    <row r="16" spans="1:11" hidden="1" x14ac:dyDescent="0.25">
      <c r="A16" s="49" t="s">
        <v>43</v>
      </c>
      <c r="B16" s="45" t="s">
        <v>126</v>
      </c>
      <c r="C16" s="45">
        <v>6</v>
      </c>
      <c r="D16" s="45" t="str">
        <f>IFERROR(IF(INDEX('01.25'!D2:D500, MATCH(B16&amp;C16, INDEX('01.25'!B2:B500&amp;'01.25'!C2:C500, 0), 0))="", "", INDEX('01.25'!D2:D500, MATCH(B16&amp;C16, INDEX('01.25'!B2:B500&amp;'01.25'!C2:C500, 0), 0))), "")</f>
        <v/>
      </c>
      <c r="E16" s="107" t="s">
        <v>16</v>
      </c>
      <c r="F16" s="45" t="s">
        <v>482</v>
      </c>
      <c r="G16" s="46" t="s">
        <v>131</v>
      </c>
      <c r="H16" s="45" t="s">
        <v>512</v>
      </c>
      <c r="I16" s="45"/>
      <c r="J16" s="45" t="s">
        <v>140</v>
      </c>
      <c r="K16" s="45"/>
    </row>
    <row r="17" spans="1:11" hidden="1" x14ac:dyDescent="0.25">
      <c r="A17" s="47" t="s">
        <v>28</v>
      </c>
      <c r="B17" s="45" t="s">
        <v>91</v>
      </c>
      <c r="C17" s="45">
        <v>1</v>
      </c>
      <c r="D17" s="45" t="str">
        <f>IFERROR(IF(INDEX('01.25'!D2:D500, MATCH(B17&amp;C17, INDEX('01.25'!B2:B500&amp;'01.25'!C2:C500, 0), 0))="", "", INDEX('01.25'!D2:D500, MATCH(B17&amp;C17, INDEX('01.25'!B2:B500&amp;'01.25'!C2:C500, 0), 0))), "")</f>
        <v>Cristina Harumi Enokida</v>
      </c>
      <c r="E17" s="107" t="s">
        <v>16</v>
      </c>
      <c r="F17" s="45" t="s">
        <v>241</v>
      </c>
      <c r="G17" s="52" t="s">
        <v>131</v>
      </c>
      <c r="H17" s="45" t="s">
        <v>149</v>
      </c>
      <c r="I17" s="45"/>
      <c r="J17" s="45" t="s">
        <v>140</v>
      </c>
      <c r="K17" s="45"/>
    </row>
    <row r="18" spans="1:11" hidden="1" x14ac:dyDescent="0.25">
      <c r="A18" s="49" t="s">
        <v>43</v>
      </c>
      <c r="B18" s="45" t="s">
        <v>127</v>
      </c>
      <c r="C18" s="45">
        <v>1</v>
      </c>
      <c r="D18" s="45" t="str">
        <f>IFERROR(IF(INDEX('01.25'!D2:D500, MATCH(B18&amp;C18, INDEX('01.25'!B2:B500&amp;'01.25'!C2:C500, 0), 0))="", "", INDEX('01.25'!D2:D500, MATCH(B18&amp;C18, INDEX('01.25'!B2:B500&amp;'01.25'!C2:C500, 0), 0))), "")</f>
        <v>Douglas de Mattia</v>
      </c>
      <c r="E18" s="107" t="s">
        <v>16</v>
      </c>
      <c r="F18" s="45" t="s">
        <v>513</v>
      </c>
      <c r="G18" s="52" t="s">
        <v>131</v>
      </c>
      <c r="H18" s="45" t="s">
        <v>149</v>
      </c>
      <c r="I18" s="45"/>
      <c r="J18" s="45" t="s">
        <v>140</v>
      </c>
      <c r="K18" s="45"/>
    </row>
    <row r="19" spans="1:11" hidden="1" x14ac:dyDescent="0.25">
      <c r="A19" s="47" t="s">
        <v>28</v>
      </c>
      <c r="B19" s="45" t="s">
        <v>92</v>
      </c>
      <c r="C19" s="45">
        <v>1</v>
      </c>
      <c r="D19" s="45" t="str">
        <f>IFERROR(IF(INDEX('01.25'!D2:D500, MATCH(B19&amp;C19, INDEX('01.25'!B2:B500&amp;'01.25'!C2:C500, 0), 0))="", "", INDEX('01.25'!D2:D500, MATCH(B19&amp;C19, INDEX('01.25'!B2:B500&amp;'01.25'!C2:C500, 0), 0))), "")</f>
        <v>Vanderson Pasetti</v>
      </c>
      <c r="E19" s="107" t="s">
        <v>16</v>
      </c>
      <c r="F19" s="45" t="s">
        <v>482</v>
      </c>
      <c r="G19" s="52" t="s">
        <v>131</v>
      </c>
      <c r="H19" s="57" t="s">
        <v>149</v>
      </c>
      <c r="I19" s="45"/>
      <c r="J19" s="45" t="s">
        <v>140</v>
      </c>
      <c r="K19" s="45"/>
    </row>
    <row r="20" spans="1:11" x14ac:dyDescent="0.25">
      <c r="A20" s="50" t="s">
        <v>42</v>
      </c>
      <c r="B20" s="45" t="s">
        <v>115</v>
      </c>
      <c r="C20" s="45">
        <v>1</v>
      </c>
      <c r="D20" s="45" t="str">
        <f>IFERROR(IF(INDEX('01.25'!D2:D500, MATCH(B20&amp;C20, INDEX('01.25'!B2:B500&amp;'01.25'!C2:C500, 0), 0))="", "", INDEX('01.25'!D2:D500, MATCH(B20&amp;C20, INDEX('01.25'!B2:B500&amp;'01.25'!C2:C500, 0), 0))), "")</f>
        <v>Bruna Schneider Guimarães</v>
      </c>
      <c r="E20" s="107" t="s">
        <v>16</v>
      </c>
      <c r="F20" s="45" t="s">
        <v>514</v>
      </c>
      <c r="G20" s="52" t="s">
        <v>131</v>
      </c>
      <c r="H20" s="45"/>
      <c r="I20" s="45"/>
      <c r="J20" s="45" t="s">
        <v>140</v>
      </c>
      <c r="K20" s="45"/>
    </row>
    <row r="21" spans="1:11" hidden="1" x14ac:dyDescent="0.25">
      <c r="A21" s="47" t="s">
        <v>28</v>
      </c>
      <c r="B21" s="45" t="s">
        <v>93</v>
      </c>
      <c r="C21" s="45">
        <v>1</v>
      </c>
      <c r="D21" s="45" t="str">
        <f>IFERROR(IF(INDEX('01.25'!D2:D500, MATCH(B21&amp;C21, INDEX('01.25'!B2:B500&amp;'01.25'!C2:C500, 0), 0))="", "", INDEX('01.25'!D2:D500, MATCH(B21&amp;C21, INDEX('01.25'!B2:B500&amp;'01.25'!C2:C500, 0), 0))), "")</f>
        <v>Keilla Avezedo</v>
      </c>
      <c r="E21" s="107" t="s">
        <v>16</v>
      </c>
      <c r="F21" s="45" t="s">
        <v>480</v>
      </c>
      <c r="G21" s="52" t="s">
        <v>131</v>
      </c>
      <c r="H21" s="45" t="s">
        <v>149</v>
      </c>
      <c r="I21" s="45"/>
      <c r="J21" s="45" t="s">
        <v>140</v>
      </c>
      <c r="K21" s="45"/>
    </row>
    <row r="22" spans="1:11" x14ac:dyDescent="0.25">
      <c r="A22" s="50" t="s">
        <v>42</v>
      </c>
      <c r="B22" s="45" t="s">
        <v>116</v>
      </c>
      <c r="C22" s="45">
        <v>1</v>
      </c>
      <c r="D22" s="45" t="str">
        <f>IFERROR(IF(INDEX('01.25'!D2:D500, MATCH(B22&amp;C22, INDEX('01.25'!B2:B500&amp;'01.25'!C2:C500, 0), 0))="", "", INDEX('01.25'!D2:D500, MATCH(B22&amp;C22, INDEX('01.25'!B2:B500&amp;'01.25'!C2:C500, 0), 0))), "")</f>
        <v>Carmen Maria Stein Weiler</v>
      </c>
      <c r="E22" s="107" t="s">
        <v>16</v>
      </c>
      <c r="F22" s="45" t="s">
        <v>500</v>
      </c>
      <c r="G22" s="52" t="s">
        <v>131</v>
      </c>
      <c r="H22" s="45" t="s">
        <v>149</v>
      </c>
      <c r="I22" s="45"/>
      <c r="J22" s="45" t="s">
        <v>140</v>
      </c>
      <c r="K22" s="45"/>
    </row>
    <row r="23" spans="1:11" hidden="1" x14ac:dyDescent="0.25">
      <c r="A23" s="48" t="s">
        <v>38</v>
      </c>
      <c r="B23" s="45" t="s">
        <v>75</v>
      </c>
      <c r="C23" s="45">
        <v>1</v>
      </c>
      <c r="D23" s="45" t="str">
        <f>IFERROR(IF(INDEX('01.25'!D2:D500, MATCH(B23&amp;C23, INDEX('01.25'!B2:B500&amp;'01.25'!C2:C500, 0), 0))="", "", INDEX('01.25'!D2:D500, MATCH(B23&amp;C23, INDEX('01.25'!B2:B500&amp;'01.25'!C2:C500, 0), 0))), "")</f>
        <v>Thiago Varaschim Cenci</v>
      </c>
      <c r="E23" s="107" t="s">
        <v>16</v>
      </c>
      <c r="F23" s="45" t="s">
        <v>448</v>
      </c>
      <c r="G23" s="46" t="s">
        <v>131</v>
      </c>
      <c r="H23" s="45" t="s">
        <v>149</v>
      </c>
      <c r="I23" s="45"/>
      <c r="J23" s="45" t="s">
        <v>140</v>
      </c>
      <c r="K23" s="45"/>
    </row>
    <row r="24" spans="1:11" hidden="1" x14ac:dyDescent="0.25">
      <c r="A24" s="51" t="s">
        <v>40</v>
      </c>
      <c r="B24" s="45" t="s">
        <v>80</v>
      </c>
      <c r="C24" s="45">
        <v>1</v>
      </c>
      <c r="D24" s="45" t="str">
        <f>IFERROR(IF(INDEX('01.25'!D2:D500, MATCH(B24&amp;C24, INDEX('01.25'!B2:B500&amp;'01.25'!C2:C500, 0), 0))="", "", INDEX('01.25'!D2:D500, MATCH(B24&amp;C24, INDEX('01.25'!B2:B500&amp;'01.25'!C2:C500, 0), 0))), "")</f>
        <v>Éber Alexandre Nascimento Araújo</v>
      </c>
      <c r="E24" s="108" t="s">
        <v>21</v>
      </c>
      <c r="F24" s="45"/>
      <c r="G24" s="52" t="s">
        <v>131</v>
      </c>
      <c r="H24" s="45"/>
      <c r="I24" s="45"/>
      <c r="J24" s="45" t="s">
        <v>140</v>
      </c>
      <c r="K24" s="45"/>
    </row>
    <row r="25" spans="1:11" hidden="1" x14ac:dyDescent="0.25">
      <c r="A25" s="51" t="s">
        <v>40</v>
      </c>
      <c r="B25" s="45" t="s">
        <v>80</v>
      </c>
      <c r="C25" s="45">
        <v>2</v>
      </c>
      <c r="D25" s="45" t="str">
        <f>IFERROR(IF(INDEX('01.25'!D2:D500, MATCH(B25&amp;C25, INDEX('01.25'!B2:B500&amp;'01.25'!C2:C500, 0), 0))="", "", INDEX('01.25'!D2:D500, MATCH(B25&amp;C25, INDEX('01.25'!B2:B500&amp;'01.25'!C2:C500, 0), 0))), "")</f>
        <v>Andrea Carla Winkelmann</v>
      </c>
      <c r="E25" s="107" t="s">
        <v>16</v>
      </c>
      <c r="F25" s="45" t="s">
        <v>478</v>
      </c>
      <c r="G25" s="52" t="s">
        <v>131</v>
      </c>
      <c r="H25" s="45"/>
      <c r="I25" s="45"/>
      <c r="J25" s="45" t="s">
        <v>140</v>
      </c>
      <c r="K25" s="45"/>
    </row>
    <row r="26" spans="1:11" hidden="1" x14ac:dyDescent="0.25">
      <c r="A26" s="51" t="s">
        <v>40</v>
      </c>
      <c r="B26" s="45" t="s">
        <v>80</v>
      </c>
      <c r="C26" s="45">
        <v>3</v>
      </c>
      <c r="D26" s="45" t="str">
        <f>IFERROR(IF(INDEX('01.25'!D2:D500, MATCH(B26&amp;C26, INDEX('01.25'!B2:B500&amp;'01.25'!C2:C500, 0), 0))="", "", INDEX('01.25'!D2:D500, MATCH(B26&amp;C26, INDEX('01.25'!B2:B500&amp;'01.25'!C2:C500, 0), 0))), "")</f>
        <v>Lorizete de Andrade</v>
      </c>
      <c r="E26" s="107" t="s">
        <v>16</v>
      </c>
      <c r="F26" s="45" t="s">
        <v>241</v>
      </c>
      <c r="G26" s="52" t="s">
        <v>131</v>
      </c>
      <c r="H26" s="45" t="s">
        <v>515</v>
      </c>
      <c r="I26" s="45"/>
      <c r="J26" s="45" t="s">
        <v>140</v>
      </c>
      <c r="K26" s="45"/>
    </row>
    <row r="27" spans="1:11" hidden="1" x14ac:dyDescent="0.25">
      <c r="A27" s="51" t="s">
        <v>40</v>
      </c>
      <c r="B27" s="45" t="s">
        <v>80</v>
      </c>
      <c r="C27" s="45">
        <v>4</v>
      </c>
      <c r="D27" s="45" t="str">
        <f>IFERROR(IF(INDEX('01.25'!D2:D500, MATCH(B27&amp;C27, INDEX('01.25'!B2:B500&amp;'01.25'!C2:C500, 0), 0))="", "", INDEX('01.25'!D2:D500, MATCH(B27&amp;C27, INDEX('01.25'!B2:B500&amp;'01.25'!C2:C500, 0), 0))), "")</f>
        <v>Andressa Maia</v>
      </c>
      <c r="E27" s="107" t="s">
        <v>16</v>
      </c>
      <c r="F27" s="45" t="s">
        <v>478</v>
      </c>
      <c r="G27" s="52" t="s">
        <v>131</v>
      </c>
      <c r="H27" s="45"/>
      <c r="I27" s="45"/>
      <c r="J27" s="45" t="s">
        <v>140</v>
      </c>
      <c r="K27" s="45"/>
    </row>
    <row r="28" spans="1:11" hidden="1" x14ac:dyDescent="0.25">
      <c r="A28" s="51" t="s">
        <v>40</v>
      </c>
      <c r="B28" s="45" t="s">
        <v>80</v>
      </c>
      <c r="C28" s="45">
        <v>5</v>
      </c>
      <c r="D28" s="45" t="str">
        <f>IFERROR(IF(INDEX('01.25'!D2:D500, MATCH(B28&amp;C28, INDEX('01.25'!B2:B500&amp;'01.25'!C2:C500, 0), 0))="", "", INDEX('01.25'!D2:D500, MATCH(B28&amp;C28, INDEX('01.25'!B2:B500&amp;'01.25'!C2:C500, 0), 0))), "")</f>
        <v>Lucas Correia de Souza</v>
      </c>
      <c r="E28" s="107" t="s">
        <v>16</v>
      </c>
      <c r="F28" s="45" t="s">
        <v>490</v>
      </c>
      <c r="G28" s="52" t="s">
        <v>131</v>
      </c>
      <c r="H28" s="45"/>
      <c r="I28" s="45"/>
      <c r="J28" s="45" t="s">
        <v>140</v>
      </c>
      <c r="K28" s="45"/>
    </row>
    <row r="29" spans="1:11" hidden="1" x14ac:dyDescent="0.25">
      <c r="A29" s="51" t="s">
        <v>40</v>
      </c>
      <c r="B29" s="45" t="s">
        <v>80</v>
      </c>
      <c r="C29" s="45">
        <v>6</v>
      </c>
      <c r="D29" s="45" t="str">
        <f>IFERROR(IF(INDEX('01.25'!D2:D500, MATCH(B29&amp;C29, INDEX('01.25'!B2:B500&amp;'01.25'!C2:C500, 0), 0))="", "", INDEX('01.25'!D2:D500, MATCH(B29&amp;C29, INDEX('01.25'!B2:B500&amp;'01.25'!C2:C500, 0), 0))), "")</f>
        <v>Jose Francisco Mariano de Faria Filho</v>
      </c>
      <c r="E29" s="107" t="s">
        <v>16</v>
      </c>
      <c r="F29" s="45" t="s">
        <v>516</v>
      </c>
      <c r="G29" s="52" t="s">
        <v>131</v>
      </c>
      <c r="H29" s="45" t="s">
        <v>517</v>
      </c>
      <c r="I29" s="45"/>
      <c r="J29" s="45" t="s">
        <v>140</v>
      </c>
      <c r="K29" s="45"/>
    </row>
    <row r="30" spans="1:11" hidden="1" x14ac:dyDescent="0.25">
      <c r="A30" s="51" t="s">
        <v>40</v>
      </c>
      <c r="B30" s="45" t="s">
        <v>80</v>
      </c>
      <c r="C30" s="45">
        <v>7</v>
      </c>
      <c r="D30" s="45" t="str">
        <f>IFERROR(IF(INDEX('01.25'!D2:D500, MATCH(B30&amp;C30, INDEX('01.25'!B2:B500&amp;'01.25'!C2:C500, 0), 0))="", "", INDEX('01.25'!D2:D500, MATCH(B30&amp;C30, INDEX('01.25'!B2:B500&amp;'01.25'!C2:C500, 0), 0))), "")</f>
        <v>Pedro Henrique Mariano de Faria</v>
      </c>
      <c r="E30" s="107" t="s">
        <v>16</v>
      </c>
      <c r="F30" s="45" t="s">
        <v>438</v>
      </c>
      <c r="G30" s="52" t="s">
        <v>131</v>
      </c>
      <c r="H30" s="45" t="s">
        <v>518</v>
      </c>
      <c r="I30" s="45"/>
      <c r="J30" s="45" t="s">
        <v>140</v>
      </c>
      <c r="K30" s="45"/>
    </row>
    <row r="31" spans="1:11" hidden="1" x14ac:dyDescent="0.25">
      <c r="A31" s="51" t="s">
        <v>40</v>
      </c>
      <c r="B31" s="45" t="s">
        <v>80</v>
      </c>
      <c r="C31" s="45">
        <v>8</v>
      </c>
      <c r="D31" s="45" t="str">
        <f>IFERROR(IF(INDEX('01.25'!D2:D500, MATCH(B31&amp;C31, INDEX('01.25'!B2:B500&amp;'01.25'!C2:C500, 0), 0))="", "", INDEX('01.25'!D2:D500, MATCH(B31&amp;C31, INDEX('01.25'!B2:B500&amp;'01.25'!C2:C500, 0), 0))), "")</f>
        <v>Renata Aparecida de Souza</v>
      </c>
      <c r="E31" s="107" t="s">
        <v>16</v>
      </c>
      <c r="F31" s="45" t="s">
        <v>519</v>
      </c>
      <c r="G31" s="52" t="s">
        <v>131</v>
      </c>
      <c r="H31" s="45"/>
      <c r="I31" s="45"/>
      <c r="J31" s="45" t="s">
        <v>140</v>
      </c>
      <c r="K31" s="45"/>
    </row>
    <row r="32" spans="1:11" hidden="1" x14ac:dyDescent="0.25">
      <c r="A32" s="51" t="s">
        <v>40</v>
      </c>
      <c r="B32" s="45" t="s">
        <v>80</v>
      </c>
      <c r="C32" s="45">
        <v>9</v>
      </c>
      <c r="D32" s="45" t="str">
        <f>IFERROR(IF(INDEX('01.25'!D2:D500, MATCH(B32&amp;C32, INDEX('01.25'!B2:B500&amp;'01.25'!C2:C500, 0), 0))="", "", INDEX('01.25'!D2:D500, MATCH(B32&amp;C32, INDEX('01.25'!B2:B500&amp;'01.25'!C2:C500, 0), 0))), "")</f>
        <v>Maria Eduarda dos Santos Arias</v>
      </c>
      <c r="E32" s="107" t="s">
        <v>16</v>
      </c>
      <c r="F32" s="45" t="s">
        <v>520</v>
      </c>
      <c r="G32" s="52" t="s">
        <v>131</v>
      </c>
      <c r="H32" s="45" t="s">
        <v>521</v>
      </c>
      <c r="I32" s="45"/>
      <c r="J32" s="45" t="s">
        <v>140</v>
      </c>
      <c r="K32" s="45"/>
    </row>
    <row r="33" spans="1:11" hidden="1" x14ac:dyDescent="0.25">
      <c r="A33" s="44" t="s">
        <v>36</v>
      </c>
      <c r="B33" s="45" t="s">
        <v>98</v>
      </c>
      <c r="C33" s="45">
        <v>1</v>
      </c>
      <c r="D33" s="45" t="str">
        <f>IFERROR(IF(INDEX('01.25'!D2:D500, MATCH(B33&amp;C33, INDEX('01.25'!B2:B500&amp;'01.25'!C2:C500, 0), 0))="", "", INDEX('01.25'!D2:D500, MATCH(B33&amp;C33, INDEX('01.25'!B2:B500&amp;'01.25'!C2:C500, 0), 0))), "")</f>
        <v>Paulo Rogerio Hiroshi Fujii</v>
      </c>
      <c r="E33" s="107" t="s">
        <v>16</v>
      </c>
      <c r="F33" s="45" t="s">
        <v>508</v>
      </c>
      <c r="G33" s="46" t="s">
        <v>140</v>
      </c>
      <c r="H33" s="45"/>
      <c r="I33" s="45"/>
      <c r="J33" s="45" t="s">
        <v>140</v>
      </c>
      <c r="K33" s="45"/>
    </row>
    <row r="34" spans="1:11" hidden="1" x14ac:dyDescent="0.25">
      <c r="A34" s="44" t="s">
        <v>36</v>
      </c>
      <c r="B34" s="45" t="s">
        <v>99</v>
      </c>
      <c r="C34" s="45">
        <v>1</v>
      </c>
      <c r="D34" s="45" t="str">
        <f>IFERROR(IF(INDEX('01.25'!D2:D500, MATCH(B34&amp;C34, INDEX('01.25'!B2:B500&amp;'01.25'!C2:C500, 0), 0))="", "", INDEX('01.25'!D2:D500, MATCH(B34&amp;C34, INDEX('01.25'!B2:B500&amp;'01.25'!C2:C500, 0), 0))), "")</f>
        <v>Marlene R. Oliveira Dallacosta</v>
      </c>
      <c r="E34" s="107" t="s">
        <v>16</v>
      </c>
      <c r="F34" s="45" t="s">
        <v>482</v>
      </c>
      <c r="G34" s="46" t="s">
        <v>140</v>
      </c>
      <c r="H34" s="45"/>
      <c r="I34" s="45"/>
      <c r="J34" s="45" t="s">
        <v>140</v>
      </c>
      <c r="K34" s="45"/>
    </row>
    <row r="35" spans="1:11" hidden="1" x14ac:dyDescent="0.25">
      <c r="A35" s="47" t="s">
        <v>28</v>
      </c>
      <c r="B35" s="45" t="s">
        <v>94</v>
      </c>
      <c r="C35" s="45">
        <v>1</v>
      </c>
      <c r="D35" s="45" t="str">
        <f>IFERROR(IF(INDEX('01.25'!D2:D500, MATCH(B35&amp;C35, INDEX('01.25'!B2:B500&amp;'01.25'!C2:C500, 0), 0))="", "", INDEX('01.25'!D2:D500, MATCH(B35&amp;C35, INDEX('01.25'!B2:B500&amp;'01.25'!C2:C500, 0), 0))), "")</f>
        <v>Vitolor dos Santos Almeida</v>
      </c>
      <c r="E35" s="107" t="s">
        <v>16</v>
      </c>
      <c r="F35" s="45" t="s">
        <v>490</v>
      </c>
      <c r="G35" s="52" t="s">
        <v>131</v>
      </c>
      <c r="H35" s="45" t="s">
        <v>149</v>
      </c>
      <c r="I35" s="45" t="s">
        <v>522</v>
      </c>
      <c r="J35" s="45" t="s">
        <v>131</v>
      </c>
      <c r="K35" s="45" t="s">
        <v>523</v>
      </c>
    </row>
    <row r="36" spans="1:11" hidden="1" x14ac:dyDescent="0.25">
      <c r="A36" s="47" t="s">
        <v>28</v>
      </c>
      <c r="B36" s="45" t="s">
        <v>95</v>
      </c>
      <c r="C36" s="45">
        <v>1</v>
      </c>
      <c r="D36" s="45" t="str">
        <f>IFERROR(IF(INDEX('01.25'!D2:D500, MATCH(B36&amp;C36, INDEX('01.25'!B2:B500&amp;'01.25'!C2:C500, 0), 0))="", "", INDEX('01.25'!D2:D500, MATCH(B36&amp;C36, INDEX('01.25'!B2:B500&amp;'01.25'!C2:C500, 0), 0))), "")</f>
        <v>Kelly Jackeline Silva do Valle</v>
      </c>
      <c r="E36" s="107" t="s">
        <v>16</v>
      </c>
      <c r="F36" s="45" t="s">
        <v>508</v>
      </c>
      <c r="G36" s="52" t="s">
        <v>131</v>
      </c>
      <c r="H36" s="45" t="s">
        <v>149</v>
      </c>
      <c r="I36" s="45"/>
      <c r="J36" s="45" t="s">
        <v>140</v>
      </c>
      <c r="K36" s="45"/>
    </row>
    <row r="37" spans="1:11" hidden="1" x14ac:dyDescent="0.25">
      <c r="A37" s="47" t="s">
        <v>28</v>
      </c>
      <c r="B37" s="45" t="s">
        <v>96</v>
      </c>
      <c r="C37" s="45">
        <v>1</v>
      </c>
      <c r="D37" s="45" t="str">
        <f>IFERROR(IF(INDEX('01.25'!D2:D500, MATCH(B37&amp;C37, INDEX('01.25'!B2:B500&amp;'01.25'!C2:C500, 0), 0))="", "", INDEX('01.25'!D2:D500, MATCH(B37&amp;C37, INDEX('01.25'!B2:B500&amp;'01.25'!C2:C500, 0), 0))), "")</f>
        <v>Felipe Carvalho Zydek</v>
      </c>
      <c r="E37" s="107" t="s">
        <v>16</v>
      </c>
      <c r="F37" s="45" t="s">
        <v>241</v>
      </c>
      <c r="G37" s="52" t="s">
        <v>131</v>
      </c>
      <c r="H37" s="45" t="s">
        <v>149</v>
      </c>
      <c r="I37" s="45"/>
      <c r="J37" s="45" t="s">
        <v>140</v>
      </c>
      <c r="K37" s="45"/>
    </row>
    <row r="38" spans="1:11" hidden="1" x14ac:dyDescent="0.25">
      <c r="A38" s="48" t="s">
        <v>38</v>
      </c>
      <c r="B38" s="45" t="s">
        <v>107</v>
      </c>
      <c r="C38" s="45">
        <v>1</v>
      </c>
      <c r="D38" s="45" t="str">
        <f>IFERROR(IF(INDEX('01.25'!D2:D500, MATCH(B38&amp;C38, INDEX('01.25'!B2:B500&amp;'01.25'!C2:C500, 0), 0))="", "", INDEX('01.25'!D2:D500, MATCH(B38&amp;C38, INDEX('01.25'!B2:B500&amp;'01.25'!C2:C500, 0), 0))), "")</f>
        <v>Eliane Borin</v>
      </c>
      <c r="E38" s="107" t="s">
        <v>16</v>
      </c>
      <c r="F38" s="45" t="s">
        <v>492</v>
      </c>
      <c r="G38" s="46" t="s">
        <v>131</v>
      </c>
      <c r="H38" s="45" t="s">
        <v>706</v>
      </c>
      <c r="I38" s="45"/>
      <c r="J38" s="45" t="s">
        <v>140</v>
      </c>
      <c r="K38" s="45"/>
    </row>
    <row r="39" spans="1:11" x14ac:dyDescent="0.25">
      <c r="A39" s="50" t="s">
        <v>42</v>
      </c>
      <c r="B39" s="45" t="s">
        <v>117</v>
      </c>
      <c r="C39" s="45">
        <v>1</v>
      </c>
      <c r="D39" s="45" t="str">
        <f>IFERROR(IF(INDEX('01.25'!D2:D500, MATCH(B39&amp;C39, INDEX('01.25'!B2:B500&amp;'01.25'!C2:C500, 0), 0))="", "", INDEX('01.25'!D2:D500, MATCH(B39&amp;C39, INDEX('01.25'!B2:B500&amp;'01.25'!C2:C500, 0), 0))), "")</f>
        <v>Tatiana schrard</v>
      </c>
      <c r="E39" s="107" t="s">
        <v>16</v>
      </c>
      <c r="F39" s="45" t="s">
        <v>490</v>
      </c>
      <c r="G39" s="52" t="s">
        <v>131</v>
      </c>
      <c r="H39" s="45" t="s">
        <v>524</v>
      </c>
      <c r="I39" s="45"/>
      <c r="J39" s="45" t="s">
        <v>140</v>
      </c>
      <c r="K39" s="45"/>
    </row>
    <row r="40" spans="1:11" hidden="1" x14ac:dyDescent="0.25">
      <c r="A40" s="48" t="s">
        <v>38</v>
      </c>
      <c r="B40" s="45" t="s">
        <v>81</v>
      </c>
      <c r="C40" s="45">
        <v>1</v>
      </c>
      <c r="D40" s="45" t="str">
        <f>IFERROR(IF(INDEX('01.25'!D2:D500, MATCH(B40&amp;C40, INDEX('01.25'!B2:B500&amp;'01.25'!C2:C500, 0), 0))="", "", INDEX('01.25'!D2:D500, MATCH(B40&amp;C40, INDEX('01.25'!B2:B500&amp;'01.25'!C2:C500, 0), 0))), "")</f>
        <v>César Piva Glinglani</v>
      </c>
      <c r="E40" s="107" t="s">
        <v>16</v>
      </c>
      <c r="F40" s="45" t="s">
        <v>525</v>
      </c>
      <c r="G40" s="46" t="s">
        <v>140</v>
      </c>
      <c r="H40" s="45"/>
      <c r="I40" s="45"/>
      <c r="J40" s="45" t="s">
        <v>140</v>
      </c>
      <c r="K40" s="45"/>
    </row>
    <row r="41" spans="1:11" hidden="1" x14ac:dyDescent="0.25">
      <c r="A41" s="49" t="s">
        <v>43</v>
      </c>
      <c r="B41" s="45" t="s">
        <v>128</v>
      </c>
      <c r="C41" s="45">
        <v>1</v>
      </c>
      <c r="D41" s="45" t="str">
        <f>IFERROR(IF(INDEX('01.25'!D2:D500, MATCH(B41&amp;C41, INDEX('01.25'!B2:B500&amp;'01.25'!C2:C500, 0), 0))="", "", INDEX('01.25'!D2:D500, MATCH(B41&amp;C41, INDEX('01.25'!B2:B500&amp;'01.25'!C2:C500, 0), 0))), "")</f>
        <v>Ailton Carlos Fialho</v>
      </c>
      <c r="E41" s="107" t="s">
        <v>16</v>
      </c>
      <c r="F41" s="45" t="s">
        <v>526</v>
      </c>
      <c r="G41" s="52" t="s">
        <v>131</v>
      </c>
      <c r="H41" s="45" t="s">
        <v>149</v>
      </c>
      <c r="I41" s="45"/>
      <c r="J41" s="45" t="s">
        <v>140</v>
      </c>
      <c r="K41" s="45"/>
    </row>
    <row r="42" spans="1:11" x14ac:dyDescent="0.25">
      <c r="A42" s="50" t="s">
        <v>42</v>
      </c>
      <c r="B42" s="45" t="s">
        <v>82</v>
      </c>
      <c r="C42" s="45">
        <v>1</v>
      </c>
      <c r="D42" s="45" t="str">
        <f>IFERROR(IF(INDEX('01.25'!D2:D500, MATCH(B42&amp;C42, INDEX('01.25'!B2:B500&amp;'01.25'!C2:C500, 0), 0))="", "", INDEX('01.25'!D2:D500, MATCH(B42&amp;C42, INDEX('01.25'!B2:B500&amp;'01.25'!C2:C500, 0), 0))), "")</f>
        <v>Marcos José Chaves</v>
      </c>
      <c r="E42" s="107" t="s">
        <v>16</v>
      </c>
      <c r="F42" s="45" t="s">
        <v>526</v>
      </c>
      <c r="G42" s="52" t="s">
        <v>131</v>
      </c>
      <c r="H42" s="45" t="s">
        <v>149</v>
      </c>
      <c r="I42" s="45"/>
      <c r="J42" s="45" t="s">
        <v>140</v>
      </c>
      <c r="K42" s="45"/>
    </row>
    <row r="43" spans="1:11" x14ac:dyDescent="0.25">
      <c r="A43" s="50" t="s">
        <v>42</v>
      </c>
      <c r="B43" s="45" t="s">
        <v>82</v>
      </c>
      <c r="C43" s="45">
        <v>2</v>
      </c>
      <c r="D43" s="45" t="str">
        <f>IFERROR(IF(INDEX('01.25'!D2:D500, MATCH(B43&amp;C43, INDEX('01.25'!B2:B500&amp;'01.25'!C2:C500, 0), 0))="", "", INDEX('01.25'!D2:D500, MATCH(B43&amp;C43, INDEX('01.25'!B2:B500&amp;'01.25'!C2:C500, 0), 0))), "")</f>
        <v>Diego Matheus Reinicke</v>
      </c>
      <c r="E43" s="107" t="s">
        <v>16</v>
      </c>
      <c r="F43" s="45" t="s">
        <v>241</v>
      </c>
      <c r="G43" s="52" t="s">
        <v>131</v>
      </c>
      <c r="H43" s="45" t="s">
        <v>527</v>
      </c>
      <c r="I43" s="45"/>
      <c r="J43" s="45" t="s">
        <v>140</v>
      </c>
      <c r="K43" s="45"/>
    </row>
    <row r="44" spans="1:11" hidden="1" x14ac:dyDescent="0.25">
      <c r="A44" s="48" t="s">
        <v>38</v>
      </c>
      <c r="B44" s="45" t="s">
        <v>76</v>
      </c>
      <c r="C44" s="45">
        <v>1</v>
      </c>
      <c r="D44" s="45" t="str">
        <f>IFERROR(IF(INDEX('01.25'!D2:D500, MATCH(B44&amp;C44, INDEX('01.25'!B2:B500&amp;'01.25'!C2:C500, 0), 0))="", "", INDEX('01.25'!D2:D500, MATCH(B44&amp;C44, INDEX('01.25'!B2:B500&amp;'01.25'!C2:C500, 0), 0))), "")</f>
        <v>Cleiton Manske</v>
      </c>
      <c r="E44" s="107" t="s">
        <v>16</v>
      </c>
      <c r="F44" s="45" t="s">
        <v>342</v>
      </c>
      <c r="G44" s="52" t="s">
        <v>131</v>
      </c>
      <c r="H44" s="45"/>
      <c r="I44" s="45"/>
      <c r="J44" s="45" t="s">
        <v>140</v>
      </c>
      <c r="K44" s="45"/>
    </row>
    <row r="45" spans="1:11" x14ac:dyDescent="0.25">
      <c r="A45" s="50" t="s">
        <v>42</v>
      </c>
      <c r="B45" s="45" t="s">
        <v>118</v>
      </c>
      <c r="C45" s="45">
        <v>1</v>
      </c>
      <c r="D45" s="45" t="str">
        <f>IFERROR(IF(INDEX('01.25'!D2:D500, MATCH(B45&amp;C45, INDEX('01.25'!B2:B500&amp;'01.25'!C2:C500, 0), 0))="", "", INDEX('01.25'!D2:D500, MATCH(B45&amp;C45, INDEX('01.25'!B2:B500&amp;'01.25'!C2:C500, 0), 0))), "")</f>
        <v>Alexandro Aparecido de Lima Vieira</v>
      </c>
      <c r="E45" s="107" t="s">
        <v>16</v>
      </c>
      <c r="F45" s="45" t="s">
        <v>500</v>
      </c>
      <c r="G45" s="52" t="s">
        <v>131</v>
      </c>
      <c r="H45" s="45" t="s">
        <v>528</v>
      </c>
      <c r="I45" s="45"/>
      <c r="J45" s="45" t="s">
        <v>140</v>
      </c>
      <c r="K45" s="45"/>
    </row>
    <row r="46" spans="1:11" hidden="1" x14ac:dyDescent="0.25">
      <c r="A46" s="51" t="s">
        <v>40</v>
      </c>
      <c r="B46" s="45" t="s">
        <v>111</v>
      </c>
      <c r="C46" s="45">
        <v>1</v>
      </c>
      <c r="D46" s="45" t="str">
        <f>IFERROR(IF(INDEX('01.25'!D2:D500, MATCH(B46&amp;C46, INDEX('01.25'!B2:B500&amp;'01.25'!C2:C500, 0), 0))="", "", INDEX('01.25'!D2:D500, MATCH(B46&amp;C46, INDEX('01.25'!B2:B500&amp;'01.25'!C2:C500, 0), 0))), "")</f>
        <v>Rafael Henrique Caetano</v>
      </c>
      <c r="E46" s="107" t="s">
        <v>16</v>
      </c>
      <c r="F46" s="45" t="s">
        <v>513</v>
      </c>
      <c r="G46" s="52" t="s">
        <v>131</v>
      </c>
      <c r="H46" s="45" t="s">
        <v>529</v>
      </c>
      <c r="I46" s="45"/>
      <c r="J46" s="45" t="s">
        <v>140</v>
      </c>
      <c r="K46" s="45"/>
    </row>
    <row r="47" spans="1:11" hidden="1" x14ac:dyDescent="0.25">
      <c r="A47" s="44" t="s">
        <v>36</v>
      </c>
      <c r="B47" s="45" t="s">
        <v>100</v>
      </c>
      <c r="C47" s="45">
        <v>1</v>
      </c>
      <c r="D47" s="45" t="str">
        <f>IFERROR(IF(INDEX('01.25'!D2:D500, MATCH(B47&amp;C47, INDEX('01.25'!B2:B500&amp;'01.25'!C2:C500, 0), 0))="", "", INDEX('01.25'!D2:D500, MATCH(B47&amp;C47, INDEX('01.25'!B2:B500&amp;'01.25'!C2:C500, 0), 0))), "")</f>
        <v>Roberto Pedron</v>
      </c>
      <c r="E47" s="107" t="s">
        <v>16</v>
      </c>
      <c r="F47" s="45" t="s">
        <v>478</v>
      </c>
      <c r="G47" s="46" t="s">
        <v>140</v>
      </c>
      <c r="H47" s="45"/>
      <c r="I47" s="45"/>
      <c r="J47" s="45" t="s">
        <v>140</v>
      </c>
      <c r="K47" s="45"/>
    </row>
    <row r="48" spans="1:11" x14ac:dyDescent="0.25">
      <c r="A48" s="50" t="s">
        <v>42</v>
      </c>
      <c r="B48" s="45" t="s">
        <v>119</v>
      </c>
      <c r="C48" s="45">
        <v>1</v>
      </c>
      <c r="D48" s="45" t="str">
        <f>IFERROR(IF(INDEX('01.25'!D2:D500, MATCH(B48&amp;C48, INDEX('01.25'!B2:B500&amp;'01.25'!C2:C500, 0), 0))="", "", INDEX('01.25'!D2:D500, MATCH(B48&amp;C48, INDEX('01.25'!B2:B500&amp;'01.25'!C2:C500, 0), 0))), "")</f>
        <v>Luciane Spies</v>
      </c>
      <c r="E48" s="107" t="s">
        <v>16</v>
      </c>
      <c r="F48" s="45" t="s">
        <v>478</v>
      </c>
      <c r="G48" s="52" t="s">
        <v>131</v>
      </c>
      <c r="H48" s="45"/>
      <c r="I48" s="45"/>
      <c r="J48" s="45" t="s">
        <v>140</v>
      </c>
      <c r="K48" s="45"/>
    </row>
    <row r="49" spans="1:11" hidden="1" x14ac:dyDescent="0.25">
      <c r="A49" s="44" t="s">
        <v>36</v>
      </c>
      <c r="B49" s="45" t="s">
        <v>77</v>
      </c>
      <c r="C49" s="45">
        <v>1</v>
      </c>
      <c r="D49" s="45" t="str">
        <f>IFERROR(IF(INDEX('01.25'!D2:D500, MATCH(B49&amp;C49, INDEX('01.25'!B2:B500&amp;'01.25'!C2:C500, 0), 0))="", "", INDEX('01.25'!D2:D500, MATCH(B49&amp;C49, INDEX('01.25'!B2:B500&amp;'01.25'!C2:C500, 0), 0))), "")</f>
        <v>Jaqueline Fernanda Meireles</v>
      </c>
      <c r="E49" s="107" t="s">
        <v>16</v>
      </c>
      <c r="F49" s="45" t="s">
        <v>480</v>
      </c>
      <c r="G49" s="52" t="s">
        <v>131</v>
      </c>
      <c r="H49" s="45" t="s">
        <v>530</v>
      </c>
      <c r="I49" s="45" t="s">
        <v>531</v>
      </c>
      <c r="J49" s="45" t="s">
        <v>131</v>
      </c>
      <c r="K49" s="45" t="s">
        <v>532</v>
      </c>
    </row>
    <row r="50" spans="1:11" hidden="1" x14ac:dyDescent="0.25">
      <c r="A50" s="48" t="s">
        <v>38</v>
      </c>
      <c r="B50" s="45" t="s">
        <v>108</v>
      </c>
      <c r="C50" s="45">
        <v>1</v>
      </c>
      <c r="D50" s="45" t="str">
        <f>IFERROR(IF(INDEX('01.25'!D2:D500, MATCH(B50&amp;C50, INDEX('01.25'!B2:B500&amp;'01.25'!C2:C500, 0), 0))="", "", INDEX('01.25'!D2:D500, MATCH(B50&amp;C50, INDEX('01.25'!B2:B500&amp;'01.25'!C2:C500, 0), 0))), "")</f>
        <v>Luiz Fernando Pereira Barbosa</v>
      </c>
      <c r="E50" s="107" t="s">
        <v>16</v>
      </c>
      <c r="F50" s="45" t="s">
        <v>480</v>
      </c>
      <c r="G50" s="46" t="s">
        <v>140</v>
      </c>
      <c r="H50" s="45"/>
      <c r="I50" s="45"/>
      <c r="J50" s="45" t="s">
        <v>140</v>
      </c>
      <c r="K50" s="45"/>
    </row>
    <row r="51" spans="1:11" hidden="1" x14ac:dyDescent="0.25">
      <c r="A51" s="44" t="s">
        <v>36</v>
      </c>
      <c r="B51" s="45" t="s">
        <v>101</v>
      </c>
      <c r="C51" s="45">
        <v>1</v>
      </c>
      <c r="D51" s="45" t="str">
        <f>IFERROR(IF(INDEX('01.25'!D2:D500, MATCH(B51&amp;C51, INDEX('01.25'!B2:B500&amp;'01.25'!C2:C500, 0), 0))="", "", INDEX('01.25'!D2:D500, MATCH(B51&amp;C51, INDEX('01.25'!B2:B500&amp;'01.25'!C2:C500, 0), 0))), "")</f>
        <v>Carolina Eggers</v>
      </c>
      <c r="E51" s="107" t="s">
        <v>16</v>
      </c>
      <c r="F51" s="45" t="s">
        <v>508</v>
      </c>
      <c r="G51" s="46" t="s">
        <v>140</v>
      </c>
      <c r="H51" s="45"/>
      <c r="I51" s="45"/>
      <c r="J51" s="45" t="s">
        <v>140</v>
      </c>
      <c r="K51" s="45"/>
    </row>
    <row r="52" spans="1:11" hidden="1" x14ac:dyDescent="0.25">
      <c r="A52" s="44" t="s">
        <v>36</v>
      </c>
      <c r="B52" s="45" t="s">
        <v>102</v>
      </c>
      <c r="C52" s="45">
        <v>1</v>
      </c>
      <c r="D52" s="45" t="str">
        <f>IFERROR(IF(INDEX('01.25'!D2:D500, MATCH(B52&amp;C52, INDEX('01.25'!B2:B500&amp;'01.25'!C2:C500, 0), 0))="", "", INDEX('01.25'!D2:D500, MATCH(B52&amp;C52, INDEX('01.25'!B2:B500&amp;'01.25'!C2:C500, 0), 0))), "")</f>
        <v>Ivan Gonçalves da Silva</v>
      </c>
      <c r="E52" s="107" t="s">
        <v>16</v>
      </c>
      <c r="F52" s="45" t="s">
        <v>500</v>
      </c>
      <c r="G52" s="46" t="s">
        <v>140</v>
      </c>
      <c r="H52" s="45"/>
      <c r="I52" s="45"/>
      <c r="J52" s="45" t="s">
        <v>140</v>
      </c>
      <c r="K52" s="45"/>
    </row>
    <row r="53" spans="1:11" hidden="1" x14ac:dyDescent="0.25">
      <c r="A53" s="48" t="s">
        <v>38</v>
      </c>
      <c r="B53" s="45" t="s">
        <v>83</v>
      </c>
      <c r="C53" s="45">
        <v>1</v>
      </c>
      <c r="D53" s="45" t="str">
        <f>IFERROR(IF(INDEX('01.25'!D2:D500, MATCH(B53&amp;C53, INDEX('01.25'!B2:B500&amp;'01.25'!C2:C500, 0), 0))="", "", INDEX('01.25'!D2:D500, MATCH(B53&amp;C53, INDEX('01.25'!B2:B500&amp;'01.25'!C2:C500, 0), 0))), "")</f>
        <v>Dorival Manoel Canhete</v>
      </c>
      <c r="E53" s="107" t="s">
        <v>16</v>
      </c>
      <c r="F53" s="45" t="s">
        <v>510</v>
      </c>
      <c r="G53" s="46" t="s">
        <v>140</v>
      </c>
      <c r="H53" s="45"/>
      <c r="I53" s="45"/>
      <c r="J53" s="45" t="s">
        <v>140</v>
      </c>
      <c r="K53" s="45"/>
    </row>
    <row r="54" spans="1:11" x14ac:dyDescent="0.25">
      <c r="A54" s="50" t="s">
        <v>42</v>
      </c>
      <c r="B54" s="45" t="s">
        <v>120</v>
      </c>
      <c r="C54" s="45">
        <v>1</v>
      </c>
      <c r="D54" s="45" t="str">
        <f>IFERROR(IF(INDEX('01.25'!D2:D500, MATCH(B54&amp;C54, INDEX('01.25'!B2:B500&amp;'01.25'!C2:C500, 0), 0))="", "", INDEX('01.25'!D2:D500, MATCH(B54&amp;C54, INDEX('01.25'!B2:B500&amp;'01.25'!C2:C500, 0), 0))), "")</f>
        <v>Jaqueline Vanelli</v>
      </c>
      <c r="E54" s="107" t="s">
        <v>16</v>
      </c>
      <c r="F54" s="45" t="s">
        <v>513</v>
      </c>
      <c r="G54" s="52" t="s">
        <v>131</v>
      </c>
      <c r="H54" s="45" t="s">
        <v>149</v>
      </c>
      <c r="I54" s="45"/>
      <c r="J54" s="45" t="s">
        <v>140</v>
      </c>
      <c r="K54" s="45"/>
    </row>
    <row r="55" spans="1:11" hidden="1" x14ac:dyDescent="0.25">
      <c r="A55" s="44" t="s">
        <v>36</v>
      </c>
      <c r="B55" s="45" t="s">
        <v>103</v>
      </c>
      <c r="C55" s="45">
        <v>1</v>
      </c>
      <c r="D55" s="45" t="str">
        <f>IFERROR(IF(INDEX('01.25'!D2:D500, MATCH(B55&amp;C55, INDEX('01.25'!B2:B500&amp;'01.25'!C2:C500, 0), 0))="", "", INDEX('01.25'!D2:D500, MATCH(B55&amp;C55, INDEX('01.25'!B2:B500&amp;'01.25'!C2:C500, 0), 0))), "")</f>
        <v>Fernanda Jung</v>
      </c>
      <c r="E55" s="107" t="s">
        <v>16</v>
      </c>
      <c r="F55" s="45" t="s">
        <v>526</v>
      </c>
      <c r="G55" s="46" t="s">
        <v>140</v>
      </c>
      <c r="H55" s="45"/>
      <c r="I55" s="45"/>
      <c r="J55" s="45" t="s">
        <v>140</v>
      </c>
      <c r="K55" s="45"/>
    </row>
    <row r="56" spans="1:11" x14ac:dyDescent="0.25">
      <c r="A56" s="50" t="s">
        <v>42</v>
      </c>
      <c r="B56" s="45" t="s">
        <v>121</v>
      </c>
      <c r="C56" s="45">
        <v>1</v>
      </c>
      <c r="D56" s="45" t="str">
        <f>IFERROR(IF(INDEX('01.25'!D2:D500, MATCH(B56&amp;C56, INDEX('01.25'!B2:B500&amp;'01.25'!C2:C500, 0), 0))="", "", INDEX('01.25'!D2:D500, MATCH(B56&amp;C56, INDEX('01.25'!B2:B500&amp;'01.25'!C2:C500, 0), 0))), "")</f>
        <v>Ana Paula Romagnoli</v>
      </c>
      <c r="E56" s="107" t="s">
        <v>16</v>
      </c>
      <c r="F56" s="45" t="s">
        <v>526</v>
      </c>
      <c r="G56" s="52" t="s">
        <v>131</v>
      </c>
      <c r="H56" s="45" t="s">
        <v>149</v>
      </c>
      <c r="I56" s="45"/>
      <c r="J56" s="45" t="s">
        <v>140</v>
      </c>
      <c r="K56" s="45"/>
    </row>
    <row r="57" spans="1:11" x14ac:dyDescent="0.25">
      <c r="A57" s="50" t="s">
        <v>42</v>
      </c>
      <c r="B57" s="45" t="s">
        <v>122</v>
      </c>
      <c r="C57" s="45">
        <v>1</v>
      </c>
      <c r="D57" s="45" t="str">
        <f>IFERROR(IF(INDEX('01.25'!D2:D500, MATCH(B57&amp;C57, INDEX('01.25'!B2:B500&amp;'01.25'!C2:C500, 0), 0))="", "", INDEX('01.25'!D2:D500, MATCH(B57&amp;C57, INDEX('01.25'!B2:B500&amp;'01.25'!C2:C500, 0), 0))), "")</f>
        <v>Alexandro Schaparini</v>
      </c>
      <c r="E57" s="107" t="s">
        <v>16</v>
      </c>
      <c r="F57" s="45" t="s">
        <v>533</v>
      </c>
      <c r="G57" s="52" t="s">
        <v>131</v>
      </c>
      <c r="H57" s="45"/>
      <c r="I57" s="45"/>
      <c r="J57" s="45" t="s">
        <v>140</v>
      </c>
      <c r="K57" s="45"/>
    </row>
    <row r="58" spans="1:11" hidden="1" x14ac:dyDescent="0.25">
      <c r="A58" s="49" t="s">
        <v>43</v>
      </c>
      <c r="B58" s="45" t="s">
        <v>129</v>
      </c>
      <c r="C58" s="45">
        <v>1</v>
      </c>
      <c r="D58" s="45" t="str">
        <f>IFERROR(IF(INDEX('01.25'!D2:D500, MATCH(B58&amp;C58, INDEX('01.25'!B2:B500&amp;'01.25'!C2:C500, 0), 0))="", "", INDEX('01.25'!D2:D500, MATCH(B58&amp;C58, INDEX('01.25'!B2:B500&amp;'01.25'!C2:C500, 0), 0))), "")</f>
        <v>Marina Ancelmo da Silva</v>
      </c>
      <c r="E58" s="107" t="s">
        <v>16</v>
      </c>
      <c r="F58" s="45" t="s">
        <v>534</v>
      </c>
      <c r="G58" s="52" t="s">
        <v>131</v>
      </c>
      <c r="H58" s="45" t="s">
        <v>149</v>
      </c>
      <c r="I58" s="45"/>
      <c r="J58" s="45" t="s">
        <v>140</v>
      </c>
      <c r="K58" s="45"/>
    </row>
    <row r="59" spans="1:11" hidden="1" x14ac:dyDescent="0.25">
      <c r="A59" s="49" t="s">
        <v>43</v>
      </c>
      <c r="B59" s="45" t="s">
        <v>130</v>
      </c>
      <c r="C59" s="45">
        <v>1</v>
      </c>
      <c r="D59" s="45" t="str">
        <f>IFERROR(IF(INDEX('01.25'!D2:D500, MATCH(B59&amp;C59, INDEX('01.25'!B2:B500&amp;'01.25'!C2:C500, 0), 0))="", "", INDEX('01.25'!D2:D500, MATCH(B59&amp;C59, INDEX('01.25'!B2:B500&amp;'01.25'!C2:C500, 0), 0))), "")</f>
        <v>Ana Carolina Peterle Ribeiro</v>
      </c>
      <c r="E59" s="107" t="s">
        <v>16</v>
      </c>
      <c r="F59" s="45" t="s">
        <v>535</v>
      </c>
      <c r="G59" s="52" t="s">
        <v>131</v>
      </c>
      <c r="H59" s="148" t="s">
        <v>477</v>
      </c>
      <c r="I59" s="45"/>
      <c r="J59" s="45" t="s">
        <v>140</v>
      </c>
      <c r="K59" s="45"/>
    </row>
    <row r="60" spans="1:11" hidden="1" x14ac:dyDescent="0.25">
      <c r="A60" s="51" t="s">
        <v>40</v>
      </c>
      <c r="B60" s="45" t="s">
        <v>112</v>
      </c>
      <c r="C60" s="45">
        <v>1</v>
      </c>
      <c r="D60" s="45" t="str">
        <f>IFERROR(IF(INDEX('01.25'!D2:D500, MATCH(B60&amp;C60, INDEX('01.25'!B2:B500&amp;'01.25'!C2:C500, 0), 0))="", "", INDEX('01.25'!D2:D500, MATCH(B60&amp;C60, INDEX('01.25'!B2:B500&amp;'01.25'!C2:C500, 0), 0))), "")</f>
        <v>Taiane Amélia Mondardo</v>
      </c>
      <c r="E60" s="107" t="s">
        <v>16</v>
      </c>
      <c r="F60" s="45" t="s">
        <v>526</v>
      </c>
      <c r="G60" s="52" t="s">
        <v>131</v>
      </c>
      <c r="H60" s="45" t="s">
        <v>536</v>
      </c>
      <c r="I60" s="45"/>
      <c r="J60" s="45" t="s">
        <v>140</v>
      </c>
      <c r="K60" s="45"/>
    </row>
    <row r="61" spans="1:11" hidden="1" x14ac:dyDescent="0.25">
      <c r="A61" s="44" t="s">
        <v>36</v>
      </c>
      <c r="B61" s="45" t="s">
        <v>104</v>
      </c>
      <c r="C61" s="45">
        <v>1</v>
      </c>
      <c r="D61" s="45" t="str">
        <f>IFERROR(IF(INDEX('01.25'!D2:D500, MATCH(B61&amp;C61, INDEX('01.25'!B2:B500&amp;'01.25'!C2:C500, 0), 0))="", "", INDEX('01.25'!D2:D500, MATCH(B61&amp;C61, INDEX('01.25'!B2:B500&amp;'01.25'!C2:C500, 0), 0))), "")</f>
        <v>Regiane Lucia Pereira</v>
      </c>
      <c r="E61" s="107" t="s">
        <v>16</v>
      </c>
      <c r="F61" s="45" t="s">
        <v>506</v>
      </c>
      <c r="G61" s="52" t="s">
        <v>131</v>
      </c>
      <c r="H61" s="45"/>
      <c r="I61" s="45"/>
      <c r="J61" s="45" t="s">
        <v>140</v>
      </c>
      <c r="K61" s="45"/>
    </row>
    <row r="62" spans="1:11" hidden="1" x14ac:dyDescent="0.25">
      <c r="A62" s="51" t="s">
        <v>40</v>
      </c>
      <c r="B62" s="45" t="s">
        <v>113</v>
      </c>
      <c r="C62" s="45">
        <v>1</v>
      </c>
      <c r="D62" s="45" t="str">
        <f>IFERROR(IF(INDEX('01.25'!D2:D500, MATCH(B62&amp;C62, INDEX('01.25'!B2:B500&amp;'01.25'!C2:C500, 0), 0))="", "", INDEX('01.25'!D2:D500, MATCH(B62&amp;C62, INDEX('01.25'!B2:B500&amp;'01.25'!C2:C500, 0), 0))), "")</f>
        <v>Andryws Rafael Gois</v>
      </c>
      <c r="E62" s="107" t="s">
        <v>16</v>
      </c>
      <c r="F62" s="45" t="s">
        <v>492</v>
      </c>
      <c r="G62" s="52" t="s">
        <v>131</v>
      </c>
      <c r="H62" s="45" t="s">
        <v>537</v>
      </c>
      <c r="I62" s="45"/>
      <c r="J62" s="45" t="s">
        <v>140</v>
      </c>
      <c r="K62" s="45"/>
    </row>
    <row r="63" spans="1:11" x14ac:dyDescent="0.25">
      <c r="A63" s="50" t="s">
        <v>42</v>
      </c>
      <c r="B63" s="45" t="s">
        <v>123</v>
      </c>
      <c r="C63" s="45">
        <v>1</v>
      </c>
      <c r="D63" s="45" t="str">
        <f>IFERROR(IF(INDEX('01.25'!D2:D500, MATCH(B63&amp;C63, INDEX('01.25'!B2:B500&amp;'01.25'!C2:C500, 0), 0))="", "", INDEX('01.25'!D2:D500, MATCH(B63&amp;C63, INDEX('01.25'!B2:B500&amp;'01.25'!C2:C500, 0), 0))), "")</f>
        <v>Mayara Ketllyn de Paula Rosetti</v>
      </c>
      <c r="E63" s="107" t="s">
        <v>16</v>
      </c>
      <c r="F63" s="45" t="s">
        <v>480</v>
      </c>
      <c r="G63" s="52" t="s">
        <v>131</v>
      </c>
      <c r="H63" s="45" t="s">
        <v>149</v>
      </c>
      <c r="I63" s="45"/>
      <c r="J63" s="45" t="s">
        <v>140</v>
      </c>
      <c r="K63" s="45"/>
    </row>
    <row r="64" spans="1:11" hidden="1" x14ac:dyDescent="0.25">
      <c r="A64" s="51" t="s">
        <v>40</v>
      </c>
      <c r="B64" s="45" t="s">
        <v>114</v>
      </c>
      <c r="C64" s="45">
        <v>1</v>
      </c>
      <c r="D64" s="45" t="str">
        <f>IFERROR(IF(INDEX('01.25'!D2:D500, MATCH(B64&amp;C64, INDEX('01.25'!B2:B500&amp;'01.25'!C2:C500, 0), 0))="", "", INDEX('01.25'!D2:D500, MATCH(B64&amp;C64, INDEX('01.25'!B2:B500&amp;'01.25'!C2:C500, 0), 0))), "")</f>
        <v>Junior Andre Britzke</v>
      </c>
      <c r="E64" s="107" t="s">
        <v>16</v>
      </c>
      <c r="F64" s="45" t="s">
        <v>482</v>
      </c>
      <c r="G64" s="52" t="s">
        <v>131</v>
      </c>
      <c r="H64" s="45" t="s">
        <v>538</v>
      </c>
      <c r="I64" s="45"/>
      <c r="J64" s="45" t="s">
        <v>140</v>
      </c>
      <c r="K64" s="45"/>
    </row>
    <row r="65" spans="1:11" hidden="1" x14ac:dyDescent="0.25">
      <c r="A65" s="44" t="s">
        <v>36</v>
      </c>
      <c r="B65" s="45" t="s">
        <v>105</v>
      </c>
      <c r="C65" s="45">
        <v>1</v>
      </c>
      <c r="D65" s="45" t="str">
        <f>IFERROR(IF(INDEX('01.25'!D2:D500, MATCH(B65&amp;C65, INDEX('01.25'!B2:B500&amp;'01.25'!C2:C500, 0), 0))="", "", INDEX('01.25'!D2:D500, MATCH(B65&amp;C65, INDEX('01.25'!B2:B500&amp;'01.25'!C2:C500, 0), 0))), "")</f>
        <v>Adriano Pereira Guedes</v>
      </c>
      <c r="E65" s="107" t="s">
        <v>16</v>
      </c>
      <c r="F65" s="45" t="s">
        <v>507</v>
      </c>
      <c r="G65" s="46" t="s">
        <v>140</v>
      </c>
      <c r="H65" s="45"/>
      <c r="I65" s="45"/>
      <c r="J65" s="45" t="s">
        <v>140</v>
      </c>
      <c r="K65" s="45"/>
    </row>
    <row r="66" spans="1:11" hidden="1" x14ac:dyDescent="0.25">
      <c r="A66" s="44" t="s">
        <v>36</v>
      </c>
      <c r="B66" s="45" t="s">
        <v>106</v>
      </c>
      <c r="C66" s="45">
        <v>1</v>
      </c>
      <c r="D66" s="45" t="str">
        <f>IFERROR(IF(INDEX('01.25'!D2:D500, MATCH(B66&amp;C66, INDEX('01.25'!B2:B500&amp;'01.25'!C2:C500, 0), 0))="", "", INDEX('01.25'!D2:D500, MATCH(B66&amp;C66, INDEX('01.25'!B2:B500&amp;'01.25'!C2:C500, 0), 0))), "")</f>
        <v xml:space="preserve">Suzana Cristina de Almeida </v>
      </c>
      <c r="E66" s="107" t="s">
        <v>16</v>
      </c>
      <c r="F66" s="45" t="s">
        <v>376</v>
      </c>
      <c r="G66" s="52" t="s">
        <v>131</v>
      </c>
      <c r="H66" s="45"/>
      <c r="I66" s="45"/>
      <c r="J66" s="45" t="s">
        <v>140</v>
      </c>
      <c r="K66" s="45"/>
    </row>
    <row r="67" spans="1:11" hidden="1" x14ac:dyDescent="0.25">
      <c r="A67" s="47" t="s">
        <v>28</v>
      </c>
      <c r="B67" s="45" t="s">
        <v>85</v>
      </c>
      <c r="C67" s="45">
        <v>1</v>
      </c>
      <c r="D67" s="45" t="str">
        <f>IFERROR(IF(INDEX('01.25'!D2:D500, MATCH(B67&amp;C67, INDEX('01.25'!B2:B500&amp;'01.25'!C2:C500, 0), 0))="", "", INDEX('01.25'!D2:D500, MATCH(B67&amp;C67, INDEX('01.25'!B2:B500&amp;'01.25'!C2:C500, 0), 0))), "")</f>
        <v>Alice Cristiane Zancheta</v>
      </c>
      <c r="E67" s="107" t="s">
        <v>16</v>
      </c>
      <c r="F67" s="45" t="s">
        <v>480</v>
      </c>
      <c r="G67" s="52" t="s">
        <v>131</v>
      </c>
      <c r="H67" s="45" t="s">
        <v>149</v>
      </c>
      <c r="I67" s="45"/>
      <c r="J67" s="45" t="s">
        <v>140</v>
      </c>
      <c r="K67" s="45"/>
    </row>
    <row r="68" spans="1:11" hidden="1" x14ac:dyDescent="0.25">
      <c r="A68" s="48" t="s">
        <v>38</v>
      </c>
      <c r="B68" s="45" t="s">
        <v>109</v>
      </c>
      <c r="C68" s="45">
        <v>1</v>
      </c>
      <c r="D68" s="45" t="str">
        <f>IFERROR(IF(INDEX('01.25'!D2:D500, MATCH(B68&amp;C68, INDEX('01.25'!B2:B500&amp;'01.25'!C2:C500, 0), 0))="", "", INDEX('01.25'!D2:D500, MATCH(B68&amp;C68, INDEX('01.25'!B2:B500&amp;'01.25'!C2:C500, 0), 0))), "")</f>
        <v>Fernanda kaezer de Godoy</v>
      </c>
      <c r="E68" s="107" t="s">
        <v>16</v>
      </c>
      <c r="F68" s="45" t="s">
        <v>241</v>
      </c>
      <c r="G68" s="46" t="s">
        <v>131</v>
      </c>
      <c r="H68" s="45" t="s">
        <v>704</v>
      </c>
      <c r="I68" s="45"/>
      <c r="J68" s="45" t="s">
        <v>140</v>
      </c>
      <c r="K68" s="45"/>
    </row>
    <row r="69" spans="1:11" hidden="1" x14ac:dyDescent="0.25">
      <c r="A69" s="48" t="s">
        <v>38</v>
      </c>
      <c r="B69" s="45" t="s">
        <v>110</v>
      </c>
      <c r="C69" s="45">
        <v>1</v>
      </c>
      <c r="D69" s="45" t="str">
        <f>IFERROR(IF(INDEX('01.25'!D2:D500, MATCH(B69&amp;C69, INDEX('01.25'!B2:B500&amp;'01.25'!C2:C500, 0), 0))="", "", INDEX('01.25'!D2:D500, MATCH(B69&amp;C69, INDEX('01.25'!B2:B500&amp;'01.25'!C2:C500, 0), 0))), "")</f>
        <v xml:space="preserve">Ademir Papini Júnior </v>
      </c>
      <c r="E69" s="107" t="s">
        <v>16</v>
      </c>
      <c r="F69" s="45" t="s">
        <v>468</v>
      </c>
      <c r="G69" s="46" t="s">
        <v>131</v>
      </c>
      <c r="H69" s="148" t="s">
        <v>713</v>
      </c>
      <c r="I69" s="45"/>
      <c r="J69" s="45" t="s">
        <v>140</v>
      </c>
      <c r="K69" s="45"/>
    </row>
    <row r="70" spans="1:11" x14ac:dyDescent="0.25">
      <c r="A70" s="50" t="s">
        <v>42</v>
      </c>
      <c r="B70" s="45" t="s">
        <v>124</v>
      </c>
      <c r="C70" s="45">
        <v>1</v>
      </c>
      <c r="D70" s="45" t="str">
        <f>IFERROR(IF(INDEX('01.25'!D2:D500, MATCH(B70&amp;C70, INDEX('01.25'!B2:B500&amp;'01.25'!C2:C500, 0), 0))="", "", INDEX('01.25'!D2:D500, MATCH(B70&amp;C70, INDEX('01.25'!B2:B500&amp;'01.25'!C2:C500, 0), 0))), "")</f>
        <v>Heloísa Maria Beloni Insenha</v>
      </c>
      <c r="E70" s="107" t="s">
        <v>16</v>
      </c>
      <c r="F70" s="45" t="s">
        <v>492</v>
      </c>
      <c r="G70" s="52" t="s">
        <v>131</v>
      </c>
      <c r="H70" s="45" t="s">
        <v>539</v>
      </c>
      <c r="I70" s="45"/>
      <c r="J70" s="45" t="s">
        <v>140</v>
      </c>
      <c r="K70" s="45"/>
    </row>
  </sheetData>
  <autoFilter ref="A1:G70" xr:uid="{00000000-0009-0000-0000-00000D000000}">
    <filterColumn colId="0">
      <filters>
        <filter val="Luana"/>
      </filters>
    </filterColumn>
  </autoFilter>
  <conditionalFormatting sqref="E2:E70">
    <cfRule type="cellIs" dxfId="80" priority="6" stopIfTrue="1" operator="equal">
      <formula>"Enviado"</formula>
    </cfRule>
    <cfRule type="cellIs" dxfId="79" priority="7" stopIfTrue="1" operator="equal">
      <formula>"Atrasado"</formula>
    </cfRule>
    <cfRule type="cellIs" dxfId="78" priority="8" stopIfTrue="1" operator="equal">
      <formula>"Atrasado &gt;= 2"</formula>
    </cfRule>
    <cfRule type="cellIs" dxfId="77" priority="9" stopIfTrue="1" operator="equal">
      <formula>"Outras Ocorrências"</formula>
    </cfRule>
    <cfRule type="cellIs" dxfId="76" priority="10" stopIfTrue="1" operator="equal">
      <formula>"Sem Técnico"</formula>
    </cfRule>
    <cfRule type="cellIs" dxfId="75" priority="11" stopIfTrue="1" operator="equal">
      <formula>"Duplicado"</formula>
    </cfRule>
  </conditionalFormatting>
  <conditionalFormatting sqref="G2:G70">
    <cfRule type="cellIs" dxfId="74" priority="1" stopIfTrue="1" operator="equal">
      <formula>"Sim"</formula>
    </cfRule>
    <cfRule type="cellIs" dxfId="73" priority="3" stopIfTrue="1" operator="equal">
      <formula>"Não"</formula>
    </cfRule>
  </conditionalFormatting>
  <conditionalFormatting sqref="J2:J70">
    <cfRule type="cellIs" dxfId="72" priority="4" stopIfTrue="1" operator="equal">
      <formula>"Sim"</formula>
    </cfRule>
    <cfRule type="cellIs" dxfId="71" priority="4" stopIfTrue="1" operator="equal">
      <formula>"Não"</formula>
    </cfRule>
    <cfRule type="cellIs" dxfId="70" priority="5" stopIfTrue="1" operator="equal">
      <formula>"Em Análise"</formula>
    </cfRule>
  </conditionalFormatting>
  <dataValidations count="3">
    <dataValidation type="list" allowBlank="1" sqref="G2 G3 G4 G5 G6 G7 G8 G9 G10 G11 G12 G13 G14 G15 G16 G17 G18 G19 G20 G21 G22 G23 G24 G25 G26 G27 G28 G29 G30 G31 G32 G33 G34 G35 G36 G37 G38 G39 G40 G41 G42 G43 G44 G45 G46 G47 G48 G49 G50 G51 G52 G53 G54 G55 G56 G57 G58 G59 G60 G61 G62 G63 G64 G65 G66 G67 G68 G69 G70" xr:uid="{00000000-0002-0000-0D00-000000000000}">
      <formula1>"Sim,Não"</formula1>
    </dataValidation>
    <dataValidation type="list" allowBlank="1" sqref="J2 J3 J4 J5 J6 J7 J8 J9 J10 J11 J12 J13 J14 J15 J16 J17 J18 J19 J20 J21 J22 J23 J24 J25 J26 J27 J28 J29 J30 J31 J32 J33 J34 J35 J36 J37 J38 J39 J40 J41 J42 J43 J44 J45 J46 J47 J48 J49 J50 J51 J52 J53 J54 J55 J56 J57 J58 J59 J60 J61 J62 J63 J64 J65 J66 J67 J68 J69 J70" xr:uid="{00000000-0002-0000-0D00-000001000000}">
      <formula1>"Sim,Não,Em Análise"</formula1>
    </dataValidation>
    <dataValidation type="list" allowBlank="1" sqref="E2 E3 E4 E5 E6 E7 E8 E9 E10 E11 E12 E13 E14 E15 E16 E17 E18 E19 E20 E21 E22 E23 E24 E25 E26 E27 E28 E29 E30 E31 E32 E33 E34 E35 E36 E37 E38 E39 E40 E41 E42 E43 E44 E45 E46 E47 E48 E49 E50 E51 E52 E53 E54 E55 E56 E57 E58 E59 E60 E61 E62 E63 E64 E65 E66 E67 E68 E69 E70" xr:uid="{00000000-0002-0000-0D00-000002000000}">
      <formula1>"Enviado, Atrasado, Atrasado &gt;= 2, Outras Ocorrências, Sem Técnico, Duplicado"</formula1>
    </dataValidation>
  </dataValidation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filterMode="1"/>
  <dimension ref="A1:L70"/>
  <sheetViews>
    <sheetView workbookViewId="0">
      <pane xSplit="3" topLeftCell="E1" activePane="topRight" state="frozen"/>
      <selection pane="topRight" activeCell="F76" sqref="F76"/>
    </sheetView>
  </sheetViews>
  <sheetFormatPr defaultRowHeight="15" x14ac:dyDescent="0.25"/>
  <cols>
    <col min="1" max="1" width="14" customWidth="1"/>
    <col min="2" max="2" width="30" customWidth="1"/>
    <col min="3" max="3" width="8" customWidth="1"/>
    <col min="4" max="4" width="45" customWidth="1"/>
    <col min="5" max="5" width="16" customWidth="1"/>
    <col min="6" max="7" width="27" customWidth="1"/>
    <col min="8" max="8" width="185" customWidth="1"/>
    <col min="9" max="9" width="34" customWidth="1"/>
    <col min="10" max="10" width="25" customWidth="1"/>
    <col min="11" max="12" width="26" customWidth="1"/>
  </cols>
  <sheetData>
    <row r="1" spans="1:12" x14ac:dyDescent="0.25">
      <c r="A1" s="43" t="s">
        <v>27</v>
      </c>
      <c r="B1" s="43" t="s">
        <v>70</v>
      </c>
      <c r="C1" s="43" t="s">
        <v>71</v>
      </c>
      <c r="D1" s="43" t="s">
        <v>132</v>
      </c>
      <c r="E1" s="43" t="s">
        <v>133</v>
      </c>
      <c r="F1" s="43" t="s">
        <v>134</v>
      </c>
      <c r="G1" s="43" t="s">
        <v>135</v>
      </c>
      <c r="H1" s="43" t="s">
        <v>136</v>
      </c>
      <c r="I1" s="43" t="s">
        <v>137</v>
      </c>
      <c r="J1" s="43" t="s">
        <v>138</v>
      </c>
      <c r="K1" s="43" t="s">
        <v>139</v>
      </c>
      <c r="L1" s="145"/>
    </row>
    <row r="2" spans="1:12" hidden="1" x14ac:dyDescent="0.25">
      <c r="A2" s="44" t="s">
        <v>36</v>
      </c>
      <c r="B2" s="45" t="s">
        <v>97</v>
      </c>
      <c r="C2" s="45">
        <v>1</v>
      </c>
      <c r="D2" s="45" t="str">
        <f>IFERROR(IF(INDEX('01.25'!D2:D500, MATCH(B2&amp;C2, INDEX('01.25'!B2:B500&amp;'01.25'!C2:C500, 0), 0))="", "", INDEX('01.25'!D2:D500, MATCH(B2&amp;C2, INDEX('01.25'!B2:B500&amp;'01.25'!C2:C500, 0), 0))), "")</f>
        <v>Paula Tatiana Santana Vechi</v>
      </c>
      <c r="E2" s="107" t="s">
        <v>16</v>
      </c>
      <c r="F2" s="45" t="s">
        <v>540</v>
      </c>
      <c r="G2" s="52" t="s">
        <v>131</v>
      </c>
      <c r="H2" s="45"/>
      <c r="I2" s="45"/>
      <c r="J2" s="45" t="s">
        <v>140</v>
      </c>
      <c r="K2" s="45"/>
      <c r="L2" s="146"/>
    </row>
    <row r="3" spans="1:12" hidden="1" x14ac:dyDescent="0.25">
      <c r="A3" s="47" t="s">
        <v>28</v>
      </c>
      <c r="B3" s="45" t="s">
        <v>87</v>
      </c>
      <c r="C3" s="45">
        <v>1</v>
      </c>
      <c r="D3" s="45" t="str">
        <f>IFERROR(IF(INDEX('01.25'!D2:D500, MATCH(B3&amp;C3, INDEX('01.25'!B2:B500&amp;'01.25'!C2:C500, 0), 0))="", "", INDEX('01.25'!D2:D500, MATCH(B3&amp;C3, INDEX('01.25'!B2:B500&amp;'01.25'!C2:C500, 0), 0))), "")</f>
        <v>Willian de Oliveira Lino</v>
      </c>
      <c r="E3" s="107" t="s">
        <v>16</v>
      </c>
      <c r="F3" s="45" t="s">
        <v>541</v>
      </c>
      <c r="G3" s="52" t="s">
        <v>131</v>
      </c>
      <c r="H3" s="45" t="s">
        <v>542</v>
      </c>
      <c r="I3" s="45"/>
      <c r="J3" s="45" t="s">
        <v>140</v>
      </c>
      <c r="K3" s="45"/>
      <c r="L3" s="146"/>
    </row>
    <row r="4" spans="1:12" hidden="1" x14ac:dyDescent="0.25">
      <c r="A4" s="48" t="s">
        <v>38</v>
      </c>
      <c r="B4" s="45" t="s">
        <v>78</v>
      </c>
      <c r="C4" s="45">
        <v>1</v>
      </c>
      <c r="D4" s="45" t="str">
        <f>IFERROR(IF(INDEX('01.25'!D2:D500, MATCH(B4&amp;C4, INDEX('01.25'!B2:B500&amp;'01.25'!C2:C500, 0), 0))="", "", INDEX('01.25'!D2:D500, MATCH(B4&amp;C4, INDEX('01.25'!B2:B500&amp;'01.25'!C2:C500, 0), 0))), "")</f>
        <v>Gisele Cássia Tamparowsky de Oliveira</v>
      </c>
      <c r="E4" s="107" t="s">
        <v>16</v>
      </c>
      <c r="F4" s="45" t="s">
        <v>155</v>
      </c>
      <c r="G4" s="52" t="s">
        <v>131</v>
      </c>
      <c r="H4" s="45"/>
      <c r="I4" s="45"/>
      <c r="J4" s="45" t="s">
        <v>140</v>
      </c>
      <c r="K4" s="45"/>
      <c r="L4" s="146"/>
    </row>
    <row r="5" spans="1:12" hidden="1" x14ac:dyDescent="0.25">
      <c r="A5" s="47" t="s">
        <v>28</v>
      </c>
      <c r="B5" s="45" t="s">
        <v>88</v>
      </c>
      <c r="C5" s="45">
        <v>1</v>
      </c>
      <c r="D5" s="45" t="str">
        <f>IFERROR(IF(INDEX('01.25'!D2:D500, MATCH(B5&amp;C5, INDEX('01.25'!B2:B500&amp;'01.25'!C2:C500, 0), 0))="", "", INDEX('01.25'!D2:D500, MATCH(B5&amp;C5, INDEX('01.25'!B2:B500&amp;'01.25'!C2:C500, 0), 0))), "")</f>
        <v>Marcos Gabriel Franciosi Borges</v>
      </c>
      <c r="E5" s="107" t="s">
        <v>16</v>
      </c>
      <c r="F5" s="45" t="s">
        <v>543</v>
      </c>
      <c r="G5" s="52" t="s">
        <v>131</v>
      </c>
      <c r="H5" s="45" t="s">
        <v>149</v>
      </c>
      <c r="I5" s="45"/>
      <c r="J5" s="45" t="s">
        <v>140</v>
      </c>
      <c r="K5" s="45"/>
      <c r="L5" s="146"/>
    </row>
    <row r="6" spans="1:12" hidden="1" x14ac:dyDescent="0.25">
      <c r="A6" s="47" t="s">
        <v>28</v>
      </c>
      <c r="B6" s="45" t="s">
        <v>89</v>
      </c>
      <c r="C6" s="45">
        <v>1</v>
      </c>
      <c r="D6" s="45" t="str">
        <f>IFERROR(IF(INDEX('01.25'!D2:D500, MATCH(B6&amp;C6, INDEX('01.25'!B2:B500&amp;'01.25'!C2:C500, 0), 0))="", "", INDEX('01.25'!D2:D500, MATCH(B6&amp;C6, INDEX('01.25'!B2:B500&amp;'01.25'!C2:C500, 0), 0))), "")</f>
        <v>Chayla Bianca Gazoli</v>
      </c>
      <c r="E6" s="107" t="s">
        <v>16</v>
      </c>
      <c r="F6" s="45" t="s">
        <v>544</v>
      </c>
      <c r="G6" s="52" t="s">
        <v>131</v>
      </c>
      <c r="H6" s="45" t="s">
        <v>149</v>
      </c>
      <c r="I6" s="45"/>
      <c r="J6" s="45" t="s">
        <v>140</v>
      </c>
      <c r="K6" s="45"/>
      <c r="L6" s="146"/>
    </row>
    <row r="7" spans="1:12" hidden="1" x14ac:dyDescent="0.25">
      <c r="A7" s="48" t="s">
        <v>38</v>
      </c>
      <c r="B7" s="45" t="s">
        <v>84</v>
      </c>
      <c r="C7" s="45">
        <v>1</v>
      </c>
      <c r="D7" s="45" t="str">
        <f>IFERROR(IF(INDEX('01.25'!D2:D500, MATCH(B7&amp;C7, INDEX('01.25'!B2:B500&amp;'01.25'!C2:C500, 0), 0))="", "", INDEX('01.25'!D2:D500, MATCH(B7&amp;C7, INDEX('01.25'!B2:B500&amp;'01.25'!C2:C500, 0), 0))), "")</f>
        <v>Solange Maria Masqueti</v>
      </c>
      <c r="E7" s="107" t="s">
        <v>16</v>
      </c>
      <c r="F7" s="45" t="s">
        <v>545</v>
      </c>
      <c r="G7" s="46" t="s">
        <v>140</v>
      </c>
      <c r="H7" s="45"/>
      <c r="I7" s="45"/>
      <c r="J7" s="45" t="s">
        <v>140</v>
      </c>
      <c r="K7" s="45"/>
      <c r="L7" s="146"/>
    </row>
    <row r="8" spans="1:12" hidden="1" x14ac:dyDescent="0.25">
      <c r="A8" s="48" t="s">
        <v>38</v>
      </c>
      <c r="B8" s="45" t="s">
        <v>79</v>
      </c>
      <c r="C8" s="45">
        <v>1</v>
      </c>
      <c r="D8" s="45" t="str">
        <f>IFERROR(IF(INDEX('01.25'!D2:D500, MATCH(B8&amp;C8, INDEX('01.25'!B2:B500&amp;'01.25'!C2:C500, 0), 0))="", "", INDEX('01.25'!D2:D500, MATCH(B8&amp;C8, INDEX('01.25'!B2:B500&amp;'01.25'!C2:C500, 0), 0))), "")</f>
        <v>Cristiane Petry Vieira</v>
      </c>
      <c r="E8" s="107" t="s">
        <v>16</v>
      </c>
      <c r="F8" s="45" t="s">
        <v>541</v>
      </c>
      <c r="G8" s="46" t="s">
        <v>140</v>
      </c>
      <c r="H8" s="45"/>
      <c r="I8" s="45"/>
      <c r="J8" s="45" t="s">
        <v>140</v>
      </c>
      <c r="K8" s="45"/>
      <c r="L8" s="146"/>
    </row>
    <row r="9" spans="1:12" hidden="1" x14ac:dyDescent="0.25">
      <c r="A9" s="47" t="s">
        <v>28</v>
      </c>
      <c r="B9" s="45" t="s">
        <v>90</v>
      </c>
      <c r="C9" s="45">
        <v>1</v>
      </c>
      <c r="D9" s="45" t="str">
        <f>IFERROR(IF(INDEX('01.25'!D2:D500, MATCH(B9&amp;C9, INDEX('01.25'!B2:B500&amp;'01.25'!C2:C500, 0), 0))="", "", INDEX('01.25'!D2:D500, MATCH(B9&amp;C9, INDEX('01.25'!B2:B500&amp;'01.25'!C2:C500, 0), 0))), "")</f>
        <v>Diego Hemerich</v>
      </c>
      <c r="E9" s="107" t="s">
        <v>16</v>
      </c>
      <c r="F9" s="45" t="s">
        <v>546</v>
      </c>
      <c r="G9" s="52" t="s">
        <v>131</v>
      </c>
      <c r="H9" s="45" t="s">
        <v>149</v>
      </c>
      <c r="I9" s="45"/>
      <c r="J9" s="45" t="s">
        <v>140</v>
      </c>
      <c r="K9" s="45"/>
      <c r="L9" s="146"/>
    </row>
    <row r="10" spans="1:12" x14ac:dyDescent="0.25">
      <c r="A10" s="49" t="s">
        <v>43</v>
      </c>
      <c r="B10" s="45" t="s">
        <v>125</v>
      </c>
      <c r="C10" s="45">
        <v>1</v>
      </c>
      <c r="D10" s="45" t="str">
        <f>IFERROR(IF(INDEX('01.25'!D2:D500, MATCH(B10&amp;C10, INDEX('01.25'!B2:B500&amp;'01.25'!C2:C500, 0), 0))="", "", INDEX('01.25'!D2:D500, MATCH(B10&amp;C10, INDEX('01.25'!B2:B500&amp;'01.25'!C2:C500, 0), 0))), "")</f>
        <v>Tatiane Girardi</v>
      </c>
      <c r="E10" s="107" t="s">
        <v>16</v>
      </c>
      <c r="F10" s="45" t="s">
        <v>541</v>
      </c>
      <c r="G10" s="52" t="s">
        <v>131</v>
      </c>
      <c r="H10" s="45" t="s">
        <v>149</v>
      </c>
      <c r="I10" s="45"/>
      <c r="J10" s="45" t="s">
        <v>140</v>
      </c>
      <c r="K10" s="45"/>
      <c r="L10" s="146"/>
    </row>
    <row r="11" spans="1:12" x14ac:dyDescent="0.25">
      <c r="A11" s="49" t="s">
        <v>43</v>
      </c>
      <c r="B11" s="45" t="s">
        <v>126</v>
      </c>
      <c r="C11" s="45">
        <v>1</v>
      </c>
      <c r="D11" s="45" t="str">
        <f>IFERROR(IF(INDEX('01.25'!D2:D500, MATCH(B11&amp;C11, INDEX('01.25'!B2:B500&amp;'01.25'!C2:C500, 0), 0))="", "", INDEX('01.25'!D2:D500, MATCH(B11&amp;C11, INDEX('01.25'!B2:B500&amp;'01.25'!C2:C500, 0), 0))), "")</f>
        <v>Edson Batista de Castro</v>
      </c>
      <c r="E11" s="107" t="s">
        <v>16</v>
      </c>
      <c r="F11" s="45" t="s">
        <v>547</v>
      </c>
      <c r="G11" s="46" t="s">
        <v>131</v>
      </c>
      <c r="H11" s="45" t="s">
        <v>548</v>
      </c>
      <c r="I11" s="45"/>
      <c r="J11" s="45" t="s">
        <v>140</v>
      </c>
      <c r="K11" s="45"/>
      <c r="L11" s="146"/>
    </row>
    <row r="12" spans="1:12" x14ac:dyDescent="0.25">
      <c r="A12" s="49" t="s">
        <v>43</v>
      </c>
      <c r="B12" s="45" t="s">
        <v>126</v>
      </c>
      <c r="C12" s="45">
        <v>2</v>
      </c>
      <c r="D12" s="45" t="str">
        <f>IFERROR(IF(INDEX('01.25'!D2:D500, MATCH(B12&amp;C12, INDEX('01.25'!B2:B500&amp;'01.25'!C2:C500, 0), 0))="", "", INDEX('01.25'!D2:D500, MATCH(B12&amp;C12, INDEX('01.25'!B2:B500&amp;'01.25'!C2:C500, 0), 0))), "")</f>
        <v>Gabriela Fernanda Sandri</v>
      </c>
      <c r="E12" s="107" t="s">
        <v>16</v>
      </c>
      <c r="F12" s="45" t="s">
        <v>544</v>
      </c>
      <c r="G12" s="46" t="s">
        <v>131</v>
      </c>
      <c r="H12" s="111" t="s">
        <v>475</v>
      </c>
      <c r="I12" s="45"/>
      <c r="J12" s="45" t="s">
        <v>140</v>
      </c>
      <c r="K12" s="45"/>
      <c r="L12" s="146"/>
    </row>
    <row r="13" spans="1:12" x14ac:dyDescent="0.25">
      <c r="A13" s="49" t="s">
        <v>43</v>
      </c>
      <c r="B13" s="45" t="s">
        <v>126</v>
      </c>
      <c r="C13" s="45">
        <v>3</v>
      </c>
      <c r="D13" s="45" t="str">
        <f>IFERROR(IF(INDEX('01.25'!D2:D500, MATCH(B13&amp;C13, INDEX('01.25'!B2:B500&amp;'01.25'!C2:C500, 0), 0))="", "", INDEX('01.25'!D2:D500, MATCH(B13&amp;C13, INDEX('01.25'!B2:B500&amp;'01.25'!C2:C500, 0), 0))), "")</f>
        <v>Eduarda Rohden Donasolo</v>
      </c>
      <c r="E13" s="107" t="s">
        <v>16</v>
      </c>
      <c r="F13" s="45" t="s">
        <v>546</v>
      </c>
      <c r="G13" s="46" t="s">
        <v>131</v>
      </c>
      <c r="H13" s="45" t="s">
        <v>476</v>
      </c>
      <c r="I13" s="45"/>
      <c r="J13" s="45" t="s">
        <v>140</v>
      </c>
      <c r="K13" s="45"/>
      <c r="L13" s="146"/>
    </row>
    <row r="14" spans="1:12" x14ac:dyDescent="0.25">
      <c r="A14" s="49" t="s">
        <v>43</v>
      </c>
      <c r="B14" s="45" t="s">
        <v>126</v>
      </c>
      <c r="C14" s="45">
        <v>4</v>
      </c>
      <c r="D14" s="45" t="str">
        <f>IFERROR(IF(INDEX('01.25'!D2:D500, MATCH(B14&amp;C14, INDEX('01.25'!B2:B500&amp;'01.25'!C2:C500, 0), 0))="", "", INDEX('01.25'!D2:D500, MATCH(B14&amp;C14, INDEX('01.25'!B2:B500&amp;'01.25'!C2:C500, 0), 0))), "")</f>
        <v>Mauricio Pinto de Lima</v>
      </c>
      <c r="E14" s="107" t="s">
        <v>16</v>
      </c>
      <c r="F14" s="45" t="s">
        <v>547</v>
      </c>
      <c r="G14" s="46" t="s">
        <v>131</v>
      </c>
      <c r="H14" s="45" t="s">
        <v>477</v>
      </c>
      <c r="I14" s="45"/>
      <c r="J14" s="45" t="s">
        <v>140</v>
      </c>
      <c r="K14" s="45"/>
      <c r="L14" s="146"/>
    </row>
    <row r="15" spans="1:12" x14ac:dyDescent="0.25">
      <c r="A15" s="49" t="s">
        <v>43</v>
      </c>
      <c r="B15" s="45" t="s">
        <v>126</v>
      </c>
      <c r="C15" s="45">
        <v>5</v>
      </c>
      <c r="D15" s="45" t="str">
        <f>IFERROR(IF(INDEX('01.25'!D2:D500, MATCH(B15&amp;C15, INDEX('01.25'!B2:B500&amp;'01.25'!C2:C500, 0), 0))="", "", INDEX('01.25'!D2:D500, MATCH(B15&amp;C15, INDEX('01.25'!B2:B500&amp;'01.25'!C2:C500, 0), 0))), "")</f>
        <v xml:space="preserve">Débora Laize Lampert Gnass </v>
      </c>
      <c r="E15" s="107" t="s">
        <v>16</v>
      </c>
      <c r="F15" s="45" t="s">
        <v>516</v>
      </c>
      <c r="G15" s="46" t="s">
        <v>131</v>
      </c>
      <c r="H15" s="45" t="s">
        <v>477</v>
      </c>
      <c r="I15" s="45"/>
      <c r="J15" s="45" t="s">
        <v>140</v>
      </c>
      <c r="K15" s="45"/>
      <c r="L15" s="146"/>
    </row>
    <row r="16" spans="1:12" x14ac:dyDescent="0.25">
      <c r="A16" s="49" t="s">
        <v>43</v>
      </c>
      <c r="B16" s="45" t="s">
        <v>126</v>
      </c>
      <c r="C16" s="45">
        <v>6</v>
      </c>
      <c r="D16" s="45" t="str">
        <f>IFERROR(IF(INDEX('01.25'!D2:D500, MATCH(B16&amp;C16, INDEX('01.25'!B2:B500&amp;'01.25'!C2:C500, 0), 0))="", "", INDEX('01.25'!D2:D500, MATCH(B16&amp;C16, INDEX('01.25'!B2:B500&amp;'01.25'!C2:C500, 0), 0))), "")</f>
        <v/>
      </c>
      <c r="E16" s="107" t="s">
        <v>16</v>
      </c>
      <c r="F16" s="45" t="s">
        <v>549</v>
      </c>
      <c r="G16" s="46" t="s">
        <v>131</v>
      </c>
      <c r="H16" s="45" t="s">
        <v>477</v>
      </c>
      <c r="I16" s="45"/>
      <c r="J16" s="45" t="s">
        <v>140</v>
      </c>
      <c r="K16" s="45"/>
      <c r="L16" s="146"/>
    </row>
    <row r="17" spans="1:12" hidden="1" x14ac:dyDescent="0.25">
      <c r="A17" s="47" t="s">
        <v>28</v>
      </c>
      <c r="B17" s="45" t="s">
        <v>91</v>
      </c>
      <c r="C17" s="45">
        <v>1</v>
      </c>
      <c r="D17" s="45" t="str">
        <f>IFERROR(IF(INDEX('01.25'!D2:D500, MATCH(B17&amp;C17, INDEX('01.25'!B2:B500&amp;'01.25'!C2:C500, 0), 0))="", "", INDEX('01.25'!D2:D500, MATCH(B17&amp;C17, INDEX('01.25'!B2:B500&amp;'01.25'!C2:C500, 0), 0))), "")</f>
        <v>Cristina Harumi Enokida</v>
      </c>
      <c r="E17" s="107" t="s">
        <v>16</v>
      </c>
      <c r="F17" s="45" t="s">
        <v>544</v>
      </c>
      <c r="G17" s="52" t="s">
        <v>131</v>
      </c>
      <c r="H17" s="45" t="s">
        <v>149</v>
      </c>
      <c r="I17" s="45"/>
      <c r="J17" s="45" t="s">
        <v>140</v>
      </c>
      <c r="K17" s="45"/>
      <c r="L17" s="146"/>
    </row>
    <row r="18" spans="1:12" x14ac:dyDescent="0.25">
      <c r="A18" s="49" t="s">
        <v>43</v>
      </c>
      <c r="B18" s="45" t="s">
        <v>127</v>
      </c>
      <c r="C18" s="45">
        <v>1</v>
      </c>
      <c r="D18" s="45" t="str">
        <f>IFERROR(IF(INDEX('01.25'!D2:D500, MATCH(B18&amp;C18, INDEX('01.25'!B2:B500&amp;'01.25'!C2:C500, 0), 0))="", "", INDEX('01.25'!D2:D500, MATCH(B18&amp;C18, INDEX('01.25'!B2:B500&amp;'01.25'!C2:C500, 0), 0))), "")</f>
        <v>Douglas de Mattia</v>
      </c>
      <c r="E18" s="107" t="s">
        <v>16</v>
      </c>
      <c r="F18" s="45" t="s">
        <v>541</v>
      </c>
      <c r="G18" s="52" t="s">
        <v>131</v>
      </c>
      <c r="H18" s="148" t="s">
        <v>477</v>
      </c>
      <c r="I18" s="45"/>
      <c r="J18" s="45" t="s">
        <v>140</v>
      </c>
      <c r="K18" s="45"/>
      <c r="L18" s="146"/>
    </row>
    <row r="19" spans="1:12" hidden="1" x14ac:dyDescent="0.25">
      <c r="A19" s="47" t="s">
        <v>28</v>
      </c>
      <c r="B19" s="45" t="s">
        <v>92</v>
      </c>
      <c r="C19" s="45">
        <v>1</v>
      </c>
      <c r="D19" s="45" t="str">
        <f>IFERROR(IF(INDEX('01.25'!D2:D500, MATCH(B19&amp;C19, INDEX('01.25'!B2:B500&amp;'01.25'!C2:C500, 0), 0))="", "", INDEX('01.25'!D2:D500, MATCH(B19&amp;C19, INDEX('01.25'!B2:B500&amp;'01.25'!C2:C500, 0), 0))), "")</f>
        <v>Vanderson Pasetti</v>
      </c>
      <c r="E19" s="107" t="s">
        <v>16</v>
      </c>
      <c r="F19" s="45" t="s">
        <v>550</v>
      </c>
      <c r="G19" s="52" t="s">
        <v>131</v>
      </c>
      <c r="H19" s="45" t="s">
        <v>551</v>
      </c>
      <c r="I19" s="45"/>
      <c r="J19" s="45" t="s">
        <v>140</v>
      </c>
      <c r="K19" s="45"/>
      <c r="L19" s="146"/>
    </row>
    <row r="20" spans="1:12" hidden="1" x14ac:dyDescent="0.25">
      <c r="A20" s="50" t="s">
        <v>42</v>
      </c>
      <c r="B20" s="45" t="s">
        <v>115</v>
      </c>
      <c r="C20" s="45">
        <v>1</v>
      </c>
      <c r="D20" s="45" t="str">
        <f>IFERROR(IF(INDEX('01.25'!D2:D500, MATCH(B20&amp;C20, INDEX('01.25'!B2:B500&amp;'01.25'!C2:C500, 0), 0))="", "", INDEX('01.25'!D2:D500, MATCH(B20&amp;C20, INDEX('01.25'!B2:B500&amp;'01.25'!C2:C500, 0), 0))), "")</f>
        <v>Bruna Schneider Guimarães</v>
      </c>
      <c r="E20" s="107" t="s">
        <v>16</v>
      </c>
      <c r="F20" s="45" t="s">
        <v>552</v>
      </c>
      <c r="G20" s="52" t="s">
        <v>131</v>
      </c>
      <c r="H20" s="45"/>
      <c r="I20" s="45"/>
      <c r="J20" s="45" t="s">
        <v>140</v>
      </c>
      <c r="K20" s="45"/>
      <c r="L20" s="146"/>
    </row>
    <row r="21" spans="1:12" hidden="1" x14ac:dyDescent="0.25">
      <c r="A21" s="47" t="s">
        <v>28</v>
      </c>
      <c r="B21" s="45" t="s">
        <v>93</v>
      </c>
      <c r="C21" s="45">
        <v>1</v>
      </c>
      <c r="D21" s="45" t="str">
        <f>IFERROR(IF(INDEX('01.25'!D2:D500, MATCH(B21&amp;C21, INDEX('01.25'!B2:B500&amp;'01.25'!C2:C500, 0), 0))="", "", INDEX('01.25'!D2:D500, MATCH(B21&amp;C21, INDEX('01.25'!B2:B500&amp;'01.25'!C2:C500, 0), 0))), "")</f>
        <v>Keilla Avezedo</v>
      </c>
      <c r="E21" s="107" t="s">
        <v>16</v>
      </c>
      <c r="F21" s="45" t="s">
        <v>546</v>
      </c>
      <c r="G21" s="52" t="s">
        <v>131</v>
      </c>
      <c r="H21" s="45" t="s">
        <v>149</v>
      </c>
      <c r="I21" s="45"/>
      <c r="J21" s="45" t="s">
        <v>140</v>
      </c>
      <c r="K21" s="45"/>
      <c r="L21" s="146"/>
    </row>
    <row r="22" spans="1:12" hidden="1" x14ac:dyDescent="0.25">
      <c r="A22" s="50" t="s">
        <v>42</v>
      </c>
      <c r="B22" s="45" t="s">
        <v>116</v>
      </c>
      <c r="C22" s="45">
        <v>1</v>
      </c>
      <c r="D22" s="45" t="str">
        <f>IFERROR(IF(INDEX('01.25'!D2:D500, MATCH(B22&amp;C22, INDEX('01.25'!B2:B500&amp;'01.25'!C2:C500, 0), 0))="", "", INDEX('01.25'!D2:D500, MATCH(B22&amp;C22, INDEX('01.25'!B2:B500&amp;'01.25'!C2:C500, 0), 0))), "")</f>
        <v>Carmen Maria Stein Weiler</v>
      </c>
      <c r="E22" s="107" t="s">
        <v>16</v>
      </c>
      <c r="F22" s="45" t="s">
        <v>546</v>
      </c>
      <c r="G22" s="52" t="s">
        <v>131</v>
      </c>
      <c r="H22" s="45" t="s">
        <v>542</v>
      </c>
      <c r="I22" s="45"/>
      <c r="J22" s="45" t="s">
        <v>140</v>
      </c>
      <c r="K22" s="45"/>
      <c r="L22" s="146"/>
    </row>
    <row r="23" spans="1:12" hidden="1" x14ac:dyDescent="0.25">
      <c r="A23" s="48" t="s">
        <v>38</v>
      </c>
      <c r="B23" s="45" t="s">
        <v>75</v>
      </c>
      <c r="C23" s="45">
        <v>1</v>
      </c>
      <c r="D23" s="45" t="str">
        <f>IFERROR(IF(INDEX('01.25'!D2:D500, MATCH(B23&amp;C23, INDEX('01.25'!B2:B500&amp;'01.25'!C2:C500, 0), 0))="", "", INDEX('01.25'!D2:D500, MATCH(B23&amp;C23, INDEX('01.25'!B2:B500&amp;'01.25'!C2:C500, 0), 0))), "")</f>
        <v>Thiago Varaschim Cenci</v>
      </c>
      <c r="E23" s="109" t="s">
        <v>19</v>
      </c>
      <c r="F23" s="45" t="s">
        <v>553</v>
      </c>
      <c r="G23" s="52" t="s">
        <v>131</v>
      </c>
      <c r="H23" s="45" t="s">
        <v>678</v>
      </c>
      <c r="I23" s="45" t="s">
        <v>554</v>
      </c>
      <c r="J23" s="45" t="s">
        <v>131</v>
      </c>
      <c r="K23" s="45" t="s">
        <v>694</v>
      </c>
      <c r="L23" s="146"/>
    </row>
    <row r="24" spans="1:12" hidden="1" x14ac:dyDescent="0.25">
      <c r="A24" s="51" t="s">
        <v>40</v>
      </c>
      <c r="B24" s="45" t="s">
        <v>80</v>
      </c>
      <c r="C24" s="45">
        <v>1</v>
      </c>
      <c r="D24" s="45" t="str">
        <f>IFERROR(IF(INDEX('01.25'!D2:D500, MATCH(B24&amp;C24, INDEX('01.25'!B2:B500&amp;'01.25'!C2:C500, 0), 0))="", "", INDEX('01.25'!D2:D500, MATCH(B24&amp;C24, INDEX('01.25'!B2:B500&amp;'01.25'!C2:C500, 0), 0))), "")</f>
        <v>Éber Alexandre Nascimento Araújo</v>
      </c>
      <c r="E24" s="108" t="s">
        <v>21</v>
      </c>
      <c r="F24" s="45"/>
      <c r="G24" s="52" t="s">
        <v>131</v>
      </c>
      <c r="H24" s="45"/>
      <c r="I24" s="45"/>
      <c r="J24" s="45" t="s">
        <v>140</v>
      </c>
      <c r="K24" s="45"/>
      <c r="L24" s="146"/>
    </row>
    <row r="25" spans="1:12" hidden="1" x14ac:dyDescent="0.25">
      <c r="A25" s="51" t="s">
        <v>40</v>
      </c>
      <c r="B25" s="45" t="s">
        <v>80</v>
      </c>
      <c r="C25" s="45">
        <v>2</v>
      </c>
      <c r="D25" s="45" t="str">
        <f>IFERROR(IF(INDEX('01.25'!D2:D500, MATCH(B25&amp;C25, INDEX('01.25'!B2:B500&amp;'01.25'!C2:C500, 0), 0))="", "", INDEX('01.25'!D2:D500, MATCH(B25&amp;C25, INDEX('01.25'!B2:B500&amp;'01.25'!C2:C500, 0), 0))), "")</f>
        <v>Andrea Carla Winkelmann</v>
      </c>
      <c r="E25" s="107" t="s">
        <v>16</v>
      </c>
      <c r="F25" s="45" t="s">
        <v>546</v>
      </c>
      <c r="G25" s="52" t="s">
        <v>131</v>
      </c>
      <c r="H25" s="45"/>
      <c r="I25" s="45"/>
      <c r="J25" s="45" t="s">
        <v>140</v>
      </c>
      <c r="K25" s="45"/>
      <c r="L25" s="146"/>
    </row>
    <row r="26" spans="1:12" hidden="1" x14ac:dyDescent="0.25">
      <c r="A26" s="51" t="s">
        <v>40</v>
      </c>
      <c r="B26" s="45" t="s">
        <v>80</v>
      </c>
      <c r="C26" s="45">
        <v>3</v>
      </c>
      <c r="D26" s="45" t="str">
        <f>IFERROR(IF(INDEX('01.25'!D2:D500, MATCH(B26&amp;C26, INDEX('01.25'!B2:B500&amp;'01.25'!C2:C500, 0), 0))="", "", INDEX('01.25'!D2:D500, MATCH(B26&amp;C26, INDEX('01.25'!B2:B500&amp;'01.25'!C2:C500, 0), 0))), "")</f>
        <v>Lorizete de Andrade</v>
      </c>
      <c r="E26" s="107" t="s">
        <v>16</v>
      </c>
      <c r="F26" s="45" t="s">
        <v>555</v>
      </c>
      <c r="G26" s="52" t="s">
        <v>131</v>
      </c>
      <c r="H26" s="45" t="s">
        <v>556</v>
      </c>
      <c r="I26" s="45" t="s">
        <v>557</v>
      </c>
      <c r="J26" s="45" t="s">
        <v>131</v>
      </c>
      <c r="K26" s="45" t="s">
        <v>558</v>
      </c>
      <c r="L26" s="146"/>
    </row>
    <row r="27" spans="1:12" hidden="1" x14ac:dyDescent="0.25">
      <c r="A27" s="51" t="s">
        <v>40</v>
      </c>
      <c r="B27" s="45" t="s">
        <v>80</v>
      </c>
      <c r="C27" s="45">
        <v>4</v>
      </c>
      <c r="D27" s="45" t="str">
        <f>IFERROR(IF(INDEX('01.25'!D2:D500, MATCH(B27&amp;C27, INDEX('01.25'!B2:B500&amp;'01.25'!C2:C500, 0), 0))="", "", INDEX('01.25'!D2:D500, MATCH(B27&amp;C27, INDEX('01.25'!B2:B500&amp;'01.25'!C2:C500, 0), 0))), "")</f>
        <v>Andressa Maia</v>
      </c>
      <c r="E27" s="107" t="s">
        <v>16</v>
      </c>
      <c r="F27" s="45" t="s">
        <v>327</v>
      </c>
      <c r="G27" s="52" t="s">
        <v>131</v>
      </c>
      <c r="H27" s="45"/>
      <c r="I27" s="45"/>
      <c r="J27" s="45" t="s">
        <v>140</v>
      </c>
      <c r="K27" s="45"/>
      <c r="L27" s="146"/>
    </row>
    <row r="28" spans="1:12" hidden="1" x14ac:dyDescent="0.25">
      <c r="A28" s="51" t="s">
        <v>40</v>
      </c>
      <c r="B28" s="45" t="s">
        <v>80</v>
      </c>
      <c r="C28" s="45">
        <v>5</v>
      </c>
      <c r="D28" s="45" t="str">
        <f>IFERROR(IF(INDEX('01.25'!D2:D500, MATCH(B28&amp;C28, INDEX('01.25'!B2:B500&amp;'01.25'!C2:C500, 0), 0))="", "", INDEX('01.25'!D2:D500, MATCH(B28&amp;C28, INDEX('01.25'!B2:B500&amp;'01.25'!C2:C500, 0), 0))), "")</f>
        <v>Lucas Correia de Souza</v>
      </c>
      <c r="E28" s="107" t="s">
        <v>16</v>
      </c>
      <c r="F28" s="45" t="s">
        <v>544</v>
      </c>
      <c r="G28" s="52" t="s">
        <v>131</v>
      </c>
      <c r="H28" s="45"/>
      <c r="I28" s="45"/>
      <c r="J28" s="45" t="s">
        <v>140</v>
      </c>
      <c r="K28" s="45"/>
      <c r="L28" s="146"/>
    </row>
    <row r="29" spans="1:12" hidden="1" x14ac:dyDescent="0.25">
      <c r="A29" s="51" t="s">
        <v>40</v>
      </c>
      <c r="B29" s="45" t="s">
        <v>80</v>
      </c>
      <c r="C29" s="45">
        <v>6</v>
      </c>
      <c r="D29" s="45" t="str">
        <f>IFERROR(IF(INDEX('01.25'!D2:D500, MATCH(B29&amp;C29, INDEX('01.25'!B2:B500&amp;'01.25'!C2:C500, 0), 0))="", "", INDEX('01.25'!D2:D500, MATCH(B29&amp;C29, INDEX('01.25'!B2:B500&amp;'01.25'!C2:C500, 0), 0))), "")</f>
        <v>Jose Francisco Mariano de Faria Filho</v>
      </c>
      <c r="E29" s="107" t="s">
        <v>16</v>
      </c>
      <c r="F29" s="45" t="s">
        <v>516</v>
      </c>
      <c r="G29" s="52" t="s">
        <v>131</v>
      </c>
      <c r="H29" s="45" t="s">
        <v>559</v>
      </c>
      <c r="I29" s="45"/>
      <c r="J29" s="45" t="s">
        <v>140</v>
      </c>
      <c r="K29" s="45"/>
      <c r="L29" s="146"/>
    </row>
    <row r="30" spans="1:12" hidden="1" x14ac:dyDescent="0.25">
      <c r="A30" s="51" t="s">
        <v>40</v>
      </c>
      <c r="B30" s="45" t="s">
        <v>80</v>
      </c>
      <c r="C30" s="45">
        <v>7</v>
      </c>
      <c r="D30" s="45" t="str">
        <f>IFERROR(IF(INDEX('01.25'!D2:D500, MATCH(B30&amp;C30, INDEX('01.25'!B2:B500&amp;'01.25'!C2:C500, 0), 0))="", "", INDEX('01.25'!D2:D500, MATCH(B30&amp;C30, INDEX('01.25'!B2:B500&amp;'01.25'!C2:C500, 0), 0))), "")</f>
        <v>Pedro Henrique Mariano de Faria</v>
      </c>
      <c r="E30" s="107" t="s">
        <v>16</v>
      </c>
      <c r="F30" s="45" t="s">
        <v>438</v>
      </c>
      <c r="G30" s="52" t="s">
        <v>131</v>
      </c>
      <c r="H30" s="45" t="s">
        <v>560</v>
      </c>
      <c r="I30" s="45"/>
      <c r="J30" s="45" t="s">
        <v>140</v>
      </c>
      <c r="K30" s="45"/>
      <c r="L30" s="146"/>
    </row>
    <row r="31" spans="1:12" hidden="1" x14ac:dyDescent="0.25">
      <c r="A31" s="51" t="s">
        <v>40</v>
      </c>
      <c r="B31" s="45" t="s">
        <v>80</v>
      </c>
      <c r="C31" s="45">
        <v>8</v>
      </c>
      <c r="D31" s="45" t="str">
        <f>IFERROR(IF(INDEX('01.25'!D2:D500, MATCH(B31&amp;C31, INDEX('01.25'!B2:B500&amp;'01.25'!C2:C500, 0), 0))="", "", INDEX('01.25'!D2:D500, MATCH(B31&amp;C31, INDEX('01.25'!B2:B500&amp;'01.25'!C2:C500, 0), 0))), "")</f>
        <v>Renata Aparecida de Souza</v>
      </c>
      <c r="E31" s="107" t="s">
        <v>16</v>
      </c>
      <c r="F31" s="45" t="s">
        <v>544</v>
      </c>
      <c r="G31" s="52" t="s">
        <v>131</v>
      </c>
      <c r="H31" s="45" t="s">
        <v>561</v>
      </c>
      <c r="I31" s="45"/>
      <c r="J31" s="45" t="s">
        <v>140</v>
      </c>
      <c r="K31" s="45"/>
      <c r="L31" s="146"/>
    </row>
    <row r="32" spans="1:12" hidden="1" x14ac:dyDescent="0.25">
      <c r="A32" s="51" t="s">
        <v>40</v>
      </c>
      <c r="B32" s="45" t="s">
        <v>80</v>
      </c>
      <c r="C32" s="45">
        <v>9</v>
      </c>
      <c r="D32" s="45" t="str">
        <f>IFERROR(IF(INDEX('01.25'!D2:D500, MATCH(B32&amp;C32, INDEX('01.25'!B2:B500&amp;'01.25'!C2:C500, 0), 0))="", "", INDEX('01.25'!D2:D500, MATCH(B32&amp;C32, INDEX('01.25'!B2:B500&amp;'01.25'!C2:C500, 0), 0))), "")</f>
        <v>Maria Eduarda dos Santos Arias</v>
      </c>
      <c r="E32" s="107" t="s">
        <v>16</v>
      </c>
      <c r="F32" s="45" t="s">
        <v>540</v>
      </c>
      <c r="G32" s="52" t="s">
        <v>131</v>
      </c>
      <c r="H32" s="45" t="s">
        <v>562</v>
      </c>
      <c r="I32" s="45"/>
      <c r="J32" s="45" t="s">
        <v>140</v>
      </c>
      <c r="K32" s="45"/>
      <c r="L32" s="146"/>
    </row>
    <row r="33" spans="1:12" hidden="1" x14ac:dyDescent="0.25">
      <c r="A33" s="44" t="s">
        <v>36</v>
      </c>
      <c r="B33" s="45" t="s">
        <v>98</v>
      </c>
      <c r="C33" s="45">
        <v>1</v>
      </c>
      <c r="D33" s="45" t="str">
        <f>IFERROR(IF(INDEX('01.25'!D2:D500, MATCH(B33&amp;C33, INDEX('01.25'!B2:B500&amp;'01.25'!C2:C500, 0), 0))="", "", INDEX('01.25'!D2:D500, MATCH(B33&amp;C33, INDEX('01.25'!B2:B500&amp;'01.25'!C2:C500, 0), 0))), "")</f>
        <v>Paulo Rogerio Hiroshi Fujii</v>
      </c>
      <c r="E33" s="107" t="s">
        <v>16</v>
      </c>
      <c r="F33" s="45" t="s">
        <v>540</v>
      </c>
      <c r="G33" s="46" t="s">
        <v>140</v>
      </c>
      <c r="H33" s="45"/>
      <c r="I33" s="45"/>
      <c r="J33" s="45" t="s">
        <v>140</v>
      </c>
      <c r="K33" s="45"/>
      <c r="L33" s="146"/>
    </row>
    <row r="34" spans="1:12" hidden="1" x14ac:dyDescent="0.25">
      <c r="A34" s="44" t="s">
        <v>36</v>
      </c>
      <c r="B34" s="45" t="s">
        <v>99</v>
      </c>
      <c r="C34" s="45">
        <v>1</v>
      </c>
      <c r="D34" s="45" t="str">
        <f>IFERROR(IF(INDEX('01.25'!D2:D500, MATCH(B34&amp;C34, INDEX('01.25'!B2:B500&amp;'01.25'!C2:C500, 0), 0))="", "", INDEX('01.25'!D2:D500, MATCH(B34&amp;C34, INDEX('01.25'!B2:B500&amp;'01.25'!C2:C500, 0), 0))), "")</f>
        <v>Marlene R. Oliveira Dallacosta</v>
      </c>
      <c r="E34" s="107" t="s">
        <v>16</v>
      </c>
      <c r="F34" s="45" t="s">
        <v>516</v>
      </c>
      <c r="G34" s="46" t="s">
        <v>140</v>
      </c>
      <c r="H34" s="45"/>
      <c r="I34" s="45"/>
      <c r="J34" s="45" t="s">
        <v>140</v>
      </c>
      <c r="K34" s="45"/>
      <c r="L34" s="146"/>
    </row>
    <row r="35" spans="1:12" hidden="1" x14ac:dyDescent="0.25">
      <c r="A35" s="47" t="s">
        <v>28</v>
      </c>
      <c r="B35" s="45" t="s">
        <v>94</v>
      </c>
      <c r="C35" s="45">
        <v>1</v>
      </c>
      <c r="D35" s="45" t="str">
        <f>IFERROR(IF(INDEX('01.25'!D2:D500, MATCH(B35&amp;C35, INDEX('01.25'!B2:B500&amp;'01.25'!C2:C500, 0), 0))="", "", INDEX('01.25'!D2:D500, MATCH(B35&amp;C35, INDEX('01.25'!B2:B500&amp;'01.25'!C2:C500, 0), 0))), "")</f>
        <v>Vitolor dos Santos Almeida</v>
      </c>
      <c r="E35" s="107" t="s">
        <v>16</v>
      </c>
      <c r="F35" s="45" t="s">
        <v>327</v>
      </c>
      <c r="G35" s="52" t="s">
        <v>131</v>
      </c>
      <c r="H35" s="45" t="s">
        <v>149</v>
      </c>
      <c r="I35" s="45"/>
      <c r="J35" s="45" t="s">
        <v>140</v>
      </c>
      <c r="K35" s="45"/>
      <c r="L35" s="146"/>
    </row>
    <row r="36" spans="1:12" hidden="1" x14ac:dyDescent="0.25">
      <c r="A36" s="47" t="s">
        <v>28</v>
      </c>
      <c r="B36" s="45" t="s">
        <v>95</v>
      </c>
      <c r="C36" s="45">
        <v>1</v>
      </c>
      <c r="D36" s="45" t="str">
        <f>IFERROR(IF(INDEX('01.25'!D2:D500, MATCH(B36&amp;C36, INDEX('01.25'!B2:B500&amp;'01.25'!C2:C500, 0), 0))="", "", INDEX('01.25'!D2:D500, MATCH(B36&amp;C36, INDEX('01.25'!B2:B500&amp;'01.25'!C2:C500, 0), 0))), "")</f>
        <v>Kelly Jackeline Silva do Valle</v>
      </c>
      <c r="E36" s="107" t="s">
        <v>16</v>
      </c>
      <c r="F36" s="45" t="s">
        <v>540</v>
      </c>
      <c r="G36" s="52" t="s">
        <v>131</v>
      </c>
      <c r="H36" s="45" t="s">
        <v>149</v>
      </c>
      <c r="I36" s="45"/>
      <c r="J36" s="45" t="s">
        <v>140</v>
      </c>
      <c r="K36" s="45"/>
      <c r="L36" s="146"/>
    </row>
    <row r="37" spans="1:12" hidden="1" x14ac:dyDescent="0.25">
      <c r="A37" s="47" t="s">
        <v>28</v>
      </c>
      <c r="B37" s="45" t="s">
        <v>96</v>
      </c>
      <c r="C37" s="45">
        <v>1</v>
      </c>
      <c r="D37" s="45" t="str">
        <f>IFERROR(IF(INDEX('01.25'!D2:D500, MATCH(B37&amp;C37, INDEX('01.25'!B2:B500&amp;'01.25'!C2:C500, 0), 0))="", "", INDEX('01.25'!D2:D500, MATCH(B37&amp;C37, INDEX('01.25'!B2:B500&amp;'01.25'!C2:C500, 0), 0))), "")</f>
        <v>Felipe Carvalho Zydek</v>
      </c>
      <c r="E37" s="107" t="s">
        <v>16</v>
      </c>
      <c r="F37" s="45" t="s">
        <v>546</v>
      </c>
      <c r="G37" s="52" t="s">
        <v>131</v>
      </c>
      <c r="H37" s="45" t="s">
        <v>149</v>
      </c>
      <c r="I37" s="45"/>
      <c r="J37" s="45" t="s">
        <v>140</v>
      </c>
      <c r="K37" s="45"/>
      <c r="L37" s="146"/>
    </row>
    <row r="38" spans="1:12" hidden="1" x14ac:dyDescent="0.25">
      <c r="A38" s="48" t="s">
        <v>38</v>
      </c>
      <c r="B38" s="45" t="s">
        <v>107</v>
      </c>
      <c r="C38" s="45">
        <v>1</v>
      </c>
      <c r="D38" s="45" t="str">
        <f>IFERROR(IF(INDEX('01.25'!D2:D500, MATCH(B38&amp;C38, INDEX('01.25'!B2:B500&amp;'01.25'!C2:C500, 0), 0))="", "", INDEX('01.25'!D2:D500, MATCH(B38&amp;C38, INDEX('01.25'!B2:B500&amp;'01.25'!C2:C500, 0), 0))), "")</f>
        <v>Eliane Borin</v>
      </c>
      <c r="E38" s="107" t="s">
        <v>16</v>
      </c>
      <c r="F38" s="45" t="s">
        <v>546</v>
      </c>
      <c r="G38" s="46" t="s">
        <v>131</v>
      </c>
      <c r="H38" s="45" t="s">
        <v>706</v>
      </c>
      <c r="I38" s="45"/>
      <c r="J38" s="45" t="s">
        <v>140</v>
      </c>
      <c r="K38" s="45"/>
      <c r="L38" s="146"/>
    </row>
    <row r="39" spans="1:12" hidden="1" x14ac:dyDescent="0.25">
      <c r="A39" s="50" t="s">
        <v>42</v>
      </c>
      <c r="B39" s="45" t="s">
        <v>117</v>
      </c>
      <c r="C39" s="45">
        <v>1</v>
      </c>
      <c r="D39" s="45" t="str">
        <f>IFERROR(IF(INDEX('01.25'!D2:D500, MATCH(B39&amp;C39, INDEX('01.25'!B2:B500&amp;'01.25'!C2:C500, 0), 0))="", "", INDEX('01.25'!D2:D500, MATCH(B39&amp;C39, INDEX('01.25'!B2:B500&amp;'01.25'!C2:C500, 0), 0))), "")</f>
        <v>Tatiana schrard</v>
      </c>
      <c r="E39" s="107" t="s">
        <v>16</v>
      </c>
      <c r="F39" s="45" t="s">
        <v>563</v>
      </c>
      <c r="G39" s="52" t="s">
        <v>131</v>
      </c>
      <c r="H39" s="45"/>
      <c r="I39" s="45"/>
      <c r="J39" s="45" t="s">
        <v>140</v>
      </c>
      <c r="K39" s="45"/>
      <c r="L39" s="146"/>
    </row>
    <row r="40" spans="1:12" hidden="1" x14ac:dyDescent="0.25">
      <c r="A40" s="48" t="s">
        <v>38</v>
      </c>
      <c r="B40" s="45" t="s">
        <v>81</v>
      </c>
      <c r="C40" s="45">
        <v>1</v>
      </c>
      <c r="D40" s="45" t="str">
        <f>IFERROR(IF(INDEX('01.25'!D2:D500, MATCH(B40&amp;C40, INDEX('01.25'!B2:B500&amp;'01.25'!C2:C500, 0), 0))="", "", INDEX('01.25'!D2:D500, MATCH(B40&amp;C40, INDEX('01.25'!B2:B500&amp;'01.25'!C2:C500, 0), 0))), "")</f>
        <v>César Piva Glinglani</v>
      </c>
      <c r="E40" s="107" t="s">
        <v>16</v>
      </c>
      <c r="F40" s="45" t="s">
        <v>525</v>
      </c>
      <c r="G40" s="46" t="s">
        <v>140</v>
      </c>
      <c r="H40" s="45"/>
      <c r="I40" s="45"/>
      <c r="J40" s="45" t="s">
        <v>140</v>
      </c>
      <c r="K40" s="45"/>
      <c r="L40" s="146"/>
    </row>
    <row r="41" spans="1:12" x14ac:dyDescent="0.25">
      <c r="A41" s="49" t="s">
        <v>43</v>
      </c>
      <c r="B41" s="45" t="s">
        <v>128</v>
      </c>
      <c r="C41" s="45">
        <v>1</v>
      </c>
      <c r="D41" s="45" t="str">
        <f>IFERROR(IF(INDEX('01.25'!D2:D500, MATCH(B41&amp;C41, INDEX('01.25'!B2:B500&amp;'01.25'!C2:C500, 0), 0))="", "", INDEX('01.25'!D2:D500, MATCH(B41&amp;C41, INDEX('01.25'!B2:B500&amp;'01.25'!C2:C500, 0), 0))), "")</f>
        <v>Ailton Carlos Fialho</v>
      </c>
      <c r="E41" s="107" t="s">
        <v>16</v>
      </c>
      <c r="F41" s="45" t="s">
        <v>546</v>
      </c>
      <c r="G41" s="52" t="s">
        <v>131</v>
      </c>
      <c r="H41" s="45" t="s">
        <v>149</v>
      </c>
      <c r="I41" s="45"/>
      <c r="J41" s="45" t="s">
        <v>140</v>
      </c>
      <c r="K41" s="45"/>
      <c r="L41" s="146"/>
    </row>
    <row r="42" spans="1:12" hidden="1" x14ac:dyDescent="0.25">
      <c r="A42" s="50" t="s">
        <v>42</v>
      </c>
      <c r="B42" s="45" t="s">
        <v>82</v>
      </c>
      <c r="C42" s="45">
        <v>1</v>
      </c>
      <c r="D42" s="45" t="str">
        <f>IFERROR(IF(INDEX('01.25'!D2:D500, MATCH(B42&amp;C42, INDEX('01.25'!B2:B500&amp;'01.25'!C2:C500, 0), 0))="", "", INDEX('01.25'!D2:D500, MATCH(B42&amp;C42, INDEX('01.25'!B2:B500&amp;'01.25'!C2:C500, 0), 0))), "")</f>
        <v>Marcos José Chaves</v>
      </c>
      <c r="E42" s="107" t="s">
        <v>16</v>
      </c>
      <c r="F42" s="45" t="s">
        <v>327</v>
      </c>
      <c r="G42" s="52" t="s">
        <v>131</v>
      </c>
      <c r="H42" s="45"/>
      <c r="I42" s="45"/>
      <c r="J42" s="45" t="s">
        <v>140</v>
      </c>
      <c r="K42" s="45"/>
      <c r="L42" s="146"/>
    </row>
    <row r="43" spans="1:12" hidden="1" x14ac:dyDescent="0.25">
      <c r="A43" s="50" t="s">
        <v>42</v>
      </c>
      <c r="B43" s="45" t="s">
        <v>82</v>
      </c>
      <c r="C43" s="45">
        <v>2</v>
      </c>
      <c r="D43" s="45" t="str">
        <f>IFERROR(IF(INDEX('01.25'!D2:D500, MATCH(B43&amp;C43, INDEX('01.25'!B2:B500&amp;'01.25'!C2:C500, 0), 0))="", "", INDEX('01.25'!D2:D500, MATCH(B43&amp;C43, INDEX('01.25'!B2:B500&amp;'01.25'!C2:C500, 0), 0))), "")</f>
        <v>Diego Matheus Reinicke</v>
      </c>
      <c r="E43" s="107" t="s">
        <v>16</v>
      </c>
      <c r="F43" s="45" t="s">
        <v>540</v>
      </c>
      <c r="G43" s="52" t="s">
        <v>131</v>
      </c>
      <c r="H43" s="45"/>
      <c r="I43" s="45"/>
      <c r="J43" s="45" t="s">
        <v>140</v>
      </c>
      <c r="K43" s="45"/>
      <c r="L43" s="146"/>
    </row>
    <row r="44" spans="1:12" hidden="1" x14ac:dyDescent="0.25">
      <c r="A44" s="48" t="s">
        <v>38</v>
      </c>
      <c r="B44" s="45" t="s">
        <v>76</v>
      </c>
      <c r="C44" s="45">
        <v>1</v>
      </c>
      <c r="D44" s="45" t="str">
        <f>IFERROR(IF(INDEX('01.25'!D2:D500, MATCH(B44&amp;C44, INDEX('01.25'!B2:B500&amp;'01.25'!C2:C500, 0), 0))="", "", INDEX('01.25'!D2:D500, MATCH(B44&amp;C44, INDEX('01.25'!B2:B500&amp;'01.25'!C2:C500, 0), 0))), "")</f>
        <v>Cleiton Manske</v>
      </c>
      <c r="E44" s="107" t="s">
        <v>16</v>
      </c>
      <c r="F44" s="45" t="s">
        <v>438</v>
      </c>
      <c r="G44" s="52" t="s">
        <v>131</v>
      </c>
      <c r="H44" s="45"/>
      <c r="I44" s="45"/>
      <c r="J44" s="45" t="s">
        <v>140</v>
      </c>
      <c r="K44" s="45"/>
      <c r="L44" s="146"/>
    </row>
    <row r="45" spans="1:12" hidden="1" x14ac:dyDescent="0.25">
      <c r="A45" s="50" t="s">
        <v>42</v>
      </c>
      <c r="B45" s="45" t="s">
        <v>118</v>
      </c>
      <c r="C45" s="45">
        <v>1</v>
      </c>
      <c r="D45" s="45" t="str">
        <f>IFERROR(IF(INDEX('01.25'!D2:D500, MATCH(B45&amp;C45, INDEX('01.25'!B2:B500&amp;'01.25'!C2:C500, 0), 0))="", "", INDEX('01.25'!D2:D500, MATCH(B45&amp;C45, INDEX('01.25'!B2:B500&amp;'01.25'!C2:C500, 0), 0))), "")</f>
        <v>Alexandro Aparecido de Lima Vieira</v>
      </c>
      <c r="E45" s="107" t="s">
        <v>16</v>
      </c>
      <c r="F45" s="45" t="s">
        <v>299</v>
      </c>
      <c r="G45" s="52" t="s">
        <v>131</v>
      </c>
      <c r="H45" s="45" t="s">
        <v>564</v>
      </c>
      <c r="I45" s="45"/>
      <c r="J45" s="45" t="s">
        <v>140</v>
      </c>
      <c r="K45" s="45"/>
      <c r="L45" s="146"/>
    </row>
    <row r="46" spans="1:12" hidden="1" x14ac:dyDescent="0.25">
      <c r="A46" s="51" t="s">
        <v>40</v>
      </c>
      <c r="B46" s="45" t="s">
        <v>111</v>
      </c>
      <c r="C46" s="45">
        <v>1</v>
      </c>
      <c r="D46" s="45" t="str">
        <f>IFERROR(IF(INDEX('01.25'!D2:D500, MATCH(B46&amp;C46, INDEX('01.25'!B2:B500&amp;'01.25'!C2:C500, 0), 0))="", "", INDEX('01.25'!D2:D500, MATCH(B46&amp;C46, INDEX('01.25'!B2:B500&amp;'01.25'!C2:C500, 0), 0))), "")</f>
        <v>Rafael Henrique Caetano</v>
      </c>
      <c r="E46" s="107" t="s">
        <v>16</v>
      </c>
      <c r="F46" s="45" t="s">
        <v>541</v>
      </c>
      <c r="G46" s="52" t="s">
        <v>131</v>
      </c>
      <c r="H46" s="45" t="s">
        <v>565</v>
      </c>
      <c r="I46" s="45"/>
      <c r="J46" s="45" t="s">
        <v>140</v>
      </c>
      <c r="K46" s="45"/>
      <c r="L46" s="146"/>
    </row>
    <row r="47" spans="1:12" hidden="1" x14ac:dyDescent="0.25">
      <c r="A47" s="44" t="s">
        <v>36</v>
      </c>
      <c r="B47" s="45" t="s">
        <v>100</v>
      </c>
      <c r="C47" s="45">
        <v>1</v>
      </c>
      <c r="D47" s="45" t="str">
        <f>IFERROR(IF(INDEX('01.25'!D2:D500, MATCH(B47&amp;C47, INDEX('01.25'!B2:B500&amp;'01.25'!C2:C500, 0), 0))="", "", INDEX('01.25'!D2:D500, MATCH(B47&amp;C47, INDEX('01.25'!B2:B500&amp;'01.25'!C2:C500, 0), 0))), "")</f>
        <v>Roberto Pedron</v>
      </c>
      <c r="E47" s="107" t="s">
        <v>16</v>
      </c>
      <c r="F47" s="45" t="s">
        <v>566</v>
      </c>
      <c r="G47" s="46" t="s">
        <v>140</v>
      </c>
      <c r="H47" s="45"/>
      <c r="I47" s="45"/>
      <c r="J47" s="45" t="s">
        <v>140</v>
      </c>
      <c r="K47" s="45"/>
      <c r="L47" s="146"/>
    </row>
    <row r="48" spans="1:12" hidden="1" x14ac:dyDescent="0.25">
      <c r="A48" s="50" t="s">
        <v>42</v>
      </c>
      <c r="B48" s="45" t="s">
        <v>119</v>
      </c>
      <c r="C48" s="45">
        <v>1</v>
      </c>
      <c r="D48" s="45" t="str">
        <f>IFERROR(IF(INDEX('01.25'!D2:D500, MATCH(B48&amp;C48, INDEX('01.25'!B2:B500&amp;'01.25'!C2:C500, 0), 0))="", "", INDEX('01.25'!D2:D500, MATCH(B48&amp;C48, INDEX('01.25'!B2:B500&amp;'01.25'!C2:C500, 0), 0))), "")</f>
        <v>Luciane Spies</v>
      </c>
      <c r="E48" s="107" t="s">
        <v>16</v>
      </c>
      <c r="F48" s="45" t="s">
        <v>468</v>
      </c>
      <c r="G48" s="52" t="s">
        <v>131</v>
      </c>
      <c r="H48" s="45"/>
      <c r="I48" s="45"/>
      <c r="J48" s="45" t="s">
        <v>140</v>
      </c>
      <c r="K48" s="45"/>
      <c r="L48" s="146"/>
    </row>
    <row r="49" spans="1:12" hidden="1" x14ac:dyDescent="0.25">
      <c r="A49" s="44" t="s">
        <v>36</v>
      </c>
      <c r="B49" s="45" t="s">
        <v>77</v>
      </c>
      <c r="C49" s="45">
        <v>1</v>
      </c>
      <c r="D49" s="45" t="str">
        <f>IFERROR(IF(INDEX('01.25'!D2:D500, MATCH(B49&amp;C49, INDEX('01.25'!B2:B500&amp;'01.25'!C2:C500, 0), 0))="", "", INDEX('01.25'!D2:D500, MATCH(B49&amp;C49, INDEX('01.25'!B2:B500&amp;'01.25'!C2:C500, 0), 0))), "")</f>
        <v>Jaqueline Fernanda Meireles</v>
      </c>
      <c r="E49" s="107" t="s">
        <v>16</v>
      </c>
      <c r="F49" s="45" t="s">
        <v>299</v>
      </c>
      <c r="G49" s="46" t="s">
        <v>140</v>
      </c>
      <c r="H49" s="45"/>
      <c r="I49" s="45"/>
      <c r="J49" s="45" t="s">
        <v>140</v>
      </c>
      <c r="K49" s="45"/>
      <c r="L49" s="146"/>
    </row>
    <row r="50" spans="1:12" hidden="1" x14ac:dyDescent="0.25">
      <c r="A50" s="48" t="s">
        <v>38</v>
      </c>
      <c r="B50" s="45" t="s">
        <v>108</v>
      </c>
      <c r="C50" s="45">
        <v>1</v>
      </c>
      <c r="D50" s="45" t="str">
        <f>IFERROR(IF(INDEX('01.25'!D2:D500, MATCH(B50&amp;C50, INDEX('01.25'!B2:B500&amp;'01.25'!C2:C500, 0), 0))="", "", INDEX('01.25'!D2:D500, MATCH(B50&amp;C50, INDEX('01.25'!B2:B500&amp;'01.25'!C2:C500, 0), 0))), "")</f>
        <v>Luiz Fernando Pereira Barbosa</v>
      </c>
      <c r="E50" s="107" t="s">
        <v>16</v>
      </c>
      <c r="F50" s="45" t="s">
        <v>511</v>
      </c>
      <c r="G50" s="46" t="s">
        <v>140</v>
      </c>
      <c r="H50" s="45"/>
      <c r="I50" s="45"/>
      <c r="J50" s="45" t="s">
        <v>140</v>
      </c>
      <c r="K50" s="45"/>
      <c r="L50" s="146"/>
    </row>
    <row r="51" spans="1:12" hidden="1" x14ac:dyDescent="0.25">
      <c r="A51" s="44" t="s">
        <v>36</v>
      </c>
      <c r="B51" s="45" t="s">
        <v>101</v>
      </c>
      <c r="C51" s="45">
        <v>1</v>
      </c>
      <c r="D51" s="45" t="str">
        <f>IFERROR(IF(INDEX('01.25'!D2:D500, MATCH(B51&amp;C51, INDEX('01.25'!B2:B500&amp;'01.25'!C2:C500, 0), 0))="", "", INDEX('01.25'!D2:D500, MATCH(B51&amp;C51, INDEX('01.25'!B2:B500&amp;'01.25'!C2:C500, 0), 0))), "")</f>
        <v>Carolina Eggers</v>
      </c>
      <c r="E51" s="107" t="s">
        <v>16</v>
      </c>
      <c r="F51" s="45" t="s">
        <v>546</v>
      </c>
      <c r="G51" s="46" t="s">
        <v>140</v>
      </c>
      <c r="H51" s="45"/>
      <c r="I51" s="45"/>
      <c r="J51" s="45" t="s">
        <v>140</v>
      </c>
      <c r="K51" s="45"/>
      <c r="L51" s="146"/>
    </row>
    <row r="52" spans="1:12" hidden="1" x14ac:dyDescent="0.25">
      <c r="A52" s="44" t="s">
        <v>36</v>
      </c>
      <c r="B52" s="45" t="s">
        <v>102</v>
      </c>
      <c r="C52" s="45">
        <v>1</v>
      </c>
      <c r="D52" s="45" t="str">
        <f>IFERROR(IF(INDEX('01.25'!D2:D500, MATCH(B52&amp;C52, INDEX('01.25'!B2:B500&amp;'01.25'!C2:C500, 0), 0))="", "", INDEX('01.25'!D2:D500, MATCH(B52&amp;C52, INDEX('01.25'!B2:B500&amp;'01.25'!C2:C500, 0), 0))), "")</f>
        <v>Ivan Gonçalves da Silva</v>
      </c>
      <c r="E52" s="107" t="s">
        <v>16</v>
      </c>
      <c r="F52" s="45" t="s">
        <v>567</v>
      </c>
      <c r="G52" s="46" t="s">
        <v>140</v>
      </c>
      <c r="H52" s="45"/>
      <c r="I52" s="45"/>
      <c r="J52" s="45" t="s">
        <v>140</v>
      </c>
      <c r="K52" s="45"/>
      <c r="L52" s="146"/>
    </row>
    <row r="53" spans="1:12" hidden="1" x14ac:dyDescent="0.25">
      <c r="A53" s="48" t="s">
        <v>38</v>
      </c>
      <c r="B53" s="45" t="s">
        <v>83</v>
      </c>
      <c r="C53" s="45">
        <v>1</v>
      </c>
      <c r="D53" s="45" t="str">
        <f>IFERROR(IF(INDEX('01.25'!D2:D500, MATCH(B53&amp;C53, INDEX('01.25'!B2:B500&amp;'01.25'!C2:C500, 0), 0))="", "", INDEX('01.25'!D2:D500, MATCH(B53&amp;C53, INDEX('01.25'!B2:B500&amp;'01.25'!C2:C500, 0), 0))), "")</f>
        <v>Dorival Manoel Canhete</v>
      </c>
      <c r="E53" s="107" t="s">
        <v>16</v>
      </c>
      <c r="F53" s="45" t="s">
        <v>541</v>
      </c>
      <c r="G53" s="46" t="s">
        <v>140</v>
      </c>
      <c r="H53" s="45"/>
      <c r="I53" s="45"/>
      <c r="J53" s="45" t="s">
        <v>140</v>
      </c>
      <c r="K53" s="45"/>
      <c r="L53" s="146"/>
    </row>
    <row r="54" spans="1:12" hidden="1" x14ac:dyDescent="0.25">
      <c r="A54" s="50" t="s">
        <v>42</v>
      </c>
      <c r="B54" s="45" t="s">
        <v>120</v>
      </c>
      <c r="C54" s="45">
        <v>1</v>
      </c>
      <c r="D54" s="45" t="str">
        <f>IFERROR(IF(INDEX('01.25'!D2:D500, MATCH(B54&amp;C54, INDEX('01.25'!B2:B500&amp;'01.25'!C2:C500, 0), 0))="", "", INDEX('01.25'!D2:D500, MATCH(B54&amp;C54, INDEX('01.25'!B2:B500&amp;'01.25'!C2:C500, 0), 0))), "")</f>
        <v>Jaqueline Vanelli</v>
      </c>
      <c r="E54" s="107" t="s">
        <v>16</v>
      </c>
      <c r="F54" s="45" t="s">
        <v>299</v>
      </c>
      <c r="G54" s="52" t="s">
        <v>131</v>
      </c>
      <c r="H54" s="45"/>
      <c r="I54" s="45"/>
      <c r="J54" s="45" t="s">
        <v>140</v>
      </c>
      <c r="K54" s="45"/>
      <c r="L54" s="146"/>
    </row>
    <row r="55" spans="1:12" hidden="1" x14ac:dyDescent="0.25">
      <c r="A55" s="44" t="s">
        <v>36</v>
      </c>
      <c r="B55" s="45" t="s">
        <v>103</v>
      </c>
      <c r="C55" s="45">
        <v>1</v>
      </c>
      <c r="D55" s="45" t="str">
        <f>IFERROR(IF(INDEX('01.25'!D2:D500, MATCH(B55&amp;C55, INDEX('01.25'!B2:B500&amp;'01.25'!C2:C500, 0), 0))="", "", INDEX('01.25'!D2:D500, MATCH(B55&amp;C55, INDEX('01.25'!B2:B500&amp;'01.25'!C2:C500, 0), 0))), "")</f>
        <v>Fernanda Jung</v>
      </c>
      <c r="E55" s="107" t="s">
        <v>16</v>
      </c>
      <c r="F55" s="45" t="s">
        <v>468</v>
      </c>
      <c r="G55" s="46" t="s">
        <v>140</v>
      </c>
      <c r="H55" s="45"/>
      <c r="I55" s="45"/>
      <c r="J55" s="45" t="s">
        <v>140</v>
      </c>
      <c r="K55" s="45"/>
      <c r="L55" s="146"/>
    </row>
    <row r="56" spans="1:12" hidden="1" x14ac:dyDescent="0.25">
      <c r="A56" s="50" t="s">
        <v>42</v>
      </c>
      <c r="B56" s="45" t="s">
        <v>121</v>
      </c>
      <c r="C56" s="45">
        <v>1</v>
      </c>
      <c r="D56" s="45" t="str">
        <f>IFERROR(IF(INDEX('01.25'!D2:D500, MATCH(B56&amp;C56, INDEX('01.25'!B2:B500&amp;'01.25'!C2:C500, 0), 0))="", "", INDEX('01.25'!D2:D500, MATCH(B56&amp;C56, INDEX('01.25'!B2:B500&amp;'01.25'!C2:C500, 0), 0))), "")</f>
        <v>Ana Paula Romagnoli</v>
      </c>
      <c r="E56" s="107" t="s">
        <v>16</v>
      </c>
      <c r="F56" s="45" t="s">
        <v>468</v>
      </c>
      <c r="G56" s="52" t="s">
        <v>131</v>
      </c>
      <c r="H56" s="45"/>
      <c r="I56" s="45"/>
      <c r="J56" s="45" t="s">
        <v>140</v>
      </c>
      <c r="K56" s="45"/>
      <c r="L56" s="146"/>
    </row>
    <row r="57" spans="1:12" hidden="1" x14ac:dyDescent="0.25">
      <c r="A57" s="50" t="s">
        <v>42</v>
      </c>
      <c r="B57" s="45" t="s">
        <v>122</v>
      </c>
      <c r="C57" s="45">
        <v>1</v>
      </c>
      <c r="D57" s="45" t="str">
        <f>IFERROR(IF(INDEX('01.25'!D2:D500, MATCH(B57&amp;C57, INDEX('01.25'!B2:B500&amp;'01.25'!C2:C500, 0), 0))="", "", INDEX('01.25'!D2:D500, MATCH(B57&amp;C57, INDEX('01.25'!B2:B500&amp;'01.25'!C2:C500, 0), 0))), "")</f>
        <v>Alexandro Schaparini</v>
      </c>
      <c r="E57" s="107" t="s">
        <v>16</v>
      </c>
      <c r="F57" s="45" t="s">
        <v>468</v>
      </c>
      <c r="G57" s="52" t="s">
        <v>131</v>
      </c>
      <c r="H57" s="45" t="s">
        <v>542</v>
      </c>
      <c r="I57" s="45"/>
      <c r="J57" s="45" t="s">
        <v>140</v>
      </c>
      <c r="K57" s="45"/>
      <c r="L57" s="146"/>
    </row>
    <row r="58" spans="1:12" x14ac:dyDescent="0.25">
      <c r="A58" s="49" t="s">
        <v>43</v>
      </c>
      <c r="B58" s="45" t="s">
        <v>129</v>
      </c>
      <c r="C58" s="45">
        <v>1</v>
      </c>
      <c r="D58" s="45" t="str">
        <f>IFERROR(IF(INDEX('01.25'!D2:D500, MATCH(B58&amp;C58, INDEX('01.25'!B2:B500&amp;'01.25'!C2:C500, 0), 0))="", "", INDEX('01.25'!D2:D500, MATCH(B58&amp;C58, INDEX('01.25'!B2:B500&amp;'01.25'!C2:C500, 0), 0))), "")</f>
        <v>Marina Ancelmo da Silva</v>
      </c>
      <c r="E58" s="107" t="s">
        <v>16</v>
      </c>
      <c r="F58" s="45" t="s">
        <v>546</v>
      </c>
      <c r="G58" s="52" t="s">
        <v>131</v>
      </c>
      <c r="H58" s="45" t="s">
        <v>149</v>
      </c>
      <c r="I58" s="45"/>
      <c r="J58" s="45" t="s">
        <v>140</v>
      </c>
      <c r="K58" s="45"/>
      <c r="L58" s="146"/>
    </row>
    <row r="59" spans="1:12" x14ac:dyDescent="0.25">
      <c r="A59" s="49" t="s">
        <v>43</v>
      </c>
      <c r="B59" s="45" t="s">
        <v>130</v>
      </c>
      <c r="C59" s="45">
        <v>1</v>
      </c>
      <c r="D59" s="45" t="str">
        <f>IFERROR(IF(INDEX('01.25'!D2:D500, MATCH(B59&amp;C59, INDEX('01.25'!B2:B500&amp;'01.25'!C2:C500, 0), 0))="", "", INDEX('01.25'!D2:D500, MATCH(B59&amp;C59, INDEX('01.25'!B2:B500&amp;'01.25'!C2:C500, 0), 0))), "")</f>
        <v>Ana Carolina Peterle Ribeiro</v>
      </c>
      <c r="E59" s="107" t="s">
        <v>16</v>
      </c>
      <c r="F59" s="45" t="s">
        <v>543</v>
      </c>
      <c r="G59" s="52" t="s">
        <v>131</v>
      </c>
      <c r="H59" s="148" t="s">
        <v>512</v>
      </c>
      <c r="I59" s="45"/>
      <c r="J59" s="45" t="s">
        <v>140</v>
      </c>
      <c r="K59" s="45"/>
      <c r="L59" s="146"/>
    </row>
    <row r="60" spans="1:12" hidden="1" x14ac:dyDescent="0.25">
      <c r="A60" s="51" t="s">
        <v>40</v>
      </c>
      <c r="B60" s="45" t="s">
        <v>112</v>
      </c>
      <c r="C60" s="45">
        <v>1</v>
      </c>
      <c r="D60" s="45" t="str">
        <f>IFERROR(IF(INDEX('01.25'!D2:D500, MATCH(B60&amp;C60, INDEX('01.25'!B2:B500&amp;'01.25'!C2:C500, 0), 0))="", "", INDEX('01.25'!D2:D500, MATCH(B60&amp;C60, INDEX('01.25'!B2:B500&amp;'01.25'!C2:C500, 0), 0))), "")</f>
        <v>Taiane Amélia Mondardo</v>
      </c>
      <c r="E60" s="107" t="s">
        <v>16</v>
      </c>
      <c r="F60" s="45" t="s">
        <v>543</v>
      </c>
      <c r="G60" s="52" t="s">
        <v>131</v>
      </c>
      <c r="H60" s="45"/>
      <c r="I60" s="45"/>
      <c r="J60" s="45" t="s">
        <v>140</v>
      </c>
      <c r="K60" s="45"/>
      <c r="L60" s="146"/>
    </row>
    <row r="61" spans="1:12" hidden="1" x14ac:dyDescent="0.25">
      <c r="A61" s="44" t="s">
        <v>36</v>
      </c>
      <c r="B61" s="45" t="s">
        <v>104</v>
      </c>
      <c r="C61" s="45">
        <v>1</v>
      </c>
      <c r="D61" s="45" t="str">
        <f>IFERROR(IF(INDEX('01.25'!D2:D500, MATCH(B61&amp;C61, INDEX('01.25'!B2:B500&amp;'01.25'!C2:C500, 0), 0))="", "", INDEX('01.25'!D2:D500, MATCH(B61&amp;C61, INDEX('01.25'!B2:B500&amp;'01.25'!C2:C500, 0), 0))), "")</f>
        <v>Regiane Lucia Pereira</v>
      </c>
      <c r="E61" s="107" t="s">
        <v>16</v>
      </c>
      <c r="F61" s="45" t="s">
        <v>540</v>
      </c>
      <c r="G61" s="52" t="s">
        <v>131</v>
      </c>
      <c r="H61" s="45"/>
      <c r="I61" s="45"/>
      <c r="J61" s="45" t="s">
        <v>140</v>
      </c>
      <c r="K61" s="45"/>
      <c r="L61" s="146"/>
    </row>
    <row r="62" spans="1:12" hidden="1" x14ac:dyDescent="0.25">
      <c r="A62" s="51" t="s">
        <v>40</v>
      </c>
      <c r="B62" s="45" t="s">
        <v>113</v>
      </c>
      <c r="C62" s="45">
        <v>1</v>
      </c>
      <c r="D62" s="45" t="str">
        <f>IFERROR(IF(INDEX('01.25'!D2:D500, MATCH(B62&amp;C62, INDEX('01.25'!B2:B500&amp;'01.25'!C2:C500, 0), 0))="", "", INDEX('01.25'!D2:D500, MATCH(B62&amp;C62, INDEX('01.25'!B2:B500&amp;'01.25'!C2:C500, 0), 0))), "")</f>
        <v>Andryws Rafael Gois</v>
      </c>
      <c r="E62" s="107" t="s">
        <v>16</v>
      </c>
      <c r="F62" s="45" t="s">
        <v>468</v>
      </c>
      <c r="G62" s="52" t="s">
        <v>131</v>
      </c>
      <c r="H62" s="45"/>
      <c r="I62" s="45"/>
      <c r="J62" s="45" t="s">
        <v>140</v>
      </c>
      <c r="K62" s="45"/>
      <c r="L62" s="146"/>
    </row>
    <row r="63" spans="1:12" hidden="1" x14ac:dyDescent="0.25">
      <c r="A63" s="50" t="s">
        <v>42</v>
      </c>
      <c r="B63" s="45" t="s">
        <v>123</v>
      </c>
      <c r="C63" s="45">
        <v>1</v>
      </c>
      <c r="D63" s="45" t="str">
        <f>IFERROR(IF(INDEX('01.25'!D2:D500, MATCH(B63&amp;C63, INDEX('01.25'!B2:B500&amp;'01.25'!C2:C500, 0), 0))="", "", INDEX('01.25'!D2:D500, MATCH(B63&amp;C63, INDEX('01.25'!B2:B500&amp;'01.25'!C2:C500, 0), 0))), "")</f>
        <v>Mayara Ketllyn de Paula Rosetti</v>
      </c>
      <c r="E63" s="107" t="s">
        <v>16</v>
      </c>
      <c r="F63" s="45" t="s">
        <v>547</v>
      </c>
      <c r="G63" s="52" t="s">
        <v>131</v>
      </c>
      <c r="H63" s="45"/>
      <c r="I63" s="45"/>
      <c r="J63" s="45" t="s">
        <v>140</v>
      </c>
      <c r="K63" s="45"/>
      <c r="L63" s="146"/>
    </row>
    <row r="64" spans="1:12" hidden="1" x14ac:dyDescent="0.25">
      <c r="A64" s="51" t="s">
        <v>40</v>
      </c>
      <c r="B64" s="45" t="s">
        <v>114</v>
      </c>
      <c r="C64" s="45">
        <v>1</v>
      </c>
      <c r="D64" s="45" t="str">
        <f>IFERROR(IF(INDEX('01.25'!D2:D500, MATCH(B64&amp;C64, INDEX('01.25'!B2:B500&amp;'01.25'!C2:C500, 0), 0))="", "", INDEX('01.25'!D2:D500, MATCH(B64&amp;C64, INDEX('01.25'!B2:B500&amp;'01.25'!C2:C500, 0), 0))), "")</f>
        <v>Junior Andre Britzke</v>
      </c>
      <c r="E64" s="107" t="s">
        <v>16</v>
      </c>
      <c r="F64" s="45" t="s">
        <v>516</v>
      </c>
      <c r="G64" s="52" t="s">
        <v>131</v>
      </c>
      <c r="H64" s="45" t="s">
        <v>568</v>
      </c>
      <c r="I64" s="45"/>
      <c r="J64" s="45" t="s">
        <v>140</v>
      </c>
      <c r="K64" s="45"/>
      <c r="L64" s="146"/>
    </row>
    <row r="65" spans="1:12" hidden="1" x14ac:dyDescent="0.25">
      <c r="A65" s="44" t="s">
        <v>36</v>
      </c>
      <c r="B65" s="45" t="s">
        <v>105</v>
      </c>
      <c r="C65" s="45">
        <v>1</v>
      </c>
      <c r="D65" s="45" t="str">
        <f>IFERROR(IF(INDEX('01.25'!D2:D500, MATCH(B65&amp;C65, INDEX('01.25'!B2:B500&amp;'01.25'!C2:C500, 0), 0))="", "", INDEX('01.25'!D2:D500, MATCH(B65&amp;C65, INDEX('01.25'!B2:B500&amp;'01.25'!C2:C500, 0), 0))), "")</f>
        <v>Adriano Pereira Guedes</v>
      </c>
      <c r="E65" s="107" t="s">
        <v>16</v>
      </c>
      <c r="F65" s="45" t="s">
        <v>544</v>
      </c>
      <c r="G65" s="46" t="s">
        <v>140</v>
      </c>
      <c r="H65" s="45"/>
      <c r="I65" s="45"/>
      <c r="J65" s="45" t="s">
        <v>140</v>
      </c>
      <c r="K65" s="45"/>
      <c r="L65" s="146"/>
    </row>
    <row r="66" spans="1:12" hidden="1" x14ac:dyDescent="0.25">
      <c r="A66" s="44" t="s">
        <v>36</v>
      </c>
      <c r="B66" s="45" t="s">
        <v>106</v>
      </c>
      <c r="C66" s="45">
        <v>1</v>
      </c>
      <c r="D66" s="45" t="str">
        <f>IFERROR(IF(INDEX('01.25'!D2:D500, MATCH(B66&amp;C66, INDEX('01.25'!B2:B500&amp;'01.25'!C2:C500, 0), 0))="", "", INDEX('01.25'!D2:D500, MATCH(B66&amp;C66, INDEX('01.25'!B2:B500&amp;'01.25'!C2:C500, 0), 0))), "")</f>
        <v xml:space="preserve">Suzana Cristina de Almeida </v>
      </c>
      <c r="E66" s="107" t="s">
        <v>16</v>
      </c>
      <c r="F66" s="45" t="s">
        <v>438</v>
      </c>
      <c r="G66" s="52" t="s">
        <v>131</v>
      </c>
      <c r="H66" s="45"/>
      <c r="I66" s="45"/>
      <c r="J66" s="45" t="s">
        <v>140</v>
      </c>
      <c r="K66" s="45"/>
      <c r="L66" s="146"/>
    </row>
    <row r="67" spans="1:12" hidden="1" x14ac:dyDescent="0.25">
      <c r="A67" s="47" t="s">
        <v>28</v>
      </c>
      <c r="B67" s="45" t="s">
        <v>85</v>
      </c>
      <c r="C67" s="45">
        <v>1</v>
      </c>
      <c r="D67" s="45" t="str">
        <f>IFERROR(IF(INDEX('01.25'!D2:D500, MATCH(B67&amp;C67, INDEX('01.25'!B2:B500&amp;'01.25'!C2:C500, 0), 0))="", "", INDEX('01.25'!D2:D500, MATCH(B67&amp;C67, INDEX('01.25'!B2:B500&amp;'01.25'!C2:C500, 0), 0))), "")</f>
        <v>Alice Cristiane Zancheta</v>
      </c>
      <c r="E67" s="107" t="s">
        <v>16</v>
      </c>
      <c r="F67" s="45" t="s">
        <v>569</v>
      </c>
      <c r="G67" s="52" t="s">
        <v>131</v>
      </c>
      <c r="H67" s="45" t="s">
        <v>149</v>
      </c>
      <c r="I67" s="45"/>
      <c r="J67" s="45" t="s">
        <v>140</v>
      </c>
      <c r="K67" s="45"/>
      <c r="L67" s="146"/>
    </row>
    <row r="68" spans="1:12" hidden="1" x14ac:dyDescent="0.25">
      <c r="A68" s="48" t="s">
        <v>38</v>
      </c>
      <c r="B68" s="45" t="s">
        <v>109</v>
      </c>
      <c r="C68" s="45">
        <v>1</v>
      </c>
      <c r="D68" s="45" t="str">
        <f>IFERROR(IF(INDEX('01.25'!D2:D500, MATCH(B68&amp;C68, INDEX('01.25'!B2:B500&amp;'01.25'!C2:C500, 0), 0))="", "", INDEX('01.25'!D2:D500, MATCH(B68&amp;C68, INDEX('01.25'!B2:B500&amp;'01.25'!C2:C500, 0), 0))), "")</f>
        <v>Fernanda kaezer de Godoy</v>
      </c>
      <c r="E68" s="107" t="s">
        <v>16</v>
      </c>
      <c r="F68" s="45" t="s">
        <v>545</v>
      </c>
      <c r="G68" s="46" t="s">
        <v>131</v>
      </c>
      <c r="H68" s="45" t="s">
        <v>710</v>
      </c>
      <c r="I68" s="45"/>
      <c r="J68" s="45" t="s">
        <v>140</v>
      </c>
      <c r="K68" s="45"/>
      <c r="L68" s="146"/>
    </row>
    <row r="69" spans="1:12" hidden="1" x14ac:dyDescent="0.25">
      <c r="A69" s="48" t="s">
        <v>38</v>
      </c>
      <c r="B69" s="45" t="s">
        <v>110</v>
      </c>
      <c r="C69" s="45">
        <v>1</v>
      </c>
      <c r="D69" s="45" t="str">
        <f>IFERROR(IF(INDEX('01.25'!D2:D500, MATCH(B69&amp;C69, INDEX('01.25'!B2:B500&amp;'01.25'!C2:C500, 0), 0))="", "", INDEX('01.25'!D2:D500, MATCH(B69&amp;C69, INDEX('01.25'!B2:B500&amp;'01.25'!C2:C500, 0), 0))), "")</f>
        <v xml:space="preserve">Ademir Papini Júnior </v>
      </c>
      <c r="E69" s="107" t="s">
        <v>16</v>
      </c>
      <c r="F69" s="45" t="s">
        <v>516</v>
      </c>
      <c r="G69" s="46" t="s">
        <v>131</v>
      </c>
      <c r="H69" s="45" t="s">
        <v>712</v>
      </c>
      <c r="I69" s="45"/>
      <c r="J69" s="45" t="s">
        <v>140</v>
      </c>
      <c r="K69" s="45"/>
      <c r="L69" s="146"/>
    </row>
    <row r="70" spans="1:12" hidden="1" x14ac:dyDescent="0.25">
      <c r="A70" s="50" t="s">
        <v>42</v>
      </c>
      <c r="B70" s="45" t="s">
        <v>124</v>
      </c>
      <c r="C70" s="45">
        <v>1</v>
      </c>
      <c r="D70" s="45" t="str">
        <f>IFERROR(IF(INDEX('01.25'!D2:D500, MATCH(B70&amp;C70, INDEX('01.25'!B2:B500&amp;'01.25'!C2:C500, 0), 0))="", "", INDEX('01.25'!D2:D500, MATCH(B70&amp;C70, INDEX('01.25'!B2:B500&amp;'01.25'!C2:C500, 0), 0))), "")</f>
        <v>Heloísa Maria Beloni Insenha</v>
      </c>
      <c r="E70" s="107" t="s">
        <v>16</v>
      </c>
      <c r="F70" s="45" t="s">
        <v>570</v>
      </c>
      <c r="G70" s="52" t="s">
        <v>131</v>
      </c>
      <c r="H70" s="45"/>
      <c r="I70" s="45"/>
      <c r="J70" s="45" t="s">
        <v>140</v>
      </c>
      <c r="K70" s="45"/>
      <c r="L70" s="146"/>
    </row>
  </sheetData>
  <autoFilter ref="A1:G70" xr:uid="{00000000-0009-0000-0000-00000E000000}">
    <filterColumn colId="0">
      <filters>
        <filter val="Valquiria"/>
      </filters>
    </filterColumn>
  </autoFilter>
  <conditionalFormatting sqref="E2:E70">
    <cfRule type="cellIs" dxfId="69" priority="6" stopIfTrue="1" operator="equal">
      <formula>"Enviado"</formula>
    </cfRule>
    <cfRule type="cellIs" dxfId="68" priority="7" stopIfTrue="1" operator="equal">
      <formula>"Atrasado"</formula>
    </cfRule>
    <cfRule type="cellIs" dxfId="67" priority="8" stopIfTrue="1" operator="equal">
      <formula>"Atrasado &gt;= 2"</formula>
    </cfRule>
    <cfRule type="cellIs" dxfId="66" priority="9" stopIfTrue="1" operator="equal">
      <formula>"Outras Ocorrências"</formula>
    </cfRule>
    <cfRule type="cellIs" dxfId="65" priority="10" stopIfTrue="1" operator="equal">
      <formula>"Sem Técnico"</formula>
    </cfRule>
    <cfRule type="cellIs" dxfId="64" priority="11" stopIfTrue="1" operator="equal">
      <formula>"Duplicado"</formula>
    </cfRule>
  </conditionalFormatting>
  <conditionalFormatting sqref="G2:G70">
    <cfRule type="cellIs" dxfId="63" priority="1" stopIfTrue="1" operator="equal">
      <formula>"Sim"</formula>
    </cfRule>
    <cfRule type="cellIs" dxfId="62" priority="3" stopIfTrue="1" operator="equal">
      <formula>"Não"</formula>
    </cfRule>
  </conditionalFormatting>
  <conditionalFormatting sqref="J2:J70">
    <cfRule type="cellIs" dxfId="61" priority="4" stopIfTrue="1" operator="equal">
      <formula>"Sim"</formula>
    </cfRule>
    <cfRule type="cellIs" dxfId="60" priority="4" stopIfTrue="1" operator="equal">
      <formula>"Não"</formula>
    </cfRule>
    <cfRule type="cellIs" dxfId="59" priority="5" stopIfTrue="1" operator="equal">
      <formula>"Em Análise"</formula>
    </cfRule>
  </conditionalFormatting>
  <dataValidations count="3">
    <dataValidation type="list" allowBlank="1" sqref="G2 G3 G4 G5 G6 G7 G8 G9 G10 G11 G12 G13 G14 G15 G16 G17 G18 G19 G20 G21 G22 G23 G24 G25 G26 G27 G28 G29 G30 G31 G32 G33 G34 G35 G36 G37 G38 G39 G40 G41 G42 G43 G44 G45 G46 G47 G48 G49 G50 G51 G52 G53 G54 G55 G56 G57 G58 G59 G60 G61 G62 G63 G64 G65 G66 G67 G68 G69 G70" xr:uid="{00000000-0002-0000-0E00-000000000000}">
      <formula1>"Sim,Não"</formula1>
    </dataValidation>
    <dataValidation type="list" allowBlank="1" sqref="J2 J3 J4 J5 J6 J7 J8 J9 J10 J11 J12 J13 J14 J15 J16 J17 J18 J19 J20 J21 J22 J23 J24 J25 J26 J27 J28 J29 J30 J31 J32 J33 J34 J35 J36 J37 J38 J39 J40 J41 J42 J43 J44 J45 J46 J47 J48 J49 J50 J51 J52 J53 J54 J55 J56 J57 J58 J59 J60 J61 J62 J63 J64 J65 J66 J67 J68 J69 J70" xr:uid="{00000000-0002-0000-0E00-000001000000}">
      <formula1>"Sim,Não,Em Análise"</formula1>
    </dataValidation>
    <dataValidation type="list" allowBlank="1" sqref="E2 E3 E4 E5 E6 E7 E8 E9 E10 E11 E12 E13 E14 E15 E16 E17 E18 E19 E20 E21 E22 E23 E24 E25 E26 E27 E28 E29 E30 E31 E32 E33 E34 E35 E36 E37 E38 E39 E40 E41 E42 E43 E44 E45 E46 E47 E48 E49 E50 E51 E52 E53 E54 E55 E56 E57 E58 E59 E60 E61 E62 E63 E64 E65 E66 E67 E68 E69 E70" xr:uid="{00000000-0002-0000-0E00-000002000000}">
      <formula1>"Enviado, Atrasado, Atrasado &gt;= 2, Outras Ocorrências, Sem Técnico, Duplicado"</formula1>
    </dataValidation>
  </dataValidations>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filterMode="1"/>
  <dimension ref="A1:K70"/>
  <sheetViews>
    <sheetView workbookViewId="0">
      <pane xSplit="3" topLeftCell="G1" activePane="topRight" state="frozen"/>
      <selection pane="topRight" activeCell="H43" sqref="H43"/>
    </sheetView>
  </sheetViews>
  <sheetFormatPr defaultRowHeight="15" x14ac:dyDescent="0.25"/>
  <cols>
    <col min="1" max="1" width="14" customWidth="1"/>
    <col min="2" max="2" width="30" customWidth="1"/>
    <col min="3" max="3" width="8" customWidth="1"/>
    <col min="4" max="4" width="45" customWidth="1"/>
    <col min="5" max="5" width="13" customWidth="1"/>
    <col min="6" max="6" width="18" customWidth="1"/>
    <col min="7" max="7" width="27" customWidth="1"/>
    <col min="8" max="8" width="142" customWidth="1"/>
    <col min="9" max="9" width="34" customWidth="1"/>
    <col min="10" max="10" width="25" customWidth="1"/>
    <col min="11" max="11" width="26" customWidth="1"/>
  </cols>
  <sheetData>
    <row r="1" spans="1:11" x14ac:dyDescent="0.25">
      <c r="A1" s="43" t="s">
        <v>27</v>
      </c>
      <c r="B1" s="43" t="s">
        <v>70</v>
      </c>
      <c r="C1" s="43" t="s">
        <v>71</v>
      </c>
      <c r="D1" s="43" t="s">
        <v>132</v>
      </c>
      <c r="E1" s="43" t="s">
        <v>133</v>
      </c>
      <c r="F1" s="43" t="s">
        <v>134</v>
      </c>
      <c r="G1" s="43" t="s">
        <v>135</v>
      </c>
      <c r="H1" s="43" t="s">
        <v>136</v>
      </c>
      <c r="I1" s="43" t="s">
        <v>137</v>
      </c>
      <c r="J1" s="43" t="s">
        <v>138</v>
      </c>
      <c r="K1" s="43" t="s">
        <v>139</v>
      </c>
    </row>
    <row r="2" spans="1:11" hidden="1" x14ac:dyDescent="0.25">
      <c r="A2" s="44" t="s">
        <v>36</v>
      </c>
      <c r="B2" s="45" t="s">
        <v>97</v>
      </c>
      <c r="C2" s="45">
        <v>1</v>
      </c>
      <c r="D2" s="45" t="str">
        <f>IFERROR(IF(INDEX('01.25'!D2:D500, MATCH(B2&amp;C2, INDEX('01.25'!B2:B500&amp;'01.25'!C2:C500, 0), 0))="", "", INDEX('01.25'!D2:D500, MATCH(B2&amp;C2, INDEX('01.25'!B2:B500&amp;'01.25'!C2:C500, 0), 0))), "")</f>
        <v>Paula Tatiana Santana Vechi</v>
      </c>
      <c r="E2" s="107" t="s">
        <v>16</v>
      </c>
      <c r="F2" s="45" t="s">
        <v>570</v>
      </c>
      <c r="G2" s="52" t="s">
        <v>131</v>
      </c>
      <c r="H2" s="45"/>
      <c r="I2" s="45"/>
      <c r="J2" s="45" t="s">
        <v>140</v>
      </c>
      <c r="K2" s="45"/>
    </row>
    <row r="3" spans="1:11" hidden="1" x14ac:dyDescent="0.25">
      <c r="A3" s="47" t="s">
        <v>28</v>
      </c>
      <c r="B3" s="45" t="s">
        <v>87</v>
      </c>
      <c r="C3" s="45">
        <v>1</v>
      </c>
      <c r="D3" s="45" t="str">
        <f>IFERROR(IF(INDEX('01.25'!D2:D500, MATCH(B3&amp;C3, INDEX('01.25'!B2:B500&amp;'01.25'!C2:C500, 0), 0))="", "", INDEX('01.25'!D2:D500, MATCH(B3&amp;C3, INDEX('01.25'!B2:B500&amp;'01.25'!C2:C500, 0), 0))), "")</f>
        <v>Willian de Oliveira Lino</v>
      </c>
      <c r="E3" s="107" t="s">
        <v>16</v>
      </c>
      <c r="F3" s="45" t="s">
        <v>571</v>
      </c>
      <c r="G3" s="52" t="s">
        <v>131</v>
      </c>
      <c r="H3" s="45" t="s">
        <v>572</v>
      </c>
      <c r="I3" s="45"/>
      <c r="J3" s="45" t="s">
        <v>140</v>
      </c>
      <c r="K3" s="45"/>
    </row>
    <row r="4" spans="1:11" hidden="1" x14ac:dyDescent="0.25">
      <c r="A4" s="48" t="s">
        <v>38</v>
      </c>
      <c r="B4" s="45" t="s">
        <v>78</v>
      </c>
      <c r="C4" s="45">
        <v>1</v>
      </c>
      <c r="D4" s="45" t="str">
        <f>IFERROR(IF(INDEX('01.25'!D2:D500, MATCH(B4&amp;C4, INDEX('01.25'!B2:B500&amp;'01.25'!C2:C500, 0), 0))="", "", INDEX('01.25'!D2:D500, MATCH(B4&amp;C4, INDEX('01.25'!B2:B500&amp;'01.25'!C2:C500, 0), 0))), "")</f>
        <v>Gisele Cássia Tamparowsky de Oliveira</v>
      </c>
      <c r="E4" s="107" t="s">
        <v>16</v>
      </c>
      <c r="F4" s="45" t="s">
        <v>271</v>
      </c>
      <c r="G4" s="52" t="s">
        <v>131</v>
      </c>
      <c r="H4" s="45"/>
      <c r="I4" s="45"/>
      <c r="J4" s="45" t="s">
        <v>140</v>
      </c>
      <c r="K4" s="45"/>
    </row>
    <row r="5" spans="1:11" hidden="1" x14ac:dyDescent="0.25">
      <c r="A5" s="47" t="s">
        <v>28</v>
      </c>
      <c r="B5" s="45" t="s">
        <v>88</v>
      </c>
      <c r="C5" s="45">
        <v>1</v>
      </c>
      <c r="D5" s="45" t="str">
        <f>IFERROR(IF(INDEX('01.25'!D2:D500, MATCH(B5&amp;C5, INDEX('01.25'!B2:B500&amp;'01.25'!C2:C500, 0), 0))="", "", INDEX('01.25'!D2:D500, MATCH(B5&amp;C5, INDEX('01.25'!B2:B500&amp;'01.25'!C2:C500, 0), 0))), "")</f>
        <v>Marcos Gabriel Franciosi Borges</v>
      </c>
      <c r="E5" s="107" t="s">
        <v>16</v>
      </c>
      <c r="F5" s="45" t="s">
        <v>573</v>
      </c>
      <c r="G5" s="52" t="s">
        <v>131</v>
      </c>
      <c r="H5" s="45" t="s">
        <v>149</v>
      </c>
      <c r="I5" s="45"/>
      <c r="J5" s="45" t="s">
        <v>140</v>
      </c>
      <c r="K5" s="45"/>
    </row>
    <row r="6" spans="1:11" hidden="1" x14ac:dyDescent="0.25">
      <c r="A6" s="47" t="s">
        <v>28</v>
      </c>
      <c r="B6" s="45" t="s">
        <v>89</v>
      </c>
      <c r="C6" s="45">
        <v>1</v>
      </c>
      <c r="D6" s="45" t="str">
        <f>IFERROR(IF(INDEX('01.25'!D2:D500, MATCH(B6&amp;C6, INDEX('01.25'!B2:B500&amp;'01.25'!C2:C500, 0), 0))="", "", INDEX('01.25'!D2:D500, MATCH(B6&amp;C6, INDEX('01.25'!B2:B500&amp;'01.25'!C2:C500, 0), 0))), "")</f>
        <v>Chayla Bianca Gazoli</v>
      </c>
      <c r="E6" s="107" t="s">
        <v>16</v>
      </c>
      <c r="F6" s="45" t="s">
        <v>570</v>
      </c>
      <c r="G6" s="52" t="s">
        <v>131</v>
      </c>
      <c r="H6" s="45" t="s">
        <v>149</v>
      </c>
      <c r="I6" s="45"/>
      <c r="J6" s="45" t="s">
        <v>140</v>
      </c>
      <c r="K6" s="45"/>
    </row>
    <row r="7" spans="1:11" hidden="1" x14ac:dyDescent="0.25">
      <c r="A7" s="48" t="s">
        <v>38</v>
      </c>
      <c r="B7" s="45" t="s">
        <v>84</v>
      </c>
      <c r="C7" s="45">
        <v>1</v>
      </c>
      <c r="D7" s="45" t="str">
        <f>IFERROR(IF(INDEX('01.25'!D2:D500, MATCH(B7&amp;C7, INDEX('01.25'!B2:B500&amp;'01.25'!C2:C500, 0), 0))="", "", INDEX('01.25'!D2:D500, MATCH(B7&amp;C7, INDEX('01.25'!B2:B500&amp;'01.25'!C2:C500, 0), 0))), "")</f>
        <v>Solange Maria Masqueti</v>
      </c>
      <c r="E7" s="107" t="s">
        <v>16</v>
      </c>
      <c r="F7" s="45" t="s">
        <v>574</v>
      </c>
      <c r="G7" s="46" t="s">
        <v>140</v>
      </c>
      <c r="H7" s="45"/>
      <c r="I7" s="45"/>
      <c r="J7" s="45" t="s">
        <v>140</v>
      </c>
      <c r="K7" s="45"/>
    </row>
    <row r="8" spans="1:11" hidden="1" x14ac:dyDescent="0.25">
      <c r="A8" s="48" t="s">
        <v>38</v>
      </c>
      <c r="B8" s="45" t="s">
        <v>79</v>
      </c>
      <c r="C8" s="45">
        <v>1</v>
      </c>
      <c r="D8" s="45" t="str">
        <f>IFERROR(IF(INDEX('01.25'!D2:D500, MATCH(B8&amp;C8, INDEX('01.25'!B2:B500&amp;'01.25'!C2:C500, 0), 0))="", "", INDEX('01.25'!D2:D500, MATCH(B8&amp;C8, INDEX('01.25'!B2:B500&amp;'01.25'!C2:C500, 0), 0))), "")</f>
        <v>Cristiane Petry Vieira</v>
      </c>
      <c r="E8" s="107" t="s">
        <v>16</v>
      </c>
      <c r="F8" s="45" t="s">
        <v>563</v>
      </c>
      <c r="G8" s="46" t="s">
        <v>140</v>
      </c>
      <c r="H8" s="45"/>
      <c r="I8" s="45"/>
      <c r="J8" s="45" t="s">
        <v>140</v>
      </c>
      <c r="K8" s="45"/>
    </row>
    <row r="9" spans="1:11" ht="42" hidden="1" customHeight="1" x14ac:dyDescent="0.25">
      <c r="A9" s="47" t="s">
        <v>28</v>
      </c>
      <c r="B9" s="45" t="s">
        <v>90</v>
      </c>
      <c r="C9" s="45">
        <v>1</v>
      </c>
      <c r="D9" s="45" t="str">
        <f>IFERROR(IF(INDEX('01.25'!D2:D500, MATCH(B9&amp;C9, INDEX('01.25'!B2:B500&amp;'01.25'!C2:C500, 0), 0))="", "", INDEX('01.25'!D2:D500, MATCH(B9&amp;C9, INDEX('01.25'!B2:B500&amp;'01.25'!C2:C500, 0), 0))), "")</f>
        <v>Diego Hemerich</v>
      </c>
      <c r="E9" s="107" t="s">
        <v>16</v>
      </c>
      <c r="F9" s="45" t="s">
        <v>525</v>
      </c>
      <c r="G9" s="52" t="s">
        <v>131</v>
      </c>
      <c r="H9" s="57" t="s">
        <v>575</v>
      </c>
      <c r="I9" s="45"/>
      <c r="J9" s="45" t="s">
        <v>140</v>
      </c>
      <c r="K9" s="45"/>
    </row>
    <row r="10" spans="1:11" hidden="1" x14ac:dyDescent="0.25">
      <c r="A10" s="49" t="s">
        <v>43</v>
      </c>
      <c r="B10" s="45" t="s">
        <v>125</v>
      </c>
      <c r="C10" s="45">
        <v>1</v>
      </c>
      <c r="D10" s="45" t="str">
        <f>IFERROR(IF(INDEX('01.25'!D2:D500, MATCH(B10&amp;C10, INDEX('01.25'!B2:B500&amp;'01.25'!C2:C500, 0), 0))="", "", INDEX('01.25'!D2:D500, MATCH(B10&amp;C10, INDEX('01.25'!B2:B500&amp;'01.25'!C2:C500, 0), 0))), "")</f>
        <v>Tatiane Girardi</v>
      </c>
      <c r="E10" s="107" t="s">
        <v>16</v>
      </c>
      <c r="F10" s="45" t="s">
        <v>576</v>
      </c>
      <c r="G10" s="52" t="s">
        <v>131</v>
      </c>
      <c r="H10" s="45" t="s">
        <v>149</v>
      </c>
      <c r="I10" s="45"/>
      <c r="J10" s="45" t="s">
        <v>140</v>
      </c>
      <c r="K10" s="45"/>
    </row>
    <row r="11" spans="1:11" hidden="1" x14ac:dyDescent="0.25">
      <c r="A11" s="49" t="s">
        <v>43</v>
      </c>
      <c r="B11" s="45" t="s">
        <v>126</v>
      </c>
      <c r="C11" s="45">
        <v>1</v>
      </c>
      <c r="D11" s="45" t="str">
        <f>IFERROR(IF(INDEX('01.25'!D2:D500, MATCH(B11&amp;C11, INDEX('01.25'!B2:B500&amp;'01.25'!C2:C500, 0), 0))="", "", INDEX('01.25'!D2:D500, MATCH(B11&amp;C11, INDEX('01.25'!B2:B500&amp;'01.25'!C2:C500, 0), 0))), "")</f>
        <v>Edson Batista de Castro</v>
      </c>
      <c r="E11" s="107" t="s">
        <v>16</v>
      </c>
      <c r="F11" s="45" t="s">
        <v>525</v>
      </c>
      <c r="G11" s="46" t="s">
        <v>131</v>
      </c>
      <c r="H11" s="45" t="s">
        <v>542</v>
      </c>
      <c r="I11" s="45"/>
      <c r="J11" s="45" t="s">
        <v>140</v>
      </c>
      <c r="K11" s="45"/>
    </row>
    <row r="12" spans="1:11" hidden="1" x14ac:dyDescent="0.25">
      <c r="A12" s="49" t="s">
        <v>43</v>
      </c>
      <c r="B12" s="45" t="s">
        <v>126</v>
      </c>
      <c r="C12" s="45">
        <v>2</v>
      </c>
      <c r="D12" s="45" t="str">
        <f>IFERROR(IF(INDEX('01.25'!D2:D500, MATCH(B12&amp;C12, INDEX('01.25'!B2:B500&amp;'01.25'!C2:C500, 0), 0))="", "", INDEX('01.25'!D2:D500, MATCH(B12&amp;C12, INDEX('01.25'!B2:B500&amp;'01.25'!C2:C500, 0), 0))), "")</f>
        <v>Gabriela Fernanda Sandri</v>
      </c>
      <c r="E12" s="107" t="s">
        <v>16</v>
      </c>
      <c r="F12" s="45" t="s">
        <v>574</v>
      </c>
      <c r="G12" s="46" t="s">
        <v>131</v>
      </c>
      <c r="H12" s="45" t="s">
        <v>477</v>
      </c>
      <c r="I12" s="45"/>
      <c r="J12" s="45" t="s">
        <v>140</v>
      </c>
      <c r="K12" s="45"/>
    </row>
    <row r="13" spans="1:11" hidden="1" x14ac:dyDescent="0.25">
      <c r="A13" s="49" t="s">
        <v>43</v>
      </c>
      <c r="B13" s="45" t="s">
        <v>126</v>
      </c>
      <c r="C13" s="45">
        <v>3</v>
      </c>
      <c r="D13" s="45" t="str">
        <f>IFERROR(IF(INDEX('01.25'!D2:D500, MATCH(B13&amp;C13, INDEX('01.25'!B2:B500&amp;'01.25'!C2:C500, 0), 0))="", "", INDEX('01.25'!D2:D500, MATCH(B13&amp;C13, INDEX('01.25'!B2:B500&amp;'01.25'!C2:C500, 0), 0))), "")</f>
        <v>Eduarda Rohden Donasolo</v>
      </c>
      <c r="E13" s="107" t="s">
        <v>16</v>
      </c>
      <c r="F13" s="45" t="s">
        <v>525</v>
      </c>
      <c r="G13" s="46" t="s">
        <v>131</v>
      </c>
      <c r="H13" s="45" t="s">
        <v>475</v>
      </c>
      <c r="I13" s="45"/>
      <c r="J13" s="45" t="s">
        <v>140</v>
      </c>
      <c r="K13" s="45"/>
    </row>
    <row r="14" spans="1:11" hidden="1" x14ac:dyDescent="0.25">
      <c r="A14" s="49" t="s">
        <v>43</v>
      </c>
      <c r="B14" s="45" t="s">
        <v>126</v>
      </c>
      <c r="C14" s="45">
        <v>4</v>
      </c>
      <c r="D14" s="45" t="str">
        <f>IFERROR(IF(INDEX('01.25'!D2:D500, MATCH(B14&amp;C14, INDEX('01.25'!B2:B500&amp;'01.25'!C2:C500, 0), 0))="", "", INDEX('01.25'!D2:D500, MATCH(B14&amp;C14, INDEX('01.25'!B2:B500&amp;'01.25'!C2:C500, 0), 0))), "")</f>
        <v>Mauricio Pinto de Lima</v>
      </c>
      <c r="E14" s="107" t="s">
        <v>16</v>
      </c>
      <c r="F14" s="45" t="s">
        <v>525</v>
      </c>
      <c r="G14" s="46" t="s">
        <v>131</v>
      </c>
      <c r="H14" s="45" t="s">
        <v>542</v>
      </c>
      <c r="I14" s="45"/>
      <c r="J14" s="45" t="s">
        <v>140</v>
      </c>
      <c r="K14" s="45"/>
    </row>
    <row r="15" spans="1:11" hidden="1" x14ac:dyDescent="0.25">
      <c r="A15" s="49" t="s">
        <v>43</v>
      </c>
      <c r="B15" s="45" t="s">
        <v>126</v>
      </c>
      <c r="C15" s="45">
        <v>5</v>
      </c>
      <c r="D15" s="45" t="str">
        <f>IFERROR(IF(INDEX('01.25'!D2:D500, MATCH(B15&amp;C15, INDEX('01.25'!B2:B500&amp;'01.25'!C2:C500, 0), 0))="", "", INDEX('01.25'!D2:D500, MATCH(B15&amp;C15, INDEX('01.25'!B2:B500&amp;'01.25'!C2:C500, 0), 0))), "")</f>
        <v xml:space="preserve">Débora Laize Lampert Gnass </v>
      </c>
      <c r="E15" s="107" t="s">
        <v>16</v>
      </c>
      <c r="F15" s="45" t="s">
        <v>577</v>
      </c>
      <c r="G15" s="46" t="s">
        <v>131</v>
      </c>
      <c r="H15" s="45" t="s">
        <v>477</v>
      </c>
      <c r="I15" s="45"/>
      <c r="J15" s="45" t="s">
        <v>140</v>
      </c>
      <c r="K15" s="45"/>
    </row>
    <row r="16" spans="1:11" hidden="1" x14ac:dyDescent="0.25">
      <c r="A16" s="49" t="s">
        <v>43</v>
      </c>
      <c r="B16" s="45" t="s">
        <v>126</v>
      </c>
      <c r="C16" s="45">
        <v>6</v>
      </c>
      <c r="D16" s="45" t="str">
        <f>IFERROR(IF(INDEX('01.25'!D2:D500, MATCH(B16&amp;C16, INDEX('01.25'!B2:B500&amp;'01.25'!C2:C500, 0), 0))="", "", INDEX('01.25'!D2:D500, MATCH(B16&amp;C16, INDEX('01.25'!B2:B500&amp;'01.25'!C2:C500, 0), 0))), "")</f>
        <v/>
      </c>
      <c r="E16" s="107" t="s">
        <v>16</v>
      </c>
      <c r="F16" s="45" t="s">
        <v>525</v>
      </c>
      <c r="G16" s="46" t="s">
        <v>131</v>
      </c>
      <c r="H16" s="111" t="s">
        <v>475</v>
      </c>
      <c r="I16" s="45"/>
      <c r="J16" s="45" t="s">
        <v>140</v>
      </c>
      <c r="K16" s="45"/>
    </row>
    <row r="17" spans="1:11" hidden="1" x14ac:dyDescent="0.25">
      <c r="A17" s="47" t="s">
        <v>28</v>
      </c>
      <c r="B17" s="45" t="s">
        <v>91</v>
      </c>
      <c r="C17" s="45">
        <v>1</v>
      </c>
      <c r="D17" s="45" t="str">
        <f>IFERROR(IF(INDEX('01.25'!D2:D500, MATCH(B17&amp;C17, INDEX('01.25'!B2:B500&amp;'01.25'!C2:C500, 0), 0))="", "", INDEX('01.25'!D2:D500, MATCH(B17&amp;C17, INDEX('01.25'!B2:B500&amp;'01.25'!C2:C500, 0), 0))), "")</f>
        <v>Cristina Harumi Enokida</v>
      </c>
      <c r="E17" s="107" t="s">
        <v>16</v>
      </c>
      <c r="F17" s="45" t="s">
        <v>578</v>
      </c>
      <c r="G17" s="52" t="s">
        <v>131</v>
      </c>
      <c r="H17" s="45" t="s">
        <v>149</v>
      </c>
      <c r="I17" s="45"/>
      <c r="J17" s="45" t="s">
        <v>140</v>
      </c>
      <c r="K17" s="45"/>
    </row>
    <row r="18" spans="1:11" hidden="1" x14ac:dyDescent="0.25">
      <c r="A18" s="49" t="s">
        <v>43</v>
      </c>
      <c r="B18" s="45" t="s">
        <v>127</v>
      </c>
      <c r="C18" s="45">
        <v>1</v>
      </c>
      <c r="D18" s="45" t="str">
        <f>IFERROR(IF(INDEX('01.25'!D2:D500, MATCH(B18&amp;C18, INDEX('01.25'!B2:B500&amp;'01.25'!C2:C500, 0), 0))="", "", INDEX('01.25'!D2:D500, MATCH(B18&amp;C18, INDEX('01.25'!B2:B500&amp;'01.25'!C2:C500, 0), 0))), "")</f>
        <v>Douglas de Mattia</v>
      </c>
      <c r="E18" s="107" t="s">
        <v>16</v>
      </c>
      <c r="F18" s="45" t="s">
        <v>579</v>
      </c>
      <c r="G18" s="52" t="s">
        <v>131</v>
      </c>
      <c r="H18" s="45" t="s">
        <v>475</v>
      </c>
      <c r="I18" s="45"/>
      <c r="J18" s="45" t="s">
        <v>140</v>
      </c>
      <c r="K18" s="45"/>
    </row>
    <row r="19" spans="1:11" ht="28.5" hidden="1" customHeight="1" x14ac:dyDescent="0.25">
      <c r="A19" s="47" t="s">
        <v>28</v>
      </c>
      <c r="B19" s="45" t="s">
        <v>92</v>
      </c>
      <c r="C19" s="45">
        <v>1</v>
      </c>
      <c r="D19" s="45" t="str">
        <f>IFERROR(IF(INDEX('01.25'!D2:D500, MATCH(B19&amp;C19, INDEX('01.25'!B2:B500&amp;'01.25'!C2:C500, 0), 0))="", "", INDEX('01.25'!D2:D500, MATCH(B19&amp;C19, INDEX('01.25'!B2:B500&amp;'01.25'!C2:C500, 0), 0))), "")</f>
        <v>Vanderson Pasetti</v>
      </c>
      <c r="E19" s="107" t="s">
        <v>16</v>
      </c>
      <c r="F19" s="45" t="s">
        <v>580</v>
      </c>
      <c r="G19" s="52" t="s">
        <v>131</v>
      </c>
      <c r="H19" s="57" t="s">
        <v>581</v>
      </c>
      <c r="I19" s="45"/>
      <c r="J19" s="45" t="s">
        <v>140</v>
      </c>
      <c r="K19" s="45"/>
    </row>
    <row r="20" spans="1:11" x14ac:dyDescent="0.25">
      <c r="A20" s="50" t="s">
        <v>42</v>
      </c>
      <c r="B20" s="45" t="s">
        <v>115</v>
      </c>
      <c r="C20" s="45">
        <v>1</v>
      </c>
      <c r="D20" s="45" t="str">
        <f>IFERROR(IF(INDEX('01.25'!D2:D500, MATCH(B20&amp;C20, INDEX('01.25'!B2:B500&amp;'01.25'!C2:C500, 0), 0))="", "", INDEX('01.25'!D2:D500, MATCH(B20&amp;C20, INDEX('01.25'!B2:B500&amp;'01.25'!C2:C500, 0), 0))), "")</f>
        <v>Bruna Schneider Guimarães</v>
      </c>
      <c r="E20" s="107" t="s">
        <v>16</v>
      </c>
      <c r="F20" s="45" t="s">
        <v>582</v>
      </c>
      <c r="G20" s="52" t="s">
        <v>131</v>
      </c>
      <c r="H20" s="45"/>
      <c r="I20" s="45"/>
      <c r="J20" s="45" t="s">
        <v>140</v>
      </c>
      <c r="K20" s="45"/>
    </row>
    <row r="21" spans="1:11" hidden="1" x14ac:dyDescent="0.25">
      <c r="A21" s="47" t="s">
        <v>28</v>
      </c>
      <c r="B21" s="45" t="s">
        <v>93</v>
      </c>
      <c r="C21" s="45">
        <v>1</v>
      </c>
      <c r="D21" s="45" t="str">
        <f>IFERROR(IF(INDEX('01.25'!D2:D500, MATCH(B21&amp;C21, INDEX('01.25'!B2:B500&amp;'01.25'!C2:C500, 0), 0))="", "", INDEX('01.25'!D2:D500, MATCH(B21&amp;C21, INDEX('01.25'!B2:B500&amp;'01.25'!C2:C500, 0), 0))), "")</f>
        <v>Keilla Avezedo</v>
      </c>
      <c r="E21" s="107" t="s">
        <v>16</v>
      </c>
      <c r="F21" s="45" t="s">
        <v>574</v>
      </c>
      <c r="G21" s="52" t="s">
        <v>131</v>
      </c>
      <c r="H21" s="45" t="s">
        <v>149</v>
      </c>
      <c r="I21" s="45"/>
      <c r="J21" s="45" t="s">
        <v>140</v>
      </c>
      <c r="K21" s="45"/>
    </row>
    <row r="22" spans="1:11" x14ac:dyDescent="0.25">
      <c r="A22" s="50" t="s">
        <v>42</v>
      </c>
      <c r="B22" s="45" t="s">
        <v>116</v>
      </c>
      <c r="C22" s="45">
        <v>1</v>
      </c>
      <c r="D22" s="45" t="str">
        <f>IFERROR(IF(INDEX('01.25'!D2:D500, MATCH(B22&amp;C22, INDEX('01.25'!B2:B500&amp;'01.25'!C2:C500, 0), 0))="", "", INDEX('01.25'!D2:D500, MATCH(B22&amp;C22, INDEX('01.25'!B2:B500&amp;'01.25'!C2:C500, 0), 0))), "")</f>
        <v>Carmen Maria Stein Weiler</v>
      </c>
      <c r="E22" s="107" t="s">
        <v>16</v>
      </c>
      <c r="F22" s="45" t="s">
        <v>571</v>
      </c>
      <c r="G22" s="52" t="s">
        <v>131</v>
      </c>
      <c r="H22" s="45"/>
      <c r="I22" s="45"/>
      <c r="J22" s="45" t="s">
        <v>140</v>
      </c>
      <c r="K22" s="45"/>
    </row>
    <row r="23" spans="1:11" hidden="1" x14ac:dyDescent="0.25">
      <c r="A23" s="48" t="s">
        <v>38</v>
      </c>
      <c r="B23" s="45" t="s">
        <v>75</v>
      </c>
      <c r="C23" s="45">
        <v>1</v>
      </c>
      <c r="D23" s="45" t="str">
        <f>IFERROR(IF(INDEX('01.25'!D2:D500, MATCH(B23&amp;C23, INDEX('01.25'!B2:B500&amp;'01.25'!C2:C500, 0), 0))="", "", INDEX('01.25'!D2:D500, MATCH(B23&amp;C23, INDEX('01.25'!B2:B500&amp;'01.25'!C2:C500, 0), 0))), "")</f>
        <v>Thiago Varaschim Cenci</v>
      </c>
      <c r="E23" s="107" t="s">
        <v>16</v>
      </c>
      <c r="F23" s="45" t="s">
        <v>516</v>
      </c>
      <c r="G23" s="46" t="s">
        <v>131</v>
      </c>
      <c r="H23" s="45" t="s">
        <v>677</v>
      </c>
      <c r="I23" s="45"/>
      <c r="J23" s="45" t="s">
        <v>140</v>
      </c>
      <c r="K23" s="45"/>
    </row>
    <row r="24" spans="1:11" hidden="1" x14ac:dyDescent="0.25">
      <c r="A24" s="51" t="s">
        <v>40</v>
      </c>
      <c r="B24" s="45" t="s">
        <v>80</v>
      </c>
      <c r="C24" s="45">
        <v>1</v>
      </c>
      <c r="D24" s="45" t="str">
        <f>IFERROR(IF(INDEX('01.25'!D2:D500, MATCH(B24&amp;C24, INDEX('01.25'!B2:B500&amp;'01.25'!C2:C500, 0), 0))="", "", INDEX('01.25'!D2:D500, MATCH(B24&amp;C24, INDEX('01.25'!B2:B500&amp;'01.25'!C2:C500, 0), 0))), "")</f>
        <v>Éber Alexandre Nascimento Araújo</v>
      </c>
      <c r="E24" s="107" t="s">
        <v>16</v>
      </c>
      <c r="F24" s="45" t="s">
        <v>583</v>
      </c>
      <c r="G24" s="52" t="s">
        <v>131</v>
      </c>
      <c r="H24" s="45"/>
      <c r="I24" s="45"/>
      <c r="J24" s="45" t="s">
        <v>140</v>
      </c>
      <c r="K24" s="45"/>
    </row>
    <row r="25" spans="1:11" hidden="1" x14ac:dyDescent="0.25">
      <c r="A25" s="51" t="s">
        <v>40</v>
      </c>
      <c r="B25" s="45" t="s">
        <v>80</v>
      </c>
      <c r="C25" s="45">
        <v>2</v>
      </c>
      <c r="D25" s="45" t="str">
        <f>IFERROR(IF(INDEX('01.25'!D2:D500, MATCH(B25&amp;C25, INDEX('01.25'!B2:B500&amp;'01.25'!C2:C500, 0), 0))="", "", INDEX('01.25'!D2:D500, MATCH(B25&amp;C25, INDEX('01.25'!B2:B500&amp;'01.25'!C2:C500, 0), 0))), "")</f>
        <v>Andrea Carla Winkelmann</v>
      </c>
      <c r="E25" s="107" t="s">
        <v>16</v>
      </c>
      <c r="F25" s="45" t="s">
        <v>583</v>
      </c>
      <c r="G25" s="52" t="s">
        <v>131</v>
      </c>
      <c r="H25" s="45"/>
      <c r="I25" s="45"/>
      <c r="J25" s="45" t="s">
        <v>140</v>
      </c>
      <c r="K25" s="45"/>
    </row>
    <row r="26" spans="1:11" hidden="1" x14ac:dyDescent="0.25">
      <c r="A26" s="51" t="s">
        <v>40</v>
      </c>
      <c r="B26" s="45" t="s">
        <v>80</v>
      </c>
      <c r="C26" s="45">
        <v>3</v>
      </c>
      <c r="D26" s="45" t="str">
        <f>IFERROR(IF(INDEX('01.25'!D2:D500, MATCH(B26&amp;C26, INDEX('01.25'!B2:B500&amp;'01.25'!C2:C500, 0), 0))="", "", INDEX('01.25'!D2:D500, MATCH(B26&amp;C26, INDEX('01.25'!B2:B500&amp;'01.25'!C2:C500, 0), 0))), "")</f>
        <v>Lorizete de Andrade</v>
      </c>
      <c r="E26" s="107" t="s">
        <v>16</v>
      </c>
      <c r="F26" s="45" t="s">
        <v>578</v>
      </c>
      <c r="G26" s="52" t="s">
        <v>131</v>
      </c>
      <c r="H26" s="45" t="s">
        <v>584</v>
      </c>
      <c r="I26" s="45"/>
      <c r="J26" s="45" t="s">
        <v>140</v>
      </c>
      <c r="K26" s="45"/>
    </row>
    <row r="27" spans="1:11" hidden="1" x14ac:dyDescent="0.25">
      <c r="A27" s="51" t="s">
        <v>40</v>
      </c>
      <c r="B27" s="45" t="s">
        <v>80</v>
      </c>
      <c r="C27" s="45">
        <v>4</v>
      </c>
      <c r="D27" s="45" t="str">
        <f>IFERROR(IF(INDEX('01.25'!D2:D500, MATCH(B27&amp;C27, INDEX('01.25'!B2:B500&amp;'01.25'!C2:C500, 0), 0))="", "", INDEX('01.25'!D2:D500, MATCH(B27&amp;C27, INDEX('01.25'!B2:B500&amp;'01.25'!C2:C500, 0), 0))), "")</f>
        <v>Andressa Maia</v>
      </c>
      <c r="E27" s="107" t="s">
        <v>16</v>
      </c>
      <c r="F27" s="45" t="s">
        <v>583</v>
      </c>
      <c r="G27" s="52" t="s">
        <v>131</v>
      </c>
      <c r="H27" s="45"/>
      <c r="I27" s="45"/>
      <c r="J27" s="45" t="s">
        <v>140</v>
      </c>
      <c r="K27" s="45"/>
    </row>
    <row r="28" spans="1:11" hidden="1" x14ac:dyDescent="0.25">
      <c r="A28" s="51" t="s">
        <v>40</v>
      </c>
      <c r="B28" s="45" t="s">
        <v>80</v>
      </c>
      <c r="C28" s="45">
        <v>5</v>
      </c>
      <c r="D28" s="45" t="str">
        <f>IFERROR(IF(INDEX('01.25'!D2:D500, MATCH(B28&amp;C28, INDEX('01.25'!B2:B500&amp;'01.25'!C2:C500, 0), 0))="", "", INDEX('01.25'!D2:D500, MATCH(B28&amp;C28, INDEX('01.25'!B2:B500&amp;'01.25'!C2:C500, 0), 0))), "")</f>
        <v>Lucas Correia de Souza</v>
      </c>
      <c r="E28" s="107" t="s">
        <v>16</v>
      </c>
      <c r="F28" s="45" t="s">
        <v>525</v>
      </c>
      <c r="G28" s="52" t="s">
        <v>131</v>
      </c>
      <c r="H28" s="45"/>
      <c r="I28" s="45"/>
      <c r="J28" s="45" t="s">
        <v>140</v>
      </c>
      <c r="K28" s="45"/>
    </row>
    <row r="29" spans="1:11" hidden="1" x14ac:dyDescent="0.25">
      <c r="A29" s="51" t="s">
        <v>40</v>
      </c>
      <c r="B29" s="45" t="s">
        <v>80</v>
      </c>
      <c r="C29" s="45">
        <v>6</v>
      </c>
      <c r="D29" s="45" t="str">
        <f>IFERROR(IF(INDEX('01.25'!D2:D500, MATCH(B29&amp;C29, INDEX('01.25'!B2:B500&amp;'01.25'!C2:C500, 0), 0))="", "", INDEX('01.25'!D2:D500, MATCH(B29&amp;C29, INDEX('01.25'!B2:B500&amp;'01.25'!C2:C500, 0), 0))), "")</f>
        <v>Jose Francisco Mariano de Faria Filho</v>
      </c>
      <c r="E29" s="107" t="s">
        <v>16</v>
      </c>
      <c r="F29" s="45" t="s">
        <v>585</v>
      </c>
      <c r="G29" s="52" t="s">
        <v>131</v>
      </c>
      <c r="H29" s="45" t="s">
        <v>586</v>
      </c>
      <c r="I29" s="45"/>
      <c r="J29" s="45" t="s">
        <v>140</v>
      </c>
      <c r="K29" s="45"/>
    </row>
    <row r="30" spans="1:11" hidden="1" x14ac:dyDescent="0.25">
      <c r="A30" s="51" t="s">
        <v>40</v>
      </c>
      <c r="B30" s="45" t="s">
        <v>80</v>
      </c>
      <c r="C30" s="45">
        <v>7</v>
      </c>
      <c r="D30" s="45" t="str">
        <f>IFERROR(IF(INDEX('01.25'!D2:D500, MATCH(B30&amp;C30, INDEX('01.25'!B2:B500&amp;'01.25'!C2:C500, 0), 0))="", "", INDEX('01.25'!D2:D500, MATCH(B30&amp;C30, INDEX('01.25'!B2:B500&amp;'01.25'!C2:C500, 0), 0))), "")</f>
        <v>Pedro Henrique Mariano de Faria</v>
      </c>
      <c r="E30" s="107" t="s">
        <v>16</v>
      </c>
      <c r="F30" s="45" t="s">
        <v>358</v>
      </c>
      <c r="G30" s="52" t="s">
        <v>131</v>
      </c>
      <c r="H30" s="45"/>
      <c r="I30" s="45"/>
      <c r="J30" s="45" t="s">
        <v>140</v>
      </c>
      <c r="K30" s="45"/>
    </row>
    <row r="31" spans="1:11" hidden="1" x14ac:dyDescent="0.25">
      <c r="A31" s="51" t="s">
        <v>40</v>
      </c>
      <c r="B31" s="45" t="s">
        <v>80</v>
      </c>
      <c r="C31" s="45">
        <v>8</v>
      </c>
      <c r="D31" s="45" t="str">
        <f>IFERROR(IF(INDEX('01.25'!D2:D500, MATCH(B31&amp;C31, INDEX('01.25'!B2:B500&amp;'01.25'!C2:C500, 0), 0))="", "", INDEX('01.25'!D2:D500, MATCH(B31&amp;C31, INDEX('01.25'!B2:B500&amp;'01.25'!C2:C500, 0), 0))), "")</f>
        <v>Renata Aparecida de Souza</v>
      </c>
      <c r="E31" s="107" t="s">
        <v>16</v>
      </c>
      <c r="F31" s="45" t="s">
        <v>555</v>
      </c>
      <c r="G31" s="52" t="s">
        <v>131</v>
      </c>
      <c r="H31" s="45" t="s">
        <v>587</v>
      </c>
      <c r="I31" s="45"/>
      <c r="J31" s="45" t="s">
        <v>140</v>
      </c>
      <c r="K31" s="45"/>
    </row>
    <row r="32" spans="1:11" hidden="1" x14ac:dyDescent="0.25">
      <c r="A32" s="51" t="s">
        <v>40</v>
      </c>
      <c r="B32" s="45" t="s">
        <v>80</v>
      </c>
      <c r="C32" s="45">
        <v>9</v>
      </c>
      <c r="D32" s="45" t="str">
        <f>IFERROR(IF(INDEX('01.25'!D2:D500, MATCH(B32&amp;C32, INDEX('01.25'!B2:B500&amp;'01.25'!C2:C500, 0), 0))="", "", INDEX('01.25'!D2:D500, MATCH(B32&amp;C32, INDEX('01.25'!B2:B500&amp;'01.25'!C2:C500, 0), 0))), "")</f>
        <v>Maria Eduarda dos Santos Arias</v>
      </c>
      <c r="E32" s="107" t="s">
        <v>16</v>
      </c>
      <c r="F32" s="45" t="s">
        <v>588</v>
      </c>
      <c r="G32" s="52" t="s">
        <v>131</v>
      </c>
      <c r="H32" s="45" t="s">
        <v>589</v>
      </c>
      <c r="I32" s="45"/>
      <c r="J32" s="45" t="s">
        <v>140</v>
      </c>
      <c r="K32" s="45"/>
    </row>
    <row r="33" spans="1:11" hidden="1" x14ac:dyDescent="0.25">
      <c r="A33" s="44" t="s">
        <v>36</v>
      </c>
      <c r="B33" s="45" t="s">
        <v>98</v>
      </c>
      <c r="C33" s="45">
        <v>1</v>
      </c>
      <c r="D33" s="45" t="str">
        <f>IFERROR(IF(INDEX('01.25'!D2:D500, MATCH(B33&amp;C33, INDEX('01.25'!B2:B500&amp;'01.25'!C2:C500, 0), 0))="", "", INDEX('01.25'!D2:D500, MATCH(B33&amp;C33, INDEX('01.25'!B2:B500&amp;'01.25'!C2:C500, 0), 0))), "")</f>
        <v>Paulo Rogerio Hiroshi Fujii</v>
      </c>
      <c r="E33" s="107" t="s">
        <v>16</v>
      </c>
      <c r="F33" s="45" t="s">
        <v>579</v>
      </c>
      <c r="G33" s="46" t="s">
        <v>140</v>
      </c>
      <c r="H33" s="45"/>
      <c r="I33" s="45"/>
      <c r="J33" s="45" t="s">
        <v>140</v>
      </c>
      <c r="K33" s="45"/>
    </row>
    <row r="34" spans="1:11" hidden="1" x14ac:dyDescent="0.25">
      <c r="A34" s="44" t="s">
        <v>36</v>
      </c>
      <c r="B34" s="45" t="s">
        <v>99</v>
      </c>
      <c r="C34" s="45">
        <v>1</v>
      </c>
      <c r="D34" s="45" t="str">
        <f>IFERROR(IF(INDEX('01.25'!D2:D500, MATCH(B34&amp;C34, INDEX('01.25'!B2:B500&amp;'01.25'!C2:C500, 0), 0))="", "", INDEX('01.25'!D2:D500, MATCH(B34&amp;C34, INDEX('01.25'!B2:B500&amp;'01.25'!C2:C500, 0), 0))), "")</f>
        <v>Marlene R. Oliveira Dallacosta</v>
      </c>
      <c r="E34" s="107" t="s">
        <v>16</v>
      </c>
      <c r="F34" s="45" t="s">
        <v>570</v>
      </c>
      <c r="G34" s="46" t="s">
        <v>140</v>
      </c>
      <c r="H34" s="45"/>
      <c r="I34" s="45"/>
      <c r="J34" s="45" t="s">
        <v>140</v>
      </c>
      <c r="K34" s="45"/>
    </row>
    <row r="35" spans="1:11" hidden="1" x14ac:dyDescent="0.25">
      <c r="A35" s="47" t="s">
        <v>28</v>
      </c>
      <c r="B35" s="45" t="s">
        <v>94</v>
      </c>
      <c r="C35" s="45">
        <v>1</v>
      </c>
      <c r="D35" s="45" t="str">
        <f>IFERROR(IF(INDEX('01.25'!D2:D500, MATCH(B35&amp;C35, INDEX('01.25'!B2:B500&amp;'01.25'!C2:C500, 0), 0))="", "", INDEX('01.25'!D2:D500, MATCH(B35&amp;C35, INDEX('01.25'!B2:B500&amp;'01.25'!C2:C500, 0), 0))), "")</f>
        <v>Vitolor dos Santos Almeida</v>
      </c>
      <c r="E35" s="107" t="s">
        <v>16</v>
      </c>
      <c r="F35" s="45" t="s">
        <v>578</v>
      </c>
      <c r="G35" s="52" t="s">
        <v>131</v>
      </c>
      <c r="H35" s="45" t="s">
        <v>149</v>
      </c>
      <c r="I35" s="45"/>
      <c r="J35" s="45" t="s">
        <v>140</v>
      </c>
      <c r="K35" s="45"/>
    </row>
    <row r="36" spans="1:11" hidden="1" x14ac:dyDescent="0.25">
      <c r="A36" s="47" t="s">
        <v>28</v>
      </c>
      <c r="B36" s="45" t="s">
        <v>95</v>
      </c>
      <c r="C36" s="45">
        <v>1</v>
      </c>
      <c r="D36" s="45" t="str">
        <f>IFERROR(IF(INDEX('01.25'!D2:D500, MATCH(B36&amp;C36, INDEX('01.25'!B2:B500&amp;'01.25'!C2:C500, 0), 0))="", "", INDEX('01.25'!D2:D500, MATCH(B36&amp;C36, INDEX('01.25'!B2:B500&amp;'01.25'!C2:C500, 0), 0))), "")</f>
        <v>Kelly Jackeline Silva do Valle</v>
      </c>
      <c r="E36" s="107" t="s">
        <v>16</v>
      </c>
      <c r="F36" s="45" t="s">
        <v>590</v>
      </c>
      <c r="G36" s="52" t="s">
        <v>131</v>
      </c>
      <c r="H36" s="45" t="s">
        <v>149</v>
      </c>
      <c r="I36" s="45"/>
      <c r="J36" s="45" t="s">
        <v>140</v>
      </c>
      <c r="K36" s="45"/>
    </row>
    <row r="37" spans="1:11" hidden="1" x14ac:dyDescent="0.25">
      <c r="A37" s="47" t="s">
        <v>28</v>
      </c>
      <c r="B37" s="45" t="s">
        <v>96</v>
      </c>
      <c r="C37" s="45">
        <v>1</v>
      </c>
      <c r="D37" s="45" t="str">
        <f>IFERROR(IF(INDEX('01.25'!D2:D500, MATCH(B37&amp;C37, INDEX('01.25'!B2:B500&amp;'01.25'!C2:C500, 0), 0))="", "", INDEX('01.25'!D2:D500, MATCH(B37&amp;C37, INDEX('01.25'!B2:B500&amp;'01.25'!C2:C500, 0), 0))), "")</f>
        <v>Felipe Carvalho Zydek</v>
      </c>
      <c r="E37" s="107" t="s">
        <v>16</v>
      </c>
      <c r="F37" s="45" t="s">
        <v>574</v>
      </c>
      <c r="G37" s="52" t="s">
        <v>131</v>
      </c>
      <c r="H37" s="45" t="s">
        <v>149</v>
      </c>
      <c r="I37" s="45"/>
      <c r="J37" s="45" t="s">
        <v>140</v>
      </c>
      <c r="K37" s="45"/>
    </row>
    <row r="38" spans="1:11" hidden="1" x14ac:dyDescent="0.25">
      <c r="A38" s="48" t="s">
        <v>38</v>
      </c>
      <c r="B38" s="45" t="s">
        <v>107</v>
      </c>
      <c r="C38" s="45">
        <v>1</v>
      </c>
      <c r="D38" s="45" t="str">
        <f>IFERROR(IF(INDEX('01.25'!D2:D500, MATCH(B38&amp;C38, INDEX('01.25'!B2:B500&amp;'01.25'!C2:C500, 0), 0))="", "", INDEX('01.25'!D2:D500, MATCH(B38&amp;C38, INDEX('01.25'!B2:B500&amp;'01.25'!C2:C500, 0), 0))), "")</f>
        <v>Eliane Borin</v>
      </c>
      <c r="E38" s="107" t="s">
        <v>16</v>
      </c>
      <c r="F38" s="45" t="s">
        <v>563</v>
      </c>
      <c r="G38" s="46" t="s">
        <v>131</v>
      </c>
      <c r="H38" s="45" t="s">
        <v>707</v>
      </c>
      <c r="I38" s="45"/>
      <c r="J38" s="45" t="s">
        <v>140</v>
      </c>
      <c r="K38" s="45"/>
    </row>
    <row r="39" spans="1:11" x14ac:dyDescent="0.25">
      <c r="A39" s="50" t="s">
        <v>42</v>
      </c>
      <c r="B39" s="45" t="s">
        <v>117</v>
      </c>
      <c r="C39" s="45">
        <v>1</v>
      </c>
      <c r="D39" s="45" t="str">
        <f>IFERROR(IF(INDEX('01.25'!D2:D500, MATCH(B39&amp;C39, INDEX('01.25'!B2:B500&amp;'01.25'!C2:C500, 0), 0))="", "", INDEX('01.25'!D2:D500, MATCH(B39&amp;C39, INDEX('01.25'!B2:B500&amp;'01.25'!C2:C500, 0), 0))), "")</f>
        <v>Tatiana schrard</v>
      </c>
      <c r="E39" s="107" t="s">
        <v>16</v>
      </c>
      <c r="F39" s="45" t="s">
        <v>525</v>
      </c>
      <c r="G39" s="52" t="s">
        <v>131</v>
      </c>
      <c r="H39" s="45"/>
      <c r="I39" s="45"/>
      <c r="J39" s="45" t="s">
        <v>140</v>
      </c>
      <c r="K39" s="45"/>
    </row>
    <row r="40" spans="1:11" hidden="1" x14ac:dyDescent="0.25">
      <c r="A40" s="48" t="s">
        <v>38</v>
      </c>
      <c r="B40" s="45" t="s">
        <v>81</v>
      </c>
      <c r="C40" s="45">
        <v>1</v>
      </c>
      <c r="D40" s="45" t="str">
        <f>IFERROR(IF(INDEX('01.25'!D2:D500, MATCH(B40&amp;C40, INDEX('01.25'!B2:B500&amp;'01.25'!C2:C500, 0), 0))="", "", INDEX('01.25'!D2:D500, MATCH(B40&amp;C40, INDEX('01.25'!B2:B500&amp;'01.25'!C2:C500, 0), 0))), "")</f>
        <v>César Piva Glinglani</v>
      </c>
      <c r="E40" s="107" t="s">
        <v>16</v>
      </c>
      <c r="F40" s="45" t="s">
        <v>525</v>
      </c>
      <c r="G40" s="46" t="s">
        <v>140</v>
      </c>
      <c r="H40" s="45"/>
      <c r="I40" s="45"/>
      <c r="J40" s="45" t="s">
        <v>140</v>
      </c>
      <c r="K40" s="45"/>
    </row>
    <row r="41" spans="1:11" hidden="1" x14ac:dyDescent="0.25">
      <c r="A41" s="49" t="s">
        <v>43</v>
      </c>
      <c r="B41" s="45" t="s">
        <v>128</v>
      </c>
      <c r="C41" s="45">
        <v>1</v>
      </c>
      <c r="D41" s="45" t="str">
        <f>IFERROR(IF(INDEX('01.25'!D2:D500, MATCH(B41&amp;C41, INDEX('01.25'!B2:B500&amp;'01.25'!C2:C500, 0), 0))="", "", INDEX('01.25'!D2:D500, MATCH(B41&amp;C41, INDEX('01.25'!B2:B500&amp;'01.25'!C2:C500, 0), 0))), "")</f>
        <v>Ailton Carlos Fialho</v>
      </c>
      <c r="E41" s="107" t="s">
        <v>16</v>
      </c>
      <c r="F41" s="45" t="s">
        <v>591</v>
      </c>
      <c r="G41" s="52" t="s">
        <v>131</v>
      </c>
      <c r="H41" s="45" t="s">
        <v>149</v>
      </c>
      <c r="I41" s="45"/>
      <c r="J41" s="45" t="s">
        <v>140</v>
      </c>
      <c r="K41" s="45"/>
    </row>
    <row r="42" spans="1:11" x14ac:dyDescent="0.25">
      <c r="A42" s="50" t="s">
        <v>42</v>
      </c>
      <c r="B42" s="45" t="s">
        <v>82</v>
      </c>
      <c r="C42" s="45">
        <v>1</v>
      </c>
      <c r="D42" s="45" t="str">
        <f>IFERROR(IF(INDEX('01.25'!D2:D500, MATCH(B42&amp;C42, INDEX('01.25'!B2:B500&amp;'01.25'!C2:C500, 0), 0))="", "", INDEX('01.25'!D2:D500, MATCH(B42&amp;C42, INDEX('01.25'!B2:B500&amp;'01.25'!C2:C500, 0), 0))), "")</f>
        <v>Marcos José Chaves</v>
      </c>
      <c r="E42" s="107" t="s">
        <v>16</v>
      </c>
      <c r="F42" s="45" t="s">
        <v>578</v>
      </c>
      <c r="G42" s="52" t="s">
        <v>131</v>
      </c>
      <c r="H42" s="147" t="s">
        <v>716</v>
      </c>
      <c r="I42" s="45"/>
      <c r="J42" s="45" t="s">
        <v>140</v>
      </c>
      <c r="K42" s="45"/>
    </row>
    <row r="43" spans="1:11" x14ac:dyDescent="0.25">
      <c r="A43" s="50" t="s">
        <v>42</v>
      </c>
      <c r="B43" s="45" t="s">
        <v>82</v>
      </c>
      <c r="C43" s="45">
        <v>2</v>
      </c>
      <c r="D43" s="45" t="str">
        <f>IFERROR(IF(INDEX('01.25'!D2:D500, MATCH(B43&amp;C43, INDEX('01.25'!B2:B500&amp;'01.25'!C2:C500, 0), 0))="", "", INDEX('01.25'!D2:D500, MATCH(B43&amp;C43, INDEX('01.25'!B2:B500&amp;'01.25'!C2:C500, 0), 0))), "")</f>
        <v>Diego Matheus Reinicke</v>
      </c>
      <c r="E43" s="107" t="s">
        <v>16</v>
      </c>
      <c r="F43" s="45" t="s">
        <v>404</v>
      </c>
      <c r="G43" s="46" t="s">
        <v>131</v>
      </c>
      <c r="H43" s="45"/>
      <c r="I43" s="45"/>
      <c r="J43" s="45" t="s">
        <v>140</v>
      </c>
      <c r="K43" s="45"/>
    </row>
    <row r="44" spans="1:11" hidden="1" x14ac:dyDescent="0.25">
      <c r="A44" s="48" t="s">
        <v>38</v>
      </c>
      <c r="B44" s="45" t="s">
        <v>76</v>
      </c>
      <c r="C44" s="45">
        <v>1</v>
      </c>
      <c r="D44" s="45" t="str">
        <f>IFERROR(IF(INDEX('01.25'!D2:D500, MATCH(B44&amp;C44, INDEX('01.25'!B2:B500&amp;'01.25'!C2:C500, 0), 0))="", "", INDEX('01.25'!D2:D500, MATCH(B44&amp;C44, INDEX('01.25'!B2:B500&amp;'01.25'!C2:C500, 0), 0))), "")</f>
        <v>Cleiton Manske</v>
      </c>
      <c r="E44" s="107" t="s">
        <v>16</v>
      </c>
      <c r="F44" s="45" t="s">
        <v>342</v>
      </c>
      <c r="G44" s="52" t="s">
        <v>131</v>
      </c>
      <c r="H44" s="45"/>
      <c r="I44" s="45"/>
      <c r="J44" s="45" t="s">
        <v>140</v>
      </c>
      <c r="K44" s="45"/>
    </row>
    <row r="45" spans="1:11" x14ac:dyDescent="0.25">
      <c r="A45" s="50" t="s">
        <v>42</v>
      </c>
      <c r="B45" s="45" t="s">
        <v>118</v>
      </c>
      <c r="C45" s="45">
        <v>1</v>
      </c>
      <c r="D45" s="45" t="str">
        <f>IFERROR(IF(INDEX('01.25'!D2:D500, MATCH(B45&amp;C45, INDEX('01.25'!B2:B500&amp;'01.25'!C2:C500, 0), 0))="", "", INDEX('01.25'!D2:D500, MATCH(B45&amp;C45, INDEX('01.25'!B2:B500&amp;'01.25'!C2:C500, 0), 0))), "")</f>
        <v>Alexandro Aparecido de Lima Vieira</v>
      </c>
      <c r="E45" s="107" t="s">
        <v>16</v>
      </c>
      <c r="F45" s="45" t="s">
        <v>578</v>
      </c>
      <c r="G45" s="52" t="s">
        <v>131</v>
      </c>
      <c r="H45" s="45" t="s">
        <v>592</v>
      </c>
      <c r="I45" s="45"/>
      <c r="J45" s="45" t="s">
        <v>140</v>
      </c>
      <c r="K45" s="45"/>
    </row>
    <row r="46" spans="1:11" hidden="1" x14ac:dyDescent="0.25">
      <c r="A46" s="51" t="s">
        <v>40</v>
      </c>
      <c r="B46" s="45" t="s">
        <v>111</v>
      </c>
      <c r="C46" s="45">
        <v>1</v>
      </c>
      <c r="D46" s="45" t="str">
        <f>IFERROR(IF(INDEX('01.25'!D2:D500, MATCH(B46&amp;C46, INDEX('01.25'!B2:B500&amp;'01.25'!C2:C500, 0), 0))="", "", INDEX('01.25'!D2:D500, MATCH(B46&amp;C46, INDEX('01.25'!B2:B500&amp;'01.25'!C2:C500, 0), 0))), "")</f>
        <v>Rafael Henrique Caetano</v>
      </c>
      <c r="E46" s="107" t="s">
        <v>16</v>
      </c>
      <c r="F46" s="45" t="s">
        <v>576</v>
      </c>
      <c r="G46" s="52" t="s">
        <v>131</v>
      </c>
      <c r="H46" s="45" t="s">
        <v>592</v>
      </c>
      <c r="I46" s="45"/>
      <c r="J46" s="45" t="s">
        <v>140</v>
      </c>
      <c r="K46" s="45"/>
    </row>
    <row r="47" spans="1:11" hidden="1" x14ac:dyDescent="0.25">
      <c r="A47" s="44" t="s">
        <v>36</v>
      </c>
      <c r="B47" s="45" t="s">
        <v>100</v>
      </c>
      <c r="C47" s="45">
        <v>1</v>
      </c>
      <c r="D47" s="45" t="str">
        <f>IFERROR(IF(INDEX('01.25'!D2:D500, MATCH(B47&amp;C47, INDEX('01.25'!B2:B500&amp;'01.25'!C2:C500, 0), 0))="", "", INDEX('01.25'!D2:D500, MATCH(B47&amp;C47, INDEX('01.25'!B2:B500&amp;'01.25'!C2:C500, 0), 0))), "")</f>
        <v>Roberto Pedron</v>
      </c>
      <c r="E47" s="107" t="s">
        <v>16</v>
      </c>
      <c r="F47" s="45" t="s">
        <v>593</v>
      </c>
      <c r="G47" s="46" t="s">
        <v>140</v>
      </c>
      <c r="H47" s="45"/>
      <c r="I47" s="45"/>
      <c r="J47" s="45" t="s">
        <v>140</v>
      </c>
      <c r="K47" s="45"/>
    </row>
    <row r="48" spans="1:11" x14ac:dyDescent="0.25">
      <c r="A48" s="50" t="s">
        <v>42</v>
      </c>
      <c r="B48" s="45" t="s">
        <v>119</v>
      </c>
      <c r="C48" s="45">
        <v>1</v>
      </c>
      <c r="D48" s="45" t="str">
        <f>IFERROR(IF(INDEX('01.25'!D2:D500, MATCH(B48&amp;C48, INDEX('01.25'!B2:B500&amp;'01.25'!C2:C500, 0), 0))="", "", INDEX('01.25'!D2:D500, MATCH(B48&amp;C48, INDEX('01.25'!B2:B500&amp;'01.25'!C2:C500, 0), 0))), "")</f>
        <v>Luciane Spies</v>
      </c>
      <c r="E48" s="107" t="s">
        <v>16</v>
      </c>
      <c r="F48" s="45" t="s">
        <v>525</v>
      </c>
      <c r="G48" s="52" t="s">
        <v>131</v>
      </c>
      <c r="H48" s="45"/>
      <c r="I48" s="45"/>
      <c r="J48" s="45" t="s">
        <v>140</v>
      </c>
      <c r="K48" s="45"/>
    </row>
    <row r="49" spans="1:11" hidden="1" x14ac:dyDescent="0.25">
      <c r="A49" s="44" t="s">
        <v>36</v>
      </c>
      <c r="B49" s="45" t="s">
        <v>77</v>
      </c>
      <c r="C49" s="45">
        <v>1</v>
      </c>
      <c r="D49" s="45" t="str">
        <f>IFERROR(IF(INDEX('01.25'!D2:D500, MATCH(B49&amp;C49, INDEX('01.25'!B2:B500&amp;'01.25'!C2:C500, 0), 0))="", "", INDEX('01.25'!D2:D500, MATCH(B49&amp;C49, INDEX('01.25'!B2:B500&amp;'01.25'!C2:C500, 0), 0))), "")</f>
        <v>Jaqueline Fernanda Meireles</v>
      </c>
      <c r="E49" s="107" t="s">
        <v>16</v>
      </c>
      <c r="F49" s="45" t="s">
        <v>563</v>
      </c>
      <c r="G49" s="46" t="s">
        <v>140</v>
      </c>
      <c r="H49" s="45"/>
      <c r="I49" s="45"/>
      <c r="J49" s="45" t="s">
        <v>140</v>
      </c>
      <c r="K49" s="45"/>
    </row>
    <row r="50" spans="1:11" hidden="1" x14ac:dyDescent="0.25">
      <c r="A50" s="48" t="s">
        <v>38</v>
      </c>
      <c r="B50" s="45" t="s">
        <v>108</v>
      </c>
      <c r="C50" s="45">
        <v>1</v>
      </c>
      <c r="D50" s="45" t="str">
        <f>IFERROR(IF(INDEX('01.25'!D2:D500, MATCH(B50&amp;C50, INDEX('01.25'!B2:B500&amp;'01.25'!C2:C500, 0), 0))="", "", INDEX('01.25'!D2:D500, MATCH(B50&amp;C50, INDEX('01.25'!B2:B500&amp;'01.25'!C2:C500, 0), 0))), "")</f>
        <v>Luiz Fernando Pereira Barbosa</v>
      </c>
      <c r="E50" s="107" t="s">
        <v>16</v>
      </c>
      <c r="F50" s="45" t="s">
        <v>591</v>
      </c>
      <c r="G50" s="46" t="s">
        <v>140</v>
      </c>
      <c r="H50" s="45"/>
      <c r="I50" s="45"/>
      <c r="J50" s="45" t="s">
        <v>140</v>
      </c>
      <c r="K50" s="45"/>
    </row>
    <row r="51" spans="1:11" hidden="1" x14ac:dyDescent="0.25">
      <c r="A51" s="44" t="s">
        <v>36</v>
      </c>
      <c r="B51" s="45" t="s">
        <v>101</v>
      </c>
      <c r="C51" s="45">
        <v>1</v>
      </c>
      <c r="D51" s="45" t="str">
        <f>IFERROR(IF(INDEX('01.25'!D2:D500, MATCH(B51&amp;C51, INDEX('01.25'!B2:B500&amp;'01.25'!C2:C500, 0), 0))="", "", INDEX('01.25'!D2:D500, MATCH(B51&amp;C51, INDEX('01.25'!B2:B500&amp;'01.25'!C2:C500, 0), 0))), "")</f>
        <v>Carolina Eggers</v>
      </c>
      <c r="E51" s="107" t="s">
        <v>16</v>
      </c>
      <c r="F51" s="45" t="s">
        <v>525</v>
      </c>
      <c r="G51" s="46" t="s">
        <v>140</v>
      </c>
      <c r="H51" s="45"/>
      <c r="I51" s="45"/>
      <c r="J51" s="45" t="s">
        <v>140</v>
      </c>
      <c r="K51" s="45"/>
    </row>
    <row r="52" spans="1:11" hidden="1" x14ac:dyDescent="0.25">
      <c r="A52" s="44" t="s">
        <v>36</v>
      </c>
      <c r="B52" s="45" t="s">
        <v>102</v>
      </c>
      <c r="C52" s="45">
        <v>1</v>
      </c>
      <c r="D52" s="45" t="str">
        <f>IFERROR(IF(INDEX('01.25'!D2:D500, MATCH(B52&amp;C52, INDEX('01.25'!B2:B500&amp;'01.25'!C2:C500, 0), 0))="", "", INDEX('01.25'!D2:D500, MATCH(B52&amp;C52, INDEX('01.25'!B2:B500&amp;'01.25'!C2:C500, 0), 0))), "")</f>
        <v>Ivan Gonçalves da Silva</v>
      </c>
      <c r="E52" s="107" t="s">
        <v>16</v>
      </c>
      <c r="F52" s="45" t="s">
        <v>578</v>
      </c>
      <c r="G52" s="46" t="s">
        <v>140</v>
      </c>
      <c r="H52" s="45"/>
      <c r="I52" s="45"/>
      <c r="J52" s="45" t="s">
        <v>140</v>
      </c>
      <c r="K52" s="45"/>
    </row>
    <row r="53" spans="1:11" hidden="1" x14ac:dyDescent="0.25">
      <c r="A53" s="48" t="s">
        <v>38</v>
      </c>
      <c r="B53" s="45" t="s">
        <v>83</v>
      </c>
      <c r="C53" s="45">
        <v>1</v>
      </c>
      <c r="D53" s="45" t="str">
        <f>IFERROR(IF(INDEX('01.25'!D2:D500, MATCH(B53&amp;C53, INDEX('01.25'!B2:B500&amp;'01.25'!C2:C500, 0), 0))="", "", INDEX('01.25'!D2:D500, MATCH(B53&amp;C53, INDEX('01.25'!B2:B500&amp;'01.25'!C2:C500, 0), 0))), "")</f>
        <v>Dorival Manoel Canhete</v>
      </c>
      <c r="E53" s="107" t="s">
        <v>16</v>
      </c>
      <c r="F53" s="45" t="s">
        <v>594</v>
      </c>
      <c r="G53" s="46" t="s">
        <v>140</v>
      </c>
      <c r="H53" s="45"/>
      <c r="I53" s="45"/>
      <c r="J53" s="45" t="s">
        <v>140</v>
      </c>
      <c r="K53" s="45"/>
    </row>
    <row r="54" spans="1:11" x14ac:dyDescent="0.25">
      <c r="A54" s="50" t="s">
        <v>42</v>
      </c>
      <c r="B54" s="45" t="s">
        <v>120</v>
      </c>
      <c r="C54" s="45">
        <v>1</v>
      </c>
      <c r="D54" s="45" t="str">
        <f>IFERROR(IF(INDEX('01.25'!D2:D500, MATCH(B54&amp;C54, INDEX('01.25'!B2:B500&amp;'01.25'!C2:C500, 0), 0))="", "", INDEX('01.25'!D2:D500, MATCH(B54&amp;C54, INDEX('01.25'!B2:B500&amp;'01.25'!C2:C500, 0), 0))), "")</f>
        <v>Jaqueline Vanelli</v>
      </c>
      <c r="E54" s="107" t="s">
        <v>16</v>
      </c>
      <c r="F54" s="45" t="s">
        <v>563</v>
      </c>
      <c r="G54" s="52" t="s">
        <v>131</v>
      </c>
      <c r="H54" s="45"/>
      <c r="I54" s="45"/>
      <c r="J54" s="45" t="s">
        <v>140</v>
      </c>
      <c r="K54" s="45"/>
    </row>
    <row r="55" spans="1:11" hidden="1" x14ac:dyDescent="0.25">
      <c r="A55" s="44" t="s">
        <v>36</v>
      </c>
      <c r="B55" s="45" t="s">
        <v>103</v>
      </c>
      <c r="C55" s="45">
        <v>1</v>
      </c>
      <c r="D55" s="45" t="str">
        <f>IFERROR(IF(INDEX('01.25'!D2:D500, MATCH(B55&amp;C55, INDEX('01.25'!B2:B500&amp;'01.25'!C2:C500, 0), 0))="", "", INDEX('01.25'!D2:D500, MATCH(B55&amp;C55, INDEX('01.25'!B2:B500&amp;'01.25'!C2:C500, 0), 0))), "")</f>
        <v>Fernanda Jung</v>
      </c>
      <c r="E55" s="107" t="s">
        <v>16</v>
      </c>
      <c r="F55" s="45" t="s">
        <v>595</v>
      </c>
      <c r="G55" s="46" t="s">
        <v>140</v>
      </c>
      <c r="H55" s="45"/>
      <c r="I55" s="45"/>
      <c r="J55" s="45" t="s">
        <v>140</v>
      </c>
      <c r="K55" s="45"/>
    </row>
    <row r="56" spans="1:11" x14ac:dyDescent="0.25">
      <c r="A56" s="50" t="s">
        <v>42</v>
      </c>
      <c r="B56" s="45" t="s">
        <v>121</v>
      </c>
      <c r="C56" s="45">
        <v>1</v>
      </c>
      <c r="D56" s="45" t="str">
        <f>IFERROR(IF(INDEX('01.25'!D2:D500, MATCH(B56&amp;C56, INDEX('01.25'!B2:B500&amp;'01.25'!C2:C500, 0), 0))="", "", INDEX('01.25'!D2:D500, MATCH(B56&amp;C56, INDEX('01.25'!B2:B500&amp;'01.25'!C2:C500, 0), 0))), "")</f>
        <v>Ana Paula Romagnoli</v>
      </c>
      <c r="E56" s="107" t="s">
        <v>16</v>
      </c>
      <c r="F56" s="45" t="s">
        <v>555</v>
      </c>
      <c r="G56" s="52" t="s">
        <v>131</v>
      </c>
      <c r="H56" s="45"/>
      <c r="I56" s="45"/>
      <c r="J56" s="45" t="s">
        <v>140</v>
      </c>
      <c r="K56" s="45"/>
    </row>
    <row r="57" spans="1:11" x14ac:dyDescent="0.25">
      <c r="A57" s="50" t="s">
        <v>42</v>
      </c>
      <c r="B57" s="45" t="s">
        <v>122</v>
      </c>
      <c r="C57" s="45">
        <v>1</v>
      </c>
      <c r="D57" s="45" t="str">
        <f>IFERROR(IF(INDEX('01.25'!D2:D500, MATCH(B57&amp;C57, INDEX('01.25'!B2:B500&amp;'01.25'!C2:C500, 0), 0))="", "", INDEX('01.25'!D2:D500, MATCH(B57&amp;C57, INDEX('01.25'!B2:B500&amp;'01.25'!C2:C500, 0), 0))), "")</f>
        <v>Alexandro Schaparini</v>
      </c>
      <c r="E57" s="107" t="s">
        <v>16</v>
      </c>
      <c r="F57" s="45" t="s">
        <v>596</v>
      </c>
      <c r="G57" s="52" t="s">
        <v>131</v>
      </c>
      <c r="H57" s="45" t="s">
        <v>597</v>
      </c>
      <c r="I57" s="45"/>
      <c r="J57" s="45" t="s">
        <v>140</v>
      </c>
      <c r="K57" s="45"/>
    </row>
    <row r="58" spans="1:11" hidden="1" x14ac:dyDescent="0.25">
      <c r="A58" s="49" t="s">
        <v>43</v>
      </c>
      <c r="B58" s="45" t="s">
        <v>129</v>
      </c>
      <c r="C58" s="45">
        <v>1</v>
      </c>
      <c r="D58" s="45" t="str">
        <f>IFERROR(IF(INDEX('01.25'!D2:D500, MATCH(B58&amp;C58, INDEX('01.25'!B2:B500&amp;'01.25'!C2:C500, 0), 0))="", "", INDEX('01.25'!D2:D500, MATCH(B58&amp;C58, INDEX('01.25'!B2:B500&amp;'01.25'!C2:C500, 0), 0))), "")</f>
        <v>Marina Ancelmo da Silva</v>
      </c>
      <c r="E58" s="107" t="s">
        <v>16</v>
      </c>
      <c r="F58" s="45" t="s">
        <v>525</v>
      </c>
      <c r="G58" s="52" t="s">
        <v>131</v>
      </c>
      <c r="H58" s="45" t="s">
        <v>542</v>
      </c>
      <c r="I58" s="45"/>
      <c r="J58" s="45" t="s">
        <v>140</v>
      </c>
      <c r="K58" s="45"/>
    </row>
    <row r="59" spans="1:11" hidden="1" x14ac:dyDescent="0.25">
      <c r="A59" s="49" t="s">
        <v>43</v>
      </c>
      <c r="B59" s="45" t="s">
        <v>130</v>
      </c>
      <c r="C59" s="45">
        <v>1</v>
      </c>
      <c r="D59" s="45" t="str">
        <f>IFERROR(IF(INDEX('01.25'!D2:D500, MATCH(B59&amp;C59, INDEX('01.25'!B2:B500&amp;'01.25'!C2:C500, 0), 0))="", "", INDEX('01.25'!D2:D500, MATCH(B59&amp;C59, INDEX('01.25'!B2:B500&amp;'01.25'!C2:C500, 0), 0))), "")</f>
        <v>Ana Carolina Peterle Ribeiro</v>
      </c>
      <c r="E59" s="107" t="s">
        <v>16</v>
      </c>
      <c r="F59" s="45" t="s">
        <v>525</v>
      </c>
      <c r="G59" s="52" t="s">
        <v>131</v>
      </c>
      <c r="H59" s="45" t="s">
        <v>598</v>
      </c>
      <c r="I59" s="45"/>
      <c r="J59" s="45" t="s">
        <v>140</v>
      </c>
      <c r="K59" s="45"/>
    </row>
    <row r="60" spans="1:11" hidden="1" x14ac:dyDescent="0.25">
      <c r="A60" s="51" t="s">
        <v>40</v>
      </c>
      <c r="B60" s="45" t="s">
        <v>112</v>
      </c>
      <c r="C60" s="45">
        <v>1</v>
      </c>
      <c r="D60" s="45" t="str">
        <f>IFERROR(IF(INDEX('01.25'!D2:D500, MATCH(B60&amp;C60, INDEX('01.25'!B2:B500&amp;'01.25'!C2:C500, 0), 0))="", "", INDEX('01.25'!D2:D500, MATCH(B60&amp;C60, INDEX('01.25'!B2:B500&amp;'01.25'!C2:C500, 0), 0))), "")</f>
        <v>Taiane Amélia Mondardo</v>
      </c>
      <c r="E60" s="107" t="s">
        <v>16</v>
      </c>
      <c r="F60" s="45" t="s">
        <v>599</v>
      </c>
      <c r="G60" s="52" t="s">
        <v>131</v>
      </c>
      <c r="H60" s="45"/>
      <c r="I60" s="45"/>
      <c r="J60" s="45" t="s">
        <v>140</v>
      </c>
      <c r="K60" s="45"/>
    </row>
    <row r="61" spans="1:11" hidden="1" x14ac:dyDescent="0.25">
      <c r="A61" s="44" t="s">
        <v>36</v>
      </c>
      <c r="B61" s="45" t="s">
        <v>104</v>
      </c>
      <c r="C61" s="45">
        <v>1</v>
      </c>
      <c r="D61" s="45" t="str">
        <f>IFERROR(IF(INDEX('01.25'!D2:D500, MATCH(B61&amp;C61, INDEX('01.25'!B2:B500&amp;'01.25'!C2:C500, 0), 0))="", "", INDEX('01.25'!D2:D500, MATCH(B61&amp;C61, INDEX('01.25'!B2:B500&amp;'01.25'!C2:C500, 0), 0))), "")</f>
        <v>Regiane Lucia Pereira</v>
      </c>
      <c r="E61" s="107" t="s">
        <v>16</v>
      </c>
      <c r="F61" s="45" t="s">
        <v>555</v>
      </c>
      <c r="G61" s="52" t="s">
        <v>131</v>
      </c>
      <c r="H61" s="45"/>
      <c r="I61" s="45"/>
      <c r="J61" s="45" t="s">
        <v>140</v>
      </c>
      <c r="K61" s="45"/>
    </row>
    <row r="62" spans="1:11" hidden="1" x14ac:dyDescent="0.25">
      <c r="A62" s="51" t="s">
        <v>40</v>
      </c>
      <c r="B62" s="45" t="s">
        <v>113</v>
      </c>
      <c r="C62" s="45">
        <v>1</v>
      </c>
      <c r="D62" s="45" t="str">
        <f>IFERROR(IF(INDEX('01.25'!D2:D500, MATCH(B62&amp;C62, INDEX('01.25'!B2:B500&amp;'01.25'!C2:C500, 0), 0))="", "", INDEX('01.25'!D2:D500, MATCH(B62&amp;C62, INDEX('01.25'!B2:B500&amp;'01.25'!C2:C500, 0), 0))), "")</f>
        <v>Andryws Rafael Gois</v>
      </c>
      <c r="E62" s="107" t="s">
        <v>16</v>
      </c>
      <c r="F62" s="45" t="s">
        <v>583</v>
      </c>
      <c r="G62" s="52" t="s">
        <v>131</v>
      </c>
      <c r="H62" s="45"/>
      <c r="I62" s="45"/>
      <c r="J62" s="45" t="s">
        <v>140</v>
      </c>
      <c r="K62" s="45"/>
    </row>
    <row r="63" spans="1:11" x14ac:dyDescent="0.25">
      <c r="A63" s="50" t="s">
        <v>42</v>
      </c>
      <c r="B63" s="45" t="s">
        <v>123</v>
      </c>
      <c r="C63" s="45">
        <v>1</v>
      </c>
      <c r="D63" s="45" t="str">
        <f>IFERROR(IF(INDEX('01.25'!D2:D500, MATCH(B63&amp;C63, INDEX('01.25'!B2:B500&amp;'01.25'!C2:C500, 0), 0))="", "", INDEX('01.25'!D2:D500, MATCH(B63&amp;C63, INDEX('01.25'!B2:B500&amp;'01.25'!C2:C500, 0), 0))), "")</f>
        <v>Mayara Ketllyn de Paula Rosetti</v>
      </c>
      <c r="E63" s="107" t="s">
        <v>16</v>
      </c>
      <c r="F63" s="45" t="s">
        <v>525</v>
      </c>
      <c r="G63" s="52" t="s">
        <v>131</v>
      </c>
      <c r="H63" s="45"/>
      <c r="I63" s="45"/>
      <c r="J63" s="45" t="s">
        <v>140</v>
      </c>
      <c r="K63" s="45"/>
    </row>
    <row r="64" spans="1:11" hidden="1" x14ac:dyDescent="0.25">
      <c r="A64" s="51" t="s">
        <v>40</v>
      </c>
      <c r="B64" s="45" t="s">
        <v>114</v>
      </c>
      <c r="C64" s="45">
        <v>1</v>
      </c>
      <c r="D64" s="45" t="str">
        <f>IFERROR(IF(INDEX('01.25'!D2:D500, MATCH(B64&amp;C64, INDEX('01.25'!B2:B500&amp;'01.25'!C2:C500, 0), 0))="", "", INDEX('01.25'!D2:D500, MATCH(B64&amp;C64, INDEX('01.25'!B2:B500&amp;'01.25'!C2:C500, 0), 0))), "")</f>
        <v>Junior Andre Britzke</v>
      </c>
      <c r="E64" s="107" t="s">
        <v>16</v>
      </c>
      <c r="F64" s="45" t="s">
        <v>576</v>
      </c>
      <c r="G64" s="52" t="s">
        <v>131</v>
      </c>
      <c r="H64" s="45" t="s">
        <v>600</v>
      </c>
      <c r="I64" s="45"/>
      <c r="J64" s="45" t="s">
        <v>140</v>
      </c>
      <c r="K64" s="45"/>
    </row>
    <row r="65" spans="1:11" hidden="1" x14ac:dyDescent="0.25">
      <c r="A65" s="44" t="s">
        <v>36</v>
      </c>
      <c r="B65" s="45" t="s">
        <v>105</v>
      </c>
      <c r="C65" s="45">
        <v>1</v>
      </c>
      <c r="D65" s="45" t="str">
        <f>IFERROR(IF(INDEX('01.25'!D2:D500, MATCH(B65&amp;C65, INDEX('01.25'!B2:B500&amp;'01.25'!C2:C500, 0), 0))="", "", INDEX('01.25'!D2:D500, MATCH(B65&amp;C65, INDEX('01.25'!B2:B500&amp;'01.25'!C2:C500, 0), 0))), "")</f>
        <v>Adriano Pereira Guedes</v>
      </c>
      <c r="E65" s="107" t="s">
        <v>16</v>
      </c>
      <c r="F65" s="45" t="s">
        <v>601</v>
      </c>
      <c r="G65" s="46" t="s">
        <v>140</v>
      </c>
      <c r="H65" s="45"/>
      <c r="I65" s="45"/>
      <c r="J65" s="45" t="s">
        <v>140</v>
      </c>
      <c r="K65" s="45"/>
    </row>
    <row r="66" spans="1:11" hidden="1" x14ac:dyDescent="0.25">
      <c r="A66" s="44" t="s">
        <v>36</v>
      </c>
      <c r="B66" s="45" t="s">
        <v>106</v>
      </c>
      <c r="C66" s="45">
        <v>1</v>
      </c>
      <c r="D66" s="45" t="str">
        <f>IFERROR(IF(INDEX('01.25'!D2:D500, MATCH(B66&amp;C66, INDEX('01.25'!B2:B500&amp;'01.25'!C2:C500, 0), 0))="", "", INDEX('01.25'!D2:D500, MATCH(B66&amp;C66, INDEX('01.25'!B2:B500&amp;'01.25'!C2:C500, 0), 0))), "")</f>
        <v xml:space="preserve">Suzana Cristina de Almeida </v>
      </c>
      <c r="E66" s="107" t="s">
        <v>16</v>
      </c>
      <c r="F66" s="45" t="s">
        <v>602</v>
      </c>
      <c r="G66" s="52" t="s">
        <v>131</v>
      </c>
      <c r="H66" s="45"/>
      <c r="I66" s="45"/>
      <c r="J66" s="45" t="s">
        <v>140</v>
      </c>
      <c r="K66" s="45"/>
    </row>
    <row r="67" spans="1:11" hidden="1" x14ac:dyDescent="0.25">
      <c r="A67" s="47" t="s">
        <v>28</v>
      </c>
      <c r="B67" s="45" t="s">
        <v>85</v>
      </c>
      <c r="C67" s="45">
        <v>1</v>
      </c>
      <c r="D67" s="45" t="str">
        <f>IFERROR(IF(INDEX('01.25'!D2:D500, MATCH(B67&amp;C67, INDEX('01.25'!B2:B500&amp;'01.25'!C2:C500, 0), 0))="", "", INDEX('01.25'!D2:D500, MATCH(B67&amp;C67, INDEX('01.25'!B2:B500&amp;'01.25'!C2:C500, 0), 0))), "")</f>
        <v>Alice Cristiane Zancheta</v>
      </c>
      <c r="E67" s="107" t="s">
        <v>16</v>
      </c>
      <c r="F67" s="45" t="s">
        <v>570</v>
      </c>
      <c r="G67" s="52" t="s">
        <v>131</v>
      </c>
      <c r="H67" s="45" t="s">
        <v>603</v>
      </c>
      <c r="I67" s="45"/>
      <c r="J67" s="45" t="s">
        <v>140</v>
      </c>
      <c r="K67" s="45"/>
    </row>
    <row r="68" spans="1:11" hidden="1" x14ac:dyDescent="0.25">
      <c r="A68" s="48" t="s">
        <v>38</v>
      </c>
      <c r="B68" s="45" t="s">
        <v>109</v>
      </c>
      <c r="C68" s="45">
        <v>1</v>
      </c>
      <c r="D68" s="45" t="str">
        <f>IFERROR(IF(INDEX('01.25'!D2:D500, MATCH(B68&amp;C68, INDEX('01.25'!B2:B500&amp;'01.25'!C2:C500, 0), 0))="", "", INDEX('01.25'!D2:D500, MATCH(B68&amp;C68, INDEX('01.25'!B2:B500&amp;'01.25'!C2:C500, 0), 0))), "")</f>
        <v>Fernanda kaezer de Godoy</v>
      </c>
      <c r="E68" s="107" t="s">
        <v>16</v>
      </c>
      <c r="F68" s="45" t="s">
        <v>525</v>
      </c>
      <c r="G68" s="46" t="s">
        <v>131</v>
      </c>
      <c r="H68" s="148" t="s">
        <v>704</v>
      </c>
      <c r="I68" s="45"/>
      <c r="J68" s="45" t="s">
        <v>140</v>
      </c>
      <c r="K68" s="45"/>
    </row>
    <row r="69" spans="1:11" hidden="1" x14ac:dyDescent="0.25">
      <c r="A69" s="48" t="s">
        <v>38</v>
      </c>
      <c r="B69" s="45" t="s">
        <v>110</v>
      </c>
      <c r="C69" s="45">
        <v>1</v>
      </c>
      <c r="D69" s="45" t="str">
        <f>IFERROR(IF(INDEX('01.25'!D2:D500, MATCH(B69&amp;C69, INDEX('01.25'!B2:B500&amp;'01.25'!C2:C500, 0), 0))="", "", INDEX('01.25'!D2:D500, MATCH(B69&amp;C69, INDEX('01.25'!B2:B500&amp;'01.25'!C2:C500, 0), 0))), "")</f>
        <v xml:space="preserve">Ademir Papini Júnior </v>
      </c>
      <c r="E69" s="107" t="s">
        <v>16</v>
      </c>
      <c r="F69" s="45" t="s">
        <v>604</v>
      </c>
      <c r="G69" s="52" t="s">
        <v>131</v>
      </c>
      <c r="H69" s="45" t="s">
        <v>710</v>
      </c>
      <c r="I69" s="45"/>
      <c r="J69" s="45" t="s">
        <v>140</v>
      </c>
      <c r="K69" s="45"/>
    </row>
    <row r="70" spans="1:11" x14ac:dyDescent="0.25">
      <c r="A70" s="50" t="s">
        <v>42</v>
      </c>
      <c r="B70" s="45" t="s">
        <v>124</v>
      </c>
      <c r="C70" s="45">
        <v>1</v>
      </c>
      <c r="D70" s="45" t="str">
        <f>IFERROR(IF(INDEX('01.25'!D2:D500, MATCH(B70&amp;C70, INDEX('01.25'!B2:B500&amp;'01.25'!C2:C500, 0), 0))="", "", INDEX('01.25'!D2:D500, MATCH(B70&amp;C70, INDEX('01.25'!B2:B500&amp;'01.25'!C2:C500, 0), 0))), "")</f>
        <v>Heloísa Maria Beloni Insenha</v>
      </c>
      <c r="E70" s="107" t="s">
        <v>16</v>
      </c>
      <c r="F70" s="45" t="s">
        <v>570</v>
      </c>
      <c r="G70" s="52" t="s">
        <v>131</v>
      </c>
      <c r="H70" s="45"/>
      <c r="I70" s="45"/>
      <c r="J70" s="45" t="s">
        <v>140</v>
      </c>
      <c r="K70" s="45"/>
    </row>
  </sheetData>
  <autoFilter ref="A1:G70" xr:uid="{00000000-0009-0000-0000-00000F000000}">
    <filterColumn colId="0">
      <filters>
        <filter val="Luana"/>
      </filters>
    </filterColumn>
  </autoFilter>
  <conditionalFormatting sqref="E2:E70">
    <cfRule type="cellIs" dxfId="58" priority="6" stopIfTrue="1" operator="equal">
      <formula>"Enviado"</formula>
    </cfRule>
    <cfRule type="cellIs" dxfId="57" priority="7" stopIfTrue="1" operator="equal">
      <formula>"Atrasado"</formula>
    </cfRule>
    <cfRule type="cellIs" dxfId="56" priority="8" stopIfTrue="1" operator="equal">
      <formula>"Atrasado &gt;= 2"</formula>
    </cfRule>
    <cfRule type="cellIs" dxfId="55" priority="9" stopIfTrue="1" operator="equal">
      <formula>"Outras Ocorrências"</formula>
    </cfRule>
    <cfRule type="cellIs" dxfId="54" priority="10" stopIfTrue="1" operator="equal">
      <formula>"Sem Técnico"</formula>
    </cfRule>
    <cfRule type="cellIs" dxfId="53" priority="11" stopIfTrue="1" operator="equal">
      <formula>"Duplicado"</formula>
    </cfRule>
  </conditionalFormatting>
  <conditionalFormatting sqref="G2:G70">
    <cfRule type="cellIs" dxfId="52" priority="1" stopIfTrue="1" operator="equal">
      <formula>"Sim"</formula>
    </cfRule>
    <cfRule type="cellIs" dxfId="51" priority="3" stopIfTrue="1" operator="equal">
      <formula>"Não"</formula>
    </cfRule>
  </conditionalFormatting>
  <conditionalFormatting sqref="J2:J70">
    <cfRule type="cellIs" dxfId="50" priority="4" stopIfTrue="1" operator="equal">
      <formula>"Sim"</formula>
    </cfRule>
    <cfRule type="cellIs" dxfId="49" priority="4" stopIfTrue="1" operator="equal">
      <formula>"Não"</formula>
    </cfRule>
    <cfRule type="cellIs" dxfId="48" priority="5" stopIfTrue="1" operator="equal">
      <formula>"Em Análise"</formula>
    </cfRule>
  </conditionalFormatting>
  <dataValidations count="3">
    <dataValidation type="list" allowBlank="1" sqref="G2 G3 G4 G5 G6 G7 G8 G9 G10 G11 G12 G13 G14 G15 G16 G17 G18 G19 G20 G21 G22 G23 G24 G25 G26 G27 G28 G29 G30 G31 G32 G33 G34 G35 G36 G37 G38 G39 G40 G41 G42 G43 G44 G45 G46 G47 G48 G49 G50 G51 G52 G53 G54 G55 G56 G57 G58 G59 G60 G61 G62 G63 G64 G65 G66 G67 G68 G69 G70" xr:uid="{00000000-0002-0000-0F00-000000000000}">
      <formula1>"Sim,Não"</formula1>
    </dataValidation>
    <dataValidation type="list" allowBlank="1" sqref="J2 J3 J4 J5 J6 J7 J8 J9 J10 J11 J12 J13 J14 J15 J16 J17 J18 J19 J20 J21 J22 J23 J24 J25 J26 J27 J28 J29 J30 J31 J32 J33 J34 J35 J36 J37 J38 J39 J40 J41 J42 J43 J44 J45 J46 J47 J48 J49 J50 J51 J52 J53 J54 J55 J56 J57 J58 J59 J60 J61 J62 J63 J64 J65 J66 J67 J68 J69 J70" xr:uid="{00000000-0002-0000-0F00-000001000000}">
      <formula1>"Sim,Não,Em Análise"</formula1>
    </dataValidation>
    <dataValidation type="list" allowBlank="1" sqref="E2 E3 E4 E5 E6 E7 E8 E9 E10 E11 E12 E13 E14 E15 E16 E17 E18 E19 E20 E21 E22 E23 E24 E25 E26 E27 E28 E29 E30 E31 E32 E33 E34 E35 E36 E37 E38 E39 E40 E41 E42 E43 E44 E45 E46 E47 E48 E49 E50 E51 E52 E53 E54 E55 E56 E57 E58 E59 E60 E61 E62 E63 E64 E65 E66 E67 E68 E69 E70" xr:uid="{00000000-0002-0000-0F00-000002000000}">
      <formula1>"Enviado, Atrasado, Atrasado &gt;= 2, Outras Ocorrências, Sem Técnico, Duplicado"</formula1>
    </dataValidation>
  </dataValidations>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filterMode="1"/>
  <dimension ref="A1:K70"/>
  <sheetViews>
    <sheetView tabSelected="1" workbookViewId="0">
      <pane xSplit="3" topLeftCell="F1" activePane="topRight" state="frozen"/>
      <selection pane="topRight" activeCell="H59" sqref="H59"/>
    </sheetView>
  </sheetViews>
  <sheetFormatPr defaultRowHeight="15" x14ac:dyDescent="0.25"/>
  <cols>
    <col min="1" max="1" width="14" customWidth="1"/>
    <col min="2" max="2" width="30" customWidth="1"/>
    <col min="3" max="3" width="8" customWidth="1"/>
    <col min="4" max="4" width="45" customWidth="1"/>
    <col min="5" max="6" width="18" customWidth="1"/>
    <col min="7" max="7" width="27" customWidth="1"/>
    <col min="8" max="8" width="114" customWidth="1"/>
    <col min="9" max="9" width="34" customWidth="1"/>
    <col min="10" max="10" width="25" customWidth="1"/>
    <col min="11" max="11" width="26" customWidth="1"/>
  </cols>
  <sheetData>
    <row r="1" spans="1:11" x14ac:dyDescent="0.25">
      <c r="A1" s="43" t="s">
        <v>27</v>
      </c>
      <c r="B1" s="43" t="s">
        <v>70</v>
      </c>
      <c r="C1" s="43" t="s">
        <v>71</v>
      </c>
      <c r="D1" s="43" t="s">
        <v>132</v>
      </c>
      <c r="E1" s="43" t="s">
        <v>133</v>
      </c>
      <c r="F1" s="43" t="s">
        <v>134</v>
      </c>
      <c r="G1" s="43" t="s">
        <v>135</v>
      </c>
      <c r="H1" s="43" t="s">
        <v>136</v>
      </c>
      <c r="I1" s="43" t="s">
        <v>137</v>
      </c>
      <c r="J1" s="43" t="s">
        <v>138</v>
      </c>
      <c r="K1" s="43" t="s">
        <v>139</v>
      </c>
    </row>
    <row r="2" spans="1:11" hidden="1" x14ac:dyDescent="0.25">
      <c r="A2" s="44" t="s">
        <v>36</v>
      </c>
      <c r="B2" s="45" t="s">
        <v>97</v>
      </c>
      <c r="C2" s="45">
        <v>1</v>
      </c>
      <c r="D2" s="45" t="str">
        <f>IFERROR(IF(INDEX('01.25'!D2:D500, MATCH(B2&amp;C2, INDEX('01.25'!B2:B500&amp;'01.25'!C2:C500, 0), 0))="", "", INDEX('01.25'!D2:D500, MATCH(B2&amp;C2, INDEX('01.25'!B2:B500&amp;'01.25'!C2:C500, 0), 0))), "")</f>
        <v>Paula Tatiana Santana Vechi</v>
      </c>
      <c r="E2" s="107" t="s">
        <v>16</v>
      </c>
      <c r="F2" s="45" t="s">
        <v>577</v>
      </c>
      <c r="G2" s="52" t="s">
        <v>131</v>
      </c>
      <c r="H2" s="45" t="s">
        <v>149</v>
      </c>
      <c r="I2" s="45"/>
      <c r="J2" s="45" t="s">
        <v>140</v>
      </c>
      <c r="K2" s="45"/>
    </row>
    <row r="3" spans="1:11" hidden="1" x14ac:dyDescent="0.25">
      <c r="A3" s="47" t="s">
        <v>28</v>
      </c>
      <c r="B3" s="45" t="s">
        <v>87</v>
      </c>
      <c r="C3" s="45">
        <v>1</v>
      </c>
      <c r="D3" s="45" t="str">
        <f>IFERROR(IF(INDEX('01.25'!D2:D500, MATCH(B3&amp;C3, INDEX('01.25'!B2:B500&amp;'01.25'!C2:C500, 0), 0))="", "", INDEX('01.25'!D2:D500, MATCH(B3&amp;C3, INDEX('01.25'!B2:B500&amp;'01.25'!C2:C500, 0), 0))), "")</f>
        <v>Willian de Oliveira Lino</v>
      </c>
      <c r="E3" s="107" t="s">
        <v>16</v>
      </c>
      <c r="F3" s="45" t="s">
        <v>596</v>
      </c>
      <c r="G3" s="52" t="s">
        <v>131</v>
      </c>
      <c r="H3" s="45" t="s">
        <v>149</v>
      </c>
      <c r="I3" s="45"/>
      <c r="J3" s="45" t="s">
        <v>140</v>
      </c>
      <c r="K3" s="45"/>
    </row>
    <row r="4" spans="1:11" hidden="1" x14ac:dyDescent="0.25">
      <c r="A4" s="48" t="s">
        <v>38</v>
      </c>
      <c r="B4" s="45" t="s">
        <v>78</v>
      </c>
      <c r="C4" s="45">
        <v>1</v>
      </c>
      <c r="D4" s="45" t="str">
        <f>IFERROR(IF(INDEX('01.25'!D2:D500, MATCH(B4&amp;C4, INDEX('01.25'!B2:B500&amp;'01.25'!C2:C500, 0), 0))="", "", INDEX('01.25'!D2:D500, MATCH(B4&amp;C4, INDEX('01.25'!B2:B500&amp;'01.25'!C2:C500, 0), 0))), "")</f>
        <v>Gisele Cássia Tamparowsky de Oliveira</v>
      </c>
      <c r="E4" s="107" t="s">
        <v>16</v>
      </c>
      <c r="F4" s="45" t="s">
        <v>588</v>
      </c>
      <c r="G4" s="52" t="s">
        <v>131</v>
      </c>
      <c r="H4" s="45"/>
      <c r="I4" s="45"/>
      <c r="J4" s="45" t="s">
        <v>140</v>
      </c>
      <c r="K4" s="45"/>
    </row>
    <row r="5" spans="1:11" hidden="1" x14ac:dyDescent="0.25">
      <c r="A5" s="47" t="s">
        <v>28</v>
      </c>
      <c r="B5" s="45" t="s">
        <v>88</v>
      </c>
      <c r="C5" s="45">
        <v>1</v>
      </c>
      <c r="D5" s="45" t="str">
        <f>IFERROR(IF(INDEX('01.25'!D2:D500, MATCH(B5&amp;C5, INDEX('01.25'!B2:B500&amp;'01.25'!C2:C500, 0), 0))="", "", INDEX('01.25'!D2:D500, MATCH(B5&amp;C5, INDEX('01.25'!B2:B500&amp;'01.25'!C2:C500, 0), 0))), "")</f>
        <v>Marcos Gabriel Franciosi Borges</v>
      </c>
      <c r="E5" s="107" t="s">
        <v>16</v>
      </c>
      <c r="F5" s="45" t="s">
        <v>605</v>
      </c>
      <c r="G5" s="52" t="s">
        <v>131</v>
      </c>
      <c r="H5" s="45" t="s">
        <v>149</v>
      </c>
      <c r="I5" s="45"/>
      <c r="J5" s="45" t="s">
        <v>140</v>
      </c>
      <c r="K5" s="45"/>
    </row>
    <row r="6" spans="1:11" hidden="1" x14ac:dyDescent="0.25">
      <c r="A6" s="47" t="s">
        <v>28</v>
      </c>
      <c r="B6" s="45" t="s">
        <v>89</v>
      </c>
      <c r="C6" s="45">
        <v>1</v>
      </c>
      <c r="D6" s="45" t="str">
        <f>IFERROR(IF(INDEX('01.25'!D2:D500, MATCH(B6&amp;C6, INDEX('01.25'!B2:B500&amp;'01.25'!C2:C500, 0), 0))="", "", INDEX('01.25'!D2:D500, MATCH(B6&amp;C6, INDEX('01.25'!B2:B500&amp;'01.25'!C2:C500, 0), 0))), "")</f>
        <v>Chayla Bianca Gazoli</v>
      </c>
      <c r="E6" s="107" t="s">
        <v>16</v>
      </c>
      <c r="F6" s="45" t="s">
        <v>606</v>
      </c>
      <c r="G6" s="52" t="s">
        <v>131</v>
      </c>
      <c r="H6" s="57" t="s">
        <v>542</v>
      </c>
      <c r="I6" s="45"/>
      <c r="J6" s="45" t="s">
        <v>140</v>
      </c>
      <c r="K6" s="45"/>
    </row>
    <row r="7" spans="1:11" hidden="1" x14ac:dyDescent="0.25">
      <c r="A7" s="48" t="s">
        <v>38</v>
      </c>
      <c r="B7" s="45" t="s">
        <v>84</v>
      </c>
      <c r="C7" s="45">
        <v>1</v>
      </c>
      <c r="D7" s="45" t="str">
        <f>IFERROR(IF(INDEX('01.25'!D2:D500, MATCH(B7&amp;C7, INDEX('01.25'!B2:B500&amp;'01.25'!C2:C500, 0), 0))="", "", INDEX('01.25'!D2:D500, MATCH(B7&amp;C7, INDEX('01.25'!B2:B500&amp;'01.25'!C2:C500, 0), 0))), "")</f>
        <v>Solange Maria Masqueti</v>
      </c>
      <c r="E7" s="107" t="s">
        <v>16</v>
      </c>
      <c r="F7" s="45" t="s">
        <v>607</v>
      </c>
      <c r="G7" s="46" t="s">
        <v>140</v>
      </c>
      <c r="H7" s="45"/>
      <c r="I7" s="45"/>
      <c r="J7" s="45" t="s">
        <v>140</v>
      </c>
      <c r="K7" s="45"/>
    </row>
    <row r="8" spans="1:11" hidden="1" x14ac:dyDescent="0.25">
      <c r="A8" s="48" t="s">
        <v>38</v>
      </c>
      <c r="B8" s="45" t="s">
        <v>79</v>
      </c>
      <c r="C8" s="45">
        <v>1</v>
      </c>
      <c r="D8" s="45" t="str">
        <f>IFERROR(IF(INDEX('01.25'!D2:D500, MATCH(B8&amp;C8, INDEX('01.25'!B2:B500&amp;'01.25'!C2:C500, 0), 0))="", "", INDEX('01.25'!D2:D500, MATCH(B8&amp;C8, INDEX('01.25'!B2:B500&amp;'01.25'!C2:C500, 0), 0))), "")</f>
        <v>Cristiane Petry Vieira</v>
      </c>
      <c r="E8" s="107" t="s">
        <v>16</v>
      </c>
      <c r="F8" s="45" t="s">
        <v>608</v>
      </c>
      <c r="G8" s="46" t="s">
        <v>140</v>
      </c>
      <c r="H8" s="45"/>
      <c r="I8" s="45"/>
      <c r="J8" s="45" t="s">
        <v>140</v>
      </c>
      <c r="K8" s="45"/>
    </row>
    <row r="9" spans="1:11" ht="42" hidden="1" customHeight="1" x14ac:dyDescent="0.25">
      <c r="A9" s="47" t="s">
        <v>28</v>
      </c>
      <c r="B9" s="45" t="s">
        <v>90</v>
      </c>
      <c r="C9" s="45">
        <v>1</v>
      </c>
      <c r="D9" s="45" t="str">
        <f>IFERROR(IF(INDEX('01.25'!D2:D500, MATCH(B9&amp;C9, INDEX('01.25'!B2:B500&amp;'01.25'!C2:C500, 0), 0))="", "", INDEX('01.25'!D2:D500, MATCH(B9&amp;C9, INDEX('01.25'!B2:B500&amp;'01.25'!C2:C500, 0), 0))), "")</f>
        <v>Diego Hemerich</v>
      </c>
      <c r="E9" s="107" t="s">
        <v>16</v>
      </c>
      <c r="F9" s="45" t="s">
        <v>607</v>
      </c>
      <c r="G9" s="52" t="s">
        <v>131</v>
      </c>
      <c r="H9" s="57" t="s">
        <v>609</v>
      </c>
      <c r="I9" s="45"/>
      <c r="J9" s="45" t="s">
        <v>140</v>
      </c>
      <c r="K9" s="45"/>
    </row>
    <row r="10" spans="1:11" hidden="1" x14ac:dyDescent="0.25">
      <c r="A10" s="49" t="s">
        <v>43</v>
      </c>
      <c r="B10" s="45" t="s">
        <v>125</v>
      </c>
      <c r="C10" s="45">
        <v>1</v>
      </c>
      <c r="D10" s="45" t="str">
        <f>IFERROR(IF(INDEX('01.25'!D2:D500, MATCH(B10&amp;C10, INDEX('01.25'!B2:B500&amp;'01.25'!C2:C500, 0), 0))="", "", INDEX('01.25'!D2:D500, MATCH(B10&amp;C10, INDEX('01.25'!B2:B500&amp;'01.25'!C2:C500, 0), 0))), "")</f>
        <v>Tatiane Girardi</v>
      </c>
      <c r="E10" s="107" t="s">
        <v>16</v>
      </c>
      <c r="F10" s="45" t="s">
        <v>610</v>
      </c>
      <c r="G10" s="52" t="s">
        <v>131</v>
      </c>
      <c r="H10" s="45" t="s">
        <v>149</v>
      </c>
      <c r="I10" s="45"/>
      <c r="J10" s="45" t="s">
        <v>140</v>
      </c>
      <c r="K10" s="45"/>
    </row>
    <row r="11" spans="1:11" hidden="1" x14ac:dyDescent="0.25">
      <c r="A11" s="49" t="s">
        <v>43</v>
      </c>
      <c r="B11" s="45" t="s">
        <v>126</v>
      </c>
      <c r="C11" s="45">
        <v>1</v>
      </c>
      <c r="D11" s="45" t="str">
        <f>IFERROR(IF(INDEX('01.25'!D2:D500, MATCH(B11&amp;C11, INDEX('01.25'!B2:B500&amp;'01.25'!C2:C500, 0), 0))="", "", INDEX('01.25'!D2:D500, MATCH(B11&amp;C11, INDEX('01.25'!B2:B500&amp;'01.25'!C2:C500, 0), 0))), "")</f>
        <v>Edson Batista de Castro</v>
      </c>
      <c r="E11" s="107" t="s">
        <v>16</v>
      </c>
      <c r="F11" s="45" t="s">
        <v>607</v>
      </c>
      <c r="G11" s="46" t="s">
        <v>131</v>
      </c>
      <c r="H11" s="45" t="s">
        <v>611</v>
      </c>
      <c r="I11" s="45"/>
      <c r="J11" s="45" t="s">
        <v>140</v>
      </c>
      <c r="K11" s="45"/>
    </row>
    <row r="12" spans="1:11" hidden="1" x14ac:dyDescent="0.25">
      <c r="A12" s="49" t="s">
        <v>43</v>
      </c>
      <c r="B12" s="45" t="s">
        <v>126</v>
      </c>
      <c r="C12" s="45">
        <v>2</v>
      </c>
      <c r="D12" s="45" t="str">
        <f>IFERROR(IF(INDEX('01.25'!D2:D500, MATCH(B12&amp;C12, INDEX('01.25'!B2:B500&amp;'01.25'!C2:C500, 0), 0))="", "", INDEX('01.25'!D2:D500, MATCH(B12&amp;C12, INDEX('01.25'!B2:B500&amp;'01.25'!C2:C500, 0), 0))), "")</f>
        <v>Gabriela Fernanda Sandri</v>
      </c>
      <c r="E12" s="107" t="s">
        <v>16</v>
      </c>
      <c r="F12" s="45" t="s">
        <v>596</v>
      </c>
      <c r="G12" s="46" t="s">
        <v>131</v>
      </c>
      <c r="H12" s="45" t="s">
        <v>611</v>
      </c>
      <c r="I12" s="45"/>
      <c r="J12" s="45" t="s">
        <v>140</v>
      </c>
      <c r="K12" s="45"/>
    </row>
    <row r="13" spans="1:11" hidden="1" x14ac:dyDescent="0.25">
      <c r="A13" s="49" t="s">
        <v>43</v>
      </c>
      <c r="B13" s="45" t="s">
        <v>126</v>
      </c>
      <c r="C13" s="45">
        <v>3</v>
      </c>
      <c r="D13" s="45" t="str">
        <f>IFERROR(IF(INDEX('01.25'!D2:D500, MATCH(B13&amp;C13, INDEX('01.25'!B2:B500&amp;'01.25'!C2:C500, 0), 0))="", "", INDEX('01.25'!D2:D500, MATCH(B13&amp;C13, INDEX('01.25'!B2:B500&amp;'01.25'!C2:C500, 0), 0))), "")</f>
        <v>Eduarda Rohden Donasolo</v>
      </c>
      <c r="E13" s="107" t="s">
        <v>16</v>
      </c>
      <c r="F13" s="45" t="s">
        <v>608</v>
      </c>
      <c r="G13" s="46" t="s">
        <v>131</v>
      </c>
      <c r="H13" s="45" t="s">
        <v>476</v>
      </c>
      <c r="I13" s="45"/>
      <c r="J13" s="45" t="s">
        <v>140</v>
      </c>
      <c r="K13" s="45"/>
    </row>
    <row r="14" spans="1:11" hidden="1" x14ac:dyDescent="0.25">
      <c r="A14" s="49" t="s">
        <v>43</v>
      </c>
      <c r="B14" s="45" t="s">
        <v>126</v>
      </c>
      <c r="C14" s="45">
        <v>4</v>
      </c>
      <c r="D14" s="45" t="str">
        <f>IFERROR(IF(INDEX('01.25'!D2:D500, MATCH(B14&amp;C14, INDEX('01.25'!B2:B500&amp;'01.25'!C2:C500, 0), 0))="", "", INDEX('01.25'!D2:D500, MATCH(B14&amp;C14, INDEX('01.25'!B2:B500&amp;'01.25'!C2:C500, 0), 0))), "")</f>
        <v>Mauricio Pinto de Lima</v>
      </c>
      <c r="E14" s="107" t="s">
        <v>16</v>
      </c>
      <c r="F14" s="45" t="s">
        <v>607</v>
      </c>
      <c r="G14" s="46" t="s">
        <v>131</v>
      </c>
      <c r="H14" s="45" t="s">
        <v>612</v>
      </c>
      <c r="I14" s="45"/>
      <c r="J14" s="45" t="s">
        <v>140</v>
      </c>
      <c r="K14" s="45"/>
    </row>
    <row r="15" spans="1:11" hidden="1" x14ac:dyDescent="0.25">
      <c r="A15" s="49" t="s">
        <v>43</v>
      </c>
      <c r="B15" s="45" t="s">
        <v>126</v>
      </c>
      <c r="C15" s="45">
        <v>5</v>
      </c>
      <c r="D15" s="45" t="str">
        <f>IFERROR(IF(INDEX('01.25'!D2:D500, MATCH(B15&amp;C15, INDEX('01.25'!B2:B500&amp;'01.25'!C2:C500, 0), 0))="", "", INDEX('01.25'!D2:D500, MATCH(B15&amp;C15, INDEX('01.25'!B2:B500&amp;'01.25'!C2:C500, 0), 0))), "")</f>
        <v xml:space="preserve">Débora Laize Lampert Gnass </v>
      </c>
      <c r="E15" s="107" t="s">
        <v>16</v>
      </c>
      <c r="F15" s="45" t="s">
        <v>577</v>
      </c>
      <c r="G15" s="46" t="s">
        <v>131</v>
      </c>
      <c r="H15" s="111" t="s">
        <v>612</v>
      </c>
      <c r="I15" s="45"/>
      <c r="J15" s="45" t="s">
        <v>140</v>
      </c>
      <c r="K15" s="45"/>
    </row>
    <row r="16" spans="1:11" hidden="1" x14ac:dyDescent="0.25">
      <c r="A16" s="49" t="s">
        <v>43</v>
      </c>
      <c r="B16" s="45" t="s">
        <v>126</v>
      </c>
      <c r="C16" s="45">
        <v>6</v>
      </c>
      <c r="D16" s="45" t="str">
        <f>IFERROR(IF(INDEX('01.25'!D2:D500, MATCH(B16&amp;C16, INDEX('01.25'!B2:B500&amp;'01.25'!C2:C500, 0), 0))="", "", INDEX('01.25'!D2:D500, MATCH(B16&amp;C16, INDEX('01.25'!B2:B500&amp;'01.25'!C2:C500, 0), 0))), "")</f>
        <v/>
      </c>
      <c r="E16" s="107" t="s">
        <v>16</v>
      </c>
      <c r="F16" s="45" t="s">
        <v>613</v>
      </c>
      <c r="G16" s="46" t="s">
        <v>131</v>
      </c>
      <c r="H16" s="45" t="s">
        <v>612</v>
      </c>
      <c r="I16" s="45"/>
      <c r="J16" s="45" t="s">
        <v>140</v>
      </c>
      <c r="K16" s="45"/>
    </row>
    <row r="17" spans="1:11" hidden="1" x14ac:dyDescent="0.25">
      <c r="A17" s="47" t="s">
        <v>28</v>
      </c>
      <c r="B17" s="45" t="s">
        <v>91</v>
      </c>
      <c r="C17" s="45">
        <v>1</v>
      </c>
      <c r="D17" s="45" t="str">
        <f>IFERROR(IF(INDEX('01.25'!D2:D500, MATCH(B17&amp;C17, INDEX('01.25'!B2:B500&amp;'01.25'!C2:C500, 0), 0))="", "", INDEX('01.25'!D2:D500, MATCH(B17&amp;C17, INDEX('01.25'!B2:B500&amp;'01.25'!C2:C500, 0), 0))), "")</f>
        <v>Cristina Harumi Enokida</v>
      </c>
      <c r="E17" s="107" t="s">
        <v>16</v>
      </c>
      <c r="F17" s="45" t="s">
        <v>608</v>
      </c>
      <c r="G17" s="52" t="s">
        <v>131</v>
      </c>
      <c r="H17" s="45" t="s">
        <v>149</v>
      </c>
      <c r="I17" s="45"/>
      <c r="J17" s="45" t="s">
        <v>140</v>
      </c>
      <c r="K17" s="45"/>
    </row>
    <row r="18" spans="1:11" hidden="1" x14ac:dyDescent="0.25">
      <c r="A18" s="49" t="s">
        <v>43</v>
      </c>
      <c r="B18" s="45" t="s">
        <v>127</v>
      </c>
      <c r="C18" s="45">
        <v>1</v>
      </c>
      <c r="D18" s="45" t="str">
        <f>IFERROR(IF(INDEX('01.25'!D2:D500, MATCH(B18&amp;C18, INDEX('01.25'!B2:B500&amp;'01.25'!C2:C500, 0), 0))="", "", INDEX('01.25'!D2:D500, MATCH(B18&amp;C18, INDEX('01.25'!B2:B500&amp;'01.25'!C2:C500, 0), 0))), "")</f>
        <v>Douglas de Mattia</v>
      </c>
      <c r="E18" s="107" t="s">
        <v>16</v>
      </c>
      <c r="F18" s="45" t="s">
        <v>596</v>
      </c>
      <c r="G18" s="46" t="s">
        <v>131</v>
      </c>
      <c r="H18" s="45" t="s">
        <v>611</v>
      </c>
      <c r="I18" s="45"/>
      <c r="J18" s="45" t="s">
        <v>140</v>
      </c>
      <c r="K18" s="45"/>
    </row>
    <row r="19" spans="1:11" hidden="1" x14ac:dyDescent="0.25">
      <c r="A19" s="47" t="s">
        <v>28</v>
      </c>
      <c r="B19" s="45" t="s">
        <v>92</v>
      </c>
      <c r="C19" s="45">
        <v>1</v>
      </c>
      <c r="D19" s="45" t="str">
        <f>IFERROR(IF(INDEX('01.25'!D2:D500, MATCH(B19&amp;C19, INDEX('01.25'!B2:B500&amp;'01.25'!C2:C500, 0), 0))="", "", INDEX('01.25'!D2:D500, MATCH(B19&amp;C19, INDEX('01.25'!B2:B500&amp;'01.25'!C2:C500, 0), 0))), "")</f>
        <v>Vanderson Pasetti</v>
      </c>
      <c r="E19" s="107" t="s">
        <v>16</v>
      </c>
      <c r="F19" s="45" t="s">
        <v>614</v>
      </c>
      <c r="G19" s="52" t="s">
        <v>131</v>
      </c>
      <c r="H19" s="45" t="s">
        <v>149</v>
      </c>
      <c r="I19" s="45"/>
      <c r="J19" s="45" t="s">
        <v>140</v>
      </c>
      <c r="K19" s="45"/>
    </row>
    <row r="20" spans="1:11" x14ac:dyDescent="0.25">
      <c r="A20" s="50" t="s">
        <v>42</v>
      </c>
      <c r="B20" s="45" t="s">
        <v>115</v>
      </c>
      <c r="C20" s="45">
        <v>1</v>
      </c>
      <c r="D20" s="45" t="str">
        <f>IFERROR(IF(INDEX('01.25'!D2:D500, MATCH(B20&amp;C20, INDEX('01.25'!B2:B500&amp;'01.25'!C2:C500, 0), 0))="", "", INDEX('01.25'!D2:D500, MATCH(B20&amp;C20, INDEX('01.25'!B2:B500&amp;'01.25'!C2:C500, 0), 0))), "")</f>
        <v>Bruna Schneider Guimarães</v>
      </c>
      <c r="E20" s="107" t="s">
        <v>16</v>
      </c>
      <c r="F20" s="45" t="s">
        <v>615</v>
      </c>
      <c r="G20" s="52" t="s">
        <v>131</v>
      </c>
      <c r="H20" s="45"/>
      <c r="I20" s="45"/>
      <c r="J20" s="45" t="s">
        <v>140</v>
      </c>
      <c r="K20" s="45"/>
    </row>
    <row r="21" spans="1:11" hidden="1" x14ac:dyDescent="0.25">
      <c r="A21" s="47" t="s">
        <v>28</v>
      </c>
      <c r="B21" s="45" t="s">
        <v>93</v>
      </c>
      <c r="C21" s="45">
        <v>1</v>
      </c>
      <c r="D21" s="45" t="str">
        <f>IFERROR(IF(INDEX('01.25'!D2:D500, MATCH(B21&amp;C21, INDEX('01.25'!B2:B500&amp;'01.25'!C2:C500, 0), 0))="", "", INDEX('01.25'!D2:D500, MATCH(B21&amp;C21, INDEX('01.25'!B2:B500&amp;'01.25'!C2:C500, 0), 0))), "")</f>
        <v>Keilla Avezedo</v>
      </c>
      <c r="E21" s="107" t="s">
        <v>16</v>
      </c>
      <c r="F21" s="45" t="s">
        <v>613</v>
      </c>
      <c r="G21" s="52" t="s">
        <v>131</v>
      </c>
      <c r="H21" s="57" t="s">
        <v>542</v>
      </c>
      <c r="I21" s="45"/>
      <c r="J21" s="45" t="s">
        <v>140</v>
      </c>
      <c r="K21" s="45"/>
    </row>
    <row r="22" spans="1:11" x14ac:dyDescent="0.25">
      <c r="A22" s="50" t="s">
        <v>42</v>
      </c>
      <c r="B22" s="45" t="s">
        <v>116</v>
      </c>
      <c r="C22" s="45">
        <v>1</v>
      </c>
      <c r="D22" s="45" t="str">
        <f>IFERROR(IF(INDEX('01.25'!D2:D500, MATCH(B22&amp;C22, INDEX('01.25'!B2:B500&amp;'01.25'!C2:C500, 0), 0))="", "", INDEX('01.25'!D2:D500, MATCH(B22&amp;C22, INDEX('01.25'!B2:B500&amp;'01.25'!C2:C500, 0), 0))), "")</f>
        <v>Carmen Maria Stein Weiler</v>
      </c>
      <c r="E22" s="107" t="s">
        <v>16</v>
      </c>
      <c r="F22" s="45" t="s">
        <v>616</v>
      </c>
      <c r="G22" s="46" t="s">
        <v>140</v>
      </c>
      <c r="H22" s="45"/>
      <c r="I22" s="45"/>
      <c r="J22" s="45" t="s">
        <v>140</v>
      </c>
      <c r="K22" s="45"/>
    </row>
    <row r="23" spans="1:11" hidden="1" x14ac:dyDescent="0.25">
      <c r="A23" s="48" t="s">
        <v>38</v>
      </c>
      <c r="B23" s="45" t="s">
        <v>75</v>
      </c>
      <c r="C23" s="45">
        <v>1</v>
      </c>
      <c r="D23" s="45" t="str">
        <f>IFERROR(IF(INDEX('01.25'!D2:D500, MATCH(B23&amp;C23, INDEX('01.25'!B2:B500&amp;'01.25'!C2:C500, 0), 0))="", "", INDEX('01.25'!D2:D500, MATCH(B23&amp;C23, INDEX('01.25'!B2:B500&amp;'01.25'!C2:C500, 0), 0))), "")</f>
        <v>Thiago Varaschim Cenci</v>
      </c>
      <c r="E23" s="107" t="s">
        <v>16</v>
      </c>
      <c r="F23" s="45" t="s">
        <v>605</v>
      </c>
      <c r="G23" s="46" t="s">
        <v>131</v>
      </c>
      <c r="H23" s="45" t="s">
        <v>677</v>
      </c>
      <c r="I23" s="45"/>
      <c r="J23" s="45" t="s">
        <v>140</v>
      </c>
      <c r="K23" s="45"/>
    </row>
    <row r="24" spans="1:11" hidden="1" x14ac:dyDescent="0.25">
      <c r="A24" s="51" t="s">
        <v>40</v>
      </c>
      <c r="B24" s="45" t="s">
        <v>80</v>
      </c>
      <c r="C24" s="45">
        <v>1</v>
      </c>
      <c r="D24" s="45" t="str">
        <f>IFERROR(IF(INDEX('01.25'!D2:D500, MATCH(B24&amp;C24, INDEX('01.25'!B2:B500&amp;'01.25'!C2:C500, 0), 0))="", "", INDEX('01.25'!D2:D500, MATCH(B24&amp;C24, INDEX('01.25'!B2:B500&amp;'01.25'!C2:C500, 0), 0))), "")</f>
        <v>Éber Alexandre Nascimento Araújo</v>
      </c>
      <c r="E24" s="107" t="s">
        <v>16</v>
      </c>
      <c r="F24" s="45" t="s">
        <v>460</v>
      </c>
      <c r="G24" s="52" t="s">
        <v>131</v>
      </c>
      <c r="H24" s="45"/>
      <c r="I24" s="45"/>
      <c r="J24" s="45" t="s">
        <v>140</v>
      </c>
      <c r="K24" s="45"/>
    </row>
    <row r="25" spans="1:11" hidden="1" x14ac:dyDescent="0.25">
      <c r="A25" s="51" t="s">
        <v>40</v>
      </c>
      <c r="B25" s="45" t="s">
        <v>80</v>
      </c>
      <c r="C25" s="45">
        <v>2</v>
      </c>
      <c r="D25" s="45" t="str">
        <f>IFERROR(IF(INDEX('01.25'!D2:D500, MATCH(B25&amp;C25, INDEX('01.25'!B2:B500&amp;'01.25'!C2:C500, 0), 0))="", "", INDEX('01.25'!D2:D500, MATCH(B25&amp;C25, INDEX('01.25'!B2:B500&amp;'01.25'!C2:C500, 0), 0))), "")</f>
        <v>Andrea Carla Winkelmann</v>
      </c>
      <c r="E25" s="107" t="s">
        <v>16</v>
      </c>
      <c r="F25" s="45" t="s">
        <v>596</v>
      </c>
      <c r="G25" s="52" t="s">
        <v>131</v>
      </c>
      <c r="H25" s="45"/>
      <c r="I25" s="45"/>
      <c r="J25" s="45" t="s">
        <v>140</v>
      </c>
      <c r="K25" s="45"/>
    </row>
    <row r="26" spans="1:11" hidden="1" x14ac:dyDescent="0.25">
      <c r="A26" s="51" t="s">
        <v>40</v>
      </c>
      <c r="B26" s="45" t="s">
        <v>80</v>
      </c>
      <c r="C26" s="45">
        <v>3</v>
      </c>
      <c r="D26" s="45" t="str">
        <f>IFERROR(IF(INDEX('01.25'!D2:D500, MATCH(B26&amp;C26, INDEX('01.25'!B2:B500&amp;'01.25'!C2:C500, 0), 0))="", "", INDEX('01.25'!D2:D500, MATCH(B26&amp;C26, INDEX('01.25'!B2:B500&amp;'01.25'!C2:C500, 0), 0))), "")</f>
        <v>Lorizete de Andrade</v>
      </c>
      <c r="E26" s="107" t="s">
        <v>16</v>
      </c>
      <c r="F26" s="45" t="s">
        <v>616</v>
      </c>
      <c r="G26" s="52" t="s">
        <v>131</v>
      </c>
      <c r="H26" s="45"/>
      <c r="I26" s="45"/>
      <c r="J26" s="45" t="s">
        <v>140</v>
      </c>
      <c r="K26" s="45"/>
    </row>
    <row r="27" spans="1:11" ht="16.5" hidden="1" customHeight="1" x14ac:dyDescent="0.25">
      <c r="A27" s="51" t="s">
        <v>40</v>
      </c>
      <c r="B27" s="45" t="s">
        <v>80</v>
      </c>
      <c r="C27" s="45">
        <v>4</v>
      </c>
      <c r="D27" s="45" t="str">
        <f>IFERROR(IF(INDEX('01.25'!D2:D500, MATCH(B27&amp;C27, INDEX('01.25'!B2:B500&amp;'01.25'!C2:C500, 0), 0))="", "", INDEX('01.25'!D2:D500, MATCH(B27&amp;C27, INDEX('01.25'!B2:B500&amp;'01.25'!C2:C500, 0), 0))), "")</f>
        <v>Andressa Maia</v>
      </c>
      <c r="E27" s="107" t="s">
        <v>16</v>
      </c>
      <c r="F27" s="45" t="s">
        <v>616</v>
      </c>
      <c r="G27" s="52" t="s">
        <v>131</v>
      </c>
      <c r="H27" s="57" t="s">
        <v>617</v>
      </c>
      <c r="I27" s="45"/>
      <c r="J27" s="45" t="s">
        <v>140</v>
      </c>
      <c r="K27" s="45"/>
    </row>
    <row r="28" spans="1:11" hidden="1" x14ac:dyDescent="0.25">
      <c r="A28" s="51" t="s">
        <v>40</v>
      </c>
      <c r="B28" s="45" t="s">
        <v>80</v>
      </c>
      <c r="C28" s="45">
        <v>5</v>
      </c>
      <c r="D28" s="45" t="str">
        <f>IFERROR(IF(INDEX('01.25'!D2:D500, MATCH(B28&amp;C28, INDEX('01.25'!B2:B500&amp;'01.25'!C2:C500, 0), 0))="", "", INDEX('01.25'!D2:D500, MATCH(B28&amp;C28, INDEX('01.25'!B2:B500&amp;'01.25'!C2:C500, 0), 0))), "")</f>
        <v>Lucas Correia de Souza</v>
      </c>
      <c r="E28" s="107" t="s">
        <v>16</v>
      </c>
      <c r="F28" s="45" t="s">
        <v>618</v>
      </c>
      <c r="G28" s="52" t="s">
        <v>131</v>
      </c>
      <c r="H28" s="45"/>
      <c r="I28" s="45"/>
      <c r="J28" s="45" t="s">
        <v>140</v>
      </c>
      <c r="K28" s="45"/>
    </row>
    <row r="29" spans="1:11" hidden="1" x14ac:dyDescent="0.25">
      <c r="A29" s="51" t="s">
        <v>40</v>
      </c>
      <c r="B29" s="45" t="s">
        <v>80</v>
      </c>
      <c r="C29" s="45">
        <v>6</v>
      </c>
      <c r="D29" s="45" t="str">
        <f>IFERROR(IF(INDEX('01.25'!D2:D500, MATCH(B29&amp;C29, INDEX('01.25'!B2:B500&amp;'01.25'!C2:C500, 0), 0))="", "", INDEX('01.25'!D2:D500, MATCH(B29&amp;C29, INDEX('01.25'!B2:B500&amp;'01.25'!C2:C500, 0), 0))), "")</f>
        <v>Jose Francisco Mariano de Faria Filho</v>
      </c>
      <c r="E29" s="107" t="s">
        <v>16</v>
      </c>
      <c r="F29" s="45" t="s">
        <v>619</v>
      </c>
      <c r="G29" s="52" t="s">
        <v>131</v>
      </c>
      <c r="H29" s="45" t="s">
        <v>620</v>
      </c>
      <c r="I29" s="45"/>
      <c r="J29" s="45" t="s">
        <v>140</v>
      </c>
      <c r="K29" s="45"/>
    </row>
    <row r="30" spans="1:11" hidden="1" x14ac:dyDescent="0.25">
      <c r="A30" s="51" t="s">
        <v>40</v>
      </c>
      <c r="B30" s="45" t="s">
        <v>80</v>
      </c>
      <c r="C30" s="45">
        <v>7</v>
      </c>
      <c r="D30" s="45" t="str">
        <f>IFERROR(IF(INDEX('01.25'!D2:D500, MATCH(B30&amp;C30, INDEX('01.25'!B2:B500&amp;'01.25'!C2:C500, 0), 0))="", "", INDEX('01.25'!D2:D500, MATCH(B30&amp;C30, INDEX('01.25'!B2:B500&amp;'01.25'!C2:C500, 0), 0))), "")</f>
        <v>Pedro Henrique Mariano de Faria</v>
      </c>
      <c r="E30" s="107" t="s">
        <v>16</v>
      </c>
      <c r="F30" s="45" t="s">
        <v>404</v>
      </c>
      <c r="G30" s="52" t="s">
        <v>131</v>
      </c>
      <c r="H30" s="45"/>
      <c r="I30" s="45"/>
      <c r="J30" s="45" t="s">
        <v>140</v>
      </c>
      <c r="K30" s="45"/>
    </row>
    <row r="31" spans="1:11" hidden="1" x14ac:dyDescent="0.25">
      <c r="A31" s="51" t="s">
        <v>40</v>
      </c>
      <c r="B31" s="45" t="s">
        <v>80</v>
      </c>
      <c r="C31" s="45">
        <v>8</v>
      </c>
      <c r="D31" s="45" t="str">
        <f>IFERROR(IF(INDEX('01.25'!D2:D500, MATCH(B31&amp;C31, INDEX('01.25'!B2:B500&amp;'01.25'!C2:C500, 0), 0))="", "", INDEX('01.25'!D2:D500, MATCH(B31&amp;C31, INDEX('01.25'!B2:B500&amp;'01.25'!C2:C500, 0), 0))), "")</f>
        <v>Renata Aparecida de Souza</v>
      </c>
      <c r="E31" s="107" t="s">
        <v>16</v>
      </c>
      <c r="F31" s="45" t="s">
        <v>606</v>
      </c>
      <c r="G31" s="52" t="s">
        <v>131</v>
      </c>
      <c r="H31" s="45"/>
      <c r="I31" s="45"/>
      <c r="J31" s="45" t="s">
        <v>140</v>
      </c>
      <c r="K31" s="45"/>
    </row>
    <row r="32" spans="1:11" hidden="1" x14ac:dyDescent="0.25">
      <c r="A32" s="51" t="s">
        <v>40</v>
      </c>
      <c r="B32" s="45" t="s">
        <v>80</v>
      </c>
      <c r="C32" s="45">
        <v>9</v>
      </c>
      <c r="D32" s="45" t="str">
        <f>IFERROR(IF(INDEX('01.25'!D2:D500, MATCH(B32&amp;C32, INDEX('01.25'!B2:B500&amp;'01.25'!C2:C500, 0), 0))="", "", INDEX('01.25'!D2:D500, MATCH(B32&amp;C32, INDEX('01.25'!B2:B500&amp;'01.25'!C2:C500, 0), 0))), "")</f>
        <v>Maria Eduarda dos Santos Arias</v>
      </c>
      <c r="E32" s="107" t="s">
        <v>16</v>
      </c>
      <c r="F32" s="45" t="s">
        <v>358</v>
      </c>
      <c r="G32" s="52" t="s">
        <v>131</v>
      </c>
      <c r="H32" s="45" t="s">
        <v>621</v>
      </c>
      <c r="I32" s="45"/>
      <c r="J32" s="45" t="s">
        <v>140</v>
      </c>
      <c r="K32" s="45"/>
    </row>
    <row r="33" spans="1:11" hidden="1" x14ac:dyDescent="0.25">
      <c r="A33" s="44" t="s">
        <v>36</v>
      </c>
      <c r="B33" s="45" t="s">
        <v>98</v>
      </c>
      <c r="C33" s="45">
        <v>1</v>
      </c>
      <c r="D33" s="45" t="str">
        <f>IFERROR(IF(INDEX('01.25'!D2:D500, MATCH(B33&amp;C33, INDEX('01.25'!B2:B500&amp;'01.25'!C2:C500, 0), 0))="", "", INDEX('01.25'!D2:D500, MATCH(B33&amp;C33, INDEX('01.25'!B2:B500&amp;'01.25'!C2:C500, 0), 0))), "")</f>
        <v>Paulo Rogerio Hiroshi Fujii</v>
      </c>
      <c r="E33" s="107" t="s">
        <v>16</v>
      </c>
      <c r="F33" s="45" t="s">
        <v>616</v>
      </c>
      <c r="G33" s="46" t="s">
        <v>140</v>
      </c>
      <c r="H33" s="45"/>
      <c r="I33" s="45"/>
      <c r="J33" s="45" t="s">
        <v>140</v>
      </c>
      <c r="K33" s="45"/>
    </row>
    <row r="34" spans="1:11" hidden="1" x14ac:dyDescent="0.25">
      <c r="A34" s="44" t="s">
        <v>36</v>
      </c>
      <c r="B34" s="45" t="s">
        <v>99</v>
      </c>
      <c r="C34" s="45">
        <v>1</v>
      </c>
      <c r="D34" s="45" t="str">
        <f>IFERROR(IF(INDEX('01.25'!D2:D500, MATCH(B34&amp;C34, INDEX('01.25'!B2:B500&amp;'01.25'!C2:C500, 0), 0))="", "", INDEX('01.25'!D2:D500, MATCH(B34&amp;C34, INDEX('01.25'!B2:B500&amp;'01.25'!C2:C500, 0), 0))), "")</f>
        <v>Marlene R. Oliveira Dallacosta</v>
      </c>
      <c r="E34" s="107" t="s">
        <v>16</v>
      </c>
      <c r="F34" s="45" t="s">
        <v>404</v>
      </c>
      <c r="G34" s="46" t="s">
        <v>140</v>
      </c>
      <c r="H34" s="45"/>
      <c r="I34" s="45"/>
      <c r="J34" s="45" t="s">
        <v>140</v>
      </c>
      <c r="K34" s="45"/>
    </row>
    <row r="35" spans="1:11" hidden="1" x14ac:dyDescent="0.25">
      <c r="A35" s="47" t="s">
        <v>28</v>
      </c>
      <c r="B35" s="45" t="s">
        <v>94</v>
      </c>
      <c r="C35" s="45">
        <v>1</v>
      </c>
      <c r="D35" s="45" t="str">
        <f>IFERROR(IF(INDEX('01.25'!D2:D500, MATCH(B35&amp;C35, INDEX('01.25'!B2:B500&amp;'01.25'!C2:C500, 0), 0))="", "", INDEX('01.25'!D2:D500, MATCH(B35&amp;C35, INDEX('01.25'!B2:B500&amp;'01.25'!C2:C500, 0), 0))), "")</f>
        <v>Vitolor dos Santos Almeida</v>
      </c>
      <c r="E35" s="107" t="s">
        <v>16</v>
      </c>
      <c r="F35" s="45" t="s">
        <v>613</v>
      </c>
      <c r="G35" s="52" t="s">
        <v>131</v>
      </c>
      <c r="H35" s="57" t="s">
        <v>149</v>
      </c>
      <c r="I35" s="45"/>
      <c r="J35" s="45" t="s">
        <v>140</v>
      </c>
      <c r="K35" s="45"/>
    </row>
    <row r="36" spans="1:11" hidden="1" x14ac:dyDescent="0.25">
      <c r="A36" s="47" t="s">
        <v>28</v>
      </c>
      <c r="B36" s="45" t="s">
        <v>95</v>
      </c>
      <c r="C36" s="45">
        <v>1</v>
      </c>
      <c r="D36" s="45" t="str">
        <f>IFERROR(IF(INDEX('01.25'!D2:D500, MATCH(B36&amp;C36, INDEX('01.25'!B2:B500&amp;'01.25'!C2:C500, 0), 0))="", "", INDEX('01.25'!D2:D500, MATCH(B36&amp;C36, INDEX('01.25'!B2:B500&amp;'01.25'!C2:C500, 0), 0))), "")</f>
        <v>Kelly Jackeline Silva do Valle</v>
      </c>
      <c r="E36" s="107" t="s">
        <v>16</v>
      </c>
      <c r="F36" s="45" t="s">
        <v>622</v>
      </c>
      <c r="G36" s="52" t="s">
        <v>131</v>
      </c>
      <c r="H36" s="45" t="s">
        <v>551</v>
      </c>
      <c r="I36" s="45"/>
      <c r="J36" s="45" t="s">
        <v>140</v>
      </c>
      <c r="K36" s="45"/>
    </row>
    <row r="37" spans="1:11" hidden="1" x14ac:dyDescent="0.25">
      <c r="A37" s="47" t="s">
        <v>28</v>
      </c>
      <c r="B37" s="45" t="s">
        <v>96</v>
      </c>
      <c r="C37" s="45">
        <v>1</v>
      </c>
      <c r="D37" s="45" t="str">
        <f>IFERROR(IF(INDEX('01.25'!D2:D500, MATCH(B37&amp;C37, INDEX('01.25'!B2:B500&amp;'01.25'!C2:C500, 0), 0))="", "", INDEX('01.25'!D2:D500, MATCH(B37&amp;C37, INDEX('01.25'!B2:B500&amp;'01.25'!C2:C500, 0), 0))), "")</f>
        <v>Felipe Carvalho Zydek</v>
      </c>
      <c r="E37" s="107" t="s">
        <v>16</v>
      </c>
      <c r="F37" s="45" t="s">
        <v>616</v>
      </c>
      <c r="G37" s="52" t="s">
        <v>131</v>
      </c>
      <c r="H37" s="45" t="s">
        <v>149</v>
      </c>
      <c r="I37" s="45"/>
      <c r="J37" s="45" t="s">
        <v>140</v>
      </c>
      <c r="K37" s="45"/>
    </row>
    <row r="38" spans="1:11" hidden="1" x14ac:dyDescent="0.25">
      <c r="A38" s="48" t="s">
        <v>38</v>
      </c>
      <c r="B38" s="45" t="s">
        <v>107</v>
      </c>
      <c r="C38" s="45">
        <v>1</v>
      </c>
      <c r="D38" s="45" t="str">
        <f>IFERROR(IF(INDEX('01.25'!D2:D500, MATCH(B38&amp;C38, INDEX('01.25'!B2:B500&amp;'01.25'!C2:C500, 0), 0))="", "", INDEX('01.25'!D2:D500, MATCH(B38&amp;C38, INDEX('01.25'!B2:B500&amp;'01.25'!C2:C500, 0), 0))), "")</f>
        <v>Eliane Borin</v>
      </c>
      <c r="E38" s="107" t="s">
        <v>16</v>
      </c>
      <c r="F38" s="45" t="s">
        <v>608</v>
      </c>
      <c r="G38" s="46" t="s">
        <v>131</v>
      </c>
      <c r="H38" s="45" t="s">
        <v>542</v>
      </c>
      <c r="I38" s="45"/>
      <c r="J38" s="45" t="s">
        <v>140</v>
      </c>
      <c r="K38" s="45"/>
    </row>
    <row r="39" spans="1:11" x14ac:dyDescent="0.25">
      <c r="A39" s="50" t="s">
        <v>42</v>
      </c>
      <c r="B39" s="45" t="s">
        <v>117</v>
      </c>
      <c r="C39" s="45">
        <v>1</v>
      </c>
      <c r="D39" s="45" t="str">
        <f>IFERROR(IF(INDEX('01.25'!D2:D500, MATCH(B39&amp;C39, INDEX('01.25'!B2:B500&amp;'01.25'!C2:C500, 0), 0))="", "", INDEX('01.25'!D2:D500, MATCH(B39&amp;C39, INDEX('01.25'!B2:B500&amp;'01.25'!C2:C500, 0), 0))), "")</f>
        <v>Tatiana schrard</v>
      </c>
      <c r="E39" s="106" t="s">
        <v>18</v>
      </c>
      <c r="F39" s="45"/>
      <c r="G39" s="46" t="s">
        <v>140</v>
      </c>
      <c r="H39" s="45"/>
      <c r="I39" s="45"/>
      <c r="J39" s="45" t="s">
        <v>140</v>
      </c>
      <c r="K39" s="45"/>
    </row>
    <row r="40" spans="1:11" hidden="1" x14ac:dyDescent="0.25">
      <c r="A40" s="48" t="s">
        <v>38</v>
      </c>
      <c r="B40" s="45" t="s">
        <v>81</v>
      </c>
      <c r="C40" s="45">
        <v>1</v>
      </c>
      <c r="D40" s="45" t="str">
        <f>IFERROR(IF(INDEX('01.25'!D2:D500, MATCH(B40&amp;C40, INDEX('01.25'!B2:B500&amp;'01.25'!C2:C500, 0), 0))="", "", INDEX('01.25'!D2:D500, MATCH(B40&amp;C40, INDEX('01.25'!B2:B500&amp;'01.25'!C2:C500, 0), 0))), "")</f>
        <v>César Piva Glinglani</v>
      </c>
      <c r="E40" s="107" t="s">
        <v>16</v>
      </c>
      <c r="F40" s="45" t="s">
        <v>618</v>
      </c>
      <c r="G40" s="46" t="s">
        <v>140</v>
      </c>
      <c r="H40" s="45"/>
      <c r="I40" s="45"/>
      <c r="J40" s="45" t="s">
        <v>140</v>
      </c>
      <c r="K40" s="45"/>
    </row>
    <row r="41" spans="1:11" hidden="1" x14ac:dyDescent="0.25">
      <c r="A41" s="49" t="s">
        <v>43</v>
      </c>
      <c r="B41" s="45" t="s">
        <v>128</v>
      </c>
      <c r="C41" s="45">
        <v>1</v>
      </c>
      <c r="D41" s="45" t="str">
        <f>IFERROR(IF(INDEX('01.25'!D2:D500, MATCH(B41&amp;C41, INDEX('01.25'!B2:B500&amp;'01.25'!C2:C500, 0), 0))="", "", INDEX('01.25'!D2:D500, MATCH(B41&amp;C41, INDEX('01.25'!B2:B500&amp;'01.25'!C2:C500, 0), 0))), "")</f>
        <v>Ailton Carlos Fialho</v>
      </c>
      <c r="E41" s="107" t="s">
        <v>16</v>
      </c>
      <c r="F41" s="45" t="s">
        <v>613</v>
      </c>
      <c r="G41" s="52" t="s">
        <v>131</v>
      </c>
      <c r="H41" s="57" t="s">
        <v>149</v>
      </c>
      <c r="I41" s="45"/>
      <c r="J41" s="45" t="s">
        <v>140</v>
      </c>
      <c r="K41" s="45"/>
    </row>
    <row r="42" spans="1:11" x14ac:dyDescent="0.25">
      <c r="A42" s="50" t="s">
        <v>42</v>
      </c>
      <c r="B42" s="45" t="s">
        <v>82</v>
      </c>
      <c r="C42" s="45">
        <v>1</v>
      </c>
      <c r="D42" s="45" t="str">
        <f>IFERROR(IF(INDEX('01.25'!D2:D500, MATCH(B42&amp;C42, INDEX('01.25'!B2:B500&amp;'01.25'!C2:C500, 0), 0))="", "", INDEX('01.25'!D2:D500, MATCH(B42&amp;C42, INDEX('01.25'!B2:B500&amp;'01.25'!C2:C500, 0), 0))), "")</f>
        <v>Marcos José Chaves</v>
      </c>
      <c r="E42" s="107" t="s">
        <v>16</v>
      </c>
      <c r="F42" s="45" t="s">
        <v>596</v>
      </c>
      <c r="G42" s="46" t="s">
        <v>140</v>
      </c>
      <c r="H42" s="45"/>
      <c r="I42" s="45"/>
      <c r="J42" s="45" t="s">
        <v>140</v>
      </c>
      <c r="K42" s="45"/>
    </row>
    <row r="43" spans="1:11" x14ac:dyDescent="0.25">
      <c r="A43" s="50" t="s">
        <v>42</v>
      </c>
      <c r="B43" s="45" t="s">
        <v>82</v>
      </c>
      <c r="C43" s="45">
        <v>2</v>
      </c>
      <c r="D43" s="45" t="str">
        <f>IFERROR(IF(INDEX('01.25'!D2:D500, MATCH(B43&amp;C43, INDEX('01.25'!B2:B500&amp;'01.25'!C2:C500, 0), 0))="", "", INDEX('01.25'!D2:D500, MATCH(B43&amp;C43, INDEX('01.25'!B2:B500&amp;'01.25'!C2:C500, 0), 0))), "")</f>
        <v>Diego Matheus Reinicke</v>
      </c>
      <c r="E43" s="107" t="s">
        <v>16</v>
      </c>
      <c r="F43" s="45" t="s">
        <v>189</v>
      </c>
      <c r="G43" s="46" t="s">
        <v>140</v>
      </c>
      <c r="H43" s="45"/>
      <c r="I43" s="45"/>
      <c r="J43" s="45" t="s">
        <v>140</v>
      </c>
      <c r="K43" s="45"/>
    </row>
    <row r="44" spans="1:11" hidden="1" x14ac:dyDescent="0.25">
      <c r="A44" s="48" t="s">
        <v>38</v>
      </c>
      <c r="B44" s="45" t="s">
        <v>76</v>
      </c>
      <c r="C44" s="45">
        <v>1</v>
      </c>
      <c r="D44" s="45" t="str">
        <f>IFERROR(IF(INDEX('01.25'!D2:D500, MATCH(B44&amp;C44, INDEX('01.25'!B2:B500&amp;'01.25'!C2:C500, 0), 0))="", "", INDEX('01.25'!D2:D500, MATCH(B44&amp;C44, INDEX('01.25'!B2:B500&amp;'01.25'!C2:C500, 0), 0))), "")</f>
        <v>Cleiton Manske</v>
      </c>
      <c r="E44" s="107" t="s">
        <v>16</v>
      </c>
      <c r="F44" s="45" t="s">
        <v>438</v>
      </c>
      <c r="G44" s="52" t="s">
        <v>131</v>
      </c>
      <c r="H44" s="45" t="s">
        <v>542</v>
      </c>
      <c r="I44" s="45"/>
      <c r="J44" s="45" t="s">
        <v>140</v>
      </c>
      <c r="K44" s="45"/>
    </row>
    <row r="45" spans="1:11" x14ac:dyDescent="0.25">
      <c r="A45" s="50" t="s">
        <v>42</v>
      </c>
      <c r="B45" s="45" t="s">
        <v>118</v>
      </c>
      <c r="C45" s="45">
        <v>1</v>
      </c>
      <c r="D45" s="45" t="str">
        <f>IFERROR(IF(INDEX('01.25'!D2:D500, MATCH(B45&amp;C45, INDEX('01.25'!B2:B500&amp;'01.25'!C2:C500, 0), 0))="", "", INDEX('01.25'!D2:D500, MATCH(B45&amp;C45, INDEX('01.25'!B2:B500&amp;'01.25'!C2:C500, 0), 0))), "")</f>
        <v>Alexandro Aparecido de Lima Vieira</v>
      </c>
      <c r="E45" s="107" t="s">
        <v>16</v>
      </c>
      <c r="F45" s="45" t="s">
        <v>607</v>
      </c>
      <c r="G45" s="52" t="s">
        <v>131</v>
      </c>
      <c r="H45" s="45"/>
      <c r="I45" s="45"/>
      <c r="J45" s="45" t="s">
        <v>140</v>
      </c>
      <c r="K45" s="45"/>
    </row>
    <row r="46" spans="1:11" hidden="1" x14ac:dyDescent="0.25">
      <c r="A46" s="51" t="s">
        <v>40</v>
      </c>
      <c r="B46" s="45" t="s">
        <v>111</v>
      </c>
      <c r="C46" s="45">
        <v>1</v>
      </c>
      <c r="D46" s="45" t="str">
        <f>IFERROR(IF(INDEX('01.25'!D2:D500, MATCH(B46&amp;C46, INDEX('01.25'!B2:B500&amp;'01.25'!C2:C500, 0), 0))="", "", INDEX('01.25'!D2:D500, MATCH(B46&amp;C46, INDEX('01.25'!B2:B500&amp;'01.25'!C2:C500, 0), 0))), "")</f>
        <v>Rafael Henrique Caetano</v>
      </c>
      <c r="E46" s="107" t="s">
        <v>16</v>
      </c>
      <c r="F46" s="45" t="s">
        <v>623</v>
      </c>
      <c r="G46" s="52" t="s">
        <v>131</v>
      </c>
      <c r="H46" s="45"/>
      <c r="I46" s="45"/>
      <c r="J46" s="45" t="s">
        <v>140</v>
      </c>
      <c r="K46" s="45"/>
    </row>
    <row r="47" spans="1:11" hidden="1" x14ac:dyDescent="0.25">
      <c r="A47" s="44" t="s">
        <v>36</v>
      </c>
      <c r="B47" s="45" t="s">
        <v>100</v>
      </c>
      <c r="C47" s="45">
        <v>1</v>
      </c>
      <c r="D47" s="45" t="str">
        <f>IFERROR(IF(INDEX('01.25'!D2:D500, MATCH(B47&amp;C47, INDEX('01.25'!B2:B500&amp;'01.25'!C2:C500, 0), 0))="", "", INDEX('01.25'!D2:D500, MATCH(B47&amp;C47, INDEX('01.25'!B2:B500&amp;'01.25'!C2:C500, 0), 0))), "")</f>
        <v>Roberto Pedron</v>
      </c>
      <c r="E47" s="107" t="s">
        <v>16</v>
      </c>
      <c r="F47" s="45" t="s">
        <v>593</v>
      </c>
      <c r="G47" s="46" t="s">
        <v>140</v>
      </c>
      <c r="H47" s="45"/>
      <c r="I47" s="45"/>
      <c r="J47" s="45" t="s">
        <v>140</v>
      </c>
      <c r="K47" s="45"/>
    </row>
    <row r="48" spans="1:11" x14ac:dyDescent="0.25">
      <c r="A48" s="50" t="s">
        <v>42</v>
      </c>
      <c r="B48" s="45" t="s">
        <v>119</v>
      </c>
      <c r="C48" s="45">
        <v>1</v>
      </c>
      <c r="D48" s="45" t="str">
        <f>IFERROR(IF(INDEX('01.25'!D2:D500, MATCH(B48&amp;C48, INDEX('01.25'!B2:B500&amp;'01.25'!C2:C500, 0), 0))="", "", INDEX('01.25'!D2:D500, MATCH(B48&amp;C48, INDEX('01.25'!B2:B500&amp;'01.25'!C2:C500, 0), 0))), "")</f>
        <v>Luciane Spies</v>
      </c>
      <c r="E48" s="107" t="s">
        <v>16</v>
      </c>
      <c r="F48" s="45" t="s">
        <v>577</v>
      </c>
      <c r="G48" s="46" t="s">
        <v>140</v>
      </c>
      <c r="H48" s="45"/>
      <c r="I48" s="45"/>
      <c r="J48" s="45" t="s">
        <v>140</v>
      </c>
      <c r="K48" s="45"/>
    </row>
    <row r="49" spans="1:11" hidden="1" x14ac:dyDescent="0.25">
      <c r="A49" s="44" t="s">
        <v>36</v>
      </c>
      <c r="B49" s="45" t="s">
        <v>77</v>
      </c>
      <c r="C49" s="45">
        <v>1</v>
      </c>
      <c r="D49" s="45" t="str">
        <f>IFERROR(IF(INDEX('01.25'!D2:D500, MATCH(B49&amp;C49, INDEX('01.25'!B2:B500&amp;'01.25'!C2:C500, 0), 0))="", "", INDEX('01.25'!D2:D500, MATCH(B49&amp;C49, INDEX('01.25'!B2:B500&amp;'01.25'!C2:C500, 0), 0))), "")</f>
        <v>Jaqueline Fernanda Meireles</v>
      </c>
      <c r="E49" s="107" t="s">
        <v>16</v>
      </c>
      <c r="F49" s="45" t="s">
        <v>610</v>
      </c>
      <c r="G49" s="46" t="s">
        <v>140</v>
      </c>
      <c r="H49" s="45"/>
      <c r="I49" s="45"/>
      <c r="J49" s="45" t="s">
        <v>140</v>
      </c>
      <c r="K49" s="45"/>
    </row>
    <row r="50" spans="1:11" hidden="1" x14ac:dyDescent="0.25">
      <c r="A50" s="48" t="s">
        <v>38</v>
      </c>
      <c r="B50" s="45" t="s">
        <v>108</v>
      </c>
      <c r="C50" s="45">
        <v>1</v>
      </c>
      <c r="D50" s="45" t="str">
        <f>IFERROR(IF(INDEX('01.25'!D2:D500, MATCH(B50&amp;C50, INDEX('01.25'!B2:B500&amp;'01.25'!C2:C500, 0), 0))="", "", INDEX('01.25'!D2:D500, MATCH(B50&amp;C50, INDEX('01.25'!B2:B500&amp;'01.25'!C2:C500, 0), 0))), "")</f>
        <v>Luiz Fernando Pereira Barbosa</v>
      </c>
      <c r="E50" s="107" t="s">
        <v>16</v>
      </c>
      <c r="F50" s="45" t="s">
        <v>577</v>
      </c>
      <c r="G50" s="46" t="s">
        <v>140</v>
      </c>
      <c r="H50" s="45"/>
      <c r="I50" s="45"/>
      <c r="J50" s="45" t="s">
        <v>140</v>
      </c>
      <c r="K50" s="45"/>
    </row>
    <row r="51" spans="1:11" hidden="1" x14ac:dyDescent="0.25">
      <c r="A51" s="44" t="s">
        <v>36</v>
      </c>
      <c r="B51" s="45" t="s">
        <v>101</v>
      </c>
      <c r="C51" s="45">
        <v>1</v>
      </c>
      <c r="D51" s="45" t="str">
        <f>IFERROR(IF(INDEX('01.25'!D2:D500, MATCH(B51&amp;C51, INDEX('01.25'!B2:B500&amp;'01.25'!C2:C500, 0), 0))="", "", INDEX('01.25'!D2:D500, MATCH(B51&amp;C51, INDEX('01.25'!B2:B500&amp;'01.25'!C2:C500, 0), 0))), "")</f>
        <v>Carolina Eggers</v>
      </c>
      <c r="E51" s="107" t="s">
        <v>16</v>
      </c>
      <c r="F51" s="45" t="s">
        <v>607</v>
      </c>
      <c r="G51" s="46" t="s">
        <v>140</v>
      </c>
      <c r="H51" s="45"/>
      <c r="I51" s="45"/>
      <c r="J51" s="45" t="s">
        <v>140</v>
      </c>
      <c r="K51" s="45"/>
    </row>
    <row r="52" spans="1:11" hidden="1" x14ac:dyDescent="0.25">
      <c r="A52" s="44" t="s">
        <v>36</v>
      </c>
      <c r="B52" s="45" t="s">
        <v>102</v>
      </c>
      <c r="C52" s="45">
        <v>1</v>
      </c>
      <c r="D52" s="45" t="str">
        <f>IFERROR(IF(INDEX('01.25'!D2:D500, MATCH(B52&amp;C52, INDEX('01.25'!B2:B500&amp;'01.25'!C2:C500, 0), 0))="", "", INDEX('01.25'!D2:D500, MATCH(B52&amp;C52, INDEX('01.25'!B2:B500&amp;'01.25'!C2:C500, 0), 0))), "")</f>
        <v>Ivan Gonçalves da Silva</v>
      </c>
      <c r="E52" s="107" t="s">
        <v>16</v>
      </c>
      <c r="F52" s="45" t="s">
        <v>605</v>
      </c>
      <c r="G52" s="46" t="s">
        <v>140</v>
      </c>
      <c r="H52" s="45"/>
      <c r="I52" s="45"/>
      <c r="J52" s="45" t="s">
        <v>140</v>
      </c>
      <c r="K52" s="45"/>
    </row>
    <row r="53" spans="1:11" hidden="1" x14ac:dyDescent="0.25">
      <c r="A53" s="48" t="s">
        <v>38</v>
      </c>
      <c r="B53" s="45" t="s">
        <v>83</v>
      </c>
      <c r="C53" s="45">
        <v>1</v>
      </c>
      <c r="D53" s="45" t="str">
        <f>IFERROR(IF(INDEX('01.25'!D2:D500, MATCH(B53&amp;C53, INDEX('01.25'!B2:B500&amp;'01.25'!C2:C500, 0), 0))="", "", INDEX('01.25'!D2:D500, MATCH(B53&amp;C53, INDEX('01.25'!B2:B500&amp;'01.25'!C2:C500, 0), 0))), "")</f>
        <v>Dorival Manoel Canhete</v>
      </c>
      <c r="E53" s="107" t="s">
        <v>16</v>
      </c>
      <c r="F53" s="45" t="s">
        <v>595</v>
      </c>
      <c r="G53" s="46" t="s">
        <v>140</v>
      </c>
      <c r="H53" s="45"/>
      <c r="I53" s="45"/>
      <c r="J53" s="45" t="s">
        <v>140</v>
      </c>
      <c r="K53" s="45"/>
    </row>
    <row r="54" spans="1:11" x14ac:dyDescent="0.25">
      <c r="A54" s="50" t="s">
        <v>42</v>
      </c>
      <c r="B54" s="45" t="s">
        <v>120</v>
      </c>
      <c r="C54" s="45">
        <v>1</v>
      </c>
      <c r="D54" s="45" t="str">
        <f>IFERROR(IF(INDEX('01.25'!D2:D500, MATCH(B54&amp;C54, INDEX('01.25'!B2:B500&amp;'01.25'!C2:C500, 0), 0))="", "", INDEX('01.25'!D2:D500, MATCH(B54&amp;C54, INDEX('01.25'!B2:B500&amp;'01.25'!C2:C500, 0), 0))), "")</f>
        <v>Jaqueline Vanelli</v>
      </c>
      <c r="E54" s="107" t="s">
        <v>16</v>
      </c>
      <c r="F54" s="45" t="s">
        <v>610</v>
      </c>
      <c r="G54" s="46" t="s">
        <v>140</v>
      </c>
      <c r="H54" s="45"/>
      <c r="I54" s="45"/>
      <c r="J54" s="45" t="s">
        <v>140</v>
      </c>
      <c r="K54" s="45"/>
    </row>
    <row r="55" spans="1:11" hidden="1" x14ac:dyDescent="0.25">
      <c r="A55" s="44" t="s">
        <v>36</v>
      </c>
      <c r="B55" s="45" t="s">
        <v>103</v>
      </c>
      <c r="C55" s="45">
        <v>1</v>
      </c>
      <c r="D55" s="45" t="str">
        <f>IFERROR(IF(INDEX('01.25'!D2:D500, MATCH(B55&amp;C55, INDEX('01.25'!B2:B500&amp;'01.25'!C2:C500, 0), 0))="", "", INDEX('01.25'!D2:D500, MATCH(B55&amp;C55, INDEX('01.25'!B2:B500&amp;'01.25'!C2:C500, 0), 0))), "")</f>
        <v>Fernanda Jung</v>
      </c>
      <c r="E55" s="107" t="s">
        <v>16</v>
      </c>
      <c r="F55" s="45" t="s">
        <v>624</v>
      </c>
      <c r="G55" s="46" t="s">
        <v>140</v>
      </c>
      <c r="H55" s="45"/>
      <c r="I55" s="45"/>
      <c r="J55" s="45" t="s">
        <v>140</v>
      </c>
      <c r="K55" s="45"/>
    </row>
    <row r="56" spans="1:11" x14ac:dyDescent="0.25">
      <c r="A56" s="50" t="s">
        <v>42</v>
      </c>
      <c r="B56" s="45" t="s">
        <v>121</v>
      </c>
      <c r="C56" s="45">
        <v>1</v>
      </c>
      <c r="D56" s="45" t="str">
        <f>IFERROR(IF(INDEX('01.25'!D2:D500, MATCH(B56&amp;C56, INDEX('01.25'!B2:B500&amp;'01.25'!C2:C500, 0), 0))="", "", INDEX('01.25'!D2:D500, MATCH(B56&amp;C56, INDEX('01.25'!B2:B500&amp;'01.25'!C2:C500, 0), 0))), "")</f>
        <v>Ana Paula Romagnoli</v>
      </c>
      <c r="E56" s="107" t="s">
        <v>16</v>
      </c>
      <c r="F56" s="45" t="s">
        <v>623</v>
      </c>
      <c r="G56" s="46" t="s">
        <v>140</v>
      </c>
      <c r="H56" s="45"/>
      <c r="I56" s="45"/>
      <c r="J56" s="45" t="s">
        <v>140</v>
      </c>
      <c r="K56" s="45"/>
    </row>
    <row r="57" spans="1:11" x14ac:dyDescent="0.25">
      <c r="A57" s="50" t="s">
        <v>42</v>
      </c>
      <c r="B57" s="45" t="s">
        <v>122</v>
      </c>
      <c r="C57" s="45">
        <v>1</v>
      </c>
      <c r="D57" s="45" t="str">
        <f>IFERROR(IF(INDEX('01.25'!D2:D500, MATCH(B57&amp;C57, INDEX('01.25'!B2:B500&amp;'01.25'!C2:C500, 0), 0))="", "", INDEX('01.25'!D2:D500, MATCH(B57&amp;C57, INDEX('01.25'!B2:B500&amp;'01.25'!C2:C500, 0), 0))), "")</f>
        <v>Alexandro Schaparini</v>
      </c>
      <c r="E57" s="107" t="s">
        <v>16</v>
      </c>
      <c r="F57" s="45" t="s">
        <v>448</v>
      </c>
      <c r="G57" s="46" t="s">
        <v>140</v>
      </c>
      <c r="H57" s="45"/>
      <c r="I57" s="45"/>
      <c r="J57" s="45" t="s">
        <v>140</v>
      </c>
      <c r="K57" s="45"/>
    </row>
    <row r="58" spans="1:11" ht="42" hidden="1" customHeight="1" x14ac:dyDescent="0.25">
      <c r="A58" s="49" t="s">
        <v>43</v>
      </c>
      <c r="B58" s="45" t="s">
        <v>129</v>
      </c>
      <c r="C58" s="45">
        <v>1</v>
      </c>
      <c r="D58" s="45" t="str">
        <f>IFERROR(IF(INDEX('01.25'!D2:D500, MATCH(B58&amp;C58, INDEX('01.25'!B2:B500&amp;'01.25'!C2:C500, 0), 0))="", "", INDEX('01.25'!D2:D500, MATCH(B58&amp;C58, INDEX('01.25'!B2:B500&amp;'01.25'!C2:C500, 0), 0))), "")</f>
        <v>Marina Ancelmo da Silva</v>
      </c>
      <c r="E58" s="107" t="s">
        <v>16</v>
      </c>
      <c r="F58" s="45" t="s">
        <v>596</v>
      </c>
      <c r="G58" s="52" t="s">
        <v>131</v>
      </c>
      <c r="H58" s="57" t="s">
        <v>625</v>
      </c>
      <c r="I58" s="45"/>
      <c r="J58" s="45" t="s">
        <v>140</v>
      </c>
      <c r="K58" s="45"/>
    </row>
    <row r="59" spans="1:11" hidden="1" x14ac:dyDescent="0.25">
      <c r="A59" s="49" t="s">
        <v>43</v>
      </c>
      <c r="B59" s="45" t="s">
        <v>130</v>
      </c>
      <c r="C59" s="45">
        <v>1</v>
      </c>
      <c r="D59" s="45" t="str">
        <f>IFERROR(IF(INDEX('01.25'!D2:D500, MATCH(B59&amp;C59, INDEX('01.25'!B2:B500&amp;'01.25'!C2:C500, 0), 0))="", "", INDEX('01.25'!D2:D500, MATCH(B59&amp;C59, INDEX('01.25'!B2:B500&amp;'01.25'!C2:C500, 0), 0))), "")</f>
        <v>Ana Carolina Peterle Ribeiro</v>
      </c>
      <c r="E59" s="107" t="s">
        <v>16</v>
      </c>
      <c r="F59" s="45" t="s">
        <v>613</v>
      </c>
      <c r="G59" s="46" t="s">
        <v>131</v>
      </c>
      <c r="H59" s="45" t="s">
        <v>626</v>
      </c>
      <c r="I59" s="45"/>
      <c r="J59" s="45" t="s">
        <v>140</v>
      </c>
      <c r="K59" s="45"/>
    </row>
    <row r="60" spans="1:11" hidden="1" x14ac:dyDescent="0.25">
      <c r="A60" s="51" t="s">
        <v>40</v>
      </c>
      <c r="B60" s="45" t="s">
        <v>112</v>
      </c>
      <c r="C60" s="45">
        <v>1</v>
      </c>
      <c r="D60" s="45" t="str">
        <f>IFERROR(IF(INDEX('01.25'!D2:D500, MATCH(B60&amp;C60, INDEX('01.25'!B2:B500&amp;'01.25'!C2:C500, 0), 0))="", "", INDEX('01.25'!D2:D500, MATCH(B60&amp;C60, INDEX('01.25'!B2:B500&amp;'01.25'!C2:C500, 0), 0))), "")</f>
        <v>Taiane Amélia Mondardo</v>
      </c>
      <c r="E60" s="107" t="s">
        <v>16</v>
      </c>
      <c r="F60" s="45" t="s">
        <v>577</v>
      </c>
      <c r="G60" s="52" t="s">
        <v>131</v>
      </c>
      <c r="H60" s="45"/>
      <c r="I60" s="45"/>
      <c r="J60" s="45" t="s">
        <v>140</v>
      </c>
      <c r="K60" s="45"/>
    </row>
    <row r="61" spans="1:11" hidden="1" x14ac:dyDescent="0.25">
      <c r="A61" s="44" t="s">
        <v>36</v>
      </c>
      <c r="B61" s="45" t="s">
        <v>104</v>
      </c>
      <c r="C61" s="45">
        <v>1</v>
      </c>
      <c r="D61" s="45" t="str">
        <f>IFERROR(IF(INDEX('01.25'!D2:D500, MATCH(B61&amp;C61, INDEX('01.25'!B2:B500&amp;'01.25'!C2:C500, 0), 0))="", "", INDEX('01.25'!D2:D500, MATCH(B61&amp;C61, INDEX('01.25'!B2:B500&amp;'01.25'!C2:C500, 0), 0))), "")</f>
        <v>Regiane Lucia Pereira</v>
      </c>
      <c r="E61" s="107" t="s">
        <v>16</v>
      </c>
      <c r="F61" s="45" t="s">
        <v>616</v>
      </c>
      <c r="G61" s="46" t="s">
        <v>140</v>
      </c>
      <c r="H61" s="45"/>
      <c r="I61" s="45"/>
      <c r="J61" s="45" t="s">
        <v>140</v>
      </c>
      <c r="K61" s="45"/>
    </row>
    <row r="62" spans="1:11" hidden="1" x14ac:dyDescent="0.25">
      <c r="A62" s="51" t="s">
        <v>40</v>
      </c>
      <c r="B62" s="45" t="s">
        <v>113</v>
      </c>
      <c r="C62" s="45">
        <v>1</v>
      </c>
      <c r="D62" s="45" t="str">
        <f>IFERROR(IF(INDEX('01.25'!D2:D500, MATCH(B62&amp;C62, INDEX('01.25'!B2:B500&amp;'01.25'!C2:C500, 0), 0))="", "", INDEX('01.25'!D2:D500, MATCH(B62&amp;C62, INDEX('01.25'!B2:B500&amp;'01.25'!C2:C500, 0), 0))), "")</f>
        <v>Andryws Rafael Gois</v>
      </c>
      <c r="E62" s="107" t="s">
        <v>16</v>
      </c>
      <c r="F62" s="45" t="s">
        <v>618</v>
      </c>
      <c r="G62" s="52" t="s">
        <v>131</v>
      </c>
      <c r="H62" s="45" t="s">
        <v>627</v>
      </c>
      <c r="I62" s="45"/>
      <c r="J62" s="45" t="s">
        <v>140</v>
      </c>
      <c r="K62" s="45"/>
    </row>
    <row r="63" spans="1:11" x14ac:dyDescent="0.25">
      <c r="A63" s="50" t="s">
        <v>42</v>
      </c>
      <c r="B63" s="45" t="s">
        <v>123</v>
      </c>
      <c r="C63" s="45">
        <v>1</v>
      </c>
      <c r="D63" s="45" t="str">
        <f>IFERROR(IF(INDEX('01.25'!D2:D500, MATCH(B63&amp;C63, INDEX('01.25'!B2:B500&amp;'01.25'!C2:C500, 0), 0))="", "", INDEX('01.25'!D2:D500, MATCH(B63&amp;C63, INDEX('01.25'!B2:B500&amp;'01.25'!C2:C500, 0), 0))), "")</f>
        <v>Mayara Ketllyn de Paula Rosetti</v>
      </c>
      <c r="E63" s="107" t="s">
        <v>16</v>
      </c>
      <c r="F63" s="45" t="s">
        <v>616</v>
      </c>
      <c r="G63" s="46" t="s">
        <v>140</v>
      </c>
      <c r="H63" s="45"/>
      <c r="I63" s="45"/>
      <c r="J63" s="45" t="s">
        <v>140</v>
      </c>
      <c r="K63" s="45"/>
    </row>
    <row r="64" spans="1:11" hidden="1" x14ac:dyDescent="0.25">
      <c r="A64" s="51" t="s">
        <v>40</v>
      </c>
      <c r="B64" s="45" t="s">
        <v>114</v>
      </c>
      <c r="C64" s="45">
        <v>1</v>
      </c>
      <c r="D64" s="45" t="str">
        <f>IFERROR(IF(INDEX('01.25'!D2:D500, MATCH(B64&amp;C64, INDEX('01.25'!B2:B500&amp;'01.25'!C2:C500, 0), 0))="", "", INDEX('01.25'!D2:D500, MATCH(B64&amp;C64, INDEX('01.25'!B2:B500&amp;'01.25'!C2:C500, 0), 0))), "")</f>
        <v>Junior Andre Britzke</v>
      </c>
      <c r="E64" s="107" t="s">
        <v>16</v>
      </c>
      <c r="F64" s="45" t="s">
        <v>613</v>
      </c>
      <c r="G64" s="52" t="s">
        <v>131</v>
      </c>
      <c r="H64" s="45"/>
      <c r="I64" s="45"/>
      <c r="J64" s="45" t="s">
        <v>140</v>
      </c>
      <c r="K64" s="45"/>
    </row>
    <row r="65" spans="1:11" hidden="1" x14ac:dyDescent="0.25">
      <c r="A65" s="44" t="s">
        <v>36</v>
      </c>
      <c r="B65" s="45" t="s">
        <v>105</v>
      </c>
      <c r="C65" s="45">
        <v>1</v>
      </c>
      <c r="D65" s="45" t="str">
        <f>IFERROR(IF(INDEX('01.25'!D2:D500, MATCH(B65&amp;C65, INDEX('01.25'!B2:B500&amp;'01.25'!C2:C500, 0), 0))="", "", INDEX('01.25'!D2:D500, MATCH(B65&amp;C65, INDEX('01.25'!B2:B500&amp;'01.25'!C2:C500, 0), 0))), "")</f>
        <v>Adriano Pereira Guedes</v>
      </c>
      <c r="E65" s="107" t="s">
        <v>16</v>
      </c>
      <c r="F65" s="45" t="s">
        <v>628</v>
      </c>
      <c r="G65" s="46" t="s">
        <v>140</v>
      </c>
      <c r="H65" s="45"/>
      <c r="I65" s="45"/>
      <c r="J65" s="45" t="s">
        <v>140</v>
      </c>
      <c r="K65" s="45"/>
    </row>
    <row r="66" spans="1:11" hidden="1" x14ac:dyDescent="0.25">
      <c r="A66" s="44" t="s">
        <v>36</v>
      </c>
      <c r="B66" s="45" t="s">
        <v>106</v>
      </c>
      <c r="C66" s="45">
        <v>1</v>
      </c>
      <c r="D66" s="45" t="str">
        <f>IFERROR(IF(INDEX('01.25'!D2:D500, MATCH(B66&amp;C66, INDEX('01.25'!B2:B500&amp;'01.25'!C2:C500, 0), 0))="", "", INDEX('01.25'!D2:D500, MATCH(B66&amp;C66, INDEX('01.25'!B2:B500&amp;'01.25'!C2:C500, 0), 0))), "")</f>
        <v xml:space="preserve">Suzana Cristina de Almeida </v>
      </c>
      <c r="E66" s="107" t="s">
        <v>16</v>
      </c>
      <c r="F66" s="45" t="s">
        <v>629</v>
      </c>
      <c r="G66" s="52" t="s">
        <v>131</v>
      </c>
      <c r="H66" s="45"/>
      <c r="I66" s="45"/>
      <c r="J66" s="45" t="s">
        <v>140</v>
      </c>
      <c r="K66" s="45"/>
    </row>
    <row r="67" spans="1:11" hidden="1" x14ac:dyDescent="0.25">
      <c r="A67" s="47" t="s">
        <v>28</v>
      </c>
      <c r="B67" s="45" t="s">
        <v>85</v>
      </c>
      <c r="C67" s="45">
        <v>1</v>
      </c>
      <c r="D67" s="45" t="str">
        <f>IFERROR(IF(INDEX('01.25'!D2:D500, MATCH(B67&amp;C67, INDEX('01.25'!B2:B500&amp;'01.25'!C2:C500, 0), 0))="", "", INDEX('01.25'!D2:D500, MATCH(B67&amp;C67, INDEX('01.25'!B2:B500&amp;'01.25'!C2:C500, 0), 0))), "")</f>
        <v>Alice Cristiane Zancheta</v>
      </c>
      <c r="E67" s="107" t="s">
        <v>16</v>
      </c>
      <c r="F67" s="45" t="s">
        <v>577</v>
      </c>
      <c r="G67" s="52" t="s">
        <v>131</v>
      </c>
      <c r="H67" s="57" t="s">
        <v>630</v>
      </c>
      <c r="I67" s="45"/>
      <c r="J67" s="45" t="s">
        <v>140</v>
      </c>
      <c r="K67" s="45"/>
    </row>
    <row r="68" spans="1:11" hidden="1" x14ac:dyDescent="0.25">
      <c r="A68" s="48" t="s">
        <v>38</v>
      </c>
      <c r="B68" s="45" t="s">
        <v>109</v>
      </c>
      <c r="C68" s="45">
        <v>1</v>
      </c>
      <c r="D68" s="45" t="str">
        <f>IFERROR(IF(INDEX('01.25'!D2:D500, MATCH(B68&amp;C68, INDEX('01.25'!B2:B500&amp;'01.25'!C2:C500, 0), 0))="", "", INDEX('01.25'!D2:D500, MATCH(B68&amp;C68, INDEX('01.25'!B2:B500&amp;'01.25'!C2:C500, 0), 0))), "")</f>
        <v>Fernanda kaezer de Godoy</v>
      </c>
      <c r="E68" s="107" t="s">
        <v>16</v>
      </c>
      <c r="F68" s="45" t="s">
        <v>608</v>
      </c>
      <c r="G68" s="46" t="s">
        <v>131</v>
      </c>
      <c r="H68" s="45" t="s">
        <v>711</v>
      </c>
      <c r="I68" s="45"/>
      <c r="J68" s="45" t="s">
        <v>140</v>
      </c>
      <c r="K68" s="45"/>
    </row>
    <row r="69" spans="1:11" hidden="1" x14ac:dyDescent="0.25">
      <c r="A69" s="48" t="s">
        <v>38</v>
      </c>
      <c r="B69" s="45" t="s">
        <v>110</v>
      </c>
      <c r="C69" s="45">
        <v>1</v>
      </c>
      <c r="D69" s="45" t="str">
        <f>IFERROR(IF(INDEX('01.25'!D2:D500, MATCH(B69&amp;C69, INDEX('01.25'!B2:B500&amp;'01.25'!C2:C500, 0), 0))="", "", INDEX('01.25'!D2:D500, MATCH(B69&amp;C69, INDEX('01.25'!B2:B500&amp;'01.25'!C2:C500, 0), 0))), "")</f>
        <v xml:space="preserve">Ademir Papini Júnior </v>
      </c>
      <c r="E69" s="107" t="s">
        <v>16</v>
      </c>
      <c r="F69" s="45" t="s">
        <v>631</v>
      </c>
      <c r="G69" s="46" t="s">
        <v>131</v>
      </c>
      <c r="H69" s="45" t="s">
        <v>710</v>
      </c>
      <c r="I69" s="45"/>
      <c r="J69" s="45" t="s">
        <v>140</v>
      </c>
      <c r="K69" s="45"/>
    </row>
    <row r="70" spans="1:11" x14ac:dyDescent="0.25">
      <c r="A70" s="50" t="s">
        <v>42</v>
      </c>
      <c r="B70" s="45" t="s">
        <v>124</v>
      </c>
      <c r="C70" s="45">
        <v>1</v>
      </c>
      <c r="D70" s="45" t="str">
        <f>IFERROR(IF(INDEX('01.25'!D2:D500, MATCH(B70&amp;C70, INDEX('01.25'!B2:B500&amp;'01.25'!C2:C500, 0), 0))="", "", INDEX('01.25'!D2:D500, MATCH(B70&amp;C70, INDEX('01.25'!B2:B500&amp;'01.25'!C2:C500, 0), 0))), "")</f>
        <v>Heloísa Maria Beloni Insenha</v>
      </c>
      <c r="E70" s="107" t="s">
        <v>16</v>
      </c>
      <c r="F70" s="45" t="s">
        <v>590</v>
      </c>
      <c r="G70" s="46" t="s">
        <v>140</v>
      </c>
      <c r="H70" s="45"/>
      <c r="I70" s="45"/>
      <c r="J70" s="45" t="s">
        <v>140</v>
      </c>
      <c r="K70" s="45"/>
    </row>
  </sheetData>
  <autoFilter ref="A1:G70" xr:uid="{00000000-0009-0000-0000-000010000000}">
    <filterColumn colId="0">
      <filters>
        <filter val="Luana"/>
      </filters>
    </filterColumn>
  </autoFilter>
  <conditionalFormatting sqref="E2:E70">
    <cfRule type="cellIs" dxfId="47" priority="6" stopIfTrue="1" operator="equal">
      <formula>"Enviado"</formula>
    </cfRule>
    <cfRule type="cellIs" dxfId="46" priority="7" stopIfTrue="1" operator="equal">
      <formula>"Atrasado"</formula>
    </cfRule>
    <cfRule type="cellIs" dxfId="45" priority="8" stopIfTrue="1" operator="equal">
      <formula>"Atrasado &gt;= 2"</formula>
    </cfRule>
    <cfRule type="cellIs" dxfId="44" priority="9" stopIfTrue="1" operator="equal">
      <formula>"Outras Ocorrências"</formula>
    </cfRule>
    <cfRule type="cellIs" dxfId="43" priority="10" stopIfTrue="1" operator="equal">
      <formula>"Sem Técnico"</formula>
    </cfRule>
    <cfRule type="cellIs" dxfId="42" priority="11" stopIfTrue="1" operator="equal">
      <formula>"Duplicado"</formula>
    </cfRule>
  </conditionalFormatting>
  <conditionalFormatting sqref="G2:G70">
    <cfRule type="cellIs" dxfId="41" priority="1" stopIfTrue="1" operator="equal">
      <formula>"Sim"</formula>
    </cfRule>
    <cfRule type="cellIs" dxfId="40" priority="3" stopIfTrue="1" operator="equal">
      <formula>"Não"</formula>
    </cfRule>
  </conditionalFormatting>
  <conditionalFormatting sqref="J2:J70">
    <cfRule type="cellIs" dxfId="39" priority="4" stopIfTrue="1" operator="equal">
      <formula>"Sim"</formula>
    </cfRule>
    <cfRule type="cellIs" dxfId="38" priority="4" stopIfTrue="1" operator="equal">
      <formula>"Não"</formula>
    </cfRule>
    <cfRule type="cellIs" dxfId="37" priority="5" stopIfTrue="1" operator="equal">
      <formula>"Em Análise"</formula>
    </cfRule>
  </conditionalFormatting>
  <dataValidations count="3">
    <dataValidation type="list" allowBlank="1" sqref="G2 G3 G4 G5 G6 G7 G8 G9 G10 G11 G12 G13 G14 G15 G16 G17 G18 G19 G20 G21 G22 G23 G24 G25 G26 G27 G28 G29 G30 G31 G32 G33 G34 G35 G36 G37 G38 G39 G40 G41 G42 G43 G44 G45 G46 G47 G48 G49 G50 G51 G52 G53 G54 G55 G56 G57 G58 G59 G60 G61 G62 G63 G64 G65 G66 G67 G68 G69 G70" xr:uid="{00000000-0002-0000-1000-000000000000}">
      <formula1>"Sim,Não"</formula1>
    </dataValidation>
    <dataValidation type="list" allowBlank="1" sqref="J2 J3 J4 J5 J6 J7 J8 J9 J10 J11 J12 J13 J14 J15 J16 J17 J18 J19 J20 J21 J22 J23 J24 J25 J26 J27 J28 J29 J30 J31 J32 J33 J34 J35 J36 J37 J38 J39 J40 J41 J42 J43 J44 J45 J46 J47 J48 J49 J50 J51 J52 J53 J54 J55 J56 J57 J58 J59 J60 J61 J62 J63 J64 J65 J66 J67 J68 J69 J70" xr:uid="{00000000-0002-0000-1000-000001000000}">
      <formula1>"Sim,Não,Em Análise"</formula1>
    </dataValidation>
    <dataValidation type="list" allowBlank="1" sqref="E2 E3 E4 E5 E6 E7 E8 E9 E10 E11 E12 E13 E14 E15 E16 E17 E18 E19 E20 E21 E22 E23 E24 E25 E26 E27 E28 E29 E30 E31 E32 E33 E34 E35 E36 E37 E38 E39 E40 E41 E42 E43 E44 E45 E46 E47 E48 E49 E50 E51 E52 E53 E54 E55 E56 E57 E58 E59 E60 E61 E62 E63 E64 E65 E66 E67 E68 E69 E70" xr:uid="{00000000-0002-0000-1000-000002000000}">
      <formula1>"Enviado, Atrasado, Atrasado &gt;= 2, Outras Ocorrências, Sem Técnico, Duplicado"</formula1>
    </dataValidation>
  </dataValidations>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K70"/>
  <sheetViews>
    <sheetView workbookViewId="0">
      <pane xSplit="3" topLeftCell="F1" activePane="topRight" state="frozen"/>
      <selection pane="topRight" activeCell="H76" sqref="H76"/>
    </sheetView>
  </sheetViews>
  <sheetFormatPr defaultRowHeight="15" x14ac:dyDescent="0.25"/>
  <cols>
    <col min="1" max="1" width="14" customWidth="1"/>
    <col min="2" max="2" width="30" customWidth="1"/>
    <col min="3" max="3" width="8" customWidth="1"/>
    <col min="4" max="4" width="45" customWidth="1"/>
    <col min="5" max="5" width="13" customWidth="1"/>
    <col min="6" max="6" width="18" customWidth="1"/>
    <col min="7" max="7" width="27" customWidth="1"/>
    <col min="8" max="8" width="116" customWidth="1"/>
    <col min="9" max="9" width="34" customWidth="1"/>
    <col min="10" max="10" width="25" customWidth="1"/>
    <col min="11" max="11" width="26" customWidth="1"/>
  </cols>
  <sheetData>
    <row r="1" spans="1:11" x14ac:dyDescent="0.25">
      <c r="A1" s="43" t="s">
        <v>27</v>
      </c>
      <c r="B1" s="43" t="s">
        <v>70</v>
      </c>
      <c r="C1" s="43" t="s">
        <v>71</v>
      </c>
      <c r="D1" s="43" t="s">
        <v>132</v>
      </c>
      <c r="E1" s="43" t="s">
        <v>133</v>
      </c>
      <c r="F1" s="43" t="s">
        <v>134</v>
      </c>
      <c r="G1" s="43" t="s">
        <v>135</v>
      </c>
      <c r="H1" s="43" t="s">
        <v>136</v>
      </c>
      <c r="I1" s="43" t="s">
        <v>137</v>
      </c>
      <c r="J1" s="43" t="s">
        <v>138</v>
      </c>
      <c r="K1" s="43" t="s">
        <v>139</v>
      </c>
    </row>
    <row r="2" spans="1:11" x14ac:dyDescent="0.25">
      <c r="A2" s="44" t="s">
        <v>36</v>
      </c>
      <c r="B2" s="45" t="s">
        <v>97</v>
      </c>
      <c r="C2" s="45">
        <v>1</v>
      </c>
      <c r="D2" s="45" t="str">
        <f>IFERROR(IF(INDEX('01.25'!D2:D500, MATCH(B2&amp;C2, INDEX('01.25'!B2:B500&amp;'01.25'!C2:C500, 0), 0))="", "", INDEX('01.25'!D2:D500, MATCH(B2&amp;C2, INDEX('01.25'!B2:B500&amp;'01.25'!C2:C500, 0), 0))), "")</f>
        <v>Paula Tatiana Santana Vechi</v>
      </c>
      <c r="E2" s="107" t="s">
        <v>16</v>
      </c>
      <c r="F2" s="45" t="s">
        <v>641</v>
      </c>
      <c r="G2" s="46" t="s">
        <v>140</v>
      </c>
      <c r="H2" s="45"/>
      <c r="I2" s="45"/>
      <c r="J2" s="45" t="s">
        <v>140</v>
      </c>
      <c r="K2" s="45"/>
    </row>
    <row r="3" spans="1:11" x14ac:dyDescent="0.25">
      <c r="A3" s="47" t="s">
        <v>28</v>
      </c>
      <c r="B3" s="45" t="s">
        <v>87</v>
      </c>
      <c r="C3" s="45">
        <v>1</v>
      </c>
      <c r="D3" s="45" t="str">
        <f>IFERROR(IF(INDEX('01.25'!D2:D500, MATCH(B3&amp;C3, INDEX('01.25'!B2:B500&amp;'01.25'!C2:C500, 0), 0))="", "", INDEX('01.25'!D2:D500, MATCH(B3&amp;C3, INDEX('01.25'!B2:B500&amp;'01.25'!C2:C500, 0), 0))), "")</f>
        <v>Willian de Oliveira Lino</v>
      </c>
      <c r="E3" s="107" t="s">
        <v>16</v>
      </c>
      <c r="F3" s="45" t="s">
        <v>650</v>
      </c>
      <c r="G3" s="52" t="s">
        <v>131</v>
      </c>
      <c r="H3" s="45" t="s">
        <v>542</v>
      </c>
      <c r="I3" s="45"/>
      <c r="J3" s="45" t="s">
        <v>140</v>
      </c>
      <c r="K3" s="45"/>
    </row>
    <row r="4" spans="1:11" x14ac:dyDescent="0.25">
      <c r="A4" s="48" t="s">
        <v>38</v>
      </c>
      <c r="B4" s="45" t="s">
        <v>78</v>
      </c>
      <c r="C4" s="45">
        <v>1</v>
      </c>
      <c r="D4" s="45" t="str">
        <f>IFERROR(IF(INDEX('01.25'!D2:D500, MATCH(B4&amp;C4, INDEX('01.25'!B2:B500&amp;'01.25'!C2:C500, 0), 0))="", "", INDEX('01.25'!D2:D500, MATCH(B4&amp;C4, INDEX('01.25'!B2:B500&amp;'01.25'!C2:C500, 0), 0))), "")</f>
        <v>Gisele Cássia Tamparowsky de Oliveira</v>
      </c>
      <c r="E4" s="107" t="s">
        <v>16</v>
      </c>
      <c r="F4" s="45" t="s">
        <v>651</v>
      </c>
      <c r="G4" s="46" t="s">
        <v>140</v>
      </c>
      <c r="H4" s="45"/>
      <c r="I4" s="45"/>
      <c r="J4" s="45" t="s">
        <v>140</v>
      </c>
      <c r="K4" s="45"/>
    </row>
    <row r="5" spans="1:11" x14ac:dyDescent="0.25">
      <c r="A5" s="47" t="s">
        <v>28</v>
      </c>
      <c r="B5" s="45" t="s">
        <v>88</v>
      </c>
      <c r="C5" s="45">
        <v>1</v>
      </c>
      <c r="D5" s="45" t="str">
        <f>IFERROR(IF(INDEX('01.25'!D2:D500, MATCH(B5&amp;C5, INDEX('01.25'!B2:B500&amp;'01.25'!C2:C500, 0), 0))="", "", INDEX('01.25'!D2:D500, MATCH(B5&amp;C5, INDEX('01.25'!B2:B500&amp;'01.25'!C2:C500, 0), 0))), "")</f>
        <v>Marcos Gabriel Franciosi Borges</v>
      </c>
      <c r="E5" s="107" t="s">
        <v>16</v>
      </c>
      <c r="F5" s="45" t="s">
        <v>404</v>
      </c>
      <c r="G5" s="52" t="s">
        <v>131</v>
      </c>
      <c r="H5" s="45" t="s">
        <v>542</v>
      </c>
      <c r="I5" s="45"/>
      <c r="J5" s="45" t="s">
        <v>140</v>
      </c>
      <c r="K5" s="45"/>
    </row>
    <row r="6" spans="1:11" x14ac:dyDescent="0.25">
      <c r="A6" s="47" t="s">
        <v>28</v>
      </c>
      <c r="B6" s="45" t="s">
        <v>89</v>
      </c>
      <c r="C6" s="45">
        <v>1</v>
      </c>
      <c r="D6" s="45" t="str">
        <f>IFERROR(IF(INDEX('01.25'!D2:D500, MATCH(B6&amp;C6, INDEX('01.25'!B2:B500&amp;'01.25'!C2:C500, 0), 0))="", "", INDEX('01.25'!D2:D500, MATCH(B6&amp;C6, INDEX('01.25'!B2:B500&amp;'01.25'!C2:C500, 0), 0))), "")</f>
        <v>Chayla Bianca Gazoli</v>
      </c>
      <c r="E6" s="107" t="s">
        <v>16</v>
      </c>
      <c r="F6" s="45" t="s">
        <v>448</v>
      </c>
      <c r="G6" s="46" t="s">
        <v>140</v>
      </c>
      <c r="H6" s="57" t="s">
        <v>542</v>
      </c>
      <c r="I6" s="45"/>
      <c r="J6" s="45" t="s">
        <v>140</v>
      </c>
      <c r="K6" s="45"/>
    </row>
    <row r="7" spans="1:11" x14ac:dyDescent="0.25">
      <c r="A7" s="48" t="s">
        <v>38</v>
      </c>
      <c r="B7" s="45" t="s">
        <v>84</v>
      </c>
      <c r="C7" s="45">
        <v>1</v>
      </c>
      <c r="D7" s="45" t="str">
        <f>IFERROR(IF(INDEX('01.25'!D2:D500, MATCH(B7&amp;C7, INDEX('01.25'!B2:B500&amp;'01.25'!C2:C500, 0), 0))="", "", INDEX('01.25'!D2:D500, MATCH(B7&amp;C7, INDEX('01.25'!B2:B500&amp;'01.25'!C2:C500, 0), 0))), "")</f>
        <v>Solange Maria Masqueti</v>
      </c>
      <c r="E7" s="107" t="s">
        <v>16</v>
      </c>
      <c r="F7" s="45" t="s">
        <v>650</v>
      </c>
      <c r="G7" s="46" t="s">
        <v>140</v>
      </c>
      <c r="H7" s="45"/>
      <c r="I7" s="45"/>
      <c r="J7" s="45" t="s">
        <v>140</v>
      </c>
      <c r="K7" s="45"/>
    </row>
    <row r="8" spans="1:11" x14ac:dyDescent="0.25">
      <c r="A8" s="48" t="s">
        <v>38</v>
      </c>
      <c r="B8" s="45" t="s">
        <v>79</v>
      </c>
      <c r="C8" s="45">
        <v>1</v>
      </c>
      <c r="D8" s="45" t="str">
        <f>IFERROR(IF(INDEX('01.25'!D2:D500, MATCH(B8&amp;C8, INDEX('01.25'!B2:B500&amp;'01.25'!C2:C500, 0), 0))="", "", INDEX('01.25'!D2:D500, MATCH(B8&amp;C8, INDEX('01.25'!B2:B500&amp;'01.25'!C2:C500, 0), 0))), "")</f>
        <v>Cristiane Petry Vieira</v>
      </c>
      <c r="E8" s="107" t="s">
        <v>16</v>
      </c>
      <c r="F8" s="45" t="s">
        <v>641</v>
      </c>
      <c r="G8" s="46" t="s">
        <v>140</v>
      </c>
      <c r="H8" s="45"/>
      <c r="I8" s="45"/>
      <c r="J8" s="45" t="s">
        <v>140</v>
      </c>
      <c r="K8" s="45"/>
    </row>
    <row r="9" spans="1:11" ht="57.75" customHeight="1" x14ac:dyDescent="0.25">
      <c r="A9" s="47" t="s">
        <v>28</v>
      </c>
      <c r="B9" s="45" t="s">
        <v>90</v>
      </c>
      <c r="C9" s="45">
        <v>1</v>
      </c>
      <c r="D9" s="45" t="str">
        <f>IFERROR(IF(INDEX('01.25'!D2:D500, MATCH(B9&amp;C9, INDEX('01.25'!B2:B500&amp;'01.25'!C2:C500, 0), 0))="", "", INDEX('01.25'!D2:D500, MATCH(B9&amp;C9, INDEX('01.25'!B2:B500&amp;'01.25'!C2:C500, 0), 0))), "")</f>
        <v>Diego Hemerich</v>
      </c>
      <c r="E9" s="107" t="s">
        <v>16</v>
      </c>
      <c r="F9" s="45" t="s">
        <v>448</v>
      </c>
      <c r="G9" s="46" t="s">
        <v>140</v>
      </c>
      <c r="H9" s="57" t="s">
        <v>652</v>
      </c>
      <c r="I9" s="45"/>
      <c r="J9" s="45" t="s">
        <v>140</v>
      </c>
      <c r="K9" s="45"/>
    </row>
    <row r="10" spans="1:11" x14ac:dyDescent="0.25">
      <c r="A10" s="49" t="s">
        <v>43</v>
      </c>
      <c r="B10" s="45" t="s">
        <v>125</v>
      </c>
      <c r="C10" s="45">
        <v>1</v>
      </c>
      <c r="D10" s="45" t="str">
        <f>IFERROR(IF(INDEX('01.25'!D2:D500, MATCH(B10&amp;C10, INDEX('01.25'!B2:B500&amp;'01.25'!C2:C500, 0), 0))="", "", INDEX('01.25'!D2:D500, MATCH(B10&amp;C10, INDEX('01.25'!B2:B500&amp;'01.25'!C2:C500, 0), 0))), "")</f>
        <v>Tatiane Girardi</v>
      </c>
      <c r="E10" s="107" t="s">
        <v>16</v>
      </c>
      <c r="F10" s="45" t="s">
        <v>653</v>
      </c>
      <c r="G10" s="46" t="s">
        <v>131</v>
      </c>
      <c r="H10" s="45" t="s">
        <v>476</v>
      </c>
      <c r="I10" s="45"/>
      <c r="J10" s="45" t="s">
        <v>140</v>
      </c>
      <c r="K10" s="45"/>
    </row>
    <row r="11" spans="1:11" x14ac:dyDescent="0.25">
      <c r="A11" s="49" t="s">
        <v>43</v>
      </c>
      <c r="B11" s="45" t="s">
        <v>126</v>
      </c>
      <c r="C11" s="45">
        <v>1</v>
      </c>
      <c r="D11" s="45" t="str">
        <f>IFERROR(IF(INDEX('01.25'!D2:D500, MATCH(B11&amp;C11, INDEX('01.25'!B2:B500&amp;'01.25'!C2:C500, 0), 0))="", "", INDEX('01.25'!D2:D500, MATCH(B11&amp;C11, INDEX('01.25'!B2:B500&amp;'01.25'!C2:C500, 0), 0))), "")</f>
        <v>Edson Batista de Castro</v>
      </c>
      <c r="E11" s="107" t="s">
        <v>16</v>
      </c>
      <c r="F11" s="45" t="s">
        <v>651</v>
      </c>
      <c r="G11" s="46" t="s">
        <v>131</v>
      </c>
      <c r="H11" s="45" t="s">
        <v>654</v>
      </c>
      <c r="I11" s="45"/>
      <c r="J11" s="45" t="s">
        <v>140</v>
      </c>
      <c r="K11" s="45"/>
    </row>
    <row r="12" spans="1:11" x14ac:dyDescent="0.25">
      <c r="A12" s="49" t="s">
        <v>43</v>
      </c>
      <c r="B12" s="45" t="s">
        <v>126</v>
      </c>
      <c r="C12" s="45">
        <v>2</v>
      </c>
      <c r="D12" s="45" t="str">
        <f>IFERROR(IF(INDEX('01.25'!D2:D500, MATCH(B12&amp;C12, INDEX('01.25'!B2:B500&amp;'01.25'!C2:C500, 0), 0))="", "", INDEX('01.25'!D2:D500, MATCH(B12&amp;C12, INDEX('01.25'!B2:B500&amp;'01.25'!C2:C500, 0), 0))), "")</f>
        <v>Gabriela Fernanda Sandri</v>
      </c>
      <c r="E12" s="107" t="s">
        <v>16</v>
      </c>
      <c r="F12" s="45" t="s">
        <v>404</v>
      </c>
      <c r="G12" s="46" t="s">
        <v>131</v>
      </c>
      <c r="H12" s="45" t="s">
        <v>476</v>
      </c>
      <c r="I12" s="45"/>
      <c r="J12" s="45" t="s">
        <v>140</v>
      </c>
      <c r="K12" s="45"/>
    </row>
    <row r="13" spans="1:11" x14ac:dyDescent="0.25">
      <c r="A13" s="49" t="s">
        <v>43</v>
      </c>
      <c r="B13" s="45" t="s">
        <v>126</v>
      </c>
      <c r="C13" s="45">
        <v>3</v>
      </c>
      <c r="D13" s="45" t="str">
        <f>IFERROR(IF(INDEX('01.25'!D2:D500, MATCH(B13&amp;C13, INDEX('01.25'!B2:B500&amp;'01.25'!C2:C500, 0), 0))="", "", INDEX('01.25'!D2:D500, MATCH(B13&amp;C13, INDEX('01.25'!B2:B500&amp;'01.25'!C2:C500, 0), 0))), "")</f>
        <v>Eduarda Rohden Donasolo</v>
      </c>
      <c r="E13" s="107" t="s">
        <v>16</v>
      </c>
      <c r="F13" s="45" t="s">
        <v>655</v>
      </c>
      <c r="G13" s="46" t="s">
        <v>140</v>
      </c>
      <c r="H13" s="45"/>
      <c r="I13" s="45"/>
      <c r="J13" s="45" t="s">
        <v>140</v>
      </c>
      <c r="K13" s="45"/>
    </row>
    <row r="14" spans="1:11" x14ac:dyDescent="0.25">
      <c r="A14" s="49" t="s">
        <v>43</v>
      </c>
      <c r="B14" s="45" t="s">
        <v>126</v>
      </c>
      <c r="C14" s="45">
        <v>4</v>
      </c>
      <c r="D14" s="45" t="str">
        <f>IFERROR(IF(INDEX('01.25'!D2:D500, MATCH(B14&amp;C14, INDEX('01.25'!B2:B500&amp;'01.25'!C2:C500, 0), 0))="", "", INDEX('01.25'!D2:D500, MATCH(B14&amp;C14, INDEX('01.25'!B2:B500&amp;'01.25'!C2:C500, 0), 0))), "")</f>
        <v>Mauricio Pinto de Lima</v>
      </c>
      <c r="E14" s="107" t="s">
        <v>16</v>
      </c>
      <c r="F14" s="45" t="s">
        <v>404</v>
      </c>
      <c r="G14" s="46" t="s">
        <v>131</v>
      </c>
      <c r="H14" s="45" t="s">
        <v>656</v>
      </c>
      <c r="I14" s="45"/>
      <c r="J14" s="45" t="s">
        <v>140</v>
      </c>
      <c r="K14" s="45"/>
    </row>
    <row r="15" spans="1:11" x14ac:dyDescent="0.25">
      <c r="A15" s="49" t="s">
        <v>43</v>
      </c>
      <c r="B15" s="45" t="s">
        <v>126</v>
      </c>
      <c r="C15" s="45">
        <v>5</v>
      </c>
      <c r="D15" s="45" t="str">
        <f>IFERROR(IF(INDEX('01.25'!D2:D500, MATCH(B15&amp;C15, INDEX('01.25'!B2:B500&amp;'01.25'!C2:C500, 0), 0))="", "", INDEX('01.25'!D2:D500, MATCH(B15&amp;C15, INDEX('01.25'!B2:B500&amp;'01.25'!C2:C500, 0), 0))), "")</f>
        <v xml:space="preserve">Débora Laize Lampert Gnass </v>
      </c>
      <c r="E15" s="107" t="s">
        <v>16</v>
      </c>
      <c r="F15" s="45" t="s">
        <v>651</v>
      </c>
      <c r="G15" s="46" t="s">
        <v>131</v>
      </c>
      <c r="H15" s="111" t="s">
        <v>657</v>
      </c>
      <c r="I15" s="45"/>
      <c r="J15" s="45" t="s">
        <v>140</v>
      </c>
      <c r="K15" s="45"/>
    </row>
    <row r="16" spans="1:11" x14ac:dyDescent="0.25">
      <c r="A16" s="49" t="s">
        <v>43</v>
      </c>
      <c r="B16" s="45" t="s">
        <v>126</v>
      </c>
      <c r="C16" s="45">
        <v>6</v>
      </c>
      <c r="D16" s="45" t="str">
        <f>IFERROR(IF(INDEX('01.25'!D2:D500, MATCH(B16&amp;C16, INDEX('01.25'!B2:B500&amp;'01.25'!C2:C500, 0), 0))="", "", INDEX('01.25'!D2:D500, MATCH(B16&amp;C16, INDEX('01.25'!B2:B500&amp;'01.25'!C2:C500, 0), 0))), "")</f>
        <v/>
      </c>
      <c r="E16" s="107" t="s">
        <v>16</v>
      </c>
      <c r="F16" s="45" t="s">
        <v>651</v>
      </c>
      <c r="G16" s="46" t="s">
        <v>131</v>
      </c>
      <c r="H16" s="45" t="s">
        <v>658</v>
      </c>
      <c r="I16" s="45"/>
      <c r="J16" s="45" t="s">
        <v>140</v>
      </c>
      <c r="K16" s="45"/>
    </row>
    <row r="17" spans="1:11" x14ac:dyDescent="0.25">
      <c r="A17" s="47" t="s">
        <v>28</v>
      </c>
      <c r="B17" s="45" t="s">
        <v>91</v>
      </c>
      <c r="C17" s="45">
        <v>1</v>
      </c>
      <c r="D17" s="45" t="str">
        <f>IFERROR(IF(INDEX('01.25'!D2:D500, MATCH(B17&amp;C17, INDEX('01.25'!B2:B500&amp;'01.25'!C2:C500, 0), 0))="", "", INDEX('01.25'!D2:D500, MATCH(B17&amp;C17, INDEX('01.25'!B2:B500&amp;'01.25'!C2:C500, 0), 0))), "")</f>
        <v>Cristina Harumi Enokida</v>
      </c>
      <c r="E17" s="107" t="s">
        <v>16</v>
      </c>
      <c r="F17" s="45" t="s">
        <v>641</v>
      </c>
      <c r="G17" s="52" t="s">
        <v>131</v>
      </c>
      <c r="H17" s="45" t="s">
        <v>542</v>
      </c>
      <c r="I17" s="45"/>
      <c r="J17" s="45" t="s">
        <v>140</v>
      </c>
      <c r="K17" s="45"/>
    </row>
    <row r="18" spans="1:11" x14ac:dyDescent="0.25">
      <c r="A18" s="49" t="s">
        <v>43</v>
      </c>
      <c r="B18" s="45" t="s">
        <v>127</v>
      </c>
      <c r="C18" s="45">
        <v>1</v>
      </c>
      <c r="D18" s="45" t="str">
        <f>IFERROR(IF(INDEX('01.25'!D2:D500, MATCH(B18&amp;C18, INDEX('01.25'!B2:B500&amp;'01.25'!C2:C500, 0), 0))="", "", INDEX('01.25'!D2:D500, MATCH(B18&amp;C18, INDEX('01.25'!B2:B500&amp;'01.25'!C2:C500, 0), 0))), "")</f>
        <v>Douglas de Mattia</v>
      </c>
      <c r="E18" s="107" t="s">
        <v>16</v>
      </c>
      <c r="F18" s="45" t="s">
        <v>614</v>
      </c>
      <c r="G18" s="46" t="s">
        <v>131</v>
      </c>
      <c r="H18" s="45" t="s">
        <v>659</v>
      </c>
      <c r="I18" s="45"/>
      <c r="J18" s="45" t="s">
        <v>140</v>
      </c>
      <c r="K18" s="45"/>
    </row>
    <row r="19" spans="1:11" x14ac:dyDescent="0.25">
      <c r="A19" s="47" t="s">
        <v>28</v>
      </c>
      <c r="B19" s="45" t="s">
        <v>92</v>
      </c>
      <c r="C19" s="45">
        <v>1</v>
      </c>
      <c r="D19" s="45" t="str">
        <f>IFERROR(IF(INDEX('01.25'!D2:D500, MATCH(B19&amp;C19, INDEX('01.25'!B2:B500&amp;'01.25'!C2:C500, 0), 0))="", "", INDEX('01.25'!D2:D500, MATCH(B19&amp;C19, INDEX('01.25'!B2:B500&amp;'01.25'!C2:C500, 0), 0))), "")</f>
        <v>Vanderson Pasetti</v>
      </c>
      <c r="E19" s="110" t="s">
        <v>17</v>
      </c>
      <c r="F19" s="45"/>
      <c r="G19" s="46" t="s">
        <v>140</v>
      </c>
      <c r="H19" s="45"/>
      <c r="I19" s="45"/>
      <c r="J19" s="45" t="s">
        <v>140</v>
      </c>
      <c r="K19" s="45"/>
    </row>
    <row r="20" spans="1:11" x14ac:dyDescent="0.25">
      <c r="A20" s="50" t="s">
        <v>42</v>
      </c>
      <c r="B20" s="45" t="s">
        <v>115</v>
      </c>
      <c r="C20" s="45">
        <v>1</v>
      </c>
      <c r="D20" s="45" t="str">
        <f>IFERROR(IF(INDEX('01.25'!D2:D500, MATCH(B20&amp;C20, INDEX('01.25'!B2:B500&amp;'01.25'!C2:C500, 0), 0))="", "", INDEX('01.25'!D2:D500, MATCH(B20&amp;C20, INDEX('01.25'!B2:B500&amp;'01.25'!C2:C500, 0), 0))), "")</f>
        <v>Bruna Schneider Guimarães</v>
      </c>
      <c r="E20" s="107" t="s">
        <v>16</v>
      </c>
      <c r="F20" s="45" t="s">
        <v>631</v>
      </c>
      <c r="G20" s="46" t="s">
        <v>140</v>
      </c>
      <c r="H20" s="45"/>
      <c r="I20" s="45"/>
      <c r="J20" s="45" t="s">
        <v>140</v>
      </c>
      <c r="K20" s="45"/>
    </row>
    <row r="21" spans="1:11" x14ac:dyDescent="0.25">
      <c r="A21" s="47" t="s">
        <v>28</v>
      </c>
      <c r="B21" s="45" t="s">
        <v>93</v>
      </c>
      <c r="C21" s="45">
        <v>1</v>
      </c>
      <c r="D21" s="45" t="str">
        <f>IFERROR(IF(INDEX('01.25'!D2:D500, MATCH(B21&amp;C21, INDEX('01.25'!B2:B500&amp;'01.25'!C2:C500, 0), 0))="", "", INDEX('01.25'!D2:D500, MATCH(B21&amp;C21, INDEX('01.25'!B2:B500&amp;'01.25'!C2:C500, 0), 0))), "")</f>
        <v>Keilla Avezedo</v>
      </c>
      <c r="E21" s="107" t="s">
        <v>16</v>
      </c>
      <c r="F21" s="45" t="s">
        <v>650</v>
      </c>
      <c r="G21" s="52" t="s">
        <v>131</v>
      </c>
      <c r="H21" s="45" t="s">
        <v>542</v>
      </c>
      <c r="I21" s="45"/>
      <c r="J21" s="45" t="s">
        <v>140</v>
      </c>
      <c r="K21" s="45"/>
    </row>
    <row r="22" spans="1:11" x14ac:dyDescent="0.25">
      <c r="A22" s="50" t="s">
        <v>42</v>
      </c>
      <c r="B22" s="45" t="s">
        <v>116</v>
      </c>
      <c r="C22" s="45">
        <v>1</v>
      </c>
      <c r="D22" s="45" t="str">
        <f>IFERROR(IF(INDEX('01.25'!D2:D500, MATCH(B22&amp;C22, INDEX('01.25'!B2:B500&amp;'01.25'!C2:C500, 0), 0))="", "", INDEX('01.25'!D2:D500, MATCH(B22&amp;C22, INDEX('01.25'!B2:B500&amp;'01.25'!C2:C500, 0), 0))), "")</f>
        <v>Carmen Maria Stein Weiler</v>
      </c>
      <c r="E22" s="107" t="s">
        <v>16</v>
      </c>
      <c r="F22" s="45" t="s">
        <v>614</v>
      </c>
      <c r="G22" s="46" t="s">
        <v>140</v>
      </c>
      <c r="H22" s="45"/>
      <c r="I22" s="45"/>
      <c r="J22" s="45" t="s">
        <v>140</v>
      </c>
      <c r="K22" s="45"/>
    </row>
    <row r="23" spans="1:11" x14ac:dyDescent="0.25">
      <c r="A23" s="48" t="s">
        <v>38</v>
      </c>
      <c r="B23" s="45" t="s">
        <v>75</v>
      </c>
      <c r="C23" s="45">
        <v>1</v>
      </c>
      <c r="D23" s="45" t="str">
        <f>IFERROR(IF(INDEX('01.25'!D2:D500, MATCH(B23&amp;C23, INDEX('01.25'!B2:B500&amp;'01.25'!C2:C500, 0), 0))="", "", INDEX('01.25'!D2:D500, MATCH(B23&amp;C23, INDEX('01.25'!B2:B500&amp;'01.25'!C2:C500, 0), 0))), "")</f>
        <v>Thiago Varaschim Cenci</v>
      </c>
      <c r="E23" s="107" t="s">
        <v>16</v>
      </c>
      <c r="F23" s="45" t="s">
        <v>651</v>
      </c>
      <c r="G23" s="46" t="s">
        <v>131</v>
      </c>
      <c r="H23" s="45" t="s">
        <v>675</v>
      </c>
      <c r="I23" s="45"/>
      <c r="J23" s="45" t="s">
        <v>140</v>
      </c>
      <c r="K23" s="45"/>
    </row>
    <row r="24" spans="1:11" x14ac:dyDescent="0.25">
      <c r="A24" s="51" t="s">
        <v>40</v>
      </c>
      <c r="B24" s="45" t="s">
        <v>80</v>
      </c>
      <c r="C24" s="45">
        <v>1</v>
      </c>
      <c r="D24" s="45" t="str">
        <f>IFERROR(IF(INDEX('01.25'!D2:D500, MATCH(B24&amp;C24, INDEX('01.25'!B2:B500&amp;'01.25'!C2:C500, 0), 0))="", "", INDEX('01.25'!D2:D500, MATCH(B24&amp;C24, INDEX('01.25'!B2:B500&amp;'01.25'!C2:C500, 0), 0))), "")</f>
        <v>Éber Alexandre Nascimento Araújo</v>
      </c>
      <c r="E24" s="107" t="s">
        <v>16</v>
      </c>
      <c r="F24" s="45" t="s">
        <v>404</v>
      </c>
      <c r="G24" s="52" t="s">
        <v>131</v>
      </c>
      <c r="H24" s="45"/>
      <c r="I24" s="45"/>
      <c r="J24" s="45" t="s">
        <v>140</v>
      </c>
      <c r="K24" s="45"/>
    </row>
    <row r="25" spans="1:11" x14ac:dyDescent="0.25">
      <c r="A25" s="51" t="s">
        <v>40</v>
      </c>
      <c r="B25" s="45" t="s">
        <v>80</v>
      </c>
      <c r="C25" s="45">
        <v>2</v>
      </c>
      <c r="D25" s="45" t="str">
        <f>IFERROR(IF(INDEX('01.25'!D2:D500, MATCH(B25&amp;C25, INDEX('01.25'!B2:B500&amp;'01.25'!C2:C500, 0), 0))="", "", INDEX('01.25'!D2:D500, MATCH(B25&amp;C25, INDEX('01.25'!B2:B500&amp;'01.25'!C2:C500, 0), 0))), "")</f>
        <v>Andrea Carla Winkelmann</v>
      </c>
      <c r="E25" s="107" t="s">
        <v>16</v>
      </c>
      <c r="F25" s="45" t="s">
        <v>651</v>
      </c>
      <c r="G25" s="46" t="s">
        <v>140</v>
      </c>
      <c r="H25" s="45"/>
      <c r="I25" s="45"/>
      <c r="J25" s="45" t="s">
        <v>140</v>
      </c>
      <c r="K25" s="45"/>
    </row>
    <row r="26" spans="1:11" x14ac:dyDescent="0.25">
      <c r="A26" s="51" t="s">
        <v>40</v>
      </c>
      <c r="B26" s="45" t="s">
        <v>80</v>
      </c>
      <c r="C26" s="45">
        <v>3</v>
      </c>
      <c r="D26" s="45" t="str">
        <f>IFERROR(IF(INDEX('01.25'!D2:D500, MATCH(B26&amp;C26, INDEX('01.25'!B2:B500&amp;'01.25'!C2:C500, 0), 0))="", "", INDEX('01.25'!D2:D500, MATCH(B26&amp;C26, INDEX('01.25'!B2:B500&amp;'01.25'!C2:C500, 0), 0))), "")</f>
        <v>Lorizete de Andrade</v>
      </c>
      <c r="E26" s="107" t="s">
        <v>16</v>
      </c>
      <c r="F26" s="45" t="s">
        <v>404</v>
      </c>
      <c r="G26" s="52" t="s">
        <v>131</v>
      </c>
      <c r="H26" s="45"/>
      <c r="I26" s="45"/>
      <c r="J26" s="45" t="s">
        <v>140</v>
      </c>
      <c r="K26" s="45"/>
    </row>
    <row r="27" spans="1:11" x14ac:dyDescent="0.25">
      <c r="A27" s="51" t="s">
        <v>40</v>
      </c>
      <c r="B27" s="45" t="s">
        <v>80</v>
      </c>
      <c r="C27" s="45">
        <v>4</v>
      </c>
      <c r="D27" s="45" t="str">
        <f>IFERROR(IF(INDEX('01.25'!D2:D500, MATCH(B27&amp;C27, INDEX('01.25'!B2:B500&amp;'01.25'!C2:C500, 0), 0))="", "", INDEX('01.25'!D2:D500, MATCH(B27&amp;C27, INDEX('01.25'!B2:B500&amp;'01.25'!C2:C500, 0), 0))), "")</f>
        <v>Andressa Maia</v>
      </c>
      <c r="E27" s="110" t="s">
        <v>17</v>
      </c>
      <c r="F27" s="45"/>
      <c r="G27" s="46" t="s">
        <v>140</v>
      </c>
      <c r="H27" s="45"/>
      <c r="I27" s="45"/>
      <c r="J27" s="45" t="s">
        <v>140</v>
      </c>
      <c r="K27" s="45"/>
    </row>
    <row r="28" spans="1:11" x14ac:dyDescent="0.25">
      <c r="A28" s="51" t="s">
        <v>40</v>
      </c>
      <c r="B28" s="45" t="s">
        <v>80</v>
      </c>
      <c r="C28" s="45">
        <v>5</v>
      </c>
      <c r="D28" s="45" t="str">
        <f>IFERROR(IF(INDEX('01.25'!D2:D500, MATCH(B28&amp;C28, INDEX('01.25'!B2:B500&amp;'01.25'!C2:C500, 0), 0))="", "", INDEX('01.25'!D2:D500, MATCH(B28&amp;C28, INDEX('01.25'!B2:B500&amp;'01.25'!C2:C500, 0), 0))), "")</f>
        <v>Lucas Correia de Souza</v>
      </c>
      <c r="E28" s="110" t="s">
        <v>17</v>
      </c>
      <c r="F28" s="45"/>
      <c r="G28" s="46" t="s">
        <v>140</v>
      </c>
      <c r="H28" s="45"/>
      <c r="I28" s="45"/>
      <c r="J28" s="45" t="s">
        <v>140</v>
      </c>
      <c r="K28" s="45"/>
    </row>
    <row r="29" spans="1:11" x14ac:dyDescent="0.25">
      <c r="A29" s="51" t="s">
        <v>40</v>
      </c>
      <c r="B29" s="45" t="s">
        <v>80</v>
      </c>
      <c r="C29" s="45">
        <v>6</v>
      </c>
      <c r="D29" s="45" t="str">
        <f>IFERROR(IF(INDEX('01.25'!D2:D500, MATCH(B29&amp;C29, INDEX('01.25'!B2:B500&amp;'01.25'!C2:C500, 0), 0))="", "", INDEX('01.25'!D2:D500, MATCH(B29&amp;C29, INDEX('01.25'!B2:B500&amp;'01.25'!C2:C500, 0), 0))), "")</f>
        <v>Jose Francisco Mariano de Faria Filho</v>
      </c>
      <c r="E29" s="110" t="s">
        <v>17</v>
      </c>
      <c r="F29" s="45"/>
      <c r="G29" s="46" t="s">
        <v>140</v>
      </c>
      <c r="H29" s="45"/>
      <c r="I29" s="45"/>
      <c r="J29" s="45" t="s">
        <v>140</v>
      </c>
      <c r="K29" s="45"/>
    </row>
    <row r="30" spans="1:11" x14ac:dyDescent="0.25">
      <c r="A30" s="51" t="s">
        <v>40</v>
      </c>
      <c r="B30" s="45" t="s">
        <v>80</v>
      </c>
      <c r="C30" s="45">
        <v>7</v>
      </c>
      <c r="D30" s="45" t="str">
        <f>IFERROR(IF(INDEX('01.25'!D2:D500, MATCH(B30&amp;C30, INDEX('01.25'!B2:B500&amp;'01.25'!C2:C500, 0), 0))="", "", INDEX('01.25'!D2:D500, MATCH(B30&amp;C30, INDEX('01.25'!B2:B500&amp;'01.25'!C2:C500, 0), 0))), "")</f>
        <v>Pedro Henrique Mariano de Faria</v>
      </c>
      <c r="E30" s="107" t="s">
        <v>16</v>
      </c>
      <c r="F30" s="45" t="s">
        <v>641</v>
      </c>
      <c r="G30" s="46" t="s">
        <v>140</v>
      </c>
      <c r="H30" s="45"/>
      <c r="I30" s="45"/>
      <c r="J30" s="45" t="s">
        <v>140</v>
      </c>
      <c r="K30" s="45"/>
    </row>
    <row r="31" spans="1:11" x14ac:dyDescent="0.25">
      <c r="A31" s="51" t="s">
        <v>40</v>
      </c>
      <c r="B31" s="45" t="s">
        <v>80</v>
      </c>
      <c r="C31" s="45">
        <v>8</v>
      </c>
      <c r="D31" s="45" t="str">
        <f>IFERROR(IF(INDEX('01.25'!D2:D500, MATCH(B31&amp;C31, INDEX('01.25'!B2:B500&amp;'01.25'!C2:C500, 0), 0))="", "", INDEX('01.25'!D2:D500, MATCH(B31&amp;C31, INDEX('01.25'!B2:B500&amp;'01.25'!C2:C500, 0), 0))), "")</f>
        <v>Renata Aparecida de Souza</v>
      </c>
      <c r="E31" s="107" t="s">
        <v>16</v>
      </c>
      <c r="F31" s="45" t="s">
        <v>614</v>
      </c>
      <c r="G31" s="46" t="s">
        <v>140</v>
      </c>
      <c r="H31" s="45"/>
      <c r="I31" s="45"/>
      <c r="J31" s="45" t="s">
        <v>140</v>
      </c>
      <c r="K31" s="45"/>
    </row>
    <row r="32" spans="1:11" x14ac:dyDescent="0.25">
      <c r="A32" s="51" t="s">
        <v>40</v>
      </c>
      <c r="B32" s="45" t="s">
        <v>80</v>
      </c>
      <c r="C32" s="45">
        <v>9</v>
      </c>
      <c r="D32" s="45" t="str">
        <f>IFERROR(IF(INDEX('01.25'!D2:D500, MATCH(B32&amp;C32, INDEX('01.25'!B2:B500&amp;'01.25'!C2:C500, 0), 0))="", "", INDEX('01.25'!D2:D500, MATCH(B32&amp;C32, INDEX('01.25'!B2:B500&amp;'01.25'!C2:C500, 0), 0))), "")</f>
        <v>Maria Eduarda dos Santos Arias</v>
      </c>
      <c r="E32" s="107" t="s">
        <v>16</v>
      </c>
      <c r="F32" s="45" t="s">
        <v>404</v>
      </c>
      <c r="G32" s="52" t="s">
        <v>131</v>
      </c>
      <c r="H32" s="45"/>
      <c r="I32" s="45"/>
      <c r="J32" s="45" t="s">
        <v>140</v>
      </c>
      <c r="K32" s="45"/>
    </row>
    <row r="33" spans="1:11" x14ac:dyDescent="0.25">
      <c r="A33" s="44" t="s">
        <v>36</v>
      </c>
      <c r="B33" s="45" t="s">
        <v>98</v>
      </c>
      <c r="C33" s="45">
        <v>1</v>
      </c>
      <c r="D33" s="45" t="str">
        <f>IFERROR(IF(INDEX('01.25'!D2:D500, MATCH(B33&amp;C33, INDEX('01.25'!B2:B500&amp;'01.25'!C2:C500, 0), 0))="", "", INDEX('01.25'!D2:D500, MATCH(B33&amp;C33, INDEX('01.25'!B2:B500&amp;'01.25'!C2:C500, 0), 0))), "")</f>
        <v>Paulo Rogerio Hiroshi Fujii</v>
      </c>
      <c r="E33" s="107" t="s">
        <v>16</v>
      </c>
      <c r="F33" s="45" t="s">
        <v>403</v>
      </c>
      <c r="G33" s="46" t="s">
        <v>140</v>
      </c>
      <c r="H33" s="45"/>
      <c r="I33" s="45"/>
      <c r="J33" s="45" t="s">
        <v>140</v>
      </c>
      <c r="K33" s="45"/>
    </row>
    <row r="34" spans="1:11" x14ac:dyDescent="0.25">
      <c r="A34" s="44" t="s">
        <v>36</v>
      </c>
      <c r="B34" s="45" t="s">
        <v>99</v>
      </c>
      <c r="C34" s="45">
        <v>1</v>
      </c>
      <c r="D34" s="45" t="str">
        <f>IFERROR(IF(INDEX('01.25'!D2:D500, MATCH(B34&amp;C34, INDEX('01.25'!B2:B500&amp;'01.25'!C2:C500, 0), 0))="", "", INDEX('01.25'!D2:D500, MATCH(B34&amp;C34, INDEX('01.25'!B2:B500&amp;'01.25'!C2:C500, 0), 0))), "")</f>
        <v>Marlene R. Oliveira Dallacosta</v>
      </c>
      <c r="E34" s="110" t="s">
        <v>17</v>
      </c>
      <c r="F34" s="45"/>
      <c r="G34" s="46" t="s">
        <v>140</v>
      </c>
      <c r="H34" s="45"/>
      <c r="I34" s="45"/>
      <c r="J34" s="45" t="s">
        <v>140</v>
      </c>
      <c r="K34" s="45"/>
    </row>
    <row r="35" spans="1:11" x14ac:dyDescent="0.25">
      <c r="A35" s="47" t="s">
        <v>28</v>
      </c>
      <c r="B35" s="45" t="s">
        <v>94</v>
      </c>
      <c r="C35" s="45">
        <v>1</v>
      </c>
      <c r="D35" s="45" t="str">
        <f>IFERROR(IF(INDEX('01.25'!D2:D500, MATCH(B35&amp;C35, INDEX('01.25'!B2:B500&amp;'01.25'!C2:C500, 0), 0))="", "", INDEX('01.25'!D2:D500, MATCH(B35&amp;C35, INDEX('01.25'!B2:B500&amp;'01.25'!C2:C500, 0), 0))), "")</f>
        <v>Vitolor dos Santos Almeida</v>
      </c>
      <c r="E35" s="107" t="s">
        <v>16</v>
      </c>
      <c r="F35" s="45" t="s">
        <v>404</v>
      </c>
      <c r="G35" s="52" t="s">
        <v>131</v>
      </c>
      <c r="H35" s="45" t="s">
        <v>542</v>
      </c>
      <c r="I35" s="45"/>
      <c r="J35" s="45" t="s">
        <v>140</v>
      </c>
      <c r="K35" s="45"/>
    </row>
    <row r="36" spans="1:11" ht="72" customHeight="1" x14ac:dyDescent="0.25">
      <c r="A36" s="47" t="s">
        <v>28</v>
      </c>
      <c r="B36" s="45" t="s">
        <v>95</v>
      </c>
      <c r="C36" s="45">
        <v>1</v>
      </c>
      <c r="D36" s="45" t="str">
        <f>IFERROR(IF(INDEX('01.25'!D2:D500, MATCH(B36&amp;C36, INDEX('01.25'!B2:B500&amp;'01.25'!C2:C500, 0), 0))="", "", INDEX('01.25'!D2:D500, MATCH(B36&amp;C36, INDEX('01.25'!B2:B500&amp;'01.25'!C2:C500, 0), 0))), "")</f>
        <v>Kelly Jackeline Silva do Valle</v>
      </c>
      <c r="E36" s="107" t="s">
        <v>16</v>
      </c>
      <c r="F36" s="45" t="s">
        <v>655</v>
      </c>
      <c r="G36" s="52" t="s">
        <v>131</v>
      </c>
      <c r="H36" s="57" t="s">
        <v>660</v>
      </c>
      <c r="I36" s="45"/>
      <c r="J36" s="45" t="s">
        <v>140</v>
      </c>
      <c r="K36" s="45"/>
    </row>
    <row r="37" spans="1:11" x14ac:dyDescent="0.25">
      <c r="A37" s="47" t="s">
        <v>28</v>
      </c>
      <c r="B37" s="45" t="s">
        <v>96</v>
      </c>
      <c r="C37" s="45">
        <v>1</v>
      </c>
      <c r="D37" s="45" t="str">
        <f>IFERROR(IF(INDEX('01.25'!D2:D500, MATCH(B37&amp;C37, INDEX('01.25'!B2:B500&amp;'01.25'!C2:C500, 0), 0))="", "", INDEX('01.25'!D2:D500, MATCH(B37&amp;C37, INDEX('01.25'!B2:B500&amp;'01.25'!C2:C500, 0), 0))), "")</f>
        <v>Felipe Carvalho Zydek</v>
      </c>
      <c r="E37" s="107" t="s">
        <v>16</v>
      </c>
      <c r="F37" s="45" t="s">
        <v>651</v>
      </c>
      <c r="G37" s="52" t="s">
        <v>131</v>
      </c>
      <c r="H37" s="45" t="s">
        <v>542</v>
      </c>
      <c r="I37" s="45"/>
      <c r="J37" s="45" t="s">
        <v>140</v>
      </c>
      <c r="K37" s="45"/>
    </row>
    <row r="38" spans="1:11" x14ac:dyDescent="0.25">
      <c r="A38" s="48" t="s">
        <v>38</v>
      </c>
      <c r="B38" s="45" t="s">
        <v>107</v>
      </c>
      <c r="C38" s="45">
        <v>1</v>
      </c>
      <c r="D38" s="45" t="str">
        <f>IFERROR(IF(INDEX('01.25'!D2:D500, MATCH(B38&amp;C38, INDEX('01.25'!B2:B500&amp;'01.25'!C2:C500, 0), 0))="", "", INDEX('01.25'!D2:D500, MATCH(B38&amp;C38, INDEX('01.25'!B2:B500&amp;'01.25'!C2:C500, 0), 0))), "")</f>
        <v>Eliane Borin</v>
      </c>
      <c r="E38" s="107" t="s">
        <v>16</v>
      </c>
      <c r="F38" s="45" t="s">
        <v>641</v>
      </c>
      <c r="G38" s="46" t="s">
        <v>131</v>
      </c>
      <c r="H38" s="45" t="s">
        <v>709</v>
      </c>
      <c r="I38" s="45"/>
      <c r="J38" s="45" t="s">
        <v>140</v>
      </c>
      <c r="K38" s="45"/>
    </row>
    <row r="39" spans="1:11" x14ac:dyDescent="0.25">
      <c r="A39" s="50" t="s">
        <v>42</v>
      </c>
      <c r="B39" s="45" t="s">
        <v>117</v>
      </c>
      <c r="C39" s="45">
        <v>1</v>
      </c>
      <c r="D39" s="45" t="str">
        <f>IFERROR(IF(INDEX('01.25'!D2:D500, MATCH(B39&amp;C39, INDEX('01.25'!B2:B500&amp;'01.25'!C2:C500, 0), 0))="", "", INDEX('01.25'!D2:D500, MATCH(B39&amp;C39, INDEX('01.25'!B2:B500&amp;'01.25'!C2:C500, 0), 0))), "")</f>
        <v>Tatiana schrard</v>
      </c>
      <c r="E39" s="107" t="s">
        <v>16</v>
      </c>
      <c r="F39" s="45" t="s">
        <v>661</v>
      </c>
      <c r="G39" s="46" t="s">
        <v>140</v>
      </c>
      <c r="H39" s="45"/>
      <c r="I39" s="45"/>
      <c r="J39" s="45" t="s">
        <v>140</v>
      </c>
      <c r="K39" s="45"/>
    </row>
    <row r="40" spans="1:11" x14ac:dyDescent="0.25">
      <c r="A40" s="48" t="s">
        <v>38</v>
      </c>
      <c r="B40" s="45" t="s">
        <v>81</v>
      </c>
      <c r="C40" s="45">
        <v>1</v>
      </c>
      <c r="D40" s="45" t="str">
        <f>IFERROR(IF(INDEX('01.25'!D2:D500, MATCH(B40&amp;C40, INDEX('01.25'!B2:B500&amp;'01.25'!C2:C500, 0), 0))="", "", INDEX('01.25'!D2:D500, MATCH(B40&amp;C40, INDEX('01.25'!B2:B500&amp;'01.25'!C2:C500, 0), 0))), "")</f>
        <v>César Piva Glinglani</v>
      </c>
      <c r="E40" s="107" t="s">
        <v>16</v>
      </c>
      <c r="F40" s="45" t="s">
        <v>641</v>
      </c>
      <c r="G40" s="46" t="s">
        <v>140</v>
      </c>
      <c r="H40" s="45"/>
      <c r="I40" s="45"/>
      <c r="J40" s="45" t="s">
        <v>140</v>
      </c>
      <c r="K40" s="45"/>
    </row>
    <row r="41" spans="1:11" x14ac:dyDescent="0.25">
      <c r="A41" s="49" t="s">
        <v>43</v>
      </c>
      <c r="B41" s="45" t="s">
        <v>128</v>
      </c>
      <c r="C41" s="45">
        <v>1</v>
      </c>
      <c r="D41" s="45" t="str">
        <f>IFERROR(IF(INDEX('01.25'!D2:D500, MATCH(B41&amp;C41, INDEX('01.25'!B2:B500&amp;'01.25'!C2:C500, 0), 0))="", "", INDEX('01.25'!D2:D500, MATCH(B41&amp;C41, INDEX('01.25'!B2:B500&amp;'01.25'!C2:C500, 0), 0))), "")</f>
        <v>Ailton Carlos Fialho</v>
      </c>
      <c r="E41" s="107" t="s">
        <v>16</v>
      </c>
      <c r="F41" s="45" t="s">
        <v>641</v>
      </c>
      <c r="G41" s="46" t="s">
        <v>131</v>
      </c>
      <c r="H41" s="45" t="s">
        <v>662</v>
      </c>
      <c r="I41" s="45"/>
      <c r="J41" s="45" t="s">
        <v>140</v>
      </c>
      <c r="K41" s="45"/>
    </row>
    <row r="42" spans="1:11" x14ac:dyDescent="0.25">
      <c r="A42" s="50" t="s">
        <v>42</v>
      </c>
      <c r="B42" s="45" t="s">
        <v>82</v>
      </c>
      <c r="C42" s="45">
        <v>1</v>
      </c>
      <c r="D42" s="45" t="str">
        <f>IFERROR(IF(INDEX('01.25'!D2:D500, MATCH(B42&amp;C42, INDEX('01.25'!B2:B500&amp;'01.25'!C2:C500, 0), 0))="", "", INDEX('01.25'!D2:D500, MATCH(B42&amp;C42, INDEX('01.25'!B2:B500&amp;'01.25'!C2:C500, 0), 0))), "")</f>
        <v>Marcos José Chaves</v>
      </c>
      <c r="E42" s="107" t="s">
        <v>16</v>
      </c>
      <c r="F42" s="45" t="s">
        <v>403</v>
      </c>
      <c r="G42" s="46" t="s">
        <v>140</v>
      </c>
      <c r="H42" s="45"/>
      <c r="I42" s="45"/>
      <c r="J42" s="45" t="s">
        <v>140</v>
      </c>
      <c r="K42" s="45"/>
    </row>
    <row r="43" spans="1:11" x14ac:dyDescent="0.25">
      <c r="A43" s="50" t="s">
        <v>42</v>
      </c>
      <c r="B43" s="45" t="s">
        <v>82</v>
      </c>
      <c r="C43" s="45">
        <v>2</v>
      </c>
      <c r="D43" s="45" t="str">
        <f>IFERROR(IF(INDEX('01.25'!D2:D500, MATCH(B43&amp;C43, INDEX('01.25'!B2:B500&amp;'01.25'!C2:C500, 0), 0))="", "", INDEX('01.25'!D2:D500, MATCH(B43&amp;C43, INDEX('01.25'!B2:B500&amp;'01.25'!C2:C500, 0), 0))), "")</f>
        <v>Diego Matheus Reinicke</v>
      </c>
      <c r="E43" s="107" t="s">
        <v>16</v>
      </c>
      <c r="F43" s="45" t="s">
        <v>663</v>
      </c>
      <c r="G43" s="46" t="s">
        <v>140</v>
      </c>
      <c r="H43" s="45"/>
      <c r="I43" s="45"/>
      <c r="J43" s="45" t="s">
        <v>140</v>
      </c>
      <c r="K43" s="45"/>
    </row>
    <row r="44" spans="1:11" x14ac:dyDescent="0.25">
      <c r="A44" s="48" t="s">
        <v>38</v>
      </c>
      <c r="B44" s="45" t="s">
        <v>76</v>
      </c>
      <c r="C44" s="45">
        <v>1</v>
      </c>
      <c r="D44" s="45" t="str">
        <f>IFERROR(IF(INDEX('01.25'!D2:D500, MATCH(B44&amp;C44, INDEX('01.25'!B2:B500&amp;'01.25'!C2:C500, 0), 0))="", "", INDEX('01.25'!D2:D500, MATCH(B44&amp;C44, INDEX('01.25'!B2:B500&amp;'01.25'!C2:C500, 0), 0))), "")</f>
        <v>Cleiton Manske</v>
      </c>
      <c r="E44" s="107" t="s">
        <v>16</v>
      </c>
      <c r="F44" s="45" t="s">
        <v>661</v>
      </c>
      <c r="G44" s="46" t="s">
        <v>140</v>
      </c>
      <c r="H44" s="45"/>
      <c r="I44" s="45"/>
      <c r="J44" s="45" t="s">
        <v>140</v>
      </c>
      <c r="K44" s="45"/>
    </row>
    <row r="45" spans="1:11" x14ac:dyDescent="0.25">
      <c r="A45" s="50" t="s">
        <v>42</v>
      </c>
      <c r="B45" s="45" t="s">
        <v>118</v>
      </c>
      <c r="C45" s="45">
        <v>1</v>
      </c>
      <c r="D45" s="45" t="str">
        <f>IFERROR(IF(INDEX('01.25'!D2:D500, MATCH(B45&amp;C45, INDEX('01.25'!B2:B500&amp;'01.25'!C2:C500, 0), 0))="", "", INDEX('01.25'!D2:D500, MATCH(B45&amp;C45, INDEX('01.25'!B2:B500&amp;'01.25'!C2:C500, 0), 0))), "")</f>
        <v>Alexandro Aparecido de Lima Vieira</v>
      </c>
      <c r="E45" s="110" t="s">
        <v>17</v>
      </c>
      <c r="F45" s="45"/>
      <c r="G45" s="46" t="s">
        <v>140</v>
      </c>
      <c r="H45" s="45"/>
      <c r="I45" s="45"/>
      <c r="J45" s="45" t="s">
        <v>140</v>
      </c>
      <c r="K45" s="45"/>
    </row>
    <row r="46" spans="1:11" x14ac:dyDescent="0.25">
      <c r="A46" s="51" t="s">
        <v>40</v>
      </c>
      <c r="B46" s="45" t="s">
        <v>111</v>
      </c>
      <c r="C46" s="45">
        <v>1</v>
      </c>
      <c r="D46" s="45" t="str">
        <f>IFERROR(IF(INDEX('01.25'!D2:D500, MATCH(B46&amp;C46, INDEX('01.25'!B2:B500&amp;'01.25'!C2:C500, 0), 0))="", "", INDEX('01.25'!D2:D500, MATCH(B46&amp;C46, INDEX('01.25'!B2:B500&amp;'01.25'!C2:C500, 0), 0))), "")</f>
        <v>Rafael Henrique Caetano</v>
      </c>
      <c r="E46" s="107" t="s">
        <v>16</v>
      </c>
      <c r="F46" s="45" t="s">
        <v>403</v>
      </c>
      <c r="G46" s="52" t="s">
        <v>131</v>
      </c>
      <c r="H46" s="45"/>
      <c r="I46" s="45"/>
      <c r="J46" s="45" t="s">
        <v>140</v>
      </c>
      <c r="K46" s="45"/>
    </row>
    <row r="47" spans="1:11" x14ac:dyDescent="0.25">
      <c r="A47" s="44" t="s">
        <v>36</v>
      </c>
      <c r="B47" s="45" t="s">
        <v>100</v>
      </c>
      <c r="C47" s="45">
        <v>1</v>
      </c>
      <c r="D47" s="45" t="str">
        <f>IFERROR(IF(INDEX('01.25'!D2:D500, MATCH(B47&amp;C47, INDEX('01.25'!B2:B500&amp;'01.25'!C2:C500, 0), 0))="", "", INDEX('01.25'!D2:D500, MATCH(B47&amp;C47, INDEX('01.25'!B2:B500&amp;'01.25'!C2:C500, 0), 0))), "")</f>
        <v>Roberto Pedron</v>
      </c>
      <c r="E47" s="107" t="s">
        <v>16</v>
      </c>
      <c r="F47" s="45" t="s">
        <v>631</v>
      </c>
      <c r="G47" s="46" t="s">
        <v>140</v>
      </c>
      <c r="H47" s="45"/>
      <c r="I47" s="45"/>
      <c r="J47" s="45" t="s">
        <v>140</v>
      </c>
      <c r="K47" s="45"/>
    </row>
    <row r="48" spans="1:11" x14ac:dyDescent="0.25">
      <c r="A48" s="50" t="s">
        <v>42</v>
      </c>
      <c r="B48" s="45" t="s">
        <v>119</v>
      </c>
      <c r="C48" s="45">
        <v>1</v>
      </c>
      <c r="D48" s="45" t="str">
        <f>IFERROR(IF(INDEX('01.25'!D2:D500, MATCH(B48&amp;C48, INDEX('01.25'!B2:B500&amp;'01.25'!C2:C500, 0), 0))="", "", INDEX('01.25'!D2:D500, MATCH(B48&amp;C48, INDEX('01.25'!B2:B500&amp;'01.25'!C2:C500, 0), 0))), "")</f>
        <v>Luciane Spies</v>
      </c>
      <c r="E48" s="110" t="s">
        <v>17</v>
      </c>
      <c r="F48" s="45"/>
      <c r="G48" s="46" t="s">
        <v>140</v>
      </c>
      <c r="H48" s="45"/>
      <c r="I48" s="45"/>
      <c r="J48" s="45" t="s">
        <v>140</v>
      </c>
      <c r="K48" s="45"/>
    </row>
    <row r="49" spans="1:11" x14ac:dyDescent="0.25">
      <c r="A49" s="44" t="s">
        <v>36</v>
      </c>
      <c r="B49" s="45" t="s">
        <v>77</v>
      </c>
      <c r="C49" s="45">
        <v>1</v>
      </c>
      <c r="D49" s="45" t="str">
        <f>IFERROR(IF(INDEX('01.25'!D2:D500, MATCH(B49&amp;C49, INDEX('01.25'!B2:B500&amp;'01.25'!C2:C500, 0), 0))="", "", INDEX('01.25'!D2:D500, MATCH(B49&amp;C49, INDEX('01.25'!B2:B500&amp;'01.25'!C2:C500, 0), 0))), "")</f>
        <v>Jaqueline Fernanda Meireles</v>
      </c>
      <c r="E49" s="107" t="s">
        <v>16</v>
      </c>
      <c r="F49" s="45" t="s">
        <v>650</v>
      </c>
      <c r="G49" s="46" t="s">
        <v>140</v>
      </c>
      <c r="H49" s="45"/>
      <c r="I49" s="45"/>
      <c r="J49" s="45" t="s">
        <v>140</v>
      </c>
      <c r="K49" s="45"/>
    </row>
    <row r="50" spans="1:11" x14ac:dyDescent="0.25">
      <c r="A50" s="48" t="s">
        <v>38</v>
      </c>
      <c r="B50" s="45" t="s">
        <v>108</v>
      </c>
      <c r="C50" s="45">
        <v>1</v>
      </c>
      <c r="D50" s="45" t="str">
        <f>IFERROR(IF(INDEX('01.25'!D2:D500, MATCH(B50&amp;C50, INDEX('01.25'!B2:B500&amp;'01.25'!C2:C500, 0), 0))="", "", INDEX('01.25'!D2:D500, MATCH(B50&amp;C50, INDEX('01.25'!B2:B500&amp;'01.25'!C2:C500, 0), 0))), "")</f>
        <v>Luiz Fernando Pereira Barbosa</v>
      </c>
      <c r="E50" s="110" t="s">
        <v>17</v>
      </c>
      <c r="F50" s="45"/>
      <c r="G50" s="46" t="s">
        <v>140</v>
      </c>
      <c r="H50" s="45"/>
      <c r="I50" s="45"/>
      <c r="J50" s="45" t="s">
        <v>140</v>
      </c>
      <c r="K50" s="45"/>
    </row>
    <row r="51" spans="1:11" x14ac:dyDescent="0.25">
      <c r="A51" s="44" t="s">
        <v>36</v>
      </c>
      <c r="B51" s="45" t="s">
        <v>101</v>
      </c>
      <c r="C51" s="45">
        <v>1</v>
      </c>
      <c r="D51" s="45" t="str">
        <f>IFERROR(IF(INDEX('01.25'!D2:D500, MATCH(B51&amp;C51, INDEX('01.25'!B2:B500&amp;'01.25'!C2:C500, 0), 0))="", "", INDEX('01.25'!D2:D500, MATCH(B51&amp;C51, INDEX('01.25'!B2:B500&amp;'01.25'!C2:C500, 0), 0))), "")</f>
        <v>Carolina Eggers</v>
      </c>
      <c r="E51" s="107" t="s">
        <v>16</v>
      </c>
      <c r="F51" s="45" t="s">
        <v>641</v>
      </c>
      <c r="G51" s="46" t="s">
        <v>140</v>
      </c>
      <c r="H51" s="45"/>
      <c r="I51" s="45"/>
      <c r="J51" s="45" t="s">
        <v>140</v>
      </c>
      <c r="K51" s="45"/>
    </row>
    <row r="52" spans="1:11" x14ac:dyDescent="0.25">
      <c r="A52" s="44" t="s">
        <v>36</v>
      </c>
      <c r="B52" s="45" t="s">
        <v>102</v>
      </c>
      <c r="C52" s="45">
        <v>1</v>
      </c>
      <c r="D52" s="45" t="str">
        <f>IFERROR(IF(INDEX('01.25'!D2:D500, MATCH(B52&amp;C52, INDEX('01.25'!B2:B500&amp;'01.25'!C2:C500, 0), 0))="", "", INDEX('01.25'!D2:D500, MATCH(B52&amp;C52, INDEX('01.25'!B2:B500&amp;'01.25'!C2:C500, 0), 0))), "")</f>
        <v>Ivan Gonçalves da Silva</v>
      </c>
      <c r="E52" s="107" t="s">
        <v>16</v>
      </c>
      <c r="F52" s="45" t="s">
        <v>641</v>
      </c>
      <c r="G52" s="46" t="s">
        <v>140</v>
      </c>
      <c r="H52" s="45"/>
      <c r="I52" s="45"/>
      <c r="J52" s="45" t="s">
        <v>140</v>
      </c>
      <c r="K52" s="45"/>
    </row>
    <row r="53" spans="1:11" x14ac:dyDescent="0.25">
      <c r="A53" s="48" t="s">
        <v>38</v>
      </c>
      <c r="B53" s="45" t="s">
        <v>83</v>
      </c>
      <c r="C53" s="45">
        <v>1</v>
      </c>
      <c r="D53" s="45" t="str">
        <f>IFERROR(IF(INDEX('01.25'!D2:D500, MATCH(B53&amp;C53, INDEX('01.25'!B2:B500&amp;'01.25'!C2:C500, 0), 0))="", "", INDEX('01.25'!D2:D500, MATCH(B53&amp;C53, INDEX('01.25'!B2:B500&amp;'01.25'!C2:C500, 0), 0))), "")</f>
        <v>Dorival Manoel Canhete</v>
      </c>
      <c r="E53" s="107" t="s">
        <v>16</v>
      </c>
      <c r="F53" s="45" t="s">
        <v>664</v>
      </c>
      <c r="G53" s="46" t="s">
        <v>140</v>
      </c>
      <c r="H53" s="45"/>
      <c r="I53" s="45"/>
      <c r="J53" s="45" t="s">
        <v>140</v>
      </c>
      <c r="K53" s="45"/>
    </row>
    <row r="54" spans="1:11" x14ac:dyDescent="0.25">
      <c r="A54" s="50" t="s">
        <v>42</v>
      </c>
      <c r="B54" s="45" t="s">
        <v>120</v>
      </c>
      <c r="C54" s="45">
        <v>1</v>
      </c>
      <c r="D54" s="45" t="str">
        <f>IFERROR(IF(INDEX('01.25'!D2:D500, MATCH(B54&amp;C54, INDEX('01.25'!B2:B500&amp;'01.25'!C2:C500, 0), 0))="", "", INDEX('01.25'!D2:D500, MATCH(B54&amp;C54, INDEX('01.25'!B2:B500&amp;'01.25'!C2:C500, 0), 0))), "")</f>
        <v>Jaqueline Vanelli</v>
      </c>
      <c r="E54" s="107" t="s">
        <v>16</v>
      </c>
      <c r="F54" s="45" t="s">
        <v>403</v>
      </c>
      <c r="G54" s="46" t="s">
        <v>140</v>
      </c>
      <c r="H54" s="45"/>
      <c r="I54" s="45"/>
      <c r="J54" s="45" t="s">
        <v>140</v>
      </c>
      <c r="K54" s="45"/>
    </row>
    <row r="55" spans="1:11" x14ac:dyDescent="0.25">
      <c r="A55" s="44" t="s">
        <v>36</v>
      </c>
      <c r="B55" s="45" t="s">
        <v>103</v>
      </c>
      <c r="C55" s="45">
        <v>1</v>
      </c>
      <c r="D55" s="45" t="str">
        <f>IFERROR(IF(INDEX('01.25'!D2:D500, MATCH(B55&amp;C55, INDEX('01.25'!B2:B500&amp;'01.25'!C2:C500, 0), 0))="", "", INDEX('01.25'!D2:D500, MATCH(B55&amp;C55, INDEX('01.25'!B2:B500&amp;'01.25'!C2:C500, 0), 0))), "")</f>
        <v>Fernanda Jung</v>
      </c>
      <c r="E55" s="107" t="s">
        <v>16</v>
      </c>
      <c r="F55" s="45" t="s">
        <v>448</v>
      </c>
      <c r="G55" s="46" t="s">
        <v>140</v>
      </c>
      <c r="H55" s="45"/>
      <c r="I55" s="45"/>
      <c r="J55" s="45" t="s">
        <v>140</v>
      </c>
      <c r="K55" s="45"/>
    </row>
    <row r="56" spans="1:11" x14ac:dyDescent="0.25">
      <c r="A56" s="50" t="s">
        <v>42</v>
      </c>
      <c r="B56" s="45" t="s">
        <v>121</v>
      </c>
      <c r="C56" s="45">
        <v>1</v>
      </c>
      <c r="D56" s="45" t="str">
        <f>IFERROR(IF(INDEX('01.25'!D2:D500, MATCH(B56&amp;C56, INDEX('01.25'!B2:B500&amp;'01.25'!C2:C500, 0), 0))="", "", INDEX('01.25'!D2:D500, MATCH(B56&amp;C56, INDEX('01.25'!B2:B500&amp;'01.25'!C2:C500, 0), 0))), "")</f>
        <v>Ana Paula Romagnoli</v>
      </c>
      <c r="E56" s="107" t="s">
        <v>16</v>
      </c>
      <c r="F56" s="45" t="s">
        <v>631</v>
      </c>
      <c r="G56" s="46" t="s">
        <v>140</v>
      </c>
      <c r="H56" s="45"/>
      <c r="I56" s="45"/>
      <c r="J56" s="45" t="s">
        <v>140</v>
      </c>
      <c r="K56" s="45"/>
    </row>
    <row r="57" spans="1:11" x14ac:dyDescent="0.25">
      <c r="A57" s="50" t="s">
        <v>42</v>
      </c>
      <c r="B57" s="45" t="s">
        <v>122</v>
      </c>
      <c r="C57" s="45">
        <v>1</v>
      </c>
      <c r="D57" s="45" t="str">
        <f>IFERROR(IF(INDEX('01.25'!D2:D500, MATCH(B57&amp;C57, INDEX('01.25'!B2:B500&amp;'01.25'!C2:C500, 0), 0))="", "", INDEX('01.25'!D2:D500, MATCH(B57&amp;C57, INDEX('01.25'!B2:B500&amp;'01.25'!C2:C500, 0), 0))), "")</f>
        <v>Alexandro Schaparini</v>
      </c>
      <c r="E57" s="110" t="s">
        <v>17</v>
      </c>
      <c r="F57" s="45"/>
      <c r="G57" s="46" t="s">
        <v>140</v>
      </c>
      <c r="H57" s="45"/>
      <c r="I57" s="45"/>
      <c r="J57" s="45" t="s">
        <v>140</v>
      </c>
      <c r="K57" s="45"/>
    </row>
    <row r="58" spans="1:11" x14ac:dyDescent="0.25">
      <c r="A58" s="49" t="s">
        <v>43</v>
      </c>
      <c r="B58" s="45" t="s">
        <v>129</v>
      </c>
      <c r="C58" s="45">
        <v>1</v>
      </c>
      <c r="D58" s="45" t="str">
        <f>IFERROR(IF(INDEX('01.25'!D2:D500, MATCH(B58&amp;C58, INDEX('01.25'!B2:B500&amp;'01.25'!C2:C500, 0), 0))="", "", INDEX('01.25'!D2:D500, MATCH(B58&amp;C58, INDEX('01.25'!B2:B500&amp;'01.25'!C2:C500, 0), 0))), "")</f>
        <v>Marina Ancelmo da Silva</v>
      </c>
      <c r="E58" s="107" t="s">
        <v>16</v>
      </c>
      <c r="F58" s="45" t="s">
        <v>651</v>
      </c>
      <c r="G58" s="46" t="s">
        <v>131</v>
      </c>
      <c r="H58" s="45" t="s">
        <v>665</v>
      </c>
      <c r="I58" s="45"/>
      <c r="J58" s="45" t="s">
        <v>140</v>
      </c>
      <c r="K58" s="45"/>
    </row>
    <row r="59" spans="1:11" x14ac:dyDescent="0.25">
      <c r="A59" s="49" t="s">
        <v>43</v>
      </c>
      <c r="B59" s="45" t="s">
        <v>130</v>
      </c>
      <c r="C59" s="45">
        <v>1</v>
      </c>
      <c r="D59" s="45" t="str">
        <f>IFERROR(IF(INDEX('01.25'!D2:D500, MATCH(B59&amp;C59, INDEX('01.25'!B2:B500&amp;'01.25'!C2:C500, 0), 0))="", "", INDEX('01.25'!D2:D500, MATCH(B59&amp;C59, INDEX('01.25'!B2:B500&amp;'01.25'!C2:C500, 0), 0))), "")</f>
        <v>Ana Carolina Peterle Ribeiro</v>
      </c>
      <c r="E59" s="107" t="s">
        <v>16</v>
      </c>
      <c r="F59" s="45" t="s">
        <v>663</v>
      </c>
      <c r="G59" s="46" t="s">
        <v>131</v>
      </c>
      <c r="H59" s="45" t="s">
        <v>666</v>
      </c>
      <c r="I59" s="45"/>
      <c r="J59" s="45" t="s">
        <v>140</v>
      </c>
      <c r="K59" s="45"/>
    </row>
    <row r="60" spans="1:11" x14ac:dyDescent="0.25">
      <c r="A60" s="51" t="s">
        <v>40</v>
      </c>
      <c r="B60" s="45" t="s">
        <v>112</v>
      </c>
      <c r="C60" s="45">
        <v>1</v>
      </c>
      <c r="D60" s="45" t="str">
        <f>IFERROR(IF(INDEX('01.25'!D2:D500, MATCH(B60&amp;C60, INDEX('01.25'!B2:B500&amp;'01.25'!C2:C500, 0), 0))="", "", INDEX('01.25'!D2:D500, MATCH(B60&amp;C60, INDEX('01.25'!B2:B500&amp;'01.25'!C2:C500, 0), 0))), "")</f>
        <v>Taiane Amélia Mondardo</v>
      </c>
      <c r="E60" s="107" t="s">
        <v>16</v>
      </c>
      <c r="F60" s="45" t="s">
        <v>404</v>
      </c>
      <c r="G60" s="52" t="s">
        <v>131</v>
      </c>
      <c r="H60" s="45"/>
      <c r="I60" s="45"/>
      <c r="J60" s="45" t="s">
        <v>140</v>
      </c>
      <c r="K60" s="45"/>
    </row>
    <row r="61" spans="1:11" x14ac:dyDescent="0.25">
      <c r="A61" s="44" t="s">
        <v>36</v>
      </c>
      <c r="B61" s="45" t="s">
        <v>104</v>
      </c>
      <c r="C61" s="45">
        <v>1</v>
      </c>
      <c r="D61" s="45" t="str">
        <f>IFERROR(IF(INDEX('01.25'!D2:D500, MATCH(B61&amp;C61, INDEX('01.25'!B2:B500&amp;'01.25'!C2:C500, 0), 0))="", "", INDEX('01.25'!D2:D500, MATCH(B61&amp;C61, INDEX('01.25'!B2:B500&amp;'01.25'!C2:C500, 0), 0))), "")</f>
        <v>Regiane Lucia Pereira</v>
      </c>
      <c r="E61" s="107" t="s">
        <v>16</v>
      </c>
      <c r="F61" s="45" t="s">
        <v>663</v>
      </c>
      <c r="G61" s="46" t="s">
        <v>140</v>
      </c>
      <c r="H61" s="45"/>
      <c r="I61" s="45"/>
      <c r="J61" s="45" t="s">
        <v>140</v>
      </c>
      <c r="K61" s="45"/>
    </row>
    <row r="62" spans="1:11" x14ac:dyDescent="0.25">
      <c r="A62" s="51" t="s">
        <v>40</v>
      </c>
      <c r="B62" s="45" t="s">
        <v>113</v>
      </c>
      <c r="C62" s="45">
        <v>1</v>
      </c>
      <c r="D62" s="45" t="str">
        <f>IFERROR(IF(INDEX('01.25'!D2:D500, MATCH(B62&amp;C62, INDEX('01.25'!B2:B500&amp;'01.25'!C2:C500, 0), 0))="", "", INDEX('01.25'!D2:D500, MATCH(B62&amp;C62, INDEX('01.25'!B2:B500&amp;'01.25'!C2:C500, 0), 0))), "")</f>
        <v>Andryws Rafael Gois</v>
      </c>
      <c r="E62" s="107" t="s">
        <v>16</v>
      </c>
      <c r="F62" s="45" t="s">
        <v>404</v>
      </c>
      <c r="G62" s="52" t="s">
        <v>131</v>
      </c>
      <c r="H62" s="45"/>
      <c r="I62" s="45"/>
      <c r="J62" s="45" t="s">
        <v>140</v>
      </c>
      <c r="K62" s="45"/>
    </row>
    <row r="63" spans="1:11" x14ac:dyDescent="0.25">
      <c r="A63" s="50" t="s">
        <v>42</v>
      </c>
      <c r="B63" s="45" t="s">
        <v>123</v>
      </c>
      <c r="C63" s="45">
        <v>1</v>
      </c>
      <c r="D63" s="45" t="str">
        <f>IFERROR(IF(INDEX('01.25'!D2:D500, MATCH(B63&amp;C63, INDEX('01.25'!B2:B500&amp;'01.25'!C2:C500, 0), 0))="", "", INDEX('01.25'!D2:D500, MATCH(B63&amp;C63, INDEX('01.25'!B2:B500&amp;'01.25'!C2:C500, 0), 0))), "")</f>
        <v>Mayara Ketllyn de Paula Rosetti</v>
      </c>
      <c r="E63" s="107" t="s">
        <v>16</v>
      </c>
      <c r="F63" s="45" t="s">
        <v>404</v>
      </c>
      <c r="G63" s="46" t="s">
        <v>140</v>
      </c>
      <c r="H63" s="45"/>
      <c r="I63" s="45"/>
      <c r="J63" s="45" t="s">
        <v>140</v>
      </c>
      <c r="K63" s="45"/>
    </row>
    <row r="64" spans="1:11" x14ac:dyDescent="0.25">
      <c r="A64" s="51" t="s">
        <v>40</v>
      </c>
      <c r="B64" s="45" t="s">
        <v>114</v>
      </c>
      <c r="C64" s="45">
        <v>1</v>
      </c>
      <c r="D64" s="45" t="str">
        <f>IFERROR(IF(INDEX('01.25'!D2:D500, MATCH(B64&amp;C64, INDEX('01.25'!B2:B500&amp;'01.25'!C2:C500, 0), 0))="", "", INDEX('01.25'!D2:D500, MATCH(B64&amp;C64, INDEX('01.25'!B2:B500&amp;'01.25'!C2:C500, 0), 0))), "")</f>
        <v>Junior Andre Britzke</v>
      </c>
      <c r="E64" s="107" t="s">
        <v>16</v>
      </c>
      <c r="F64" s="45" t="s">
        <v>404</v>
      </c>
      <c r="G64" s="52" t="s">
        <v>131</v>
      </c>
      <c r="H64" s="45"/>
      <c r="I64" s="45"/>
      <c r="J64" s="45" t="s">
        <v>140</v>
      </c>
      <c r="K64" s="45"/>
    </row>
    <row r="65" spans="1:11" x14ac:dyDescent="0.25">
      <c r="A65" s="44" t="s">
        <v>36</v>
      </c>
      <c r="B65" s="45" t="s">
        <v>105</v>
      </c>
      <c r="C65" s="45">
        <v>1</v>
      </c>
      <c r="D65" s="45" t="str">
        <f>IFERROR(IF(INDEX('01.25'!D2:D500, MATCH(B65&amp;C65, INDEX('01.25'!B2:B500&amp;'01.25'!C2:C500, 0), 0))="", "", INDEX('01.25'!D2:D500, MATCH(B65&amp;C65, INDEX('01.25'!B2:B500&amp;'01.25'!C2:C500, 0), 0))), "")</f>
        <v>Adriano Pereira Guedes</v>
      </c>
      <c r="E65" s="107" t="s">
        <v>16</v>
      </c>
      <c r="F65" s="45" t="s">
        <v>653</v>
      </c>
      <c r="G65" s="46" t="s">
        <v>140</v>
      </c>
      <c r="H65" s="45"/>
      <c r="I65" s="45"/>
      <c r="J65" s="45" t="s">
        <v>140</v>
      </c>
      <c r="K65" s="45"/>
    </row>
    <row r="66" spans="1:11" x14ac:dyDescent="0.25">
      <c r="A66" s="44" t="s">
        <v>36</v>
      </c>
      <c r="B66" s="45" t="s">
        <v>106</v>
      </c>
      <c r="C66" s="45">
        <v>1</v>
      </c>
      <c r="D66" s="45" t="str">
        <f>IFERROR(IF(INDEX('01.25'!D2:D500, MATCH(B66&amp;C66, INDEX('01.25'!B2:B500&amp;'01.25'!C2:C500, 0), 0))="", "", INDEX('01.25'!D2:D500, MATCH(B66&amp;C66, INDEX('01.25'!B2:B500&amp;'01.25'!C2:C500, 0), 0))), "")</f>
        <v xml:space="preserve">Suzana Cristina de Almeida </v>
      </c>
      <c r="E66" s="107" t="s">
        <v>16</v>
      </c>
      <c r="F66" s="45" t="s">
        <v>651</v>
      </c>
      <c r="G66" s="46" t="s">
        <v>140</v>
      </c>
      <c r="H66" s="45"/>
      <c r="I66" s="45"/>
      <c r="J66" s="45" t="s">
        <v>140</v>
      </c>
      <c r="K66" s="45"/>
    </row>
    <row r="67" spans="1:11" x14ac:dyDescent="0.25">
      <c r="A67" s="47" t="s">
        <v>28</v>
      </c>
      <c r="B67" s="45" t="s">
        <v>85</v>
      </c>
      <c r="C67" s="45">
        <v>1</v>
      </c>
      <c r="D67" s="45" t="str">
        <f>IFERROR(IF(INDEX('01.25'!D2:D500, MATCH(B67&amp;C67, INDEX('01.25'!B2:B500&amp;'01.25'!C2:C500, 0), 0))="", "", INDEX('01.25'!D2:D500, MATCH(B67&amp;C67, INDEX('01.25'!B2:B500&amp;'01.25'!C2:C500, 0), 0))), "")</f>
        <v>Alice Cristiane Zancheta</v>
      </c>
      <c r="E67" s="107" t="s">
        <v>16</v>
      </c>
      <c r="F67" s="45" t="s">
        <v>448</v>
      </c>
      <c r="G67" s="46" t="s">
        <v>140</v>
      </c>
      <c r="H67" s="45" t="s">
        <v>551</v>
      </c>
      <c r="I67" s="45"/>
      <c r="J67" s="45" t="s">
        <v>140</v>
      </c>
      <c r="K67" s="45"/>
    </row>
    <row r="68" spans="1:11" x14ac:dyDescent="0.25">
      <c r="A68" s="48" t="s">
        <v>38</v>
      </c>
      <c r="B68" s="45" t="s">
        <v>109</v>
      </c>
      <c r="C68" s="45">
        <v>1</v>
      </c>
      <c r="D68" s="45" t="str">
        <f>IFERROR(IF(INDEX('01.25'!D2:D500, MATCH(B68&amp;C68, INDEX('01.25'!B2:B500&amp;'01.25'!C2:C500, 0), 0))="", "", INDEX('01.25'!D2:D500, MATCH(B68&amp;C68, INDEX('01.25'!B2:B500&amp;'01.25'!C2:C500, 0), 0))), "")</f>
        <v>Fernanda kaezer de Godoy</v>
      </c>
      <c r="E68" s="107" t="s">
        <v>16</v>
      </c>
      <c r="F68" s="45" t="s">
        <v>651</v>
      </c>
      <c r="G68" s="46" t="s">
        <v>131</v>
      </c>
      <c r="H68" s="148" t="s">
        <v>711</v>
      </c>
      <c r="I68" s="45"/>
      <c r="J68" s="45" t="s">
        <v>140</v>
      </c>
      <c r="K68" s="45"/>
    </row>
    <row r="69" spans="1:11" x14ac:dyDescent="0.25">
      <c r="A69" s="48" t="s">
        <v>38</v>
      </c>
      <c r="B69" s="45" t="s">
        <v>110</v>
      </c>
      <c r="C69" s="45">
        <v>1</v>
      </c>
      <c r="D69" s="45" t="str">
        <f>IFERROR(IF(INDEX('01.25'!D2:D500, MATCH(B69&amp;C69, INDEX('01.25'!B2:B500&amp;'01.25'!C2:C500, 0), 0))="", "", INDEX('01.25'!D2:D500, MATCH(B69&amp;C69, INDEX('01.25'!B2:B500&amp;'01.25'!C2:C500, 0), 0))), "")</f>
        <v xml:space="preserve">Ademir Papini Júnior </v>
      </c>
      <c r="E69" s="107" t="s">
        <v>16</v>
      </c>
      <c r="F69" s="45" t="s">
        <v>631</v>
      </c>
      <c r="G69" s="46" t="s">
        <v>131</v>
      </c>
      <c r="H69" s="45" t="s">
        <v>712</v>
      </c>
      <c r="I69" s="45"/>
      <c r="J69" s="45" t="s">
        <v>140</v>
      </c>
      <c r="K69" s="45"/>
    </row>
    <row r="70" spans="1:11" x14ac:dyDescent="0.25">
      <c r="A70" s="50" t="s">
        <v>42</v>
      </c>
      <c r="B70" s="45" t="s">
        <v>124</v>
      </c>
      <c r="C70" s="45">
        <v>1</v>
      </c>
      <c r="D70" s="45" t="str">
        <f>IFERROR(IF(INDEX('01.25'!D2:D500, MATCH(B70&amp;C70, INDEX('01.25'!B2:B500&amp;'01.25'!C2:C500, 0), 0))="", "", INDEX('01.25'!D2:D500, MATCH(B70&amp;C70, INDEX('01.25'!B2:B500&amp;'01.25'!C2:C500, 0), 0))), "")</f>
        <v>Heloísa Maria Beloni Insenha</v>
      </c>
      <c r="E70" s="110" t="s">
        <v>17</v>
      </c>
      <c r="F70" s="45"/>
      <c r="G70" s="46" t="s">
        <v>140</v>
      </c>
      <c r="H70" s="45"/>
      <c r="I70" s="45"/>
      <c r="J70" s="45" t="s">
        <v>140</v>
      </c>
      <c r="K70" s="45"/>
    </row>
  </sheetData>
  <autoFilter ref="A1:G1" xr:uid="{00000000-0009-0000-0000-000012000000}"/>
  <conditionalFormatting sqref="E2:E70">
    <cfRule type="cellIs" dxfId="25" priority="6" stopIfTrue="1" operator="equal">
      <formula>"Enviado"</formula>
    </cfRule>
    <cfRule type="cellIs" dxfId="24" priority="7" stopIfTrue="1" operator="equal">
      <formula>"Atrasado"</formula>
    </cfRule>
    <cfRule type="cellIs" dxfId="23" priority="8" stopIfTrue="1" operator="equal">
      <formula>"Atrasado &gt;= 2"</formula>
    </cfRule>
    <cfRule type="cellIs" dxfId="22" priority="9" stopIfTrue="1" operator="equal">
      <formula>"Outras Ocorrências"</formula>
    </cfRule>
    <cfRule type="cellIs" dxfId="21" priority="10" stopIfTrue="1" operator="equal">
      <formula>"Sem Técnico"</formula>
    </cfRule>
    <cfRule type="cellIs" dxfId="20" priority="11" stopIfTrue="1" operator="equal">
      <formula>"Duplicado"</formula>
    </cfRule>
  </conditionalFormatting>
  <conditionalFormatting sqref="G2:G70">
    <cfRule type="cellIs" dxfId="19" priority="1" stopIfTrue="1" operator="equal">
      <formula>"Sim"</formula>
    </cfRule>
    <cfRule type="cellIs" dxfId="18" priority="3" stopIfTrue="1" operator="equal">
      <formula>"Não"</formula>
    </cfRule>
  </conditionalFormatting>
  <conditionalFormatting sqref="J2:J70">
    <cfRule type="cellIs" dxfId="17" priority="4" stopIfTrue="1" operator="equal">
      <formula>"Sim"</formula>
    </cfRule>
    <cfRule type="cellIs" dxfId="16" priority="4" stopIfTrue="1" operator="equal">
      <formula>"Não"</formula>
    </cfRule>
    <cfRule type="cellIs" dxfId="15" priority="5" stopIfTrue="1" operator="equal">
      <formula>"Em Análise"</formula>
    </cfRule>
  </conditionalFormatting>
  <dataValidations count="3">
    <dataValidation type="list" allowBlank="1" sqref="G2 G3 G4 G5 G6 G7 G8 G9 G10 G11 G12 G13 G14 G15 G16 G17 G18 G19 G20 G21 G22 G23 G24 G25 G26 G27 G28 G29 G30 G31 G32 G33 G34 G35 G36 G37 G38 G39 G40 G41 G42 G43 G44 G45 G46 G47 G48 G49 G50 G51 G52 G53 G54 G55 G56 G57 G58 G59 G60 G61 G62 G63 G64 G65 G66 G67 G68 G69 G70" xr:uid="{00000000-0002-0000-1200-000000000000}">
      <formula1>"Sim,Não"</formula1>
    </dataValidation>
    <dataValidation type="list" allowBlank="1" sqref="J2 J3 J4 J5 J6 J7 J8 J9 J10 J11 J12 J13 J14 J15 J16 J17 J18 J19 J20 J21 J22 J23 J24 J25 J26 J27 J28 J29 J30 J31 J32 J33 J34 J35 J36 J37 J38 J39 J40 J41 J42 J43 J44 J45 J46 J47 J48 J49 J50 J51 J52 J53 J54 J55 J56 J57 J58 J59 J60 J61 J62 J63 J64 J65 J66 J67 J68 J69 J70" xr:uid="{00000000-0002-0000-1200-000001000000}">
      <formula1>"Sim,Não,Em Análise"</formula1>
    </dataValidation>
    <dataValidation type="list" allowBlank="1" sqref="E2 E3 E4 E5 E6 E7 E8 E9 E10 E11 E12 E13 E14 E15 E16 E17 E18 E19 E20 E21 E22 E23 E24 E25 E26 E27 E28 E29 E30 E31 E32 E33 E34 E35 E36 E37 E38 E39 E40 E41 E42 E43 E44 E45 E46 E47 E48 E49 E50 E51 E52 E53 E54 E55 E56 E57 E58 E59 E60 E61 E62 E63 E64 E65 E66 E67 E68 E69 E70" xr:uid="{00000000-0002-0000-1200-000002000000}">
      <formula1>"Enviado, Atrasado, Atrasado &gt;= 2, Outras Ocorrências, Sem Técnico, Duplicado"</formula1>
    </dataValidation>
  </dataValidations>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K70"/>
  <sheetViews>
    <sheetView workbookViewId="0">
      <pane xSplit="3" topLeftCell="D1" activePane="topRight" state="frozen"/>
      <selection pane="topRight"/>
    </sheetView>
  </sheetViews>
  <sheetFormatPr defaultRowHeight="15" x14ac:dyDescent="0.25"/>
  <cols>
    <col min="1" max="1" width="14" customWidth="1"/>
    <col min="2" max="2" width="30" customWidth="1"/>
    <col min="3" max="3" width="8" customWidth="1"/>
    <col min="4" max="4" width="45" customWidth="1"/>
    <col min="5" max="5" width="13" customWidth="1"/>
    <col min="6" max="6" width="18" customWidth="1"/>
    <col min="7" max="7" width="27" customWidth="1"/>
    <col min="8" max="8" width="16" customWidth="1"/>
    <col min="9" max="9" width="34" customWidth="1"/>
    <col min="10" max="10" width="25" customWidth="1"/>
    <col min="11" max="11" width="26" customWidth="1"/>
  </cols>
  <sheetData>
    <row r="1" spans="1:11" x14ac:dyDescent="0.25">
      <c r="A1" s="43" t="s">
        <v>27</v>
      </c>
      <c r="B1" s="43" t="s">
        <v>70</v>
      </c>
      <c r="C1" s="43" t="s">
        <v>71</v>
      </c>
      <c r="D1" s="43" t="s">
        <v>132</v>
      </c>
      <c r="E1" s="43" t="s">
        <v>133</v>
      </c>
      <c r="F1" s="43" t="s">
        <v>134</v>
      </c>
      <c r="G1" s="43" t="s">
        <v>135</v>
      </c>
      <c r="H1" s="43" t="s">
        <v>136</v>
      </c>
      <c r="I1" s="43" t="s">
        <v>137</v>
      </c>
      <c r="J1" s="43" t="s">
        <v>138</v>
      </c>
      <c r="K1" s="43" t="s">
        <v>139</v>
      </c>
    </row>
    <row r="2" spans="1:11" x14ac:dyDescent="0.25">
      <c r="A2" s="44" t="s">
        <v>36</v>
      </c>
      <c r="B2" s="45" t="s">
        <v>97</v>
      </c>
      <c r="C2" s="45">
        <v>1</v>
      </c>
      <c r="D2" s="45" t="str">
        <f>IFERROR(IF(INDEX('01.25'!D2:D500, MATCH(B2&amp;C2, INDEX('01.25'!B2:B500&amp;'01.25'!C2:C500, 0), 0))="", "", INDEX('01.25'!D2:D500, MATCH(B2&amp;C2, INDEX('01.25'!B2:B500&amp;'01.25'!C2:C500, 0), 0))), "")</f>
        <v>Paula Tatiana Santana Vechi</v>
      </c>
      <c r="E2" s="45"/>
      <c r="F2" s="45"/>
      <c r="G2" s="46" t="s">
        <v>140</v>
      </c>
      <c r="H2" s="45"/>
      <c r="I2" s="45"/>
      <c r="J2" s="45" t="s">
        <v>140</v>
      </c>
      <c r="K2" s="45"/>
    </row>
    <row r="3" spans="1:11" x14ac:dyDescent="0.25">
      <c r="A3" s="47" t="s">
        <v>28</v>
      </c>
      <c r="B3" s="45" t="s">
        <v>87</v>
      </c>
      <c r="C3" s="45">
        <v>1</v>
      </c>
      <c r="D3" s="45" t="str">
        <f>IFERROR(IF(INDEX('01.25'!D2:D500, MATCH(B3&amp;C3, INDEX('01.25'!B2:B500&amp;'01.25'!C2:C500, 0), 0))="", "", INDEX('01.25'!D2:D500, MATCH(B3&amp;C3, INDEX('01.25'!B2:B500&amp;'01.25'!C2:C500, 0), 0))), "")</f>
        <v>Willian de Oliveira Lino</v>
      </c>
      <c r="E3" s="45"/>
      <c r="F3" s="45"/>
      <c r="G3" s="46" t="s">
        <v>140</v>
      </c>
      <c r="H3" s="45"/>
      <c r="I3" s="45"/>
      <c r="J3" s="45" t="s">
        <v>140</v>
      </c>
      <c r="K3" s="45"/>
    </row>
    <row r="4" spans="1:11" x14ac:dyDescent="0.25">
      <c r="A4" s="48" t="s">
        <v>38</v>
      </c>
      <c r="B4" s="45" t="s">
        <v>78</v>
      </c>
      <c r="C4" s="45">
        <v>1</v>
      </c>
      <c r="D4" s="45" t="str">
        <f>IFERROR(IF(INDEX('01.25'!D2:D500, MATCH(B4&amp;C4, INDEX('01.25'!B2:B500&amp;'01.25'!C2:C500, 0), 0))="", "", INDEX('01.25'!D2:D500, MATCH(B4&amp;C4, INDEX('01.25'!B2:B500&amp;'01.25'!C2:C500, 0), 0))), "")</f>
        <v>Gisele Cássia Tamparowsky de Oliveira</v>
      </c>
      <c r="E4" s="45"/>
      <c r="F4" s="45"/>
      <c r="G4" s="46" t="s">
        <v>140</v>
      </c>
      <c r="H4" s="45"/>
      <c r="I4" s="45"/>
      <c r="J4" s="45" t="s">
        <v>140</v>
      </c>
      <c r="K4" s="45"/>
    </row>
    <row r="5" spans="1:11" x14ac:dyDescent="0.25">
      <c r="A5" s="47" t="s">
        <v>28</v>
      </c>
      <c r="B5" s="45" t="s">
        <v>88</v>
      </c>
      <c r="C5" s="45">
        <v>1</v>
      </c>
      <c r="D5" s="45" t="str">
        <f>IFERROR(IF(INDEX('01.25'!D2:D500, MATCH(B5&amp;C5, INDEX('01.25'!B2:B500&amp;'01.25'!C2:C500, 0), 0))="", "", INDEX('01.25'!D2:D500, MATCH(B5&amp;C5, INDEX('01.25'!B2:B500&amp;'01.25'!C2:C500, 0), 0))), "")</f>
        <v>Marcos Gabriel Franciosi Borges</v>
      </c>
      <c r="E5" s="45"/>
      <c r="F5" s="45"/>
      <c r="G5" s="46" t="s">
        <v>140</v>
      </c>
      <c r="H5" s="45"/>
      <c r="I5" s="45"/>
      <c r="J5" s="45" t="s">
        <v>140</v>
      </c>
      <c r="K5" s="45"/>
    </row>
    <row r="6" spans="1:11" x14ac:dyDescent="0.25">
      <c r="A6" s="47" t="s">
        <v>28</v>
      </c>
      <c r="B6" s="45" t="s">
        <v>89</v>
      </c>
      <c r="C6" s="45">
        <v>1</v>
      </c>
      <c r="D6" s="45" t="str">
        <f>IFERROR(IF(INDEX('01.25'!D2:D500, MATCH(B6&amp;C6, INDEX('01.25'!B2:B500&amp;'01.25'!C2:C500, 0), 0))="", "", INDEX('01.25'!D2:D500, MATCH(B6&amp;C6, INDEX('01.25'!B2:B500&amp;'01.25'!C2:C500, 0), 0))), "")</f>
        <v>Chayla Bianca Gazoli</v>
      </c>
      <c r="E6" s="45"/>
      <c r="F6" s="45"/>
      <c r="G6" s="46" t="s">
        <v>140</v>
      </c>
      <c r="H6" s="45"/>
      <c r="I6" s="45"/>
      <c r="J6" s="45" t="s">
        <v>140</v>
      </c>
      <c r="K6" s="45"/>
    </row>
    <row r="7" spans="1:11" x14ac:dyDescent="0.25">
      <c r="A7" s="48" t="s">
        <v>38</v>
      </c>
      <c r="B7" s="45" t="s">
        <v>84</v>
      </c>
      <c r="C7" s="45">
        <v>1</v>
      </c>
      <c r="D7" s="45" t="str">
        <f>IFERROR(IF(INDEX('01.25'!D2:D500, MATCH(B7&amp;C7, INDEX('01.25'!B2:B500&amp;'01.25'!C2:C500, 0), 0))="", "", INDEX('01.25'!D2:D500, MATCH(B7&amp;C7, INDEX('01.25'!B2:B500&amp;'01.25'!C2:C500, 0), 0))), "")</f>
        <v>Solange Maria Masqueti</v>
      </c>
      <c r="E7" s="45"/>
      <c r="F7" s="45"/>
      <c r="G7" s="46" t="s">
        <v>140</v>
      </c>
      <c r="H7" s="45"/>
      <c r="I7" s="45"/>
      <c r="J7" s="45" t="s">
        <v>140</v>
      </c>
      <c r="K7" s="45"/>
    </row>
    <row r="8" spans="1:11" x14ac:dyDescent="0.25">
      <c r="A8" s="48" t="s">
        <v>38</v>
      </c>
      <c r="B8" s="45" t="s">
        <v>79</v>
      </c>
      <c r="C8" s="45">
        <v>1</v>
      </c>
      <c r="D8" s="45" t="str">
        <f>IFERROR(IF(INDEX('01.25'!D2:D500, MATCH(B8&amp;C8, INDEX('01.25'!B2:B500&amp;'01.25'!C2:C500, 0), 0))="", "", INDEX('01.25'!D2:D500, MATCH(B8&amp;C8, INDEX('01.25'!B2:B500&amp;'01.25'!C2:C500, 0), 0))), "")</f>
        <v>Cristiane Petry Vieira</v>
      </c>
      <c r="E8" s="45"/>
      <c r="F8" s="45"/>
      <c r="G8" s="46" t="s">
        <v>140</v>
      </c>
      <c r="H8" s="45"/>
      <c r="I8" s="45"/>
      <c r="J8" s="45" t="s">
        <v>140</v>
      </c>
      <c r="K8" s="45"/>
    </row>
    <row r="9" spans="1:11" x14ac:dyDescent="0.25">
      <c r="A9" s="47" t="s">
        <v>28</v>
      </c>
      <c r="B9" s="45" t="s">
        <v>90</v>
      </c>
      <c r="C9" s="45">
        <v>1</v>
      </c>
      <c r="D9" s="45" t="str">
        <f>IFERROR(IF(INDEX('01.25'!D2:D500, MATCH(B9&amp;C9, INDEX('01.25'!B2:B500&amp;'01.25'!C2:C500, 0), 0))="", "", INDEX('01.25'!D2:D500, MATCH(B9&amp;C9, INDEX('01.25'!B2:B500&amp;'01.25'!C2:C500, 0), 0))), "")</f>
        <v>Diego Hemerich</v>
      </c>
      <c r="E9" s="45"/>
      <c r="F9" s="45"/>
      <c r="G9" s="46" t="s">
        <v>140</v>
      </c>
      <c r="H9" s="45"/>
      <c r="I9" s="45"/>
      <c r="J9" s="45" t="s">
        <v>140</v>
      </c>
      <c r="K9" s="45"/>
    </row>
    <row r="10" spans="1:11" x14ac:dyDescent="0.25">
      <c r="A10" s="49" t="s">
        <v>43</v>
      </c>
      <c r="B10" s="45" t="s">
        <v>125</v>
      </c>
      <c r="C10" s="45">
        <v>1</v>
      </c>
      <c r="D10" s="45" t="str">
        <f>IFERROR(IF(INDEX('01.25'!D2:D500, MATCH(B10&amp;C10, INDEX('01.25'!B2:B500&amp;'01.25'!C2:C500, 0), 0))="", "", INDEX('01.25'!D2:D500, MATCH(B10&amp;C10, INDEX('01.25'!B2:B500&amp;'01.25'!C2:C500, 0), 0))), "")</f>
        <v>Tatiane Girardi</v>
      </c>
      <c r="E10" s="45"/>
      <c r="F10" s="45"/>
      <c r="G10" s="46" t="s">
        <v>140</v>
      </c>
      <c r="H10" s="45"/>
      <c r="I10" s="45"/>
      <c r="J10" s="45" t="s">
        <v>140</v>
      </c>
      <c r="K10" s="45"/>
    </row>
    <row r="11" spans="1:11" x14ac:dyDescent="0.25">
      <c r="A11" s="49" t="s">
        <v>43</v>
      </c>
      <c r="B11" s="45" t="s">
        <v>126</v>
      </c>
      <c r="C11" s="45">
        <v>1</v>
      </c>
      <c r="D11" s="45" t="str">
        <f>IFERROR(IF(INDEX('01.25'!D2:D500, MATCH(B11&amp;C11, INDEX('01.25'!B2:B500&amp;'01.25'!C2:C500, 0), 0))="", "", INDEX('01.25'!D2:D500, MATCH(B11&amp;C11, INDEX('01.25'!B2:B500&amp;'01.25'!C2:C500, 0), 0))), "")</f>
        <v>Edson Batista de Castro</v>
      </c>
      <c r="E11" s="45"/>
      <c r="F11" s="45"/>
      <c r="G11" s="46" t="s">
        <v>140</v>
      </c>
      <c r="H11" s="45"/>
      <c r="I11" s="45"/>
      <c r="J11" s="45" t="s">
        <v>140</v>
      </c>
      <c r="K11" s="45"/>
    </row>
    <row r="12" spans="1:11" x14ac:dyDescent="0.25">
      <c r="A12" s="49" t="s">
        <v>43</v>
      </c>
      <c r="B12" s="45" t="s">
        <v>126</v>
      </c>
      <c r="C12" s="45">
        <v>2</v>
      </c>
      <c r="D12" s="45" t="str">
        <f>IFERROR(IF(INDEX('01.25'!D2:D500, MATCH(B12&amp;C12, INDEX('01.25'!B2:B500&amp;'01.25'!C2:C500, 0), 0))="", "", INDEX('01.25'!D2:D500, MATCH(B12&amp;C12, INDEX('01.25'!B2:B500&amp;'01.25'!C2:C500, 0), 0))), "")</f>
        <v>Gabriela Fernanda Sandri</v>
      </c>
      <c r="E12" s="45"/>
      <c r="F12" s="45"/>
      <c r="G12" s="46" t="s">
        <v>140</v>
      </c>
      <c r="H12" s="45"/>
      <c r="I12" s="45"/>
      <c r="J12" s="45" t="s">
        <v>140</v>
      </c>
      <c r="K12" s="45"/>
    </row>
    <row r="13" spans="1:11" x14ac:dyDescent="0.25">
      <c r="A13" s="49" t="s">
        <v>43</v>
      </c>
      <c r="B13" s="45" t="s">
        <v>126</v>
      </c>
      <c r="C13" s="45">
        <v>3</v>
      </c>
      <c r="D13" s="45" t="str">
        <f>IFERROR(IF(INDEX('01.25'!D2:D500, MATCH(B13&amp;C13, INDEX('01.25'!B2:B500&amp;'01.25'!C2:C500, 0), 0))="", "", INDEX('01.25'!D2:D500, MATCH(B13&amp;C13, INDEX('01.25'!B2:B500&amp;'01.25'!C2:C500, 0), 0))), "")</f>
        <v>Eduarda Rohden Donasolo</v>
      </c>
      <c r="E13" s="45"/>
      <c r="F13" s="45"/>
      <c r="G13" s="46" t="s">
        <v>140</v>
      </c>
      <c r="H13" s="45"/>
      <c r="I13" s="45"/>
      <c r="J13" s="45" t="s">
        <v>140</v>
      </c>
      <c r="K13" s="45"/>
    </row>
    <row r="14" spans="1:11" x14ac:dyDescent="0.25">
      <c r="A14" s="49" t="s">
        <v>43</v>
      </c>
      <c r="B14" s="45" t="s">
        <v>126</v>
      </c>
      <c r="C14" s="45">
        <v>4</v>
      </c>
      <c r="D14" s="45" t="str">
        <f>IFERROR(IF(INDEX('01.25'!D2:D500, MATCH(B14&amp;C14, INDEX('01.25'!B2:B500&amp;'01.25'!C2:C500, 0), 0))="", "", INDEX('01.25'!D2:D500, MATCH(B14&amp;C14, INDEX('01.25'!B2:B500&amp;'01.25'!C2:C500, 0), 0))), "")</f>
        <v>Mauricio Pinto de Lima</v>
      </c>
      <c r="E14" s="45"/>
      <c r="F14" s="45"/>
      <c r="G14" s="46" t="s">
        <v>140</v>
      </c>
      <c r="H14" s="45"/>
      <c r="I14" s="45"/>
      <c r="J14" s="45" t="s">
        <v>140</v>
      </c>
      <c r="K14" s="45"/>
    </row>
    <row r="15" spans="1:11" x14ac:dyDescent="0.25">
      <c r="A15" s="49" t="s">
        <v>43</v>
      </c>
      <c r="B15" s="45" t="s">
        <v>126</v>
      </c>
      <c r="C15" s="45">
        <v>5</v>
      </c>
      <c r="D15" s="45" t="str">
        <f>IFERROR(IF(INDEX('01.25'!D2:D500, MATCH(B15&amp;C15, INDEX('01.25'!B2:B500&amp;'01.25'!C2:C500, 0), 0))="", "", INDEX('01.25'!D2:D500, MATCH(B15&amp;C15, INDEX('01.25'!B2:B500&amp;'01.25'!C2:C500, 0), 0))), "")</f>
        <v xml:space="preserve">Débora Laize Lampert Gnass </v>
      </c>
      <c r="E15" s="45"/>
      <c r="F15" s="45"/>
      <c r="G15" s="46" t="s">
        <v>140</v>
      </c>
      <c r="H15" s="45"/>
      <c r="I15" s="45"/>
      <c r="J15" s="45" t="s">
        <v>140</v>
      </c>
      <c r="K15" s="45"/>
    </row>
    <row r="16" spans="1:11" x14ac:dyDescent="0.25">
      <c r="A16" s="49" t="s">
        <v>43</v>
      </c>
      <c r="B16" s="45" t="s">
        <v>126</v>
      </c>
      <c r="C16" s="45">
        <v>6</v>
      </c>
      <c r="D16" s="45" t="str">
        <f>IFERROR(IF(INDEX('01.25'!D2:D500, MATCH(B16&amp;C16, INDEX('01.25'!B2:B500&amp;'01.25'!C2:C500, 0), 0))="", "", INDEX('01.25'!D2:D500, MATCH(B16&amp;C16, INDEX('01.25'!B2:B500&amp;'01.25'!C2:C500, 0), 0))), "")</f>
        <v/>
      </c>
      <c r="E16" s="45"/>
      <c r="F16" s="45"/>
      <c r="G16" s="46" t="s">
        <v>140</v>
      </c>
      <c r="H16" s="45"/>
      <c r="I16" s="45"/>
      <c r="J16" s="45" t="s">
        <v>140</v>
      </c>
      <c r="K16" s="45"/>
    </row>
    <row r="17" spans="1:11" x14ac:dyDescent="0.25">
      <c r="A17" s="47" t="s">
        <v>28</v>
      </c>
      <c r="B17" s="45" t="s">
        <v>91</v>
      </c>
      <c r="C17" s="45">
        <v>1</v>
      </c>
      <c r="D17" s="45" t="str">
        <f>IFERROR(IF(INDEX('01.25'!D2:D500, MATCH(B17&amp;C17, INDEX('01.25'!B2:B500&amp;'01.25'!C2:C500, 0), 0))="", "", INDEX('01.25'!D2:D500, MATCH(B17&amp;C17, INDEX('01.25'!B2:B500&amp;'01.25'!C2:C500, 0), 0))), "")</f>
        <v>Cristina Harumi Enokida</v>
      </c>
      <c r="E17" s="45"/>
      <c r="F17" s="45"/>
      <c r="G17" s="46" t="s">
        <v>140</v>
      </c>
      <c r="H17" s="45"/>
      <c r="I17" s="45"/>
      <c r="J17" s="45" t="s">
        <v>140</v>
      </c>
      <c r="K17" s="45"/>
    </row>
    <row r="18" spans="1:11" x14ac:dyDescent="0.25">
      <c r="A18" s="49" t="s">
        <v>43</v>
      </c>
      <c r="B18" s="45" t="s">
        <v>127</v>
      </c>
      <c r="C18" s="45">
        <v>1</v>
      </c>
      <c r="D18" s="45" t="str">
        <f>IFERROR(IF(INDEX('01.25'!D2:D500, MATCH(B18&amp;C18, INDEX('01.25'!B2:B500&amp;'01.25'!C2:C500, 0), 0))="", "", INDEX('01.25'!D2:D500, MATCH(B18&amp;C18, INDEX('01.25'!B2:B500&amp;'01.25'!C2:C500, 0), 0))), "")</f>
        <v>Douglas de Mattia</v>
      </c>
      <c r="E18" s="45"/>
      <c r="F18" s="45"/>
      <c r="G18" s="46" t="s">
        <v>140</v>
      </c>
      <c r="H18" s="45"/>
      <c r="I18" s="45"/>
      <c r="J18" s="45" t="s">
        <v>140</v>
      </c>
      <c r="K18" s="45"/>
    </row>
    <row r="19" spans="1:11" x14ac:dyDescent="0.25">
      <c r="A19" s="47" t="s">
        <v>28</v>
      </c>
      <c r="B19" s="45" t="s">
        <v>92</v>
      </c>
      <c r="C19" s="45">
        <v>1</v>
      </c>
      <c r="D19" s="45" t="str">
        <f>IFERROR(IF(INDEX('01.25'!D2:D500, MATCH(B19&amp;C19, INDEX('01.25'!B2:B500&amp;'01.25'!C2:C500, 0), 0))="", "", INDEX('01.25'!D2:D500, MATCH(B19&amp;C19, INDEX('01.25'!B2:B500&amp;'01.25'!C2:C500, 0), 0))), "")</f>
        <v>Vanderson Pasetti</v>
      </c>
      <c r="E19" s="45"/>
      <c r="F19" s="45"/>
      <c r="G19" s="46" t="s">
        <v>140</v>
      </c>
      <c r="H19" s="45"/>
      <c r="I19" s="45"/>
      <c r="J19" s="45" t="s">
        <v>140</v>
      </c>
      <c r="K19" s="45"/>
    </row>
    <row r="20" spans="1:11" x14ac:dyDescent="0.25">
      <c r="A20" s="50" t="s">
        <v>42</v>
      </c>
      <c r="B20" s="45" t="s">
        <v>115</v>
      </c>
      <c r="C20" s="45">
        <v>1</v>
      </c>
      <c r="D20" s="45" t="str">
        <f>IFERROR(IF(INDEX('01.25'!D2:D500, MATCH(B20&amp;C20, INDEX('01.25'!B2:B500&amp;'01.25'!C2:C500, 0), 0))="", "", INDEX('01.25'!D2:D500, MATCH(B20&amp;C20, INDEX('01.25'!B2:B500&amp;'01.25'!C2:C500, 0), 0))), "")</f>
        <v>Bruna Schneider Guimarães</v>
      </c>
      <c r="E20" s="45"/>
      <c r="F20" s="45"/>
      <c r="G20" s="46" t="s">
        <v>140</v>
      </c>
      <c r="H20" s="45"/>
      <c r="I20" s="45"/>
      <c r="J20" s="45" t="s">
        <v>140</v>
      </c>
      <c r="K20" s="45"/>
    </row>
    <row r="21" spans="1:11" x14ac:dyDescent="0.25">
      <c r="A21" s="47" t="s">
        <v>28</v>
      </c>
      <c r="B21" s="45" t="s">
        <v>93</v>
      </c>
      <c r="C21" s="45">
        <v>1</v>
      </c>
      <c r="D21" s="45" t="str">
        <f>IFERROR(IF(INDEX('01.25'!D2:D500, MATCH(B21&amp;C21, INDEX('01.25'!B2:B500&amp;'01.25'!C2:C500, 0), 0))="", "", INDEX('01.25'!D2:D500, MATCH(B21&amp;C21, INDEX('01.25'!B2:B500&amp;'01.25'!C2:C500, 0), 0))), "")</f>
        <v>Keilla Avezedo</v>
      </c>
      <c r="E21" s="45"/>
      <c r="F21" s="45"/>
      <c r="G21" s="46" t="s">
        <v>140</v>
      </c>
      <c r="H21" s="45"/>
      <c r="I21" s="45"/>
      <c r="J21" s="45" t="s">
        <v>140</v>
      </c>
      <c r="K21" s="45"/>
    </row>
    <row r="22" spans="1:11" x14ac:dyDescent="0.25">
      <c r="A22" s="50" t="s">
        <v>42</v>
      </c>
      <c r="B22" s="45" t="s">
        <v>116</v>
      </c>
      <c r="C22" s="45">
        <v>1</v>
      </c>
      <c r="D22" s="45" t="str">
        <f>IFERROR(IF(INDEX('01.25'!D2:D500, MATCH(B22&amp;C22, INDEX('01.25'!B2:B500&amp;'01.25'!C2:C500, 0), 0))="", "", INDEX('01.25'!D2:D500, MATCH(B22&amp;C22, INDEX('01.25'!B2:B500&amp;'01.25'!C2:C500, 0), 0))), "")</f>
        <v>Carmen Maria Stein Weiler</v>
      </c>
      <c r="E22" s="45"/>
      <c r="F22" s="45"/>
      <c r="G22" s="46" t="s">
        <v>140</v>
      </c>
      <c r="H22" s="45"/>
      <c r="I22" s="45"/>
      <c r="J22" s="45" t="s">
        <v>140</v>
      </c>
      <c r="K22" s="45"/>
    </row>
    <row r="23" spans="1:11" x14ac:dyDescent="0.25">
      <c r="A23" s="48" t="s">
        <v>38</v>
      </c>
      <c r="B23" s="45" t="s">
        <v>75</v>
      </c>
      <c r="C23" s="45">
        <v>1</v>
      </c>
      <c r="D23" s="45" t="str">
        <f>IFERROR(IF(INDEX('01.25'!D2:D500, MATCH(B23&amp;C23, INDEX('01.25'!B2:B500&amp;'01.25'!C2:C500, 0), 0))="", "", INDEX('01.25'!D2:D500, MATCH(B23&amp;C23, INDEX('01.25'!B2:B500&amp;'01.25'!C2:C500, 0), 0))), "")</f>
        <v>Thiago Varaschim Cenci</v>
      </c>
      <c r="E23" s="45"/>
      <c r="F23" s="45"/>
      <c r="G23" s="46" t="s">
        <v>140</v>
      </c>
      <c r="H23" s="45"/>
      <c r="I23" s="45"/>
      <c r="J23" s="45" t="s">
        <v>140</v>
      </c>
      <c r="K23" s="45"/>
    </row>
    <row r="24" spans="1:11" x14ac:dyDescent="0.25">
      <c r="A24" s="51" t="s">
        <v>40</v>
      </c>
      <c r="B24" s="45" t="s">
        <v>80</v>
      </c>
      <c r="C24" s="45">
        <v>1</v>
      </c>
      <c r="D24" s="45" t="str">
        <f>IFERROR(IF(INDEX('01.25'!D2:D500, MATCH(B24&amp;C24, INDEX('01.25'!B2:B500&amp;'01.25'!C2:C500, 0), 0))="", "", INDEX('01.25'!D2:D500, MATCH(B24&amp;C24, INDEX('01.25'!B2:B500&amp;'01.25'!C2:C500, 0), 0))), "")</f>
        <v>Éber Alexandre Nascimento Araújo</v>
      </c>
      <c r="E24" s="45"/>
      <c r="F24" s="45"/>
      <c r="G24" s="46" t="s">
        <v>140</v>
      </c>
      <c r="H24" s="45"/>
      <c r="I24" s="45"/>
      <c r="J24" s="45" t="s">
        <v>140</v>
      </c>
      <c r="K24" s="45"/>
    </row>
    <row r="25" spans="1:11" x14ac:dyDescent="0.25">
      <c r="A25" s="51" t="s">
        <v>40</v>
      </c>
      <c r="B25" s="45" t="s">
        <v>80</v>
      </c>
      <c r="C25" s="45">
        <v>2</v>
      </c>
      <c r="D25" s="45" t="str">
        <f>IFERROR(IF(INDEX('01.25'!D2:D500, MATCH(B25&amp;C25, INDEX('01.25'!B2:B500&amp;'01.25'!C2:C500, 0), 0))="", "", INDEX('01.25'!D2:D500, MATCH(B25&amp;C25, INDEX('01.25'!B2:B500&amp;'01.25'!C2:C500, 0), 0))), "")</f>
        <v>Andrea Carla Winkelmann</v>
      </c>
      <c r="E25" s="45"/>
      <c r="F25" s="45"/>
      <c r="G25" s="46" t="s">
        <v>140</v>
      </c>
      <c r="H25" s="45"/>
      <c r="I25" s="45"/>
      <c r="J25" s="45" t="s">
        <v>140</v>
      </c>
      <c r="K25" s="45"/>
    </row>
    <row r="26" spans="1:11" x14ac:dyDescent="0.25">
      <c r="A26" s="51" t="s">
        <v>40</v>
      </c>
      <c r="B26" s="45" t="s">
        <v>80</v>
      </c>
      <c r="C26" s="45">
        <v>3</v>
      </c>
      <c r="D26" s="45" t="str">
        <f>IFERROR(IF(INDEX('01.25'!D2:D500, MATCH(B26&amp;C26, INDEX('01.25'!B2:B500&amp;'01.25'!C2:C500, 0), 0))="", "", INDEX('01.25'!D2:D500, MATCH(B26&amp;C26, INDEX('01.25'!B2:B500&amp;'01.25'!C2:C500, 0), 0))), "")</f>
        <v>Lorizete de Andrade</v>
      </c>
      <c r="E26" s="45"/>
      <c r="F26" s="45"/>
      <c r="G26" s="46" t="s">
        <v>140</v>
      </c>
      <c r="H26" s="45"/>
      <c r="I26" s="45"/>
      <c r="J26" s="45" t="s">
        <v>140</v>
      </c>
      <c r="K26" s="45"/>
    </row>
    <row r="27" spans="1:11" x14ac:dyDescent="0.25">
      <c r="A27" s="51" t="s">
        <v>40</v>
      </c>
      <c r="B27" s="45" t="s">
        <v>80</v>
      </c>
      <c r="C27" s="45">
        <v>4</v>
      </c>
      <c r="D27" s="45" t="str">
        <f>IFERROR(IF(INDEX('01.25'!D2:D500, MATCH(B27&amp;C27, INDEX('01.25'!B2:B500&amp;'01.25'!C2:C500, 0), 0))="", "", INDEX('01.25'!D2:D500, MATCH(B27&amp;C27, INDEX('01.25'!B2:B500&amp;'01.25'!C2:C500, 0), 0))), "")</f>
        <v>Andressa Maia</v>
      </c>
      <c r="E27" s="45"/>
      <c r="F27" s="45"/>
      <c r="G27" s="46" t="s">
        <v>140</v>
      </c>
      <c r="H27" s="45"/>
      <c r="I27" s="45"/>
      <c r="J27" s="45" t="s">
        <v>140</v>
      </c>
      <c r="K27" s="45"/>
    </row>
    <row r="28" spans="1:11" x14ac:dyDescent="0.25">
      <c r="A28" s="51" t="s">
        <v>40</v>
      </c>
      <c r="B28" s="45" t="s">
        <v>80</v>
      </c>
      <c r="C28" s="45">
        <v>5</v>
      </c>
      <c r="D28" s="45" t="str">
        <f>IFERROR(IF(INDEX('01.25'!D2:D500, MATCH(B28&amp;C28, INDEX('01.25'!B2:B500&amp;'01.25'!C2:C500, 0), 0))="", "", INDEX('01.25'!D2:D500, MATCH(B28&amp;C28, INDEX('01.25'!B2:B500&amp;'01.25'!C2:C500, 0), 0))), "")</f>
        <v>Lucas Correia de Souza</v>
      </c>
      <c r="E28" s="45"/>
      <c r="F28" s="45"/>
      <c r="G28" s="46" t="s">
        <v>140</v>
      </c>
      <c r="H28" s="45"/>
      <c r="I28" s="45"/>
      <c r="J28" s="45" t="s">
        <v>140</v>
      </c>
      <c r="K28" s="45"/>
    </row>
    <row r="29" spans="1:11" x14ac:dyDescent="0.25">
      <c r="A29" s="51" t="s">
        <v>40</v>
      </c>
      <c r="B29" s="45" t="s">
        <v>80</v>
      </c>
      <c r="C29" s="45">
        <v>6</v>
      </c>
      <c r="D29" s="45" t="str">
        <f>IFERROR(IF(INDEX('01.25'!D2:D500, MATCH(B29&amp;C29, INDEX('01.25'!B2:B500&amp;'01.25'!C2:C500, 0), 0))="", "", INDEX('01.25'!D2:D500, MATCH(B29&amp;C29, INDEX('01.25'!B2:B500&amp;'01.25'!C2:C500, 0), 0))), "")</f>
        <v>Jose Francisco Mariano de Faria Filho</v>
      </c>
      <c r="E29" s="45"/>
      <c r="F29" s="45"/>
      <c r="G29" s="46" t="s">
        <v>140</v>
      </c>
      <c r="H29" s="45"/>
      <c r="I29" s="45"/>
      <c r="J29" s="45" t="s">
        <v>140</v>
      </c>
      <c r="K29" s="45"/>
    </row>
    <row r="30" spans="1:11" x14ac:dyDescent="0.25">
      <c r="A30" s="51" t="s">
        <v>40</v>
      </c>
      <c r="B30" s="45" t="s">
        <v>80</v>
      </c>
      <c r="C30" s="45">
        <v>7</v>
      </c>
      <c r="D30" s="45" t="str">
        <f>IFERROR(IF(INDEX('01.25'!D2:D500, MATCH(B30&amp;C30, INDEX('01.25'!B2:B500&amp;'01.25'!C2:C500, 0), 0))="", "", INDEX('01.25'!D2:D500, MATCH(B30&amp;C30, INDEX('01.25'!B2:B500&amp;'01.25'!C2:C500, 0), 0))), "")</f>
        <v>Pedro Henrique Mariano de Faria</v>
      </c>
      <c r="E30" s="45"/>
      <c r="F30" s="45"/>
      <c r="G30" s="46" t="s">
        <v>140</v>
      </c>
      <c r="H30" s="45"/>
      <c r="I30" s="45"/>
      <c r="J30" s="45" t="s">
        <v>140</v>
      </c>
      <c r="K30" s="45"/>
    </row>
    <row r="31" spans="1:11" x14ac:dyDescent="0.25">
      <c r="A31" s="51" t="s">
        <v>40</v>
      </c>
      <c r="B31" s="45" t="s">
        <v>80</v>
      </c>
      <c r="C31" s="45">
        <v>8</v>
      </c>
      <c r="D31" s="45" t="str">
        <f>IFERROR(IF(INDEX('01.25'!D2:D500, MATCH(B31&amp;C31, INDEX('01.25'!B2:B500&amp;'01.25'!C2:C500, 0), 0))="", "", INDEX('01.25'!D2:D500, MATCH(B31&amp;C31, INDEX('01.25'!B2:B500&amp;'01.25'!C2:C500, 0), 0))), "")</f>
        <v>Renata Aparecida de Souza</v>
      </c>
      <c r="E31" s="45"/>
      <c r="F31" s="45"/>
      <c r="G31" s="46" t="s">
        <v>140</v>
      </c>
      <c r="H31" s="45"/>
      <c r="I31" s="45"/>
      <c r="J31" s="45" t="s">
        <v>140</v>
      </c>
      <c r="K31" s="45"/>
    </row>
    <row r="32" spans="1:11" x14ac:dyDescent="0.25">
      <c r="A32" s="51" t="s">
        <v>40</v>
      </c>
      <c r="B32" s="45" t="s">
        <v>80</v>
      </c>
      <c r="C32" s="45">
        <v>9</v>
      </c>
      <c r="D32" s="45" t="str">
        <f>IFERROR(IF(INDEX('01.25'!D2:D500, MATCH(B32&amp;C32, INDEX('01.25'!B2:B500&amp;'01.25'!C2:C500, 0), 0))="", "", INDEX('01.25'!D2:D500, MATCH(B32&amp;C32, INDEX('01.25'!B2:B500&amp;'01.25'!C2:C500, 0), 0))), "")</f>
        <v>Maria Eduarda dos Santos Arias</v>
      </c>
      <c r="E32" s="45"/>
      <c r="F32" s="45"/>
      <c r="G32" s="46" t="s">
        <v>140</v>
      </c>
      <c r="H32" s="45"/>
      <c r="I32" s="45"/>
      <c r="J32" s="45" t="s">
        <v>140</v>
      </c>
      <c r="K32" s="45"/>
    </row>
    <row r="33" spans="1:11" x14ac:dyDescent="0.25">
      <c r="A33" s="44" t="s">
        <v>36</v>
      </c>
      <c r="B33" s="45" t="s">
        <v>98</v>
      </c>
      <c r="C33" s="45">
        <v>1</v>
      </c>
      <c r="D33" s="45" t="str">
        <f>IFERROR(IF(INDEX('01.25'!D2:D500, MATCH(B33&amp;C33, INDEX('01.25'!B2:B500&amp;'01.25'!C2:C500, 0), 0))="", "", INDEX('01.25'!D2:D500, MATCH(B33&amp;C33, INDEX('01.25'!B2:B500&amp;'01.25'!C2:C500, 0), 0))), "")</f>
        <v>Paulo Rogerio Hiroshi Fujii</v>
      </c>
      <c r="E33" s="45"/>
      <c r="F33" s="45"/>
      <c r="G33" s="46" t="s">
        <v>140</v>
      </c>
      <c r="H33" s="45"/>
      <c r="I33" s="45"/>
      <c r="J33" s="45" t="s">
        <v>140</v>
      </c>
      <c r="K33" s="45"/>
    </row>
    <row r="34" spans="1:11" x14ac:dyDescent="0.25">
      <c r="A34" s="44" t="s">
        <v>36</v>
      </c>
      <c r="B34" s="45" t="s">
        <v>99</v>
      </c>
      <c r="C34" s="45">
        <v>1</v>
      </c>
      <c r="D34" s="45" t="str">
        <f>IFERROR(IF(INDEX('01.25'!D2:D500, MATCH(B34&amp;C34, INDEX('01.25'!B2:B500&amp;'01.25'!C2:C500, 0), 0))="", "", INDEX('01.25'!D2:D500, MATCH(B34&amp;C34, INDEX('01.25'!B2:B500&amp;'01.25'!C2:C500, 0), 0))), "")</f>
        <v>Marlene R. Oliveira Dallacosta</v>
      </c>
      <c r="E34" s="45"/>
      <c r="F34" s="45"/>
      <c r="G34" s="46" t="s">
        <v>140</v>
      </c>
      <c r="H34" s="45"/>
      <c r="I34" s="45"/>
      <c r="J34" s="45" t="s">
        <v>140</v>
      </c>
      <c r="K34" s="45"/>
    </row>
    <row r="35" spans="1:11" x14ac:dyDescent="0.25">
      <c r="A35" s="47" t="s">
        <v>28</v>
      </c>
      <c r="B35" s="45" t="s">
        <v>94</v>
      </c>
      <c r="C35" s="45">
        <v>1</v>
      </c>
      <c r="D35" s="45" t="str">
        <f>IFERROR(IF(INDEX('01.25'!D2:D500, MATCH(B35&amp;C35, INDEX('01.25'!B2:B500&amp;'01.25'!C2:C500, 0), 0))="", "", INDEX('01.25'!D2:D500, MATCH(B35&amp;C35, INDEX('01.25'!B2:B500&amp;'01.25'!C2:C500, 0), 0))), "")</f>
        <v>Vitolor dos Santos Almeida</v>
      </c>
      <c r="E35" s="45"/>
      <c r="F35" s="45"/>
      <c r="G35" s="46" t="s">
        <v>140</v>
      </c>
      <c r="H35" s="45"/>
      <c r="I35" s="45"/>
      <c r="J35" s="45" t="s">
        <v>140</v>
      </c>
      <c r="K35" s="45"/>
    </row>
    <row r="36" spans="1:11" x14ac:dyDescent="0.25">
      <c r="A36" s="47" t="s">
        <v>28</v>
      </c>
      <c r="B36" s="45" t="s">
        <v>95</v>
      </c>
      <c r="C36" s="45">
        <v>1</v>
      </c>
      <c r="D36" s="45" t="str">
        <f>IFERROR(IF(INDEX('01.25'!D2:D500, MATCH(B36&amp;C36, INDEX('01.25'!B2:B500&amp;'01.25'!C2:C500, 0), 0))="", "", INDEX('01.25'!D2:D500, MATCH(B36&amp;C36, INDEX('01.25'!B2:B500&amp;'01.25'!C2:C500, 0), 0))), "")</f>
        <v>Kelly Jackeline Silva do Valle</v>
      </c>
      <c r="E36" s="45"/>
      <c r="F36" s="45"/>
      <c r="G36" s="46" t="s">
        <v>140</v>
      </c>
      <c r="H36" s="45"/>
      <c r="I36" s="45"/>
      <c r="J36" s="45" t="s">
        <v>140</v>
      </c>
      <c r="K36" s="45"/>
    </row>
    <row r="37" spans="1:11" x14ac:dyDescent="0.25">
      <c r="A37" s="47" t="s">
        <v>28</v>
      </c>
      <c r="B37" s="45" t="s">
        <v>96</v>
      </c>
      <c r="C37" s="45">
        <v>1</v>
      </c>
      <c r="D37" s="45" t="str">
        <f>IFERROR(IF(INDEX('01.25'!D2:D500, MATCH(B37&amp;C37, INDEX('01.25'!B2:B500&amp;'01.25'!C2:C500, 0), 0))="", "", INDEX('01.25'!D2:D500, MATCH(B37&amp;C37, INDEX('01.25'!B2:B500&amp;'01.25'!C2:C500, 0), 0))), "")</f>
        <v>Felipe Carvalho Zydek</v>
      </c>
      <c r="E37" s="45"/>
      <c r="F37" s="45"/>
      <c r="G37" s="46" t="s">
        <v>140</v>
      </c>
      <c r="H37" s="45"/>
      <c r="I37" s="45"/>
      <c r="J37" s="45" t="s">
        <v>140</v>
      </c>
      <c r="K37" s="45"/>
    </row>
    <row r="38" spans="1:11" x14ac:dyDescent="0.25">
      <c r="A38" s="48" t="s">
        <v>38</v>
      </c>
      <c r="B38" s="45" t="s">
        <v>107</v>
      </c>
      <c r="C38" s="45">
        <v>1</v>
      </c>
      <c r="D38" s="45" t="str">
        <f>IFERROR(IF(INDEX('01.25'!D2:D500, MATCH(B38&amp;C38, INDEX('01.25'!B2:B500&amp;'01.25'!C2:C500, 0), 0))="", "", INDEX('01.25'!D2:D500, MATCH(B38&amp;C38, INDEX('01.25'!B2:B500&amp;'01.25'!C2:C500, 0), 0))), "")</f>
        <v>Eliane Borin</v>
      </c>
      <c r="E38" s="45"/>
      <c r="F38" s="45"/>
      <c r="G38" s="46" t="s">
        <v>140</v>
      </c>
      <c r="H38" s="45"/>
      <c r="I38" s="45"/>
      <c r="J38" s="45" t="s">
        <v>140</v>
      </c>
      <c r="K38" s="45"/>
    </row>
    <row r="39" spans="1:11" x14ac:dyDescent="0.25">
      <c r="A39" s="50" t="s">
        <v>42</v>
      </c>
      <c r="B39" s="45" t="s">
        <v>117</v>
      </c>
      <c r="C39" s="45">
        <v>1</v>
      </c>
      <c r="D39" s="45" t="str">
        <f>IFERROR(IF(INDEX('01.25'!D2:D500, MATCH(B39&amp;C39, INDEX('01.25'!B2:B500&amp;'01.25'!C2:C500, 0), 0))="", "", INDEX('01.25'!D2:D500, MATCH(B39&amp;C39, INDEX('01.25'!B2:B500&amp;'01.25'!C2:C500, 0), 0))), "")</f>
        <v>Tatiana schrard</v>
      </c>
      <c r="E39" s="45"/>
      <c r="F39" s="45"/>
      <c r="G39" s="46" t="s">
        <v>140</v>
      </c>
      <c r="H39" s="45"/>
      <c r="I39" s="45"/>
      <c r="J39" s="45" t="s">
        <v>140</v>
      </c>
      <c r="K39" s="45"/>
    </row>
    <row r="40" spans="1:11" x14ac:dyDescent="0.25">
      <c r="A40" s="48" t="s">
        <v>38</v>
      </c>
      <c r="B40" s="45" t="s">
        <v>81</v>
      </c>
      <c r="C40" s="45">
        <v>1</v>
      </c>
      <c r="D40" s="45" t="str">
        <f>IFERROR(IF(INDEX('01.25'!D2:D500, MATCH(B40&amp;C40, INDEX('01.25'!B2:B500&amp;'01.25'!C2:C500, 0), 0))="", "", INDEX('01.25'!D2:D500, MATCH(B40&amp;C40, INDEX('01.25'!B2:B500&amp;'01.25'!C2:C500, 0), 0))), "")</f>
        <v>César Piva Glinglani</v>
      </c>
      <c r="E40" s="45"/>
      <c r="F40" s="45"/>
      <c r="G40" s="46" t="s">
        <v>140</v>
      </c>
      <c r="H40" s="45"/>
      <c r="I40" s="45"/>
      <c r="J40" s="45" t="s">
        <v>140</v>
      </c>
      <c r="K40" s="45"/>
    </row>
    <row r="41" spans="1:11" x14ac:dyDescent="0.25">
      <c r="A41" s="49" t="s">
        <v>43</v>
      </c>
      <c r="B41" s="45" t="s">
        <v>128</v>
      </c>
      <c r="C41" s="45">
        <v>1</v>
      </c>
      <c r="D41" s="45" t="str">
        <f>IFERROR(IF(INDEX('01.25'!D2:D500, MATCH(B41&amp;C41, INDEX('01.25'!B2:B500&amp;'01.25'!C2:C500, 0), 0))="", "", INDEX('01.25'!D2:D500, MATCH(B41&amp;C41, INDEX('01.25'!B2:B500&amp;'01.25'!C2:C500, 0), 0))), "")</f>
        <v>Ailton Carlos Fialho</v>
      </c>
      <c r="E41" s="45"/>
      <c r="F41" s="45"/>
      <c r="G41" s="46" t="s">
        <v>140</v>
      </c>
      <c r="H41" s="45"/>
      <c r="I41" s="45"/>
      <c r="J41" s="45" t="s">
        <v>140</v>
      </c>
      <c r="K41" s="45"/>
    </row>
    <row r="42" spans="1:11" x14ac:dyDescent="0.25">
      <c r="A42" s="50" t="s">
        <v>42</v>
      </c>
      <c r="B42" s="45" t="s">
        <v>82</v>
      </c>
      <c r="C42" s="45">
        <v>1</v>
      </c>
      <c r="D42" s="45" t="str">
        <f>IFERROR(IF(INDEX('01.25'!D2:D500, MATCH(B42&amp;C42, INDEX('01.25'!B2:B500&amp;'01.25'!C2:C500, 0), 0))="", "", INDEX('01.25'!D2:D500, MATCH(B42&amp;C42, INDEX('01.25'!B2:B500&amp;'01.25'!C2:C500, 0), 0))), "")</f>
        <v>Marcos José Chaves</v>
      </c>
      <c r="E42" s="45"/>
      <c r="F42" s="45"/>
      <c r="G42" s="46" t="s">
        <v>140</v>
      </c>
      <c r="H42" s="45"/>
      <c r="I42" s="45"/>
      <c r="J42" s="45" t="s">
        <v>140</v>
      </c>
      <c r="K42" s="45"/>
    </row>
    <row r="43" spans="1:11" x14ac:dyDescent="0.25">
      <c r="A43" s="50" t="s">
        <v>42</v>
      </c>
      <c r="B43" s="45" t="s">
        <v>82</v>
      </c>
      <c r="C43" s="45">
        <v>2</v>
      </c>
      <c r="D43" s="45" t="str">
        <f>IFERROR(IF(INDEX('01.25'!D2:D500, MATCH(B43&amp;C43, INDEX('01.25'!B2:B500&amp;'01.25'!C2:C500, 0), 0))="", "", INDEX('01.25'!D2:D500, MATCH(B43&amp;C43, INDEX('01.25'!B2:B500&amp;'01.25'!C2:C500, 0), 0))), "")</f>
        <v>Diego Matheus Reinicke</v>
      </c>
      <c r="E43" s="45"/>
      <c r="F43" s="45"/>
      <c r="G43" s="46" t="s">
        <v>140</v>
      </c>
      <c r="H43" s="45"/>
      <c r="I43" s="45"/>
      <c r="J43" s="45" t="s">
        <v>140</v>
      </c>
      <c r="K43" s="45"/>
    </row>
    <row r="44" spans="1:11" x14ac:dyDescent="0.25">
      <c r="A44" s="48" t="s">
        <v>38</v>
      </c>
      <c r="B44" s="45" t="s">
        <v>76</v>
      </c>
      <c r="C44" s="45">
        <v>1</v>
      </c>
      <c r="D44" s="45" t="str">
        <f>IFERROR(IF(INDEX('01.25'!D2:D500, MATCH(B44&amp;C44, INDEX('01.25'!B2:B500&amp;'01.25'!C2:C500, 0), 0))="", "", INDEX('01.25'!D2:D500, MATCH(B44&amp;C44, INDEX('01.25'!B2:B500&amp;'01.25'!C2:C500, 0), 0))), "")</f>
        <v>Cleiton Manske</v>
      </c>
      <c r="E44" s="107" t="s">
        <v>16</v>
      </c>
      <c r="F44" s="45" t="s">
        <v>661</v>
      </c>
      <c r="G44" s="46" t="s">
        <v>140</v>
      </c>
      <c r="H44" s="45"/>
      <c r="I44" s="45"/>
      <c r="J44" s="45" t="s">
        <v>140</v>
      </c>
      <c r="K44" s="45"/>
    </row>
    <row r="45" spans="1:11" x14ac:dyDescent="0.25">
      <c r="A45" s="50" t="s">
        <v>42</v>
      </c>
      <c r="B45" s="45" t="s">
        <v>118</v>
      </c>
      <c r="C45" s="45">
        <v>1</v>
      </c>
      <c r="D45" s="45" t="str">
        <f>IFERROR(IF(INDEX('01.25'!D2:D500, MATCH(B45&amp;C45, INDEX('01.25'!B2:B500&amp;'01.25'!C2:C500, 0), 0))="", "", INDEX('01.25'!D2:D500, MATCH(B45&amp;C45, INDEX('01.25'!B2:B500&amp;'01.25'!C2:C500, 0), 0))), "")</f>
        <v>Alexandro Aparecido de Lima Vieira</v>
      </c>
      <c r="E45" s="45"/>
      <c r="F45" s="45"/>
      <c r="G45" s="46" t="s">
        <v>140</v>
      </c>
      <c r="H45" s="45"/>
      <c r="I45" s="45"/>
      <c r="J45" s="45" t="s">
        <v>140</v>
      </c>
      <c r="K45" s="45"/>
    </row>
    <row r="46" spans="1:11" x14ac:dyDescent="0.25">
      <c r="A46" s="51" t="s">
        <v>40</v>
      </c>
      <c r="B46" s="45" t="s">
        <v>111</v>
      </c>
      <c r="C46" s="45">
        <v>1</v>
      </c>
      <c r="D46" s="45" t="str">
        <f>IFERROR(IF(INDEX('01.25'!D2:D500, MATCH(B46&amp;C46, INDEX('01.25'!B2:B500&amp;'01.25'!C2:C500, 0), 0))="", "", INDEX('01.25'!D2:D500, MATCH(B46&amp;C46, INDEX('01.25'!B2:B500&amp;'01.25'!C2:C500, 0), 0))), "")</f>
        <v>Rafael Henrique Caetano</v>
      </c>
      <c r="E46" s="45"/>
      <c r="F46" s="45"/>
      <c r="G46" s="46" t="s">
        <v>140</v>
      </c>
      <c r="H46" s="45"/>
      <c r="I46" s="45"/>
      <c r="J46" s="45" t="s">
        <v>140</v>
      </c>
      <c r="K46" s="45"/>
    </row>
    <row r="47" spans="1:11" x14ac:dyDescent="0.25">
      <c r="A47" s="44" t="s">
        <v>36</v>
      </c>
      <c r="B47" s="45" t="s">
        <v>100</v>
      </c>
      <c r="C47" s="45">
        <v>1</v>
      </c>
      <c r="D47" s="45" t="str">
        <f>IFERROR(IF(INDEX('01.25'!D2:D500, MATCH(B47&amp;C47, INDEX('01.25'!B2:B500&amp;'01.25'!C2:C500, 0), 0))="", "", INDEX('01.25'!D2:D500, MATCH(B47&amp;C47, INDEX('01.25'!B2:B500&amp;'01.25'!C2:C500, 0), 0))), "")</f>
        <v>Roberto Pedron</v>
      </c>
      <c r="E47" s="45"/>
      <c r="F47" s="45"/>
      <c r="G47" s="46" t="s">
        <v>140</v>
      </c>
      <c r="H47" s="45"/>
      <c r="I47" s="45"/>
      <c r="J47" s="45" t="s">
        <v>140</v>
      </c>
      <c r="K47" s="45"/>
    </row>
    <row r="48" spans="1:11" x14ac:dyDescent="0.25">
      <c r="A48" s="50" t="s">
        <v>42</v>
      </c>
      <c r="B48" s="45" t="s">
        <v>119</v>
      </c>
      <c r="C48" s="45">
        <v>1</v>
      </c>
      <c r="D48" s="45" t="str">
        <f>IFERROR(IF(INDEX('01.25'!D2:D500, MATCH(B48&amp;C48, INDEX('01.25'!B2:B500&amp;'01.25'!C2:C500, 0), 0))="", "", INDEX('01.25'!D2:D500, MATCH(B48&amp;C48, INDEX('01.25'!B2:B500&amp;'01.25'!C2:C500, 0), 0))), "")</f>
        <v>Luciane Spies</v>
      </c>
      <c r="E48" s="45"/>
      <c r="F48" s="45"/>
      <c r="G48" s="46" t="s">
        <v>140</v>
      </c>
      <c r="H48" s="45"/>
      <c r="I48" s="45"/>
      <c r="J48" s="45" t="s">
        <v>140</v>
      </c>
      <c r="K48" s="45"/>
    </row>
    <row r="49" spans="1:11" x14ac:dyDescent="0.25">
      <c r="A49" s="44" t="s">
        <v>36</v>
      </c>
      <c r="B49" s="45" t="s">
        <v>77</v>
      </c>
      <c r="C49" s="45">
        <v>1</v>
      </c>
      <c r="D49" s="45" t="str">
        <f>IFERROR(IF(INDEX('01.25'!D2:D500, MATCH(B49&amp;C49, INDEX('01.25'!B2:B500&amp;'01.25'!C2:C500, 0), 0))="", "", INDEX('01.25'!D2:D500, MATCH(B49&amp;C49, INDEX('01.25'!B2:B500&amp;'01.25'!C2:C500, 0), 0))), "")</f>
        <v>Jaqueline Fernanda Meireles</v>
      </c>
      <c r="E49" s="45"/>
      <c r="F49" s="45"/>
      <c r="G49" s="46" t="s">
        <v>140</v>
      </c>
      <c r="H49" s="45"/>
      <c r="I49" s="45"/>
      <c r="J49" s="45" t="s">
        <v>140</v>
      </c>
      <c r="K49" s="45"/>
    </row>
    <row r="50" spans="1:11" x14ac:dyDescent="0.25">
      <c r="A50" s="48" t="s">
        <v>38</v>
      </c>
      <c r="B50" s="45" t="s">
        <v>108</v>
      </c>
      <c r="C50" s="45">
        <v>1</v>
      </c>
      <c r="D50" s="45" t="str">
        <f>IFERROR(IF(INDEX('01.25'!D2:D500, MATCH(B50&amp;C50, INDEX('01.25'!B2:B500&amp;'01.25'!C2:C500, 0), 0))="", "", INDEX('01.25'!D2:D500, MATCH(B50&amp;C50, INDEX('01.25'!B2:B500&amp;'01.25'!C2:C500, 0), 0))), "")</f>
        <v>Luiz Fernando Pereira Barbosa</v>
      </c>
      <c r="E50" s="45"/>
      <c r="F50" s="45"/>
      <c r="G50" s="46" t="s">
        <v>140</v>
      </c>
      <c r="H50" s="45"/>
      <c r="I50" s="45"/>
      <c r="J50" s="45" t="s">
        <v>140</v>
      </c>
      <c r="K50" s="45"/>
    </row>
    <row r="51" spans="1:11" x14ac:dyDescent="0.25">
      <c r="A51" s="44" t="s">
        <v>36</v>
      </c>
      <c r="B51" s="45" t="s">
        <v>101</v>
      </c>
      <c r="C51" s="45">
        <v>1</v>
      </c>
      <c r="D51" s="45" t="str">
        <f>IFERROR(IF(INDEX('01.25'!D2:D500, MATCH(B51&amp;C51, INDEX('01.25'!B2:B500&amp;'01.25'!C2:C500, 0), 0))="", "", INDEX('01.25'!D2:D500, MATCH(B51&amp;C51, INDEX('01.25'!B2:B500&amp;'01.25'!C2:C500, 0), 0))), "")</f>
        <v>Carolina Eggers</v>
      </c>
      <c r="E51" s="45"/>
      <c r="F51" s="45"/>
      <c r="G51" s="46" t="s">
        <v>140</v>
      </c>
      <c r="H51" s="45"/>
      <c r="I51" s="45"/>
      <c r="J51" s="45" t="s">
        <v>140</v>
      </c>
      <c r="K51" s="45"/>
    </row>
    <row r="52" spans="1:11" x14ac:dyDescent="0.25">
      <c r="A52" s="44" t="s">
        <v>36</v>
      </c>
      <c r="B52" s="45" t="s">
        <v>102</v>
      </c>
      <c r="C52" s="45">
        <v>1</v>
      </c>
      <c r="D52" s="45" t="str">
        <f>IFERROR(IF(INDEX('01.25'!D2:D500, MATCH(B52&amp;C52, INDEX('01.25'!B2:B500&amp;'01.25'!C2:C500, 0), 0))="", "", INDEX('01.25'!D2:D500, MATCH(B52&amp;C52, INDEX('01.25'!B2:B500&amp;'01.25'!C2:C500, 0), 0))), "")</f>
        <v>Ivan Gonçalves da Silva</v>
      </c>
      <c r="E52" s="45"/>
      <c r="F52" s="45"/>
      <c r="G52" s="46" t="s">
        <v>140</v>
      </c>
      <c r="H52" s="45"/>
      <c r="I52" s="45"/>
      <c r="J52" s="45" t="s">
        <v>140</v>
      </c>
      <c r="K52" s="45"/>
    </row>
    <row r="53" spans="1:11" x14ac:dyDescent="0.25">
      <c r="A53" s="48" t="s">
        <v>38</v>
      </c>
      <c r="B53" s="45" t="s">
        <v>83</v>
      </c>
      <c r="C53" s="45">
        <v>1</v>
      </c>
      <c r="D53" s="45" t="str">
        <f>IFERROR(IF(INDEX('01.25'!D2:D500, MATCH(B53&amp;C53, INDEX('01.25'!B2:B500&amp;'01.25'!C2:C500, 0), 0))="", "", INDEX('01.25'!D2:D500, MATCH(B53&amp;C53, INDEX('01.25'!B2:B500&amp;'01.25'!C2:C500, 0), 0))), "")</f>
        <v>Dorival Manoel Canhete</v>
      </c>
      <c r="E53" s="45"/>
      <c r="F53" s="45"/>
      <c r="G53" s="46" t="s">
        <v>140</v>
      </c>
      <c r="H53" s="45"/>
      <c r="I53" s="45"/>
      <c r="J53" s="45" t="s">
        <v>140</v>
      </c>
      <c r="K53" s="45"/>
    </row>
    <row r="54" spans="1:11" x14ac:dyDescent="0.25">
      <c r="A54" s="50" t="s">
        <v>42</v>
      </c>
      <c r="B54" s="45" t="s">
        <v>120</v>
      </c>
      <c r="C54" s="45">
        <v>1</v>
      </c>
      <c r="D54" s="45" t="str">
        <f>IFERROR(IF(INDEX('01.25'!D2:D500, MATCH(B54&amp;C54, INDEX('01.25'!B2:B500&amp;'01.25'!C2:C500, 0), 0))="", "", INDEX('01.25'!D2:D500, MATCH(B54&amp;C54, INDEX('01.25'!B2:B500&amp;'01.25'!C2:C500, 0), 0))), "")</f>
        <v>Jaqueline Vanelli</v>
      </c>
      <c r="E54" s="45"/>
      <c r="F54" s="45"/>
      <c r="G54" s="46" t="s">
        <v>140</v>
      </c>
      <c r="H54" s="45"/>
      <c r="I54" s="45"/>
      <c r="J54" s="45" t="s">
        <v>140</v>
      </c>
      <c r="K54" s="45"/>
    </row>
    <row r="55" spans="1:11" x14ac:dyDescent="0.25">
      <c r="A55" s="44" t="s">
        <v>36</v>
      </c>
      <c r="B55" s="45" t="s">
        <v>103</v>
      </c>
      <c r="C55" s="45">
        <v>1</v>
      </c>
      <c r="D55" s="45" t="str">
        <f>IFERROR(IF(INDEX('01.25'!D2:D500, MATCH(B55&amp;C55, INDEX('01.25'!B2:B500&amp;'01.25'!C2:C500, 0), 0))="", "", INDEX('01.25'!D2:D500, MATCH(B55&amp;C55, INDEX('01.25'!B2:B500&amp;'01.25'!C2:C500, 0), 0))), "")</f>
        <v>Fernanda Jung</v>
      </c>
      <c r="E55" s="45"/>
      <c r="F55" s="45"/>
      <c r="G55" s="46" t="s">
        <v>140</v>
      </c>
      <c r="H55" s="45"/>
      <c r="I55" s="45"/>
      <c r="J55" s="45" t="s">
        <v>140</v>
      </c>
      <c r="K55" s="45"/>
    </row>
    <row r="56" spans="1:11" x14ac:dyDescent="0.25">
      <c r="A56" s="50" t="s">
        <v>42</v>
      </c>
      <c r="B56" s="45" t="s">
        <v>121</v>
      </c>
      <c r="C56" s="45">
        <v>1</v>
      </c>
      <c r="D56" s="45" t="str">
        <f>IFERROR(IF(INDEX('01.25'!D2:D500, MATCH(B56&amp;C56, INDEX('01.25'!B2:B500&amp;'01.25'!C2:C500, 0), 0))="", "", INDEX('01.25'!D2:D500, MATCH(B56&amp;C56, INDEX('01.25'!B2:B500&amp;'01.25'!C2:C500, 0), 0))), "")</f>
        <v>Ana Paula Romagnoli</v>
      </c>
      <c r="E56" s="45"/>
      <c r="F56" s="45"/>
      <c r="G56" s="46" t="s">
        <v>140</v>
      </c>
      <c r="H56" s="45"/>
      <c r="I56" s="45"/>
      <c r="J56" s="45" t="s">
        <v>140</v>
      </c>
      <c r="K56" s="45"/>
    </row>
    <row r="57" spans="1:11" x14ac:dyDescent="0.25">
      <c r="A57" s="50" t="s">
        <v>42</v>
      </c>
      <c r="B57" s="45" t="s">
        <v>122</v>
      </c>
      <c r="C57" s="45">
        <v>1</v>
      </c>
      <c r="D57" s="45" t="str">
        <f>IFERROR(IF(INDEX('01.25'!D2:D500, MATCH(B57&amp;C57, INDEX('01.25'!B2:B500&amp;'01.25'!C2:C500, 0), 0))="", "", INDEX('01.25'!D2:D500, MATCH(B57&amp;C57, INDEX('01.25'!B2:B500&amp;'01.25'!C2:C500, 0), 0))), "")</f>
        <v>Alexandro Schaparini</v>
      </c>
      <c r="E57" s="45"/>
      <c r="F57" s="45"/>
      <c r="G57" s="46" t="s">
        <v>140</v>
      </c>
      <c r="H57" s="45"/>
      <c r="I57" s="45"/>
      <c r="J57" s="45" t="s">
        <v>140</v>
      </c>
      <c r="K57" s="45"/>
    </row>
    <row r="58" spans="1:11" x14ac:dyDescent="0.25">
      <c r="A58" s="49" t="s">
        <v>43</v>
      </c>
      <c r="B58" s="45" t="s">
        <v>129</v>
      </c>
      <c r="C58" s="45">
        <v>1</v>
      </c>
      <c r="D58" s="45" t="str">
        <f>IFERROR(IF(INDEX('01.25'!D2:D500, MATCH(B58&amp;C58, INDEX('01.25'!B2:B500&amp;'01.25'!C2:C500, 0), 0))="", "", INDEX('01.25'!D2:D500, MATCH(B58&amp;C58, INDEX('01.25'!B2:B500&amp;'01.25'!C2:C500, 0), 0))), "")</f>
        <v>Marina Ancelmo da Silva</v>
      </c>
      <c r="E58" s="45"/>
      <c r="F58" s="45"/>
      <c r="G58" s="46" t="s">
        <v>140</v>
      </c>
      <c r="H58" s="45"/>
      <c r="I58" s="45"/>
      <c r="J58" s="45" t="s">
        <v>140</v>
      </c>
      <c r="K58" s="45"/>
    </row>
    <row r="59" spans="1:11" x14ac:dyDescent="0.25">
      <c r="A59" s="49" t="s">
        <v>43</v>
      </c>
      <c r="B59" s="45" t="s">
        <v>130</v>
      </c>
      <c r="C59" s="45">
        <v>1</v>
      </c>
      <c r="D59" s="45" t="str">
        <f>IFERROR(IF(INDEX('01.25'!D2:D500, MATCH(B59&amp;C59, INDEX('01.25'!B2:B500&amp;'01.25'!C2:C500, 0), 0))="", "", INDEX('01.25'!D2:D500, MATCH(B59&amp;C59, INDEX('01.25'!B2:B500&amp;'01.25'!C2:C500, 0), 0))), "")</f>
        <v>Ana Carolina Peterle Ribeiro</v>
      </c>
      <c r="E59" s="45"/>
      <c r="F59" s="45"/>
      <c r="G59" s="46" t="s">
        <v>140</v>
      </c>
      <c r="H59" s="45"/>
      <c r="I59" s="45"/>
      <c r="J59" s="45" t="s">
        <v>140</v>
      </c>
      <c r="K59" s="45"/>
    </row>
    <row r="60" spans="1:11" x14ac:dyDescent="0.25">
      <c r="A60" s="51" t="s">
        <v>40</v>
      </c>
      <c r="B60" s="45" t="s">
        <v>112</v>
      </c>
      <c r="C60" s="45">
        <v>1</v>
      </c>
      <c r="D60" s="45" t="str">
        <f>IFERROR(IF(INDEX('01.25'!D2:D500, MATCH(B60&amp;C60, INDEX('01.25'!B2:B500&amp;'01.25'!C2:C500, 0), 0))="", "", INDEX('01.25'!D2:D500, MATCH(B60&amp;C60, INDEX('01.25'!B2:B500&amp;'01.25'!C2:C500, 0), 0))), "")</f>
        <v>Taiane Amélia Mondardo</v>
      </c>
      <c r="E60" s="45"/>
      <c r="F60" s="45"/>
      <c r="G60" s="46" t="s">
        <v>140</v>
      </c>
      <c r="H60" s="45"/>
      <c r="I60" s="45"/>
      <c r="J60" s="45" t="s">
        <v>140</v>
      </c>
      <c r="K60" s="45"/>
    </row>
    <row r="61" spans="1:11" x14ac:dyDescent="0.25">
      <c r="A61" s="44" t="s">
        <v>36</v>
      </c>
      <c r="B61" s="45" t="s">
        <v>104</v>
      </c>
      <c r="C61" s="45">
        <v>1</v>
      </c>
      <c r="D61" s="45" t="str">
        <f>IFERROR(IF(INDEX('01.25'!D2:D500, MATCH(B61&amp;C61, INDEX('01.25'!B2:B500&amp;'01.25'!C2:C500, 0), 0))="", "", INDEX('01.25'!D2:D500, MATCH(B61&amp;C61, INDEX('01.25'!B2:B500&amp;'01.25'!C2:C500, 0), 0))), "")</f>
        <v>Regiane Lucia Pereira</v>
      </c>
      <c r="E61" s="45"/>
      <c r="F61" s="45"/>
      <c r="G61" s="46" t="s">
        <v>140</v>
      </c>
      <c r="H61" s="45"/>
      <c r="I61" s="45"/>
      <c r="J61" s="45" t="s">
        <v>140</v>
      </c>
      <c r="K61" s="45"/>
    </row>
    <row r="62" spans="1:11" x14ac:dyDescent="0.25">
      <c r="A62" s="51" t="s">
        <v>40</v>
      </c>
      <c r="B62" s="45" t="s">
        <v>113</v>
      </c>
      <c r="C62" s="45">
        <v>1</v>
      </c>
      <c r="D62" s="45" t="str">
        <f>IFERROR(IF(INDEX('01.25'!D2:D500, MATCH(B62&amp;C62, INDEX('01.25'!B2:B500&amp;'01.25'!C2:C500, 0), 0))="", "", INDEX('01.25'!D2:D500, MATCH(B62&amp;C62, INDEX('01.25'!B2:B500&amp;'01.25'!C2:C500, 0), 0))), "")</f>
        <v>Andryws Rafael Gois</v>
      </c>
      <c r="E62" s="45"/>
      <c r="F62" s="45"/>
      <c r="G62" s="46" t="s">
        <v>140</v>
      </c>
      <c r="H62" s="45"/>
      <c r="I62" s="45"/>
      <c r="J62" s="45" t="s">
        <v>140</v>
      </c>
      <c r="K62" s="45"/>
    </row>
    <row r="63" spans="1:11" x14ac:dyDescent="0.25">
      <c r="A63" s="50" t="s">
        <v>42</v>
      </c>
      <c r="B63" s="45" t="s">
        <v>123</v>
      </c>
      <c r="C63" s="45">
        <v>1</v>
      </c>
      <c r="D63" s="45" t="str">
        <f>IFERROR(IF(INDEX('01.25'!D2:D500, MATCH(B63&amp;C63, INDEX('01.25'!B2:B500&amp;'01.25'!C2:C500, 0), 0))="", "", INDEX('01.25'!D2:D500, MATCH(B63&amp;C63, INDEX('01.25'!B2:B500&amp;'01.25'!C2:C500, 0), 0))), "")</f>
        <v>Mayara Ketllyn de Paula Rosetti</v>
      </c>
      <c r="E63" s="45"/>
      <c r="F63" s="45"/>
      <c r="G63" s="46" t="s">
        <v>140</v>
      </c>
      <c r="H63" s="45"/>
      <c r="I63" s="45"/>
      <c r="J63" s="45" t="s">
        <v>140</v>
      </c>
      <c r="K63" s="45"/>
    </row>
    <row r="64" spans="1:11" x14ac:dyDescent="0.25">
      <c r="A64" s="51" t="s">
        <v>40</v>
      </c>
      <c r="B64" s="45" t="s">
        <v>114</v>
      </c>
      <c r="C64" s="45">
        <v>1</v>
      </c>
      <c r="D64" s="45" t="str">
        <f>IFERROR(IF(INDEX('01.25'!D2:D500, MATCH(B64&amp;C64, INDEX('01.25'!B2:B500&amp;'01.25'!C2:C500, 0), 0))="", "", INDEX('01.25'!D2:D500, MATCH(B64&amp;C64, INDEX('01.25'!B2:B500&amp;'01.25'!C2:C500, 0), 0))), "")</f>
        <v>Junior Andre Britzke</v>
      </c>
      <c r="E64" s="45"/>
      <c r="F64" s="45"/>
      <c r="G64" s="46" t="s">
        <v>140</v>
      </c>
      <c r="H64" s="45"/>
      <c r="I64" s="45"/>
      <c r="J64" s="45" t="s">
        <v>140</v>
      </c>
      <c r="K64" s="45"/>
    </row>
    <row r="65" spans="1:11" x14ac:dyDescent="0.25">
      <c r="A65" s="44" t="s">
        <v>36</v>
      </c>
      <c r="B65" s="45" t="s">
        <v>105</v>
      </c>
      <c r="C65" s="45">
        <v>1</v>
      </c>
      <c r="D65" s="45" t="str">
        <f>IFERROR(IF(INDEX('01.25'!D2:D500, MATCH(B65&amp;C65, INDEX('01.25'!B2:B500&amp;'01.25'!C2:C500, 0), 0))="", "", INDEX('01.25'!D2:D500, MATCH(B65&amp;C65, INDEX('01.25'!B2:B500&amp;'01.25'!C2:C500, 0), 0))), "")</f>
        <v>Adriano Pereira Guedes</v>
      </c>
      <c r="E65" s="45"/>
      <c r="F65" s="45"/>
      <c r="G65" s="46" t="s">
        <v>140</v>
      </c>
      <c r="H65" s="45"/>
      <c r="I65" s="45"/>
      <c r="J65" s="45" t="s">
        <v>140</v>
      </c>
      <c r="K65" s="45"/>
    </row>
    <row r="66" spans="1:11" x14ac:dyDescent="0.25">
      <c r="A66" s="44" t="s">
        <v>36</v>
      </c>
      <c r="B66" s="45" t="s">
        <v>106</v>
      </c>
      <c r="C66" s="45">
        <v>1</v>
      </c>
      <c r="D66" s="45" t="str">
        <f>IFERROR(IF(INDEX('01.25'!D2:D500, MATCH(B66&amp;C66, INDEX('01.25'!B2:B500&amp;'01.25'!C2:C500, 0), 0))="", "", INDEX('01.25'!D2:D500, MATCH(B66&amp;C66, INDEX('01.25'!B2:B500&amp;'01.25'!C2:C500, 0), 0))), "")</f>
        <v xml:space="preserve">Suzana Cristina de Almeida </v>
      </c>
      <c r="E66" s="45"/>
      <c r="F66" s="45"/>
      <c r="G66" s="46" t="s">
        <v>140</v>
      </c>
      <c r="H66" s="45"/>
      <c r="I66" s="45"/>
      <c r="J66" s="45" t="s">
        <v>140</v>
      </c>
      <c r="K66" s="45"/>
    </row>
    <row r="67" spans="1:11" x14ac:dyDescent="0.25">
      <c r="A67" s="47" t="s">
        <v>28</v>
      </c>
      <c r="B67" s="45" t="s">
        <v>85</v>
      </c>
      <c r="C67" s="45">
        <v>1</v>
      </c>
      <c r="D67" s="45" t="str">
        <f>IFERROR(IF(INDEX('01.25'!D2:D500, MATCH(B67&amp;C67, INDEX('01.25'!B2:B500&amp;'01.25'!C2:C500, 0), 0))="", "", INDEX('01.25'!D2:D500, MATCH(B67&amp;C67, INDEX('01.25'!B2:B500&amp;'01.25'!C2:C500, 0), 0))), "")</f>
        <v>Alice Cristiane Zancheta</v>
      </c>
      <c r="E67" s="45"/>
      <c r="F67" s="45"/>
      <c r="G67" s="46" t="s">
        <v>140</v>
      </c>
      <c r="H67" s="45"/>
      <c r="I67" s="45"/>
      <c r="J67" s="45" t="s">
        <v>140</v>
      </c>
      <c r="K67" s="45"/>
    </row>
    <row r="68" spans="1:11" x14ac:dyDescent="0.25">
      <c r="A68" s="48" t="s">
        <v>38</v>
      </c>
      <c r="B68" s="45" t="s">
        <v>109</v>
      </c>
      <c r="C68" s="45">
        <v>1</v>
      </c>
      <c r="D68" s="45" t="str">
        <f>IFERROR(IF(INDEX('01.25'!D2:D500, MATCH(B68&amp;C68, INDEX('01.25'!B2:B500&amp;'01.25'!C2:C500, 0), 0))="", "", INDEX('01.25'!D2:D500, MATCH(B68&amp;C68, INDEX('01.25'!B2:B500&amp;'01.25'!C2:C500, 0), 0))), "")</f>
        <v>Fernanda kaezer de Godoy</v>
      </c>
      <c r="E68" s="45"/>
      <c r="F68" s="45"/>
      <c r="G68" s="46" t="s">
        <v>140</v>
      </c>
      <c r="H68" s="45"/>
      <c r="I68" s="45"/>
      <c r="J68" s="45" t="s">
        <v>140</v>
      </c>
      <c r="K68" s="45"/>
    </row>
    <row r="69" spans="1:11" x14ac:dyDescent="0.25">
      <c r="A69" s="48" t="s">
        <v>38</v>
      </c>
      <c r="B69" s="45" t="s">
        <v>110</v>
      </c>
      <c r="C69" s="45">
        <v>1</v>
      </c>
      <c r="D69" s="45" t="str">
        <f>IFERROR(IF(INDEX('01.25'!D2:D500, MATCH(B69&amp;C69, INDEX('01.25'!B2:B500&amp;'01.25'!C2:C500, 0), 0))="", "", INDEX('01.25'!D2:D500, MATCH(B69&amp;C69, INDEX('01.25'!B2:B500&amp;'01.25'!C2:C500, 0), 0))), "")</f>
        <v xml:space="preserve">Ademir Papini Júnior </v>
      </c>
      <c r="E69" s="45"/>
      <c r="F69" s="45"/>
      <c r="G69" s="46" t="s">
        <v>140</v>
      </c>
      <c r="H69" s="45"/>
      <c r="I69" s="45"/>
      <c r="J69" s="45" t="s">
        <v>140</v>
      </c>
      <c r="K69" s="45"/>
    </row>
    <row r="70" spans="1:11" x14ac:dyDescent="0.25">
      <c r="A70" s="50" t="s">
        <v>42</v>
      </c>
      <c r="B70" s="45" t="s">
        <v>124</v>
      </c>
      <c r="C70" s="45">
        <v>1</v>
      </c>
      <c r="D70" s="45" t="str">
        <f>IFERROR(IF(INDEX('01.25'!D2:D500, MATCH(B70&amp;C70, INDEX('01.25'!B2:B500&amp;'01.25'!C2:C500, 0), 0))="", "", INDEX('01.25'!D2:D500, MATCH(B70&amp;C70, INDEX('01.25'!B2:B500&amp;'01.25'!C2:C500, 0), 0))), "")</f>
        <v>Heloísa Maria Beloni Insenha</v>
      </c>
      <c r="E70" s="45"/>
      <c r="F70" s="45"/>
      <c r="G70" s="46" t="s">
        <v>140</v>
      </c>
      <c r="H70" s="45"/>
      <c r="I70" s="45"/>
      <c r="J70" s="45" t="s">
        <v>140</v>
      </c>
      <c r="K70" s="45"/>
    </row>
  </sheetData>
  <autoFilter ref="A1:G1" xr:uid="{00000000-0009-0000-0000-000013000000}"/>
  <conditionalFormatting sqref="E2:E70">
    <cfRule type="cellIs" dxfId="14" priority="6" stopIfTrue="1" operator="equal">
      <formula>"Enviado"</formula>
    </cfRule>
    <cfRule type="cellIs" dxfId="13" priority="7" stopIfTrue="1" operator="equal">
      <formula>"Atrasado"</formula>
    </cfRule>
    <cfRule type="cellIs" dxfId="12" priority="8" stopIfTrue="1" operator="equal">
      <formula>"Atrasado &gt;= 2"</formula>
    </cfRule>
    <cfRule type="cellIs" dxfId="11" priority="9" stopIfTrue="1" operator="equal">
      <formula>"Outras Ocorrências"</formula>
    </cfRule>
    <cfRule type="cellIs" dxfId="10" priority="10" stopIfTrue="1" operator="equal">
      <formula>"Sem Técnico"</formula>
    </cfRule>
    <cfRule type="cellIs" dxfId="9" priority="11" stopIfTrue="1" operator="equal">
      <formula>"Duplicado"</formula>
    </cfRule>
  </conditionalFormatting>
  <conditionalFormatting sqref="G2:G70">
    <cfRule type="cellIs" dxfId="8" priority="1" stopIfTrue="1" operator="equal">
      <formula>"Sim"</formula>
    </cfRule>
    <cfRule type="cellIs" dxfId="7" priority="3" stopIfTrue="1" operator="equal">
      <formula>"Não"</formula>
    </cfRule>
  </conditionalFormatting>
  <conditionalFormatting sqref="J2:J70">
    <cfRule type="cellIs" dxfId="6" priority="4" stopIfTrue="1" operator="equal">
      <formula>"Sim"</formula>
    </cfRule>
    <cfRule type="cellIs" dxfId="5" priority="4" stopIfTrue="1" operator="equal">
      <formula>"Não"</formula>
    </cfRule>
    <cfRule type="cellIs" dxfId="4" priority="5" stopIfTrue="1" operator="equal">
      <formula>"Em Análise"</formula>
    </cfRule>
  </conditionalFormatting>
  <dataValidations count="3">
    <dataValidation type="list" allowBlank="1" sqref="G2 G3 G4 G5 G6 G7 G8 G9 G10 G11 G12 G13 G14 G15 G16 G17 G18 G19 G20 G21 G22 G23 G24 G25 G26 G27 G28 G29 G30 G31 G32 G33 G34 G35 G36 G37 G38 G39 G40 G41 G42 G43 G44 G45 G46 G47 G48 G49 G50 G51 G52 G53 G54 G55 G56 G57 G58 G59 G60 G61 G62 G63 G64 G65 G66 G67 G68 G69 G70" xr:uid="{00000000-0002-0000-1300-000000000000}">
      <formula1>"Sim,Não"</formula1>
    </dataValidation>
    <dataValidation type="list" allowBlank="1" sqref="J2 J3 J4 J5 J6 J7 J8 J9 J10 J11 J12 J13 J14 J15 J16 J17 J18 J19 J20 J21 J22 J23 J24 J25 J26 J27 J28 J29 J30 J31 J32 J33 J34 J35 J36 J37 J38 J39 J40 J41 J42 J43 J44 J45 J46 J47 J48 J49 J50 J51 J52 J53 J54 J55 J56 J57 J58 J59 J60 J61 J62 J63 J64 J65 J66 J67 J68 J69 J70" xr:uid="{00000000-0002-0000-1300-000001000000}">
      <formula1>"Sim,Não,Em Análise"</formula1>
    </dataValidation>
    <dataValidation type="list" allowBlank="1" sqref="E2 E3 E4 E5 E6 E7 E8 E9 E10 E11 E12 E13 E14 E15 E16 E17 E18 E19 E20 E21 E22 E23 E24 E25 E26 E27 E28 E29 E30 E31 E32 E33 E34 E35 E36 E37 E38 E39 E40 E41 E42 E43 E44 E45 E46 E47 E48 E49 E50 E51 E52 E53 E54 E55 E56 E57 E58 E59 E60 E61 E62 E63 E64 E65 E66 E67 E68 E69 E70" xr:uid="{00000000-0002-0000-1300-000002000000}">
      <formula1>"Enviado, Atrasado, Atrasado &gt;= 2, Outras Ocorrências, Sem Técnico, Duplicado"</formula1>
    </dataValidation>
  </dataValidations>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K70"/>
  <sheetViews>
    <sheetView workbookViewId="0">
      <pane xSplit="3" topLeftCell="E1" activePane="topRight" state="frozen"/>
      <selection pane="topRight" activeCell="H75" sqref="H75"/>
    </sheetView>
  </sheetViews>
  <sheetFormatPr defaultRowHeight="15" x14ac:dyDescent="0.25"/>
  <cols>
    <col min="1" max="1" width="14" customWidth="1"/>
    <col min="2" max="2" width="30" customWidth="1"/>
    <col min="3" max="3" width="8" customWidth="1"/>
    <col min="4" max="4" width="45" customWidth="1"/>
    <col min="5" max="5" width="18" customWidth="1"/>
    <col min="6" max="7" width="27" customWidth="1"/>
    <col min="8" max="8" width="88" customWidth="1"/>
    <col min="9" max="9" width="34" customWidth="1"/>
    <col min="10" max="10" width="25" customWidth="1"/>
    <col min="11" max="11" width="26" customWidth="1"/>
  </cols>
  <sheetData>
    <row r="1" spans="1:11" x14ac:dyDescent="0.25">
      <c r="A1" s="43" t="s">
        <v>27</v>
      </c>
      <c r="B1" s="43" t="s">
        <v>70</v>
      </c>
      <c r="C1" s="43" t="s">
        <v>71</v>
      </c>
      <c r="D1" s="43" t="s">
        <v>132</v>
      </c>
      <c r="E1" s="43" t="s">
        <v>133</v>
      </c>
      <c r="F1" s="43" t="s">
        <v>134</v>
      </c>
      <c r="G1" s="43" t="s">
        <v>135</v>
      </c>
      <c r="H1" s="43" t="s">
        <v>136</v>
      </c>
      <c r="I1" s="43" t="s">
        <v>137</v>
      </c>
      <c r="J1" s="43" t="s">
        <v>138</v>
      </c>
      <c r="K1" s="43" t="s">
        <v>139</v>
      </c>
    </row>
    <row r="2" spans="1:11" x14ac:dyDescent="0.25">
      <c r="A2" s="44" t="s">
        <v>36</v>
      </c>
      <c r="B2" s="45" t="s">
        <v>97</v>
      </c>
      <c r="C2" s="45">
        <v>1</v>
      </c>
      <c r="D2" s="45" t="str">
        <f>IFERROR(IF(INDEX('01.25'!D2:D500, MATCH(B2&amp;C2, INDEX('01.25'!B2:B500&amp;'01.25'!C2:C500, 0), 0))="", "", INDEX('01.25'!D2:D500, MATCH(B2&amp;C2, INDEX('01.25'!B2:B500&amp;'01.25'!C2:C500, 0), 0))), "")</f>
        <v>Paula Tatiana Santana Vechi</v>
      </c>
      <c r="E2" s="107" t="s">
        <v>16</v>
      </c>
      <c r="F2" s="45" t="s">
        <v>632</v>
      </c>
      <c r="G2" s="52" t="s">
        <v>131</v>
      </c>
      <c r="H2" s="45" t="s">
        <v>149</v>
      </c>
      <c r="I2" s="45"/>
      <c r="J2" s="45" t="s">
        <v>140</v>
      </c>
      <c r="K2" s="45"/>
    </row>
    <row r="3" spans="1:11" x14ac:dyDescent="0.25">
      <c r="A3" s="47" t="s">
        <v>28</v>
      </c>
      <c r="B3" s="45" t="s">
        <v>87</v>
      </c>
      <c r="C3" s="45">
        <v>1</v>
      </c>
      <c r="D3" s="45" t="str">
        <f>IFERROR(IF(INDEX('01.25'!D2:D500, MATCH(B3&amp;C3, INDEX('01.25'!B2:B500&amp;'01.25'!C2:C500, 0), 0))="", "", INDEX('01.25'!D2:D500, MATCH(B3&amp;C3, INDEX('01.25'!B2:B500&amp;'01.25'!C2:C500, 0), 0))), "")</f>
        <v>Willian de Oliveira Lino</v>
      </c>
      <c r="E3" s="107" t="s">
        <v>16</v>
      </c>
      <c r="F3" s="45" t="s">
        <v>622</v>
      </c>
      <c r="G3" s="52" t="s">
        <v>131</v>
      </c>
      <c r="H3" s="45" t="s">
        <v>149</v>
      </c>
      <c r="I3" s="45"/>
      <c r="J3" s="45" t="s">
        <v>140</v>
      </c>
      <c r="K3" s="45"/>
    </row>
    <row r="4" spans="1:11" x14ac:dyDescent="0.25">
      <c r="A4" s="48" t="s">
        <v>38</v>
      </c>
      <c r="B4" s="45" t="s">
        <v>78</v>
      </c>
      <c r="C4" s="45">
        <v>1</v>
      </c>
      <c r="D4" s="45" t="str">
        <f>IFERROR(IF(INDEX('01.25'!D2:D500, MATCH(B4&amp;C4, INDEX('01.25'!B2:B500&amp;'01.25'!C2:C500, 0), 0))="", "", INDEX('01.25'!D2:D500, MATCH(B4&amp;C4, INDEX('01.25'!B2:B500&amp;'01.25'!C2:C500, 0), 0))), "")</f>
        <v>Gisele Cássia Tamparowsky de Oliveira</v>
      </c>
      <c r="E4" s="107" t="s">
        <v>16</v>
      </c>
      <c r="F4" s="45" t="s">
        <v>155</v>
      </c>
      <c r="G4" s="52" t="s">
        <v>131</v>
      </c>
      <c r="H4" s="45"/>
      <c r="I4" s="45"/>
      <c r="J4" s="45" t="s">
        <v>140</v>
      </c>
      <c r="K4" s="45"/>
    </row>
    <row r="5" spans="1:11" x14ac:dyDescent="0.25">
      <c r="A5" s="47" t="s">
        <v>28</v>
      </c>
      <c r="B5" s="45" t="s">
        <v>88</v>
      </c>
      <c r="C5" s="45">
        <v>1</v>
      </c>
      <c r="D5" s="45" t="str">
        <f>IFERROR(IF(INDEX('01.25'!D2:D500, MATCH(B5&amp;C5, INDEX('01.25'!B2:B500&amp;'01.25'!C2:C500, 0), 0))="", "", INDEX('01.25'!D2:D500, MATCH(B5&amp;C5, INDEX('01.25'!B2:B500&amp;'01.25'!C2:C500, 0), 0))), "")</f>
        <v>Marcos Gabriel Franciosi Borges</v>
      </c>
      <c r="E5" s="107" t="s">
        <v>16</v>
      </c>
      <c r="F5" s="45" t="s">
        <v>633</v>
      </c>
      <c r="G5" s="52" t="s">
        <v>131</v>
      </c>
      <c r="H5" s="45" t="s">
        <v>149</v>
      </c>
      <c r="I5" s="45"/>
      <c r="J5" s="45" t="s">
        <v>140</v>
      </c>
      <c r="K5" s="45"/>
    </row>
    <row r="6" spans="1:11" x14ac:dyDescent="0.25">
      <c r="A6" s="47" t="s">
        <v>28</v>
      </c>
      <c r="B6" s="45" t="s">
        <v>89</v>
      </c>
      <c r="C6" s="45">
        <v>1</v>
      </c>
      <c r="D6" s="45" t="str">
        <f>IFERROR(IF(INDEX('01.25'!D2:D500, MATCH(B6&amp;C6, INDEX('01.25'!B2:B500&amp;'01.25'!C2:C500, 0), 0))="", "", INDEX('01.25'!D2:D500, MATCH(B6&amp;C6, INDEX('01.25'!B2:B500&amp;'01.25'!C2:C500, 0), 0))), "")</f>
        <v>Chayla Bianca Gazoli</v>
      </c>
      <c r="E6" s="107" t="s">
        <v>16</v>
      </c>
      <c r="F6" s="45" t="s">
        <v>634</v>
      </c>
      <c r="G6" s="52" t="s">
        <v>131</v>
      </c>
      <c r="H6" s="45" t="s">
        <v>149</v>
      </c>
      <c r="I6" s="45"/>
      <c r="J6" s="45" t="s">
        <v>140</v>
      </c>
      <c r="K6" s="45"/>
    </row>
    <row r="7" spans="1:11" x14ac:dyDescent="0.25">
      <c r="A7" s="48" t="s">
        <v>38</v>
      </c>
      <c r="B7" s="45" t="s">
        <v>84</v>
      </c>
      <c r="C7" s="45">
        <v>1</v>
      </c>
      <c r="D7" s="45" t="str">
        <f>IFERROR(IF(INDEX('01.25'!D2:D500, MATCH(B7&amp;C7, INDEX('01.25'!B2:B500&amp;'01.25'!C2:C500, 0), 0))="", "", INDEX('01.25'!D2:D500, MATCH(B7&amp;C7, INDEX('01.25'!B2:B500&amp;'01.25'!C2:C500, 0), 0))), "")</f>
        <v>Solange Maria Masqueti</v>
      </c>
      <c r="E7" s="107" t="s">
        <v>16</v>
      </c>
      <c r="F7" s="45" t="s">
        <v>632</v>
      </c>
      <c r="G7" s="46" t="s">
        <v>140</v>
      </c>
      <c r="H7" s="45"/>
      <c r="I7" s="45"/>
      <c r="J7" s="45" t="s">
        <v>140</v>
      </c>
      <c r="K7" s="45"/>
    </row>
    <row r="8" spans="1:11" x14ac:dyDescent="0.25">
      <c r="A8" s="48" t="s">
        <v>38</v>
      </c>
      <c r="B8" s="45" t="s">
        <v>79</v>
      </c>
      <c r="C8" s="45">
        <v>1</v>
      </c>
      <c r="D8" s="45" t="str">
        <f>IFERROR(IF(INDEX('01.25'!D2:D500, MATCH(B8&amp;C8, INDEX('01.25'!B2:B500&amp;'01.25'!C2:C500, 0), 0))="", "", INDEX('01.25'!D2:D500, MATCH(B8&amp;C8, INDEX('01.25'!B2:B500&amp;'01.25'!C2:C500, 0), 0))), "")</f>
        <v>Cristiane Petry Vieira</v>
      </c>
      <c r="E8" s="107" t="s">
        <v>16</v>
      </c>
      <c r="F8" s="45" t="s">
        <v>633</v>
      </c>
      <c r="G8" s="46" t="s">
        <v>140</v>
      </c>
      <c r="H8" s="45"/>
      <c r="I8" s="45"/>
      <c r="J8" s="45" t="s">
        <v>140</v>
      </c>
      <c r="K8" s="45"/>
    </row>
    <row r="9" spans="1:11" x14ac:dyDescent="0.25">
      <c r="A9" s="47" t="s">
        <v>28</v>
      </c>
      <c r="B9" s="45" t="s">
        <v>90</v>
      </c>
      <c r="C9" s="45">
        <v>1</v>
      </c>
      <c r="D9" s="45" t="str">
        <f>IFERROR(IF(INDEX('01.25'!D2:D500, MATCH(B9&amp;C9, INDEX('01.25'!B2:B500&amp;'01.25'!C2:C500, 0), 0))="", "", INDEX('01.25'!D2:D500, MATCH(B9&amp;C9, INDEX('01.25'!B2:B500&amp;'01.25'!C2:C500, 0), 0))), "")</f>
        <v>Diego Hemerich</v>
      </c>
      <c r="E9" s="107" t="s">
        <v>16</v>
      </c>
      <c r="F9" s="45" t="s">
        <v>633</v>
      </c>
      <c r="G9" s="52" t="s">
        <v>131</v>
      </c>
      <c r="H9" s="45" t="s">
        <v>635</v>
      </c>
      <c r="I9" s="45"/>
      <c r="J9" s="45" t="s">
        <v>140</v>
      </c>
      <c r="K9" s="45"/>
    </row>
    <row r="10" spans="1:11" x14ac:dyDescent="0.25">
      <c r="A10" s="49" t="s">
        <v>43</v>
      </c>
      <c r="B10" s="45" t="s">
        <v>125</v>
      </c>
      <c r="C10" s="45">
        <v>1</v>
      </c>
      <c r="D10" s="45" t="str">
        <f>IFERROR(IF(INDEX('01.25'!D2:D500, MATCH(B10&amp;C10, INDEX('01.25'!B2:B500&amp;'01.25'!C2:C500, 0), 0))="", "", INDEX('01.25'!D2:D500, MATCH(B10&amp;C10, INDEX('01.25'!B2:B500&amp;'01.25'!C2:C500, 0), 0))), "")</f>
        <v>Tatiane Girardi</v>
      </c>
      <c r="E10" s="107" t="s">
        <v>16</v>
      </c>
      <c r="F10" s="45" t="s">
        <v>580</v>
      </c>
      <c r="G10" s="46" t="s">
        <v>131</v>
      </c>
      <c r="H10" s="45" t="s">
        <v>551</v>
      </c>
      <c r="I10" s="45"/>
      <c r="J10" s="45" t="s">
        <v>140</v>
      </c>
      <c r="K10" s="45"/>
    </row>
    <row r="11" spans="1:11" x14ac:dyDescent="0.25">
      <c r="A11" s="49" t="s">
        <v>43</v>
      </c>
      <c r="B11" s="45" t="s">
        <v>126</v>
      </c>
      <c r="C11" s="45">
        <v>1</v>
      </c>
      <c r="D11" s="45" t="str">
        <f>IFERROR(IF(INDEX('01.25'!D2:D500, MATCH(B11&amp;C11, INDEX('01.25'!B2:B500&amp;'01.25'!C2:C500, 0), 0))="", "", INDEX('01.25'!D2:D500, MATCH(B11&amp;C11, INDEX('01.25'!B2:B500&amp;'01.25'!C2:C500, 0), 0))), "")</f>
        <v>Edson Batista de Castro</v>
      </c>
      <c r="E11" s="107" t="s">
        <v>16</v>
      </c>
      <c r="F11" s="45" t="s">
        <v>342</v>
      </c>
      <c r="G11" s="46" t="s">
        <v>131</v>
      </c>
      <c r="H11" s="45" t="s">
        <v>611</v>
      </c>
      <c r="I11" s="45"/>
      <c r="J11" s="45" t="s">
        <v>140</v>
      </c>
      <c r="K11" s="45"/>
    </row>
    <row r="12" spans="1:11" x14ac:dyDescent="0.25">
      <c r="A12" s="49" t="s">
        <v>43</v>
      </c>
      <c r="B12" s="45" t="s">
        <v>126</v>
      </c>
      <c r="C12" s="45">
        <v>2</v>
      </c>
      <c r="D12" s="45" t="str">
        <f>IFERROR(IF(INDEX('01.25'!D2:D500, MATCH(B12&amp;C12, INDEX('01.25'!B2:B500&amp;'01.25'!C2:C500, 0), 0))="", "", INDEX('01.25'!D2:D500, MATCH(B12&amp;C12, INDEX('01.25'!B2:B500&amp;'01.25'!C2:C500, 0), 0))), "")</f>
        <v>Gabriela Fernanda Sandri</v>
      </c>
      <c r="E12" s="107" t="s">
        <v>16</v>
      </c>
      <c r="F12" s="45" t="s">
        <v>632</v>
      </c>
      <c r="G12" s="46" t="s">
        <v>131</v>
      </c>
      <c r="H12" s="45" t="s">
        <v>476</v>
      </c>
      <c r="I12" s="45"/>
      <c r="J12" s="45" t="s">
        <v>140</v>
      </c>
      <c r="K12" s="45"/>
    </row>
    <row r="13" spans="1:11" x14ac:dyDescent="0.25">
      <c r="A13" s="49" t="s">
        <v>43</v>
      </c>
      <c r="B13" s="45" t="s">
        <v>126</v>
      </c>
      <c r="C13" s="45">
        <v>3</v>
      </c>
      <c r="D13" s="45" t="str">
        <f>IFERROR(IF(INDEX('01.25'!D2:D500, MATCH(B13&amp;C13, INDEX('01.25'!B2:B500&amp;'01.25'!C2:C500, 0), 0))="", "", INDEX('01.25'!D2:D500, MATCH(B13&amp;C13, INDEX('01.25'!B2:B500&amp;'01.25'!C2:C500, 0), 0))), "")</f>
        <v>Eduarda Rohden Donasolo</v>
      </c>
      <c r="E13" s="107" t="s">
        <v>16</v>
      </c>
      <c r="F13" s="45" t="s">
        <v>342</v>
      </c>
      <c r="G13" s="46" t="s">
        <v>131</v>
      </c>
      <c r="H13" s="45" t="s">
        <v>612</v>
      </c>
      <c r="I13" s="45"/>
      <c r="J13" s="45" t="s">
        <v>140</v>
      </c>
      <c r="K13" s="45"/>
    </row>
    <row r="14" spans="1:11" x14ac:dyDescent="0.25">
      <c r="A14" s="49" t="s">
        <v>43</v>
      </c>
      <c r="B14" s="45" t="s">
        <v>126</v>
      </c>
      <c r="C14" s="45">
        <v>4</v>
      </c>
      <c r="D14" s="45" t="str">
        <f>IFERROR(IF(INDEX('01.25'!D2:D500, MATCH(B14&amp;C14, INDEX('01.25'!B2:B500&amp;'01.25'!C2:C500, 0), 0))="", "", INDEX('01.25'!D2:D500, MATCH(B14&amp;C14, INDEX('01.25'!B2:B500&amp;'01.25'!C2:C500, 0), 0))), "")</f>
        <v>Mauricio Pinto de Lima</v>
      </c>
      <c r="E14" s="107" t="s">
        <v>16</v>
      </c>
      <c r="F14" s="45" t="s">
        <v>622</v>
      </c>
      <c r="G14" s="46" t="s">
        <v>131</v>
      </c>
      <c r="H14" s="111" t="s">
        <v>612</v>
      </c>
      <c r="I14" s="45"/>
      <c r="J14" s="45" t="s">
        <v>140</v>
      </c>
      <c r="K14" s="45"/>
    </row>
    <row r="15" spans="1:11" x14ac:dyDescent="0.25">
      <c r="A15" s="49" t="s">
        <v>43</v>
      </c>
      <c r="B15" s="45" t="s">
        <v>126</v>
      </c>
      <c r="C15" s="45">
        <v>5</v>
      </c>
      <c r="D15" s="45" t="str">
        <f>IFERROR(IF(INDEX('01.25'!D2:D500, MATCH(B15&amp;C15, INDEX('01.25'!B2:B500&amp;'01.25'!C2:C500, 0), 0))="", "", INDEX('01.25'!D2:D500, MATCH(B15&amp;C15, INDEX('01.25'!B2:B500&amp;'01.25'!C2:C500, 0), 0))), "")</f>
        <v xml:space="preserve">Débora Laize Lampert Gnass </v>
      </c>
      <c r="E15" s="107" t="s">
        <v>16</v>
      </c>
      <c r="F15" s="45" t="s">
        <v>636</v>
      </c>
      <c r="G15" s="46" t="s">
        <v>131</v>
      </c>
      <c r="H15" s="111" t="s">
        <v>612</v>
      </c>
      <c r="I15" s="45"/>
      <c r="J15" s="45" t="s">
        <v>140</v>
      </c>
      <c r="K15" s="45"/>
    </row>
    <row r="16" spans="1:11" x14ac:dyDescent="0.25">
      <c r="A16" s="49" t="s">
        <v>43</v>
      </c>
      <c r="B16" s="45" t="s">
        <v>126</v>
      </c>
      <c r="C16" s="45">
        <v>6</v>
      </c>
      <c r="D16" s="45" t="str">
        <f>IFERROR(IF(INDEX('01.25'!D2:D500, MATCH(B16&amp;C16, INDEX('01.25'!B2:B500&amp;'01.25'!C2:C500, 0), 0))="", "", INDEX('01.25'!D2:D500, MATCH(B16&amp;C16, INDEX('01.25'!B2:B500&amp;'01.25'!C2:C500, 0), 0))), "")</f>
        <v/>
      </c>
      <c r="E16" s="107" t="s">
        <v>16</v>
      </c>
      <c r="F16" s="45" t="s">
        <v>342</v>
      </c>
      <c r="G16" s="46" t="s">
        <v>131</v>
      </c>
      <c r="H16" s="45" t="s">
        <v>626</v>
      </c>
      <c r="I16" s="45"/>
      <c r="J16" s="45" t="s">
        <v>140</v>
      </c>
      <c r="K16" s="45"/>
    </row>
    <row r="17" spans="1:11" x14ac:dyDescent="0.25">
      <c r="A17" s="47" t="s">
        <v>28</v>
      </c>
      <c r="B17" s="45" t="s">
        <v>91</v>
      </c>
      <c r="C17" s="45">
        <v>1</v>
      </c>
      <c r="D17" s="45" t="str">
        <f>IFERROR(IF(INDEX('01.25'!D2:D500, MATCH(B17&amp;C17, INDEX('01.25'!B2:B500&amp;'01.25'!C2:C500, 0), 0))="", "", INDEX('01.25'!D2:D500, MATCH(B17&amp;C17, INDEX('01.25'!B2:B500&amp;'01.25'!C2:C500, 0), 0))), "")</f>
        <v>Cristina Harumi Enokida</v>
      </c>
      <c r="E17" s="107" t="s">
        <v>16</v>
      </c>
      <c r="F17" s="45" t="s">
        <v>632</v>
      </c>
      <c r="G17" s="52" t="s">
        <v>131</v>
      </c>
      <c r="H17" s="45" t="s">
        <v>149</v>
      </c>
      <c r="I17" s="45"/>
      <c r="J17" s="45" t="s">
        <v>140</v>
      </c>
      <c r="K17" s="45"/>
    </row>
    <row r="18" spans="1:11" x14ac:dyDescent="0.25">
      <c r="A18" s="49" t="s">
        <v>43</v>
      </c>
      <c r="B18" s="45" t="s">
        <v>127</v>
      </c>
      <c r="C18" s="45">
        <v>1</v>
      </c>
      <c r="D18" s="45" t="str">
        <f>IFERROR(IF(INDEX('01.25'!D2:D500, MATCH(B18&amp;C18, INDEX('01.25'!B2:B500&amp;'01.25'!C2:C500, 0), 0))="", "", INDEX('01.25'!D2:D500, MATCH(B18&amp;C18, INDEX('01.25'!B2:B500&amp;'01.25'!C2:C500, 0), 0))), "")</f>
        <v>Douglas de Mattia</v>
      </c>
      <c r="E18" s="107" t="s">
        <v>16</v>
      </c>
      <c r="F18" s="45" t="s">
        <v>633</v>
      </c>
      <c r="G18" s="46" t="s">
        <v>131</v>
      </c>
      <c r="H18" s="45" t="s">
        <v>611</v>
      </c>
      <c r="I18" s="45"/>
      <c r="J18" s="45" t="s">
        <v>140</v>
      </c>
      <c r="K18" s="45"/>
    </row>
    <row r="19" spans="1:11" x14ac:dyDescent="0.25">
      <c r="A19" s="47" t="s">
        <v>28</v>
      </c>
      <c r="B19" s="45" t="s">
        <v>92</v>
      </c>
      <c r="C19" s="45">
        <v>1</v>
      </c>
      <c r="D19" s="45" t="str">
        <f>IFERROR(IF(INDEX('01.25'!D2:D500, MATCH(B19&amp;C19, INDEX('01.25'!B2:B500&amp;'01.25'!C2:C500, 0), 0))="", "", INDEX('01.25'!D2:D500, MATCH(B19&amp;C19, INDEX('01.25'!B2:B500&amp;'01.25'!C2:C500, 0), 0))), "")</f>
        <v>Vanderson Pasetti</v>
      </c>
      <c r="E19" s="107" t="s">
        <v>16</v>
      </c>
      <c r="F19" s="45" t="s">
        <v>631</v>
      </c>
      <c r="G19" s="46" t="s">
        <v>140</v>
      </c>
      <c r="H19" s="45"/>
      <c r="I19" s="45"/>
      <c r="J19" s="45" t="s">
        <v>140</v>
      </c>
      <c r="K19" s="45"/>
    </row>
    <row r="20" spans="1:11" x14ac:dyDescent="0.25">
      <c r="A20" s="50" t="s">
        <v>42</v>
      </c>
      <c r="B20" s="45" t="s">
        <v>115</v>
      </c>
      <c r="C20" s="45">
        <v>1</v>
      </c>
      <c r="D20" s="45" t="str">
        <f>IFERROR(IF(INDEX('01.25'!D2:D500, MATCH(B20&amp;C20, INDEX('01.25'!B2:B500&amp;'01.25'!C2:C500, 0), 0))="", "", INDEX('01.25'!D2:D500, MATCH(B20&amp;C20, INDEX('01.25'!B2:B500&amp;'01.25'!C2:C500, 0), 0))), "")</f>
        <v>Bruna Schneider Guimarães</v>
      </c>
      <c r="E20" s="109" t="s">
        <v>19</v>
      </c>
      <c r="F20" s="45" t="s">
        <v>637</v>
      </c>
      <c r="G20" s="46" t="s">
        <v>140</v>
      </c>
      <c r="H20" s="45" t="s">
        <v>638</v>
      </c>
      <c r="I20" s="45"/>
      <c r="J20" s="45" t="s">
        <v>140</v>
      </c>
      <c r="K20" s="45"/>
    </row>
    <row r="21" spans="1:11" x14ac:dyDescent="0.25">
      <c r="A21" s="47" t="s">
        <v>28</v>
      </c>
      <c r="B21" s="45" t="s">
        <v>93</v>
      </c>
      <c r="C21" s="45">
        <v>1</v>
      </c>
      <c r="D21" s="45" t="str">
        <f>IFERROR(IF(INDEX('01.25'!D2:D500, MATCH(B21&amp;C21, INDEX('01.25'!B2:B500&amp;'01.25'!C2:C500, 0), 0))="", "", INDEX('01.25'!D2:D500, MATCH(B21&amp;C21, INDEX('01.25'!B2:B500&amp;'01.25'!C2:C500, 0), 0))), "")</f>
        <v>Keilla Avezedo</v>
      </c>
      <c r="E21" s="107" t="s">
        <v>16</v>
      </c>
      <c r="F21" s="45" t="s">
        <v>632</v>
      </c>
      <c r="G21" s="52" t="s">
        <v>131</v>
      </c>
      <c r="H21" s="45" t="s">
        <v>149</v>
      </c>
      <c r="I21" s="45"/>
      <c r="J21" s="45" t="s">
        <v>140</v>
      </c>
      <c r="K21" s="45"/>
    </row>
    <row r="22" spans="1:11" x14ac:dyDescent="0.25">
      <c r="A22" s="50" t="s">
        <v>42</v>
      </c>
      <c r="B22" s="45" t="s">
        <v>116</v>
      </c>
      <c r="C22" s="45">
        <v>1</v>
      </c>
      <c r="D22" s="45" t="str">
        <f>IFERROR(IF(INDEX('01.25'!D2:D500, MATCH(B22&amp;C22, INDEX('01.25'!B2:B500&amp;'01.25'!C2:C500, 0), 0))="", "", INDEX('01.25'!D2:D500, MATCH(B22&amp;C22, INDEX('01.25'!B2:B500&amp;'01.25'!C2:C500, 0), 0))), "")</f>
        <v>Carmen Maria Stein Weiler</v>
      </c>
      <c r="E22" s="107" t="s">
        <v>16</v>
      </c>
      <c r="F22" s="45" t="s">
        <v>622</v>
      </c>
      <c r="G22" s="46" t="s">
        <v>140</v>
      </c>
      <c r="H22" s="45"/>
      <c r="I22" s="45"/>
      <c r="J22" s="45" t="s">
        <v>140</v>
      </c>
      <c r="K22" s="45"/>
    </row>
    <row r="23" spans="1:11" x14ac:dyDescent="0.25">
      <c r="A23" s="48" t="s">
        <v>38</v>
      </c>
      <c r="B23" s="45" t="s">
        <v>75</v>
      </c>
      <c r="C23" s="45">
        <v>1</v>
      </c>
      <c r="D23" s="45" t="str">
        <f>IFERROR(IF(INDEX('01.25'!D2:D500, MATCH(B23&amp;C23, INDEX('01.25'!B2:B500&amp;'01.25'!C2:C500, 0), 0))="", "", INDEX('01.25'!D2:D500, MATCH(B23&amp;C23, INDEX('01.25'!B2:B500&amp;'01.25'!C2:C500, 0), 0))), "")</f>
        <v>Thiago Varaschim Cenci</v>
      </c>
      <c r="E23" s="107" t="s">
        <v>16</v>
      </c>
      <c r="F23" s="45" t="s">
        <v>639</v>
      </c>
      <c r="G23" s="46" t="s">
        <v>131</v>
      </c>
      <c r="H23" s="45" t="s">
        <v>676</v>
      </c>
      <c r="I23" s="45"/>
      <c r="J23" s="45" t="s">
        <v>140</v>
      </c>
      <c r="K23" s="45"/>
    </row>
    <row r="24" spans="1:11" x14ac:dyDescent="0.25">
      <c r="A24" s="51" t="s">
        <v>40</v>
      </c>
      <c r="B24" s="45" t="s">
        <v>80</v>
      </c>
      <c r="C24" s="45">
        <v>1</v>
      </c>
      <c r="D24" s="45" t="str">
        <f>IFERROR(IF(INDEX('01.25'!D2:D500, MATCH(B24&amp;C24, INDEX('01.25'!B2:B500&amp;'01.25'!C2:C500, 0), 0))="", "", INDEX('01.25'!D2:D500, MATCH(B24&amp;C24, INDEX('01.25'!B2:B500&amp;'01.25'!C2:C500, 0), 0))), "")</f>
        <v>Éber Alexandre Nascimento Araújo</v>
      </c>
      <c r="E24" s="107" t="s">
        <v>16</v>
      </c>
      <c r="F24" s="45" t="s">
        <v>632</v>
      </c>
      <c r="G24" s="52" t="s">
        <v>131</v>
      </c>
      <c r="H24" s="45"/>
      <c r="I24" s="45"/>
      <c r="J24" s="45" t="s">
        <v>140</v>
      </c>
      <c r="K24" s="45"/>
    </row>
    <row r="25" spans="1:11" x14ac:dyDescent="0.25">
      <c r="A25" s="51" t="s">
        <v>40</v>
      </c>
      <c r="B25" s="45" t="s">
        <v>80</v>
      </c>
      <c r="C25" s="45">
        <v>2</v>
      </c>
      <c r="D25" s="45" t="str">
        <f>IFERROR(IF(INDEX('01.25'!D2:D500, MATCH(B25&amp;C25, INDEX('01.25'!B2:B500&amp;'01.25'!C2:C500, 0), 0))="", "", INDEX('01.25'!D2:D500, MATCH(B25&amp;C25, INDEX('01.25'!B2:B500&amp;'01.25'!C2:C500, 0), 0))), "")</f>
        <v>Andrea Carla Winkelmann</v>
      </c>
      <c r="E25" s="107" t="s">
        <v>16</v>
      </c>
      <c r="F25" s="45" t="s">
        <v>636</v>
      </c>
      <c r="G25" s="52" t="s">
        <v>131</v>
      </c>
      <c r="H25" s="45"/>
      <c r="I25" s="45"/>
      <c r="J25" s="45" t="s">
        <v>140</v>
      </c>
      <c r="K25" s="45"/>
    </row>
    <row r="26" spans="1:11" x14ac:dyDescent="0.25">
      <c r="A26" s="51" t="s">
        <v>40</v>
      </c>
      <c r="B26" s="45" t="s">
        <v>80</v>
      </c>
      <c r="C26" s="45">
        <v>3</v>
      </c>
      <c r="D26" s="45" t="str">
        <f>IFERROR(IF(INDEX('01.25'!D2:D500, MATCH(B26&amp;C26, INDEX('01.25'!B2:B500&amp;'01.25'!C2:C500, 0), 0))="", "", INDEX('01.25'!D2:D500, MATCH(B26&amp;C26, INDEX('01.25'!B2:B500&amp;'01.25'!C2:C500, 0), 0))), "")</f>
        <v>Lorizete de Andrade</v>
      </c>
      <c r="E26" s="107" t="s">
        <v>16</v>
      </c>
      <c r="F26" s="45" t="s">
        <v>633</v>
      </c>
      <c r="G26" s="52" t="s">
        <v>131</v>
      </c>
      <c r="H26" s="45"/>
      <c r="I26" s="45"/>
      <c r="J26" s="45" t="s">
        <v>140</v>
      </c>
      <c r="K26" s="45"/>
    </row>
    <row r="27" spans="1:11" x14ac:dyDescent="0.25">
      <c r="A27" s="51" t="s">
        <v>40</v>
      </c>
      <c r="B27" s="45" t="s">
        <v>80</v>
      </c>
      <c r="C27" s="45">
        <v>4</v>
      </c>
      <c r="D27" s="45" t="str">
        <f>IFERROR(IF(INDEX('01.25'!D2:D500, MATCH(B27&amp;C27, INDEX('01.25'!B2:B500&amp;'01.25'!C2:C500, 0), 0))="", "", INDEX('01.25'!D2:D500, MATCH(B27&amp;C27, INDEX('01.25'!B2:B500&amp;'01.25'!C2:C500, 0), 0))), "")</f>
        <v>Andressa Maia</v>
      </c>
      <c r="E27" s="107" t="s">
        <v>16</v>
      </c>
      <c r="F27" s="45" t="s">
        <v>636</v>
      </c>
      <c r="G27" s="52" t="s">
        <v>131</v>
      </c>
      <c r="H27" s="45"/>
      <c r="I27" s="45"/>
      <c r="J27" s="45" t="s">
        <v>140</v>
      </c>
      <c r="K27" s="45"/>
    </row>
    <row r="28" spans="1:11" x14ac:dyDescent="0.25">
      <c r="A28" s="51" t="s">
        <v>40</v>
      </c>
      <c r="B28" s="45" t="s">
        <v>80</v>
      </c>
      <c r="C28" s="45">
        <v>5</v>
      </c>
      <c r="D28" s="45" t="str">
        <f>IFERROR(IF(INDEX('01.25'!D2:D500, MATCH(B28&amp;C28, INDEX('01.25'!B2:B500&amp;'01.25'!C2:C500, 0), 0))="", "", INDEX('01.25'!D2:D500, MATCH(B28&amp;C28, INDEX('01.25'!B2:B500&amp;'01.25'!C2:C500, 0), 0))), "")</f>
        <v>Lucas Correia de Souza</v>
      </c>
      <c r="E28" s="107" t="s">
        <v>16</v>
      </c>
      <c r="F28" s="45" t="s">
        <v>633</v>
      </c>
      <c r="G28" s="52" t="s">
        <v>131</v>
      </c>
      <c r="H28" s="45"/>
      <c r="I28" s="45"/>
      <c r="J28" s="45" t="s">
        <v>140</v>
      </c>
      <c r="K28" s="45"/>
    </row>
    <row r="29" spans="1:11" x14ac:dyDescent="0.25">
      <c r="A29" s="51" t="s">
        <v>40</v>
      </c>
      <c r="B29" s="45" t="s">
        <v>80</v>
      </c>
      <c r="C29" s="45">
        <v>6</v>
      </c>
      <c r="D29" s="45" t="str">
        <f>IFERROR(IF(INDEX('01.25'!D2:D500, MATCH(B29&amp;C29, INDEX('01.25'!B2:B500&amp;'01.25'!C2:C500, 0), 0))="", "", INDEX('01.25'!D2:D500, MATCH(B29&amp;C29, INDEX('01.25'!B2:B500&amp;'01.25'!C2:C500, 0), 0))), "")</f>
        <v>Jose Francisco Mariano de Faria Filho</v>
      </c>
      <c r="E29" s="107" t="s">
        <v>16</v>
      </c>
      <c r="F29" s="45" t="s">
        <v>619</v>
      </c>
      <c r="G29" s="52" t="s">
        <v>131</v>
      </c>
      <c r="H29" s="45" t="s">
        <v>640</v>
      </c>
      <c r="I29" s="45"/>
      <c r="J29" s="45" t="s">
        <v>140</v>
      </c>
      <c r="K29" s="45"/>
    </row>
    <row r="30" spans="1:11" x14ac:dyDescent="0.25">
      <c r="A30" s="51" t="s">
        <v>40</v>
      </c>
      <c r="B30" s="45" t="s">
        <v>80</v>
      </c>
      <c r="C30" s="45">
        <v>7</v>
      </c>
      <c r="D30" s="45" t="str">
        <f>IFERROR(IF(INDEX('01.25'!D2:D500, MATCH(B30&amp;C30, INDEX('01.25'!B2:B500&amp;'01.25'!C2:C500, 0), 0))="", "", INDEX('01.25'!D2:D500, MATCH(B30&amp;C30, INDEX('01.25'!B2:B500&amp;'01.25'!C2:C500, 0), 0))), "")</f>
        <v>Pedro Henrique Mariano de Faria</v>
      </c>
      <c r="E30" s="107" t="s">
        <v>16</v>
      </c>
      <c r="F30" s="45" t="s">
        <v>641</v>
      </c>
      <c r="G30" s="46" t="s">
        <v>140</v>
      </c>
      <c r="H30" s="45"/>
      <c r="I30" s="45"/>
      <c r="J30" s="45" t="s">
        <v>140</v>
      </c>
      <c r="K30" s="45"/>
    </row>
    <row r="31" spans="1:11" x14ac:dyDescent="0.25">
      <c r="A31" s="51" t="s">
        <v>40</v>
      </c>
      <c r="B31" s="45" t="s">
        <v>80</v>
      </c>
      <c r="C31" s="45">
        <v>8</v>
      </c>
      <c r="D31" s="45" t="str">
        <f>IFERROR(IF(INDEX('01.25'!D2:D500, MATCH(B31&amp;C31, INDEX('01.25'!B2:B500&amp;'01.25'!C2:C500, 0), 0))="", "", INDEX('01.25'!D2:D500, MATCH(B31&amp;C31, INDEX('01.25'!B2:B500&amp;'01.25'!C2:C500, 0), 0))), "")</f>
        <v>Renata Aparecida de Souza</v>
      </c>
      <c r="E31" s="107" t="s">
        <v>16</v>
      </c>
      <c r="F31" s="45" t="s">
        <v>438</v>
      </c>
      <c r="G31" s="52" t="s">
        <v>131</v>
      </c>
      <c r="H31" s="45" t="s">
        <v>642</v>
      </c>
      <c r="I31" s="45"/>
      <c r="J31" s="45" t="s">
        <v>140</v>
      </c>
      <c r="K31" s="45"/>
    </row>
    <row r="32" spans="1:11" x14ac:dyDescent="0.25">
      <c r="A32" s="51" t="s">
        <v>40</v>
      </c>
      <c r="B32" s="45" t="s">
        <v>80</v>
      </c>
      <c r="C32" s="45">
        <v>9</v>
      </c>
      <c r="D32" s="45" t="str">
        <f>IFERROR(IF(INDEX('01.25'!D2:D500, MATCH(B32&amp;C32, INDEX('01.25'!B2:B500&amp;'01.25'!C2:C500, 0), 0))="", "", INDEX('01.25'!D2:D500, MATCH(B32&amp;C32, INDEX('01.25'!B2:B500&amp;'01.25'!C2:C500, 0), 0))), "")</f>
        <v>Maria Eduarda dos Santos Arias</v>
      </c>
      <c r="E32" s="107" t="s">
        <v>16</v>
      </c>
      <c r="F32" s="45" t="s">
        <v>438</v>
      </c>
      <c r="G32" s="52" t="s">
        <v>131</v>
      </c>
      <c r="H32" s="45" t="s">
        <v>635</v>
      </c>
      <c r="I32" s="45"/>
      <c r="J32" s="45" t="s">
        <v>140</v>
      </c>
      <c r="K32" s="45"/>
    </row>
    <row r="33" spans="1:11" x14ac:dyDescent="0.25">
      <c r="A33" s="44" t="s">
        <v>36</v>
      </c>
      <c r="B33" s="45" t="s">
        <v>98</v>
      </c>
      <c r="C33" s="45">
        <v>1</v>
      </c>
      <c r="D33" s="45" t="str">
        <f>IFERROR(IF(INDEX('01.25'!D2:D500, MATCH(B33&amp;C33, INDEX('01.25'!B2:B500&amp;'01.25'!C2:C500, 0), 0))="", "", INDEX('01.25'!D2:D500, MATCH(B33&amp;C33, INDEX('01.25'!B2:B500&amp;'01.25'!C2:C500, 0), 0))), "")</f>
        <v>Paulo Rogerio Hiroshi Fujii</v>
      </c>
      <c r="E33" s="107" t="s">
        <v>16</v>
      </c>
      <c r="F33" s="45" t="s">
        <v>633</v>
      </c>
      <c r="G33" s="46" t="s">
        <v>140</v>
      </c>
      <c r="H33" s="45"/>
      <c r="I33" s="45"/>
      <c r="J33" s="45" t="s">
        <v>140</v>
      </c>
      <c r="K33" s="45"/>
    </row>
    <row r="34" spans="1:11" x14ac:dyDescent="0.25">
      <c r="A34" s="44" t="s">
        <v>36</v>
      </c>
      <c r="B34" s="45" t="s">
        <v>99</v>
      </c>
      <c r="C34" s="45">
        <v>1</v>
      </c>
      <c r="D34" s="45" t="str">
        <f>IFERROR(IF(INDEX('01.25'!D2:D500, MATCH(B34&amp;C34, INDEX('01.25'!B2:B500&amp;'01.25'!C2:C500, 0), 0))="", "", INDEX('01.25'!D2:D500, MATCH(B34&amp;C34, INDEX('01.25'!B2:B500&amp;'01.25'!C2:C500, 0), 0))), "")</f>
        <v>Marlene R. Oliveira Dallacosta</v>
      </c>
      <c r="E34" s="106" t="s">
        <v>18</v>
      </c>
      <c r="F34" s="45"/>
      <c r="G34" s="46" t="s">
        <v>140</v>
      </c>
      <c r="H34" s="45"/>
      <c r="I34" s="45"/>
      <c r="J34" s="45" t="s">
        <v>140</v>
      </c>
      <c r="K34" s="45"/>
    </row>
    <row r="35" spans="1:11" x14ac:dyDescent="0.25">
      <c r="A35" s="47" t="s">
        <v>28</v>
      </c>
      <c r="B35" s="45" t="s">
        <v>94</v>
      </c>
      <c r="C35" s="45">
        <v>1</v>
      </c>
      <c r="D35" s="45" t="str">
        <f>IFERROR(IF(INDEX('01.25'!D2:D500, MATCH(B35&amp;C35, INDEX('01.25'!B2:B500&amp;'01.25'!C2:C500, 0), 0))="", "", INDEX('01.25'!D2:D500, MATCH(B35&amp;C35, INDEX('01.25'!B2:B500&amp;'01.25'!C2:C500, 0), 0))), "")</f>
        <v>Vitolor dos Santos Almeida</v>
      </c>
      <c r="E35" s="107" t="s">
        <v>16</v>
      </c>
      <c r="F35" s="45" t="s">
        <v>622</v>
      </c>
      <c r="G35" s="52" t="s">
        <v>131</v>
      </c>
      <c r="H35" s="45" t="s">
        <v>149</v>
      </c>
      <c r="I35" s="45"/>
      <c r="J35" s="45" t="s">
        <v>140</v>
      </c>
      <c r="K35" s="45"/>
    </row>
    <row r="36" spans="1:11" x14ac:dyDescent="0.25">
      <c r="A36" s="47" t="s">
        <v>28</v>
      </c>
      <c r="B36" s="45" t="s">
        <v>95</v>
      </c>
      <c r="C36" s="45">
        <v>1</v>
      </c>
      <c r="D36" s="45" t="str">
        <f>IFERROR(IF(INDEX('01.25'!D2:D500, MATCH(B36&amp;C36, INDEX('01.25'!B2:B500&amp;'01.25'!C2:C500, 0), 0))="", "", INDEX('01.25'!D2:D500, MATCH(B36&amp;C36, INDEX('01.25'!B2:B500&amp;'01.25'!C2:C500, 0), 0))), "")</f>
        <v>Kelly Jackeline Silva do Valle</v>
      </c>
      <c r="E36" s="107" t="s">
        <v>16</v>
      </c>
      <c r="F36" s="45" t="s">
        <v>342</v>
      </c>
      <c r="G36" s="52" t="s">
        <v>131</v>
      </c>
      <c r="H36" s="45" t="s">
        <v>551</v>
      </c>
      <c r="I36" s="45"/>
      <c r="J36" s="45" t="s">
        <v>140</v>
      </c>
      <c r="K36" s="45"/>
    </row>
    <row r="37" spans="1:11" x14ac:dyDescent="0.25">
      <c r="A37" s="47" t="s">
        <v>28</v>
      </c>
      <c r="B37" s="45" t="s">
        <v>96</v>
      </c>
      <c r="C37" s="45">
        <v>1</v>
      </c>
      <c r="D37" s="45" t="str">
        <f>IFERROR(IF(INDEX('01.25'!D2:D500, MATCH(B37&amp;C37, INDEX('01.25'!B2:B500&amp;'01.25'!C2:C500, 0), 0))="", "", INDEX('01.25'!D2:D500, MATCH(B37&amp;C37, INDEX('01.25'!B2:B500&amp;'01.25'!C2:C500, 0), 0))), "")</f>
        <v>Felipe Carvalho Zydek</v>
      </c>
      <c r="E37" s="107" t="s">
        <v>16</v>
      </c>
      <c r="F37" s="45" t="s">
        <v>342</v>
      </c>
      <c r="G37" s="52" t="s">
        <v>131</v>
      </c>
      <c r="H37" s="45" t="s">
        <v>149</v>
      </c>
      <c r="I37" s="45"/>
      <c r="J37" s="45" t="s">
        <v>140</v>
      </c>
      <c r="K37" s="45"/>
    </row>
    <row r="38" spans="1:11" x14ac:dyDescent="0.25">
      <c r="A38" s="48" t="s">
        <v>38</v>
      </c>
      <c r="B38" s="45" t="s">
        <v>107</v>
      </c>
      <c r="C38" s="45">
        <v>1</v>
      </c>
      <c r="D38" s="45" t="str">
        <f>IFERROR(IF(INDEX('01.25'!D2:D500, MATCH(B38&amp;C38, INDEX('01.25'!B2:B500&amp;'01.25'!C2:C500, 0), 0))="", "", INDEX('01.25'!D2:D500, MATCH(B38&amp;C38, INDEX('01.25'!B2:B500&amp;'01.25'!C2:C500, 0), 0))), "")</f>
        <v>Eliane Borin</v>
      </c>
      <c r="E38" s="107" t="s">
        <v>16</v>
      </c>
      <c r="F38" s="45" t="s">
        <v>622</v>
      </c>
      <c r="G38" s="46" t="s">
        <v>131</v>
      </c>
      <c r="H38" s="45" t="s">
        <v>708</v>
      </c>
      <c r="I38" s="45"/>
      <c r="J38" s="45" t="s">
        <v>140</v>
      </c>
      <c r="K38" s="45"/>
    </row>
    <row r="39" spans="1:11" x14ac:dyDescent="0.25">
      <c r="A39" s="50" t="s">
        <v>42</v>
      </c>
      <c r="B39" s="45" t="s">
        <v>117</v>
      </c>
      <c r="C39" s="45">
        <v>1</v>
      </c>
      <c r="D39" s="45" t="str">
        <f>IFERROR(IF(INDEX('01.25'!D2:D500, MATCH(B39&amp;C39, INDEX('01.25'!B2:B500&amp;'01.25'!C2:C500, 0), 0))="", "", INDEX('01.25'!D2:D500, MATCH(B39&amp;C39, INDEX('01.25'!B2:B500&amp;'01.25'!C2:C500, 0), 0))), "")</f>
        <v>Tatiana schrard</v>
      </c>
      <c r="E39" s="107" t="s">
        <v>16</v>
      </c>
      <c r="F39" s="45" t="s">
        <v>271</v>
      </c>
      <c r="G39" s="46" t="s">
        <v>140</v>
      </c>
      <c r="H39" s="45"/>
      <c r="I39" s="45"/>
      <c r="J39" s="45" t="s">
        <v>140</v>
      </c>
      <c r="K39" s="45"/>
    </row>
    <row r="40" spans="1:11" x14ac:dyDescent="0.25">
      <c r="A40" s="48" t="s">
        <v>38</v>
      </c>
      <c r="B40" s="45" t="s">
        <v>81</v>
      </c>
      <c r="C40" s="45">
        <v>1</v>
      </c>
      <c r="D40" s="45" t="str">
        <f>IFERROR(IF(INDEX('01.25'!D2:D500, MATCH(B40&amp;C40, INDEX('01.25'!B2:B500&amp;'01.25'!C2:C500, 0), 0))="", "", INDEX('01.25'!D2:D500, MATCH(B40&amp;C40, INDEX('01.25'!B2:B500&amp;'01.25'!C2:C500, 0), 0))), "")</f>
        <v>César Piva Glinglani</v>
      </c>
      <c r="E40" s="107" t="s">
        <v>16</v>
      </c>
      <c r="F40" s="45" t="s">
        <v>643</v>
      </c>
      <c r="G40" s="46" t="s">
        <v>140</v>
      </c>
      <c r="H40" s="45"/>
      <c r="I40" s="45"/>
      <c r="J40" s="45" t="s">
        <v>140</v>
      </c>
      <c r="K40" s="45"/>
    </row>
    <row r="41" spans="1:11" x14ac:dyDescent="0.25">
      <c r="A41" s="49" t="s">
        <v>43</v>
      </c>
      <c r="B41" s="45" t="s">
        <v>128</v>
      </c>
      <c r="C41" s="45">
        <v>1</v>
      </c>
      <c r="D41" s="45" t="str">
        <f>IFERROR(IF(INDEX('01.25'!D2:D500, MATCH(B41&amp;C41, INDEX('01.25'!B2:B500&amp;'01.25'!C2:C500, 0), 0))="", "", INDEX('01.25'!D2:D500, MATCH(B41&amp;C41, INDEX('01.25'!B2:B500&amp;'01.25'!C2:C500, 0), 0))), "")</f>
        <v>Ailton Carlos Fialho</v>
      </c>
      <c r="E41" s="107" t="s">
        <v>16</v>
      </c>
      <c r="F41" s="45" t="s">
        <v>633</v>
      </c>
      <c r="G41" s="52" t="s">
        <v>131</v>
      </c>
      <c r="H41" s="45" t="s">
        <v>542</v>
      </c>
      <c r="I41" s="45"/>
      <c r="J41" s="45" t="s">
        <v>140</v>
      </c>
      <c r="K41" s="45"/>
    </row>
    <row r="42" spans="1:11" x14ac:dyDescent="0.25">
      <c r="A42" s="50" t="s">
        <v>42</v>
      </c>
      <c r="B42" s="45" t="s">
        <v>82</v>
      </c>
      <c r="C42" s="45">
        <v>1</v>
      </c>
      <c r="D42" s="45" t="str">
        <f>IFERROR(IF(INDEX('01.25'!D2:D500, MATCH(B42&amp;C42, INDEX('01.25'!B2:B500&amp;'01.25'!C2:C500, 0), 0))="", "", INDEX('01.25'!D2:D500, MATCH(B42&amp;C42, INDEX('01.25'!B2:B500&amp;'01.25'!C2:C500, 0), 0))), "")</f>
        <v>Marcos José Chaves</v>
      </c>
      <c r="E42" s="107" t="s">
        <v>16</v>
      </c>
      <c r="F42" s="45" t="s">
        <v>643</v>
      </c>
      <c r="G42" s="46" t="s">
        <v>140</v>
      </c>
      <c r="H42" s="45"/>
      <c r="I42" s="45"/>
      <c r="J42" s="45" t="s">
        <v>140</v>
      </c>
      <c r="K42" s="45"/>
    </row>
    <row r="43" spans="1:11" x14ac:dyDescent="0.25">
      <c r="A43" s="50" t="s">
        <v>42</v>
      </c>
      <c r="B43" s="45" t="s">
        <v>82</v>
      </c>
      <c r="C43" s="45">
        <v>2</v>
      </c>
      <c r="D43" s="45" t="str">
        <f>IFERROR(IF(INDEX('01.25'!D2:D500, MATCH(B43&amp;C43, INDEX('01.25'!B2:B500&amp;'01.25'!C2:C500, 0), 0))="", "", INDEX('01.25'!D2:D500, MATCH(B43&amp;C43, INDEX('01.25'!B2:B500&amp;'01.25'!C2:C500, 0), 0))), "")</f>
        <v>Diego Matheus Reinicke</v>
      </c>
      <c r="E43" s="107" t="s">
        <v>16</v>
      </c>
      <c r="F43" s="45" t="s">
        <v>189</v>
      </c>
      <c r="G43" s="46" t="s">
        <v>140</v>
      </c>
      <c r="H43" s="45"/>
      <c r="I43" s="45"/>
      <c r="J43" s="45" t="s">
        <v>140</v>
      </c>
      <c r="K43" s="45"/>
    </row>
    <row r="44" spans="1:11" x14ac:dyDescent="0.25">
      <c r="A44" s="48" t="s">
        <v>38</v>
      </c>
      <c r="B44" s="45" t="s">
        <v>76</v>
      </c>
      <c r="C44" s="45">
        <v>1</v>
      </c>
      <c r="D44" s="45" t="str">
        <f>IFERROR(IF(INDEX('01.25'!D2:D500, MATCH(B44&amp;C44, INDEX('01.25'!B2:B500&amp;'01.25'!C2:C500, 0), 0))="", "", INDEX('01.25'!D2:D500, MATCH(B44&amp;C44, INDEX('01.25'!B2:B500&amp;'01.25'!C2:C500, 0), 0))), "")</f>
        <v>Cleiton Manske</v>
      </c>
      <c r="E44" s="107" t="s">
        <v>16</v>
      </c>
      <c r="F44" s="45" t="s">
        <v>342</v>
      </c>
      <c r="G44" s="52" t="s">
        <v>131</v>
      </c>
      <c r="H44" s="45"/>
      <c r="I44" s="45"/>
      <c r="J44" s="45" t="s">
        <v>140</v>
      </c>
      <c r="K44" s="45"/>
    </row>
    <row r="45" spans="1:11" x14ac:dyDescent="0.25">
      <c r="A45" s="50" t="s">
        <v>42</v>
      </c>
      <c r="B45" s="45" t="s">
        <v>118</v>
      </c>
      <c r="C45" s="45">
        <v>1</v>
      </c>
      <c r="D45" s="45" t="str">
        <f>IFERROR(IF(INDEX('01.25'!D2:D500, MATCH(B45&amp;C45, INDEX('01.25'!B2:B500&amp;'01.25'!C2:C500, 0), 0))="", "", INDEX('01.25'!D2:D500, MATCH(B45&amp;C45, INDEX('01.25'!B2:B500&amp;'01.25'!C2:C500, 0), 0))), "")</f>
        <v>Alexandro Aparecido de Lima Vieira</v>
      </c>
      <c r="E45" s="107" t="s">
        <v>16</v>
      </c>
      <c r="F45" s="45" t="s">
        <v>632</v>
      </c>
      <c r="G45" s="52" t="s">
        <v>131</v>
      </c>
      <c r="H45" s="45" t="s">
        <v>644</v>
      </c>
      <c r="I45" s="45"/>
      <c r="J45" s="45" t="s">
        <v>140</v>
      </c>
      <c r="K45" s="45"/>
    </row>
    <row r="46" spans="1:11" x14ac:dyDescent="0.25">
      <c r="A46" s="51" t="s">
        <v>40</v>
      </c>
      <c r="B46" s="45" t="s">
        <v>111</v>
      </c>
      <c r="C46" s="45">
        <v>1</v>
      </c>
      <c r="D46" s="45" t="str">
        <f>IFERROR(IF(INDEX('01.25'!D2:D500, MATCH(B46&amp;C46, INDEX('01.25'!B2:B500&amp;'01.25'!C2:C500, 0), 0))="", "", INDEX('01.25'!D2:D500, MATCH(B46&amp;C46, INDEX('01.25'!B2:B500&amp;'01.25'!C2:C500, 0), 0))), "")</f>
        <v>Rafael Henrique Caetano</v>
      </c>
      <c r="E46" s="107" t="s">
        <v>16</v>
      </c>
      <c r="F46" s="45" t="s">
        <v>639</v>
      </c>
      <c r="G46" s="52" t="s">
        <v>131</v>
      </c>
      <c r="H46" s="45" t="s">
        <v>645</v>
      </c>
      <c r="I46" s="45"/>
      <c r="J46" s="45" t="s">
        <v>140</v>
      </c>
      <c r="K46" s="45"/>
    </row>
    <row r="47" spans="1:11" x14ac:dyDescent="0.25">
      <c r="A47" s="44" t="s">
        <v>36</v>
      </c>
      <c r="B47" s="45" t="s">
        <v>100</v>
      </c>
      <c r="C47" s="45">
        <v>1</v>
      </c>
      <c r="D47" s="45" t="str">
        <f>IFERROR(IF(INDEX('01.25'!D2:D500, MATCH(B47&amp;C47, INDEX('01.25'!B2:B500&amp;'01.25'!C2:C500, 0), 0))="", "", INDEX('01.25'!D2:D500, MATCH(B47&amp;C47, INDEX('01.25'!B2:B500&amp;'01.25'!C2:C500, 0), 0))), "")</f>
        <v>Roberto Pedron</v>
      </c>
      <c r="E47" s="107" t="s">
        <v>16</v>
      </c>
      <c r="F47" s="45" t="s">
        <v>632</v>
      </c>
      <c r="G47" s="46" t="s">
        <v>140</v>
      </c>
      <c r="H47" s="45"/>
      <c r="I47" s="45"/>
      <c r="J47" s="45" t="s">
        <v>140</v>
      </c>
      <c r="K47" s="45"/>
    </row>
    <row r="48" spans="1:11" x14ac:dyDescent="0.25">
      <c r="A48" s="50" t="s">
        <v>42</v>
      </c>
      <c r="B48" s="45" t="s">
        <v>119</v>
      </c>
      <c r="C48" s="45">
        <v>1</v>
      </c>
      <c r="D48" s="45" t="str">
        <f>IFERROR(IF(INDEX('01.25'!D2:D500, MATCH(B48&amp;C48, INDEX('01.25'!B2:B500&amp;'01.25'!C2:C500, 0), 0))="", "", INDEX('01.25'!D2:D500, MATCH(B48&amp;C48, INDEX('01.25'!B2:B500&amp;'01.25'!C2:C500, 0), 0))), "")</f>
        <v>Luciane Spies</v>
      </c>
      <c r="E48" s="107" t="s">
        <v>16</v>
      </c>
      <c r="F48" s="45" t="s">
        <v>403</v>
      </c>
      <c r="G48" s="46" t="s">
        <v>140</v>
      </c>
      <c r="H48" s="45"/>
      <c r="I48" s="45"/>
      <c r="J48" s="45" t="s">
        <v>140</v>
      </c>
      <c r="K48" s="45"/>
    </row>
    <row r="49" spans="1:11" x14ac:dyDescent="0.25">
      <c r="A49" s="44" t="s">
        <v>36</v>
      </c>
      <c r="B49" s="45" t="s">
        <v>77</v>
      </c>
      <c r="C49" s="45">
        <v>1</v>
      </c>
      <c r="D49" s="45" t="str">
        <f>IFERROR(IF(INDEX('01.25'!D2:D500, MATCH(B49&amp;C49, INDEX('01.25'!B2:B500&amp;'01.25'!C2:C500, 0), 0))="", "", INDEX('01.25'!D2:D500, MATCH(B49&amp;C49, INDEX('01.25'!B2:B500&amp;'01.25'!C2:C500, 0), 0))), "")</f>
        <v>Jaqueline Fernanda Meireles</v>
      </c>
      <c r="E49" s="107" t="s">
        <v>16</v>
      </c>
      <c r="F49" s="45" t="s">
        <v>636</v>
      </c>
      <c r="G49" s="46" t="s">
        <v>140</v>
      </c>
      <c r="H49" s="45"/>
      <c r="I49" s="45"/>
      <c r="J49" s="45" t="s">
        <v>140</v>
      </c>
      <c r="K49" s="45"/>
    </row>
    <row r="50" spans="1:11" x14ac:dyDescent="0.25">
      <c r="A50" s="48" t="s">
        <v>38</v>
      </c>
      <c r="B50" s="45" t="s">
        <v>108</v>
      </c>
      <c r="C50" s="45">
        <v>1</v>
      </c>
      <c r="D50" s="45" t="str">
        <f>IFERROR(IF(INDEX('01.25'!D2:D500, MATCH(B50&amp;C50, INDEX('01.25'!B2:B500&amp;'01.25'!C2:C500, 0), 0))="", "", INDEX('01.25'!D2:D500, MATCH(B50&amp;C50, INDEX('01.25'!B2:B500&amp;'01.25'!C2:C500, 0), 0))), "")</f>
        <v>Luiz Fernando Pereira Barbosa</v>
      </c>
      <c r="E50" s="107" t="s">
        <v>16</v>
      </c>
      <c r="F50" s="45" t="s">
        <v>438</v>
      </c>
      <c r="G50" s="46" t="s">
        <v>140</v>
      </c>
      <c r="H50" s="45"/>
      <c r="I50" s="45"/>
      <c r="J50" s="45" t="s">
        <v>140</v>
      </c>
      <c r="K50" s="45"/>
    </row>
    <row r="51" spans="1:11" x14ac:dyDescent="0.25">
      <c r="A51" s="44" t="s">
        <v>36</v>
      </c>
      <c r="B51" s="45" t="s">
        <v>101</v>
      </c>
      <c r="C51" s="45">
        <v>1</v>
      </c>
      <c r="D51" s="45" t="str">
        <f>IFERROR(IF(INDEX('01.25'!D2:D500, MATCH(B51&amp;C51, INDEX('01.25'!B2:B500&amp;'01.25'!C2:C500, 0), 0))="", "", INDEX('01.25'!D2:D500, MATCH(B51&amp;C51, INDEX('01.25'!B2:B500&amp;'01.25'!C2:C500, 0), 0))), "")</f>
        <v>Carolina Eggers</v>
      </c>
      <c r="E51" s="107" t="s">
        <v>16</v>
      </c>
      <c r="F51" s="45" t="s">
        <v>633</v>
      </c>
      <c r="G51" s="46" t="s">
        <v>140</v>
      </c>
      <c r="H51" s="45"/>
      <c r="I51" s="45"/>
      <c r="J51" s="45" t="s">
        <v>140</v>
      </c>
      <c r="K51" s="45"/>
    </row>
    <row r="52" spans="1:11" x14ac:dyDescent="0.25">
      <c r="A52" s="44" t="s">
        <v>36</v>
      </c>
      <c r="B52" s="45" t="s">
        <v>102</v>
      </c>
      <c r="C52" s="45">
        <v>1</v>
      </c>
      <c r="D52" s="45" t="str">
        <f>IFERROR(IF(INDEX('01.25'!D2:D500, MATCH(B52&amp;C52, INDEX('01.25'!B2:B500&amp;'01.25'!C2:C500, 0), 0))="", "", INDEX('01.25'!D2:D500, MATCH(B52&amp;C52, INDEX('01.25'!B2:B500&amp;'01.25'!C2:C500, 0), 0))), "")</f>
        <v>Ivan Gonçalves da Silva</v>
      </c>
      <c r="E52" s="107" t="s">
        <v>16</v>
      </c>
      <c r="F52" s="45" t="s">
        <v>622</v>
      </c>
      <c r="G52" s="46" t="s">
        <v>140</v>
      </c>
      <c r="H52" s="45"/>
      <c r="I52" s="45"/>
      <c r="J52" s="45" t="s">
        <v>140</v>
      </c>
      <c r="K52" s="45"/>
    </row>
    <row r="53" spans="1:11" x14ac:dyDescent="0.25">
      <c r="A53" s="48" t="s">
        <v>38</v>
      </c>
      <c r="B53" s="45" t="s">
        <v>83</v>
      </c>
      <c r="C53" s="45">
        <v>1</v>
      </c>
      <c r="D53" s="45" t="str">
        <f>IFERROR(IF(INDEX('01.25'!D2:D500, MATCH(B53&amp;C53, INDEX('01.25'!B2:B500&amp;'01.25'!C2:C500, 0), 0))="", "", INDEX('01.25'!D2:D500, MATCH(B53&amp;C53, INDEX('01.25'!B2:B500&amp;'01.25'!C2:C500, 0), 0))), "")</f>
        <v>Dorival Manoel Canhete</v>
      </c>
      <c r="E53" s="107" t="s">
        <v>16</v>
      </c>
      <c r="F53" s="45" t="s">
        <v>580</v>
      </c>
      <c r="G53" s="46" t="s">
        <v>140</v>
      </c>
      <c r="H53" s="45"/>
      <c r="I53" s="45"/>
      <c r="J53" s="45" t="s">
        <v>140</v>
      </c>
      <c r="K53" s="45"/>
    </row>
    <row r="54" spans="1:11" x14ac:dyDescent="0.25">
      <c r="A54" s="50" t="s">
        <v>42</v>
      </c>
      <c r="B54" s="45" t="s">
        <v>120</v>
      </c>
      <c r="C54" s="45">
        <v>1</v>
      </c>
      <c r="D54" s="45" t="str">
        <f>IFERROR(IF(INDEX('01.25'!D2:D500, MATCH(B54&amp;C54, INDEX('01.25'!B2:B500&amp;'01.25'!C2:C500, 0), 0))="", "", INDEX('01.25'!D2:D500, MATCH(B54&amp;C54, INDEX('01.25'!B2:B500&amp;'01.25'!C2:C500, 0), 0))), "")</f>
        <v>Jaqueline Vanelli</v>
      </c>
      <c r="E54" s="107" t="s">
        <v>16</v>
      </c>
      <c r="F54" s="45" t="s">
        <v>622</v>
      </c>
      <c r="G54" s="46" t="s">
        <v>140</v>
      </c>
      <c r="H54" s="45"/>
      <c r="I54" s="45"/>
      <c r="J54" s="45" t="s">
        <v>140</v>
      </c>
      <c r="K54" s="45"/>
    </row>
    <row r="55" spans="1:11" x14ac:dyDescent="0.25">
      <c r="A55" s="44" t="s">
        <v>36</v>
      </c>
      <c r="B55" s="45" t="s">
        <v>103</v>
      </c>
      <c r="C55" s="45">
        <v>1</v>
      </c>
      <c r="D55" s="45" t="str">
        <f>IFERROR(IF(INDEX('01.25'!D2:D500, MATCH(B55&amp;C55, INDEX('01.25'!B2:B500&amp;'01.25'!C2:C500, 0), 0))="", "", INDEX('01.25'!D2:D500, MATCH(B55&amp;C55, INDEX('01.25'!B2:B500&amp;'01.25'!C2:C500, 0), 0))), "")</f>
        <v>Fernanda Jung</v>
      </c>
      <c r="E55" s="107" t="s">
        <v>16</v>
      </c>
      <c r="F55" s="45" t="s">
        <v>643</v>
      </c>
      <c r="G55" s="46" t="s">
        <v>140</v>
      </c>
      <c r="H55" s="45"/>
      <c r="I55" s="45"/>
      <c r="J55" s="45" t="s">
        <v>140</v>
      </c>
      <c r="K55" s="45"/>
    </row>
    <row r="56" spans="1:11" x14ac:dyDescent="0.25">
      <c r="A56" s="50" t="s">
        <v>42</v>
      </c>
      <c r="B56" s="45" t="s">
        <v>121</v>
      </c>
      <c r="C56" s="45">
        <v>1</v>
      </c>
      <c r="D56" s="45" t="str">
        <f>IFERROR(IF(INDEX('01.25'!D2:D500, MATCH(B56&amp;C56, INDEX('01.25'!B2:B500&amp;'01.25'!C2:C500, 0), 0))="", "", INDEX('01.25'!D2:D500, MATCH(B56&amp;C56, INDEX('01.25'!B2:B500&amp;'01.25'!C2:C500, 0), 0))), "")</f>
        <v>Ana Paula Romagnoli</v>
      </c>
      <c r="E56" s="107" t="s">
        <v>16</v>
      </c>
      <c r="F56" s="45" t="s">
        <v>189</v>
      </c>
      <c r="G56" s="46" t="s">
        <v>140</v>
      </c>
      <c r="H56" s="45"/>
      <c r="I56" s="45"/>
      <c r="J56" s="45" t="s">
        <v>140</v>
      </c>
      <c r="K56" s="45"/>
    </row>
    <row r="57" spans="1:11" x14ac:dyDescent="0.25">
      <c r="A57" s="50" t="s">
        <v>42</v>
      </c>
      <c r="B57" s="45" t="s">
        <v>122</v>
      </c>
      <c r="C57" s="45">
        <v>1</v>
      </c>
      <c r="D57" s="45" t="str">
        <f>IFERROR(IF(INDEX('01.25'!D2:D500, MATCH(B57&amp;C57, INDEX('01.25'!B2:B500&amp;'01.25'!C2:C500, 0), 0))="", "", INDEX('01.25'!D2:D500, MATCH(B57&amp;C57, INDEX('01.25'!B2:B500&amp;'01.25'!C2:C500, 0), 0))), "")</f>
        <v>Alexandro Schaparini</v>
      </c>
      <c r="E57" s="106" t="s">
        <v>18</v>
      </c>
      <c r="F57" s="45"/>
      <c r="G57" s="46" t="s">
        <v>140</v>
      </c>
      <c r="H57" s="45"/>
      <c r="I57" s="45"/>
      <c r="J57" s="45" t="s">
        <v>140</v>
      </c>
      <c r="K57" s="45"/>
    </row>
    <row r="58" spans="1:11" ht="28.5" customHeight="1" x14ac:dyDescent="0.25">
      <c r="A58" s="49" t="s">
        <v>43</v>
      </c>
      <c r="B58" s="45" t="s">
        <v>129</v>
      </c>
      <c r="C58" s="45">
        <v>1</v>
      </c>
      <c r="D58" s="45" t="str">
        <f>IFERROR(IF(INDEX('01.25'!D2:D500, MATCH(B58&amp;C58, INDEX('01.25'!B2:B500&amp;'01.25'!C2:C500, 0), 0))="", "", INDEX('01.25'!D2:D500, MATCH(B58&amp;C58, INDEX('01.25'!B2:B500&amp;'01.25'!C2:C500, 0), 0))), "")</f>
        <v>Marina Ancelmo da Silva</v>
      </c>
      <c r="E58" s="107" t="s">
        <v>16</v>
      </c>
      <c r="F58" s="45" t="s">
        <v>342</v>
      </c>
      <c r="G58" s="52" t="s">
        <v>131</v>
      </c>
      <c r="H58" s="57" t="s">
        <v>646</v>
      </c>
      <c r="I58" s="45"/>
      <c r="J58" s="45" t="s">
        <v>140</v>
      </c>
      <c r="K58" s="45"/>
    </row>
    <row r="59" spans="1:11" x14ac:dyDescent="0.25">
      <c r="A59" s="49" t="s">
        <v>43</v>
      </c>
      <c r="B59" s="45" t="s">
        <v>130</v>
      </c>
      <c r="C59" s="45">
        <v>1</v>
      </c>
      <c r="D59" s="45" t="str">
        <f>IFERROR(IF(INDEX('01.25'!D2:D500, MATCH(B59&amp;C59, INDEX('01.25'!B2:B500&amp;'01.25'!C2:C500, 0), 0))="", "", INDEX('01.25'!D2:D500, MATCH(B59&amp;C59, INDEX('01.25'!B2:B500&amp;'01.25'!C2:C500, 0), 0))), "")</f>
        <v>Ana Carolina Peterle Ribeiro</v>
      </c>
      <c r="E59" s="107" t="s">
        <v>16</v>
      </c>
      <c r="F59" s="45" t="s">
        <v>647</v>
      </c>
      <c r="G59" s="46" t="s">
        <v>131</v>
      </c>
      <c r="H59" s="45" t="s">
        <v>626</v>
      </c>
      <c r="I59" s="45"/>
      <c r="J59" s="45" t="s">
        <v>140</v>
      </c>
      <c r="K59" s="45"/>
    </row>
    <row r="60" spans="1:11" x14ac:dyDescent="0.25">
      <c r="A60" s="51" t="s">
        <v>40</v>
      </c>
      <c r="B60" s="45" t="s">
        <v>112</v>
      </c>
      <c r="C60" s="45">
        <v>1</v>
      </c>
      <c r="D60" s="45" t="str">
        <f>IFERROR(IF(INDEX('01.25'!D2:D500, MATCH(B60&amp;C60, INDEX('01.25'!B2:B500&amp;'01.25'!C2:C500, 0), 0))="", "", INDEX('01.25'!D2:D500, MATCH(B60&amp;C60, INDEX('01.25'!B2:B500&amp;'01.25'!C2:C500, 0), 0))), "")</f>
        <v>Taiane Amélia Mondardo</v>
      </c>
      <c r="E60" s="107" t="s">
        <v>16</v>
      </c>
      <c r="F60" s="45" t="s">
        <v>271</v>
      </c>
      <c r="G60" s="52" t="s">
        <v>131</v>
      </c>
      <c r="H60" s="45"/>
      <c r="I60" s="45"/>
      <c r="J60" s="45" t="s">
        <v>140</v>
      </c>
      <c r="K60" s="45"/>
    </row>
    <row r="61" spans="1:11" x14ac:dyDescent="0.25">
      <c r="A61" s="44" t="s">
        <v>36</v>
      </c>
      <c r="B61" s="45" t="s">
        <v>104</v>
      </c>
      <c r="C61" s="45">
        <v>1</v>
      </c>
      <c r="D61" s="45" t="str">
        <f>IFERROR(IF(INDEX('01.25'!D2:D500, MATCH(B61&amp;C61, INDEX('01.25'!B2:B500&amp;'01.25'!C2:C500, 0), 0))="", "", INDEX('01.25'!D2:D500, MATCH(B61&amp;C61, INDEX('01.25'!B2:B500&amp;'01.25'!C2:C500, 0), 0))), "")</f>
        <v>Regiane Lucia Pereira</v>
      </c>
      <c r="E61" s="107" t="s">
        <v>16</v>
      </c>
      <c r="F61" s="45" t="s">
        <v>633</v>
      </c>
      <c r="G61" s="46" t="s">
        <v>140</v>
      </c>
      <c r="H61" s="45"/>
      <c r="I61" s="45"/>
      <c r="J61" s="45" t="s">
        <v>140</v>
      </c>
      <c r="K61" s="45"/>
    </row>
    <row r="62" spans="1:11" x14ac:dyDescent="0.25">
      <c r="A62" s="51" t="s">
        <v>40</v>
      </c>
      <c r="B62" s="45" t="s">
        <v>113</v>
      </c>
      <c r="C62" s="45">
        <v>1</v>
      </c>
      <c r="D62" s="45" t="str">
        <f>IFERROR(IF(INDEX('01.25'!D2:D500, MATCH(B62&amp;C62, INDEX('01.25'!B2:B500&amp;'01.25'!C2:C500, 0), 0))="", "", INDEX('01.25'!D2:D500, MATCH(B62&amp;C62, INDEX('01.25'!B2:B500&amp;'01.25'!C2:C500, 0), 0))), "")</f>
        <v>Andryws Rafael Gois</v>
      </c>
      <c r="E62" s="107" t="s">
        <v>16</v>
      </c>
      <c r="F62" s="45" t="s">
        <v>639</v>
      </c>
      <c r="G62" s="52" t="s">
        <v>131</v>
      </c>
      <c r="H62" s="45"/>
      <c r="I62" s="45"/>
      <c r="J62" s="45" t="s">
        <v>140</v>
      </c>
      <c r="K62" s="45"/>
    </row>
    <row r="63" spans="1:11" x14ac:dyDescent="0.25">
      <c r="A63" s="50" t="s">
        <v>42</v>
      </c>
      <c r="B63" s="45" t="s">
        <v>123</v>
      </c>
      <c r="C63" s="45">
        <v>1</v>
      </c>
      <c r="D63" s="45" t="str">
        <f>IFERROR(IF(INDEX('01.25'!D2:D500, MATCH(B63&amp;C63, INDEX('01.25'!B2:B500&amp;'01.25'!C2:C500, 0), 0))="", "", INDEX('01.25'!D2:D500, MATCH(B63&amp;C63, INDEX('01.25'!B2:B500&amp;'01.25'!C2:C500, 0), 0))), "")</f>
        <v>Mayara Ketllyn de Paula Rosetti</v>
      </c>
      <c r="E63" s="107" t="s">
        <v>16</v>
      </c>
      <c r="F63" s="45" t="s">
        <v>633</v>
      </c>
      <c r="G63" s="46" t="s">
        <v>140</v>
      </c>
      <c r="H63" s="45"/>
      <c r="I63" s="45"/>
      <c r="J63" s="45" t="s">
        <v>140</v>
      </c>
      <c r="K63" s="45"/>
    </row>
    <row r="64" spans="1:11" x14ac:dyDescent="0.25">
      <c r="A64" s="51" t="s">
        <v>40</v>
      </c>
      <c r="B64" s="45" t="s">
        <v>114</v>
      </c>
      <c r="C64" s="45">
        <v>1</v>
      </c>
      <c r="D64" s="45" t="str">
        <f>IFERROR(IF(INDEX('01.25'!D2:D500, MATCH(B64&amp;C64, INDEX('01.25'!B2:B500&amp;'01.25'!C2:C500, 0), 0))="", "", INDEX('01.25'!D2:D500, MATCH(B64&amp;C64, INDEX('01.25'!B2:B500&amp;'01.25'!C2:C500, 0), 0))), "")</f>
        <v>Junior Andre Britzke</v>
      </c>
      <c r="E64" s="107" t="s">
        <v>16</v>
      </c>
      <c r="F64" s="45" t="s">
        <v>622</v>
      </c>
      <c r="G64" s="52" t="s">
        <v>131</v>
      </c>
      <c r="H64" s="45" t="s">
        <v>645</v>
      </c>
      <c r="I64" s="45"/>
      <c r="J64" s="45" t="s">
        <v>140</v>
      </c>
      <c r="K64" s="45"/>
    </row>
    <row r="65" spans="1:11" x14ac:dyDescent="0.25">
      <c r="A65" s="44" t="s">
        <v>36</v>
      </c>
      <c r="B65" s="45" t="s">
        <v>105</v>
      </c>
      <c r="C65" s="45">
        <v>1</v>
      </c>
      <c r="D65" s="45" t="str">
        <f>IFERROR(IF(INDEX('01.25'!D2:D500, MATCH(B65&amp;C65, INDEX('01.25'!B2:B500&amp;'01.25'!C2:C500, 0), 0))="", "", INDEX('01.25'!D2:D500, MATCH(B65&amp;C65, INDEX('01.25'!B2:B500&amp;'01.25'!C2:C500, 0), 0))), "")</f>
        <v>Adriano Pereira Guedes</v>
      </c>
      <c r="E65" s="107" t="s">
        <v>16</v>
      </c>
      <c r="F65" s="45" t="s">
        <v>580</v>
      </c>
      <c r="G65" s="46" t="s">
        <v>140</v>
      </c>
      <c r="H65" s="45"/>
      <c r="I65" s="45"/>
      <c r="J65" s="45" t="s">
        <v>140</v>
      </c>
      <c r="K65" s="45"/>
    </row>
    <row r="66" spans="1:11" x14ac:dyDescent="0.25">
      <c r="A66" s="44" t="s">
        <v>36</v>
      </c>
      <c r="B66" s="45" t="s">
        <v>106</v>
      </c>
      <c r="C66" s="45">
        <v>1</v>
      </c>
      <c r="D66" s="45" t="str">
        <f>IFERROR(IF(INDEX('01.25'!D2:D500, MATCH(B66&amp;C66, INDEX('01.25'!B2:B500&amp;'01.25'!C2:C500, 0), 0))="", "", INDEX('01.25'!D2:D500, MATCH(B66&amp;C66, INDEX('01.25'!B2:B500&amp;'01.25'!C2:C500, 0), 0))), "")</f>
        <v xml:space="preserve">Suzana Cristina de Almeida </v>
      </c>
      <c r="E66" s="107" t="s">
        <v>16</v>
      </c>
      <c r="F66" s="45" t="s">
        <v>648</v>
      </c>
      <c r="G66" s="46" t="s">
        <v>140</v>
      </c>
      <c r="H66" s="45"/>
      <c r="I66" s="45"/>
      <c r="J66" s="45" t="s">
        <v>140</v>
      </c>
      <c r="K66" s="45"/>
    </row>
    <row r="67" spans="1:11" ht="28.5" customHeight="1" x14ac:dyDescent="0.25">
      <c r="A67" s="47" t="s">
        <v>28</v>
      </c>
      <c r="B67" s="45" t="s">
        <v>85</v>
      </c>
      <c r="C67" s="45">
        <v>1</v>
      </c>
      <c r="D67" s="45" t="str">
        <f>IFERROR(IF(INDEX('01.25'!D2:D500, MATCH(B67&amp;C67, INDEX('01.25'!B2:B500&amp;'01.25'!C2:C500, 0), 0))="", "", INDEX('01.25'!D2:D500, MATCH(B67&amp;C67, INDEX('01.25'!B2:B500&amp;'01.25'!C2:C500, 0), 0))), "")</f>
        <v>Alice Cristiane Zancheta</v>
      </c>
      <c r="E67" s="107" t="s">
        <v>16</v>
      </c>
      <c r="F67" s="45" t="s">
        <v>271</v>
      </c>
      <c r="G67" s="52" t="s">
        <v>131</v>
      </c>
      <c r="H67" s="57" t="s">
        <v>649</v>
      </c>
      <c r="I67" s="45"/>
      <c r="J67" s="45" t="s">
        <v>140</v>
      </c>
      <c r="K67" s="45"/>
    </row>
    <row r="68" spans="1:11" x14ac:dyDescent="0.25">
      <c r="A68" s="48" t="s">
        <v>38</v>
      </c>
      <c r="B68" s="45" t="s">
        <v>109</v>
      </c>
      <c r="C68" s="45">
        <v>1</v>
      </c>
      <c r="D68" s="45" t="str">
        <f>IFERROR(IF(INDEX('01.25'!D2:D500, MATCH(B68&amp;C68, INDEX('01.25'!B2:B500&amp;'01.25'!C2:C500, 0), 0))="", "", INDEX('01.25'!D2:D500, MATCH(B68&amp;C68, INDEX('01.25'!B2:B500&amp;'01.25'!C2:C500, 0), 0))), "")</f>
        <v>Fernanda kaezer de Godoy</v>
      </c>
      <c r="E68" s="107" t="s">
        <v>16</v>
      </c>
      <c r="F68" s="45" t="s">
        <v>632</v>
      </c>
      <c r="G68" s="46" t="s">
        <v>131</v>
      </c>
      <c r="H68" s="148" t="s">
        <v>704</v>
      </c>
      <c r="I68" s="45"/>
      <c r="J68" s="45" t="s">
        <v>140</v>
      </c>
      <c r="K68" s="45"/>
    </row>
    <row r="69" spans="1:11" x14ac:dyDescent="0.25">
      <c r="A69" s="48" t="s">
        <v>38</v>
      </c>
      <c r="B69" s="45" t="s">
        <v>110</v>
      </c>
      <c r="C69" s="45">
        <v>1</v>
      </c>
      <c r="D69" s="45" t="str">
        <f>IFERROR(IF(INDEX('01.25'!D2:D500, MATCH(B69&amp;C69, INDEX('01.25'!B2:B500&amp;'01.25'!C2:C500, 0), 0))="", "", INDEX('01.25'!D2:D500, MATCH(B69&amp;C69, INDEX('01.25'!B2:B500&amp;'01.25'!C2:C500, 0), 0))), "")</f>
        <v xml:space="preserve">Ademir Papini Júnior </v>
      </c>
      <c r="E69" s="107" t="s">
        <v>16</v>
      </c>
      <c r="F69" s="45" t="s">
        <v>631</v>
      </c>
      <c r="G69" s="46" t="s">
        <v>131</v>
      </c>
      <c r="H69" s="45" t="s">
        <v>710</v>
      </c>
      <c r="I69" s="45"/>
      <c r="J69" s="45" t="s">
        <v>140</v>
      </c>
      <c r="K69" s="45"/>
    </row>
    <row r="70" spans="1:11" x14ac:dyDescent="0.25">
      <c r="A70" s="50" t="s">
        <v>42</v>
      </c>
      <c r="B70" s="45" t="s">
        <v>124</v>
      </c>
      <c r="C70" s="45">
        <v>1</v>
      </c>
      <c r="D70" s="45" t="str">
        <f>IFERROR(IF(INDEX('01.25'!D2:D500, MATCH(B70&amp;C70, INDEX('01.25'!B2:B500&amp;'01.25'!C2:C500, 0), 0))="", "", INDEX('01.25'!D2:D500, MATCH(B70&amp;C70, INDEX('01.25'!B2:B500&amp;'01.25'!C2:C500, 0), 0))), "")</f>
        <v>Heloísa Maria Beloni Insenha</v>
      </c>
      <c r="E70" s="107" t="s">
        <v>16</v>
      </c>
      <c r="F70" s="45" t="s">
        <v>643</v>
      </c>
      <c r="G70" s="46" t="s">
        <v>140</v>
      </c>
      <c r="H70" s="45"/>
      <c r="I70" s="45"/>
      <c r="J70" s="45" t="s">
        <v>140</v>
      </c>
      <c r="K70" s="45"/>
    </row>
  </sheetData>
  <autoFilter ref="A1:G1" xr:uid="{00000000-0009-0000-0000-000011000000}"/>
  <conditionalFormatting sqref="E2:E70">
    <cfRule type="cellIs" dxfId="36" priority="6" stopIfTrue="1" operator="equal">
      <formula>"Enviado"</formula>
    </cfRule>
    <cfRule type="cellIs" dxfId="35" priority="7" stopIfTrue="1" operator="equal">
      <formula>"Atrasado"</formula>
    </cfRule>
    <cfRule type="cellIs" dxfId="34" priority="8" stopIfTrue="1" operator="equal">
      <formula>"Atrasado &gt;= 2"</formula>
    </cfRule>
    <cfRule type="cellIs" dxfId="33" priority="9" stopIfTrue="1" operator="equal">
      <formula>"Outras Ocorrências"</formula>
    </cfRule>
    <cfRule type="cellIs" dxfId="32" priority="10" stopIfTrue="1" operator="equal">
      <formula>"Sem Técnico"</formula>
    </cfRule>
    <cfRule type="cellIs" dxfId="31" priority="11" stopIfTrue="1" operator="equal">
      <formula>"Duplicado"</formula>
    </cfRule>
  </conditionalFormatting>
  <conditionalFormatting sqref="G2:G70">
    <cfRule type="cellIs" dxfId="30" priority="1" stopIfTrue="1" operator="equal">
      <formula>"Sim"</formula>
    </cfRule>
    <cfRule type="cellIs" dxfId="29" priority="3" stopIfTrue="1" operator="equal">
      <formula>"Não"</formula>
    </cfRule>
  </conditionalFormatting>
  <conditionalFormatting sqref="J2:J70">
    <cfRule type="cellIs" dxfId="28" priority="4" stopIfTrue="1" operator="equal">
      <formula>"Sim"</formula>
    </cfRule>
    <cfRule type="cellIs" dxfId="27" priority="4" stopIfTrue="1" operator="equal">
      <formula>"Não"</formula>
    </cfRule>
    <cfRule type="cellIs" dxfId="26" priority="5" stopIfTrue="1" operator="equal">
      <formula>"Em Análise"</formula>
    </cfRule>
  </conditionalFormatting>
  <dataValidations count="3">
    <dataValidation type="list" allowBlank="1" sqref="G2 G3 G4 G5 G6 G7 G8 G9 G10 G11 G12 G13 G14 G15 G16 G17 G18 G19 G20 G21 G22 G23 G24 G25 G26 G27 G28 G29 G30 G31 G32 G33 G34 G35 G36 G37 G38 G39 G40 G41 G42 G43 G44 G45 G46 G47 G48 G49 G50 G51 G52 G53 G54 G55 G56 G57 G58 G59 G60 G61 G62 G63 G64 G65 G66 G67 G68 G69 G70" xr:uid="{00000000-0002-0000-1100-000000000000}">
      <formula1>"Sim,Não"</formula1>
    </dataValidation>
    <dataValidation type="list" allowBlank="1" sqref="J2 J3 J4 J5 J6 J7 J8 J9 J10 J11 J12 J13 J14 J15 J16 J17 J18 J19 J20 J21 J22 J23 J24 J25 J26 J27 J28 J29 J30 J31 J32 J33 J34 J35 J36 J37 J38 J39 J40 J41 J42 J43 J44 J45 J46 J47 J48 J49 J50 J51 J52 J53 J54 J55 J56 J57 J58 J59 J60 J61 J62 J63 J64 J65 J66 J67 J68 J69 J70" xr:uid="{00000000-0002-0000-1100-000001000000}">
      <formula1>"Sim,Não,Em Análise"</formula1>
    </dataValidation>
    <dataValidation type="list" allowBlank="1" sqref="E2 E3 E4 E5 E6 E7 E8 E9 E10 E11 E12 E13 E14 E15 E16 E17 E18 E19 E20 E21 E22 E23 E24 E25 E26 E27 E28 E29 E30 E31 E32 E33 E34 E35 E36 E37 E38 E39 E40 E41 E42 E43 E44 E45 E46 E47 E48 E49 E50 E51 E52 E53 E54 E55 E56 E57 E58 E59 E60 E61 E62 E63 E64 E65 E66 E67 E68 E69 E70" xr:uid="{00000000-0002-0000-1100-000002000000}">
      <formula1>"Enviado, Atrasado, Atrasado &gt;= 2, Outras Ocorrências, Sem Técnico, Duplicado"</formula1>
    </dataValidation>
  </dataValidations>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K2"/>
  <sheetViews>
    <sheetView workbookViewId="0">
      <pane xSplit="3" topLeftCell="D1" activePane="topRight" state="frozen"/>
      <selection pane="topRight"/>
    </sheetView>
  </sheetViews>
  <sheetFormatPr defaultRowHeight="15" x14ac:dyDescent="0.25"/>
  <cols>
    <col min="1" max="1" width="13" customWidth="1"/>
    <col min="2" max="2" width="14" customWidth="1"/>
    <col min="3" max="3" width="8" customWidth="1"/>
    <col min="4" max="4" width="22" customWidth="1"/>
    <col min="5" max="5" width="18" customWidth="1"/>
    <col min="6" max="6" width="22" customWidth="1"/>
    <col min="7" max="7" width="27" customWidth="1"/>
    <col min="8" max="8" width="60" customWidth="1"/>
    <col min="9" max="9" width="34" customWidth="1"/>
    <col min="10" max="11" width="26" customWidth="1"/>
  </cols>
  <sheetData>
    <row r="1" spans="1:11" x14ac:dyDescent="0.25">
      <c r="A1" s="43" t="s">
        <v>27</v>
      </c>
      <c r="B1" s="43" t="s">
        <v>70</v>
      </c>
      <c r="C1" s="43" t="s">
        <v>71</v>
      </c>
      <c r="D1" s="43" t="s">
        <v>132</v>
      </c>
      <c r="E1" s="43" t="s">
        <v>134</v>
      </c>
      <c r="F1" s="43" t="s">
        <v>667</v>
      </c>
      <c r="G1" s="43" t="s">
        <v>135</v>
      </c>
      <c r="H1" s="43" t="s">
        <v>136</v>
      </c>
      <c r="I1" s="43" t="s">
        <v>137</v>
      </c>
      <c r="J1" s="43" t="s">
        <v>668</v>
      </c>
      <c r="K1" s="43" t="s">
        <v>139</v>
      </c>
    </row>
    <row r="2" spans="1:11" x14ac:dyDescent="0.25">
      <c r="A2" s="44" t="s">
        <v>36</v>
      </c>
      <c r="B2" s="45" t="s">
        <v>669</v>
      </c>
      <c r="C2" s="45" t="s">
        <v>670</v>
      </c>
      <c r="D2" s="45" t="s">
        <v>671</v>
      </c>
      <c r="E2" s="45" t="s">
        <v>141</v>
      </c>
      <c r="F2" s="45" t="s">
        <v>672</v>
      </c>
      <c r="G2" s="45" t="s">
        <v>131</v>
      </c>
      <c r="H2" s="45" t="s">
        <v>673</v>
      </c>
      <c r="I2" s="45"/>
      <c r="J2" s="45" t="s">
        <v>140</v>
      </c>
      <c r="K2" s="45"/>
    </row>
  </sheetData>
  <autoFilter ref="A1:G1" xr:uid="{00000000-0009-0000-0000-000014000000}"/>
  <conditionalFormatting sqref="G2">
    <cfRule type="cellIs" dxfId="3" priority="1" stopIfTrue="1" operator="equal">
      <formula>"Sim"</formula>
    </cfRule>
    <cfRule type="cellIs" dxfId="2" priority="2" stopIfTrue="1" operator="equal">
      <formula>"Não"</formula>
    </cfRule>
  </conditionalFormatting>
  <conditionalFormatting sqref="J2">
    <cfRule type="cellIs" dxfId="1" priority="3" stopIfTrue="1" operator="equal">
      <formula>"Sim"</formula>
    </cfRule>
    <cfRule type="cellIs" dxfId="0" priority="3" stopIfTrue="1" operator="equal">
      <formula>"Não"</formula>
    </cfRule>
  </conditionalFormatting>
  <dataValidations count="1">
    <dataValidation type="list" sqref="G2 J2" xr:uid="{00000000-0002-0000-1400-000000000000}">
      <formula1>"Sim,Não"</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21</vt:i4>
      </vt:variant>
    </vt:vector>
  </HeadingPairs>
  <TitlesOfParts>
    <vt:vector size="21" baseType="lpstr">
      <vt:lpstr>Resumo</vt:lpstr>
      <vt:lpstr>Monitoramento</vt:lpstr>
      <vt:lpstr>Regionais</vt:lpstr>
      <vt:lpstr>08.24</vt:lpstr>
      <vt:lpstr>09.24</vt:lpstr>
      <vt:lpstr>10.24</vt:lpstr>
      <vt:lpstr>11.24</vt:lpstr>
      <vt:lpstr>12.24</vt:lpstr>
      <vt:lpstr>01.25</vt:lpstr>
      <vt:lpstr>02.25</vt:lpstr>
      <vt:lpstr>03.25</vt:lpstr>
      <vt:lpstr>04.25</vt:lpstr>
      <vt:lpstr>05.25</vt:lpstr>
      <vt:lpstr>06.25</vt:lpstr>
      <vt:lpstr>07.25</vt:lpstr>
      <vt:lpstr>08.25</vt:lpstr>
      <vt:lpstr>09.25</vt:lpstr>
      <vt:lpstr>11.25</vt:lpstr>
      <vt:lpstr>12.25</vt:lpstr>
      <vt:lpstr>10.25</vt:lpstr>
      <vt:lpstr>Irregulares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Luana Gabriela Lenhard</cp:lastModifiedBy>
  <cp:revision/>
  <dcterms:created xsi:type="dcterms:W3CDTF">2025-12-19T10:54:03Z</dcterms:created>
  <dcterms:modified xsi:type="dcterms:W3CDTF">2025-12-23T10:57:44Z</dcterms:modified>
  <cp:category/>
  <cp:contentStatus/>
</cp:coreProperties>
</file>