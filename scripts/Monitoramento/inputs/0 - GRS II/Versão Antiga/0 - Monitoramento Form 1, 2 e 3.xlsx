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1" documentId="11_48BE6F872BA8F2B68F9FF3AFD4FCE9B8E9FE9E6E" xr6:coauthVersionLast="47" xr6:coauthVersionMax="47" xr10:uidLastSave="{3D2E5D28-6291-4168-A4E4-FE7F59A8CFFB}"/>
  <bookViews>
    <workbookView xWindow="0" yWindow="0" windowWidth="0" windowHeight="0" firstSheet="4" activeTab="4" xr2:uid="{00000000-000D-0000-FFFF-FFFF00000000}"/>
  </bookViews>
  <sheets>
    <sheet name="Resumo" sheetId="1" r:id="rId1"/>
    <sheet name="Monitoramento" sheetId="2" r:id="rId2"/>
    <sheet name="Form 1 - Município" sheetId="3" r:id="rId3"/>
    <sheet name="Form 2 - UVR" sheetId="4" r:id="rId4"/>
    <sheet name="Form 3 - Empreendimento" sheetId="5" r:id="rId5"/>
  </sheets>
  <definedNames>
    <definedName name="_xlnm._FilterDatabase" localSheetId="2" hidden="1">'Form 1 - Município'!$A$1:$G$1</definedName>
    <definedName name="_xlnm._FilterDatabase" localSheetId="3" hidden="1">'Form 2 - UVR'!$A$1:$G$1</definedName>
    <definedName name="_xlnm._FilterDatabase" localSheetId="4" hidden="1">'Form 3 - Empreendimento'!$A$1:$G$1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0" i="5" l="1"/>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2" i="5"/>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D2" i="4"/>
  <c r="F46" i="2" a="1"/>
  <c r="F46" i="2"/>
  <c r="E46" i="2" a="1"/>
  <c r="E46" i="2"/>
  <c r="D46" i="2" a="1"/>
  <c r="D46" i="2"/>
  <c r="F45" i="2" a="1"/>
  <c r="F45" i="2"/>
  <c r="E45" i="2" a="1"/>
  <c r="E45" i="2"/>
  <c r="D45" i="2" a="1"/>
  <c r="D45" i="2"/>
  <c r="F44" i="2" a="1"/>
  <c r="F44" i="2"/>
  <c r="E44" i="2" a="1"/>
  <c r="E44" i="2"/>
  <c r="D44" i="2" a="1"/>
  <c r="D44" i="2"/>
  <c r="F43" i="2" a="1"/>
  <c r="F43" i="2"/>
  <c r="E43" i="2" a="1"/>
  <c r="E43" i="2"/>
  <c r="D43" i="2" a="1"/>
  <c r="D43" i="2"/>
  <c r="F42" i="2" a="1"/>
  <c r="F42" i="2"/>
  <c r="E42" i="2" a="1"/>
  <c r="E42" i="2"/>
  <c r="D42" i="2" a="1"/>
  <c r="D42" i="2"/>
  <c r="F41" i="2" a="1"/>
  <c r="F41" i="2"/>
  <c r="E41" i="2" a="1"/>
  <c r="E41" i="2"/>
  <c r="D41" i="2" a="1"/>
  <c r="D41" i="2"/>
  <c r="F40" i="2" a="1"/>
  <c r="F40" i="2"/>
  <c r="E40" i="2" a="1"/>
  <c r="E40" i="2"/>
  <c r="D40" i="2" a="1"/>
  <c r="D40" i="2"/>
  <c r="F39" i="2" a="1"/>
  <c r="F39" i="2"/>
  <c r="E39" i="2" a="1"/>
  <c r="E39" i="2"/>
  <c r="D39" i="2" a="1"/>
  <c r="D39" i="2"/>
  <c r="F38" i="2" a="1"/>
  <c r="F38" i="2"/>
  <c r="E38" i="2" a="1"/>
  <c r="E38" i="2"/>
  <c r="D38" i="2" a="1"/>
  <c r="D38" i="2"/>
  <c r="F37" i="2" a="1"/>
  <c r="F37" i="2"/>
  <c r="E37" i="2" a="1"/>
  <c r="E37" i="2"/>
  <c r="D37" i="2" a="1"/>
  <c r="D37" i="2"/>
  <c r="F36" i="2" a="1"/>
  <c r="F36" i="2"/>
  <c r="E36" i="2" a="1"/>
  <c r="E36" i="2"/>
  <c r="D36" i="2" a="1"/>
  <c r="D36" i="2"/>
  <c r="F35" i="2" a="1"/>
  <c r="F35" i="2"/>
  <c r="E35" i="2" a="1"/>
  <c r="E35" i="2"/>
  <c r="D35" i="2" a="1"/>
  <c r="D35" i="2"/>
  <c r="F34" i="2" a="1"/>
  <c r="F34" i="2"/>
  <c r="E34" i="2" a="1"/>
  <c r="E34" i="2"/>
  <c r="D34" i="2" a="1"/>
  <c r="D34" i="2"/>
  <c r="M31" i="2" a="1"/>
  <c r="M31" i="2"/>
  <c r="L31" i="2" a="1"/>
  <c r="L31" i="2"/>
  <c r="K31" i="2" a="1"/>
  <c r="K31" i="2"/>
  <c r="F31" i="2" a="1"/>
  <c r="F31" i="2"/>
  <c r="E31" i="2" a="1"/>
  <c r="E31" i="2"/>
  <c r="D31" i="2" a="1"/>
  <c r="D31" i="2"/>
  <c r="M30" i="2" a="1"/>
  <c r="M30" i="2"/>
  <c r="L30" i="2" a="1"/>
  <c r="L30" i="2"/>
  <c r="K30" i="2" a="1"/>
  <c r="K30" i="2"/>
  <c r="F30" i="2" a="1"/>
  <c r="F30" i="2"/>
  <c r="E30" i="2" a="1"/>
  <c r="E30" i="2"/>
  <c r="D30" i="2" a="1"/>
  <c r="D30" i="2"/>
  <c r="M29" i="2" a="1"/>
  <c r="M29" i="2"/>
  <c r="L29" i="2" a="1"/>
  <c r="L29" i="2"/>
  <c r="K29" i="2" a="1"/>
  <c r="K29" i="2"/>
  <c r="F29" i="2" a="1"/>
  <c r="F29" i="2"/>
  <c r="E29" i="2" a="1"/>
  <c r="E29" i="2"/>
  <c r="D29" i="2" a="1"/>
  <c r="D29" i="2"/>
  <c r="M28" i="2" a="1"/>
  <c r="M28" i="2"/>
  <c r="L28" i="2" a="1"/>
  <c r="L28" i="2"/>
  <c r="K28" i="2" a="1"/>
  <c r="K28" i="2"/>
  <c r="F28" i="2" a="1"/>
  <c r="F28" i="2"/>
  <c r="E28" i="2" a="1"/>
  <c r="E28" i="2"/>
  <c r="D28" i="2" a="1"/>
  <c r="D28" i="2"/>
  <c r="M27" i="2" a="1"/>
  <c r="M27" i="2"/>
  <c r="L27" i="2" a="1"/>
  <c r="L27" i="2"/>
  <c r="K27" i="2" a="1"/>
  <c r="K27" i="2"/>
  <c r="F27" i="2" a="1"/>
  <c r="F27" i="2"/>
  <c r="E27" i="2" a="1"/>
  <c r="E27" i="2"/>
  <c r="D27" i="2" a="1"/>
  <c r="D27" i="2"/>
  <c r="M26" i="2" a="1"/>
  <c r="M26" i="2"/>
  <c r="L26" i="2" a="1"/>
  <c r="L26" i="2"/>
  <c r="K26" i="2" a="1"/>
  <c r="K26" i="2"/>
  <c r="F26" i="2" a="1"/>
  <c r="F26" i="2"/>
  <c r="E26" i="2" a="1"/>
  <c r="E26" i="2"/>
  <c r="D26" i="2" a="1"/>
  <c r="D26" i="2"/>
  <c r="M25" i="2" a="1"/>
  <c r="M25" i="2"/>
  <c r="L25" i="2" a="1"/>
  <c r="L25" i="2"/>
  <c r="K25" i="2" a="1"/>
  <c r="K25" i="2"/>
  <c r="F25" i="2" a="1"/>
  <c r="F25" i="2"/>
  <c r="E25" i="2" a="1"/>
  <c r="E25" i="2"/>
  <c r="D25" i="2" a="1"/>
  <c r="D25" i="2"/>
  <c r="M24" i="2" a="1"/>
  <c r="M24" i="2"/>
  <c r="L24" i="2" a="1"/>
  <c r="L24" i="2"/>
  <c r="K24" i="2" a="1"/>
  <c r="K24" i="2"/>
  <c r="F24" i="2" a="1"/>
  <c r="F24" i="2"/>
  <c r="E24" i="2" a="1"/>
  <c r="E24" i="2"/>
  <c r="D24" i="2" a="1"/>
  <c r="D24" i="2"/>
  <c r="M23" i="2" a="1"/>
  <c r="M23" i="2"/>
  <c r="L23" i="2" a="1"/>
  <c r="L23" i="2"/>
  <c r="K23" i="2" a="1"/>
  <c r="K23" i="2"/>
  <c r="F23" i="2" a="1"/>
  <c r="F23" i="2"/>
  <c r="E23" i="2" a="1"/>
  <c r="E23" i="2"/>
  <c r="D23" i="2" a="1"/>
  <c r="D23" i="2"/>
  <c r="M22" i="2" a="1"/>
  <c r="M22" i="2"/>
  <c r="L22" i="2" a="1"/>
  <c r="L22" i="2"/>
  <c r="K22" i="2" a="1"/>
  <c r="K22" i="2"/>
  <c r="F22" i="2" a="1"/>
  <c r="F22" i="2"/>
  <c r="E22" i="2" a="1"/>
  <c r="E22" i="2"/>
  <c r="D22" i="2" a="1"/>
  <c r="D22" i="2"/>
  <c r="M21" i="2" a="1"/>
  <c r="M21" i="2"/>
  <c r="L21" i="2" a="1"/>
  <c r="L21" i="2"/>
  <c r="K21" i="2" a="1"/>
  <c r="K21" i="2"/>
  <c r="F21" i="2" a="1"/>
  <c r="F21" i="2"/>
  <c r="E21" i="2" a="1"/>
  <c r="E21" i="2"/>
  <c r="D21" i="2" a="1"/>
  <c r="D21" i="2"/>
  <c r="M20" i="2" a="1"/>
  <c r="M20" i="2"/>
  <c r="L20" i="2" a="1"/>
  <c r="L20" i="2"/>
  <c r="K20" i="2" a="1"/>
  <c r="K20" i="2"/>
  <c r="F20" i="2" a="1"/>
  <c r="F20" i="2"/>
  <c r="E20" i="2" a="1"/>
  <c r="E20" i="2"/>
  <c r="D20" i="2" a="1"/>
  <c r="D20" i="2"/>
  <c r="M19" i="2" a="1"/>
  <c r="M19" i="2"/>
  <c r="L19" i="2" a="1"/>
  <c r="L19" i="2"/>
  <c r="K19" i="2" a="1"/>
  <c r="K19" i="2"/>
  <c r="F19" i="2" a="1"/>
  <c r="F19" i="2"/>
  <c r="E19" i="2" a="1"/>
  <c r="E19" i="2"/>
  <c r="D19" i="2" a="1"/>
  <c r="D19" i="2"/>
  <c r="M18" i="2" a="1"/>
  <c r="M18" i="2"/>
  <c r="L18" i="2" a="1"/>
  <c r="L18" i="2"/>
  <c r="K18" i="2" a="1"/>
  <c r="K18" i="2"/>
  <c r="F18" i="2" a="1"/>
  <c r="F18" i="2"/>
  <c r="E18" i="2" a="1"/>
  <c r="E18" i="2"/>
  <c r="D18" i="2" a="1"/>
  <c r="D18" i="2"/>
  <c r="M15" i="2" a="1"/>
  <c r="M15" i="2"/>
  <c r="L15" i="2" a="1"/>
  <c r="L15" i="2"/>
  <c r="K15" i="2" a="1"/>
  <c r="K15" i="2"/>
  <c r="F15" i="2" a="1"/>
  <c r="F15" i="2"/>
  <c r="E15" i="2" a="1"/>
  <c r="E15" i="2"/>
  <c r="D15" i="2" a="1"/>
  <c r="D15" i="2"/>
  <c r="M14" i="2" a="1"/>
  <c r="M14" i="2"/>
  <c r="L14" i="2" a="1"/>
  <c r="L14" i="2"/>
  <c r="K14" i="2" a="1"/>
  <c r="K14" i="2"/>
  <c r="F14" i="2" a="1"/>
  <c r="F14" i="2"/>
  <c r="E14" i="2" a="1"/>
  <c r="E14" i="2"/>
  <c r="D14" i="2" a="1"/>
  <c r="D14" i="2"/>
  <c r="M13" i="2" a="1"/>
  <c r="M13" i="2"/>
  <c r="L13" i="2" a="1"/>
  <c r="L13" i="2"/>
  <c r="K13" i="2" a="1"/>
  <c r="K13" i="2"/>
  <c r="F13" i="2" a="1"/>
  <c r="F13" i="2"/>
  <c r="E13" i="2" a="1"/>
  <c r="E13" i="2"/>
  <c r="D13" i="2" a="1"/>
  <c r="D13" i="2"/>
  <c r="M12" i="2" a="1"/>
  <c r="M12" i="2"/>
  <c r="L12" i="2" a="1"/>
  <c r="L12" i="2"/>
  <c r="K12" i="2" a="1"/>
  <c r="K12" i="2"/>
  <c r="F12" i="2" a="1"/>
  <c r="F12" i="2"/>
  <c r="E12" i="2" a="1"/>
  <c r="E12" i="2"/>
  <c r="D12" i="2" a="1"/>
  <c r="D12" i="2"/>
  <c r="M11" i="2" a="1"/>
  <c r="M11" i="2"/>
  <c r="L11" i="2" a="1"/>
  <c r="L11" i="2"/>
  <c r="K11" i="2" a="1"/>
  <c r="K11" i="2"/>
  <c r="F11" i="2" a="1"/>
  <c r="F11" i="2"/>
  <c r="E11" i="2" a="1"/>
  <c r="E11" i="2"/>
  <c r="D11" i="2" a="1"/>
  <c r="D11" i="2"/>
  <c r="M10" i="2" a="1"/>
  <c r="M10" i="2"/>
  <c r="L10" i="2" a="1"/>
  <c r="L10" i="2"/>
  <c r="K10" i="2" a="1"/>
  <c r="K10" i="2"/>
  <c r="F10" i="2" a="1"/>
  <c r="F10" i="2"/>
  <c r="E10" i="2" a="1"/>
  <c r="E10" i="2"/>
  <c r="D10" i="2" a="1"/>
  <c r="D10" i="2"/>
  <c r="M9" i="2" a="1"/>
  <c r="M9" i="2"/>
  <c r="L9" i="2" a="1"/>
  <c r="L9" i="2"/>
  <c r="K9" i="2" a="1"/>
  <c r="K9" i="2"/>
  <c r="F9" i="2" a="1"/>
  <c r="F9" i="2"/>
  <c r="E9" i="2" a="1"/>
  <c r="E9" i="2"/>
  <c r="D9" i="2" a="1"/>
  <c r="D9" i="2"/>
  <c r="M8" i="2" a="1"/>
  <c r="M8" i="2"/>
  <c r="L8" i="2" a="1"/>
  <c r="L8" i="2"/>
  <c r="K8" i="2" a="1"/>
  <c r="K8" i="2"/>
  <c r="F8" i="2" a="1"/>
  <c r="F8" i="2"/>
  <c r="E8" i="2" a="1"/>
  <c r="E8" i="2"/>
  <c r="D8" i="2" a="1"/>
  <c r="D8" i="2"/>
  <c r="M7" i="2" a="1"/>
  <c r="M7" i="2"/>
  <c r="L7" i="2" a="1"/>
  <c r="L7" i="2"/>
  <c r="K7" i="2" a="1"/>
  <c r="K7" i="2"/>
  <c r="F7" i="2" a="1"/>
  <c r="F7" i="2"/>
  <c r="E7" i="2" a="1"/>
  <c r="E7" i="2"/>
  <c r="D7" i="2" a="1"/>
  <c r="D7" i="2"/>
  <c r="M6" i="2" a="1"/>
  <c r="M6" i="2"/>
  <c r="L6" i="2" a="1"/>
  <c r="L6" i="2"/>
  <c r="K6" i="2" a="1"/>
  <c r="K6" i="2"/>
  <c r="F6" i="2" a="1"/>
  <c r="F6" i="2"/>
  <c r="E6" i="2" a="1"/>
  <c r="E6" i="2"/>
  <c r="D6" i="2" a="1"/>
  <c r="D6" i="2"/>
  <c r="M5" i="2" a="1"/>
  <c r="M5" i="2"/>
  <c r="L5" i="2" a="1"/>
  <c r="L5" i="2"/>
  <c r="K5" i="2" a="1"/>
  <c r="K5" i="2"/>
  <c r="F5" i="2" a="1"/>
  <c r="F5" i="2"/>
  <c r="E5" i="2" a="1"/>
  <c r="E5" i="2"/>
  <c r="D5" i="2" a="1"/>
  <c r="D5" i="2"/>
  <c r="M4" i="2" a="1"/>
  <c r="M4" i="2"/>
  <c r="L4" i="2" a="1"/>
  <c r="L4" i="2"/>
  <c r="K4" i="2" a="1"/>
  <c r="K4" i="2"/>
  <c r="F4" i="2" a="1"/>
  <c r="F4" i="2"/>
  <c r="E4" i="2" a="1"/>
  <c r="E4" i="2"/>
  <c r="D4" i="2" a="1"/>
  <c r="D4" i="2"/>
  <c r="M3" i="2" a="1"/>
  <c r="M3" i="2"/>
  <c r="L3" i="2" a="1"/>
  <c r="L3" i="2"/>
  <c r="K3" i="2" a="1"/>
  <c r="K3" i="2"/>
  <c r="F3" i="2" a="1"/>
  <c r="F3" i="2"/>
  <c r="E3" i="2" a="1"/>
  <c r="E3" i="2"/>
  <c r="D3" i="2" a="1"/>
  <c r="D3" i="2"/>
  <c r="M2" i="2" a="1"/>
  <c r="M2" i="2"/>
  <c r="L2" i="2" a="1"/>
  <c r="L2" i="2"/>
  <c r="K2" i="2" a="1"/>
  <c r="K2" i="2"/>
  <c r="F2" i="2" a="1"/>
  <c r="F2" i="2"/>
  <c r="E2" i="2" a="1"/>
  <c r="E2" i="2"/>
  <c r="D2" i="2" a="1"/>
  <c r="D2" i="2"/>
  <c r="F21" i="1" a="1"/>
  <c r="F21" i="1"/>
  <c r="G21" i="1" s="1"/>
  <c r="D21" i="1" a="1"/>
  <c r="D21" i="1"/>
  <c r="E21" i="1" s="1"/>
  <c r="B21" i="1" a="1"/>
  <c r="B21" i="1"/>
  <c r="C21" i="1" s="1"/>
  <c r="F20" i="1" a="1"/>
  <c r="F20" i="1"/>
  <c r="G20" i="1" s="1"/>
  <c r="D20" i="1" a="1"/>
  <c r="D20" i="1"/>
  <c r="E20" i="1" s="1"/>
  <c r="B20" i="1" a="1"/>
  <c r="B20" i="1"/>
  <c r="C20" i="1" s="1"/>
  <c r="F19" i="1" a="1"/>
  <c r="F19" i="1"/>
  <c r="G19" i="1" s="1"/>
  <c r="D19" i="1" a="1"/>
  <c r="D19" i="1"/>
  <c r="E19" i="1" s="1"/>
  <c r="B19" i="1" a="1"/>
  <c r="B19" i="1"/>
  <c r="C19" i="1" s="1"/>
  <c r="F18" i="1" a="1"/>
  <c r="F18" i="1"/>
  <c r="G18" i="1" s="1"/>
  <c r="D18" i="1" a="1"/>
  <c r="D18" i="1"/>
  <c r="E18" i="1" s="1"/>
  <c r="B18" i="1" a="1"/>
  <c r="B18" i="1"/>
  <c r="C18" i="1" s="1"/>
  <c r="F17" i="1" a="1"/>
  <c r="F17" i="1"/>
  <c r="D17" i="1" a="1"/>
  <c r="D17" i="1"/>
  <c r="B17" i="1" a="1"/>
  <c r="B17" i="1"/>
  <c r="B12" i="1"/>
  <c r="C12" i="1" s="1"/>
  <c r="B11" i="1"/>
  <c r="C11" i="1" s="1"/>
  <c r="B10" i="1"/>
  <c r="C10" i="1" s="1"/>
  <c r="AJ2" i="1" a="1"/>
  <c r="AJ2" i="1"/>
  <c r="AK2" i="1" s="1"/>
  <c r="AG2" i="1" a="1"/>
  <c r="AG2" i="1"/>
  <c r="AH2" i="1" s="1"/>
  <c r="AD2" i="1" a="1"/>
  <c r="AD2" i="1"/>
  <c r="AE2" i="1" s="1"/>
  <c r="AD56" i="1" l="1"/>
  <c r="AE56" i="1" s="1"/>
  <c r="AD55" i="1"/>
  <c r="AE55" i="1" s="1"/>
  <c r="AD54" i="1"/>
  <c r="AE54" i="1" s="1"/>
  <c r="AD53" i="1"/>
  <c r="AE53" i="1" s="1"/>
  <c r="AD52" i="1"/>
  <c r="AE52" i="1" s="1"/>
  <c r="AD51" i="1"/>
  <c r="AE51" i="1" s="1"/>
  <c r="AD50" i="1"/>
  <c r="AE50" i="1" s="1"/>
  <c r="AD49" i="1"/>
  <c r="AE49" i="1" s="1"/>
  <c r="AD48" i="1"/>
  <c r="AE48" i="1" s="1"/>
  <c r="AD47" i="1"/>
  <c r="AE47" i="1" s="1"/>
  <c r="AD46" i="1"/>
  <c r="AE46" i="1" s="1"/>
  <c r="AD45" i="1"/>
  <c r="AE45" i="1" s="1"/>
  <c r="AD44" i="1"/>
  <c r="AE44" i="1" s="1"/>
  <c r="AD43" i="1"/>
  <c r="AE43" i="1" s="1"/>
  <c r="AD42" i="1"/>
  <c r="AE42" i="1" s="1"/>
  <c r="AD41" i="1"/>
  <c r="AE41" i="1" s="1"/>
  <c r="AD40" i="1"/>
  <c r="AE40" i="1" s="1"/>
  <c r="AD39" i="1"/>
  <c r="AE39" i="1" s="1"/>
  <c r="AD38" i="1"/>
  <c r="AE38" i="1" s="1"/>
  <c r="AD37" i="1"/>
  <c r="AE37" i="1" s="1"/>
  <c r="AD36" i="1"/>
  <c r="AE36" i="1" s="1"/>
  <c r="AD35" i="1"/>
  <c r="AE35" i="1" s="1"/>
  <c r="AD34" i="1"/>
  <c r="AE34" i="1" s="1"/>
  <c r="AD33" i="1"/>
  <c r="AE33" i="1" s="1"/>
  <c r="AD32" i="1"/>
  <c r="AE32" i="1" s="1"/>
  <c r="AD31" i="1"/>
  <c r="AE31" i="1" s="1"/>
  <c r="AD30" i="1"/>
  <c r="AE30" i="1" s="1"/>
  <c r="AD29" i="1"/>
  <c r="AE29" i="1" s="1"/>
  <c r="AD28" i="1"/>
  <c r="AE28" i="1" s="1"/>
  <c r="AD27" i="1"/>
  <c r="AE27" i="1" s="1"/>
  <c r="AD26" i="1"/>
  <c r="AE26" i="1" s="1"/>
  <c r="AD25" i="1"/>
  <c r="AE25" i="1" s="1"/>
  <c r="AD24" i="1"/>
  <c r="AE24" i="1" s="1"/>
  <c r="AD23" i="1"/>
  <c r="AE23" i="1" s="1"/>
  <c r="AD22" i="1"/>
  <c r="AE22" i="1" s="1"/>
  <c r="AD21" i="1"/>
  <c r="AE21" i="1" s="1"/>
  <c r="AD20" i="1"/>
  <c r="AE20" i="1" s="1"/>
  <c r="AD19" i="1"/>
  <c r="AE19" i="1" s="1"/>
  <c r="AD18" i="1"/>
  <c r="AE18" i="1" s="1"/>
  <c r="AD17" i="1"/>
  <c r="AE17" i="1" s="1"/>
  <c r="AD16" i="1"/>
  <c r="AE16" i="1" s="1"/>
  <c r="AD15" i="1"/>
  <c r="AE15" i="1" s="1"/>
  <c r="AD14" i="1"/>
  <c r="AE14" i="1" s="1"/>
  <c r="AD13" i="1"/>
  <c r="AE13" i="1" s="1"/>
  <c r="AD12" i="1"/>
  <c r="AE12" i="1" s="1"/>
  <c r="AD11" i="1"/>
  <c r="AE11" i="1" s="1"/>
  <c r="AD10" i="1"/>
  <c r="AE10" i="1" s="1"/>
  <c r="AD9" i="1"/>
  <c r="AE9" i="1" s="1"/>
  <c r="AD8" i="1"/>
  <c r="AE8" i="1" s="1"/>
  <c r="AD7" i="1"/>
  <c r="AE7" i="1" s="1"/>
  <c r="AD6" i="1"/>
  <c r="AE6" i="1" s="1"/>
  <c r="AD5" i="1"/>
  <c r="AE5" i="1" s="1"/>
  <c r="AD4" i="1"/>
  <c r="AE4" i="1" s="1"/>
  <c r="AD3" i="1"/>
  <c r="AE3" i="1" s="1"/>
  <c r="AG56" i="1"/>
  <c r="AH56" i="1" s="1"/>
  <c r="AG55" i="1"/>
  <c r="AH55" i="1" s="1"/>
  <c r="AG54" i="1"/>
  <c r="AH54" i="1" s="1"/>
  <c r="AG53" i="1"/>
  <c r="AH53" i="1" s="1"/>
  <c r="AG52" i="1"/>
  <c r="AH52" i="1" s="1"/>
  <c r="AG51" i="1"/>
  <c r="AH51" i="1" s="1"/>
  <c r="AG50" i="1"/>
  <c r="AH50" i="1" s="1"/>
  <c r="AG49" i="1"/>
  <c r="AH49" i="1" s="1"/>
  <c r="AG48" i="1"/>
  <c r="AH48" i="1" s="1"/>
  <c r="AG47" i="1"/>
  <c r="AH47" i="1" s="1"/>
  <c r="AG46" i="1"/>
  <c r="AH46" i="1" s="1"/>
  <c r="AG45" i="1"/>
  <c r="AH45" i="1" s="1"/>
  <c r="AG44" i="1"/>
  <c r="AH44" i="1" s="1"/>
  <c r="AG43" i="1"/>
  <c r="AH43" i="1" s="1"/>
  <c r="AG42" i="1"/>
  <c r="AH42" i="1" s="1"/>
  <c r="AG41" i="1"/>
  <c r="AH41" i="1" s="1"/>
  <c r="AG40" i="1"/>
  <c r="AH40" i="1" s="1"/>
  <c r="AG39" i="1"/>
  <c r="AH39" i="1" s="1"/>
  <c r="AG38" i="1"/>
  <c r="AH38" i="1" s="1"/>
  <c r="AG37" i="1"/>
  <c r="AH37" i="1" s="1"/>
  <c r="AG36" i="1"/>
  <c r="AH36" i="1" s="1"/>
  <c r="AG35" i="1"/>
  <c r="AH35" i="1" s="1"/>
  <c r="AG34" i="1"/>
  <c r="AH34" i="1" s="1"/>
  <c r="AG33" i="1"/>
  <c r="AH33" i="1" s="1"/>
  <c r="AG32" i="1"/>
  <c r="AH32" i="1" s="1"/>
  <c r="AG31" i="1"/>
  <c r="AH31" i="1" s="1"/>
  <c r="AG30" i="1"/>
  <c r="AH30" i="1" s="1"/>
  <c r="AG29" i="1"/>
  <c r="AH29" i="1" s="1"/>
  <c r="AG28" i="1"/>
  <c r="AH28" i="1" s="1"/>
  <c r="AG27" i="1"/>
  <c r="AH27" i="1" s="1"/>
  <c r="AG26" i="1"/>
  <c r="AH26" i="1" s="1"/>
  <c r="AG25" i="1"/>
  <c r="AH25" i="1" s="1"/>
  <c r="AG24" i="1"/>
  <c r="AH24" i="1" s="1"/>
  <c r="AG23" i="1"/>
  <c r="AH23" i="1" s="1"/>
  <c r="AG22" i="1"/>
  <c r="AH22" i="1" s="1"/>
  <c r="AG21" i="1"/>
  <c r="AH21" i="1" s="1"/>
  <c r="AG20" i="1"/>
  <c r="AH20" i="1" s="1"/>
  <c r="AG19" i="1"/>
  <c r="AH19" i="1" s="1"/>
  <c r="AG18" i="1"/>
  <c r="AH18" i="1" s="1"/>
  <c r="AG17" i="1"/>
  <c r="AH17" i="1" s="1"/>
  <c r="AG16" i="1"/>
  <c r="AH16" i="1" s="1"/>
  <c r="AG15" i="1"/>
  <c r="AH15" i="1" s="1"/>
  <c r="AG14" i="1"/>
  <c r="AH14" i="1" s="1"/>
  <c r="AG13" i="1"/>
  <c r="AH13" i="1" s="1"/>
  <c r="AG12" i="1"/>
  <c r="AH12" i="1" s="1"/>
  <c r="AG11" i="1"/>
  <c r="AH11" i="1" s="1"/>
  <c r="AG10" i="1"/>
  <c r="AH10" i="1" s="1"/>
  <c r="AG9" i="1"/>
  <c r="AH9" i="1" s="1"/>
  <c r="AG8" i="1"/>
  <c r="AH8" i="1" s="1"/>
  <c r="AG7" i="1"/>
  <c r="AH7" i="1" s="1"/>
  <c r="AG6" i="1"/>
  <c r="AH6" i="1" s="1"/>
  <c r="AG5" i="1"/>
  <c r="AH5" i="1" s="1"/>
  <c r="AG4" i="1"/>
  <c r="AH4" i="1" s="1"/>
  <c r="AG3" i="1"/>
  <c r="AH3" i="1" s="1"/>
  <c r="AJ56" i="1"/>
  <c r="AK56" i="1" s="1"/>
  <c r="AJ55" i="1"/>
  <c r="AK55" i="1" s="1"/>
  <c r="AJ54" i="1"/>
  <c r="AK54" i="1" s="1"/>
  <c r="AJ53" i="1"/>
  <c r="AK53" i="1" s="1"/>
  <c r="AJ52" i="1"/>
  <c r="AK52" i="1" s="1"/>
  <c r="AJ51" i="1"/>
  <c r="AK51" i="1" s="1"/>
  <c r="AJ50" i="1"/>
  <c r="AK50" i="1" s="1"/>
  <c r="AJ49" i="1"/>
  <c r="AK49" i="1" s="1"/>
  <c r="AJ48" i="1"/>
  <c r="AK48" i="1" s="1"/>
  <c r="AJ47" i="1"/>
  <c r="AK47" i="1" s="1"/>
  <c r="AJ46" i="1"/>
  <c r="AK46" i="1" s="1"/>
  <c r="AJ45" i="1"/>
  <c r="AK45" i="1" s="1"/>
  <c r="AJ44" i="1"/>
  <c r="AK44" i="1" s="1"/>
  <c r="AJ43" i="1"/>
  <c r="AK43" i="1" s="1"/>
  <c r="AJ42" i="1"/>
  <c r="AK42" i="1" s="1"/>
  <c r="AJ41" i="1"/>
  <c r="AK41" i="1" s="1"/>
  <c r="AJ40" i="1"/>
  <c r="AK40" i="1" s="1"/>
  <c r="AJ39" i="1"/>
  <c r="AK39" i="1" s="1"/>
  <c r="AJ38" i="1"/>
  <c r="AK38" i="1" s="1"/>
  <c r="AJ37" i="1"/>
  <c r="AK37" i="1" s="1"/>
  <c r="AJ36" i="1"/>
  <c r="AK36" i="1" s="1"/>
  <c r="AJ35" i="1"/>
  <c r="AK35" i="1" s="1"/>
  <c r="AJ34" i="1"/>
  <c r="AK34" i="1" s="1"/>
  <c r="AJ33" i="1"/>
  <c r="AK33" i="1" s="1"/>
  <c r="AJ32" i="1"/>
  <c r="AK32" i="1" s="1"/>
  <c r="AJ31" i="1"/>
  <c r="AK31" i="1" s="1"/>
  <c r="AJ30" i="1"/>
  <c r="AK30" i="1" s="1"/>
  <c r="AJ29" i="1"/>
  <c r="AK29" i="1" s="1"/>
  <c r="AJ28" i="1"/>
  <c r="AK28" i="1" s="1"/>
  <c r="AJ27" i="1"/>
  <c r="AK27" i="1" s="1"/>
  <c r="AJ26" i="1"/>
  <c r="AK26" i="1" s="1"/>
  <c r="AJ25" i="1"/>
  <c r="AK25" i="1" s="1"/>
  <c r="AJ24" i="1"/>
  <c r="AK24" i="1" s="1"/>
  <c r="AJ23" i="1"/>
  <c r="AK23" i="1" s="1"/>
  <c r="AJ22" i="1"/>
  <c r="AK22" i="1" s="1"/>
  <c r="AJ21" i="1"/>
  <c r="AK21" i="1" s="1"/>
  <c r="AJ20" i="1"/>
  <c r="AK20" i="1" s="1"/>
  <c r="AJ19" i="1"/>
  <c r="AK19" i="1" s="1"/>
  <c r="AJ18" i="1"/>
  <c r="AK18" i="1" s="1"/>
  <c r="AJ17" i="1"/>
  <c r="AK17" i="1" s="1"/>
  <c r="AJ16" i="1"/>
  <c r="AK16" i="1" s="1"/>
  <c r="AJ15" i="1"/>
  <c r="AK15" i="1" s="1"/>
  <c r="AJ14" i="1"/>
  <c r="AK14" i="1" s="1"/>
  <c r="AJ13" i="1"/>
  <c r="AK13" i="1" s="1"/>
  <c r="AJ12" i="1"/>
  <c r="AK12" i="1" s="1"/>
  <c r="AJ11" i="1"/>
  <c r="AK11" i="1" s="1"/>
  <c r="AJ10" i="1"/>
  <c r="AK10" i="1" s="1"/>
  <c r="AJ9" i="1"/>
  <c r="AK9" i="1" s="1"/>
  <c r="AJ8" i="1"/>
  <c r="AK8" i="1" s="1"/>
  <c r="AJ7" i="1"/>
  <c r="AK7" i="1" s="1"/>
  <c r="AJ6" i="1"/>
  <c r="AK6" i="1" s="1"/>
  <c r="AJ5" i="1"/>
  <c r="AK5" i="1" s="1"/>
  <c r="AJ4" i="1"/>
  <c r="AK4" i="1" s="1"/>
  <c r="AJ3" i="1"/>
  <c r="AK3" i="1" s="1"/>
  <c r="B22" i="1"/>
  <c r="C17" i="1"/>
  <c r="C22" i="1" s="1"/>
  <c r="D22" i="1"/>
  <c r="E17" i="1"/>
  <c r="E22" i="1" s="1"/>
  <c r="F22" i="1"/>
  <c r="G17" i="1"/>
  <c r="G22" i="1" s="1"/>
  <c r="H4" i="1" l="1"/>
  <c r="F4" i="1"/>
  <c r="D4" i="1"/>
  <c r="B4" i="1"/>
  <c r="H3" i="1"/>
  <c r="F3" i="1"/>
  <c r="D3" i="1"/>
  <c r="B3" i="1"/>
  <c r="H2" i="1"/>
  <c r="F2" i="1"/>
  <c r="D2" i="1"/>
  <c r="B2" i="1"/>
  <c r="B5" i="1" l="1"/>
  <c r="M2" i="1"/>
  <c r="J2" i="1"/>
  <c r="C2" i="1"/>
  <c r="D5" i="1"/>
  <c r="N2" i="1"/>
  <c r="E2" i="1"/>
  <c r="F5" i="1"/>
  <c r="O2" i="1"/>
  <c r="G2" i="1"/>
  <c r="H5" i="1"/>
  <c r="I5" i="1" s="1"/>
  <c r="I2" i="1"/>
  <c r="M3" i="1"/>
  <c r="J3" i="1"/>
  <c r="C3" i="1"/>
  <c r="N3" i="1"/>
  <c r="E3" i="1"/>
  <c r="O3" i="1"/>
  <c r="G3" i="1"/>
  <c r="I3" i="1"/>
  <c r="M4" i="1"/>
  <c r="J4" i="1"/>
  <c r="C4" i="1"/>
  <c r="N4" i="1"/>
  <c r="E4" i="1"/>
  <c r="O4" i="1"/>
  <c r="G4" i="1"/>
  <c r="I4" i="1"/>
  <c r="G5" i="1" l="1"/>
  <c r="E5" i="1"/>
  <c r="J5" i="1"/>
  <c r="C5" i="1"/>
</calcChain>
</file>

<file path=xl/sharedStrings.xml><?xml version="1.0" encoding="utf-8"?>
<sst xmlns="http://schemas.openxmlformats.org/spreadsheetml/2006/main" count="1598" uniqueCount="297">
  <si>
    <t>Formulário</t>
  </si>
  <si>
    <t>Enviados</t>
  </si>
  <si>
    <t>%</t>
  </si>
  <si>
    <t>Atrasados</t>
  </si>
  <si>
    <t>Sem Técnico</t>
  </si>
  <si>
    <t>Duplicado</t>
  </si>
  <si>
    <t>Total</t>
  </si>
  <si>
    <t>Formulários </t>
  </si>
  <si>
    <t>Enviado </t>
  </si>
  <si>
    <t>Atrasado </t>
  </si>
  <si>
    <t>Sem Téc </t>
  </si>
  <si>
    <t>Form 1</t>
  </si>
  <si>
    <t>Form 2</t>
  </si>
  <si>
    <t>Form 3</t>
  </si>
  <si>
    <t>1 - Município</t>
  </si>
  <si>
    <t>  1 - Município </t>
  </si>
  <si>
    <t>2 - UVR</t>
  </si>
  <si>
    <t>  2 - UVR </t>
  </si>
  <si>
    <t>3 - Empreendimento</t>
  </si>
  <si>
    <t>  3 - Empreendimento </t>
  </si>
  <si>
    <t>Validados</t>
  </si>
  <si>
    <t>Regional</t>
  </si>
  <si>
    <t>Form 1 - Município</t>
  </si>
  <si>
    <t>Form 2 - UVR</t>
  </si>
  <si>
    <t>Form 3 - Empreendimento</t>
  </si>
  <si>
    <t>Bianca</t>
  </si>
  <si>
    <t>Gabriel</t>
  </si>
  <si>
    <t>Valquiria</t>
  </si>
  <si>
    <t>Larissa</t>
  </si>
  <si>
    <t>Luana</t>
  </si>
  <si>
    <t>Municípios</t>
  </si>
  <si>
    <t>UVR</t>
  </si>
  <si>
    <t>Altônia</t>
  </si>
  <si>
    <t>Foz do Iguaçu</t>
  </si>
  <si>
    <t>Assis Chateaubriand</t>
  </si>
  <si>
    <t>Brasilândia do Sul</t>
  </si>
  <si>
    <t>Francisco Alves</t>
  </si>
  <si>
    <t>Guaira</t>
  </si>
  <si>
    <t>Maripa</t>
  </si>
  <si>
    <t>Mercedes</t>
  </si>
  <si>
    <t>Mundo Novo</t>
  </si>
  <si>
    <t>Nova Santa Rosa</t>
  </si>
  <si>
    <t>Ouro Verde do Oeste</t>
  </si>
  <si>
    <t>Matelândia</t>
  </si>
  <si>
    <t>Palotina</t>
  </si>
  <si>
    <t>Medianeira</t>
  </si>
  <si>
    <t>Quatro Pontes</t>
  </si>
  <si>
    <t>Santa Terezinha de Itaipu</t>
  </si>
  <si>
    <t>Terra Roxa</t>
  </si>
  <si>
    <t>São Miguel do Iguaçu</t>
  </si>
  <si>
    <t>Toledo</t>
  </si>
  <si>
    <t>Serranopolis do Iguaçu</t>
  </si>
  <si>
    <t>Anahy</t>
  </si>
  <si>
    <t>Céu Azul</t>
  </si>
  <si>
    <t>Boa Vista da Aparecida</t>
  </si>
  <si>
    <t>Diamante d'Oeste</t>
  </si>
  <si>
    <t>Braganey</t>
  </si>
  <si>
    <t>Entre Rios do Oeste</t>
  </si>
  <si>
    <t>Campo Bonito</t>
  </si>
  <si>
    <t>Itaipulândia</t>
  </si>
  <si>
    <t>Capitão Leonidas Marques</t>
  </si>
  <si>
    <t>Marechal Candido Rondon</t>
  </si>
  <si>
    <t>Catanduvas</t>
  </si>
  <si>
    <t>Corbélia</t>
  </si>
  <si>
    <t>Missal</t>
  </si>
  <si>
    <t>Diamante do Sul</t>
  </si>
  <si>
    <t>Pato Bragado</t>
  </si>
  <si>
    <t>Guaraniacu</t>
  </si>
  <si>
    <t>Ramilândia</t>
  </si>
  <si>
    <t>Ibema</t>
  </si>
  <si>
    <t>Santa Helena</t>
  </si>
  <si>
    <t>Iguatu</t>
  </si>
  <si>
    <t>Santa Tereza do Oeste</t>
  </si>
  <si>
    <t>Lindoeste</t>
  </si>
  <si>
    <t>São Jose das Palmeiras</t>
  </si>
  <si>
    <t>Santa Lúcia</t>
  </si>
  <si>
    <t>São Pedro do Iguaçu</t>
  </si>
  <si>
    <t>Tres Barras do Parana</t>
  </si>
  <si>
    <t>Vera Cruz do Oeste</t>
  </si>
  <si>
    <t>Cafelândia</t>
  </si>
  <si>
    <t>Cascavel</t>
  </si>
  <si>
    <t>Formosa do Oeste</t>
  </si>
  <si>
    <t>Iracema do Oeste</t>
  </si>
  <si>
    <t>Jesuítas</t>
  </si>
  <si>
    <t>Nova Aurora</t>
  </si>
  <si>
    <t>Tupassi</t>
  </si>
  <si>
    <t>Ubirata</t>
  </si>
  <si>
    <t>Município</t>
  </si>
  <si>
    <t>Técnico de UVR</t>
  </si>
  <si>
    <t>Situação</t>
  </si>
  <si>
    <t>Data de Envio</t>
  </si>
  <si>
    <t>Validado pelo Regional</t>
  </si>
  <si>
    <t>Observações</t>
  </si>
  <si>
    <t>Formulários para Deletar (ID)</t>
  </si>
  <si>
    <t>Validado Equip de TI</t>
  </si>
  <si>
    <t>Resposta Equipe de TI</t>
  </si>
  <si>
    <t>Paula Tatiana Santana Vechi</t>
  </si>
  <si>
    <t>Enviado</t>
  </si>
  <si>
    <t>09/07/2025</t>
  </si>
  <si>
    <t>Sim</t>
  </si>
  <si>
    <t>correções em: Qual a despesa anual com os serviços de coleta (convencional, seletiva) no município? se não ok</t>
  </si>
  <si>
    <t>Não</t>
  </si>
  <si>
    <t>Willian de Oliveira Lino</t>
  </si>
  <si>
    <t>Atrasado</t>
  </si>
  <si>
    <t>Gisele Cássia Tamparowsky de Oliveira</t>
  </si>
  <si>
    <t>ok</t>
  </si>
  <si>
    <t>Marcos Gabriel Franciosi Borges</t>
  </si>
  <si>
    <t>21/03/2025</t>
  </si>
  <si>
    <t>Chayla Bianca Gazoli</t>
  </si>
  <si>
    <t>10/04/2025</t>
  </si>
  <si>
    <t>Solange Maria Masqueti</t>
  </si>
  <si>
    <t>20/03/2025</t>
  </si>
  <si>
    <t>Preencher Qual a despesa anual com os serviços de coleta</t>
  </si>
  <si>
    <t>Cristiane Petry Vieira</t>
  </si>
  <si>
    <t>09/04 - Dados incorretos de arrecadação e despesa - formulário aba 5 - informações financeiras do município</t>
  </si>
  <si>
    <t>Diego Hemerich</t>
  </si>
  <si>
    <t>Tatiane Girardi</t>
  </si>
  <si>
    <t>06/03/2025</t>
  </si>
  <si>
    <t>Edson Batista de Castro</t>
  </si>
  <si>
    <t>10/04/2025, 15/05/2025</t>
  </si>
  <si>
    <t>Gabriela Fernanda Sandri</t>
  </si>
  <si>
    <t>Eduarda Rohden Donasolo</t>
  </si>
  <si>
    <t>Mauricio Pinto de Lima</t>
  </si>
  <si>
    <t xml:space="preserve">Débora Laize Lampert Gnass </t>
  </si>
  <si>
    <t>Cristina Harumi Enokida</t>
  </si>
  <si>
    <t>12/08/2025</t>
  </si>
  <si>
    <t>Está com dificuldade de salvar o rascunho do formulário 1</t>
  </si>
  <si>
    <t>Douglas de Mattia</t>
  </si>
  <si>
    <t>26/02/2025</t>
  </si>
  <si>
    <t>Vanderson Pasetti</t>
  </si>
  <si>
    <t>Bruna Schneider Guimarães</t>
  </si>
  <si>
    <t>19/03/2025</t>
  </si>
  <si>
    <t>Keilla Avezedo</t>
  </si>
  <si>
    <t>10/03/2025</t>
  </si>
  <si>
    <t>Carmen Maria Stein Weiler</t>
  </si>
  <si>
    <t>05/08/2025</t>
  </si>
  <si>
    <t>Thiago Varaschim Cenci</t>
  </si>
  <si>
    <t>15/04/2025</t>
  </si>
  <si>
    <t>Éber Alexandre Nascimento Araújo</t>
  </si>
  <si>
    <t>08/08/2025</t>
  </si>
  <si>
    <t>Andrea Carla Winkelmann</t>
  </si>
  <si>
    <t>corrigir aba 7 (não há compostagem)</t>
  </si>
  <si>
    <t>Lorizete de Andrade</t>
  </si>
  <si>
    <t>Andressa Maia</t>
  </si>
  <si>
    <t>Lucas Correia de Souza</t>
  </si>
  <si>
    <t>Jose Francisco Mariano de Faria Filho</t>
  </si>
  <si>
    <t>Pedro Henrique Mariano de Faria</t>
  </si>
  <si>
    <t>Renata Aparecida de Souza</t>
  </si>
  <si>
    <t>Maria Eduarda dos Santos Arias</t>
  </si>
  <si>
    <t>Paulo Rogerio Hiroshi Fujii</t>
  </si>
  <si>
    <t>Marlene R. Oliveira Dallacosta</t>
  </si>
  <si>
    <t>Vitolor dos Santos Almeida</t>
  </si>
  <si>
    <t>08/03/2025, 02/04/2025</t>
  </si>
  <si>
    <t>Necessário ajustes pág 4, 5 e 6</t>
  </si>
  <si>
    <t>Kelly Jackeline Silva do Valle</t>
  </si>
  <si>
    <t>24/03/2025</t>
  </si>
  <si>
    <t>pág 6, a frequência de coleta urbana e rural é em porcentagem e não em dias.</t>
  </si>
  <si>
    <t>Felipe Carvalho Zydek</t>
  </si>
  <si>
    <t>13/03/2025</t>
  </si>
  <si>
    <t>Pág 5, vc não conseguiu i valor da taxa de lixo recebida em 2024 pela prefeitura.
Pág 6, a frequência das coletas é porcentagem, não em dia.</t>
  </si>
  <si>
    <t>Eliane Borin</t>
  </si>
  <si>
    <t>18/03/2025</t>
  </si>
  <si>
    <t>09/04- Dados incorretos informações da coleta seletiva - formulário aba 6 - dados da frequancia semanal -</t>
  </si>
  <si>
    <t>Tatiana schrard</t>
  </si>
  <si>
    <t>04/04/2025</t>
  </si>
  <si>
    <t>César Piva Glinglani</t>
  </si>
  <si>
    <t>16/07/2025</t>
  </si>
  <si>
    <t>Ailton Carlos Fialho</t>
  </si>
  <si>
    <t>Marcos José Chaves</t>
  </si>
  <si>
    <t>21/05/2025</t>
  </si>
  <si>
    <t>Diego Matheus Reinicke</t>
  </si>
  <si>
    <t>Cleiton Manske</t>
  </si>
  <si>
    <t>Alexandro Aparecido de Lima Vieira</t>
  </si>
  <si>
    <t>02/04/2025</t>
  </si>
  <si>
    <t>Natielly Pereira Ochoa</t>
  </si>
  <si>
    <t>corrigir aba 5 - lançar dados financeiros da coleta (já comunicado o técnicor</t>
  </si>
  <si>
    <t>Roberto Pedron</t>
  </si>
  <si>
    <t>Luciane Spies</t>
  </si>
  <si>
    <t>Jaqueline Fernanda Meireles</t>
  </si>
  <si>
    <t>06/08/2025</t>
  </si>
  <si>
    <t>Verificar quanto 1 - Qual a receita anual com essa taxa conforme o balanço anterior?; A prefeitura apoia os catadores com: AINDA não tem contrato, retirar. de resto ok!</t>
  </si>
  <si>
    <t>Luiz Fernando Pereira Barbosa</t>
  </si>
  <si>
    <t>16/04/2025</t>
  </si>
  <si>
    <t>Carolina Eggers</t>
  </si>
  <si>
    <t>31/03/2025</t>
  </si>
  <si>
    <t>formulário ok</t>
  </si>
  <si>
    <t>Ivan Gonçalves da Silva</t>
  </si>
  <si>
    <t>27/03/2025</t>
  </si>
  <si>
    <t>Dorival Manoel Canhete</t>
  </si>
  <si>
    <t>21/08/2025</t>
  </si>
  <si>
    <t>Jaqueline Vanelli</t>
  </si>
  <si>
    <t>27/02/2025</t>
  </si>
  <si>
    <t>o técnico precisa arrumar algumas informações</t>
  </si>
  <si>
    <t>Fernanda Jung</t>
  </si>
  <si>
    <t>01/04/2025</t>
  </si>
  <si>
    <t>revisar valor das despesas com coleta, está o mesmo para ambas e só a seletiva</t>
  </si>
  <si>
    <t>Ana Paula Romagnoli</t>
  </si>
  <si>
    <t>07/04/2025</t>
  </si>
  <si>
    <t>Alexandro Schaparini</t>
  </si>
  <si>
    <t>25/04/2025</t>
  </si>
  <si>
    <t>Marina Ancelmo da Silva</t>
  </si>
  <si>
    <t>Ana Carolina Peterle Ribeiro</t>
  </si>
  <si>
    <t>Taiane Amélia Mondardo</t>
  </si>
  <si>
    <t>15/07/2025</t>
  </si>
  <si>
    <t>SOlicitei ao técnico que faça o cadastramento junto a prefeitura (solicitação realizada dia 20/05/2025).</t>
  </si>
  <si>
    <t>Regiane Lucia Pereira</t>
  </si>
  <si>
    <t>11/03/2025</t>
  </si>
  <si>
    <t xml:space="preserve">Foi solicita ao técnico para arrumar uma informação que estava errada. </t>
  </si>
  <si>
    <t>Andryws Rafael Gois</t>
  </si>
  <si>
    <t>22/04/2025</t>
  </si>
  <si>
    <t>SOlicitei ao técnico qual ID do form 2 que precisa ser excluído (solicitação realizada dia 20/05/2025).</t>
  </si>
  <si>
    <t>Mayara Ketllyn de Paula Rosetti</t>
  </si>
  <si>
    <t>Junior Andre Britzke</t>
  </si>
  <si>
    <t>08/04/2025</t>
  </si>
  <si>
    <t>Adriano Pereira Guedes</t>
  </si>
  <si>
    <t>12/05/2025</t>
  </si>
  <si>
    <t>Revisar informações financeiras, valores preenchidos muito abaixo do ideal (solicitar a secretária os dados); sim, há diferença entre as coletas; quanto a aba de coelta seletiva: Revisar dias de coleta, não tem como coletar 100 DIAS DENTRO DE UMA SEMANA. onde é realizado a compostagem e a reciclagem de RCC? pois no aterro não tem.</t>
  </si>
  <si>
    <t>ID159; ID158; ID156; ID155; ID145; ID144</t>
  </si>
  <si>
    <t>Deletados 144;145;155;156;158;159</t>
  </si>
  <si>
    <t xml:space="preserve">Suzana Cristina de Almeida </t>
  </si>
  <si>
    <t>29/07/2025</t>
  </si>
  <si>
    <t>revisar: resíduos são pesados; valor das despesas com coletas</t>
  </si>
  <si>
    <t>Alice Cristiane Zancheta</t>
  </si>
  <si>
    <t>Pag 6, a frequência de coleta está em porcentagem e não em dias</t>
  </si>
  <si>
    <t>Fernanda kaezer de Godoy</t>
  </si>
  <si>
    <t>12/03/2025</t>
  </si>
  <si>
    <t>09/04- Dados incorretos informações da coleta seletiva - formulário aba 5 - informações financeiras - distinção entre a coleta dos rejeitos e dos reciclaveis</t>
  </si>
  <si>
    <t xml:space="preserve">Ademir Papini Júnior </t>
  </si>
  <si>
    <t>Heloísa Maria Beloni Insenha</t>
  </si>
  <si>
    <t>06/02/2025</t>
  </si>
  <si>
    <t xml:space="preserve">revisar dados, pois então incondizentes com a realidade. não tem prensa horizontal, falar comigo sobre. </t>
  </si>
  <si>
    <t>nº banheiros 5?</t>
  </si>
  <si>
    <t>21/07/2025</t>
  </si>
  <si>
    <t xml:space="preserve">revisar metragens dos ambientes; Esteira de Triagem Elevação (era para ser esteira elevada! já está em correção), mas retirar por favor; </t>
  </si>
  <si>
    <t xml:space="preserve">Foto da cozinha precisa ser incluída </t>
  </si>
  <si>
    <t>09/04/2025</t>
  </si>
  <si>
    <t xml:space="preserve">revisar as fotos, caminhão para semi compactador, </t>
  </si>
  <si>
    <t>07/03/2025</t>
  </si>
  <si>
    <t>10/04/2025, 10/04/2025, 09/05/2025, 10/06/2025</t>
  </si>
  <si>
    <t>11/04/2025</t>
  </si>
  <si>
    <t>20/05/2025</t>
  </si>
  <si>
    <t>22/08/2025</t>
  </si>
  <si>
    <t>10/07/2025</t>
  </si>
  <si>
    <t>06/05/2025</t>
  </si>
  <si>
    <t>25/09/2025</t>
  </si>
  <si>
    <t>corrigir caminhao semi compactador</t>
  </si>
  <si>
    <t>14/04/2025</t>
  </si>
  <si>
    <t>corrigir esteira de triagem elevação</t>
  </si>
  <si>
    <t>corrigir quantidade de elevador de fardo</t>
  </si>
  <si>
    <t>03/07/2025</t>
  </si>
  <si>
    <t>Está ok</t>
  </si>
  <si>
    <t>25/03/2025</t>
  </si>
  <si>
    <t>08/03/2025</t>
  </si>
  <si>
    <t>28/02/2025</t>
  </si>
  <si>
    <t>06/08/2025, 20/08/2025</t>
  </si>
  <si>
    <t>Verificar Equipamentos I - vocês não possuem prensa HORIZONTAL, trocar para VERTICAL. e até onde me lembro uma está quebrada para manutenção, ou não?; esteiras - não possuem esteira de triagem elevada (está como elevação, mas vai ser corrigido), retirar; em outros - mesa de triagem, seria de eletronicos, se tiver mantem, se não, retirar.</t>
  </si>
  <si>
    <t>16/04/2025, 30/05/2025</t>
  </si>
  <si>
    <t>revisar empilhadeiras</t>
  </si>
  <si>
    <t>atualizar dimensões do terreno e construção</t>
  </si>
  <si>
    <t>05/03/2025</t>
  </si>
  <si>
    <t xml:space="preserve">revisar valor das despesas com coleta, está o mesmo para ambas e só a seletiva, </t>
  </si>
  <si>
    <t>03/04/2025</t>
  </si>
  <si>
    <t>Pág 3, precisa incluir fotos de cada um dos ambientes da UVR - cozinha, refeitório, área de processamento...
Pág 4, estão com 3 prensas horizontais?</t>
  </si>
  <si>
    <t>19/08/2025</t>
  </si>
  <si>
    <t>Alterado as fotos</t>
  </si>
  <si>
    <t>Remover ID 195</t>
  </si>
  <si>
    <t>Removido o 195</t>
  </si>
  <si>
    <t xml:space="preserve"> Ajustas a aba 3</t>
  </si>
  <si>
    <t xml:space="preserve">Refazer todas as fotos e tirar no formado horizontal; A área de processamento operacional é coberta? sim, mas as metragens estão incorretas, revisar. o caminhão é semi-compactador trocar. possui Carro de Movimentação de Big Bag, revisar quantidade!! Esteira de Triagem Elevação (aqui é para ser elevada) vocês não  possuem, retirar. </t>
  </si>
  <si>
    <t>ID192; ID191; ID190; ID189; ID171</t>
  </si>
  <si>
    <t>Deletados 171;189;190;191;192</t>
  </si>
  <si>
    <t>Pag 3, as fotos da edificação e da área de estocagem estão ótimas, para as outras áreas precisaria de fotos mais específicas</t>
  </si>
  <si>
    <t>Verificar pág 3 (falta de documentação)</t>
  </si>
  <si>
    <t>apenas revisar docs</t>
  </si>
  <si>
    <t>06/03/2025, 05/03/2025</t>
  </si>
  <si>
    <t>10/04/2025, 09/05/2025</t>
  </si>
  <si>
    <t>15/05/2025</t>
  </si>
  <si>
    <t>Pág 3, dividir os anexos na documentação pertinente (Estatuto e Ata)</t>
  </si>
  <si>
    <t>20/08/2025</t>
  </si>
  <si>
    <t>Corrigir item 3 - administração do empreendimento</t>
  </si>
  <si>
    <t>17/03/2025</t>
  </si>
  <si>
    <t>02/09/2025</t>
  </si>
  <si>
    <t>o alvará é da unidade 06</t>
  </si>
  <si>
    <t>26/03/2025</t>
  </si>
  <si>
    <t>realmente não pagam o INSS?</t>
  </si>
  <si>
    <t>tudo ok</t>
  </si>
  <si>
    <t>atualizar alvará, nova ata de eleição</t>
  </si>
  <si>
    <t>apenas revisar os docs</t>
  </si>
  <si>
    <t>12/06/2025</t>
  </si>
  <si>
    <t>09/05/2025</t>
  </si>
  <si>
    <t xml:space="preserve"> revisar NOME RAZÃO SOCIAL (pois o de vocês é: ASSOCIACAO DOS CATADORES DE MATERIAIS RECICLAVEIS DE TERRA ROXA - ACARTERRA) e o nome FANTASIA  - ACARTERRA. Colocar os documentos, pois não tem nada no sistema!! 6 possuem ensino superior? revisar; </t>
  </si>
  <si>
    <t>ID169; ID168; ID166; ID165; ID149</t>
  </si>
  <si>
    <t>Deletados 149;165;166;168;169</t>
  </si>
  <si>
    <t>Corrigir nome da presidente</t>
  </si>
  <si>
    <t>ID115, ID187</t>
  </si>
  <si>
    <t>Deletados 115; 187</t>
  </si>
  <si>
    <t>17/06/2025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</si>
</sst>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14"/>
      <color theme="0"/>
      <name val="Aptos Narrow"/>
    </font>
    <font>
      <b/>
      <sz val="10"/>
      <name val="Arial"/>
    </font>
    <font>
      <b/>
      <sz val="8"/>
      <color rgb="FFFFFFFF"/>
      <name val="Arial"/>
    </font>
    <font>
      <sz val="11"/>
      <color theme="1"/>
      <name val="Calibri"/>
    </font>
    <font>
      <sz val="11"/>
      <color theme="0"/>
      <name val="Calibri"/>
    </font>
    <font>
      <sz val="12"/>
      <color theme="1"/>
      <name val="Aptos Narrow"/>
    </font>
    <font>
      <b/>
      <sz val="12"/>
      <color theme="1"/>
      <name val="Aptos Narrow"/>
    </font>
    <font>
      <sz val="9"/>
      <color rgb="FF000000"/>
      <name val="Arial"/>
    </font>
    <font>
      <sz val="10"/>
      <name val="Arial"/>
    </font>
    <font>
      <sz val="12"/>
      <color theme="0"/>
      <name val="Aptos Narrow"/>
    </font>
    <font>
      <sz val="11"/>
      <color theme="1"/>
      <name val="Arial"/>
    </font>
    <font>
      <b/>
      <sz val="11"/>
      <color theme="1"/>
      <name val="Arial"/>
    </font>
    <font>
      <b/>
      <sz val="11"/>
      <color theme="1"/>
      <name val="Calibri"/>
    </font>
    <font>
      <b/>
      <sz val="11"/>
      <color rgb="FFFFFFFF"/>
      <name val="Arial"/>
    </font>
    <font>
      <sz val="11"/>
      <name val="Arial"/>
    </font>
    <font>
      <sz val="11"/>
      <color rgb="FFFFFFFF"/>
      <name val="Arial"/>
    </font>
  </fonts>
  <fills count="30">
    <fill>
      <patternFill patternType="none"/>
    </fill>
    <fill>
      <patternFill patternType="gray125"/>
    </fill>
    <fill>
      <patternFill patternType="solid">
        <fgColor theme="3" tint="0.249977111117893"/>
        <bgColor indexed="64"/>
      </patternFill>
    </fill>
    <fill>
      <patternFill patternType="solid">
        <fgColor rgb="FFBFBFBF"/>
        <bgColor indexed="64"/>
      </patternFill>
    </fill>
    <fill>
      <patternFill patternType="solid">
        <fgColor rgb="FF00B050"/>
        <bgColor indexed="64"/>
      </patternFill>
    </fill>
    <fill>
      <patternFill patternType="solid">
        <fgColor rgb="FF002060"/>
        <bgColor indexed="64"/>
      </patternFill>
    </fill>
    <fill>
      <patternFill patternType="solid">
        <fgColor rgb="FFFFFFFF"/>
        <bgColor indexed="64"/>
      </patternFill>
    </fill>
    <fill>
      <patternFill patternType="solid">
        <fgColor rgb="FFFFF7C9"/>
        <bgColor indexed="64"/>
      </patternFill>
    </fill>
    <fill>
      <patternFill patternType="solid">
        <fgColor rgb="FFA3DDFF"/>
        <bgColor indexed="64"/>
      </patternFill>
    </fill>
    <fill>
      <patternFill patternType="solid">
        <fgColor rgb="FF91F0D3"/>
        <bgColor indexed="64"/>
      </patternFill>
    </fill>
    <fill>
      <patternFill patternType="solid">
        <fgColor rgb="FFEBC99F"/>
        <bgColor indexed="64"/>
      </patternFill>
    </fill>
    <fill>
      <patternFill patternType="solid">
        <fgColor rgb="FFFFD2DE"/>
        <bgColor indexed="64"/>
      </patternFill>
    </fill>
    <fill>
      <patternFill patternType="solid">
        <fgColor theme="0"/>
        <bgColor indexed="64"/>
      </patternFill>
    </fill>
    <fill>
      <patternFill patternType="solid">
        <fgColor theme="4" tint="0.39997558519241921"/>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rgb="FF003366"/>
        <bgColor rgb="FF003366"/>
      </patternFill>
    </fill>
    <fill>
      <patternFill patternType="solid">
        <fgColor rgb="FFA9C5E6"/>
        <bgColor rgb="FFA9C5E6"/>
      </patternFill>
    </fill>
    <fill>
      <patternFill patternType="solid">
        <fgColor rgb="FF66FF66"/>
        <bgColor rgb="FF66FF66"/>
      </patternFill>
    </fill>
    <fill>
      <patternFill patternType="solid">
        <fgColor rgb="FFFFFF99"/>
        <bgColor rgb="FFFFFF99"/>
      </patternFill>
    </fill>
    <fill>
      <patternFill patternType="solid">
        <fgColor rgb="FFFF6666"/>
        <bgColor rgb="FFFF6666"/>
      </patternFill>
    </fill>
    <fill>
      <patternFill patternType="solid">
        <fgColor rgb="FFB2FFFF"/>
        <bgColor rgb="FFB2FFFF"/>
      </patternFill>
    </fill>
    <fill>
      <patternFill patternType="solid">
        <fgColor rgb="FFFFCCFF"/>
        <bgColor rgb="FFFFCCFF"/>
      </patternFill>
    </fill>
    <fill>
      <patternFill patternType="solid">
        <fgColor rgb="FFF1E0C6"/>
        <bgColor rgb="FFF1E0C6"/>
      </patternFill>
    </fill>
    <fill>
      <patternFill patternType="solid">
        <fgColor rgb="FF006400"/>
        <bgColor rgb="FF006400"/>
      </patternFill>
    </fill>
    <fill>
      <patternFill patternType="solid">
        <fgColor rgb="FFFF6400"/>
        <bgColor rgb="FFFF6400"/>
      </patternFill>
    </fill>
    <fill>
      <patternFill patternType="solid">
        <fgColor rgb="FFA020F0"/>
        <bgColor rgb="FFA020F0"/>
      </patternFill>
    </fill>
  </fills>
  <borders count="11">
    <border>
      <left/>
      <right/>
      <top/>
      <bottom/>
      <diagonal/>
    </border>
    <border>
      <left style="thin">
        <color rgb="FF000000"/>
      </left>
      <right style="thin">
        <color rgb="FF000000"/>
      </right>
      <top style="thin">
        <color rgb="FF000000"/>
      </top>
      <bottom/>
      <diagonal/>
    </border>
    <border>
      <left style="thin">
        <color rgb="FF00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theme="4" tint="0.39997558519241921"/>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4">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4" fillId="0" borderId="4" xfId="0" applyFont="1" applyBorder="1"/>
    <xf numFmtId="0" fontId="8" fillId="0" borderId="2" xfId="0" applyFont="1" applyBorder="1" applyAlignment="1">
      <alignment horizontal="center" vertical="center" wrapText="1"/>
    </xf>
    <xf numFmtId="0" fontId="9" fillId="6" borderId="3" xfId="0" applyFont="1" applyFill="1" applyBorder="1" applyAlignment="1">
      <alignment horizontal="center" vertical="center" wrapText="1"/>
    </xf>
    <xf numFmtId="0" fontId="6" fillId="0" borderId="5" xfId="0" applyFont="1" applyBorder="1" applyAlignment="1">
      <alignment horizontal="center" vertical="center"/>
    </xf>
    <xf numFmtId="0" fontId="10" fillId="2" borderId="1" xfId="0" applyFont="1" applyFill="1" applyBorder="1" applyAlignment="1">
      <alignment horizontal="center" vertical="center"/>
    </xf>
    <xf numFmtId="0" fontId="11" fillId="7" borderId="5" xfId="0" applyFont="1" applyFill="1" applyBorder="1" applyAlignment="1">
      <alignment horizontal="center" vertical="center"/>
    </xf>
    <xf numFmtId="0" fontId="11" fillId="8" borderId="5" xfId="0" applyFont="1" applyFill="1" applyBorder="1" applyAlignment="1">
      <alignment horizontal="center" vertical="center"/>
    </xf>
    <xf numFmtId="9" fontId="4" fillId="0" borderId="4" xfId="0" applyNumberFormat="1" applyFont="1" applyBorder="1" applyAlignment="1">
      <alignment horizontal="center" vertical="center"/>
    </xf>
    <xf numFmtId="0" fontId="11" fillId="9" borderId="5" xfId="0" applyFont="1" applyFill="1" applyBorder="1" applyAlignment="1">
      <alignment horizontal="center" vertical="center"/>
    </xf>
    <xf numFmtId="0" fontId="11" fillId="10" borderId="5" xfId="0" applyFont="1" applyFill="1" applyBorder="1" applyAlignment="1">
      <alignment horizontal="center" vertical="center"/>
    </xf>
    <xf numFmtId="0" fontId="11" fillId="11" borderId="5" xfId="0" applyFont="1" applyFill="1" applyBorder="1" applyAlignment="1">
      <alignment horizontal="center" vertical="center"/>
    </xf>
    <xf numFmtId="0" fontId="12" fillId="12" borderId="5" xfId="0" applyFont="1" applyFill="1" applyBorder="1" applyAlignment="1">
      <alignment horizontal="center" vertical="center"/>
    </xf>
    <xf numFmtId="9" fontId="13" fillId="0" borderId="4" xfId="0" applyNumberFormat="1" applyFont="1" applyBorder="1" applyAlignment="1">
      <alignment horizontal="center" vertical="center"/>
    </xf>
    <xf numFmtId="0" fontId="6" fillId="13" borderId="5" xfId="0" applyFont="1" applyFill="1" applyBorder="1" applyAlignment="1">
      <alignment horizontal="center" vertical="center"/>
    </xf>
    <xf numFmtId="0" fontId="10" fillId="2" borderId="5" xfId="0" applyFont="1" applyFill="1" applyBorder="1" applyAlignment="1">
      <alignment horizontal="center" vertical="center"/>
    </xf>
    <xf numFmtId="0" fontId="11" fillId="8" borderId="8" xfId="0" applyFont="1" applyFill="1" applyBorder="1" applyAlignment="1">
      <alignment horizontal="center" vertical="center"/>
    </xf>
    <xf numFmtId="0" fontId="11" fillId="15" borderId="9" xfId="0" applyFont="1" applyFill="1" applyBorder="1" applyAlignment="1">
      <alignment horizontal="center" vertical="center"/>
    </xf>
    <xf numFmtId="0" fontId="14" fillId="19" borderId="10" xfId="0" applyFont="1" applyFill="1" applyBorder="1" applyAlignment="1">
      <alignment horizontal="center" vertical="center"/>
    </xf>
    <xf numFmtId="0" fontId="15" fillId="0" borderId="10" xfId="0" applyFont="1" applyBorder="1" applyAlignment="1">
      <alignment horizontal="center" vertical="center"/>
    </xf>
    <xf numFmtId="0" fontId="16" fillId="27" borderId="10" xfId="0" applyFont="1" applyFill="1" applyBorder="1" applyAlignment="1">
      <alignment horizontal="center" vertical="center"/>
    </xf>
    <xf numFmtId="0" fontId="15" fillId="21" borderId="10" xfId="0" applyFont="1" applyFill="1" applyBorder="1" applyAlignment="1">
      <alignment horizontal="center" vertical="center"/>
    </xf>
    <xf numFmtId="0" fontId="16" fillId="28" borderId="10" xfId="0" applyFont="1" applyFill="1" applyBorder="1" applyAlignment="1">
      <alignment horizontal="center" vertical="center"/>
    </xf>
    <xf numFmtId="0" fontId="15" fillId="23" borderId="10" xfId="0" applyFont="1" applyFill="1" applyBorder="1" applyAlignment="1">
      <alignment horizontal="center" vertical="center"/>
    </xf>
    <xf numFmtId="0" fontId="16" fillId="29" borderId="10" xfId="0" applyFont="1" applyFill="1" applyBorder="1" applyAlignment="1">
      <alignment horizontal="center" vertical="center"/>
    </xf>
    <xf numFmtId="0" fontId="6" fillId="0" borderId="10" xfId="0" applyFont="1" applyBorder="1" applyAlignment="1">
      <alignment horizontal="center" vertical="center"/>
    </xf>
    <xf numFmtId="9" fontId="6" fillId="0" borderId="10" xfId="0" applyNumberFormat="1" applyFont="1" applyBorder="1" applyAlignment="1">
      <alignment horizontal="center" vertical="center"/>
    </xf>
    <xf numFmtId="0" fontId="7" fillId="0" borderId="10" xfId="0" applyFont="1" applyBorder="1" applyAlignment="1">
      <alignment horizontal="center" vertical="center"/>
    </xf>
    <xf numFmtId="0" fontId="4" fillId="0" borderId="10" xfId="0" applyFont="1" applyBorder="1" applyAlignment="1">
      <alignment horizontal="center" vertical="center"/>
    </xf>
    <xf numFmtId="9" fontId="4" fillId="0" borderId="10" xfId="0" applyNumberFormat="1" applyFont="1" applyBorder="1" applyAlignment="1">
      <alignment horizontal="center" vertical="center"/>
    </xf>
    <xf numFmtId="0" fontId="13" fillId="0" borderId="10" xfId="0" applyFont="1" applyBorder="1" applyAlignment="1">
      <alignment horizontal="center" vertical="center"/>
    </xf>
    <xf numFmtId="9" fontId="13" fillId="0" borderId="10" xfId="0" applyNumberFormat="1" applyFont="1" applyBorder="1" applyAlignment="1">
      <alignment horizontal="center" vertical="center"/>
    </xf>
    <xf numFmtId="0" fontId="11" fillId="14" borderId="10" xfId="0" applyFont="1" applyFill="1" applyBorder="1" applyAlignment="1">
      <alignment horizontal="center" vertical="center"/>
    </xf>
    <xf numFmtId="0" fontId="11" fillId="10" borderId="10" xfId="0" applyFont="1" applyFill="1" applyBorder="1" applyAlignment="1">
      <alignment horizontal="center" vertical="center"/>
    </xf>
    <xf numFmtId="0" fontId="11" fillId="0" borderId="10" xfId="0" applyFont="1" applyBorder="1" applyAlignment="1">
      <alignment horizontal="center" vertical="center"/>
    </xf>
    <xf numFmtId="0" fontId="11" fillId="16" borderId="10" xfId="0" applyFont="1" applyFill="1" applyBorder="1" applyAlignment="1">
      <alignment horizontal="center" vertical="center"/>
    </xf>
    <xf numFmtId="0" fontId="11" fillId="17" borderId="10" xfId="0" applyFont="1" applyFill="1" applyBorder="1" applyAlignment="1">
      <alignment horizontal="center" vertical="center"/>
    </xf>
    <xf numFmtId="0" fontId="11" fillId="7" borderId="10" xfId="0" applyFont="1" applyFill="1" applyBorder="1" applyAlignment="1">
      <alignment horizontal="center" vertical="center"/>
    </xf>
    <xf numFmtId="0" fontId="11" fillId="11" borderId="10" xfId="0" applyFont="1" applyFill="1" applyBorder="1" applyAlignment="1">
      <alignment horizontal="center" vertical="center"/>
    </xf>
    <xf numFmtId="0" fontId="11" fillId="18" borderId="10" xfId="0" applyFont="1" applyFill="1" applyBorder="1" applyAlignment="1">
      <alignment horizontal="center" vertical="center"/>
    </xf>
    <xf numFmtId="0" fontId="11" fillId="9" borderId="10" xfId="0" applyFont="1" applyFill="1" applyBorder="1" applyAlignment="1">
      <alignment horizontal="center" vertical="center"/>
    </xf>
    <xf numFmtId="0" fontId="15" fillId="20" borderId="10" xfId="0" applyFont="1" applyFill="1" applyBorder="1" applyAlignment="1">
      <alignment horizontal="center" vertical="center"/>
    </xf>
    <xf numFmtId="0" fontId="15" fillId="22" borderId="10" xfId="0" applyFont="1" applyFill="1" applyBorder="1" applyAlignment="1">
      <alignment horizontal="center" vertical="center"/>
    </xf>
    <xf numFmtId="0" fontId="15" fillId="24" borderId="10" xfId="0" applyFont="1" applyFill="1" applyBorder="1" applyAlignment="1">
      <alignment horizontal="center" vertical="center"/>
    </xf>
    <xf numFmtId="0" fontId="15" fillId="25" borderId="10" xfId="0" applyFont="1" applyFill="1" applyBorder="1" applyAlignment="1">
      <alignment horizontal="center" vertical="center"/>
    </xf>
    <xf numFmtId="0" fontId="15" fillId="26" borderId="10" xfId="0" applyFont="1" applyFill="1" applyBorder="1" applyAlignment="1">
      <alignment horizontal="center" vertical="center"/>
    </xf>
    <xf numFmtId="0" fontId="5" fillId="5" borderId="10" xfId="0" applyFont="1" applyFill="1" applyBorder="1" applyAlignment="1">
      <alignment horizontal="center" vertical="center"/>
    </xf>
    <xf numFmtId="0" fontId="10" fillId="2" borderId="7" xfId="0" applyFont="1" applyFill="1" applyBorder="1" applyAlignment="1">
      <alignment horizontal="center" vertical="center"/>
    </xf>
    <xf numFmtId="0" fontId="10" fillId="2" borderId="10" xfId="0" applyFont="1" applyFill="1" applyBorder="1" applyAlignment="1">
      <alignment horizontal="center" vertical="center"/>
    </xf>
    <xf numFmtId="0" fontId="0" fillId="0" borderId="6" xfId="0" applyBorder="1" applyAlignment="1"/>
    <xf numFmtId="0" fontId="0" fillId="0" borderId="7" xfId="0" applyBorder="1" applyAlignment="1"/>
  </cellXfs>
  <cellStyles count="1">
    <cellStyle name="Normal" xfId="0" builtinId="0"/>
  </cellStyles>
  <dxfs count="59">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5" tint="-0.24997711111789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57"/>
  <sheetViews>
    <sheetView workbookViewId="0"/>
  </sheetViews>
  <sheetFormatPr defaultRowHeight="15"/>
  <cols>
    <col min="1" max="1" width="20" customWidth="1"/>
    <col min="2" max="2" width="12.85546875" customWidth="1"/>
    <col min="3" max="3" width="12.28515625" customWidth="1"/>
    <col min="4" max="4" width="15.140625" customWidth="1"/>
    <col min="5" max="5" width="12" customWidth="1"/>
    <col min="6" max="6" width="15.140625" customWidth="1"/>
    <col min="7" max="7" width="11.85546875" customWidth="1"/>
    <col min="8" max="8" width="15.140625" customWidth="1"/>
    <col min="9" max="9" width="11.85546875" customWidth="1"/>
    <col min="10" max="10" width="14.85546875" customWidth="1"/>
    <col min="12" max="12" width="21.5703125" customWidth="1"/>
    <col min="30" max="30" width="24.7109375" customWidth="1"/>
    <col min="31" max="31" width="9.85546875" customWidth="1"/>
    <col min="33" max="33" width="24.7109375" customWidth="1"/>
    <col min="34" max="34" width="9.85546875" customWidth="1"/>
    <col min="36" max="36" width="24.7109375" customWidth="1"/>
    <col min="37" max="37" width="9.85546875" customWidth="1"/>
  </cols>
  <sheetData>
    <row r="1" spans="1:37" ht="18.75" customHeight="1">
      <c r="A1" s="1" t="s">
        <v>0</v>
      </c>
      <c r="B1" s="1" t="s">
        <v>1</v>
      </c>
      <c r="C1" s="1" t="s">
        <v>2</v>
      </c>
      <c r="D1" s="1" t="s">
        <v>3</v>
      </c>
      <c r="E1" s="1" t="s">
        <v>2</v>
      </c>
      <c r="F1" s="1" t="s">
        <v>4</v>
      </c>
      <c r="G1" s="1" t="s">
        <v>2</v>
      </c>
      <c r="H1" s="1" t="s">
        <v>5</v>
      </c>
      <c r="I1" s="1" t="s">
        <v>2</v>
      </c>
      <c r="J1" s="1" t="s">
        <v>6</v>
      </c>
      <c r="L1" s="2" t="s">
        <v>7</v>
      </c>
      <c r="M1" s="3" t="s">
        <v>8</v>
      </c>
      <c r="N1" s="3" t="s">
        <v>9</v>
      </c>
      <c r="O1" s="3" t="s">
        <v>10</v>
      </c>
      <c r="AC1" s="4"/>
      <c r="AD1" s="49" t="s">
        <v>11</v>
      </c>
      <c r="AE1" s="52"/>
      <c r="AF1" s="4"/>
      <c r="AG1" s="49" t="s">
        <v>12</v>
      </c>
      <c r="AH1" s="52"/>
      <c r="AJ1" s="49" t="s">
        <v>13</v>
      </c>
      <c r="AK1" s="52"/>
    </row>
    <row r="2" spans="1:37" ht="15.75" customHeight="1">
      <c r="A2" s="28" t="s">
        <v>14</v>
      </c>
      <c r="B2" s="28">
        <f ca="1">COUNTIF(AE2:AE56,"Enviado")</f>
        <v>42</v>
      </c>
      <c r="C2" s="29">
        <f ca="1">B2/SUM($B2,$D2,$F2,$H2)</f>
        <v>0.76363636363636367</v>
      </c>
      <c r="D2" s="28">
        <f ca="1">COUNTIF(AE2:AE56,"Atrasado")</f>
        <v>11</v>
      </c>
      <c r="E2" s="29">
        <f ca="1">D2/SUM($B2,$D2,$F2,$H2)</f>
        <v>0.2</v>
      </c>
      <c r="F2" s="28">
        <f ca="1">COUNTIF(AE2:AE56,"Sem Técnico")</f>
        <v>0</v>
      </c>
      <c r="G2" s="29">
        <f ca="1">F2/SUM($B2,$D2,$F2,$H2)</f>
        <v>0</v>
      </c>
      <c r="H2" s="28">
        <f ca="1">COUNTIF(AE2:AE56,"Duplicado")</f>
        <v>2</v>
      </c>
      <c r="I2" s="29">
        <f ca="1">H2/SUM($B2,$D2,$F2,$H2)</f>
        <v>3.6363636363636362E-2</v>
      </c>
      <c r="J2" s="30">
        <f ca="1">SUM(B2,D2,F2,H2)</f>
        <v>55</v>
      </c>
      <c r="L2" s="5" t="s">
        <v>15</v>
      </c>
      <c r="M2" s="6">
        <f ca="1">B2+H2</f>
        <v>44</v>
      </c>
      <c r="N2" s="6">
        <f ca="1">D2</f>
        <v>11</v>
      </c>
      <c r="O2" s="6">
        <f ca="1">F2</f>
        <v>0</v>
      </c>
      <c r="AC2" s="4"/>
      <c r="AD2" s="31" t="str">
        <f t="array" aca="1" ref="AD2:AD56" ca="1">_xlfn.UNIQUE(INDIRECT("'Form 1 - Município'!B2:B70"))</f>
        <v>Altônia</v>
      </c>
      <c r="AE2" s="31" t="str">
        <f ca="1">VLOOKUP(AD2,INDIRECT("'Form 1 - Município'!$B$2:$E$70"),4,FALSE)</f>
        <v>Enviado</v>
      </c>
      <c r="AF2" s="4"/>
      <c r="AG2" s="31" t="str">
        <f t="array" aca="1" ref="AG2:AG56" ca="1">_xlfn.UNIQUE(INDIRECT("'Form 2 - UVR'!B2:B70"))</f>
        <v>Altônia</v>
      </c>
      <c r="AH2" s="31" t="str">
        <f ca="1">VLOOKUP(AG2,INDIRECT("'Form 2 - UVR'!$B$2:$E$70"),4,FALSE)</f>
        <v>Enviado</v>
      </c>
      <c r="AJ2" s="31" t="str">
        <f t="array" aca="1" ref="AJ2:AJ56" ca="1">_xlfn.UNIQUE(INDIRECT("'Form 3 - Empreendimento'!B2:B70"))</f>
        <v>Altônia</v>
      </c>
      <c r="AK2" s="31" t="str">
        <f ca="1">VLOOKUP(AJ2,INDIRECT("'Form 3 - Empreendimento'!$B$2:$E$70"),4,FALSE)</f>
        <v>Atrasado</v>
      </c>
    </row>
    <row r="3" spans="1:37" ht="15.75" customHeight="1">
      <c r="A3" s="28" t="s">
        <v>16</v>
      </c>
      <c r="B3" s="28">
        <f ca="1">COUNTIF(AH2:AH56,"Enviado")</f>
        <v>42</v>
      </c>
      <c r="C3" s="29">
        <f ca="1">B3/SUM($B3,$D3,$F3,$H3)</f>
        <v>0.76363636363636367</v>
      </c>
      <c r="D3" s="28">
        <f ca="1">COUNTIF(AH2:AH56,"Atrasado")</f>
        <v>11</v>
      </c>
      <c r="E3" s="29">
        <f ca="1">D3/SUM($B3,$D3,$F3,$H3)</f>
        <v>0.2</v>
      </c>
      <c r="F3" s="28">
        <f ca="1">COUNTIF(AH2:AH56,"Sem Técnico")</f>
        <v>0</v>
      </c>
      <c r="G3" s="29">
        <f ca="1">F3/SUM($B3,$D3,$F3,$H3)</f>
        <v>0</v>
      </c>
      <c r="H3" s="28">
        <f ca="1">COUNTIF(AH2:AH56,"Duplicado")</f>
        <v>2</v>
      </c>
      <c r="I3" s="29">
        <f ca="1">H3/SUM($B3,$D3,$F3,$H3)</f>
        <v>3.6363636363636362E-2</v>
      </c>
      <c r="J3" s="30">
        <f ca="1">SUM(B3,D3,F3,H3)</f>
        <v>55</v>
      </c>
      <c r="L3" s="5" t="s">
        <v>17</v>
      </c>
      <c r="M3" s="6">
        <f ca="1">B3+H3</f>
        <v>44</v>
      </c>
      <c r="N3" s="6">
        <f ca="1">D3</f>
        <v>11</v>
      </c>
      <c r="O3" s="6">
        <f ca="1">F3</f>
        <v>0</v>
      </c>
      <c r="AC3" s="4"/>
      <c r="AD3" s="31" t="str">
        <f ca="1"/>
        <v>Anahy</v>
      </c>
      <c r="AE3" s="31" t="str">
        <f ca="1">VLOOKUP(AD3,INDIRECT("'Form 1 - Município'!$B$2:$E$70"),4,FALSE)</f>
        <v>Atrasado</v>
      </c>
      <c r="AF3" s="4"/>
      <c r="AG3" s="31" t="str">
        <f ca="1"/>
        <v>Anahy</v>
      </c>
      <c r="AH3" s="31" t="str">
        <f ca="1">VLOOKUP(AG3,INDIRECT("'Form 2 - UVR'!$B$2:$E$70"),4,FALSE)</f>
        <v>Enviado</v>
      </c>
      <c r="AJ3" s="31" t="str">
        <f ca="1"/>
        <v>Anahy</v>
      </c>
      <c r="AK3" s="31" t="str">
        <f ca="1">VLOOKUP(AJ3,INDIRECT("'Form 3 - Empreendimento'!$B$2:$E$70"),4,FALSE)</f>
        <v>Enviado</v>
      </c>
    </row>
    <row r="4" spans="1:37" ht="15.75" customHeight="1">
      <c r="A4" s="28" t="s">
        <v>18</v>
      </c>
      <c r="B4" s="28">
        <f ca="1">COUNTIF(AK2:AK56,"Enviado")</f>
        <v>41</v>
      </c>
      <c r="C4" s="29">
        <f ca="1">B4/SUM($B4,$D4,$F4,$H4)</f>
        <v>0.74545454545454548</v>
      </c>
      <c r="D4" s="28">
        <f ca="1">COUNTIF(AK2:AK56,"Atrasado")</f>
        <v>13</v>
      </c>
      <c r="E4" s="29">
        <f ca="1">D4/SUM($B4,$D4,$F4,$H4)</f>
        <v>0.23636363636363636</v>
      </c>
      <c r="F4" s="28">
        <f ca="1">COUNTIF(AK2:AK56,"Sem Técnico")</f>
        <v>0</v>
      </c>
      <c r="G4" s="29">
        <f ca="1">F4/SUM($B4,$D4,$F4,$H4)</f>
        <v>0</v>
      </c>
      <c r="H4" s="28">
        <f ca="1">COUNTIF(AK2:AK56,"Duplicado")</f>
        <v>1</v>
      </c>
      <c r="I4" s="29">
        <f ca="1">H4/SUM($B4,$D4,$F4,$H4)</f>
        <v>1.8181818181818181E-2</v>
      </c>
      <c r="J4" s="30">
        <f ca="1">SUM(B4,D4,F4,H4)</f>
        <v>55</v>
      </c>
      <c r="L4" s="5" t="s">
        <v>19</v>
      </c>
      <c r="M4" s="6">
        <f ca="1">B4+H4</f>
        <v>42</v>
      </c>
      <c r="N4" s="6">
        <f ca="1">D4</f>
        <v>13</v>
      </c>
      <c r="O4" s="6">
        <f ca="1">F4</f>
        <v>0</v>
      </c>
      <c r="AC4" s="4"/>
      <c r="AD4" s="31" t="str">
        <f ca="1"/>
        <v>Assis Chateaubriand</v>
      </c>
      <c r="AE4" s="31" t="str">
        <f ca="1">VLOOKUP(AD4,INDIRECT("'Form 1 - Município'!$B$2:$E$70"),4,FALSE)</f>
        <v>Enviado</v>
      </c>
      <c r="AF4" s="4"/>
      <c r="AG4" s="31" t="str">
        <f ca="1"/>
        <v>Assis Chateaubriand</v>
      </c>
      <c r="AH4" s="31" t="str">
        <f ca="1">VLOOKUP(AG4,INDIRECT("'Form 2 - UVR'!$B$2:$E$70"),4,FALSE)</f>
        <v>Enviado</v>
      </c>
      <c r="AJ4" s="31" t="str">
        <f ca="1"/>
        <v>Assis Chateaubriand</v>
      </c>
      <c r="AK4" s="31" t="str">
        <f ca="1">VLOOKUP(AJ4,INDIRECT("'Form 3 - Empreendimento'!$B$2:$E$70"),4,FALSE)</f>
        <v>Enviado</v>
      </c>
    </row>
    <row r="5" spans="1:37" ht="15.75" customHeight="1">
      <c r="A5" s="30" t="s">
        <v>6</v>
      </c>
      <c r="B5" s="30">
        <f ca="1">SUM(B2:B4)</f>
        <v>125</v>
      </c>
      <c r="C5" s="29">
        <f ca="1">B5/SUM($B5,$D5,$F5,$H5)</f>
        <v>0.75757575757575757</v>
      </c>
      <c r="D5" s="30">
        <f ca="1">SUM(D2:D4)</f>
        <v>35</v>
      </c>
      <c r="E5" s="29">
        <f ca="1">D5/SUM($B5,$D5,$F5,$H5)</f>
        <v>0.21212121212121213</v>
      </c>
      <c r="F5" s="30">
        <f ca="1">SUM(F2:F4)</f>
        <v>0</v>
      </c>
      <c r="G5" s="29">
        <f ca="1">F5/SUM($B5,$D5,$F5,$H5)</f>
        <v>0</v>
      </c>
      <c r="H5" s="30">
        <f ca="1">SUM(H2:H4)</f>
        <v>5</v>
      </c>
      <c r="I5" s="29">
        <f ca="1">H5/SUM($B5,$D5,$F5,$H5)</f>
        <v>3.0303030303030304E-2</v>
      </c>
      <c r="J5" s="30">
        <f ca="1">SUM(J2:J4)</f>
        <v>165</v>
      </c>
      <c r="AC5" s="4"/>
      <c r="AD5" s="31" t="str">
        <f ca="1"/>
        <v>Boa Vista da Aparecida</v>
      </c>
      <c r="AE5" s="31" t="str">
        <f ca="1">VLOOKUP(AD5,INDIRECT("'Form 1 - Município'!$B$2:$E$70"),4,FALSE)</f>
        <v>Enviado</v>
      </c>
      <c r="AF5" s="4"/>
      <c r="AG5" s="31" t="str">
        <f ca="1"/>
        <v>Boa Vista da Aparecida</v>
      </c>
      <c r="AH5" s="31" t="str">
        <f ca="1">VLOOKUP(AG5,INDIRECT("'Form 2 - UVR'!$B$2:$E$70"),4,FALSE)</f>
        <v>Enviado</v>
      </c>
      <c r="AJ5" s="31" t="str">
        <f ca="1"/>
        <v>Boa Vista da Aparecida</v>
      </c>
      <c r="AK5" s="31" t="str">
        <f ca="1">VLOOKUP(AJ5,INDIRECT("'Form 3 - Empreendimento'!$B$2:$E$70"),4,FALSE)</f>
        <v>Enviado</v>
      </c>
    </row>
    <row r="6" spans="1:37">
      <c r="AC6" s="4"/>
      <c r="AD6" s="31" t="str">
        <f ca="1"/>
        <v>Braganey</v>
      </c>
      <c r="AE6" s="31" t="str">
        <f ca="1">VLOOKUP(AD6,INDIRECT("'Form 1 - Município'!$B$2:$E$70"),4,FALSE)</f>
        <v>Enviado</v>
      </c>
      <c r="AF6" s="4"/>
      <c r="AG6" s="31" t="str">
        <f ca="1"/>
        <v>Braganey</v>
      </c>
      <c r="AH6" s="31" t="str">
        <f ca="1">VLOOKUP(AG6,INDIRECT("'Form 2 - UVR'!$B$2:$E$70"),4,FALSE)</f>
        <v>Enviado</v>
      </c>
      <c r="AJ6" s="31" t="str">
        <f ca="1"/>
        <v>Braganey</v>
      </c>
      <c r="AK6" s="31" t="str">
        <f ca="1">VLOOKUP(AJ6,INDIRECT("'Form 3 - Empreendimento'!$B$2:$E$70"),4,FALSE)</f>
        <v>Enviado</v>
      </c>
    </row>
    <row r="7" spans="1:37">
      <c r="AC7" s="4"/>
      <c r="AD7" s="31" t="str">
        <f ca="1"/>
        <v>Brasilândia do Sul</v>
      </c>
      <c r="AE7" s="31" t="str">
        <f ca="1">VLOOKUP(AD7,INDIRECT("'Form 1 - Município'!$B$2:$E$70"),4,FALSE)</f>
        <v>Enviado</v>
      </c>
      <c r="AF7" s="4"/>
      <c r="AG7" s="31" t="str">
        <f ca="1"/>
        <v>Brasilândia do Sul</v>
      </c>
      <c r="AH7" s="31" t="str">
        <f ca="1">VLOOKUP(AG7,INDIRECT("'Form 2 - UVR'!$B$2:$E$70"),4,FALSE)</f>
        <v>Enviado</v>
      </c>
      <c r="AJ7" s="31" t="str">
        <f ca="1"/>
        <v>Brasilândia do Sul</v>
      </c>
      <c r="AK7" s="31" t="str">
        <f ca="1">VLOOKUP(AJ7,INDIRECT("'Form 3 - Empreendimento'!$B$2:$E$70"),4,FALSE)</f>
        <v>Enviado</v>
      </c>
    </row>
    <row r="8" spans="1:37">
      <c r="AC8" s="4"/>
      <c r="AD8" s="31" t="str">
        <f ca="1"/>
        <v>Cafelândia</v>
      </c>
      <c r="AE8" s="31" t="str">
        <f ca="1">VLOOKUP(AD8,INDIRECT("'Form 1 - Município'!$B$2:$E$70"),4,FALSE)</f>
        <v>Enviado</v>
      </c>
      <c r="AF8" s="4"/>
      <c r="AG8" s="31" t="str">
        <f ca="1"/>
        <v>Cafelândia</v>
      </c>
      <c r="AH8" s="31" t="str">
        <f ca="1">VLOOKUP(AG8,INDIRECT("'Form 2 - UVR'!$B$2:$E$70"),4,FALSE)</f>
        <v>Enviado</v>
      </c>
      <c r="AJ8" s="31" t="str">
        <f ca="1"/>
        <v>Cafelândia</v>
      </c>
      <c r="AK8" s="31" t="str">
        <f ca="1">VLOOKUP(AJ8,INDIRECT("'Form 3 - Empreendimento'!$B$2:$E$70"),4,FALSE)</f>
        <v>Atrasado</v>
      </c>
    </row>
    <row r="9" spans="1:37" ht="18.75" customHeight="1">
      <c r="A9" s="1" t="s">
        <v>0</v>
      </c>
      <c r="B9" s="1" t="s">
        <v>20</v>
      </c>
      <c r="C9" s="1" t="s">
        <v>2</v>
      </c>
      <c r="AC9" s="4"/>
      <c r="AD9" s="31" t="str">
        <f ca="1"/>
        <v>Campo Bonito</v>
      </c>
      <c r="AE9" s="31" t="str">
        <f ca="1">VLOOKUP(AD9,INDIRECT("'Form 1 - Município'!$B$2:$E$70"),4,FALSE)</f>
        <v>Atrasado</v>
      </c>
      <c r="AF9" s="4"/>
      <c r="AG9" s="31" t="str">
        <f ca="1"/>
        <v>Campo Bonito</v>
      </c>
      <c r="AH9" s="31" t="str">
        <f ca="1">VLOOKUP(AG9,INDIRECT("'Form 2 - UVR'!$B$2:$E$70"),4,FALSE)</f>
        <v>Atrasado</v>
      </c>
      <c r="AJ9" s="31" t="str">
        <f ca="1"/>
        <v>Campo Bonito</v>
      </c>
      <c r="AK9" s="31" t="str">
        <f ca="1">VLOOKUP(AJ9,INDIRECT("'Form 3 - Empreendimento'!$B$2:$E$70"),4,FALSE)</f>
        <v>Atrasado</v>
      </c>
    </row>
    <row r="10" spans="1:37" ht="15.75" customHeight="1">
      <c r="A10" s="7" t="s">
        <v>14</v>
      </c>
      <c r="B10" s="28">
        <f ca="1">COUNTIF(INDIRECT("'Form 1 - Município'!G2:G100"),"Sim")</f>
        <v>42</v>
      </c>
      <c r="C10" s="32">
        <f ca="1">$B$10/(COUNTA(INDIRECT("'Form 1 - Município'!B2:B70")))</f>
        <v>0.60869565217391308</v>
      </c>
      <c r="AC10" s="4"/>
      <c r="AD10" s="31" t="str">
        <f ca="1"/>
        <v>Capitão Leonidas Marques</v>
      </c>
      <c r="AE10" s="31" t="str">
        <f ca="1">VLOOKUP(AD10,INDIRECT("'Form 1 - Município'!$B$2:$E$70"),4,FALSE)</f>
        <v>Enviado</v>
      </c>
      <c r="AF10" s="4"/>
      <c r="AG10" s="31" t="str">
        <f ca="1"/>
        <v>Capitão Leonidas Marques</v>
      </c>
      <c r="AH10" s="31" t="str">
        <f ca="1">VLOOKUP(AG10,INDIRECT("'Form 2 - UVR'!$B$2:$E$70"),4,FALSE)</f>
        <v>Enviado</v>
      </c>
      <c r="AJ10" s="31" t="str">
        <f ca="1"/>
        <v>Capitão Leonidas Marques</v>
      </c>
      <c r="AK10" s="31" t="str">
        <f ca="1">VLOOKUP(AJ10,INDIRECT("'Form 3 - Empreendimento'!$B$2:$E$70"),4,FALSE)</f>
        <v>Duplicado</v>
      </c>
    </row>
    <row r="11" spans="1:37" ht="15.75" customHeight="1">
      <c r="A11" s="7" t="s">
        <v>16</v>
      </c>
      <c r="B11" s="28">
        <f ca="1">COUNTIF(INDIRECT("'Form 2 - UVR'!G2:G100"),"Sim")</f>
        <v>42</v>
      </c>
      <c r="C11" s="32">
        <f ca="1">$B$11/(COUNTA(INDIRECT("'Form 2 - UVR'!B2:B70")))</f>
        <v>0.60869565217391308</v>
      </c>
      <c r="AC11" s="4"/>
      <c r="AD11" s="31" t="str">
        <f ca="1"/>
        <v>Cascavel</v>
      </c>
      <c r="AE11" s="31" t="str">
        <f ca="1">VLOOKUP(AD11,INDIRECT("'Form 1 - Município'!$B$2:$E$70"),4,FALSE)</f>
        <v>Duplicado</v>
      </c>
      <c r="AF11" s="4"/>
      <c r="AG11" s="31" t="str">
        <f ca="1"/>
        <v>Cascavel</v>
      </c>
      <c r="AH11" s="31" t="str">
        <f ca="1">VLOOKUP(AG11,INDIRECT("'Form 2 - UVR'!$B$2:$E$70"),4,FALSE)</f>
        <v>Enviado</v>
      </c>
      <c r="AJ11" s="31" t="str">
        <f ca="1"/>
        <v>Cascavel</v>
      </c>
      <c r="AK11" s="31" t="str">
        <f ca="1">VLOOKUP(AJ11,INDIRECT("'Form 3 - Empreendimento'!$B$2:$E$70"),4,FALSE)</f>
        <v>Enviado</v>
      </c>
    </row>
    <row r="12" spans="1:37" ht="15.75" customHeight="1">
      <c r="A12" s="7" t="s">
        <v>18</v>
      </c>
      <c r="B12" s="28">
        <f ca="1">COUNTIF(INDIRECT("'Form 3 - Empreendimento'!G2:G100"),"Sim")</f>
        <v>38</v>
      </c>
      <c r="C12" s="32">
        <f ca="1">$B$12/(COUNTA(INDIRECT("'Form 3 - Empreendimento'!B2:B70")))</f>
        <v>0.55072463768115942</v>
      </c>
      <c r="AC12" s="4"/>
      <c r="AD12" s="31" t="str">
        <f ca="1"/>
        <v>Catanduvas</v>
      </c>
      <c r="AE12" s="31" t="str">
        <f ca="1">VLOOKUP(AD12,INDIRECT("'Form 1 - Município'!$B$2:$E$70"),4,FALSE)</f>
        <v>Enviado</v>
      </c>
      <c r="AF12" s="4"/>
      <c r="AG12" s="31" t="str">
        <f ca="1"/>
        <v>Catanduvas</v>
      </c>
      <c r="AH12" s="31" t="str">
        <f ca="1">VLOOKUP(AG12,INDIRECT("'Form 2 - UVR'!$B$2:$E$70"),4,FALSE)</f>
        <v>Enviado</v>
      </c>
      <c r="AJ12" s="31" t="str">
        <f ca="1"/>
        <v>Catanduvas</v>
      </c>
      <c r="AK12" s="31" t="str">
        <f ca="1">VLOOKUP(AJ12,INDIRECT("'Form 3 - Empreendimento'!$B$2:$E$70"),4,FALSE)</f>
        <v>Enviado</v>
      </c>
    </row>
    <row r="13" spans="1:37">
      <c r="AC13" s="4"/>
      <c r="AD13" s="31" t="str">
        <f ca="1"/>
        <v>Céu Azul</v>
      </c>
      <c r="AE13" s="31" t="str">
        <f ca="1">VLOOKUP(AD13,INDIRECT("'Form 1 - Município'!$B$2:$E$70"),4,FALSE)</f>
        <v>Enviado</v>
      </c>
      <c r="AF13" s="4"/>
      <c r="AG13" s="31" t="str">
        <f ca="1"/>
        <v>Céu Azul</v>
      </c>
      <c r="AH13" s="31" t="str">
        <f ca="1">VLOOKUP(AG13,INDIRECT("'Form 2 - UVR'!$B$2:$E$70"),4,FALSE)</f>
        <v>Enviado</v>
      </c>
      <c r="AJ13" s="31" t="str">
        <f ca="1"/>
        <v>Céu Azul</v>
      </c>
      <c r="AK13" s="31" t="str">
        <f ca="1">VLOOKUP(AJ13,INDIRECT("'Form 3 - Empreendimento'!$B$2:$E$70"),4,FALSE)</f>
        <v>Enviado</v>
      </c>
    </row>
    <row r="14" spans="1:37">
      <c r="AC14" s="4"/>
      <c r="AD14" s="31" t="str">
        <f ca="1"/>
        <v>Corbélia</v>
      </c>
      <c r="AE14" s="31" t="str">
        <f ca="1">VLOOKUP(AD14,INDIRECT("'Form 1 - Município'!$B$2:$E$70"),4,FALSE)</f>
        <v>Atrasado</v>
      </c>
      <c r="AF14" s="4"/>
      <c r="AG14" s="31" t="str">
        <f ca="1"/>
        <v>Corbélia</v>
      </c>
      <c r="AH14" s="31" t="str">
        <f ca="1">VLOOKUP(AG14,INDIRECT("'Form 2 - UVR'!$B$2:$E$70"),4,FALSE)</f>
        <v>Atrasado</v>
      </c>
      <c r="AJ14" s="31" t="str">
        <f ca="1"/>
        <v>Corbélia</v>
      </c>
      <c r="AK14" s="31" t="str">
        <f ca="1">VLOOKUP(AJ14,INDIRECT("'Form 3 - Empreendimento'!$B$2:$E$70"),4,FALSE)</f>
        <v>Atrasado</v>
      </c>
    </row>
    <row r="15" spans="1:37" ht="15.75" customHeight="1">
      <c r="A15" s="50" t="s">
        <v>21</v>
      </c>
      <c r="B15" s="51" t="s">
        <v>22</v>
      </c>
      <c r="C15" s="52"/>
      <c r="D15" s="51" t="s">
        <v>23</v>
      </c>
      <c r="E15" s="52"/>
      <c r="F15" s="51" t="s">
        <v>24</v>
      </c>
      <c r="G15" s="52"/>
      <c r="AC15" s="4"/>
      <c r="AD15" s="31" t="str">
        <f ca="1"/>
        <v>Diamante d'Oeste</v>
      </c>
      <c r="AE15" s="31" t="str">
        <f ca="1">VLOOKUP(AD15,INDIRECT("'Form 1 - Município'!$B$2:$E$70"),4,FALSE)</f>
        <v>Enviado</v>
      </c>
      <c r="AF15" s="4"/>
      <c r="AG15" s="31" t="str">
        <f ca="1"/>
        <v>Diamante d'Oeste</v>
      </c>
      <c r="AH15" s="31" t="str">
        <f ca="1">VLOOKUP(AG15,INDIRECT("'Form 2 - UVR'!$B$2:$E$70"),4,FALSE)</f>
        <v>Enviado</v>
      </c>
      <c r="AJ15" s="31" t="str">
        <f ca="1"/>
        <v>Diamante d'Oeste</v>
      </c>
      <c r="AK15" s="31" t="str">
        <f ca="1">VLOOKUP(AJ15,INDIRECT("'Form 3 - Empreendimento'!$B$2:$E$70"),4,FALSE)</f>
        <v>Enviado</v>
      </c>
    </row>
    <row r="16" spans="1:37" ht="15.75" customHeight="1">
      <c r="A16" s="53"/>
      <c r="B16" s="8" t="s">
        <v>20</v>
      </c>
      <c r="C16" s="8" t="s">
        <v>2</v>
      </c>
      <c r="D16" s="8" t="s">
        <v>20</v>
      </c>
      <c r="E16" s="8" t="s">
        <v>2</v>
      </c>
      <c r="F16" s="8" t="s">
        <v>20</v>
      </c>
      <c r="G16" s="8" t="s">
        <v>2</v>
      </c>
      <c r="AC16" s="4"/>
      <c r="AD16" s="31" t="str">
        <f ca="1"/>
        <v>Diamante do Sul</v>
      </c>
      <c r="AE16" s="31" t="str">
        <f ca="1">VLOOKUP(AD16,INDIRECT("'Form 1 - Município'!$B$2:$E$70"),4,FALSE)</f>
        <v>Enviado</v>
      </c>
      <c r="AF16" s="4"/>
      <c r="AG16" s="31" t="str">
        <f ca="1"/>
        <v>Diamante do Sul</v>
      </c>
      <c r="AH16" s="31" t="str">
        <f ca="1">VLOOKUP(AG16,INDIRECT("'Form 2 - UVR'!$B$2:$E$70"),4,FALSE)</f>
        <v>Enviado</v>
      </c>
      <c r="AJ16" s="31" t="str">
        <f ca="1"/>
        <v>Diamante do Sul</v>
      </c>
      <c r="AK16" s="31" t="str">
        <f ca="1">VLOOKUP(AJ16,INDIRECT("'Form 3 - Empreendimento'!$B$2:$E$70"),4,FALSE)</f>
        <v>Enviado</v>
      </c>
    </row>
    <row r="17" spans="1:37">
      <c r="A17" s="9" t="s">
        <v>25</v>
      </c>
      <c r="B17" s="31">
        <f t="array" aca="1" ref="B17" ca="1">IFERROR(ROWS(_xlfn._xlws.FILTER(INDIRECT("'"&amp;B$15&amp;"'!A2:K100"),(INDIRECT("'"&amp;B$15&amp;"'!A2:A100")=$A17) * (INDIRECT("'"&amp;B$15&amp;"'!G2:G100")="Sim"))), 0)</f>
        <v>6</v>
      </c>
      <c r="C17" s="32">
        <f ca="1">B17/(COUNTA(INDIRECT("'Form 1 - Município'!B2:B70")))</f>
        <v>8.6956521739130432E-2</v>
      </c>
      <c r="D17" s="31">
        <f t="array" aca="1" ref="D17" ca="1">IFERROR(ROWS(_xlfn._xlws.FILTER(INDIRECT("'"&amp;D$15&amp;"'!A2:K100"),(INDIRECT("'"&amp;D$15&amp;"'!A2:A100")=$A17) * (INDIRECT("'"&amp;D$15&amp;"'!G2:G100")="Sim"))), 0)</f>
        <v>10</v>
      </c>
      <c r="E17" s="32">
        <f ca="1">D17/(COUNTA(INDIRECT("'Form 2 - UVR'!B2:B70")))</f>
        <v>0.14492753623188406</v>
      </c>
      <c r="F17" s="31">
        <f t="array" aca="1" ref="F17" ca="1">IFERROR(ROWS(_xlfn._xlws.FILTER(INDIRECT("'"&amp;F$15&amp;"'!A2:K100"),(INDIRECT("'"&amp;F$15&amp;"'!A2:A100")=$A17) * (INDIRECT("'"&amp;F$15&amp;"'!G2:G100")="Sim"))), 0)</f>
        <v>5</v>
      </c>
      <c r="G17" s="32">
        <f ca="1">F17/(COUNTA(INDIRECT("'Form 3 - Empreendimento'!B2:B70")))</f>
        <v>7.2463768115942032E-2</v>
      </c>
      <c r="AC17" s="4"/>
      <c r="AD17" s="31" t="str">
        <f ca="1"/>
        <v>Entre Rios do Oeste</v>
      </c>
      <c r="AE17" s="31" t="str">
        <f ca="1">VLOOKUP(AD17,INDIRECT("'Form 1 - Município'!$B$2:$E$70"),4,FALSE)</f>
        <v>Enviado</v>
      </c>
      <c r="AF17" s="4"/>
      <c r="AG17" s="31" t="str">
        <f ca="1"/>
        <v>Entre Rios do Oeste</v>
      </c>
      <c r="AH17" s="31" t="str">
        <f ca="1">VLOOKUP(AG17,INDIRECT("'Form 2 - UVR'!$B$2:$E$70"),4,FALSE)</f>
        <v>Enviado</v>
      </c>
      <c r="AJ17" s="31" t="str">
        <f ca="1"/>
        <v>Entre Rios do Oeste</v>
      </c>
      <c r="AK17" s="31" t="str">
        <f ca="1">VLOOKUP(AJ17,INDIRECT("'Form 3 - Empreendimento'!$B$2:$E$70"),4,FALSE)</f>
        <v>Enviado</v>
      </c>
    </row>
    <row r="18" spans="1:37">
      <c r="A18" s="10" t="s">
        <v>26</v>
      </c>
      <c r="B18" s="31">
        <f t="array" aca="1" ref="B18" ca="1">IFERROR(ROWS(_xlfn._xlws.FILTER(INDIRECT("'"&amp;B$15&amp;"'!A2:K100"),(INDIRECT("'"&amp;B$15&amp;"'!A2:A100")=$A18) * (INDIRECT("'"&amp;B$15&amp;"'!G2:G100")="Sim"))), 0)</f>
        <v>9</v>
      </c>
      <c r="C18" s="32">
        <f ca="1">B18/(COUNTA(INDIRECT("'Form 1 - Município'!B2:B70")))</f>
        <v>0.13043478260869565</v>
      </c>
      <c r="D18" s="31">
        <f t="array" aca="1" ref="D18" ca="1">IFERROR(ROWS(_xlfn._xlws.FILTER(INDIRECT("'"&amp;D$15&amp;"'!A2:K100"),(INDIRECT("'"&amp;D$15&amp;"'!A2:A100")=$A18) * (INDIRECT("'"&amp;D$15&amp;"'!G2:G100")="Sim"))), 0)</f>
        <v>7</v>
      </c>
      <c r="E18" s="32">
        <f ca="1">D18/(COUNTA(INDIRECT("'Form 2 - UVR'!B2:B70")))</f>
        <v>0.10144927536231885</v>
      </c>
      <c r="F18" s="31">
        <f t="array" aca="1" ref="F18" ca="1">IFERROR(ROWS(_xlfn._xlws.FILTER(INDIRECT("'"&amp;F$15&amp;"'!A2:K100"),(INDIRECT("'"&amp;F$15&amp;"'!A2:A100")=$A18) * (INDIRECT("'"&amp;F$15&amp;"'!G2:G100")="Sim"))), 0)</f>
        <v>8</v>
      </c>
      <c r="G18" s="32">
        <f ca="1">F18/(COUNTA(INDIRECT("'Form 3 - Empreendimento'!B2:B70")))</f>
        <v>0.11594202898550725</v>
      </c>
      <c r="H18" s="11"/>
      <c r="I18" s="11"/>
      <c r="AC18" s="4"/>
      <c r="AD18" s="31" t="str">
        <f ca="1"/>
        <v>Formosa do Oeste</v>
      </c>
      <c r="AE18" s="31" t="str">
        <f ca="1">VLOOKUP(AD18,INDIRECT("'Form 1 - Município'!$B$2:$E$70"),4,FALSE)</f>
        <v>Enviado</v>
      </c>
      <c r="AF18" s="4"/>
      <c r="AG18" s="31" t="str">
        <f ca="1"/>
        <v>Formosa do Oeste</v>
      </c>
      <c r="AH18" s="31" t="str">
        <f ca="1">VLOOKUP(AG18,INDIRECT("'Form 2 - UVR'!$B$2:$E$70"),4,FALSE)</f>
        <v>Enviado</v>
      </c>
      <c r="AJ18" s="31" t="str">
        <f ca="1"/>
        <v>Formosa do Oeste</v>
      </c>
      <c r="AK18" s="31" t="str">
        <f ca="1">VLOOKUP(AJ18,INDIRECT("'Form 3 - Empreendimento'!$B$2:$E$70"),4,FALSE)</f>
        <v>Enviado</v>
      </c>
    </row>
    <row r="19" spans="1:37">
      <c r="A19" s="12" t="s">
        <v>27</v>
      </c>
      <c r="B19" s="31">
        <f t="array" aca="1" ref="B19" ca="1">IFERROR(ROWS(_xlfn._xlws.FILTER(INDIRECT("'"&amp;B$15&amp;"'!A2:K100"),(INDIRECT("'"&amp;B$15&amp;"'!A2:A100")=$A19) * (INDIRECT("'"&amp;B$15&amp;"'!G2:G100")="Sim"))), 0)</f>
        <v>0</v>
      </c>
      <c r="C19" s="32">
        <f ca="1">B19/(COUNTA(INDIRECT("'Form 1 - Município'!B2:B70")))</f>
        <v>0</v>
      </c>
      <c r="D19" s="31">
        <f t="array" aca="1" ref="D19" ca="1">IFERROR(ROWS(_xlfn._xlws.FILTER(INDIRECT("'"&amp;D$15&amp;"'!A2:K100"),(INDIRECT("'"&amp;D$15&amp;"'!A2:A100")=$A19) * (INDIRECT("'"&amp;D$15&amp;"'!G2:G100")="Sim"))), 0)</f>
        <v>0</v>
      </c>
      <c r="E19" s="32">
        <f ca="1">D19/(COUNTA(INDIRECT("'Form 2 - UVR'!B2:B70")))</f>
        <v>0</v>
      </c>
      <c r="F19" s="31">
        <f t="array" aca="1" ref="F19" ca="1">IFERROR(ROWS(_xlfn._xlws.FILTER(INDIRECT("'"&amp;F$15&amp;"'!A2:K100"),(INDIRECT("'"&amp;F$15&amp;"'!A2:A100")=$A19) * (INDIRECT("'"&amp;F$15&amp;"'!G2:G100")="Sim"))), 0)</f>
        <v>0</v>
      </c>
      <c r="G19" s="32">
        <f ca="1">F19/(COUNTA(INDIRECT("'Form 3 - Empreendimento'!B2:B70")))</f>
        <v>0</v>
      </c>
      <c r="H19" s="11"/>
      <c r="I19" s="11"/>
      <c r="AC19" s="4"/>
      <c r="AD19" s="31" t="str">
        <f ca="1"/>
        <v>Foz do Iguaçu</v>
      </c>
      <c r="AE19" s="31" t="str">
        <f ca="1">VLOOKUP(AD19,INDIRECT("'Form 1 - Município'!$B$2:$E$70"),4,FALSE)</f>
        <v>Enviado</v>
      </c>
      <c r="AF19" s="4"/>
      <c r="AG19" s="31" t="str">
        <f ca="1"/>
        <v>Foz do Iguaçu</v>
      </c>
      <c r="AH19" s="31" t="str">
        <f ca="1">VLOOKUP(AG19,INDIRECT("'Form 2 - UVR'!$B$2:$E$70"),4,FALSE)</f>
        <v>Enviado</v>
      </c>
      <c r="AJ19" s="31" t="str">
        <f ca="1"/>
        <v>Foz do Iguaçu</v>
      </c>
      <c r="AK19" s="31" t="str">
        <f ca="1">VLOOKUP(AJ19,INDIRECT("'Form 3 - Empreendimento'!$B$2:$E$70"),4,FALSE)</f>
        <v>Atrasado</v>
      </c>
    </row>
    <row r="20" spans="1:37">
      <c r="A20" s="13" t="s">
        <v>28</v>
      </c>
      <c r="B20" s="31">
        <f t="array" aca="1" ref="B20" ca="1">IFERROR(ROWS(_xlfn._xlws.FILTER(INDIRECT("'"&amp;B$15&amp;"'!A2:K100"),(INDIRECT("'"&amp;B$15&amp;"'!A2:A100")=$A20) * (INDIRECT("'"&amp;B$15&amp;"'!G2:G100")="Sim"))), 0)</f>
        <v>14</v>
      </c>
      <c r="C20" s="32">
        <f ca="1">B20/(COUNTA(INDIRECT("'Form 1 - Município'!B2:B70")))</f>
        <v>0.20289855072463769</v>
      </c>
      <c r="D20" s="31">
        <f t="array" aca="1" ref="D20" ca="1">IFERROR(ROWS(_xlfn._xlws.FILTER(INDIRECT("'"&amp;D$15&amp;"'!A2:K100"),(INDIRECT("'"&amp;D$15&amp;"'!A2:A100")=$A20) * (INDIRECT("'"&amp;D$15&amp;"'!G2:G100")="Sim"))), 0)</f>
        <v>13</v>
      </c>
      <c r="E20" s="32">
        <f ca="1">D20/(COUNTA(INDIRECT("'Form 2 - UVR'!B2:B70")))</f>
        <v>0.18840579710144928</v>
      </c>
      <c r="F20" s="31">
        <f t="array" aca="1" ref="F20" ca="1">IFERROR(ROWS(_xlfn._xlws.FILTER(INDIRECT("'"&amp;F$15&amp;"'!A2:K100"),(INDIRECT("'"&amp;F$15&amp;"'!A2:A100")=$A20) * (INDIRECT("'"&amp;F$15&amp;"'!G2:G100")="Sim"))), 0)</f>
        <v>13</v>
      </c>
      <c r="G20" s="32">
        <f ca="1">F20/(COUNTA(INDIRECT("'Form 3 - Empreendimento'!B2:B70")))</f>
        <v>0.18840579710144928</v>
      </c>
      <c r="H20" s="11"/>
      <c r="I20" s="11"/>
      <c r="AC20" s="4"/>
      <c r="AD20" s="31" t="str">
        <f ca="1"/>
        <v>Francisco Alves</v>
      </c>
      <c r="AE20" s="31" t="str">
        <f ca="1">VLOOKUP(AD20,INDIRECT("'Form 1 - Município'!$B$2:$E$70"),4,FALSE)</f>
        <v>Atrasado</v>
      </c>
      <c r="AF20" s="4"/>
      <c r="AG20" s="31" t="str">
        <f ca="1"/>
        <v>Francisco Alves</v>
      </c>
      <c r="AH20" s="31" t="str">
        <f ca="1">VLOOKUP(AG20,INDIRECT("'Form 2 - UVR'!$B$2:$E$70"),4,FALSE)</f>
        <v>Atrasado</v>
      </c>
      <c r="AJ20" s="31" t="str">
        <f ca="1"/>
        <v>Francisco Alves</v>
      </c>
      <c r="AK20" s="31" t="str">
        <f ca="1">VLOOKUP(AJ20,INDIRECT("'Form 3 - Empreendimento'!$B$2:$E$70"),4,FALSE)</f>
        <v>Atrasado</v>
      </c>
    </row>
    <row r="21" spans="1:37">
      <c r="A21" s="14" t="s">
        <v>29</v>
      </c>
      <c r="B21" s="31">
        <f t="array" aca="1" ref="B21" ca="1">IFERROR(ROWS(_xlfn._xlws.FILTER(INDIRECT("'"&amp;B$15&amp;"'!A2:K100"),(INDIRECT("'"&amp;B$15&amp;"'!A2:A100")=$A21) * (INDIRECT("'"&amp;B$15&amp;"'!G2:G100")="Sim"))), 0)</f>
        <v>13</v>
      </c>
      <c r="C21" s="32">
        <f ca="1">B21/(COUNTA(INDIRECT("'Form 1 - Município'!B2:B70")))</f>
        <v>0.18840579710144928</v>
      </c>
      <c r="D21" s="31">
        <f t="array" aca="1" ref="D21" ca="1">IFERROR(ROWS(_xlfn._xlws.FILTER(INDIRECT("'"&amp;D$15&amp;"'!A2:K100"),(INDIRECT("'"&amp;D$15&amp;"'!A2:A100")=$A21) * (INDIRECT("'"&amp;D$15&amp;"'!G2:G100")="Sim"))), 0)</f>
        <v>12</v>
      </c>
      <c r="E21" s="32">
        <f ca="1">D21/(COUNTA(INDIRECT("'Form 2 - UVR'!B2:B70")))</f>
        <v>0.17391304347826086</v>
      </c>
      <c r="F21" s="31">
        <f t="array" aca="1" ref="F21" ca="1">IFERROR(ROWS(_xlfn._xlws.FILTER(INDIRECT("'"&amp;F$15&amp;"'!A2:K100"),(INDIRECT("'"&amp;F$15&amp;"'!A2:A100")=$A21) * (INDIRECT("'"&amp;F$15&amp;"'!G2:G100")="Sim"))), 0)</f>
        <v>12</v>
      </c>
      <c r="G21" s="32">
        <f ca="1">F21/(COUNTA(INDIRECT("'Form 3 - Empreendimento'!B2:B70")))</f>
        <v>0.17391304347826086</v>
      </c>
      <c r="H21" s="11"/>
      <c r="I21" s="11"/>
      <c r="AC21" s="4"/>
      <c r="AD21" s="31" t="str">
        <f ca="1"/>
        <v>Guaira</v>
      </c>
      <c r="AE21" s="31" t="str">
        <f ca="1">VLOOKUP(AD21,INDIRECT("'Form 1 - Município'!$B$2:$E$70"),4,FALSE)</f>
        <v>Atrasado</v>
      </c>
      <c r="AF21" s="4"/>
      <c r="AG21" s="31" t="str">
        <f ca="1"/>
        <v>Guaira</v>
      </c>
      <c r="AH21" s="31" t="str">
        <f ca="1">VLOOKUP(AG21,INDIRECT("'Form 2 - UVR'!$B$2:$E$70"),4,FALSE)</f>
        <v>Atrasado</v>
      </c>
      <c r="AJ21" s="31" t="str">
        <f ca="1"/>
        <v>Guaira</v>
      </c>
      <c r="AK21" s="31" t="str">
        <f ca="1">VLOOKUP(AJ21,INDIRECT("'Form 3 - Empreendimento'!$B$2:$E$70"),4,FALSE)</f>
        <v>Atrasado</v>
      </c>
    </row>
    <row r="22" spans="1:37">
      <c r="A22" s="15" t="s">
        <v>6</v>
      </c>
      <c r="B22" s="33">
        <f ca="1">SUM(B17:B21)</f>
        <v>42</v>
      </c>
      <c r="C22" s="34">
        <f ca="1">SUM(C17:C21)</f>
        <v>0.60869565217391308</v>
      </c>
      <c r="D22" s="33">
        <f ca="1">SUM(D17:D21)</f>
        <v>42</v>
      </c>
      <c r="E22" s="34">
        <f ca="1">SUM(E17:E21)</f>
        <v>0.60869565217391308</v>
      </c>
      <c r="F22" s="33">
        <f ca="1">SUM(F17:F21)</f>
        <v>38</v>
      </c>
      <c r="G22" s="34">
        <f ca="1">SUM(G17:G21)</f>
        <v>0.55072463768115942</v>
      </c>
      <c r="H22" s="16"/>
      <c r="I22" s="16"/>
      <c r="AC22" s="4"/>
      <c r="AD22" s="31" t="str">
        <f ca="1"/>
        <v>Guaraniacu</v>
      </c>
      <c r="AE22" s="31" t="str">
        <f ca="1">VLOOKUP(AD22,INDIRECT("'Form 1 - Município'!$B$2:$E$70"),4,FALSE)</f>
        <v>Duplicado</v>
      </c>
      <c r="AF22" s="4"/>
      <c r="AG22" s="31" t="str">
        <f ca="1"/>
        <v>Guaraniacu</v>
      </c>
      <c r="AH22" s="31" t="str">
        <f ca="1">VLOOKUP(AG22,INDIRECT("'Form 2 - UVR'!$B$2:$E$70"),4,FALSE)</f>
        <v>Enviado</v>
      </c>
      <c r="AJ22" s="31" t="str">
        <f ca="1"/>
        <v>Guaraniacu</v>
      </c>
      <c r="AK22" s="31" t="str">
        <f ca="1">VLOOKUP(AJ22,INDIRECT("'Form 3 - Empreendimento'!$B$2:$E$70"),4,FALSE)</f>
        <v>Enviado</v>
      </c>
    </row>
    <row r="23" spans="1:37">
      <c r="AC23" s="4"/>
      <c r="AD23" s="31" t="str">
        <f ca="1"/>
        <v>Ibema</v>
      </c>
      <c r="AE23" s="31" t="str">
        <f ca="1">VLOOKUP(AD23,INDIRECT("'Form 1 - Município'!$B$2:$E$70"),4,FALSE)</f>
        <v>Enviado</v>
      </c>
      <c r="AF23" s="4"/>
      <c r="AG23" s="31" t="str">
        <f ca="1"/>
        <v>Ibema</v>
      </c>
      <c r="AH23" s="31" t="str">
        <f ca="1">VLOOKUP(AG23,INDIRECT("'Form 2 - UVR'!$B$2:$E$70"),4,FALSE)</f>
        <v>Enviado</v>
      </c>
      <c r="AJ23" s="31" t="str">
        <f ca="1"/>
        <v>Ibema</v>
      </c>
      <c r="AK23" s="31" t="str">
        <f ca="1">VLOOKUP(AJ23,INDIRECT("'Form 3 - Empreendimento'!$B$2:$E$70"),4,FALSE)</f>
        <v>Enviado</v>
      </c>
    </row>
    <row r="24" spans="1:37">
      <c r="AC24" s="4"/>
      <c r="AD24" s="31" t="str">
        <f ca="1"/>
        <v>Iguatu</v>
      </c>
      <c r="AE24" s="31" t="str">
        <f ca="1">VLOOKUP(AD24,INDIRECT("'Form 1 - Município'!$B$2:$E$70"),4,FALSE)</f>
        <v>Enviado</v>
      </c>
      <c r="AF24" s="4"/>
      <c r="AG24" s="31" t="str">
        <f ca="1"/>
        <v>Iguatu</v>
      </c>
      <c r="AH24" s="31" t="str">
        <f ca="1">VLOOKUP(AG24,INDIRECT("'Form 2 - UVR'!$B$2:$E$70"),4,FALSE)</f>
        <v>Enviado</v>
      </c>
      <c r="AJ24" s="31" t="str">
        <f ca="1"/>
        <v>Iguatu</v>
      </c>
      <c r="AK24" s="31" t="str">
        <f ca="1">VLOOKUP(AJ24,INDIRECT("'Form 3 - Empreendimento'!$B$2:$E$70"),4,FALSE)</f>
        <v>Enviado</v>
      </c>
    </row>
    <row r="25" spans="1:37">
      <c r="AC25" s="4"/>
      <c r="AD25" s="31" t="str">
        <f ca="1"/>
        <v>Iracema do Oeste</v>
      </c>
      <c r="AE25" s="31" t="str">
        <f ca="1">VLOOKUP(AD25,INDIRECT("'Form 1 - Município'!$B$2:$E$70"),4,FALSE)</f>
        <v>Enviado</v>
      </c>
      <c r="AF25" s="4"/>
      <c r="AG25" s="31" t="str">
        <f ca="1"/>
        <v>Iracema do Oeste</v>
      </c>
      <c r="AH25" s="31" t="str">
        <f ca="1">VLOOKUP(AG25,INDIRECT("'Form 2 - UVR'!$B$2:$E$70"),4,FALSE)</f>
        <v>Enviado</v>
      </c>
      <c r="AJ25" s="31" t="str">
        <f ca="1"/>
        <v>Iracema do Oeste</v>
      </c>
      <c r="AK25" s="31" t="str">
        <f ca="1">VLOOKUP(AJ25,INDIRECT("'Form 3 - Empreendimento'!$B$2:$E$70"),4,FALSE)</f>
        <v>Enviado</v>
      </c>
    </row>
    <row r="26" spans="1:37">
      <c r="AC26" s="4"/>
      <c r="AD26" s="31" t="str">
        <f ca="1"/>
        <v>Itaipulândia</v>
      </c>
      <c r="AE26" s="31" t="str">
        <f ca="1">VLOOKUP(AD26,INDIRECT("'Form 1 - Município'!$B$2:$E$70"),4,FALSE)</f>
        <v>Enviado</v>
      </c>
      <c r="AF26" s="4"/>
      <c r="AG26" s="31" t="str">
        <f ca="1"/>
        <v>Itaipulândia</v>
      </c>
      <c r="AH26" s="31" t="str">
        <f ca="1">VLOOKUP(AG26,INDIRECT("'Form 2 - UVR'!$B$2:$E$70"),4,FALSE)</f>
        <v>Enviado</v>
      </c>
      <c r="AJ26" s="31" t="str">
        <f ca="1"/>
        <v>Itaipulândia</v>
      </c>
      <c r="AK26" s="31" t="str">
        <f ca="1">VLOOKUP(AJ26,INDIRECT("'Form 3 - Empreendimento'!$B$2:$E$70"),4,FALSE)</f>
        <v>Enviado</v>
      </c>
    </row>
    <row r="27" spans="1:37">
      <c r="AC27" s="4"/>
      <c r="AD27" s="31" t="str">
        <f ca="1"/>
        <v>Jesuítas</v>
      </c>
      <c r="AE27" s="31" t="str">
        <f ca="1">VLOOKUP(AD27,INDIRECT("'Form 1 - Município'!$B$2:$E$70"),4,FALSE)</f>
        <v>Enviado</v>
      </c>
      <c r="AF27" s="4"/>
      <c r="AG27" s="31" t="str">
        <f ca="1"/>
        <v>Jesuítas</v>
      </c>
      <c r="AH27" s="31" t="str">
        <f ca="1">VLOOKUP(AG27,INDIRECT("'Form 2 - UVR'!$B$2:$E$70"),4,FALSE)</f>
        <v>Atrasado</v>
      </c>
      <c r="AJ27" s="31" t="str">
        <f ca="1"/>
        <v>Jesuítas</v>
      </c>
      <c r="AK27" s="31" t="str">
        <f ca="1">VLOOKUP(AJ27,INDIRECT("'Form 3 - Empreendimento'!$B$2:$E$70"),4,FALSE)</f>
        <v>Enviado</v>
      </c>
    </row>
    <row r="28" spans="1:37">
      <c r="AC28" s="4"/>
      <c r="AD28" s="31" t="str">
        <f ca="1"/>
        <v>Lindoeste</v>
      </c>
      <c r="AE28" s="31" t="str">
        <f ca="1">VLOOKUP(AD28,INDIRECT("'Form 1 - Município'!$B$2:$E$70"),4,FALSE)</f>
        <v>Atrasado</v>
      </c>
      <c r="AF28" s="4"/>
      <c r="AG28" s="31" t="str">
        <f ca="1"/>
        <v>Lindoeste</v>
      </c>
      <c r="AH28" s="31" t="str">
        <f ca="1">VLOOKUP(AG28,INDIRECT("'Form 2 - UVR'!$B$2:$E$70"),4,FALSE)</f>
        <v>Atrasado</v>
      </c>
      <c r="AJ28" s="31" t="str">
        <f ca="1"/>
        <v>Lindoeste</v>
      </c>
      <c r="AK28" s="31" t="str">
        <f ca="1">VLOOKUP(AJ28,INDIRECT("'Form 3 - Empreendimento'!$B$2:$E$70"),4,FALSE)</f>
        <v>Atrasado</v>
      </c>
    </row>
    <row r="29" spans="1:37">
      <c r="AC29" s="4"/>
      <c r="AD29" s="31" t="str">
        <f ca="1"/>
        <v>Marechal Candido Rondon</v>
      </c>
      <c r="AE29" s="31" t="str">
        <f ca="1">VLOOKUP(AD29,INDIRECT("'Form 1 - Município'!$B$2:$E$70"),4,FALSE)</f>
        <v>Enviado</v>
      </c>
      <c r="AF29" s="4"/>
      <c r="AG29" s="31" t="str">
        <f ca="1"/>
        <v>Marechal Candido Rondon</v>
      </c>
      <c r="AH29" s="31" t="str">
        <f ca="1">VLOOKUP(AG29,INDIRECT("'Form 2 - UVR'!$B$2:$E$70"),4,FALSE)</f>
        <v>Enviado</v>
      </c>
      <c r="AJ29" s="31" t="str">
        <f ca="1"/>
        <v>Marechal Candido Rondon</v>
      </c>
      <c r="AK29" s="31" t="str">
        <f ca="1">VLOOKUP(AJ29,INDIRECT("'Form 3 - Empreendimento'!$B$2:$E$70"),4,FALSE)</f>
        <v>Enviado</v>
      </c>
    </row>
    <row r="30" spans="1:37">
      <c r="AC30" s="4"/>
      <c r="AD30" s="31" t="str">
        <f ca="1"/>
        <v>Maripa</v>
      </c>
      <c r="AE30" s="31" t="str">
        <f ca="1">VLOOKUP(AD30,INDIRECT("'Form 1 - Município'!$B$2:$E$70"),4,FALSE)</f>
        <v>Atrasado</v>
      </c>
      <c r="AF30" s="4"/>
      <c r="AG30" s="31" t="str">
        <f ca="1"/>
        <v>Maripa</v>
      </c>
      <c r="AH30" s="31" t="str">
        <f ca="1">VLOOKUP(AG30,INDIRECT("'Form 2 - UVR'!$B$2:$E$70"),4,FALSE)</f>
        <v>Atrasado</v>
      </c>
      <c r="AJ30" s="31" t="str">
        <f ca="1"/>
        <v>Maripa</v>
      </c>
      <c r="AK30" s="31" t="str">
        <f ca="1">VLOOKUP(AJ30,INDIRECT("'Form 3 - Empreendimento'!$B$2:$E$70"),4,FALSE)</f>
        <v>Atrasado</v>
      </c>
    </row>
    <row r="31" spans="1:37">
      <c r="AC31" s="4"/>
      <c r="AD31" s="31" t="str">
        <f ca="1"/>
        <v>Matelândia</v>
      </c>
      <c r="AE31" s="31" t="str">
        <f ca="1">VLOOKUP(AD31,INDIRECT("'Form 1 - Município'!$B$2:$E$70"),4,FALSE)</f>
        <v>Enviado</v>
      </c>
      <c r="AF31" s="4"/>
      <c r="AG31" s="31" t="str">
        <f ca="1"/>
        <v>Matelândia</v>
      </c>
      <c r="AH31" s="31" t="str">
        <f ca="1">VLOOKUP(AG31,INDIRECT("'Form 2 - UVR'!$B$2:$E$70"),4,FALSE)</f>
        <v>Enviado</v>
      </c>
      <c r="AJ31" s="31" t="str">
        <f ca="1"/>
        <v>Matelândia</v>
      </c>
      <c r="AK31" s="31" t="str">
        <f ca="1">VLOOKUP(AJ31,INDIRECT("'Form 3 - Empreendimento'!$B$2:$E$70"),4,FALSE)</f>
        <v>Enviado</v>
      </c>
    </row>
    <row r="32" spans="1:37">
      <c r="AC32" s="4"/>
      <c r="AD32" s="31" t="str">
        <f ca="1"/>
        <v>Medianeira</v>
      </c>
      <c r="AE32" s="31" t="str">
        <f ca="1">VLOOKUP(AD32,INDIRECT("'Form 1 - Município'!$B$2:$E$70"),4,FALSE)</f>
        <v>Enviado</v>
      </c>
      <c r="AF32" s="4"/>
      <c r="AG32" s="31" t="str">
        <f ca="1"/>
        <v>Medianeira</v>
      </c>
      <c r="AH32" s="31" t="str">
        <f ca="1">VLOOKUP(AG32,INDIRECT("'Form 2 - UVR'!$B$2:$E$70"),4,FALSE)</f>
        <v>Enviado</v>
      </c>
      <c r="AJ32" s="31" t="str">
        <f ca="1"/>
        <v>Medianeira</v>
      </c>
      <c r="AK32" s="31" t="str">
        <f ca="1">VLOOKUP(AJ32,INDIRECT("'Form 3 - Empreendimento'!$B$2:$E$70"),4,FALSE)</f>
        <v>Enviado</v>
      </c>
    </row>
    <row r="33" spans="29:37">
      <c r="AC33" s="4"/>
      <c r="AD33" s="31" t="str">
        <f ca="1"/>
        <v>Mercedes</v>
      </c>
      <c r="AE33" s="31" t="str">
        <f ca="1">VLOOKUP(AD33,INDIRECT("'Form 1 - Município'!$B$2:$E$70"),4,FALSE)</f>
        <v>Atrasado</v>
      </c>
      <c r="AF33" s="4"/>
      <c r="AG33" s="31" t="str">
        <f ca="1"/>
        <v>Mercedes</v>
      </c>
      <c r="AH33" s="31" t="str">
        <f ca="1">VLOOKUP(AG33,INDIRECT("'Form 2 - UVR'!$B$2:$E$70"),4,FALSE)</f>
        <v>Atrasado</v>
      </c>
      <c r="AJ33" s="31" t="str">
        <f ca="1"/>
        <v>Mercedes</v>
      </c>
      <c r="AK33" s="31" t="str">
        <f ca="1">VLOOKUP(AJ33,INDIRECT("'Form 3 - Empreendimento'!$B$2:$E$70"),4,FALSE)</f>
        <v>Atrasado</v>
      </c>
    </row>
    <row r="34" spans="29:37">
      <c r="AC34" s="4"/>
      <c r="AD34" s="31" t="str">
        <f ca="1"/>
        <v>Missal</v>
      </c>
      <c r="AE34" s="31" t="str">
        <f ca="1">VLOOKUP(AD34,INDIRECT("'Form 1 - Município'!$B$2:$E$70"),4,FALSE)</f>
        <v>Enviado</v>
      </c>
      <c r="AF34" s="4"/>
      <c r="AG34" s="31" t="str">
        <f ca="1"/>
        <v>Missal</v>
      </c>
      <c r="AH34" s="31" t="str">
        <f ca="1">VLOOKUP(AG34,INDIRECT("'Form 2 - UVR'!$B$2:$E$70"),4,FALSE)</f>
        <v>Enviado</v>
      </c>
      <c r="AJ34" s="31" t="str">
        <f ca="1"/>
        <v>Missal</v>
      </c>
      <c r="AK34" s="31" t="str">
        <f ca="1">VLOOKUP(AJ34,INDIRECT("'Form 3 - Empreendimento'!$B$2:$E$70"),4,FALSE)</f>
        <v>Enviado</v>
      </c>
    </row>
    <row r="35" spans="29:37">
      <c r="AC35" s="4"/>
      <c r="AD35" s="31" t="str">
        <f ca="1"/>
        <v>Mundo Novo</v>
      </c>
      <c r="AE35" s="31" t="str">
        <f ca="1">VLOOKUP(AD35,INDIRECT("'Form 1 - Município'!$B$2:$E$70"),4,FALSE)</f>
        <v>Enviado</v>
      </c>
      <c r="AF35" s="4"/>
      <c r="AG35" s="31" t="str">
        <f ca="1"/>
        <v>Mundo Novo</v>
      </c>
      <c r="AH35" s="31" t="str">
        <f ca="1">VLOOKUP(AG35,INDIRECT("'Form 2 - UVR'!$B$2:$E$70"),4,FALSE)</f>
        <v>Duplicado</v>
      </c>
      <c r="AJ35" s="31" t="str">
        <f ca="1"/>
        <v>Mundo Novo</v>
      </c>
      <c r="AK35" s="31" t="str">
        <f ca="1">VLOOKUP(AJ35,INDIRECT("'Form 3 - Empreendimento'!$B$2:$E$70"),4,FALSE)</f>
        <v>Enviado</v>
      </c>
    </row>
    <row r="36" spans="29:37">
      <c r="AC36" s="4"/>
      <c r="AD36" s="31" t="str">
        <f ca="1"/>
        <v>Nova Aurora</v>
      </c>
      <c r="AE36" s="31" t="str">
        <f ca="1">VLOOKUP(AD36,INDIRECT("'Form 1 - Município'!$B$2:$E$70"),4,FALSE)</f>
        <v>Enviado</v>
      </c>
      <c r="AF36" s="4"/>
      <c r="AG36" s="31" t="str">
        <f ca="1"/>
        <v>Nova Aurora</v>
      </c>
      <c r="AH36" s="31" t="str">
        <f ca="1">VLOOKUP(AG36,INDIRECT("'Form 2 - UVR'!$B$2:$E$70"),4,FALSE)</f>
        <v>Duplicado</v>
      </c>
      <c r="AJ36" s="31" t="str">
        <f ca="1"/>
        <v>Nova Aurora</v>
      </c>
      <c r="AK36" s="31" t="str">
        <f ca="1">VLOOKUP(AJ36,INDIRECT("'Form 3 - Empreendimento'!$B$2:$E$70"),4,FALSE)</f>
        <v>Enviado</v>
      </c>
    </row>
    <row r="37" spans="29:37">
      <c r="AC37" s="4"/>
      <c r="AD37" s="31" t="str">
        <f ca="1"/>
        <v>Nova Santa Rosa</v>
      </c>
      <c r="AE37" s="31" t="str">
        <f ca="1">VLOOKUP(AD37,INDIRECT("'Form 1 - Município'!$B$2:$E$70"),4,FALSE)</f>
        <v>Enviado</v>
      </c>
      <c r="AF37" s="4"/>
      <c r="AG37" s="31" t="str">
        <f ca="1"/>
        <v>Nova Santa Rosa</v>
      </c>
      <c r="AH37" s="31" t="str">
        <f ca="1">VLOOKUP(AG37,INDIRECT("'Form 2 - UVR'!$B$2:$E$70"),4,FALSE)</f>
        <v>Enviado</v>
      </c>
      <c r="AJ37" s="31" t="str">
        <f ca="1"/>
        <v>Nova Santa Rosa</v>
      </c>
      <c r="AK37" s="31" t="str">
        <f ca="1">VLOOKUP(AJ37,INDIRECT("'Form 3 - Empreendimento'!$B$2:$E$70"),4,FALSE)</f>
        <v>Enviado</v>
      </c>
    </row>
    <row r="38" spans="29:37">
      <c r="AC38" s="4"/>
      <c r="AD38" s="31" t="str">
        <f ca="1"/>
        <v>Ouro Verde do Oeste</v>
      </c>
      <c r="AE38" s="31" t="str">
        <f ca="1">VLOOKUP(AD38,INDIRECT("'Form 1 - Município'!$B$2:$E$70"),4,FALSE)</f>
        <v>Enviado</v>
      </c>
      <c r="AF38" s="4"/>
      <c r="AG38" s="31" t="str">
        <f ca="1"/>
        <v>Ouro Verde do Oeste</v>
      </c>
      <c r="AH38" s="31" t="str">
        <f ca="1">VLOOKUP(AG38,INDIRECT("'Form 2 - UVR'!$B$2:$E$70"),4,FALSE)</f>
        <v>Enviado</v>
      </c>
      <c r="AJ38" s="31" t="str">
        <f ca="1"/>
        <v>Ouro Verde do Oeste</v>
      </c>
      <c r="AK38" s="31" t="str">
        <f ca="1">VLOOKUP(AJ38,INDIRECT("'Form 3 - Empreendimento'!$B$2:$E$70"),4,FALSE)</f>
        <v>Enviado</v>
      </c>
    </row>
    <row r="39" spans="29:37">
      <c r="AC39" s="4"/>
      <c r="AD39" s="31" t="str">
        <f ca="1"/>
        <v>Palotina</v>
      </c>
      <c r="AE39" s="31" t="str">
        <f ca="1">VLOOKUP(AD39,INDIRECT("'Form 1 - Município'!$B$2:$E$70"),4,FALSE)</f>
        <v>Enviado</v>
      </c>
      <c r="AF39" s="4"/>
      <c r="AG39" s="31" t="str">
        <f ca="1"/>
        <v>Palotina</v>
      </c>
      <c r="AH39" s="31" t="str">
        <f ca="1">VLOOKUP(AG39,INDIRECT("'Form 2 - UVR'!$B$2:$E$70"),4,FALSE)</f>
        <v>Enviado</v>
      </c>
      <c r="AJ39" s="31" t="str">
        <f ca="1"/>
        <v>Palotina</v>
      </c>
      <c r="AK39" s="31" t="str">
        <f ca="1">VLOOKUP(AJ39,INDIRECT("'Form 3 - Empreendimento'!$B$2:$E$70"),4,FALSE)</f>
        <v>Enviado</v>
      </c>
    </row>
    <row r="40" spans="29:37">
      <c r="AC40" s="4"/>
      <c r="AD40" s="31" t="str">
        <f ca="1"/>
        <v>Pato Bragado</v>
      </c>
      <c r="AE40" s="31" t="str">
        <f ca="1">VLOOKUP(AD40,INDIRECT("'Form 1 - Município'!$B$2:$E$70"),4,FALSE)</f>
        <v>Enviado</v>
      </c>
      <c r="AF40" s="4"/>
      <c r="AG40" s="31" t="str">
        <f ca="1"/>
        <v>Pato Bragado</v>
      </c>
      <c r="AH40" s="31" t="str">
        <f ca="1">VLOOKUP(AG40,INDIRECT("'Form 2 - UVR'!$B$2:$E$70"),4,FALSE)</f>
        <v>Enviado</v>
      </c>
      <c r="AJ40" s="31" t="str">
        <f ca="1"/>
        <v>Pato Bragado</v>
      </c>
      <c r="AK40" s="31" t="str">
        <f ca="1">VLOOKUP(AJ40,INDIRECT("'Form 3 - Empreendimento'!$B$2:$E$70"),4,FALSE)</f>
        <v>Enviado</v>
      </c>
    </row>
    <row r="41" spans="29:37">
      <c r="AC41" s="4"/>
      <c r="AD41" s="31" t="str">
        <f ca="1"/>
        <v>Quatro Pontes</v>
      </c>
      <c r="AE41" s="31" t="str">
        <f ca="1">VLOOKUP(AD41,INDIRECT("'Form 1 - Município'!$B$2:$E$70"),4,FALSE)</f>
        <v>Enviado</v>
      </c>
      <c r="AF41" s="4"/>
      <c r="AG41" s="31" t="str">
        <f ca="1"/>
        <v>Quatro Pontes</v>
      </c>
      <c r="AH41" s="31" t="str">
        <f ca="1">VLOOKUP(AG41,INDIRECT("'Form 2 - UVR'!$B$2:$E$70"),4,FALSE)</f>
        <v>Enviado</v>
      </c>
      <c r="AJ41" s="31" t="str">
        <f ca="1"/>
        <v>Quatro Pontes</v>
      </c>
      <c r="AK41" s="31" t="str">
        <f ca="1">VLOOKUP(AJ41,INDIRECT("'Form 3 - Empreendimento'!$B$2:$E$70"),4,FALSE)</f>
        <v>Enviado</v>
      </c>
    </row>
    <row r="42" spans="29:37">
      <c r="AC42" s="4"/>
      <c r="AD42" s="31" t="str">
        <f ca="1"/>
        <v>Ramilândia</v>
      </c>
      <c r="AE42" s="31" t="str">
        <f ca="1">VLOOKUP(AD42,INDIRECT("'Form 1 - Município'!$B$2:$E$70"),4,FALSE)</f>
        <v>Enviado</v>
      </c>
      <c r="AF42" s="4"/>
      <c r="AG42" s="31" t="str">
        <f ca="1"/>
        <v>Ramilândia</v>
      </c>
      <c r="AH42" s="31" t="str">
        <f ca="1">VLOOKUP(AG42,INDIRECT("'Form 2 - UVR'!$B$2:$E$70"),4,FALSE)</f>
        <v>Atrasado</v>
      </c>
      <c r="AJ42" s="31" t="str">
        <f ca="1"/>
        <v>Ramilândia</v>
      </c>
      <c r="AK42" s="31" t="str">
        <f ca="1">VLOOKUP(AJ42,INDIRECT("'Form 3 - Empreendimento'!$B$2:$E$70"),4,FALSE)</f>
        <v>Atrasado</v>
      </c>
    </row>
    <row r="43" spans="29:37">
      <c r="AC43" s="4"/>
      <c r="AD43" s="31" t="str">
        <f ca="1"/>
        <v>Santa Helena</v>
      </c>
      <c r="AE43" s="31" t="str">
        <f ca="1">VLOOKUP(AD43,INDIRECT("'Form 1 - Município'!$B$2:$E$70"),4,FALSE)</f>
        <v>Enviado</v>
      </c>
      <c r="AF43" s="4"/>
      <c r="AG43" s="31" t="str">
        <f ca="1"/>
        <v>Santa Helena</v>
      </c>
      <c r="AH43" s="31" t="str">
        <f ca="1">VLOOKUP(AG43,INDIRECT("'Form 2 - UVR'!$B$2:$E$70"),4,FALSE)</f>
        <v>Enviado</v>
      </c>
      <c r="AJ43" s="31" t="str">
        <f ca="1"/>
        <v>Santa Helena</v>
      </c>
      <c r="AK43" s="31" t="str">
        <f ca="1">VLOOKUP(AJ43,INDIRECT("'Form 3 - Empreendimento'!$B$2:$E$70"),4,FALSE)</f>
        <v>Enviado</v>
      </c>
    </row>
    <row r="44" spans="29:37">
      <c r="AC44" s="4"/>
      <c r="AD44" s="31" t="str">
        <f ca="1"/>
        <v>Santa Lúcia</v>
      </c>
      <c r="AE44" s="31" t="str">
        <f ca="1">VLOOKUP(AD44,INDIRECT("'Form 1 - Município'!$B$2:$E$70"),4,FALSE)</f>
        <v>Atrasado</v>
      </c>
      <c r="AF44" s="4"/>
      <c r="AG44" s="31" t="str">
        <f ca="1"/>
        <v>Santa Lúcia</v>
      </c>
      <c r="AH44" s="31" t="str">
        <f ca="1">VLOOKUP(AG44,INDIRECT("'Form 2 - UVR'!$B$2:$E$70"),4,FALSE)</f>
        <v>Enviado</v>
      </c>
      <c r="AJ44" s="31" t="str">
        <f ca="1"/>
        <v>Santa Lúcia</v>
      </c>
      <c r="AK44" s="31" t="str">
        <f ca="1">VLOOKUP(AJ44,INDIRECT("'Form 3 - Empreendimento'!$B$2:$E$70"),4,FALSE)</f>
        <v>Atrasado</v>
      </c>
    </row>
    <row r="45" spans="29:37">
      <c r="AC45" s="4"/>
      <c r="AD45" s="31" t="str">
        <f ca="1"/>
        <v>Santa Tereza do Oeste</v>
      </c>
      <c r="AE45" s="31" t="str">
        <f ca="1">VLOOKUP(AD45,INDIRECT("'Form 1 - Município'!$B$2:$E$70"),4,FALSE)</f>
        <v>Enviado</v>
      </c>
      <c r="AF45" s="4"/>
      <c r="AG45" s="31" t="str">
        <f ca="1"/>
        <v>Santa Tereza do Oeste</v>
      </c>
      <c r="AH45" s="31" t="str">
        <f ca="1">VLOOKUP(AG45,INDIRECT("'Form 2 - UVR'!$B$2:$E$70"),4,FALSE)</f>
        <v>Enviado</v>
      </c>
      <c r="AJ45" s="31" t="str">
        <f ca="1"/>
        <v>Santa Tereza do Oeste</v>
      </c>
      <c r="AK45" s="31" t="str">
        <f ca="1">VLOOKUP(AJ45,INDIRECT("'Form 3 - Empreendimento'!$B$2:$E$70"),4,FALSE)</f>
        <v>Enviado</v>
      </c>
    </row>
    <row r="46" spans="29:37">
      <c r="AC46" s="4"/>
      <c r="AD46" s="31" t="str">
        <f ca="1"/>
        <v>Santa Terezinha de Itaipu</v>
      </c>
      <c r="AE46" s="31" t="str">
        <f ca="1">VLOOKUP(AD46,INDIRECT("'Form 1 - Município'!$B$2:$E$70"),4,FALSE)</f>
        <v>Enviado</v>
      </c>
      <c r="AF46" s="4"/>
      <c r="AG46" s="31" t="str">
        <f ca="1"/>
        <v>Santa Terezinha de Itaipu</v>
      </c>
      <c r="AH46" s="31" t="str">
        <f ca="1">VLOOKUP(AG46,INDIRECT("'Form 2 - UVR'!$B$2:$E$70"),4,FALSE)</f>
        <v>Enviado</v>
      </c>
      <c r="AJ46" s="31" t="str">
        <f ca="1"/>
        <v>Santa Terezinha de Itaipu</v>
      </c>
      <c r="AK46" s="31" t="str">
        <f ca="1">VLOOKUP(AJ46,INDIRECT("'Form 3 - Empreendimento'!$B$2:$E$70"),4,FALSE)</f>
        <v>Enviado</v>
      </c>
    </row>
    <row r="47" spans="29:37">
      <c r="AC47" s="4"/>
      <c r="AD47" s="31" t="str">
        <f ca="1"/>
        <v>São Jose das Palmeiras</v>
      </c>
      <c r="AE47" s="31" t="str">
        <f ca="1">VLOOKUP(AD47,INDIRECT("'Form 1 - Município'!$B$2:$E$70"),4,FALSE)</f>
        <v>Enviado</v>
      </c>
      <c r="AF47" s="4"/>
      <c r="AG47" s="31" t="str">
        <f ca="1"/>
        <v>São Jose das Palmeiras</v>
      </c>
      <c r="AH47" s="31" t="str">
        <f ca="1">VLOOKUP(AG47,INDIRECT("'Form 2 - UVR'!$B$2:$E$70"),4,FALSE)</f>
        <v>Enviado</v>
      </c>
      <c r="AJ47" s="31" t="str">
        <f ca="1"/>
        <v>São Jose das Palmeiras</v>
      </c>
      <c r="AK47" s="31" t="str">
        <f ca="1">VLOOKUP(AJ47,INDIRECT("'Form 3 - Empreendimento'!$B$2:$E$70"),4,FALSE)</f>
        <v>Enviado</v>
      </c>
    </row>
    <row r="48" spans="29:37">
      <c r="AC48" s="4"/>
      <c r="AD48" s="31" t="str">
        <f ca="1"/>
        <v>São Miguel do Iguaçu</v>
      </c>
      <c r="AE48" s="31" t="str">
        <f ca="1">VLOOKUP(AD48,INDIRECT("'Form 1 - Município'!$B$2:$E$70"),4,FALSE)</f>
        <v>Enviado</v>
      </c>
      <c r="AF48" s="4"/>
      <c r="AG48" s="31" t="str">
        <f ca="1"/>
        <v>São Miguel do Iguaçu</v>
      </c>
      <c r="AH48" s="31" t="str">
        <f ca="1">VLOOKUP(AG48,INDIRECT("'Form 2 - UVR'!$B$2:$E$70"),4,FALSE)</f>
        <v>Enviado</v>
      </c>
      <c r="AJ48" s="31" t="str">
        <f ca="1"/>
        <v>São Miguel do Iguaçu</v>
      </c>
      <c r="AK48" s="31" t="str">
        <f ca="1">VLOOKUP(AJ48,INDIRECT("'Form 3 - Empreendimento'!$B$2:$E$70"),4,FALSE)</f>
        <v>Enviado</v>
      </c>
    </row>
    <row r="49" spans="29:37">
      <c r="AC49" s="4"/>
      <c r="AD49" s="31" t="str">
        <f ca="1"/>
        <v>São Pedro do Iguaçu</v>
      </c>
      <c r="AE49" s="31" t="str">
        <f ca="1">VLOOKUP(AD49,INDIRECT("'Form 1 - Município'!$B$2:$E$70"),4,FALSE)</f>
        <v>Enviado</v>
      </c>
      <c r="AF49" s="4"/>
      <c r="AG49" s="31" t="str">
        <f ca="1"/>
        <v>São Pedro do Iguaçu</v>
      </c>
      <c r="AH49" s="31" t="str">
        <f ca="1">VLOOKUP(AG49,INDIRECT("'Form 2 - UVR'!$B$2:$E$70"),4,FALSE)</f>
        <v>Enviado</v>
      </c>
      <c r="AJ49" s="31" t="str">
        <f ca="1"/>
        <v>São Pedro do Iguaçu</v>
      </c>
      <c r="AK49" s="31" t="str">
        <f ca="1">VLOOKUP(AJ49,INDIRECT("'Form 3 - Empreendimento'!$B$2:$E$70"),4,FALSE)</f>
        <v>Enviado</v>
      </c>
    </row>
    <row r="50" spans="29:37">
      <c r="AC50" s="4"/>
      <c r="AD50" s="31" t="str">
        <f ca="1"/>
        <v>Serranopolis do Iguaçu</v>
      </c>
      <c r="AE50" s="31" t="str">
        <f ca="1">VLOOKUP(AD50,INDIRECT("'Form 1 - Município'!$B$2:$E$70"),4,FALSE)</f>
        <v>Enviado</v>
      </c>
      <c r="AF50" s="4"/>
      <c r="AG50" s="31" t="str">
        <f ca="1"/>
        <v>Serranopolis do Iguaçu</v>
      </c>
      <c r="AH50" s="31" t="str">
        <f ca="1">VLOOKUP(AG50,INDIRECT("'Form 2 - UVR'!$B$2:$E$70"),4,FALSE)</f>
        <v>Enviado</v>
      </c>
      <c r="AJ50" s="31" t="str">
        <f ca="1"/>
        <v>Serranopolis do Iguaçu</v>
      </c>
      <c r="AK50" s="31" t="str">
        <f ca="1">VLOOKUP(AJ50,INDIRECT("'Form 3 - Empreendimento'!$B$2:$E$70"),4,FALSE)</f>
        <v>Enviado</v>
      </c>
    </row>
    <row r="51" spans="29:37">
      <c r="AC51" s="4"/>
      <c r="AD51" s="31" t="str">
        <f ca="1"/>
        <v>Terra Roxa</v>
      </c>
      <c r="AE51" s="31" t="str">
        <f ca="1">VLOOKUP(AD51,INDIRECT("'Form 1 - Município'!$B$2:$E$70"),4,FALSE)</f>
        <v>Enviado</v>
      </c>
      <c r="AF51" s="4"/>
      <c r="AG51" s="31" t="str">
        <f ca="1"/>
        <v>Terra Roxa</v>
      </c>
      <c r="AH51" s="31" t="str">
        <f ca="1">VLOOKUP(AG51,INDIRECT("'Form 2 - UVR'!$B$2:$E$70"),4,FALSE)</f>
        <v>Enviado</v>
      </c>
      <c r="AJ51" s="31" t="str">
        <f ca="1"/>
        <v>Terra Roxa</v>
      </c>
      <c r="AK51" s="31" t="str">
        <f ca="1">VLOOKUP(AJ51,INDIRECT("'Form 3 - Empreendimento'!$B$2:$E$70"),4,FALSE)</f>
        <v>Enviado</v>
      </c>
    </row>
    <row r="52" spans="29:37">
      <c r="AC52" s="4"/>
      <c r="AD52" s="31" t="str">
        <f ca="1"/>
        <v>Toledo</v>
      </c>
      <c r="AE52" s="31" t="str">
        <f ca="1">VLOOKUP(AD52,INDIRECT("'Form 1 - Município'!$B$2:$E$70"),4,FALSE)</f>
        <v>Enviado</v>
      </c>
      <c r="AF52" s="4"/>
      <c r="AG52" s="31" t="str">
        <f ca="1"/>
        <v>Toledo</v>
      </c>
      <c r="AH52" s="31" t="str">
        <f ca="1">VLOOKUP(AG52,INDIRECT("'Form 2 - UVR'!$B$2:$E$70"),4,FALSE)</f>
        <v>Atrasado</v>
      </c>
      <c r="AJ52" s="31" t="str">
        <f ca="1"/>
        <v>Toledo</v>
      </c>
      <c r="AK52" s="31" t="str">
        <f ca="1">VLOOKUP(AJ52,INDIRECT("'Form 3 - Empreendimento'!$B$2:$E$70"),4,FALSE)</f>
        <v>Enviado</v>
      </c>
    </row>
    <row r="53" spans="29:37">
      <c r="AC53" s="4"/>
      <c r="AD53" s="31" t="str">
        <f ca="1"/>
        <v>Tres Barras do Parana</v>
      </c>
      <c r="AE53" s="31" t="str">
        <f ca="1">VLOOKUP(AD53,INDIRECT("'Form 1 - Município'!$B$2:$E$70"),4,FALSE)</f>
        <v>Enviado</v>
      </c>
      <c r="AF53" s="4"/>
      <c r="AG53" s="31" t="str">
        <f ca="1"/>
        <v>Tres Barras do Parana</v>
      </c>
      <c r="AH53" s="31" t="str">
        <f ca="1">VLOOKUP(AG53,INDIRECT("'Form 2 - UVR'!$B$2:$E$70"),4,FALSE)</f>
        <v>Enviado</v>
      </c>
      <c r="AJ53" s="31" t="str">
        <f ca="1"/>
        <v>Tres Barras do Parana</v>
      </c>
      <c r="AK53" s="31" t="str">
        <f ca="1">VLOOKUP(AJ53,INDIRECT("'Form 3 - Empreendimento'!$B$2:$E$70"),4,FALSE)</f>
        <v>Enviado</v>
      </c>
    </row>
    <row r="54" spans="29:37">
      <c r="AC54" s="4"/>
      <c r="AD54" s="31" t="str">
        <f ca="1"/>
        <v>Tupassi</v>
      </c>
      <c r="AE54" s="31" t="str">
        <f ca="1">VLOOKUP(AD54,INDIRECT("'Form 1 - Município'!$B$2:$E$70"),4,FALSE)</f>
        <v>Enviado</v>
      </c>
      <c r="AF54" s="4"/>
      <c r="AG54" s="31" t="str">
        <f ca="1"/>
        <v>Tupassi</v>
      </c>
      <c r="AH54" s="31" t="str">
        <f ca="1">VLOOKUP(AG54,INDIRECT("'Form 2 - UVR'!$B$2:$E$70"),4,FALSE)</f>
        <v>Enviado</v>
      </c>
      <c r="AJ54" s="31" t="str">
        <f ca="1"/>
        <v>Tupassi</v>
      </c>
      <c r="AK54" s="31" t="str">
        <f ca="1">VLOOKUP(AJ54,INDIRECT("'Form 3 - Empreendimento'!$B$2:$E$70"),4,FALSE)</f>
        <v>Enviado</v>
      </c>
    </row>
    <row r="55" spans="29:37">
      <c r="AC55" s="4"/>
      <c r="AD55" s="31" t="str">
        <f ca="1"/>
        <v>Ubirata</v>
      </c>
      <c r="AE55" s="31" t="str">
        <f ca="1">VLOOKUP(AD55,INDIRECT("'Form 1 - Município'!$B$2:$E$70"),4,FALSE)</f>
        <v>Atrasado</v>
      </c>
      <c r="AF55" s="4"/>
      <c r="AG55" s="31" t="str">
        <f ca="1"/>
        <v>Ubirata</v>
      </c>
      <c r="AH55" s="31" t="str">
        <f ca="1">VLOOKUP(AG55,INDIRECT("'Form 2 - UVR'!$B$2:$E$70"),4,FALSE)</f>
        <v>Enviado</v>
      </c>
      <c r="AJ55" s="31" t="str">
        <f ca="1"/>
        <v>Ubirata</v>
      </c>
      <c r="AK55" s="31" t="str">
        <f ca="1">VLOOKUP(AJ55,INDIRECT("'Form 3 - Empreendimento'!$B$2:$E$70"),4,FALSE)</f>
        <v>Enviado</v>
      </c>
    </row>
    <row r="56" spans="29:37">
      <c r="AC56" s="4"/>
      <c r="AD56" s="31" t="str">
        <f ca="1"/>
        <v>Vera Cruz do Oeste</v>
      </c>
      <c r="AE56" s="31" t="str">
        <f ca="1">VLOOKUP(AD56,INDIRECT("'Form 1 - Município'!$B$2:$E$70"),4,FALSE)</f>
        <v>Atrasado</v>
      </c>
      <c r="AF56" s="4"/>
      <c r="AG56" s="31" t="str">
        <f ca="1"/>
        <v>Vera Cruz do Oeste</v>
      </c>
      <c r="AH56" s="31" t="str">
        <f ca="1">VLOOKUP(AG56,INDIRECT("'Form 2 - UVR'!$B$2:$E$70"),4,FALSE)</f>
        <v>Atrasado</v>
      </c>
      <c r="AJ56" s="31" t="str">
        <f ca="1"/>
        <v>Vera Cruz do Oeste</v>
      </c>
      <c r="AK56" s="31" t="str">
        <f ca="1">VLOOKUP(AJ56,INDIRECT("'Form 3 - Empreendimento'!$B$2:$E$70"),4,FALSE)</f>
        <v>Atrasado</v>
      </c>
    </row>
    <row r="57" spans="29:37">
      <c r="AD57" s="4"/>
      <c r="AE57" s="4"/>
    </row>
  </sheetData>
  <mergeCells count="7">
    <mergeCell ref="AJ1:AK1"/>
    <mergeCell ref="A15:A16"/>
    <mergeCell ref="B15:C15"/>
    <mergeCell ref="F15:G15"/>
    <mergeCell ref="D15:E15"/>
    <mergeCell ref="AD1:AE1"/>
    <mergeCell ref="AG1:A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6"/>
  <sheetViews>
    <sheetView workbookViewId="0"/>
  </sheetViews>
  <sheetFormatPr defaultRowHeight="15"/>
  <cols>
    <col min="2" max="2" width="31.140625" customWidth="1"/>
    <col min="3" max="3" width="8.5703125" customWidth="1"/>
    <col min="4" max="4" width="24.28515625" customWidth="1"/>
    <col min="5" max="5" width="26.140625" customWidth="1"/>
    <col min="6" max="6" width="27.7109375" customWidth="1"/>
    <col min="9" max="9" width="31.140625" customWidth="1"/>
    <col min="10" max="10" width="8.5703125" customWidth="1"/>
    <col min="11" max="11" width="24.28515625" customWidth="1"/>
    <col min="12" max="12" width="28.85546875" customWidth="1"/>
    <col min="13" max="13" width="29.140625" customWidth="1"/>
  </cols>
  <sheetData>
    <row r="1" spans="1:13" ht="15.75" customHeight="1">
      <c r="A1" s="17" t="s">
        <v>21</v>
      </c>
      <c r="B1" s="18" t="s">
        <v>30</v>
      </c>
      <c r="C1" s="18" t="s">
        <v>31</v>
      </c>
      <c r="D1" s="18" t="s">
        <v>22</v>
      </c>
      <c r="E1" s="18" t="s">
        <v>23</v>
      </c>
      <c r="F1" s="18" t="s">
        <v>24</v>
      </c>
      <c r="H1" s="35" t="s">
        <v>21</v>
      </c>
      <c r="I1" s="18" t="s">
        <v>30</v>
      </c>
      <c r="J1" s="18" t="s">
        <v>31</v>
      </c>
      <c r="K1" s="18" t="s">
        <v>22</v>
      </c>
      <c r="L1" s="18" t="s">
        <v>23</v>
      </c>
      <c r="M1" s="18" t="s">
        <v>24</v>
      </c>
    </row>
    <row r="2" spans="1:13" ht="15.75" customHeight="1">
      <c r="A2" s="19" t="s">
        <v>26</v>
      </c>
      <c r="B2" s="31" t="s">
        <v>32</v>
      </c>
      <c r="C2" s="31">
        <v>1</v>
      </c>
      <c r="D2" s="20" t="str">
        <f t="array" aca="1" ref="D2" ca="1">IF(
    VLOOKUP(
        $A2,
        _xlfn._xlws.FILTER(
            INDIRECT("'"&amp;D$1&amp;"'!A2:E1000"), (INDIRECT("'"&amp;D$1&amp;"'!B2:B1000")=$B2) * (INDIRECT("'"&amp;D$1&amp;"'!C2:C1000")=$C2)
        ),
        5,
        FALSE
    )=0,
    "",
    VLOOKUP(
        $A2,
        _xlfn._xlws.FILTER(
            INDIRECT("'"&amp;D$1&amp;"'!A2:E1000"), (INDIRECT("'"&amp;D$1&amp;"'!B2:B1000")=$B2) * (INDIRECT("'"&amp;D$1&amp;"'!C2:C1000")=$C2)
        ),
        5,
        FALSE
    )
)</f>
        <v>Enviado</v>
      </c>
      <c r="E2" s="20" t="str">
        <f t="array" aca="1" ref="E2" ca="1">IF(
    VLOOKUP(
        $A2,
        _xlfn._xlws.FILTER(
            INDIRECT("'"&amp;E$1&amp;"'!A2:E1000"), (INDIRECT("'"&amp;E$1&amp;"'!B2:B1000")=$B2) * (INDIRECT("'"&amp;E$1&amp;"'!C2:C1000")=$C2)
        ),
        5,
        FALSE
    )=0,
    "",
    VLOOKUP(
        $A2,
        _xlfn._xlws.FILTER(
            INDIRECT("'"&amp;E$1&amp;"'!A2:E1000"), (INDIRECT("'"&amp;E$1&amp;"'!B2:B1000")=$B2) * (INDIRECT("'"&amp;E$1&amp;"'!C2:C1000")=$C2)
        ),
        5,
        FALSE
    )
)</f>
        <v>Enviado</v>
      </c>
      <c r="F2" s="20" t="str">
        <f t="array" aca="1" ref="F2" ca="1">IF(
    VLOOKUP(
        $A2,
        _xlfn._xlws.FILTER(
            INDIRECT("'"&amp;F$1&amp;"'!A2:E1000"), (INDIRECT("'"&amp;F$1&amp;"'!B2:B1000")=$B2) * (INDIRECT("'"&amp;F$1&amp;"'!C2:C1000")=$C2)
        ),
        5,
        FALSE
    )=0,
    "",
    VLOOKUP(
        $A2,
        _xlfn._xlws.FILTER(
            INDIRECT("'"&amp;F$1&amp;"'!A2:E1000"), (INDIRECT("'"&amp;F$1&amp;"'!B2:B1000")=$B2) * (INDIRECT("'"&amp;F$1&amp;"'!C2:C1000")=$C2)
        ),
        5,
        FALSE
    )
)</f>
        <v>Atrasado</v>
      </c>
      <c r="H2" s="36" t="s">
        <v>28</v>
      </c>
      <c r="I2" s="37" t="s">
        <v>33</v>
      </c>
      <c r="J2" s="37">
        <v>1</v>
      </c>
      <c r="K2" s="20" t="str">
        <f t="array" aca="1" ref="K2" ca="1">IF(
    VLOOKUP(
        $H2,
        _xlfn._xlws.FILTER(
            INDIRECT("'"&amp;K$1&amp;"'!A2:E1000"), (INDIRECT("'"&amp;K$1&amp;"'!B2:B1000")=$I2) * (INDIRECT("'"&amp;K$1&amp;"'!C2:C1000")=$J2)
        ),
        5,
        FALSE
    )=0,
    "",
    VLOOKUP(
        $H2,
        _xlfn._xlws.FILTER(
            INDIRECT("'"&amp;K$1&amp;"'!A2:E1000"), (INDIRECT("'"&amp;K$1&amp;"'!B2:B1000")=$I2) * (INDIRECT("'"&amp;K$1&amp;"'!C2:C1000")=$J2)
        ),
        5,
        FALSE
    )
)</f>
        <v>Enviado</v>
      </c>
      <c r="L2" s="20" t="str">
        <f t="array" aca="1" ref="L2" ca="1">IF(
    VLOOKUP(
        $H2,
        _xlfn._xlws.FILTER(
            INDIRECT("'"&amp;L$1&amp;"'!A2:E1000"), (INDIRECT("'"&amp;L$1&amp;"'!B2:B1000")=$I2) * (INDIRECT("'"&amp;L$1&amp;"'!C2:C1000")=$J2)
        ),
        5,
        FALSE
    )=0,
    "",
    VLOOKUP(
        $H2,
        _xlfn._xlws.FILTER(
            INDIRECT("'"&amp;L$1&amp;"'!A2:E1000"), (INDIRECT("'"&amp;L$1&amp;"'!B2:B1000")=$I2) * (INDIRECT("'"&amp;L$1&amp;"'!C2:C1000")=$J2)
        ),
        5,
        FALSE
    )
)</f>
        <v>Enviado</v>
      </c>
      <c r="M2" s="20" t="str">
        <f t="array" aca="1" ref="M2" ca="1">IF(
    VLOOKUP(
        $H2,
        _xlfn._xlws.FILTER(
            INDIRECT("'"&amp;M$1&amp;"'!A2:E1000"), (INDIRECT("'"&amp;M$1&amp;"'!B2:B1000")=$I2) * (INDIRECT("'"&amp;M$1&amp;"'!C2:C1000")=$J2)
        ),
        5,
        FALSE
    )=0,
    "",
    VLOOKUP(
        $H2,
        _xlfn._xlws.FILTER(
            INDIRECT("'"&amp;M$1&amp;"'!A2:E1000"), (INDIRECT("'"&amp;M$1&amp;"'!B2:B1000")=$I2) * (INDIRECT("'"&amp;M$1&amp;"'!C2:C1000")=$J2)
        ),
        5,
        FALSE
    )
)</f>
        <v>Atrasado</v>
      </c>
    </row>
    <row r="3" spans="1:13">
      <c r="A3" s="19" t="s">
        <v>26</v>
      </c>
      <c r="B3" s="31" t="s">
        <v>34</v>
      </c>
      <c r="C3" s="31">
        <v>1</v>
      </c>
      <c r="D3" s="20" t="str">
        <f t="array" aca="1" ref="D3" ca="1">IF(
    VLOOKUP(
        $A3,
        _xlfn._xlws.FILTER(
            INDIRECT("'"&amp;D$1&amp;"'!A2:E1000"), (INDIRECT("'"&amp;D$1&amp;"'!B2:B1000")=$B3) * (INDIRECT("'"&amp;D$1&amp;"'!C2:C1000")=$C3)
        ),
        5,
        FALSE
    )=0,
    "",
    VLOOKUP(
        $A3,
        _xlfn._xlws.FILTER(
            INDIRECT("'"&amp;D$1&amp;"'!A2:E1000"), (INDIRECT("'"&amp;D$1&amp;"'!B2:B1000")=$B3) * (INDIRECT("'"&amp;D$1&amp;"'!C2:C1000")=$C3)
        ),
        5,
        FALSE
    )
)</f>
        <v>Enviado</v>
      </c>
      <c r="E3" s="20" t="str">
        <f t="array" aca="1" ref="E3" ca="1">IF(
    VLOOKUP(
        $A3,
        _xlfn._xlws.FILTER(
            INDIRECT("'"&amp;E$1&amp;"'!A2:E1000"), (INDIRECT("'"&amp;E$1&amp;"'!B2:B1000")=$B3) * (INDIRECT("'"&amp;E$1&amp;"'!C2:C1000")=$C3)
        ),
        5,
        FALSE
    )=0,
    "",
    VLOOKUP(
        $A3,
        _xlfn._xlws.FILTER(
            INDIRECT("'"&amp;E$1&amp;"'!A2:E1000"), (INDIRECT("'"&amp;E$1&amp;"'!B2:B1000")=$B3) * (INDIRECT("'"&amp;E$1&amp;"'!C2:C1000")=$C3)
        ),
        5,
        FALSE
    )
)</f>
        <v>Enviado</v>
      </c>
      <c r="F3" s="20" t="str">
        <f t="array" aca="1" ref="F3" ca="1">IF(
    VLOOKUP(
        $A3,
        _xlfn._xlws.FILTER(
            INDIRECT("'"&amp;F$1&amp;"'!A2:E1000"), (INDIRECT("'"&amp;F$1&amp;"'!B2:B1000")=$B3) * (INDIRECT("'"&amp;F$1&amp;"'!C2:C1000")=$C3)
        ),
        5,
        FALSE
    )=0,
    "",
    VLOOKUP(
        $A3,
        _xlfn._xlws.FILTER(
            INDIRECT("'"&amp;F$1&amp;"'!A2:E1000"), (INDIRECT("'"&amp;F$1&amp;"'!B2:B1000")=$B3) * (INDIRECT("'"&amp;F$1&amp;"'!C2:C1000")=$C3)
        ),
        5,
        FALSE
    )
)</f>
        <v>Enviado</v>
      </c>
      <c r="H3" s="36" t="s">
        <v>28</v>
      </c>
      <c r="I3" s="37" t="s">
        <v>33</v>
      </c>
      <c r="J3" s="37">
        <v>2</v>
      </c>
      <c r="K3" s="20" t="str">
        <f t="array" aca="1" ref="K3" ca="1">IF(
    VLOOKUP(
        $H3,
        _xlfn._xlws.FILTER(
            INDIRECT("'"&amp;K$1&amp;"'!A2:E1000"), (INDIRECT("'"&amp;K$1&amp;"'!B2:B1000")=$I3) * (INDIRECT("'"&amp;K$1&amp;"'!C2:C1000")=$J3)
        ),
        5,
        FALSE
    )=0,
    "",
    VLOOKUP(
        $H3,
        _xlfn._xlws.FILTER(
            INDIRECT("'"&amp;K$1&amp;"'!A2:E1000"), (INDIRECT("'"&amp;K$1&amp;"'!B2:B1000")=$I3) * (INDIRECT("'"&amp;K$1&amp;"'!C2:C1000")=$J3)
        ),
        5,
        FALSE
    )
)</f>
        <v>Enviado</v>
      </c>
      <c r="L3" s="20" t="str">
        <f t="array" aca="1" ref="L3" ca="1">IF(
    VLOOKUP(
        $H3,
        _xlfn._xlws.FILTER(
            INDIRECT("'"&amp;L$1&amp;"'!A2:E1000"), (INDIRECT("'"&amp;L$1&amp;"'!B2:B1000")=$I3) * (INDIRECT("'"&amp;L$1&amp;"'!C2:C1000")=$J3)
        ),
        5,
        FALSE
    )=0,
    "",
    VLOOKUP(
        $H3,
        _xlfn._xlws.FILTER(
            INDIRECT("'"&amp;L$1&amp;"'!A2:E1000"), (INDIRECT("'"&amp;L$1&amp;"'!B2:B1000")=$I3) * (INDIRECT("'"&amp;L$1&amp;"'!C2:C1000")=$J3)
        ),
        5,
        FALSE
    )
)</f>
        <v>Enviado</v>
      </c>
      <c r="M3" s="20" t="str">
        <f t="array" aca="1" ref="M3" ca="1">IF(
    VLOOKUP(
        $H3,
        _xlfn._xlws.FILTER(
            INDIRECT("'"&amp;M$1&amp;"'!A2:E1000"), (INDIRECT("'"&amp;M$1&amp;"'!B2:B1000")=$I3) * (INDIRECT("'"&amp;M$1&amp;"'!C2:C1000")=$J3)
        ),
        5,
        FALSE
    )=0,
    "",
    VLOOKUP(
        $H3,
        _xlfn._xlws.FILTER(
            INDIRECT("'"&amp;M$1&amp;"'!A2:E1000"), (INDIRECT("'"&amp;M$1&amp;"'!B2:B1000")=$I3) * (INDIRECT("'"&amp;M$1&amp;"'!C2:C1000")=$J3)
        ),
        5,
        FALSE
    )
)</f>
        <v>Enviado</v>
      </c>
    </row>
    <row r="4" spans="1:13">
      <c r="A4" s="19" t="s">
        <v>26</v>
      </c>
      <c r="B4" s="31" t="s">
        <v>35</v>
      </c>
      <c r="C4" s="31">
        <v>1</v>
      </c>
      <c r="D4" s="20" t="str">
        <f t="array" aca="1" ref="D4" ca="1">IF(
    VLOOKUP(
        $A4,
        _xlfn._xlws.FILTER(
            INDIRECT("'"&amp;D$1&amp;"'!A2:E1000"), (INDIRECT("'"&amp;D$1&amp;"'!B2:B1000")=$B4) * (INDIRECT("'"&amp;D$1&amp;"'!C2:C1000")=$C4)
        ),
        5,
        FALSE
    )=0,
    "",
    VLOOKUP(
        $A4,
        _xlfn._xlws.FILTER(
            INDIRECT("'"&amp;D$1&amp;"'!A2:E1000"), (INDIRECT("'"&amp;D$1&amp;"'!B2:B1000")=$B4) * (INDIRECT("'"&amp;D$1&amp;"'!C2:C1000")=$C4)
        ),
        5,
        FALSE
    )
)</f>
        <v>Enviado</v>
      </c>
      <c r="E4" s="20" t="str">
        <f t="array" aca="1" ref="E4" ca="1">IF(
    VLOOKUP(
        $A4,
        _xlfn._xlws.FILTER(
            INDIRECT("'"&amp;E$1&amp;"'!A2:E1000"), (INDIRECT("'"&amp;E$1&amp;"'!B2:B1000")=$B4) * (INDIRECT("'"&amp;E$1&amp;"'!C2:C1000")=$C4)
        ),
        5,
        FALSE
    )=0,
    "",
    VLOOKUP(
        $A4,
        _xlfn._xlws.FILTER(
            INDIRECT("'"&amp;E$1&amp;"'!A2:E1000"), (INDIRECT("'"&amp;E$1&amp;"'!B2:B1000")=$B4) * (INDIRECT("'"&amp;E$1&amp;"'!C2:C1000")=$C4)
        ),
        5,
        FALSE
    )
)</f>
        <v>Enviado</v>
      </c>
      <c r="F4" s="20" t="str">
        <f t="array" aca="1" ref="F4" ca="1">IF(
    VLOOKUP(
        $A4,
        _xlfn._xlws.FILTER(
            INDIRECT("'"&amp;F$1&amp;"'!A2:E1000"), (INDIRECT("'"&amp;F$1&amp;"'!B2:B1000")=$B4) * (INDIRECT("'"&amp;F$1&amp;"'!C2:C1000")=$C4)
        ),
        5,
        FALSE
    )=0,
    "",
    VLOOKUP(
        $A4,
        _xlfn._xlws.FILTER(
            INDIRECT("'"&amp;F$1&amp;"'!A2:E1000"), (INDIRECT("'"&amp;F$1&amp;"'!B2:B1000")=$B4) * (INDIRECT("'"&amp;F$1&amp;"'!C2:C1000")=$C4)
        ),
        5,
        FALSE
    )
)</f>
        <v>Enviado</v>
      </c>
      <c r="H4" s="36" t="s">
        <v>28</v>
      </c>
      <c r="I4" s="37" t="s">
        <v>33</v>
      </c>
      <c r="J4" s="37">
        <v>3</v>
      </c>
      <c r="K4" s="20" t="str">
        <f t="array" aca="1" ref="K4" ca="1">IF(
    VLOOKUP(
        $H4,
        _xlfn._xlws.FILTER(
            INDIRECT("'"&amp;K$1&amp;"'!A2:E1000"), (INDIRECT("'"&amp;K$1&amp;"'!B2:B1000")=$I4) * (INDIRECT("'"&amp;K$1&amp;"'!C2:C1000")=$J4)
        ),
        5,
        FALSE
    )=0,
    "",
    VLOOKUP(
        $H4,
        _xlfn._xlws.FILTER(
            INDIRECT("'"&amp;K$1&amp;"'!A2:E1000"), (INDIRECT("'"&amp;K$1&amp;"'!B2:B1000")=$I4) * (INDIRECT("'"&amp;K$1&amp;"'!C2:C1000")=$J4)
        ),
        5,
        FALSE
    )
)</f>
        <v>Enviado</v>
      </c>
      <c r="L4" s="20" t="str">
        <f t="array" aca="1" ref="L4" ca="1">IF(
    VLOOKUP(
        $H4,
        _xlfn._xlws.FILTER(
            INDIRECT("'"&amp;L$1&amp;"'!A2:E1000"), (INDIRECT("'"&amp;L$1&amp;"'!B2:B1000")=$I4) * (INDIRECT("'"&amp;L$1&amp;"'!C2:C1000")=$J4)
        ),
        5,
        FALSE
    )=0,
    "",
    VLOOKUP(
        $H4,
        _xlfn._xlws.FILTER(
            INDIRECT("'"&amp;L$1&amp;"'!A2:E1000"), (INDIRECT("'"&amp;L$1&amp;"'!B2:B1000")=$I4) * (INDIRECT("'"&amp;L$1&amp;"'!C2:C1000")=$J4)
        ),
        5,
        FALSE
    )
)</f>
        <v>Enviado</v>
      </c>
      <c r="M4" s="20" t="str">
        <f t="array" aca="1" ref="M4" ca="1">IF(
    VLOOKUP(
        $H4,
        _xlfn._xlws.FILTER(
            INDIRECT("'"&amp;M$1&amp;"'!A2:E1000"), (INDIRECT("'"&amp;M$1&amp;"'!B2:B1000")=$I4) * (INDIRECT("'"&amp;M$1&amp;"'!C2:C1000")=$J4)
        ),
        5,
        FALSE
    )=0,
    "",
    VLOOKUP(
        $H4,
        _xlfn._xlws.FILTER(
            INDIRECT("'"&amp;M$1&amp;"'!A2:E1000"), (INDIRECT("'"&amp;M$1&amp;"'!B2:B1000")=$I4) * (INDIRECT("'"&amp;M$1&amp;"'!C2:C1000")=$J4)
        ),
        5,
        FALSE
    )
)</f>
        <v>Enviado</v>
      </c>
    </row>
    <row r="5" spans="1:13">
      <c r="A5" s="19" t="s">
        <v>26</v>
      </c>
      <c r="B5" s="31" t="s">
        <v>36</v>
      </c>
      <c r="C5" s="31">
        <v>1</v>
      </c>
      <c r="D5" s="20" t="str">
        <f t="array" aca="1" ref="D5" ca="1">IF(
    VLOOKUP(
        $A5,
        _xlfn._xlws.FILTER(
            INDIRECT("'"&amp;D$1&amp;"'!A2:E1000"), (INDIRECT("'"&amp;D$1&amp;"'!B2:B1000")=$B5) * (INDIRECT("'"&amp;D$1&amp;"'!C2:C1000")=$C5)
        ),
        5,
        FALSE
    )=0,
    "",
    VLOOKUP(
        $A5,
        _xlfn._xlws.FILTER(
            INDIRECT("'"&amp;D$1&amp;"'!A2:E1000"), (INDIRECT("'"&amp;D$1&amp;"'!B2:B1000")=$B5) * (INDIRECT("'"&amp;D$1&amp;"'!C2:C1000")=$C5)
        ),
        5,
        FALSE
    )
)</f>
        <v>Atrasado</v>
      </c>
      <c r="E5" s="20" t="str">
        <f t="array" aca="1" ref="E5" ca="1">IF(
    VLOOKUP(
        $A5,
        _xlfn._xlws.FILTER(
            INDIRECT("'"&amp;E$1&amp;"'!A2:E1000"), (INDIRECT("'"&amp;E$1&amp;"'!B2:B1000")=$B5) * (INDIRECT("'"&amp;E$1&amp;"'!C2:C1000")=$C5)
        ),
        5,
        FALSE
    )=0,
    "",
    VLOOKUP(
        $A5,
        _xlfn._xlws.FILTER(
            INDIRECT("'"&amp;E$1&amp;"'!A2:E1000"), (INDIRECT("'"&amp;E$1&amp;"'!B2:B1000")=$B5) * (INDIRECT("'"&amp;E$1&amp;"'!C2:C1000")=$C5)
        ),
        5,
        FALSE
    )
)</f>
        <v>Atrasado</v>
      </c>
      <c r="F5" s="20" t="str">
        <f t="array" aca="1" ref="F5" ca="1">IF(
    VLOOKUP(
        $A5,
        _xlfn._xlws.FILTER(
            INDIRECT("'"&amp;F$1&amp;"'!A2:E1000"), (INDIRECT("'"&amp;F$1&amp;"'!B2:B1000")=$B5) * (INDIRECT("'"&amp;F$1&amp;"'!C2:C1000")=$C5)
        ),
        5,
        FALSE
    )=0,
    "",
    VLOOKUP(
        $A5,
        _xlfn._xlws.FILTER(
            INDIRECT("'"&amp;F$1&amp;"'!A2:E1000"), (INDIRECT("'"&amp;F$1&amp;"'!B2:B1000")=$B5) * (INDIRECT("'"&amp;F$1&amp;"'!C2:C1000")=$C5)
        ),
        5,
        FALSE
    )
)</f>
        <v>Atrasado</v>
      </c>
      <c r="H5" s="36" t="s">
        <v>28</v>
      </c>
      <c r="I5" s="37" t="s">
        <v>33</v>
      </c>
      <c r="J5" s="37">
        <v>4</v>
      </c>
      <c r="K5" s="20" t="str">
        <f t="array" aca="1" ref="K5" ca="1">IF(
    VLOOKUP(
        $H5,
        _xlfn._xlws.FILTER(
            INDIRECT("'"&amp;K$1&amp;"'!A2:E1000"), (INDIRECT("'"&amp;K$1&amp;"'!B2:B1000")=$I5) * (INDIRECT("'"&amp;K$1&amp;"'!C2:C1000")=$J5)
        ),
        5,
        FALSE
    )=0,
    "",
    VLOOKUP(
        $H5,
        _xlfn._xlws.FILTER(
            INDIRECT("'"&amp;K$1&amp;"'!A2:E1000"), (INDIRECT("'"&amp;K$1&amp;"'!B2:B1000")=$I5) * (INDIRECT("'"&amp;K$1&amp;"'!C2:C1000")=$J5)
        ),
        5,
        FALSE
    )
)</f>
        <v>Enviado</v>
      </c>
      <c r="L5" s="20" t="str">
        <f t="array" aca="1" ref="L5" ca="1">IF(
    VLOOKUP(
        $H5,
        _xlfn._xlws.FILTER(
            INDIRECT("'"&amp;L$1&amp;"'!A2:E1000"), (INDIRECT("'"&amp;L$1&amp;"'!B2:B1000")=$I5) * (INDIRECT("'"&amp;L$1&amp;"'!C2:C1000")=$J5)
        ),
        5,
        FALSE
    )=0,
    "",
    VLOOKUP(
        $H5,
        _xlfn._xlws.FILTER(
            INDIRECT("'"&amp;L$1&amp;"'!A2:E1000"), (INDIRECT("'"&amp;L$1&amp;"'!B2:B1000")=$I5) * (INDIRECT("'"&amp;L$1&amp;"'!C2:C1000")=$J5)
        ),
        5,
        FALSE
    )
)</f>
        <v>Enviado</v>
      </c>
      <c r="M5" s="20" t="str">
        <f t="array" aca="1" ref="M5" ca="1">IF(
    VLOOKUP(
        $H5,
        _xlfn._xlws.FILTER(
            INDIRECT("'"&amp;M$1&amp;"'!A2:E1000"), (INDIRECT("'"&amp;M$1&amp;"'!B2:B1000")=$I5) * (INDIRECT("'"&amp;M$1&amp;"'!C2:C1000")=$J5)
        ),
        5,
        FALSE
    )=0,
    "",
    VLOOKUP(
        $H5,
        _xlfn._xlws.FILTER(
            INDIRECT("'"&amp;M$1&amp;"'!A2:E1000"), (INDIRECT("'"&amp;M$1&amp;"'!B2:B1000")=$I5) * (INDIRECT("'"&amp;M$1&amp;"'!C2:C1000")=$J5)
        ),
        5,
        FALSE
    )
)</f>
        <v>Enviado</v>
      </c>
    </row>
    <row r="6" spans="1:13">
      <c r="A6" s="19" t="s">
        <v>26</v>
      </c>
      <c r="B6" s="31" t="s">
        <v>37</v>
      </c>
      <c r="C6" s="31">
        <v>1</v>
      </c>
      <c r="D6" s="20" t="str">
        <f t="array" aca="1" ref="D6" ca="1">IF(
    VLOOKUP(
        $A6,
        _xlfn._xlws.FILTER(
            INDIRECT("'"&amp;D$1&amp;"'!A2:E1000"), (INDIRECT("'"&amp;D$1&amp;"'!B2:B1000")=$B6) * (INDIRECT("'"&amp;D$1&amp;"'!C2:C1000")=$C6)
        ),
        5,
        FALSE
    )=0,
    "",
    VLOOKUP(
        $A6,
        _xlfn._xlws.FILTER(
            INDIRECT("'"&amp;D$1&amp;"'!A2:E1000"), (INDIRECT("'"&amp;D$1&amp;"'!B2:B1000")=$B6) * (INDIRECT("'"&amp;D$1&amp;"'!C2:C1000")=$C6)
        ),
        5,
        FALSE
    )
)</f>
        <v>Atrasado</v>
      </c>
      <c r="E6" s="20" t="str">
        <f t="array" aca="1" ref="E6" ca="1">IF(
    VLOOKUP(
        $A6,
        _xlfn._xlws.FILTER(
            INDIRECT("'"&amp;E$1&amp;"'!A2:E1000"), (INDIRECT("'"&amp;E$1&amp;"'!B2:B1000")=$B6) * (INDIRECT("'"&amp;E$1&amp;"'!C2:C1000")=$C6)
        ),
        5,
        FALSE
    )=0,
    "",
    VLOOKUP(
        $A6,
        _xlfn._xlws.FILTER(
            INDIRECT("'"&amp;E$1&amp;"'!A2:E1000"), (INDIRECT("'"&amp;E$1&amp;"'!B2:B1000")=$B6) * (INDIRECT("'"&amp;E$1&amp;"'!C2:C1000")=$C6)
        ),
        5,
        FALSE
    )
)</f>
        <v>Atrasado</v>
      </c>
      <c r="F6" s="20" t="str">
        <f t="array" aca="1" ref="F6" ca="1">IF(
    VLOOKUP(
        $A6,
        _xlfn._xlws.FILTER(
            INDIRECT("'"&amp;F$1&amp;"'!A2:E1000"), (INDIRECT("'"&amp;F$1&amp;"'!B2:B1000")=$B6) * (INDIRECT("'"&amp;F$1&amp;"'!C2:C1000")=$C6)
        ),
        5,
        FALSE
    )=0,
    "",
    VLOOKUP(
        $A6,
        _xlfn._xlws.FILTER(
            INDIRECT("'"&amp;F$1&amp;"'!A2:E1000"), (INDIRECT("'"&amp;F$1&amp;"'!B2:B1000")=$B6) * (INDIRECT("'"&amp;F$1&amp;"'!C2:C1000")=$C6)
        ),
        5,
        FALSE
    )
)</f>
        <v>Atrasado</v>
      </c>
      <c r="H6" s="36" t="s">
        <v>28</v>
      </c>
      <c r="I6" s="37" t="s">
        <v>33</v>
      </c>
      <c r="J6" s="37">
        <v>5</v>
      </c>
      <c r="K6" s="20" t="str">
        <f t="array" aca="1" ref="K6" ca="1">IF(
    VLOOKUP(
        $H6,
        _xlfn._xlws.FILTER(
            INDIRECT("'"&amp;K$1&amp;"'!A2:E1000"), (INDIRECT("'"&amp;K$1&amp;"'!B2:B1000")=$I6) * (INDIRECT("'"&amp;K$1&amp;"'!C2:C1000")=$J6)
        ),
        5,
        FALSE
    )=0,
    "",
    VLOOKUP(
        $H6,
        _xlfn._xlws.FILTER(
            INDIRECT("'"&amp;K$1&amp;"'!A2:E1000"), (INDIRECT("'"&amp;K$1&amp;"'!B2:B1000")=$I6) * (INDIRECT("'"&amp;K$1&amp;"'!C2:C1000")=$J6)
        ),
        5,
        FALSE
    )
)</f>
        <v>Enviado</v>
      </c>
      <c r="L6" s="20" t="str">
        <f t="array" aca="1" ref="L6" ca="1">IF(
    VLOOKUP(
        $H6,
        _xlfn._xlws.FILTER(
            INDIRECT("'"&amp;L$1&amp;"'!A2:E1000"), (INDIRECT("'"&amp;L$1&amp;"'!B2:B1000")=$I6) * (INDIRECT("'"&amp;L$1&amp;"'!C2:C1000")=$J6)
        ),
        5,
        FALSE
    )=0,
    "",
    VLOOKUP(
        $H6,
        _xlfn._xlws.FILTER(
            INDIRECT("'"&amp;L$1&amp;"'!A2:E1000"), (INDIRECT("'"&amp;L$1&amp;"'!B2:B1000")=$I6) * (INDIRECT("'"&amp;L$1&amp;"'!C2:C1000")=$J6)
        ),
        5,
        FALSE
    )
)</f>
        <v>Enviado</v>
      </c>
      <c r="M6" s="20" t="str">
        <f t="array" aca="1" ref="M6" ca="1">IF(
    VLOOKUP(
        $H6,
        _xlfn._xlws.FILTER(
            INDIRECT("'"&amp;M$1&amp;"'!A2:E1000"), (INDIRECT("'"&amp;M$1&amp;"'!B2:B1000")=$I6) * (INDIRECT("'"&amp;M$1&amp;"'!C2:C1000")=$J6)
        ),
        5,
        FALSE
    )=0,
    "",
    VLOOKUP(
        $H6,
        _xlfn._xlws.FILTER(
            INDIRECT("'"&amp;M$1&amp;"'!A2:E1000"), (INDIRECT("'"&amp;M$1&amp;"'!B2:B1000")=$I6) * (INDIRECT("'"&amp;M$1&amp;"'!C2:C1000")=$J6)
        ),
        5,
        FALSE
    )
)</f>
        <v>Enviado</v>
      </c>
    </row>
    <row r="7" spans="1:13">
      <c r="A7" s="19" t="s">
        <v>26</v>
      </c>
      <c r="B7" s="31" t="s">
        <v>38</v>
      </c>
      <c r="C7" s="31">
        <v>1</v>
      </c>
      <c r="D7" s="20" t="str">
        <f t="array" aca="1" ref="D7" ca="1">IF(
    VLOOKUP(
        $A7,
        _xlfn._xlws.FILTER(
            INDIRECT("'"&amp;D$1&amp;"'!A2:E1000"), (INDIRECT("'"&amp;D$1&amp;"'!B2:B1000")=$B7) * (INDIRECT("'"&amp;D$1&amp;"'!C2:C1000")=$C7)
        ),
        5,
        FALSE
    )=0,
    "",
    VLOOKUP(
        $A7,
        _xlfn._xlws.FILTER(
            INDIRECT("'"&amp;D$1&amp;"'!A2:E1000"), (INDIRECT("'"&amp;D$1&amp;"'!B2:B1000")=$B7) * (INDIRECT("'"&amp;D$1&amp;"'!C2:C1000")=$C7)
        ),
        5,
        FALSE
    )
)</f>
        <v>Atrasado</v>
      </c>
      <c r="E7" s="20" t="str">
        <f t="array" aca="1" ref="E7" ca="1">IF(
    VLOOKUP(
        $A7,
        _xlfn._xlws.FILTER(
            INDIRECT("'"&amp;E$1&amp;"'!A2:E1000"), (INDIRECT("'"&amp;E$1&amp;"'!B2:B1000")=$B7) * (INDIRECT("'"&amp;E$1&amp;"'!C2:C1000")=$C7)
        ),
        5,
        FALSE
    )=0,
    "",
    VLOOKUP(
        $A7,
        _xlfn._xlws.FILTER(
            INDIRECT("'"&amp;E$1&amp;"'!A2:E1000"), (INDIRECT("'"&amp;E$1&amp;"'!B2:B1000")=$B7) * (INDIRECT("'"&amp;E$1&amp;"'!C2:C1000")=$C7)
        ),
        5,
        FALSE
    )
)</f>
        <v>Atrasado</v>
      </c>
      <c r="F7" s="20" t="str">
        <f t="array" aca="1" ref="F7" ca="1">IF(
    VLOOKUP(
        $A7,
        _xlfn._xlws.FILTER(
            INDIRECT("'"&amp;F$1&amp;"'!A2:E1000"), (INDIRECT("'"&amp;F$1&amp;"'!B2:B1000")=$B7) * (INDIRECT("'"&amp;F$1&amp;"'!C2:C1000")=$C7)
        ),
        5,
        FALSE
    )=0,
    "",
    VLOOKUP(
        $A7,
        _xlfn._xlws.FILTER(
            INDIRECT("'"&amp;F$1&amp;"'!A2:E1000"), (INDIRECT("'"&amp;F$1&amp;"'!B2:B1000")=$B7) * (INDIRECT("'"&amp;F$1&amp;"'!C2:C1000")=$C7)
        ),
        5,
        FALSE
    )
)</f>
        <v>Atrasado</v>
      </c>
      <c r="H7" s="36" t="s">
        <v>28</v>
      </c>
      <c r="I7" s="37" t="s">
        <v>33</v>
      </c>
      <c r="J7" s="37">
        <v>6</v>
      </c>
      <c r="K7" s="20" t="str">
        <f t="array" aca="1" ref="K7" ca="1">IF(
    VLOOKUP(
        $H7,
        _xlfn._xlws.FILTER(
            INDIRECT("'"&amp;K$1&amp;"'!A2:E1000"), (INDIRECT("'"&amp;K$1&amp;"'!B2:B1000")=$I7) * (INDIRECT("'"&amp;K$1&amp;"'!C2:C1000")=$J7)
        ),
        5,
        FALSE
    )=0,
    "",
    VLOOKUP(
        $H7,
        _xlfn._xlws.FILTER(
            INDIRECT("'"&amp;K$1&amp;"'!A2:E1000"), (INDIRECT("'"&amp;K$1&amp;"'!B2:B1000")=$I7) * (INDIRECT("'"&amp;K$1&amp;"'!C2:C1000")=$J7)
        ),
        5,
        FALSE
    )
)</f>
        <v>Enviado</v>
      </c>
      <c r="L7" s="20" t="str">
        <f t="array" aca="1" ref="L7" ca="1">IF(
    VLOOKUP(
        $H7,
        _xlfn._xlws.FILTER(
            INDIRECT("'"&amp;L$1&amp;"'!A2:E1000"), (INDIRECT("'"&amp;L$1&amp;"'!B2:B1000")=$I7) * (INDIRECT("'"&amp;L$1&amp;"'!C2:C1000")=$J7)
        ),
        5,
        FALSE
    )=0,
    "",
    VLOOKUP(
        $H7,
        _xlfn._xlws.FILTER(
            INDIRECT("'"&amp;L$1&amp;"'!A2:E1000"), (INDIRECT("'"&amp;L$1&amp;"'!B2:B1000")=$I7) * (INDIRECT("'"&amp;L$1&amp;"'!C2:C1000")=$J7)
        ),
        5,
        FALSE
    )
)</f>
        <v>Enviado</v>
      </c>
      <c r="M7" s="20" t="str">
        <f t="array" aca="1" ref="M7" ca="1">IF(
    VLOOKUP(
        $H7,
        _xlfn._xlws.FILTER(
            INDIRECT("'"&amp;M$1&amp;"'!A2:E1000"), (INDIRECT("'"&amp;M$1&amp;"'!B2:B1000")=$I7) * (INDIRECT("'"&amp;M$1&amp;"'!C2:C1000")=$J7)
        ),
        5,
        FALSE
    )=0,
    "",
    VLOOKUP(
        $H7,
        _xlfn._xlws.FILTER(
            INDIRECT("'"&amp;M$1&amp;"'!A2:E1000"), (INDIRECT("'"&amp;M$1&amp;"'!B2:B1000")=$I7) * (INDIRECT("'"&amp;M$1&amp;"'!C2:C1000")=$J7)
        ),
        5,
        FALSE
    )
)</f>
        <v>Enviado</v>
      </c>
    </row>
    <row r="8" spans="1:13">
      <c r="A8" s="19" t="s">
        <v>26</v>
      </c>
      <c r="B8" s="31" t="s">
        <v>39</v>
      </c>
      <c r="C8" s="31">
        <v>1</v>
      </c>
      <c r="D8" s="20" t="str">
        <f t="array" aca="1" ref="D8" ca="1">IF(
    VLOOKUP(
        $A8,
        _xlfn._xlws.FILTER(
            INDIRECT("'"&amp;D$1&amp;"'!A2:E1000"), (INDIRECT("'"&amp;D$1&amp;"'!B2:B1000")=$B8) * (INDIRECT("'"&amp;D$1&amp;"'!C2:C1000")=$C8)
        ),
        5,
        FALSE
    )=0,
    "",
    VLOOKUP(
        $A8,
        _xlfn._xlws.FILTER(
            INDIRECT("'"&amp;D$1&amp;"'!A2:E1000"), (INDIRECT("'"&amp;D$1&amp;"'!B2:B1000")=$B8) * (INDIRECT("'"&amp;D$1&amp;"'!C2:C1000")=$C8)
        ),
        5,
        FALSE
    )
)</f>
        <v>Atrasado</v>
      </c>
      <c r="E8" s="20" t="str">
        <f t="array" aca="1" ref="E8" ca="1">IF(
    VLOOKUP(
        $A8,
        _xlfn._xlws.FILTER(
            INDIRECT("'"&amp;E$1&amp;"'!A2:E1000"), (INDIRECT("'"&amp;E$1&amp;"'!B2:B1000")=$B8) * (INDIRECT("'"&amp;E$1&amp;"'!C2:C1000")=$C8)
        ),
        5,
        FALSE
    )=0,
    "",
    VLOOKUP(
        $A8,
        _xlfn._xlws.FILTER(
            INDIRECT("'"&amp;E$1&amp;"'!A2:E1000"), (INDIRECT("'"&amp;E$1&amp;"'!B2:B1000")=$B8) * (INDIRECT("'"&amp;E$1&amp;"'!C2:C1000")=$C8)
        ),
        5,
        FALSE
    )
)</f>
        <v>Atrasado</v>
      </c>
      <c r="F8" s="20" t="str">
        <f t="array" aca="1" ref="F8" ca="1">IF(
    VLOOKUP(
        $A8,
        _xlfn._xlws.FILTER(
            INDIRECT("'"&amp;F$1&amp;"'!A2:E1000"), (INDIRECT("'"&amp;F$1&amp;"'!B2:B1000")=$B8) * (INDIRECT("'"&amp;F$1&amp;"'!C2:C1000")=$C8)
        ),
        5,
        FALSE
    )=0,
    "",
    VLOOKUP(
        $A8,
        _xlfn._xlws.FILTER(
            INDIRECT("'"&amp;F$1&amp;"'!A2:E1000"), (INDIRECT("'"&amp;F$1&amp;"'!B2:B1000")=$B8) * (INDIRECT("'"&amp;F$1&amp;"'!C2:C1000")=$C8)
        ),
        5,
        FALSE
    )
)</f>
        <v>Atrasado</v>
      </c>
      <c r="H8" s="36" t="s">
        <v>28</v>
      </c>
      <c r="I8" s="37" t="s">
        <v>33</v>
      </c>
      <c r="J8" s="37">
        <v>7</v>
      </c>
      <c r="K8" s="20" t="str">
        <f t="array" aca="1" ref="K8" ca="1">IF(
    VLOOKUP(
        $H8,
        _xlfn._xlws.FILTER(
            INDIRECT("'"&amp;K$1&amp;"'!A2:E1000"), (INDIRECT("'"&amp;K$1&amp;"'!B2:B1000")=$I8) * (INDIRECT("'"&amp;K$1&amp;"'!C2:C1000")=$J8)
        ),
        5,
        FALSE
    )=0,
    "",
    VLOOKUP(
        $H8,
        _xlfn._xlws.FILTER(
            INDIRECT("'"&amp;K$1&amp;"'!A2:E1000"), (INDIRECT("'"&amp;K$1&amp;"'!B2:B1000")=$I8) * (INDIRECT("'"&amp;K$1&amp;"'!C2:C1000")=$J8)
        ),
        5,
        FALSE
    )
)</f>
        <v>Enviado</v>
      </c>
      <c r="L8" s="20" t="str">
        <f t="array" aca="1" ref="L8" ca="1">IF(
    VLOOKUP(
        $H8,
        _xlfn._xlws.FILTER(
            INDIRECT("'"&amp;L$1&amp;"'!A2:E1000"), (INDIRECT("'"&amp;L$1&amp;"'!B2:B1000")=$I8) * (INDIRECT("'"&amp;L$1&amp;"'!C2:C1000")=$J8)
        ),
        5,
        FALSE
    )=0,
    "",
    VLOOKUP(
        $H8,
        _xlfn._xlws.FILTER(
            INDIRECT("'"&amp;L$1&amp;"'!A2:E1000"), (INDIRECT("'"&amp;L$1&amp;"'!B2:B1000")=$I8) * (INDIRECT("'"&amp;L$1&amp;"'!C2:C1000")=$J8)
        ),
        5,
        FALSE
    )
)</f>
        <v>Enviado</v>
      </c>
      <c r="M8" s="20" t="str">
        <f t="array" aca="1" ref="M8" ca="1">IF(
    VLOOKUP(
        $H8,
        _xlfn._xlws.FILTER(
            INDIRECT("'"&amp;M$1&amp;"'!A2:E1000"), (INDIRECT("'"&amp;M$1&amp;"'!B2:B1000")=$I8) * (INDIRECT("'"&amp;M$1&amp;"'!C2:C1000")=$J8)
        ),
        5,
        FALSE
    )=0,
    "",
    VLOOKUP(
        $H8,
        _xlfn._xlws.FILTER(
            INDIRECT("'"&amp;M$1&amp;"'!A2:E1000"), (INDIRECT("'"&amp;M$1&amp;"'!B2:B1000")=$I8) * (INDIRECT("'"&amp;M$1&amp;"'!C2:C1000")=$J8)
        ),
        5,
        FALSE
    )
)</f>
        <v>Enviado</v>
      </c>
    </row>
    <row r="9" spans="1:13">
      <c r="A9" s="19" t="s">
        <v>26</v>
      </c>
      <c r="B9" s="31" t="s">
        <v>40</v>
      </c>
      <c r="C9" s="31">
        <v>1</v>
      </c>
      <c r="D9" s="20" t="str">
        <f t="array" aca="1" ref="D9" ca="1">IF(
    VLOOKUP(
        $A9,
        _xlfn._xlws.FILTER(
            INDIRECT("'"&amp;D$1&amp;"'!A2:E1000"), (INDIRECT("'"&amp;D$1&amp;"'!B2:B1000")=$B9) * (INDIRECT("'"&amp;D$1&amp;"'!C2:C1000")=$C9)
        ),
        5,
        FALSE
    )=0,
    "",
    VLOOKUP(
        $A9,
        _xlfn._xlws.FILTER(
            INDIRECT("'"&amp;D$1&amp;"'!A2:E1000"), (INDIRECT("'"&amp;D$1&amp;"'!B2:B1000")=$B9) * (INDIRECT("'"&amp;D$1&amp;"'!C2:C1000")=$C9)
        ),
        5,
        FALSE
    )
)</f>
        <v>Enviado</v>
      </c>
      <c r="E9" s="20" t="str">
        <f t="array" aca="1" ref="E9" ca="1">IF(
    VLOOKUP(
        $A9,
        _xlfn._xlws.FILTER(
            INDIRECT("'"&amp;E$1&amp;"'!A2:E1000"), (INDIRECT("'"&amp;E$1&amp;"'!B2:B1000")=$B9) * (INDIRECT("'"&amp;E$1&amp;"'!C2:C1000")=$C9)
        ),
        5,
        FALSE
    )=0,
    "",
    VLOOKUP(
        $A9,
        _xlfn._xlws.FILTER(
            INDIRECT("'"&amp;E$1&amp;"'!A2:E1000"), (INDIRECT("'"&amp;E$1&amp;"'!B2:B1000")=$B9) * (INDIRECT("'"&amp;E$1&amp;"'!C2:C1000")=$C9)
        ),
        5,
        FALSE
    )
)</f>
        <v>Duplicado</v>
      </c>
      <c r="F9" s="20" t="str">
        <f t="array" aca="1" ref="F9" ca="1">IF(
    VLOOKUP(
        $A9,
        _xlfn._xlws.FILTER(
            INDIRECT("'"&amp;F$1&amp;"'!A2:E1000"), (INDIRECT("'"&amp;F$1&amp;"'!B2:B1000")=$B9) * (INDIRECT("'"&amp;F$1&amp;"'!C2:C1000")=$C9)
        ),
        5,
        FALSE
    )=0,
    "",
    VLOOKUP(
        $A9,
        _xlfn._xlws.FILTER(
            INDIRECT("'"&amp;F$1&amp;"'!A2:E1000"), (INDIRECT("'"&amp;F$1&amp;"'!B2:B1000")=$B9) * (INDIRECT("'"&amp;F$1&amp;"'!C2:C1000")=$C9)
        ),
        5,
        FALSE
    )
)</f>
        <v>Enviado</v>
      </c>
      <c r="H9" s="36" t="s">
        <v>28</v>
      </c>
      <c r="I9" s="37" t="s">
        <v>33</v>
      </c>
      <c r="J9" s="37">
        <v>8</v>
      </c>
      <c r="K9" s="20" t="str">
        <f t="array" aca="1" ref="K9" ca="1">IF(
    VLOOKUP(
        $H9,
        _xlfn._xlws.FILTER(
            INDIRECT("'"&amp;K$1&amp;"'!A2:E1000"), (INDIRECT("'"&amp;K$1&amp;"'!B2:B1000")=$I9) * (INDIRECT("'"&amp;K$1&amp;"'!C2:C1000")=$J9)
        ),
        5,
        FALSE
    )=0,
    "",
    VLOOKUP(
        $H9,
        _xlfn._xlws.FILTER(
            INDIRECT("'"&amp;K$1&amp;"'!A2:E1000"), (INDIRECT("'"&amp;K$1&amp;"'!B2:B1000")=$I9) * (INDIRECT("'"&amp;K$1&amp;"'!C2:C1000")=$J9)
        ),
        5,
        FALSE
    )
)</f>
        <v>Enviado</v>
      </c>
      <c r="L9" s="20" t="str">
        <f t="array" aca="1" ref="L9" ca="1">IF(
    VLOOKUP(
        $H9,
        _xlfn._xlws.FILTER(
            INDIRECT("'"&amp;L$1&amp;"'!A2:E1000"), (INDIRECT("'"&amp;L$1&amp;"'!B2:B1000")=$I9) * (INDIRECT("'"&amp;L$1&amp;"'!C2:C1000")=$J9)
        ),
        5,
        FALSE
    )=0,
    "",
    VLOOKUP(
        $H9,
        _xlfn._xlws.FILTER(
            INDIRECT("'"&amp;L$1&amp;"'!A2:E1000"), (INDIRECT("'"&amp;L$1&amp;"'!B2:B1000")=$I9) * (INDIRECT("'"&amp;L$1&amp;"'!C2:C1000")=$J9)
        ),
        5,
        FALSE
    )
)</f>
        <v>Enviado</v>
      </c>
      <c r="M9" s="20" t="str">
        <f t="array" aca="1" ref="M9" ca="1">IF(
    VLOOKUP(
        $H9,
        _xlfn._xlws.FILTER(
            INDIRECT("'"&amp;M$1&amp;"'!A2:E1000"), (INDIRECT("'"&amp;M$1&amp;"'!B2:B1000")=$I9) * (INDIRECT("'"&amp;M$1&amp;"'!C2:C1000")=$J9)
        ),
        5,
        FALSE
    )=0,
    "",
    VLOOKUP(
        $H9,
        _xlfn._xlws.FILTER(
            INDIRECT("'"&amp;M$1&amp;"'!A2:E1000"), (INDIRECT("'"&amp;M$1&amp;"'!B2:B1000")=$I9) * (INDIRECT("'"&amp;M$1&amp;"'!C2:C1000")=$J9)
        ),
        5,
        FALSE
    )
)</f>
        <v>Enviado</v>
      </c>
    </row>
    <row r="10" spans="1:13">
      <c r="A10" s="19" t="s">
        <v>26</v>
      </c>
      <c r="B10" s="31" t="s">
        <v>41</v>
      </c>
      <c r="C10" s="31">
        <v>1</v>
      </c>
      <c r="D10" s="20" t="str">
        <f t="array" aca="1" ref="D10" ca="1">IF(
    VLOOKUP(
        $A10,
        _xlfn._xlws.FILTER(
            INDIRECT("'"&amp;D$1&amp;"'!A2:E1000"), (INDIRECT("'"&amp;D$1&amp;"'!B2:B1000")=$B10) * (INDIRECT("'"&amp;D$1&amp;"'!C2:C1000")=$C10)
        ),
        5,
        FALSE
    )=0,
    "",
    VLOOKUP(
        $A10,
        _xlfn._xlws.FILTER(
            INDIRECT("'"&amp;D$1&amp;"'!A2:E1000"), (INDIRECT("'"&amp;D$1&amp;"'!B2:B1000")=$B10) * (INDIRECT("'"&amp;D$1&amp;"'!C2:C1000")=$C10)
        ),
        5,
        FALSE
    )
)</f>
        <v>Enviado</v>
      </c>
      <c r="E10" s="20" t="str">
        <f t="array" aca="1" ref="E10" ca="1">IF(
    VLOOKUP(
        $A10,
        _xlfn._xlws.FILTER(
            INDIRECT("'"&amp;E$1&amp;"'!A2:E1000"), (INDIRECT("'"&amp;E$1&amp;"'!B2:B1000")=$B10) * (INDIRECT("'"&amp;E$1&amp;"'!C2:C1000")=$C10)
        ),
        5,
        FALSE
    )=0,
    "",
    VLOOKUP(
        $A10,
        _xlfn._xlws.FILTER(
            INDIRECT("'"&amp;E$1&amp;"'!A2:E1000"), (INDIRECT("'"&amp;E$1&amp;"'!B2:B1000")=$B10) * (INDIRECT("'"&amp;E$1&amp;"'!C2:C1000")=$C10)
        ),
        5,
        FALSE
    )
)</f>
        <v>Enviado</v>
      </c>
      <c r="F10" s="20" t="str">
        <f t="array" aca="1" ref="F10" ca="1">IF(
    VLOOKUP(
        $A10,
        _xlfn._xlws.FILTER(
            INDIRECT("'"&amp;F$1&amp;"'!A2:E1000"), (INDIRECT("'"&amp;F$1&amp;"'!B2:B1000")=$B10) * (INDIRECT("'"&amp;F$1&amp;"'!C2:C1000")=$C10)
        ),
        5,
        FALSE
    )=0,
    "",
    VLOOKUP(
        $A10,
        _xlfn._xlws.FILTER(
            INDIRECT("'"&amp;F$1&amp;"'!A2:E1000"), (INDIRECT("'"&amp;F$1&amp;"'!B2:B1000")=$B10) * (INDIRECT("'"&amp;F$1&amp;"'!C2:C1000")=$C10)
        ),
        5,
        FALSE
    )
)</f>
        <v>Enviado</v>
      </c>
      <c r="H10" s="36" t="s">
        <v>28</v>
      </c>
      <c r="I10" s="37" t="s">
        <v>33</v>
      </c>
      <c r="J10" s="37">
        <v>9</v>
      </c>
      <c r="K10" s="20" t="str">
        <f t="array" aca="1" ref="K10" ca="1">IF(
    VLOOKUP(
        $H10,
        _xlfn._xlws.FILTER(
            INDIRECT("'"&amp;K$1&amp;"'!A2:E1000"), (INDIRECT("'"&amp;K$1&amp;"'!B2:B1000")=$I10) * (INDIRECT("'"&amp;K$1&amp;"'!C2:C1000")=$J10)
        ),
        5,
        FALSE
    )=0,
    "",
    VLOOKUP(
        $H10,
        _xlfn._xlws.FILTER(
            INDIRECT("'"&amp;K$1&amp;"'!A2:E1000"), (INDIRECT("'"&amp;K$1&amp;"'!B2:B1000")=$I10) * (INDIRECT("'"&amp;K$1&amp;"'!C2:C1000")=$J10)
        ),
        5,
        FALSE
    )
)</f>
        <v>Enviado</v>
      </c>
      <c r="L10" s="20" t="str">
        <f t="array" aca="1" ref="L10" ca="1">IF(
    VLOOKUP(
        $H10,
        _xlfn._xlws.FILTER(
            INDIRECT("'"&amp;L$1&amp;"'!A2:E1000"), (INDIRECT("'"&amp;L$1&amp;"'!B2:B1000")=$I10) * (INDIRECT("'"&amp;L$1&amp;"'!C2:C1000")=$J10)
        ),
        5,
        FALSE
    )=0,
    "",
    VLOOKUP(
        $H10,
        _xlfn._xlws.FILTER(
            INDIRECT("'"&amp;L$1&amp;"'!A2:E1000"), (INDIRECT("'"&amp;L$1&amp;"'!B2:B1000")=$I10) * (INDIRECT("'"&amp;L$1&amp;"'!C2:C1000")=$J10)
        ),
        5,
        FALSE
    )
)</f>
        <v>Enviado</v>
      </c>
      <c r="M10" s="20" t="str">
        <f t="array" aca="1" ref="M10" ca="1">IF(
    VLOOKUP(
        $H10,
        _xlfn._xlws.FILTER(
            INDIRECT("'"&amp;M$1&amp;"'!A2:E1000"), (INDIRECT("'"&amp;M$1&amp;"'!B2:B1000")=$I10) * (INDIRECT("'"&amp;M$1&amp;"'!C2:C1000")=$J10)
        ),
        5,
        FALSE
    )=0,
    "",
    VLOOKUP(
        $H10,
        _xlfn._xlws.FILTER(
            INDIRECT("'"&amp;M$1&amp;"'!A2:E1000"), (INDIRECT("'"&amp;M$1&amp;"'!B2:B1000")=$I10) * (INDIRECT("'"&amp;M$1&amp;"'!C2:C1000")=$J10)
        ),
        5,
        FALSE
    )
)</f>
        <v>Enviado</v>
      </c>
    </row>
    <row r="11" spans="1:13">
      <c r="A11" s="19" t="s">
        <v>26</v>
      </c>
      <c r="B11" s="31" t="s">
        <v>42</v>
      </c>
      <c r="C11" s="31">
        <v>1</v>
      </c>
      <c r="D11" s="20" t="str">
        <f t="array" aca="1" ref="D11" ca="1">IF(
    VLOOKUP(
        $A11,
        _xlfn._xlws.FILTER(
            INDIRECT("'"&amp;D$1&amp;"'!A2:E1000"), (INDIRECT("'"&amp;D$1&amp;"'!B2:B1000")=$B11) * (INDIRECT("'"&amp;D$1&amp;"'!C2:C1000")=$C11)
        ),
        5,
        FALSE
    )=0,
    "",
    VLOOKUP(
        $A11,
        _xlfn._xlws.FILTER(
            INDIRECT("'"&amp;D$1&amp;"'!A2:E1000"), (INDIRECT("'"&amp;D$1&amp;"'!B2:B1000")=$B11) * (INDIRECT("'"&amp;D$1&amp;"'!C2:C1000")=$C11)
        ),
        5,
        FALSE
    )
)</f>
        <v>Enviado</v>
      </c>
      <c r="E11" s="20" t="str">
        <f t="array" aca="1" ref="E11" ca="1">IF(
    VLOOKUP(
        $A11,
        _xlfn._xlws.FILTER(
            INDIRECT("'"&amp;E$1&amp;"'!A2:E1000"), (INDIRECT("'"&amp;E$1&amp;"'!B2:B1000")=$B11) * (INDIRECT("'"&amp;E$1&amp;"'!C2:C1000")=$C11)
        ),
        5,
        FALSE
    )=0,
    "",
    VLOOKUP(
        $A11,
        _xlfn._xlws.FILTER(
            INDIRECT("'"&amp;E$1&amp;"'!A2:E1000"), (INDIRECT("'"&amp;E$1&amp;"'!B2:B1000")=$B11) * (INDIRECT("'"&amp;E$1&amp;"'!C2:C1000")=$C11)
        ),
        5,
        FALSE
    )
)</f>
        <v>Enviado</v>
      </c>
      <c r="F11" s="20" t="str">
        <f t="array" aca="1" ref="F11" ca="1">IF(
    VLOOKUP(
        $A11,
        _xlfn._xlws.FILTER(
            INDIRECT("'"&amp;F$1&amp;"'!A2:E1000"), (INDIRECT("'"&amp;F$1&amp;"'!B2:B1000")=$B11) * (INDIRECT("'"&amp;F$1&amp;"'!C2:C1000")=$C11)
        ),
        5,
        FALSE
    )=0,
    "",
    VLOOKUP(
        $A11,
        _xlfn._xlws.FILTER(
            INDIRECT("'"&amp;F$1&amp;"'!A2:E1000"), (INDIRECT("'"&amp;F$1&amp;"'!B2:B1000")=$B11) * (INDIRECT("'"&amp;F$1&amp;"'!C2:C1000")=$C11)
        ),
        5,
        FALSE
    )
)</f>
        <v>Enviado</v>
      </c>
      <c r="H11" s="36" t="s">
        <v>28</v>
      </c>
      <c r="I11" s="37" t="s">
        <v>43</v>
      </c>
      <c r="J11" s="37">
        <v>1</v>
      </c>
      <c r="K11" s="20" t="str">
        <f t="array" aca="1" ref="K11" ca="1">IF(
    VLOOKUP(
        $H11,
        _xlfn._xlws.FILTER(
            INDIRECT("'"&amp;K$1&amp;"'!A2:E1000"), (INDIRECT("'"&amp;K$1&amp;"'!B2:B1000")=$I11) * (INDIRECT("'"&amp;K$1&amp;"'!C2:C1000")=$J11)
        ),
        5,
        FALSE
    )=0,
    "",
    VLOOKUP(
        $H11,
        _xlfn._xlws.FILTER(
            INDIRECT("'"&amp;K$1&amp;"'!A2:E1000"), (INDIRECT("'"&amp;K$1&amp;"'!B2:B1000")=$I11) * (INDIRECT("'"&amp;K$1&amp;"'!C2:C1000")=$J11)
        ),
        5,
        FALSE
    )
)</f>
        <v>Enviado</v>
      </c>
      <c r="L11" s="20" t="str">
        <f t="array" aca="1" ref="L11" ca="1">IF(
    VLOOKUP(
        $H11,
        _xlfn._xlws.FILTER(
            INDIRECT("'"&amp;L$1&amp;"'!A2:E1000"), (INDIRECT("'"&amp;L$1&amp;"'!B2:B1000")=$I11) * (INDIRECT("'"&amp;L$1&amp;"'!C2:C1000")=$J11)
        ),
        5,
        FALSE
    )=0,
    "",
    VLOOKUP(
        $H11,
        _xlfn._xlws.FILTER(
            INDIRECT("'"&amp;L$1&amp;"'!A2:E1000"), (INDIRECT("'"&amp;L$1&amp;"'!B2:B1000")=$I11) * (INDIRECT("'"&amp;L$1&amp;"'!C2:C1000")=$J11)
        ),
        5,
        FALSE
    )
)</f>
        <v>Enviado</v>
      </c>
      <c r="M11" s="20" t="str">
        <f t="array" aca="1" ref="M11" ca="1">IF(
    VLOOKUP(
        $H11,
        _xlfn._xlws.FILTER(
            INDIRECT("'"&amp;M$1&amp;"'!A2:E1000"), (INDIRECT("'"&amp;M$1&amp;"'!B2:B1000")=$I11) * (INDIRECT("'"&amp;M$1&amp;"'!C2:C1000")=$J11)
        ),
        5,
        FALSE
    )=0,
    "",
    VLOOKUP(
        $H11,
        _xlfn._xlws.FILTER(
            INDIRECT("'"&amp;M$1&amp;"'!A2:E1000"), (INDIRECT("'"&amp;M$1&amp;"'!B2:B1000")=$I11) * (INDIRECT("'"&amp;M$1&amp;"'!C2:C1000")=$J11)
        ),
        5,
        FALSE
    )
)</f>
        <v>Enviado</v>
      </c>
    </row>
    <row r="12" spans="1:13">
      <c r="A12" s="19" t="s">
        <v>26</v>
      </c>
      <c r="B12" s="31" t="s">
        <v>44</v>
      </c>
      <c r="C12" s="31">
        <v>1</v>
      </c>
      <c r="D12" s="20" t="str">
        <f t="array" aca="1" ref="D12" ca="1">IF(
    VLOOKUP(
        $A12,
        _xlfn._xlws.FILTER(
            INDIRECT("'"&amp;D$1&amp;"'!A2:E1000"), (INDIRECT("'"&amp;D$1&amp;"'!B2:B1000")=$B12) * (INDIRECT("'"&amp;D$1&amp;"'!C2:C1000")=$C12)
        ),
        5,
        FALSE
    )=0,
    "",
    VLOOKUP(
        $A12,
        _xlfn._xlws.FILTER(
            INDIRECT("'"&amp;D$1&amp;"'!A2:E1000"), (INDIRECT("'"&amp;D$1&amp;"'!B2:B1000")=$B12) * (INDIRECT("'"&amp;D$1&amp;"'!C2:C1000")=$C12)
        ),
        5,
        FALSE
    )
)</f>
        <v>Enviado</v>
      </c>
      <c r="E12" s="20" t="str">
        <f t="array" aca="1" ref="E12" ca="1">IF(
    VLOOKUP(
        $A12,
        _xlfn._xlws.FILTER(
            INDIRECT("'"&amp;E$1&amp;"'!A2:E1000"), (INDIRECT("'"&amp;E$1&amp;"'!B2:B1000")=$B12) * (INDIRECT("'"&amp;E$1&amp;"'!C2:C1000")=$C12)
        ),
        5,
        FALSE
    )=0,
    "",
    VLOOKUP(
        $A12,
        _xlfn._xlws.FILTER(
            INDIRECT("'"&amp;E$1&amp;"'!A2:E1000"), (INDIRECT("'"&amp;E$1&amp;"'!B2:B1000")=$B12) * (INDIRECT("'"&amp;E$1&amp;"'!C2:C1000")=$C12)
        ),
        5,
        FALSE
    )
)</f>
        <v>Enviado</v>
      </c>
      <c r="F12" s="20" t="str">
        <f t="array" aca="1" ref="F12" ca="1">IF(
    VLOOKUP(
        $A12,
        _xlfn._xlws.FILTER(
            INDIRECT("'"&amp;F$1&amp;"'!A2:E1000"), (INDIRECT("'"&amp;F$1&amp;"'!B2:B1000")=$B12) * (INDIRECT("'"&amp;F$1&amp;"'!C2:C1000")=$C12)
        ),
        5,
        FALSE
    )=0,
    "",
    VLOOKUP(
        $A12,
        _xlfn._xlws.FILTER(
            INDIRECT("'"&amp;F$1&amp;"'!A2:E1000"), (INDIRECT("'"&amp;F$1&amp;"'!B2:B1000")=$B12) * (INDIRECT("'"&amp;F$1&amp;"'!C2:C1000")=$C12)
        ),
        5,
        FALSE
    )
)</f>
        <v>Enviado</v>
      </c>
      <c r="H12" s="36" t="s">
        <v>28</v>
      </c>
      <c r="I12" s="37" t="s">
        <v>45</v>
      </c>
      <c r="J12" s="37">
        <v>1</v>
      </c>
      <c r="K12" s="20" t="str">
        <f t="array" aca="1" ref="K12" ca="1">IF(
    VLOOKUP(
        $H12,
        _xlfn._xlws.FILTER(
            INDIRECT("'"&amp;K$1&amp;"'!A2:E1000"), (INDIRECT("'"&amp;K$1&amp;"'!B2:B1000")=$I12) * (INDIRECT("'"&amp;K$1&amp;"'!C2:C1000")=$J12)
        ),
        5,
        FALSE
    )=0,
    "",
    VLOOKUP(
        $H12,
        _xlfn._xlws.FILTER(
            INDIRECT("'"&amp;K$1&amp;"'!A2:E1000"), (INDIRECT("'"&amp;K$1&amp;"'!B2:B1000")=$I12) * (INDIRECT("'"&amp;K$1&amp;"'!C2:C1000")=$J12)
        ),
        5,
        FALSE
    )
)</f>
        <v>Enviado</v>
      </c>
      <c r="L12" s="20" t="str">
        <f t="array" aca="1" ref="L12" ca="1">IF(
    VLOOKUP(
        $H12,
        _xlfn._xlws.FILTER(
            INDIRECT("'"&amp;L$1&amp;"'!A2:E1000"), (INDIRECT("'"&amp;L$1&amp;"'!B2:B1000")=$I12) * (INDIRECT("'"&amp;L$1&amp;"'!C2:C1000")=$J12)
        ),
        5,
        FALSE
    )=0,
    "",
    VLOOKUP(
        $H12,
        _xlfn._xlws.FILTER(
            INDIRECT("'"&amp;L$1&amp;"'!A2:E1000"), (INDIRECT("'"&amp;L$1&amp;"'!B2:B1000")=$I12) * (INDIRECT("'"&amp;L$1&amp;"'!C2:C1000")=$J12)
        ),
        5,
        FALSE
    )
)</f>
        <v>Enviado</v>
      </c>
      <c r="M12" s="20" t="str">
        <f t="array" aca="1" ref="M12" ca="1">IF(
    VLOOKUP(
        $H12,
        _xlfn._xlws.FILTER(
            INDIRECT("'"&amp;M$1&amp;"'!A2:E1000"), (INDIRECT("'"&amp;M$1&amp;"'!B2:B1000")=$I12) * (INDIRECT("'"&amp;M$1&amp;"'!C2:C1000")=$J12)
        ),
        5,
        FALSE
    )=0,
    "",
    VLOOKUP(
        $H12,
        _xlfn._xlws.FILTER(
            INDIRECT("'"&amp;M$1&amp;"'!A2:E1000"), (INDIRECT("'"&amp;M$1&amp;"'!B2:B1000")=$I12) * (INDIRECT("'"&amp;M$1&amp;"'!C2:C1000")=$J12)
        ),
        5,
        FALSE
    )
)</f>
        <v>Enviado</v>
      </c>
    </row>
    <row r="13" spans="1:13">
      <c r="A13" s="19" t="s">
        <v>26</v>
      </c>
      <c r="B13" s="31" t="s">
        <v>46</v>
      </c>
      <c r="C13" s="31">
        <v>1</v>
      </c>
      <c r="D13" s="20" t="str">
        <f t="array" aca="1" ref="D13" ca="1">IF(
    VLOOKUP(
        $A13,
        _xlfn._xlws.FILTER(
            INDIRECT("'"&amp;D$1&amp;"'!A2:E1000"), (INDIRECT("'"&amp;D$1&amp;"'!B2:B1000")=$B13) * (INDIRECT("'"&amp;D$1&amp;"'!C2:C1000")=$C13)
        ),
        5,
        FALSE
    )=0,
    "",
    VLOOKUP(
        $A13,
        _xlfn._xlws.FILTER(
            INDIRECT("'"&amp;D$1&amp;"'!A2:E1000"), (INDIRECT("'"&amp;D$1&amp;"'!B2:B1000")=$B13) * (INDIRECT("'"&amp;D$1&amp;"'!C2:C1000")=$C13)
        ),
        5,
        FALSE
    )
)</f>
        <v>Enviado</v>
      </c>
      <c r="E13" s="20" t="str">
        <f t="array" aca="1" ref="E13" ca="1">IF(
    VLOOKUP(
        $A13,
        _xlfn._xlws.FILTER(
            INDIRECT("'"&amp;E$1&amp;"'!A2:E1000"), (INDIRECT("'"&amp;E$1&amp;"'!B2:B1000")=$B13) * (INDIRECT("'"&amp;E$1&amp;"'!C2:C1000")=$C13)
        ),
        5,
        FALSE
    )=0,
    "",
    VLOOKUP(
        $A13,
        _xlfn._xlws.FILTER(
            INDIRECT("'"&amp;E$1&amp;"'!A2:E1000"), (INDIRECT("'"&amp;E$1&amp;"'!B2:B1000")=$B13) * (INDIRECT("'"&amp;E$1&amp;"'!C2:C1000")=$C13)
        ),
        5,
        FALSE
    )
)</f>
        <v>Enviado</v>
      </c>
      <c r="F13" s="20" t="str">
        <f t="array" aca="1" ref="F13" ca="1">IF(
    VLOOKUP(
        $A13,
        _xlfn._xlws.FILTER(
            INDIRECT("'"&amp;F$1&amp;"'!A2:E1000"), (INDIRECT("'"&amp;F$1&amp;"'!B2:B1000")=$B13) * (INDIRECT("'"&amp;F$1&amp;"'!C2:C1000")=$C13)
        ),
        5,
        FALSE
    )=0,
    "",
    VLOOKUP(
        $A13,
        _xlfn._xlws.FILTER(
            INDIRECT("'"&amp;F$1&amp;"'!A2:E1000"), (INDIRECT("'"&amp;F$1&amp;"'!B2:B1000")=$B13) * (INDIRECT("'"&amp;F$1&amp;"'!C2:C1000")=$C13)
        ),
        5,
        FALSE
    )
)</f>
        <v>Enviado</v>
      </c>
      <c r="H13" s="36" t="s">
        <v>28</v>
      </c>
      <c r="I13" s="37" t="s">
        <v>47</v>
      </c>
      <c r="J13" s="37">
        <v>1</v>
      </c>
      <c r="K13" s="20" t="str">
        <f t="array" aca="1" ref="K13" ca="1">IF(
    VLOOKUP(
        $H13,
        _xlfn._xlws.FILTER(
            INDIRECT("'"&amp;K$1&amp;"'!A2:E1000"), (INDIRECT("'"&amp;K$1&amp;"'!B2:B1000")=$I13) * (INDIRECT("'"&amp;K$1&amp;"'!C2:C1000")=$J13)
        ),
        5,
        FALSE
    )=0,
    "",
    VLOOKUP(
        $H13,
        _xlfn._xlws.FILTER(
            INDIRECT("'"&amp;K$1&amp;"'!A2:E1000"), (INDIRECT("'"&amp;K$1&amp;"'!B2:B1000")=$I13) * (INDIRECT("'"&amp;K$1&amp;"'!C2:C1000")=$J13)
        ),
        5,
        FALSE
    )
)</f>
        <v>Enviado</v>
      </c>
      <c r="L13" s="20" t="str">
        <f t="array" aca="1" ref="L13" ca="1">IF(
    VLOOKUP(
        $H13,
        _xlfn._xlws.FILTER(
            INDIRECT("'"&amp;L$1&amp;"'!A2:E1000"), (INDIRECT("'"&amp;L$1&amp;"'!B2:B1000")=$I13) * (INDIRECT("'"&amp;L$1&amp;"'!C2:C1000")=$J13)
        ),
        5,
        FALSE
    )=0,
    "",
    VLOOKUP(
        $H13,
        _xlfn._xlws.FILTER(
            INDIRECT("'"&amp;L$1&amp;"'!A2:E1000"), (INDIRECT("'"&amp;L$1&amp;"'!B2:B1000")=$I13) * (INDIRECT("'"&amp;L$1&amp;"'!C2:C1000")=$J13)
        ),
        5,
        FALSE
    )
)</f>
        <v>Enviado</v>
      </c>
      <c r="M13" s="20" t="str">
        <f t="array" aca="1" ref="M13" ca="1">IF(
    VLOOKUP(
        $H13,
        _xlfn._xlws.FILTER(
            INDIRECT("'"&amp;M$1&amp;"'!A2:E1000"), (INDIRECT("'"&amp;M$1&amp;"'!B2:B1000")=$I13) * (INDIRECT("'"&amp;M$1&amp;"'!C2:C1000")=$J13)
        ),
        5,
        FALSE
    )=0,
    "",
    VLOOKUP(
        $H13,
        _xlfn._xlws.FILTER(
            INDIRECT("'"&amp;M$1&amp;"'!A2:E1000"), (INDIRECT("'"&amp;M$1&amp;"'!B2:B1000")=$I13) * (INDIRECT("'"&amp;M$1&amp;"'!C2:C1000")=$J13)
        ),
        5,
        FALSE
    )
)</f>
        <v>Enviado</v>
      </c>
    </row>
    <row r="14" spans="1:13">
      <c r="A14" s="19" t="s">
        <v>26</v>
      </c>
      <c r="B14" s="31" t="s">
        <v>48</v>
      </c>
      <c r="C14" s="31">
        <v>1</v>
      </c>
      <c r="D14" s="20" t="str">
        <f t="array" aca="1" ref="D14" ca="1">IF(
    VLOOKUP(
        $A14,
        _xlfn._xlws.FILTER(
            INDIRECT("'"&amp;D$1&amp;"'!A2:E1000"), (INDIRECT("'"&amp;D$1&amp;"'!B2:B1000")=$B14) * (INDIRECT("'"&amp;D$1&amp;"'!C2:C1000")=$C14)
        ),
        5,
        FALSE
    )=0,
    "",
    VLOOKUP(
        $A14,
        _xlfn._xlws.FILTER(
            INDIRECT("'"&amp;D$1&amp;"'!A2:E1000"), (INDIRECT("'"&amp;D$1&amp;"'!B2:B1000")=$B14) * (INDIRECT("'"&amp;D$1&amp;"'!C2:C1000")=$C14)
        ),
        5,
        FALSE
    )
)</f>
        <v>Enviado</v>
      </c>
      <c r="E14" s="20" t="str">
        <f t="array" aca="1" ref="E14" ca="1">IF(
    VLOOKUP(
        $A14,
        _xlfn._xlws.FILTER(
            INDIRECT("'"&amp;E$1&amp;"'!A2:E1000"), (INDIRECT("'"&amp;E$1&amp;"'!B2:B1000")=$B14) * (INDIRECT("'"&amp;E$1&amp;"'!C2:C1000")=$C14)
        ),
        5,
        FALSE
    )=0,
    "",
    VLOOKUP(
        $A14,
        _xlfn._xlws.FILTER(
            INDIRECT("'"&amp;E$1&amp;"'!A2:E1000"), (INDIRECT("'"&amp;E$1&amp;"'!B2:B1000")=$B14) * (INDIRECT("'"&amp;E$1&amp;"'!C2:C1000")=$C14)
        ),
        5,
        FALSE
    )
)</f>
        <v>Enviado</v>
      </c>
      <c r="F14" s="20" t="str">
        <f t="array" aca="1" ref="F14" ca="1">IF(
    VLOOKUP(
        $A14,
        _xlfn._xlws.FILTER(
            INDIRECT("'"&amp;F$1&amp;"'!A2:E1000"), (INDIRECT("'"&amp;F$1&amp;"'!B2:B1000")=$B14) * (INDIRECT("'"&amp;F$1&amp;"'!C2:C1000")=$C14)
        ),
        5,
        FALSE
    )=0,
    "",
    VLOOKUP(
        $A14,
        _xlfn._xlws.FILTER(
            INDIRECT("'"&amp;F$1&amp;"'!A2:E1000"), (INDIRECT("'"&amp;F$1&amp;"'!B2:B1000")=$B14) * (INDIRECT("'"&amp;F$1&amp;"'!C2:C1000")=$C14)
        ),
        5,
        FALSE
    )
)</f>
        <v>Enviado</v>
      </c>
      <c r="H14" s="36" t="s">
        <v>28</v>
      </c>
      <c r="I14" s="37" t="s">
        <v>49</v>
      </c>
      <c r="J14" s="37">
        <v>1</v>
      </c>
      <c r="K14" s="20" t="str">
        <f t="array" aca="1" ref="K14" ca="1">IF(
    VLOOKUP(
        $H14,
        _xlfn._xlws.FILTER(
            INDIRECT("'"&amp;K$1&amp;"'!A2:E1000"), (INDIRECT("'"&amp;K$1&amp;"'!B2:B1000")=$I14) * (INDIRECT("'"&amp;K$1&amp;"'!C2:C1000")=$J14)
        ),
        5,
        FALSE
    )=0,
    "",
    VLOOKUP(
        $H14,
        _xlfn._xlws.FILTER(
            INDIRECT("'"&amp;K$1&amp;"'!A2:E1000"), (INDIRECT("'"&amp;K$1&amp;"'!B2:B1000")=$I14) * (INDIRECT("'"&amp;K$1&amp;"'!C2:C1000")=$J14)
        ),
        5,
        FALSE
    )
)</f>
        <v>Enviado</v>
      </c>
      <c r="L14" s="20" t="str">
        <f t="array" aca="1" ref="L14" ca="1">IF(
    VLOOKUP(
        $H14,
        _xlfn._xlws.FILTER(
            INDIRECT("'"&amp;L$1&amp;"'!A2:E1000"), (INDIRECT("'"&amp;L$1&amp;"'!B2:B1000")=$I14) * (INDIRECT("'"&amp;L$1&amp;"'!C2:C1000")=$J14)
        ),
        5,
        FALSE
    )=0,
    "",
    VLOOKUP(
        $H14,
        _xlfn._xlws.FILTER(
            INDIRECT("'"&amp;L$1&amp;"'!A2:E1000"), (INDIRECT("'"&amp;L$1&amp;"'!B2:B1000")=$I14) * (INDIRECT("'"&amp;L$1&amp;"'!C2:C1000")=$J14)
        ),
        5,
        FALSE
    )
)</f>
        <v>Enviado</v>
      </c>
      <c r="M14" s="20" t="str">
        <f t="array" aca="1" ref="M14" ca="1">IF(
    VLOOKUP(
        $H14,
        _xlfn._xlws.FILTER(
            INDIRECT("'"&amp;M$1&amp;"'!A2:E1000"), (INDIRECT("'"&amp;M$1&amp;"'!B2:B1000")=$I14) * (INDIRECT("'"&amp;M$1&amp;"'!C2:C1000")=$J14)
        ),
        5,
        FALSE
    )=0,
    "",
    VLOOKUP(
        $H14,
        _xlfn._xlws.FILTER(
            INDIRECT("'"&amp;M$1&amp;"'!A2:E1000"), (INDIRECT("'"&amp;M$1&amp;"'!B2:B1000")=$I14) * (INDIRECT("'"&amp;M$1&amp;"'!C2:C1000")=$J14)
        ),
        5,
        FALSE
    )
)</f>
        <v>Enviado</v>
      </c>
    </row>
    <row r="15" spans="1:13">
      <c r="A15" s="19" t="s">
        <v>26</v>
      </c>
      <c r="B15" s="31" t="s">
        <v>50</v>
      </c>
      <c r="C15" s="31">
        <v>1</v>
      </c>
      <c r="D15" s="20" t="str">
        <f t="array" aca="1" ref="D15" ca="1">IF(
    VLOOKUP(
        $A15,
        _xlfn._xlws.FILTER(
            INDIRECT("'"&amp;D$1&amp;"'!A2:E1000"), (INDIRECT("'"&amp;D$1&amp;"'!B2:B1000")=$B15) * (INDIRECT("'"&amp;D$1&amp;"'!C2:C1000")=$C15)
        ),
        5,
        FALSE
    )=0,
    "",
    VLOOKUP(
        $A15,
        _xlfn._xlws.FILTER(
            INDIRECT("'"&amp;D$1&amp;"'!A2:E1000"), (INDIRECT("'"&amp;D$1&amp;"'!B2:B1000")=$B15) * (INDIRECT("'"&amp;D$1&amp;"'!C2:C1000")=$C15)
        ),
        5,
        FALSE
    )
)</f>
        <v>Enviado</v>
      </c>
      <c r="E15" s="20" t="str">
        <f t="array" aca="1" ref="E15" ca="1">IF(
    VLOOKUP(
        $A15,
        _xlfn._xlws.FILTER(
            INDIRECT("'"&amp;E$1&amp;"'!A2:E1000"), (INDIRECT("'"&amp;E$1&amp;"'!B2:B1000")=$B15) * (INDIRECT("'"&amp;E$1&amp;"'!C2:C1000")=$C15)
        ),
        5,
        FALSE
    )=0,
    "",
    VLOOKUP(
        $A15,
        _xlfn._xlws.FILTER(
            INDIRECT("'"&amp;E$1&amp;"'!A2:E1000"), (INDIRECT("'"&amp;E$1&amp;"'!B2:B1000")=$B15) * (INDIRECT("'"&amp;E$1&amp;"'!C2:C1000")=$C15)
        ),
        5,
        FALSE
    )
)</f>
        <v>Atrasado</v>
      </c>
      <c r="F15" s="20" t="str">
        <f t="array" aca="1" ref="F15" ca="1">IF(
    VLOOKUP(
        $A15,
        _xlfn._xlws.FILTER(
            INDIRECT("'"&amp;F$1&amp;"'!A2:E1000"), (INDIRECT("'"&amp;F$1&amp;"'!B2:B1000")=$B15) * (INDIRECT("'"&amp;F$1&amp;"'!C2:C1000")=$C15)
        ),
        5,
        FALSE
    )=0,
    "",
    VLOOKUP(
        $A15,
        _xlfn._xlws.FILTER(
            INDIRECT("'"&amp;F$1&amp;"'!A2:E1000"), (INDIRECT("'"&amp;F$1&amp;"'!B2:B1000")=$B15) * (INDIRECT("'"&amp;F$1&amp;"'!C2:C1000")=$C15)
        ),
        5,
        FALSE
    )
)</f>
        <v>Enviado</v>
      </c>
      <c r="H15" s="36" t="s">
        <v>28</v>
      </c>
      <c r="I15" s="37" t="s">
        <v>51</v>
      </c>
      <c r="J15" s="37">
        <v>1</v>
      </c>
      <c r="K15" s="20" t="str">
        <f t="array" aca="1" ref="K15" ca="1">IF(
    VLOOKUP(
        $H15,
        _xlfn._xlws.FILTER(
            INDIRECT("'"&amp;K$1&amp;"'!A2:E1000"), (INDIRECT("'"&amp;K$1&amp;"'!B2:B1000")=$I15) * (INDIRECT("'"&amp;K$1&amp;"'!C2:C1000")=$J15)
        ),
        5,
        FALSE
    )=0,
    "",
    VLOOKUP(
        $H15,
        _xlfn._xlws.FILTER(
            INDIRECT("'"&amp;K$1&amp;"'!A2:E1000"), (INDIRECT("'"&amp;K$1&amp;"'!B2:B1000")=$I15) * (INDIRECT("'"&amp;K$1&amp;"'!C2:C1000")=$J15)
        ),
        5,
        FALSE
    )
)</f>
        <v>Enviado</v>
      </c>
      <c r="L15" s="20" t="str">
        <f t="array" aca="1" ref="L15" ca="1">IF(
    VLOOKUP(
        $H15,
        _xlfn._xlws.FILTER(
            INDIRECT("'"&amp;L$1&amp;"'!A2:E1000"), (INDIRECT("'"&amp;L$1&amp;"'!B2:B1000")=$I15) * (INDIRECT("'"&amp;L$1&amp;"'!C2:C1000")=$J15)
        ),
        5,
        FALSE
    )=0,
    "",
    VLOOKUP(
        $H15,
        _xlfn._xlws.FILTER(
            INDIRECT("'"&amp;L$1&amp;"'!A2:E1000"), (INDIRECT("'"&amp;L$1&amp;"'!B2:B1000")=$I15) * (INDIRECT("'"&amp;L$1&amp;"'!C2:C1000")=$J15)
        ),
        5,
        FALSE
    )
)</f>
        <v>Enviado</v>
      </c>
      <c r="M15" s="20" t="str">
        <f t="array" aca="1" ref="M15" ca="1">IF(
    VLOOKUP(
        $H15,
        _xlfn._xlws.FILTER(
            INDIRECT("'"&amp;M$1&amp;"'!A2:E1000"), (INDIRECT("'"&amp;M$1&amp;"'!B2:B1000")=$I15) * (INDIRECT("'"&amp;M$1&amp;"'!C2:C1000")=$J15)
        ),
        5,
        FALSE
    )=0,
    "",
    VLOOKUP(
        $H15,
        _xlfn._xlws.FILTER(
            INDIRECT("'"&amp;M$1&amp;"'!A2:E1000"), (INDIRECT("'"&amp;M$1&amp;"'!B2:B1000")=$I15) * (INDIRECT("'"&amp;M$1&amp;"'!C2:C1000")=$J15)
        ),
        5,
        FALSE
    )
)</f>
        <v>Enviado</v>
      </c>
    </row>
    <row r="17" spans="1:13" ht="15.75" customHeight="1">
      <c r="A17" s="38" t="s">
        <v>21</v>
      </c>
      <c r="B17" s="18" t="s">
        <v>30</v>
      </c>
      <c r="C17" s="18" t="s">
        <v>31</v>
      </c>
      <c r="D17" s="18" t="s">
        <v>22</v>
      </c>
      <c r="E17" s="18" t="s">
        <v>23</v>
      </c>
      <c r="F17" s="18" t="s">
        <v>24</v>
      </c>
      <c r="H17" s="39" t="s">
        <v>21</v>
      </c>
      <c r="I17" s="18" t="s">
        <v>30</v>
      </c>
      <c r="J17" s="18" t="s">
        <v>31</v>
      </c>
      <c r="K17" s="18" t="s">
        <v>22</v>
      </c>
      <c r="L17" s="18" t="s">
        <v>23</v>
      </c>
      <c r="M17" s="18" t="s">
        <v>24</v>
      </c>
    </row>
    <row r="18" spans="1:13">
      <c r="A18" s="40" t="s">
        <v>25</v>
      </c>
      <c r="B18" s="31" t="s">
        <v>52</v>
      </c>
      <c r="C18" s="31">
        <v>1</v>
      </c>
      <c r="D18" s="20" t="str">
        <f t="array" aca="1" ref="D18" ca="1">IF(
    VLOOKUP(
        $A18,
        _xlfn._xlws.FILTER(
            INDIRECT("'"&amp;D$1&amp;"'!A2:E1000"), (INDIRECT("'"&amp;D$1&amp;"'!B2:B1000")=$B18) * (INDIRECT("'"&amp;D$1&amp;"'!C2:C1000")=$C18)
        ),
        5,
        FALSE
    )=0,
    "",
    VLOOKUP(
        $A18,
        _xlfn._xlws.FILTER(
            INDIRECT("'"&amp;D$1&amp;"'!A2:E1000"), (INDIRECT("'"&amp;D$1&amp;"'!B2:B1000")=$B18) * (INDIRECT("'"&amp;D$1&amp;"'!C2:C1000")=$C18)
        ),
        5,
        FALSE
    )
)</f>
        <v>Atrasado</v>
      </c>
      <c r="E18" s="20" t="str">
        <f t="array" aca="1" ref="E18" ca="1">IF(
    VLOOKUP(
        $A18,
        _xlfn._xlws.FILTER(
            INDIRECT("'"&amp;E$1&amp;"'!A2:E1000"), (INDIRECT("'"&amp;E$1&amp;"'!B2:B1000")=$B18) * (INDIRECT("'"&amp;E$1&amp;"'!C2:C1000")=$C18)
        ),
        5,
        FALSE
    )=0,
    "",
    VLOOKUP(
        $A18,
        _xlfn._xlws.FILTER(
            INDIRECT("'"&amp;E$1&amp;"'!A2:E1000"), (INDIRECT("'"&amp;E$1&amp;"'!B2:B1000")=$B18) * (INDIRECT("'"&amp;E$1&amp;"'!C2:C1000")=$C18)
        ),
        5,
        FALSE
    )
)</f>
        <v>Enviado</v>
      </c>
      <c r="F18" s="20" t="str">
        <f t="array" aca="1" ref="F18" ca="1">IF(
    VLOOKUP(
        $A18,
        _xlfn._xlws.FILTER(
            INDIRECT("'"&amp;F$1&amp;"'!A2:E1000"), (INDIRECT("'"&amp;F$1&amp;"'!B2:B1000")=$B18) * (INDIRECT("'"&amp;F$1&amp;"'!C2:C1000")=$C18)
        ),
        5,
        FALSE
    )=0,
    "",
    VLOOKUP(
        $A18,
        _xlfn._xlws.FILTER(
            INDIRECT("'"&amp;F$1&amp;"'!A2:E1000"), (INDIRECT("'"&amp;F$1&amp;"'!B2:B1000")=$B18) * (INDIRECT("'"&amp;F$1&amp;"'!C2:C1000")=$C18)
        ),
        5,
        FALSE
    )
)</f>
        <v>Enviado</v>
      </c>
      <c r="H18" s="41" t="s">
        <v>29</v>
      </c>
      <c r="I18" s="37" t="s">
        <v>53</v>
      </c>
      <c r="J18" s="37">
        <v>1</v>
      </c>
      <c r="K18" s="20" t="str">
        <f t="array" aca="1" ref="K18" ca="1">IF(
    VLOOKUP(
        $H18,
        _xlfn._xlws.FILTER(
            INDIRECT("'"&amp;K$1&amp;"'!A2:E1000"), (INDIRECT("'"&amp;K$1&amp;"'!B2:B1000")=$I18) * (INDIRECT("'"&amp;K$1&amp;"'!C2:C1000")=$J18)
        ),
        5,
        FALSE
    )=0,
    "",
    VLOOKUP(
        $H18,
        _xlfn._xlws.FILTER(
            INDIRECT("'"&amp;K$1&amp;"'!A2:E1000"), (INDIRECT("'"&amp;K$1&amp;"'!B2:B1000")=$I18) * (INDIRECT("'"&amp;K$1&amp;"'!C2:C1000")=$J18)
        ),
        5,
        FALSE
    )
)</f>
        <v>Enviado</v>
      </c>
      <c r="L18" s="20" t="str">
        <f t="array" aca="1" ref="L18" ca="1">IF(
    VLOOKUP(
        $H18,
        _xlfn._xlws.FILTER(
            INDIRECT("'"&amp;L$1&amp;"'!A2:E1000"), (INDIRECT("'"&amp;L$1&amp;"'!B2:B1000")=$I18) * (INDIRECT("'"&amp;L$1&amp;"'!C2:C1000")=$J18)
        ),
        5,
        FALSE
    )=0,
    "",
    VLOOKUP(
        $H18,
        _xlfn._xlws.FILTER(
            INDIRECT("'"&amp;L$1&amp;"'!A2:E1000"), (INDIRECT("'"&amp;L$1&amp;"'!B2:B1000")=$I18) * (INDIRECT("'"&amp;L$1&amp;"'!C2:C1000")=$J18)
        ),
        5,
        FALSE
    )
)</f>
        <v>Enviado</v>
      </c>
      <c r="M18" s="20" t="str">
        <f t="array" aca="1" ref="M18" ca="1">IF(
    VLOOKUP(
        $H18,
        _xlfn._xlws.FILTER(
            INDIRECT("'"&amp;M$1&amp;"'!A2:E1000"), (INDIRECT("'"&amp;M$1&amp;"'!B2:B1000")=$I18) * (INDIRECT("'"&amp;M$1&amp;"'!C2:C1000")=$J18)
        ),
        5,
        FALSE
    )=0,
    "",
    VLOOKUP(
        $H18,
        _xlfn._xlws.FILTER(
            INDIRECT("'"&amp;M$1&amp;"'!A2:E1000"), (INDIRECT("'"&amp;M$1&amp;"'!B2:B1000")=$I18) * (INDIRECT("'"&amp;M$1&amp;"'!C2:C1000")=$J18)
        ),
        5,
        FALSE
    )
)</f>
        <v>Enviado</v>
      </c>
    </row>
    <row r="19" spans="1:13">
      <c r="A19" s="40" t="s">
        <v>25</v>
      </c>
      <c r="B19" s="31" t="s">
        <v>54</v>
      </c>
      <c r="C19" s="31">
        <v>1</v>
      </c>
      <c r="D19" s="20" t="str">
        <f t="array" aca="1" ref="D19" ca="1">IF(
    VLOOKUP(
        $A19,
        _xlfn._xlws.FILTER(
            INDIRECT("'"&amp;D$1&amp;"'!A2:E1000"), (INDIRECT("'"&amp;D$1&amp;"'!B2:B1000")=$B19) * (INDIRECT("'"&amp;D$1&amp;"'!C2:C1000")=$C19)
        ),
        5,
        FALSE
    )=0,
    "",
    VLOOKUP(
        $A19,
        _xlfn._xlws.FILTER(
            INDIRECT("'"&amp;D$1&amp;"'!A2:E1000"), (INDIRECT("'"&amp;D$1&amp;"'!B2:B1000")=$B19) * (INDIRECT("'"&amp;D$1&amp;"'!C2:C1000")=$C19)
        ),
        5,
        FALSE
    )
)</f>
        <v>Enviado</v>
      </c>
      <c r="E19" s="20" t="str">
        <f t="array" aca="1" ref="E19" ca="1">IF(
    VLOOKUP(
        $A19,
        _xlfn._xlws.FILTER(
            INDIRECT("'"&amp;E$1&amp;"'!A2:E1000"), (INDIRECT("'"&amp;E$1&amp;"'!B2:B1000")=$B19) * (INDIRECT("'"&amp;E$1&amp;"'!C2:C1000")=$C19)
        ),
        5,
        FALSE
    )=0,
    "",
    VLOOKUP(
        $A19,
        _xlfn._xlws.FILTER(
            INDIRECT("'"&amp;E$1&amp;"'!A2:E1000"), (INDIRECT("'"&amp;E$1&amp;"'!B2:B1000")=$B19) * (INDIRECT("'"&amp;E$1&amp;"'!C2:C1000")=$C19)
        ),
        5,
        FALSE
    )
)</f>
        <v>Enviado</v>
      </c>
      <c r="F19" s="20" t="str">
        <f t="array" aca="1" ref="F19" ca="1">IF(
    VLOOKUP(
        $A19,
        _xlfn._xlws.FILTER(
            INDIRECT("'"&amp;F$1&amp;"'!A2:E1000"), (INDIRECT("'"&amp;F$1&amp;"'!B2:B1000")=$B19) * (INDIRECT("'"&amp;F$1&amp;"'!C2:C1000")=$C19)
        ),
        5,
        FALSE
    )=0,
    "",
    VLOOKUP(
        $A19,
        _xlfn._xlws.FILTER(
            INDIRECT("'"&amp;F$1&amp;"'!A2:E1000"), (INDIRECT("'"&amp;F$1&amp;"'!B2:B1000")=$B19) * (INDIRECT("'"&amp;F$1&amp;"'!C2:C1000")=$C19)
        ),
        5,
        FALSE
    )
)</f>
        <v>Enviado</v>
      </c>
      <c r="H19" s="41" t="s">
        <v>29</v>
      </c>
      <c r="I19" s="37" t="s">
        <v>55</v>
      </c>
      <c r="J19" s="37">
        <v>1</v>
      </c>
      <c r="K19" s="20" t="str">
        <f t="array" aca="1" ref="K19" ca="1">IF(
    VLOOKUP(
        $H19,
        _xlfn._xlws.FILTER(
            INDIRECT("'"&amp;K$1&amp;"'!A2:E1000"), (INDIRECT("'"&amp;K$1&amp;"'!B2:B1000")=$I19) * (INDIRECT("'"&amp;K$1&amp;"'!C2:C1000")=$J19)
        ),
        5,
        FALSE
    )=0,
    "",
    VLOOKUP(
        $H19,
        _xlfn._xlws.FILTER(
            INDIRECT("'"&amp;K$1&amp;"'!A2:E1000"), (INDIRECT("'"&amp;K$1&amp;"'!B2:B1000")=$I19) * (INDIRECT("'"&amp;K$1&amp;"'!C2:C1000")=$J19)
        ),
        5,
        FALSE
    )
)</f>
        <v>Enviado</v>
      </c>
      <c r="L19" s="20" t="str">
        <f t="array" aca="1" ref="L19" ca="1">IF(
    VLOOKUP(
        $H19,
        _xlfn._xlws.FILTER(
            INDIRECT("'"&amp;L$1&amp;"'!A2:E1000"), (INDIRECT("'"&amp;L$1&amp;"'!B2:B1000")=$I19) * (INDIRECT("'"&amp;L$1&amp;"'!C2:C1000")=$J19)
        ),
        5,
        FALSE
    )=0,
    "",
    VLOOKUP(
        $H19,
        _xlfn._xlws.FILTER(
            INDIRECT("'"&amp;L$1&amp;"'!A2:E1000"), (INDIRECT("'"&amp;L$1&amp;"'!B2:B1000")=$I19) * (INDIRECT("'"&amp;L$1&amp;"'!C2:C1000")=$J19)
        ),
        5,
        FALSE
    )
)</f>
        <v>Enviado</v>
      </c>
      <c r="M19" s="20" t="str">
        <f t="array" aca="1" ref="M19" ca="1">IF(
    VLOOKUP(
        $H19,
        _xlfn._xlws.FILTER(
            INDIRECT("'"&amp;M$1&amp;"'!A2:E1000"), (INDIRECT("'"&amp;M$1&amp;"'!B2:B1000")=$I19) * (INDIRECT("'"&amp;M$1&amp;"'!C2:C1000")=$J19)
        ),
        5,
        FALSE
    )=0,
    "",
    VLOOKUP(
        $H19,
        _xlfn._xlws.FILTER(
            INDIRECT("'"&amp;M$1&amp;"'!A2:E1000"), (INDIRECT("'"&amp;M$1&amp;"'!B2:B1000")=$I19) * (INDIRECT("'"&amp;M$1&amp;"'!C2:C1000")=$J19)
        ),
        5,
        FALSE
    )
)</f>
        <v>Enviado</v>
      </c>
    </row>
    <row r="20" spans="1:13">
      <c r="A20" s="40" t="s">
        <v>25</v>
      </c>
      <c r="B20" s="31" t="s">
        <v>56</v>
      </c>
      <c r="C20" s="31">
        <v>1</v>
      </c>
      <c r="D20" s="20" t="str">
        <f t="array" aca="1" ref="D20" ca="1">IF(
    VLOOKUP(
        $A20,
        _xlfn._xlws.FILTER(
            INDIRECT("'"&amp;D$1&amp;"'!A2:E1000"), (INDIRECT("'"&amp;D$1&amp;"'!B2:B1000")=$B20) * (INDIRECT("'"&amp;D$1&amp;"'!C2:C1000")=$C20)
        ),
        5,
        FALSE
    )=0,
    "",
    VLOOKUP(
        $A20,
        _xlfn._xlws.FILTER(
            INDIRECT("'"&amp;D$1&amp;"'!A2:E1000"), (INDIRECT("'"&amp;D$1&amp;"'!B2:B1000")=$B20) * (INDIRECT("'"&amp;D$1&amp;"'!C2:C1000")=$C20)
        ),
        5,
        FALSE
    )
)</f>
        <v>Enviado</v>
      </c>
      <c r="E20" s="20" t="str">
        <f t="array" aca="1" ref="E20" ca="1">IF(
    VLOOKUP(
        $A20,
        _xlfn._xlws.FILTER(
            INDIRECT("'"&amp;E$1&amp;"'!A2:E1000"), (INDIRECT("'"&amp;E$1&amp;"'!B2:B1000")=$B20) * (INDIRECT("'"&amp;E$1&amp;"'!C2:C1000")=$C20)
        ),
        5,
        FALSE
    )=0,
    "",
    VLOOKUP(
        $A20,
        _xlfn._xlws.FILTER(
            INDIRECT("'"&amp;E$1&amp;"'!A2:E1000"), (INDIRECT("'"&amp;E$1&amp;"'!B2:B1000")=$B20) * (INDIRECT("'"&amp;E$1&amp;"'!C2:C1000")=$C20)
        ),
        5,
        FALSE
    )
)</f>
        <v>Enviado</v>
      </c>
      <c r="F20" s="20" t="str">
        <f t="array" aca="1" ref="F20" ca="1">IF(
    VLOOKUP(
        $A20,
        _xlfn._xlws.FILTER(
            INDIRECT("'"&amp;F$1&amp;"'!A2:E1000"), (INDIRECT("'"&amp;F$1&amp;"'!B2:B1000")=$B20) * (INDIRECT("'"&amp;F$1&amp;"'!C2:C1000")=$C20)
        ),
        5,
        FALSE
    )=0,
    "",
    VLOOKUP(
        $A20,
        _xlfn._xlws.FILTER(
            INDIRECT("'"&amp;F$1&amp;"'!A2:E1000"), (INDIRECT("'"&amp;F$1&amp;"'!B2:B1000")=$B20) * (INDIRECT("'"&amp;F$1&amp;"'!C2:C1000")=$C20)
        ),
        5,
        FALSE
    )
)</f>
        <v>Enviado</v>
      </c>
      <c r="H20" s="41" t="s">
        <v>29</v>
      </c>
      <c r="I20" s="37" t="s">
        <v>57</v>
      </c>
      <c r="J20" s="37">
        <v>1</v>
      </c>
      <c r="K20" s="20" t="str">
        <f t="array" aca="1" ref="K20" ca="1">IF(
    VLOOKUP(
        $H20,
        _xlfn._xlws.FILTER(
            INDIRECT("'"&amp;K$1&amp;"'!A2:E1000"), (INDIRECT("'"&amp;K$1&amp;"'!B2:B1000")=$I20) * (INDIRECT("'"&amp;K$1&amp;"'!C2:C1000")=$J20)
        ),
        5,
        FALSE
    )=0,
    "",
    VLOOKUP(
        $H20,
        _xlfn._xlws.FILTER(
            INDIRECT("'"&amp;K$1&amp;"'!A2:E1000"), (INDIRECT("'"&amp;K$1&amp;"'!B2:B1000")=$I20) * (INDIRECT("'"&amp;K$1&amp;"'!C2:C1000")=$J20)
        ),
        5,
        FALSE
    )
)</f>
        <v>Enviado</v>
      </c>
      <c r="L20" s="20" t="str">
        <f t="array" aca="1" ref="L20" ca="1">IF(
    VLOOKUP(
        $H20,
        _xlfn._xlws.FILTER(
            INDIRECT("'"&amp;L$1&amp;"'!A2:E1000"), (INDIRECT("'"&amp;L$1&amp;"'!B2:B1000")=$I20) * (INDIRECT("'"&amp;L$1&amp;"'!C2:C1000")=$J20)
        ),
        5,
        FALSE
    )=0,
    "",
    VLOOKUP(
        $H20,
        _xlfn._xlws.FILTER(
            INDIRECT("'"&amp;L$1&amp;"'!A2:E1000"), (INDIRECT("'"&amp;L$1&amp;"'!B2:B1000")=$I20) * (INDIRECT("'"&amp;L$1&amp;"'!C2:C1000")=$J20)
        ),
        5,
        FALSE
    )
)</f>
        <v>Enviado</v>
      </c>
      <c r="M20" s="20" t="str">
        <f t="array" aca="1" ref="M20" ca="1">IF(
    VLOOKUP(
        $H20,
        _xlfn._xlws.FILTER(
            INDIRECT("'"&amp;M$1&amp;"'!A2:E1000"), (INDIRECT("'"&amp;M$1&amp;"'!B2:B1000")=$I20) * (INDIRECT("'"&amp;M$1&amp;"'!C2:C1000")=$J20)
        ),
        5,
        FALSE
    )=0,
    "",
    VLOOKUP(
        $H20,
        _xlfn._xlws.FILTER(
            INDIRECT("'"&amp;M$1&amp;"'!A2:E1000"), (INDIRECT("'"&amp;M$1&amp;"'!B2:B1000")=$I20) * (INDIRECT("'"&amp;M$1&amp;"'!C2:C1000")=$J20)
        ),
        5,
        FALSE
    )
)</f>
        <v>Enviado</v>
      </c>
    </row>
    <row r="21" spans="1:13">
      <c r="A21" s="40" t="s">
        <v>25</v>
      </c>
      <c r="B21" s="31" t="s">
        <v>58</v>
      </c>
      <c r="C21" s="31">
        <v>1</v>
      </c>
      <c r="D21" s="20" t="str">
        <f t="array" aca="1" ref="D21" ca="1">IF(
    VLOOKUP(
        $A21,
        _xlfn._xlws.FILTER(
            INDIRECT("'"&amp;D$1&amp;"'!A2:E1000"), (INDIRECT("'"&amp;D$1&amp;"'!B2:B1000")=$B21) * (INDIRECT("'"&amp;D$1&amp;"'!C2:C1000")=$C21)
        ),
        5,
        FALSE
    )=0,
    "",
    VLOOKUP(
        $A21,
        _xlfn._xlws.FILTER(
            INDIRECT("'"&amp;D$1&amp;"'!A2:E1000"), (INDIRECT("'"&amp;D$1&amp;"'!B2:B1000")=$B21) * (INDIRECT("'"&amp;D$1&amp;"'!C2:C1000")=$C21)
        ),
        5,
        FALSE
    )
)</f>
        <v>Atrasado</v>
      </c>
      <c r="E21" s="20" t="str">
        <f t="array" aca="1" ref="E21" ca="1">IF(
    VLOOKUP(
        $A21,
        _xlfn._xlws.FILTER(
            INDIRECT("'"&amp;E$1&amp;"'!A2:E1000"), (INDIRECT("'"&amp;E$1&amp;"'!B2:B1000")=$B21) * (INDIRECT("'"&amp;E$1&amp;"'!C2:C1000")=$C21)
        ),
        5,
        FALSE
    )=0,
    "",
    VLOOKUP(
        $A21,
        _xlfn._xlws.FILTER(
            INDIRECT("'"&amp;E$1&amp;"'!A2:E1000"), (INDIRECT("'"&amp;E$1&amp;"'!B2:B1000")=$B21) * (INDIRECT("'"&amp;E$1&amp;"'!C2:C1000")=$C21)
        ),
        5,
        FALSE
    )
)</f>
        <v>Atrasado</v>
      </c>
      <c r="F21" s="20" t="str">
        <f t="array" aca="1" ref="F21" ca="1">IF(
    VLOOKUP(
        $A21,
        _xlfn._xlws.FILTER(
            INDIRECT("'"&amp;F$1&amp;"'!A2:E1000"), (INDIRECT("'"&amp;F$1&amp;"'!B2:B1000")=$B21) * (INDIRECT("'"&amp;F$1&amp;"'!C2:C1000")=$C21)
        ),
        5,
        FALSE
    )=0,
    "",
    VLOOKUP(
        $A21,
        _xlfn._xlws.FILTER(
            INDIRECT("'"&amp;F$1&amp;"'!A2:E1000"), (INDIRECT("'"&amp;F$1&amp;"'!B2:B1000")=$B21) * (INDIRECT("'"&amp;F$1&amp;"'!C2:C1000")=$C21)
        ),
        5,
        FALSE
    )
)</f>
        <v>Atrasado</v>
      </c>
      <c r="H21" s="41" t="s">
        <v>29</v>
      </c>
      <c r="I21" s="37" t="s">
        <v>59</v>
      </c>
      <c r="J21" s="37">
        <v>1</v>
      </c>
      <c r="K21" s="20" t="str">
        <f t="array" aca="1" ref="K21" ca="1">IF(
    VLOOKUP(
        $H21,
        _xlfn._xlws.FILTER(
            INDIRECT("'"&amp;K$1&amp;"'!A2:E1000"), (INDIRECT("'"&amp;K$1&amp;"'!B2:B1000")=$I21) * (INDIRECT("'"&amp;K$1&amp;"'!C2:C1000")=$J21)
        ),
        5,
        FALSE
    )=0,
    "",
    VLOOKUP(
        $H21,
        _xlfn._xlws.FILTER(
            INDIRECT("'"&amp;K$1&amp;"'!A2:E1000"), (INDIRECT("'"&amp;K$1&amp;"'!B2:B1000")=$I21) * (INDIRECT("'"&amp;K$1&amp;"'!C2:C1000")=$J21)
        ),
        5,
        FALSE
    )
)</f>
        <v>Enviado</v>
      </c>
      <c r="L21" s="20" t="str">
        <f t="array" aca="1" ref="L21" ca="1">IF(
    VLOOKUP(
        $H21,
        _xlfn._xlws.FILTER(
            INDIRECT("'"&amp;L$1&amp;"'!A2:E1000"), (INDIRECT("'"&amp;L$1&amp;"'!B2:B1000")=$I21) * (INDIRECT("'"&amp;L$1&amp;"'!C2:C1000")=$J21)
        ),
        5,
        FALSE
    )=0,
    "",
    VLOOKUP(
        $H21,
        _xlfn._xlws.FILTER(
            INDIRECT("'"&amp;L$1&amp;"'!A2:E1000"), (INDIRECT("'"&amp;L$1&amp;"'!B2:B1000")=$I21) * (INDIRECT("'"&amp;L$1&amp;"'!C2:C1000")=$J21)
        ),
        5,
        FALSE
    )
)</f>
        <v>Enviado</v>
      </c>
      <c r="M21" s="20" t="str">
        <f t="array" aca="1" ref="M21" ca="1">IF(
    VLOOKUP(
        $H21,
        _xlfn._xlws.FILTER(
            INDIRECT("'"&amp;M$1&amp;"'!A2:E1000"), (INDIRECT("'"&amp;M$1&amp;"'!B2:B1000")=$I21) * (INDIRECT("'"&amp;M$1&amp;"'!C2:C1000")=$J21)
        ),
        5,
        FALSE
    )=0,
    "",
    VLOOKUP(
        $H21,
        _xlfn._xlws.FILTER(
            INDIRECT("'"&amp;M$1&amp;"'!A2:E1000"), (INDIRECT("'"&amp;M$1&amp;"'!B2:B1000")=$I21) * (INDIRECT("'"&amp;M$1&amp;"'!C2:C1000")=$J21)
        ),
        5,
        FALSE
    )
)</f>
        <v>Enviado</v>
      </c>
    </row>
    <row r="22" spans="1:13">
      <c r="A22" s="40" t="s">
        <v>25</v>
      </c>
      <c r="B22" s="31" t="s">
        <v>60</v>
      </c>
      <c r="C22" s="31">
        <v>1</v>
      </c>
      <c r="D22" s="20" t="str">
        <f t="array" aca="1" ref="D22" ca="1">IF(
    VLOOKUP(
        $A22,
        _xlfn._xlws.FILTER(
            INDIRECT("'"&amp;D$1&amp;"'!A2:E1000"), (INDIRECT("'"&amp;D$1&amp;"'!B2:B1000")=$B22) * (INDIRECT("'"&amp;D$1&amp;"'!C2:C1000")=$C22)
        ),
        5,
        FALSE
    )=0,
    "",
    VLOOKUP(
        $A22,
        _xlfn._xlws.FILTER(
            INDIRECT("'"&amp;D$1&amp;"'!A2:E1000"), (INDIRECT("'"&amp;D$1&amp;"'!B2:B1000")=$B22) * (INDIRECT("'"&amp;D$1&amp;"'!C2:C1000")=$C22)
        ),
        5,
        FALSE
    )
)</f>
        <v>Enviado</v>
      </c>
      <c r="E22" s="20" t="str">
        <f t="array" aca="1" ref="E22" ca="1">IF(
    VLOOKUP(
        $A22,
        _xlfn._xlws.FILTER(
            INDIRECT("'"&amp;E$1&amp;"'!A2:E1000"), (INDIRECT("'"&amp;E$1&amp;"'!B2:B1000")=$B22) * (INDIRECT("'"&amp;E$1&amp;"'!C2:C1000")=$C22)
        ),
        5,
        FALSE
    )=0,
    "",
    VLOOKUP(
        $A22,
        _xlfn._xlws.FILTER(
            INDIRECT("'"&amp;E$1&amp;"'!A2:E1000"), (INDIRECT("'"&amp;E$1&amp;"'!B2:B1000")=$B22) * (INDIRECT("'"&amp;E$1&amp;"'!C2:C1000")=$C22)
        ),
        5,
        FALSE
    )
)</f>
        <v>Enviado</v>
      </c>
      <c r="F22" s="20" t="str">
        <f t="array" aca="1" ref="F22" ca="1">IF(
    VLOOKUP(
        $A22,
        _xlfn._xlws.FILTER(
            INDIRECT("'"&amp;F$1&amp;"'!A2:E1000"), (INDIRECT("'"&amp;F$1&amp;"'!B2:B1000")=$B22) * (INDIRECT("'"&amp;F$1&amp;"'!C2:C1000")=$C22)
        ),
        5,
        FALSE
    )=0,
    "",
    VLOOKUP(
        $A22,
        _xlfn._xlws.FILTER(
            INDIRECT("'"&amp;F$1&amp;"'!A2:E1000"), (INDIRECT("'"&amp;F$1&amp;"'!B2:B1000")=$B22) * (INDIRECT("'"&amp;F$1&amp;"'!C2:C1000")=$C22)
        ),
        5,
        FALSE
    )
)</f>
        <v>Duplicado</v>
      </c>
      <c r="H22" s="41" t="s">
        <v>29</v>
      </c>
      <c r="I22" s="37" t="s">
        <v>61</v>
      </c>
      <c r="J22" s="37">
        <v>1</v>
      </c>
      <c r="K22" s="20" t="str">
        <f t="array" aca="1" ref="K22" ca="1">IF(
    VLOOKUP(
        $H22,
        _xlfn._xlws.FILTER(
            INDIRECT("'"&amp;K$1&amp;"'!A2:E1000"), (INDIRECT("'"&amp;K$1&amp;"'!B2:B1000")=$I22) * (INDIRECT("'"&amp;K$1&amp;"'!C2:C1000")=$J22)
        ),
        5,
        FALSE
    )=0,
    "",
    VLOOKUP(
        $H22,
        _xlfn._xlws.FILTER(
            INDIRECT("'"&amp;K$1&amp;"'!A2:E1000"), (INDIRECT("'"&amp;K$1&amp;"'!B2:B1000")=$I22) * (INDIRECT("'"&amp;K$1&amp;"'!C2:C1000")=$J22)
        ),
        5,
        FALSE
    )
)</f>
        <v>Enviado</v>
      </c>
      <c r="L22" s="20" t="str">
        <f t="array" aca="1" ref="L22" ca="1">IF(
    VLOOKUP(
        $H22,
        _xlfn._xlws.FILTER(
            INDIRECT("'"&amp;L$1&amp;"'!A2:E1000"), (INDIRECT("'"&amp;L$1&amp;"'!B2:B1000")=$I22) * (INDIRECT("'"&amp;L$1&amp;"'!C2:C1000")=$J22)
        ),
        5,
        FALSE
    )=0,
    "",
    VLOOKUP(
        $H22,
        _xlfn._xlws.FILTER(
            INDIRECT("'"&amp;L$1&amp;"'!A2:E1000"), (INDIRECT("'"&amp;L$1&amp;"'!B2:B1000")=$I22) * (INDIRECT("'"&amp;L$1&amp;"'!C2:C1000")=$J22)
        ),
        5,
        FALSE
    )
)</f>
        <v>Enviado</v>
      </c>
      <c r="M22" s="20" t="str">
        <f t="array" aca="1" ref="M22" ca="1">IF(
    VLOOKUP(
        $H22,
        _xlfn._xlws.FILTER(
            INDIRECT("'"&amp;M$1&amp;"'!A2:E1000"), (INDIRECT("'"&amp;M$1&amp;"'!B2:B1000")=$I22) * (INDIRECT("'"&amp;M$1&amp;"'!C2:C1000")=$J22)
        ),
        5,
        FALSE
    )=0,
    "",
    VLOOKUP(
        $H22,
        _xlfn._xlws.FILTER(
            INDIRECT("'"&amp;M$1&amp;"'!A2:E1000"), (INDIRECT("'"&amp;M$1&amp;"'!B2:B1000")=$I22) * (INDIRECT("'"&amp;M$1&amp;"'!C2:C1000")=$J22)
        ),
        5,
        FALSE
    )
)</f>
        <v>Enviado</v>
      </c>
    </row>
    <row r="23" spans="1:13">
      <c r="A23" s="40" t="s">
        <v>25</v>
      </c>
      <c r="B23" s="31" t="s">
        <v>62</v>
      </c>
      <c r="C23" s="31">
        <v>1</v>
      </c>
      <c r="D23" s="20" t="str">
        <f t="array" aca="1" ref="D23" ca="1">IF(
    VLOOKUP(
        $A23,
        _xlfn._xlws.FILTER(
            INDIRECT("'"&amp;D$1&amp;"'!A2:E1000"), (INDIRECT("'"&amp;D$1&amp;"'!B2:B1000")=$B23) * (INDIRECT("'"&amp;D$1&amp;"'!C2:C1000")=$C23)
        ),
        5,
        FALSE
    )=0,
    "",
    VLOOKUP(
        $A23,
        _xlfn._xlws.FILTER(
            INDIRECT("'"&amp;D$1&amp;"'!A2:E1000"), (INDIRECT("'"&amp;D$1&amp;"'!B2:B1000")=$B23) * (INDIRECT("'"&amp;D$1&amp;"'!C2:C1000")=$C23)
        ),
        5,
        FALSE
    )
)</f>
        <v>Enviado</v>
      </c>
      <c r="E23" s="20" t="str">
        <f t="array" aca="1" ref="E23" ca="1">IF(
    VLOOKUP(
        $A23,
        _xlfn._xlws.FILTER(
            INDIRECT("'"&amp;E$1&amp;"'!A2:E1000"), (INDIRECT("'"&amp;E$1&amp;"'!B2:B1000")=$B23) * (INDIRECT("'"&amp;E$1&amp;"'!C2:C1000")=$C23)
        ),
        5,
        FALSE
    )=0,
    "",
    VLOOKUP(
        $A23,
        _xlfn._xlws.FILTER(
            INDIRECT("'"&amp;E$1&amp;"'!A2:E1000"), (INDIRECT("'"&amp;E$1&amp;"'!B2:B1000")=$B23) * (INDIRECT("'"&amp;E$1&amp;"'!C2:C1000")=$C23)
        ),
        5,
        FALSE
    )
)</f>
        <v>Enviado</v>
      </c>
      <c r="F23" s="20" t="str">
        <f t="array" aca="1" ref="F23" ca="1">IF(
    VLOOKUP(
        $A23,
        _xlfn._xlws.FILTER(
            INDIRECT("'"&amp;F$1&amp;"'!A2:E1000"), (INDIRECT("'"&amp;F$1&amp;"'!B2:B1000")=$B23) * (INDIRECT("'"&amp;F$1&amp;"'!C2:C1000")=$C23)
        ),
        5,
        FALSE
    )=0,
    "",
    VLOOKUP(
        $A23,
        _xlfn._xlws.FILTER(
            INDIRECT("'"&amp;F$1&amp;"'!A2:E1000"), (INDIRECT("'"&amp;F$1&amp;"'!B2:B1000")=$B23) * (INDIRECT("'"&amp;F$1&amp;"'!C2:C1000")=$C23)
        ),
        5,
        FALSE
    )
)</f>
        <v>Enviado</v>
      </c>
      <c r="H23" s="41" t="s">
        <v>29</v>
      </c>
      <c r="I23" s="37" t="s">
        <v>61</v>
      </c>
      <c r="J23" s="37">
        <v>2</v>
      </c>
      <c r="K23" s="20" t="str">
        <f t="array" aca="1" ref="K23" ca="1">IF(
    VLOOKUP(
        $H23,
        _xlfn._xlws.FILTER(
            INDIRECT("'"&amp;K$1&amp;"'!A2:E1000"), (INDIRECT("'"&amp;K$1&amp;"'!B2:B1000")=$I23) * (INDIRECT("'"&amp;K$1&amp;"'!C2:C1000")=$J23)
        ),
        5,
        FALSE
    )=0,
    "",
    VLOOKUP(
        $H23,
        _xlfn._xlws.FILTER(
            INDIRECT("'"&amp;K$1&amp;"'!A2:E1000"), (INDIRECT("'"&amp;K$1&amp;"'!B2:B1000")=$I23) * (INDIRECT("'"&amp;K$1&amp;"'!C2:C1000")=$J23)
        ),
        5,
        FALSE
    )
)</f>
        <v>Enviado</v>
      </c>
      <c r="L23" s="20" t="str">
        <f t="array" aca="1" ref="L23" ca="1">IF(
    VLOOKUP(
        $H23,
        _xlfn._xlws.FILTER(
            INDIRECT("'"&amp;L$1&amp;"'!A2:E1000"), (INDIRECT("'"&amp;L$1&amp;"'!B2:B1000")=$I23) * (INDIRECT("'"&amp;L$1&amp;"'!C2:C1000")=$J23)
        ),
        5,
        FALSE
    )=0,
    "",
    VLOOKUP(
        $H23,
        _xlfn._xlws.FILTER(
            INDIRECT("'"&amp;L$1&amp;"'!A2:E1000"), (INDIRECT("'"&amp;L$1&amp;"'!B2:B1000")=$I23) * (INDIRECT("'"&amp;L$1&amp;"'!C2:C1000")=$J23)
        ),
        5,
        FALSE
    )
)</f>
        <v>Enviado</v>
      </c>
      <c r="M23" s="20" t="str">
        <f t="array" aca="1" ref="M23" ca="1">IF(
    VLOOKUP(
        $H23,
        _xlfn._xlws.FILTER(
            INDIRECT("'"&amp;M$1&amp;"'!A2:E1000"), (INDIRECT("'"&amp;M$1&amp;"'!B2:B1000")=$I23) * (INDIRECT("'"&amp;M$1&amp;"'!C2:C1000")=$J23)
        ),
        5,
        FALSE
    )=0,
    "",
    VLOOKUP(
        $H23,
        _xlfn._xlws.FILTER(
            INDIRECT("'"&amp;M$1&amp;"'!A2:E1000"), (INDIRECT("'"&amp;M$1&amp;"'!B2:B1000")=$I23) * (INDIRECT("'"&amp;M$1&amp;"'!C2:C1000")=$J23)
        ),
        5,
        FALSE
    )
)</f>
        <v>Enviado</v>
      </c>
    </row>
    <row r="24" spans="1:13">
      <c r="A24" s="40" t="s">
        <v>25</v>
      </c>
      <c r="B24" s="31" t="s">
        <v>63</v>
      </c>
      <c r="C24" s="31">
        <v>1</v>
      </c>
      <c r="D24" s="20" t="str">
        <f t="array" aca="1" ref="D24" ca="1">IF(
    VLOOKUP(
        $A24,
        _xlfn._xlws.FILTER(
            INDIRECT("'"&amp;D$1&amp;"'!A2:E1000"), (INDIRECT("'"&amp;D$1&amp;"'!B2:B1000")=$B24) * (INDIRECT("'"&amp;D$1&amp;"'!C2:C1000")=$C24)
        ),
        5,
        FALSE
    )=0,
    "",
    VLOOKUP(
        $A24,
        _xlfn._xlws.FILTER(
            INDIRECT("'"&amp;D$1&amp;"'!A2:E1000"), (INDIRECT("'"&amp;D$1&amp;"'!B2:B1000")=$B24) * (INDIRECT("'"&amp;D$1&amp;"'!C2:C1000")=$C24)
        ),
        5,
        FALSE
    )
)</f>
        <v>Atrasado</v>
      </c>
      <c r="E24" s="20" t="str">
        <f t="array" aca="1" ref="E24" ca="1">IF(
    VLOOKUP(
        $A24,
        _xlfn._xlws.FILTER(
            INDIRECT("'"&amp;E$1&amp;"'!A2:E1000"), (INDIRECT("'"&amp;E$1&amp;"'!B2:B1000")=$B24) * (INDIRECT("'"&amp;E$1&amp;"'!C2:C1000")=$C24)
        ),
        5,
        FALSE
    )=0,
    "",
    VLOOKUP(
        $A24,
        _xlfn._xlws.FILTER(
            INDIRECT("'"&amp;E$1&amp;"'!A2:E1000"), (INDIRECT("'"&amp;E$1&amp;"'!B2:B1000")=$B24) * (INDIRECT("'"&amp;E$1&amp;"'!C2:C1000")=$C24)
        ),
        5,
        FALSE
    )
)</f>
        <v>Atrasado</v>
      </c>
      <c r="F24" s="20" t="str">
        <f t="array" aca="1" ref="F24" ca="1">IF(
    VLOOKUP(
        $A24,
        _xlfn._xlws.FILTER(
            INDIRECT("'"&amp;F$1&amp;"'!A2:E1000"), (INDIRECT("'"&amp;F$1&amp;"'!B2:B1000")=$B24) * (INDIRECT("'"&amp;F$1&amp;"'!C2:C1000")=$C24)
        ),
        5,
        FALSE
    )=0,
    "",
    VLOOKUP(
        $A24,
        _xlfn._xlws.FILTER(
            INDIRECT("'"&amp;F$1&amp;"'!A2:E1000"), (INDIRECT("'"&amp;F$1&amp;"'!B2:B1000")=$B24) * (INDIRECT("'"&amp;F$1&amp;"'!C2:C1000")=$C24)
        ),
        5,
        FALSE
    )
)</f>
        <v>Atrasado</v>
      </c>
      <c r="H24" s="41" t="s">
        <v>29</v>
      </c>
      <c r="I24" s="37" t="s">
        <v>64</v>
      </c>
      <c r="J24" s="37">
        <v>1</v>
      </c>
      <c r="K24" s="20" t="str">
        <f t="array" aca="1" ref="K24" ca="1">IF(
    VLOOKUP(
        $H24,
        _xlfn._xlws.FILTER(
            INDIRECT("'"&amp;K$1&amp;"'!A2:E1000"), (INDIRECT("'"&amp;K$1&amp;"'!B2:B1000")=$I24) * (INDIRECT("'"&amp;K$1&amp;"'!C2:C1000")=$J24)
        ),
        5,
        FALSE
    )=0,
    "",
    VLOOKUP(
        $H24,
        _xlfn._xlws.FILTER(
            INDIRECT("'"&amp;K$1&amp;"'!A2:E1000"), (INDIRECT("'"&amp;K$1&amp;"'!B2:B1000")=$I24) * (INDIRECT("'"&amp;K$1&amp;"'!C2:C1000")=$J24)
        ),
        5,
        FALSE
    )
)</f>
        <v>Enviado</v>
      </c>
      <c r="L24" s="20" t="str">
        <f t="array" aca="1" ref="L24" ca="1">IF(
    VLOOKUP(
        $H24,
        _xlfn._xlws.FILTER(
            INDIRECT("'"&amp;L$1&amp;"'!A2:E1000"), (INDIRECT("'"&amp;L$1&amp;"'!B2:B1000")=$I24) * (INDIRECT("'"&amp;L$1&amp;"'!C2:C1000")=$J24)
        ),
        5,
        FALSE
    )=0,
    "",
    VLOOKUP(
        $H24,
        _xlfn._xlws.FILTER(
            INDIRECT("'"&amp;L$1&amp;"'!A2:E1000"), (INDIRECT("'"&amp;L$1&amp;"'!B2:B1000")=$I24) * (INDIRECT("'"&amp;L$1&amp;"'!C2:C1000")=$J24)
        ),
        5,
        FALSE
    )
)</f>
        <v>Enviado</v>
      </c>
      <c r="M24" s="20" t="str">
        <f t="array" aca="1" ref="M24" ca="1">IF(
    VLOOKUP(
        $H24,
        _xlfn._xlws.FILTER(
            INDIRECT("'"&amp;M$1&amp;"'!A2:E1000"), (INDIRECT("'"&amp;M$1&amp;"'!B2:B1000")=$I24) * (INDIRECT("'"&amp;M$1&amp;"'!C2:C1000")=$J24)
        ),
        5,
        FALSE
    )=0,
    "",
    VLOOKUP(
        $H24,
        _xlfn._xlws.FILTER(
            INDIRECT("'"&amp;M$1&amp;"'!A2:E1000"), (INDIRECT("'"&amp;M$1&amp;"'!B2:B1000")=$I24) * (INDIRECT("'"&amp;M$1&amp;"'!C2:C1000")=$J24)
        ),
        5,
        FALSE
    )
)</f>
        <v>Enviado</v>
      </c>
    </row>
    <row r="25" spans="1:13">
      <c r="A25" s="40" t="s">
        <v>25</v>
      </c>
      <c r="B25" s="31" t="s">
        <v>65</v>
      </c>
      <c r="C25" s="31">
        <v>1</v>
      </c>
      <c r="D25" s="20" t="str">
        <f t="array" aca="1" ref="D25" ca="1">IF(
    VLOOKUP(
        $A25,
        _xlfn._xlws.FILTER(
            INDIRECT("'"&amp;D$1&amp;"'!A2:E1000"), (INDIRECT("'"&amp;D$1&amp;"'!B2:B1000")=$B25) * (INDIRECT("'"&amp;D$1&amp;"'!C2:C1000")=$C25)
        ),
        5,
        FALSE
    )=0,
    "",
    VLOOKUP(
        $A25,
        _xlfn._xlws.FILTER(
            INDIRECT("'"&amp;D$1&amp;"'!A2:E1000"), (INDIRECT("'"&amp;D$1&amp;"'!B2:B1000")=$B25) * (INDIRECT("'"&amp;D$1&amp;"'!C2:C1000")=$C25)
        ),
        5,
        FALSE
    )
)</f>
        <v>Enviado</v>
      </c>
      <c r="E25" s="20" t="str">
        <f t="array" aca="1" ref="E25" ca="1">IF(
    VLOOKUP(
        $A25,
        _xlfn._xlws.FILTER(
            INDIRECT("'"&amp;E$1&amp;"'!A2:E1000"), (INDIRECT("'"&amp;E$1&amp;"'!B2:B1000")=$B25) * (INDIRECT("'"&amp;E$1&amp;"'!C2:C1000")=$C25)
        ),
        5,
        FALSE
    )=0,
    "",
    VLOOKUP(
        $A25,
        _xlfn._xlws.FILTER(
            INDIRECT("'"&amp;E$1&amp;"'!A2:E1000"), (INDIRECT("'"&amp;E$1&amp;"'!B2:B1000")=$B25) * (INDIRECT("'"&amp;E$1&amp;"'!C2:C1000")=$C25)
        ),
        5,
        FALSE
    )
)</f>
        <v>Enviado</v>
      </c>
      <c r="F25" s="20" t="str">
        <f t="array" aca="1" ref="F25" ca="1">IF(
    VLOOKUP(
        $A25,
        _xlfn._xlws.FILTER(
            INDIRECT("'"&amp;F$1&amp;"'!A2:E1000"), (INDIRECT("'"&amp;F$1&amp;"'!B2:B1000")=$B25) * (INDIRECT("'"&amp;F$1&amp;"'!C2:C1000")=$C25)
        ),
        5,
        FALSE
    )=0,
    "",
    VLOOKUP(
        $A25,
        _xlfn._xlws.FILTER(
            INDIRECT("'"&amp;F$1&amp;"'!A2:E1000"), (INDIRECT("'"&amp;F$1&amp;"'!B2:B1000")=$B25) * (INDIRECT("'"&amp;F$1&amp;"'!C2:C1000")=$C25)
        ),
        5,
        FALSE
    )
)</f>
        <v>Enviado</v>
      </c>
      <c r="H25" s="41" t="s">
        <v>29</v>
      </c>
      <c r="I25" s="37" t="s">
        <v>66</v>
      </c>
      <c r="J25" s="37">
        <v>1</v>
      </c>
      <c r="K25" s="20" t="str">
        <f t="array" aca="1" ref="K25" ca="1">IF(
    VLOOKUP(
        $H25,
        _xlfn._xlws.FILTER(
            INDIRECT("'"&amp;K$1&amp;"'!A2:E1000"), (INDIRECT("'"&amp;K$1&amp;"'!B2:B1000")=$I25) * (INDIRECT("'"&amp;K$1&amp;"'!C2:C1000")=$J25)
        ),
        5,
        FALSE
    )=0,
    "",
    VLOOKUP(
        $H25,
        _xlfn._xlws.FILTER(
            INDIRECT("'"&amp;K$1&amp;"'!A2:E1000"), (INDIRECT("'"&amp;K$1&amp;"'!B2:B1000")=$I25) * (INDIRECT("'"&amp;K$1&amp;"'!C2:C1000")=$J25)
        ),
        5,
        FALSE
    )
)</f>
        <v>Enviado</v>
      </c>
      <c r="L25" s="20" t="str">
        <f t="array" aca="1" ref="L25" ca="1">IF(
    VLOOKUP(
        $H25,
        _xlfn._xlws.FILTER(
            INDIRECT("'"&amp;L$1&amp;"'!A2:E1000"), (INDIRECT("'"&amp;L$1&amp;"'!B2:B1000")=$I25) * (INDIRECT("'"&amp;L$1&amp;"'!C2:C1000")=$J25)
        ),
        5,
        FALSE
    )=0,
    "",
    VLOOKUP(
        $H25,
        _xlfn._xlws.FILTER(
            INDIRECT("'"&amp;L$1&amp;"'!A2:E1000"), (INDIRECT("'"&amp;L$1&amp;"'!B2:B1000")=$I25) * (INDIRECT("'"&amp;L$1&amp;"'!C2:C1000")=$J25)
        ),
        5,
        FALSE
    )
)</f>
        <v>Enviado</v>
      </c>
      <c r="M25" s="20" t="str">
        <f t="array" aca="1" ref="M25" ca="1">IF(
    VLOOKUP(
        $H25,
        _xlfn._xlws.FILTER(
            INDIRECT("'"&amp;M$1&amp;"'!A2:E1000"), (INDIRECT("'"&amp;M$1&amp;"'!B2:B1000")=$I25) * (INDIRECT("'"&amp;M$1&amp;"'!C2:C1000")=$J25)
        ),
        5,
        FALSE
    )=0,
    "",
    VLOOKUP(
        $H25,
        _xlfn._xlws.FILTER(
            INDIRECT("'"&amp;M$1&amp;"'!A2:E1000"), (INDIRECT("'"&amp;M$1&amp;"'!B2:B1000")=$I25) * (INDIRECT("'"&amp;M$1&amp;"'!C2:C1000")=$J25)
        ),
        5,
        FALSE
    )
)</f>
        <v>Enviado</v>
      </c>
    </row>
    <row r="26" spans="1:13">
      <c r="A26" s="40" t="s">
        <v>25</v>
      </c>
      <c r="B26" s="31" t="s">
        <v>67</v>
      </c>
      <c r="C26" s="31">
        <v>1</v>
      </c>
      <c r="D26" s="20" t="str">
        <f t="array" aca="1" ref="D26" ca="1">IF(
    VLOOKUP(
        $A26,
        _xlfn._xlws.FILTER(
            INDIRECT("'"&amp;D$1&amp;"'!A2:E1000"), (INDIRECT("'"&amp;D$1&amp;"'!B2:B1000")=$B26) * (INDIRECT("'"&amp;D$1&amp;"'!C2:C1000")=$C26)
        ),
        5,
        FALSE
    )=0,
    "",
    VLOOKUP(
        $A26,
        _xlfn._xlws.FILTER(
            INDIRECT("'"&amp;D$1&amp;"'!A2:E1000"), (INDIRECT("'"&amp;D$1&amp;"'!B2:B1000")=$B26) * (INDIRECT("'"&amp;D$1&amp;"'!C2:C1000")=$C26)
        ),
        5,
        FALSE
    )
)</f>
        <v>Duplicado</v>
      </c>
      <c r="E26" s="20" t="str">
        <f t="array" aca="1" ref="E26" ca="1">IF(
    VLOOKUP(
        $A26,
        _xlfn._xlws.FILTER(
            INDIRECT("'"&amp;E$1&amp;"'!A2:E1000"), (INDIRECT("'"&amp;E$1&amp;"'!B2:B1000")=$B26) * (INDIRECT("'"&amp;E$1&amp;"'!C2:C1000")=$C26)
        ),
        5,
        FALSE
    )=0,
    "",
    VLOOKUP(
        $A26,
        _xlfn._xlws.FILTER(
            INDIRECT("'"&amp;E$1&amp;"'!A2:E1000"), (INDIRECT("'"&amp;E$1&amp;"'!B2:B1000")=$B26) * (INDIRECT("'"&amp;E$1&amp;"'!C2:C1000")=$C26)
        ),
        5,
        FALSE
    )
)</f>
        <v>Enviado</v>
      </c>
      <c r="F26" s="20" t="str">
        <f t="array" aca="1" ref="F26" ca="1">IF(
    VLOOKUP(
        $A26,
        _xlfn._xlws.FILTER(
            INDIRECT("'"&amp;F$1&amp;"'!A2:E1000"), (INDIRECT("'"&amp;F$1&amp;"'!B2:B1000")=$B26) * (INDIRECT("'"&amp;F$1&amp;"'!C2:C1000")=$C26)
        ),
        5,
        FALSE
    )=0,
    "",
    VLOOKUP(
        $A26,
        _xlfn._xlws.FILTER(
            INDIRECT("'"&amp;F$1&amp;"'!A2:E1000"), (INDIRECT("'"&amp;F$1&amp;"'!B2:B1000")=$B26) * (INDIRECT("'"&amp;F$1&amp;"'!C2:C1000")=$C26)
        ),
        5,
        FALSE
    )
)</f>
        <v>Enviado</v>
      </c>
      <c r="H26" s="41" t="s">
        <v>29</v>
      </c>
      <c r="I26" s="37" t="s">
        <v>68</v>
      </c>
      <c r="J26" s="37">
        <v>1</v>
      </c>
      <c r="K26" s="20" t="str">
        <f t="array" aca="1" ref="K26" ca="1">IF(
    VLOOKUP(
        $H26,
        _xlfn._xlws.FILTER(
            INDIRECT("'"&amp;K$1&amp;"'!A2:E1000"), (INDIRECT("'"&amp;K$1&amp;"'!B2:B1000")=$I26) * (INDIRECT("'"&amp;K$1&amp;"'!C2:C1000")=$J26)
        ),
        5,
        FALSE
    )=0,
    "",
    VLOOKUP(
        $H26,
        _xlfn._xlws.FILTER(
            INDIRECT("'"&amp;K$1&amp;"'!A2:E1000"), (INDIRECT("'"&amp;K$1&amp;"'!B2:B1000")=$I26) * (INDIRECT("'"&amp;K$1&amp;"'!C2:C1000")=$J26)
        ),
        5,
        FALSE
    )
)</f>
        <v>Enviado</v>
      </c>
      <c r="L26" s="20" t="str">
        <f t="array" aca="1" ref="L26" ca="1">IF(
    VLOOKUP(
        $H26,
        _xlfn._xlws.FILTER(
            INDIRECT("'"&amp;L$1&amp;"'!A2:E1000"), (INDIRECT("'"&amp;L$1&amp;"'!B2:B1000")=$I26) * (INDIRECT("'"&amp;L$1&amp;"'!C2:C1000")=$J26)
        ),
        5,
        FALSE
    )=0,
    "",
    VLOOKUP(
        $H26,
        _xlfn._xlws.FILTER(
            INDIRECT("'"&amp;L$1&amp;"'!A2:E1000"), (INDIRECT("'"&amp;L$1&amp;"'!B2:B1000")=$I26) * (INDIRECT("'"&amp;L$1&amp;"'!C2:C1000")=$J26)
        ),
        5,
        FALSE
    )
)</f>
        <v>Atrasado</v>
      </c>
      <c r="M26" s="20" t="str">
        <f t="array" aca="1" ref="M26" ca="1">IF(
    VLOOKUP(
        $H26,
        _xlfn._xlws.FILTER(
            INDIRECT("'"&amp;M$1&amp;"'!A2:E1000"), (INDIRECT("'"&amp;M$1&amp;"'!B2:B1000")=$I26) * (INDIRECT("'"&amp;M$1&amp;"'!C2:C1000")=$J26)
        ),
        5,
        FALSE
    )=0,
    "",
    VLOOKUP(
        $H26,
        _xlfn._xlws.FILTER(
            INDIRECT("'"&amp;M$1&amp;"'!A2:E1000"), (INDIRECT("'"&amp;M$1&amp;"'!B2:B1000")=$I26) * (INDIRECT("'"&amp;M$1&amp;"'!C2:C1000")=$J26)
        ),
        5,
        FALSE
    )
)</f>
        <v>Atrasado</v>
      </c>
    </row>
    <row r="27" spans="1:13">
      <c r="A27" s="40" t="s">
        <v>25</v>
      </c>
      <c r="B27" s="31" t="s">
        <v>69</v>
      </c>
      <c r="C27" s="31">
        <v>1</v>
      </c>
      <c r="D27" s="20" t="str">
        <f t="array" aca="1" ref="D27" ca="1">IF(
    VLOOKUP(
        $A27,
        _xlfn._xlws.FILTER(
            INDIRECT("'"&amp;D$1&amp;"'!A2:E1000"), (INDIRECT("'"&amp;D$1&amp;"'!B2:B1000")=$B27) * (INDIRECT("'"&amp;D$1&amp;"'!C2:C1000")=$C27)
        ),
        5,
        FALSE
    )=0,
    "",
    VLOOKUP(
        $A27,
        _xlfn._xlws.FILTER(
            INDIRECT("'"&amp;D$1&amp;"'!A2:E1000"), (INDIRECT("'"&amp;D$1&amp;"'!B2:B1000")=$B27) * (INDIRECT("'"&amp;D$1&amp;"'!C2:C1000")=$C27)
        ),
        5,
        FALSE
    )
)</f>
        <v>Enviado</v>
      </c>
      <c r="E27" s="20" t="str">
        <f t="array" aca="1" ref="E27" ca="1">IF(
    VLOOKUP(
        $A27,
        _xlfn._xlws.FILTER(
            INDIRECT("'"&amp;E$1&amp;"'!A2:E1000"), (INDIRECT("'"&amp;E$1&amp;"'!B2:B1000")=$B27) * (INDIRECT("'"&amp;E$1&amp;"'!C2:C1000")=$C27)
        ),
        5,
        FALSE
    )=0,
    "",
    VLOOKUP(
        $A27,
        _xlfn._xlws.FILTER(
            INDIRECT("'"&amp;E$1&amp;"'!A2:E1000"), (INDIRECT("'"&amp;E$1&amp;"'!B2:B1000")=$B27) * (INDIRECT("'"&amp;E$1&amp;"'!C2:C1000")=$C27)
        ),
        5,
        FALSE
    )
)</f>
        <v>Enviado</v>
      </c>
      <c r="F27" s="20" t="str">
        <f t="array" aca="1" ref="F27" ca="1">IF(
    VLOOKUP(
        $A27,
        _xlfn._xlws.FILTER(
            INDIRECT("'"&amp;F$1&amp;"'!A2:E1000"), (INDIRECT("'"&amp;F$1&amp;"'!B2:B1000")=$B27) * (INDIRECT("'"&amp;F$1&amp;"'!C2:C1000")=$C27)
        ),
        5,
        FALSE
    )=0,
    "",
    VLOOKUP(
        $A27,
        _xlfn._xlws.FILTER(
            INDIRECT("'"&amp;F$1&amp;"'!A2:E1000"), (INDIRECT("'"&amp;F$1&amp;"'!B2:B1000")=$B27) * (INDIRECT("'"&amp;F$1&amp;"'!C2:C1000")=$C27)
        ),
        5,
        FALSE
    )
)</f>
        <v>Enviado</v>
      </c>
      <c r="H27" s="41" t="s">
        <v>29</v>
      </c>
      <c r="I27" s="37" t="s">
        <v>70</v>
      </c>
      <c r="J27" s="37">
        <v>1</v>
      </c>
      <c r="K27" s="20" t="str">
        <f t="array" aca="1" ref="K27" ca="1">IF(
    VLOOKUP(
        $H27,
        _xlfn._xlws.FILTER(
            INDIRECT("'"&amp;K$1&amp;"'!A2:E1000"), (INDIRECT("'"&amp;K$1&amp;"'!B2:B1000")=$I27) * (INDIRECT("'"&amp;K$1&amp;"'!C2:C1000")=$J27)
        ),
        5,
        FALSE
    )=0,
    "",
    VLOOKUP(
        $H27,
        _xlfn._xlws.FILTER(
            INDIRECT("'"&amp;K$1&amp;"'!A2:E1000"), (INDIRECT("'"&amp;K$1&amp;"'!B2:B1000")=$I27) * (INDIRECT("'"&amp;K$1&amp;"'!C2:C1000")=$J27)
        ),
        5,
        FALSE
    )
)</f>
        <v>Enviado</v>
      </c>
      <c r="L27" s="20" t="str">
        <f t="array" aca="1" ref="L27" ca="1">IF(
    VLOOKUP(
        $H27,
        _xlfn._xlws.FILTER(
            INDIRECT("'"&amp;L$1&amp;"'!A2:E1000"), (INDIRECT("'"&amp;L$1&amp;"'!B2:B1000")=$I27) * (INDIRECT("'"&amp;L$1&amp;"'!C2:C1000")=$J27)
        ),
        5,
        FALSE
    )=0,
    "",
    VLOOKUP(
        $H27,
        _xlfn._xlws.FILTER(
            INDIRECT("'"&amp;L$1&amp;"'!A2:E1000"), (INDIRECT("'"&amp;L$1&amp;"'!B2:B1000")=$I27) * (INDIRECT("'"&amp;L$1&amp;"'!C2:C1000")=$J27)
        ),
        5,
        FALSE
    )
)</f>
        <v>Enviado</v>
      </c>
      <c r="M27" s="20" t="str">
        <f t="array" aca="1" ref="M27" ca="1">IF(
    VLOOKUP(
        $H27,
        _xlfn._xlws.FILTER(
            INDIRECT("'"&amp;M$1&amp;"'!A2:E1000"), (INDIRECT("'"&amp;M$1&amp;"'!B2:B1000")=$I27) * (INDIRECT("'"&amp;M$1&amp;"'!C2:C1000")=$J27)
        ),
        5,
        FALSE
    )=0,
    "",
    VLOOKUP(
        $H27,
        _xlfn._xlws.FILTER(
            INDIRECT("'"&amp;M$1&amp;"'!A2:E1000"), (INDIRECT("'"&amp;M$1&amp;"'!B2:B1000")=$I27) * (INDIRECT("'"&amp;M$1&amp;"'!C2:C1000")=$J27)
        ),
        5,
        FALSE
    )
)</f>
        <v>Enviado</v>
      </c>
    </row>
    <row r="28" spans="1:13">
      <c r="A28" s="40" t="s">
        <v>25</v>
      </c>
      <c r="B28" s="31" t="s">
        <v>71</v>
      </c>
      <c r="C28" s="31">
        <v>1</v>
      </c>
      <c r="D28" s="20" t="str">
        <f t="array" aca="1" ref="D28" ca="1">IF(
    VLOOKUP(
        $A28,
        _xlfn._xlws.FILTER(
            INDIRECT("'"&amp;D$1&amp;"'!A2:E1000"), (INDIRECT("'"&amp;D$1&amp;"'!B2:B1000")=$B28) * (INDIRECT("'"&amp;D$1&amp;"'!C2:C1000")=$C28)
        ),
        5,
        FALSE
    )=0,
    "",
    VLOOKUP(
        $A28,
        _xlfn._xlws.FILTER(
            INDIRECT("'"&amp;D$1&amp;"'!A2:E1000"), (INDIRECT("'"&amp;D$1&amp;"'!B2:B1000")=$B28) * (INDIRECT("'"&amp;D$1&amp;"'!C2:C1000")=$C28)
        ),
        5,
        FALSE
    )
)</f>
        <v>Enviado</v>
      </c>
      <c r="E28" s="20" t="str">
        <f t="array" aca="1" ref="E28" ca="1">IF(
    VLOOKUP(
        $A28,
        _xlfn._xlws.FILTER(
            INDIRECT("'"&amp;E$1&amp;"'!A2:E1000"), (INDIRECT("'"&amp;E$1&amp;"'!B2:B1000")=$B28) * (INDIRECT("'"&amp;E$1&amp;"'!C2:C1000")=$C28)
        ),
        5,
        FALSE
    )=0,
    "",
    VLOOKUP(
        $A28,
        _xlfn._xlws.FILTER(
            INDIRECT("'"&amp;E$1&amp;"'!A2:E1000"), (INDIRECT("'"&amp;E$1&amp;"'!B2:B1000")=$B28) * (INDIRECT("'"&amp;E$1&amp;"'!C2:C1000")=$C28)
        ),
        5,
        FALSE
    )
)</f>
        <v>Enviado</v>
      </c>
      <c r="F28" s="20" t="str">
        <f t="array" aca="1" ref="F28" ca="1">IF(
    VLOOKUP(
        $A28,
        _xlfn._xlws.FILTER(
            INDIRECT("'"&amp;F$1&amp;"'!A2:E1000"), (INDIRECT("'"&amp;F$1&amp;"'!B2:B1000")=$B28) * (INDIRECT("'"&amp;F$1&amp;"'!C2:C1000")=$C28)
        ),
        5,
        FALSE
    )=0,
    "",
    VLOOKUP(
        $A28,
        _xlfn._xlws.FILTER(
            INDIRECT("'"&amp;F$1&amp;"'!A2:E1000"), (INDIRECT("'"&amp;F$1&amp;"'!B2:B1000")=$B28) * (INDIRECT("'"&amp;F$1&amp;"'!C2:C1000")=$C28)
        ),
        5,
        FALSE
    )
)</f>
        <v>Enviado</v>
      </c>
      <c r="H28" s="41" t="s">
        <v>29</v>
      </c>
      <c r="I28" s="37" t="s">
        <v>72</v>
      </c>
      <c r="J28" s="37">
        <v>1</v>
      </c>
      <c r="K28" s="20" t="str">
        <f t="array" aca="1" ref="K28" ca="1">IF(
    VLOOKUP(
        $H28,
        _xlfn._xlws.FILTER(
            INDIRECT("'"&amp;K$1&amp;"'!A2:E1000"), (INDIRECT("'"&amp;K$1&amp;"'!B2:B1000")=$I28) * (INDIRECT("'"&amp;K$1&amp;"'!C2:C1000")=$J28)
        ),
        5,
        FALSE
    )=0,
    "",
    VLOOKUP(
        $H28,
        _xlfn._xlws.FILTER(
            INDIRECT("'"&amp;K$1&amp;"'!A2:E1000"), (INDIRECT("'"&amp;K$1&amp;"'!B2:B1000")=$I28) * (INDIRECT("'"&amp;K$1&amp;"'!C2:C1000")=$J28)
        ),
        5,
        FALSE
    )
)</f>
        <v>Enviado</v>
      </c>
      <c r="L28" s="20" t="str">
        <f t="array" aca="1" ref="L28" ca="1">IF(
    VLOOKUP(
        $H28,
        _xlfn._xlws.FILTER(
            INDIRECT("'"&amp;L$1&amp;"'!A2:E1000"), (INDIRECT("'"&amp;L$1&amp;"'!B2:B1000")=$I28) * (INDIRECT("'"&amp;L$1&amp;"'!C2:C1000")=$J28)
        ),
        5,
        FALSE
    )=0,
    "",
    VLOOKUP(
        $H28,
        _xlfn._xlws.FILTER(
            INDIRECT("'"&amp;L$1&amp;"'!A2:E1000"), (INDIRECT("'"&amp;L$1&amp;"'!B2:B1000")=$I28) * (INDIRECT("'"&amp;L$1&amp;"'!C2:C1000")=$J28)
        ),
        5,
        FALSE
    )
)</f>
        <v>Enviado</v>
      </c>
      <c r="M28" s="20" t="str">
        <f t="array" aca="1" ref="M28" ca="1">IF(
    VLOOKUP(
        $H28,
        _xlfn._xlws.FILTER(
            INDIRECT("'"&amp;M$1&amp;"'!A2:E1000"), (INDIRECT("'"&amp;M$1&amp;"'!B2:B1000")=$I28) * (INDIRECT("'"&amp;M$1&amp;"'!C2:C1000")=$J28)
        ),
        5,
        FALSE
    )=0,
    "",
    VLOOKUP(
        $H28,
        _xlfn._xlws.FILTER(
            INDIRECT("'"&amp;M$1&amp;"'!A2:E1000"), (INDIRECT("'"&amp;M$1&amp;"'!B2:B1000")=$I28) * (INDIRECT("'"&amp;M$1&amp;"'!C2:C1000")=$J28)
        ),
        5,
        FALSE
    )
)</f>
        <v>Enviado</v>
      </c>
    </row>
    <row r="29" spans="1:13">
      <c r="A29" s="40" t="s">
        <v>25</v>
      </c>
      <c r="B29" s="31" t="s">
        <v>73</v>
      </c>
      <c r="C29" s="31">
        <v>1</v>
      </c>
      <c r="D29" s="20" t="str">
        <f t="array" aca="1" ref="D29" ca="1">IF(
    VLOOKUP(
        $A29,
        _xlfn._xlws.FILTER(
            INDIRECT("'"&amp;D$1&amp;"'!A2:E1000"), (INDIRECT("'"&amp;D$1&amp;"'!B2:B1000")=$B29) * (INDIRECT("'"&amp;D$1&amp;"'!C2:C1000")=$C29)
        ),
        5,
        FALSE
    )=0,
    "",
    VLOOKUP(
        $A29,
        _xlfn._xlws.FILTER(
            INDIRECT("'"&amp;D$1&amp;"'!A2:E1000"), (INDIRECT("'"&amp;D$1&amp;"'!B2:B1000")=$B29) * (INDIRECT("'"&amp;D$1&amp;"'!C2:C1000")=$C29)
        ),
        5,
        FALSE
    )
)</f>
        <v>Atrasado</v>
      </c>
      <c r="E29" s="20" t="str">
        <f t="array" aca="1" ref="E29" ca="1">IF(
    VLOOKUP(
        $A29,
        _xlfn._xlws.FILTER(
            INDIRECT("'"&amp;E$1&amp;"'!A2:E1000"), (INDIRECT("'"&amp;E$1&amp;"'!B2:B1000")=$B29) * (INDIRECT("'"&amp;E$1&amp;"'!C2:C1000")=$C29)
        ),
        5,
        FALSE
    )=0,
    "",
    VLOOKUP(
        $A29,
        _xlfn._xlws.FILTER(
            INDIRECT("'"&amp;E$1&amp;"'!A2:E1000"), (INDIRECT("'"&amp;E$1&amp;"'!B2:B1000")=$B29) * (INDIRECT("'"&amp;E$1&amp;"'!C2:C1000")=$C29)
        ),
        5,
        FALSE
    )
)</f>
        <v>Atrasado</v>
      </c>
      <c r="F29" s="20" t="str">
        <f t="array" aca="1" ref="F29" ca="1">IF(
    VLOOKUP(
        $A29,
        _xlfn._xlws.FILTER(
            INDIRECT("'"&amp;F$1&amp;"'!A2:E1000"), (INDIRECT("'"&amp;F$1&amp;"'!B2:B1000")=$B29) * (INDIRECT("'"&amp;F$1&amp;"'!C2:C1000")=$C29)
        ),
        5,
        FALSE
    )=0,
    "",
    VLOOKUP(
        $A29,
        _xlfn._xlws.FILTER(
            INDIRECT("'"&amp;F$1&amp;"'!A2:E1000"), (INDIRECT("'"&amp;F$1&amp;"'!B2:B1000")=$B29) * (INDIRECT("'"&amp;F$1&amp;"'!C2:C1000")=$C29)
        ),
        5,
        FALSE
    )
)</f>
        <v>Atrasado</v>
      </c>
      <c r="H29" s="41" t="s">
        <v>29</v>
      </c>
      <c r="I29" s="37" t="s">
        <v>74</v>
      </c>
      <c r="J29" s="37">
        <v>1</v>
      </c>
      <c r="K29" s="20" t="str">
        <f t="array" aca="1" ref="K29" ca="1">IF(
    VLOOKUP(
        $H29,
        _xlfn._xlws.FILTER(
            INDIRECT("'"&amp;K$1&amp;"'!A2:E1000"), (INDIRECT("'"&amp;K$1&amp;"'!B2:B1000")=$I29) * (INDIRECT("'"&amp;K$1&amp;"'!C2:C1000")=$J29)
        ),
        5,
        FALSE
    )=0,
    "",
    VLOOKUP(
        $H29,
        _xlfn._xlws.FILTER(
            INDIRECT("'"&amp;K$1&amp;"'!A2:E1000"), (INDIRECT("'"&amp;K$1&amp;"'!B2:B1000")=$I29) * (INDIRECT("'"&amp;K$1&amp;"'!C2:C1000")=$J29)
        ),
        5,
        FALSE
    )
)</f>
        <v>Enviado</v>
      </c>
      <c r="L29" s="20" t="str">
        <f t="array" aca="1" ref="L29" ca="1">IF(
    VLOOKUP(
        $H29,
        _xlfn._xlws.FILTER(
            INDIRECT("'"&amp;L$1&amp;"'!A2:E1000"), (INDIRECT("'"&amp;L$1&amp;"'!B2:B1000")=$I29) * (INDIRECT("'"&amp;L$1&amp;"'!C2:C1000")=$J29)
        ),
        5,
        FALSE
    )=0,
    "",
    VLOOKUP(
        $H29,
        _xlfn._xlws.FILTER(
            INDIRECT("'"&amp;L$1&amp;"'!A2:E1000"), (INDIRECT("'"&amp;L$1&amp;"'!B2:B1000")=$I29) * (INDIRECT("'"&amp;L$1&amp;"'!C2:C1000")=$J29)
        ),
        5,
        FALSE
    )
)</f>
        <v>Enviado</v>
      </c>
      <c r="M29" s="20" t="str">
        <f t="array" aca="1" ref="M29" ca="1">IF(
    VLOOKUP(
        $H29,
        _xlfn._xlws.FILTER(
            INDIRECT("'"&amp;M$1&amp;"'!A2:E1000"), (INDIRECT("'"&amp;M$1&amp;"'!B2:B1000")=$I29) * (INDIRECT("'"&amp;M$1&amp;"'!C2:C1000")=$J29)
        ),
        5,
        FALSE
    )=0,
    "",
    VLOOKUP(
        $H29,
        _xlfn._xlws.FILTER(
            INDIRECT("'"&amp;M$1&amp;"'!A2:E1000"), (INDIRECT("'"&amp;M$1&amp;"'!B2:B1000")=$I29) * (INDIRECT("'"&amp;M$1&amp;"'!C2:C1000")=$J29)
        ),
        5,
        FALSE
    )
)</f>
        <v>Enviado</v>
      </c>
    </row>
    <row r="30" spans="1:13">
      <c r="A30" s="40" t="s">
        <v>25</v>
      </c>
      <c r="B30" s="31" t="s">
        <v>75</v>
      </c>
      <c r="C30" s="31">
        <v>1</v>
      </c>
      <c r="D30" s="20" t="str">
        <f t="array" aca="1" ref="D30" ca="1">IF(
    VLOOKUP(
        $A30,
        _xlfn._xlws.FILTER(
            INDIRECT("'"&amp;D$1&amp;"'!A2:E1000"), (INDIRECT("'"&amp;D$1&amp;"'!B2:B1000")=$B30) * (INDIRECT("'"&amp;D$1&amp;"'!C2:C1000")=$C30)
        ),
        5,
        FALSE
    )=0,
    "",
    VLOOKUP(
        $A30,
        _xlfn._xlws.FILTER(
            INDIRECT("'"&amp;D$1&amp;"'!A2:E1000"), (INDIRECT("'"&amp;D$1&amp;"'!B2:B1000")=$B30) * (INDIRECT("'"&amp;D$1&amp;"'!C2:C1000")=$C30)
        ),
        5,
        FALSE
    )
)</f>
        <v>Atrasado</v>
      </c>
      <c r="E30" s="20" t="str">
        <f t="array" aca="1" ref="E30" ca="1">IF(
    VLOOKUP(
        $A30,
        _xlfn._xlws.FILTER(
            INDIRECT("'"&amp;E$1&amp;"'!A2:E1000"), (INDIRECT("'"&amp;E$1&amp;"'!B2:B1000")=$B30) * (INDIRECT("'"&amp;E$1&amp;"'!C2:C1000")=$C30)
        ),
        5,
        FALSE
    )=0,
    "",
    VLOOKUP(
        $A30,
        _xlfn._xlws.FILTER(
            INDIRECT("'"&amp;E$1&amp;"'!A2:E1000"), (INDIRECT("'"&amp;E$1&amp;"'!B2:B1000")=$B30) * (INDIRECT("'"&amp;E$1&amp;"'!C2:C1000")=$C30)
        ),
        5,
        FALSE
    )
)</f>
        <v>Enviado</v>
      </c>
      <c r="F30" s="20" t="str">
        <f t="array" aca="1" ref="F30" ca="1">IF(
    VLOOKUP(
        $A30,
        _xlfn._xlws.FILTER(
            INDIRECT("'"&amp;F$1&amp;"'!A2:E1000"), (INDIRECT("'"&amp;F$1&amp;"'!B2:B1000")=$B30) * (INDIRECT("'"&amp;F$1&amp;"'!C2:C1000")=$C30)
        ),
        5,
        FALSE
    )=0,
    "",
    VLOOKUP(
        $A30,
        _xlfn._xlws.FILTER(
            INDIRECT("'"&amp;F$1&amp;"'!A2:E1000"), (INDIRECT("'"&amp;F$1&amp;"'!B2:B1000")=$B30) * (INDIRECT("'"&amp;F$1&amp;"'!C2:C1000")=$C30)
        ),
        5,
        FALSE
    )
)</f>
        <v>Atrasado</v>
      </c>
      <c r="H30" s="41" t="s">
        <v>29</v>
      </c>
      <c r="I30" s="37" t="s">
        <v>76</v>
      </c>
      <c r="J30" s="37">
        <v>1</v>
      </c>
      <c r="K30" s="20" t="str">
        <f t="array" aca="1" ref="K30" ca="1">IF(
    VLOOKUP(
        $H30,
        _xlfn._xlws.FILTER(
            INDIRECT("'"&amp;K$1&amp;"'!A2:E1000"), (INDIRECT("'"&amp;K$1&amp;"'!B2:B1000")=$I30) * (INDIRECT("'"&amp;K$1&amp;"'!C2:C1000")=$J30)
        ),
        5,
        FALSE
    )=0,
    "",
    VLOOKUP(
        $H30,
        _xlfn._xlws.FILTER(
            INDIRECT("'"&amp;K$1&amp;"'!A2:E1000"), (INDIRECT("'"&amp;K$1&amp;"'!B2:B1000")=$I30) * (INDIRECT("'"&amp;K$1&amp;"'!C2:C1000")=$J30)
        ),
        5,
        FALSE
    )
)</f>
        <v>Enviado</v>
      </c>
      <c r="L30" s="20" t="str">
        <f t="array" aca="1" ref="L30" ca="1">IF(
    VLOOKUP(
        $H30,
        _xlfn._xlws.FILTER(
            INDIRECT("'"&amp;L$1&amp;"'!A2:E1000"), (INDIRECT("'"&amp;L$1&amp;"'!B2:B1000")=$I30) * (INDIRECT("'"&amp;L$1&amp;"'!C2:C1000")=$J30)
        ),
        5,
        FALSE
    )=0,
    "",
    VLOOKUP(
        $H30,
        _xlfn._xlws.FILTER(
            INDIRECT("'"&amp;L$1&amp;"'!A2:E1000"), (INDIRECT("'"&amp;L$1&amp;"'!B2:B1000")=$I30) * (INDIRECT("'"&amp;L$1&amp;"'!C2:C1000")=$J30)
        ),
        5,
        FALSE
    )
)</f>
        <v>Enviado</v>
      </c>
      <c r="M30" s="20" t="str">
        <f t="array" aca="1" ref="M30" ca="1">IF(
    VLOOKUP(
        $H30,
        _xlfn._xlws.FILTER(
            INDIRECT("'"&amp;M$1&amp;"'!A2:E1000"), (INDIRECT("'"&amp;M$1&amp;"'!B2:B1000")=$I30) * (INDIRECT("'"&amp;M$1&amp;"'!C2:C1000")=$J30)
        ),
        5,
        FALSE
    )=0,
    "",
    VLOOKUP(
        $H30,
        _xlfn._xlws.FILTER(
            INDIRECT("'"&amp;M$1&amp;"'!A2:E1000"), (INDIRECT("'"&amp;M$1&amp;"'!B2:B1000")=$I30) * (INDIRECT("'"&amp;M$1&amp;"'!C2:C1000")=$J30)
        ),
        5,
        FALSE
    )
)</f>
        <v>Enviado</v>
      </c>
    </row>
    <row r="31" spans="1:13">
      <c r="A31" s="40" t="s">
        <v>25</v>
      </c>
      <c r="B31" s="31" t="s">
        <v>77</v>
      </c>
      <c r="C31" s="31">
        <v>1</v>
      </c>
      <c r="D31" s="20" t="str">
        <f t="array" aca="1" ref="D31" ca="1">IF(
    VLOOKUP(
        $A31,
        _xlfn._xlws.FILTER(
            INDIRECT("'"&amp;D$1&amp;"'!A2:E1000"), (INDIRECT("'"&amp;D$1&amp;"'!B2:B1000")=$B31) * (INDIRECT("'"&amp;D$1&amp;"'!C2:C1000")=$C31)
        ),
        5,
        FALSE
    )=0,
    "",
    VLOOKUP(
        $A31,
        _xlfn._xlws.FILTER(
            INDIRECT("'"&amp;D$1&amp;"'!A2:E1000"), (INDIRECT("'"&amp;D$1&amp;"'!B2:B1000")=$B31) * (INDIRECT("'"&amp;D$1&amp;"'!C2:C1000")=$C31)
        ),
        5,
        FALSE
    )
)</f>
        <v>Enviado</v>
      </c>
      <c r="E31" s="20" t="str">
        <f t="array" aca="1" ref="E31" ca="1">IF(
    VLOOKUP(
        $A31,
        _xlfn._xlws.FILTER(
            INDIRECT("'"&amp;E$1&amp;"'!A2:E1000"), (INDIRECT("'"&amp;E$1&amp;"'!B2:B1000")=$B31) * (INDIRECT("'"&amp;E$1&amp;"'!C2:C1000")=$C31)
        ),
        5,
        FALSE
    )=0,
    "",
    VLOOKUP(
        $A31,
        _xlfn._xlws.FILTER(
            INDIRECT("'"&amp;E$1&amp;"'!A2:E1000"), (INDIRECT("'"&amp;E$1&amp;"'!B2:B1000")=$B31) * (INDIRECT("'"&amp;E$1&amp;"'!C2:C1000")=$C31)
        ),
        5,
        FALSE
    )
)</f>
        <v>Enviado</v>
      </c>
      <c r="F31" s="20" t="str">
        <f t="array" aca="1" ref="F31" ca="1">IF(
    VLOOKUP(
        $A31,
        _xlfn._xlws.FILTER(
            INDIRECT("'"&amp;F$1&amp;"'!A2:E1000"), (INDIRECT("'"&amp;F$1&amp;"'!B2:B1000")=$B31) * (INDIRECT("'"&amp;F$1&amp;"'!C2:C1000")=$C31)
        ),
        5,
        FALSE
    )=0,
    "",
    VLOOKUP(
        $A31,
        _xlfn._xlws.FILTER(
            INDIRECT("'"&amp;F$1&amp;"'!A2:E1000"), (INDIRECT("'"&amp;F$1&amp;"'!B2:B1000")=$B31) * (INDIRECT("'"&amp;F$1&amp;"'!C2:C1000")=$C31)
        ),
        5,
        FALSE
    )
)</f>
        <v>Enviado</v>
      </c>
      <c r="H31" s="41" t="s">
        <v>29</v>
      </c>
      <c r="I31" s="37" t="s">
        <v>78</v>
      </c>
      <c r="J31" s="37">
        <v>1</v>
      </c>
      <c r="K31" s="20" t="str">
        <f t="array" aca="1" ref="K31" ca="1">IF(
    VLOOKUP(
        $H31,
        _xlfn._xlws.FILTER(
            INDIRECT("'"&amp;K$1&amp;"'!A2:E1000"), (INDIRECT("'"&amp;K$1&amp;"'!B2:B1000")=$I31) * (INDIRECT("'"&amp;K$1&amp;"'!C2:C1000")=$J31)
        ),
        5,
        FALSE
    )=0,
    "",
    VLOOKUP(
        $H31,
        _xlfn._xlws.FILTER(
            INDIRECT("'"&amp;K$1&amp;"'!A2:E1000"), (INDIRECT("'"&amp;K$1&amp;"'!B2:B1000")=$I31) * (INDIRECT("'"&amp;K$1&amp;"'!C2:C1000")=$J31)
        ),
        5,
        FALSE
    )
)</f>
        <v>Atrasado</v>
      </c>
      <c r="L31" s="20" t="str">
        <f t="array" aca="1" ref="L31" ca="1">IF(
    VLOOKUP(
        $H31,
        _xlfn._xlws.FILTER(
            INDIRECT("'"&amp;L$1&amp;"'!A2:E1000"), (INDIRECT("'"&amp;L$1&amp;"'!B2:B1000")=$I31) * (INDIRECT("'"&amp;L$1&amp;"'!C2:C1000")=$J31)
        ),
        5,
        FALSE
    )=0,
    "",
    VLOOKUP(
        $H31,
        _xlfn._xlws.FILTER(
            INDIRECT("'"&amp;L$1&amp;"'!A2:E1000"), (INDIRECT("'"&amp;L$1&amp;"'!B2:B1000")=$I31) * (INDIRECT("'"&amp;L$1&amp;"'!C2:C1000")=$J31)
        ),
        5,
        FALSE
    )
)</f>
        <v>Atrasado</v>
      </c>
      <c r="M31" s="20" t="str">
        <f t="array" aca="1" ref="M31" ca="1">IF(
    VLOOKUP(
        $H31,
        _xlfn._xlws.FILTER(
            INDIRECT("'"&amp;M$1&amp;"'!A2:E1000"), (INDIRECT("'"&amp;M$1&amp;"'!B2:B1000")=$I31) * (INDIRECT("'"&amp;M$1&amp;"'!C2:C1000")=$J31)
        ),
        5,
        FALSE
    )=0,
    "",
    VLOOKUP(
        $H31,
        _xlfn._xlws.FILTER(
            INDIRECT("'"&amp;M$1&amp;"'!A2:E1000"), (INDIRECT("'"&amp;M$1&amp;"'!B2:B1000")=$I31) * (INDIRECT("'"&amp;M$1&amp;"'!C2:C1000")=$J31)
        ),
        5,
        FALSE
    )
)</f>
        <v>Atrasado</v>
      </c>
    </row>
    <row r="33" spans="1:6" ht="15.75" customHeight="1">
      <c r="A33" s="42" t="s">
        <v>21</v>
      </c>
      <c r="B33" s="18" t="s">
        <v>30</v>
      </c>
      <c r="C33" s="18" t="s">
        <v>31</v>
      </c>
      <c r="D33" s="18" t="s">
        <v>22</v>
      </c>
      <c r="E33" s="18" t="s">
        <v>23</v>
      </c>
      <c r="F33" s="18" t="s">
        <v>24</v>
      </c>
    </row>
    <row r="34" spans="1:6">
      <c r="A34" s="43" t="s">
        <v>27</v>
      </c>
      <c r="B34" s="31" t="s">
        <v>79</v>
      </c>
      <c r="C34" s="31">
        <v>1</v>
      </c>
      <c r="D34" s="20" t="str">
        <f t="array" aca="1" ref="D34" ca="1">IF(
    VLOOKUP(
        $A34,
        _xlfn._xlws.FILTER(
            INDIRECT("'"&amp;D$1&amp;"'!A2:E1000"), (INDIRECT("'"&amp;D$1&amp;"'!B2:B1000")=$B34) * (INDIRECT("'"&amp;D$1&amp;"'!C2:C1000")=$C34)
        ),
        5,
        FALSE
    )=0,
    "",
    VLOOKUP(
        $A34,
        _xlfn._xlws.FILTER(
            INDIRECT("'"&amp;D$1&amp;"'!A2:E1000"), (INDIRECT("'"&amp;D$1&amp;"'!B2:B1000")=$B34) * (INDIRECT("'"&amp;D$1&amp;"'!C2:C1000")=$C34)
        ),
        5,
        FALSE
    )
)</f>
        <v>Enviado</v>
      </c>
      <c r="E34" s="20" t="str">
        <f t="array" aca="1" ref="E34" ca="1">IF(
    VLOOKUP(
        $A34,
        _xlfn._xlws.FILTER(
            INDIRECT("'"&amp;E$1&amp;"'!A2:E1000"), (INDIRECT("'"&amp;E$1&amp;"'!B2:B1000")=$B34) * (INDIRECT("'"&amp;E$1&amp;"'!C2:C1000")=$C34)
        ),
        5,
        FALSE
    )=0,
    "",
    VLOOKUP(
        $A34,
        _xlfn._xlws.FILTER(
            INDIRECT("'"&amp;E$1&amp;"'!A2:E1000"), (INDIRECT("'"&amp;E$1&amp;"'!B2:B1000")=$B34) * (INDIRECT("'"&amp;E$1&amp;"'!C2:C1000")=$C34)
        ),
        5,
        FALSE
    )
)</f>
        <v>Enviado</v>
      </c>
      <c r="F34" s="20" t="str">
        <f t="array" aca="1" ref="F34" ca="1">IF(
    VLOOKUP(
        $A34,
        _xlfn._xlws.FILTER(
            INDIRECT("'"&amp;F$1&amp;"'!A2:E1000"), (INDIRECT("'"&amp;F$1&amp;"'!B2:B1000")=$B34) * (INDIRECT("'"&amp;F$1&amp;"'!C2:C1000")=$C34)
        ),
        5,
        FALSE
    )=0,
    "",
    VLOOKUP(
        $A34,
        _xlfn._xlws.FILTER(
            INDIRECT("'"&amp;F$1&amp;"'!A2:E1000"), (INDIRECT("'"&amp;F$1&amp;"'!B2:B1000")=$B34) * (INDIRECT("'"&amp;F$1&amp;"'!C2:C1000")=$C34)
        ),
        5,
        FALSE
    )
)</f>
        <v>Atrasado</v>
      </c>
    </row>
    <row r="35" spans="1:6">
      <c r="A35" s="43" t="s">
        <v>27</v>
      </c>
      <c r="B35" s="31" t="s">
        <v>80</v>
      </c>
      <c r="C35" s="31">
        <v>1</v>
      </c>
      <c r="D35" s="20" t="str">
        <f t="array" aca="1" ref="D35" ca="1">IF(
    VLOOKUP(
        $A35,
        _xlfn._xlws.FILTER(
            INDIRECT("'"&amp;D$1&amp;"'!A2:E1000"), (INDIRECT("'"&amp;D$1&amp;"'!B2:B1000")=$B35) * (INDIRECT("'"&amp;D$1&amp;"'!C2:C1000")=$C35)
        ),
        5,
        FALSE
    )=0,
    "",
    VLOOKUP(
        $A35,
        _xlfn._xlws.FILTER(
            INDIRECT("'"&amp;D$1&amp;"'!A2:E1000"), (INDIRECT("'"&amp;D$1&amp;"'!B2:B1000")=$B35) * (INDIRECT("'"&amp;D$1&amp;"'!C2:C1000")=$C35)
        ),
        5,
        FALSE
    )
)</f>
        <v>Duplicado</v>
      </c>
      <c r="E35" s="20" t="str">
        <f t="array" aca="1" ref="E35" ca="1">IF(
    VLOOKUP(
        $A35,
        _xlfn._xlws.FILTER(
            INDIRECT("'"&amp;E$1&amp;"'!A2:E1000"), (INDIRECT("'"&amp;E$1&amp;"'!B2:B1000")=$B35) * (INDIRECT("'"&amp;E$1&amp;"'!C2:C1000")=$C35)
        ),
        5,
        FALSE
    )=0,
    "",
    VLOOKUP(
        $A35,
        _xlfn._xlws.FILTER(
            INDIRECT("'"&amp;E$1&amp;"'!A2:E1000"), (INDIRECT("'"&amp;E$1&amp;"'!B2:B1000")=$B35) * (INDIRECT("'"&amp;E$1&amp;"'!C2:C1000")=$C35)
        ),
        5,
        FALSE
    )
)</f>
        <v>Enviado</v>
      </c>
      <c r="F35" s="20" t="str">
        <f t="array" aca="1" ref="F35" ca="1">IF(
    VLOOKUP(
        $A35,
        _xlfn._xlws.FILTER(
            INDIRECT("'"&amp;F$1&amp;"'!A2:E1000"), (INDIRECT("'"&amp;F$1&amp;"'!B2:B1000")=$B35) * (INDIRECT("'"&amp;F$1&amp;"'!C2:C1000")=$C35)
        ),
        5,
        FALSE
    )=0,
    "",
    VLOOKUP(
        $A35,
        _xlfn._xlws.FILTER(
            INDIRECT("'"&amp;F$1&amp;"'!A2:E1000"), (INDIRECT("'"&amp;F$1&amp;"'!B2:B1000")=$B35) * (INDIRECT("'"&amp;F$1&amp;"'!C2:C1000")=$C35)
        ),
        5,
        FALSE
    )
)</f>
        <v>Enviado</v>
      </c>
    </row>
    <row r="36" spans="1:6">
      <c r="A36" s="43" t="s">
        <v>27</v>
      </c>
      <c r="B36" s="31" t="s">
        <v>80</v>
      </c>
      <c r="C36" s="31">
        <v>2</v>
      </c>
      <c r="D36" s="20" t="str">
        <f t="array" aca="1" ref="D36" ca="1">IF(
    VLOOKUP(
        $A36,
        _xlfn._xlws.FILTER(
            INDIRECT("'"&amp;D$1&amp;"'!A2:E1000"), (INDIRECT("'"&amp;D$1&amp;"'!B2:B1000")=$B36) * (INDIRECT("'"&amp;D$1&amp;"'!C2:C1000")=$C36)
        ),
        5,
        FALSE
    )=0,
    "",
    VLOOKUP(
        $A36,
        _xlfn._xlws.FILTER(
            INDIRECT("'"&amp;D$1&amp;"'!A2:E1000"), (INDIRECT("'"&amp;D$1&amp;"'!B2:B1000")=$B36) * (INDIRECT("'"&amp;D$1&amp;"'!C2:C1000")=$C36)
        ),
        5,
        FALSE
    )
)</f>
        <v>Duplicado</v>
      </c>
      <c r="E36" s="20" t="str">
        <f t="array" aca="1" ref="E36" ca="1">IF(
    VLOOKUP(
        $A36,
        _xlfn._xlws.FILTER(
            INDIRECT("'"&amp;E$1&amp;"'!A2:E1000"), (INDIRECT("'"&amp;E$1&amp;"'!B2:B1000")=$B36) * (INDIRECT("'"&amp;E$1&amp;"'!C2:C1000")=$C36)
        ),
        5,
        FALSE
    )=0,
    "",
    VLOOKUP(
        $A36,
        _xlfn._xlws.FILTER(
            INDIRECT("'"&amp;E$1&amp;"'!A2:E1000"), (INDIRECT("'"&amp;E$1&amp;"'!B2:B1000")=$B36) * (INDIRECT("'"&amp;E$1&amp;"'!C2:C1000")=$C36)
        ),
        5,
        FALSE
    )
)</f>
        <v>Enviado</v>
      </c>
      <c r="F36" s="20" t="str">
        <f t="array" aca="1" ref="F36" ca="1">IF(
    VLOOKUP(
        $A36,
        _xlfn._xlws.FILTER(
            INDIRECT("'"&amp;F$1&amp;"'!A2:E1000"), (INDIRECT("'"&amp;F$1&amp;"'!B2:B1000")=$B36) * (INDIRECT("'"&amp;F$1&amp;"'!C2:C1000")=$C36)
        ),
        5,
        FALSE
    )=0,
    "",
    VLOOKUP(
        $A36,
        _xlfn._xlws.FILTER(
            INDIRECT("'"&amp;F$1&amp;"'!A2:E1000"), (INDIRECT("'"&amp;F$1&amp;"'!B2:B1000")=$B36) * (INDIRECT("'"&amp;F$1&amp;"'!C2:C1000")=$C36)
        ),
        5,
        FALSE
    )
)</f>
        <v>Enviado</v>
      </c>
    </row>
    <row r="37" spans="1:6">
      <c r="A37" s="43" t="s">
        <v>27</v>
      </c>
      <c r="B37" s="31" t="s">
        <v>80</v>
      </c>
      <c r="C37" s="31">
        <v>3</v>
      </c>
      <c r="D37" s="20" t="str">
        <f t="array" aca="1" ref="D37" ca="1">IF(
    VLOOKUP(
        $A37,
        _xlfn._xlws.FILTER(
            INDIRECT("'"&amp;D$1&amp;"'!A2:E1000"), (INDIRECT("'"&amp;D$1&amp;"'!B2:B1000")=$B37) * (INDIRECT("'"&amp;D$1&amp;"'!C2:C1000")=$C37)
        ),
        5,
        FALSE
    )=0,
    "",
    VLOOKUP(
        $A37,
        _xlfn._xlws.FILTER(
            INDIRECT("'"&amp;D$1&amp;"'!A2:E1000"), (INDIRECT("'"&amp;D$1&amp;"'!B2:B1000")=$B37) * (INDIRECT("'"&amp;D$1&amp;"'!C2:C1000")=$C37)
        ),
        5,
        FALSE
    )
)</f>
        <v>Duplicado</v>
      </c>
      <c r="E37" s="20" t="str">
        <f t="array" aca="1" ref="E37" ca="1">IF(
    VLOOKUP(
        $A37,
        _xlfn._xlws.FILTER(
            INDIRECT("'"&amp;E$1&amp;"'!A2:E1000"), (INDIRECT("'"&amp;E$1&amp;"'!B2:B1000")=$B37) * (INDIRECT("'"&amp;E$1&amp;"'!C2:C1000")=$C37)
        ),
        5,
        FALSE
    )=0,
    "",
    VLOOKUP(
        $A37,
        _xlfn._xlws.FILTER(
            INDIRECT("'"&amp;E$1&amp;"'!A2:E1000"), (INDIRECT("'"&amp;E$1&amp;"'!B2:B1000")=$B37) * (INDIRECT("'"&amp;E$1&amp;"'!C2:C1000")=$C37)
        ),
        5,
        FALSE
    )
)</f>
        <v>Enviado</v>
      </c>
      <c r="F37" s="20" t="str">
        <f t="array" aca="1" ref="F37" ca="1">IF(
    VLOOKUP(
        $A37,
        _xlfn._xlws.FILTER(
            INDIRECT("'"&amp;F$1&amp;"'!A2:E1000"), (INDIRECT("'"&amp;F$1&amp;"'!B2:B1000")=$B37) * (INDIRECT("'"&amp;F$1&amp;"'!C2:C1000")=$C37)
        ),
        5,
        FALSE
    )=0,
    "",
    VLOOKUP(
        $A37,
        _xlfn._xlws.FILTER(
            INDIRECT("'"&amp;F$1&amp;"'!A2:E1000"), (INDIRECT("'"&amp;F$1&amp;"'!B2:B1000")=$B37) * (INDIRECT("'"&amp;F$1&amp;"'!C2:C1000")=$C37)
        ),
        5,
        FALSE
    )
)</f>
        <v>Enviado</v>
      </c>
    </row>
    <row r="38" spans="1:6">
      <c r="A38" s="43" t="s">
        <v>27</v>
      </c>
      <c r="B38" s="31" t="s">
        <v>80</v>
      </c>
      <c r="C38" s="31">
        <v>4</v>
      </c>
      <c r="D38" s="20" t="str">
        <f t="array" aca="1" ref="D38" ca="1">IF(
    VLOOKUP(
        $A38,
        _xlfn._xlws.FILTER(
            INDIRECT("'"&amp;D$1&amp;"'!A2:E1000"), (INDIRECT("'"&amp;D$1&amp;"'!B2:B1000")=$B38) * (INDIRECT("'"&amp;D$1&amp;"'!C2:C1000")=$C38)
        ),
        5,
        FALSE
    )=0,
    "",
    VLOOKUP(
        $A38,
        _xlfn._xlws.FILTER(
            INDIRECT("'"&amp;D$1&amp;"'!A2:E1000"), (INDIRECT("'"&amp;D$1&amp;"'!B2:B1000")=$B38) * (INDIRECT("'"&amp;D$1&amp;"'!C2:C1000")=$C38)
        ),
        5,
        FALSE
    )
)</f>
        <v>Duplicado</v>
      </c>
      <c r="E38" s="20" t="str">
        <f t="array" aca="1" ref="E38" ca="1">IF(
    VLOOKUP(
        $A38,
        _xlfn._xlws.FILTER(
            INDIRECT("'"&amp;E$1&amp;"'!A2:E1000"), (INDIRECT("'"&amp;E$1&amp;"'!B2:B1000")=$B38) * (INDIRECT("'"&amp;E$1&amp;"'!C2:C1000")=$C38)
        ),
        5,
        FALSE
    )=0,
    "",
    VLOOKUP(
        $A38,
        _xlfn._xlws.FILTER(
            INDIRECT("'"&amp;E$1&amp;"'!A2:E1000"), (INDIRECT("'"&amp;E$1&amp;"'!B2:B1000")=$B38) * (INDIRECT("'"&amp;E$1&amp;"'!C2:C1000")=$C38)
        ),
        5,
        FALSE
    )
)</f>
        <v>Duplicado</v>
      </c>
      <c r="F38" s="20" t="str">
        <f t="array" aca="1" ref="F38" ca="1">IF(
    VLOOKUP(
        $A38,
        _xlfn._xlws.FILTER(
            INDIRECT("'"&amp;F$1&amp;"'!A2:E1000"), (INDIRECT("'"&amp;F$1&amp;"'!B2:B1000")=$B38) * (INDIRECT("'"&amp;F$1&amp;"'!C2:C1000")=$C38)
        ),
        5,
        FALSE
    )=0,
    "",
    VLOOKUP(
        $A38,
        _xlfn._xlws.FILTER(
            INDIRECT("'"&amp;F$1&amp;"'!A2:E1000"), (INDIRECT("'"&amp;F$1&amp;"'!B2:B1000")=$B38) * (INDIRECT("'"&amp;F$1&amp;"'!C2:C1000")=$C38)
        ),
        5,
        FALSE
    )
)</f>
        <v>Duplicado</v>
      </c>
    </row>
    <row r="39" spans="1:6">
      <c r="A39" s="43" t="s">
        <v>27</v>
      </c>
      <c r="B39" s="31" t="s">
        <v>80</v>
      </c>
      <c r="C39" s="31">
        <v>5</v>
      </c>
      <c r="D39" s="20" t="str">
        <f t="array" aca="1" ref="D39" ca="1">IF(
    VLOOKUP(
        $A39,
        _xlfn._xlws.FILTER(
            INDIRECT("'"&amp;D$1&amp;"'!A2:E1000"), (INDIRECT("'"&amp;D$1&amp;"'!B2:B1000")=$B39) * (INDIRECT("'"&amp;D$1&amp;"'!C2:C1000")=$C39)
        ),
        5,
        FALSE
    )=0,
    "",
    VLOOKUP(
        $A39,
        _xlfn._xlws.FILTER(
            INDIRECT("'"&amp;D$1&amp;"'!A2:E1000"), (INDIRECT("'"&amp;D$1&amp;"'!B2:B1000")=$B39) * (INDIRECT("'"&amp;D$1&amp;"'!C2:C1000")=$C39)
        ),
        5,
        FALSE
    )
)</f>
        <v>Duplicado</v>
      </c>
      <c r="E39" s="20" t="str">
        <f t="array" aca="1" ref="E39" ca="1">IF(
    VLOOKUP(
        $A39,
        _xlfn._xlws.FILTER(
            INDIRECT("'"&amp;E$1&amp;"'!A2:E1000"), (INDIRECT("'"&amp;E$1&amp;"'!B2:B1000")=$B39) * (INDIRECT("'"&amp;E$1&amp;"'!C2:C1000")=$C39)
        ),
        5,
        FALSE
    )=0,
    "",
    VLOOKUP(
        $A39,
        _xlfn._xlws.FILTER(
            INDIRECT("'"&amp;E$1&amp;"'!A2:E1000"), (INDIRECT("'"&amp;E$1&amp;"'!B2:B1000")=$B39) * (INDIRECT("'"&amp;E$1&amp;"'!C2:C1000")=$C39)
        ),
        5,
        FALSE
    )
)</f>
        <v>Enviado</v>
      </c>
      <c r="F39" s="20" t="str">
        <f t="array" aca="1" ref="F39" ca="1">IF(
    VLOOKUP(
        $A39,
        _xlfn._xlws.FILTER(
            INDIRECT("'"&amp;F$1&amp;"'!A2:E1000"), (INDIRECT("'"&amp;F$1&amp;"'!B2:B1000")=$B39) * (INDIRECT("'"&amp;F$1&amp;"'!C2:C1000")=$C39)
        ),
        5,
        FALSE
    )=0,
    "",
    VLOOKUP(
        $A39,
        _xlfn._xlws.FILTER(
            INDIRECT("'"&amp;F$1&amp;"'!A2:E1000"), (INDIRECT("'"&amp;F$1&amp;"'!B2:B1000")=$B39) * (INDIRECT("'"&amp;F$1&amp;"'!C2:C1000")=$C39)
        ),
        5,
        FALSE
    )
)</f>
        <v>Enviado</v>
      </c>
    </row>
    <row r="40" spans="1:6">
      <c r="A40" s="43" t="s">
        <v>27</v>
      </c>
      <c r="B40" s="31" t="s">
        <v>80</v>
      </c>
      <c r="C40" s="31">
        <v>6</v>
      </c>
      <c r="D40" s="20" t="str">
        <f t="array" aca="1" ref="D40" ca="1">IF(
    VLOOKUP(
        $A40,
        _xlfn._xlws.FILTER(
            INDIRECT("'"&amp;D$1&amp;"'!A2:E1000"), (INDIRECT("'"&amp;D$1&amp;"'!B2:B1000")=$B40) * (INDIRECT("'"&amp;D$1&amp;"'!C2:C1000")=$C40)
        ),
        5,
        FALSE
    )=0,
    "",
    VLOOKUP(
        $A40,
        _xlfn._xlws.FILTER(
            INDIRECT("'"&amp;D$1&amp;"'!A2:E1000"), (INDIRECT("'"&amp;D$1&amp;"'!B2:B1000")=$B40) * (INDIRECT("'"&amp;D$1&amp;"'!C2:C1000")=$C40)
        ),
        5,
        FALSE
    )
)</f>
        <v>Duplicado</v>
      </c>
      <c r="E40" s="20" t="str">
        <f t="array" aca="1" ref="E40" ca="1">IF(
    VLOOKUP(
        $A40,
        _xlfn._xlws.FILTER(
            INDIRECT("'"&amp;E$1&amp;"'!A2:E1000"), (INDIRECT("'"&amp;E$1&amp;"'!B2:B1000")=$B40) * (INDIRECT("'"&amp;E$1&amp;"'!C2:C1000")=$C40)
        ),
        5,
        FALSE
    )=0,
    "",
    VLOOKUP(
        $A40,
        _xlfn._xlws.FILTER(
            INDIRECT("'"&amp;E$1&amp;"'!A2:E1000"), (INDIRECT("'"&amp;E$1&amp;"'!B2:B1000")=$B40) * (INDIRECT("'"&amp;E$1&amp;"'!C2:C1000")=$C40)
        ),
        5,
        FALSE
    )
)</f>
        <v>Enviado</v>
      </c>
      <c r="F40" s="20" t="str">
        <f t="array" aca="1" ref="F40" ca="1">IF(
    VLOOKUP(
        $A40,
        _xlfn._xlws.FILTER(
            INDIRECT("'"&amp;F$1&amp;"'!A2:E1000"), (INDIRECT("'"&amp;F$1&amp;"'!B2:B1000")=$B40) * (INDIRECT("'"&amp;F$1&amp;"'!C2:C1000")=$C40)
        ),
        5,
        FALSE
    )=0,
    "",
    VLOOKUP(
        $A40,
        _xlfn._xlws.FILTER(
            INDIRECT("'"&amp;F$1&amp;"'!A2:E1000"), (INDIRECT("'"&amp;F$1&amp;"'!B2:B1000")=$B40) * (INDIRECT("'"&amp;F$1&amp;"'!C2:C1000")=$C40)
        ),
        5,
        FALSE
    )
)</f>
        <v>Enviado</v>
      </c>
    </row>
    <row r="41" spans="1:6">
      <c r="A41" s="43" t="s">
        <v>27</v>
      </c>
      <c r="B41" s="31" t="s">
        <v>81</v>
      </c>
      <c r="C41" s="31">
        <v>1</v>
      </c>
      <c r="D41" s="20" t="str">
        <f t="array" aca="1" ref="D41" ca="1">IF(
    VLOOKUP(
        $A41,
        _xlfn._xlws.FILTER(
            INDIRECT("'"&amp;D$1&amp;"'!A2:E1000"), (INDIRECT("'"&amp;D$1&amp;"'!B2:B1000")=$B41) * (INDIRECT("'"&amp;D$1&amp;"'!C2:C1000")=$C41)
        ),
        5,
        FALSE
    )=0,
    "",
    VLOOKUP(
        $A41,
        _xlfn._xlws.FILTER(
            INDIRECT("'"&amp;D$1&amp;"'!A2:E1000"), (INDIRECT("'"&amp;D$1&amp;"'!B2:B1000")=$B41) * (INDIRECT("'"&amp;D$1&amp;"'!C2:C1000")=$C41)
        ),
        5,
        FALSE
    )
)</f>
        <v>Enviado</v>
      </c>
      <c r="E41" s="20" t="str">
        <f t="array" aca="1" ref="E41" ca="1">IF(
    VLOOKUP(
        $A41,
        _xlfn._xlws.FILTER(
            INDIRECT("'"&amp;E$1&amp;"'!A2:E1000"), (INDIRECT("'"&amp;E$1&amp;"'!B2:B1000")=$B41) * (INDIRECT("'"&amp;E$1&amp;"'!C2:C1000")=$C41)
        ),
        5,
        FALSE
    )=0,
    "",
    VLOOKUP(
        $A41,
        _xlfn._xlws.FILTER(
            INDIRECT("'"&amp;E$1&amp;"'!A2:E1000"), (INDIRECT("'"&amp;E$1&amp;"'!B2:B1000")=$B41) * (INDIRECT("'"&amp;E$1&amp;"'!C2:C1000")=$C41)
        ),
        5,
        FALSE
    )
)</f>
        <v>Enviado</v>
      </c>
      <c r="F41" s="20" t="str">
        <f t="array" aca="1" ref="F41" ca="1">IF(
    VLOOKUP(
        $A41,
        _xlfn._xlws.FILTER(
            INDIRECT("'"&amp;F$1&amp;"'!A2:E1000"), (INDIRECT("'"&amp;F$1&amp;"'!B2:B1000")=$B41) * (INDIRECT("'"&amp;F$1&amp;"'!C2:C1000")=$C41)
        ),
        5,
        FALSE
    )=0,
    "",
    VLOOKUP(
        $A41,
        _xlfn._xlws.FILTER(
            INDIRECT("'"&amp;F$1&amp;"'!A2:E1000"), (INDIRECT("'"&amp;F$1&amp;"'!B2:B1000")=$B41) * (INDIRECT("'"&amp;F$1&amp;"'!C2:C1000")=$C41)
        ),
        5,
        FALSE
    )
)</f>
        <v>Enviado</v>
      </c>
    </row>
    <row r="42" spans="1:6">
      <c r="A42" s="43" t="s">
        <v>27</v>
      </c>
      <c r="B42" s="31" t="s">
        <v>82</v>
      </c>
      <c r="C42" s="31">
        <v>1</v>
      </c>
      <c r="D42" s="20" t="str">
        <f t="array" aca="1" ref="D42" ca="1">IF(
    VLOOKUP(
        $A42,
        _xlfn._xlws.FILTER(
            INDIRECT("'"&amp;D$1&amp;"'!A2:E1000"), (INDIRECT("'"&amp;D$1&amp;"'!B2:B1000")=$B42) * (INDIRECT("'"&amp;D$1&amp;"'!C2:C1000")=$C42)
        ),
        5,
        FALSE
    )=0,
    "",
    VLOOKUP(
        $A42,
        _xlfn._xlws.FILTER(
            INDIRECT("'"&amp;D$1&amp;"'!A2:E1000"), (INDIRECT("'"&amp;D$1&amp;"'!B2:B1000")=$B42) * (INDIRECT("'"&amp;D$1&amp;"'!C2:C1000")=$C42)
        ),
        5,
        FALSE
    )
)</f>
        <v>Enviado</v>
      </c>
      <c r="E42" s="20" t="str">
        <f t="array" aca="1" ref="E42" ca="1">IF(
    VLOOKUP(
        $A42,
        _xlfn._xlws.FILTER(
            INDIRECT("'"&amp;E$1&amp;"'!A2:E1000"), (INDIRECT("'"&amp;E$1&amp;"'!B2:B1000")=$B42) * (INDIRECT("'"&amp;E$1&amp;"'!C2:C1000")=$C42)
        ),
        5,
        FALSE
    )=0,
    "",
    VLOOKUP(
        $A42,
        _xlfn._xlws.FILTER(
            INDIRECT("'"&amp;E$1&amp;"'!A2:E1000"), (INDIRECT("'"&amp;E$1&amp;"'!B2:B1000")=$B42) * (INDIRECT("'"&amp;E$1&amp;"'!C2:C1000")=$C42)
        ),
        5,
        FALSE
    )
)</f>
        <v>Enviado</v>
      </c>
      <c r="F42" s="20" t="str">
        <f t="array" aca="1" ref="F42" ca="1">IF(
    VLOOKUP(
        $A42,
        _xlfn._xlws.FILTER(
            INDIRECT("'"&amp;F$1&amp;"'!A2:E1000"), (INDIRECT("'"&amp;F$1&amp;"'!B2:B1000")=$B42) * (INDIRECT("'"&amp;F$1&amp;"'!C2:C1000")=$C42)
        ),
        5,
        FALSE
    )=0,
    "",
    VLOOKUP(
        $A42,
        _xlfn._xlws.FILTER(
            INDIRECT("'"&amp;F$1&amp;"'!A2:E1000"), (INDIRECT("'"&amp;F$1&amp;"'!B2:B1000")=$B42) * (INDIRECT("'"&amp;F$1&amp;"'!C2:C1000")=$C42)
        ),
        5,
        FALSE
    )
)</f>
        <v>Enviado</v>
      </c>
    </row>
    <row r="43" spans="1:6">
      <c r="A43" s="43" t="s">
        <v>27</v>
      </c>
      <c r="B43" s="31" t="s">
        <v>83</v>
      </c>
      <c r="C43" s="31">
        <v>1</v>
      </c>
      <c r="D43" s="20" t="str">
        <f t="array" aca="1" ref="D43" ca="1">IF(
    VLOOKUP(
        $A43,
        _xlfn._xlws.FILTER(
            INDIRECT("'"&amp;D$1&amp;"'!A2:E1000"), (INDIRECT("'"&amp;D$1&amp;"'!B2:B1000")=$B43) * (INDIRECT("'"&amp;D$1&amp;"'!C2:C1000")=$C43)
        ),
        5,
        FALSE
    )=0,
    "",
    VLOOKUP(
        $A43,
        _xlfn._xlws.FILTER(
            INDIRECT("'"&amp;D$1&amp;"'!A2:E1000"), (INDIRECT("'"&amp;D$1&amp;"'!B2:B1000")=$B43) * (INDIRECT("'"&amp;D$1&amp;"'!C2:C1000")=$C43)
        ),
        5,
        FALSE
    )
)</f>
        <v>Enviado</v>
      </c>
      <c r="E43" s="20" t="str">
        <f t="array" aca="1" ref="E43" ca="1">IF(
    VLOOKUP(
        $A43,
        _xlfn._xlws.FILTER(
            INDIRECT("'"&amp;E$1&amp;"'!A2:E1000"), (INDIRECT("'"&amp;E$1&amp;"'!B2:B1000")=$B43) * (INDIRECT("'"&amp;E$1&amp;"'!C2:C1000")=$C43)
        ),
        5,
        FALSE
    )=0,
    "",
    VLOOKUP(
        $A43,
        _xlfn._xlws.FILTER(
            INDIRECT("'"&amp;E$1&amp;"'!A2:E1000"), (INDIRECT("'"&amp;E$1&amp;"'!B2:B1000")=$B43) * (INDIRECT("'"&amp;E$1&amp;"'!C2:C1000")=$C43)
        ),
        5,
        FALSE
    )
)</f>
        <v>Atrasado</v>
      </c>
      <c r="F43" s="20" t="str">
        <f t="array" aca="1" ref="F43" ca="1">IF(
    VLOOKUP(
        $A43,
        _xlfn._xlws.FILTER(
            INDIRECT("'"&amp;F$1&amp;"'!A2:E1000"), (INDIRECT("'"&amp;F$1&amp;"'!B2:B1000")=$B43) * (INDIRECT("'"&amp;F$1&amp;"'!C2:C1000")=$C43)
        ),
        5,
        FALSE
    )=0,
    "",
    VLOOKUP(
        $A43,
        _xlfn._xlws.FILTER(
            INDIRECT("'"&amp;F$1&amp;"'!A2:E1000"), (INDIRECT("'"&amp;F$1&amp;"'!B2:B1000")=$B43) * (INDIRECT("'"&amp;F$1&amp;"'!C2:C1000")=$C43)
        ),
        5,
        FALSE
    )
)</f>
        <v>Enviado</v>
      </c>
    </row>
    <row r="44" spans="1:6">
      <c r="A44" s="43" t="s">
        <v>27</v>
      </c>
      <c r="B44" s="31" t="s">
        <v>84</v>
      </c>
      <c r="C44" s="31">
        <v>1</v>
      </c>
      <c r="D44" s="20" t="str">
        <f t="array" aca="1" ref="D44" ca="1">IF(
    VLOOKUP(
        $A44,
        _xlfn._xlws.FILTER(
            INDIRECT("'"&amp;D$1&amp;"'!A2:E1000"), (INDIRECT("'"&amp;D$1&amp;"'!B2:B1000")=$B44) * (INDIRECT("'"&amp;D$1&amp;"'!C2:C1000")=$C44)
        ),
        5,
        FALSE
    )=0,
    "",
    VLOOKUP(
        $A44,
        _xlfn._xlws.FILTER(
            INDIRECT("'"&amp;D$1&amp;"'!A2:E1000"), (INDIRECT("'"&amp;D$1&amp;"'!B2:B1000")=$B44) * (INDIRECT("'"&amp;D$1&amp;"'!C2:C1000")=$C44)
        ),
        5,
        FALSE
    )
)</f>
        <v>Enviado</v>
      </c>
      <c r="E44" s="20" t="str">
        <f t="array" aca="1" ref="E44" ca="1">IF(
    VLOOKUP(
        $A44,
        _xlfn._xlws.FILTER(
            INDIRECT("'"&amp;E$1&amp;"'!A2:E1000"), (INDIRECT("'"&amp;E$1&amp;"'!B2:B1000")=$B44) * (INDIRECT("'"&amp;E$1&amp;"'!C2:C1000")=$C44)
        ),
        5,
        FALSE
    )=0,
    "",
    VLOOKUP(
        $A44,
        _xlfn._xlws.FILTER(
            INDIRECT("'"&amp;E$1&amp;"'!A2:E1000"), (INDIRECT("'"&amp;E$1&amp;"'!B2:B1000")=$B44) * (INDIRECT("'"&amp;E$1&amp;"'!C2:C1000")=$C44)
        ),
        5,
        FALSE
    )
)</f>
        <v>Duplicado</v>
      </c>
      <c r="F44" s="20" t="str">
        <f t="array" aca="1" ref="F44" ca="1">IF(
    VLOOKUP(
        $A44,
        _xlfn._xlws.FILTER(
            INDIRECT("'"&amp;F$1&amp;"'!A2:E1000"), (INDIRECT("'"&amp;F$1&amp;"'!B2:B1000")=$B44) * (INDIRECT("'"&amp;F$1&amp;"'!C2:C1000")=$C44)
        ),
        5,
        FALSE
    )=0,
    "",
    VLOOKUP(
        $A44,
        _xlfn._xlws.FILTER(
            INDIRECT("'"&amp;F$1&amp;"'!A2:E1000"), (INDIRECT("'"&amp;F$1&amp;"'!B2:B1000")=$B44) * (INDIRECT("'"&amp;F$1&amp;"'!C2:C1000")=$C44)
        ),
        5,
        FALSE
    )
)</f>
        <v>Enviado</v>
      </c>
    </row>
    <row r="45" spans="1:6">
      <c r="A45" s="43" t="s">
        <v>27</v>
      </c>
      <c r="B45" s="31" t="s">
        <v>85</v>
      </c>
      <c r="C45" s="31">
        <v>1</v>
      </c>
      <c r="D45" s="20" t="str">
        <f t="array" aca="1" ref="D45" ca="1">IF(
    VLOOKUP(
        $A45,
        _xlfn._xlws.FILTER(
            INDIRECT("'"&amp;D$1&amp;"'!A2:E1000"), (INDIRECT("'"&amp;D$1&amp;"'!B2:B1000")=$B45) * (INDIRECT("'"&amp;D$1&amp;"'!C2:C1000")=$C45)
        ),
        5,
        FALSE
    )=0,
    "",
    VLOOKUP(
        $A45,
        _xlfn._xlws.FILTER(
            INDIRECT("'"&amp;D$1&amp;"'!A2:E1000"), (INDIRECT("'"&amp;D$1&amp;"'!B2:B1000")=$B45) * (INDIRECT("'"&amp;D$1&amp;"'!C2:C1000")=$C45)
        ),
        5,
        FALSE
    )
)</f>
        <v>Enviado</v>
      </c>
      <c r="E45" s="20" t="str">
        <f t="array" aca="1" ref="E45" ca="1">IF(
    VLOOKUP(
        $A45,
        _xlfn._xlws.FILTER(
            INDIRECT("'"&amp;E$1&amp;"'!A2:E1000"), (INDIRECT("'"&amp;E$1&amp;"'!B2:B1000")=$B45) * (INDIRECT("'"&amp;E$1&amp;"'!C2:C1000")=$C45)
        ),
        5,
        FALSE
    )=0,
    "",
    VLOOKUP(
        $A45,
        _xlfn._xlws.FILTER(
            INDIRECT("'"&amp;E$1&amp;"'!A2:E1000"), (INDIRECT("'"&amp;E$1&amp;"'!B2:B1000")=$B45) * (INDIRECT("'"&amp;E$1&amp;"'!C2:C1000")=$C45)
        ),
        5,
        FALSE
    )
)</f>
        <v>Enviado</v>
      </c>
      <c r="F45" s="20" t="str">
        <f t="array" aca="1" ref="F45" ca="1">IF(
    VLOOKUP(
        $A45,
        _xlfn._xlws.FILTER(
            INDIRECT("'"&amp;F$1&amp;"'!A2:E1000"), (INDIRECT("'"&amp;F$1&amp;"'!B2:B1000")=$B45) * (INDIRECT("'"&amp;F$1&amp;"'!C2:C1000")=$C45)
        ),
        5,
        FALSE
    )=0,
    "",
    VLOOKUP(
        $A45,
        _xlfn._xlws.FILTER(
            INDIRECT("'"&amp;F$1&amp;"'!A2:E1000"), (INDIRECT("'"&amp;F$1&amp;"'!B2:B1000")=$B45) * (INDIRECT("'"&amp;F$1&amp;"'!C2:C1000")=$C45)
        ),
        5,
        FALSE
    )
)</f>
        <v>Enviado</v>
      </c>
    </row>
    <row r="46" spans="1:6">
      <c r="A46" s="43" t="s">
        <v>27</v>
      </c>
      <c r="B46" s="31" t="s">
        <v>86</v>
      </c>
      <c r="C46" s="31">
        <v>1</v>
      </c>
      <c r="D46" s="20" t="str">
        <f t="array" aca="1" ref="D46" ca="1">IF(
    VLOOKUP(
        $A46,
        _xlfn._xlws.FILTER(
            INDIRECT("'"&amp;D$1&amp;"'!A2:E1000"), (INDIRECT("'"&amp;D$1&amp;"'!B2:B1000")=$B46) * (INDIRECT("'"&amp;D$1&amp;"'!C2:C1000")=$C46)
        ),
        5,
        FALSE
    )=0,
    "",
    VLOOKUP(
        $A46,
        _xlfn._xlws.FILTER(
            INDIRECT("'"&amp;D$1&amp;"'!A2:E1000"), (INDIRECT("'"&amp;D$1&amp;"'!B2:B1000")=$B46) * (INDIRECT("'"&amp;D$1&amp;"'!C2:C1000")=$C46)
        ),
        5,
        FALSE
    )
)</f>
        <v>Atrasado</v>
      </c>
      <c r="E46" s="20" t="str">
        <f t="array" aca="1" ref="E46" ca="1">IF(
    VLOOKUP(
        $A46,
        _xlfn._xlws.FILTER(
            INDIRECT("'"&amp;E$1&amp;"'!A2:E1000"), (INDIRECT("'"&amp;E$1&amp;"'!B2:B1000")=$B46) * (INDIRECT("'"&amp;E$1&amp;"'!C2:C1000")=$C46)
        ),
        5,
        FALSE
    )=0,
    "",
    VLOOKUP(
        $A46,
        _xlfn._xlws.FILTER(
            INDIRECT("'"&amp;E$1&amp;"'!A2:E1000"), (INDIRECT("'"&amp;E$1&amp;"'!B2:B1000")=$B46) * (INDIRECT("'"&amp;E$1&amp;"'!C2:C1000")=$C46)
        ),
        5,
        FALSE
    )
)</f>
        <v>Enviado</v>
      </c>
      <c r="F46" s="20" t="str">
        <f t="array" aca="1" ref="F46" ca="1">IF(
    VLOOKUP(
        $A46,
        _xlfn._xlws.FILTER(
            INDIRECT("'"&amp;F$1&amp;"'!A2:E1000"), (INDIRECT("'"&amp;F$1&amp;"'!B2:B1000")=$B46) * (INDIRECT("'"&amp;F$1&amp;"'!C2:C1000")=$C46)
        ),
        5,
        FALSE
    )=0,
    "",
    VLOOKUP(
        $A46,
        _xlfn._xlws.FILTER(
            INDIRECT("'"&amp;F$1&amp;"'!A2:E1000"), (INDIRECT("'"&amp;F$1&amp;"'!B2:B1000")=$B46) * (INDIRECT("'"&amp;F$1&amp;"'!C2:C1000")=$C46)
        ),
        5,
        FALSE
    )
)</f>
        <v>Enviado</v>
      </c>
    </row>
  </sheetData>
  <conditionalFormatting sqref="D16">
    <cfRule type="containsText" dxfId="58" priority="37" operator="containsText" text="Atrasado">
      <formula>NOT(ISERROR(SEARCH("Atrasado",D16)))</formula>
    </cfRule>
  </conditionalFormatting>
  <conditionalFormatting sqref="D2:F15 K3:M15">
    <cfRule type="cellIs" dxfId="57" priority="33" operator="equal">
      <formula>"Duplicado"</formula>
    </cfRule>
    <cfRule type="cellIs" dxfId="56" priority="34" operator="equal">
      <formula>"Sem Técnico"</formula>
    </cfRule>
    <cfRule type="cellIs" dxfId="55" priority="35" operator="equal">
      <formula>"Atrasado"</formula>
    </cfRule>
    <cfRule type="cellIs" dxfId="54" priority="36" operator="equal">
      <formula>"Enviado"</formula>
    </cfRule>
  </conditionalFormatting>
  <conditionalFormatting sqref="E2:E15">
    <cfRule type="cellIs" dxfId="53" priority="29" operator="equal">
      <formula>"Duplicado"</formula>
    </cfRule>
    <cfRule type="cellIs" dxfId="52" priority="30" operator="equal">
      <formula>"Sem Técnico"</formula>
    </cfRule>
    <cfRule type="cellIs" dxfId="51" priority="31" operator="equal">
      <formula>"Atrasado"</formula>
    </cfRule>
    <cfRule type="cellIs" dxfId="50" priority="32" operator="equal">
      <formula>"Enviado"</formula>
    </cfRule>
  </conditionalFormatting>
  <conditionalFormatting sqref="F2:F15">
    <cfRule type="cellIs" dxfId="49" priority="25" operator="equal">
      <formula>"Duplicado"</formula>
    </cfRule>
    <cfRule type="cellIs" dxfId="48" priority="26" operator="equal">
      <formula>"Sem Técnico"</formula>
    </cfRule>
    <cfRule type="cellIs" dxfId="47" priority="27" operator="equal">
      <formula>"Atrasado"</formula>
    </cfRule>
    <cfRule type="cellIs" dxfId="46" priority="28" operator="equal">
      <formula>"Enviado"</formula>
    </cfRule>
  </conditionalFormatting>
  <conditionalFormatting sqref="D18:F31">
    <cfRule type="cellIs" dxfId="45" priority="21" operator="equal">
      <formula>"Duplicado"</formula>
    </cfRule>
    <cfRule type="cellIs" dxfId="44" priority="22" operator="equal">
      <formula>"Sem Técnico"</formula>
    </cfRule>
    <cfRule type="cellIs" dxfId="43" priority="23" operator="equal">
      <formula>"Atrasado"</formula>
    </cfRule>
    <cfRule type="cellIs" dxfId="42" priority="24" operator="equal">
      <formula>"Enviado"</formula>
    </cfRule>
  </conditionalFormatting>
  <conditionalFormatting sqref="D34:F46">
    <cfRule type="cellIs" dxfId="41" priority="17" operator="equal">
      <formula>"Duplicado"</formula>
    </cfRule>
    <cfRule type="cellIs" dxfId="40" priority="18" operator="equal">
      <formula>"Sem Técnico"</formula>
    </cfRule>
    <cfRule type="cellIs" dxfId="39" priority="19" operator="equal">
      <formula>"Atrasado"</formula>
    </cfRule>
    <cfRule type="cellIs" dxfId="38" priority="20" operator="equal">
      <formula>"Enviado"</formula>
    </cfRule>
  </conditionalFormatting>
  <conditionalFormatting sqref="K18:M31">
    <cfRule type="cellIs" dxfId="37" priority="5" operator="equal">
      <formula>"Duplicado"</formula>
    </cfRule>
    <cfRule type="cellIs" dxfId="36" priority="6" operator="equal">
      <formula>"Sem Técnico"</formula>
    </cfRule>
    <cfRule type="cellIs" dxfId="35" priority="7" operator="equal">
      <formula>"Atrasado"</formula>
    </cfRule>
    <cfRule type="cellIs" dxfId="34" priority="8" operator="equal">
      <formula>"Enviado"</formula>
    </cfRule>
  </conditionalFormatting>
  <conditionalFormatting sqref="K2:M2">
    <cfRule type="cellIs" dxfId="33" priority="1" operator="equal">
      <formula>"Duplicado"</formula>
    </cfRule>
    <cfRule type="cellIs" dxfId="32" priority="2" operator="equal">
      <formula>"Sem Técnico"</formula>
    </cfRule>
    <cfRule type="cellIs" dxfId="31" priority="3" operator="equal">
      <formula>"Atrasado"</formula>
    </cfRule>
    <cfRule type="cellIs" dxfId="30" priority="4" operator="equal">
      <formula>"Enviado"</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2" customWidth="1"/>
    <col min="5" max="5" width="14" customWidth="1"/>
    <col min="6" max="7" width="27" customWidth="1"/>
    <col min="8" max="8" width="337" customWidth="1"/>
    <col min="9" max="9" width="45" customWidth="1"/>
    <col min="10" max="10" width="25" customWidth="1"/>
    <col min="11" max="11" width="38" customWidth="1"/>
  </cols>
  <sheetData>
    <row r="1" spans="1:11">
      <c r="A1" s="21" t="s">
        <v>21</v>
      </c>
      <c r="B1" s="21" t="s">
        <v>87</v>
      </c>
      <c r="C1" s="21" t="s">
        <v>31</v>
      </c>
      <c r="D1" s="21" t="s">
        <v>88</v>
      </c>
      <c r="E1" s="21" t="s">
        <v>89</v>
      </c>
      <c r="F1" s="21" t="s">
        <v>90</v>
      </c>
      <c r="G1" s="21" t="s">
        <v>91</v>
      </c>
      <c r="H1" s="21" t="s">
        <v>92</v>
      </c>
      <c r="I1" s="21" t="s">
        <v>93</v>
      </c>
      <c r="J1" s="21" t="s">
        <v>94</v>
      </c>
      <c r="K1" s="21" t="s">
        <v>95</v>
      </c>
    </row>
    <row r="2" spans="1:11">
      <c r="A2" s="44" t="s">
        <v>26</v>
      </c>
      <c r="B2" s="22" t="s">
        <v>32</v>
      </c>
      <c r="C2" s="22">
        <v>1</v>
      </c>
      <c r="D2" s="22" t="s">
        <v>96</v>
      </c>
      <c r="E2" s="23" t="s">
        <v>97</v>
      </c>
      <c r="F2" s="22" t="s">
        <v>98</v>
      </c>
      <c r="G2" s="24" t="s">
        <v>99</v>
      </c>
      <c r="H2" s="22" t="s">
        <v>100</v>
      </c>
      <c r="I2" s="22"/>
      <c r="J2" s="22" t="s">
        <v>101</v>
      </c>
      <c r="K2" s="22"/>
    </row>
    <row r="3" spans="1:11">
      <c r="A3" s="45" t="s">
        <v>25</v>
      </c>
      <c r="B3" s="22" t="s">
        <v>52</v>
      </c>
      <c r="C3" s="22">
        <v>1</v>
      </c>
      <c r="D3" s="22" t="s">
        <v>102</v>
      </c>
      <c r="E3" s="25" t="s">
        <v>103</v>
      </c>
      <c r="F3" s="22"/>
      <c r="G3" s="26" t="s">
        <v>101</v>
      </c>
      <c r="H3" s="22"/>
      <c r="I3" s="22"/>
      <c r="J3" s="22" t="s">
        <v>101</v>
      </c>
      <c r="K3" s="22"/>
    </row>
    <row r="4" spans="1:11">
      <c r="A4" s="44" t="s">
        <v>26</v>
      </c>
      <c r="B4" s="22" t="s">
        <v>34</v>
      </c>
      <c r="C4" s="22">
        <v>1</v>
      </c>
      <c r="D4" s="22" t="s">
        <v>104</v>
      </c>
      <c r="E4" s="23" t="s">
        <v>97</v>
      </c>
      <c r="F4" s="22" t="s">
        <v>98</v>
      </c>
      <c r="G4" s="24" t="s">
        <v>99</v>
      </c>
      <c r="H4" s="22" t="s">
        <v>105</v>
      </c>
      <c r="I4" s="22"/>
      <c r="J4" s="22" t="s">
        <v>101</v>
      </c>
      <c r="K4" s="22"/>
    </row>
    <row r="5" spans="1:11">
      <c r="A5" s="45" t="s">
        <v>25</v>
      </c>
      <c r="B5" s="22" t="s">
        <v>54</v>
      </c>
      <c r="C5" s="22">
        <v>1</v>
      </c>
      <c r="D5" s="22" t="s">
        <v>106</v>
      </c>
      <c r="E5" s="23" t="s">
        <v>97</v>
      </c>
      <c r="F5" s="22" t="s">
        <v>107</v>
      </c>
      <c r="G5" s="24" t="s">
        <v>99</v>
      </c>
      <c r="H5" s="22"/>
      <c r="I5" s="22"/>
      <c r="J5" s="22" t="s">
        <v>101</v>
      </c>
      <c r="K5" s="22"/>
    </row>
    <row r="6" spans="1:11">
      <c r="A6" s="45" t="s">
        <v>25</v>
      </c>
      <c r="B6" s="22" t="s">
        <v>56</v>
      </c>
      <c r="C6" s="22">
        <v>1</v>
      </c>
      <c r="D6" s="22" t="s">
        <v>108</v>
      </c>
      <c r="E6" s="23" t="s">
        <v>97</v>
      </c>
      <c r="F6" s="22" t="s">
        <v>109</v>
      </c>
      <c r="G6" s="26" t="s">
        <v>101</v>
      </c>
      <c r="H6" s="22"/>
      <c r="I6" s="22"/>
      <c r="J6" s="22" t="s">
        <v>101</v>
      </c>
      <c r="K6" s="22"/>
    </row>
    <row r="7" spans="1:11">
      <c r="A7" s="44" t="s">
        <v>26</v>
      </c>
      <c r="B7" s="22" t="s">
        <v>35</v>
      </c>
      <c r="C7" s="22">
        <v>1</v>
      </c>
      <c r="D7" s="22" t="s">
        <v>110</v>
      </c>
      <c r="E7" s="23" t="s">
        <v>97</v>
      </c>
      <c r="F7" s="22" t="s">
        <v>111</v>
      </c>
      <c r="G7" s="24" t="s">
        <v>99</v>
      </c>
      <c r="H7" s="22" t="s">
        <v>112</v>
      </c>
      <c r="I7" s="22"/>
      <c r="J7" s="22" t="s">
        <v>101</v>
      </c>
      <c r="K7" s="22"/>
    </row>
    <row r="8" spans="1:11">
      <c r="A8" s="46" t="s">
        <v>27</v>
      </c>
      <c r="B8" s="22" t="s">
        <v>79</v>
      </c>
      <c r="C8" s="22">
        <v>1</v>
      </c>
      <c r="D8" s="22" t="s">
        <v>113</v>
      </c>
      <c r="E8" s="23" t="s">
        <v>97</v>
      </c>
      <c r="F8" s="22" t="s">
        <v>111</v>
      </c>
      <c r="G8" s="26" t="s">
        <v>101</v>
      </c>
      <c r="H8" s="22" t="s">
        <v>114</v>
      </c>
      <c r="I8" s="22"/>
      <c r="J8" s="22" t="s">
        <v>101</v>
      </c>
      <c r="K8" s="22"/>
    </row>
    <row r="9" spans="1:11">
      <c r="A9" s="45" t="s">
        <v>25</v>
      </c>
      <c r="B9" s="22" t="s">
        <v>58</v>
      </c>
      <c r="C9" s="22">
        <v>1</v>
      </c>
      <c r="D9" s="22" t="s">
        <v>115</v>
      </c>
      <c r="E9" s="25" t="s">
        <v>103</v>
      </c>
      <c r="F9" s="22"/>
      <c r="G9" s="26" t="s">
        <v>101</v>
      </c>
      <c r="H9" s="22"/>
      <c r="I9" s="22"/>
      <c r="J9" s="22" t="s">
        <v>101</v>
      </c>
      <c r="K9" s="22"/>
    </row>
    <row r="10" spans="1:11">
      <c r="A10" s="45" t="s">
        <v>25</v>
      </c>
      <c r="B10" s="22" t="s">
        <v>60</v>
      </c>
      <c r="C10" s="22">
        <v>1</v>
      </c>
      <c r="D10" s="22" t="s">
        <v>116</v>
      </c>
      <c r="E10" s="23" t="s">
        <v>97</v>
      </c>
      <c r="F10" s="22" t="s">
        <v>117</v>
      </c>
      <c r="G10" s="24" t="s">
        <v>99</v>
      </c>
      <c r="H10" s="22"/>
      <c r="I10" s="22"/>
      <c r="J10" s="22" t="s">
        <v>101</v>
      </c>
      <c r="K10" s="22"/>
    </row>
    <row r="11" spans="1:11">
      <c r="A11" s="46" t="s">
        <v>27</v>
      </c>
      <c r="B11" s="22" t="s">
        <v>80</v>
      </c>
      <c r="C11" s="22">
        <v>1</v>
      </c>
      <c r="D11" s="22" t="s">
        <v>118</v>
      </c>
      <c r="E11" s="27" t="s">
        <v>5</v>
      </c>
      <c r="F11" s="22" t="s">
        <v>119</v>
      </c>
      <c r="G11" s="26" t="s">
        <v>101</v>
      </c>
      <c r="H11" s="22"/>
      <c r="I11" s="22"/>
      <c r="J11" s="22" t="s">
        <v>101</v>
      </c>
      <c r="K11" s="22"/>
    </row>
    <row r="12" spans="1:11">
      <c r="A12" s="46" t="s">
        <v>27</v>
      </c>
      <c r="B12" s="22" t="s">
        <v>80</v>
      </c>
      <c r="C12" s="22">
        <v>2</v>
      </c>
      <c r="D12" s="22" t="s">
        <v>120</v>
      </c>
      <c r="E12" s="27" t="s">
        <v>5</v>
      </c>
      <c r="F12" s="22" t="s">
        <v>119</v>
      </c>
      <c r="G12" s="26" t="s">
        <v>101</v>
      </c>
      <c r="H12" s="22"/>
      <c r="I12" s="22"/>
      <c r="J12" s="22" t="s">
        <v>101</v>
      </c>
      <c r="K12" s="22"/>
    </row>
    <row r="13" spans="1:11">
      <c r="A13" s="46" t="s">
        <v>27</v>
      </c>
      <c r="B13" s="22" t="s">
        <v>80</v>
      </c>
      <c r="C13" s="22">
        <v>3</v>
      </c>
      <c r="D13" s="22" t="s">
        <v>121</v>
      </c>
      <c r="E13" s="27" t="s">
        <v>5</v>
      </c>
      <c r="F13" s="22" t="s">
        <v>119</v>
      </c>
      <c r="G13" s="26" t="s">
        <v>101</v>
      </c>
      <c r="H13" s="22"/>
      <c r="I13" s="22"/>
      <c r="J13" s="22" t="s">
        <v>101</v>
      </c>
      <c r="K13" s="22"/>
    </row>
    <row r="14" spans="1:11">
      <c r="A14" s="46" t="s">
        <v>27</v>
      </c>
      <c r="B14" s="22" t="s">
        <v>80</v>
      </c>
      <c r="C14" s="22">
        <v>4</v>
      </c>
      <c r="D14" s="22" t="s">
        <v>122</v>
      </c>
      <c r="E14" s="27" t="s">
        <v>5</v>
      </c>
      <c r="F14" s="22" t="s">
        <v>119</v>
      </c>
      <c r="G14" s="26" t="s">
        <v>101</v>
      </c>
      <c r="H14" s="22"/>
      <c r="I14" s="22"/>
      <c r="J14" s="22" t="s">
        <v>101</v>
      </c>
      <c r="K14" s="22"/>
    </row>
    <row r="15" spans="1:11">
      <c r="A15" s="46" t="s">
        <v>27</v>
      </c>
      <c r="B15" s="22" t="s">
        <v>80</v>
      </c>
      <c r="C15" s="22">
        <v>5</v>
      </c>
      <c r="D15" s="22" t="s">
        <v>123</v>
      </c>
      <c r="E15" s="27" t="s">
        <v>5</v>
      </c>
      <c r="F15" s="22" t="s">
        <v>119</v>
      </c>
      <c r="G15" s="26" t="s">
        <v>101</v>
      </c>
      <c r="H15" s="22"/>
      <c r="I15" s="22"/>
      <c r="J15" s="22" t="s">
        <v>101</v>
      </c>
      <c r="K15" s="22"/>
    </row>
    <row r="16" spans="1:11">
      <c r="A16" s="46" t="s">
        <v>27</v>
      </c>
      <c r="B16" s="22" t="s">
        <v>80</v>
      </c>
      <c r="C16" s="22">
        <v>6</v>
      </c>
      <c r="D16" s="22"/>
      <c r="E16" s="27" t="s">
        <v>5</v>
      </c>
      <c r="F16" s="22" t="s">
        <v>119</v>
      </c>
      <c r="G16" s="26" t="s">
        <v>101</v>
      </c>
      <c r="H16" s="22"/>
      <c r="I16" s="22"/>
      <c r="J16" s="22" t="s">
        <v>101</v>
      </c>
      <c r="K16" s="22"/>
    </row>
    <row r="17" spans="1:11">
      <c r="A17" s="45" t="s">
        <v>25</v>
      </c>
      <c r="B17" s="22" t="s">
        <v>62</v>
      </c>
      <c r="C17" s="22">
        <v>1</v>
      </c>
      <c r="D17" s="22" t="s">
        <v>124</v>
      </c>
      <c r="E17" s="23" t="s">
        <v>97</v>
      </c>
      <c r="F17" s="22" t="s">
        <v>125</v>
      </c>
      <c r="G17" s="26" t="s">
        <v>101</v>
      </c>
      <c r="H17" s="22" t="s">
        <v>126</v>
      </c>
      <c r="I17" s="22"/>
      <c r="J17" s="22" t="s">
        <v>101</v>
      </c>
      <c r="K17" s="22"/>
    </row>
    <row r="18" spans="1:11">
      <c r="A18" s="47" t="s">
        <v>29</v>
      </c>
      <c r="B18" s="22" t="s">
        <v>53</v>
      </c>
      <c r="C18" s="22">
        <v>1</v>
      </c>
      <c r="D18" s="22" t="s">
        <v>127</v>
      </c>
      <c r="E18" s="23" t="s">
        <v>97</v>
      </c>
      <c r="F18" s="22" t="s">
        <v>128</v>
      </c>
      <c r="G18" s="24" t="s">
        <v>99</v>
      </c>
      <c r="H18" s="22"/>
      <c r="I18" s="22"/>
      <c r="J18" s="22" t="s">
        <v>101</v>
      </c>
      <c r="K18" s="22"/>
    </row>
    <row r="19" spans="1:11">
      <c r="A19" s="45" t="s">
        <v>25</v>
      </c>
      <c r="B19" s="22" t="s">
        <v>63</v>
      </c>
      <c r="C19" s="22">
        <v>1</v>
      </c>
      <c r="D19" s="22" t="s">
        <v>129</v>
      </c>
      <c r="E19" s="25" t="s">
        <v>103</v>
      </c>
      <c r="F19" s="22"/>
      <c r="G19" s="26" t="s">
        <v>101</v>
      </c>
      <c r="H19" s="22"/>
      <c r="I19" s="22"/>
      <c r="J19" s="22" t="s">
        <v>101</v>
      </c>
      <c r="K19" s="22"/>
    </row>
    <row r="20" spans="1:11">
      <c r="A20" s="47" t="s">
        <v>29</v>
      </c>
      <c r="B20" s="22" t="s">
        <v>55</v>
      </c>
      <c r="C20" s="22">
        <v>1</v>
      </c>
      <c r="D20" s="22" t="s">
        <v>130</v>
      </c>
      <c r="E20" s="23" t="s">
        <v>97</v>
      </c>
      <c r="F20" s="22" t="s">
        <v>131</v>
      </c>
      <c r="G20" s="24" t="s">
        <v>99</v>
      </c>
      <c r="H20" s="22"/>
      <c r="I20" s="22"/>
      <c r="J20" s="22" t="s">
        <v>101</v>
      </c>
      <c r="K20" s="22"/>
    </row>
    <row r="21" spans="1:11">
      <c r="A21" s="45" t="s">
        <v>25</v>
      </c>
      <c r="B21" s="22" t="s">
        <v>65</v>
      </c>
      <c r="C21" s="22">
        <v>1</v>
      </c>
      <c r="D21" s="22" t="s">
        <v>132</v>
      </c>
      <c r="E21" s="23" t="s">
        <v>97</v>
      </c>
      <c r="F21" s="22" t="s">
        <v>133</v>
      </c>
      <c r="G21" s="24" t="s">
        <v>99</v>
      </c>
      <c r="H21" s="22"/>
      <c r="I21" s="22"/>
      <c r="J21" s="22" t="s">
        <v>101</v>
      </c>
      <c r="K21" s="22"/>
    </row>
    <row r="22" spans="1:11">
      <c r="A22" s="47" t="s">
        <v>29</v>
      </c>
      <c r="B22" s="22" t="s">
        <v>57</v>
      </c>
      <c r="C22" s="22">
        <v>1</v>
      </c>
      <c r="D22" s="22" t="s">
        <v>134</v>
      </c>
      <c r="E22" s="23" t="s">
        <v>97</v>
      </c>
      <c r="F22" s="22" t="s">
        <v>135</v>
      </c>
      <c r="G22" s="26" t="s">
        <v>99</v>
      </c>
      <c r="H22" s="22"/>
      <c r="I22" s="22"/>
      <c r="J22" s="22" t="s">
        <v>101</v>
      </c>
      <c r="K22" s="22"/>
    </row>
    <row r="23" spans="1:11">
      <c r="A23" s="46" t="s">
        <v>27</v>
      </c>
      <c r="B23" s="22" t="s">
        <v>81</v>
      </c>
      <c r="C23" s="22">
        <v>1</v>
      </c>
      <c r="D23" s="22" t="s">
        <v>136</v>
      </c>
      <c r="E23" s="23" t="s">
        <v>97</v>
      </c>
      <c r="F23" s="22" t="s">
        <v>137</v>
      </c>
      <c r="G23" s="26" t="s">
        <v>101</v>
      </c>
      <c r="H23" s="22"/>
      <c r="I23" s="22"/>
      <c r="J23" s="22" t="s">
        <v>101</v>
      </c>
      <c r="K23" s="22"/>
    </row>
    <row r="24" spans="1:11">
      <c r="A24" s="48" t="s">
        <v>28</v>
      </c>
      <c r="B24" s="22" t="s">
        <v>33</v>
      </c>
      <c r="C24" s="22">
        <v>1</v>
      </c>
      <c r="D24" s="22" t="s">
        <v>138</v>
      </c>
      <c r="E24" s="23" t="s">
        <v>97</v>
      </c>
      <c r="F24" s="22" t="s">
        <v>139</v>
      </c>
      <c r="G24" s="24" t="s">
        <v>99</v>
      </c>
      <c r="H24" s="22"/>
      <c r="I24" s="22"/>
      <c r="J24" s="22" t="s">
        <v>101</v>
      </c>
      <c r="K24" s="22"/>
    </row>
    <row r="25" spans="1:11">
      <c r="A25" s="48" t="s">
        <v>28</v>
      </c>
      <c r="B25" s="22" t="s">
        <v>33</v>
      </c>
      <c r="C25" s="22">
        <v>2</v>
      </c>
      <c r="D25" s="22" t="s">
        <v>140</v>
      </c>
      <c r="E25" s="23" t="s">
        <v>97</v>
      </c>
      <c r="F25" s="22" t="s">
        <v>139</v>
      </c>
      <c r="G25" s="24" t="s">
        <v>99</v>
      </c>
      <c r="H25" s="22" t="s">
        <v>141</v>
      </c>
      <c r="I25" s="22"/>
      <c r="J25" s="22" t="s">
        <v>101</v>
      </c>
      <c r="K25" s="22"/>
    </row>
    <row r="26" spans="1:11">
      <c r="A26" s="48" t="s">
        <v>28</v>
      </c>
      <c r="B26" s="22" t="s">
        <v>33</v>
      </c>
      <c r="C26" s="22">
        <v>3</v>
      </c>
      <c r="D26" s="22" t="s">
        <v>142</v>
      </c>
      <c r="E26" s="23" t="s">
        <v>97</v>
      </c>
      <c r="F26" s="22" t="s">
        <v>139</v>
      </c>
      <c r="G26" s="24" t="s">
        <v>99</v>
      </c>
      <c r="H26" s="22" t="s">
        <v>141</v>
      </c>
      <c r="I26" s="22"/>
      <c r="J26" s="22" t="s">
        <v>101</v>
      </c>
      <c r="K26" s="22"/>
    </row>
    <row r="27" spans="1:11">
      <c r="A27" s="48" t="s">
        <v>28</v>
      </c>
      <c r="B27" s="22" t="s">
        <v>33</v>
      </c>
      <c r="C27" s="22">
        <v>4</v>
      </c>
      <c r="D27" s="22" t="s">
        <v>143</v>
      </c>
      <c r="E27" s="23" t="s">
        <v>97</v>
      </c>
      <c r="F27" s="22" t="s">
        <v>139</v>
      </c>
      <c r="G27" s="24" t="s">
        <v>99</v>
      </c>
      <c r="H27" s="22" t="s">
        <v>141</v>
      </c>
      <c r="I27" s="22"/>
      <c r="J27" s="22" t="s">
        <v>101</v>
      </c>
      <c r="K27" s="22"/>
    </row>
    <row r="28" spans="1:11">
      <c r="A28" s="48" t="s">
        <v>28</v>
      </c>
      <c r="B28" s="22" t="s">
        <v>33</v>
      </c>
      <c r="C28" s="22">
        <v>5</v>
      </c>
      <c r="D28" s="22" t="s">
        <v>144</v>
      </c>
      <c r="E28" s="23" t="s">
        <v>97</v>
      </c>
      <c r="F28" s="22" t="s">
        <v>139</v>
      </c>
      <c r="G28" s="24" t="s">
        <v>99</v>
      </c>
      <c r="H28" s="22" t="s">
        <v>141</v>
      </c>
      <c r="I28" s="22"/>
      <c r="J28" s="22" t="s">
        <v>101</v>
      </c>
      <c r="K28" s="22"/>
    </row>
    <row r="29" spans="1:11">
      <c r="A29" s="48" t="s">
        <v>28</v>
      </c>
      <c r="B29" s="22" t="s">
        <v>33</v>
      </c>
      <c r="C29" s="22">
        <v>6</v>
      </c>
      <c r="D29" s="22" t="s">
        <v>145</v>
      </c>
      <c r="E29" s="23" t="s">
        <v>97</v>
      </c>
      <c r="F29" s="22" t="s">
        <v>139</v>
      </c>
      <c r="G29" s="24" t="s">
        <v>99</v>
      </c>
      <c r="H29" s="22" t="s">
        <v>141</v>
      </c>
      <c r="I29" s="22"/>
      <c r="J29" s="22" t="s">
        <v>101</v>
      </c>
      <c r="K29" s="22"/>
    </row>
    <row r="30" spans="1:11">
      <c r="A30" s="48" t="s">
        <v>28</v>
      </c>
      <c r="B30" s="22" t="s">
        <v>33</v>
      </c>
      <c r="C30" s="22">
        <v>7</v>
      </c>
      <c r="D30" s="22" t="s">
        <v>146</v>
      </c>
      <c r="E30" s="23" t="s">
        <v>97</v>
      </c>
      <c r="F30" s="22" t="s">
        <v>139</v>
      </c>
      <c r="G30" s="24" t="s">
        <v>99</v>
      </c>
      <c r="H30" s="22" t="s">
        <v>141</v>
      </c>
      <c r="I30" s="22"/>
      <c r="J30" s="22" t="s">
        <v>101</v>
      </c>
      <c r="K30" s="22"/>
    </row>
    <row r="31" spans="1:11">
      <c r="A31" s="48" t="s">
        <v>28</v>
      </c>
      <c r="B31" s="22" t="s">
        <v>33</v>
      </c>
      <c r="C31" s="22">
        <v>8</v>
      </c>
      <c r="D31" s="22" t="s">
        <v>147</v>
      </c>
      <c r="E31" s="23" t="s">
        <v>97</v>
      </c>
      <c r="F31" s="22" t="s">
        <v>139</v>
      </c>
      <c r="G31" s="24" t="s">
        <v>99</v>
      </c>
      <c r="H31" s="22" t="s">
        <v>141</v>
      </c>
      <c r="I31" s="22"/>
      <c r="J31" s="22" t="s">
        <v>101</v>
      </c>
      <c r="K31" s="22"/>
    </row>
    <row r="32" spans="1:11">
      <c r="A32" s="48" t="s">
        <v>28</v>
      </c>
      <c r="B32" s="22" t="s">
        <v>33</v>
      </c>
      <c r="C32" s="22">
        <v>9</v>
      </c>
      <c r="D32" s="22" t="s">
        <v>148</v>
      </c>
      <c r="E32" s="23" t="s">
        <v>97</v>
      </c>
      <c r="F32" s="22" t="s">
        <v>139</v>
      </c>
      <c r="G32" s="24" t="s">
        <v>99</v>
      </c>
      <c r="H32" s="22" t="s">
        <v>141</v>
      </c>
      <c r="I32" s="22"/>
      <c r="J32" s="22" t="s">
        <v>101</v>
      </c>
      <c r="K32" s="22"/>
    </row>
    <row r="33" spans="1:11">
      <c r="A33" s="44" t="s">
        <v>26</v>
      </c>
      <c r="B33" s="22" t="s">
        <v>36</v>
      </c>
      <c r="C33" s="22">
        <v>1</v>
      </c>
      <c r="D33" s="22" t="s">
        <v>149</v>
      </c>
      <c r="E33" s="25" t="s">
        <v>103</v>
      </c>
      <c r="F33" s="22"/>
      <c r="G33" s="26" t="s">
        <v>101</v>
      </c>
      <c r="H33" s="22"/>
      <c r="I33" s="22"/>
      <c r="J33" s="22" t="s">
        <v>101</v>
      </c>
      <c r="K33" s="22"/>
    </row>
    <row r="34" spans="1:11">
      <c r="A34" s="44" t="s">
        <v>26</v>
      </c>
      <c r="B34" s="22" t="s">
        <v>37</v>
      </c>
      <c r="C34" s="22">
        <v>1</v>
      </c>
      <c r="D34" s="22" t="s">
        <v>150</v>
      </c>
      <c r="E34" s="25" t="s">
        <v>103</v>
      </c>
      <c r="F34" s="22"/>
      <c r="G34" s="26" t="s">
        <v>101</v>
      </c>
      <c r="H34" s="22"/>
      <c r="I34" s="22"/>
      <c r="J34" s="22" t="s">
        <v>101</v>
      </c>
      <c r="K34" s="22"/>
    </row>
    <row r="35" spans="1:11">
      <c r="A35" s="45" t="s">
        <v>25</v>
      </c>
      <c r="B35" s="22" t="s">
        <v>67</v>
      </c>
      <c r="C35" s="22">
        <v>1</v>
      </c>
      <c r="D35" s="22" t="s">
        <v>151</v>
      </c>
      <c r="E35" s="27" t="s">
        <v>5</v>
      </c>
      <c r="F35" s="22" t="s">
        <v>152</v>
      </c>
      <c r="G35" s="26" t="s">
        <v>101</v>
      </c>
      <c r="H35" s="22" t="s">
        <v>153</v>
      </c>
      <c r="I35" s="22"/>
      <c r="J35" s="22" t="s">
        <v>101</v>
      </c>
      <c r="K35" s="22"/>
    </row>
    <row r="36" spans="1:11">
      <c r="A36" s="45" t="s">
        <v>25</v>
      </c>
      <c r="B36" s="22" t="s">
        <v>69</v>
      </c>
      <c r="C36" s="22">
        <v>1</v>
      </c>
      <c r="D36" s="22" t="s">
        <v>154</v>
      </c>
      <c r="E36" s="23" t="s">
        <v>97</v>
      </c>
      <c r="F36" s="22" t="s">
        <v>155</v>
      </c>
      <c r="G36" s="24" t="s">
        <v>99</v>
      </c>
      <c r="H36" s="22" t="s">
        <v>156</v>
      </c>
      <c r="I36" s="22"/>
      <c r="J36" s="22" t="s">
        <v>101</v>
      </c>
      <c r="K36" s="22"/>
    </row>
    <row r="37" spans="1:11">
      <c r="A37" s="45" t="s">
        <v>25</v>
      </c>
      <c r="B37" s="22" t="s">
        <v>71</v>
      </c>
      <c r="C37" s="22">
        <v>1</v>
      </c>
      <c r="D37" s="22" t="s">
        <v>157</v>
      </c>
      <c r="E37" s="23" t="s">
        <v>97</v>
      </c>
      <c r="F37" s="22" t="s">
        <v>158</v>
      </c>
      <c r="G37" s="24" t="s">
        <v>99</v>
      </c>
      <c r="H37" s="22" t="s">
        <v>159</v>
      </c>
      <c r="I37" s="22"/>
      <c r="J37" s="22" t="s">
        <v>101</v>
      </c>
      <c r="K37" s="22"/>
    </row>
    <row r="38" spans="1:11">
      <c r="A38" s="46" t="s">
        <v>27</v>
      </c>
      <c r="B38" s="22" t="s">
        <v>82</v>
      </c>
      <c r="C38" s="22">
        <v>1</v>
      </c>
      <c r="D38" s="22" t="s">
        <v>160</v>
      </c>
      <c r="E38" s="23" t="s">
        <v>97</v>
      </c>
      <c r="F38" s="22" t="s">
        <v>161</v>
      </c>
      <c r="G38" s="26" t="s">
        <v>101</v>
      </c>
      <c r="H38" s="22" t="s">
        <v>162</v>
      </c>
      <c r="I38" s="22"/>
      <c r="J38" s="22" t="s">
        <v>101</v>
      </c>
      <c r="K38" s="22"/>
    </row>
    <row r="39" spans="1:11">
      <c r="A39" s="47" t="s">
        <v>29</v>
      </c>
      <c r="B39" s="22" t="s">
        <v>59</v>
      </c>
      <c r="C39" s="22">
        <v>1</v>
      </c>
      <c r="D39" s="22" t="s">
        <v>163</v>
      </c>
      <c r="E39" s="23" t="s">
        <v>97</v>
      </c>
      <c r="F39" s="22" t="s">
        <v>164</v>
      </c>
      <c r="G39" s="26" t="s">
        <v>99</v>
      </c>
      <c r="H39" s="22"/>
      <c r="I39" s="22"/>
      <c r="J39" s="22" t="s">
        <v>101</v>
      </c>
      <c r="K39" s="22"/>
    </row>
    <row r="40" spans="1:11">
      <c r="A40" s="46" t="s">
        <v>27</v>
      </c>
      <c r="B40" s="22" t="s">
        <v>83</v>
      </c>
      <c r="C40" s="22">
        <v>1</v>
      </c>
      <c r="D40" s="22" t="s">
        <v>165</v>
      </c>
      <c r="E40" s="23" t="s">
        <v>97</v>
      </c>
      <c r="F40" s="22" t="s">
        <v>166</v>
      </c>
      <c r="G40" s="26" t="s">
        <v>101</v>
      </c>
      <c r="H40" s="22"/>
      <c r="I40" s="22"/>
      <c r="J40" s="22" t="s">
        <v>101</v>
      </c>
      <c r="K40" s="22"/>
    </row>
    <row r="41" spans="1:11">
      <c r="A41" s="45" t="s">
        <v>25</v>
      </c>
      <c r="B41" s="22" t="s">
        <v>73</v>
      </c>
      <c r="C41" s="22">
        <v>1</v>
      </c>
      <c r="D41" s="22" t="s">
        <v>167</v>
      </c>
      <c r="E41" s="25" t="s">
        <v>103</v>
      </c>
      <c r="F41" s="22"/>
      <c r="G41" s="26" t="s">
        <v>101</v>
      </c>
      <c r="H41" s="22"/>
      <c r="I41" s="22"/>
      <c r="J41" s="22" t="s">
        <v>101</v>
      </c>
      <c r="K41" s="22"/>
    </row>
    <row r="42" spans="1:11">
      <c r="A42" s="47" t="s">
        <v>29</v>
      </c>
      <c r="B42" s="22" t="s">
        <v>61</v>
      </c>
      <c r="C42" s="22">
        <v>1</v>
      </c>
      <c r="D42" s="22" t="s">
        <v>168</v>
      </c>
      <c r="E42" s="23" t="s">
        <v>97</v>
      </c>
      <c r="F42" s="22" t="s">
        <v>169</v>
      </c>
      <c r="G42" s="26" t="s">
        <v>99</v>
      </c>
      <c r="H42" s="22"/>
      <c r="I42" s="22"/>
      <c r="J42" s="22" t="s">
        <v>101</v>
      </c>
      <c r="K42" s="22"/>
    </row>
    <row r="43" spans="1:11">
      <c r="A43" s="47" t="s">
        <v>29</v>
      </c>
      <c r="B43" s="22" t="s">
        <v>61</v>
      </c>
      <c r="C43" s="22">
        <v>2</v>
      </c>
      <c r="D43" s="22" t="s">
        <v>170</v>
      </c>
      <c r="E43" s="23" t="s">
        <v>97</v>
      </c>
      <c r="F43" s="22" t="s">
        <v>169</v>
      </c>
      <c r="G43" s="26" t="s">
        <v>99</v>
      </c>
      <c r="H43" s="22"/>
      <c r="I43" s="22"/>
      <c r="J43" s="22" t="s">
        <v>101</v>
      </c>
      <c r="K43" s="22"/>
    </row>
    <row r="44" spans="1:11">
      <c r="A44" s="44" t="s">
        <v>26</v>
      </c>
      <c r="B44" s="22" t="s">
        <v>38</v>
      </c>
      <c r="C44" s="22">
        <v>1</v>
      </c>
      <c r="D44" s="22" t="s">
        <v>171</v>
      </c>
      <c r="E44" s="25" t="s">
        <v>103</v>
      </c>
      <c r="F44" s="22"/>
      <c r="G44" s="26" t="s">
        <v>101</v>
      </c>
      <c r="H44" s="22"/>
      <c r="I44" s="22"/>
      <c r="J44" s="22" t="s">
        <v>101</v>
      </c>
      <c r="K44" s="22"/>
    </row>
    <row r="45" spans="1:11">
      <c r="A45" s="48" t="s">
        <v>28</v>
      </c>
      <c r="B45" s="22" t="s">
        <v>43</v>
      </c>
      <c r="C45" s="22">
        <v>1</v>
      </c>
      <c r="D45" s="22" t="s">
        <v>172</v>
      </c>
      <c r="E45" s="23" t="s">
        <v>97</v>
      </c>
      <c r="F45" s="22" t="s">
        <v>173</v>
      </c>
      <c r="G45" s="24" t="s">
        <v>99</v>
      </c>
      <c r="H45" s="22"/>
      <c r="I45" s="22"/>
      <c r="J45" s="22" t="s">
        <v>101</v>
      </c>
      <c r="K45" s="22"/>
    </row>
    <row r="46" spans="1:11">
      <c r="A46" s="48" t="s">
        <v>28</v>
      </c>
      <c r="B46" s="22" t="s">
        <v>45</v>
      </c>
      <c r="C46" s="22">
        <v>1</v>
      </c>
      <c r="D46" s="22" t="s">
        <v>174</v>
      </c>
      <c r="E46" s="23" t="s">
        <v>97</v>
      </c>
      <c r="F46" s="22" t="s">
        <v>161</v>
      </c>
      <c r="G46" s="24" t="s">
        <v>99</v>
      </c>
      <c r="H46" s="22" t="s">
        <v>175</v>
      </c>
      <c r="I46" s="22"/>
      <c r="J46" s="22" t="s">
        <v>101</v>
      </c>
      <c r="K46" s="22"/>
    </row>
    <row r="47" spans="1:11">
      <c r="A47" s="44" t="s">
        <v>26</v>
      </c>
      <c r="B47" s="22" t="s">
        <v>39</v>
      </c>
      <c r="C47" s="22">
        <v>1</v>
      </c>
      <c r="D47" s="22" t="s">
        <v>176</v>
      </c>
      <c r="E47" s="25" t="s">
        <v>103</v>
      </c>
      <c r="F47" s="22"/>
      <c r="G47" s="26" t="s">
        <v>101</v>
      </c>
      <c r="H47" s="22"/>
      <c r="I47" s="22"/>
      <c r="J47" s="22" t="s">
        <v>101</v>
      </c>
      <c r="K47" s="22"/>
    </row>
    <row r="48" spans="1:11">
      <c r="A48" s="47" t="s">
        <v>29</v>
      </c>
      <c r="B48" s="22" t="s">
        <v>64</v>
      </c>
      <c r="C48" s="22">
        <v>1</v>
      </c>
      <c r="D48" s="22" t="s">
        <v>177</v>
      </c>
      <c r="E48" s="23" t="s">
        <v>97</v>
      </c>
      <c r="F48" s="22" t="s">
        <v>161</v>
      </c>
      <c r="G48" s="24" t="s">
        <v>99</v>
      </c>
      <c r="H48" s="22"/>
      <c r="I48" s="22"/>
      <c r="J48" s="22" t="s">
        <v>101</v>
      </c>
      <c r="K48" s="22"/>
    </row>
    <row r="49" spans="1:11">
      <c r="A49" s="44" t="s">
        <v>26</v>
      </c>
      <c r="B49" s="22" t="s">
        <v>40</v>
      </c>
      <c r="C49" s="22">
        <v>1</v>
      </c>
      <c r="D49" s="22" t="s">
        <v>178</v>
      </c>
      <c r="E49" s="23" t="s">
        <v>97</v>
      </c>
      <c r="F49" s="22" t="s">
        <v>179</v>
      </c>
      <c r="G49" s="24" t="s">
        <v>99</v>
      </c>
      <c r="H49" s="22" t="s">
        <v>180</v>
      </c>
      <c r="I49" s="22"/>
      <c r="J49" s="22" t="s">
        <v>101</v>
      </c>
      <c r="K49" s="22"/>
    </row>
    <row r="50" spans="1:11">
      <c r="A50" s="46" t="s">
        <v>27</v>
      </c>
      <c r="B50" s="22" t="s">
        <v>84</v>
      </c>
      <c r="C50" s="22">
        <v>1</v>
      </c>
      <c r="D50" s="22" t="s">
        <v>181</v>
      </c>
      <c r="E50" s="23" t="s">
        <v>97</v>
      </c>
      <c r="F50" s="22" t="s">
        <v>182</v>
      </c>
      <c r="G50" s="26" t="s">
        <v>101</v>
      </c>
      <c r="H50" s="22"/>
      <c r="I50" s="22"/>
      <c r="J50" s="22" t="s">
        <v>101</v>
      </c>
      <c r="K50" s="22"/>
    </row>
    <row r="51" spans="1:11">
      <c r="A51" s="44" t="s">
        <v>26</v>
      </c>
      <c r="B51" s="22" t="s">
        <v>41</v>
      </c>
      <c r="C51" s="22">
        <v>1</v>
      </c>
      <c r="D51" s="22" t="s">
        <v>183</v>
      </c>
      <c r="E51" s="23" t="s">
        <v>97</v>
      </c>
      <c r="F51" s="22" t="s">
        <v>184</v>
      </c>
      <c r="G51" s="24" t="s">
        <v>99</v>
      </c>
      <c r="H51" s="22" t="s">
        <v>185</v>
      </c>
      <c r="I51" s="22"/>
      <c r="J51" s="22" t="s">
        <v>101</v>
      </c>
      <c r="K51" s="22"/>
    </row>
    <row r="52" spans="1:11">
      <c r="A52" s="44" t="s">
        <v>26</v>
      </c>
      <c r="B52" s="22" t="s">
        <v>42</v>
      </c>
      <c r="C52" s="22">
        <v>1</v>
      </c>
      <c r="D52" s="22" t="s">
        <v>186</v>
      </c>
      <c r="E52" s="23" t="s">
        <v>97</v>
      </c>
      <c r="F52" s="22" t="s">
        <v>187</v>
      </c>
      <c r="G52" s="24" t="s">
        <v>99</v>
      </c>
      <c r="H52" s="22" t="s">
        <v>185</v>
      </c>
      <c r="I52" s="22"/>
      <c r="J52" s="22" t="s">
        <v>101</v>
      </c>
      <c r="K52" s="22"/>
    </row>
    <row r="53" spans="1:11">
      <c r="A53" s="44" t="s">
        <v>26</v>
      </c>
      <c r="B53" s="22" t="s">
        <v>44</v>
      </c>
      <c r="C53" s="22">
        <v>1</v>
      </c>
      <c r="D53" s="22" t="s">
        <v>188</v>
      </c>
      <c r="E53" s="23" t="s">
        <v>97</v>
      </c>
      <c r="F53" s="22" t="s">
        <v>189</v>
      </c>
      <c r="G53" s="26" t="s">
        <v>101</v>
      </c>
      <c r="H53" s="22"/>
      <c r="I53" s="22"/>
      <c r="J53" s="22" t="s">
        <v>101</v>
      </c>
      <c r="K53" s="22"/>
    </row>
    <row r="54" spans="1:11">
      <c r="A54" s="47" t="s">
        <v>29</v>
      </c>
      <c r="B54" s="22" t="s">
        <v>66</v>
      </c>
      <c r="C54" s="22">
        <v>1</v>
      </c>
      <c r="D54" s="22" t="s">
        <v>190</v>
      </c>
      <c r="E54" s="23" t="s">
        <v>97</v>
      </c>
      <c r="F54" s="22" t="s">
        <v>191</v>
      </c>
      <c r="G54" s="24" t="s">
        <v>99</v>
      </c>
      <c r="H54" s="22" t="s">
        <v>192</v>
      </c>
      <c r="I54" s="22"/>
      <c r="J54" s="22" t="s">
        <v>101</v>
      </c>
      <c r="K54" s="22"/>
    </row>
    <row r="55" spans="1:11">
      <c r="A55" s="44" t="s">
        <v>26</v>
      </c>
      <c r="B55" s="22" t="s">
        <v>46</v>
      </c>
      <c r="C55" s="22">
        <v>1</v>
      </c>
      <c r="D55" s="22" t="s">
        <v>193</v>
      </c>
      <c r="E55" s="23" t="s">
        <v>97</v>
      </c>
      <c r="F55" s="22" t="s">
        <v>194</v>
      </c>
      <c r="G55" s="24" t="s">
        <v>99</v>
      </c>
      <c r="H55" s="22" t="s">
        <v>195</v>
      </c>
      <c r="I55" s="22"/>
      <c r="J55" s="22" t="s">
        <v>101</v>
      </c>
      <c r="K55" s="22"/>
    </row>
    <row r="56" spans="1:11">
      <c r="A56" s="47" t="s">
        <v>29</v>
      </c>
      <c r="B56" s="22" t="s">
        <v>68</v>
      </c>
      <c r="C56" s="22">
        <v>1</v>
      </c>
      <c r="D56" s="22" t="s">
        <v>196</v>
      </c>
      <c r="E56" s="23" t="s">
        <v>97</v>
      </c>
      <c r="F56" s="22" t="s">
        <v>197</v>
      </c>
      <c r="G56" s="26" t="s">
        <v>99</v>
      </c>
      <c r="H56" s="22"/>
      <c r="I56" s="22"/>
      <c r="J56" s="22" t="s">
        <v>101</v>
      </c>
      <c r="K56" s="22"/>
    </row>
    <row r="57" spans="1:11">
      <c r="A57" s="47" t="s">
        <v>29</v>
      </c>
      <c r="B57" s="22" t="s">
        <v>70</v>
      </c>
      <c r="C57" s="22">
        <v>1</v>
      </c>
      <c r="D57" s="22" t="s">
        <v>198</v>
      </c>
      <c r="E57" s="23" t="s">
        <v>97</v>
      </c>
      <c r="F57" s="22" t="s">
        <v>199</v>
      </c>
      <c r="G57" s="26" t="s">
        <v>99</v>
      </c>
      <c r="H57" s="22"/>
      <c r="I57" s="22"/>
      <c r="J57" s="22" t="s">
        <v>101</v>
      </c>
      <c r="K57" s="22"/>
    </row>
    <row r="58" spans="1:11">
      <c r="A58" s="45" t="s">
        <v>25</v>
      </c>
      <c r="B58" s="22" t="s">
        <v>75</v>
      </c>
      <c r="C58" s="22">
        <v>1</v>
      </c>
      <c r="D58" s="22" t="s">
        <v>200</v>
      </c>
      <c r="E58" s="25" t="s">
        <v>103</v>
      </c>
      <c r="F58" s="22"/>
      <c r="G58" s="26" t="s">
        <v>101</v>
      </c>
      <c r="H58" s="22"/>
      <c r="I58" s="22"/>
      <c r="J58" s="22" t="s">
        <v>101</v>
      </c>
      <c r="K58" s="22"/>
    </row>
    <row r="59" spans="1:11">
      <c r="A59" s="47" t="s">
        <v>29</v>
      </c>
      <c r="B59" s="22" t="s">
        <v>72</v>
      </c>
      <c r="C59" s="22">
        <v>1</v>
      </c>
      <c r="D59" s="22" t="s">
        <v>201</v>
      </c>
      <c r="E59" s="23" t="s">
        <v>97</v>
      </c>
      <c r="F59" s="22" t="s">
        <v>111</v>
      </c>
      <c r="G59" s="24" t="s">
        <v>99</v>
      </c>
      <c r="H59" s="22"/>
      <c r="I59" s="22"/>
      <c r="J59" s="22" t="s">
        <v>101</v>
      </c>
      <c r="K59" s="22"/>
    </row>
    <row r="60" spans="1:11">
      <c r="A60" s="48" t="s">
        <v>28</v>
      </c>
      <c r="B60" s="22" t="s">
        <v>47</v>
      </c>
      <c r="C60" s="22">
        <v>1</v>
      </c>
      <c r="D60" s="22" t="s">
        <v>202</v>
      </c>
      <c r="E60" s="23" t="s">
        <v>97</v>
      </c>
      <c r="F60" s="22" t="s">
        <v>203</v>
      </c>
      <c r="G60" s="24" t="s">
        <v>99</v>
      </c>
      <c r="H60" s="22" t="s">
        <v>204</v>
      </c>
      <c r="I60" s="22"/>
      <c r="J60" s="22" t="s">
        <v>101</v>
      </c>
      <c r="K60" s="22"/>
    </row>
    <row r="61" spans="1:11">
      <c r="A61" s="47" t="s">
        <v>29</v>
      </c>
      <c r="B61" s="22" t="s">
        <v>74</v>
      </c>
      <c r="C61" s="22">
        <v>1</v>
      </c>
      <c r="D61" s="22" t="s">
        <v>205</v>
      </c>
      <c r="E61" s="23" t="s">
        <v>97</v>
      </c>
      <c r="F61" s="22" t="s">
        <v>206</v>
      </c>
      <c r="G61" s="24" t="s">
        <v>99</v>
      </c>
      <c r="H61" s="22" t="s">
        <v>207</v>
      </c>
      <c r="I61" s="22"/>
      <c r="J61" s="22" t="s">
        <v>101</v>
      </c>
      <c r="K61" s="22"/>
    </row>
    <row r="62" spans="1:11">
      <c r="A62" s="48" t="s">
        <v>28</v>
      </c>
      <c r="B62" s="22" t="s">
        <v>49</v>
      </c>
      <c r="C62" s="22">
        <v>1</v>
      </c>
      <c r="D62" s="22" t="s">
        <v>208</v>
      </c>
      <c r="E62" s="23" t="s">
        <v>97</v>
      </c>
      <c r="F62" s="22" t="s">
        <v>209</v>
      </c>
      <c r="G62" s="24" t="s">
        <v>99</v>
      </c>
      <c r="H62" s="22" t="s">
        <v>210</v>
      </c>
      <c r="I62" s="22"/>
      <c r="J62" s="22" t="s">
        <v>101</v>
      </c>
      <c r="K62" s="22"/>
    </row>
    <row r="63" spans="1:11">
      <c r="A63" s="47" t="s">
        <v>29</v>
      </c>
      <c r="B63" s="22" t="s">
        <v>76</v>
      </c>
      <c r="C63" s="22">
        <v>1</v>
      </c>
      <c r="D63" s="22" t="s">
        <v>211</v>
      </c>
      <c r="E63" s="23" t="s">
        <v>97</v>
      </c>
      <c r="F63" s="22" t="s">
        <v>194</v>
      </c>
      <c r="G63" s="26" t="s">
        <v>99</v>
      </c>
      <c r="H63" s="22"/>
      <c r="I63" s="22"/>
      <c r="J63" s="22" t="s">
        <v>101</v>
      </c>
      <c r="K63" s="22"/>
    </row>
    <row r="64" spans="1:11">
      <c r="A64" s="48" t="s">
        <v>28</v>
      </c>
      <c r="B64" s="22" t="s">
        <v>51</v>
      </c>
      <c r="C64" s="22">
        <v>1</v>
      </c>
      <c r="D64" s="22" t="s">
        <v>212</v>
      </c>
      <c r="E64" s="23" t="s">
        <v>97</v>
      </c>
      <c r="F64" s="22" t="s">
        <v>213</v>
      </c>
      <c r="G64" s="24" t="s">
        <v>99</v>
      </c>
      <c r="H64" s="22"/>
      <c r="I64" s="22"/>
      <c r="J64" s="22" t="s">
        <v>101</v>
      </c>
      <c r="K64" s="22"/>
    </row>
    <row r="65" spans="1:11">
      <c r="A65" s="44" t="s">
        <v>26</v>
      </c>
      <c r="B65" s="22" t="s">
        <v>48</v>
      </c>
      <c r="C65" s="22">
        <v>1</v>
      </c>
      <c r="D65" s="22" t="s">
        <v>214</v>
      </c>
      <c r="E65" s="23" t="s">
        <v>97</v>
      </c>
      <c r="F65" s="22" t="s">
        <v>215</v>
      </c>
      <c r="G65" s="24" t="s">
        <v>99</v>
      </c>
      <c r="H65" s="22" t="s">
        <v>216</v>
      </c>
      <c r="I65" s="22" t="s">
        <v>217</v>
      </c>
      <c r="J65" s="22" t="s">
        <v>99</v>
      </c>
      <c r="K65" s="22" t="s">
        <v>218</v>
      </c>
    </row>
    <row r="66" spans="1:11">
      <c r="A66" s="44" t="s">
        <v>26</v>
      </c>
      <c r="B66" s="22" t="s">
        <v>50</v>
      </c>
      <c r="C66" s="22">
        <v>1</v>
      </c>
      <c r="D66" s="22" t="s">
        <v>219</v>
      </c>
      <c r="E66" s="23" t="s">
        <v>97</v>
      </c>
      <c r="F66" s="22" t="s">
        <v>220</v>
      </c>
      <c r="G66" s="24" t="s">
        <v>99</v>
      </c>
      <c r="H66" s="22" t="s">
        <v>221</v>
      </c>
      <c r="I66" s="22"/>
      <c r="J66" s="22" t="s">
        <v>101</v>
      </c>
      <c r="K66" s="22"/>
    </row>
    <row r="67" spans="1:11">
      <c r="A67" s="45" t="s">
        <v>25</v>
      </c>
      <c r="B67" s="22" t="s">
        <v>77</v>
      </c>
      <c r="C67" s="22">
        <v>1</v>
      </c>
      <c r="D67" s="22" t="s">
        <v>222</v>
      </c>
      <c r="E67" s="23" t="s">
        <v>97</v>
      </c>
      <c r="F67" s="22" t="s">
        <v>111</v>
      </c>
      <c r="G67" s="24" t="s">
        <v>99</v>
      </c>
      <c r="H67" s="22" t="s">
        <v>223</v>
      </c>
      <c r="I67" s="22"/>
      <c r="J67" s="22" t="s">
        <v>101</v>
      </c>
      <c r="K67" s="22"/>
    </row>
    <row r="68" spans="1:11">
      <c r="A68" s="46" t="s">
        <v>27</v>
      </c>
      <c r="B68" s="22" t="s">
        <v>85</v>
      </c>
      <c r="C68" s="22">
        <v>1</v>
      </c>
      <c r="D68" s="22" t="s">
        <v>224</v>
      </c>
      <c r="E68" s="23" t="s">
        <v>97</v>
      </c>
      <c r="F68" s="22" t="s">
        <v>225</v>
      </c>
      <c r="G68" s="26" t="s">
        <v>101</v>
      </c>
      <c r="H68" s="22" t="s">
        <v>226</v>
      </c>
      <c r="I68" s="22"/>
      <c r="J68" s="22" t="s">
        <v>101</v>
      </c>
      <c r="K68" s="22"/>
    </row>
    <row r="69" spans="1:11">
      <c r="A69" s="46" t="s">
        <v>27</v>
      </c>
      <c r="B69" s="22" t="s">
        <v>86</v>
      </c>
      <c r="C69" s="22">
        <v>1</v>
      </c>
      <c r="D69" s="22" t="s">
        <v>227</v>
      </c>
      <c r="E69" s="25" t="s">
        <v>103</v>
      </c>
      <c r="F69" s="22"/>
      <c r="G69" s="26" t="s">
        <v>101</v>
      </c>
      <c r="H69" s="22"/>
      <c r="I69" s="22"/>
      <c r="J69" s="22" t="s">
        <v>101</v>
      </c>
      <c r="K69" s="22"/>
    </row>
    <row r="70" spans="1:11">
      <c r="A70" s="47" t="s">
        <v>29</v>
      </c>
      <c r="B70" s="22" t="s">
        <v>78</v>
      </c>
      <c r="C70" s="22">
        <v>1</v>
      </c>
      <c r="D70" s="22" t="s">
        <v>228</v>
      </c>
      <c r="E70" s="25" t="s">
        <v>103</v>
      </c>
      <c r="F70" s="22"/>
      <c r="G70" s="26" t="s">
        <v>101</v>
      </c>
      <c r="H70" s="22"/>
      <c r="I70" s="22"/>
      <c r="J70" s="22" t="s">
        <v>101</v>
      </c>
      <c r="K70" s="22"/>
    </row>
  </sheetData>
  <autoFilter ref="A1:G1" xr:uid="{00000000-0009-0000-0000-000002000000}"/>
  <conditionalFormatting sqref="G2:G70">
    <cfRule type="cellIs" dxfId="29" priority="1" stopIfTrue="1" operator="equal">
      <formula>"Sim"</formula>
    </cfRule>
    <cfRule type="cellIs" dxfId="28" priority="3" stopIfTrue="1" operator="equal">
      <formula>"Não"</formula>
    </cfRule>
  </conditionalFormatting>
  <conditionalFormatting sqref="J2:J70">
    <cfRule type="cellIs" dxfId="27" priority="4" stopIfTrue="1" operator="equal">
      <formula>"Sim"</formula>
    </cfRule>
    <cfRule type="cellIs" dxfId="26" priority="4" stopIfTrue="1" operator="equal">
      <formula>"Não"</formula>
    </cfRule>
    <cfRule type="cellIs" dxfId="25" priority="5" stopIfTrue="1" operator="equal">
      <formula>"Em Análise"</formula>
    </cfRule>
  </conditionalFormatting>
  <conditionalFormatting sqref="E2:E70">
    <cfRule type="cellIs" dxfId="24" priority="6" stopIfTrue="1" operator="equal">
      <formula>"Enviado"</formula>
    </cfRule>
    <cfRule type="cellIs" dxfId="23" priority="7" stopIfTrue="1" operator="equal">
      <formula>"Atrasado"</formula>
    </cfRule>
    <cfRule type="cellIs" dxfId="22" priority="8" stopIfTrue="1" operator="equal">
      <formula>"Outras Ocorrências"</formula>
    </cfRule>
    <cfRule type="cellIs" dxfId="21" priority="9" stopIfTrue="1" operator="equal">
      <formula>"Sem Técnico"</formula>
    </cfRule>
    <cfRule type="cellIs" dxfId="20" priority="10"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2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200-000001000000}">
      <formula1>"Sim,Não, 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200-000002000000}">
      <formula1>"Enviado, Atrasado, Outras Ocorrências, Sem Técnico, Duplicado"</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70"/>
  <sheetViews>
    <sheetView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5" width="14" customWidth="1"/>
    <col min="6" max="6" width="51" customWidth="1"/>
    <col min="7" max="7" width="27" customWidth="1"/>
    <col min="8" max="8" width="344" customWidth="1"/>
    <col min="9" max="9" width="38" customWidth="1"/>
    <col min="10" max="10" width="25" customWidth="1"/>
    <col min="11" max="11" width="34" customWidth="1"/>
  </cols>
  <sheetData>
    <row r="1" spans="1:11">
      <c r="A1" s="21" t="s">
        <v>21</v>
      </c>
      <c r="B1" s="21" t="s">
        <v>87</v>
      </c>
      <c r="C1" s="21" t="s">
        <v>31</v>
      </c>
      <c r="D1" s="21" t="s">
        <v>88</v>
      </c>
      <c r="E1" s="21" t="s">
        <v>89</v>
      </c>
      <c r="F1" s="21" t="s">
        <v>90</v>
      </c>
      <c r="G1" s="21" t="s">
        <v>91</v>
      </c>
      <c r="H1" s="21" t="s">
        <v>92</v>
      </c>
      <c r="I1" s="21" t="s">
        <v>93</v>
      </c>
      <c r="J1" s="21" t="s">
        <v>94</v>
      </c>
      <c r="K1" s="21" t="s">
        <v>95</v>
      </c>
    </row>
    <row r="2" spans="1:11">
      <c r="A2" s="44" t="s">
        <v>26</v>
      </c>
      <c r="B2" s="22" t="s">
        <v>32</v>
      </c>
      <c r="C2" s="22">
        <v>1</v>
      </c>
      <c r="D2" s="22" t="str">
        <f>IFERROR(IF(INDEX('Form 1 - Município'!D2:D500, MATCH(B2&amp;C2, INDEX('Form 1 - Município'!B2:B500&amp;'Form 1 - Município'!C2:C500, 0), 0))="", "", INDEX('Form 1 - Município'!D2:D500, MATCH(B2&amp;C2, INDEX('Form 1 - Município'!B2:B500&amp;'Form 1 - Município'!C2:C500, 0), 0))), "")</f>
        <v>Paula Tatiana Santana Vechi</v>
      </c>
      <c r="E2" s="23" t="s">
        <v>97</v>
      </c>
      <c r="F2" s="22" t="s">
        <v>229</v>
      </c>
      <c r="G2" s="24" t="s">
        <v>99</v>
      </c>
      <c r="H2" s="22" t="s">
        <v>230</v>
      </c>
      <c r="I2" s="22"/>
      <c r="J2" s="22" t="s">
        <v>101</v>
      </c>
      <c r="K2" s="22"/>
    </row>
    <row r="3" spans="1:11">
      <c r="A3" s="45" t="s">
        <v>25</v>
      </c>
      <c r="B3" s="22" t="s">
        <v>52</v>
      </c>
      <c r="C3" s="22">
        <v>1</v>
      </c>
      <c r="D3" s="22" t="str">
        <f>IFERROR(IF(INDEX('Form 1 - Município'!D2:D500, MATCH(B3&amp;C3, INDEX('Form 1 - Município'!B2:B500&amp;'Form 1 - Município'!C2:C500, 0), 0))="", "", INDEX('Form 1 - Município'!D2:D500, MATCH(B3&amp;C3, INDEX('Form 1 - Município'!B2:B500&amp;'Form 1 - Município'!C2:C500, 0), 0))), "")</f>
        <v>Willian de Oliveira Lino</v>
      </c>
      <c r="E3" s="23" t="s">
        <v>97</v>
      </c>
      <c r="F3" s="22" t="s">
        <v>111</v>
      </c>
      <c r="G3" s="24" t="s">
        <v>99</v>
      </c>
      <c r="H3" s="22" t="s">
        <v>231</v>
      </c>
      <c r="I3" s="22"/>
      <c r="J3" s="22" t="s">
        <v>101</v>
      </c>
      <c r="K3" s="22"/>
    </row>
    <row r="4" spans="1:11">
      <c r="A4" s="44" t="s">
        <v>26</v>
      </c>
      <c r="B4" s="22" t="s">
        <v>34</v>
      </c>
      <c r="C4" s="22">
        <v>1</v>
      </c>
      <c r="D4" s="22" t="str">
        <f>IFERROR(IF(INDEX('Form 1 - Município'!D2:D500, MATCH(B4&amp;C4, INDEX('Form 1 - Município'!B2:B500&amp;'Form 1 - Município'!C2:C500, 0), 0))="", "", INDEX('Form 1 - Município'!D2:D500, MATCH(B4&amp;C4, INDEX('Form 1 - Município'!B2:B500&amp;'Form 1 - Município'!C2:C500, 0), 0))), "")</f>
        <v>Gisele Cássia Tamparowsky de Oliveira</v>
      </c>
      <c r="E4" s="23" t="s">
        <v>97</v>
      </c>
      <c r="F4" s="22" t="s">
        <v>232</v>
      </c>
      <c r="G4" s="24" t="s">
        <v>99</v>
      </c>
      <c r="H4" s="22" t="s">
        <v>233</v>
      </c>
      <c r="I4" s="22"/>
      <c r="J4" s="22" t="s">
        <v>101</v>
      </c>
      <c r="K4" s="22"/>
    </row>
    <row r="5" spans="1:11">
      <c r="A5" s="45" t="s">
        <v>25</v>
      </c>
      <c r="B5" s="22" t="s">
        <v>54</v>
      </c>
      <c r="C5" s="22">
        <v>1</v>
      </c>
      <c r="D5" s="22" t="str">
        <f>IFERROR(IF(INDEX('Form 1 - Município'!D2:D500, MATCH(B5&amp;C5, INDEX('Form 1 - Município'!B2:B500&amp;'Form 1 - Município'!C2:C500, 0), 0))="", "", INDEX('Form 1 - Município'!D2:D500, MATCH(B5&amp;C5, INDEX('Form 1 - Município'!B2:B500&amp;'Form 1 - Município'!C2:C500, 0), 0))), "")</f>
        <v>Marcos Gabriel Franciosi Borges</v>
      </c>
      <c r="E5" s="23" t="s">
        <v>97</v>
      </c>
      <c r="F5" s="22" t="s">
        <v>187</v>
      </c>
      <c r="G5" s="24" t="s">
        <v>99</v>
      </c>
      <c r="H5" s="22" t="s">
        <v>234</v>
      </c>
      <c r="I5" s="22"/>
      <c r="J5" s="22" t="s">
        <v>101</v>
      </c>
      <c r="K5" s="22"/>
    </row>
    <row r="6" spans="1:11">
      <c r="A6" s="45" t="s">
        <v>25</v>
      </c>
      <c r="B6" s="22" t="s">
        <v>56</v>
      </c>
      <c r="C6" s="22">
        <v>1</v>
      </c>
      <c r="D6" s="22" t="str">
        <f>IFERROR(IF(INDEX('Form 1 - Município'!D2:D500, MATCH(B6&amp;C6, INDEX('Form 1 - Município'!B2:B500&amp;'Form 1 - Município'!C2:C500, 0), 0))="", "", INDEX('Form 1 - Município'!D2:D500, MATCH(B6&amp;C6, INDEX('Form 1 - Município'!B2:B500&amp;'Form 1 - Município'!C2:C500, 0), 0))), "")</f>
        <v>Chayla Bianca Gazoli</v>
      </c>
      <c r="E6" s="23" t="s">
        <v>97</v>
      </c>
      <c r="F6" s="22" t="s">
        <v>235</v>
      </c>
      <c r="G6" s="26" t="s">
        <v>101</v>
      </c>
      <c r="H6" s="22"/>
      <c r="I6" s="22"/>
      <c r="J6" s="22" t="s">
        <v>101</v>
      </c>
      <c r="K6" s="22"/>
    </row>
    <row r="7" spans="1:11">
      <c r="A7" s="44" t="s">
        <v>26</v>
      </c>
      <c r="B7" s="22" t="s">
        <v>35</v>
      </c>
      <c r="C7" s="22">
        <v>1</v>
      </c>
      <c r="D7" s="22" t="str">
        <f>IFERROR(IF(INDEX('Form 1 - Município'!D2:D500, MATCH(B7&amp;C7, INDEX('Form 1 - Município'!B2:B500&amp;'Form 1 - Município'!C2:C500, 0), 0))="", "", INDEX('Form 1 - Município'!D2:D500, MATCH(B7&amp;C7, INDEX('Form 1 - Município'!B2:B500&amp;'Form 1 - Município'!C2:C500, 0), 0))), "")</f>
        <v>Solange Maria Masqueti</v>
      </c>
      <c r="E7" s="23" t="s">
        <v>97</v>
      </c>
      <c r="F7" s="22" t="s">
        <v>107</v>
      </c>
      <c r="G7" s="24" t="s">
        <v>99</v>
      </c>
      <c r="H7" s="22" t="s">
        <v>236</v>
      </c>
      <c r="I7" s="22"/>
      <c r="J7" s="22" t="s">
        <v>101</v>
      </c>
      <c r="K7" s="22"/>
    </row>
    <row r="8" spans="1:11">
      <c r="A8" s="46" t="s">
        <v>27</v>
      </c>
      <c r="B8" s="22" t="s">
        <v>79</v>
      </c>
      <c r="C8" s="22">
        <v>1</v>
      </c>
      <c r="D8" s="22" t="str">
        <f>IFERROR(IF(INDEX('Form 1 - Município'!D2:D500, MATCH(B8&amp;C8, INDEX('Form 1 - Município'!B2:B500&amp;'Form 1 - Município'!C2:C500, 0), 0))="", "", INDEX('Form 1 - Município'!D2:D500, MATCH(B8&amp;C8, INDEX('Form 1 - Município'!B2:B500&amp;'Form 1 - Município'!C2:C500, 0), 0))), "")</f>
        <v>Cristiane Petry Vieira</v>
      </c>
      <c r="E8" s="23" t="s">
        <v>97</v>
      </c>
      <c r="F8" s="22" t="s">
        <v>111</v>
      </c>
      <c r="G8" s="26" t="s">
        <v>101</v>
      </c>
      <c r="H8" s="22"/>
      <c r="I8" s="22"/>
      <c r="J8" s="22" t="s">
        <v>101</v>
      </c>
      <c r="K8" s="22"/>
    </row>
    <row r="9" spans="1:11">
      <c r="A9" s="45" t="s">
        <v>25</v>
      </c>
      <c r="B9" s="22" t="s">
        <v>58</v>
      </c>
      <c r="C9" s="22">
        <v>1</v>
      </c>
      <c r="D9" s="22" t="str">
        <f>IFERROR(IF(INDEX('Form 1 - Município'!D2:D500, MATCH(B9&amp;C9, INDEX('Form 1 - Município'!B2:B500&amp;'Form 1 - Município'!C2:C500, 0), 0))="", "", INDEX('Form 1 - Município'!D2:D500, MATCH(B9&amp;C9, INDEX('Form 1 - Município'!B2:B500&amp;'Form 1 - Município'!C2:C500, 0), 0))), "")</f>
        <v>Diego Hemerich</v>
      </c>
      <c r="E9" s="25" t="s">
        <v>103</v>
      </c>
      <c r="F9" s="22"/>
      <c r="G9" s="26" t="s">
        <v>101</v>
      </c>
      <c r="H9" s="22"/>
      <c r="I9" s="22"/>
      <c r="J9" s="22" t="s">
        <v>101</v>
      </c>
      <c r="K9" s="22"/>
    </row>
    <row r="10" spans="1:11">
      <c r="A10" s="45" t="s">
        <v>25</v>
      </c>
      <c r="B10" s="22" t="s">
        <v>60</v>
      </c>
      <c r="C10" s="22">
        <v>1</v>
      </c>
      <c r="D10" s="22" t="str">
        <f>IFERROR(IF(INDEX('Form 1 - Município'!D2:D500, MATCH(B10&amp;C10, INDEX('Form 1 - Município'!B2:B500&amp;'Form 1 - Município'!C2:C500, 0), 0))="", "", INDEX('Form 1 - Município'!D2:D500, MATCH(B10&amp;C10, INDEX('Form 1 - Município'!B2:B500&amp;'Form 1 - Município'!C2:C500, 0), 0))), "")</f>
        <v>Tatiane Girardi</v>
      </c>
      <c r="E10" s="23" t="s">
        <v>97</v>
      </c>
      <c r="F10" s="22" t="s">
        <v>237</v>
      </c>
      <c r="G10" s="24" t="s">
        <v>99</v>
      </c>
      <c r="H10" s="22"/>
      <c r="I10" s="22"/>
      <c r="J10" s="22" t="s">
        <v>101</v>
      </c>
      <c r="K10" s="22"/>
    </row>
    <row r="11" spans="1:11">
      <c r="A11" s="46" t="s">
        <v>27</v>
      </c>
      <c r="B11" s="22" t="s">
        <v>80</v>
      </c>
      <c r="C11" s="22">
        <v>1</v>
      </c>
      <c r="D11" s="22" t="str">
        <f>IFERROR(IF(INDEX('Form 1 - Município'!D2:D500, MATCH(B11&amp;C11, INDEX('Form 1 - Município'!B2:B500&amp;'Form 1 - Município'!C2:C500, 0), 0))="", "", INDEX('Form 1 - Município'!D2:D500, MATCH(B11&amp;C11, INDEX('Form 1 - Município'!B2:B500&amp;'Form 1 - Município'!C2:C500, 0), 0))), "")</f>
        <v>Edson Batista de Castro</v>
      </c>
      <c r="E11" s="23" t="s">
        <v>97</v>
      </c>
      <c r="F11" s="22" t="s">
        <v>109</v>
      </c>
      <c r="G11" s="26" t="s">
        <v>101</v>
      </c>
      <c r="H11" s="22"/>
      <c r="I11" s="22"/>
      <c r="J11" s="22" t="s">
        <v>101</v>
      </c>
      <c r="K11" s="22"/>
    </row>
    <row r="12" spans="1:11">
      <c r="A12" s="46" t="s">
        <v>27</v>
      </c>
      <c r="B12" s="22" t="s">
        <v>80</v>
      </c>
      <c r="C12" s="22">
        <v>2</v>
      </c>
      <c r="D12" s="22" t="str">
        <f>IFERROR(IF(INDEX('Form 1 - Município'!D2:D500, MATCH(B12&amp;C12, INDEX('Form 1 - Município'!B2:B500&amp;'Form 1 - Município'!C2:C500, 0), 0))="", "", INDEX('Form 1 - Município'!D2:D500, MATCH(B12&amp;C12, INDEX('Form 1 - Município'!B2:B500&amp;'Form 1 - Município'!C2:C500, 0), 0))), "")</f>
        <v>Gabriela Fernanda Sandri</v>
      </c>
      <c r="E12" s="23" t="s">
        <v>97</v>
      </c>
      <c r="F12" s="22" t="s">
        <v>109</v>
      </c>
      <c r="G12" s="26" t="s">
        <v>101</v>
      </c>
      <c r="H12" s="22"/>
      <c r="I12" s="22"/>
      <c r="J12" s="22" t="s">
        <v>101</v>
      </c>
      <c r="K12" s="22"/>
    </row>
    <row r="13" spans="1:11">
      <c r="A13" s="46" t="s">
        <v>27</v>
      </c>
      <c r="B13" s="22" t="s">
        <v>80</v>
      </c>
      <c r="C13" s="22">
        <v>3</v>
      </c>
      <c r="D13" s="22" t="str">
        <f>IFERROR(IF(INDEX('Form 1 - Município'!D2:D500, MATCH(B13&amp;C13, INDEX('Form 1 - Município'!B2:B500&amp;'Form 1 - Município'!C2:C500, 0), 0))="", "", INDEX('Form 1 - Município'!D2:D500, MATCH(B13&amp;C13, INDEX('Form 1 - Município'!B2:B500&amp;'Form 1 - Município'!C2:C500, 0), 0))), "")</f>
        <v>Eduarda Rohden Donasolo</v>
      </c>
      <c r="E13" s="23" t="s">
        <v>97</v>
      </c>
      <c r="F13" s="22" t="s">
        <v>98</v>
      </c>
      <c r="G13" s="26" t="s">
        <v>101</v>
      </c>
      <c r="H13" s="22"/>
      <c r="I13" s="22"/>
      <c r="J13" s="22" t="s">
        <v>101</v>
      </c>
      <c r="K13" s="22"/>
    </row>
    <row r="14" spans="1:11">
      <c r="A14" s="46" t="s">
        <v>27</v>
      </c>
      <c r="B14" s="22" t="s">
        <v>80</v>
      </c>
      <c r="C14" s="22">
        <v>4</v>
      </c>
      <c r="D14" s="22" t="str">
        <f>IFERROR(IF(INDEX('Form 1 - Município'!D2:D500, MATCH(B14&amp;C14, INDEX('Form 1 - Município'!B2:B500&amp;'Form 1 - Município'!C2:C500, 0), 0))="", "", INDEX('Form 1 - Município'!D2:D500, MATCH(B14&amp;C14, INDEX('Form 1 - Município'!B2:B500&amp;'Form 1 - Município'!C2:C500, 0), 0))), "")</f>
        <v>Mauricio Pinto de Lima</v>
      </c>
      <c r="E14" s="27" t="s">
        <v>5</v>
      </c>
      <c r="F14" s="22" t="s">
        <v>238</v>
      </c>
      <c r="G14" s="26" t="s">
        <v>101</v>
      </c>
      <c r="H14" s="22"/>
      <c r="I14" s="22"/>
      <c r="J14" s="22" t="s">
        <v>101</v>
      </c>
      <c r="K14" s="22"/>
    </row>
    <row r="15" spans="1:11">
      <c r="A15" s="46" t="s">
        <v>27</v>
      </c>
      <c r="B15" s="22" t="s">
        <v>80</v>
      </c>
      <c r="C15" s="22">
        <v>5</v>
      </c>
      <c r="D15" s="22" t="str">
        <f>IFERROR(IF(INDEX('Form 1 - Município'!D2:D500, MATCH(B15&amp;C15, INDEX('Form 1 - Município'!B2:B500&amp;'Form 1 - Município'!C2:C500, 0), 0))="", "", INDEX('Form 1 - Município'!D2:D500, MATCH(B15&amp;C15, INDEX('Form 1 - Município'!B2:B500&amp;'Form 1 - Município'!C2:C500, 0), 0))), "")</f>
        <v xml:space="preserve">Débora Laize Lampert Gnass </v>
      </c>
      <c r="E15" s="23" t="s">
        <v>97</v>
      </c>
      <c r="F15" s="22" t="s">
        <v>239</v>
      </c>
      <c r="G15" s="26" t="s">
        <v>101</v>
      </c>
      <c r="H15" s="22"/>
      <c r="I15" s="22"/>
      <c r="J15" s="22" t="s">
        <v>101</v>
      </c>
      <c r="K15" s="22"/>
    </row>
    <row r="16" spans="1:11">
      <c r="A16" s="46" t="s">
        <v>27</v>
      </c>
      <c r="B16" s="22" t="s">
        <v>80</v>
      </c>
      <c r="C16" s="22">
        <v>6</v>
      </c>
      <c r="D16" s="22" t="str">
        <f>IFERROR(IF(INDEX('Form 1 - Município'!D2:D500, MATCH(B16&amp;C16, INDEX('Form 1 - Município'!B2:B500&amp;'Form 1 - Município'!C2:C500, 0), 0))="", "", INDEX('Form 1 - Município'!D2:D500, MATCH(B16&amp;C16, INDEX('Form 1 - Município'!B2:B500&amp;'Form 1 - Município'!C2:C500, 0), 0))), "")</f>
        <v/>
      </c>
      <c r="E16" s="23" t="s">
        <v>97</v>
      </c>
      <c r="F16" s="22" t="s">
        <v>240</v>
      </c>
      <c r="G16" s="26" t="s">
        <v>101</v>
      </c>
      <c r="H16" s="22"/>
      <c r="I16" s="22"/>
      <c r="J16" s="22" t="s">
        <v>101</v>
      </c>
      <c r="K16" s="22"/>
    </row>
    <row r="17" spans="1:11">
      <c r="A17" s="45" t="s">
        <v>25</v>
      </c>
      <c r="B17" s="22" t="s">
        <v>62</v>
      </c>
      <c r="C17" s="22">
        <v>1</v>
      </c>
      <c r="D17" s="22" t="str">
        <f>IFERROR(IF(INDEX('Form 1 - Município'!D2:D500, MATCH(B17&amp;C17, INDEX('Form 1 - Município'!B2:B500&amp;'Form 1 - Município'!C2:C500, 0), 0))="", "", INDEX('Form 1 - Município'!D2:D500, MATCH(B17&amp;C17, INDEX('Form 1 - Município'!B2:B500&amp;'Form 1 - Município'!C2:C500, 0), 0))), "")</f>
        <v>Cristina Harumi Enokida</v>
      </c>
      <c r="E17" s="23" t="s">
        <v>97</v>
      </c>
      <c r="F17" s="22" t="s">
        <v>107</v>
      </c>
      <c r="G17" s="24" t="s">
        <v>99</v>
      </c>
      <c r="H17" s="22"/>
      <c r="I17" s="22"/>
      <c r="J17" s="22" t="s">
        <v>101</v>
      </c>
      <c r="K17" s="22"/>
    </row>
    <row r="18" spans="1:11">
      <c r="A18" s="47" t="s">
        <v>29</v>
      </c>
      <c r="B18" s="22" t="s">
        <v>53</v>
      </c>
      <c r="C18" s="22">
        <v>1</v>
      </c>
      <c r="D18" s="22" t="str">
        <f>IFERROR(IF(INDEX('Form 1 - Município'!D2:D500, MATCH(B18&amp;C18, INDEX('Form 1 - Município'!B2:B500&amp;'Form 1 - Município'!C2:C500, 0), 0))="", "", INDEX('Form 1 - Município'!D2:D500, MATCH(B18&amp;C18, INDEX('Form 1 - Município'!B2:B500&amp;'Form 1 - Município'!C2:C500, 0), 0))), "")</f>
        <v>Douglas de Mattia</v>
      </c>
      <c r="E18" s="23" t="s">
        <v>97</v>
      </c>
      <c r="F18" s="22" t="s">
        <v>241</v>
      </c>
      <c r="G18" s="24" t="s">
        <v>99</v>
      </c>
      <c r="H18" s="22"/>
      <c r="I18" s="22"/>
      <c r="J18" s="22" t="s">
        <v>101</v>
      </c>
      <c r="K18" s="22"/>
    </row>
    <row r="19" spans="1:11">
      <c r="A19" s="45" t="s">
        <v>25</v>
      </c>
      <c r="B19" s="22" t="s">
        <v>63</v>
      </c>
      <c r="C19" s="22">
        <v>1</v>
      </c>
      <c r="D19" s="22" t="str">
        <f>IFERROR(IF(INDEX('Form 1 - Município'!D2:D500, MATCH(B19&amp;C19, INDEX('Form 1 - Município'!B2:B500&amp;'Form 1 - Município'!C2:C500, 0), 0))="", "", INDEX('Form 1 - Município'!D2:D500, MATCH(B19&amp;C19, INDEX('Form 1 - Município'!B2:B500&amp;'Form 1 - Município'!C2:C500, 0), 0))), "")</f>
        <v>Vanderson Pasetti</v>
      </c>
      <c r="E19" s="25" t="s">
        <v>103</v>
      </c>
      <c r="F19" s="22"/>
      <c r="G19" s="26" t="s">
        <v>101</v>
      </c>
      <c r="H19" s="22"/>
      <c r="I19" s="22"/>
      <c r="J19" s="22" t="s">
        <v>101</v>
      </c>
      <c r="K19" s="22"/>
    </row>
    <row r="20" spans="1:11">
      <c r="A20" s="47" t="s">
        <v>29</v>
      </c>
      <c r="B20" s="22" t="s">
        <v>55</v>
      </c>
      <c r="C20" s="22">
        <v>1</v>
      </c>
      <c r="D20" s="22" t="str">
        <f>IFERROR(IF(INDEX('Form 1 - Município'!D2:D500, MATCH(B20&amp;C20, INDEX('Form 1 - Município'!B2:B500&amp;'Form 1 - Município'!C2:C500, 0), 0))="", "", INDEX('Form 1 - Município'!D2:D500, MATCH(B20&amp;C20, INDEX('Form 1 - Município'!B2:B500&amp;'Form 1 - Município'!C2:C500, 0), 0))), "")</f>
        <v>Bruna Schneider Guimarães</v>
      </c>
      <c r="E20" s="23" t="s">
        <v>97</v>
      </c>
      <c r="F20" s="22" t="s">
        <v>111</v>
      </c>
      <c r="G20" s="24" t="s">
        <v>99</v>
      </c>
      <c r="H20" s="22"/>
      <c r="I20" s="22"/>
      <c r="J20" s="22" t="s">
        <v>101</v>
      </c>
      <c r="K20" s="22"/>
    </row>
    <row r="21" spans="1:11">
      <c r="A21" s="45" t="s">
        <v>25</v>
      </c>
      <c r="B21" s="22" t="s">
        <v>65</v>
      </c>
      <c r="C21" s="22">
        <v>1</v>
      </c>
      <c r="D21" s="22" t="str">
        <f>IFERROR(IF(INDEX('Form 1 - Município'!D2:D500, MATCH(B21&amp;C21, INDEX('Form 1 - Município'!B2:B500&amp;'Form 1 - Município'!C2:C500, 0), 0))="", "", INDEX('Form 1 - Município'!D2:D500, MATCH(B21&amp;C21, INDEX('Form 1 - Município'!B2:B500&amp;'Form 1 - Município'!C2:C500, 0), 0))), "")</f>
        <v>Keilla Avezedo</v>
      </c>
      <c r="E21" s="23" t="s">
        <v>97</v>
      </c>
      <c r="F21" s="22" t="s">
        <v>133</v>
      </c>
      <c r="G21" s="24" t="s">
        <v>99</v>
      </c>
      <c r="H21" s="22"/>
      <c r="I21" s="22"/>
      <c r="J21" s="22" t="s">
        <v>101</v>
      </c>
      <c r="K21" s="22"/>
    </row>
    <row r="22" spans="1:11">
      <c r="A22" s="47" t="s">
        <v>29</v>
      </c>
      <c r="B22" s="22" t="s">
        <v>57</v>
      </c>
      <c r="C22" s="22">
        <v>1</v>
      </c>
      <c r="D22" s="22" t="str">
        <f>IFERROR(IF(INDEX('Form 1 - Município'!D2:D500, MATCH(B22&amp;C22, INDEX('Form 1 - Município'!B2:B500&amp;'Form 1 - Município'!C2:C500, 0), 0))="", "", INDEX('Form 1 - Município'!D2:D500, MATCH(B22&amp;C22, INDEX('Form 1 - Município'!B2:B500&amp;'Form 1 - Município'!C2:C500, 0), 0))), "")</f>
        <v>Carmen Maria Stein Weiler</v>
      </c>
      <c r="E22" s="23" t="s">
        <v>97</v>
      </c>
      <c r="F22" s="22" t="s">
        <v>242</v>
      </c>
      <c r="G22" s="24" t="s">
        <v>99</v>
      </c>
      <c r="H22" s="22"/>
      <c r="I22" s="22"/>
      <c r="J22" s="22" t="s">
        <v>101</v>
      </c>
      <c r="K22" s="22"/>
    </row>
    <row r="23" spans="1:11">
      <c r="A23" s="46" t="s">
        <v>27</v>
      </c>
      <c r="B23" s="22" t="s">
        <v>81</v>
      </c>
      <c r="C23" s="22">
        <v>1</v>
      </c>
      <c r="D23" s="22" t="str">
        <f>IFERROR(IF(INDEX('Form 1 - Município'!D2:D500, MATCH(B23&amp;C23, INDEX('Form 1 - Município'!B2:B500&amp;'Form 1 - Município'!C2:C500, 0), 0))="", "", INDEX('Form 1 - Município'!D2:D500, MATCH(B23&amp;C23, INDEX('Form 1 - Município'!B2:B500&amp;'Form 1 - Município'!C2:C500, 0), 0))), "")</f>
        <v>Thiago Varaschim Cenci</v>
      </c>
      <c r="E23" s="23" t="s">
        <v>97</v>
      </c>
      <c r="F23" s="22" t="s">
        <v>243</v>
      </c>
      <c r="G23" s="26" t="s">
        <v>101</v>
      </c>
      <c r="H23" s="22"/>
      <c r="I23" s="22"/>
      <c r="J23" s="22" t="s">
        <v>101</v>
      </c>
      <c r="K23" s="22"/>
    </row>
    <row r="24" spans="1:11">
      <c r="A24" s="48" t="s">
        <v>28</v>
      </c>
      <c r="B24" s="22" t="s">
        <v>33</v>
      </c>
      <c r="C24" s="22">
        <v>1</v>
      </c>
      <c r="D24" s="22" t="str">
        <f>IFERROR(IF(INDEX('Form 1 - Município'!D2:D500, MATCH(B24&amp;C24, INDEX('Form 1 - Município'!B2:B500&amp;'Form 1 - Município'!C2:C500, 0), 0))="", "", INDEX('Form 1 - Município'!D2:D500, MATCH(B24&amp;C24, INDEX('Form 1 - Município'!B2:B500&amp;'Form 1 - Município'!C2:C500, 0), 0))), "")</f>
        <v>Éber Alexandre Nascimento Araújo</v>
      </c>
      <c r="E24" s="23" t="s">
        <v>97</v>
      </c>
      <c r="F24" s="22" t="s">
        <v>244</v>
      </c>
      <c r="G24" s="26" t="s">
        <v>101</v>
      </c>
      <c r="H24" s="22"/>
      <c r="I24" s="22"/>
      <c r="J24" s="22" t="s">
        <v>101</v>
      </c>
      <c r="K24" s="22"/>
    </row>
    <row r="25" spans="1:11">
      <c r="A25" s="48" t="s">
        <v>28</v>
      </c>
      <c r="B25" s="22" t="s">
        <v>33</v>
      </c>
      <c r="C25" s="22">
        <v>2</v>
      </c>
      <c r="D25" s="22" t="str">
        <f>IFERROR(IF(INDEX('Form 1 - Município'!D2:D500, MATCH(B25&amp;C25, INDEX('Form 1 - Município'!B2:B500&amp;'Form 1 - Município'!C2:C500, 0), 0))="", "", INDEX('Form 1 - Município'!D2:D500, MATCH(B25&amp;C25, INDEX('Form 1 - Município'!B2:B500&amp;'Form 1 - Município'!C2:C500, 0), 0))), "")</f>
        <v>Andrea Carla Winkelmann</v>
      </c>
      <c r="E25" s="23" t="s">
        <v>97</v>
      </c>
      <c r="F25" s="22" t="s">
        <v>203</v>
      </c>
      <c r="G25" s="24" t="s">
        <v>99</v>
      </c>
      <c r="H25" s="22" t="s">
        <v>245</v>
      </c>
      <c r="I25" s="22"/>
      <c r="J25" s="22" t="s">
        <v>101</v>
      </c>
      <c r="K25" s="22"/>
    </row>
    <row r="26" spans="1:11">
      <c r="A26" s="48" t="s">
        <v>28</v>
      </c>
      <c r="B26" s="22" t="s">
        <v>33</v>
      </c>
      <c r="C26" s="22">
        <v>3</v>
      </c>
      <c r="D26" s="22" t="str">
        <f>IFERROR(IF(INDEX('Form 1 - Município'!D2:D500, MATCH(B26&amp;C26, INDEX('Form 1 - Município'!B2:B500&amp;'Form 1 - Município'!C2:C500, 0), 0))="", "", INDEX('Form 1 - Município'!D2:D500, MATCH(B26&amp;C26, INDEX('Form 1 - Município'!B2:B500&amp;'Form 1 - Município'!C2:C500, 0), 0))), "")</f>
        <v>Lorizete de Andrade</v>
      </c>
      <c r="E26" s="23" t="s">
        <v>97</v>
      </c>
      <c r="F26" s="22" t="s">
        <v>246</v>
      </c>
      <c r="G26" s="24" t="s">
        <v>99</v>
      </c>
      <c r="H26" s="22" t="s">
        <v>247</v>
      </c>
      <c r="I26" s="22"/>
      <c r="J26" s="22" t="s">
        <v>101</v>
      </c>
      <c r="K26" s="22"/>
    </row>
    <row r="27" spans="1:11">
      <c r="A27" s="48" t="s">
        <v>28</v>
      </c>
      <c r="B27" s="22" t="s">
        <v>33</v>
      </c>
      <c r="C27" s="22">
        <v>4</v>
      </c>
      <c r="D27" s="22" t="str">
        <f>IFERROR(IF(INDEX('Form 1 - Município'!D2:D500, MATCH(B27&amp;C27, INDEX('Form 1 - Município'!B2:B500&amp;'Form 1 - Município'!C2:C500, 0), 0))="", "", INDEX('Form 1 - Município'!D2:D500, MATCH(B27&amp;C27, INDEX('Form 1 - Município'!B2:B500&amp;'Form 1 - Município'!C2:C500, 0), 0))), "")</f>
        <v>Andressa Maia</v>
      </c>
      <c r="E27" s="23" t="s">
        <v>97</v>
      </c>
      <c r="F27" s="22" t="s">
        <v>109</v>
      </c>
      <c r="G27" s="24" t="s">
        <v>99</v>
      </c>
      <c r="H27" s="22" t="s">
        <v>248</v>
      </c>
      <c r="I27" s="22"/>
      <c r="J27" s="22" t="s">
        <v>101</v>
      </c>
      <c r="K27" s="22"/>
    </row>
    <row r="28" spans="1:11">
      <c r="A28" s="48" t="s">
        <v>28</v>
      </c>
      <c r="B28" s="22" t="s">
        <v>33</v>
      </c>
      <c r="C28" s="22">
        <v>5</v>
      </c>
      <c r="D28" s="22" t="str">
        <f>IFERROR(IF(INDEX('Form 1 - Município'!D2:D500, MATCH(B28&amp;C28, INDEX('Form 1 - Município'!B2:B500&amp;'Form 1 - Município'!C2:C500, 0), 0))="", "", INDEX('Form 1 - Município'!D2:D500, MATCH(B28&amp;C28, INDEX('Form 1 - Município'!B2:B500&amp;'Form 1 - Município'!C2:C500, 0), 0))), "")</f>
        <v>Lucas Correia de Souza</v>
      </c>
      <c r="E28" s="23" t="s">
        <v>97</v>
      </c>
      <c r="F28" s="22" t="s">
        <v>249</v>
      </c>
      <c r="G28" s="24" t="s">
        <v>99</v>
      </c>
      <c r="H28" s="22"/>
      <c r="I28" s="22"/>
      <c r="J28" s="22" t="s">
        <v>101</v>
      </c>
      <c r="K28" s="22"/>
    </row>
    <row r="29" spans="1:11">
      <c r="A29" s="48" t="s">
        <v>28</v>
      </c>
      <c r="B29" s="22" t="s">
        <v>33</v>
      </c>
      <c r="C29" s="22">
        <v>6</v>
      </c>
      <c r="D29" s="22" t="str">
        <f>IFERROR(IF(INDEX('Form 1 - Município'!D2:D500, MATCH(B29&amp;C29, INDEX('Form 1 - Município'!B2:B500&amp;'Form 1 - Município'!C2:C500, 0), 0))="", "", INDEX('Form 1 - Município'!D2:D500, MATCH(B29&amp;C29, INDEX('Form 1 - Município'!B2:B500&amp;'Form 1 - Município'!C2:C500, 0), 0))), "")</f>
        <v>Jose Francisco Mariano de Faria Filho</v>
      </c>
      <c r="E29" s="23" t="s">
        <v>97</v>
      </c>
      <c r="F29" s="22" t="s">
        <v>111</v>
      </c>
      <c r="G29" s="24" t="s">
        <v>99</v>
      </c>
      <c r="H29" s="22" t="s">
        <v>250</v>
      </c>
      <c r="I29" s="22"/>
      <c r="J29" s="22" t="s">
        <v>101</v>
      </c>
      <c r="K29" s="22"/>
    </row>
    <row r="30" spans="1:11">
      <c r="A30" s="48" t="s">
        <v>28</v>
      </c>
      <c r="B30" s="22" t="s">
        <v>33</v>
      </c>
      <c r="C30" s="22">
        <v>7</v>
      </c>
      <c r="D30" s="22" t="str">
        <f>IFERROR(IF(INDEX('Form 1 - Município'!D2:D500, MATCH(B30&amp;C30, INDEX('Form 1 - Município'!B2:B500&amp;'Form 1 - Município'!C2:C500, 0), 0))="", "", INDEX('Form 1 - Município'!D2:D500, MATCH(B30&amp;C30, INDEX('Form 1 - Município'!B2:B500&amp;'Form 1 - Município'!C2:C500, 0), 0))), "")</f>
        <v>Pedro Henrique Mariano de Faria</v>
      </c>
      <c r="E30" s="23" t="s">
        <v>97</v>
      </c>
      <c r="F30" s="22" t="s">
        <v>187</v>
      </c>
      <c r="G30" s="24" t="s">
        <v>99</v>
      </c>
      <c r="H30" s="22" t="s">
        <v>250</v>
      </c>
      <c r="I30" s="22"/>
      <c r="J30" s="22" t="s">
        <v>101</v>
      </c>
      <c r="K30" s="22"/>
    </row>
    <row r="31" spans="1:11">
      <c r="A31" s="48" t="s">
        <v>28</v>
      </c>
      <c r="B31" s="22" t="s">
        <v>33</v>
      </c>
      <c r="C31" s="22">
        <v>8</v>
      </c>
      <c r="D31" s="22" t="str">
        <f>IFERROR(IF(INDEX('Form 1 - Município'!D2:D500, MATCH(B31&amp;C31, INDEX('Form 1 - Município'!B2:B500&amp;'Form 1 - Município'!C2:C500, 0), 0))="", "", INDEX('Form 1 - Município'!D2:D500, MATCH(B31&amp;C31, INDEX('Form 1 - Município'!B2:B500&amp;'Form 1 - Município'!C2:C500, 0), 0))), "")</f>
        <v>Renata Aparecida de Souza</v>
      </c>
      <c r="E31" s="23" t="s">
        <v>97</v>
      </c>
      <c r="F31" s="22" t="s">
        <v>251</v>
      </c>
      <c r="G31" s="24" t="s">
        <v>99</v>
      </c>
      <c r="H31" s="22" t="s">
        <v>250</v>
      </c>
      <c r="I31" s="22"/>
      <c r="J31" s="22" t="s">
        <v>101</v>
      </c>
      <c r="K31" s="22"/>
    </row>
    <row r="32" spans="1:11">
      <c r="A32" s="48" t="s">
        <v>28</v>
      </c>
      <c r="B32" s="22" t="s">
        <v>33</v>
      </c>
      <c r="C32" s="22">
        <v>9</v>
      </c>
      <c r="D32" s="22" t="str">
        <f>IFERROR(IF(INDEX('Form 1 - Município'!D2:D500, MATCH(B32&amp;C32, INDEX('Form 1 - Município'!B2:B500&amp;'Form 1 - Município'!C2:C500, 0), 0))="", "", INDEX('Form 1 - Município'!D2:D500, MATCH(B32&amp;C32, INDEX('Form 1 - Município'!B2:B500&amp;'Form 1 - Município'!C2:C500, 0), 0))), "")</f>
        <v>Maria Eduarda dos Santos Arias</v>
      </c>
      <c r="E32" s="23" t="s">
        <v>97</v>
      </c>
      <c r="F32" s="22" t="s">
        <v>166</v>
      </c>
      <c r="G32" s="24" t="s">
        <v>99</v>
      </c>
      <c r="H32" s="22"/>
      <c r="I32" s="22"/>
      <c r="J32" s="22" t="s">
        <v>101</v>
      </c>
      <c r="K32" s="22"/>
    </row>
    <row r="33" spans="1:11">
      <c r="A33" s="44" t="s">
        <v>26</v>
      </c>
      <c r="B33" s="22" t="s">
        <v>36</v>
      </c>
      <c r="C33" s="22">
        <v>1</v>
      </c>
      <c r="D33" s="22" t="str">
        <f>IFERROR(IF(INDEX('Form 1 - Município'!D2:D500, MATCH(B33&amp;C33, INDEX('Form 1 - Município'!B2:B500&amp;'Form 1 - Município'!C2:C500, 0), 0))="", "", INDEX('Form 1 - Município'!D2:D500, MATCH(B33&amp;C33, INDEX('Form 1 - Município'!B2:B500&amp;'Form 1 - Município'!C2:C500, 0), 0))), "")</f>
        <v>Paulo Rogerio Hiroshi Fujii</v>
      </c>
      <c r="E33" s="25" t="s">
        <v>103</v>
      </c>
      <c r="F33" s="22"/>
      <c r="G33" s="26" t="s">
        <v>101</v>
      </c>
      <c r="H33" s="22"/>
      <c r="I33" s="22"/>
      <c r="J33" s="22" t="s">
        <v>101</v>
      </c>
      <c r="K33" s="22"/>
    </row>
    <row r="34" spans="1:11">
      <c r="A34" s="44" t="s">
        <v>26</v>
      </c>
      <c r="B34" s="22" t="s">
        <v>37</v>
      </c>
      <c r="C34" s="22">
        <v>1</v>
      </c>
      <c r="D34" s="22" t="str">
        <f>IFERROR(IF(INDEX('Form 1 - Município'!D2:D500, MATCH(B34&amp;C34, INDEX('Form 1 - Município'!B2:B500&amp;'Form 1 - Município'!C2:C500, 0), 0))="", "", INDEX('Form 1 - Município'!D2:D500, MATCH(B34&amp;C34, INDEX('Form 1 - Município'!B2:B500&amp;'Form 1 - Município'!C2:C500, 0), 0))), "")</f>
        <v>Marlene R. Oliveira Dallacosta</v>
      </c>
      <c r="E34" s="25" t="s">
        <v>103</v>
      </c>
      <c r="F34" s="22"/>
      <c r="G34" s="26" t="s">
        <v>101</v>
      </c>
      <c r="H34" s="22"/>
      <c r="I34" s="22"/>
      <c r="J34" s="22" t="s">
        <v>101</v>
      </c>
      <c r="K34" s="22"/>
    </row>
    <row r="35" spans="1:11">
      <c r="A35" s="45" t="s">
        <v>25</v>
      </c>
      <c r="B35" s="22" t="s">
        <v>67</v>
      </c>
      <c r="C35" s="22">
        <v>1</v>
      </c>
      <c r="D35" s="22" t="str">
        <f>IFERROR(IF(INDEX('Form 1 - Município'!D2:D500, MATCH(B35&amp;C35, INDEX('Form 1 - Município'!B2:B500&amp;'Form 1 - Município'!C2:C500, 0), 0))="", "", INDEX('Form 1 - Município'!D2:D500, MATCH(B35&amp;C35, INDEX('Form 1 - Município'!B2:B500&amp;'Form 1 - Município'!C2:C500, 0), 0))), "")</f>
        <v>Vitolor dos Santos Almeida</v>
      </c>
      <c r="E35" s="23" t="s">
        <v>97</v>
      </c>
      <c r="F35" s="22" t="s">
        <v>252</v>
      </c>
      <c r="G35" s="24" t="s">
        <v>99</v>
      </c>
      <c r="H35" s="22"/>
      <c r="I35" s="22"/>
      <c r="J35" s="22" t="s">
        <v>101</v>
      </c>
      <c r="K35" s="22"/>
    </row>
    <row r="36" spans="1:11">
      <c r="A36" s="45" t="s">
        <v>25</v>
      </c>
      <c r="B36" s="22" t="s">
        <v>69</v>
      </c>
      <c r="C36" s="22">
        <v>1</v>
      </c>
      <c r="D36" s="22" t="str">
        <f>IFERROR(IF(INDEX('Form 1 - Município'!D2:D500, MATCH(B36&amp;C36, INDEX('Form 1 - Município'!B2:B500&amp;'Form 1 - Município'!C2:C500, 0), 0))="", "", INDEX('Form 1 - Município'!D2:D500, MATCH(B36&amp;C36, INDEX('Form 1 - Município'!B2:B500&amp;'Form 1 - Município'!C2:C500, 0), 0))), "")</f>
        <v>Kelly Jackeline Silva do Valle</v>
      </c>
      <c r="E36" s="23" t="s">
        <v>97</v>
      </c>
      <c r="F36" s="22" t="s">
        <v>155</v>
      </c>
      <c r="G36" s="24" t="s">
        <v>99</v>
      </c>
      <c r="H36" s="22"/>
      <c r="I36" s="22"/>
      <c r="J36" s="22" t="s">
        <v>101</v>
      </c>
      <c r="K36" s="22"/>
    </row>
    <row r="37" spans="1:11">
      <c r="A37" s="45" t="s">
        <v>25</v>
      </c>
      <c r="B37" s="22" t="s">
        <v>71</v>
      </c>
      <c r="C37" s="22">
        <v>1</v>
      </c>
      <c r="D37" s="22" t="str">
        <f>IFERROR(IF(INDEX('Form 1 - Município'!D2:D500, MATCH(B37&amp;C37, INDEX('Form 1 - Município'!B2:B500&amp;'Form 1 - Município'!C2:C500, 0), 0))="", "", INDEX('Form 1 - Município'!D2:D500, MATCH(B37&amp;C37, INDEX('Form 1 - Município'!B2:B500&amp;'Form 1 - Município'!C2:C500, 0), 0))), "")</f>
        <v>Felipe Carvalho Zydek</v>
      </c>
      <c r="E37" s="23" t="s">
        <v>97</v>
      </c>
      <c r="F37" s="22" t="s">
        <v>253</v>
      </c>
      <c r="G37" s="24" t="s">
        <v>99</v>
      </c>
      <c r="H37" s="22"/>
      <c r="I37" s="22"/>
      <c r="J37" s="22" t="s">
        <v>101</v>
      </c>
      <c r="K37" s="22"/>
    </row>
    <row r="38" spans="1:11">
      <c r="A38" s="46" t="s">
        <v>27</v>
      </c>
      <c r="B38" s="22" t="s">
        <v>82</v>
      </c>
      <c r="C38" s="22">
        <v>1</v>
      </c>
      <c r="D38" s="22" t="str">
        <f>IFERROR(IF(INDEX('Form 1 - Município'!D2:D500, MATCH(B38&amp;C38, INDEX('Form 1 - Município'!B2:B500&amp;'Form 1 - Município'!C2:C500, 0), 0))="", "", INDEX('Form 1 - Município'!D2:D500, MATCH(B38&amp;C38, INDEX('Form 1 - Município'!B2:B500&amp;'Form 1 - Município'!C2:C500, 0), 0))), "")</f>
        <v>Eliane Borin</v>
      </c>
      <c r="E38" s="23" t="s">
        <v>97</v>
      </c>
      <c r="F38" s="22" t="s">
        <v>131</v>
      </c>
      <c r="G38" s="26" t="s">
        <v>101</v>
      </c>
      <c r="H38" s="22"/>
      <c r="I38" s="22"/>
      <c r="J38" s="22" t="s">
        <v>101</v>
      </c>
      <c r="K38" s="22"/>
    </row>
    <row r="39" spans="1:11">
      <c r="A39" s="47" t="s">
        <v>29</v>
      </c>
      <c r="B39" s="22" t="s">
        <v>59</v>
      </c>
      <c r="C39" s="22">
        <v>1</v>
      </c>
      <c r="D39" s="22" t="str">
        <f>IFERROR(IF(INDEX('Form 1 - Município'!D2:D500, MATCH(B39&amp;C39, INDEX('Form 1 - Município'!B2:B500&amp;'Form 1 - Município'!C2:C500, 0), 0))="", "", INDEX('Form 1 - Município'!D2:D500, MATCH(B39&amp;C39, INDEX('Form 1 - Município'!B2:B500&amp;'Form 1 - Município'!C2:C500, 0), 0))), "")</f>
        <v>Tatiana schrard</v>
      </c>
      <c r="E39" s="23" t="s">
        <v>97</v>
      </c>
      <c r="F39" s="22" t="s">
        <v>187</v>
      </c>
      <c r="G39" s="24" t="s">
        <v>99</v>
      </c>
      <c r="H39" s="22"/>
      <c r="I39" s="22"/>
      <c r="J39" s="22" t="s">
        <v>101</v>
      </c>
      <c r="K39" s="22"/>
    </row>
    <row r="40" spans="1:11">
      <c r="A40" s="46" t="s">
        <v>27</v>
      </c>
      <c r="B40" s="22" t="s">
        <v>83</v>
      </c>
      <c r="C40" s="22">
        <v>1</v>
      </c>
      <c r="D40" s="22" t="str">
        <f>IFERROR(IF(INDEX('Form 1 - Município'!D2:D500, MATCH(B40&amp;C40, INDEX('Form 1 - Município'!B2:B500&amp;'Form 1 - Município'!C2:C500, 0), 0))="", "", INDEX('Form 1 - Município'!D2:D500, MATCH(B40&amp;C40, INDEX('Form 1 - Município'!B2:B500&amp;'Form 1 - Município'!C2:C500, 0), 0))), "")</f>
        <v>César Piva Glinglani</v>
      </c>
      <c r="E40" s="25" t="s">
        <v>103</v>
      </c>
      <c r="F40" s="22"/>
      <c r="G40" s="26" t="s">
        <v>101</v>
      </c>
      <c r="H40" s="22"/>
      <c r="I40" s="22"/>
      <c r="J40" s="22" t="s">
        <v>101</v>
      </c>
      <c r="K40" s="22"/>
    </row>
    <row r="41" spans="1:11">
      <c r="A41" s="45" t="s">
        <v>25</v>
      </c>
      <c r="B41" s="22" t="s">
        <v>73</v>
      </c>
      <c r="C41" s="22">
        <v>1</v>
      </c>
      <c r="D41" s="22" t="str">
        <f>IFERROR(IF(INDEX('Form 1 - Município'!D2:D500, MATCH(B41&amp;C41, INDEX('Form 1 - Município'!B2:B500&amp;'Form 1 - Município'!C2:C500, 0), 0))="", "", INDEX('Form 1 - Município'!D2:D500, MATCH(B41&amp;C41, INDEX('Form 1 - Município'!B2:B500&amp;'Form 1 - Município'!C2:C500, 0), 0))), "")</f>
        <v>Ailton Carlos Fialho</v>
      </c>
      <c r="E41" s="25" t="s">
        <v>103</v>
      </c>
      <c r="F41" s="22"/>
      <c r="G41" s="26" t="s">
        <v>101</v>
      </c>
      <c r="H41" s="22"/>
      <c r="I41" s="22"/>
      <c r="J41" s="22" t="s">
        <v>101</v>
      </c>
      <c r="K41" s="22"/>
    </row>
    <row r="42" spans="1:11">
      <c r="A42" s="47" t="s">
        <v>29</v>
      </c>
      <c r="B42" s="22" t="s">
        <v>61</v>
      </c>
      <c r="C42" s="22">
        <v>1</v>
      </c>
      <c r="D42" s="22" t="str">
        <f>IFERROR(IF(INDEX('Form 1 - Município'!D2:D500, MATCH(B42&amp;C42, INDEX('Form 1 - Município'!B2:B500&amp;'Form 1 - Município'!C2:C500, 0), 0))="", "", INDEX('Form 1 - Município'!D2:D500, MATCH(B42&amp;C42, INDEX('Form 1 - Município'!B2:B500&amp;'Form 1 - Município'!C2:C500, 0), 0))), "")</f>
        <v>Marcos José Chaves</v>
      </c>
      <c r="E42" s="23" t="s">
        <v>97</v>
      </c>
      <c r="F42" s="22" t="s">
        <v>164</v>
      </c>
      <c r="G42" s="24" t="s">
        <v>99</v>
      </c>
      <c r="H42" s="22"/>
      <c r="I42" s="22"/>
      <c r="J42" s="22" t="s">
        <v>101</v>
      </c>
      <c r="K42" s="22"/>
    </row>
    <row r="43" spans="1:11">
      <c r="A43" s="47" t="s">
        <v>29</v>
      </c>
      <c r="B43" s="22" t="s">
        <v>61</v>
      </c>
      <c r="C43" s="22">
        <v>2</v>
      </c>
      <c r="D43" s="22" t="str">
        <f>IFERROR(IF(INDEX('Form 1 - Município'!D2:D500, MATCH(B43&amp;C43, INDEX('Form 1 - Município'!B2:B500&amp;'Form 1 - Município'!C2:C500, 0), 0))="", "", INDEX('Form 1 - Município'!D2:D500, MATCH(B43&amp;C43, INDEX('Form 1 - Município'!B2:B500&amp;'Form 1 - Município'!C2:C500, 0), 0))), "")</f>
        <v>Diego Matheus Reinicke</v>
      </c>
      <c r="E43" s="23" t="s">
        <v>97</v>
      </c>
      <c r="F43" s="22" t="s">
        <v>164</v>
      </c>
      <c r="G43" s="24" t="s">
        <v>99</v>
      </c>
      <c r="H43" s="22"/>
      <c r="I43" s="22"/>
      <c r="J43" s="22" t="s">
        <v>101</v>
      </c>
      <c r="K43" s="22"/>
    </row>
    <row r="44" spans="1:11">
      <c r="A44" s="44" t="s">
        <v>26</v>
      </c>
      <c r="B44" s="22" t="s">
        <v>38</v>
      </c>
      <c r="C44" s="22">
        <v>1</v>
      </c>
      <c r="D44" s="22" t="str">
        <f>IFERROR(IF(INDEX('Form 1 - Município'!D2:D500, MATCH(B44&amp;C44, INDEX('Form 1 - Município'!B2:B500&amp;'Form 1 - Município'!C2:C500, 0), 0))="", "", INDEX('Form 1 - Município'!D2:D500, MATCH(B44&amp;C44, INDEX('Form 1 - Município'!B2:B500&amp;'Form 1 - Município'!C2:C500, 0), 0))), "")</f>
        <v>Cleiton Manske</v>
      </c>
      <c r="E44" s="25" t="s">
        <v>103</v>
      </c>
      <c r="F44" s="22"/>
      <c r="G44" s="26" t="s">
        <v>101</v>
      </c>
      <c r="H44" s="22"/>
      <c r="I44" s="22"/>
      <c r="J44" s="22" t="s">
        <v>101</v>
      </c>
      <c r="K44" s="22"/>
    </row>
    <row r="45" spans="1:11">
      <c r="A45" s="48" t="s">
        <v>28</v>
      </c>
      <c r="B45" s="22" t="s">
        <v>43</v>
      </c>
      <c r="C45" s="22">
        <v>1</v>
      </c>
      <c r="D45" s="22" t="str">
        <f>IFERROR(IF(INDEX('Form 1 - Município'!D2:D500, MATCH(B45&amp;C45, INDEX('Form 1 - Município'!B2:B500&amp;'Form 1 - Município'!C2:C500, 0), 0))="", "", INDEX('Form 1 - Município'!D2:D500, MATCH(B45&amp;C45, INDEX('Form 1 - Município'!B2:B500&amp;'Form 1 - Município'!C2:C500, 0), 0))), "")</f>
        <v>Alexandro Aparecido de Lima Vieira</v>
      </c>
      <c r="E45" s="23" t="s">
        <v>97</v>
      </c>
      <c r="F45" s="22" t="s">
        <v>173</v>
      </c>
      <c r="G45" s="24" t="s">
        <v>99</v>
      </c>
      <c r="H45" s="22"/>
      <c r="I45" s="22"/>
      <c r="J45" s="22" t="s">
        <v>101</v>
      </c>
      <c r="K45" s="22"/>
    </row>
    <row r="46" spans="1:11">
      <c r="A46" s="48" t="s">
        <v>28</v>
      </c>
      <c r="B46" s="22" t="s">
        <v>45</v>
      </c>
      <c r="C46" s="22">
        <v>1</v>
      </c>
      <c r="D46" s="22" t="str">
        <f>IFERROR(IF(INDEX('Form 1 - Município'!D2:D500, MATCH(B46&amp;C46, INDEX('Form 1 - Município'!B2:B500&amp;'Form 1 - Município'!C2:C500, 0), 0))="", "", INDEX('Form 1 - Município'!D2:D500, MATCH(B46&amp;C46, INDEX('Form 1 - Município'!B2:B500&amp;'Form 1 - Município'!C2:C500, 0), 0))), "")</f>
        <v>Natielly Pereira Ochoa</v>
      </c>
      <c r="E46" s="23" t="s">
        <v>97</v>
      </c>
      <c r="F46" s="22" t="s">
        <v>206</v>
      </c>
      <c r="G46" s="24" t="s">
        <v>99</v>
      </c>
      <c r="H46" s="22" t="s">
        <v>250</v>
      </c>
      <c r="I46" s="22"/>
      <c r="J46" s="22" t="s">
        <v>101</v>
      </c>
      <c r="K46" s="22"/>
    </row>
    <row r="47" spans="1:11">
      <c r="A47" s="44" t="s">
        <v>26</v>
      </c>
      <c r="B47" s="22" t="s">
        <v>39</v>
      </c>
      <c r="C47" s="22">
        <v>1</v>
      </c>
      <c r="D47" s="22" t="str">
        <f>IFERROR(IF(INDEX('Form 1 - Município'!D2:D500, MATCH(B47&amp;C47, INDEX('Form 1 - Município'!B2:B500&amp;'Form 1 - Município'!C2:C500, 0), 0))="", "", INDEX('Form 1 - Município'!D2:D500, MATCH(B47&amp;C47, INDEX('Form 1 - Município'!B2:B500&amp;'Form 1 - Município'!C2:C500, 0), 0))), "")</f>
        <v>Roberto Pedron</v>
      </c>
      <c r="E47" s="25" t="s">
        <v>103</v>
      </c>
      <c r="F47" s="22"/>
      <c r="G47" s="26" t="s">
        <v>101</v>
      </c>
      <c r="H47" s="22"/>
      <c r="I47" s="22"/>
      <c r="J47" s="22" t="s">
        <v>101</v>
      </c>
      <c r="K47" s="22"/>
    </row>
    <row r="48" spans="1:11">
      <c r="A48" s="47" t="s">
        <v>29</v>
      </c>
      <c r="B48" s="22" t="s">
        <v>64</v>
      </c>
      <c r="C48" s="22">
        <v>1</v>
      </c>
      <c r="D48" s="22" t="str">
        <f>IFERROR(IF(INDEX('Form 1 - Município'!D2:D500, MATCH(B48&amp;C48, INDEX('Form 1 - Município'!B2:B500&amp;'Form 1 - Município'!C2:C500, 0), 0))="", "", INDEX('Form 1 - Município'!D2:D500, MATCH(B48&amp;C48, INDEX('Form 1 - Município'!B2:B500&amp;'Form 1 - Município'!C2:C500, 0), 0))), "")</f>
        <v>Luciane Spies</v>
      </c>
      <c r="E48" s="23" t="s">
        <v>97</v>
      </c>
      <c r="F48" s="22" t="s">
        <v>225</v>
      </c>
      <c r="G48" s="24" t="s">
        <v>99</v>
      </c>
      <c r="H48" s="22"/>
      <c r="I48" s="22"/>
      <c r="J48" s="22" t="s">
        <v>101</v>
      </c>
      <c r="K48" s="22"/>
    </row>
    <row r="49" spans="1:11">
      <c r="A49" s="44" t="s">
        <v>26</v>
      </c>
      <c r="B49" s="22" t="s">
        <v>40</v>
      </c>
      <c r="C49" s="22">
        <v>1</v>
      </c>
      <c r="D49" s="22" t="str">
        <f>IFERROR(IF(INDEX('Form 1 - Município'!D2:D500, MATCH(B49&amp;C49, INDEX('Form 1 - Município'!B2:B500&amp;'Form 1 - Município'!C2:C500, 0), 0))="", "", INDEX('Form 1 - Município'!D2:D500, MATCH(B49&amp;C49, INDEX('Form 1 - Município'!B2:B500&amp;'Form 1 - Município'!C2:C500, 0), 0))), "")</f>
        <v>Jaqueline Fernanda Meireles</v>
      </c>
      <c r="E49" s="27" t="s">
        <v>5</v>
      </c>
      <c r="F49" s="22" t="s">
        <v>254</v>
      </c>
      <c r="G49" s="26" t="s">
        <v>101</v>
      </c>
      <c r="H49" s="22" t="s">
        <v>255</v>
      </c>
      <c r="I49" s="22"/>
      <c r="J49" s="22" t="s">
        <v>101</v>
      </c>
      <c r="K49" s="22"/>
    </row>
    <row r="50" spans="1:11">
      <c r="A50" s="46" t="s">
        <v>27</v>
      </c>
      <c r="B50" s="22" t="s">
        <v>84</v>
      </c>
      <c r="C50" s="22">
        <v>1</v>
      </c>
      <c r="D50" s="22" t="str">
        <f>IFERROR(IF(INDEX('Form 1 - Município'!D2:D500, MATCH(B50&amp;C50, INDEX('Form 1 - Município'!B2:B500&amp;'Form 1 - Município'!C2:C500, 0), 0))="", "", INDEX('Form 1 - Município'!D2:D500, MATCH(B50&amp;C50, INDEX('Form 1 - Município'!B2:B500&amp;'Form 1 - Município'!C2:C500, 0), 0))), "")</f>
        <v>Luiz Fernando Pereira Barbosa</v>
      </c>
      <c r="E50" s="27" t="s">
        <v>5</v>
      </c>
      <c r="F50" s="22" t="s">
        <v>256</v>
      </c>
      <c r="G50" s="26" t="s">
        <v>101</v>
      </c>
      <c r="H50" s="22"/>
      <c r="I50" s="22"/>
      <c r="J50" s="22" t="s">
        <v>101</v>
      </c>
      <c r="K50" s="22"/>
    </row>
    <row r="51" spans="1:11">
      <c r="A51" s="44" t="s">
        <v>26</v>
      </c>
      <c r="B51" s="22" t="s">
        <v>41</v>
      </c>
      <c r="C51" s="22">
        <v>1</v>
      </c>
      <c r="D51" s="22" t="str">
        <f>IFERROR(IF(INDEX('Form 1 - Município'!D2:D500, MATCH(B51&amp;C51, INDEX('Form 1 - Município'!B2:B500&amp;'Form 1 - Município'!C2:C500, 0), 0))="", "", INDEX('Form 1 - Município'!D2:D500, MATCH(B51&amp;C51, INDEX('Form 1 - Município'!B2:B500&amp;'Form 1 - Município'!C2:C500, 0), 0))), "")</f>
        <v>Carolina Eggers</v>
      </c>
      <c r="E51" s="23" t="s">
        <v>97</v>
      </c>
      <c r="F51" s="22" t="s">
        <v>184</v>
      </c>
      <c r="G51" s="24" t="s">
        <v>99</v>
      </c>
      <c r="H51" s="22" t="s">
        <v>257</v>
      </c>
      <c r="I51" s="22"/>
      <c r="J51" s="22" t="s">
        <v>101</v>
      </c>
      <c r="K51" s="22"/>
    </row>
    <row r="52" spans="1:11">
      <c r="A52" s="44" t="s">
        <v>26</v>
      </c>
      <c r="B52" s="22" t="s">
        <v>42</v>
      </c>
      <c r="C52" s="22">
        <v>1</v>
      </c>
      <c r="D52" s="22" t="str">
        <f>IFERROR(IF(INDEX('Form 1 - Município'!D2:D500, MATCH(B52&amp;C52, INDEX('Form 1 - Município'!B2:B500&amp;'Form 1 - Município'!C2:C500, 0), 0))="", "", INDEX('Form 1 - Município'!D2:D500, MATCH(B52&amp;C52, INDEX('Form 1 - Município'!B2:B500&amp;'Form 1 - Município'!C2:C500, 0), 0))), "")</f>
        <v>Ivan Gonçalves da Silva</v>
      </c>
      <c r="E52" s="23" t="s">
        <v>97</v>
      </c>
      <c r="F52" s="22" t="s">
        <v>187</v>
      </c>
      <c r="G52" s="24" t="s">
        <v>99</v>
      </c>
      <c r="H52" s="22" t="s">
        <v>258</v>
      </c>
      <c r="I52" s="22"/>
      <c r="J52" s="22" t="s">
        <v>101</v>
      </c>
      <c r="K52" s="22"/>
    </row>
    <row r="53" spans="1:11">
      <c r="A53" s="44" t="s">
        <v>26</v>
      </c>
      <c r="B53" s="22" t="s">
        <v>44</v>
      </c>
      <c r="C53" s="22">
        <v>1</v>
      </c>
      <c r="D53" s="22" t="str">
        <f>IFERROR(IF(INDEX('Form 1 - Município'!D2:D500, MATCH(B53&amp;C53, INDEX('Form 1 - Município'!B2:B500&amp;'Form 1 - Município'!C2:C500, 0), 0))="", "", INDEX('Form 1 - Município'!D2:D500, MATCH(B53&amp;C53, INDEX('Form 1 - Município'!B2:B500&amp;'Form 1 - Município'!C2:C500, 0), 0))), "")</f>
        <v>Dorival Manoel Canhete</v>
      </c>
      <c r="E53" s="23" t="s">
        <v>97</v>
      </c>
      <c r="F53" s="22" t="s">
        <v>189</v>
      </c>
      <c r="G53" s="26" t="s">
        <v>101</v>
      </c>
      <c r="H53" s="22"/>
      <c r="I53" s="22"/>
      <c r="J53" s="22" t="s">
        <v>101</v>
      </c>
      <c r="K53" s="22"/>
    </row>
    <row r="54" spans="1:11">
      <c r="A54" s="47" t="s">
        <v>29</v>
      </c>
      <c r="B54" s="22" t="s">
        <v>66</v>
      </c>
      <c r="C54" s="22">
        <v>1</v>
      </c>
      <c r="D54" s="22" t="str">
        <f>IFERROR(IF(INDEX('Form 1 - Município'!D2:D500, MATCH(B54&amp;C54, INDEX('Form 1 - Município'!B2:B500&amp;'Form 1 - Município'!C2:C500, 0), 0))="", "", INDEX('Form 1 - Município'!D2:D500, MATCH(B54&amp;C54, INDEX('Form 1 - Município'!B2:B500&amp;'Form 1 - Município'!C2:C500, 0), 0))), "")</f>
        <v>Jaqueline Vanelli</v>
      </c>
      <c r="E54" s="23" t="s">
        <v>97</v>
      </c>
      <c r="F54" s="22" t="s">
        <v>259</v>
      </c>
      <c r="G54" s="24" t="s">
        <v>99</v>
      </c>
      <c r="H54" s="22"/>
      <c r="I54" s="22"/>
      <c r="J54" s="22" t="s">
        <v>101</v>
      </c>
      <c r="K54" s="22"/>
    </row>
    <row r="55" spans="1:11">
      <c r="A55" s="44" t="s">
        <v>26</v>
      </c>
      <c r="B55" s="22" t="s">
        <v>46</v>
      </c>
      <c r="C55" s="22">
        <v>1</v>
      </c>
      <c r="D55" s="22" t="str">
        <f>IFERROR(IF(INDEX('Form 1 - Município'!D2:D500, MATCH(B55&amp;C55, INDEX('Form 1 - Município'!B2:B500&amp;'Form 1 - Município'!C2:C500, 0), 0))="", "", INDEX('Form 1 - Município'!D2:D500, MATCH(B55&amp;C55, INDEX('Form 1 - Município'!B2:B500&amp;'Form 1 - Município'!C2:C500, 0), 0))), "")</f>
        <v>Fernanda Jung</v>
      </c>
      <c r="E55" s="23" t="s">
        <v>97</v>
      </c>
      <c r="F55" s="22" t="s">
        <v>235</v>
      </c>
      <c r="G55" s="24" t="s">
        <v>99</v>
      </c>
      <c r="H55" s="22" t="s">
        <v>260</v>
      </c>
      <c r="I55" s="22"/>
      <c r="J55" s="22" t="s">
        <v>101</v>
      </c>
      <c r="K55" s="22"/>
    </row>
    <row r="56" spans="1:11">
      <c r="A56" s="47" t="s">
        <v>29</v>
      </c>
      <c r="B56" s="22" t="s">
        <v>68</v>
      </c>
      <c r="C56" s="22">
        <v>1</v>
      </c>
      <c r="D56" s="22" t="str">
        <f>IFERROR(IF(INDEX('Form 1 - Município'!D2:D500, MATCH(B56&amp;C56, INDEX('Form 1 - Município'!B2:B500&amp;'Form 1 - Município'!C2:C500, 0), 0))="", "", INDEX('Form 1 - Município'!D2:D500, MATCH(B56&amp;C56, INDEX('Form 1 - Município'!B2:B500&amp;'Form 1 - Município'!C2:C500, 0), 0))), "")</f>
        <v>Ana Paula Romagnoli</v>
      </c>
      <c r="E56" s="25" t="s">
        <v>103</v>
      </c>
      <c r="F56" s="22"/>
      <c r="G56" s="26" t="s">
        <v>101</v>
      </c>
      <c r="H56" s="22"/>
      <c r="I56" s="22"/>
      <c r="J56" s="22" t="s">
        <v>101</v>
      </c>
      <c r="K56" s="22"/>
    </row>
    <row r="57" spans="1:11">
      <c r="A57" s="47" t="s">
        <v>29</v>
      </c>
      <c r="B57" s="22" t="s">
        <v>70</v>
      </c>
      <c r="C57" s="22">
        <v>1</v>
      </c>
      <c r="D57" s="22" t="str">
        <f>IFERROR(IF(INDEX('Form 1 - Município'!D2:D500, MATCH(B57&amp;C57, INDEX('Form 1 - Município'!B2:B500&amp;'Form 1 - Município'!C2:C500, 0), 0))="", "", INDEX('Form 1 - Município'!D2:D500, MATCH(B57&amp;C57, INDEX('Form 1 - Município'!B2:B500&amp;'Form 1 - Município'!C2:C500, 0), 0))), "")</f>
        <v>Alexandro Schaparini</v>
      </c>
      <c r="E57" s="23" t="s">
        <v>97</v>
      </c>
      <c r="F57" s="22" t="s">
        <v>261</v>
      </c>
      <c r="G57" s="24" t="s">
        <v>99</v>
      </c>
      <c r="H57" s="22"/>
      <c r="I57" s="22"/>
      <c r="J57" s="22" t="s">
        <v>101</v>
      </c>
      <c r="K57" s="22"/>
    </row>
    <row r="58" spans="1:11">
      <c r="A58" s="45" t="s">
        <v>25</v>
      </c>
      <c r="B58" s="22" t="s">
        <v>75</v>
      </c>
      <c r="C58" s="22">
        <v>1</v>
      </c>
      <c r="D58" s="22" t="str">
        <f>IFERROR(IF(INDEX('Form 1 - Município'!D2:D500, MATCH(B58&amp;C58, INDEX('Form 1 - Município'!B2:B500&amp;'Form 1 - Município'!C2:C500, 0), 0))="", "", INDEX('Form 1 - Município'!D2:D500, MATCH(B58&amp;C58, INDEX('Form 1 - Município'!B2:B500&amp;'Form 1 - Município'!C2:C500, 0), 0))), "")</f>
        <v>Marina Ancelmo da Silva</v>
      </c>
      <c r="E58" s="23" t="s">
        <v>97</v>
      </c>
      <c r="F58" s="22" t="s">
        <v>187</v>
      </c>
      <c r="G58" s="24" t="s">
        <v>99</v>
      </c>
      <c r="H58" s="22" t="s">
        <v>262</v>
      </c>
      <c r="I58" s="22"/>
      <c r="J58" s="22" t="s">
        <v>101</v>
      </c>
      <c r="K58" s="22"/>
    </row>
    <row r="59" spans="1:11">
      <c r="A59" s="47" t="s">
        <v>29</v>
      </c>
      <c r="B59" s="22" t="s">
        <v>72</v>
      </c>
      <c r="C59" s="22">
        <v>1</v>
      </c>
      <c r="D59" s="22" t="str">
        <f>IFERROR(IF(INDEX('Form 1 - Município'!D2:D500, MATCH(B59&amp;C59, INDEX('Form 1 - Município'!B2:B500&amp;'Form 1 - Município'!C2:C500, 0), 0))="", "", INDEX('Form 1 - Município'!D2:D500, MATCH(B59&amp;C59, INDEX('Form 1 - Município'!B2:B500&amp;'Form 1 - Município'!C2:C500, 0), 0))), "")</f>
        <v>Ana Carolina Peterle Ribeiro</v>
      </c>
      <c r="E59" s="23" t="s">
        <v>97</v>
      </c>
      <c r="F59" s="22" t="s">
        <v>131</v>
      </c>
      <c r="G59" s="24" t="s">
        <v>99</v>
      </c>
      <c r="H59" s="22"/>
      <c r="I59" s="22"/>
      <c r="J59" s="22" t="s">
        <v>101</v>
      </c>
      <c r="K59" s="22"/>
    </row>
    <row r="60" spans="1:11">
      <c r="A60" s="48" t="s">
        <v>28</v>
      </c>
      <c r="B60" s="22" t="s">
        <v>47</v>
      </c>
      <c r="C60" s="22">
        <v>1</v>
      </c>
      <c r="D60" s="22" t="str">
        <f>IFERROR(IF(INDEX('Form 1 - Município'!D2:D500, MATCH(B60&amp;C60, INDEX('Form 1 - Município'!B2:B500&amp;'Form 1 - Município'!C2:C500, 0), 0))="", "", INDEX('Form 1 - Município'!D2:D500, MATCH(B60&amp;C60, INDEX('Form 1 - Município'!B2:B500&amp;'Form 1 - Município'!C2:C500, 0), 0))), "")</f>
        <v>Taiane Amélia Mondardo</v>
      </c>
      <c r="E60" s="23" t="s">
        <v>97</v>
      </c>
      <c r="F60" s="22" t="s">
        <v>263</v>
      </c>
      <c r="G60" s="24" t="s">
        <v>99</v>
      </c>
      <c r="H60" s="22"/>
      <c r="I60" s="22"/>
      <c r="J60" s="22" t="s">
        <v>101</v>
      </c>
      <c r="K60" s="22"/>
    </row>
    <row r="61" spans="1:11">
      <c r="A61" s="47" t="s">
        <v>29</v>
      </c>
      <c r="B61" s="22" t="s">
        <v>74</v>
      </c>
      <c r="C61" s="22">
        <v>1</v>
      </c>
      <c r="D61" s="22" t="str">
        <f>IFERROR(IF(INDEX('Form 1 - Município'!D2:D500, MATCH(B61&amp;C61, INDEX('Form 1 - Município'!B2:B500&amp;'Form 1 - Município'!C2:C500, 0), 0))="", "", INDEX('Form 1 - Município'!D2:D500, MATCH(B61&amp;C61, INDEX('Form 1 - Município'!B2:B500&amp;'Form 1 - Município'!C2:C500, 0), 0))), "")</f>
        <v>Regiane Lucia Pereira</v>
      </c>
      <c r="E61" s="23" t="s">
        <v>97</v>
      </c>
      <c r="F61" s="22" t="s">
        <v>133</v>
      </c>
      <c r="G61" s="24" t="s">
        <v>99</v>
      </c>
      <c r="H61" s="22" t="s">
        <v>264</v>
      </c>
      <c r="I61" s="22"/>
      <c r="J61" s="22" t="s">
        <v>101</v>
      </c>
      <c r="K61" s="22"/>
    </row>
    <row r="62" spans="1:11">
      <c r="A62" s="48" t="s">
        <v>28</v>
      </c>
      <c r="B62" s="22" t="s">
        <v>49</v>
      </c>
      <c r="C62" s="22">
        <v>1</v>
      </c>
      <c r="D62" s="22" t="str">
        <f>IFERROR(IF(INDEX('Form 1 - Município'!D2:D500, MATCH(B62&amp;C62, INDEX('Form 1 - Município'!B2:B500&amp;'Form 1 - Município'!C2:C500, 0), 0))="", "", INDEX('Form 1 - Município'!D2:D500, MATCH(B62&amp;C62, INDEX('Form 1 - Município'!B2:B500&amp;'Form 1 - Município'!C2:C500, 0), 0))), "")</f>
        <v>Andryws Rafael Gois</v>
      </c>
      <c r="E62" s="23" t="s">
        <v>97</v>
      </c>
      <c r="F62" s="22" t="s">
        <v>209</v>
      </c>
      <c r="G62" s="24" t="s">
        <v>99</v>
      </c>
      <c r="H62" s="22"/>
      <c r="I62" s="22" t="s">
        <v>265</v>
      </c>
      <c r="J62" s="22" t="s">
        <v>99</v>
      </c>
      <c r="K62" s="22" t="s">
        <v>266</v>
      </c>
    </row>
    <row r="63" spans="1:11">
      <c r="A63" s="47" t="s">
        <v>29</v>
      </c>
      <c r="B63" s="22" t="s">
        <v>76</v>
      </c>
      <c r="C63" s="22">
        <v>1</v>
      </c>
      <c r="D63" s="22" t="str">
        <f>IFERROR(IF(INDEX('Form 1 - Município'!D2:D500, MATCH(B63&amp;C63, INDEX('Form 1 - Município'!B2:B500&amp;'Form 1 - Município'!C2:C500, 0), 0))="", "", INDEX('Form 1 - Município'!D2:D500, MATCH(B63&amp;C63, INDEX('Form 1 - Município'!B2:B500&amp;'Form 1 - Município'!C2:C500, 0), 0))), "")</f>
        <v>Mayara Ketllyn de Paula Rosetti</v>
      </c>
      <c r="E63" s="23" t="s">
        <v>97</v>
      </c>
      <c r="F63" s="22" t="s">
        <v>194</v>
      </c>
      <c r="G63" s="24" t="s">
        <v>99</v>
      </c>
      <c r="H63" s="22"/>
      <c r="I63" s="22"/>
      <c r="J63" s="22" t="s">
        <v>101</v>
      </c>
      <c r="K63" s="22"/>
    </row>
    <row r="64" spans="1:11">
      <c r="A64" s="48" t="s">
        <v>28</v>
      </c>
      <c r="B64" s="22" t="s">
        <v>51</v>
      </c>
      <c r="C64" s="22">
        <v>1</v>
      </c>
      <c r="D64" s="22" t="str">
        <f>IFERROR(IF(INDEX('Form 1 - Município'!D2:D500, MATCH(B64&amp;C64, INDEX('Form 1 - Município'!B2:B500&amp;'Form 1 - Município'!C2:C500, 0), 0))="", "", INDEX('Form 1 - Município'!D2:D500, MATCH(B64&amp;C64, INDEX('Form 1 - Município'!B2:B500&amp;'Form 1 - Município'!C2:C500, 0), 0))), "")</f>
        <v>Junior Andre Britzke</v>
      </c>
      <c r="E64" s="23" t="s">
        <v>97</v>
      </c>
      <c r="F64" s="22" t="s">
        <v>213</v>
      </c>
      <c r="G64" s="24" t="s">
        <v>99</v>
      </c>
      <c r="H64" s="22" t="s">
        <v>267</v>
      </c>
      <c r="I64" s="22"/>
      <c r="J64" s="22" t="s">
        <v>101</v>
      </c>
      <c r="K64" s="22"/>
    </row>
    <row r="65" spans="1:11">
      <c r="A65" s="44" t="s">
        <v>26</v>
      </c>
      <c r="B65" s="22" t="s">
        <v>48</v>
      </c>
      <c r="C65" s="22">
        <v>1</v>
      </c>
      <c r="D65" s="22" t="str">
        <f>IFERROR(IF(INDEX('Form 1 - Município'!D2:D500, MATCH(B65&amp;C65, INDEX('Form 1 - Município'!B2:B500&amp;'Form 1 - Município'!C2:C500, 0), 0))="", "", INDEX('Form 1 - Município'!D2:D500, MATCH(B65&amp;C65, INDEX('Form 1 - Município'!B2:B500&amp;'Form 1 - Município'!C2:C500, 0), 0))), "")</f>
        <v>Adriano Pereira Guedes</v>
      </c>
      <c r="E65" s="23" t="s">
        <v>97</v>
      </c>
      <c r="F65" s="22" t="s">
        <v>215</v>
      </c>
      <c r="G65" s="24" t="s">
        <v>99</v>
      </c>
      <c r="H65" s="22" t="s">
        <v>268</v>
      </c>
      <c r="I65" s="22" t="s">
        <v>269</v>
      </c>
      <c r="J65" s="22" t="s">
        <v>99</v>
      </c>
      <c r="K65" s="22" t="s">
        <v>270</v>
      </c>
    </row>
    <row r="66" spans="1:11">
      <c r="A66" s="44" t="s">
        <v>26</v>
      </c>
      <c r="B66" s="22" t="s">
        <v>50</v>
      </c>
      <c r="C66" s="22">
        <v>1</v>
      </c>
      <c r="D66" s="22" t="str">
        <f>IFERROR(IF(INDEX('Form 1 - Município'!D2:D500, MATCH(B66&amp;C66, INDEX('Form 1 - Município'!B2:B500&amp;'Form 1 - Município'!C2:C500, 0), 0))="", "", INDEX('Form 1 - Município'!D2:D500, MATCH(B66&amp;C66, INDEX('Form 1 - Município'!B2:B500&amp;'Form 1 - Município'!C2:C500, 0), 0))), "")</f>
        <v xml:space="preserve">Suzana Cristina de Almeida </v>
      </c>
      <c r="E66" s="25" t="s">
        <v>103</v>
      </c>
      <c r="F66" s="22"/>
      <c r="G66" s="26" t="s">
        <v>101</v>
      </c>
      <c r="H66" s="22"/>
      <c r="I66" s="22"/>
      <c r="J66" s="22" t="s">
        <v>101</v>
      </c>
      <c r="K66" s="22"/>
    </row>
    <row r="67" spans="1:11">
      <c r="A67" s="45" t="s">
        <v>25</v>
      </c>
      <c r="B67" s="22" t="s">
        <v>77</v>
      </c>
      <c r="C67" s="22">
        <v>1</v>
      </c>
      <c r="D67" s="22" t="str">
        <f>IFERROR(IF(INDEX('Form 1 - Município'!D2:D500, MATCH(B67&amp;C67, INDEX('Form 1 - Município'!B2:B500&amp;'Form 1 - Município'!C2:C500, 0), 0))="", "", INDEX('Form 1 - Município'!D2:D500, MATCH(B67&amp;C67, INDEX('Form 1 - Município'!B2:B500&amp;'Form 1 - Município'!C2:C500, 0), 0))), "")</f>
        <v>Alice Cristiane Zancheta</v>
      </c>
      <c r="E67" s="23" t="s">
        <v>97</v>
      </c>
      <c r="F67" s="22" t="s">
        <v>111</v>
      </c>
      <c r="G67" s="24" t="s">
        <v>99</v>
      </c>
      <c r="H67" s="22" t="s">
        <v>271</v>
      </c>
      <c r="I67" s="22"/>
      <c r="J67" s="22" t="s">
        <v>101</v>
      </c>
      <c r="K67" s="22"/>
    </row>
    <row r="68" spans="1:11">
      <c r="A68" s="46" t="s">
        <v>27</v>
      </c>
      <c r="B68" s="22" t="s">
        <v>85</v>
      </c>
      <c r="C68" s="22">
        <v>1</v>
      </c>
      <c r="D68" s="22" t="str">
        <f>IFERROR(IF(INDEX('Form 1 - Município'!D2:D500, MATCH(B68&amp;C68, INDEX('Form 1 - Município'!B2:B500&amp;'Form 1 - Município'!C2:C500, 0), 0))="", "", INDEX('Form 1 - Município'!D2:D500, MATCH(B68&amp;C68, INDEX('Form 1 - Município'!B2:B500&amp;'Form 1 - Município'!C2:C500, 0), 0))), "")</f>
        <v>Fernanda kaezer de Godoy</v>
      </c>
      <c r="E68" s="23" t="s">
        <v>97</v>
      </c>
      <c r="F68" s="22" t="s">
        <v>128</v>
      </c>
      <c r="G68" s="26" t="s">
        <v>101</v>
      </c>
      <c r="H68" s="22"/>
      <c r="I68" s="22"/>
      <c r="J68" s="22" t="s">
        <v>101</v>
      </c>
      <c r="K68" s="22"/>
    </row>
    <row r="69" spans="1:11">
      <c r="A69" s="46" t="s">
        <v>27</v>
      </c>
      <c r="B69" s="22" t="s">
        <v>86</v>
      </c>
      <c r="C69" s="22">
        <v>1</v>
      </c>
      <c r="D69" s="22" t="str">
        <f>IFERROR(IF(INDEX('Form 1 - Município'!D2:D500, MATCH(B69&amp;C69, INDEX('Form 1 - Município'!B2:B500&amp;'Form 1 - Município'!C2:C500, 0), 0))="", "", INDEX('Form 1 - Município'!D2:D500, MATCH(B69&amp;C69, INDEX('Form 1 - Município'!B2:B500&amp;'Form 1 - Município'!C2:C500, 0), 0))), "")</f>
        <v xml:space="preserve">Ademir Papini Júnior </v>
      </c>
      <c r="E69" s="23" t="s">
        <v>97</v>
      </c>
      <c r="F69" s="22" t="s">
        <v>182</v>
      </c>
      <c r="G69" s="26" t="s">
        <v>101</v>
      </c>
      <c r="H69" s="22"/>
      <c r="I69" s="22"/>
      <c r="J69" s="22" t="s">
        <v>101</v>
      </c>
      <c r="K69" s="22"/>
    </row>
    <row r="70" spans="1:11">
      <c r="A70" s="47" t="s">
        <v>29</v>
      </c>
      <c r="B70" s="22" t="s">
        <v>78</v>
      </c>
      <c r="C70" s="22">
        <v>1</v>
      </c>
      <c r="D70" s="22" t="str">
        <f>IFERROR(IF(INDEX('Form 1 - Município'!D2:D500, MATCH(B70&amp;C70, INDEX('Form 1 - Município'!B2:B500&amp;'Form 1 - Município'!C2:C500, 0), 0))="", "", INDEX('Form 1 - Município'!D2:D500, MATCH(B70&amp;C70, INDEX('Form 1 - Município'!B2:B500&amp;'Form 1 - Município'!C2:C500, 0), 0))), "")</f>
        <v>Heloísa Maria Beloni Insenha</v>
      </c>
      <c r="E70" s="25" t="s">
        <v>103</v>
      </c>
      <c r="F70" s="22"/>
      <c r="G70" s="26" t="s">
        <v>101</v>
      </c>
      <c r="H70" s="22"/>
      <c r="I70" s="22"/>
      <c r="J70" s="22" t="s">
        <v>101</v>
      </c>
      <c r="K70" s="22"/>
    </row>
  </sheetData>
  <autoFilter ref="A1:G1" xr:uid="{00000000-0009-0000-0000-000003000000}"/>
  <conditionalFormatting sqref="G2:G70">
    <cfRule type="cellIs" dxfId="19" priority="1" stopIfTrue="1" operator="equal">
      <formula>"Sim"</formula>
    </cfRule>
    <cfRule type="cellIs" dxfId="18" priority="3" stopIfTrue="1" operator="equal">
      <formula>"Não"</formula>
    </cfRule>
  </conditionalFormatting>
  <conditionalFormatting sqref="J2:J70">
    <cfRule type="cellIs" dxfId="17" priority="4" stopIfTrue="1" operator="equal">
      <formula>"Sim"</formula>
    </cfRule>
    <cfRule type="cellIs" dxfId="16" priority="4" stopIfTrue="1" operator="equal">
      <formula>"Não"</formula>
    </cfRule>
    <cfRule type="cellIs" dxfId="15" priority="5" stopIfTrue="1" operator="equal">
      <formula>"Em Análise"</formula>
    </cfRule>
  </conditionalFormatting>
  <conditionalFormatting sqref="E2:E70">
    <cfRule type="cellIs" dxfId="14" priority="6" stopIfTrue="1" operator="equal">
      <formula>"Enviado"</formula>
    </cfRule>
    <cfRule type="cellIs" dxfId="13" priority="7" stopIfTrue="1" operator="equal">
      <formula>"Atrasado"</formula>
    </cfRule>
    <cfRule type="cellIs" dxfId="12" priority="8" stopIfTrue="1" operator="equal">
      <formula>"Outras Ocorrências"</formula>
    </cfRule>
    <cfRule type="cellIs" dxfId="11" priority="9" stopIfTrue="1" operator="equal">
      <formula>"Sem Técnico"</formula>
    </cfRule>
    <cfRule type="cellIs" dxfId="10" priority="10"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3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3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300-000002000000}">
      <formula1>"Enviado, Atrasado,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70"/>
  <sheetViews>
    <sheetView tabSelected="1" workbookViewId="0">
      <pane xSplit="3" topLeftCell="D1" activePane="topRight" state="frozen"/>
      <selection pane="topRight"/>
    </sheetView>
  </sheetViews>
  <sheetFormatPr defaultRowHeight="15"/>
  <cols>
    <col min="1" max="1" width="14" customWidth="1"/>
    <col min="2" max="2" width="30" customWidth="1"/>
    <col min="3" max="3" width="8" customWidth="1"/>
    <col min="4" max="4" width="45" customWidth="1"/>
    <col min="5" max="5" width="14" customWidth="1"/>
    <col min="6" max="7" width="27" customWidth="1"/>
    <col min="8" max="8" width="251" customWidth="1"/>
    <col min="9" max="9" width="38" customWidth="1"/>
    <col min="10" max="10" width="25" customWidth="1"/>
    <col min="11" max="11" width="34" customWidth="1"/>
  </cols>
  <sheetData>
    <row r="1" spans="1:11">
      <c r="A1" s="21" t="s">
        <v>21</v>
      </c>
      <c r="B1" s="21" t="s">
        <v>87</v>
      </c>
      <c r="C1" s="21" t="s">
        <v>31</v>
      </c>
      <c r="D1" s="21" t="s">
        <v>88</v>
      </c>
      <c r="E1" s="21" t="s">
        <v>89</v>
      </c>
      <c r="F1" s="21" t="s">
        <v>90</v>
      </c>
      <c r="G1" s="21" t="s">
        <v>91</v>
      </c>
      <c r="H1" s="21" t="s">
        <v>92</v>
      </c>
      <c r="I1" s="21" t="s">
        <v>93</v>
      </c>
      <c r="J1" s="21" t="s">
        <v>94</v>
      </c>
      <c r="K1" s="21" t="s">
        <v>95</v>
      </c>
    </row>
    <row r="2" spans="1:11">
      <c r="A2" s="44" t="s">
        <v>26</v>
      </c>
      <c r="B2" s="22" t="s">
        <v>32</v>
      </c>
      <c r="C2" s="22">
        <v>1</v>
      </c>
      <c r="D2" s="22" t="str">
        <f>IFERROR(IF(INDEX('Form 1 - Município'!D2:D500, MATCH(B2&amp;C2, INDEX('Form 1 - Município'!B2:B500&amp;'Form 1 - Município'!C2:C500, 0), 0))="", "", INDEX('Form 1 - Município'!D2:D500, MATCH(B2&amp;C2, INDEX('Form 1 - Município'!B2:B500&amp;'Form 1 - Município'!C2:C500, 0), 0))), "")</f>
        <v>Paula Tatiana Santana Vechi</v>
      </c>
      <c r="E2" s="25" t="s">
        <v>103</v>
      </c>
      <c r="F2" s="22"/>
      <c r="G2" s="26" t="s">
        <v>101</v>
      </c>
      <c r="H2" s="22"/>
      <c r="I2" s="22"/>
      <c r="J2" s="22" t="s">
        <v>101</v>
      </c>
      <c r="K2" s="22"/>
    </row>
    <row r="3" spans="1:11">
      <c r="A3" s="45" t="s">
        <v>25</v>
      </c>
      <c r="B3" s="22" t="s">
        <v>52</v>
      </c>
      <c r="C3" s="22">
        <v>1</v>
      </c>
      <c r="D3" s="22" t="str">
        <f>IFERROR(IF(INDEX('Form 1 - Município'!D2:D500, MATCH(B3&amp;C3, INDEX('Form 1 - Município'!B2:B500&amp;'Form 1 - Município'!C2:C500, 0), 0))="", "", INDEX('Form 1 - Município'!D2:D500, MATCH(B3&amp;C3, INDEX('Form 1 - Município'!B2:B500&amp;'Form 1 - Município'!C2:C500, 0), 0))), "")</f>
        <v>Willian de Oliveira Lino</v>
      </c>
      <c r="E3" s="23" t="s">
        <v>97</v>
      </c>
      <c r="F3" s="22" t="s">
        <v>184</v>
      </c>
      <c r="G3" s="26" t="s">
        <v>101</v>
      </c>
      <c r="H3" s="22"/>
      <c r="I3" s="22"/>
      <c r="J3" s="22" t="s">
        <v>101</v>
      </c>
      <c r="K3" s="22"/>
    </row>
    <row r="4" spans="1:11">
      <c r="A4" s="44" t="s">
        <v>26</v>
      </c>
      <c r="B4" s="22" t="s">
        <v>34</v>
      </c>
      <c r="C4" s="22">
        <v>1</v>
      </c>
      <c r="D4" s="22" t="str">
        <f>IFERROR(IF(INDEX('Form 1 - Município'!D2:D500, MATCH(B4&amp;C4, INDEX('Form 1 - Município'!B2:B500&amp;'Form 1 - Município'!C2:C500, 0), 0))="", "", INDEX('Form 1 - Município'!D2:D500, MATCH(B4&amp;C4, INDEX('Form 1 - Município'!B2:B500&amp;'Form 1 - Município'!C2:C500, 0), 0))), "")</f>
        <v>Gisele Cássia Tamparowsky de Oliveira</v>
      </c>
      <c r="E4" s="23" t="s">
        <v>97</v>
      </c>
      <c r="F4" s="22" t="s">
        <v>232</v>
      </c>
      <c r="G4" s="24" t="s">
        <v>99</v>
      </c>
      <c r="H4" s="22" t="s">
        <v>105</v>
      </c>
      <c r="I4" s="22"/>
      <c r="J4" s="22" t="s">
        <v>101</v>
      </c>
      <c r="K4" s="22"/>
    </row>
    <row r="5" spans="1:11">
      <c r="A5" s="45" t="s">
        <v>25</v>
      </c>
      <c r="B5" s="22" t="s">
        <v>54</v>
      </c>
      <c r="C5" s="22">
        <v>1</v>
      </c>
      <c r="D5" s="22" t="str">
        <f>IFERROR(IF(INDEX('Form 1 - Município'!D2:D500, MATCH(B5&amp;C5, INDEX('Form 1 - Município'!B2:B500&amp;'Form 1 - Município'!C2:C500, 0), 0))="", "", INDEX('Form 1 - Município'!D2:D500, MATCH(B5&amp;C5, INDEX('Form 1 - Município'!B2:B500&amp;'Form 1 - Município'!C2:C500, 0), 0))), "")</f>
        <v>Marcos Gabriel Franciosi Borges</v>
      </c>
      <c r="E5" s="23" t="s">
        <v>97</v>
      </c>
      <c r="F5" s="22" t="s">
        <v>187</v>
      </c>
      <c r="G5" s="24" t="s">
        <v>99</v>
      </c>
      <c r="H5" s="22" t="s">
        <v>272</v>
      </c>
      <c r="I5" s="22"/>
      <c r="J5" s="22" t="s">
        <v>101</v>
      </c>
      <c r="K5" s="22"/>
    </row>
    <row r="6" spans="1:11">
      <c r="A6" s="45" t="s">
        <v>25</v>
      </c>
      <c r="B6" s="22" t="s">
        <v>56</v>
      </c>
      <c r="C6" s="22">
        <v>1</v>
      </c>
      <c r="D6" s="22" t="str">
        <f>IFERROR(IF(INDEX('Form 1 - Município'!D2:D500, MATCH(B6&amp;C6, INDEX('Form 1 - Município'!B2:B500&amp;'Form 1 - Município'!C2:C500, 0), 0))="", "", INDEX('Form 1 - Município'!D2:D500, MATCH(B6&amp;C6, INDEX('Form 1 - Município'!B2:B500&amp;'Form 1 - Município'!C2:C500, 0), 0))), "")</f>
        <v>Chayla Bianca Gazoli</v>
      </c>
      <c r="E6" s="23" t="s">
        <v>97</v>
      </c>
      <c r="F6" s="22" t="s">
        <v>235</v>
      </c>
      <c r="G6" s="26" t="s">
        <v>101</v>
      </c>
      <c r="H6" s="22"/>
      <c r="I6" s="22"/>
      <c r="J6" s="22" t="s">
        <v>101</v>
      </c>
      <c r="K6" s="22"/>
    </row>
    <row r="7" spans="1:11">
      <c r="A7" s="44" t="s">
        <v>26</v>
      </c>
      <c r="B7" s="22" t="s">
        <v>35</v>
      </c>
      <c r="C7" s="22">
        <v>1</v>
      </c>
      <c r="D7" s="22" t="str">
        <f>IFERROR(IF(INDEX('Form 1 - Município'!D2:D500, MATCH(B7&amp;C7, INDEX('Form 1 - Município'!B2:B500&amp;'Form 1 - Município'!C2:C500, 0), 0))="", "", INDEX('Form 1 - Município'!D2:D500, MATCH(B7&amp;C7, INDEX('Form 1 - Município'!B2:B500&amp;'Form 1 - Município'!C2:C500, 0), 0))), "")</f>
        <v>Solange Maria Masqueti</v>
      </c>
      <c r="E7" s="23" t="s">
        <v>97</v>
      </c>
      <c r="F7" s="22" t="s">
        <v>107</v>
      </c>
      <c r="G7" s="24" t="s">
        <v>99</v>
      </c>
      <c r="H7" s="22" t="s">
        <v>273</v>
      </c>
      <c r="I7" s="22"/>
      <c r="J7" s="22" t="s">
        <v>101</v>
      </c>
      <c r="K7" s="22"/>
    </row>
    <row r="8" spans="1:11">
      <c r="A8" s="46" t="s">
        <v>27</v>
      </c>
      <c r="B8" s="22" t="s">
        <v>79</v>
      </c>
      <c r="C8" s="22">
        <v>1</v>
      </c>
      <c r="D8" s="22" t="str">
        <f>IFERROR(IF(INDEX('Form 1 - Município'!D2:D500, MATCH(B8&amp;C8, INDEX('Form 1 - Município'!B2:B500&amp;'Form 1 - Município'!C2:C500, 0), 0))="", "", INDEX('Form 1 - Município'!D2:D500, MATCH(B8&amp;C8, INDEX('Form 1 - Município'!B2:B500&amp;'Form 1 - Município'!C2:C500, 0), 0))), "")</f>
        <v>Cristiane Petry Vieira</v>
      </c>
      <c r="E8" s="25" t="s">
        <v>103</v>
      </c>
      <c r="F8" s="22"/>
      <c r="G8" s="26" t="s">
        <v>101</v>
      </c>
      <c r="H8" s="22"/>
      <c r="I8" s="22"/>
      <c r="J8" s="22" t="s">
        <v>101</v>
      </c>
      <c r="K8" s="22"/>
    </row>
    <row r="9" spans="1:11">
      <c r="A9" s="45" t="s">
        <v>25</v>
      </c>
      <c r="B9" s="22" t="s">
        <v>58</v>
      </c>
      <c r="C9" s="22">
        <v>1</v>
      </c>
      <c r="D9" s="22" t="str">
        <f>IFERROR(IF(INDEX('Form 1 - Município'!D2:D500, MATCH(B9&amp;C9, INDEX('Form 1 - Município'!B2:B500&amp;'Form 1 - Município'!C2:C500, 0), 0))="", "", INDEX('Form 1 - Município'!D2:D500, MATCH(B9&amp;C9, INDEX('Form 1 - Município'!B2:B500&amp;'Form 1 - Município'!C2:C500, 0), 0))), "")</f>
        <v>Diego Hemerich</v>
      </c>
      <c r="E9" s="25" t="s">
        <v>103</v>
      </c>
      <c r="F9" s="22"/>
      <c r="G9" s="26" t="s">
        <v>101</v>
      </c>
      <c r="H9" s="22"/>
      <c r="I9" s="22"/>
      <c r="J9" s="22" t="s">
        <v>101</v>
      </c>
      <c r="K9" s="22"/>
    </row>
    <row r="10" spans="1:11">
      <c r="A10" s="45" t="s">
        <v>25</v>
      </c>
      <c r="B10" s="22" t="s">
        <v>60</v>
      </c>
      <c r="C10" s="22">
        <v>1</v>
      </c>
      <c r="D10" s="22" t="str">
        <f>IFERROR(IF(INDEX('Form 1 - Município'!D2:D500, MATCH(B10&amp;C10, INDEX('Form 1 - Município'!B2:B500&amp;'Form 1 - Município'!C2:C500, 0), 0))="", "", INDEX('Form 1 - Município'!D2:D500, MATCH(B10&amp;C10, INDEX('Form 1 - Município'!B2:B500&amp;'Form 1 - Município'!C2:C500, 0), 0))), "")</f>
        <v>Tatiane Girardi</v>
      </c>
      <c r="E10" s="27" t="s">
        <v>5</v>
      </c>
      <c r="F10" s="22" t="s">
        <v>274</v>
      </c>
      <c r="G10" s="26" t="s">
        <v>101</v>
      </c>
      <c r="H10" s="22"/>
      <c r="I10" s="22"/>
      <c r="J10" s="22" t="s">
        <v>101</v>
      </c>
      <c r="K10" s="22"/>
    </row>
    <row r="11" spans="1:11">
      <c r="A11" s="46" t="s">
        <v>27</v>
      </c>
      <c r="B11" s="22" t="s">
        <v>80</v>
      </c>
      <c r="C11" s="22">
        <v>1</v>
      </c>
      <c r="D11" s="22" t="str">
        <f>IFERROR(IF(INDEX('Form 1 - Município'!D2:D500, MATCH(B11&amp;C11, INDEX('Form 1 - Município'!B2:B500&amp;'Form 1 - Município'!C2:C500, 0), 0))="", "", INDEX('Form 1 - Município'!D2:D500, MATCH(B11&amp;C11, INDEX('Form 1 - Município'!B2:B500&amp;'Form 1 - Município'!C2:C500, 0), 0))), "")</f>
        <v>Edson Batista de Castro</v>
      </c>
      <c r="E11" s="23" t="s">
        <v>97</v>
      </c>
      <c r="F11" s="22" t="s">
        <v>109</v>
      </c>
      <c r="G11" s="26" t="s">
        <v>101</v>
      </c>
      <c r="H11" s="22"/>
      <c r="I11" s="22"/>
      <c r="J11" s="22" t="s">
        <v>101</v>
      </c>
      <c r="K11" s="22"/>
    </row>
    <row r="12" spans="1:11">
      <c r="A12" s="46" t="s">
        <v>27</v>
      </c>
      <c r="B12" s="22" t="s">
        <v>80</v>
      </c>
      <c r="C12" s="22">
        <v>2</v>
      </c>
      <c r="D12" s="22" t="str">
        <f>IFERROR(IF(INDEX('Form 1 - Município'!D2:D500, MATCH(B12&amp;C12, INDEX('Form 1 - Município'!B2:B500&amp;'Form 1 - Município'!C2:C500, 0), 0))="", "", INDEX('Form 1 - Município'!D2:D500, MATCH(B12&amp;C12, INDEX('Form 1 - Município'!B2:B500&amp;'Form 1 - Município'!C2:C500, 0), 0))), "")</f>
        <v>Gabriela Fernanda Sandri</v>
      </c>
      <c r="E12" s="23" t="s">
        <v>97</v>
      </c>
      <c r="F12" s="22" t="s">
        <v>109</v>
      </c>
      <c r="G12" s="26" t="s">
        <v>101</v>
      </c>
      <c r="H12" s="22"/>
      <c r="I12" s="22"/>
      <c r="J12" s="22" t="s">
        <v>101</v>
      </c>
      <c r="K12" s="22"/>
    </row>
    <row r="13" spans="1:11">
      <c r="A13" s="46" t="s">
        <v>27</v>
      </c>
      <c r="B13" s="22" t="s">
        <v>80</v>
      </c>
      <c r="C13" s="22">
        <v>3</v>
      </c>
      <c r="D13" s="22" t="str">
        <f>IFERROR(IF(INDEX('Form 1 - Município'!D2:D500, MATCH(B13&amp;C13, INDEX('Form 1 - Município'!B2:B500&amp;'Form 1 - Município'!C2:C500, 0), 0))="", "", INDEX('Form 1 - Município'!D2:D500, MATCH(B13&amp;C13, INDEX('Form 1 - Município'!B2:B500&amp;'Form 1 - Município'!C2:C500, 0), 0))), "")</f>
        <v>Eduarda Rohden Donasolo</v>
      </c>
      <c r="E13" s="23" t="s">
        <v>97</v>
      </c>
      <c r="F13" s="22" t="s">
        <v>98</v>
      </c>
      <c r="G13" s="26" t="s">
        <v>101</v>
      </c>
      <c r="H13" s="22"/>
      <c r="I13" s="22"/>
      <c r="J13" s="22" t="s">
        <v>101</v>
      </c>
      <c r="K13" s="22"/>
    </row>
    <row r="14" spans="1:11">
      <c r="A14" s="46" t="s">
        <v>27</v>
      </c>
      <c r="B14" s="22" t="s">
        <v>80</v>
      </c>
      <c r="C14" s="22">
        <v>4</v>
      </c>
      <c r="D14" s="22" t="str">
        <f>IFERROR(IF(INDEX('Form 1 - Município'!D2:D500, MATCH(B14&amp;C14, INDEX('Form 1 - Município'!B2:B500&amp;'Form 1 - Município'!C2:C500, 0), 0))="", "", INDEX('Form 1 - Município'!D2:D500, MATCH(B14&amp;C14, INDEX('Form 1 - Município'!B2:B500&amp;'Form 1 - Município'!C2:C500, 0), 0))), "")</f>
        <v>Mauricio Pinto de Lima</v>
      </c>
      <c r="E14" s="27" t="s">
        <v>5</v>
      </c>
      <c r="F14" s="22" t="s">
        <v>275</v>
      </c>
      <c r="G14" s="26" t="s">
        <v>101</v>
      </c>
      <c r="H14" s="22"/>
      <c r="I14" s="22"/>
      <c r="J14" s="22" t="s">
        <v>101</v>
      </c>
      <c r="K14" s="22"/>
    </row>
    <row r="15" spans="1:11">
      <c r="A15" s="46" t="s">
        <v>27</v>
      </c>
      <c r="B15" s="22" t="s">
        <v>80</v>
      </c>
      <c r="C15" s="22">
        <v>5</v>
      </c>
      <c r="D15" s="22" t="str">
        <f>IFERROR(IF(INDEX('Form 1 - Município'!D2:D500, MATCH(B15&amp;C15, INDEX('Form 1 - Município'!B2:B500&amp;'Form 1 - Município'!C2:C500, 0), 0))="", "", INDEX('Form 1 - Município'!D2:D500, MATCH(B15&amp;C15, INDEX('Form 1 - Município'!B2:B500&amp;'Form 1 - Município'!C2:C500, 0), 0))), "")</f>
        <v xml:space="preserve">Débora Laize Lampert Gnass </v>
      </c>
      <c r="E15" s="23" t="s">
        <v>97</v>
      </c>
      <c r="F15" s="22" t="s">
        <v>239</v>
      </c>
      <c r="G15" s="26" t="s">
        <v>101</v>
      </c>
      <c r="H15" s="22"/>
      <c r="I15" s="22"/>
      <c r="J15" s="22" t="s">
        <v>101</v>
      </c>
      <c r="K15" s="22"/>
    </row>
    <row r="16" spans="1:11">
      <c r="A16" s="46" t="s">
        <v>27</v>
      </c>
      <c r="B16" s="22" t="s">
        <v>80</v>
      </c>
      <c r="C16" s="22">
        <v>6</v>
      </c>
      <c r="D16" s="22" t="str">
        <f>IFERROR(IF(INDEX('Form 1 - Município'!D2:D500, MATCH(B16&amp;C16, INDEX('Form 1 - Município'!B2:B500&amp;'Form 1 - Município'!C2:C500, 0), 0))="", "", INDEX('Form 1 - Município'!D2:D500, MATCH(B16&amp;C16, INDEX('Form 1 - Município'!B2:B500&amp;'Form 1 - Município'!C2:C500, 0), 0))), "")</f>
        <v/>
      </c>
      <c r="E16" s="23" t="s">
        <v>97</v>
      </c>
      <c r="F16" s="22" t="s">
        <v>276</v>
      </c>
      <c r="G16" s="26" t="s">
        <v>101</v>
      </c>
      <c r="H16" s="22"/>
      <c r="I16" s="22"/>
      <c r="J16" s="22" t="s">
        <v>101</v>
      </c>
      <c r="K16" s="22"/>
    </row>
    <row r="17" spans="1:11">
      <c r="A17" s="45" t="s">
        <v>25</v>
      </c>
      <c r="B17" s="22" t="s">
        <v>62</v>
      </c>
      <c r="C17" s="22">
        <v>1</v>
      </c>
      <c r="D17" s="22" t="str">
        <f>IFERROR(IF(INDEX('Form 1 - Município'!D2:D500, MATCH(B17&amp;C17, INDEX('Form 1 - Município'!B2:B500&amp;'Form 1 - Município'!C2:C500, 0), 0))="", "", INDEX('Form 1 - Município'!D2:D500, MATCH(B17&amp;C17, INDEX('Form 1 - Município'!B2:B500&amp;'Form 1 - Município'!C2:C500, 0), 0))), "")</f>
        <v>Cristina Harumi Enokida</v>
      </c>
      <c r="E17" s="23" t="s">
        <v>97</v>
      </c>
      <c r="F17" s="22" t="s">
        <v>111</v>
      </c>
      <c r="G17" s="24" t="s">
        <v>99</v>
      </c>
      <c r="H17" s="22"/>
      <c r="I17" s="22"/>
      <c r="J17" s="22" t="s">
        <v>101</v>
      </c>
      <c r="K17" s="22"/>
    </row>
    <row r="18" spans="1:11">
      <c r="A18" s="47" t="s">
        <v>29</v>
      </c>
      <c r="B18" s="22" t="s">
        <v>53</v>
      </c>
      <c r="C18" s="22">
        <v>1</v>
      </c>
      <c r="D18" s="22" t="str">
        <f>IFERROR(IF(INDEX('Form 1 - Município'!D2:D500, MATCH(B18&amp;C18, INDEX('Form 1 - Município'!B2:B500&amp;'Form 1 - Município'!C2:C500, 0), 0))="", "", INDEX('Form 1 - Município'!D2:D500, MATCH(B18&amp;C18, INDEX('Form 1 - Município'!B2:B500&amp;'Form 1 - Município'!C2:C500, 0), 0))), "")</f>
        <v>Douglas de Mattia</v>
      </c>
      <c r="E18" s="23" t="s">
        <v>97</v>
      </c>
      <c r="F18" s="22" t="s">
        <v>241</v>
      </c>
      <c r="G18" s="24" t="s">
        <v>99</v>
      </c>
      <c r="H18" s="22"/>
      <c r="I18" s="22"/>
      <c r="J18" s="22" t="s">
        <v>101</v>
      </c>
      <c r="K18" s="22"/>
    </row>
    <row r="19" spans="1:11">
      <c r="A19" s="45" t="s">
        <v>25</v>
      </c>
      <c r="B19" s="22" t="s">
        <v>63</v>
      </c>
      <c r="C19" s="22">
        <v>1</v>
      </c>
      <c r="D19" s="22" t="str">
        <f>IFERROR(IF(INDEX('Form 1 - Município'!D2:D500, MATCH(B19&amp;C19, INDEX('Form 1 - Município'!B2:B500&amp;'Form 1 - Município'!C2:C500, 0), 0))="", "", INDEX('Form 1 - Município'!D2:D500, MATCH(B19&amp;C19, INDEX('Form 1 - Município'!B2:B500&amp;'Form 1 - Município'!C2:C500, 0), 0))), "")</f>
        <v>Vanderson Pasetti</v>
      </c>
      <c r="E19" s="25" t="s">
        <v>103</v>
      </c>
      <c r="F19" s="22"/>
      <c r="G19" s="26" t="s">
        <v>101</v>
      </c>
      <c r="H19" s="22"/>
      <c r="I19" s="22"/>
      <c r="J19" s="22" t="s">
        <v>101</v>
      </c>
      <c r="K19" s="22"/>
    </row>
    <row r="20" spans="1:11">
      <c r="A20" s="47" t="s">
        <v>29</v>
      </c>
      <c r="B20" s="22" t="s">
        <v>55</v>
      </c>
      <c r="C20" s="22">
        <v>1</v>
      </c>
      <c r="D20" s="22" t="str">
        <f>IFERROR(IF(INDEX('Form 1 - Município'!D2:D500, MATCH(B20&amp;C20, INDEX('Form 1 - Município'!B2:B500&amp;'Form 1 - Município'!C2:C500, 0), 0))="", "", INDEX('Form 1 - Município'!D2:D500, MATCH(B20&amp;C20, INDEX('Form 1 - Município'!B2:B500&amp;'Form 1 - Município'!C2:C500, 0), 0))), "")</f>
        <v>Bruna Schneider Guimarães</v>
      </c>
      <c r="E20" s="23" t="s">
        <v>97</v>
      </c>
      <c r="F20" s="22" t="s">
        <v>131</v>
      </c>
      <c r="G20" s="24" t="s">
        <v>99</v>
      </c>
      <c r="H20" s="22"/>
      <c r="I20" s="22"/>
      <c r="J20" s="22" t="s">
        <v>101</v>
      </c>
      <c r="K20" s="22"/>
    </row>
    <row r="21" spans="1:11">
      <c r="A21" s="45" t="s">
        <v>25</v>
      </c>
      <c r="B21" s="22" t="s">
        <v>65</v>
      </c>
      <c r="C21" s="22">
        <v>1</v>
      </c>
      <c r="D21" s="22" t="str">
        <f>IFERROR(IF(INDEX('Form 1 - Município'!D2:D500, MATCH(B21&amp;C21, INDEX('Form 1 - Município'!B2:B500&amp;'Form 1 - Município'!C2:C500, 0), 0))="", "", INDEX('Form 1 - Município'!D2:D500, MATCH(B21&amp;C21, INDEX('Form 1 - Município'!B2:B500&amp;'Form 1 - Município'!C2:C500, 0), 0))), "")</f>
        <v>Keilla Avezedo</v>
      </c>
      <c r="E21" s="23" t="s">
        <v>97</v>
      </c>
      <c r="F21" s="22" t="s">
        <v>133</v>
      </c>
      <c r="G21" s="24" t="s">
        <v>99</v>
      </c>
      <c r="H21" s="22" t="s">
        <v>277</v>
      </c>
      <c r="I21" s="22"/>
      <c r="J21" s="22" t="s">
        <v>101</v>
      </c>
      <c r="K21" s="22"/>
    </row>
    <row r="22" spans="1:11">
      <c r="A22" s="47" t="s">
        <v>29</v>
      </c>
      <c r="B22" s="22" t="s">
        <v>57</v>
      </c>
      <c r="C22" s="22">
        <v>1</v>
      </c>
      <c r="D22" s="22" t="str">
        <f>IFERROR(IF(INDEX('Form 1 - Município'!D2:D500, MATCH(B22&amp;C22, INDEX('Form 1 - Município'!B2:B500&amp;'Form 1 - Município'!C2:C500, 0), 0))="", "", INDEX('Form 1 - Município'!D2:D500, MATCH(B22&amp;C22, INDEX('Form 1 - Município'!B2:B500&amp;'Form 1 - Município'!C2:C500, 0), 0))), "")</f>
        <v>Carmen Maria Stein Weiler</v>
      </c>
      <c r="E22" s="23" t="s">
        <v>97</v>
      </c>
      <c r="F22" s="22" t="s">
        <v>139</v>
      </c>
      <c r="G22" s="24" t="s">
        <v>99</v>
      </c>
      <c r="H22" s="22"/>
      <c r="I22" s="22"/>
      <c r="J22" s="22" t="s">
        <v>101</v>
      </c>
      <c r="K22" s="22"/>
    </row>
    <row r="23" spans="1:11">
      <c r="A23" s="46" t="s">
        <v>27</v>
      </c>
      <c r="B23" s="22" t="s">
        <v>81</v>
      </c>
      <c r="C23" s="22">
        <v>1</v>
      </c>
      <c r="D23" s="22" t="str">
        <f>IFERROR(IF(INDEX('Form 1 - Município'!D2:D500, MATCH(B23&amp;C23, INDEX('Form 1 - Município'!B2:B500&amp;'Form 1 - Município'!C2:C500, 0), 0))="", "", INDEX('Form 1 - Município'!D2:D500, MATCH(B23&amp;C23, INDEX('Form 1 - Município'!B2:B500&amp;'Form 1 - Município'!C2:C500, 0), 0))), "")</f>
        <v>Thiago Varaschim Cenci</v>
      </c>
      <c r="E23" s="23" t="s">
        <v>97</v>
      </c>
      <c r="F23" s="22" t="s">
        <v>137</v>
      </c>
      <c r="G23" s="26" t="s">
        <v>101</v>
      </c>
      <c r="H23" s="22"/>
      <c r="I23" s="22"/>
      <c r="J23" s="22" t="s">
        <v>101</v>
      </c>
      <c r="K23" s="22"/>
    </row>
    <row r="24" spans="1:11">
      <c r="A24" s="48" t="s">
        <v>28</v>
      </c>
      <c r="B24" s="22" t="s">
        <v>33</v>
      </c>
      <c r="C24" s="22">
        <v>1</v>
      </c>
      <c r="D24" s="22" t="str">
        <f>IFERROR(IF(INDEX('Form 1 - Município'!D2:D500, MATCH(B24&amp;C24, INDEX('Form 1 - Município'!B2:B500&amp;'Form 1 - Município'!C2:C500, 0), 0))="", "", INDEX('Form 1 - Município'!D2:D500, MATCH(B24&amp;C24, INDEX('Form 1 - Município'!B2:B500&amp;'Form 1 - Município'!C2:C500, 0), 0))), "")</f>
        <v>Éber Alexandre Nascimento Araújo</v>
      </c>
      <c r="E24" s="25" t="s">
        <v>103</v>
      </c>
      <c r="F24" s="22"/>
      <c r="G24" s="26" t="s">
        <v>101</v>
      </c>
      <c r="H24" s="22"/>
      <c r="I24" s="22"/>
      <c r="J24" s="22" t="s">
        <v>101</v>
      </c>
      <c r="K24" s="22"/>
    </row>
    <row r="25" spans="1:11">
      <c r="A25" s="48" t="s">
        <v>28</v>
      </c>
      <c r="B25" s="22" t="s">
        <v>33</v>
      </c>
      <c r="C25" s="22">
        <v>2</v>
      </c>
      <c r="D25" s="22" t="str">
        <f>IFERROR(IF(INDEX('Form 1 - Município'!D2:D500, MATCH(B25&amp;C25, INDEX('Form 1 - Município'!B2:B500&amp;'Form 1 - Município'!C2:C500, 0), 0))="", "", INDEX('Form 1 - Município'!D2:D500, MATCH(B25&amp;C25, INDEX('Form 1 - Município'!B2:B500&amp;'Form 1 - Município'!C2:C500, 0), 0))), "")</f>
        <v>Andrea Carla Winkelmann</v>
      </c>
      <c r="E25" s="23" t="s">
        <v>97</v>
      </c>
      <c r="F25" s="22" t="s">
        <v>278</v>
      </c>
      <c r="G25" s="24" t="s">
        <v>99</v>
      </c>
      <c r="H25" s="22"/>
      <c r="I25" s="22"/>
      <c r="J25" s="22" t="s">
        <v>101</v>
      </c>
      <c r="K25" s="22"/>
    </row>
    <row r="26" spans="1:11">
      <c r="A26" s="48" t="s">
        <v>28</v>
      </c>
      <c r="B26" s="22" t="s">
        <v>33</v>
      </c>
      <c r="C26" s="22">
        <v>3</v>
      </c>
      <c r="D26" s="22" t="str">
        <f>IFERROR(IF(INDEX('Form 1 - Município'!D2:D500, MATCH(B26&amp;C26, INDEX('Form 1 - Município'!B2:B500&amp;'Form 1 - Município'!C2:C500, 0), 0))="", "", INDEX('Form 1 - Município'!D2:D500, MATCH(B26&amp;C26, INDEX('Form 1 - Município'!B2:B500&amp;'Form 1 - Município'!C2:C500, 0), 0))), "")</f>
        <v>Lorizete de Andrade</v>
      </c>
      <c r="E26" s="23" t="s">
        <v>97</v>
      </c>
      <c r="F26" s="22" t="s">
        <v>182</v>
      </c>
      <c r="G26" s="24" t="s">
        <v>99</v>
      </c>
      <c r="H26" s="22"/>
      <c r="I26" s="22"/>
      <c r="J26" s="22" t="s">
        <v>101</v>
      </c>
      <c r="K26" s="22"/>
    </row>
    <row r="27" spans="1:11">
      <c r="A27" s="48" t="s">
        <v>28</v>
      </c>
      <c r="B27" s="22" t="s">
        <v>33</v>
      </c>
      <c r="C27" s="22">
        <v>4</v>
      </c>
      <c r="D27" s="22" t="str">
        <f>IFERROR(IF(INDEX('Form 1 - Município'!D2:D500, MATCH(B27&amp;C27, INDEX('Form 1 - Município'!B2:B500&amp;'Form 1 - Município'!C2:C500, 0), 0))="", "", INDEX('Form 1 - Município'!D2:D500, MATCH(B27&amp;C27, INDEX('Form 1 - Município'!B2:B500&amp;'Form 1 - Município'!C2:C500, 0), 0))), "")</f>
        <v>Andressa Maia</v>
      </c>
      <c r="E27" s="23" t="s">
        <v>97</v>
      </c>
      <c r="F27" s="22" t="s">
        <v>98</v>
      </c>
      <c r="G27" s="24" t="s">
        <v>99</v>
      </c>
      <c r="H27" s="22"/>
      <c r="I27" s="22"/>
      <c r="J27" s="22" t="s">
        <v>101</v>
      </c>
      <c r="K27" s="22"/>
    </row>
    <row r="28" spans="1:11">
      <c r="A28" s="48" t="s">
        <v>28</v>
      </c>
      <c r="B28" s="22" t="s">
        <v>33</v>
      </c>
      <c r="C28" s="22">
        <v>5</v>
      </c>
      <c r="D28" s="22" t="str">
        <f>IFERROR(IF(INDEX('Form 1 - Município'!D2:D500, MATCH(B28&amp;C28, INDEX('Form 1 - Município'!B2:B500&amp;'Form 1 - Município'!C2:C500, 0), 0))="", "", INDEX('Form 1 - Município'!D2:D500, MATCH(B28&amp;C28, INDEX('Form 1 - Município'!B2:B500&amp;'Form 1 - Município'!C2:C500, 0), 0))), "")</f>
        <v>Lucas Correia de Souza</v>
      </c>
      <c r="E28" s="23" t="s">
        <v>97</v>
      </c>
      <c r="F28" s="22" t="s">
        <v>249</v>
      </c>
      <c r="G28" s="24" t="s">
        <v>99</v>
      </c>
      <c r="H28" s="22"/>
      <c r="I28" s="22"/>
      <c r="J28" s="22" t="s">
        <v>101</v>
      </c>
      <c r="K28" s="22"/>
    </row>
    <row r="29" spans="1:11">
      <c r="A29" s="48" t="s">
        <v>28</v>
      </c>
      <c r="B29" s="22" t="s">
        <v>33</v>
      </c>
      <c r="C29" s="22">
        <v>6</v>
      </c>
      <c r="D29" s="22" t="str">
        <f>IFERROR(IF(INDEX('Form 1 - Município'!D2:D500, MATCH(B29&amp;C29, INDEX('Form 1 - Município'!B2:B500&amp;'Form 1 - Município'!C2:C500, 0), 0))="", "", INDEX('Form 1 - Município'!D2:D500, MATCH(B29&amp;C29, INDEX('Form 1 - Município'!B2:B500&amp;'Form 1 - Município'!C2:C500, 0), 0))), "")</f>
        <v>Jose Francisco Mariano de Faria Filho</v>
      </c>
      <c r="E29" s="23" t="s">
        <v>97</v>
      </c>
      <c r="F29" s="22" t="s">
        <v>111</v>
      </c>
      <c r="G29" s="24" t="s">
        <v>99</v>
      </c>
      <c r="H29" s="22" t="s">
        <v>250</v>
      </c>
      <c r="I29" s="22"/>
      <c r="J29" s="22" t="s">
        <v>101</v>
      </c>
      <c r="K29" s="22"/>
    </row>
    <row r="30" spans="1:11">
      <c r="A30" s="48" t="s">
        <v>28</v>
      </c>
      <c r="B30" s="22" t="s">
        <v>33</v>
      </c>
      <c r="C30" s="22">
        <v>7</v>
      </c>
      <c r="D30" s="22" t="str">
        <f>IFERROR(IF(INDEX('Form 1 - Município'!D2:D500, MATCH(B30&amp;C30, INDEX('Form 1 - Município'!B2:B500&amp;'Form 1 - Município'!C2:C500, 0), 0))="", "", INDEX('Form 1 - Município'!D2:D500, MATCH(B30&amp;C30, INDEX('Form 1 - Município'!B2:B500&amp;'Form 1 - Município'!C2:C500, 0), 0))), "")</f>
        <v>Pedro Henrique Mariano de Faria</v>
      </c>
      <c r="E30" s="23" t="s">
        <v>97</v>
      </c>
      <c r="F30" s="22" t="s">
        <v>194</v>
      </c>
      <c r="G30" s="24" t="s">
        <v>99</v>
      </c>
      <c r="H30" s="22" t="s">
        <v>279</v>
      </c>
      <c r="I30" s="22"/>
      <c r="J30" s="22" t="s">
        <v>101</v>
      </c>
      <c r="K30" s="22"/>
    </row>
    <row r="31" spans="1:11">
      <c r="A31" s="48" t="s">
        <v>28</v>
      </c>
      <c r="B31" s="22" t="s">
        <v>33</v>
      </c>
      <c r="C31" s="22">
        <v>8</v>
      </c>
      <c r="D31" s="22" t="str">
        <f>IFERROR(IF(INDEX('Form 1 - Município'!D2:D500, MATCH(B31&amp;C31, INDEX('Form 1 - Município'!B2:B500&amp;'Form 1 - Município'!C2:C500, 0), 0))="", "", INDEX('Form 1 - Município'!D2:D500, MATCH(B31&amp;C31, INDEX('Form 1 - Município'!B2:B500&amp;'Form 1 - Município'!C2:C500, 0), 0))), "")</f>
        <v>Renata Aparecida de Souza</v>
      </c>
      <c r="E31" s="23" t="s">
        <v>97</v>
      </c>
      <c r="F31" s="22" t="s">
        <v>280</v>
      </c>
      <c r="G31" s="24" t="s">
        <v>99</v>
      </c>
      <c r="H31" s="22" t="s">
        <v>250</v>
      </c>
      <c r="I31" s="22"/>
      <c r="J31" s="22" t="s">
        <v>101</v>
      </c>
      <c r="K31" s="22"/>
    </row>
    <row r="32" spans="1:11">
      <c r="A32" s="48" t="s">
        <v>28</v>
      </c>
      <c r="B32" s="22" t="s">
        <v>33</v>
      </c>
      <c r="C32" s="22">
        <v>9</v>
      </c>
      <c r="D32" s="22" t="str">
        <f>IFERROR(IF(INDEX('Form 1 - Município'!D2:D500, MATCH(B32&amp;C32, INDEX('Form 1 - Município'!B2:B500&amp;'Form 1 - Município'!C2:C500, 0), 0))="", "", INDEX('Form 1 - Município'!D2:D500, MATCH(B32&amp;C32, INDEX('Form 1 - Município'!B2:B500&amp;'Form 1 - Município'!C2:C500, 0), 0))), "")</f>
        <v>Maria Eduarda dos Santos Arias</v>
      </c>
      <c r="E32" s="23" t="s">
        <v>97</v>
      </c>
      <c r="F32" s="22" t="s">
        <v>281</v>
      </c>
      <c r="G32" s="24" t="s">
        <v>99</v>
      </c>
      <c r="H32" s="22" t="s">
        <v>282</v>
      </c>
      <c r="I32" s="22"/>
      <c r="J32" s="22" t="s">
        <v>101</v>
      </c>
      <c r="K32" s="22"/>
    </row>
    <row r="33" spans="1:11">
      <c r="A33" s="44" t="s">
        <v>26</v>
      </c>
      <c r="B33" s="22" t="s">
        <v>36</v>
      </c>
      <c r="C33" s="22">
        <v>1</v>
      </c>
      <c r="D33" s="22" t="str">
        <f>IFERROR(IF(INDEX('Form 1 - Município'!D2:D500, MATCH(B33&amp;C33, INDEX('Form 1 - Município'!B2:B500&amp;'Form 1 - Município'!C2:C500, 0), 0))="", "", INDEX('Form 1 - Município'!D2:D500, MATCH(B33&amp;C33, INDEX('Form 1 - Município'!B2:B500&amp;'Form 1 - Município'!C2:C500, 0), 0))), "")</f>
        <v>Paulo Rogerio Hiroshi Fujii</v>
      </c>
      <c r="E33" s="25" t="s">
        <v>103</v>
      </c>
      <c r="F33" s="22"/>
      <c r="G33" s="26" t="s">
        <v>101</v>
      </c>
      <c r="H33" s="22"/>
      <c r="I33" s="22"/>
      <c r="J33" s="22" t="s">
        <v>101</v>
      </c>
      <c r="K33" s="22"/>
    </row>
    <row r="34" spans="1:11">
      <c r="A34" s="44" t="s">
        <v>26</v>
      </c>
      <c r="B34" s="22" t="s">
        <v>37</v>
      </c>
      <c r="C34" s="22">
        <v>1</v>
      </c>
      <c r="D34" s="22" t="str">
        <f>IFERROR(IF(INDEX('Form 1 - Município'!D2:D500, MATCH(B34&amp;C34, INDEX('Form 1 - Município'!B2:B500&amp;'Form 1 - Município'!C2:C500, 0), 0))="", "", INDEX('Form 1 - Município'!D2:D500, MATCH(B34&amp;C34, INDEX('Form 1 - Município'!B2:B500&amp;'Form 1 - Município'!C2:C500, 0), 0))), "")</f>
        <v>Marlene R. Oliveira Dallacosta</v>
      </c>
      <c r="E34" s="25" t="s">
        <v>103</v>
      </c>
      <c r="F34" s="22"/>
      <c r="G34" s="26" t="s">
        <v>101</v>
      </c>
      <c r="H34" s="22"/>
      <c r="I34" s="22"/>
      <c r="J34" s="22" t="s">
        <v>101</v>
      </c>
      <c r="K34" s="22"/>
    </row>
    <row r="35" spans="1:11">
      <c r="A35" s="45" t="s">
        <v>25</v>
      </c>
      <c r="B35" s="22" t="s">
        <v>67</v>
      </c>
      <c r="C35" s="22">
        <v>1</v>
      </c>
      <c r="D35" s="22" t="str">
        <f>IFERROR(IF(INDEX('Form 1 - Município'!D2:D500, MATCH(B35&amp;C35, INDEX('Form 1 - Município'!B2:B500&amp;'Form 1 - Município'!C2:C500, 0), 0))="", "", INDEX('Form 1 - Município'!D2:D500, MATCH(B35&amp;C35, INDEX('Form 1 - Município'!B2:B500&amp;'Form 1 - Município'!C2:C500, 0), 0))), "")</f>
        <v>Vitolor dos Santos Almeida</v>
      </c>
      <c r="E35" s="23" t="s">
        <v>97</v>
      </c>
      <c r="F35" s="22" t="s">
        <v>213</v>
      </c>
      <c r="G35" s="26" t="s">
        <v>101</v>
      </c>
      <c r="H35" s="22"/>
      <c r="I35" s="22"/>
      <c r="J35" s="22" t="s">
        <v>101</v>
      </c>
      <c r="K35" s="22"/>
    </row>
    <row r="36" spans="1:11">
      <c r="A36" s="45" t="s">
        <v>25</v>
      </c>
      <c r="B36" s="22" t="s">
        <v>69</v>
      </c>
      <c r="C36" s="22">
        <v>1</v>
      </c>
      <c r="D36" s="22" t="str">
        <f>IFERROR(IF(INDEX('Form 1 - Município'!D2:D500, MATCH(B36&amp;C36, INDEX('Form 1 - Município'!B2:B500&amp;'Form 1 - Município'!C2:C500, 0), 0))="", "", INDEX('Form 1 - Município'!D2:D500, MATCH(B36&amp;C36, INDEX('Form 1 - Município'!B2:B500&amp;'Form 1 - Município'!C2:C500, 0), 0))), "")</f>
        <v>Kelly Jackeline Silva do Valle</v>
      </c>
      <c r="E36" s="23" t="s">
        <v>97</v>
      </c>
      <c r="F36" s="22" t="s">
        <v>155</v>
      </c>
      <c r="G36" s="24" t="s">
        <v>99</v>
      </c>
      <c r="H36" s="22"/>
      <c r="I36" s="22"/>
      <c r="J36" s="22" t="s">
        <v>101</v>
      </c>
      <c r="K36" s="22"/>
    </row>
    <row r="37" spans="1:11">
      <c r="A37" s="45" t="s">
        <v>25</v>
      </c>
      <c r="B37" s="22" t="s">
        <v>71</v>
      </c>
      <c r="C37" s="22">
        <v>1</v>
      </c>
      <c r="D37" s="22" t="str">
        <f>IFERROR(IF(INDEX('Form 1 - Município'!D2:D500, MATCH(B37&amp;C37, INDEX('Form 1 - Município'!B2:B500&amp;'Form 1 - Município'!C2:C500, 0), 0))="", "", INDEX('Form 1 - Município'!D2:D500, MATCH(B37&amp;C37, INDEX('Form 1 - Município'!B2:B500&amp;'Form 1 - Município'!C2:C500, 0), 0))), "")</f>
        <v>Felipe Carvalho Zydek</v>
      </c>
      <c r="E37" s="23" t="s">
        <v>97</v>
      </c>
      <c r="F37" s="22" t="s">
        <v>173</v>
      </c>
      <c r="G37" s="24" t="s">
        <v>99</v>
      </c>
      <c r="H37" s="22"/>
      <c r="I37" s="22"/>
      <c r="J37" s="22" t="s">
        <v>101</v>
      </c>
      <c r="K37" s="22"/>
    </row>
    <row r="38" spans="1:11">
      <c r="A38" s="46" t="s">
        <v>27</v>
      </c>
      <c r="B38" s="22" t="s">
        <v>82</v>
      </c>
      <c r="C38" s="22">
        <v>1</v>
      </c>
      <c r="D38" s="22" t="str">
        <f>IFERROR(IF(INDEX('Form 1 - Município'!D2:D500, MATCH(B38&amp;C38, INDEX('Form 1 - Município'!B2:B500&amp;'Form 1 - Município'!C2:C500, 0), 0))="", "", INDEX('Form 1 - Município'!D2:D500, MATCH(B38&amp;C38, INDEX('Form 1 - Município'!B2:B500&amp;'Form 1 - Município'!C2:C500, 0), 0))), "")</f>
        <v>Eliane Borin</v>
      </c>
      <c r="E38" s="23" t="s">
        <v>97</v>
      </c>
      <c r="F38" s="22" t="s">
        <v>131</v>
      </c>
      <c r="G38" s="26" t="s">
        <v>101</v>
      </c>
      <c r="H38" s="22"/>
      <c r="I38" s="22"/>
      <c r="J38" s="22" t="s">
        <v>101</v>
      </c>
      <c r="K38" s="22"/>
    </row>
    <row r="39" spans="1:11">
      <c r="A39" s="47" t="s">
        <v>29</v>
      </c>
      <c r="B39" s="22" t="s">
        <v>59</v>
      </c>
      <c r="C39" s="22">
        <v>1</v>
      </c>
      <c r="D39" s="22" t="str">
        <f>IFERROR(IF(INDEX('Form 1 - Município'!D2:D500, MATCH(B39&amp;C39, INDEX('Form 1 - Município'!B2:B500&amp;'Form 1 - Município'!C2:C500, 0), 0))="", "", INDEX('Form 1 - Município'!D2:D500, MATCH(B39&amp;C39, INDEX('Form 1 - Município'!B2:B500&amp;'Form 1 - Município'!C2:C500, 0), 0))), "")</f>
        <v>Tatiana schrard</v>
      </c>
      <c r="E39" s="23" t="s">
        <v>97</v>
      </c>
      <c r="F39" s="22" t="s">
        <v>213</v>
      </c>
      <c r="G39" s="24" t="s">
        <v>99</v>
      </c>
      <c r="H39" s="22"/>
      <c r="I39" s="22"/>
      <c r="J39" s="22" t="s">
        <v>101</v>
      </c>
      <c r="K39" s="22"/>
    </row>
    <row r="40" spans="1:11">
      <c r="A40" s="46" t="s">
        <v>27</v>
      </c>
      <c r="B40" s="22" t="s">
        <v>83</v>
      </c>
      <c r="C40" s="22">
        <v>1</v>
      </c>
      <c r="D40" s="22" t="str">
        <f>IFERROR(IF(INDEX('Form 1 - Município'!D2:D500, MATCH(B40&amp;C40, INDEX('Form 1 - Município'!B2:B500&amp;'Form 1 - Município'!C2:C500, 0), 0))="", "", INDEX('Form 1 - Município'!D2:D500, MATCH(B40&amp;C40, INDEX('Form 1 - Município'!B2:B500&amp;'Form 1 - Município'!C2:C500, 0), 0))), "")</f>
        <v>César Piva Glinglani</v>
      </c>
      <c r="E40" s="23" t="s">
        <v>97</v>
      </c>
      <c r="F40" s="22" t="s">
        <v>166</v>
      </c>
      <c r="G40" s="26" t="s">
        <v>101</v>
      </c>
      <c r="H40" s="22"/>
      <c r="I40" s="22"/>
      <c r="J40" s="22" t="s">
        <v>101</v>
      </c>
      <c r="K40" s="22"/>
    </row>
    <row r="41" spans="1:11">
      <c r="A41" s="45" t="s">
        <v>25</v>
      </c>
      <c r="B41" s="22" t="s">
        <v>73</v>
      </c>
      <c r="C41" s="22">
        <v>1</v>
      </c>
      <c r="D41" s="22" t="str">
        <f>IFERROR(IF(INDEX('Form 1 - Município'!D2:D500, MATCH(B41&amp;C41, INDEX('Form 1 - Município'!B2:B500&amp;'Form 1 - Município'!C2:C500, 0), 0))="", "", INDEX('Form 1 - Município'!D2:D500, MATCH(B41&amp;C41, INDEX('Form 1 - Município'!B2:B500&amp;'Form 1 - Município'!C2:C500, 0), 0))), "")</f>
        <v>Ailton Carlos Fialho</v>
      </c>
      <c r="E41" s="25" t="s">
        <v>103</v>
      </c>
      <c r="F41" s="22"/>
      <c r="G41" s="26" t="s">
        <v>101</v>
      </c>
      <c r="H41" s="22"/>
      <c r="I41" s="22"/>
      <c r="J41" s="22" t="s">
        <v>101</v>
      </c>
      <c r="K41" s="22"/>
    </row>
    <row r="42" spans="1:11">
      <c r="A42" s="47" t="s">
        <v>29</v>
      </c>
      <c r="B42" s="22" t="s">
        <v>61</v>
      </c>
      <c r="C42" s="22">
        <v>1</v>
      </c>
      <c r="D42" s="22" t="str">
        <f>IFERROR(IF(INDEX('Form 1 - Município'!D2:D500, MATCH(B42&amp;C42, INDEX('Form 1 - Município'!B2:B500&amp;'Form 1 - Município'!C2:C500, 0), 0))="", "", INDEX('Form 1 - Município'!D2:D500, MATCH(B42&amp;C42, INDEX('Form 1 - Município'!B2:B500&amp;'Form 1 - Município'!C2:C500, 0), 0))), "")</f>
        <v>Marcos José Chaves</v>
      </c>
      <c r="E42" s="23" t="s">
        <v>97</v>
      </c>
      <c r="F42" s="22" t="s">
        <v>235</v>
      </c>
      <c r="G42" s="24" t="s">
        <v>99</v>
      </c>
      <c r="H42" s="22"/>
      <c r="I42" s="22"/>
      <c r="J42" s="22" t="s">
        <v>101</v>
      </c>
      <c r="K42" s="22"/>
    </row>
    <row r="43" spans="1:11">
      <c r="A43" s="47" t="s">
        <v>29</v>
      </c>
      <c r="B43" s="22" t="s">
        <v>61</v>
      </c>
      <c r="C43" s="22">
        <v>2</v>
      </c>
      <c r="D43" s="22" t="str">
        <f>IFERROR(IF(INDEX('Form 1 - Município'!D2:D500, MATCH(B43&amp;C43, INDEX('Form 1 - Município'!B2:B500&amp;'Form 1 - Município'!C2:C500, 0), 0))="", "", INDEX('Form 1 - Município'!D2:D500, MATCH(B43&amp;C43, INDEX('Form 1 - Município'!B2:B500&amp;'Form 1 - Município'!C2:C500, 0), 0))), "")</f>
        <v>Diego Matheus Reinicke</v>
      </c>
      <c r="E43" s="23" t="s">
        <v>97</v>
      </c>
      <c r="F43" s="22" t="s">
        <v>164</v>
      </c>
      <c r="G43" s="24" t="s">
        <v>99</v>
      </c>
      <c r="H43" s="22"/>
      <c r="I43" s="22"/>
      <c r="J43" s="22" t="s">
        <v>101</v>
      </c>
      <c r="K43" s="22"/>
    </row>
    <row r="44" spans="1:11">
      <c r="A44" s="44" t="s">
        <v>26</v>
      </c>
      <c r="B44" s="22" t="s">
        <v>38</v>
      </c>
      <c r="C44" s="22">
        <v>1</v>
      </c>
      <c r="D44" s="22" t="str">
        <f>IFERROR(IF(INDEX('Form 1 - Município'!D2:D500, MATCH(B44&amp;C44, INDEX('Form 1 - Município'!B2:B500&amp;'Form 1 - Município'!C2:C500, 0), 0))="", "", INDEX('Form 1 - Município'!D2:D500, MATCH(B44&amp;C44, INDEX('Form 1 - Município'!B2:B500&amp;'Form 1 - Município'!C2:C500, 0), 0))), "")</f>
        <v>Cleiton Manske</v>
      </c>
      <c r="E44" s="25" t="s">
        <v>103</v>
      </c>
      <c r="F44" s="22"/>
      <c r="G44" s="26" t="s">
        <v>101</v>
      </c>
      <c r="H44" s="22"/>
      <c r="I44" s="22"/>
      <c r="J44" s="22" t="s">
        <v>101</v>
      </c>
      <c r="K44" s="22"/>
    </row>
    <row r="45" spans="1:11">
      <c r="A45" s="48" t="s">
        <v>28</v>
      </c>
      <c r="B45" s="22" t="s">
        <v>43</v>
      </c>
      <c r="C45" s="22">
        <v>1</v>
      </c>
      <c r="D45" s="22" t="str">
        <f>IFERROR(IF(INDEX('Form 1 - Município'!D2:D500, MATCH(B45&amp;C45, INDEX('Form 1 - Município'!B2:B500&amp;'Form 1 - Município'!C2:C500, 0), 0))="", "", INDEX('Form 1 - Município'!D2:D500, MATCH(B45&amp;C45, INDEX('Form 1 - Município'!B2:B500&amp;'Form 1 - Município'!C2:C500, 0), 0))), "")</f>
        <v>Alexandro Aparecido de Lima Vieira</v>
      </c>
      <c r="E45" s="23" t="s">
        <v>97</v>
      </c>
      <c r="F45" s="22" t="s">
        <v>173</v>
      </c>
      <c r="G45" s="24" t="s">
        <v>99</v>
      </c>
      <c r="H45" s="22"/>
      <c r="I45" s="22"/>
      <c r="J45" s="22" t="s">
        <v>101</v>
      </c>
      <c r="K45" s="22"/>
    </row>
    <row r="46" spans="1:11">
      <c r="A46" s="48" t="s">
        <v>28</v>
      </c>
      <c r="B46" s="22" t="s">
        <v>45</v>
      </c>
      <c r="C46" s="22">
        <v>1</v>
      </c>
      <c r="D46" s="22" t="str">
        <f>IFERROR(IF(INDEX('Form 1 - Município'!D2:D500, MATCH(B46&amp;C46, INDEX('Form 1 - Município'!B2:B500&amp;'Form 1 - Município'!C2:C500, 0), 0))="", "", INDEX('Form 1 - Município'!D2:D500, MATCH(B46&amp;C46, INDEX('Form 1 - Município'!B2:B500&amp;'Form 1 - Município'!C2:C500, 0), 0))), "")</f>
        <v>Natielly Pereira Ochoa</v>
      </c>
      <c r="E46" s="23" t="s">
        <v>97</v>
      </c>
      <c r="F46" s="22" t="s">
        <v>283</v>
      </c>
      <c r="G46" s="24" t="s">
        <v>99</v>
      </c>
      <c r="H46" s="22" t="s">
        <v>250</v>
      </c>
      <c r="I46" s="22"/>
      <c r="J46" s="22" t="s">
        <v>101</v>
      </c>
      <c r="K46" s="22"/>
    </row>
    <row r="47" spans="1:11">
      <c r="A47" s="44" t="s">
        <v>26</v>
      </c>
      <c r="B47" s="22" t="s">
        <v>39</v>
      </c>
      <c r="C47" s="22">
        <v>1</v>
      </c>
      <c r="D47" s="22" t="str">
        <f>IFERROR(IF(INDEX('Form 1 - Município'!D2:D500, MATCH(B47&amp;C47, INDEX('Form 1 - Município'!B2:B500&amp;'Form 1 - Município'!C2:C500, 0), 0))="", "", INDEX('Form 1 - Município'!D2:D500, MATCH(B47&amp;C47, INDEX('Form 1 - Município'!B2:B500&amp;'Form 1 - Município'!C2:C500, 0), 0))), "")</f>
        <v>Roberto Pedron</v>
      </c>
      <c r="E47" s="25" t="s">
        <v>103</v>
      </c>
      <c r="F47" s="22"/>
      <c r="G47" s="26" t="s">
        <v>101</v>
      </c>
      <c r="H47" s="22"/>
      <c r="I47" s="22"/>
      <c r="J47" s="22" t="s">
        <v>101</v>
      </c>
      <c r="K47" s="22"/>
    </row>
    <row r="48" spans="1:11">
      <c r="A48" s="47" t="s">
        <v>29</v>
      </c>
      <c r="B48" s="22" t="s">
        <v>64</v>
      </c>
      <c r="C48" s="22">
        <v>1</v>
      </c>
      <c r="D48" s="22" t="str">
        <f>IFERROR(IF(INDEX('Form 1 - Município'!D2:D500, MATCH(B48&amp;C48, INDEX('Form 1 - Município'!B2:B500&amp;'Form 1 - Município'!C2:C500, 0), 0))="", "", INDEX('Form 1 - Município'!D2:D500, MATCH(B48&amp;C48, INDEX('Form 1 - Município'!B2:B500&amp;'Form 1 - Município'!C2:C500, 0), 0))), "")</f>
        <v>Luciane Spies</v>
      </c>
      <c r="E48" s="23" t="s">
        <v>97</v>
      </c>
      <c r="F48" s="22" t="s">
        <v>206</v>
      </c>
      <c r="G48" s="24" t="s">
        <v>99</v>
      </c>
      <c r="H48" s="22"/>
      <c r="I48" s="22"/>
      <c r="J48" s="22" t="s">
        <v>101</v>
      </c>
      <c r="K48" s="22"/>
    </row>
    <row r="49" spans="1:11">
      <c r="A49" s="44" t="s">
        <v>26</v>
      </c>
      <c r="B49" s="22" t="s">
        <v>40</v>
      </c>
      <c r="C49" s="22">
        <v>1</v>
      </c>
      <c r="D49" s="22" t="str">
        <f>IFERROR(IF(INDEX('Form 1 - Município'!D2:D500, MATCH(B49&amp;C49, INDEX('Form 1 - Município'!B2:B500&amp;'Form 1 - Município'!C2:C500, 0), 0))="", "", INDEX('Form 1 - Município'!D2:D500, MATCH(B49&amp;C49, INDEX('Form 1 - Município'!B2:B500&amp;'Form 1 - Município'!C2:C500, 0), 0))), "")</f>
        <v>Jaqueline Fernanda Meireles</v>
      </c>
      <c r="E49" s="23" t="s">
        <v>97</v>
      </c>
      <c r="F49" s="22" t="s">
        <v>179</v>
      </c>
      <c r="G49" s="24" t="s">
        <v>99</v>
      </c>
      <c r="H49" s="22" t="s">
        <v>284</v>
      </c>
      <c r="I49" s="22"/>
      <c r="J49" s="22" t="s">
        <v>101</v>
      </c>
      <c r="K49" s="22"/>
    </row>
    <row r="50" spans="1:11">
      <c r="A50" s="46" t="s">
        <v>27</v>
      </c>
      <c r="B50" s="22" t="s">
        <v>84</v>
      </c>
      <c r="C50" s="22">
        <v>1</v>
      </c>
      <c r="D50" s="22" t="str">
        <f>IFERROR(IF(INDEX('Form 1 - Município'!D2:D500, MATCH(B50&amp;C50, INDEX('Form 1 - Município'!B2:B500&amp;'Form 1 - Município'!C2:C500, 0), 0))="", "", INDEX('Form 1 - Município'!D2:D500, MATCH(B50&amp;C50, INDEX('Form 1 - Município'!B2:B500&amp;'Form 1 - Município'!C2:C500, 0), 0))), "")</f>
        <v>Luiz Fernando Pereira Barbosa</v>
      </c>
      <c r="E50" s="23" t="s">
        <v>97</v>
      </c>
      <c r="F50" s="22" t="s">
        <v>182</v>
      </c>
      <c r="G50" s="26" t="s">
        <v>101</v>
      </c>
      <c r="H50" s="22"/>
      <c r="I50" s="22"/>
      <c r="J50" s="22" t="s">
        <v>101</v>
      </c>
      <c r="K50" s="22"/>
    </row>
    <row r="51" spans="1:11">
      <c r="A51" s="44" t="s">
        <v>26</v>
      </c>
      <c r="B51" s="22" t="s">
        <v>41</v>
      </c>
      <c r="C51" s="22">
        <v>1</v>
      </c>
      <c r="D51" s="22" t="str">
        <f>IFERROR(IF(INDEX('Form 1 - Município'!D2:D500, MATCH(B51&amp;C51, INDEX('Form 1 - Município'!B2:B500&amp;'Form 1 - Município'!C2:C500, 0), 0))="", "", INDEX('Form 1 - Município'!D2:D500, MATCH(B51&amp;C51, INDEX('Form 1 - Município'!B2:B500&amp;'Form 1 - Município'!C2:C500, 0), 0))), "")</f>
        <v>Carolina Eggers</v>
      </c>
      <c r="E51" s="23" t="s">
        <v>97</v>
      </c>
      <c r="F51" s="22" t="s">
        <v>164</v>
      </c>
      <c r="G51" s="24" t="s">
        <v>99</v>
      </c>
      <c r="H51" s="22" t="s">
        <v>285</v>
      </c>
      <c r="I51" s="22"/>
      <c r="J51" s="22" t="s">
        <v>101</v>
      </c>
      <c r="K51" s="22"/>
    </row>
    <row r="52" spans="1:11">
      <c r="A52" s="44" t="s">
        <v>26</v>
      </c>
      <c r="B52" s="22" t="s">
        <v>42</v>
      </c>
      <c r="C52" s="22">
        <v>1</v>
      </c>
      <c r="D52" s="22" t="str">
        <f>IFERROR(IF(INDEX('Form 1 - Município'!D2:D500, MATCH(B52&amp;C52, INDEX('Form 1 - Município'!B2:B500&amp;'Form 1 - Município'!C2:C500, 0), 0))="", "", INDEX('Form 1 - Município'!D2:D500, MATCH(B52&amp;C52, INDEX('Form 1 - Município'!B2:B500&amp;'Form 1 - Município'!C2:C500, 0), 0))), "")</f>
        <v>Ivan Gonçalves da Silva</v>
      </c>
      <c r="E52" s="23" t="s">
        <v>97</v>
      </c>
      <c r="F52" s="22" t="s">
        <v>187</v>
      </c>
      <c r="G52" s="24" t="s">
        <v>99</v>
      </c>
      <c r="H52" s="22" t="s">
        <v>286</v>
      </c>
      <c r="I52" s="22"/>
      <c r="J52" s="22" t="s">
        <v>101</v>
      </c>
      <c r="K52" s="22"/>
    </row>
    <row r="53" spans="1:11">
      <c r="A53" s="44" t="s">
        <v>26</v>
      </c>
      <c r="B53" s="22" t="s">
        <v>44</v>
      </c>
      <c r="C53" s="22">
        <v>1</v>
      </c>
      <c r="D53" s="22" t="str">
        <f>IFERROR(IF(INDEX('Form 1 - Município'!D2:D500, MATCH(B53&amp;C53, INDEX('Form 1 - Município'!B2:B500&amp;'Form 1 - Município'!C2:C500, 0), 0))="", "", INDEX('Form 1 - Município'!D2:D500, MATCH(B53&amp;C53, INDEX('Form 1 - Município'!B2:B500&amp;'Form 1 - Município'!C2:C500, 0), 0))), "")</f>
        <v>Dorival Manoel Canhete</v>
      </c>
      <c r="E53" s="23" t="s">
        <v>97</v>
      </c>
      <c r="F53" s="22" t="s">
        <v>189</v>
      </c>
      <c r="G53" s="26" t="s">
        <v>101</v>
      </c>
      <c r="H53" s="22"/>
      <c r="I53" s="22"/>
      <c r="J53" s="22" t="s">
        <v>101</v>
      </c>
      <c r="K53" s="22"/>
    </row>
    <row r="54" spans="1:11">
      <c r="A54" s="47" t="s">
        <v>29</v>
      </c>
      <c r="B54" s="22" t="s">
        <v>66</v>
      </c>
      <c r="C54" s="22">
        <v>1</v>
      </c>
      <c r="D54" s="22" t="str">
        <f>IFERROR(IF(INDEX('Form 1 - Município'!D2:D500, MATCH(B54&amp;C54, INDEX('Form 1 - Município'!B2:B500&amp;'Form 1 - Município'!C2:C500, 0), 0))="", "", INDEX('Form 1 - Município'!D2:D500, MATCH(B54&amp;C54, INDEX('Form 1 - Município'!B2:B500&amp;'Form 1 - Município'!C2:C500, 0), 0))), "")</f>
        <v>Jaqueline Vanelli</v>
      </c>
      <c r="E54" s="23" t="s">
        <v>97</v>
      </c>
      <c r="F54" s="22" t="s">
        <v>225</v>
      </c>
      <c r="G54" s="24" t="s">
        <v>99</v>
      </c>
      <c r="H54" s="22"/>
      <c r="I54" s="22"/>
      <c r="J54" s="22" t="s">
        <v>101</v>
      </c>
      <c r="K54" s="22"/>
    </row>
    <row r="55" spans="1:11">
      <c r="A55" s="44" t="s">
        <v>26</v>
      </c>
      <c r="B55" s="22" t="s">
        <v>46</v>
      </c>
      <c r="C55" s="22">
        <v>1</v>
      </c>
      <c r="D55" s="22" t="str">
        <f>IFERROR(IF(INDEX('Form 1 - Município'!D2:D500, MATCH(B55&amp;C55, INDEX('Form 1 - Município'!B2:B500&amp;'Form 1 - Município'!C2:C500, 0), 0))="", "", INDEX('Form 1 - Município'!D2:D500, MATCH(B55&amp;C55, INDEX('Form 1 - Município'!B2:B500&amp;'Form 1 - Município'!C2:C500, 0), 0))), "")</f>
        <v>Fernanda Jung</v>
      </c>
      <c r="E55" s="23" t="s">
        <v>97</v>
      </c>
      <c r="F55" s="22" t="s">
        <v>235</v>
      </c>
      <c r="G55" s="24" t="s">
        <v>99</v>
      </c>
      <c r="H55" s="22" t="s">
        <v>287</v>
      </c>
      <c r="I55" s="22"/>
      <c r="J55" s="22" t="s">
        <v>101</v>
      </c>
      <c r="K55" s="22"/>
    </row>
    <row r="56" spans="1:11">
      <c r="A56" s="47" t="s">
        <v>29</v>
      </c>
      <c r="B56" s="22" t="s">
        <v>68</v>
      </c>
      <c r="C56" s="22">
        <v>1</v>
      </c>
      <c r="D56" s="22" t="str">
        <f>IFERROR(IF(INDEX('Form 1 - Município'!D2:D500, MATCH(B56&amp;C56, INDEX('Form 1 - Município'!B2:B500&amp;'Form 1 - Município'!C2:C500, 0), 0))="", "", INDEX('Form 1 - Município'!D2:D500, MATCH(B56&amp;C56, INDEX('Form 1 - Município'!B2:B500&amp;'Form 1 - Município'!C2:C500, 0), 0))), "")</f>
        <v>Ana Paula Romagnoli</v>
      </c>
      <c r="E56" s="25" t="s">
        <v>103</v>
      </c>
      <c r="F56" s="22"/>
      <c r="G56" s="26" t="s">
        <v>101</v>
      </c>
      <c r="H56" s="22"/>
      <c r="I56" s="22"/>
      <c r="J56" s="22" t="s">
        <v>101</v>
      </c>
      <c r="K56" s="22"/>
    </row>
    <row r="57" spans="1:11">
      <c r="A57" s="47" t="s">
        <v>29</v>
      </c>
      <c r="B57" s="22" t="s">
        <v>70</v>
      </c>
      <c r="C57" s="22">
        <v>1</v>
      </c>
      <c r="D57" s="22" t="str">
        <f>IFERROR(IF(INDEX('Form 1 - Município'!D2:D500, MATCH(B57&amp;C57, INDEX('Form 1 - Município'!B2:B500&amp;'Form 1 - Município'!C2:C500, 0), 0))="", "", INDEX('Form 1 - Município'!D2:D500, MATCH(B57&amp;C57, INDEX('Form 1 - Município'!B2:B500&amp;'Form 1 - Município'!C2:C500, 0), 0))), "")</f>
        <v>Alexandro Schaparini</v>
      </c>
      <c r="E57" s="23" t="s">
        <v>97</v>
      </c>
      <c r="F57" s="22" t="s">
        <v>288</v>
      </c>
      <c r="G57" s="24" t="s">
        <v>99</v>
      </c>
      <c r="H57" s="22"/>
      <c r="I57" s="22"/>
      <c r="J57" s="22" t="s">
        <v>101</v>
      </c>
      <c r="K57" s="22"/>
    </row>
    <row r="58" spans="1:11">
      <c r="A58" s="45" t="s">
        <v>25</v>
      </c>
      <c r="B58" s="22" t="s">
        <v>75</v>
      </c>
      <c r="C58" s="22">
        <v>1</v>
      </c>
      <c r="D58" s="22" t="str">
        <f>IFERROR(IF(INDEX('Form 1 - Município'!D2:D500, MATCH(B58&amp;C58, INDEX('Form 1 - Município'!B2:B500&amp;'Form 1 - Município'!C2:C500, 0), 0))="", "", INDEX('Form 1 - Município'!D2:D500, MATCH(B58&amp;C58, INDEX('Form 1 - Município'!B2:B500&amp;'Form 1 - Município'!C2:C500, 0), 0))), "")</f>
        <v>Marina Ancelmo da Silva</v>
      </c>
      <c r="E58" s="25" t="s">
        <v>103</v>
      </c>
      <c r="F58" s="22"/>
      <c r="G58" s="26" t="s">
        <v>101</v>
      </c>
      <c r="H58" s="22"/>
      <c r="I58" s="22"/>
      <c r="J58" s="22" t="s">
        <v>101</v>
      </c>
      <c r="K58" s="22"/>
    </row>
    <row r="59" spans="1:11">
      <c r="A59" s="47" t="s">
        <v>29</v>
      </c>
      <c r="B59" s="22" t="s">
        <v>72</v>
      </c>
      <c r="C59" s="22">
        <v>1</v>
      </c>
      <c r="D59" s="22" t="str">
        <f>IFERROR(IF(INDEX('Form 1 - Município'!D2:D500, MATCH(B59&amp;C59, INDEX('Form 1 - Município'!B2:B500&amp;'Form 1 - Município'!C2:C500, 0), 0))="", "", INDEX('Form 1 - Município'!D2:D500, MATCH(B59&amp;C59, INDEX('Form 1 - Município'!B2:B500&amp;'Form 1 - Município'!C2:C500, 0), 0))), "")</f>
        <v>Ana Carolina Peterle Ribeiro</v>
      </c>
      <c r="E59" s="23" t="s">
        <v>97</v>
      </c>
      <c r="F59" s="22" t="s">
        <v>111</v>
      </c>
      <c r="G59" s="24" t="s">
        <v>99</v>
      </c>
      <c r="H59" s="22"/>
      <c r="I59" s="22"/>
      <c r="J59" s="22" t="s">
        <v>101</v>
      </c>
      <c r="K59" s="22"/>
    </row>
    <row r="60" spans="1:11">
      <c r="A60" s="48" t="s">
        <v>28</v>
      </c>
      <c r="B60" s="22" t="s">
        <v>47</v>
      </c>
      <c r="C60" s="22">
        <v>1</v>
      </c>
      <c r="D60" s="22" t="str">
        <f>IFERROR(IF(INDEX('Form 1 - Município'!D2:D500, MATCH(B60&amp;C60, INDEX('Form 1 - Município'!B2:B500&amp;'Form 1 - Município'!C2:C500, 0), 0))="", "", INDEX('Form 1 - Município'!D2:D500, MATCH(B60&amp;C60, INDEX('Form 1 - Município'!B2:B500&amp;'Form 1 - Município'!C2:C500, 0), 0))), "")</f>
        <v>Taiane Amélia Mondardo</v>
      </c>
      <c r="E60" s="23" t="s">
        <v>97</v>
      </c>
      <c r="F60" s="22" t="s">
        <v>263</v>
      </c>
      <c r="G60" s="24" t="s">
        <v>99</v>
      </c>
      <c r="H60" s="22"/>
      <c r="I60" s="22"/>
      <c r="J60" s="22" t="s">
        <v>101</v>
      </c>
      <c r="K60" s="22"/>
    </row>
    <row r="61" spans="1:11">
      <c r="A61" s="47" t="s">
        <v>29</v>
      </c>
      <c r="B61" s="22" t="s">
        <v>74</v>
      </c>
      <c r="C61" s="22">
        <v>1</v>
      </c>
      <c r="D61" s="22" t="str">
        <f>IFERROR(IF(INDEX('Form 1 - Município'!D2:D500, MATCH(B61&amp;C61, INDEX('Form 1 - Município'!B2:B500&amp;'Form 1 - Município'!C2:C500, 0), 0))="", "", INDEX('Form 1 - Município'!D2:D500, MATCH(B61&amp;C61, INDEX('Form 1 - Município'!B2:B500&amp;'Form 1 - Município'!C2:C500, 0), 0))), "")</f>
        <v>Regiane Lucia Pereira</v>
      </c>
      <c r="E61" s="23" t="s">
        <v>97</v>
      </c>
      <c r="F61" s="22" t="s">
        <v>133</v>
      </c>
      <c r="G61" s="24" t="s">
        <v>99</v>
      </c>
      <c r="H61" s="22"/>
      <c r="I61" s="22"/>
      <c r="J61" s="22" t="s">
        <v>101</v>
      </c>
      <c r="K61" s="22"/>
    </row>
    <row r="62" spans="1:11">
      <c r="A62" s="48" t="s">
        <v>28</v>
      </c>
      <c r="B62" s="22" t="s">
        <v>49</v>
      </c>
      <c r="C62" s="22">
        <v>1</v>
      </c>
      <c r="D62" s="22" t="str">
        <f>IFERROR(IF(INDEX('Form 1 - Município'!D2:D500, MATCH(B62&amp;C62, INDEX('Form 1 - Município'!B2:B500&amp;'Form 1 - Município'!C2:C500, 0), 0))="", "", INDEX('Form 1 - Município'!D2:D500, MATCH(B62&amp;C62, INDEX('Form 1 - Município'!B2:B500&amp;'Form 1 - Município'!C2:C500, 0), 0))), "")</f>
        <v>Andryws Rafael Gois</v>
      </c>
      <c r="E62" s="23" t="s">
        <v>97</v>
      </c>
      <c r="F62" s="22" t="s">
        <v>289</v>
      </c>
      <c r="G62" s="24" t="s">
        <v>99</v>
      </c>
      <c r="H62" s="22"/>
      <c r="I62" s="22"/>
      <c r="J62" s="22" t="s">
        <v>101</v>
      </c>
      <c r="K62" s="22"/>
    </row>
    <row r="63" spans="1:11">
      <c r="A63" s="47" t="s">
        <v>29</v>
      </c>
      <c r="B63" s="22" t="s">
        <v>76</v>
      </c>
      <c r="C63" s="22">
        <v>1</v>
      </c>
      <c r="D63" s="22" t="str">
        <f>IFERROR(IF(INDEX('Form 1 - Município'!D2:D500, MATCH(B63&amp;C63, INDEX('Form 1 - Município'!B2:B500&amp;'Form 1 - Município'!C2:C500, 0), 0))="", "", INDEX('Form 1 - Município'!D2:D500, MATCH(B63&amp;C63, INDEX('Form 1 - Município'!B2:B500&amp;'Form 1 - Município'!C2:C500, 0), 0))), "")</f>
        <v>Mayara Ketllyn de Paula Rosetti</v>
      </c>
      <c r="E63" s="23" t="s">
        <v>97</v>
      </c>
      <c r="F63" s="22" t="s">
        <v>194</v>
      </c>
      <c r="G63" s="24" t="s">
        <v>99</v>
      </c>
      <c r="H63" s="22"/>
      <c r="I63" s="22"/>
      <c r="J63" s="22" t="s">
        <v>101</v>
      </c>
      <c r="K63" s="22"/>
    </row>
    <row r="64" spans="1:11">
      <c r="A64" s="48" t="s">
        <v>28</v>
      </c>
      <c r="B64" s="22" t="s">
        <v>51</v>
      </c>
      <c r="C64" s="22">
        <v>1</v>
      </c>
      <c r="D64" s="22" t="str">
        <f>IFERROR(IF(INDEX('Form 1 - Município'!D2:D500, MATCH(B64&amp;C64, INDEX('Form 1 - Município'!B2:B500&amp;'Form 1 - Município'!C2:C500, 0), 0))="", "", INDEX('Form 1 - Município'!D2:D500, MATCH(B64&amp;C64, INDEX('Form 1 - Município'!B2:B500&amp;'Form 1 - Município'!C2:C500, 0), 0))), "")</f>
        <v>Junior Andre Britzke</v>
      </c>
      <c r="E64" s="23" t="s">
        <v>97</v>
      </c>
      <c r="F64" s="22" t="s">
        <v>213</v>
      </c>
      <c r="G64" s="24" t="s">
        <v>99</v>
      </c>
      <c r="H64" s="22"/>
      <c r="I64" s="22"/>
      <c r="J64" s="22" t="s">
        <v>101</v>
      </c>
      <c r="K64" s="22"/>
    </row>
    <row r="65" spans="1:11">
      <c r="A65" s="44" t="s">
        <v>26</v>
      </c>
      <c r="B65" s="22" t="s">
        <v>48</v>
      </c>
      <c r="C65" s="22">
        <v>1</v>
      </c>
      <c r="D65" s="22" t="str">
        <f>IFERROR(IF(INDEX('Form 1 - Município'!D2:D500, MATCH(B65&amp;C65, INDEX('Form 1 - Município'!B2:B500&amp;'Form 1 - Município'!C2:C500, 0), 0))="", "", INDEX('Form 1 - Município'!D2:D500, MATCH(B65&amp;C65, INDEX('Form 1 - Município'!B2:B500&amp;'Form 1 - Município'!C2:C500, 0), 0))), "")</f>
        <v>Adriano Pereira Guedes</v>
      </c>
      <c r="E65" s="23" t="s">
        <v>97</v>
      </c>
      <c r="F65" s="22" t="s">
        <v>215</v>
      </c>
      <c r="G65" s="24" t="s">
        <v>99</v>
      </c>
      <c r="H65" s="22" t="s">
        <v>290</v>
      </c>
      <c r="I65" s="22" t="s">
        <v>291</v>
      </c>
      <c r="J65" s="22" t="s">
        <v>99</v>
      </c>
      <c r="K65" s="22" t="s">
        <v>292</v>
      </c>
    </row>
    <row r="66" spans="1:11">
      <c r="A66" s="44" t="s">
        <v>26</v>
      </c>
      <c r="B66" s="22" t="s">
        <v>50</v>
      </c>
      <c r="C66" s="22">
        <v>1</v>
      </c>
      <c r="D66" s="22" t="str">
        <f>IFERROR(IF(INDEX('Form 1 - Município'!D2:D500, MATCH(B66&amp;C66, INDEX('Form 1 - Município'!B2:B500&amp;'Form 1 - Município'!C2:C500, 0), 0))="", "", INDEX('Form 1 - Município'!D2:D500, MATCH(B66&amp;C66, INDEX('Form 1 - Município'!B2:B500&amp;'Form 1 - Município'!C2:C500, 0), 0))), "")</f>
        <v xml:space="preserve">Suzana Cristina de Almeida </v>
      </c>
      <c r="E66" s="23" t="s">
        <v>97</v>
      </c>
      <c r="F66" s="22" t="s">
        <v>220</v>
      </c>
      <c r="G66" s="24" t="s">
        <v>99</v>
      </c>
      <c r="H66" s="22" t="s">
        <v>293</v>
      </c>
      <c r="I66" s="22" t="s">
        <v>294</v>
      </c>
      <c r="J66" s="22" t="s">
        <v>99</v>
      </c>
      <c r="K66" s="22" t="s">
        <v>295</v>
      </c>
    </row>
    <row r="67" spans="1:11">
      <c r="A67" s="45" t="s">
        <v>25</v>
      </c>
      <c r="B67" s="22" t="s">
        <v>77</v>
      </c>
      <c r="C67" s="22">
        <v>1</v>
      </c>
      <c r="D67" s="22" t="str">
        <f>IFERROR(IF(INDEX('Form 1 - Município'!D2:D500, MATCH(B67&amp;C67, INDEX('Form 1 - Município'!B2:B500&amp;'Form 1 - Município'!C2:C500, 0), 0))="", "", INDEX('Form 1 - Município'!D2:D500, MATCH(B67&amp;C67, INDEX('Form 1 - Município'!B2:B500&amp;'Form 1 - Município'!C2:C500, 0), 0))), "")</f>
        <v>Alice Cristiane Zancheta</v>
      </c>
      <c r="E67" s="23" t="s">
        <v>97</v>
      </c>
      <c r="F67" s="22" t="s">
        <v>111</v>
      </c>
      <c r="G67" s="26" t="s">
        <v>101</v>
      </c>
      <c r="H67" s="22"/>
      <c r="I67" s="22"/>
      <c r="J67" s="22" t="s">
        <v>101</v>
      </c>
      <c r="K67" s="22"/>
    </row>
    <row r="68" spans="1:11">
      <c r="A68" s="46" t="s">
        <v>27</v>
      </c>
      <c r="B68" s="22" t="s">
        <v>85</v>
      </c>
      <c r="C68" s="22">
        <v>1</v>
      </c>
      <c r="D68" s="22" t="str">
        <f>IFERROR(IF(INDEX('Form 1 - Município'!D2:D500, MATCH(B68&amp;C68, INDEX('Form 1 - Município'!B2:B500&amp;'Form 1 - Município'!C2:C500, 0), 0))="", "", INDEX('Form 1 - Município'!D2:D500, MATCH(B68&amp;C68, INDEX('Form 1 - Município'!B2:B500&amp;'Form 1 - Município'!C2:C500, 0), 0))), "")</f>
        <v>Fernanda kaezer de Godoy</v>
      </c>
      <c r="E68" s="23" t="s">
        <v>97</v>
      </c>
      <c r="F68" s="22" t="s">
        <v>128</v>
      </c>
      <c r="G68" s="26" t="s">
        <v>101</v>
      </c>
      <c r="H68" s="22"/>
      <c r="I68" s="22"/>
      <c r="J68" s="22" t="s">
        <v>101</v>
      </c>
      <c r="K68" s="22"/>
    </row>
    <row r="69" spans="1:11">
      <c r="A69" s="46" t="s">
        <v>27</v>
      </c>
      <c r="B69" s="22" t="s">
        <v>86</v>
      </c>
      <c r="C69" s="22">
        <v>1</v>
      </c>
      <c r="D69" s="22" t="str">
        <f>IFERROR(IF(INDEX('Form 1 - Município'!D2:D500, MATCH(B69&amp;C69, INDEX('Form 1 - Município'!B2:B500&amp;'Form 1 - Município'!C2:C500, 0), 0))="", "", INDEX('Form 1 - Município'!D2:D500, MATCH(B69&amp;C69, INDEX('Form 1 - Município'!B2:B500&amp;'Form 1 - Município'!C2:C500, 0), 0))), "")</f>
        <v xml:space="preserve">Ademir Papini Júnior </v>
      </c>
      <c r="E69" s="23" t="s">
        <v>97</v>
      </c>
      <c r="F69" s="22" t="s">
        <v>296</v>
      </c>
      <c r="G69" s="26" t="s">
        <v>101</v>
      </c>
      <c r="H69" s="22"/>
      <c r="I69" s="22"/>
      <c r="J69" s="22" t="s">
        <v>101</v>
      </c>
      <c r="K69" s="22"/>
    </row>
    <row r="70" spans="1:11">
      <c r="A70" s="47" t="s">
        <v>29</v>
      </c>
      <c r="B70" s="22" t="s">
        <v>78</v>
      </c>
      <c r="C70" s="22">
        <v>1</v>
      </c>
      <c r="D70" s="22" t="str">
        <f>IFERROR(IF(INDEX('Form 1 - Município'!D2:D500, MATCH(B70&amp;C70, INDEX('Form 1 - Município'!B2:B500&amp;'Form 1 - Município'!C2:C500, 0), 0))="", "", INDEX('Form 1 - Município'!D2:D500, MATCH(B70&amp;C70, INDEX('Form 1 - Município'!B2:B500&amp;'Form 1 - Município'!C2:C500, 0), 0))), "")</f>
        <v>Heloísa Maria Beloni Insenha</v>
      </c>
      <c r="E70" s="25" t="s">
        <v>103</v>
      </c>
      <c r="F70" s="22"/>
      <c r="G70" s="26" t="s">
        <v>101</v>
      </c>
      <c r="H70" s="22"/>
      <c r="I70" s="22"/>
      <c r="J70" s="22" t="s">
        <v>101</v>
      </c>
      <c r="K70" s="22"/>
    </row>
  </sheetData>
  <autoFilter ref="A1:G1" xr:uid="{00000000-0009-0000-0000-000004000000}"/>
  <conditionalFormatting sqref="G2:G70">
    <cfRule type="cellIs" dxfId="9" priority="1" stopIfTrue="1" operator="equal">
      <formula>"Sim"</formula>
    </cfRule>
    <cfRule type="cellIs" dxfId="8" priority="3" stopIfTrue="1" operator="equal">
      <formula>"Não"</formula>
    </cfRule>
  </conditionalFormatting>
  <conditionalFormatting sqref="J2:J70">
    <cfRule type="cellIs" dxfId="7" priority="4" stopIfTrue="1" operator="equal">
      <formula>"Sim"</formula>
    </cfRule>
    <cfRule type="cellIs" dxfId="6" priority="4" stopIfTrue="1" operator="equal">
      <formula>"Não"</formula>
    </cfRule>
    <cfRule type="cellIs" dxfId="5" priority="5" stopIfTrue="1" operator="equal">
      <formula>"Em Análise"</formula>
    </cfRule>
  </conditionalFormatting>
  <conditionalFormatting sqref="E2:E70">
    <cfRule type="cellIs" dxfId="4" priority="6" stopIfTrue="1" operator="equal">
      <formula>"Enviado"</formula>
    </cfRule>
    <cfRule type="cellIs" dxfId="3" priority="7" stopIfTrue="1" operator="equal">
      <formula>"Atrasado"</formula>
    </cfRule>
    <cfRule type="cellIs" dxfId="2" priority="8" stopIfTrue="1" operator="equal">
      <formula>"Outras Ocorrências"</formula>
    </cfRule>
    <cfRule type="cellIs" dxfId="1" priority="9" stopIfTrue="1" operator="equal">
      <formula>"Sem Técnico"</formula>
    </cfRule>
    <cfRule type="cellIs" dxfId="0" priority="10"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4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4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400-000002000000}">
      <formula1>"Enviado, Atrasado, Outras Ocorrências, Sem Técnico, Duplicado"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Valquiria Oliveira de Castro</cp:lastModifiedBy>
  <cp:revision/>
  <dcterms:created xsi:type="dcterms:W3CDTF">2025-11-07T11:16:56Z</dcterms:created>
  <dcterms:modified xsi:type="dcterms:W3CDTF">2025-12-01T16:51:03Z</dcterms:modified>
  <cp:category/>
  <cp:contentStatus/>
</cp:coreProperties>
</file>