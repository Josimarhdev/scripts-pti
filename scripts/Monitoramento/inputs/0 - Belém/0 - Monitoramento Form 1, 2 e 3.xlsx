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xr:revisionPtr revIDLastSave="0" documentId="11_B2111171719633AE9B1A26FD83EA69EFE7605594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sumo" sheetId="1" r:id="rId1"/>
    <sheet name="Form 1 - Município" sheetId="2" r:id="rId2"/>
    <sheet name="Form 2 - UVR" sheetId="3" r:id="rId3"/>
    <sheet name="Form 3 - Empreendimento" sheetId="4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0" fullCalcOn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4" l="1"/>
  <c r="D4" i="4"/>
  <c r="D3" i="4"/>
  <c r="D2" i="4"/>
  <c r="D5" i="3"/>
  <c r="D4" i="3"/>
  <c r="D3" i="3"/>
  <c r="D2" i="3"/>
  <c r="H5" i="1"/>
  <c r="G5" i="1"/>
  <c r="F5" i="1"/>
  <c r="E5" i="1"/>
  <c r="D5" i="1"/>
  <c r="C5" i="1"/>
  <c r="B5" i="1"/>
  <c r="H4" i="1"/>
  <c r="G4" i="1"/>
  <c r="F4" i="1"/>
  <c r="E4" i="1"/>
  <c r="D4" i="1"/>
  <c r="C4" i="1"/>
  <c r="B4" i="1"/>
  <c r="H3" i="1"/>
  <c r="G3" i="1"/>
  <c r="F3" i="1"/>
  <c r="E3" i="1"/>
  <c r="D3" i="1"/>
  <c r="C3" i="1"/>
  <c r="B3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<sst xmlns="http://schemas.openxmlformats.org/spreadsheetml/2006/main" count="121" uniqueCount="35">
  <si>
    <t>Formulário</t>
  </si>
  <si>
    <t>Enviados</t>
  </si>
  <si>
    <t>%</t>
  </si>
  <si>
    <t>Atrasados</t>
  </si>
  <si>
    <t>Sem Técnico</t>
  </si>
  <si>
    <t>Total</t>
  </si>
  <si>
    <t>1 - Município</t>
  </si>
  <si>
    <t>2 - UVR</t>
  </si>
  <si>
    <t>3 - Empreendimento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</si>
  <si>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</si>
  <si>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</si>
  <si>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</si>
  <si>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</si>
  <si>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</si>
  <si>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</si>
  <si>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</si>
  <si>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</si>
  <si>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</si>
  <si>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</si>
  <si>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</si>
  <si>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</si>
  <si>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</si>
  <si>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Ana Luiza de Araujo e Silva</t>
  </si>
  <si>
    <t>Enviado</t>
  </si>
  <si>
    <t>25/05/2025</t>
  </si>
  <si>
    <t>Sim</t>
  </si>
  <si>
    <t>Não</t>
  </si>
  <si>
    <t>Herlem Carlen Ferro</t>
  </si>
  <si>
    <t>Monica Goreth Costa Ribeiro</t>
  </si>
  <si>
    <t>Thiago da Sailva Santos</t>
  </si>
  <si>
    <t>18/12/2024</t>
  </si>
  <si>
    <t>27/12/2024</t>
  </si>
  <si>
    <t>10/01/2025</t>
  </si>
  <si>
    <t>11/12/2024</t>
  </si>
  <si>
    <t>30/12/2024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</si>
</sst>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4"/>
      <color theme="0"/>
      <name val="Aptos Narrow"/>
    </font>
    <font>
      <sz val="12"/>
      <color theme="1"/>
      <name val="Aptos Narrow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0"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/>
  </sheetViews>
  <sheetFormatPr defaultRowHeight="15"/>
  <cols>
    <col min="1" max="1" width="20" customWidth="1"/>
    <col min="2" max="2" width="12.85546875" customWidth="1"/>
    <col min="3" max="3" width="12.28515625" customWidth="1"/>
    <col min="4" max="4" width="15.140625" customWidth="1"/>
    <col min="5" max="5" width="12" customWidth="1"/>
    <col min="6" max="6" width="15.140625" customWidth="1"/>
    <col min="7" max="7" width="11.85546875" customWidth="1"/>
    <col min="8" max="8" width="10.85546875" customWidth="1"/>
  </cols>
  <sheetData>
    <row r="1" spans="1:8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</row>
    <row r="2" spans="1:8" ht="15.75" customHeight="1">
      <c r="A2" s="7" t="s">
        <v>6</v>
      </c>
      <c r="B2" s="7" t="str">
        <f>COUNTIF(INDIRECT("'Form 1 - Município'!E2:E100"),"Enviado")</f>
        <v/>
      </c>
      <c r="C2" s="8" t="str">
        <f>B2/SUM($B2,$D2,$F2)</f>
        <v/>
      </c>
      <c r="D2" s="7" t="str">
        <f>COUNTIF(INDIRECT("'Form 1 - Município'!E2:E100"),"Atrasado")</f>
        <v/>
      </c>
      <c r="E2" s="8" t="str">
        <f>D2/SUM($B2,$D2,$F2)</f>
        <v/>
      </c>
      <c r="F2" s="7" t="str">
        <f>COUNTIF(INDIRECT("'Form 1 - Município'!E2:E100"),"Sem Técnico")</f>
        <v/>
      </c>
      <c r="G2" s="8" t="str">
        <f>F2/SUM($B2,$D2,$F2)</f>
        <v/>
      </c>
      <c r="H2" s="9" t="str">
        <f>SUM(B2,D2,F2)</f>
        <v/>
      </c>
    </row>
    <row r="3" spans="1:8" ht="15.75" customHeight="1">
      <c r="A3" s="7" t="s">
        <v>7</v>
      </c>
      <c r="B3" s="7" t="str">
        <f>COUNTIF(INDIRECT("'Form 2 - UVR'!E2:E100"),"Enviado")</f>
        <v/>
      </c>
      <c r="C3" s="8" t="str">
        <f>B3/SUM($B3,$D3,$F3)</f>
        <v/>
      </c>
      <c r="D3" s="7" t="str">
        <f>COUNTIF(INDIRECT("'Form 2 - UVR'!E2:E100"),"Atrasado")</f>
        <v/>
      </c>
      <c r="E3" s="8" t="str">
        <f>D3/SUM($B3,$D3,$F3)</f>
        <v/>
      </c>
      <c r="F3" s="7" t="str">
        <f>COUNTIF(INDIRECT("'Form 2 - UVR'!E2:E100"),"Sem Técnico")</f>
        <v/>
      </c>
      <c r="G3" s="8" t="str">
        <f>F3/SUM($B3,$D3,$F3)</f>
        <v/>
      </c>
      <c r="H3" s="9" t="str">
        <f>SUM(B3,D3,F3)</f>
        <v/>
      </c>
    </row>
    <row r="4" spans="1:8" ht="15.75" customHeight="1">
      <c r="A4" s="7" t="s">
        <v>8</v>
      </c>
      <c r="B4" s="7" t="str">
        <f>COUNTIF(INDIRECT("'Form 3 - Empreendimento'!E2:E100"),"Enviado")</f>
        <v/>
      </c>
      <c r="C4" s="8" t="str">
        <f>B4/SUM($B4,$D4,$F4)</f>
        <v/>
      </c>
      <c r="D4" s="7" t="str">
        <f>COUNTIF(INDIRECT("'Form 3 - Empreendimento'!E2:E100"),"Atrasado")</f>
        <v/>
      </c>
      <c r="E4" s="8" t="str">
        <f>D4/SUM($B4,$D4,$F4)</f>
        <v/>
      </c>
      <c r="F4" s="7" t="str">
        <f>COUNTIF(INDIRECT("'Form 3 - Empreendimento'!E2:E100"),"Sem Técnico")</f>
        <v/>
      </c>
      <c r="G4" s="8" t="str">
        <f>F4/SUM($B4,$D4,$F4)</f>
        <v/>
      </c>
      <c r="H4" s="9" t="str">
        <f>SUM(B4,D4,F4)</f>
        <v/>
      </c>
    </row>
    <row r="5" spans="1:8" ht="15.75" customHeight="1">
      <c r="A5" s="9" t="s">
        <v>5</v>
      </c>
      <c r="B5" s="9" t="str">
        <f>SUM(B2:B4)</f>
        <v/>
      </c>
      <c r="C5" s="8" t="str">
        <f>B5/SUM($B5,$D5,$F5)</f>
        <v/>
      </c>
      <c r="D5" s="9" t="str">
        <f>SUM(D2:D4)</f>
        <v/>
      </c>
      <c r="E5" s="8" t="str">
        <f>D5/SUM($B5,$D5,$F5)</f>
        <v/>
      </c>
      <c r="F5" s="9" t="str">
        <f>SUM(F2:F4)</f>
        <v/>
      </c>
      <c r="G5" s="8" t="str">
        <f>F5/SUM($B5,$D5,$F5)</f>
        <v/>
      </c>
      <c r="H5" s="9" t="str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32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">
        <v>22</v>
      </c>
      <c r="E2" s="5" t="s">
        <v>23</v>
      </c>
      <c r="F2" s="4" t="s">
        <v>24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">
        <v>27</v>
      </c>
      <c r="E3" s="5" t="s">
        <v>23</v>
      </c>
      <c r="F3" s="4" t="s">
        <v>24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">
        <v>28</v>
      </c>
      <c r="E4" s="5" t="s">
        <v>23</v>
      </c>
      <c r="F4" s="4" t="s">
        <v>24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">
        <v>29</v>
      </c>
      <c r="E5" s="5" t="s">
        <v>23</v>
      </c>
      <c r="F5" s="4" t="s">
        <v>24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1000000}"/>
  <conditionalFormatting sqref="G2:G5">
    <cfRule type="cellIs" dxfId="29" priority="1" stopIfTrue="1" operator="equal">
      <formula>"Sim"</formula>
    </cfRule>
    <cfRule type="cellIs" dxfId="28" priority="3" stopIfTrue="1" operator="equal">
      <formula>"Não"</formula>
    </cfRule>
  </conditionalFormatting>
  <conditionalFormatting sqref="J2:J5">
    <cfRule type="cellIs" dxfId="27" priority="4" stopIfTrue="1" operator="equal">
      <formula>"Sim"</formula>
    </cfRule>
    <cfRule type="cellIs" dxfId="26" priority="4" stopIfTrue="1" operator="equal">
      <formula>"Não"</formula>
    </cfRule>
    <cfRule type="cellIs" dxfId="25" priority="5" stopIfTrue="1" operator="equal">
      <formula>"Em Análise"</formula>
    </cfRule>
  </conditionalFormatting>
  <conditionalFormatting sqref="E2:E5">
    <cfRule type="cellIs" dxfId="24" priority="6" stopIfTrue="1" operator="equal">
      <formula>"Enviado"</formula>
    </cfRule>
    <cfRule type="cellIs" dxfId="23" priority="7" stopIfTrue="1" operator="equal">
      <formula>"Atrasado"</formula>
    </cfRule>
    <cfRule type="cellIs" dxfId="22" priority="8" stopIfTrue="1" operator="equal">
      <formula>"Outras Ocorrências"</formula>
    </cfRule>
    <cfRule type="cellIs" dxfId="21" priority="9" stopIfTrue="1" operator="equal">
      <formula>"Sem Técnico"</formula>
    </cfRule>
    <cfRule type="cellIs" dxfId="20" priority="10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 Em Análise"</formula1>
    </dataValidation>
    <dataValidation type="list" allowBlank="1" sqref="E2 E3 E4 E5" xr:uid="{00000000-0002-0000-01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5" t="s">
        <v>23</v>
      </c>
      <c r="F2" s="4" t="s">
        <v>30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5" t="s">
        <v>23</v>
      </c>
      <c r="F3" s="4" t="s">
        <v>31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2000000}"/>
  <conditionalFormatting sqref="G2:G5">
    <cfRule type="cellIs" dxfId="19" priority="1" stopIfTrue="1" operator="equal">
      <formula>"Sim"</formula>
    </cfRule>
    <cfRule type="cellIs" dxfId="18" priority="3" stopIfTrue="1" operator="equal">
      <formula>"Não"</formula>
    </cfRule>
  </conditionalFormatting>
  <conditionalFormatting sqref="J2:J5">
    <cfRule type="cellIs" dxfId="17" priority="4" stopIfTrue="1" operator="equal">
      <formula>"Sim"</formula>
    </cfRule>
    <cfRule type="cellIs" dxfId="16" priority="4" stopIfTrue="1" operator="equal">
      <formula>"Não"</formula>
    </cfRule>
    <cfRule type="cellIs" dxfId="15" priority="5" stopIfTrue="1" operator="equal">
      <formula>"Em Análise"</formula>
    </cfRule>
  </conditionalFormatting>
  <conditionalFormatting sqref="E2:E5">
    <cfRule type="cellIs" dxfId="14" priority="6" stopIfTrue="1" operator="equal">
      <formula>"Enviado"</formula>
    </cfRule>
    <cfRule type="cellIs" dxfId="13" priority="7" stopIfTrue="1" operator="equal">
      <formula>"Atrasado"</formula>
    </cfRule>
    <cfRule type="cellIs" dxfId="12" priority="8" stopIfTrue="1" operator="equal">
      <formula>"Outras Ocorrências"</formula>
    </cfRule>
    <cfRule type="cellIs" dxfId="11" priority="9" stopIfTrue="1" operator="equal">
      <formula>"Sem Técnico"</formula>
    </cfRule>
    <cfRule type="cellIs" dxfId="10" priority="10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</row>
    <row r="2" spans="1:11">
      <c r="A2" s="3" t="s">
        <v>20</v>
      </c>
      <c r="B2" s="4" t="s">
        <v>21</v>
      </c>
      <c r="C2" s="4">
        <v>1</v>
      </c>
      <c r="D2" s="4" t="str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5" t="s">
        <v>23</v>
      </c>
      <c r="F2" s="4" t="s">
        <v>34</v>
      </c>
      <c r="G2" s="6" t="s">
        <v>25</v>
      </c>
      <c r="H2" s="4"/>
      <c r="I2" s="4"/>
      <c r="J2" s="4" t="s">
        <v>26</v>
      </c>
      <c r="K2" s="4"/>
    </row>
    <row r="3" spans="1:11">
      <c r="A3" s="3" t="s">
        <v>20</v>
      </c>
      <c r="B3" s="4" t="s">
        <v>21</v>
      </c>
      <c r="C3" s="4">
        <v>2</v>
      </c>
      <c r="D3" s="4" t="str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5" t="s">
        <v>23</v>
      </c>
      <c r="F3" s="4" t="s">
        <v>30</v>
      </c>
      <c r="G3" s="6" t="s">
        <v>25</v>
      </c>
      <c r="H3" s="4"/>
      <c r="I3" s="4"/>
      <c r="J3" s="4" t="s">
        <v>26</v>
      </c>
      <c r="K3" s="4"/>
    </row>
    <row r="4" spans="1:11">
      <c r="A4" s="3" t="s">
        <v>20</v>
      </c>
      <c r="B4" s="4" t="s">
        <v>21</v>
      </c>
      <c r="C4" s="4">
        <v>3</v>
      </c>
      <c r="D4" s="4" t="str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5" t="s">
        <v>23</v>
      </c>
      <c r="F4" s="4" t="s">
        <v>32</v>
      </c>
      <c r="G4" s="6" t="s">
        <v>25</v>
      </c>
      <c r="H4" s="4"/>
      <c r="I4" s="4"/>
      <c r="J4" s="4" t="s">
        <v>26</v>
      </c>
      <c r="K4" s="4"/>
    </row>
    <row r="5" spans="1:11">
      <c r="A5" s="3" t="s">
        <v>20</v>
      </c>
      <c r="B5" s="4" t="s">
        <v>21</v>
      </c>
      <c r="C5" s="4">
        <v>4</v>
      </c>
      <c r="D5" s="4" t="str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5" t="s">
        <v>23</v>
      </c>
      <c r="F5" s="4" t="s">
        <v>33</v>
      </c>
      <c r="G5" s="6" t="s">
        <v>25</v>
      </c>
      <c r="H5" s="4"/>
      <c r="I5" s="4"/>
      <c r="J5" s="4" t="s">
        <v>26</v>
      </c>
      <c r="K5" s="4"/>
    </row>
  </sheetData>
  <autoFilter ref="A1:G1" xr:uid="{00000000-0009-0000-0000-000003000000}"/>
  <conditionalFormatting sqref="G2:G5">
    <cfRule type="cellIs" dxfId="9" priority="1" stopIfTrue="1" operator="equal">
      <formula>"Sim"</formula>
    </cfRule>
    <cfRule type="cellIs" dxfId="8" priority="3" stopIfTrue="1" operator="equal">
      <formula>"Não"</formula>
    </cfRule>
  </conditionalFormatting>
  <conditionalFormatting sqref="J2:J5">
    <cfRule type="cellIs" dxfId="7" priority="4" stopIfTrue="1" operator="equal">
      <formula>"Sim"</formula>
    </cfRule>
    <cfRule type="cellIs" dxfId="6" priority="4" stopIfTrue="1" operator="equal">
      <formula>"Não"</formula>
    </cfRule>
    <cfRule type="cellIs" dxfId="5" priority="5" stopIfTrue="1" operator="equal">
      <formula>"Em Análise"</formula>
    </cfRule>
  </conditionalFormatting>
  <conditionalFormatting sqref="E2:E5">
    <cfRule type="cellIs" dxfId="4" priority="6" stopIfTrue="1" operator="equal">
      <formula>"Enviado"</formula>
    </cfRule>
    <cfRule type="cellIs" dxfId="3" priority="7" stopIfTrue="1" operator="equal">
      <formula>"Atrasado"</formula>
    </cfRule>
    <cfRule type="cellIs" dxfId="2" priority="8" stopIfTrue="1" operator="equal">
      <formula>"Outras Ocorrências"</formula>
    </cfRule>
    <cfRule type="cellIs" dxfId="1" priority="9" stopIfTrue="1" operator="equal">
      <formula>"Sem Técnico"</formula>
    </cfRule>
    <cfRule type="cellIs" dxfId="0" priority="10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Josimar Henrique de Oliveira</cp:lastModifiedBy>
  <cp:revision/>
  <dcterms:created xsi:type="dcterms:W3CDTF">2025-12-05T11:32:24Z</dcterms:created>
  <dcterms:modified xsi:type="dcterms:W3CDTF">2025-12-05T14:25:26Z</dcterms:modified>
  <cp:category/>
  <cp:contentStatus/>
</cp:coreProperties>
</file>