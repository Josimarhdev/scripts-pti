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393" documentId="11_7F4755BF84DCCE43E268565A8931F45BFA75341E" xr6:coauthVersionLast="47" xr6:coauthVersionMax="47" xr10:uidLastSave="{52127868-9572-4524-AC06-D5B85A66B226}"/>
  <bookViews>
    <workbookView xWindow="240" yWindow="105" windowWidth="14805" windowHeight="8010" activeTab="4" xr2:uid="{00000000-000D-0000-FFFF-FFFF00000000}"/>
  </bookViews>
  <sheets>
    <sheet name="Lacunas" sheetId="1" r:id="rId1"/>
    <sheet name="Macro Dados - Todos" sheetId="4" state="hidden" r:id="rId2"/>
    <sheet name="Macro Dados - Filtrados" sheetId="2" r:id="rId3"/>
    <sheet name="Micro Dados - Todos" sheetId="5" state="hidden" r:id="rId4"/>
    <sheet name="Micro Dados - Filtrados" sheetId="6" r:id="rId5"/>
  </sheets>
  <definedNames>
    <definedName name="_xlnm._FilterDatabase" localSheetId="3" hidden="1">'Micro Dados - Todos'!$A$1:$M$1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41" i="5" l="1"/>
  <c r="D5240" i="5"/>
  <c r="D5239" i="5"/>
  <c r="D5238" i="5"/>
  <c r="D5237" i="5"/>
  <c r="D5236" i="5"/>
  <c r="D5235" i="5"/>
  <c r="D5234" i="5"/>
  <c r="D5233" i="5"/>
  <c r="D5232" i="5"/>
  <c r="D5231" i="5"/>
  <c r="D5230" i="5"/>
  <c r="D5229" i="5"/>
  <c r="D5228" i="5"/>
  <c r="D5227" i="5"/>
  <c r="D5226" i="5"/>
  <c r="D5225" i="5"/>
  <c r="D5224" i="5"/>
  <c r="D5223" i="5"/>
  <c r="D5222" i="5"/>
  <c r="D5221" i="5"/>
  <c r="D5220" i="5"/>
  <c r="D5219" i="5"/>
  <c r="D5218" i="5"/>
  <c r="D5154" i="5"/>
  <c r="D5153" i="5"/>
  <c r="D5152" i="5"/>
  <c r="D5151" i="5"/>
  <c r="D5150" i="5"/>
  <c r="D5149" i="5"/>
  <c r="D5148" i="5"/>
  <c r="D5147" i="5"/>
  <c r="D5146" i="5"/>
  <c r="D5145" i="5"/>
  <c r="D5144" i="5"/>
  <c r="D5143" i="5"/>
  <c r="D5142" i="5"/>
  <c r="D5141" i="5"/>
  <c r="D5140" i="5"/>
  <c r="D5139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272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13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3" i="5"/>
  <c r="D3912" i="5"/>
  <c r="D3835" i="5"/>
  <c r="D3834" i="5"/>
  <c r="B26" i="6" a="1"/>
  <c r="B26" i="6"/>
  <c r="B50" i="6" a="1"/>
  <c r="B50" i="6"/>
  <c r="B77" i="6" a="1"/>
  <c r="B77" i="6"/>
  <c r="B119" i="6" a="1"/>
  <c r="B119" i="6"/>
  <c r="B184" i="6" a="1"/>
  <c r="B184" i="6"/>
  <c r="B209" i="6" a="1"/>
  <c r="B209" i="6"/>
  <c r="B224" i="6" a="1"/>
  <c r="B224" i="6"/>
  <c r="B273" i="6" a="1"/>
  <c r="B273" i="6"/>
  <c r="B308" i="6" a="1"/>
  <c r="B308" i="6"/>
  <c r="B330" i="6" a="1"/>
  <c r="B330" i="6"/>
  <c r="B333" i="6" a="1"/>
  <c r="B333" i="6"/>
  <c r="B362" i="6" a="1"/>
  <c r="B362" i="6"/>
  <c r="B387" i="6" a="1"/>
  <c r="B387" i="6"/>
  <c r="B423" i="6" a="1"/>
  <c r="B423" i="6"/>
  <c r="B454" i="6" a="1"/>
  <c r="B454" i="6"/>
  <c r="B469" i="6" a="1"/>
  <c r="B469" i="6"/>
  <c r="B472" i="6" a="1"/>
  <c r="B472" i="6"/>
  <c r="B474" i="6" a="1"/>
  <c r="B474" i="6"/>
  <c r="B508" i="6" a="1"/>
  <c r="B508" i="6"/>
  <c r="B542" i="6" a="1"/>
  <c r="B542" i="6"/>
  <c r="B2" i="6" a="1"/>
  <c r="B2" i="6"/>
  <c r="F15" i="1"/>
  <c r="F16" i="1"/>
  <c r="F17" i="1"/>
  <c r="F18" i="1"/>
  <c r="F19" i="1"/>
  <c r="F20" i="1"/>
  <c r="F21" i="1"/>
  <c r="F22" i="1"/>
  <c r="F23" i="1"/>
  <c r="F14" i="1"/>
  <c r="F3" i="1"/>
  <c r="F4" i="1"/>
  <c r="F5" i="1"/>
  <c r="F6" i="1"/>
  <c r="F7" i="1"/>
  <c r="F8" i="1"/>
  <c r="F9" i="1"/>
  <c r="F10" i="1"/>
  <c r="F11" i="1"/>
  <c r="F12" i="1"/>
  <c r="F13" i="1"/>
  <c r="F2" i="1"/>
  <c r="D2" i="5"/>
  <c r="D5455" i="5"/>
  <c r="D5454" i="5"/>
  <c r="D5453" i="5"/>
  <c r="D5452" i="5"/>
  <c r="D5451" i="5"/>
  <c r="D5450" i="5"/>
  <c r="D5449" i="5"/>
  <c r="D5448" i="5"/>
  <c r="D5447" i="5"/>
  <c r="D5446" i="5"/>
  <c r="D5445" i="5"/>
  <c r="D5444" i="5"/>
  <c r="D5443" i="5"/>
  <c r="D5442" i="5"/>
  <c r="D5441" i="5"/>
  <c r="D5440" i="5"/>
  <c r="D5439" i="5"/>
  <c r="D5438" i="5"/>
  <c r="D5437" i="5"/>
  <c r="D5436" i="5"/>
  <c r="D5435" i="5"/>
  <c r="D5434" i="5"/>
  <c r="D5433" i="5"/>
  <c r="D5432" i="5"/>
  <c r="D5431" i="5"/>
  <c r="D5430" i="5"/>
  <c r="D5429" i="5"/>
  <c r="D5428" i="5"/>
  <c r="D5427" i="5"/>
  <c r="D5426" i="5"/>
  <c r="D5425" i="5"/>
  <c r="D5424" i="5"/>
  <c r="D5423" i="5"/>
  <c r="D5422" i="5"/>
  <c r="D5421" i="5"/>
  <c r="D5420" i="5"/>
  <c r="D5419" i="5"/>
  <c r="D5418" i="5"/>
  <c r="D5417" i="5"/>
  <c r="D5416" i="5"/>
  <c r="D5415" i="5"/>
  <c r="D5414" i="5"/>
  <c r="D5413" i="5"/>
  <c r="D5412" i="5"/>
  <c r="D5411" i="5"/>
  <c r="D5410" i="5"/>
  <c r="D5409" i="5"/>
  <c r="D5408" i="5"/>
  <c r="D5407" i="5"/>
  <c r="D5406" i="5"/>
  <c r="D5405" i="5"/>
  <c r="D5404" i="5"/>
  <c r="D5403" i="5"/>
  <c r="D5402" i="5"/>
  <c r="D5401" i="5"/>
  <c r="D5400" i="5"/>
  <c r="D5399" i="5"/>
  <c r="D5398" i="5"/>
  <c r="D5397" i="5"/>
  <c r="D5396" i="5"/>
  <c r="D5395" i="5"/>
  <c r="D5394" i="5"/>
  <c r="D5393" i="5"/>
  <c r="D5392" i="5"/>
  <c r="D5391" i="5"/>
  <c r="D5390" i="5"/>
  <c r="D5389" i="5"/>
  <c r="D5388" i="5"/>
  <c r="D5387" i="5"/>
  <c r="D5386" i="5"/>
  <c r="D5385" i="5"/>
  <c r="D5384" i="5"/>
  <c r="D5383" i="5"/>
  <c r="D5382" i="5"/>
  <c r="D5381" i="5"/>
  <c r="D5380" i="5"/>
  <c r="D5379" i="5"/>
  <c r="D5378" i="5"/>
  <c r="D5377" i="5"/>
  <c r="D5376" i="5"/>
  <c r="D5375" i="5"/>
  <c r="D5374" i="5"/>
  <c r="D5373" i="5"/>
  <c r="D5372" i="5"/>
  <c r="D5371" i="5"/>
  <c r="D5370" i="5"/>
  <c r="D5369" i="5"/>
  <c r="D5368" i="5"/>
  <c r="D5367" i="5"/>
  <c r="D5366" i="5"/>
  <c r="D5365" i="5"/>
  <c r="D5364" i="5"/>
  <c r="D5363" i="5"/>
  <c r="D5362" i="5"/>
  <c r="D5361" i="5"/>
  <c r="D5360" i="5"/>
  <c r="D5359" i="5"/>
  <c r="D5358" i="5"/>
  <c r="D5357" i="5"/>
  <c r="D5356" i="5"/>
  <c r="D5355" i="5"/>
  <c r="D5354" i="5"/>
  <c r="D5353" i="5"/>
  <c r="D5352" i="5"/>
  <c r="D5351" i="5"/>
  <c r="D5350" i="5"/>
  <c r="D5349" i="5"/>
  <c r="D5348" i="5"/>
  <c r="D5347" i="5"/>
  <c r="D5346" i="5"/>
  <c r="D5345" i="5"/>
  <c r="D5344" i="5"/>
  <c r="D5343" i="5"/>
  <c r="D5342" i="5"/>
  <c r="D5341" i="5"/>
  <c r="D5340" i="5"/>
  <c r="D5339" i="5"/>
  <c r="D5338" i="5"/>
  <c r="D5337" i="5"/>
  <c r="D5336" i="5"/>
  <c r="D5335" i="5"/>
  <c r="D5334" i="5"/>
  <c r="D5333" i="5"/>
  <c r="D5332" i="5"/>
  <c r="D5331" i="5"/>
  <c r="D5330" i="5"/>
  <c r="D5329" i="5"/>
  <c r="D5328" i="5"/>
  <c r="D5327" i="5"/>
  <c r="D5326" i="5"/>
  <c r="D5325" i="5"/>
  <c r="D5324" i="5"/>
  <c r="D5323" i="5"/>
  <c r="D5322" i="5"/>
  <c r="D5321" i="5"/>
  <c r="D5320" i="5"/>
  <c r="D5319" i="5"/>
  <c r="D5318" i="5"/>
  <c r="D5317" i="5"/>
  <c r="D5316" i="5"/>
  <c r="D5315" i="5"/>
  <c r="D5314" i="5"/>
  <c r="D5313" i="5"/>
  <c r="D5312" i="5"/>
  <c r="D5311" i="5"/>
  <c r="D5310" i="5"/>
  <c r="D5309" i="5"/>
  <c r="D5308" i="5"/>
  <c r="D5307" i="5"/>
  <c r="D5306" i="5"/>
  <c r="D5305" i="5"/>
  <c r="D5304" i="5"/>
  <c r="D5303" i="5"/>
  <c r="D5302" i="5"/>
  <c r="D5301" i="5"/>
  <c r="D5300" i="5"/>
  <c r="D5299" i="5"/>
  <c r="D5298" i="5"/>
  <c r="D5297" i="5"/>
  <c r="D5296" i="5"/>
  <c r="D5295" i="5"/>
  <c r="D5294" i="5"/>
  <c r="D5293" i="5"/>
  <c r="D5292" i="5"/>
  <c r="D5291" i="5"/>
  <c r="D5290" i="5"/>
  <c r="D5289" i="5"/>
  <c r="D5288" i="5"/>
  <c r="D5287" i="5"/>
  <c r="D5286" i="5"/>
  <c r="D5285" i="5"/>
  <c r="D5284" i="5"/>
  <c r="D5283" i="5"/>
  <c r="D5282" i="5"/>
  <c r="D5281" i="5"/>
  <c r="D5280" i="5"/>
  <c r="D5279" i="5"/>
  <c r="D5278" i="5"/>
  <c r="D5277" i="5"/>
  <c r="D5276" i="5"/>
  <c r="D5275" i="5"/>
  <c r="D5274" i="5"/>
  <c r="D5273" i="5"/>
  <c r="D5272" i="5"/>
  <c r="D5271" i="5"/>
  <c r="D5270" i="5"/>
  <c r="D5269" i="5"/>
  <c r="D5268" i="5"/>
  <c r="D5267" i="5"/>
  <c r="D5266" i="5"/>
  <c r="D5265" i="5"/>
  <c r="D5264" i="5"/>
  <c r="D5263" i="5"/>
  <c r="D5262" i="5"/>
  <c r="D5261" i="5"/>
  <c r="D5260" i="5"/>
  <c r="D5259" i="5"/>
  <c r="D5258" i="5"/>
  <c r="D5257" i="5"/>
  <c r="D5256" i="5"/>
  <c r="D5255" i="5"/>
  <c r="D5254" i="5"/>
  <c r="D5253" i="5"/>
  <c r="D5252" i="5"/>
  <c r="D5251" i="5"/>
  <c r="D5250" i="5"/>
  <c r="D5249" i="5"/>
  <c r="D5248" i="5"/>
  <c r="D5247" i="5"/>
  <c r="D5246" i="5"/>
  <c r="D5245" i="5"/>
  <c r="D5244" i="5"/>
  <c r="D5243" i="5"/>
  <c r="D5242" i="5"/>
  <c r="D5217" i="5"/>
  <c r="D5216" i="5"/>
  <c r="D5215" i="5"/>
  <c r="D5214" i="5"/>
  <c r="D5213" i="5"/>
  <c r="D5212" i="5"/>
  <c r="D5211" i="5"/>
  <c r="D5210" i="5"/>
  <c r="D5209" i="5"/>
  <c r="D5208" i="5"/>
  <c r="D5207" i="5"/>
  <c r="D5206" i="5"/>
  <c r="D5205" i="5"/>
  <c r="D5204" i="5"/>
  <c r="D5203" i="5"/>
  <c r="D5202" i="5"/>
  <c r="D5201" i="5"/>
  <c r="D5200" i="5"/>
  <c r="D5199" i="5"/>
  <c r="D5198" i="5"/>
  <c r="D5197" i="5"/>
  <c r="D5196" i="5"/>
  <c r="D5195" i="5"/>
  <c r="D5194" i="5"/>
  <c r="D5193" i="5"/>
  <c r="D5192" i="5"/>
  <c r="D5191" i="5"/>
  <c r="D5190" i="5"/>
  <c r="D5189" i="5"/>
  <c r="D5188" i="5"/>
  <c r="D5187" i="5"/>
  <c r="D5186" i="5"/>
  <c r="D5185" i="5"/>
  <c r="D5184" i="5"/>
  <c r="D5183" i="5"/>
  <c r="D5182" i="5"/>
  <c r="D5181" i="5"/>
  <c r="D5180" i="5"/>
  <c r="D5179" i="5"/>
  <c r="D5178" i="5"/>
  <c r="D5177" i="5"/>
  <c r="D5176" i="5"/>
  <c r="D5175" i="5"/>
  <c r="D5174" i="5"/>
  <c r="D5173" i="5"/>
  <c r="D5172" i="5"/>
  <c r="D5171" i="5"/>
  <c r="D5170" i="5"/>
  <c r="D5169" i="5"/>
  <c r="D5168" i="5"/>
  <c r="D5167" i="5"/>
  <c r="D5166" i="5"/>
  <c r="D5165" i="5"/>
  <c r="D5164" i="5"/>
  <c r="D5163" i="5"/>
  <c r="D5162" i="5"/>
  <c r="D5161" i="5"/>
  <c r="D5160" i="5"/>
  <c r="D5159" i="5"/>
  <c r="D5158" i="5"/>
  <c r="D5157" i="5"/>
  <c r="D5156" i="5"/>
  <c r="D5155" i="5"/>
  <c r="D5138" i="5"/>
  <c r="D5137" i="5"/>
  <c r="D5136" i="5"/>
  <c r="D5135" i="5"/>
  <c r="D5134" i="5"/>
  <c r="D5133" i="5"/>
  <c r="D5132" i="5"/>
  <c r="D5131" i="5"/>
  <c r="D5130" i="5"/>
  <c r="D5129" i="5"/>
  <c r="D5128" i="5"/>
  <c r="D5127" i="5"/>
  <c r="D5126" i="5"/>
  <c r="D5125" i="5"/>
  <c r="D5124" i="5"/>
  <c r="D5123" i="5"/>
  <c r="D5122" i="5"/>
  <c r="D5121" i="5"/>
  <c r="D5120" i="5"/>
  <c r="D5119" i="5"/>
  <c r="D5118" i="5"/>
  <c r="D5117" i="5"/>
  <c r="D5116" i="5"/>
  <c r="D5115" i="5"/>
  <c r="D5114" i="5"/>
  <c r="D5113" i="5"/>
  <c r="D5112" i="5"/>
  <c r="D5111" i="5"/>
  <c r="D5110" i="5"/>
  <c r="D5109" i="5"/>
  <c r="D5108" i="5"/>
  <c r="D5107" i="5"/>
  <c r="D5106" i="5"/>
  <c r="D5105" i="5"/>
  <c r="D5104" i="5"/>
  <c r="D5103" i="5"/>
  <c r="D5102" i="5"/>
  <c r="D5101" i="5"/>
  <c r="D5100" i="5"/>
  <c r="D5099" i="5"/>
  <c r="D5098" i="5"/>
  <c r="D5097" i="5"/>
  <c r="D5096" i="5"/>
  <c r="D5095" i="5"/>
  <c r="D5094" i="5"/>
  <c r="D5093" i="5"/>
  <c r="D5092" i="5"/>
  <c r="D5091" i="5"/>
  <c r="D5090" i="5"/>
  <c r="D5089" i="5"/>
  <c r="D5088" i="5"/>
  <c r="D5087" i="5"/>
  <c r="D5086" i="5"/>
  <c r="D5085" i="5"/>
  <c r="D5084" i="5"/>
  <c r="D5083" i="5"/>
  <c r="D5082" i="5"/>
  <c r="D5081" i="5"/>
  <c r="D5080" i="5"/>
  <c r="D5079" i="5"/>
  <c r="D5078" i="5"/>
  <c r="D5077" i="5"/>
  <c r="D5076" i="5"/>
  <c r="D5075" i="5"/>
  <c r="D5074" i="5"/>
  <c r="D5073" i="5"/>
  <c r="D5072" i="5"/>
  <c r="D5071" i="5"/>
  <c r="D5070" i="5"/>
  <c r="D5069" i="5"/>
  <c r="D5068" i="5"/>
  <c r="D5067" i="5"/>
  <c r="D5066" i="5"/>
  <c r="D5065" i="5"/>
  <c r="D5064" i="5"/>
  <c r="D5063" i="5"/>
  <c r="D5062" i="5"/>
  <c r="D5061" i="5"/>
  <c r="D5060" i="5"/>
  <c r="D5059" i="5"/>
  <c r="D5058" i="5"/>
  <c r="D5057" i="5"/>
  <c r="D5056" i="5"/>
  <c r="D5055" i="5"/>
  <c r="D5054" i="5"/>
  <c r="D5053" i="5"/>
  <c r="D5052" i="5"/>
  <c r="D5051" i="5"/>
  <c r="D5050" i="5"/>
  <c r="D5049" i="5"/>
  <c r="D5048" i="5"/>
  <c r="D5047" i="5"/>
  <c r="D5046" i="5"/>
  <c r="D5045" i="5"/>
  <c r="D5044" i="5"/>
  <c r="D5043" i="5"/>
  <c r="D5042" i="5"/>
  <c r="D5041" i="5"/>
  <c r="D5040" i="5"/>
  <c r="D5039" i="5"/>
  <c r="D5038" i="5"/>
  <c r="D5037" i="5"/>
  <c r="D5036" i="5"/>
  <c r="D5035" i="5"/>
  <c r="D5034" i="5"/>
  <c r="D5033" i="5"/>
  <c r="D5032" i="5"/>
  <c r="D5031" i="5"/>
  <c r="D5030" i="5"/>
  <c r="D5029" i="5"/>
  <c r="D5028" i="5"/>
  <c r="D5027" i="5"/>
  <c r="D5026" i="5"/>
  <c r="D5025" i="5"/>
  <c r="D5024" i="5"/>
  <c r="D5023" i="5"/>
  <c r="D5022" i="5"/>
  <c r="D5021" i="5"/>
  <c r="D5020" i="5"/>
  <c r="D5019" i="5"/>
  <c r="D5018" i="5"/>
  <c r="D5017" i="5"/>
  <c r="D5016" i="5"/>
  <c r="D5015" i="5"/>
  <c r="D5014" i="5"/>
  <c r="D5013" i="5"/>
  <c r="D5012" i="5"/>
  <c r="D5011" i="5"/>
  <c r="D5010" i="5"/>
  <c r="D5009" i="5"/>
  <c r="D5008" i="5"/>
  <c r="D5007" i="5"/>
  <c r="D5006" i="5"/>
  <c r="D5005" i="5"/>
  <c r="D5004" i="5"/>
  <c r="D5003" i="5"/>
  <c r="D5002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14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B3" i="2" a="1"/>
  <c r="B3" i="2"/>
  <c r="B4" i="2" a="1"/>
  <c r="B4" i="2"/>
  <c r="B5" i="2" a="1"/>
  <c r="B5" i="2"/>
  <c r="B6" i="2" a="1"/>
  <c r="B6" i="2"/>
  <c r="B7" i="2" a="1"/>
  <c r="B7" i="2"/>
  <c r="B8" i="2" a="1"/>
  <c r="B8" i="2"/>
  <c r="B9" i="2" a="1"/>
  <c r="B9" i="2"/>
  <c r="B10" i="2" a="1"/>
  <c r="B10" i="2"/>
  <c r="B11" i="2" a="1"/>
  <c r="B11" i="2"/>
  <c r="B12" i="2" a="1"/>
  <c r="B12" i="2"/>
  <c r="B13" i="2" a="1"/>
  <c r="B13" i="2"/>
  <c r="B14" i="2" a="1"/>
  <c r="B14" i="2"/>
  <c r="B15" i="2" a="1"/>
  <c r="B15" i="2"/>
  <c r="B16" i="2" a="1"/>
  <c r="B16" i="2"/>
  <c r="B17" i="2" a="1"/>
  <c r="B17" i="2"/>
  <c r="B18" i="2" a="1"/>
  <c r="B18" i="2"/>
  <c r="B19" i="2" a="1"/>
  <c r="B19" i="2"/>
  <c r="B20" i="2" a="1"/>
  <c r="B20" i="2"/>
  <c r="B21" i="2" a="1"/>
  <c r="B21" i="2"/>
  <c r="B23" i="2" a="1"/>
  <c r="B23" i="2"/>
  <c r="B2" i="2" a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<sst xmlns="http://schemas.openxmlformats.org/spreadsheetml/2006/main" count="39335" uniqueCount="571">
  <si>
    <t>Regional</t>
  </si>
  <si>
    <t>Município</t>
  </si>
  <si>
    <t>UVR</t>
  </si>
  <si>
    <t>Mês da Lacuna</t>
  </si>
  <si>
    <t>Data de Referência CSV</t>
  </si>
  <si>
    <t>Data de Referência CSV - Trocado</t>
  </si>
  <si>
    <t>Valquiria</t>
  </si>
  <si>
    <t>Formosa do Oeste</t>
  </si>
  <si>
    <t>01</t>
  </si>
  <si>
    <t>11.24</t>
  </si>
  <si>
    <t>15/11/2024</t>
  </si>
  <si>
    <t>Gabriel</t>
  </si>
  <si>
    <t>Maripa</t>
  </si>
  <si>
    <t>Mundo Novo</t>
  </si>
  <si>
    <t>Assis Chateaubriand</t>
  </si>
  <si>
    <t>12.24</t>
  </si>
  <si>
    <t>15/12/2024</t>
  </si>
  <si>
    <t>Cafelândia</t>
  </si>
  <si>
    <t>Larissa</t>
  </si>
  <si>
    <t>Foz do Iguaçu</t>
  </si>
  <si>
    <t>06</t>
  </si>
  <si>
    <t>Jesuítas</t>
  </si>
  <si>
    <t>Luana</t>
  </si>
  <si>
    <t>Marechal Candido Rondon</t>
  </si>
  <si>
    <t>02</t>
  </si>
  <si>
    <t>Palotina</t>
  </si>
  <si>
    <t>01.25</t>
  </si>
  <si>
    <t>15/1/2025</t>
  </si>
  <si>
    <t>Brasilândia do Sul</t>
  </si>
  <si>
    <t>Bianca</t>
  </si>
  <si>
    <t>Tres Barras do Parana</t>
  </si>
  <si>
    <t>UVR Município + Número</t>
  </si>
  <si>
    <t>UVR Número</t>
  </si>
  <si>
    <t>Data de referência</t>
  </si>
  <si>
    <t>Número de catadores na UVR no mês da data de referência</t>
  </si>
  <si>
    <t>Observações</t>
  </si>
  <si>
    <t>Receita venda recicláveis</t>
  </si>
  <si>
    <t>Receita prestação serviços</t>
  </si>
  <si>
    <t>Despesas</t>
  </si>
  <si>
    <t>Quantidade de recicláveis vendidos (kg)</t>
  </si>
  <si>
    <t>Rejeito (kg)</t>
  </si>
  <si>
    <t>Renda média catadores</t>
  </si>
  <si>
    <t>Boa Vista da Aparecida</t>
  </si>
  <si>
    <t>UVR 01 - Boa Vista da Aparecida</t>
  </si>
  <si>
    <t>Matelândia</t>
  </si>
  <si>
    <t>UVR 01 - Matelândia</t>
  </si>
  <si>
    <t>Essa valor corresponde a divisão entre os 19 associados. Entretanto, cabe ressaltar que a divisão é realizado por um associado a mais, com escopo de promover o diferencial dos coletores. Destarte, isso, há na somatória as sobras de um associado, 17 dias.</t>
  </si>
  <si>
    <t>Terra Roxa</t>
  </si>
  <si>
    <t>UVR 01 - Terra Roxa</t>
  </si>
  <si>
    <t>UVR 01 - Palotina</t>
  </si>
  <si>
    <t xml:space="preserve"> O total de Associados que trabalharam todos os dias( não tiveram faltas) foram 2 dois)</t>
  </si>
  <si>
    <t>UVR 04 - Foz do Iguaçu</t>
  </si>
  <si>
    <t>04</t>
  </si>
  <si>
    <t>Os valores acima se referem ao mês de Novembro.</t>
  </si>
  <si>
    <t>Capitão Leonidas Marques</t>
  </si>
  <si>
    <t>UVR 01 - Capitão Leonidas Marques</t>
  </si>
  <si>
    <t>UVR 08 - Foz do Iguaçu</t>
  </si>
  <si>
    <t>08</t>
  </si>
  <si>
    <t>Missal</t>
  </si>
  <si>
    <t>UVR 01 - Missal</t>
  </si>
  <si>
    <t>Cascavel</t>
  </si>
  <si>
    <t>UVR 06 - Cascavel</t>
  </si>
  <si>
    <t>UVR 03 - Foz do Iguaçu</t>
  </si>
  <si>
    <t>03</t>
  </si>
  <si>
    <t>Diamante do Sul</t>
  </si>
  <si>
    <t>UVR 01 - Diamante do Sul</t>
  </si>
  <si>
    <t>UVR 03 - Cascavel</t>
  </si>
  <si>
    <t>São Pedro do Iguaçu</t>
  </si>
  <si>
    <t>UVR 01 - São Pedro do Iguaçu</t>
  </si>
  <si>
    <t>Serranopolis do Iguaçu</t>
  </si>
  <si>
    <t>UVR 01 - Serranopolis do Iguaçu</t>
  </si>
  <si>
    <t>Itaipulândia</t>
  </si>
  <si>
    <t>UVR 01 - Itaipulândia</t>
  </si>
  <si>
    <t>1 se encontra em auxilio reclusão</t>
  </si>
  <si>
    <t>UVR 05 - Foz do Iguaçu</t>
  </si>
  <si>
    <t>05</t>
  </si>
  <si>
    <t>Valores referente ao mês de novembro</t>
  </si>
  <si>
    <t>Campo Bonito</t>
  </si>
  <si>
    <t>UVR 01 - Campo Bonito</t>
  </si>
  <si>
    <t>UVR 01 - Mundo Novo</t>
  </si>
  <si>
    <t>Santa Helena</t>
  </si>
  <si>
    <t>UVR 01 - Santa Helena</t>
  </si>
  <si>
    <t>Vera Cruz do Oeste</t>
  </si>
  <si>
    <t>UVR 01 - Vera Cruz do Oeste</t>
  </si>
  <si>
    <t>UVR 01 - Jesuítas</t>
  </si>
  <si>
    <t>UVR 01 - Assis Chateaubriand</t>
  </si>
  <si>
    <t>1 à 18/11/2024. O término do mês foi antecipado, devido ao encerramento do contrato com o município.</t>
  </si>
  <si>
    <t>Iguatu</t>
  </si>
  <si>
    <t>UVR 01 - Iguatu</t>
  </si>
  <si>
    <t>Anahy</t>
  </si>
  <si>
    <t>UVR 01 - Anahy</t>
  </si>
  <si>
    <t>Pato Bragado</t>
  </si>
  <si>
    <t>UVR 01 - Pato Bragado</t>
  </si>
  <si>
    <t>São Miguel do Iguaçu</t>
  </si>
  <si>
    <t>UVR 01 - São Miguel do Iguaçu</t>
  </si>
  <si>
    <t xml:space="preserve">renda com prestação de serviço </t>
  </si>
  <si>
    <t>Medianeira</t>
  </si>
  <si>
    <t>UVR 01 - Medianeira</t>
  </si>
  <si>
    <t>São Jose das Palmeiras</t>
  </si>
  <si>
    <t>UVR 01 - São Jose das Palmeiras</t>
  </si>
  <si>
    <t>Catanduvas</t>
  </si>
  <si>
    <t>UVR 01 - Catanduvas</t>
  </si>
  <si>
    <t>UVR 01 - Cafelândia</t>
  </si>
  <si>
    <t>UVR 02 - Cascavel</t>
  </si>
  <si>
    <t>Nova Santa Rosa</t>
  </si>
  <si>
    <t>UVR 01 - Nova Santa Rosa</t>
  </si>
  <si>
    <t>Tupassi</t>
  </si>
  <si>
    <t>UVR 01 - Tupassi</t>
  </si>
  <si>
    <t>Altônia</t>
  </si>
  <si>
    <t>UVR 01 - Altônia</t>
  </si>
  <si>
    <t>UVR 04 - Cascavel</t>
  </si>
  <si>
    <t>Iracema do Oeste</t>
  </si>
  <si>
    <t>UVR 01 - Iracema do Oeste</t>
  </si>
  <si>
    <t>Ubirata</t>
  </si>
  <si>
    <t>UVR 01 - Ubirata</t>
  </si>
  <si>
    <t>UVR 01 - Tres Barras do Parana</t>
  </si>
  <si>
    <t>Toledo</t>
  </si>
  <si>
    <t>UVR 01 - Toledo</t>
  </si>
  <si>
    <t>Braganey</t>
  </si>
  <si>
    <t>UVR 01 - Braganey</t>
  </si>
  <si>
    <t>o valor em kg processado é de 24.048,00, mas sendo emitido na Nfe ,e de 17,048,00,(vlr total do teto em kg no contrato)tendo sabra de 7.000kg, para o próximo mês</t>
  </si>
  <si>
    <t>UVR 05 - Cascavel</t>
  </si>
  <si>
    <t>1560,00 reais referente ao rateio de novembro, mais a soma da renda média de rateio do valor de repasse municipal de 668,74 por catador.</t>
  </si>
  <si>
    <t>Quatro Pontes</t>
  </si>
  <si>
    <t>UVR 01 - Quatro Pontes</t>
  </si>
  <si>
    <t>essa renda não representa o ideal, pois o rateio não é por diária</t>
  </si>
  <si>
    <t>Lindoeste</t>
  </si>
  <si>
    <t>UVR 01 - Lindoeste</t>
  </si>
  <si>
    <t>Santa Lúcia</t>
  </si>
  <si>
    <t>UVR 01 - Santa Lúcia</t>
  </si>
  <si>
    <t>UVR 01 - Cascavel</t>
  </si>
  <si>
    <t>UVR 01 - Brasilândia do Sul</t>
  </si>
  <si>
    <t>Ramilândia</t>
  </si>
  <si>
    <t>UVR 01 - Ramilândia</t>
  </si>
  <si>
    <t>Foi realizado o carregamento da carga referente ao mês de NOVEMBRO no dia 11/12/2024</t>
  </si>
  <si>
    <t>Céu Azul</t>
  </si>
  <si>
    <t>UVR 01 - Céu Azul</t>
  </si>
  <si>
    <t>UVR 01 - Maripa</t>
  </si>
  <si>
    <t>A Recima é uma empresa tercerizada contratada pelo Município e o pagamento é realizado pela empresa</t>
  </si>
  <si>
    <t>Diamante d'Oeste</t>
  </si>
  <si>
    <t>UVR 01 - Diamante d'Oeste</t>
  </si>
  <si>
    <t>Francisco Alves</t>
  </si>
  <si>
    <t>UVR 01 - Francisco Alves</t>
  </si>
  <si>
    <t>Ibema</t>
  </si>
  <si>
    <t>UVR 01 - Ibema</t>
  </si>
  <si>
    <t>bonificacao + valor da carga mensal</t>
  </si>
  <si>
    <t>UVR 02 - Foz do Iguaçu</t>
  </si>
  <si>
    <t>Valores referentes ao mês de novembro/2024.</t>
  </si>
  <si>
    <t>Nova Aurora</t>
  </si>
  <si>
    <t>UVR 01 - Nova Aurora</t>
  </si>
  <si>
    <t>Mercedes</t>
  </si>
  <si>
    <t>UVR 01 - Mercedes</t>
  </si>
  <si>
    <t>Ouro Verde do Oeste</t>
  </si>
  <si>
    <t>UVR 01 - Ouro Verde do Oeste</t>
  </si>
  <si>
    <t>Corbélia</t>
  </si>
  <si>
    <t>UVR 01 - Corbélia</t>
  </si>
  <si>
    <t>Santa Tereza do Oeste</t>
  </si>
  <si>
    <t>UVR 01 - Santa Tereza do Oeste</t>
  </si>
  <si>
    <t>Santa Terezinha de Itaipu</t>
  </si>
  <si>
    <t>UVR 01 - Santa Terezinha de Itaipu</t>
  </si>
  <si>
    <t>Guaira</t>
  </si>
  <si>
    <t>UVR 01 - Guaira</t>
  </si>
  <si>
    <t xml:space="preserve"> O total de Associados que trabalharam todos os dias( não tiveram faltas) foram 3 três)</t>
  </si>
  <si>
    <t>UVR 07 - Foz do Iguaçu</t>
  </si>
  <si>
    <t>07</t>
  </si>
  <si>
    <t>vendas realizadas até o dia 20 de dezembro 2024, não recebendo o contrato da prefeitura esse mês, só em fevereiro</t>
  </si>
  <si>
    <t>Os valores acima se referem ao mês de Dezembro.</t>
  </si>
  <si>
    <t>UVR 02 - Marechal Candido Rondon</t>
  </si>
  <si>
    <t>UVR 01 - Marechal Candido Rondon</t>
  </si>
  <si>
    <t>valor da diaria mês de Dezembro R$113,71</t>
  </si>
  <si>
    <t>Valores mensais record dese janeiro de 2019 :)  Ano record desde 2019 , 685 toneladas comercializadas em 2024</t>
  </si>
  <si>
    <t>Valores referente ao mês de dezembro</t>
  </si>
  <si>
    <t>Valores referentes ao mês de dezembro/2024.</t>
  </si>
  <si>
    <t>UVR 06 - Foz do Iguaçu</t>
  </si>
  <si>
    <t xml:space="preserve">Renda com prestação de serviço </t>
  </si>
  <si>
    <t xml:space="preserve">venda de reciclaveis+contratos=renda mensal </t>
  </si>
  <si>
    <t>01/12 à 23/12/2024</t>
  </si>
  <si>
    <t>essa renda média não representa o ideal, pois o rateio não é por diária</t>
  </si>
  <si>
    <t>Foi realizado o carregamento da carga referente ao mês de DEZEMBRO no dia 17/01/2025</t>
  </si>
  <si>
    <t>Guaraniacu</t>
  </si>
  <si>
    <t>UVR 01 - Guaraniacu</t>
  </si>
  <si>
    <t>Valores referente ao mês de janeiro</t>
  </si>
  <si>
    <t>Entre Rios do Oeste</t>
  </si>
  <si>
    <t>UVR 01 - Entre Rios do Oeste</t>
  </si>
  <si>
    <t xml:space="preserve"> O total de Associados que trabalharam todos os dias( não tiveram faltas) foram 2 (dois)</t>
  </si>
  <si>
    <t>Valor da diaria dos associados foi de R$122,90</t>
  </si>
  <si>
    <t>UVR 01 - Formosa do Oeste</t>
  </si>
  <si>
    <t>Valores referentes ao mês de janeiro/2025.</t>
  </si>
  <si>
    <t xml:space="preserve">Renda com contrato de prestação de serviço </t>
  </si>
  <si>
    <t>Os valores acima se referem ao mês de Janeiro.</t>
  </si>
  <si>
    <t>2660 KG DE METAL FOI DOADO PELA PREFEITURA E NAO ENTROU NA NOTA DO CONTRATO</t>
  </si>
  <si>
    <t>Foi realizado o carregamento da carga referente ao mês de JANEIRO no dia 11/02/2025</t>
  </si>
  <si>
    <t>1943,48</t>
  </si>
  <si>
    <t xml:space="preserve"> O total de Associados que trabalharam todos os dias( não tiveram faltas) foram 03 (três)</t>
  </si>
  <si>
    <t>Tipo do registro</t>
  </si>
  <si>
    <t>Subtipo do registro</t>
  </si>
  <si>
    <t>Material</t>
  </si>
  <si>
    <t>Qual outro material?</t>
  </si>
  <si>
    <t>Quantidade</t>
  </si>
  <si>
    <t>Valor Absoluto (R$)</t>
  </si>
  <si>
    <t>Preço Médio</t>
  </si>
  <si>
    <t>Subtipo do Registro - Outro</t>
  </si>
  <si>
    <t>Receita da venda de recicláveis</t>
  </si>
  <si>
    <t>Metal</t>
  </si>
  <si>
    <t>Alumínio Latinha</t>
  </si>
  <si>
    <t>12/15/2024, 12:00 PM</t>
  </si>
  <si>
    <t>Inox</t>
  </si>
  <si>
    <t>Alumínio Bloco</t>
  </si>
  <si>
    <t>Alumínio Panela</t>
  </si>
  <si>
    <t>Elétrico ou Eletrônicos</t>
  </si>
  <si>
    <t>Bateria</t>
  </si>
  <si>
    <t>Informática</t>
  </si>
  <si>
    <t>placa</t>
  </si>
  <si>
    <t>Memória</t>
  </si>
  <si>
    <t>Sucata Eletrônica</t>
  </si>
  <si>
    <t>Ferro</t>
  </si>
  <si>
    <t>Vidro</t>
  </si>
  <si>
    <t>Inteiro</t>
  </si>
  <si>
    <t>Plástico</t>
  </si>
  <si>
    <t>PET Colorido (Embalagens de PET colorido, PET bagunça)</t>
  </si>
  <si>
    <t>PEAD Filme (Cristal)</t>
  </si>
  <si>
    <t>PEAD (Embalagens de produtos de limpeza)</t>
  </si>
  <si>
    <t>PP Rígido (Balde, bacia, potes de sorvetes, margarina, entre outros)</t>
  </si>
  <si>
    <t>PEBD Filme (Sacolinha, Sacos de lixo, Lona Preta)</t>
  </si>
  <si>
    <t>PVC (Cano, Forro, Tubulação de cano)</t>
  </si>
  <si>
    <t>PS (Copos descartáveis)</t>
  </si>
  <si>
    <t>PP Ráfia (Sacaria)</t>
  </si>
  <si>
    <t>Papéis</t>
  </si>
  <si>
    <t>Papel Misto</t>
  </si>
  <si>
    <t>Papelão</t>
  </si>
  <si>
    <t>Receita da prestação de serviços</t>
  </si>
  <si>
    <t>Serviço de Logística Reversa</t>
  </si>
  <si>
    <t>Despesa</t>
  </si>
  <si>
    <t xml:space="preserve">Impostos/taxas   </t>
  </si>
  <si>
    <t>Rejeito</t>
  </si>
  <si>
    <t>Chaparia</t>
  </si>
  <si>
    <t>Sucatas</t>
  </si>
  <si>
    <t>Papel Branco</t>
  </si>
  <si>
    <t>Papel Cimento</t>
  </si>
  <si>
    <t>PS Expansível (Isopor)</t>
  </si>
  <si>
    <t>PET Cristal (Embalagens de refrigerante transparente)</t>
  </si>
  <si>
    <t>PET Verde (Embalagens de refrigerante verde)</t>
  </si>
  <si>
    <t>PET Óleo (Embalagens de óleo de cozinha)</t>
  </si>
  <si>
    <t>Outro tipo de plástico</t>
  </si>
  <si>
    <t>Fita arquemento ( PET )</t>
  </si>
  <si>
    <t>PS Rígido (Forro de geladeiras)</t>
  </si>
  <si>
    <t>Tampinha de Garrafas ( PP ) 2 Bags</t>
  </si>
  <si>
    <t>PEAD Injeção (Caixaria)</t>
  </si>
  <si>
    <t>Contratos</t>
  </si>
  <si>
    <t>null</t>
  </si>
  <si>
    <t xml:space="preserve">Combustível  </t>
  </si>
  <si>
    <t xml:space="preserve">Conserto e manutenção de equipamentos/veículo   </t>
  </si>
  <si>
    <t>Tetra Pack</t>
  </si>
  <si>
    <t>Caco</t>
  </si>
  <si>
    <t xml:space="preserve">Fundo de caixa   </t>
  </si>
  <si>
    <t>Outra Despesa</t>
  </si>
  <si>
    <t>internet</t>
  </si>
  <si>
    <t>sistema de nfe</t>
  </si>
  <si>
    <t>valor fornecido para viagem de associados</t>
  </si>
  <si>
    <t>Outros Metais</t>
  </si>
  <si>
    <t>Cobre Limpo</t>
  </si>
  <si>
    <t>Cobre Sujo</t>
  </si>
  <si>
    <t>Funcionário/Apoio Técnico</t>
  </si>
  <si>
    <t>motorista</t>
  </si>
  <si>
    <t>Contabilidade</t>
  </si>
  <si>
    <t>TUDO</t>
  </si>
  <si>
    <t>PP Filme (Estralador, embalagens internas de pacotes de bolacha)</t>
  </si>
  <si>
    <t>ABS (Carcaça de televisor, computador e eletrodomésticos)</t>
  </si>
  <si>
    <t>PP Mineral (Copinho de água mineral)</t>
  </si>
  <si>
    <t>BANCO</t>
  </si>
  <si>
    <t>ESCRITORIO</t>
  </si>
  <si>
    <t>ADVOGADO</t>
  </si>
  <si>
    <t xml:space="preserve">Fita de arqueamento para fardos  </t>
  </si>
  <si>
    <t>tomada</t>
  </si>
  <si>
    <t xml:space="preserve">tomada de força da esteira + instalaçao </t>
  </si>
  <si>
    <t xml:space="preserve">Energia Elétrica </t>
  </si>
  <si>
    <t xml:space="preserve">Água  </t>
  </si>
  <si>
    <t>contabilidade</t>
  </si>
  <si>
    <t>PP Preto</t>
  </si>
  <si>
    <t>PP Colorido</t>
  </si>
  <si>
    <t>Sacola colorida</t>
  </si>
  <si>
    <t>Garrafinha colorida</t>
  </si>
  <si>
    <t>Garrafinha Branca</t>
  </si>
  <si>
    <t>PP Branco</t>
  </si>
  <si>
    <t>Pet Bandeja</t>
  </si>
  <si>
    <t xml:space="preserve">Fita pet </t>
  </si>
  <si>
    <t xml:space="preserve">Materiais administrativos  </t>
  </si>
  <si>
    <t xml:space="preserve">Alimentação </t>
  </si>
  <si>
    <t>aquisição de kombi</t>
  </si>
  <si>
    <t>11/15/2024, 12:00 PM</t>
  </si>
  <si>
    <t xml:space="preserve">Equipamentos de Proteção Individual  </t>
  </si>
  <si>
    <t xml:space="preserve">Materiais de limpeza </t>
  </si>
  <si>
    <t xml:space="preserve">Aluguel   </t>
  </si>
  <si>
    <t>impostos, contador, manutenção, internet, transporte, darf, inss, etc.</t>
  </si>
  <si>
    <t xml:space="preserve">parachoque </t>
  </si>
  <si>
    <t>FITA PET VERDE</t>
  </si>
  <si>
    <t xml:space="preserve">Gás </t>
  </si>
  <si>
    <t>pp estralador</t>
  </si>
  <si>
    <t>sacola colorida</t>
  </si>
  <si>
    <t>pp colorido</t>
  </si>
  <si>
    <t>garrafinha colorida</t>
  </si>
  <si>
    <t>garrafinha branca</t>
  </si>
  <si>
    <t>pp preto</t>
  </si>
  <si>
    <t>pet colorida</t>
  </si>
  <si>
    <t>pet bandeja</t>
  </si>
  <si>
    <t>pp branco</t>
  </si>
  <si>
    <t>Óleo</t>
  </si>
  <si>
    <t>Óleo de cozinha usado</t>
  </si>
  <si>
    <t>Despesas da cooperativa, diárias de motorista, abastecimento, inss, rescisão trabalhista, etc...</t>
  </si>
  <si>
    <t>Parachoque</t>
  </si>
  <si>
    <t>Motor</t>
  </si>
  <si>
    <t>Compra de material reciclável</t>
  </si>
  <si>
    <t xml:space="preserve">Manutenção de conta e emissão de nota fiscal </t>
  </si>
  <si>
    <t xml:space="preserve">Mensalidade - relogio ponto </t>
  </si>
  <si>
    <t xml:space="preserve">Mensalidade - sistema de monitoramento </t>
  </si>
  <si>
    <t xml:space="preserve">Pagamento por dias trabalhados </t>
  </si>
  <si>
    <t>INSS</t>
  </si>
  <si>
    <t>Imposto de Renda</t>
  </si>
  <si>
    <t>Cesta Básica</t>
  </si>
  <si>
    <t>INSS, Combustível, Internet sem fio, Sistema de NF, Limpeza àrea verde, Manutenção do Bebedouro, Monitoramento interno e instalação de mais câmeras, Supermercado, Papelaria, Trabalhador diarista.</t>
  </si>
  <si>
    <t>bandeja</t>
  </si>
  <si>
    <t xml:space="preserve">Taxa banco, compras EPIs, fitilho, contadora, peso AB, assessoria juridica, discos de corte, consertos prensas </t>
  </si>
  <si>
    <t>capsulas de café pós consumo</t>
  </si>
  <si>
    <t>Outro Serviço</t>
  </si>
  <si>
    <t>manifestos</t>
  </si>
  <si>
    <t>guarda cooperativa</t>
  </si>
  <si>
    <t>motorista cooperativa</t>
  </si>
  <si>
    <t>uber/maxin/indrive/99 - transporte cooperados ausencia de motorista</t>
  </si>
  <si>
    <t>internet e telefone</t>
  </si>
  <si>
    <t>aluguel impressora</t>
  </si>
  <si>
    <t>guias INSS</t>
  </si>
  <si>
    <t>Impostos, INSS, Internet sem fio, Lavagem do caminhão, Monitoramento.</t>
  </si>
  <si>
    <t xml:space="preserve">sucata </t>
  </si>
  <si>
    <t>pet bandeija</t>
  </si>
  <si>
    <t>Pagamaneto de emprestimo</t>
  </si>
  <si>
    <t>TAXAS</t>
  </si>
  <si>
    <t>RAIO X</t>
  </si>
  <si>
    <t>FITILHO</t>
  </si>
  <si>
    <t>CD</t>
  </si>
  <si>
    <t>Stretch</t>
  </si>
  <si>
    <t>Madeira</t>
  </si>
  <si>
    <t>Sucata Celular</t>
  </si>
  <si>
    <t>Mensalidade cresol</t>
  </si>
  <si>
    <t>venda de estopas e tapetes</t>
  </si>
  <si>
    <t>fita pet</t>
  </si>
  <si>
    <t>STRECH</t>
  </si>
  <si>
    <t>BOMBONA/PE</t>
  </si>
  <si>
    <t>PARACHOQUES</t>
  </si>
  <si>
    <t>VENDA DE ISOPOR</t>
  </si>
  <si>
    <t>MUDAS PARA HORTA</t>
  </si>
  <si>
    <t>LOJA DAMKE</t>
  </si>
  <si>
    <t>SISTEMA COMPUTEC</t>
  </si>
  <si>
    <t>RADIO SINUELO</t>
  </si>
  <si>
    <t>TEWCIDOS PARA UNIFORMES</t>
  </si>
  <si>
    <t>EMPRESTIMO LUCAS</t>
  </si>
  <si>
    <t>AVIAMENTO PARA UNIFORMES</t>
  </si>
  <si>
    <t>VENTILADOR</t>
  </si>
  <si>
    <t>INTERNET</t>
  </si>
  <si>
    <t>VENENO RATO E MOSCA</t>
  </si>
  <si>
    <t>FERRAGENS ITAIPULANDIA</t>
  </si>
  <si>
    <t>inss</t>
  </si>
  <si>
    <t>diarista</t>
  </si>
  <si>
    <t>compra material reciclavel</t>
  </si>
  <si>
    <t>gas de cozinha</t>
  </si>
  <si>
    <t>parachoque</t>
  </si>
  <si>
    <t>dia de lazer bissoloti</t>
  </si>
  <si>
    <t>cameras</t>
  </si>
  <si>
    <t>internet fixa +  movel</t>
  </si>
  <si>
    <t>sacola preta</t>
  </si>
  <si>
    <t>fita verde</t>
  </si>
  <si>
    <t>pp tampinha</t>
  </si>
  <si>
    <t>PVC BOTA</t>
  </si>
  <si>
    <t>ps preto</t>
  </si>
  <si>
    <t>Seguro</t>
  </si>
  <si>
    <t>Curso de brigadista</t>
  </si>
  <si>
    <t>Cesta bancária</t>
  </si>
  <si>
    <t>Mensalidade da Internet</t>
  </si>
  <si>
    <t>Brinde final de ano</t>
  </si>
  <si>
    <t>BOPP (Embalagens de salgadinhos, bolachas, embalagens metalizadas)</t>
  </si>
  <si>
    <t>Sacola Preta</t>
  </si>
  <si>
    <t>Garrafinha Colorida</t>
  </si>
  <si>
    <t>Aparas de Bombona</t>
  </si>
  <si>
    <t>Cristal/Maravalha</t>
  </si>
  <si>
    <t>Strecth</t>
  </si>
  <si>
    <t>Fita Pet</t>
  </si>
  <si>
    <t>Manutenção Preventiva Caminhão Baú</t>
  </si>
  <si>
    <t>parafinado</t>
  </si>
  <si>
    <t>GPS</t>
  </si>
  <si>
    <t>PARA-CHOQUE</t>
  </si>
  <si>
    <t>FITA VERDE</t>
  </si>
  <si>
    <t>Transporte</t>
  </si>
  <si>
    <t>Monitoramento</t>
  </si>
  <si>
    <t>misto</t>
  </si>
  <si>
    <t>PP branco</t>
  </si>
  <si>
    <t>Plástico PEAD</t>
  </si>
  <si>
    <t>Plástico PS (caixa de tv)</t>
  </si>
  <si>
    <t>Internet</t>
  </si>
  <si>
    <t>Plástico PP</t>
  </si>
  <si>
    <t xml:space="preserve">Despejas geral da associação </t>
  </si>
  <si>
    <t>Pagamento por tonelada triada - Prefeitura.</t>
  </si>
  <si>
    <t>Bazar</t>
  </si>
  <si>
    <t>prestaçao de serviço/ diaria</t>
  </si>
  <si>
    <t>doação para rifa</t>
  </si>
  <si>
    <t>fita</t>
  </si>
  <si>
    <t>lei</t>
  </si>
  <si>
    <t>MANIFESTO</t>
  </si>
  <si>
    <t>ALIMENTAÇÃO</t>
  </si>
  <si>
    <t>PNEU</t>
  </si>
  <si>
    <t>CARTÓRIO</t>
  </si>
  <si>
    <t>IMPOSTOS</t>
  </si>
  <si>
    <t>QUITAÇÃO DE DÍVIDA</t>
  </si>
  <si>
    <t>FITA PET</t>
  </si>
  <si>
    <t>SACOLA COLORIDA</t>
  </si>
  <si>
    <t>GARRAFA COLORIDA</t>
  </si>
  <si>
    <t>GARRAFA BRANCA</t>
  </si>
  <si>
    <t>bombona</t>
  </si>
  <si>
    <t>BZS SISTEMA DE INTERNT</t>
  </si>
  <si>
    <t>lonas</t>
  </si>
  <si>
    <t>strech</t>
  </si>
  <si>
    <t>cx plastica</t>
  </si>
  <si>
    <t>pead branco</t>
  </si>
  <si>
    <t>para choque</t>
  </si>
  <si>
    <t>ABS/PS</t>
  </si>
  <si>
    <t>P.P. MISTO</t>
  </si>
  <si>
    <t>SACOLA MISTA</t>
  </si>
  <si>
    <t>Gás, Diárias Funcionário, materiais de limpeza.</t>
  </si>
  <si>
    <t>Declarações de descarte de resíduo reciclável de obra (manifestos)</t>
  </si>
  <si>
    <t>CONTABILIDADE</t>
  </si>
  <si>
    <t>compras de materiais (residuos reciclaveis)</t>
  </si>
  <si>
    <t>cristal</t>
  </si>
  <si>
    <t>PEAD BOMBONA</t>
  </si>
  <si>
    <t xml:space="preserve">Lei de incentivo </t>
  </si>
  <si>
    <t>Veneno, corda, cadeado, silicone e policorte</t>
  </si>
  <si>
    <t>Contador</t>
  </si>
  <si>
    <t xml:space="preserve">PEAD BOMBONA </t>
  </si>
  <si>
    <t>LONA PRETA</t>
  </si>
  <si>
    <t xml:space="preserve">comidas, produtos de higienie e limpeza </t>
  </si>
  <si>
    <t>Impostos, darf, contador, internet, transporte, manutenção, despesas extras, etc.</t>
  </si>
  <si>
    <t xml:space="preserve">contrato pela prefeitura </t>
  </si>
  <si>
    <t>Processador</t>
  </si>
  <si>
    <t>total</t>
  </si>
  <si>
    <t>advogado</t>
  </si>
  <si>
    <t>Pad Colorido</t>
  </si>
  <si>
    <t>Telefone</t>
  </si>
  <si>
    <t>Certificado digital</t>
  </si>
  <si>
    <t>PP MISTO</t>
  </si>
  <si>
    <t>PP BRANCO</t>
  </si>
  <si>
    <t>PARACHOQUE PRETO</t>
  </si>
  <si>
    <t>FITA BRANCA</t>
  </si>
  <si>
    <t>PVC FLEXÍVEL</t>
  </si>
  <si>
    <t>para-choque</t>
  </si>
  <si>
    <t>cesta basica</t>
  </si>
  <si>
    <t xml:space="preserve">contabilidade </t>
  </si>
  <si>
    <t>cesta básica</t>
  </si>
  <si>
    <t>EPI's</t>
  </si>
  <si>
    <t>peso AB, contadora, advogado, taxa banco, compra mimos fim de ano, limpeza placas, restante do exaustor</t>
  </si>
  <si>
    <t>Despesas da cooperativa, diárias de motorista, abastecimento, inss, rescisão trabalhista, etc..</t>
  </si>
  <si>
    <t xml:space="preserve">compra de material recicável </t>
  </si>
  <si>
    <t xml:space="preserve">mensalidade - relógio ponto </t>
  </si>
  <si>
    <t xml:space="preserve">mensalidade - sistema de monitoramento </t>
  </si>
  <si>
    <t xml:space="preserve">compra de material reciclável </t>
  </si>
  <si>
    <t xml:space="preserve">monitoramento </t>
  </si>
  <si>
    <t xml:space="preserve">Imposto de renda </t>
  </si>
  <si>
    <t xml:space="preserve">Cesta Basica, EPIS, Advogado,Uniformes, Seguro,Contador ,Ponto eletronico e Internet ,Gas do barracão, Manutenção </t>
  </si>
  <si>
    <t>Contadora</t>
  </si>
  <si>
    <t>Sistema de Monitoramento</t>
  </si>
  <si>
    <t>Cesta Básica Cooperados</t>
  </si>
  <si>
    <t>INSS, Internet sem fio, Sistema de NF, Limpeza área verde, Sistema de Monitoramento, Lavagem do Caminhão.</t>
  </si>
  <si>
    <t>Convênios</t>
  </si>
  <si>
    <t>Brinde Final de ano</t>
  </si>
  <si>
    <t>Tampinhas ( PP )</t>
  </si>
  <si>
    <t>transportadora</t>
  </si>
  <si>
    <t>herbicida de jardim</t>
  </si>
  <si>
    <t>Sacola Colorida</t>
  </si>
  <si>
    <t xml:space="preserve">Garrafinha Colorida </t>
  </si>
  <si>
    <t>Parachoque PP</t>
  </si>
  <si>
    <t>Manutenção bebedouro, INSS, Internet, Lavagem caminhão, Monitoramento, Manutenção dos equipamentos.</t>
  </si>
  <si>
    <t>Cesta básica cooperados</t>
  </si>
  <si>
    <t xml:space="preserve">PARACHOQUE </t>
  </si>
  <si>
    <t>Impostos, transporte, internet, contador, manutenção, monitoramento caminhão, etc.</t>
  </si>
  <si>
    <t xml:space="preserve">JArdinagem </t>
  </si>
  <si>
    <t xml:space="preserve">parafinado </t>
  </si>
  <si>
    <t xml:space="preserve">Consultoria jurídica </t>
  </si>
  <si>
    <t>Cesta de relacionamento</t>
  </si>
  <si>
    <t>Bombona/PE</t>
  </si>
  <si>
    <t>Parachoques</t>
  </si>
  <si>
    <t>Venda de Estopas, Tapetes, Roupas</t>
  </si>
  <si>
    <t>COMPRA DE MATERIAIS PARA UNIFORMES</t>
  </si>
  <si>
    <t>COMPRA DE VENENO MOSCA/RATO</t>
  </si>
  <si>
    <t>FERRAGENS ITAIPULÂNDIA</t>
  </si>
  <si>
    <t>PARCELA DAMKE</t>
  </si>
  <si>
    <t>SANTOS CONTABILIDADE</t>
  </si>
  <si>
    <t>EMPRÉSTIMO SICOOB</t>
  </si>
  <si>
    <t>TROCA DE ENDEREÇO INTERNET(BAZAR)</t>
  </si>
  <si>
    <t>INTERNET BAZAR E BARRACÃO</t>
  </si>
  <si>
    <t>PESAGEM LAR</t>
  </si>
  <si>
    <t>stretch</t>
  </si>
  <si>
    <t>Mensalidade Cresol</t>
  </si>
  <si>
    <t>tampinha pead</t>
  </si>
  <si>
    <t>pead para choque</t>
  </si>
  <si>
    <t>rateio caixa fim de ano</t>
  </si>
  <si>
    <t>Kit prefeito</t>
  </si>
  <si>
    <t>sistema de NFE</t>
  </si>
  <si>
    <t>lona</t>
  </si>
  <si>
    <t>caixa plástica</t>
  </si>
  <si>
    <t>big bags</t>
  </si>
  <si>
    <t>rateio referente o valor da contrataçõa anual. dinheiro era aplicado mensalmente, para que fosse feito um unico rateio no final de ano</t>
  </si>
  <si>
    <t xml:space="preserve">Prestação de serviço tercerizado </t>
  </si>
  <si>
    <t>Plastico Misto</t>
  </si>
  <si>
    <t xml:space="preserve">bombona </t>
  </si>
  <si>
    <t>caixa plastica</t>
  </si>
  <si>
    <t xml:space="preserve">GAS DE EMPILHADEIRA </t>
  </si>
  <si>
    <t xml:space="preserve">CONTABILIDADE </t>
  </si>
  <si>
    <t>dia de serviço</t>
  </si>
  <si>
    <t>aquisição de botijão gas de cozinha</t>
  </si>
  <si>
    <t>Combustivel, materiais de limpeza, Gás, Diária funcionário extra.</t>
  </si>
  <si>
    <t>1/15/2025, 12:00 PM</t>
  </si>
  <si>
    <t>telefone</t>
  </si>
  <si>
    <t>contador</t>
  </si>
  <si>
    <t>Contador, INSS, monitoramento de caminhão, prefeitura, valor guardado para fins rescisórios, aluguel de pátio do caminhão COAAFI e combústivel, FGTS, seguro de vida, ACIFI, DARF, (referente à nota de cobrança de fatura), internet e outros.</t>
  </si>
  <si>
    <t>compra de material reciclavel</t>
  </si>
  <si>
    <t xml:space="preserve">manutenção de conta bancaria e emissao de nota fiscal </t>
  </si>
  <si>
    <t>mensalidade - relogio ponto</t>
  </si>
  <si>
    <t>mensalidade - sistema de monitoramento</t>
  </si>
  <si>
    <t>Imposto de renda</t>
  </si>
  <si>
    <t>Sistema emissão de NF</t>
  </si>
  <si>
    <t>PET bandeja transparente</t>
  </si>
  <si>
    <t>compras de materiais</t>
  </si>
  <si>
    <t>Desperdício Cristal - Maravalha</t>
  </si>
  <si>
    <t>Desperdicio Bombona</t>
  </si>
  <si>
    <t xml:space="preserve">Rafia </t>
  </si>
  <si>
    <t xml:space="preserve">peso ab, contadora, taxa banco, asessoria juridica, presnete fim de ano associados, combustivel carro. </t>
  </si>
  <si>
    <t>Pagamento INSS (MEI)</t>
  </si>
  <si>
    <t>maravalha</t>
  </si>
  <si>
    <t>caixaria</t>
  </si>
  <si>
    <t>INSS, Internet sem fio, Sistema de NF, Limpeza área verde, Sistema de vigilância da UVR e GPS do caminhão, Papelaria, Trabalhadores diarista, Compra de ferramentas, Tarifa bancária, Tributos Municipais.</t>
  </si>
  <si>
    <t xml:space="preserve">Cesta basica, EPIS,advogado, uniformes,seguro, contador, ponto eletronico e internet, gas do barracao, manutenção </t>
  </si>
  <si>
    <t>Fita PET</t>
  </si>
  <si>
    <t>BOTA DE BORRACHA</t>
  </si>
  <si>
    <t>PARACHOQUE</t>
  </si>
  <si>
    <t xml:space="preserve">CD </t>
  </si>
  <si>
    <t>Impostos, contador, manutenção interna, internet, inss, combustível, aluguel, etc.</t>
  </si>
  <si>
    <t>Cesta de relacionamento e seguro de vida</t>
  </si>
  <si>
    <t xml:space="preserve">Saúde Integrada a todos associados </t>
  </si>
  <si>
    <t>Manutenção</t>
  </si>
  <si>
    <t>Impostos, INSS, Internet, Lavagem caminhão, Sistema monitoramento interno.</t>
  </si>
  <si>
    <t>Cesta básica</t>
  </si>
  <si>
    <t>P.P.MISTO</t>
  </si>
  <si>
    <t>GARRAFINHA COLORIDA</t>
  </si>
  <si>
    <t>Imposto/ taxa, diárias com funcionário, gás, produtos de limpeza.</t>
  </si>
  <si>
    <t>tampinha</t>
  </si>
  <si>
    <t>PP PRETO</t>
  </si>
  <si>
    <t>BOMBONA</t>
  </si>
  <si>
    <t>SISTEMA DE NFE</t>
  </si>
  <si>
    <t xml:space="preserve">PP Colorido </t>
  </si>
  <si>
    <t>Sacolinha Colorida</t>
  </si>
  <si>
    <t>GAS DE EMPILHADEIRA</t>
  </si>
  <si>
    <t>PET - Bandeja transparente</t>
  </si>
  <si>
    <t>veneno para ratos</t>
  </si>
  <si>
    <t>aquisição de ferramentas</t>
  </si>
  <si>
    <t>CRISTAL MARAVALHA</t>
  </si>
  <si>
    <t>Outros</t>
  </si>
  <si>
    <t>Terceiros</t>
  </si>
  <si>
    <t xml:space="preserve">misto </t>
  </si>
  <si>
    <t>Tarifa conta bancária</t>
  </si>
  <si>
    <t>Utensílio cozinha - chaleira</t>
  </si>
  <si>
    <t>Catador autônomo parceiro</t>
  </si>
  <si>
    <t>PP</t>
  </si>
  <si>
    <t>jardinagem</t>
  </si>
  <si>
    <t xml:space="preserve">contratos e serviço terserizado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</si>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</sst>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workbookViewId="0">
      <selection activeCell="F23" sqref="F23"/>
    </sheetView>
  </sheetViews>
  <sheetFormatPr defaultRowHeight="15"/>
  <cols>
    <col min="1" max="1" width="9.42578125" customWidth="1"/>
    <col min="2" max="2" width="24.28515625" customWidth="1"/>
    <col min="4" max="4" width="14.42578125" bestFit="1" customWidth="1"/>
    <col min="5" max="5" width="22" customWidth="1"/>
    <col min="6" max="6" width="31.140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6" t="s">
        <v>8</v>
      </c>
      <c r="D2" s="1" t="s">
        <v>9</v>
      </c>
      <c r="E2" s="1" t="s">
        <v>10</v>
      </c>
      <c r="F2" s="1" t="str">
        <f>""&amp;RIGHT(LEFT(E2,5),2)&amp;"/"&amp;LEFT(E2,2)&amp;"/"&amp;RIGHT(E2,4)</f>
        <v>11/15/2024</v>
      </c>
    </row>
    <row r="3" spans="1:6">
      <c r="A3" s="1" t="s">
        <v>11</v>
      </c>
      <c r="B3" s="1" t="s">
        <v>12</v>
      </c>
      <c r="C3" s="6" t="s">
        <v>8</v>
      </c>
      <c r="D3" s="1" t="s">
        <v>9</v>
      </c>
      <c r="E3" s="1" t="s">
        <v>10</v>
      </c>
      <c r="F3" s="1" t="str">
        <f t="shared" ref="F3:F23" si="0">""&amp;RIGHT(LEFT(E3,5),2)&amp;"/"&amp;LEFT(E3,2)&amp;"/"&amp;RIGHT(E3,4)</f>
        <v>11/15/2024</v>
      </c>
    </row>
    <row r="4" spans="1:6">
      <c r="A4" s="1" t="s">
        <v>11</v>
      </c>
      <c r="B4" s="1" t="s">
        <v>13</v>
      </c>
      <c r="C4" s="6" t="s">
        <v>8</v>
      </c>
      <c r="D4" s="1" t="s">
        <v>9</v>
      </c>
      <c r="E4" s="1" t="s">
        <v>10</v>
      </c>
      <c r="F4" s="1" t="str">
        <f t="shared" si="0"/>
        <v>11/15/2024</v>
      </c>
    </row>
    <row r="5" spans="1:6">
      <c r="A5" s="1" t="s">
        <v>11</v>
      </c>
      <c r="B5" s="1" t="s">
        <v>14</v>
      </c>
      <c r="C5" s="6" t="s">
        <v>8</v>
      </c>
      <c r="D5" s="1" t="s">
        <v>15</v>
      </c>
      <c r="E5" s="1" t="s">
        <v>16</v>
      </c>
      <c r="F5" s="1" t="str">
        <f t="shared" si="0"/>
        <v>12/15/2024</v>
      </c>
    </row>
    <row r="6" spans="1:6">
      <c r="A6" s="1" t="s">
        <v>6</v>
      </c>
      <c r="B6" s="1" t="s">
        <v>17</v>
      </c>
      <c r="C6" s="6" t="s">
        <v>8</v>
      </c>
      <c r="D6" s="1" t="s">
        <v>15</v>
      </c>
      <c r="E6" s="1" t="s">
        <v>16</v>
      </c>
      <c r="F6" s="1" t="str">
        <f t="shared" si="0"/>
        <v>12/15/2024</v>
      </c>
    </row>
    <row r="7" spans="1:6">
      <c r="A7" s="1" t="s">
        <v>6</v>
      </c>
      <c r="B7" s="1" t="s">
        <v>7</v>
      </c>
      <c r="C7" s="6" t="s">
        <v>8</v>
      </c>
      <c r="D7" s="1" t="s">
        <v>15</v>
      </c>
      <c r="E7" s="1" t="s">
        <v>16</v>
      </c>
      <c r="F7" s="1" t="str">
        <f t="shared" si="0"/>
        <v>12/15/2024</v>
      </c>
    </row>
    <row r="8" spans="1:6">
      <c r="A8" s="1" t="s">
        <v>18</v>
      </c>
      <c r="B8" s="1" t="s">
        <v>19</v>
      </c>
      <c r="C8" s="6" t="s">
        <v>20</v>
      </c>
      <c r="D8" s="1" t="s">
        <v>15</v>
      </c>
      <c r="E8" s="1" t="s">
        <v>16</v>
      </c>
      <c r="F8" s="1" t="str">
        <f t="shared" si="0"/>
        <v>12/15/2024</v>
      </c>
    </row>
    <row r="9" spans="1:6">
      <c r="A9" s="1" t="s">
        <v>6</v>
      </c>
      <c r="B9" s="1" t="s">
        <v>21</v>
      </c>
      <c r="C9" s="6" t="s">
        <v>8</v>
      </c>
      <c r="D9" s="1" t="s">
        <v>15</v>
      </c>
      <c r="E9" s="1" t="s">
        <v>16</v>
      </c>
      <c r="F9" s="1" t="str">
        <f t="shared" si="0"/>
        <v>12/15/2024</v>
      </c>
    </row>
    <row r="10" spans="1:6">
      <c r="A10" s="1" t="s">
        <v>22</v>
      </c>
      <c r="B10" s="1" t="s">
        <v>23</v>
      </c>
      <c r="C10" s="6" t="s">
        <v>8</v>
      </c>
      <c r="D10" s="1" t="s">
        <v>15</v>
      </c>
      <c r="E10" s="1" t="s">
        <v>16</v>
      </c>
      <c r="F10" s="1" t="str">
        <f t="shared" si="0"/>
        <v>12/15/2024</v>
      </c>
    </row>
    <row r="11" spans="1:6">
      <c r="A11" s="1" t="s">
        <v>22</v>
      </c>
      <c r="B11" s="1" t="s">
        <v>23</v>
      </c>
      <c r="C11" s="6" t="s">
        <v>24</v>
      </c>
      <c r="D11" s="1" t="s">
        <v>15</v>
      </c>
      <c r="E11" s="1" t="s">
        <v>16</v>
      </c>
      <c r="F11" s="1" t="str">
        <f t="shared" si="0"/>
        <v>12/15/2024</v>
      </c>
    </row>
    <row r="12" spans="1:6">
      <c r="A12" s="1" t="s">
        <v>11</v>
      </c>
      <c r="B12" s="1" t="s">
        <v>12</v>
      </c>
      <c r="C12" s="6" t="s">
        <v>8</v>
      </c>
      <c r="D12" s="1" t="s">
        <v>15</v>
      </c>
      <c r="E12" s="1" t="s">
        <v>16</v>
      </c>
      <c r="F12" s="1" t="str">
        <f t="shared" si="0"/>
        <v>12/15/2024</v>
      </c>
    </row>
    <row r="13" spans="1:6">
      <c r="A13" s="1" t="s">
        <v>11</v>
      </c>
      <c r="B13" s="1" t="s">
        <v>25</v>
      </c>
      <c r="C13" s="6" t="s">
        <v>8</v>
      </c>
      <c r="D13" s="1" t="s">
        <v>15</v>
      </c>
      <c r="E13" s="1" t="s">
        <v>16</v>
      </c>
      <c r="F13" s="1" t="str">
        <f t="shared" si="0"/>
        <v>12/15/2024</v>
      </c>
    </row>
    <row r="14" spans="1:6">
      <c r="A14" s="1" t="s">
        <v>11</v>
      </c>
      <c r="B14" s="1" t="s">
        <v>14</v>
      </c>
      <c r="C14" s="6" t="s">
        <v>8</v>
      </c>
      <c r="D14" s="1" t="s">
        <v>26</v>
      </c>
      <c r="E14" s="1" t="s">
        <v>27</v>
      </c>
      <c r="F14" s="1" t="str">
        <f>""&amp;RIGHT(LEFT(E14,5),2)&amp;""&amp;LEFT(E14,2)&amp;"/"&amp;RIGHT(E14,4)</f>
        <v>1/15/2025</v>
      </c>
    </row>
    <row r="15" spans="1:6">
      <c r="A15" s="1" t="s">
        <v>11</v>
      </c>
      <c r="B15" s="1" t="s">
        <v>28</v>
      </c>
      <c r="C15" s="6" t="s">
        <v>8</v>
      </c>
      <c r="D15" s="1" t="s">
        <v>26</v>
      </c>
      <c r="E15" s="1" t="s">
        <v>27</v>
      </c>
      <c r="F15" s="1" t="str">
        <f t="shared" ref="F15:F23" si="1">""&amp;RIGHT(LEFT(E15,5),2)&amp;""&amp;LEFT(E15,2)&amp;"/"&amp;RIGHT(E15,4)</f>
        <v>1/15/2025</v>
      </c>
    </row>
    <row r="16" spans="1:6">
      <c r="A16" s="1" t="s">
        <v>6</v>
      </c>
      <c r="B16" s="1" t="s">
        <v>17</v>
      </c>
      <c r="C16" s="6" t="s">
        <v>8</v>
      </c>
      <c r="D16" s="1" t="s">
        <v>26</v>
      </c>
      <c r="E16" s="1" t="s">
        <v>27</v>
      </c>
      <c r="F16" s="1" t="str">
        <f t="shared" si="1"/>
        <v>1/15/2025</v>
      </c>
    </row>
    <row r="17" spans="1:6">
      <c r="A17" s="1" t="s">
        <v>18</v>
      </c>
      <c r="B17" s="1" t="s">
        <v>19</v>
      </c>
      <c r="C17" s="6" t="s">
        <v>20</v>
      </c>
      <c r="D17" s="1" t="s">
        <v>26</v>
      </c>
      <c r="E17" s="1" t="s">
        <v>27</v>
      </c>
      <c r="F17" s="1" t="str">
        <f t="shared" si="1"/>
        <v>1/15/2025</v>
      </c>
    </row>
    <row r="18" spans="1:6">
      <c r="A18" s="1" t="s">
        <v>6</v>
      </c>
      <c r="B18" s="1" t="s">
        <v>21</v>
      </c>
      <c r="C18" s="6" t="s">
        <v>8</v>
      </c>
      <c r="D18" s="1" t="s">
        <v>26</v>
      </c>
      <c r="E18" s="1" t="s">
        <v>27</v>
      </c>
      <c r="F18" s="1" t="str">
        <f t="shared" si="1"/>
        <v>1/15/2025</v>
      </c>
    </row>
    <row r="19" spans="1:6">
      <c r="A19" s="1" t="s">
        <v>22</v>
      </c>
      <c r="B19" s="1" t="s">
        <v>23</v>
      </c>
      <c r="C19" s="6" t="s">
        <v>8</v>
      </c>
      <c r="D19" s="1" t="s">
        <v>26</v>
      </c>
      <c r="E19" s="1" t="s">
        <v>27</v>
      </c>
      <c r="F19" s="1" t="str">
        <f t="shared" si="1"/>
        <v>1/15/2025</v>
      </c>
    </row>
    <row r="20" spans="1:6">
      <c r="A20" s="1" t="s">
        <v>22</v>
      </c>
      <c r="B20" s="1" t="s">
        <v>23</v>
      </c>
      <c r="C20" s="6" t="s">
        <v>24</v>
      </c>
      <c r="D20" s="1" t="s">
        <v>26</v>
      </c>
      <c r="E20" s="1" t="s">
        <v>27</v>
      </c>
      <c r="F20" s="1" t="str">
        <f t="shared" si="1"/>
        <v>1/15/2025</v>
      </c>
    </row>
    <row r="21" spans="1:6">
      <c r="A21" s="1" t="s">
        <v>11</v>
      </c>
      <c r="B21" s="1" t="s">
        <v>25</v>
      </c>
      <c r="C21" s="6" t="s">
        <v>8</v>
      </c>
      <c r="D21" s="1" t="s">
        <v>26</v>
      </c>
      <c r="E21" s="1" t="s">
        <v>27</v>
      </c>
      <c r="F21" s="1" t="str">
        <f t="shared" si="1"/>
        <v>1/15/2025</v>
      </c>
    </row>
    <row r="22" spans="1:6">
      <c r="A22" s="1" t="s">
        <v>11</v>
      </c>
      <c r="B22" s="1" t="s">
        <v>25</v>
      </c>
      <c r="C22" s="6" t="s">
        <v>8</v>
      </c>
      <c r="D22" s="1" t="s">
        <v>26</v>
      </c>
      <c r="E22" s="1" t="s">
        <v>27</v>
      </c>
      <c r="F22" s="1" t="str">
        <f t="shared" si="1"/>
        <v>1/15/2025</v>
      </c>
    </row>
    <row r="23" spans="1:6">
      <c r="A23" s="1" t="s">
        <v>29</v>
      </c>
      <c r="B23" s="1" t="s">
        <v>30</v>
      </c>
      <c r="C23" s="6" t="s">
        <v>8</v>
      </c>
      <c r="D23" s="1" t="s">
        <v>26</v>
      </c>
      <c r="E23" s="1" t="s">
        <v>27</v>
      </c>
      <c r="F23" s="1" t="str">
        <f t="shared" si="1"/>
        <v>1/15/2025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EC32-1024-4A55-8896-5C5050B5B429}">
  <dimension ref="A1:L174"/>
  <sheetViews>
    <sheetView workbookViewId="0">
      <selection activeCell="A11" sqref="A11:B11"/>
    </sheetView>
  </sheetViews>
  <sheetFormatPr defaultRowHeight="15"/>
  <cols>
    <col min="1" max="1" width="24.28515625" bestFit="1" customWidth="1"/>
    <col min="2" max="2" width="32.28515625" bestFit="1" customWidth="1"/>
    <col min="3" max="3" width="12.140625" bestFit="1" customWidth="1"/>
    <col min="4" max="4" width="16.85546875" bestFit="1" customWidth="1"/>
    <col min="5" max="5" width="52.42578125" bestFit="1" customWidth="1"/>
    <col min="6" max="6" width="224.85546875" bestFit="1" customWidth="1"/>
    <col min="7" max="7" width="23.140625" bestFit="1" customWidth="1"/>
    <col min="8" max="8" width="24.42578125" bestFit="1" customWidth="1"/>
    <col min="9" max="9" width="9.5703125" bestFit="1" customWidth="1"/>
    <col min="10" max="10" width="35.85546875" bestFit="1" customWidth="1"/>
    <col min="11" max="11" width="10.7109375" bestFit="1" customWidth="1"/>
    <col min="12" max="12" width="21.7109375" bestFit="1" customWidth="1"/>
  </cols>
  <sheetData>
    <row r="1" spans="1:12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>
      <c r="A2" t="s">
        <v>42</v>
      </c>
      <c r="B2" t="s">
        <v>43</v>
      </c>
      <c r="C2" t="s">
        <v>8</v>
      </c>
      <c r="D2" t="s">
        <v>10</v>
      </c>
      <c r="E2">
        <v>9</v>
      </c>
      <c r="G2">
        <v>19071.16</v>
      </c>
      <c r="H2">
        <v>0</v>
      </c>
      <c r="I2">
        <v>0</v>
      </c>
      <c r="J2">
        <v>16471.400000000001</v>
      </c>
      <c r="K2">
        <v>0</v>
      </c>
      <c r="L2">
        <v>1200</v>
      </c>
    </row>
    <row r="3" spans="1:12">
      <c r="A3" t="s">
        <v>44</v>
      </c>
      <c r="B3" t="s">
        <v>45</v>
      </c>
      <c r="C3" t="s">
        <v>8</v>
      </c>
      <c r="D3" t="s">
        <v>10</v>
      </c>
      <c r="E3">
        <v>19</v>
      </c>
      <c r="F3" t="s">
        <v>46</v>
      </c>
      <c r="G3">
        <v>67793.31</v>
      </c>
      <c r="H3">
        <v>26176.5</v>
      </c>
      <c r="I3">
        <v>7256.65</v>
      </c>
      <c r="J3">
        <v>59380.3</v>
      </c>
      <c r="K3">
        <v>22672</v>
      </c>
      <c r="L3">
        <v>4478.5200000000004</v>
      </c>
    </row>
    <row r="4" spans="1:12">
      <c r="A4" t="s">
        <v>47</v>
      </c>
      <c r="B4" t="s">
        <v>48</v>
      </c>
      <c r="C4" t="s">
        <v>8</v>
      </c>
      <c r="D4" t="s">
        <v>10</v>
      </c>
      <c r="E4">
        <v>15</v>
      </c>
      <c r="G4">
        <v>25610.16</v>
      </c>
      <c r="H4">
        <v>25610.16</v>
      </c>
      <c r="I4">
        <v>477.25</v>
      </c>
      <c r="J4">
        <v>33396.6</v>
      </c>
      <c r="K4">
        <v>13697.9</v>
      </c>
      <c r="L4">
        <v>2176.34</v>
      </c>
    </row>
    <row r="5" spans="1:12">
      <c r="A5" t="s">
        <v>25</v>
      </c>
      <c r="B5" t="s">
        <v>49</v>
      </c>
      <c r="C5" t="s">
        <v>8</v>
      </c>
      <c r="D5" t="s">
        <v>10</v>
      </c>
      <c r="E5">
        <v>20</v>
      </c>
      <c r="F5" t="s">
        <v>50</v>
      </c>
      <c r="G5">
        <v>60299.1</v>
      </c>
      <c r="H5">
        <v>0</v>
      </c>
      <c r="I5">
        <v>12857.6</v>
      </c>
      <c r="J5">
        <v>94134</v>
      </c>
      <c r="K5">
        <v>59280</v>
      </c>
      <c r="L5">
        <v>3489.6</v>
      </c>
    </row>
    <row r="6" spans="1:12">
      <c r="A6" t="s">
        <v>19</v>
      </c>
      <c r="B6" t="s">
        <v>51</v>
      </c>
      <c r="C6" t="s">
        <v>52</v>
      </c>
      <c r="D6" t="s">
        <v>10</v>
      </c>
      <c r="E6">
        <v>21</v>
      </c>
      <c r="F6" t="s">
        <v>53</v>
      </c>
      <c r="G6">
        <v>48942.46</v>
      </c>
      <c r="H6">
        <v>35639.19</v>
      </c>
      <c r="I6">
        <v>35639.19</v>
      </c>
      <c r="J6">
        <v>41305.4</v>
      </c>
      <c r="K6">
        <v>6100</v>
      </c>
      <c r="L6">
        <v>2933.21</v>
      </c>
    </row>
    <row r="7" spans="1:12">
      <c r="A7" t="s">
        <v>54</v>
      </c>
      <c r="B7" t="s">
        <v>55</v>
      </c>
      <c r="C7" t="s">
        <v>8</v>
      </c>
      <c r="D7" t="s">
        <v>10</v>
      </c>
      <c r="E7">
        <v>17</v>
      </c>
      <c r="G7">
        <v>63618.97</v>
      </c>
      <c r="H7">
        <v>22223.11</v>
      </c>
      <c r="I7">
        <v>31891.02</v>
      </c>
      <c r="J7">
        <v>61224.5</v>
      </c>
      <c r="K7">
        <v>8825</v>
      </c>
      <c r="L7">
        <v>3156.12</v>
      </c>
    </row>
    <row r="8" spans="1:12">
      <c r="A8" t="s">
        <v>19</v>
      </c>
      <c r="B8" t="s">
        <v>56</v>
      </c>
      <c r="C8" t="s">
        <v>57</v>
      </c>
      <c r="D8" t="s">
        <v>10</v>
      </c>
      <c r="E8">
        <v>19</v>
      </c>
      <c r="G8">
        <v>17530.5</v>
      </c>
      <c r="H8">
        <v>29212.43</v>
      </c>
      <c r="I8">
        <v>22694.42</v>
      </c>
      <c r="J8">
        <v>22318</v>
      </c>
      <c r="K8">
        <v>3347.7</v>
      </c>
      <c r="L8">
        <v>1368</v>
      </c>
    </row>
    <row r="9" spans="1:12">
      <c r="A9" t="s">
        <v>58</v>
      </c>
      <c r="B9" t="s">
        <v>59</v>
      </c>
      <c r="C9" t="s">
        <v>8</v>
      </c>
      <c r="D9" t="s">
        <v>10</v>
      </c>
      <c r="E9">
        <v>20</v>
      </c>
      <c r="G9">
        <v>66332.61</v>
      </c>
      <c r="H9">
        <v>77678.97</v>
      </c>
      <c r="I9">
        <v>8627.9599999999991</v>
      </c>
      <c r="J9">
        <v>64840.18</v>
      </c>
      <c r="K9">
        <v>11.87</v>
      </c>
      <c r="L9">
        <v>3848.61</v>
      </c>
    </row>
    <row r="10" spans="1:12">
      <c r="A10" t="s">
        <v>60</v>
      </c>
      <c r="B10" t="s">
        <v>61</v>
      </c>
      <c r="C10" t="s">
        <v>20</v>
      </c>
      <c r="D10" t="s">
        <v>10</v>
      </c>
      <c r="E10">
        <v>16</v>
      </c>
      <c r="G10">
        <v>23098.7</v>
      </c>
      <c r="H10">
        <v>1123.68</v>
      </c>
      <c r="I10">
        <v>9730.39</v>
      </c>
      <c r="J10">
        <v>24649.8</v>
      </c>
      <c r="K10">
        <v>4340.3</v>
      </c>
      <c r="L10">
        <v>1015.01</v>
      </c>
    </row>
    <row r="11" spans="1:12">
      <c r="A11" t="s">
        <v>19</v>
      </c>
      <c r="B11" t="s">
        <v>62</v>
      </c>
      <c r="C11" t="s">
        <v>63</v>
      </c>
      <c r="D11" t="s">
        <v>10</v>
      </c>
      <c r="E11">
        <v>20</v>
      </c>
      <c r="G11">
        <v>30408.25</v>
      </c>
      <c r="H11">
        <v>39123.230000000003</v>
      </c>
      <c r="I11">
        <v>24093.5</v>
      </c>
      <c r="J11">
        <v>43674.5</v>
      </c>
      <c r="K11">
        <v>6551</v>
      </c>
      <c r="L11">
        <v>2700</v>
      </c>
    </row>
    <row r="12" spans="1:12">
      <c r="A12" t="s">
        <v>64</v>
      </c>
      <c r="B12" t="s">
        <v>65</v>
      </c>
      <c r="C12" t="s">
        <v>8</v>
      </c>
      <c r="D12" t="s">
        <v>10</v>
      </c>
      <c r="E12">
        <v>1</v>
      </c>
      <c r="G12">
        <v>6282.8</v>
      </c>
      <c r="H12">
        <v>0</v>
      </c>
      <c r="I12">
        <v>2200</v>
      </c>
      <c r="J12">
        <v>5570</v>
      </c>
      <c r="K12">
        <v>0</v>
      </c>
      <c r="L12">
        <v>4083.5</v>
      </c>
    </row>
    <row r="13" spans="1:12">
      <c r="A13" t="s">
        <v>60</v>
      </c>
      <c r="B13" t="s">
        <v>66</v>
      </c>
      <c r="C13" t="s">
        <v>63</v>
      </c>
      <c r="D13" t="s">
        <v>10</v>
      </c>
      <c r="E13">
        <v>21</v>
      </c>
      <c r="G13">
        <v>44923.39</v>
      </c>
      <c r="H13">
        <v>19122.439999999999</v>
      </c>
      <c r="I13">
        <v>23286.2</v>
      </c>
      <c r="J13">
        <v>66740</v>
      </c>
      <c r="K13">
        <v>14198.7</v>
      </c>
      <c r="L13">
        <v>1240.06</v>
      </c>
    </row>
    <row r="14" spans="1:12">
      <c r="A14" t="s">
        <v>67</v>
      </c>
      <c r="B14" t="s">
        <v>68</v>
      </c>
      <c r="C14" t="s">
        <v>8</v>
      </c>
      <c r="D14" t="s">
        <v>10</v>
      </c>
      <c r="E14">
        <v>14</v>
      </c>
      <c r="G14">
        <v>17061.900000000001</v>
      </c>
      <c r="H14">
        <v>9000</v>
      </c>
      <c r="I14">
        <v>0</v>
      </c>
      <c r="J14">
        <v>17656</v>
      </c>
      <c r="K14">
        <v>1600</v>
      </c>
      <c r="L14">
        <v>1981.6</v>
      </c>
    </row>
    <row r="15" spans="1:12">
      <c r="A15" t="s">
        <v>69</v>
      </c>
      <c r="B15" t="s">
        <v>70</v>
      </c>
      <c r="C15" t="s">
        <v>8</v>
      </c>
      <c r="D15" t="s">
        <v>10</v>
      </c>
      <c r="E15">
        <v>10</v>
      </c>
      <c r="G15">
        <v>21807.74</v>
      </c>
      <c r="H15">
        <v>12249</v>
      </c>
      <c r="I15">
        <v>5460.57</v>
      </c>
      <c r="J15">
        <v>21585.5</v>
      </c>
      <c r="K15">
        <v>5639</v>
      </c>
      <c r="L15">
        <v>2860.51</v>
      </c>
    </row>
    <row r="16" spans="1:12">
      <c r="A16" t="s">
        <v>71</v>
      </c>
      <c r="B16" t="s">
        <v>72</v>
      </c>
      <c r="C16" t="s">
        <v>8</v>
      </c>
      <c r="D16" t="s">
        <v>10</v>
      </c>
      <c r="E16">
        <v>60</v>
      </c>
      <c r="F16" t="s">
        <v>73</v>
      </c>
      <c r="G16">
        <v>93880.62</v>
      </c>
      <c r="H16">
        <v>92350.38</v>
      </c>
      <c r="I16">
        <v>32721.62</v>
      </c>
      <c r="J16">
        <v>85412.81</v>
      </c>
      <c r="K16">
        <v>16950</v>
      </c>
      <c r="L16">
        <v>2601.5</v>
      </c>
    </row>
    <row r="17" spans="1:12">
      <c r="A17" t="s">
        <v>19</v>
      </c>
      <c r="B17" t="s">
        <v>74</v>
      </c>
      <c r="C17" t="s">
        <v>75</v>
      </c>
      <c r="D17" t="s">
        <v>10</v>
      </c>
      <c r="E17">
        <v>14</v>
      </c>
      <c r="F17" t="s">
        <v>76</v>
      </c>
      <c r="G17">
        <v>29531.08</v>
      </c>
      <c r="H17">
        <v>39123.24</v>
      </c>
      <c r="I17">
        <v>39123.24</v>
      </c>
      <c r="J17">
        <v>43525.2</v>
      </c>
      <c r="K17">
        <v>6525</v>
      </c>
      <c r="L17">
        <v>2280.39</v>
      </c>
    </row>
    <row r="18" spans="1:12">
      <c r="A18" t="s">
        <v>77</v>
      </c>
      <c r="B18" t="s">
        <v>78</v>
      </c>
      <c r="C18" t="s">
        <v>8</v>
      </c>
      <c r="D18" t="s">
        <v>10</v>
      </c>
      <c r="E18">
        <v>8</v>
      </c>
      <c r="G18">
        <v>13672.84</v>
      </c>
      <c r="H18">
        <v>19500</v>
      </c>
      <c r="I18">
        <v>7735.18</v>
      </c>
      <c r="J18">
        <v>11611.6</v>
      </c>
      <c r="K18">
        <v>4800</v>
      </c>
      <c r="L18">
        <v>2936.5</v>
      </c>
    </row>
    <row r="19" spans="1:12">
      <c r="A19" t="s">
        <v>13</v>
      </c>
      <c r="B19" t="s">
        <v>79</v>
      </c>
      <c r="C19" t="s">
        <v>8</v>
      </c>
      <c r="D19" t="s">
        <v>10</v>
      </c>
      <c r="E19">
        <v>15</v>
      </c>
      <c r="G19">
        <v>35681.9</v>
      </c>
      <c r="H19">
        <v>0</v>
      </c>
      <c r="I19">
        <v>628.32000000000005</v>
      </c>
      <c r="J19">
        <v>51259.5</v>
      </c>
      <c r="K19">
        <v>5469</v>
      </c>
      <c r="L19">
        <v>2334.1999999999998</v>
      </c>
    </row>
    <row r="20" spans="1:12">
      <c r="A20" t="s">
        <v>80</v>
      </c>
      <c r="B20" t="s">
        <v>81</v>
      </c>
      <c r="C20" t="s">
        <v>8</v>
      </c>
      <c r="D20" t="s">
        <v>10</v>
      </c>
      <c r="E20">
        <v>69</v>
      </c>
      <c r="G20">
        <v>93013.119999999995</v>
      </c>
      <c r="H20">
        <v>0</v>
      </c>
      <c r="I20">
        <v>28451.22</v>
      </c>
      <c r="J20">
        <v>113235.1</v>
      </c>
      <c r="K20">
        <v>15000</v>
      </c>
      <c r="L20">
        <v>2104.83</v>
      </c>
    </row>
    <row r="21" spans="1:12">
      <c r="A21" t="s">
        <v>82</v>
      </c>
      <c r="B21" t="s">
        <v>83</v>
      </c>
      <c r="C21" t="s">
        <v>8</v>
      </c>
      <c r="D21" t="s">
        <v>10</v>
      </c>
      <c r="E21">
        <v>16</v>
      </c>
      <c r="G21">
        <v>17881.93</v>
      </c>
      <c r="H21">
        <v>6660.28</v>
      </c>
      <c r="I21">
        <v>7837.81</v>
      </c>
      <c r="J21">
        <v>19418</v>
      </c>
      <c r="K21">
        <v>8780</v>
      </c>
      <c r="L21">
        <v>1500</v>
      </c>
    </row>
    <row r="22" spans="1:12">
      <c r="A22" t="s">
        <v>21</v>
      </c>
      <c r="B22" t="s">
        <v>84</v>
      </c>
      <c r="C22" t="s">
        <v>8</v>
      </c>
      <c r="D22" t="s">
        <v>10</v>
      </c>
      <c r="E22">
        <v>9</v>
      </c>
      <c r="G22">
        <v>31383.45</v>
      </c>
      <c r="H22">
        <v>0</v>
      </c>
      <c r="I22">
        <v>0</v>
      </c>
      <c r="J22">
        <v>34526</v>
      </c>
      <c r="K22">
        <v>0</v>
      </c>
      <c r="L22">
        <v>3487</v>
      </c>
    </row>
    <row r="23" spans="1:12">
      <c r="A23" t="s">
        <v>14</v>
      </c>
      <c r="B23" t="s">
        <v>85</v>
      </c>
      <c r="C23" t="s">
        <v>8</v>
      </c>
      <c r="D23" t="s">
        <v>10</v>
      </c>
      <c r="E23">
        <v>35</v>
      </c>
      <c r="F23" t="s">
        <v>86</v>
      </c>
      <c r="G23">
        <v>50302.61</v>
      </c>
      <c r="H23">
        <v>15245.65</v>
      </c>
      <c r="I23">
        <v>870.37</v>
      </c>
      <c r="J23">
        <v>43559</v>
      </c>
      <c r="K23">
        <v>20650</v>
      </c>
      <c r="L23">
        <v>1936.56</v>
      </c>
    </row>
    <row r="24" spans="1:12">
      <c r="A24" t="s">
        <v>87</v>
      </c>
      <c r="B24" t="s">
        <v>88</v>
      </c>
      <c r="C24" t="s">
        <v>8</v>
      </c>
      <c r="D24" t="s">
        <v>10</v>
      </c>
      <c r="E24">
        <v>5</v>
      </c>
      <c r="G24">
        <v>5806.27</v>
      </c>
      <c r="H24">
        <v>2653</v>
      </c>
      <c r="I24">
        <v>1100</v>
      </c>
      <c r="J24">
        <v>7580</v>
      </c>
      <c r="K24">
        <v>915</v>
      </c>
      <c r="L24">
        <v>1800</v>
      </c>
    </row>
    <row r="25" spans="1:12">
      <c r="A25" t="s">
        <v>89</v>
      </c>
      <c r="B25" t="s">
        <v>90</v>
      </c>
      <c r="C25" t="s">
        <v>8</v>
      </c>
      <c r="D25" t="s">
        <v>10</v>
      </c>
      <c r="E25">
        <v>5</v>
      </c>
      <c r="G25">
        <v>8731.0499999999993</v>
      </c>
      <c r="H25">
        <v>0</v>
      </c>
      <c r="I25">
        <v>0</v>
      </c>
      <c r="J25">
        <v>10080</v>
      </c>
      <c r="K25">
        <v>0</v>
      </c>
      <c r="L25">
        <v>3129.24</v>
      </c>
    </row>
    <row r="26" spans="1:12">
      <c r="A26" t="s">
        <v>91</v>
      </c>
      <c r="B26" t="s">
        <v>92</v>
      </c>
      <c r="C26" t="s">
        <v>8</v>
      </c>
      <c r="D26" t="s">
        <v>10</v>
      </c>
      <c r="E26">
        <v>11</v>
      </c>
      <c r="G26">
        <v>25017.69</v>
      </c>
      <c r="H26">
        <v>20059.849999999999</v>
      </c>
      <c r="I26">
        <v>15663.72</v>
      </c>
      <c r="J26">
        <v>25560.89</v>
      </c>
      <c r="K26">
        <v>3072.09</v>
      </c>
      <c r="L26">
        <v>1889.8</v>
      </c>
    </row>
    <row r="27" spans="1:12">
      <c r="A27" t="s">
        <v>93</v>
      </c>
      <c r="B27" t="s">
        <v>94</v>
      </c>
      <c r="C27" t="s">
        <v>8</v>
      </c>
      <c r="D27" t="s">
        <v>10</v>
      </c>
      <c r="E27">
        <v>41</v>
      </c>
      <c r="F27" t="s">
        <v>95</v>
      </c>
      <c r="G27">
        <v>70493.19</v>
      </c>
      <c r="H27">
        <v>32570</v>
      </c>
      <c r="I27">
        <v>12341.4</v>
      </c>
      <c r="J27">
        <v>77242.2</v>
      </c>
      <c r="K27">
        <v>42550</v>
      </c>
      <c r="L27">
        <v>3000</v>
      </c>
    </row>
    <row r="28" spans="1:12">
      <c r="A28" t="s">
        <v>96</v>
      </c>
      <c r="B28" t="s">
        <v>97</v>
      </c>
      <c r="C28" t="s">
        <v>8</v>
      </c>
      <c r="D28" t="s">
        <v>10</v>
      </c>
      <c r="E28">
        <v>50</v>
      </c>
      <c r="G28">
        <v>65077.51</v>
      </c>
      <c r="H28">
        <v>35250</v>
      </c>
      <c r="I28">
        <v>11112.5</v>
      </c>
      <c r="J28">
        <v>66201.5</v>
      </c>
      <c r="K28">
        <v>2750</v>
      </c>
      <c r="L28">
        <v>2064.27</v>
      </c>
    </row>
    <row r="29" spans="1:12">
      <c r="A29" t="s">
        <v>98</v>
      </c>
      <c r="B29" t="s">
        <v>99</v>
      </c>
      <c r="C29" t="s">
        <v>8</v>
      </c>
      <c r="D29" t="s">
        <v>10</v>
      </c>
      <c r="E29">
        <v>6</v>
      </c>
      <c r="G29">
        <v>12943.5</v>
      </c>
      <c r="H29">
        <v>10220.59</v>
      </c>
      <c r="I29">
        <v>1197.79</v>
      </c>
      <c r="J29">
        <v>10725.3</v>
      </c>
      <c r="K29">
        <v>1121</v>
      </c>
      <c r="L29">
        <v>3660.8</v>
      </c>
    </row>
    <row r="30" spans="1:12">
      <c r="A30" t="s">
        <v>100</v>
      </c>
      <c r="B30" t="s">
        <v>101</v>
      </c>
      <c r="C30" t="s">
        <v>8</v>
      </c>
      <c r="D30" t="s">
        <v>10</v>
      </c>
      <c r="E30">
        <v>10</v>
      </c>
      <c r="G30">
        <v>29839.84</v>
      </c>
      <c r="H30">
        <v>10036.15</v>
      </c>
      <c r="I30">
        <v>790.81</v>
      </c>
      <c r="J30">
        <v>24389</v>
      </c>
      <c r="K30">
        <v>4719</v>
      </c>
      <c r="L30">
        <v>3550</v>
      </c>
    </row>
    <row r="31" spans="1:12">
      <c r="A31" t="s">
        <v>17</v>
      </c>
      <c r="B31" t="s">
        <v>102</v>
      </c>
      <c r="C31" t="s">
        <v>8</v>
      </c>
      <c r="D31" t="s">
        <v>10</v>
      </c>
      <c r="E31">
        <v>54</v>
      </c>
      <c r="G31">
        <v>53998.080000000002</v>
      </c>
      <c r="H31">
        <v>0</v>
      </c>
      <c r="I31">
        <v>18963.580000000002</v>
      </c>
      <c r="J31">
        <v>60590</v>
      </c>
      <c r="K31">
        <v>0</v>
      </c>
      <c r="L31">
        <v>2210</v>
      </c>
    </row>
    <row r="32" spans="1:12">
      <c r="A32" t="s">
        <v>60</v>
      </c>
      <c r="B32" t="s">
        <v>103</v>
      </c>
      <c r="C32" t="s">
        <v>24</v>
      </c>
      <c r="D32" t="s">
        <v>10</v>
      </c>
      <c r="E32">
        <v>24</v>
      </c>
      <c r="G32">
        <v>68057.39</v>
      </c>
      <c r="H32">
        <v>59808.36</v>
      </c>
      <c r="I32">
        <v>28912.5</v>
      </c>
      <c r="J32">
        <v>99914.5</v>
      </c>
      <c r="K32">
        <v>9557.1299999999992</v>
      </c>
      <c r="L32">
        <v>1958.59</v>
      </c>
    </row>
    <row r="33" spans="1:12">
      <c r="A33" t="s">
        <v>104</v>
      </c>
      <c r="B33" t="s">
        <v>105</v>
      </c>
      <c r="C33" t="s">
        <v>8</v>
      </c>
      <c r="D33" t="s">
        <v>10</v>
      </c>
      <c r="E33">
        <v>9</v>
      </c>
      <c r="G33">
        <v>25895.9</v>
      </c>
      <c r="H33">
        <v>6090.29</v>
      </c>
      <c r="I33">
        <v>1982.59</v>
      </c>
      <c r="J33">
        <v>33698.5</v>
      </c>
      <c r="K33">
        <v>3580</v>
      </c>
      <c r="L33">
        <v>3628.57</v>
      </c>
    </row>
    <row r="34" spans="1:12">
      <c r="A34" t="s">
        <v>106</v>
      </c>
      <c r="B34" t="s">
        <v>107</v>
      </c>
      <c r="C34" t="s">
        <v>8</v>
      </c>
      <c r="D34" t="s">
        <v>10</v>
      </c>
      <c r="E34">
        <v>3</v>
      </c>
      <c r="G34">
        <v>8253.8799999999992</v>
      </c>
      <c r="H34">
        <v>0</v>
      </c>
      <c r="I34">
        <v>293</v>
      </c>
      <c r="J34">
        <v>10204</v>
      </c>
      <c r="K34">
        <v>2500</v>
      </c>
      <c r="L34">
        <v>2751</v>
      </c>
    </row>
    <row r="35" spans="1:12">
      <c r="A35" t="s">
        <v>108</v>
      </c>
      <c r="B35" t="s">
        <v>109</v>
      </c>
      <c r="C35" t="s">
        <v>8</v>
      </c>
      <c r="D35" t="s">
        <v>10</v>
      </c>
      <c r="E35">
        <v>15</v>
      </c>
      <c r="G35">
        <v>34460.29</v>
      </c>
      <c r="H35">
        <v>0</v>
      </c>
      <c r="I35">
        <v>2630.77</v>
      </c>
      <c r="J35">
        <v>39412.5</v>
      </c>
      <c r="K35">
        <v>4474</v>
      </c>
      <c r="L35">
        <v>2500</v>
      </c>
    </row>
    <row r="36" spans="1:12">
      <c r="A36" t="s">
        <v>60</v>
      </c>
      <c r="B36" t="s">
        <v>110</v>
      </c>
      <c r="C36" t="s">
        <v>52</v>
      </c>
      <c r="D36" t="s">
        <v>10</v>
      </c>
      <c r="E36">
        <v>22</v>
      </c>
      <c r="G36">
        <v>34172.1</v>
      </c>
      <c r="H36">
        <v>550</v>
      </c>
      <c r="I36">
        <v>17072.86</v>
      </c>
      <c r="J36">
        <v>27595.200000000001</v>
      </c>
      <c r="K36">
        <v>10907</v>
      </c>
      <c r="L36">
        <v>1500</v>
      </c>
    </row>
    <row r="37" spans="1:12">
      <c r="A37" t="s">
        <v>111</v>
      </c>
      <c r="B37" t="s">
        <v>112</v>
      </c>
      <c r="C37" t="s">
        <v>8</v>
      </c>
      <c r="D37" t="s">
        <v>10</v>
      </c>
      <c r="E37">
        <v>7</v>
      </c>
      <c r="G37">
        <v>11556.5</v>
      </c>
      <c r="H37">
        <v>16512</v>
      </c>
      <c r="I37">
        <v>1087.24</v>
      </c>
      <c r="J37">
        <v>14886.5</v>
      </c>
      <c r="K37">
        <v>1402</v>
      </c>
      <c r="L37">
        <v>2732.74</v>
      </c>
    </row>
    <row r="38" spans="1:12">
      <c r="A38" t="s">
        <v>113</v>
      </c>
      <c r="B38" t="s">
        <v>114</v>
      </c>
      <c r="C38" t="s">
        <v>8</v>
      </c>
      <c r="D38" t="s">
        <v>10</v>
      </c>
      <c r="E38">
        <v>16</v>
      </c>
      <c r="G38">
        <v>32144.62</v>
      </c>
      <c r="H38">
        <v>5074.2299999999996</v>
      </c>
      <c r="I38">
        <v>3883.5</v>
      </c>
      <c r="J38">
        <v>30060</v>
      </c>
      <c r="K38">
        <v>10000</v>
      </c>
      <c r="L38">
        <v>2328.15</v>
      </c>
    </row>
    <row r="39" spans="1:12">
      <c r="A39" t="s">
        <v>30</v>
      </c>
      <c r="B39" t="s">
        <v>115</v>
      </c>
      <c r="C39" t="s">
        <v>8</v>
      </c>
      <c r="D39" t="s">
        <v>10</v>
      </c>
      <c r="E39">
        <v>10</v>
      </c>
      <c r="G39">
        <v>24170.2</v>
      </c>
      <c r="H39">
        <v>1300</v>
      </c>
      <c r="I39">
        <v>0</v>
      </c>
      <c r="J39">
        <v>42170</v>
      </c>
      <c r="K39">
        <v>0</v>
      </c>
      <c r="L39">
        <v>2800</v>
      </c>
    </row>
    <row r="40" spans="1:12">
      <c r="A40" t="s">
        <v>116</v>
      </c>
      <c r="B40" t="s">
        <v>117</v>
      </c>
      <c r="C40" t="s">
        <v>8</v>
      </c>
      <c r="D40" t="s">
        <v>10</v>
      </c>
      <c r="E40">
        <v>60</v>
      </c>
      <c r="G40">
        <v>109016.76</v>
      </c>
      <c r="H40">
        <v>40158</v>
      </c>
      <c r="I40">
        <v>112000</v>
      </c>
      <c r="J40">
        <v>200740</v>
      </c>
      <c r="K40">
        <v>134770</v>
      </c>
      <c r="L40">
        <v>2200</v>
      </c>
    </row>
    <row r="41" spans="1:12">
      <c r="A41" t="s">
        <v>118</v>
      </c>
      <c r="B41" t="s">
        <v>119</v>
      </c>
      <c r="C41" t="s">
        <v>8</v>
      </c>
      <c r="D41" t="s">
        <v>10</v>
      </c>
      <c r="E41">
        <v>10</v>
      </c>
      <c r="F41" t="s">
        <v>120</v>
      </c>
      <c r="G41">
        <v>16906.599999999999</v>
      </c>
      <c r="H41">
        <v>8524</v>
      </c>
      <c r="I41">
        <v>3070</v>
      </c>
      <c r="J41">
        <v>17048</v>
      </c>
      <c r="K41">
        <v>0</v>
      </c>
      <c r="L41">
        <v>2177.8000000000002</v>
      </c>
    </row>
    <row r="42" spans="1:12">
      <c r="A42" t="s">
        <v>60</v>
      </c>
      <c r="B42" t="s">
        <v>121</v>
      </c>
      <c r="C42" t="s">
        <v>75</v>
      </c>
      <c r="D42" t="s">
        <v>10</v>
      </c>
      <c r="E42">
        <v>22</v>
      </c>
      <c r="F42" t="s">
        <v>122</v>
      </c>
      <c r="G42">
        <v>32158.99</v>
      </c>
      <c r="H42">
        <v>4810.13</v>
      </c>
      <c r="I42">
        <v>9793.9</v>
      </c>
      <c r="J42">
        <v>34291</v>
      </c>
      <c r="K42">
        <v>6875</v>
      </c>
      <c r="L42">
        <v>2228.7399999999998</v>
      </c>
    </row>
    <row r="43" spans="1:12">
      <c r="A43" t="s">
        <v>123</v>
      </c>
      <c r="B43" t="s">
        <v>124</v>
      </c>
      <c r="C43" t="s">
        <v>8</v>
      </c>
      <c r="D43" t="s">
        <v>10</v>
      </c>
      <c r="E43">
        <v>5</v>
      </c>
      <c r="F43" t="s">
        <v>125</v>
      </c>
      <c r="G43">
        <v>19470.47</v>
      </c>
      <c r="H43">
        <v>13562.2</v>
      </c>
      <c r="I43">
        <v>660</v>
      </c>
      <c r="J43">
        <v>21524.3</v>
      </c>
      <c r="K43">
        <v>6392</v>
      </c>
      <c r="L43">
        <v>3774.09</v>
      </c>
    </row>
    <row r="44" spans="1:12">
      <c r="A44" t="s">
        <v>126</v>
      </c>
      <c r="B44" t="s">
        <v>127</v>
      </c>
      <c r="C44" t="s">
        <v>8</v>
      </c>
      <c r="D44" t="s">
        <v>10</v>
      </c>
      <c r="E44">
        <v>4</v>
      </c>
      <c r="G44">
        <v>7825.9</v>
      </c>
      <c r="H44">
        <v>4710.62</v>
      </c>
      <c r="I44">
        <v>1642.15</v>
      </c>
      <c r="J44">
        <v>6901.1</v>
      </c>
      <c r="K44">
        <v>0</v>
      </c>
      <c r="L44">
        <v>2723.56</v>
      </c>
    </row>
    <row r="45" spans="1:12">
      <c r="A45" t="s">
        <v>128</v>
      </c>
      <c r="B45" t="s">
        <v>129</v>
      </c>
      <c r="C45" t="s">
        <v>8</v>
      </c>
      <c r="D45" t="s">
        <v>10</v>
      </c>
      <c r="E45">
        <v>10</v>
      </c>
      <c r="G45">
        <v>12219.62</v>
      </c>
      <c r="H45">
        <v>5225</v>
      </c>
      <c r="I45">
        <v>609.76</v>
      </c>
      <c r="J45">
        <v>8677.7999999999993</v>
      </c>
      <c r="K45">
        <v>2250</v>
      </c>
      <c r="L45">
        <v>2425.36</v>
      </c>
    </row>
    <row r="46" spans="1:12">
      <c r="A46" t="s">
        <v>60</v>
      </c>
      <c r="B46" t="s">
        <v>130</v>
      </c>
      <c r="C46" t="s">
        <v>8</v>
      </c>
      <c r="D46" t="s">
        <v>10</v>
      </c>
      <c r="E46">
        <v>20</v>
      </c>
      <c r="G46">
        <v>62703.05</v>
      </c>
      <c r="H46">
        <v>24612.5</v>
      </c>
      <c r="I46">
        <v>40752.120000000003</v>
      </c>
      <c r="J46">
        <v>121043.6</v>
      </c>
      <c r="K46">
        <v>12060</v>
      </c>
      <c r="L46">
        <v>2307.19</v>
      </c>
    </row>
    <row r="47" spans="1:12">
      <c r="A47" t="s">
        <v>28</v>
      </c>
      <c r="B47" t="s">
        <v>131</v>
      </c>
      <c r="C47" t="s">
        <v>8</v>
      </c>
      <c r="D47" t="s">
        <v>10</v>
      </c>
      <c r="E47">
        <v>6</v>
      </c>
      <c r="G47">
        <v>5616.15</v>
      </c>
      <c r="H47">
        <v>3932.5</v>
      </c>
      <c r="I47">
        <v>0</v>
      </c>
      <c r="J47">
        <v>7012</v>
      </c>
      <c r="K47">
        <v>1725</v>
      </c>
      <c r="L47">
        <v>1655</v>
      </c>
    </row>
    <row r="48" spans="1:12">
      <c r="A48" t="s">
        <v>132</v>
      </c>
      <c r="B48" t="s">
        <v>133</v>
      </c>
      <c r="C48" t="s">
        <v>8</v>
      </c>
      <c r="D48" t="s">
        <v>10</v>
      </c>
      <c r="E48">
        <v>10</v>
      </c>
      <c r="F48" t="s">
        <v>134</v>
      </c>
      <c r="G48">
        <v>20307.669999999998</v>
      </c>
      <c r="H48">
        <v>16657.900000000001</v>
      </c>
      <c r="I48">
        <v>1700</v>
      </c>
      <c r="J48">
        <v>24036.65</v>
      </c>
      <c r="K48">
        <v>3240</v>
      </c>
      <c r="L48">
        <v>3487</v>
      </c>
    </row>
    <row r="49" spans="1:12">
      <c r="A49" t="s">
        <v>135</v>
      </c>
      <c r="B49" t="s">
        <v>136</v>
      </c>
      <c r="C49" t="s">
        <v>8</v>
      </c>
      <c r="D49" t="s">
        <v>10</v>
      </c>
      <c r="E49">
        <v>15</v>
      </c>
      <c r="G49">
        <v>85456.9</v>
      </c>
      <c r="H49">
        <v>7259</v>
      </c>
      <c r="I49">
        <v>57370</v>
      </c>
      <c r="J49">
        <v>65260</v>
      </c>
      <c r="K49">
        <v>7580</v>
      </c>
      <c r="L49">
        <v>1873</v>
      </c>
    </row>
    <row r="50" spans="1:12">
      <c r="A50" t="s">
        <v>12</v>
      </c>
      <c r="B50" t="s">
        <v>137</v>
      </c>
      <c r="C50" t="s">
        <v>8</v>
      </c>
      <c r="D50" t="s">
        <v>10</v>
      </c>
      <c r="E50">
        <v>5</v>
      </c>
      <c r="F50" t="s">
        <v>138</v>
      </c>
      <c r="G50">
        <v>24858.1</v>
      </c>
      <c r="H50">
        <v>29503.37</v>
      </c>
      <c r="I50">
        <v>0</v>
      </c>
      <c r="J50">
        <v>28540</v>
      </c>
      <c r="K50">
        <v>0</v>
      </c>
      <c r="L50">
        <v>2500</v>
      </c>
    </row>
    <row r="51" spans="1:12">
      <c r="A51" t="s">
        <v>139</v>
      </c>
      <c r="B51" t="s">
        <v>140</v>
      </c>
      <c r="C51" t="s">
        <v>8</v>
      </c>
      <c r="D51" t="s">
        <v>10</v>
      </c>
      <c r="E51">
        <v>13</v>
      </c>
      <c r="G51">
        <v>14945.49</v>
      </c>
      <c r="H51">
        <v>11956.57</v>
      </c>
      <c r="I51">
        <v>4409.63</v>
      </c>
      <c r="J51">
        <v>19870.8</v>
      </c>
      <c r="K51">
        <v>4702</v>
      </c>
      <c r="L51">
        <v>1856.72</v>
      </c>
    </row>
    <row r="52" spans="1:12">
      <c r="A52" t="s">
        <v>141</v>
      </c>
      <c r="B52" t="s">
        <v>142</v>
      </c>
      <c r="C52" t="s">
        <v>8</v>
      </c>
      <c r="D52" t="s">
        <v>10</v>
      </c>
      <c r="E52">
        <v>13</v>
      </c>
      <c r="G52">
        <v>23858.49</v>
      </c>
      <c r="H52">
        <v>6000</v>
      </c>
      <c r="I52">
        <v>1440.62</v>
      </c>
      <c r="J52">
        <v>20769.599999999999</v>
      </c>
      <c r="K52">
        <v>8156</v>
      </c>
      <c r="L52">
        <v>2244</v>
      </c>
    </row>
    <row r="53" spans="1:12">
      <c r="A53" t="s">
        <v>143</v>
      </c>
      <c r="B53" t="s">
        <v>144</v>
      </c>
      <c r="C53" t="s">
        <v>8</v>
      </c>
      <c r="D53" t="s">
        <v>10</v>
      </c>
      <c r="E53">
        <v>9</v>
      </c>
      <c r="F53" t="s">
        <v>145</v>
      </c>
      <c r="G53">
        <v>14417.75</v>
      </c>
      <c r="H53">
        <v>8388</v>
      </c>
      <c r="I53">
        <v>1538</v>
      </c>
      <c r="J53">
        <v>12526</v>
      </c>
      <c r="K53">
        <v>3189</v>
      </c>
      <c r="L53">
        <v>2533.88</v>
      </c>
    </row>
    <row r="54" spans="1:12">
      <c r="A54" t="s">
        <v>19</v>
      </c>
      <c r="B54" t="s">
        <v>146</v>
      </c>
      <c r="C54" t="s">
        <v>24</v>
      </c>
      <c r="D54" t="s">
        <v>10</v>
      </c>
      <c r="E54">
        <v>18</v>
      </c>
      <c r="F54" t="s">
        <v>147</v>
      </c>
      <c r="G54">
        <v>23062.85</v>
      </c>
      <c r="H54">
        <v>38862.300000000003</v>
      </c>
      <c r="I54">
        <v>38862.300000000003</v>
      </c>
      <c r="J54">
        <v>42980.800000000003</v>
      </c>
      <c r="K54">
        <v>6400</v>
      </c>
      <c r="L54">
        <v>1352.45</v>
      </c>
    </row>
    <row r="55" spans="1:12">
      <c r="A55" t="s">
        <v>148</v>
      </c>
      <c r="B55" t="s">
        <v>149</v>
      </c>
      <c r="C55" t="s">
        <v>8</v>
      </c>
      <c r="D55" t="s">
        <v>10</v>
      </c>
      <c r="E55">
        <v>11</v>
      </c>
      <c r="G55">
        <v>33992.9</v>
      </c>
      <c r="H55">
        <v>11963</v>
      </c>
      <c r="I55">
        <v>1754.09</v>
      </c>
      <c r="J55">
        <v>31719.18</v>
      </c>
      <c r="K55">
        <v>9800</v>
      </c>
      <c r="L55">
        <v>2997</v>
      </c>
    </row>
    <row r="56" spans="1:12">
      <c r="A56" t="s">
        <v>150</v>
      </c>
      <c r="B56" t="s">
        <v>151</v>
      </c>
      <c r="C56" t="s">
        <v>8</v>
      </c>
      <c r="D56" t="s">
        <v>10</v>
      </c>
      <c r="E56">
        <v>11</v>
      </c>
      <c r="G56">
        <v>26678.65</v>
      </c>
      <c r="H56">
        <v>24178.55</v>
      </c>
      <c r="I56">
        <v>4419.24</v>
      </c>
      <c r="J56">
        <v>36000.300000000003</v>
      </c>
      <c r="K56">
        <v>12400</v>
      </c>
      <c r="L56">
        <v>4950.8999999999996</v>
      </c>
    </row>
    <row r="57" spans="1:12">
      <c r="A57" t="s">
        <v>152</v>
      </c>
      <c r="B57" t="s">
        <v>153</v>
      </c>
      <c r="C57" t="s">
        <v>8</v>
      </c>
      <c r="D57" t="s">
        <v>10</v>
      </c>
      <c r="E57">
        <v>10</v>
      </c>
      <c r="G57">
        <v>12058.23</v>
      </c>
      <c r="H57">
        <v>0</v>
      </c>
      <c r="I57">
        <v>0</v>
      </c>
      <c r="J57">
        <v>10500</v>
      </c>
      <c r="K57">
        <v>84000</v>
      </c>
      <c r="L57">
        <v>1229.47</v>
      </c>
    </row>
    <row r="58" spans="1:12">
      <c r="A58" t="s">
        <v>154</v>
      </c>
      <c r="B58" t="s">
        <v>155</v>
      </c>
      <c r="C58" t="s">
        <v>8</v>
      </c>
      <c r="D58" t="s">
        <v>10</v>
      </c>
      <c r="E58">
        <v>38</v>
      </c>
      <c r="G58">
        <v>48137.37</v>
      </c>
      <c r="H58">
        <v>46057.56</v>
      </c>
      <c r="I58">
        <v>10305.11</v>
      </c>
      <c r="J58">
        <v>61263</v>
      </c>
      <c r="K58">
        <v>15680</v>
      </c>
      <c r="L58">
        <v>2600</v>
      </c>
    </row>
    <row r="59" spans="1:12">
      <c r="A59" t="s">
        <v>156</v>
      </c>
      <c r="B59" t="s">
        <v>157</v>
      </c>
      <c r="C59" t="s">
        <v>8</v>
      </c>
      <c r="D59" t="s">
        <v>10</v>
      </c>
      <c r="E59">
        <v>3</v>
      </c>
      <c r="G59">
        <v>12308.7</v>
      </c>
      <c r="H59">
        <v>0</v>
      </c>
      <c r="I59">
        <v>1595.44</v>
      </c>
      <c r="J59">
        <v>12521.7</v>
      </c>
      <c r="K59">
        <v>0</v>
      </c>
      <c r="L59">
        <v>3000</v>
      </c>
    </row>
    <row r="60" spans="1:12">
      <c r="A60" t="s">
        <v>158</v>
      </c>
      <c r="B60" t="s">
        <v>159</v>
      </c>
      <c r="C60" t="s">
        <v>8</v>
      </c>
      <c r="D60" t="s">
        <v>10</v>
      </c>
      <c r="E60">
        <v>43</v>
      </c>
      <c r="G60">
        <v>136193.51999999999</v>
      </c>
      <c r="H60">
        <v>66227.5</v>
      </c>
      <c r="I60">
        <v>7374.85</v>
      </c>
      <c r="J60">
        <v>130969.3</v>
      </c>
      <c r="K60">
        <v>34375.4</v>
      </c>
      <c r="L60">
        <v>4595.63</v>
      </c>
    </row>
    <row r="61" spans="1:12">
      <c r="A61" t="s">
        <v>160</v>
      </c>
      <c r="B61" t="s">
        <v>161</v>
      </c>
      <c r="C61" t="s">
        <v>8</v>
      </c>
      <c r="D61" t="s">
        <v>10</v>
      </c>
      <c r="E61">
        <v>16</v>
      </c>
      <c r="G61">
        <v>29710.85</v>
      </c>
      <c r="H61">
        <v>4000</v>
      </c>
      <c r="I61">
        <v>2840</v>
      </c>
      <c r="J61">
        <v>33806.75</v>
      </c>
      <c r="K61">
        <v>10000</v>
      </c>
      <c r="L61">
        <v>1800</v>
      </c>
    </row>
    <row r="62" spans="1:12">
      <c r="A62" t="s">
        <v>47</v>
      </c>
      <c r="B62" t="s">
        <v>48</v>
      </c>
      <c r="C62" t="s">
        <v>8</v>
      </c>
      <c r="D62" t="s">
        <v>16</v>
      </c>
      <c r="E62">
        <v>15</v>
      </c>
      <c r="G62">
        <v>12404.15</v>
      </c>
      <c r="H62">
        <v>12404.15</v>
      </c>
      <c r="I62">
        <v>260</v>
      </c>
      <c r="J62">
        <v>15420</v>
      </c>
      <c r="K62">
        <v>14302.4</v>
      </c>
      <c r="L62">
        <v>2000</v>
      </c>
    </row>
    <row r="63" spans="1:12">
      <c r="A63" t="s">
        <v>82</v>
      </c>
      <c r="B63" t="s">
        <v>83</v>
      </c>
      <c r="C63" t="s">
        <v>8</v>
      </c>
      <c r="D63" t="s">
        <v>16</v>
      </c>
      <c r="E63">
        <v>15</v>
      </c>
      <c r="G63">
        <v>27206.17</v>
      </c>
      <c r="H63">
        <v>10320.51</v>
      </c>
      <c r="I63">
        <v>6352.99</v>
      </c>
      <c r="J63">
        <v>24318.5</v>
      </c>
      <c r="K63">
        <v>8980</v>
      </c>
      <c r="L63">
        <v>2600</v>
      </c>
    </row>
    <row r="64" spans="1:12">
      <c r="A64" t="s">
        <v>25</v>
      </c>
      <c r="B64" t="s">
        <v>49</v>
      </c>
      <c r="C64" t="s">
        <v>8</v>
      </c>
      <c r="D64" t="s">
        <v>16</v>
      </c>
      <c r="E64">
        <v>20</v>
      </c>
      <c r="F64" t="s">
        <v>162</v>
      </c>
      <c r="G64">
        <v>65586.5</v>
      </c>
      <c r="H64">
        <v>0</v>
      </c>
      <c r="I64">
        <v>18985.509999999998</v>
      </c>
      <c r="J64">
        <v>102194</v>
      </c>
      <c r="K64">
        <v>48200</v>
      </c>
      <c r="L64">
        <v>6642.2</v>
      </c>
    </row>
    <row r="65" spans="1:12">
      <c r="A65" t="s">
        <v>128</v>
      </c>
      <c r="B65" t="s">
        <v>129</v>
      </c>
      <c r="C65" t="s">
        <v>8</v>
      </c>
      <c r="D65" t="s">
        <v>16</v>
      </c>
      <c r="E65">
        <v>10</v>
      </c>
      <c r="G65">
        <v>4361.2</v>
      </c>
      <c r="H65">
        <v>5225</v>
      </c>
      <c r="I65">
        <v>218</v>
      </c>
      <c r="J65">
        <v>4530</v>
      </c>
      <c r="K65">
        <v>1750</v>
      </c>
      <c r="L65">
        <v>1560</v>
      </c>
    </row>
    <row r="66" spans="1:12">
      <c r="A66" t="s">
        <v>19</v>
      </c>
      <c r="B66" t="s">
        <v>163</v>
      </c>
      <c r="C66" t="s">
        <v>164</v>
      </c>
      <c r="D66" t="s">
        <v>10</v>
      </c>
      <c r="E66">
        <v>18</v>
      </c>
      <c r="G66">
        <v>31439.35</v>
      </c>
      <c r="H66">
        <v>35978.31</v>
      </c>
      <c r="I66">
        <v>19948.16</v>
      </c>
      <c r="J66">
        <v>35121</v>
      </c>
      <c r="K66">
        <v>4715.9399999999996</v>
      </c>
      <c r="L66">
        <v>2846.33</v>
      </c>
    </row>
    <row r="67" spans="1:12">
      <c r="A67" t="s">
        <v>19</v>
      </c>
      <c r="B67" t="s">
        <v>163</v>
      </c>
      <c r="C67" t="s">
        <v>164</v>
      </c>
      <c r="D67" t="s">
        <v>16</v>
      </c>
      <c r="E67">
        <v>18</v>
      </c>
      <c r="G67">
        <v>23121.75</v>
      </c>
      <c r="H67">
        <v>34389.49</v>
      </c>
      <c r="I67">
        <v>21172.62</v>
      </c>
      <c r="J67">
        <v>29678.799999999999</v>
      </c>
      <c r="K67">
        <v>4451.82</v>
      </c>
      <c r="L67">
        <v>2527</v>
      </c>
    </row>
    <row r="68" spans="1:12">
      <c r="A68" t="s">
        <v>28</v>
      </c>
      <c r="B68" t="s">
        <v>131</v>
      </c>
      <c r="C68" t="s">
        <v>8</v>
      </c>
      <c r="D68" t="s">
        <v>16</v>
      </c>
      <c r="E68">
        <v>5</v>
      </c>
      <c r="G68">
        <v>5980.3</v>
      </c>
      <c r="H68">
        <v>3955.6</v>
      </c>
      <c r="I68">
        <v>0</v>
      </c>
      <c r="J68">
        <v>7192</v>
      </c>
      <c r="K68">
        <v>1729</v>
      </c>
      <c r="L68">
        <v>1800</v>
      </c>
    </row>
    <row r="69" spans="1:12">
      <c r="A69" t="s">
        <v>58</v>
      </c>
      <c r="B69" t="s">
        <v>59</v>
      </c>
      <c r="C69" t="s">
        <v>8</v>
      </c>
      <c r="D69" t="s">
        <v>16</v>
      </c>
      <c r="E69">
        <v>20</v>
      </c>
      <c r="F69" t="s">
        <v>165</v>
      </c>
      <c r="G69">
        <v>50047.45</v>
      </c>
      <c r="H69">
        <v>0</v>
      </c>
      <c r="I69">
        <v>4196</v>
      </c>
      <c r="J69">
        <v>51867.8</v>
      </c>
      <c r="K69">
        <v>11.07</v>
      </c>
      <c r="L69">
        <v>3166.76</v>
      </c>
    </row>
    <row r="70" spans="1:12">
      <c r="A70" t="s">
        <v>19</v>
      </c>
      <c r="B70" t="s">
        <v>51</v>
      </c>
      <c r="C70" t="s">
        <v>52</v>
      </c>
      <c r="D70" t="s">
        <v>16</v>
      </c>
      <c r="E70">
        <v>23</v>
      </c>
      <c r="F70" t="s">
        <v>166</v>
      </c>
      <c r="G70">
        <v>42987.78</v>
      </c>
      <c r="H70">
        <v>37127.85</v>
      </c>
      <c r="I70">
        <v>37127.85</v>
      </c>
      <c r="J70">
        <v>45968.4</v>
      </c>
      <c r="K70">
        <v>6800</v>
      </c>
      <c r="L70">
        <v>2066.6999999999998</v>
      </c>
    </row>
    <row r="71" spans="1:12">
      <c r="A71" t="s">
        <v>23</v>
      </c>
      <c r="B71" t="s">
        <v>167</v>
      </c>
      <c r="C71" t="s">
        <v>24</v>
      </c>
      <c r="D71" t="s">
        <v>10</v>
      </c>
      <c r="E71">
        <v>35</v>
      </c>
      <c r="G71">
        <v>154283.51</v>
      </c>
      <c r="H71">
        <v>76402.67</v>
      </c>
      <c r="I71">
        <v>0</v>
      </c>
      <c r="J71">
        <v>152861</v>
      </c>
      <c r="K71">
        <v>39150</v>
      </c>
      <c r="L71">
        <v>2900</v>
      </c>
    </row>
    <row r="72" spans="1:12">
      <c r="A72" t="s">
        <v>23</v>
      </c>
      <c r="B72" t="s">
        <v>168</v>
      </c>
      <c r="C72" t="s">
        <v>8</v>
      </c>
      <c r="D72" t="s">
        <v>10</v>
      </c>
      <c r="E72">
        <v>35</v>
      </c>
      <c r="G72">
        <v>142817.56</v>
      </c>
      <c r="H72">
        <v>76402.320000000007</v>
      </c>
      <c r="I72">
        <v>0</v>
      </c>
      <c r="J72">
        <v>150118.5</v>
      </c>
      <c r="K72">
        <v>44580</v>
      </c>
      <c r="L72">
        <v>2700</v>
      </c>
    </row>
    <row r="73" spans="1:12">
      <c r="A73" t="s">
        <v>91</v>
      </c>
      <c r="B73" t="s">
        <v>92</v>
      </c>
      <c r="C73" t="s">
        <v>8</v>
      </c>
      <c r="D73" t="s">
        <v>16</v>
      </c>
      <c r="E73">
        <v>10</v>
      </c>
      <c r="G73">
        <v>20833.91</v>
      </c>
      <c r="H73">
        <v>18578.669999999998</v>
      </c>
      <c r="I73">
        <v>14440.33</v>
      </c>
      <c r="J73">
        <v>22270</v>
      </c>
      <c r="K73">
        <v>4500</v>
      </c>
      <c r="L73">
        <v>1431.47</v>
      </c>
    </row>
    <row r="74" spans="1:12">
      <c r="A74" t="s">
        <v>54</v>
      </c>
      <c r="B74" t="s">
        <v>55</v>
      </c>
      <c r="C74" t="s">
        <v>8</v>
      </c>
      <c r="D74" t="s">
        <v>16</v>
      </c>
      <c r="E74">
        <v>19</v>
      </c>
      <c r="G74">
        <v>66413.179999999993</v>
      </c>
      <c r="H74">
        <v>22516.69</v>
      </c>
      <c r="I74">
        <v>32538.720000000001</v>
      </c>
      <c r="J74">
        <v>62028.3</v>
      </c>
      <c r="K74">
        <v>9300</v>
      </c>
      <c r="L74">
        <v>2937.95</v>
      </c>
    </row>
    <row r="75" spans="1:12">
      <c r="A75" t="s">
        <v>60</v>
      </c>
      <c r="B75" t="s">
        <v>103</v>
      </c>
      <c r="C75" t="s">
        <v>24</v>
      </c>
      <c r="D75" t="s">
        <v>16</v>
      </c>
      <c r="E75">
        <v>30</v>
      </c>
      <c r="G75">
        <v>87187.37</v>
      </c>
      <c r="H75">
        <v>8885.9699999999993</v>
      </c>
      <c r="I75">
        <v>31197.67</v>
      </c>
      <c r="J75">
        <v>108988.52</v>
      </c>
      <c r="K75">
        <v>29750.1</v>
      </c>
      <c r="L75">
        <v>2837.6</v>
      </c>
    </row>
    <row r="76" spans="1:12">
      <c r="A76" t="s">
        <v>17</v>
      </c>
      <c r="B76" t="s">
        <v>102</v>
      </c>
      <c r="C76" t="s">
        <v>8</v>
      </c>
      <c r="D76" t="s">
        <v>16</v>
      </c>
      <c r="E76">
        <v>54</v>
      </c>
      <c r="F76" t="s">
        <v>169</v>
      </c>
      <c r="G76">
        <v>64350.62</v>
      </c>
      <c r="H76">
        <v>20918.32</v>
      </c>
      <c r="I76">
        <v>16068.48</v>
      </c>
      <c r="J76">
        <v>70264</v>
      </c>
      <c r="K76">
        <v>18290</v>
      </c>
      <c r="L76">
        <v>2103.63</v>
      </c>
    </row>
    <row r="77" spans="1:12">
      <c r="A77" t="s">
        <v>77</v>
      </c>
      <c r="B77" t="s">
        <v>78</v>
      </c>
      <c r="C77" t="s">
        <v>8</v>
      </c>
      <c r="D77" t="s">
        <v>16</v>
      </c>
      <c r="E77">
        <v>8</v>
      </c>
      <c r="G77">
        <v>14315.1</v>
      </c>
      <c r="H77">
        <v>20414.61</v>
      </c>
      <c r="I77">
        <v>6288.2</v>
      </c>
      <c r="J77">
        <v>10619.6</v>
      </c>
      <c r="K77">
        <v>4700</v>
      </c>
      <c r="L77">
        <v>3183</v>
      </c>
    </row>
    <row r="78" spans="1:12">
      <c r="A78" t="s">
        <v>98</v>
      </c>
      <c r="B78" t="s">
        <v>99</v>
      </c>
      <c r="C78" t="s">
        <v>8</v>
      </c>
      <c r="D78" t="s">
        <v>16</v>
      </c>
      <c r="E78">
        <v>6</v>
      </c>
      <c r="G78">
        <v>15901.09</v>
      </c>
      <c r="H78">
        <v>11028.61</v>
      </c>
      <c r="I78">
        <v>1197.79</v>
      </c>
      <c r="J78">
        <v>11687.87</v>
      </c>
      <c r="K78">
        <v>1437.8</v>
      </c>
      <c r="L78">
        <v>4290.97</v>
      </c>
    </row>
    <row r="79" spans="1:12">
      <c r="A79" t="s">
        <v>30</v>
      </c>
      <c r="B79" t="s">
        <v>115</v>
      </c>
      <c r="C79" t="s">
        <v>8</v>
      </c>
      <c r="D79" t="s">
        <v>16</v>
      </c>
      <c r="E79">
        <v>12</v>
      </c>
      <c r="G79">
        <v>18874.580000000002</v>
      </c>
      <c r="H79">
        <v>0</v>
      </c>
      <c r="I79">
        <v>0</v>
      </c>
      <c r="J79">
        <v>30019</v>
      </c>
      <c r="K79">
        <v>4000</v>
      </c>
      <c r="L79">
        <v>2300</v>
      </c>
    </row>
    <row r="80" spans="1:12">
      <c r="A80" t="s">
        <v>96</v>
      </c>
      <c r="B80" t="s">
        <v>97</v>
      </c>
      <c r="C80" t="s">
        <v>8</v>
      </c>
      <c r="D80" t="s">
        <v>16</v>
      </c>
      <c r="E80">
        <v>48</v>
      </c>
      <c r="G80">
        <v>66589.87</v>
      </c>
      <c r="H80">
        <v>39750</v>
      </c>
      <c r="I80">
        <v>13806.06</v>
      </c>
      <c r="J80">
        <v>62073.5</v>
      </c>
      <c r="K80">
        <v>26340</v>
      </c>
      <c r="L80">
        <v>2404.33</v>
      </c>
    </row>
    <row r="81" spans="1:12">
      <c r="A81" t="s">
        <v>19</v>
      </c>
      <c r="B81" t="s">
        <v>56</v>
      </c>
      <c r="C81" t="s">
        <v>57</v>
      </c>
      <c r="D81" t="s">
        <v>16</v>
      </c>
      <c r="E81">
        <v>19</v>
      </c>
      <c r="G81">
        <v>18116.349999999999</v>
      </c>
      <c r="H81">
        <v>26614.29</v>
      </c>
      <c r="I81">
        <v>22701.65</v>
      </c>
      <c r="J81">
        <v>20565.5</v>
      </c>
      <c r="K81">
        <v>3084.82</v>
      </c>
      <c r="L81">
        <v>1834.63</v>
      </c>
    </row>
    <row r="82" spans="1:12">
      <c r="A82" t="s">
        <v>87</v>
      </c>
      <c r="B82" t="s">
        <v>88</v>
      </c>
      <c r="C82" t="s">
        <v>8</v>
      </c>
      <c r="D82" t="s">
        <v>16</v>
      </c>
      <c r="E82">
        <v>3</v>
      </c>
      <c r="G82">
        <v>7399.43</v>
      </c>
      <c r="H82">
        <v>29670.87</v>
      </c>
      <c r="I82">
        <v>1841.4</v>
      </c>
      <c r="J82">
        <v>8702.5</v>
      </c>
      <c r="K82">
        <v>1030</v>
      </c>
      <c r="L82">
        <v>3040</v>
      </c>
    </row>
    <row r="83" spans="1:12">
      <c r="A83" t="s">
        <v>44</v>
      </c>
      <c r="B83" t="s">
        <v>45</v>
      </c>
      <c r="C83" t="s">
        <v>8</v>
      </c>
      <c r="D83" t="s">
        <v>16</v>
      </c>
      <c r="E83">
        <v>19</v>
      </c>
      <c r="F83" t="s">
        <v>170</v>
      </c>
      <c r="G83">
        <v>76208.539999999994</v>
      </c>
      <c r="H83">
        <v>30474</v>
      </c>
      <c r="I83">
        <v>8747.0499999999993</v>
      </c>
      <c r="J83">
        <v>67726.2</v>
      </c>
      <c r="K83">
        <v>26736</v>
      </c>
      <c r="L83">
        <v>5171.7700000000004</v>
      </c>
    </row>
    <row r="84" spans="1:12">
      <c r="A84" t="s">
        <v>21</v>
      </c>
      <c r="B84" t="s">
        <v>84</v>
      </c>
      <c r="C84" t="s">
        <v>8</v>
      </c>
      <c r="D84" t="s">
        <v>16</v>
      </c>
      <c r="E84">
        <v>10</v>
      </c>
      <c r="G84">
        <v>32954.199999999997</v>
      </c>
      <c r="H84">
        <v>0</v>
      </c>
      <c r="I84">
        <v>0</v>
      </c>
      <c r="J84">
        <v>30594</v>
      </c>
      <c r="K84">
        <v>0</v>
      </c>
      <c r="L84">
        <v>3295.42</v>
      </c>
    </row>
    <row r="85" spans="1:12">
      <c r="A85" t="s">
        <v>106</v>
      </c>
      <c r="B85" t="s">
        <v>107</v>
      </c>
      <c r="C85" t="s">
        <v>8</v>
      </c>
      <c r="D85" t="s">
        <v>16</v>
      </c>
      <c r="E85">
        <v>4</v>
      </c>
      <c r="G85">
        <v>6099.64</v>
      </c>
      <c r="H85">
        <v>1932.66</v>
      </c>
      <c r="I85">
        <v>128</v>
      </c>
      <c r="J85">
        <v>7158</v>
      </c>
      <c r="K85">
        <v>3500</v>
      </c>
      <c r="L85">
        <v>1524.96</v>
      </c>
    </row>
    <row r="86" spans="1:12">
      <c r="A86" t="s">
        <v>23</v>
      </c>
      <c r="B86" t="s">
        <v>168</v>
      </c>
      <c r="C86" t="s">
        <v>8</v>
      </c>
      <c r="D86" t="s">
        <v>16</v>
      </c>
      <c r="E86">
        <v>30</v>
      </c>
      <c r="G86">
        <v>81830.64</v>
      </c>
      <c r="H86">
        <v>76402.320000000007</v>
      </c>
      <c r="I86">
        <v>0</v>
      </c>
      <c r="J86">
        <v>150054.1</v>
      </c>
      <c r="K86">
        <v>29740</v>
      </c>
      <c r="L86">
        <v>2900</v>
      </c>
    </row>
    <row r="87" spans="1:12">
      <c r="A87" t="s">
        <v>89</v>
      </c>
      <c r="B87" t="s">
        <v>90</v>
      </c>
      <c r="C87" t="s">
        <v>8</v>
      </c>
      <c r="D87" t="s">
        <v>16</v>
      </c>
      <c r="E87">
        <v>5</v>
      </c>
      <c r="G87">
        <v>10081.879999999999</v>
      </c>
      <c r="H87">
        <v>0</v>
      </c>
      <c r="I87">
        <v>0</v>
      </c>
      <c r="J87">
        <v>9780</v>
      </c>
      <c r="K87">
        <v>0</v>
      </c>
      <c r="L87">
        <v>2910.82</v>
      </c>
    </row>
    <row r="88" spans="1:12">
      <c r="A88" t="s">
        <v>23</v>
      </c>
      <c r="B88" t="s">
        <v>167</v>
      </c>
      <c r="C88" t="s">
        <v>24</v>
      </c>
      <c r="D88" t="s">
        <v>16</v>
      </c>
      <c r="E88">
        <v>29</v>
      </c>
      <c r="G88">
        <v>139018.76</v>
      </c>
      <c r="H88">
        <v>76402.67</v>
      </c>
      <c r="I88">
        <v>0</v>
      </c>
      <c r="J88">
        <v>154296.20000000001</v>
      </c>
      <c r="K88">
        <v>25980</v>
      </c>
      <c r="L88">
        <v>3000</v>
      </c>
    </row>
    <row r="89" spans="1:12">
      <c r="A89" t="s">
        <v>100</v>
      </c>
      <c r="B89" t="s">
        <v>101</v>
      </c>
      <c r="C89" t="s">
        <v>8</v>
      </c>
      <c r="D89" t="s">
        <v>16</v>
      </c>
      <c r="E89">
        <v>10</v>
      </c>
      <c r="G89">
        <v>27909.55</v>
      </c>
      <c r="H89">
        <v>13148</v>
      </c>
      <c r="I89">
        <v>1253.52</v>
      </c>
      <c r="J89">
        <v>33280</v>
      </c>
      <c r="K89">
        <v>4032</v>
      </c>
      <c r="L89">
        <v>4180</v>
      </c>
    </row>
    <row r="90" spans="1:12">
      <c r="A90" t="s">
        <v>19</v>
      </c>
      <c r="B90" t="s">
        <v>62</v>
      </c>
      <c r="C90" t="s">
        <v>63</v>
      </c>
      <c r="D90" t="s">
        <v>16</v>
      </c>
      <c r="E90">
        <v>20</v>
      </c>
      <c r="G90">
        <v>27498.25</v>
      </c>
      <c r="H90">
        <v>39448.17</v>
      </c>
      <c r="I90">
        <v>26209.08</v>
      </c>
      <c r="J90">
        <v>58248</v>
      </c>
      <c r="K90">
        <v>6773</v>
      </c>
      <c r="L90">
        <v>2700</v>
      </c>
    </row>
    <row r="91" spans="1:12">
      <c r="A91" t="s">
        <v>19</v>
      </c>
      <c r="B91" t="s">
        <v>74</v>
      </c>
      <c r="C91" t="s">
        <v>75</v>
      </c>
      <c r="D91" t="s">
        <v>16</v>
      </c>
      <c r="E91">
        <v>14</v>
      </c>
      <c r="F91" t="s">
        <v>171</v>
      </c>
      <c r="G91">
        <v>31988.880000000001</v>
      </c>
      <c r="H91">
        <v>39748.629999999997</v>
      </c>
      <c r="I91">
        <v>39748.629999999997</v>
      </c>
      <c r="J91">
        <v>44180</v>
      </c>
      <c r="K91">
        <v>5820</v>
      </c>
      <c r="L91">
        <v>2355.77</v>
      </c>
    </row>
    <row r="92" spans="1:12">
      <c r="A92" t="s">
        <v>67</v>
      </c>
      <c r="B92" t="s">
        <v>68</v>
      </c>
      <c r="C92" t="s">
        <v>8</v>
      </c>
      <c r="D92" t="s">
        <v>16</v>
      </c>
      <c r="E92">
        <v>14</v>
      </c>
      <c r="G92">
        <v>12360.25</v>
      </c>
      <c r="H92">
        <v>0</v>
      </c>
      <c r="I92">
        <v>0</v>
      </c>
      <c r="J92">
        <v>16412</v>
      </c>
      <c r="K92">
        <v>1300</v>
      </c>
      <c r="L92">
        <v>1855.6</v>
      </c>
    </row>
    <row r="93" spans="1:12">
      <c r="A93" t="s">
        <v>13</v>
      </c>
      <c r="B93" t="s">
        <v>79</v>
      </c>
      <c r="C93" t="s">
        <v>8</v>
      </c>
      <c r="D93" t="s">
        <v>16</v>
      </c>
      <c r="E93">
        <v>14</v>
      </c>
      <c r="G93">
        <v>38396.949999999997</v>
      </c>
      <c r="H93">
        <v>0</v>
      </c>
      <c r="I93">
        <v>715.36</v>
      </c>
      <c r="J93">
        <v>38938</v>
      </c>
      <c r="K93">
        <v>7612</v>
      </c>
      <c r="L93">
        <v>2691.4</v>
      </c>
    </row>
    <row r="94" spans="1:12">
      <c r="A94" t="s">
        <v>19</v>
      </c>
      <c r="B94" t="s">
        <v>146</v>
      </c>
      <c r="C94" t="s">
        <v>24</v>
      </c>
      <c r="D94" t="s">
        <v>16</v>
      </c>
      <c r="E94">
        <v>18</v>
      </c>
      <c r="F94" t="s">
        <v>172</v>
      </c>
      <c r="G94">
        <v>29668.23</v>
      </c>
      <c r="H94">
        <v>39639.870000000003</v>
      </c>
      <c r="I94">
        <v>39639.870000000003</v>
      </c>
      <c r="J94">
        <v>43571</v>
      </c>
      <c r="K94">
        <v>6500</v>
      </c>
      <c r="L94">
        <v>1692.78</v>
      </c>
    </row>
    <row r="95" spans="1:12">
      <c r="A95" t="s">
        <v>19</v>
      </c>
      <c r="B95" t="s">
        <v>173</v>
      </c>
      <c r="C95" t="s">
        <v>20</v>
      </c>
      <c r="D95" t="s">
        <v>10</v>
      </c>
      <c r="E95">
        <v>19</v>
      </c>
      <c r="G95">
        <v>38908.29</v>
      </c>
      <c r="H95">
        <v>0</v>
      </c>
      <c r="I95">
        <v>13585.77</v>
      </c>
      <c r="J95">
        <v>50660.23</v>
      </c>
      <c r="K95">
        <v>7600</v>
      </c>
      <c r="L95">
        <v>2557.1999999999998</v>
      </c>
    </row>
    <row r="96" spans="1:12">
      <c r="A96" t="s">
        <v>111</v>
      </c>
      <c r="B96" t="s">
        <v>112</v>
      </c>
      <c r="C96" t="s">
        <v>8</v>
      </c>
      <c r="D96" t="s">
        <v>16</v>
      </c>
      <c r="E96">
        <v>7</v>
      </c>
      <c r="G96">
        <v>8281.8700000000008</v>
      </c>
      <c r="H96">
        <v>16512</v>
      </c>
      <c r="I96">
        <v>1796.04</v>
      </c>
      <c r="J96">
        <v>7737</v>
      </c>
      <c r="K96">
        <v>1333</v>
      </c>
      <c r="L96">
        <v>2634</v>
      </c>
    </row>
    <row r="97" spans="1:12">
      <c r="A97" t="s">
        <v>93</v>
      </c>
      <c r="B97" t="s">
        <v>94</v>
      </c>
      <c r="C97" t="s">
        <v>8</v>
      </c>
      <c r="D97" t="s">
        <v>16</v>
      </c>
      <c r="E97">
        <v>40</v>
      </c>
      <c r="F97" t="s">
        <v>174</v>
      </c>
      <c r="G97">
        <v>75043.539999999994</v>
      </c>
      <c r="H97">
        <v>32570</v>
      </c>
      <c r="I97">
        <v>11966.07</v>
      </c>
      <c r="J97">
        <v>86275.8</v>
      </c>
      <c r="K97">
        <v>44000</v>
      </c>
      <c r="L97">
        <v>2900</v>
      </c>
    </row>
    <row r="98" spans="1:12">
      <c r="A98" t="s">
        <v>143</v>
      </c>
      <c r="B98" t="s">
        <v>144</v>
      </c>
      <c r="C98" t="s">
        <v>8</v>
      </c>
      <c r="D98" t="s">
        <v>16</v>
      </c>
      <c r="E98">
        <v>10</v>
      </c>
      <c r="F98" t="s">
        <v>175</v>
      </c>
      <c r="G98">
        <v>14437.36</v>
      </c>
      <c r="H98">
        <v>6157.77</v>
      </c>
      <c r="I98">
        <v>2174</v>
      </c>
      <c r="J98">
        <v>14726.8</v>
      </c>
      <c r="K98">
        <v>5400</v>
      </c>
      <c r="L98">
        <v>2059.5100000000002</v>
      </c>
    </row>
    <row r="99" spans="1:12">
      <c r="A99" t="s">
        <v>14</v>
      </c>
      <c r="B99" t="s">
        <v>85</v>
      </c>
      <c r="C99" t="s">
        <v>8</v>
      </c>
      <c r="D99" t="s">
        <v>16</v>
      </c>
      <c r="E99">
        <v>34</v>
      </c>
      <c r="F99" t="s">
        <v>176</v>
      </c>
      <c r="G99">
        <v>69057.61</v>
      </c>
      <c r="H99">
        <v>30460.27</v>
      </c>
      <c r="I99">
        <v>8744</v>
      </c>
      <c r="J99">
        <v>87028.86</v>
      </c>
      <c r="K99">
        <v>15606</v>
      </c>
      <c r="L99">
        <v>3185</v>
      </c>
    </row>
    <row r="100" spans="1:12">
      <c r="A100" t="s">
        <v>71</v>
      </c>
      <c r="B100" t="s">
        <v>72</v>
      </c>
      <c r="C100" t="s">
        <v>8</v>
      </c>
      <c r="D100" t="s">
        <v>16</v>
      </c>
      <c r="E100">
        <v>58</v>
      </c>
      <c r="G100">
        <v>83744.41</v>
      </c>
      <c r="H100">
        <v>174810.51</v>
      </c>
      <c r="I100">
        <v>18554.669999999998</v>
      </c>
      <c r="J100">
        <v>83030.600000000006</v>
      </c>
      <c r="K100">
        <v>20010</v>
      </c>
      <c r="L100">
        <v>2724.41</v>
      </c>
    </row>
    <row r="101" spans="1:12">
      <c r="A101" t="s">
        <v>69</v>
      </c>
      <c r="B101" t="s">
        <v>70</v>
      </c>
      <c r="C101" t="s">
        <v>8</v>
      </c>
      <c r="D101" t="s">
        <v>16</v>
      </c>
      <c r="E101">
        <v>10</v>
      </c>
      <c r="G101">
        <v>31032.99</v>
      </c>
      <c r="H101">
        <v>14742</v>
      </c>
      <c r="I101">
        <v>8574.7199999999993</v>
      </c>
      <c r="J101">
        <v>31952</v>
      </c>
      <c r="K101">
        <v>7595</v>
      </c>
      <c r="L101">
        <v>3210.67</v>
      </c>
    </row>
    <row r="102" spans="1:12">
      <c r="A102" t="s">
        <v>139</v>
      </c>
      <c r="B102" t="s">
        <v>140</v>
      </c>
      <c r="C102" t="s">
        <v>8</v>
      </c>
      <c r="D102" t="s">
        <v>16</v>
      </c>
      <c r="E102">
        <v>11</v>
      </c>
      <c r="G102">
        <v>10615.6</v>
      </c>
      <c r="H102">
        <v>14191.56</v>
      </c>
      <c r="I102">
        <v>10702.37</v>
      </c>
      <c r="J102">
        <v>21225.8</v>
      </c>
      <c r="K102">
        <v>4152.6000000000004</v>
      </c>
      <c r="L102">
        <v>2019.94</v>
      </c>
    </row>
    <row r="103" spans="1:12">
      <c r="A103" t="s">
        <v>123</v>
      </c>
      <c r="B103" t="s">
        <v>124</v>
      </c>
      <c r="C103" t="s">
        <v>8</v>
      </c>
      <c r="D103" t="s">
        <v>16</v>
      </c>
      <c r="E103">
        <v>5</v>
      </c>
      <c r="F103" t="s">
        <v>177</v>
      </c>
      <c r="G103">
        <v>14119.5</v>
      </c>
      <c r="H103">
        <v>8478.4500000000007</v>
      </c>
      <c r="I103">
        <v>90000</v>
      </c>
      <c r="J103">
        <v>12390</v>
      </c>
      <c r="K103">
        <v>4451</v>
      </c>
      <c r="L103">
        <v>2823.9</v>
      </c>
    </row>
    <row r="104" spans="1:12">
      <c r="A104" t="s">
        <v>148</v>
      </c>
      <c r="B104" t="s">
        <v>149</v>
      </c>
      <c r="C104" t="s">
        <v>8</v>
      </c>
      <c r="D104" t="s">
        <v>16</v>
      </c>
      <c r="E104">
        <v>11</v>
      </c>
      <c r="G104">
        <v>31112.62</v>
      </c>
      <c r="H104">
        <v>11465.3</v>
      </c>
      <c r="I104">
        <v>3473.83</v>
      </c>
      <c r="J104">
        <v>37614.870000000003</v>
      </c>
      <c r="K104">
        <v>9800</v>
      </c>
      <c r="L104">
        <v>2743.56</v>
      </c>
    </row>
    <row r="105" spans="1:12">
      <c r="A105" t="s">
        <v>12</v>
      </c>
      <c r="B105" t="s">
        <v>137</v>
      </c>
      <c r="C105" t="s">
        <v>8</v>
      </c>
      <c r="D105" t="s">
        <v>16</v>
      </c>
      <c r="E105">
        <v>5</v>
      </c>
      <c r="F105" t="s">
        <v>138</v>
      </c>
      <c r="G105">
        <v>22822</v>
      </c>
      <c r="H105">
        <v>29503.37</v>
      </c>
      <c r="I105">
        <v>0</v>
      </c>
      <c r="J105">
        <v>20398</v>
      </c>
      <c r="K105">
        <v>0</v>
      </c>
      <c r="L105">
        <v>2500</v>
      </c>
    </row>
    <row r="106" spans="1:12">
      <c r="A106" t="s">
        <v>132</v>
      </c>
      <c r="B106" t="s">
        <v>133</v>
      </c>
      <c r="C106" t="s">
        <v>8</v>
      </c>
      <c r="D106" t="s">
        <v>16</v>
      </c>
      <c r="E106">
        <v>9</v>
      </c>
      <c r="F106" t="s">
        <v>178</v>
      </c>
      <c r="G106">
        <v>19297.900000000001</v>
      </c>
      <c r="H106">
        <v>16138.04</v>
      </c>
      <c r="I106">
        <v>1450</v>
      </c>
      <c r="J106">
        <v>21712.799999999999</v>
      </c>
      <c r="K106">
        <v>3540</v>
      </c>
      <c r="L106">
        <v>3010</v>
      </c>
    </row>
    <row r="107" spans="1:12">
      <c r="A107" t="s">
        <v>104</v>
      </c>
      <c r="B107" t="s">
        <v>105</v>
      </c>
      <c r="C107" t="s">
        <v>8</v>
      </c>
      <c r="D107" t="s">
        <v>16</v>
      </c>
      <c r="E107">
        <v>9</v>
      </c>
      <c r="G107">
        <v>32935.4</v>
      </c>
      <c r="H107">
        <v>7004.88</v>
      </c>
      <c r="I107">
        <v>3433.61</v>
      </c>
      <c r="J107">
        <v>36028.5</v>
      </c>
      <c r="K107">
        <v>3690</v>
      </c>
      <c r="L107">
        <v>3508</v>
      </c>
    </row>
    <row r="108" spans="1:12">
      <c r="A108" t="s">
        <v>126</v>
      </c>
      <c r="B108" t="s">
        <v>127</v>
      </c>
      <c r="C108" t="s">
        <v>8</v>
      </c>
      <c r="D108" t="s">
        <v>16</v>
      </c>
      <c r="E108">
        <v>4</v>
      </c>
      <c r="G108">
        <v>9274.25</v>
      </c>
      <c r="H108">
        <v>6511.68</v>
      </c>
      <c r="I108">
        <v>2145.27</v>
      </c>
      <c r="J108">
        <v>9540</v>
      </c>
      <c r="K108">
        <v>0</v>
      </c>
      <c r="L108">
        <v>3410.165</v>
      </c>
    </row>
    <row r="109" spans="1:12">
      <c r="A109" t="s">
        <v>179</v>
      </c>
      <c r="B109" t="s">
        <v>180</v>
      </c>
      <c r="C109" t="s">
        <v>8</v>
      </c>
      <c r="D109" t="s">
        <v>10</v>
      </c>
      <c r="E109">
        <v>12</v>
      </c>
      <c r="G109">
        <v>30108.34</v>
      </c>
      <c r="H109">
        <v>13390.03</v>
      </c>
      <c r="I109">
        <v>3912.37</v>
      </c>
      <c r="J109">
        <v>33421.699999999997</v>
      </c>
      <c r="K109">
        <v>9456</v>
      </c>
      <c r="L109">
        <v>3170</v>
      </c>
    </row>
    <row r="110" spans="1:12">
      <c r="A110" t="s">
        <v>156</v>
      </c>
      <c r="B110" t="s">
        <v>157</v>
      </c>
      <c r="C110" t="s">
        <v>8</v>
      </c>
      <c r="D110" t="s">
        <v>16</v>
      </c>
      <c r="E110">
        <v>3</v>
      </c>
      <c r="G110">
        <v>12043.6</v>
      </c>
      <c r="H110">
        <v>5350</v>
      </c>
      <c r="I110">
        <v>3825</v>
      </c>
      <c r="J110">
        <v>6611.9</v>
      </c>
      <c r="K110">
        <v>4870</v>
      </c>
      <c r="L110">
        <v>2850</v>
      </c>
    </row>
    <row r="111" spans="1:12">
      <c r="A111" t="s">
        <v>179</v>
      </c>
      <c r="B111" t="s">
        <v>180</v>
      </c>
      <c r="C111" t="s">
        <v>8</v>
      </c>
      <c r="D111" t="s">
        <v>16</v>
      </c>
      <c r="E111">
        <v>12</v>
      </c>
      <c r="G111">
        <v>25718.47</v>
      </c>
      <c r="H111">
        <v>10602.48</v>
      </c>
      <c r="I111">
        <v>2390.75</v>
      </c>
      <c r="J111">
        <v>25677.9</v>
      </c>
      <c r="K111">
        <v>6890</v>
      </c>
      <c r="L111">
        <v>2820</v>
      </c>
    </row>
    <row r="112" spans="1:12">
      <c r="A112" t="s">
        <v>113</v>
      </c>
      <c r="B112" t="s">
        <v>114</v>
      </c>
      <c r="C112" t="s">
        <v>8</v>
      </c>
      <c r="D112" t="s">
        <v>16</v>
      </c>
      <c r="E112">
        <v>15</v>
      </c>
      <c r="G112">
        <v>27317.49</v>
      </c>
      <c r="H112">
        <v>0</v>
      </c>
      <c r="I112">
        <v>1547</v>
      </c>
      <c r="J112">
        <v>26613.7</v>
      </c>
      <c r="K112">
        <v>10000</v>
      </c>
      <c r="L112">
        <v>2070</v>
      </c>
    </row>
    <row r="113" spans="1:12">
      <c r="A113" t="s">
        <v>152</v>
      </c>
      <c r="B113" t="s">
        <v>153</v>
      </c>
      <c r="C113" t="s">
        <v>8</v>
      </c>
      <c r="D113" t="s">
        <v>16</v>
      </c>
      <c r="E113">
        <v>10</v>
      </c>
      <c r="G113">
        <v>15606.78</v>
      </c>
      <c r="H113">
        <v>0</v>
      </c>
      <c r="I113">
        <v>0</v>
      </c>
      <c r="J113">
        <v>14182.2</v>
      </c>
      <c r="K113">
        <v>113510</v>
      </c>
      <c r="L113">
        <v>1370.39</v>
      </c>
    </row>
    <row r="114" spans="1:12">
      <c r="A114" t="s">
        <v>42</v>
      </c>
      <c r="B114" t="s">
        <v>43</v>
      </c>
      <c r="C114" t="s">
        <v>8</v>
      </c>
      <c r="D114" t="s">
        <v>16</v>
      </c>
      <c r="E114">
        <v>10</v>
      </c>
      <c r="G114">
        <v>11018.2</v>
      </c>
      <c r="H114">
        <v>0</v>
      </c>
      <c r="I114">
        <v>0</v>
      </c>
      <c r="J114">
        <v>18300</v>
      </c>
      <c r="K114">
        <v>0</v>
      </c>
      <c r="L114">
        <v>1455</v>
      </c>
    </row>
    <row r="115" spans="1:12">
      <c r="A115" t="s">
        <v>42</v>
      </c>
      <c r="B115" t="s">
        <v>43</v>
      </c>
      <c r="C115" t="s">
        <v>8</v>
      </c>
      <c r="D115" t="s">
        <v>27</v>
      </c>
      <c r="E115">
        <v>10</v>
      </c>
      <c r="G115">
        <v>22693.62</v>
      </c>
      <c r="H115">
        <v>0</v>
      </c>
      <c r="I115">
        <v>0</v>
      </c>
      <c r="J115">
        <v>26819</v>
      </c>
      <c r="K115">
        <v>0</v>
      </c>
      <c r="L115">
        <v>1450</v>
      </c>
    </row>
    <row r="116" spans="1:12">
      <c r="A116" t="s">
        <v>82</v>
      </c>
      <c r="B116" t="s">
        <v>83</v>
      </c>
      <c r="C116" t="s">
        <v>8</v>
      </c>
      <c r="D116" t="s">
        <v>27</v>
      </c>
      <c r="E116">
        <v>13</v>
      </c>
      <c r="G116">
        <v>27059.33</v>
      </c>
      <c r="H116">
        <v>2265.2800000000002</v>
      </c>
      <c r="I116">
        <v>0</v>
      </c>
      <c r="J116">
        <v>21549.5</v>
      </c>
      <c r="K116">
        <v>0</v>
      </c>
      <c r="L116">
        <v>1458.97</v>
      </c>
    </row>
    <row r="117" spans="1:12">
      <c r="A117" t="s">
        <v>64</v>
      </c>
      <c r="B117" t="s">
        <v>65</v>
      </c>
      <c r="C117" t="s">
        <v>8</v>
      </c>
      <c r="D117" t="s">
        <v>16</v>
      </c>
      <c r="E117">
        <v>1</v>
      </c>
      <c r="G117">
        <v>5296</v>
      </c>
      <c r="H117">
        <v>0</v>
      </c>
      <c r="I117">
        <v>1080</v>
      </c>
      <c r="J117">
        <v>6350</v>
      </c>
      <c r="K117">
        <v>0</v>
      </c>
      <c r="L117">
        <v>5296</v>
      </c>
    </row>
    <row r="118" spans="1:12">
      <c r="A118" t="s">
        <v>118</v>
      </c>
      <c r="B118" t="s">
        <v>119</v>
      </c>
      <c r="C118" t="s">
        <v>8</v>
      </c>
      <c r="D118" t="s">
        <v>16</v>
      </c>
      <c r="E118">
        <v>9</v>
      </c>
      <c r="G118">
        <v>12519.6</v>
      </c>
      <c r="H118">
        <v>0</v>
      </c>
      <c r="I118">
        <v>0</v>
      </c>
      <c r="J118">
        <v>13862</v>
      </c>
      <c r="K118">
        <v>0</v>
      </c>
      <c r="L118">
        <v>2177.8000000000002</v>
      </c>
    </row>
    <row r="119" spans="1:12">
      <c r="A119" t="s">
        <v>80</v>
      </c>
      <c r="B119" t="s">
        <v>81</v>
      </c>
      <c r="C119" t="s">
        <v>8</v>
      </c>
      <c r="D119" t="s">
        <v>16</v>
      </c>
      <c r="E119">
        <v>72</v>
      </c>
      <c r="G119">
        <v>107451.75</v>
      </c>
      <c r="H119">
        <v>89894.66</v>
      </c>
      <c r="I119">
        <v>24417.11</v>
      </c>
      <c r="J119">
        <v>124979.4</v>
      </c>
      <c r="K119">
        <v>40000</v>
      </c>
      <c r="L119">
        <v>2310.09</v>
      </c>
    </row>
    <row r="120" spans="1:12">
      <c r="A120" t="s">
        <v>158</v>
      </c>
      <c r="B120" t="s">
        <v>159</v>
      </c>
      <c r="C120" t="s">
        <v>8</v>
      </c>
      <c r="D120" t="s">
        <v>16</v>
      </c>
      <c r="E120">
        <v>43</v>
      </c>
      <c r="G120">
        <v>109540.55</v>
      </c>
      <c r="H120">
        <v>0</v>
      </c>
      <c r="I120">
        <v>11349.18</v>
      </c>
      <c r="J120">
        <v>118217</v>
      </c>
      <c r="K120">
        <v>48288.2</v>
      </c>
      <c r="L120">
        <v>3914.33</v>
      </c>
    </row>
    <row r="121" spans="1:12">
      <c r="A121" t="s">
        <v>19</v>
      </c>
      <c r="B121" t="s">
        <v>173</v>
      </c>
      <c r="C121" t="s">
        <v>20</v>
      </c>
      <c r="D121" t="s">
        <v>16</v>
      </c>
      <c r="E121">
        <v>19</v>
      </c>
      <c r="G121">
        <v>24687.4</v>
      </c>
      <c r="H121">
        <v>44852.27</v>
      </c>
      <c r="I121">
        <v>20769.16</v>
      </c>
      <c r="J121">
        <v>20980</v>
      </c>
      <c r="K121">
        <v>4210</v>
      </c>
      <c r="L121">
        <v>1596.64</v>
      </c>
    </row>
    <row r="122" spans="1:12">
      <c r="A122" t="s">
        <v>47</v>
      </c>
      <c r="B122" t="s">
        <v>48</v>
      </c>
      <c r="C122" t="s">
        <v>8</v>
      </c>
      <c r="D122" t="s">
        <v>27</v>
      </c>
      <c r="E122">
        <v>16</v>
      </c>
      <c r="G122">
        <v>26882.35</v>
      </c>
      <c r="H122">
        <v>26882.35</v>
      </c>
      <c r="I122">
        <v>360</v>
      </c>
      <c r="J122">
        <v>34646.5</v>
      </c>
      <c r="K122">
        <v>17638.400000000001</v>
      </c>
      <c r="L122">
        <v>2300</v>
      </c>
    </row>
    <row r="123" spans="1:12">
      <c r="A123" t="s">
        <v>19</v>
      </c>
      <c r="B123" t="s">
        <v>74</v>
      </c>
      <c r="C123" t="s">
        <v>75</v>
      </c>
      <c r="D123" t="s">
        <v>27</v>
      </c>
      <c r="E123">
        <v>14</v>
      </c>
      <c r="F123" t="s">
        <v>181</v>
      </c>
      <c r="G123">
        <v>38530.449999999997</v>
      </c>
      <c r="H123">
        <v>40845.61</v>
      </c>
      <c r="I123">
        <v>40845.61</v>
      </c>
      <c r="J123">
        <v>43494.9</v>
      </c>
      <c r="K123">
        <v>6524.23</v>
      </c>
      <c r="L123">
        <v>2771.97</v>
      </c>
    </row>
    <row r="124" spans="1:12">
      <c r="A124" t="s">
        <v>54</v>
      </c>
      <c r="B124" t="s">
        <v>55</v>
      </c>
      <c r="C124" t="s">
        <v>8</v>
      </c>
      <c r="D124" t="s">
        <v>27</v>
      </c>
      <c r="E124">
        <v>19</v>
      </c>
      <c r="G124">
        <v>73438.429999999993</v>
      </c>
      <c r="H124">
        <v>22010.95</v>
      </c>
      <c r="I124">
        <v>34980.699999999997</v>
      </c>
      <c r="J124">
        <v>60639</v>
      </c>
      <c r="K124">
        <v>10770</v>
      </c>
      <c r="L124">
        <v>3172.03</v>
      </c>
    </row>
    <row r="125" spans="1:12">
      <c r="A125" t="s">
        <v>182</v>
      </c>
      <c r="B125" t="s">
        <v>183</v>
      </c>
      <c r="C125" t="s">
        <v>8</v>
      </c>
      <c r="D125" t="s">
        <v>10</v>
      </c>
      <c r="E125">
        <v>10</v>
      </c>
      <c r="G125">
        <v>23945.7</v>
      </c>
      <c r="H125">
        <v>14689.36</v>
      </c>
      <c r="I125">
        <v>2016</v>
      </c>
      <c r="J125">
        <v>39295.5</v>
      </c>
      <c r="K125">
        <v>3091</v>
      </c>
      <c r="L125">
        <v>4259.51</v>
      </c>
    </row>
    <row r="126" spans="1:12">
      <c r="A126" t="s">
        <v>182</v>
      </c>
      <c r="B126" t="s">
        <v>183</v>
      </c>
      <c r="C126" t="s">
        <v>8</v>
      </c>
      <c r="D126" t="s">
        <v>16</v>
      </c>
      <c r="E126">
        <v>11</v>
      </c>
      <c r="G126">
        <v>26960.46</v>
      </c>
      <c r="H126">
        <v>6793</v>
      </c>
      <c r="I126">
        <v>1666</v>
      </c>
      <c r="J126">
        <v>31054.9</v>
      </c>
      <c r="K126">
        <v>2636</v>
      </c>
      <c r="L126">
        <v>3676.79</v>
      </c>
    </row>
    <row r="127" spans="1:12">
      <c r="A127" t="s">
        <v>135</v>
      </c>
      <c r="B127" t="s">
        <v>136</v>
      </c>
      <c r="C127" t="s">
        <v>8</v>
      </c>
      <c r="D127" t="s">
        <v>16</v>
      </c>
      <c r="E127">
        <v>15</v>
      </c>
      <c r="G127">
        <v>81989.3</v>
      </c>
      <c r="H127">
        <v>7290</v>
      </c>
      <c r="I127">
        <v>55885</v>
      </c>
      <c r="J127">
        <v>57124</v>
      </c>
      <c r="K127">
        <v>8080</v>
      </c>
      <c r="L127">
        <v>1891.24</v>
      </c>
    </row>
    <row r="128" spans="1:12">
      <c r="A128" t="s">
        <v>44</v>
      </c>
      <c r="B128" t="s">
        <v>45</v>
      </c>
      <c r="C128" t="s">
        <v>8</v>
      </c>
      <c r="D128" t="s">
        <v>27</v>
      </c>
      <c r="E128">
        <v>19</v>
      </c>
      <c r="G128">
        <v>61795.5</v>
      </c>
      <c r="H128">
        <v>27539.63</v>
      </c>
      <c r="I128">
        <v>7611.94</v>
      </c>
      <c r="J128">
        <v>58284</v>
      </c>
      <c r="K128">
        <v>13187</v>
      </c>
      <c r="L128">
        <v>4305.67</v>
      </c>
    </row>
    <row r="129" spans="1:12">
      <c r="A129" t="s">
        <v>128</v>
      </c>
      <c r="B129" t="s">
        <v>129</v>
      </c>
      <c r="C129" t="s">
        <v>8</v>
      </c>
      <c r="D129" t="s">
        <v>27</v>
      </c>
      <c r="E129">
        <v>10</v>
      </c>
      <c r="G129">
        <v>18504.150000000001</v>
      </c>
      <c r="H129">
        <v>5225</v>
      </c>
      <c r="I129">
        <v>925.21</v>
      </c>
      <c r="J129">
        <v>16772.2</v>
      </c>
      <c r="K129">
        <v>2320</v>
      </c>
      <c r="L129">
        <v>3279.63</v>
      </c>
    </row>
    <row r="130" spans="1:12">
      <c r="A130" t="s">
        <v>91</v>
      </c>
      <c r="B130" t="s">
        <v>92</v>
      </c>
      <c r="C130" t="s">
        <v>8</v>
      </c>
      <c r="D130" t="s">
        <v>27</v>
      </c>
      <c r="E130">
        <v>11</v>
      </c>
      <c r="G130">
        <v>39106.519999999997</v>
      </c>
      <c r="H130">
        <v>29452.76</v>
      </c>
      <c r="I130">
        <v>20618.37</v>
      </c>
      <c r="J130">
        <v>41265.4</v>
      </c>
      <c r="K130">
        <v>10000</v>
      </c>
      <c r="L130">
        <v>3874.87</v>
      </c>
    </row>
    <row r="131" spans="1:12">
      <c r="A131" t="s">
        <v>60</v>
      </c>
      <c r="B131" t="s">
        <v>103</v>
      </c>
      <c r="C131" t="s">
        <v>24</v>
      </c>
      <c r="D131" t="s">
        <v>27</v>
      </c>
      <c r="E131">
        <v>29</v>
      </c>
      <c r="G131">
        <v>95149.86</v>
      </c>
      <c r="H131">
        <v>5789.04</v>
      </c>
      <c r="I131">
        <v>38346.089999999997</v>
      </c>
      <c r="J131">
        <v>131201</v>
      </c>
      <c r="K131">
        <v>19979.8</v>
      </c>
      <c r="L131">
        <v>2582.23</v>
      </c>
    </row>
    <row r="132" spans="1:12">
      <c r="A132" t="s">
        <v>13</v>
      </c>
      <c r="B132" t="s">
        <v>79</v>
      </c>
      <c r="C132" t="s">
        <v>8</v>
      </c>
      <c r="D132" t="s">
        <v>27</v>
      </c>
      <c r="E132">
        <v>14</v>
      </c>
      <c r="G132">
        <v>26816.45</v>
      </c>
      <c r="H132">
        <v>0</v>
      </c>
      <c r="I132">
        <v>370.08</v>
      </c>
      <c r="J132">
        <v>42298.5</v>
      </c>
      <c r="K132">
        <v>8683</v>
      </c>
      <c r="L132">
        <v>1915</v>
      </c>
    </row>
    <row r="133" spans="1:12">
      <c r="A133" t="s">
        <v>58</v>
      </c>
      <c r="B133" t="s">
        <v>59</v>
      </c>
      <c r="C133" t="s">
        <v>8</v>
      </c>
      <c r="D133" t="s">
        <v>27</v>
      </c>
      <c r="E133">
        <v>21</v>
      </c>
      <c r="G133">
        <v>99144.36</v>
      </c>
      <c r="H133">
        <v>32434.5</v>
      </c>
      <c r="I133">
        <v>2184</v>
      </c>
      <c r="J133">
        <v>91172.6</v>
      </c>
      <c r="K133">
        <v>17151</v>
      </c>
      <c r="L133">
        <v>5321.9</v>
      </c>
    </row>
    <row r="134" spans="1:12">
      <c r="A134" t="s">
        <v>25</v>
      </c>
      <c r="B134" t="s">
        <v>49</v>
      </c>
      <c r="C134" t="s">
        <v>8</v>
      </c>
      <c r="D134" t="s">
        <v>27</v>
      </c>
      <c r="E134">
        <v>20</v>
      </c>
      <c r="F134" t="s">
        <v>184</v>
      </c>
      <c r="G134">
        <v>65797.05</v>
      </c>
      <c r="H134">
        <v>0</v>
      </c>
      <c r="I134">
        <v>13146.12</v>
      </c>
      <c r="J134">
        <v>101551</v>
      </c>
      <c r="K134">
        <v>46340</v>
      </c>
      <c r="L134">
        <v>3776.6</v>
      </c>
    </row>
    <row r="135" spans="1:12">
      <c r="A135" t="s">
        <v>98</v>
      </c>
      <c r="B135" t="s">
        <v>99</v>
      </c>
      <c r="C135" t="s">
        <v>8</v>
      </c>
      <c r="D135" t="s">
        <v>27</v>
      </c>
      <c r="E135">
        <v>6</v>
      </c>
      <c r="G135">
        <v>14114.54</v>
      </c>
      <c r="H135">
        <v>12518.38</v>
      </c>
      <c r="I135">
        <v>1197.79</v>
      </c>
      <c r="J135">
        <v>13450</v>
      </c>
      <c r="K135">
        <v>894.3</v>
      </c>
      <c r="L135">
        <v>4238.1000000000004</v>
      </c>
    </row>
    <row r="136" spans="1:12">
      <c r="A136" t="s">
        <v>19</v>
      </c>
      <c r="B136" t="s">
        <v>56</v>
      </c>
      <c r="C136" t="s">
        <v>57</v>
      </c>
      <c r="D136" t="s">
        <v>27</v>
      </c>
      <c r="E136">
        <v>21</v>
      </c>
      <c r="G136">
        <v>29005.95</v>
      </c>
      <c r="H136">
        <v>32991.94</v>
      </c>
      <c r="I136">
        <v>24854.39</v>
      </c>
      <c r="J136">
        <v>25742</v>
      </c>
      <c r="K136">
        <v>3861.34</v>
      </c>
      <c r="L136">
        <v>2502.8200000000002</v>
      </c>
    </row>
    <row r="137" spans="1:12">
      <c r="A137" t="s">
        <v>17</v>
      </c>
      <c r="B137" t="s">
        <v>102</v>
      </c>
      <c r="C137" t="s">
        <v>8</v>
      </c>
      <c r="D137" t="s">
        <v>27</v>
      </c>
      <c r="E137">
        <v>48</v>
      </c>
      <c r="F137" t="s">
        <v>185</v>
      </c>
      <c r="G137">
        <v>64957.32</v>
      </c>
      <c r="H137">
        <v>77184.72</v>
      </c>
      <c r="I137">
        <v>18645.48</v>
      </c>
      <c r="J137">
        <v>74791</v>
      </c>
      <c r="K137">
        <v>27340</v>
      </c>
      <c r="L137">
        <v>2235.0300000000002</v>
      </c>
    </row>
    <row r="138" spans="1:12">
      <c r="A138" t="s">
        <v>21</v>
      </c>
      <c r="B138" t="s">
        <v>84</v>
      </c>
      <c r="C138" t="s">
        <v>8</v>
      </c>
      <c r="D138" t="s">
        <v>27</v>
      </c>
      <c r="E138">
        <v>10</v>
      </c>
      <c r="G138">
        <v>35453.699999999997</v>
      </c>
      <c r="H138">
        <v>0</v>
      </c>
      <c r="I138">
        <v>0</v>
      </c>
      <c r="J138">
        <v>36695</v>
      </c>
      <c r="K138">
        <v>0</v>
      </c>
      <c r="L138">
        <v>3545.37</v>
      </c>
    </row>
    <row r="139" spans="1:12">
      <c r="A139" t="s">
        <v>7</v>
      </c>
      <c r="B139" t="s">
        <v>186</v>
      </c>
      <c r="C139" t="s">
        <v>8</v>
      </c>
      <c r="D139" t="s">
        <v>10</v>
      </c>
      <c r="E139">
        <v>7</v>
      </c>
      <c r="G139">
        <v>9598.75</v>
      </c>
      <c r="H139">
        <v>0</v>
      </c>
      <c r="I139">
        <v>0</v>
      </c>
      <c r="J139">
        <v>7363</v>
      </c>
      <c r="K139">
        <v>3620</v>
      </c>
      <c r="L139">
        <v>1371.25</v>
      </c>
    </row>
    <row r="140" spans="1:12">
      <c r="A140" t="s">
        <v>7</v>
      </c>
      <c r="B140" t="s">
        <v>186</v>
      </c>
      <c r="C140" t="s">
        <v>8</v>
      </c>
      <c r="D140" t="s">
        <v>16</v>
      </c>
      <c r="E140">
        <v>7</v>
      </c>
      <c r="G140">
        <v>11863.9</v>
      </c>
      <c r="H140">
        <v>0</v>
      </c>
      <c r="I140">
        <v>0</v>
      </c>
      <c r="J140">
        <v>9235</v>
      </c>
      <c r="K140">
        <v>4030</v>
      </c>
      <c r="L140">
        <v>1694.84</v>
      </c>
    </row>
    <row r="141" spans="1:12">
      <c r="A141" t="s">
        <v>100</v>
      </c>
      <c r="B141" t="s">
        <v>101</v>
      </c>
      <c r="C141" t="s">
        <v>8</v>
      </c>
      <c r="D141" t="s">
        <v>27</v>
      </c>
      <c r="E141">
        <v>10</v>
      </c>
      <c r="G141">
        <v>29727.19</v>
      </c>
      <c r="H141">
        <v>10154</v>
      </c>
      <c r="I141">
        <v>1157.75</v>
      </c>
      <c r="J141">
        <v>24715.3</v>
      </c>
      <c r="K141">
        <v>11460</v>
      </c>
      <c r="L141">
        <v>3500</v>
      </c>
    </row>
    <row r="142" spans="1:12">
      <c r="A142" t="s">
        <v>67</v>
      </c>
      <c r="B142" t="s">
        <v>68</v>
      </c>
      <c r="C142" t="s">
        <v>8</v>
      </c>
      <c r="D142" t="s">
        <v>27</v>
      </c>
      <c r="E142">
        <v>16</v>
      </c>
      <c r="G142">
        <v>18915</v>
      </c>
      <c r="H142">
        <v>9000</v>
      </c>
      <c r="I142">
        <v>1059.99</v>
      </c>
      <c r="J142">
        <v>27028.5</v>
      </c>
      <c r="K142">
        <v>1750</v>
      </c>
      <c r="L142">
        <v>2222.4</v>
      </c>
    </row>
    <row r="143" spans="1:12">
      <c r="A143" t="s">
        <v>30</v>
      </c>
      <c r="B143" t="s">
        <v>115</v>
      </c>
      <c r="C143" t="s">
        <v>8</v>
      </c>
      <c r="D143" t="s">
        <v>27</v>
      </c>
      <c r="E143">
        <v>12</v>
      </c>
      <c r="G143">
        <v>13698.85</v>
      </c>
      <c r="H143">
        <v>0</v>
      </c>
      <c r="I143">
        <v>0</v>
      </c>
      <c r="J143">
        <v>24207</v>
      </c>
      <c r="K143">
        <v>0</v>
      </c>
      <c r="L143">
        <v>1325</v>
      </c>
    </row>
    <row r="144" spans="1:12">
      <c r="A144" t="s">
        <v>19</v>
      </c>
      <c r="B144" t="s">
        <v>146</v>
      </c>
      <c r="C144" t="s">
        <v>24</v>
      </c>
      <c r="D144" t="s">
        <v>27</v>
      </c>
      <c r="E144">
        <v>17</v>
      </c>
      <c r="F144" t="s">
        <v>187</v>
      </c>
      <c r="G144">
        <v>38651.35</v>
      </c>
      <c r="H144">
        <v>40885.410000000003</v>
      </c>
      <c r="I144">
        <v>40885.410000000003</v>
      </c>
      <c r="J144">
        <v>43574</v>
      </c>
      <c r="K144">
        <v>6400</v>
      </c>
      <c r="L144">
        <v>2279.9899999999998</v>
      </c>
    </row>
    <row r="145" spans="1:12">
      <c r="A145" t="s">
        <v>113</v>
      </c>
      <c r="B145" t="s">
        <v>114</v>
      </c>
      <c r="C145" t="s">
        <v>8</v>
      </c>
      <c r="D145" t="s">
        <v>27</v>
      </c>
      <c r="E145">
        <v>15</v>
      </c>
      <c r="G145">
        <v>18277.2</v>
      </c>
      <c r="H145">
        <v>7642.4</v>
      </c>
      <c r="I145">
        <v>2225.5</v>
      </c>
      <c r="J145">
        <v>16592</v>
      </c>
      <c r="K145">
        <v>100000</v>
      </c>
      <c r="L145">
        <v>1720.68</v>
      </c>
    </row>
    <row r="146" spans="1:12">
      <c r="A146" t="s">
        <v>96</v>
      </c>
      <c r="B146" t="s">
        <v>97</v>
      </c>
      <c r="C146" t="s">
        <v>8</v>
      </c>
      <c r="D146" t="s">
        <v>27</v>
      </c>
      <c r="E146">
        <v>46</v>
      </c>
      <c r="G146">
        <v>101669.62</v>
      </c>
      <c r="H146">
        <v>96445.37</v>
      </c>
      <c r="I146">
        <v>12357.92</v>
      </c>
      <c r="J146">
        <v>119486.39999999999</v>
      </c>
      <c r="K146">
        <v>26460</v>
      </c>
      <c r="L146">
        <v>3758.01</v>
      </c>
    </row>
    <row r="147" spans="1:12">
      <c r="A147" t="s">
        <v>14</v>
      </c>
      <c r="B147" t="s">
        <v>85</v>
      </c>
      <c r="C147" t="s">
        <v>8</v>
      </c>
      <c r="D147" t="s">
        <v>27</v>
      </c>
      <c r="E147">
        <v>35</v>
      </c>
      <c r="G147">
        <v>60635.57</v>
      </c>
      <c r="H147">
        <v>20852.5</v>
      </c>
      <c r="I147">
        <v>6862.97</v>
      </c>
      <c r="J147">
        <v>59542</v>
      </c>
      <c r="K147">
        <v>26447</v>
      </c>
      <c r="L147">
        <v>2800</v>
      </c>
    </row>
    <row r="148" spans="1:12">
      <c r="A148" t="s">
        <v>19</v>
      </c>
      <c r="B148" t="s">
        <v>62</v>
      </c>
      <c r="C148" t="s">
        <v>63</v>
      </c>
      <c r="D148" t="s">
        <v>27</v>
      </c>
      <c r="E148">
        <v>20</v>
      </c>
      <c r="G148">
        <v>16540.48</v>
      </c>
      <c r="H148">
        <v>39786.86</v>
      </c>
      <c r="I148">
        <v>26041.65</v>
      </c>
      <c r="J148">
        <v>41867</v>
      </c>
      <c r="K148">
        <v>5184</v>
      </c>
      <c r="L148">
        <v>4122.3599999999997</v>
      </c>
    </row>
    <row r="149" spans="1:12">
      <c r="A149" t="s">
        <v>93</v>
      </c>
      <c r="B149" t="s">
        <v>94</v>
      </c>
      <c r="C149" t="s">
        <v>8</v>
      </c>
      <c r="D149" t="s">
        <v>27</v>
      </c>
      <c r="E149">
        <v>40</v>
      </c>
      <c r="F149" t="s">
        <v>188</v>
      </c>
      <c r="G149">
        <v>65977.75</v>
      </c>
      <c r="H149">
        <v>32570</v>
      </c>
      <c r="I149">
        <v>17762.13</v>
      </c>
      <c r="J149">
        <v>82350.3</v>
      </c>
      <c r="K149">
        <v>42550</v>
      </c>
      <c r="L149">
        <v>3200</v>
      </c>
    </row>
    <row r="150" spans="1:12">
      <c r="A150" t="s">
        <v>28</v>
      </c>
      <c r="B150" t="s">
        <v>131</v>
      </c>
      <c r="C150" t="s">
        <v>8</v>
      </c>
      <c r="D150" t="s">
        <v>27</v>
      </c>
      <c r="E150">
        <v>5</v>
      </c>
      <c r="G150">
        <v>7861.9</v>
      </c>
      <c r="H150">
        <v>7700</v>
      </c>
      <c r="I150">
        <v>0</v>
      </c>
      <c r="J150">
        <v>15260</v>
      </c>
      <c r="K150">
        <v>1815</v>
      </c>
      <c r="L150">
        <v>2957.84</v>
      </c>
    </row>
    <row r="151" spans="1:12">
      <c r="A151" t="s">
        <v>126</v>
      </c>
      <c r="B151" t="s">
        <v>127</v>
      </c>
      <c r="C151" t="s">
        <v>8</v>
      </c>
      <c r="D151" t="s">
        <v>27</v>
      </c>
      <c r="E151">
        <v>4</v>
      </c>
      <c r="G151">
        <v>8729.4</v>
      </c>
      <c r="H151">
        <v>5141.32</v>
      </c>
      <c r="I151">
        <v>1863.29</v>
      </c>
      <c r="J151">
        <v>7517</v>
      </c>
      <c r="K151">
        <v>0</v>
      </c>
      <c r="L151">
        <v>3001.85</v>
      </c>
    </row>
    <row r="152" spans="1:12">
      <c r="A152" t="s">
        <v>111</v>
      </c>
      <c r="B152" t="s">
        <v>112</v>
      </c>
      <c r="C152" t="s">
        <v>8</v>
      </c>
      <c r="D152" t="s">
        <v>27</v>
      </c>
      <c r="E152">
        <v>7</v>
      </c>
      <c r="G152">
        <v>12766.05</v>
      </c>
      <c r="H152">
        <v>13095.26</v>
      </c>
      <c r="I152">
        <v>2753.5</v>
      </c>
      <c r="J152">
        <v>10694.5</v>
      </c>
      <c r="K152">
        <v>1600</v>
      </c>
      <c r="L152">
        <v>3320.08</v>
      </c>
    </row>
    <row r="153" spans="1:12">
      <c r="A153" t="s">
        <v>19</v>
      </c>
      <c r="B153" t="s">
        <v>51</v>
      </c>
      <c r="C153" t="s">
        <v>52</v>
      </c>
      <c r="D153" t="s">
        <v>27</v>
      </c>
      <c r="E153">
        <v>23</v>
      </c>
      <c r="F153" t="s">
        <v>189</v>
      </c>
      <c r="G153">
        <v>48406.54</v>
      </c>
      <c r="H153">
        <v>38228.129999999997</v>
      </c>
      <c r="I153">
        <v>38228.129999999997</v>
      </c>
      <c r="J153">
        <v>47775.4</v>
      </c>
      <c r="K153">
        <v>7500</v>
      </c>
      <c r="L153">
        <v>2622.68</v>
      </c>
    </row>
    <row r="154" spans="1:12">
      <c r="A154" t="s">
        <v>139</v>
      </c>
      <c r="B154" t="s">
        <v>140</v>
      </c>
      <c r="C154" t="s">
        <v>8</v>
      </c>
      <c r="D154" t="s">
        <v>27</v>
      </c>
      <c r="E154">
        <v>14</v>
      </c>
      <c r="F154" t="s">
        <v>190</v>
      </c>
      <c r="G154">
        <v>18944.91</v>
      </c>
      <c r="H154">
        <v>14535.36</v>
      </c>
      <c r="I154">
        <v>6026.07</v>
      </c>
      <c r="J154">
        <v>24406.3</v>
      </c>
      <c r="K154">
        <v>3745.86</v>
      </c>
      <c r="L154">
        <v>2100</v>
      </c>
    </row>
    <row r="155" spans="1:12">
      <c r="A155" t="s">
        <v>106</v>
      </c>
      <c r="B155" t="s">
        <v>107</v>
      </c>
      <c r="C155" t="s">
        <v>8</v>
      </c>
      <c r="D155" t="s">
        <v>27</v>
      </c>
      <c r="E155">
        <v>4</v>
      </c>
      <c r="G155">
        <v>8722.94</v>
      </c>
      <c r="H155">
        <v>3084.75</v>
      </c>
      <c r="I155">
        <v>128</v>
      </c>
      <c r="J155">
        <v>11425</v>
      </c>
      <c r="K155">
        <v>3500</v>
      </c>
      <c r="L155">
        <v>2951</v>
      </c>
    </row>
    <row r="156" spans="1:12">
      <c r="A156" t="s">
        <v>89</v>
      </c>
      <c r="B156" t="s">
        <v>90</v>
      </c>
      <c r="C156" t="s">
        <v>8</v>
      </c>
      <c r="D156" t="s">
        <v>27</v>
      </c>
      <c r="E156">
        <v>5</v>
      </c>
      <c r="G156">
        <v>5053</v>
      </c>
      <c r="H156">
        <v>0</v>
      </c>
      <c r="I156">
        <v>0</v>
      </c>
      <c r="J156">
        <v>8050</v>
      </c>
      <c r="K156">
        <v>0</v>
      </c>
      <c r="L156">
        <v>2343.48</v>
      </c>
    </row>
    <row r="157" spans="1:12">
      <c r="A157" t="s">
        <v>132</v>
      </c>
      <c r="B157" t="s">
        <v>133</v>
      </c>
      <c r="C157" t="s">
        <v>8</v>
      </c>
      <c r="D157" t="s">
        <v>27</v>
      </c>
      <c r="E157">
        <v>10</v>
      </c>
      <c r="F157" t="s">
        <v>191</v>
      </c>
      <c r="G157">
        <v>16934.43</v>
      </c>
      <c r="H157">
        <v>12687.9</v>
      </c>
      <c r="I157">
        <v>1520</v>
      </c>
      <c r="J157">
        <v>17514.3</v>
      </c>
      <c r="K157">
        <v>2817</v>
      </c>
      <c r="L157">
        <v>2592</v>
      </c>
    </row>
    <row r="158" spans="1:12">
      <c r="A158" t="s">
        <v>182</v>
      </c>
      <c r="B158" t="s">
        <v>183</v>
      </c>
      <c r="C158" t="s">
        <v>8</v>
      </c>
      <c r="D158" t="s">
        <v>27</v>
      </c>
      <c r="E158">
        <v>13</v>
      </c>
      <c r="G158">
        <v>21702.080000000002</v>
      </c>
      <c r="H158">
        <v>9451.39</v>
      </c>
      <c r="I158">
        <v>2581.88</v>
      </c>
      <c r="J158">
        <v>21313.200000000001</v>
      </c>
      <c r="K158">
        <v>3895</v>
      </c>
      <c r="L158">
        <v>3343.34</v>
      </c>
    </row>
    <row r="159" spans="1:12">
      <c r="A159" t="s">
        <v>77</v>
      </c>
      <c r="B159" t="s">
        <v>78</v>
      </c>
      <c r="C159" t="s">
        <v>8</v>
      </c>
      <c r="D159" t="s">
        <v>27</v>
      </c>
      <c r="E159">
        <v>8</v>
      </c>
      <c r="G159">
        <v>19287.77</v>
      </c>
      <c r="H159">
        <v>0</v>
      </c>
      <c r="I159">
        <v>7205.23</v>
      </c>
      <c r="J159">
        <v>19382.5</v>
      </c>
      <c r="K159">
        <v>5030</v>
      </c>
      <c r="L159">
        <v>3492</v>
      </c>
    </row>
    <row r="160" spans="1:12">
      <c r="A160" t="s">
        <v>104</v>
      </c>
      <c r="B160" t="s">
        <v>105</v>
      </c>
      <c r="C160" t="s">
        <v>8</v>
      </c>
      <c r="D160" t="s">
        <v>27</v>
      </c>
      <c r="E160">
        <v>9</v>
      </c>
      <c r="G160">
        <v>29285.29</v>
      </c>
      <c r="H160">
        <v>7379.03</v>
      </c>
      <c r="I160">
        <v>3330.57</v>
      </c>
      <c r="J160">
        <v>30141</v>
      </c>
      <c r="K160">
        <v>3500</v>
      </c>
      <c r="L160">
        <v>2666</v>
      </c>
    </row>
    <row r="161" spans="1:12">
      <c r="A161" t="s">
        <v>152</v>
      </c>
      <c r="B161" t="s">
        <v>153</v>
      </c>
      <c r="C161" t="s">
        <v>8</v>
      </c>
      <c r="D161" t="s">
        <v>27</v>
      </c>
      <c r="E161">
        <v>13</v>
      </c>
      <c r="G161">
        <v>21493.21</v>
      </c>
      <c r="H161">
        <v>0</v>
      </c>
      <c r="I161">
        <v>0</v>
      </c>
      <c r="J161">
        <v>24252.400000000001</v>
      </c>
      <c r="K161">
        <v>87170</v>
      </c>
      <c r="L161">
        <v>2288.15</v>
      </c>
    </row>
    <row r="162" spans="1:12">
      <c r="A162" t="s">
        <v>23</v>
      </c>
      <c r="B162" t="s">
        <v>167</v>
      </c>
      <c r="C162" t="s">
        <v>24</v>
      </c>
      <c r="D162" t="s">
        <v>27</v>
      </c>
      <c r="E162">
        <v>29</v>
      </c>
      <c r="G162">
        <v>141072.9</v>
      </c>
      <c r="H162">
        <v>76402.67</v>
      </c>
      <c r="I162">
        <v>0</v>
      </c>
      <c r="J162">
        <v>150768</v>
      </c>
      <c r="K162">
        <v>45450</v>
      </c>
      <c r="L162">
        <v>3000</v>
      </c>
    </row>
    <row r="163" spans="1:12">
      <c r="A163" t="s">
        <v>19</v>
      </c>
      <c r="B163" t="s">
        <v>163</v>
      </c>
      <c r="C163" t="s">
        <v>164</v>
      </c>
      <c r="D163" t="s">
        <v>27</v>
      </c>
      <c r="E163">
        <v>16</v>
      </c>
      <c r="G163">
        <v>37386.050000000003</v>
      </c>
      <c r="H163">
        <v>36329.26</v>
      </c>
      <c r="I163">
        <v>16106.35</v>
      </c>
      <c r="J163">
        <v>33176.71</v>
      </c>
      <c r="K163">
        <v>5029.2</v>
      </c>
      <c r="L163">
        <v>2362.41</v>
      </c>
    </row>
    <row r="164" spans="1:12">
      <c r="A164" t="s">
        <v>87</v>
      </c>
      <c r="B164" t="s">
        <v>88</v>
      </c>
      <c r="C164" t="s">
        <v>8</v>
      </c>
      <c r="D164" t="s">
        <v>27</v>
      </c>
      <c r="E164">
        <v>3</v>
      </c>
      <c r="G164">
        <v>9292.19</v>
      </c>
      <c r="H164">
        <v>29372.19</v>
      </c>
      <c r="I164">
        <v>877.5</v>
      </c>
      <c r="J164">
        <v>8088.9</v>
      </c>
      <c r="K164">
        <v>1120</v>
      </c>
      <c r="L164">
        <v>2648</v>
      </c>
    </row>
    <row r="165" spans="1:12">
      <c r="A165" t="s">
        <v>23</v>
      </c>
      <c r="B165" t="s">
        <v>168</v>
      </c>
      <c r="C165" t="s">
        <v>8</v>
      </c>
      <c r="D165" t="s">
        <v>27</v>
      </c>
      <c r="E165">
        <v>30</v>
      </c>
      <c r="G165">
        <v>115584.26</v>
      </c>
      <c r="H165">
        <v>76402.320000000007</v>
      </c>
      <c r="I165">
        <v>0</v>
      </c>
      <c r="J165">
        <v>149335</v>
      </c>
      <c r="K165">
        <v>75790</v>
      </c>
      <c r="L165">
        <v>2900</v>
      </c>
    </row>
    <row r="166" spans="1:12">
      <c r="A166" t="s">
        <v>64</v>
      </c>
      <c r="B166" t="s">
        <v>65</v>
      </c>
      <c r="C166" t="s">
        <v>8</v>
      </c>
      <c r="D166" t="s">
        <v>27</v>
      </c>
      <c r="E166">
        <v>1</v>
      </c>
      <c r="G166">
        <v>3597.1</v>
      </c>
      <c r="H166">
        <v>0</v>
      </c>
      <c r="I166">
        <v>1280</v>
      </c>
      <c r="J166">
        <v>1935</v>
      </c>
      <c r="K166">
        <v>0</v>
      </c>
      <c r="L166">
        <v>3597.1</v>
      </c>
    </row>
    <row r="167" spans="1:12">
      <c r="A167" t="s">
        <v>179</v>
      </c>
      <c r="B167" t="s">
        <v>180</v>
      </c>
      <c r="C167" t="s">
        <v>8</v>
      </c>
      <c r="D167" t="s">
        <v>27</v>
      </c>
      <c r="E167">
        <v>12</v>
      </c>
      <c r="G167">
        <v>38109.61</v>
      </c>
      <c r="H167">
        <v>15834.44</v>
      </c>
      <c r="I167">
        <v>5031.49</v>
      </c>
      <c r="J167">
        <v>49337.75</v>
      </c>
      <c r="K167">
        <v>18920</v>
      </c>
      <c r="L167">
        <v>3490</v>
      </c>
    </row>
    <row r="168" spans="1:12">
      <c r="A168" t="s">
        <v>19</v>
      </c>
      <c r="B168" t="s">
        <v>173</v>
      </c>
      <c r="C168" t="s">
        <v>20</v>
      </c>
      <c r="D168" t="s">
        <v>27</v>
      </c>
      <c r="E168">
        <v>19</v>
      </c>
      <c r="F168" t="s">
        <v>192</v>
      </c>
      <c r="G168">
        <v>50035</v>
      </c>
      <c r="H168">
        <v>40307.67</v>
      </c>
      <c r="I168">
        <v>18148.150000000001</v>
      </c>
      <c r="J168">
        <v>54742</v>
      </c>
      <c r="K168">
        <v>8450</v>
      </c>
      <c r="L168">
        <v>1943.48</v>
      </c>
    </row>
    <row r="169" spans="1:12">
      <c r="A169" t="s">
        <v>156</v>
      </c>
      <c r="B169" t="s">
        <v>157</v>
      </c>
      <c r="C169" t="s">
        <v>8</v>
      </c>
      <c r="D169" t="s">
        <v>27</v>
      </c>
      <c r="E169">
        <v>5</v>
      </c>
      <c r="G169">
        <v>13052.7</v>
      </c>
      <c r="H169">
        <v>0</v>
      </c>
      <c r="I169">
        <v>3000</v>
      </c>
      <c r="J169">
        <v>12615</v>
      </c>
      <c r="K169">
        <v>5800</v>
      </c>
      <c r="L169">
        <v>2300</v>
      </c>
    </row>
    <row r="170" spans="1:12">
      <c r="A170" t="s">
        <v>135</v>
      </c>
      <c r="B170" t="s">
        <v>136</v>
      </c>
      <c r="C170" t="s">
        <v>8</v>
      </c>
      <c r="D170" t="s">
        <v>27</v>
      </c>
      <c r="E170">
        <v>15</v>
      </c>
      <c r="G170">
        <v>91930.8</v>
      </c>
      <c r="H170">
        <v>7290</v>
      </c>
      <c r="I170">
        <v>1393</v>
      </c>
      <c r="J170">
        <v>57612</v>
      </c>
      <c r="K170">
        <v>7922</v>
      </c>
      <c r="L170">
        <v>1973.49</v>
      </c>
    </row>
    <row r="171" spans="1:12">
      <c r="A171" t="s">
        <v>118</v>
      </c>
      <c r="B171" t="s">
        <v>119</v>
      </c>
      <c r="C171" t="s">
        <v>8</v>
      </c>
      <c r="D171" t="s">
        <v>27</v>
      </c>
      <c r="E171">
        <v>10</v>
      </c>
      <c r="G171">
        <v>21017.25</v>
      </c>
      <c r="H171">
        <v>25863.85</v>
      </c>
      <c r="I171">
        <v>752</v>
      </c>
      <c r="J171">
        <v>19870</v>
      </c>
      <c r="K171">
        <v>1659</v>
      </c>
      <c r="L171">
        <v>1448</v>
      </c>
    </row>
    <row r="172" spans="1:12">
      <c r="A172" t="s">
        <v>148</v>
      </c>
      <c r="B172" t="s">
        <v>149</v>
      </c>
      <c r="C172" t="s">
        <v>8</v>
      </c>
      <c r="D172" t="s">
        <v>27</v>
      </c>
      <c r="E172">
        <v>12</v>
      </c>
      <c r="G172">
        <v>37872.25</v>
      </c>
      <c r="H172">
        <v>13190.45</v>
      </c>
      <c r="I172">
        <v>7270.58</v>
      </c>
      <c r="J172">
        <v>37929.370000000003</v>
      </c>
      <c r="K172">
        <v>9800</v>
      </c>
      <c r="L172">
        <v>3061.32</v>
      </c>
    </row>
    <row r="173" spans="1:12">
      <c r="A173" t="s">
        <v>154</v>
      </c>
      <c r="B173" t="s">
        <v>155</v>
      </c>
      <c r="C173" t="s">
        <v>8</v>
      </c>
      <c r="D173" t="s">
        <v>16</v>
      </c>
      <c r="E173">
        <v>44</v>
      </c>
      <c r="G173">
        <v>47770.28</v>
      </c>
      <c r="H173">
        <v>33653.120000000003</v>
      </c>
      <c r="I173">
        <v>5778.45</v>
      </c>
      <c r="J173">
        <v>55879</v>
      </c>
      <c r="K173">
        <v>18720</v>
      </c>
      <c r="L173">
        <v>2680</v>
      </c>
    </row>
    <row r="174" spans="1:12">
      <c r="A174" t="s">
        <v>25</v>
      </c>
      <c r="B174" t="s">
        <v>49</v>
      </c>
      <c r="C174" t="s">
        <v>8</v>
      </c>
      <c r="D174" t="s">
        <v>27</v>
      </c>
      <c r="E174">
        <v>22</v>
      </c>
      <c r="F174" t="s">
        <v>193</v>
      </c>
      <c r="G174">
        <v>74420.42</v>
      </c>
      <c r="H174">
        <v>0</v>
      </c>
      <c r="I174">
        <v>0</v>
      </c>
      <c r="J174">
        <v>86706</v>
      </c>
      <c r="K174">
        <v>48560</v>
      </c>
      <c r="L174">
        <v>4181.8999999999996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0428-6FE3-4F90-8029-E67A8AA45394}">
  <dimension ref="A1:M57"/>
  <sheetViews>
    <sheetView showGridLines="0" workbookViewId="0"/>
  </sheetViews>
  <sheetFormatPr defaultRowHeight="15"/>
  <cols>
    <col min="1" max="1" width="10.42578125" customWidth="1"/>
    <col min="2" max="2" width="24" customWidth="1"/>
    <col min="3" max="3" width="31.5703125" customWidth="1"/>
    <col min="4" max="4" width="12.85546875" customWidth="1"/>
    <col min="5" max="5" width="17.5703125" customWidth="1"/>
    <col min="6" max="6" width="55.140625" bestFit="1" customWidth="1"/>
    <col min="7" max="7" width="92.7109375" bestFit="1" customWidth="1"/>
    <col min="8" max="8" width="23" customWidth="1"/>
    <col min="9" max="9" width="24.85546875" bestFit="1" customWidth="1"/>
    <col min="10" max="10" width="11.28515625" customWidth="1"/>
    <col min="11" max="11" width="37.28515625" bestFit="1" customWidth="1"/>
    <col min="12" max="12" width="11.28515625" bestFit="1" customWidth="1"/>
    <col min="13" max="13" width="22.42578125" bestFit="1" customWidth="1"/>
  </cols>
  <sheetData>
    <row r="1" spans="1:13">
      <c r="A1" s="2" t="s">
        <v>0</v>
      </c>
      <c r="B1" s="3" t="s">
        <v>1</v>
      </c>
      <c r="C1" s="3" t="s">
        <v>31</v>
      </c>
      <c r="D1" s="3" t="s">
        <v>32</v>
      </c>
      <c r="E1" s="3" t="s">
        <v>33</v>
      </c>
      <c r="F1" s="3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</row>
    <row r="2" spans="1:13">
      <c r="A2" s="1" t="s">
        <v>6</v>
      </c>
      <c r="B2" s="1" t="str" cm="1">
        <f t="array" ref="B2:M2">_xlfn._xlws.FILTER(
    'Macro Dados - Todos'!$A$2:$L$20000,
    ('Macro Dados - Todos'!$A$2:$A$20000=Lacunas!B2) *
    ('Macro Dados - Todos'!$C$2:$C$20000=Lacunas!C2) *
    ('Macro Dados - Todos'!$D$2:$D$20000=Lacunas!E2)
)</f>
        <v>Formosa do Oeste</v>
      </c>
      <c r="C2" s="1" t="str">
        <v>UVR 01 - Formosa do Oeste</v>
      </c>
      <c r="D2" s="1" t="str">
        <v>01</v>
      </c>
      <c r="E2" s="1" t="str">
        <v>15/11/2024</v>
      </c>
      <c r="F2" s="1">
        <v>7</v>
      </c>
      <c r="G2" s="1">
        <v>0</v>
      </c>
      <c r="H2" s="1">
        <v>9598.75</v>
      </c>
      <c r="I2" s="4">
        <v>0</v>
      </c>
      <c r="J2" s="1">
        <v>0</v>
      </c>
      <c r="K2" s="1">
        <v>7363</v>
      </c>
      <c r="L2" s="1">
        <v>3620</v>
      </c>
      <c r="M2" s="1">
        <v>1371.25</v>
      </c>
    </row>
    <row r="3" spans="1:13">
      <c r="A3" s="1" t="s">
        <v>11</v>
      </c>
      <c r="B3" s="1" t="str" cm="1">
        <f t="array" ref="B3:M3">_xlfn._xlws.FILTER(
    'Macro Dados - Todos'!$A$2:$L$20000,
    ('Macro Dados - Todos'!$A$2:$A$20000=Lacunas!B3) *
    ('Macro Dados - Todos'!$C$2:$C$20000=Lacunas!C3) *
    ('Macro Dados - Todos'!$D$2:$D$20000=Lacunas!E3)
)</f>
        <v>Maripa</v>
      </c>
      <c r="C3" s="1" t="str">
        <v>UVR 01 - Maripa</v>
      </c>
      <c r="D3" s="1" t="str">
        <v>01</v>
      </c>
      <c r="E3" s="1" t="str">
        <v>15/11/2024</v>
      </c>
      <c r="F3" s="1">
        <v>5</v>
      </c>
      <c r="G3" s="1" t="str">
        <v>A Recima é uma empresa tercerizada contratada pelo Município e o pagamento é realizado pela empresa</v>
      </c>
      <c r="H3" s="1">
        <v>24858.1</v>
      </c>
      <c r="I3" s="4">
        <v>29503.37</v>
      </c>
      <c r="J3" s="1">
        <v>0</v>
      </c>
      <c r="K3" s="1">
        <v>28540</v>
      </c>
      <c r="L3" s="1">
        <v>0</v>
      </c>
      <c r="M3" s="1">
        <v>2500</v>
      </c>
    </row>
    <row r="4" spans="1:13">
      <c r="A4" s="1" t="s">
        <v>11</v>
      </c>
      <c r="B4" s="1" t="str" cm="1">
        <f t="array" ref="B4:M4">_xlfn._xlws.FILTER(
    'Macro Dados - Todos'!$A$2:$L$20000,
    ('Macro Dados - Todos'!$A$2:$A$20000=Lacunas!B4) *
    ('Macro Dados - Todos'!$C$2:$C$20000=Lacunas!C4) *
    ('Macro Dados - Todos'!$D$2:$D$20000=Lacunas!E4)
)</f>
        <v>Mundo Novo</v>
      </c>
      <c r="C4" s="1" t="str">
        <v>UVR 01 - Mundo Novo</v>
      </c>
      <c r="D4" s="1" t="str">
        <v>01</v>
      </c>
      <c r="E4" s="1" t="str">
        <v>15/11/2024</v>
      </c>
      <c r="F4" s="1">
        <v>15</v>
      </c>
      <c r="G4" s="1">
        <v>0</v>
      </c>
      <c r="H4" s="1">
        <v>35681.9</v>
      </c>
      <c r="I4" s="4">
        <v>0</v>
      </c>
      <c r="J4" s="1">
        <v>628.32000000000005</v>
      </c>
      <c r="K4" s="1">
        <v>51259.5</v>
      </c>
      <c r="L4" s="1">
        <v>5469</v>
      </c>
      <c r="M4" s="1">
        <v>2334.1999999999998</v>
      </c>
    </row>
    <row r="5" spans="1:13">
      <c r="A5" s="1" t="s">
        <v>11</v>
      </c>
      <c r="B5" s="1" t="str" cm="1">
        <f t="array" ref="B5:M5">_xlfn._xlws.FILTER(
    'Macro Dados - Todos'!$A$2:$L$20000,
    ('Macro Dados - Todos'!$A$2:$A$20000=Lacunas!B5) *
    ('Macro Dados - Todos'!$C$2:$C$20000=Lacunas!C5) *
    ('Macro Dados - Todos'!$D$2:$D$20000=Lacunas!E5)
)</f>
        <v>Assis Chateaubriand</v>
      </c>
      <c r="C5" s="1" t="str">
        <v>UVR 01 - Assis Chateaubriand</v>
      </c>
      <c r="D5" s="1" t="str">
        <v>01</v>
      </c>
      <c r="E5" s="1" t="str">
        <v>15/12/2024</v>
      </c>
      <c r="F5" s="1">
        <v>34</v>
      </c>
      <c r="G5" s="1" t="str">
        <v>01/12 à 23/12/2024</v>
      </c>
      <c r="H5" s="1">
        <v>69057.61</v>
      </c>
      <c r="I5" s="4">
        <v>30460.27</v>
      </c>
      <c r="J5" s="1">
        <v>8744</v>
      </c>
      <c r="K5" s="1">
        <v>87028.86</v>
      </c>
      <c r="L5" s="1">
        <v>15606</v>
      </c>
      <c r="M5" s="1">
        <v>3185</v>
      </c>
    </row>
    <row r="6" spans="1:13">
      <c r="A6" s="1" t="s">
        <v>6</v>
      </c>
      <c r="B6" s="1" t="str" cm="1">
        <f t="array" ref="B6:M6">_xlfn._xlws.FILTER(
    'Macro Dados - Todos'!$A$2:$L$20000,
    ('Macro Dados - Todos'!$A$2:$A$20000=Lacunas!B6) *
    ('Macro Dados - Todos'!$C$2:$C$20000=Lacunas!C6) *
    ('Macro Dados - Todos'!$D$2:$D$20000=Lacunas!E6)
)</f>
        <v>Cafelândia</v>
      </c>
      <c r="C6" s="1" t="str">
        <v>UVR 01 - Cafelândia</v>
      </c>
      <c r="D6" s="1" t="str">
        <v>01</v>
      </c>
      <c r="E6" s="1" t="str">
        <v>15/12/2024</v>
      </c>
      <c r="F6" s="1">
        <v>54</v>
      </c>
      <c r="G6" s="1" t="str">
        <v>valor da diaria mês de Dezembro R$113,71</v>
      </c>
      <c r="H6" s="1">
        <v>64350.62</v>
      </c>
      <c r="I6" s="4">
        <v>20918.32</v>
      </c>
      <c r="J6" s="1">
        <v>16068.48</v>
      </c>
      <c r="K6" s="1">
        <v>70264</v>
      </c>
      <c r="L6" s="1">
        <v>18290</v>
      </c>
      <c r="M6" s="1">
        <v>2103.63</v>
      </c>
    </row>
    <row r="7" spans="1:13">
      <c r="A7" s="1" t="s">
        <v>6</v>
      </c>
      <c r="B7" s="1" t="str" cm="1">
        <f t="array" ref="B7:M7">_xlfn._xlws.FILTER(
    'Macro Dados - Todos'!$A$2:$L$20000,
    ('Macro Dados - Todos'!$A$2:$A$20000=Lacunas!B7) *
    ('Macro Dados - Todos'!$C$2:$C$20000=Lacunas!C7) *
    ('Macro Dados - Todos'!$D$2:$D$20000=Lacunas!E7)
)</f>
        <v>Formosa do Oeste</v>
      </c>
      <c r="C7" s="1" t="str">
        <v>UVR 01 - Formosa do Oeste</v>
      </c>
      <c r="D7" s="1" t="str">
        <v>01</v>
      </c>
      <c r="E7" s="1" t="str">
        <v>15/12/2024</v>
      </c>
      <c r="F7" s="1">
        <v>7</v>
      </c>
      <c r="G7" s="1">
        <v>0</v>
      </c>
      <c r="H7" s="1">
        <v>11863.9</v>
      </c>
      <c r="I7" s="4">
        <v>0</v>
      </c>
      <c r="J7" s="1">
        <v>0</v>
      </c>
      <c r="K7" s="1">
        <v>9235</v>
      </c>
      <c r="L7" s="1">
        <v>4030</v>
      </c>
      <c r="M7" s="1">
        <v>1694.84</v>
      </c>
    </row>
    <row r="8" spans="1:13">
      <c r="A8" s="1" t="s">
        <v>18</v>
      </c>
      <c r="B8" s="1" t="str" cm="1">
        <f t="array" ref="B8:M8">_xlfn._xlws.FILTER(
    'Macro Dados - Todos'!$A$2:$L$20000,
    ('Macro Dados - Todos'!$A$2:$A$20000=Lacunas!B8) *
    ('Macro Dados - Todos'!$C$2:$C$20000=Lacunas!C8) *
    ('Macro Dados - Todos'!$D$2:$D$20000=Lacunas!E8)
)</f>
        <v>Foz do Iguaçu</v>
      </c>
      <c r="C8" s="1" t="str">
        <v>UVR 06 - Foz do Iguaçu</v>
      </c>
      <c r="D8" s="1" t="str">
        <v>06</v>
      </c>
      <c r="E8" s="1" t="str">
        <v>15/12/2024</v>
      </c>
      <c r="F8" s="1">
        <v>19</v>
      </c>
      <c r="G8" s="1">
        <v>0</v>
      </c>
      <c r="H8" s="1">
        <v>24687.4</v>
      </c>
      <c r="I8" s="4">
        <v>44852.27</v>
      </c>
      <c r="J8" s="1">
        <v>20769.16</v>
      </c>
      <c r="K8" s="1">
        <v>20980</v>
      </c>
      <c r="L8" s="1">
        <v>4210</v>
      </c>
      <c r="M8" s="1">
        <v>1596.64</v>
      </c>
    </row>
    <row r="9" spans="1:13">
      <c r="A9" s="1" t="s">
        <v>6</v>
      </c>
      <c r="B9" s="1" t="str" cm="1">
        <f t="array" ref="B9:M9">_xlfn._xlws.FILTER(
    'Macro Dados - Todos'!$A$2:$L$20000,
    ('Macro Dados - Todos'!$A$2:$A$20000=Lacunas!B9) *
    ('Macro Dados - Todos'!$C$2:$C$20000=Lacunas!C9) *
    ('Macro Dados - Todos'!$D$2:$D$20000=Lacunas!E9)
)</f>
        <v>Jesuítas</v>
      </c>
      <c r="C9" s="1" t="str">
        <v>UVR 01 - Jesuítas</v>
      </c>
      <c r="D9" s="1" t="str">
        <v>01</v>
      </c>
      <c r="E9" s="1" t="str">
        <v>15/12/2024</v>
      </c>
      <c r="F9" s="1">
        <v>10</v>
      </c>
      <c r="G9" s="1">
        <v>0</v>
      </c>
      <c r="H9" s="1">
        <v>32954.199999999997</v>
      </c>
      <c r="I9" s="4">
        <v>0</v>
      </c>
      <c r="J9" s="1">
        <v>0</v>
      </c>
      <c r="K9" s="1">
        <v>30594</v>
      </c>
      <c r="L9" s="1">
        <v>0</v>
      </c>
      <c r="M9" s="1">
        <v>3295.42</v>
      </c>
    </row>
    <row r="10" spans="1:13">
      <c r="A10" s="1" t="s">
        <v>22</v>
      </c>
      <c r="B10" s="1" t="str" cm="1">
        <f t="array" ref="B10:M10">_xlfn._xlws.FILTER(
    'Macro Dados - Todos'!$A$2:$L$20000,
    ('Macro Dados - Todos'!$A$2:$A$20000=Lacunas!B10) *
    ('Macro Dados - Todos'!$C$2:$C$20000=Lacunas!C10) *
    ('Macro Dados - Todos'!$D$2:$D$20000=Lacunas!E10)
)</f>
        <v>Marechal Candido Rondon</v>
      </c>
      <c r="C10" s="1" t="str">
        <v>UVR 01 - Marechal Candido Rondon</v>
      </c>
      <c r="D10" s="1" t="str">
        <v>01</v>
      </c>
      <c r="E10" s="1" t="str">
        <v>15/12/2024</v>
      </c>
      <c r="F10" s="1">
        <v>30</v>
      </c>
      <c r="G10" s="1">
        <v>0</v>
      </c>
      <c r="H10" s="1">
        <v>81830.64</v>
      </c>
      <c r="I10" s="4">
        <v>76402.320000000007</v>
      </c>
      <c r="J10" s="1">
        <v>0</v>
      </c>
      <c r="K10" s="1">
        <v>150054.1</v>
      </c>
      <c r="L10" s="1">
        <v>29740</v>
      </c>
      <c r="M10" s="1">
        <v>2900</v>
      </c>
    </row>
    <row r="11" spans="1:13">
      <c r="A11" s="1" t="s">
        <v>22</v>
      </c>
      <c r="B11" s="1" t="str" cm="1">
        <f t="array" ref="B11:M11">_xlfn._xlws.FILTER(
    'Macro Dados - Todos'!$A$2:$L$20000,
    ('Macro Dados - Todos'!$A$2:$A$20000=Lacunas!B11) *
    ('Macro Dados - Todos'!$C$2:$C$20000=Lacunas!C11) *
    ('Macro Dados - Todos'!$D$2:$D$20000=Lacunas!E11)
)</f>
        <v>Marechal Candido Rondon</v>
      </c>
      <c r="C11" s="1" t="str">
        <v>UVR 02 - Marechal Candido Rondon</v>
      </c>
      <c r="D11" s="1" t="str">
        <v>02</v>
      </c>
      <c r="E11" s="1" t="str">
        <v>15/12/2024</v>
      </c>
      <c r="F11" s="1">
        <v>29</v>
      </c>
      <c r="G11" s="1">
        <v>0</v>
      </c>
      <c r="H11" s="1">
        <v>139018.76</v>
      </c>
      <c r="I11" s="4">
        <v>76402.67</v>
      </c>
      <c r="J11" s="1">
        <v>0</v>
      </c>
      <c r="K11" s="1">
        <v>154296.20000000001</v>
      </c>
      <c r="L11" s="1">
        <v>25980</v>
      </c>
      <c r="M11" s="1">
        <v>3000</v>
      </c>
    </row>
    <row r="12" spans="1:13">
      <c r="A12" s="1" t="s">
        <v>11</v>
      </c>
      <c r="B12" s="1" t="str" cm="1">
        <f t="array" ref="B12:M12">_xlfn._xlws.FILTER(
    'Macro Dados - Todos'!$A$2:$L$20000,
    ('Macro Dados - Todos'!$A$2:$A$20000=Lacunas!B12) *
    ('Macro Dados - Todos'!$C$2:$C$20000=Lacunas!C12) *
    ('Macro Dados - Todos'!$D$2:$D$20000=Lacunas!E12)
)</f>
        <v>Maripa</v>
      </c>
      <c r="C12" s="1" t="str">
        <v>UVR 01 - Maripa</v>
      </c>
      <c r="D12" s="1" t="str">
        <v>01</v>
      </c>
      <c r="E12" s="1" t="str">
        <v>15/12/2024</v>
      </c>
      <c r="F12" s="1">
        <v>5</v>
      </c>
      <c r="G12" s="1" t="str">
        <v>A Recima é uma empresa tercerizada contratada pelo Município e o pagamento é realizado pela empresa</v>
      </c>
      <c r="H12" s="1">
        <v>22822</v>
      </c>
      <c r="I12" s="4">
        <v>29503.37</v>
      </c>
      <c r="J12" s="1">
        <v>0</v>
      </c>
      <c r="K12" s="1">
        <v>20398</v>
      </c>
      <c r="L12" s="1">
        <v>0</v>
      </c>
      <c r="M12" s="1">
        <v>2500</v>
      </c>
    </row>
    <row r="13" spans="1:13">
      <c r="A13" s="1" t="s">
        <v>11</v>
      </c>
      <c r="B13" s="1" t="str" cm="1">
        <f t="array" ref="B13:M13">_xlfn._xlws.FILTER(
    'Macro Dados - Todos'!$A$2:$L$20000,
    ('Macro Dados - Todos'!$A$2:$A$20000=Lacunas!B13) *
    ('Macro Dados - Todos'!$C$2:$C$20000=Lacunas!C13) *
    ('Macro Dados - Todos'!$D$2:$D$20000=Lacunas!E13)
)</f>
        <v>Palotina</v>
      </c>
      <c r="C13" s="1" t="str">
        <v>UVR 01 - Palotina</v>
      </c>
      <c r="D13" s="1" t="str">
        <v>01</v>
      </c>
      <c r="E13" s="1" t="str">
        <v>15/12/2024</v>
      </c>
      <c r="F13" s="1">
        <v>20</v>
      </c>
      <c r="G13" s="1" t="str">
        <v xml:space="preserve"> O total de Associados que trabalharam todos os dias( não tiveram faltas) foram 3 três)</v>
      </c>
      <c r="H13" s="1">
        <v>65586.5</v>
      </c>
      <c r="I13" s="4">
        <v>0</v>
      </c>
      <c r="J13" s="1">
        <v>18985.509999999998</v>
      </c>
      <c r="K13" s="1">
        <v>102194</v>
      </c>
      <c r="L13" s="1">
        <v>48200</v>
      </c>
      <c r="M13" s="1">
        <v>6642.2</v>
      </c>
    </row>
    <row r="14" spans="1:13">
      <c r="A14" s="1" t="s">
        <v>11</v>
      </c>
      <c r="B14" s="1" t="str" cm="1">
        <f t="array" ref="B14:M14">_xlfn._xlws.FILTER(
    'Macro Dados - Todos'!$A$2:$L$20000,
    ('Macro Dados - Todos'!$A$2:$A$20000=Lacunas!B14) *
    ('Macro Dados - Todos'!$C$2:$C$20000=Lacunas!C14) *
    ('Macro Dados - Todos'!$D$2:$D$20000=Lacunas!E14)
)</f>
        <v>Assis Chateaubriand</v>
      </c>
      <c r="C14" s="1" t="str">
        <v>UVR 01 - Assis Chateaubriand</v>
      </c>
      <c r="D14" s="1" t="str">
        <v>01</v>
      </c>
      <c r="E14" s="1" t="str">
        <v>15/1/2025</v>
      </c>
      <c r="F14" s="1">
        <v>35</v>
      </c>
      <c r="G14" s="1">
        <v>0</v>
      </c>
      <c r="H14" s="1">
        <v>60635.57</v>
      </c>
      <c r="I14" s="4">
        <v>20852.5</v>
      </c>
      <c r="J14" s="1">
        <v>6862.97</v>
      </c>
      <c r="K14" s="1">
        <v>59542</v>
      </c>
      <c r="L14" s="1">
        <v>26447</v>
      </c>
      <c r="M14" s="1">
        <v>2800</v>
      </c>
    </row>
    <row r="15" spans="1:13">
      <c r="A15" s="1" t="s">
        <v>11</v>
      </c>
      <c r="B15" s="1" t="str" cm="1">
        <f t="array" ref="B15:M15">_xlfn._xlws.FILTER(
    'Macro Dados - Todos'!$A$2:$L$20000,
    ('Macro Dados - Todos'!$A$2:$A$20000=Lacunas!B15) *
    ('Macro Dados - Todos'!$C$2:$C$20000=Lacunas!C15) *
    ('Macro Dados - Todos'!$D$2:$D$20000=Lacunas!E15)
)</f>
        <v>Brasilândia do Sul</v>
      </c>
      <c r="C15" s="1" t="str">
        <v>UVR 01 - Brasilândia do Sul</v>
      </c>
      <c r="D15" s="1" t="str">
        <v>01</v>
      </c>
      <c r="E15" s="1" t="str">
        <v>15/1/2025</v>
      </c>
      <c r="F15" s="1">
        <v>5</v>
      </c>
      <c r="G15" s="1">
        <v>0</v>
      </c>
      <c r="H15" s="1">
        <v>7861.9</v>
      </c>
      <c r="I15" s="4">
        <v>7700</v>
      </c>
      <c r="J15" s="1">
        <v>0</v>
      </c>
      <c r="K15" s="1">
        <v>15260</v>
      </c>
      <c r="L15" s="1">
        <v>1815</v>
      </c>
      <c r="M15" s="1">
        <v>2957.84</v>
      </c>
    </row>
    <row r="16" spans="1:13">
      <c r="A16" s="1" t="s">
        <v>6</v>
      </c>
      <c r="B16" s="1" t="str" cm="1">
        <f t="array" ref="B16:M16">_xlfn._xlws.FILTER(
    'Macro Dados - Todos'!$A$2:$L$20000,
    ('Macro Dados - Todos'!$A$2:$A$20000=Lacunas!B16) *
    ('Macro Dados - Todos'!$C$2:$C$20000=Lacunas!C16) *
    ('Macro Dados - Todos'!$D$2:$D$20000=Lacunas!E16)
)</f>
        <v>Cafelândia</v>
      </c>
      <c r="C16" s="1" t="str">
        <v>UVR 01 - Cafelândia</v>
      </c>
      <c r="D16" s="1" t="str">
        <v>01</v>
      </c>
      <c r="E16" s="1" t="str">
        <v>15/1/2025</v>
      </c>
      <c r="F16" s="1">
        <v>48</v>
      </c>
      <c r="G16" s="1" t="str">
        <v>Valor da diaria dos associados foi de R$122,90</v>
      </c>
      <c r="H16" s="1">
        <v>64957.32</v>
      </c>
      <c r="I16" s="4">
        <v>77184.72</v>
      </c>
      <c r="J16" s="1">
        <v>18645.48</v>
      </c>
      <c r="K16" s="1">
        <v>74791</v>
      </c>
      <c r="L16" s="1">
        <v>27340</v>
      </c>
      <c r="M16" s="1">
        <v>2235.0300000000002</v>
      </c>
    </row>
    <row r="17" spans="1:13">
      <c r="A17" s="1" t="s">
        <v>18</v>
      </c>
      <c r="B17" s="1" t="str" cm="1">
        <f t="array" ref="B17:M17">_xlfn._xlws.FILTER(
    'Macro Dados - Todos'!$A$2:$L$20000,
    ('Macro Dados - Todos'!$A$2:$A$20000=Lacunas!B17) *
    ('Macro Dados - Todos'!$C$2:$C$20000=Lacunas!C17) *
    ('Macro Dados - Todos'!$D$2:$D$20000=Lacunas!E17)
)</f>
        <v>Foz do Iguaçu</v>
      </c>
      <c r="C17" s="1" t="str">
        <v>UVR 06 - Foz do Iguaçu</v>
      </c>
      <c r="D17" s="1" t="str">
        <v>06</v>
      </c>
      <c r="E17" s="1" t="str">
        <v>15/1/2025</v>
      </c>
      <c r="F17" s="1">
        <v>19</v>
      </c>
      <c r="G17" s="1" t="str">
        <v>1943,48</v>
      </c>
      <c r="H17" s="1">
        <v>50035</v>
      </c>
      <c r="I17" s="4">
        <v>40307.67</v>
      </c>
      <c r="J17" s="1">
        <v>18148.150000000001</v>
      </c>
      <c r="K17" s="1">
        <v>54742</v>
      </c>
      <c r="L17" s="1">
        <v>8450</v>
      </c>
      <c r="M17" s="1">
        <v>1943.48</v>
      </c>
    </row>
    <row r="18" spans="1:13">
      <c r="A18" s="1" t="s">
        <v>6</v>
      </c>
      <c r="B18" s="1" t="str" cm="1">
        <f t="array" ref="B18:M18">_xlfn._xlws.FILTER(
    'Macro Dados - Todos'!$A$2:$L$20000,
    ('Macro Dados - Todos'!$A$2:$A$20000=Lacunas!B18) *
    ('Macro Dados - Todos'!$C$2:$C$20000=Lacunas!C18) *
    ('Macro Dados - Todos'!$D$2:$D$20000=Lacunas!E18)
)</f>
        <v>Jesuítas</v>
      </c>
      <c r="C18" s="1" t="str">
        <v>UVR 01 - Jesuítas</v>
      </c>
      <c r="D18" s="1" t="str">
        <v>01</v>
      </c>
      <c r="E18" s="1" t="str">
        <v>15/1/2025</v>
      </c>
      <c r="F18" s="1">
        <v>10</v>
      </c>
      <c r="G18" s="1">
        <v>0</v>
      </c>
      <c r="H18" s="1">
        <v>35453.699999999997</v>
      </c>
      <c r="I18" s="4">
        <v>0</v>
      </c>
      <c r="J18" s="1">
        <v>0</v>
      </c>
      <c r="K18" s="1">
        <v>36695</v>
      </c>
      <c r="L18" s="1">
        <v>0</v>
      </c>
      <c r="M18" s="1">
        <v>3545.37</v>
      </c>
    </row>
    <row r="19" spans="1:13">
      <c r="A19" s="1" t="s">
        <v>22</v>
      </c>
      <c r="B19" s="1" t="str" cm="1">
        <f t="array" ref="B19:M19">_xlfn._xlws.FILTER(
    'Macro Dados - Todos'!$A$2:$L$20000,
    ('Macro Dados - Todos'!$A$2:$A$20000=Lacunas!B19) *
    ('Macro Dados - Todos'!$C$2:$C$20000=Lacunas!C19) *
    ('Macro Dados - Todos'!$D$2:$D$20000=Lacunas!E19)
)</f>
        <v>Marechal Candido Rondon</v>
      </c>
      <c r="C19" s="1" t="str">
        <v>UVR 01 - Marechal Candido Rondon</v>
      </c>
      <c r="D19" s="1" t="str">
        <v>01</v>
      </c>
      <c r="E19" s="1" t="str">
        <v>15/1/2025</v>
      </c>
      <c r="F19" s="1">
        <v>30</v>
      </c>
      <c r="G19" s="1">
        <v>0</v>
      </c>
      <c r="H19" s="1">
        <v>115584.26</v>
      </c>
      <c r="I19" s="4">
        <v>76402.320000000007</v>
      </c>
      <c r="J19" s="1">
        <v>0</v>
      </c>
      <c r="K19" s="1">
        <v>149335</v>
      </c>
      <c r="L19" s="1">
        <v>75790</v>
      </c>
      <c r="M19" s="1">
        <v>2900</v>
      </c>
    </row>
    <row r="20" spans="1:13">
      <c r="A20" s="1" t="s">
        <v>22</v>
      </c>
      <c r="B20" s="1" t="str" cm="1">
        <f t="array" ref="B20:M20">_xlfn._xlws.FILTER(
    'Macro Dados - Todos'!$A$2:$L$20000,
    ('Macro Dados - Todos'!$A$2:$A$20000=Lacunas!B20) *
    ('Macro Dados - Todos'!$C$2:$C$20000=Lacunas!C20) *
    ('Macro Dados - Todos'!$D$2:$D$20000=Lacunas!E20)
)</f>
        <v>Marechal Candido Rondon</v>
      </c>
      <c r="C20" s="1" t="str">
        <v>UVR 02 - Marechal Candido Rondon</v>
      </c>
      <c r="D20" s="1" t="str">
        <v>02</v>
      </c>
      <c r="E20" s="1" t="str">
        <v>15/1/2025</v>
      </c>
      <c r="F20" s="1">
        <v>29</v>
      </c>
      <c r="G20" s="1">
        <v>0</v>
      </c>
      <c r="H20" s="1">
        <v>141072.9</v>
      </c>
      <c r="I20" s="4">
        <v>76402.67</v>
      </c>
      <c r="J20" s="1">
        <v>0</v>
      </c>
      <c r="K20" s="1">
        <v>150768</v>
      </c>
      <c r="L20" s="1">
        <v>45450</v>
      </c>
      <c r="M20" s="1">
        <v>3000</v>
      </c>
    </row>
    <row r="21" spans="1:13">
      <c r="A21" s="1" t="s">
        <v>11</v>
      </c>
      <c r="B21" s="1" t="str" cm="1">
        <f t="array" ref="B21:M22">_xlfn._xlws.FILTER(
    'Macro Dados - Todos'!$A$2:$L$20000,
    ('Macro Dados - Todos'!$A$2:$A$20000=Lacunas!B21) *
    ('Macro Dados - Todos'!$C$2:$C$20000=Lacunas!C21) *
    ('Macro Dados - Todos'!$D$2:$D$20000=Lacunas!E21)
)</f>
        <v>Palotina</v>
      </c>
      <c r="C21" s="1" t="str">
        <v>UVR 01 - Palotina</v>
      </c>
      <c r="D21" s="1" t="str">
        <v>01</v>
      </c>
      <c r="E21" s="1" t="str">
        <v>15/1/2025</v>
      </c>
      <c r="F21" s="1">
        <v>20</v>
      </c>
      <c r="G21" s="1" t="str">
        <v xml:space="preserve"> O total de Associados que trabalharam todos os dias( não tiveram faltas) foram 2 (dois)</v>
      </c>
      <c r="H21" s="1">
        <v>65797.05</v>
      </c>
      <c r="I21" s="4">
        <v>0</v>
      </c>
      <c r="J21" s="1">
        <v>13146.12</v>
      </c>
      <c r="K21" s="1">
        <v>101551</v>
      </c>
      <c r="L21" s="1">
        <v>46340</v>
      </c>
      <c r="M21" s="1">
        <v>3776.6</v>
      </c>
    </row>
    <row r="22" spans="1:13">
      <c r="A22" s="1" t="s">
        <v>11</v>
      </c>
      <c r="B22" s="1" t="str">
        <v>Palotina</v>
      </c>
      <c r="C22" s="1" t="str">
        <v>UVR 01 - Palotina</v>
      </c>
      <c r="D22" s="1" t="str">
        <v>01</v>
      </c>
      <c r="E22" s="1" t="str">
        <v>15/1/2025</v>
      </c>
      <c r="F22" s="1">
        <v>22</v>
      </c>
      <c r="G22" s="1" t="str">
        <v xml:space="preserve"> O total de Associados que trabalharam todos os dias( não tiveram faltas) foram 03 (três)</v>
      </c>
      <c r="H22" s="1">
        <v>74420.42</v>
      </c>
      <c r="I22" s="4">
        <v>0</v>
      </c>
      <c r="J22" s="1">
        <v>0</v>
      </c>
      <c r="K22" s="1">
        <v>86706</v>
      </c>
      <c r="L22" s="1">
        <v>48560</v>
      </c>
      <c r="M22" s="1">
        <v>4181.8999999999996</v>
      </c>
    </row>
    <row r="23" spans="1:13">
      <c r="A23" s="1" t="s">
        <v>29</v>
      </c>
      <c r="B23" s="1" t="str" cm="1">
        <f t="array" ref="B23:M23">_xlfn._xlws.FILTER(
    'Macro Dados - Todos'!$A$2:$L$20000,
    ('Macro Dados - Todos'!$A$2:$A$20000=Lacunas!B23) *
    ('Macro Dados - Todos'!$C$2:$C$20000=Lacunas!C23) *
    ('Macro Dados - Todos'!$D$2:$D$20000=Lacunas!E23)
)</f>
        <v>Tres Barras do Parana</v>
      </c>
      <c r="C23" s="1" t="str">
        <v>UVR 01 - Tres Barras do Parana</v>
      </c>
      <c r="D23" s="1" t="str">
        <v>01</v>
      </c>
      <c r="E23" s="1" t="str">
        <v>15/1/2025</v>
      </c>
      <c r="F23" s="1">
        <v>12</v>
      </c>
      <c r="G23" s="1">
        <v>0</v>
      </c>
      <c r="H23" s="1">
        <v>13698.85</v>
      </c>
      <c r="I23" s="4">
        <v>0</v>
      </c>
      <c r="J23" s="1">
        <v>0</v>
      </c>
      <c r="K23" s="1">
        <v>24207</v>
      </c>
      <c r="L23" s="1">
        <v>0</v>
      </c>
      <c r="M23" s="1">
        <v>1325</v>
      </c>
    </row>
    <row r="57" spans="2:2">
      <c r="B5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3B8D-2A92-4A5A-9BEC-3F5B06DBFE43}">
  <sheetPr filterMode="1"/>
  <dimension ref="A1:M5455"/>
  <sheetViews>
    <sheetView workbookViewId="0"/>
  </sheetViews>
  <sheetFormatPr defaultRowHeight="15"/>
  <cols>
    <col min="1" max="1" width="32.85546875" bestFit="1" customWidth="1"/>
    <col min="2" max="2" width="12.140625" bestFit="1" customWidth="1"/>
    <col min="3" max="3" width="25" bestFit="1" customWidth="1"/>
    <col min="4" max="4" width="16.85546875" bestFit="1" customWidth="1"/>
    <col min="5" max="5" width="30.5703125" bestFit="1" customWidth="1"/>
    <col min="6" max="6" width="47.28515625" bestFit="1" customWidth="1"/>
    <col min="7" max="7" width="67.140625" bestFit="1" customWidth="1"/>
    <col min="8" max="8" width="31.42578125" bestFit="1" customWidth="1"/>
    <col min="9" max="9" width="11.140625" bestFit="1" customWidth="1"/>
    <col min="10" max="10" width="17.85546875" bestFit="1" customWidth="1"/>
    <col min="11" max="11" width="11.7109375" bestFit="1" customWidth="1"/>
    <col min="12" max="12" width="219.140625" bestFit="1" customWidth="1"/>
    <col min="13" max="13" width="20.42578125" bestFit="1" customWidth="1"/>
  </cols>
  <sheetData>
    <row r="1" spans="1:13">
      <c r="A1" t="s">
        <v>31</v>
      </c>
      <c r="B1" t="s">
        <v>32</v>
      </c>
      <c r="C1" t="s">
        <v>1</v>
      </c>
      <c r="D1" t="s">
        <v>33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33</v>
      </c>
    </row>
    <row r="2" spans="1:13" hidden="1">
      <c r="A2" t="s">
        <v>115</v>
      </c>
      <c r="B2" t="s">
        <v>8</v>
      </c>
      <c r="C2" t="s">
        <v>30</v>
      </c>
      <c r="D2" t="str">
        <f>LEFT(M2,10)</f>
        <v>12/15/2024</v>
      </c>
      <c r="E2" t="s">
        <v>202</v>
      </c>
      <c r="F2" t="s">
        <v>203</v>
      </c>
      <c r="G2" t="s">
        <v>204</v>
      </c>
      <c r="I2">
        <v>87.5</v>
      </c>
      <c r="J2">
        <v>437.5</v>
      </c>
      <c r="K2">
        <v>5</v>
      </c>
      <c r="M2" t="s">
        <v>205</v>
      </c>
    </row>
    <row r="3" spans="1:13" hidden="1">
      <c r="A3" t="s">
        <v>115</v>
      </c>
      <c r="B3" t="s">
        <v>8</v>
      </c>
      <c r="C3" t="s">
        <v>30</v>
      </c>
      <c r="D3" t="str">
        <f>LEFT(M3,10)</f>
        <v>12/15/2024</v>
      </c>
      <c r="E3" t="s">
        <v>202</v>
      </c>
      <c r="F3" t="s">
        <v>203</v>
      </c>
      <c r="G3" t="s">
        <v>206</v>
      </c>
      <c r="I3">
        <v>12.9</v>
      </c>
      <c r="J3">
        <v>32.25</v>
      </c>
      <c r="K3">
        <v>2.5</v>
      </c>
      <c r="M3" t="s">
        <v>205</v>
      </c>
    </row>
    <row r="4" spans="1:13" hidden="1">
      <c r="A4" t="s">
        <v>115</v>
      </c>
      <c r="B4" t="s">
        <v>8</v>
      </c>
      <c r="C4" t="s">
        <v>30</v>
      </c>
      <c r="D4" t="str">
        <f>LEFT(M4,10)</f>
        <v>12/15/2024</v>
      </c>
      <c r="E4" t="s">
        <v>202</v>
      </c>
      <c r="F4" t="s">
        <v>203</v>
      </c>
      <c r="G4" t="s">
        <v>207</v>
      </c>
      <c r="I4">
        <v>12.4</v>
      </c>
      <c r="J4">
        <v>50.4</v>
      </c>
      <c r="K4">
        <v>4.0599999999999996</v>
      </c>
      <c r="M4" t="s">
        <v>205</v>
      </c>
    </row>
    <row r="5" spans="1:13" hidden="1">
      <c r="A5" t="s">
        <v>115</v>
      </c>
      <c r="B5" t="s">
        <v>8</v>
      </c>
      <c r="C5" t="s">
        <v>30</v>
      </c>
      <c r="D5" t="str">
        <f>LEFT(M5,10)</f>
        <v>12/15/2024</v>
      </c>
      <c r="E5" t="s">
        <v>202</v>
      </c>
      <c r="F5" t="s">
        <v>203</v>
      </c>
      <c r="G5" t="s">
        <v>208</v>
      </c>
      <c r="I5">
        <v>28</v>
      </c>
      <c r="J5">
        <v>196</v>
      </c>
      <c r="K5">
        <v>7</v>
      </c>
      <c r="M5" t="s">
        <v>205</v>
      </c>
    </row>
    <row r="6" spans="1:13" hidden="1">
      <c r="A6" t="s">
        <v>115</v>
      </c>
      <c r="B6" t="s">
        <v>8</v>
      </c>
      <c r="C6" t="s">
        <v>30</v>
      </c>
      <c r="D6" t="str">
        <f>LEFT(M6,10)</f>
        <v>12/15/2024</v>
      </c>
      <c r="E6" t="s">
        <v>202</v>
      </c>
      <c r="F6" t="s">
        <v>209</v>
      </c>
      <c r="G6" t="s">
        <v>210</v>
      </c>
      <c r="I6">
        <v>2</v>
      </c>
      <c r="J6">
        <v>5</v>
      </c>
      <c r="K6">
        <v>2.5</v>
      </c>
      <c r="M6" t="s">
        <v>205</v>
      </c>
    </row>
    <row r="7" spans="1:13" hidden="1">
      <c r="A7" t="s">
        <v>115</v>
      </c>
      <c r="B7" t="s">
        <v>8</v>
      </c>
      <c r="C7" t="s">
        <v>30</v>
      </c>
      <c r="D7" t="str">
        <f>LEFT(M7,10)</f>
        <v>12/15/2024</v>
      </c>
      <c r="E7" t="s">
        <v>202</v>
      </c>
      <c r="F7" t="s">
        <v>209</v>
      </c>
      <c r="G7" t="s">
        <v>211</v>
      </c>
      <c r="I7">
        <v>3</v>
      </c>
      <c r="J7">
        <v>60</v>
      </c>
      <c r="K7">
        <v>20</v>
      </c>
      <c r="M7" t="s">
        <v>205</v>
      </c>
    </row>
    <row r="8" spans="1:13" hidden="1">
      <c r="A8" t="s">
        <v>115</v>
      </c>
      <c r="B8" t="s">
        <v>8</v>
      </c>
      <c r="C8" t="s">
        <v>30</v>
      </c>
      <c r="D8" t="str">
        <f>LEFT(M8,10)</f>
        <v>12/15/2024</v>
      </c>
      <c r="E8" t="s">
        <v>202</v>
      </c>
      <c r="F8" t="s">
        <v>209</v>
      </c>
      <c r="G8" t="s">
        <v>211</v>
      </c>
      <c r="I8">
        <v>4</v>
      </c>
      <c r="J8">
        <v>80</v>
      </c>
      <c r="K8">
        <v>20</v>
      </c>
      <c r="M8" t="s">
        <v>205</v>
      </c>
    </row>
    <row r="9" spans="1:13" hidden="1">
      <c r="A9" t="s">
        <v>115</v>
      </c>
      <c r="B9" t="s">
        <v>8</v>
      </c>
      <c r="C9" t="s">
        <v>30</v>
      </c>
      <c r="D9" t="str">
        <f>LEFT(M9,10)</f>
        <v>12/15/2024</v>
      </c>
      <c r="E9" t="s">
        <v>202</v>
      </c>
      <c r="F9" t="s">
        <v>209</v>
      </c>
      <c r="G9" t="s">
        <v>212</v>
      </c>
      <c r="I9">
        <v>15</v>
      </c>
      <c r="J9">
        <v>82.5</v>
      </c>
      <c r="K9">
        <v>5.5</v>
      </c>
      <c r="M9" t="s">
        <v>205</v>
      </c>
    </row>
    <row r="10" spans="1:13" hidden="1">
      <c r="A10" t="s">
        <v>115</v>
      </c>
      <c r="B10" t="s">
        <v>8</v>
      </c>
      <c r="C10" t="s">
        <v>30</v>
      </c>
      <c r="D10" t="str">
        <f>LEFT(M10,10)</f>
        <v>12/15/2024</v>
      </c>
      <c r="E10" t="s">
        <v>202</v>
      </c>
      <c r="F10" t="s">
        <v>209</v>
      </c>
      <c r="G10" t="s">
        <v>213</v>
      </c>
      <c r="I10">
        <v>2</v>
      </c>
      <c r="J10">
        <v>9.6</v>
      </c>
      <c r="K10">
        <v>4.8</v>
      </c>
      <c r="M10" t="s">
        <v>205</v>
      </c>
    </row>
    <row r="11" spans="1:13" hidden="1">
      <c r="A11" t="s">
        <v>115</v>
      </c>
      <c r="B11" t="s">
        <v>8</v>
      </c>
      <c r="C11" t="s">
        <v>30</v>
      </c>
      <c r="D11" t="str">
        <f>LEFT(M11,10)</f>
        <v>12/15/2024</v>
      </c>
      <c r="E11" t="s">
        <v>202</v>
      </c>
      <c r="F11" t="s">
        <v>209</v>
      </c>
      <c r="G11" t="s">
        <v>211</v>
      </c>
      <c r="I11">
        <v>467</v>
      </c>
      <c r="J11">
        <v>280.2</v>
      </c>
      <c r="K11">
        <v>0.6</v>
      </c>
      <c r="M11" t="s">
        <v>205</v>
      </c>
    </row>
    <row r="12" spans="1:13" hidden="1">
      <c r="A12" t="s">
        <v>115</v>
      </c>
      <c r="B12" t="s">
        <v>8</v>
      </c>
      <c r="C12" t="s">
        <v>30</v>
      </c>
      <c r="D12" t="str">
        <f>LEFT(M12,10)</f>
        <v>12/15/2024</v>
      </c>
      <c r="E12" t="s">
        <v>202</v>
      </c>
      <c r="F12" t="s">
        <v>209</v>
      </c>
      <c r="G12" t="s">
        <v>214</v>
      </c>
      <c r="I12">
        <v>200</v>
      </c>
      <c r="J12">
        <v>180</v>
      </c>
      <c r="K12">
        <v>0.9</v>
      </c>
      <c r="M12" t="s">
        <v>205</v>
      </c>
    </row>
    <row r="13" spans="1:13" hidden="1">
      <c r="A13" t="s">
        <v>115</v>
      </c>
      <c r="B13" t="s">
        <v>8</v>
      </c>
      <c r="C13" t="s">
        <v>30</v>
      </c>
      <c r="D13" t="str">
        <f>LEFT(M13,10)</f>
        <v>12/15/2024</v>
      </c>
      <c r="E13" t="s">
        <v>202</v>
      </c>
      <c r="F13" t="s">
        <v>209</v>
      </c>
      <c r="G13" t="s">
        <v>214</v>
      </c>
      <c r="I13">
        <v>136</v>
      </c>
      <c r="J13">
        <v>68</v>
      </c>
      <c r="K13">
        <v>0.5</v>
      </c>
      <c r="M13" t="s">
        <v>205</v>
      </c>
    </row>
    <row r="14" spans="1:13" hidden="1">
      <c r="A14" t="s">
        <v>115</v>
      </c>
      <c r="B14" t="s">
        <v>8</v>
      </c>
      <c r="C14" t="s">
        <v>30</v>
      </c>
      <c r="D14" t="str">
        <f>LEFT(M14,10)</f>
        <v>12/15/2024</v>
      </c>
      <c r="E14" t="s">
        <v>202</v>
      </c>
      <c r="F14" t="s">
        <v>203</v>
      </c>
      <c r="G14" t="s">
        <v>215</v>
      </c>
      <c r="I14">
        <v>3000</v>
      </c>
      <c r="J14">
        <v>1500</v>
      </c>
      <c r="K14">
        <v>0.5</v>
      </c>
      <c r="M14" t="s">
        <v>205</v>
      </c>
    </row>
    <row r="15" spans="1:13" hidden="1">
      <c r="A15" t="s">
        <v>115</v>
      </c>
      <c r="B15" t="s">
        <v>8</v>
      </c>
      <c r="C15" t="s">
        <v>30</v>
      </c>
      <c r="D15" t="str">
        <f>LEFT(M15,10)</f>
        <v>12/15/2024</v>
      </c>
      <c r="E15" t="s">
        <v>202</v>
      </c>
      <c r="F15" t="s">
        <v>216</v>
      </c>
      <c r="G15" t="s">
        <v>217</v>
      </c>
      <c r="I15">
        <v>2000</v>
      </c>
      <c r="J15">
        <v>500</v>
      </c>
      <c r="K15">
        <v>0.25</v>
      </c>
      <c r="M15" t="s">
        <v>205</v>
      </c>
    </row>
    <row r="16" spans="1:13" hidden="1">
      <c r="A16" t="s">
        <v>115</v>
      </c>
      <c r="B16" t="s">
        <v>8</v>
      </c>
      <c r="C16" t="s">
        <v>30</v>
      </c>
      <c r="D16" t="str">
        <f>LEFT(M16,10)</f>
        <v>12/15/2024</v>
      </c>
      <c r="E16" t="s">
        <v>202</v>
      </c>
      <c r="F16" t="s">
        <v>218</v>
      </c>
      <c r="G16" t="s">
        <v>219</v>
      </c>
      <c r="I16">
        <v>1174</v>
      </c>
      <c r="J16">
        <v>2112.1999999999998</v>
      </c>
      <c r="K16">
        <v>1.8</v>
      </c>
      <c r="M16" t="s">
        <v>205</v>
      </c>
    </row>
    <row r="17" spans="1:13" hidden="1">
      <c r="A17" t="s">
        <v>115</v>
      </c>
      <c r="B17" t="s">
        <v>8</v>
      </c>
      <c r="C17" t="s">
        <v>30</v>
      </c>
      <c r="D17" t="str">
        <f>LEFT(M17,10)</f>
        <v>12/15/2024</v>
      </c>
      <c r="E17" t="s">
        <v>202</v>
      </c>
      <c r="F17" t="s">
        <v>218</v>
      </c>
      <c r="G17" t="s">
        <v>220</v>
      </c>
      <c r="I17">
        <v>1014</v>
      </c>
      <c r="J17">
        <v>1014</v>
      </c>
      <c r="K17">
        <v>1</v>
      </c>
      <c r="M17" t="s">
        <v>205</v>
      </c>
    </row>
    <row r="18" spans="1:13" hidden="1">
      <c r="A18" t="s">
        <v>115</v>
      </c>
      <c r="B18" t="s">
        <v>8</v>
      </c>
      <c r="C18" t="s">
        <v>30</v>
      </c>
      <c r="D18" t="str">
        <f>LEFT(M18,10)</f>
        <v>12/15/2024</v>
      </c>
      <c r="E18" t="s">
        <v>202</v>
      </c>
      <c r="F18" t="s">
        <v>218</v>
      </c>
      <c r="G18" t="s">
        <v>221</v>
      </c>
      <c r="I18">
        <v>1534</v>
      </c>
      <c r="J18">
        <v>3374.8</v>
      </c>
      <c r="K18">
        <v>2.2000000000000002</v>
      </c>
      <c r="M18" t="s">
        <v>205</v>
      </c>
    </row>
    <row r="19" spans="1:13" hidden="1">
      <c r="A19" t="s">
        <v>115</v>
      </c>
      <c r="B19" t="s">
        <v>8</v>
      </c>
      <c r="C19" t="s">
        <v>30</v>
      </c>
      <c r="D19" t="str">
        <f>LEFT(M19,10)</f>
        <v>12/15/2024</v>
      </c>
      <c r="E19" t="s">
        <v>202</v>
      </c>
      <c r="F19" t="s">
        <v>218</v>
      </c>
      <c r="G19" t="s">
        <v>222</v>
      </c>
      <c r="I19">
        <v>506</v>
      </c>
      <c r="J19">
        <v>354.2</v>
      </c>
      <c r="K19">
        <v>0.7</v>
      </c>
      <c r="M19" t="s">
        <v>205</v>
      </c>
    </row>
    <row r="20" spans="1:13" hidden="1">
      <c r="A20" t="s">
        <v>115</v>
      </c>
      <c r="B20" t="s">
        <v>8</v>
      </c>
      <c r="C20" t="s">
        <v>30</v>
      </c>
      <c r="D20" t="str">
        <f>LEFT(M20,10)</f>
        <v>12/15/2024</v>
      </c>
      <c r="E20" t="s">
        <v>202</v>
      </c>
      <c r="F20" t="s">
        <v>218</v>
      </c>
      <c r="G20" t="s">
        <v>222</v>
      </c>
      <c r="I20">
        <v>333</v>
      </c>
      <c r="J20">
        <v>333</v>
      </c>
      <c r="K20">
        <v>1</v>
      </c>
      <c r="M20" t="s">
        <v>205</v>
      </c>
    </row>
    <row r="21" spans="1:13" hidden="1">
      <c r="A21" t="s">
        <v>115</v>
      </c>
      <c r="B21" t="s">
        <v>8</v>
      </c>
      <c r="C21" t="s">
        <v>30</v>
      </c>
      <c r="D21" t="str">
        <f>LEFT(M21,10)</f>
        <v>12/15/2024</v>
      </c>
      <c r="E21" t="s">
        <v>202</v>
      </c>
      <c r="F21" t="s">
        <v>218</v>
      </c>
      <c r="G21" t="s">
        <v>223</v>
      </c>
      <c r="I21">
        <v>1042</v>
      </c>
      <c r="J21">
        <v>468.9</v>
      </c>
      <c r="K21">
        <v>0.45</v>
      </c>
      <c r="M21" t="s">
        <v>205</v>
      </c>
    </row>
    <row r="22" spans="1:13" hidden="1">
      <c r="A22" t="s">
        <v>115</v>
      </c>
      <c r="B22" t="s">
        <v>8</v>
      </c>
      <c r="C22" t="s">
        <v>30</v>
      </c>
      <c r="D22" t="str">
        <f>LEFT(M22,10)</f>
        <v>12/15/2024</v>
      </c>
      <c r="E22" t="s">
        <v>202</v>
      </c>
      <c r="F22" t="s">
        <v>218</v>
      </c>
      <c r="G22" t="s">
        <v>224</v>
      </c>
      <c r="I22">
        <v>249</v>
      </c>
      <c r="J22">
        <v>149.4</v>
      </c>
      <c r="K22">
        <v>0.6</v>
      </c>
      <c r="M22" t="s">
        <v>205</v>
      </c>
    </row>
    <row r="23" spans="1:13" hidden="1">
      <c r="A23" t="s">
        <v>115</v>
      </c>
      <c r="B23" t="s">
        <v>8</v>
      </c>
      <c r="C23" t="s">
        <v>30</v>
      </c>
      <c r="D23" t="str">
        <f>LEFT(M23,10)</f>
        <v>12/15/2024</v>
      </c>
      <c r="E23" t="s">
        <v>202</v>
      </c>
      <c r="F23" t="s">
        <v>218</v>
      </c>
      <c r="G23" t="s">
        <v>223</v>
      </c>
      <c r="I23">
        <v>854</v>
      </c>
      <c r="J23">
        <v>512.4</v>
      </c>
      <c r="K23">
        <v>0.6</v>
      </c>
      <c r="M23" t="s">
        <v>205</v>
      </c>
    </row>
    <row r="24" spans="1:13" hidden="1">
      <c r="A24" t="s">
        <v>115</v>
      </c>
      <c r="B24" t="s">
        <v>8</v>
      </c>
      <c r="C24" t="s">
        <v>30</v>
      </c>
      <c r="D24" t="str">
        <f>LEFT(M24,10)</f>
        <v>12/15/2024</v>
      </c>
      <c r="E24" t="s">
        <v>202</v>
      </c>
      <c r="F24" t="s">
        <v>218</v>
      </c>
      <c r="G24" t="s">
        <v>225</v>
      </c>
      <c r="I24">
        <v>84</v>
      </c>
      <c r="J24">
        <v>33.6</v>
      </c>
      <c r="K24">
        <v>0.4</v>
      </c>
      <c r="M24" t="s">
        <v>205</v>
      </c>
    </row>
    <row r="25" spans="1:13" hidden="1">
      <c r="A25" t="s">
        <v>115</v>
      </c>
      <c r="B25" t="s">
        <v>8</v>
      </c>
      <c r="C25" t="s">
        <v>30</v>
      </c>
      <c r="D25" t="str">
        <f>LEFT(M25,10)</f>
        <v>12/15/2024</v>
      </c>
      <c r="E25" t="s">
        <v>202</v>
      </c>
      <c r="F25" t="s">
        <v>218</v>
      </c>
      <c r="G25" t="s">
        <v>226</v>
      </c>
      <c r="I25">
        <v>691</v>
      </c>
      <c r="J25">
        <v>172.75</v>
      </c>
      <c r="K25">
        <v>0.25</v>
      </c>
      <c r="M25" t="s">
        <v>205</v>
      </c>
    </row>
    <row r="26" spans="1:13" hidden="1">
      <c r="A26" t="s">
        <v>115</v>
      </c>
      <c r="B26" t="s">
        <v>8</v>
      </c>
      <c r="C26" t="s">
        <v>30</v>
      </c>
      <c r="D26" t="str">
        <f>LEFT(M26,10)</f>
        <v>12/15/2024</v>
      </c>
      <c r="E26" t="s">
        <v>202</v>
      </c>
      <c r="F26" t="s">
        <v>227</v>
      </c>
      <c r="G26" t="s">
        <v>228</v>
      </c>
      <c r="I26">
        <v>4454</v>
      </c>
      <c r="J26">
        <v>445.4</v>
      </c>
      <c r="K26">
        <v>0.1</v>
      </c>
      <c r="M26" t="s">
        <v>205</v>
      </c>
    </row>
    <row r="27" spans="1:13" hidden="1">
      <c r="A27" t="s">
        <v>115</v>
      </c>
      <c r="B27" t="s">
        <v>8</v>
      </c>
      <c r="C27" t="s">
        <v>30</v>
      </c>
      <c r="D27" t="str">
        <f>LEFT(M27,10)</f>
        <v>12/15/2024</v>
      </c>
      <c r="E27" t="s">
        <v>202</v>
      </c>
      <c r="F27" t="s">
        <v>227</v>
      </c>
      <c r="G27" t="s">
        <v>229</v>
      </c>
      <c r="I27">
        <v>8800</v>
      </c>
      <c r="J27">
        <v>3520</v>
      </c>
      <c r="K27">
        <v>0.4</v>
      </c>
      <c r="M27" t="s">
        <v>205</v>
      </c>
    </row>
    <row r="28" spans="1:13" hidden="1">
      <c r="A28" t="s">
        <v>115</v>
      </c>
      <c r="B28" t="s">
        <v>8</v>
      </c>
      <c r="C28" t="s">
        <v>30</v>
      </c>
      <c r="D28" t="str">
        <f>LEFT(M28,10)</f>
        <v>12/15/2024</v>
      </c>
      <c r="E28" t="s">
        <v>230</v>
      </c>
      <c r="F28" t="s">
        <v>231</v>
      </c>
      <c r="I28">
        <v>0</v>
      </c>
      <c r="J28">
        <v>823</v>
      </c>
      <c r="M28" t="s">
        <v>205</v>
      </c>
    </row>
    <row r="29" spans="1:13" hidden="1">
      <c r="A29" t="s">
        <v>115</v>
      </c>
      <c r="B29" t="s">
        <v>8</v>
      </c>
      <c r="C29" t="s">
        <v>30</v>
      </c>
      <c r="D29" t="str">
        <f>LEFT(M29,10)</f>
        <v>12/15/2024</v>
      </c>
      <c r="E29" t="s">
        <v>232</v>
      </c>
      <c r="F29" t="s">
        <v>233</v>
      </c>
      <c r="I29">
        <v>0</v>
      </c>
      <c r="J29">
        <v>1200</v>
      </c>
      <c r="M29" t="s">
        <v>205</v>
      </c>
    </row>
    <row r="30" spans="1:13" hidden="1">
      <c r="A30" t="s">
        <v>115</v>
      </c>
      <c r="B30" t="s">
        <v>8</v>
      </c>
      <c r="C30" t="s">
        <v>30</v>
      </c>
      <c r="D30" t="str">
        <f>LEFT(M30,10)</f>
        <v>12/15/2024</v>
      </c>
      <c r="E30" t="s">
        <v>234</v>
      </c>
      <c r="F30" t="s">
        <v>234</v>
      </c>
      <c r="I30">
        <v>0</v>
      </c>
      <c r="M30" t="s">
        <v>205</v>
      </c>
    </row>
    <row r="31" spans="1:13" hidden="1">
      <c r="A31" t="s">
        <v>115</v>
      </c>
      <c r="B31" t="s">
        <v>8</v>
      </c>
      <c r="C31" t="s">
        <v>30</v>
      </c>
      <c r="D31" t="str">
        <f>LEFT(M31,10)</f>
        <v>12/15/2024</v>
      </c>
      <c r="E31" t="s">
        <v>202</v>
      </c>
      <c r="F31" t="s">
        <v>203</v>
      </c>
      <c r="G31" t="s">
        <v>235</v>
      </c>
      <c r="I31">
        <v>23</v>
      </c>
      <c r="J31">
        <v>18</v>
      </c>
      <c r="K31">
        <v>0.78</v>
      </c>
      <c r="M31" t="s">
        <v>205</v>
      </c>
    </row>
    <row r="32" spans="1:13" hidden="1">
      <c r="A32" t="s">
        <v>45</v>
      </c>
      <c r="B32" t="s">
        <v>8</v>
      </c>
      <c r="C32" t="s">
        <v>44</v>
      </c>
      <c r="D32" t="str">
        <f>LEFT(M32,10)</f>
        <v>12/15/2024</v>
      </c>
      <c r="E32" t="s">
        <v>202</v>
      </c>
      <c r="F32" t="s">
        <v>203</v>
      </c>
      <c r="G32" t="s">
        <v>236</v>
      </c>
      <c r="I32">
        <v>1086.5</v>
      </c>
      <c r="J32">
        <v>6667.3</v>
      </c>
      <c r="K32">
        <v>6.14</v>
      </c>
      <c r="M32" t="s">
        <v>205</v>
      </c>
    </row>
    <row r="33" spans="1:13" hidden="1">
      <c r="A33" t="s">
        <v>45</v>
      </c>
      <c r="B33" t="s">
        <v>8</v>
      </c>
      <c r="C33" t="s">
        <v>44</v>
      </c>
      <c r="D33" t="str">
        <f>LEFT(M33,10)</f>
        <v>12/15/2024</v>
      </c>
      <c r="E33" t="s">
        <v>202</v>
      </c>
      <c r="F33" t="s">
        <v>203</v>
      </c>
      <c r="G33" t="s">
        <v>236</v>
      </c>
      <c r="I33">
        <v>4180</v>
      </c>
      <c r="J33">
        <v>1881</v>
      </c>
      <c r="K33">
        <v>0.45</v>
      </c>
      <c r="M33" t="s">
        <v>205</v>
      </c>
    </row>
    <row r="34" spans="1:13" hidden="1">
      <c r="A34" t="s">
        <v>45</v>
      </c>
      <c r="B34" t="s">
        <v>8</v>
      </c>
      <c r="C34" t="s">
        <v>44</v>
      </c>
      <c r="D34" t="str">
        <f>LEFT(M34,10)</f>
        <v>12/15/2024</v>
      </c>
      <c r="E34" t="s">
        <v>202</v>
      </c>
      <c r="F34" t="s">
        <v>227</v>
      </c>
      <c r="G34" t="s">
        <v>229</v>
      </c>
      <c r="I34">
        <v>8130</v>
      </c>
      <c r="J34">
        <v>3252</v>
      </c>
      <c r="K34">
        <v>0.4</v>
      </c>
      <c r="M34" t="s">
        <v>205</v>
      </c>
    </row>
    <row r="35" spans="1:13" hidden="1">
      <c r="A35" t="s">
        <v>45</v>
      </c>
      <c r="B35" t="s">
        <v>8</v>
      </c>
      <c r="C35" t="s">
        <v>44</v>
      </c>
      <c r="D35" t="str">
        <f>LEFT(M35,10)</f>
        <v>12/15/2024</v>
      </c>
      <c r="E35" t="s">
        <v>202</v>
      </c>
      <c r="F35" t="s">
        <v>227</v>
      </c>
      <c r="G35" t="s">
        <v>237</v>
      </c>
      <c r="I35">
        <v>1210</v>
      </c>
      <c r="J35">
        <v>726</v>
      </c>
      <c r="K35">
        <v>0.6</v>
      </c>
      <c r="M35" t="s">
        <v>205</v>
      </c>
    </row>
    <row r="36" spans="1:13" hidden="1">
      <c r="A36" t="s">
        <v>45</v>
      </c>
      <c r="B36" t="s">
        <v>8</v>
      </c>
      <c r="C36" t="s">
        <v>44</v>
      </c>
      <c r="D36" t="str">
        <f>LEFT(M36,10)</f>
        <v>12/15/2024</v>
      </c>
      <c r="E36" t="s">
        <v>202</v>
      </c>
      <c r="F36" t="s">
        <v>227</v>
      </c>
      <c r="G36" t="s">
        <v>238</v>
      </c>
      <c r="I36">
        <v>860</v>
      </c>
      <c r="J36">
        <v>129</v>
      </c>
      <c r="K36">
        <v>0.15</v>
      </c>
      <c r="M36" t="s">
        <v>205</v>
      </c>
    </row>
    <row r="37" spans="1:13" hidden="1">
      <c r="A37" t="s">
        <v>45</v>
      </c>
      <c r="B37" t="s">
        <v>8</v>
      </c>
      <c r="C37" t="s">
        <v>44</v>
      </c>
      <c r="D37" t="str">
        <f>LEFT(M37,10)</f>
        <v>12/15/2024</v>
      </c>
      <c r="E37" t="s">
        <v>202</v>
      </c>
      <c r="F37" t="s">
        <v>227</v>
      </c>
      <c r="G37" t="s">
        <v>228</v>
      </c>
      <c r="I37">
        <v>6280</v>
      </c>
      <c r="J37">
        <v>942</v>
      </c>
      <c r="K37">
        <v>0.15</v>
      </c>
      <c r="M37" t="s">
        <v>205</v>
      </c>
    </row>
    <row r="38" spans="1:13" hidden="1">
      <c r="A38" t="s">
        <v>45</v>
      </c>
      <c r="B38" t="s">
        <v>8</v>
      </c>
      <c r="C38" t="s">
        <v>44</v>
      </c>
      <c r="D38" t="str">
        <f>LEFT(M38,10)</f>
        <v>12/15/2024</v>
      </c>
      <c r="E38" t="s">
        <v>202</v>
      </c>
      <c r="F38" t="s">
        <v>227</v>
      </c>
      <c r="G38" t="s">
        <v>229</v>
      </c>
      <c r="I38">
        <v>9020</v>
      </c>
      <c r="J38">
        <v>3608</v>
      </c>
      <c r="K38">
        <v>0.4</v>
      </c>
      <c r="M38" t="s">
        <v>205</v>
      </c>
    </row>
    <row r="39" spans="1:13" hidden="1">
      <c r="A39" t="s">
        <v>45</v>
      </c>
      <c r="B39" t="s">
        <v>8</v>
      </c>
      <c r="C39" t="s">
        <v>44</v>
      </c>
      <c r="D39" t="str">
        <f>LEFT(M39,10)</f>
        <v>12/15/2024</v>
      </c>
      <c r="E39" t="s">
        <v>202</v>
      </c>
      <c r="F39" t="s">
        <v>227</v>
      </c>
      <c r="G39" t="s">
        <v>237</v>
      </c>
      <c r="I39">
        <v>1120</v>
      </c>
      <c r="J39">
        <v>672</v>
      </c>
      <c r="K39">
        <v>0.6</v>
      </c>
      <c r="M39" t="s">
        <v>205</v>
      </c>
    </row>
    <row r="40" spans="1:13" hidden="1">
      <c r="A40" t="s">
        <v>45</v>
      </c>
      <c r="B40" t="s">
        <v>8</v>
      </c>
      <c r="C40" t="s">
        <v>44</v>
      </c>
      <c r="D40" t="str">
        <f>LEFT(M40,10)</f>
        <v>12/15/2024</v>
      </c>
      <c r="E40" t="s">
        <v>202</v>
      </c>
      <c r="F40" t="s">
        <v>227</v>
      </c>
      <c r="G40" t="s">
        <v>238</v>
      </c>
      <c r="I40">
        <v>320</v>
      </c>
      <c r="J40">
        <v>48</v>
      </c>
      <c r="K40">
        <v>0.15</v>
      </c>
      <c r="M40" t="s">
        <v>205</v>
      </c>
    </row>
    <row r="41" spans="1:13" hidden="1">
      <c r="A41" t="s">
        <v>45</v>
      </c>
      <c r="B41" t="s">
        <v>8</v>
      </c>
      <c r="C41" t="s">
        <v>44</v>
      </c>
      <c r="D41" t="str">
        <f>LEFT(M41,10)</f>
        <v>12/15/2024</v>
      </c>
      <c r="E41" t="s">
        <v>202</v>
      </c>
      <c r="F41" t="s">
        <v>227</v>
      </c>
      <c r="G41" t="s">
        <v>228</v>
      </c>
      <c r="I41">
        <v>7150</v>
      </c>
      <c r="J41">
        <v>1072.5</v>
      </c>
      <c r="K41">
        <v>0.15</v>
      </c>
      <c r="M41" t="s">
        <v>205</v>
      </c>
    </row>
    <row r="42" spans="1:13" hidden="1">
      <c r="A42" t="s">
        <v>45</v>
      </c>
      <c r="B42" t="s">
        <v>8</v>
      </c>
      <c r="C42" t="s">
        <v>44</v>
      </c>
      <c r="D42" t="str">
        <f>LEFT(M42,10)</f>
        <v>12/15/2024</v>
      </c>
      <c r="E42" t="s">
        <v>202</v>
      </c>
      <c r="F42" t="s">
        <v>218</v>
      </c>
      <c r="G42" t="s">
        <v>239</v>
      </c>
      <c r="I42">
        <v>250</v>
      </c>
      <c r="J42">
        <v>50</v>
      </c>
      <c r="K42">
        <v>0.2</v>
      </c>
      <c r="M42" t="s">
        <v>205</v>
      </c>
    </row>
    <row r="43" spans="1:13" hidden="1">
      <c r="A43" t="s">
        <v>45</v>
      </c>
      <c r="B43" t="s">
        <v>8</v>
      </c>
      <c r="C43" t="s">
        <v>44</v>
      </c>
      <c r="D43" t="str">
        <f>LEFT(M43,10)</f>
        <v>12/15/2024</v>
      </c>
      <c r="E43" t="s">
        <v>202</v>
      </c>
      <c r="F43" t="s">
        <v>218</v>
      </c>
      <c r="G43" t="s">
        <v>240</v>
      </c>
      <c r="I43">
        <v>1352</v>
      </c>
      <c r="J43">
        <v>2839.2</v>
      </c>
      <c r="K43">
        <v>2.1</v>
      </c>
      <c r="M43" t="s">
        <v>205</v>
      </c>
    </row>
    <row r="44" spans="1:13" hidden="1">
      <c r="A44" t="s">
        <v>45</v>
      </c>
      <c r="B44" t="s">
        <v>8</v>
      </c>
      <c r="C44" t="s">
        <v>44</v>
      </c>
      <c r="D44" t="str">
        <f>LEFT(M44,10)</f>
        <v>12/15/2024</v>
      </c>
      <c r="E44" t="s">
        <v>202</v>
      </c>
      <c r="F44" t="s">
        <v>218</v>
      </c>
      <c r="G44" t="s">
        <v>241</v>
      </c>
      <c r="I44">
        <v>168</v>
      </c>
      <c r="J44">
        <v>319.2</v>
      </c>
      <c r="K44">
        <v>1.9</v>
      </c>
      <c r="M44" t="s">
        <v>205</v>
      </c>
    </row>
    <row r="45" spans="1:13" hidden="1">
      <c r="A45" t="s">
        <v>45</v>
      </c>
      <c r="B45" t="s">
        <v>8</v>
      </c>
      <c r="C45" t="s">
        <v>44</v>
      </c>
      <c r="D45" t="str">
        <f>LEFT(M45,10)</f>
        <v>12/15/2024</v>
      </c>
      <c r="E45" t="s">
        <v>202</v>
      </c>
      <c r="F45" t="s">
        <v>218</v>
      </c>
      <c r="G45" t="s">
        <v>242</v>
      </c>
      <c r="I45">
        <v>170</v>
      </c>
      <c r="J45">
        <v>153</v>
      </c>
      <c r="K45">
        <v>0.9</v>
      </c>
      <c r="M45" t="s">
        <v>205</v>
      </c>
    </row>
    <row r="46" spans="1:13" hidden="1">
      <c r="A46" t="s">
        <v>45</v>
      </c>
      <c r="B46" t="s">
        <v>8</v>
      </c>
      <c r="C46" t="s">
        <v>44</v>
      </c>
      <c r="D46" t="str">
        <f>LEFT(M46,10)</f>
        <v>12/15/2024</v>
      </c>
      <c r="E46" t="s">
        <v>202</v>
      </c>
      <c r="F46" t="s">
        <v>218</v>
      </c>
      <c r="G46" t="s">
        <v>222</v>
      </c>
      <c r="I46">
        <v>580</v>
      </c>
      <c r="J46">
        <v>812</v>
      </c>
      <c r="K46">
        <v>1.4</v>
      </c>
      <c r="M46" t="s">
        <v>205</v>
      </c>
    </row>
    <row r="47" spans="1:13" hidden="1">
      <c r="A47" t="s">
        <v>45</v>
      </c>
      <c r="B47" t="s">
        <v>8</v>
      </c>
      <c r="C47" t="s">
        <v>44</v>
      </c>
      <c r="D47" t="str">
        <f>LEFT(M47,10)</f>
        <v>12/15/2024</v>
      </c>
      <c r="E47" t="s">
        <v>202</v>
      </c>
      <c r="F47" t="s">
        <v>218</v>
      </c>
      <c r="G47" t="s">
        <v>222</v>
      </c>
      <c r="I47">
        <v>942</v>
      </c>
      <c r="J47">
        <v>942</v>
      </c>
      <c r="K47">
        <v>1</v>
      </c>
      <c r="M47" t="s">
        <v>205</v>
      </c>
    </row>
    <row r="48" spans="1:13" hidden="1">
      <c r="A48" t="s">
        <v>45</v>
      </c>
      <c r="B48" t="s">
        <v>8</v>
      </c>
      <c r="C48" t="s">
        <v>44</v>
      </c>
      <c r="D48" t="str">
        <f>LEFT(M48,10)</f>
        <v>12/15/2024</v>
      </c>
      <c r="E48" t="s">
        <v>202</v>
      </c>
      <c r="F48" t="s">
        <v>218</v>
      </c>
      <c r="G48" t="s">
        <v>224</v>
      </c>
      <c r="I48">
        <v>128</v>
      </c>
      <c r="J48">
        <v>64</v>
      </c>
      <c r="K48">
        <v>0.5</v>
      </c>
      <c r="M48" t="s">
        <v>205</v>
      </c>
    </row>
    <row r="49" spans="1:13" hidden="1">
      <c r="A49" t="s">
        <v>45</v>
      </c>
      <c r="B49" t="s">
        <v>8</v>
      </c>
      <c r="C49" t="s">
        <v>44</v>
      </c>
      <c r="D49" t="str">
        <f>LEFT(M49,10)</f>
        <v>12/15/2024</v>
      </c>
      <c r="E49" t="s">
        <v>202</v>
      </c>
      <c r="F49" t="s">
        <v>218</v>
      </c>
      <c r="G49" t="s">
        <v>221</v>
      </c>
      <c r="I49">
        <v>435</v>
      </c>
      <c r="J49">
        <v>957</v>
      </c>
      <c r="K49">
        <v>2.2000000000000002</v>
      </c>
      <c r="M49" t="s">
        <v>205</v>
      </c>
    </row>
    <row r="50" spans="1:13" hidden="1">
      <c r="A50" t="s">
        <v>45</v>
      </c>
      <c r="B50" t="s">
        <v>8</v>
      </c>
      <c r="C50" t="s">
        <v>44</v>
      </c>
      <c r="D50" t="str">
        <f>LEFT(M50,10)</f>
        <v>12/15/2024</v>
      </c>
      <c r="E50" t="s">
        <v>202</v>
      </c>
      <c r="F50" t="s">
        <v>218</v>
      </c>
      <c r="G50" t="s">
        <v>221</v>
      </c>
      <c r="I50">
        <v>544</v>
      </c>
      <c r="J50">
        <v>1196.8</v>
      </c>
      <c r="K50">
        <v>2.2000000000000002</v>
      </c>
      <c r="M50" t="s">
        <v>205</v>
      </c>
    </row>
    <row r="51" spans="1:13" hidden="1">
      <c r="A51" t="s">
        <v>45</v>
      </c>
      <c r="B51" t="s">
        <v>8</v>
      </c>
      <c r="C51" t="s">
        <v>44</v>
      </c>
      <c r="D51" t="str">
        <f>LEFT(M51,10)</f>
        <v>12/15/2024</v>
      </c>
      <c r="E51" t="s">
        <v>202</v>
      </c>
      <c r="F51" t="s">
        <v>218</v>
      </c>
      <c r="G51" t="s">
        <v>243</v>
      </c>
      <c r="H51" t="s">
        <v>244</v>
      </c>
      <c r="I51">
        <v>103</v>
      </c>
      <c r="J51">
        <v>51.5</v>
      </c>
      <c r="K51">
        <v>0.5</v>
      </c>
      <c r="M51" t="s">
        <v>205</v>
      </c>
    </row>
    <row r="52" spans="1:13" hidden="1">
      <c r="A52" t="s">
        <v>45</v>
      </c>
      <c r="B52" t="s">
        <v>8</v>
      </c>
      <c r="C52" t="s">
        <v>44</v>
      </c>
      <c r="D52" t="str">
        <f>LEFT(M52,10)</f>
        <v>12/15/2024</v>
      </c>
      <c r="E52" t="s">
        <v>202</v>
      </c>
      <c r="F52" t="s">
        <v>218</v>
      </c>
      <c r="G52" t="s">
        <v>222</v>
      </c>
      <c r="I52">
        <v>112</v>
      </c>
      <c r="J52">
        <v>156.80000000000001</v>
      </c>
      <c r="K52">
        <v>1.4</v>
      </c>
      <c r="M52" t="s">
        <v>205</v>
      </c>
    </row>
    <row r="53" spans="1:13" hidden="1">
      <c r="A53" t="s">
        <v>45</v>
      </c>
      <c r="B53" t="s">
        <v>8</v>
      </c>
      <c r="C53" t="s">
        <v>44</v>
      </c>
      <c r="D53" t="str">
        <f>LEFT(M53,10)</f>
        <v>12/15/2024</v>
      </c>
      <c r="E53" t="s">
        <v>202</v>
      </c>
      <c r="F53" t="s">
        <v>218</v>
      </c>
      <c r="G53" t="s">
        <v>225</v>
      </c>
      <c r="I53">
        <v>317</v>
      </c>
      <c r="J53">
        <v>253.6</v>
      </c>
      <c r="K53">
        <v>0.8</v>
      </c>
      <c r="M53" t="s">
        <v>205</v>
      </c>
    </row>
    <row r="54" spans="1:13" hidden="1">
      <c r="A54" t="s">
        <v>45</v>
      </c>
      <c r="B54" t="s">
        <v>8</v>
      </c>
      <c r="C54" t="s">
        <v>44</v>
      </c>
      <c r="D54" t="str">
        <f>LEFT(M54,10)</f>
        <v>12/15/2024</v>
      </c>
      <c r="E54" t="s">
        <v>202</v>
      </c>
      <c r="F54" t="s">
        <v>218</v>
      </c>
      <c r="G54" t="s">
        <v>223</v>
      </c>
      <c r="I54">
        <v>504</v>
      </c>
      <c r="J54">
        <v>252</v>
      </c>
      <c r="K54">
        <v>0.5</v>
      </c>
      <c r="M54" t="s">
        <v>205</v>
      </c>
    </row>
    <row r="55" spans="1:13" hidden="1">
      <c r="A55" t="s">
        <v>45</v>
      </c>
      <c r="B55" t="s">
        <v>8</v>
      </c>
      <c r="C55" t="s">
        <v>44</v>
      </c>
      <c r="D55" t="str">
        <f>LEFT(M55,10)</f>
        <v>12/15/2024</v>
      </c>
      <c r="E55" t="s">
        <v>202</v>
      </c>
      <c r="F55" t="s">
        <v>218</v>
      </c>
      <c r="G55" t="s">
        <v>223</v>
      </c>
      <c r="I55">
        <v>1502</v>
      </c>
      <c r="J55">
        <v>1051.4000000000001</v>
      </c>
      <c r="K55">
        <v>0.7</v>
      </c>
      <c r="M55" t="s">
        <v>205</v>
      </c>
    </row>
    <row r="56" spans="1:13" hidden="1">
      <c r="A56" t="s">
        <v>45</v>
      </c>
      <c r="B56" t="s">
        <v>8</v>
      </c>
      <c r="C56" t="s">
        <v>44</v>
      </c>
      <c r="D56" t="str">
        <f>LEFT(M56,10)</f>
        <v>12/15/2024</v>
      </c>
      <c r="E56" t="s">
        <v>202</v>
      </c>
      <c r="F56" t="s">
        <v>218</v>
      </c>
      <c r="G56" t="s">
        <v>220</v>
      </c>
      <c r="I56">
        <v>1038</v>
      </c>
      <c r="J56">
        <v>1349.4</v>
      </c>
      <c r="K56">
        <v>1.3</v>
      </c>
      <c r="M56" t="s">
        <v>205</v>
      </c>
    </row>
    <row r="57" spans="1:13" hidden="1">
      <c r="A57" t="s">
        <v>45</v>
      </c>
      <c r="B57" t="s">
        <v>8</v>
      </c>
      <c r="C57" t="s">
        <v>44</v>
      </c>
      <c r="D57" t="str">
        <f>LEFT(M57,10)</f>
        <v>12/15/2024</v>
      </c>
      <c r="E57" t="s">
        <v>202</v>
      </c>
      <c r="F57" t="s">
        <v>218</v>
      </c>
      <c r="G57" t="s">
        <v>245</v>
      </c>
      <c r="I57">
        <v>113</v>
      </c>
      <c r="J57">
        <v>22.6</v>
      </c>
      <c r="K57">
        <v>0.2</v>
      </c>
      <c r="M57" t="s">
        <v>205</v>
      </c>
    </row>
    <row r="58" spans="1:13" hidden="1">
      <c r="A58" t="s">
        <v>45</v>
      </c>
      <c r="B58" t="s">
        <v>8</v>
      </c>
      <c r="C58" t="s">
        <v>44</v>
      </c>
      <c r="D58" t="str">
        <f>LEFT(M58,10)</f>
        <v>12/15/2024</v>
      </c>
      <c r="E58" t="s">
        <v>202</v>
      </c>
      <c r="F58" t="s">
        <v>218</v>
      </c>
      <c r="G58" t="s">
        <v>226</v>
      </c>
      <c r="I58">
        <v>352</v>
      </c>
      <c r="J58">
        <v>176</v>
      </c>
      <c r="K58">
        <v>0.5</v>
      </c>
      <c r="M58" t="s">
        <v>205</v>
      </c>
    </row>
    <row r="59" spans="1:13" hidden="1">
      <c r="A59" t="s">
        <v>45</v>
      </c>
      <c r="B59" t="s">
        <v>8</v>
      </c>
      <c r="C59" t="s">
        <v>44</v>
      </c>
      <c r="D59" t="str">
        <f>LEFT(M59,10)</f>
        <v>12/15/2024</v>
      </c>
      <c r="E59" t="s">
        <v>202</v>
      </c>
      <c r="F59" t="s">
        <v>218</v>
      </c>
      <c r="G59" t="s">
        <v>240</v>
      </c>
      <c r="I59">
        <v>1669</v>
      </c>
      <c r="J59">
        <v>3504.9</v>
      </c>
      <c r="K59">
        <v>2.1</v>
      </c>
      <c r="M59" t="s">
        <v>205</v>
      </c>
    </row>
    <row r="60" spans="1:13" hidden="1">
      <c r="A60" t="s">
        <v>45</v>
      </c>
      <c r="B60" t="s">
        <v>8</v>
      </c>
      <c r="C60" t="s">
        <v>44</v>
      </c>
      <c r="D60" t="str">
        <f>LEFT(M60,10)</f>
        <v>12/15/2024</v>
      </c>
      <c r="E60" t="s">
        <v>202</v>
      </c>
      <c r="F60" t="s">
        <v>218</v>
      </c>
      <c r="G60" t="s">
        <v>243</v>
      </c>
      <c r="H60" t="s">
        <v>246</v>
      </c>
      <c r="I60">
        <v>243</v>
      </c>
      <c r="J60">
        <v>243</v>
      </c>
      <c r="K60">
        <v>1</v>
      </c>
      <c r="M60" t="s">
        <v>205</v>
      </c>
    </row>
    <row r="61" spans="1:13" hidden="1">
      <c r="A61" t="s">
        <v>45</v>
      </c>
      <c r="B61" t="s">
        <v>8</v>
      </c>
      <c r="C61" t="s">
        <v>44</v>
      </c>
      <c r="D61" t="str">
        <f>LEFT(M61,10)</f>
        <v>12/15/2024</v>
      </c>
      <c r="E61" t="s">
        <v>202</v>
      </c>
      <c r="F61" t="s">
        <v>218</v>
      </c>
      <c r="G61" t="s">
        <v>221</v>
      </c>
      <c r="I61">
        <v>254</v>
      </c>
      <c r="J61">
        <v>558.79999999999995</v>
      </c>
      <c r="K61">
        <v>2.2000000000000002</v>
      </c>
      <c r="M61" t="s">
        <v>205</v>
      </c>
    </row>
    <row r="62" spans="1:13" hidden="1">
      <c r="A62" t="s">
        <v>45</v>
      </c>
      <c r="B62" t="s">
        <v>8</v>
      </c>
      <c r="C62" t="s">
        <v>44</v>
      </c>
      <c r="D62" t="str">
        <f>LEFT(M62,10)</f>
        <v>12/15/2024</v>
      </c>
      <c r="E62" t="s">
        <v>202</v>
      </c>
      <c r="F62" t="s">
        <v>218</v>
      </c>
      <c r="G62" t="s">
        <v>221</v>
      </c>
      <c r="I62">
        <v>64</v>
      </c>
      <c r="J62">
        <v>140.80000000000001</v>
      </c>
      <c r="K62">
        <v>2.2000000000000002</v>
      </c>
      <c r="M62" t="s">
        <v>205</v>
      </c>
    </row>
    <row r="63" spans="1:13" hidden="1">
      <c r="A63" t="s">
        <v>45</v>
      </c>
      <c r="B63" t="s">
        <v>8</v>
      </c>
      <c r="C63" t="s">
        <v>44</v>
      </c>
      <c r="D63" t="str">
        <f>LEFT(M63,10)</f>
        <v>12/15/2024</v>
      </c>
      <c r="E63" t="s">
        <v>202</v>
      </c>
      <c r="F63" t="s">
        <v>218</v>
      </c>
      <c r="G63" t="s">
        <v>241</v>
      </c>
      <c r="I63">
        <v>230</v>
      </c>
      <c r="J63">
        <v>437</v>
      </c>
      <c r="K63">
        <v>1.9</v>
      </c>
      <c r="M63" t="s">
        <v>205</v>
      </c>
    </row>
    <row r="64" spans="1:13" hidden="1">
      <c r="A64" t="s">
        <v>45</v>
      </c>
      <c r="B64" t="s">
        <v>8</v>
      </c>
      <c r="C64" t="s">
        <v>44</v>
      </c>
      <c r="D64" t="str">
        <f>LEFT(M64,10)</f>
        <v>12/15/2024</v>
      </c>
      <c r="E64" t="s">
        <v>202</v>
      </c>
      <c r="F64" t="s">
        <v>218</v>
      </c>
      <c r="G64" t="s">
        <v>239</v>
      </c>
      <c r="I64">
        <v>260</v>
      </c>
      <c r="J64">
        <v>52</v>
      </c>
      <c r="K64">
        <v>0.2</v>
      </c>
      <c r="M64" t="s">
        <v>205</v>
      </c>
    </row>
    <row r="65" spans="1:13" hidden="1">
      <c r="A65" t="s">
        <v>45</v>
      </c>
      <c r="B65" t="s">
        <v>8</v>
      </c>
      <c r="C65" t="s">
        <v>44</v>
      </c>
      <c r="D65" t="str">
        <f>LEFT(M65,10)</f>
        <v>12/15/2024</v>
      </c>
      <c r="E65" t="s">
        <v>202</v>
      </c>
      <c r="F65" t="s">
        <v>218</v>
      </c>
      <c r="G65" t="s">
        <v>222</v>
      </c>
      <c r="I65">
        <v>854</v>
      </c>
      <c r="J65">
        <v>854</v>
      </c>
      <c r="K65">
        <v>1</v>
      </c>
      <c r="M65" t="s">
        <v>205</v>
      </c>
    </row>
    <row r="66" spans="1:13" hidden="1">
      <c r="A66" t="s">
        <v>45</v>
      </c>
      <c r="B66" t="s">
        <v>8</v>
      </c>
      <c r="C66" t="s">
        <v>44</v>
      </c>
      <c r="D66" t="str">
        <f>LEFT(M66,10)</f>
        <v>12/15/2024</v>
      </c>
      <c r="E66" t="s">
        <v>202</v>
      </c>
      <c r="F66" t="s">
        <v>218</v>
      </c>
      <c r="G66" t="s">
        <v>221</v>
      </c>
      <c r="I66">
        <v>680</v>
      </c>
      <c r="J66">
        <v>1496</v>
      </c>
      <c r="K66">
        <v>2.2000000000000002</v>
      </c>
      <c r="M66" t="s">
        <v>205</v>
      </c>
    </row>
    <row r="67" spans="1:13" hidden="1">
      <c r="A67" t="s">
        <v>45</v>
      </c>
      <c r="B67" t="s">
        <v>8</v>
      </c>
      <c r="C67" t="s">
        <v>44</v>
      </c>
      <c r="D67" t="str">
        <f>LEFT(M67,10)</f>
        <v>12/15/2024</v>
      </c>
      <c r="E67" t="s">
        <v>202</v>
      </c>
      <c r="F67" t="s">
        <v>218</v>
      </c>
      <c r="G67" t="s">
        <v>221</v>
      </c>
      <c r="I67">
        <v>310</v>
      </c>
      <c r="J67">
        <v>682</v>
      </c>
      <c r="K67">
        <v>2.2000000000000002</v>
      </c>
      <c r="M67" t="s">
        <v>205</v>
      </c>
    </row>
    <row r="68" spans="1:13" hidden="1">
      <c r="A68" t="s">
        <v>45</v>
      </c>
      <c r="B68" t="s">
        <v>8</v>
      </c>
      <c r="C68" t="s">
        <v>44</v>
      </c>
      <c r="D68" t="str">
        <f>LEFT(M68,10)</f>
        <v>12/15/2024</v>
      </c>
      <c r="E68" t="s">
        <v>202</v>
      </c>
      <c r="F68" t="s">
        <v>218</v>
      </c>
      <c r="G68" t="s">
        <v>247</v>
      </c>
      <c r="I68">
        <v>113</v>
      </c>
      <c r="J68">
        <v>452</v>
      </c>
      <c r="K68">
        <v>4</v>
      </c>
      <c r="M68" t="s">
        <v>205</v>
      </c>
    </row>
    <row r="69" spans="1:13" hidden="1">
      <c r="A69" t="s">
        <v>45</v>
      </c>
      <c r="B69" t="s">
        <v>8</v>
      </c>
      <c r="C69" t="s">
        <v>44</v>
      </c>
      <c r="D69" t="str">
        <f>LEFT(M69,10)</f>
        <v>12/15/2024</v>
      </c>
      <c r="E69" t="s">
        <v>202</v>
      </c>
      <c r="F69" t="s">
        <v>218</v>
      </c>
      <c r="G69" t="s">
        <v>220</v>
      </c>
      <c r="I69">
        <v>1580</v>
      </c>
      <c r="J69">
        <v>2054</v>
      </c>
      <c r="K69">
        <v>1.3</v>
      </c>
      <c r="M69" t="s">
        <v>205</v>
      </c>
    </row>
    <row r="70" spans="1:13" hidden="1">
      <c r="A70" t="s">
        <v>45</v>
      </c>
      <c r="B70" t="s">
        <v>8</v>
      </c>
      <c r="C70" t="s">
        <v>44</v>
      </c>
      <c r="D70" t="str">
        <f>LEFT(M70,10)</f>
        <v>12/15/2024</v>
      </c>
      <c r="E70" t="s">
        <v>202</v>
      </c>
      <c r="F70" t="s">
        <v>218</v>
      </c>
      <c r="G70" t="s">
        <v>222</v>
      </c>
      <c r="I70">
        <v>486</v>
      </c>
      <c r="J70">
        <v>680.4</v>
      </c>
      <c r="K70">
        <v>1.4</v>
      </c>
      <c r="M70" t="s">
        <v>205</v>
      </c>
    </row>
    <row r="71" spans="1:13" hidden="1">
      <c r="A71" t="s">
        <v>45</v>
      </c>
      <c r="B71" t="s">
        <v>8</v>
      </c>
      <c r="C71" t="s">
        <v>44</v>
      </c>
      <c r="D71" t="str">
        <f>LEFT(M71,10)</f>
        <v>12/15/2024</v>
      </c>
      <c r="E71" t="s">
        <v>202</v>
      </c>
      <c r="F71" t="s">
        <v>218</v>
      </c>
      <c r="G71" t="s">
        <v>224</v>
      </c>
      <c r="I71">
        <v>268</v>
      </c>
      <c r="J71">
        <v>134</v>
      </c>
      <c r="K71">
        <v>0.5</v>
      </c>
      <c r="M71" t="s">
        <v>205</v>
      </c>
    </row>
    <row r="72" spans="1:13" hidden="1">
      <c r="A72" t="s">
        <v>45</v>
      </c>
      <c r="B72" t="s">
        <v>8</v>
      </c>
      <c r="C72" t="s">
        <v>44</v>
      </c>
      <c r="D72" t="str">
        <f>LEFT(M72,10)</f>
        <v>12/15/2024</v>
      </c>
      <c r="E72" t="s">
        <v>202</v>
      </c>
      <c r="F72" t="s">
        <v>218</v>
      </c>
      <c r="G72" t="s">
        <v>242</v>
      </c>
      <c r="I72">
        <v>78</v>
      </c>
      <c r="J72">
        <v>70.2</v>
      </c>
      <c r="K72">
        <v>0.9</v>
      </c>
      <c r="M72" t="s">
        <v>205</v>
      </c>
    </row>
    <row r="73" spans="1:13" hidden="1">
      <c r="A73" t="s">
        <v>45</v>
      </c>
      <c r="B73" t="s">
        <v>8</v>
      </c>
      <c r="C73" t="s">
        <v>44</v>
      </c>
      <c r="D73" t="str">
        <f>LEFT(M73,10)</f>
        <v>12/15/2024</v>
      </c>
      <c r="E73" t="s">
        <v>202</v>
      </c>
      <c r="F73" t="s">
        <v>218</v>
      </c>
      <c r="G73" t="s">
        <v>223</v>
      </c>
      <c r="I73">
        <v>1466</v>
      </c>
      <c r="J73">
        <v>1026.2</v>
      </c>
      <c r="K73">
        <v>0.7</v>
      </c>
      <c r="M73" t="s">
        <v>205</v>
      </c>
    </row>
    <row r="74" spans="1:13" hidden="1">
      <c r="A74" t="s">
        <v>45</v>
      </c>
      <c r="B74" t="s">
        <v>8</v>
      </c>
      <c r="C74" t="s">
        <v>44</v>
      </c>
      <c r="D74" t="str">
        <f>LEFT(M74,10)</f>
        <v>12/15/2024</v>
      </c>
      <c r="E74" t="s">
        <v>202</v>
      </c>
      <c r="F74" t="s">
        <v>218</v>
      </c>
      <c r="G74" t="s">
        <v>223</v>
      </c>
      <c r="I74">
        <v>543</v>
      </c>
      <c r="J74">
        <v>271.5</v>
      </c>
      <c r="K74">
        <v>0.5</v>
      </c>
      <c r="M74" t="s">
        <v>205</v>
      </c>
    </row>
    <row r="75" spans="1:13" hidden="1">
      <c r="A75" t="s">
        <v>45</v>
      </c>
      <c r="B75" t="s">
        <v>8</v>
      </c>
      <c r="C75" t="s">
        <v>44</v>
      </c>
      <c r="D75" t="str">
        <f>LEFT(M75,10)</f>
        <v>12/15/2024</v>
      </c>
      <c r="E75" t="s">
        <v>202</v>
      </c>
      <c r="F75" t="s">
        <v>218</v>
      </c>
      <c r="G75" t="s">
        <v>222</v>
      </c>
      <c r="I75">
        <v>440</v>
      </c>
      <c r="J75">
        <v>220</v>
      </c>
      <c r="K75">
        <v>0.5</v>
      </c>
      <c r="M75" t="s">
        <v>205</v>
      </c>
    </row>
    <row r="76" spans="1:13" hidden="1">
      <c r="A76" t="s">
        <v>45</v>
      </c>
      <c r="B76" t="s">
        <v>8</v>
      </c>
      <c r="C76" t="s">
        <v>44</v>
      </c>
      <c r="D76" t="str">
        <f>LEFT(M76,10)</f>
        <v>12/15/2024</v>
      </c>
      <c r="E76" t="s">
        <v>202</v>
      </c>
      <c r="F76" t="s">
        <v>218</v>
      </c>
      <c r="G76" t="s">
        <v>225</v>
      </c>
      <c r="I76">
        <v>102</v>
      </c>
      <c r="J76">
        <v>81.599999999999994</v>
      </c>
      <c r="K76">
        <v>0.8</v>
      </c>
      <c r="M76" t="s">
        <v>205</v>
      </c>
    </row>
    <row r="77" spans="1:13" hidden="1">
      <c r="A77" t="s">
        <v>45</v>
      </c>
      <c r="B77" t="s">
        <v>8</v>
      </c>
      <c r="C77" t="s">
        <v>44</v>
      </c>
      <c r="D77" t="str">
        <f>LEFT(M77,10)</f>
        <v>12/15/2024</v>
      </c>
      <c r="E77" t="s">
        <v>230</v>
      </c>
      <c r="F77" t="s">
        <v>248</v>
      </c>
      <c r="G77" t="s">
        <v>249</v>
      </c>
      <c r="I77">
        <v>0</v>
      </c>
      <c r="J77">
        <v>14467.5</v>
      </c>
      <c r="M77" t="s">
        <v>205</v>
      </c>
    </row>
    <row r="78" spans="1:13" hidden="1">
      <c r="A78" t="s">
        <v>45</v>
      </c>
      <c r="B78" t="s">
        <v>8</v>
      </c>
      <c r="C78" t="s">
        <v>44</v>
      </c>
      <c r="D78" t="str">
        <f>LEFT(M78,10)</f>
        <v>12/15/2024</v>
      </c>
      <c r="E78" t="s">
        <v>232</v>
      </c>
      <c r="F78" t="s">
        <v>233</v>
      </c>
      <c r="G78" t="s">
        <v>249</v>
      </c>
      <c r="I78">
        <v>0</v>
      </c>
      <c r="J78">
        <v>2025.45</v>
      </c>
      <c r="M78" t="s">
        <v>205</v>
      </c>
    </row>
    <row r="79" spans="1:13" hidden="1">
      <c r="A79" t="s">
        <v>45</v>
      </c>
      <c r="B79" t="s">
        <v>8</v>
      </c>
      <c r="C79" t="s">
        <v>44</v>
      </c>
      <c r="D79" t="str">
        <f>LEFT(M79,10)</f>
        <v>12/15/2024</v>
      </c>
      <c r="E79" t="s">
        <v>232</v>
      </c>
      <c r="F79" t="s">
        <v>250</v>
      </c>
      <c r="G79" t="s">
        <v>249</v>
      </c>
      <c r="I79">
        <v>0</v>
      </c>
      <c r="J79">
        <v>180</v>
      </c>
      <c r="M79" t="s">
        <v>205</v>
      </c>
    </row>
    <row r="80" spans="1:13" hidden="1">
      <c r="A80" t="s">
        <v>45</v>
      </c>
      <c r="B80" t="s">
        <v>8</v>
      </c>
      <c r="C80" t="s">
        <v>44</v>
      </c>
      <c r="D80" t="str">
        <f>LEFT(M80,10)</f>
        <v>12/15/2024</v>
      </c>
      <c r="E80" t="s">
        <v>232</v>
      </c>
      <c r="F80" t="s">
        <v>251</v>
      </c>
      <c r="G80" t="s">
        <v>249</v>
      </c>
      <c r="I80">
        <v>0</v>
      </c>
      <c r="J80">
        <v>130</v>
      </c>
      <c r="M80" t="s">
        <v>205</v>
      </c>
    </row>
    <row r="81" spans="1:13" hidden="1">
      <c r="A81" t="s">
        <v>45</v>
      </c>
      <c r="B81" t="s">
        <v>8</v>
      </c>
      <c r="C81" t="s">
        <v>44</v>
      </c>
      <c r="D81" t="str">
        <f>LEFT(M81,10)</f>
        <v>12/15/2024</v>
      </c>
      <c r="E81" t="s">
        <v>234</v>
      </c>
      <c r="F81" t="s">
        <v>234</v>
      </c>
      <c r="G81" t="s">
        <v>249</v>
      </c>
      <c r="I81">
        <v>20910</v>
      </c>
      <c r="M81" t="s">
        <v>205</v>
      </c>
    </row>
    <row r="82" spans="1:13" hidden="1">
      <c r="A82" t="s">
        <v>140</v>
      </c>
      <c r="B82" t="s">
        <v>8</v>
      </c>
      <c r="C82" t="s">
        <v>139</v>
      </c>
      <c r="D82" t="str">
        <f>LEFT(M82,10)</f>
        <v>12/15/2024</v>
      </c>
      <c r="E82" t="s">
        <v>202</v>
      </c>
      <c r="F82" t="s">
        <v>227</v>
      </c>
      <c r="G82" t="s">
        <v>237</v>
      </c>
      <c r="I82">
        <v>246.6</v>
      </c>
      <c r="J82">
        <v>147.96</v>
      </c>
      <c r="K82">
        <v>0.6</v>
      </c>
      <c r="M82" t="s">
        <v>205</v>
      </c>
    </row>
    <row r="83" spans="1:13" hidden="1">
      <c r="A83" t="s">
        <v>140</v>
      </c>
      <c r="B83" t="s">
        <v>8</v>
      </c>
      <c r="C83" t="s">
        <v>139</v>
      </c>
      <c r="D83" t="str">
        <f>LEFT(M83,10)</f>
        <v>12/15/2024</v>
      </c>
      <c r="E83" t="s">
        <v>202</v>
      </c>
      <c r="F83" t="s">
        <v>227</v>
      </c>
      <c r="G83" t="s">
        <v>228</v>
      </c>
      <c r="I83">
        <v>2184</v>
      </c>
      <c r="J83">
        <v>262.08</v>
      </c>
      <c r="K83">
        <v>0.12</v>
      </c>
      <c r="M83" t="s">
        <v>205</v>
      </c>
    </row>
    <row r="84" spans="1:13" hidden="1">
      <c r="A84" t="s">
        <v>140</v>
      </c>
      <c r="B84" t="s">
        <v>8</v>
      </c>
      <c r="C84" t="s">
        <v>139</v>
      </c>
      <c r="D84" t="str">
        <f>LEFT(M84,10)</f>
        <v>12/15/2024</v>
      </c>
      <c r="E84" t="s">
        <v>202</v>
      </c>
      <c r="F84" t="s">
        <v>227</v>
      </c>
      <c r="G84" t="s">
        <v>229</v>
      </c>
      <c r="I84">
        <v>3052.6</v>
      </c>
      <c r="J84">
        <v>1312.61</v>
      </c>
      <c r="K84">
        <v>0.43</v>
      </c>
      <c r="M84" t="s">
        <v>205</v>
      </c>
    </row>
    <row r="85" spans="1:13" hidden="1">
      <c r="A85" t="s">
        <v>140</v>
      </c>
      <c r="B85" t="s">
        <v>8</v>
      </c>
      <c r="C85" t="s">
        <v>139</v>
      </c>
      <c r="D85" t="str">
        <f>LEFT(M85,10)</f>
        <v>12/15/2024</v>
      </c>
      <c r="E85" t="s">
        <v>202</v>
      </c>
      <c r="F85" t="s">
        <v>227</v>
      </c>
      <c r="G85" t="s">
        <v>252</v>
      </c>
      <c r="I85">
        <v>264.8</v>
      </c>
      <c r="J85">
        <v>34.42</v>
      </c>
      <c r="K85">
        <v>0.13</v>
      </c>
      <c r="M85" t="s">
        <v>205</v>
      </c>
    </row>
    <row r="86" spans="1:13" hidden="1">
      <c r="A86" t="s">
        <v>140</v>
      </c>
      <c r="B86" t="s">
        <v>8</v>
      </c>
      <c r="C86" t="s">
        <v>139</v>
      </c>
      <c r="D86" t="str">
        <f>LEFT(M86,10)</f>
        <v>12/15/2024</v>
      </c>
      <c r="E86" t="s">
        <v>202</v>
      </c>
      <c r="F86" t="s">
        <v>218</v>
      </c>
      <c r="G86" t="s">
        <v>224</v>
      </c>
      <c r="I86">
        <v>55.2</v>
      </c>
      <c r="J86">
        <v>33.119999999999997</v>
      </c>
      <c r="K86">
        <v>0.6</v>
      </c>
      <c r="M86" t="s">
        <v>205</v>
      </c>
    </row>
    <row r="87" spans="1:13" hidden="1">
      <c r="A87" t="s">
        <v>140</v>
      </c>
      <c r="B87" t="s">
        <v>8</v>
      </c>
      <c r="C87" t="s">
        <v>139</v>
      </c>
      <c r="D87" t="str">
        <f>LEFT(M87,10)</f>
        <v>12/15/2024</v>
      </c>
      <c r="E87" t="s">
        <v>202</v>
      </c>
      <c r="F87" t="s">
        <v>218</v>
      </c>
      <c r="G87" t="s">
        <v>221</v>
      </c>
      <c r="I87">
        <v>80.8</v>
      </c>
      <c r="J87">
        <v>177.76</v>
      </c>
      <c r="K87">
        <v>2.2000000000000002</v>
      </c>
      <c r="M87" t="s">
        <v>205</v>
      </c>
    </row>
    <row r="88" spans="1:13" hidden="1">
      <c r="A88" t="s">
        <v>140</v>
      </c>
      <c r="B88" t="s">
        <v>8</v>
      </c>
      <c r="C88" t="s">
        <v>139</v>
      </c>
      <c r="D88" t="str">
        <f>LEFT(M88,10)</f>
        <v>12/15/2024</v>
      </c>
      <c r="E88" t="s">
        <v>202</v>
      </c>
      <c r="F88" t="s">
        <v>218</v>
      </c>
      <c r="G88" t="s">
        <v>221</v>
      </c>
      <c r="I88">
        <v>184</v>
      </c>
      <c r="J88">
        <v>441.6</v>
      </c>
      <c r="K88">
        <v>2.4</v>
      </c>
      <c r="M88" t="s">
        <v>205</v>
      </c>
    </row>
    <row r="89" spans="1:13" hidden="1">
      <c r="A89" t="s">
        <v>140</v>
      </c>
      <c r="B89" t="s">
        <v>8</v>
      </c>
      <c r="C89" t="s">
        <v>139</v>
      </c>
      <c r="D89" t="str">
        <f>LEFT(M89,10)</f>
        <v>12/15/2024</v>
      </c>
      <c r="E89" t="s">
        <v>202</v>
      </c>
      <c r="F89" t="s">
        <v>218</v>
      </c>
      <c r="G89" t="s">
        <v>223</v>
      </c>
      <c r="I89">
        <v>591.20000000000005</v>
      </c>
      <c r="J89">
        <v>354.72</v>
      </c>
      <c r="K89">
        <v>0.6</v>
      </c>
      <c r="M89" t="s">
        <v>205</v>
      </c>
    </row>
    <row r="90" spans="1:13" hidden="1">
      <c r="A90" t="s">
        <v>140</v>
      </c>
      <c r="B90" t="s">
        <v>8</v>
      </c>
      <c r="C90" t="s">
        <v>139</v>
      </c>
      <c r="D90" t="str">
        <f>LEFT(M90,10)</f>
        <v>12/15/2024</v>
      </c>
      <c r="E90" t="s">
        <v>202</v>
      </c>
      <c r="F90" t="s">
        <v>218</v>
      </c>
      <c r="G90" t="s">
        <v>223</v>
      </c>
      <c r="I90">
        <v>161</v>
      </c>
      <c r="J90">
        <v>96.6</v>
      </c>
      <c r="K90">
        <v>0.6</v>
      </c>
      <c r="M90" t="s">
        <v>205</v>
      </c>
    </row>
    <row r="91" spans="1:13" hidden="1">
      <c r="A91" t="s">
        <v>140</v>
      </c>
      <c r="B91" t="s">
        <v>8</v>
      </c>
      <c r="C91" t="s">
        <v>139</v>
      </c>
      <c r="D91" t="str">
        <f>LEFT(M91,10)</f>
        <v>12/15/2024</v>
      </c>
      <c r="E91" t="s">
        <v>202</v>
      </c>
      <c r="F91" t="s">
        <v>218</v>
      </c>
      <c r="G91" t="s">
        <v>220</v>
      </c>
      <c r="I91">
        <v>579.79999999999995</v>
      </c>
      <c r="J91">
        <v>869.7</v>
      </c>
      <c r="K91">
        <v>1.5</v>
      </c>
      <c r="M91" t="s">
        <v>205</v>
      </c>
    </row>
    <row r="92" spans="1:13" hidden="1">
      <c r="A92" t="s">
        <v>140</v>
      </c>
      <c r="B92" t="s">
        <v>8</v>
      </c>
      <c r="C92" t="s">
        <v>139</v>
      </c>
      <c r="D92" t="str">
        <f>LEFT(M92,10)</f>
        <v>12/15/2024</v>
      </c>
      <c r="E92" t="s">
        <v>202</v>
      </c>
      <c r="F92" t="s">
        <v>218</v>
      </c>
      <c r="G92" t="s">
        <v>240</v>
      </c>
      <c r="I92">
        <v>358</v>
      </c>
      <c r="J92">
        <v>787.6</v>
      </c>
      <c r="K92">
        <v>2.2000000000000002</v>
      </c>
      <c r="M92" t="s">
        <v>205</v>
      </c>
    </row>
    <row r="93" spans="1:13" hidden="1">
      <c r="A93" t="s">
        <v>140</v>
      </c>
      <c r="B93" t="s">
        <v>8</v>
      </c>
      <c r="C93" t="s">
        <v>139</v>
      </c>
      <c r="D93" t="str">
        <f>LEFT(M93,10)</f>
        <v>12/15/2024</v>
      </c>
      <c r="E93" t="s">
        <v>202</v>
      </c>
      <c r="F93" t="s">
        <v>218</v>
      </c>
      <c r="G93" t="s">
        <v>242</v>
      </c>
      <c r="I93">
        <v>56.6</v>
      </c>
      <c r="J93">
        <v>39.619999999999997</v>
      </c>
      <c r="K93">
        <v>0.7</v>
      </c>
      <c r="M93" t="s">
        <v>205</v>
      </c>
    </row>
    <row r="94" spans="1:13" hidden="1">
      <c r="A94" t="s">
        <v>140</v>
      </c>
      <c r="B94" t="s">
        <v>8</v>
      </c>
      <c r="C94" t="s">
        <v>139</v>
      </c>
      <c r="D94" t="str">
        <f>LEFT(M94,10)</f>
        <v>12/15/2024</v>
      </c>
      <c r="E94" t="s">
        <v>202</v>
      </c>
      <c r="F94" t="s">
        <v>218</v>
      </c>
      <c r="G94" t="s">
        <v>222</v>
      </c>
      <c r="I94">
        <v>352.8</v>
      </c>
      <c r="J94">
        <v>582.12</v>
      </c>
      <c r="K94">
        <v>1.65</v>
      </c>
      <c r="M94" t="s">
        <v>205</v>
      </c>
    </row>
    <row r="95" spans="1:13" hidden="1">
      <c r="A95" t="s">
        <v>140</v>
      </c>
      <c r="B95" t="s">
        <v>8</v>
      </c>
      <c r="C95" t="s">
        <v>139</v>
      </c>
      <c r="D95" t="str">
        <f>LEFT(M95,10)</f>
        <v>12/15/2024</v>
      </c>
      <c r="E95" t="s">
        <v>202</v>
      </c>
      <c r="F95" t="s">
        <v>218</v>
      </c>
      <c r="G95" t="s">
        <v>222</v>
      </c>
      <c r="I95">
        <v>911.8</v>
      </c>
      <c r="J95">
        <v>1002.98</v>
      </c>
      <c r="K95">
        <v>1.1000000000000001</v>
      </c>
      <c r="M95" t="s">
        <v>205</v>
      </c>
    </row>
    <row r="96" spans="1:13" hidden="1">
      <c r="A96" t="s">
        <v>140</v>
      </c>
      <c r="B96" t="s">
        <v>8</v>
      </c>
      <c r="C96" t="s">
        <v>139</v>
      </c>
      <c r="D96" t="str">
        <f>LEFT(M96,10)</f>
        <v>12/15/2024</v>
      </c>
      <c r="E96" t="s">
        <v>202</v>
      </c>
      <c r="F96" t="s">
        <v>218</v>
      </c>
      <c r="G96" t="s">
        <v>226</v>
      </c>
      <c r="I96">
        <v>304.60000000000002</v>
      </c>
      <c r="J96">
        <v>91.38</v>
      </c>
      <c r="K96">
        <v>0.3</v>
      </c>
      <c r="M96" t="s">
        <v>205</v>
      </c>
    </row>
    <row r="97" spans="1:13" hidden="1">
      <c r="A97" t="s">
        <v>140</v>
      </c>
      <c r="B97" t="s">
        <v>8</v>
      </c>
      <c r="C97" t="s">
        <v>139</v>
      </c>
      <c r="D97" t="str">
        <f>LEFT(M97,10)</f>
        <v>12/15/2024</v>
      </c>
      <c r="E97" t="s">
        <v>202</v>
      </c>
      <c r="F97" t="s">
        <v>218</v>
      </c>
      <c r="G97" t="s">
        <v>247</v>
      </c>
      <c r="I97">
        <v>39.799999999999997</v>
      </c>
      <c r="J97">
        <v>151.24</v>
      </c>
      <c r="K97">
        <v>3.8</v>
      </c>
      <c r="M97" t="s">
        <v>205</v>
      </c>
    </row>
    <row r="98" spans="1:13" hidden="1">
      <c r="A98" t="s">
        <v>140</v>
      </c>
      <c r="B98" t="s">
        <v>8</v>
      </c>
      <c r="C98" t="s">
        <v>139</v>
      </c>
      <c r="D98" t="str">
        <f>LEFT(M98,10)</f>
        <v>12/15/2024</v>
      </c>
      <c r="E98" t="s">
        <v>202</v>
      </c>
      <c r="F98" t="s">
        <v>218</v>
      </c>
      <c r="G98" t="s">
        <v>225</v>
      </c>
      <c r="I98">
        <v>79.400000000000006</v>
      </c>
      <c r="J98">
        <v>47.64</v>
      </c>
      <c r="K98">
        <v>0.6</v>
      </c>
      <c r="M98" t="s">
        <v>205</v>
      </c>
    </row>
    <row r="99" spans="1:13" hidden="1">
      <c r="A99" t="s">
        <v>140</v>
      </c>
      <c r="B99" t="s">
        <v>8</v>
      </c>
      <c r="C99" t="s">
        <v>139</v>
      </c>
      <c r="D99" t="str">
        <f>LEFT(M99,10)</f>
        <v>12/15/2024</v>
      </c>
      <c r="E99" t="s">
        <v>202</v>
      </c>
      <c r="F99" t="s">
        <v>203</v>
      </c>
      <c r="G99" t="s">
        <v>236</v>
      </c>
      <c r="I99">
        <v>3710</v>
      </c>
      <c r="J99">
        <v>371</v>
      </c>
      <c r="K99">
        <v>0.1</v>
      </c>
      <c r="M99" t="s">
        <v>205</v>
      </c>
    </row>
    <row r="100" spans="1:13" hidden="1">
      <c r="A100" t="s">
        <v>140</v>
      </c>
      <c r="B100" t="s">
        <v>8</v>
      </c>
      <c r="C100" t="s">
        <v>139</v>
      </c>
      <c r="D100" t="str">
        <f>LEFT(M100,10)</f>
        <v>12/15/2024</v>
      </c>
      <c r="E100" t="s">
        <v>202</v>
      </c>
      <c r="F100" t="s">
        <v>216</v>
      </c>
      <c r="G100" t="s">
        <v>253</v>
      </c>
      <c r="I100">
        <v>2724</v>
      </c>
      <c r="J100">
        <v>408.6</v>
      </c>
      <c r="K100">
        <v>0.15</v>
      </c>
      <c r="M100" t="s">
        <v>205</v>
      </c>
    </row>
    <row r="101" spans="1:13" hidden="1">
      <c r="A101" t="s">
        <v>140</v>
      </c>
      <c r="B101" t="s">
        <v>8</v>
      </c>
      <c r="C101" t="s">
        <v>139</v>
      </c>
      <c r="D101" t="str">
        <f>LEFT(M101,10)</f>
        <v>12/15/2024</v>
      </c>
      <c r="E101" t="s">
        <v>230</v>
      </c>
      <c r="F101" t="s">
        <v>248</v>
      </c>
      <c r="I101">
        <v>0</v>
      </c>
      <c r="J101">
        <v>9237.49</v>
      </c>
      <c r="M101" t="s">
        <v>205</v>
      </c>
    </row>
    <row r="102" spans="1:13" hidden="1">
      <c r="A102" t="s">
        <v>140</v>
      </c>
      <c r="B102" t="s">
        <v>8</v>
      </c>
      <c r="C102" t="s">
        <v>139</v>
      </c>
      <c r="D102" t="str">
        <f>LEFT(M102,10)</f>
        <v>12/15/2024</v>
      </c>
      <c r="E102" t="s">
        <v>232</v>
      </c>
      <c r="F102" t="s">
        <v>254</v>
      </c>
      <c r="I102">
        <v>0</v>
      </c>
      <c r="J102">
        <v>955.31</v>
      </c>
      <c r="M102" t="s">
        <v>205</v>
      </c>
    </row>
    <row r="103" spans="1:13" hidden="1">
      <c r="A103" t="s">
        <v>140</v>
      </c>
      <c r="B103" t="s">
        <v>8</v>
      </c>
      <c r="C103" t="s">
        <v>139</v>
      </c>
      <c r="D103" t="str">
        <f>LEFT(M103,10)</f>
        <v>12/15/2024</v>
      </c>
      <c r="E103" t="s">
        <v>232</v>
      </c>
      <c r="F103" t="s">
        <v>233</v>
      </c>
      <c r="I103">
        <v>0</v>
      </c>
      <c r="J103">
        <v>1306.8</v>
      </c>
      <c r="M103" t="s">
        <v>205</v>
      </c>
    </row>
    <row r="104" spans="1:13" hidden="1">
      <c r="A104" t="s">
        <v>140</v>
      </c>
      <c r="B104" t="s">
        <v>8</v>
      </c>
      <c r="C104" t="s">
        <v>139</v>
      </c>
      <c r="D104" t="str">
        <f>LEFT(M104,10)</f>
        <v>12/15/2024</v>
      </c>
      <c r="E104" t="s">
        <v>232</v>
      </c>
      <c r="F104" t="s">
        <v>255</v>
      </c>
      <c r="I104">
        <v>0</v>
      </c>
      <c r="J104">
        <v>89.9</v>
      </c>
      <c r="L104" t="s">
        <v>256</v>
      </c>
      <c r="M104" t="s">
        <v>205</v>
      </c>
    </row>
    <row r="105" spans="1:13" hidden="1">
      <c r="A105" t="s">
        <v>140</v>
      </c>
      <c r="B105" t="s">
        <v>8</v>
      </c>
      <c r="C105" t="s">
        <v>139</v>
      </c>
      <c r="D105" t="str">
        <f>LEFT(M105,10)</f>
        <v>12/15/2024</v>
      </c>
      <c r="E105" t="s">
        <v>232</v>
      </c>
      <c r="F105" t="s">
        <v>255</v>
      </c>
      <c r="I105">
        <v>0</v>
      </c>
      <c r="J105">
        <v>71</v>
      </c>
      <c r="L105" t="s">
        <v>257</v>
      </c>
      <c r="M105" t="s">
        <v>205</v>
      </c>
    </row>
    <row r="106" spans="1:13" hidden="1">
      <c r="A106" t="s">
        <v>140</v>
      </c>
      <c r="B106" t="s">
        <v>8</v>
      </c>
      <c r="C106" t="s">
        <v>139</v>
      </c>
      <c r="D106" t="str">
        <f>LEFT(M106,10)</f>
        <v>12/15/2024</v>
      </c>
      <c r="E106" t="s">
        <v>232</v>
      </c>
      <c r="F106" t="s">
        <v>233</v>
      </c>
      <c r="I106">
        <v>0</v>
      </c>
      <c r="J106">
        <v>532.14</v>
      </c>
      <c r="M106" t="s">
        <v>205</v>
      </c>
    </row>
    <row r="107" spans="1:13" hidden="1">
      <c r="A107" t="s">
        <v>140</v>
      </c>
      <c r="B107" t="s">
        <v>8</v>
      </c>
      <c r="C107" t="s">
        <v>139</v>
      </c>
      <c r="D107" t="str">
        <f>LEFT(M107,10)</f>
        <v>12/15/2024</v>
      </c>
      <c r="E107" t="s">
        <v>232</v>
      </c>
      <c r="F107" t="s">
        <v>255</v>
      </c>
      <c r="I107">
        <v>0</v>
      </c>
      <c r="J107">
        <v>650</v>
      </c>
      <c r="L107" t="s">
        <v>258</v>
      </c>
      <c r="M107" t="s">
        <v>205</v>
      </c>
    </row>
    <row r="108" spans="1:13" hidden="1">
      <c r="A108" t="s">
        <v>153</v>
      </c>
      <c r="B108" t="s">
        <v>8</v>
      </c>
      <c r="C108" t="s">
        <v>152</v>
      </c>
      <c r="D108" t="str">
        <f>LEFT(M108,10)</f>
        <v>12/15/2024</v>
      </c>
      <c r="E108" t="s">
        <v>234</v>
      </c>
      <c r="F108" t="s">
        <v>234</v>
      </c>
      <c r="G108" t="s">
        <v>249</v>
      </c>
      <c r="I108">
        <v>1300</v>
      </c>
      <c r="M108" t="s">
        <v>205</v>
      </c>
    </row>
    <row r="109" spans="1:13" hidden="1">
      <c r="A109" t="s">
        <v>153</v>
      </c>
      <c r="B109" t="s">
        <v>8</v>
      </c>
      <c r="C109" t="s">
        <v>152</v>
      </c>
      <c r="D109" t="str">
        <f>LEFT(M109,10)</f>
        <v>12/15/2024</v>
      </c>
      <c r="E109" t="s">
        <v>202</v>
      </c>
      <c r="F109" t="s">
        <v>227</v>
      </c>
      <c r="G109" t="s">
        <v>229</v>
      </c>
      <c r="I109">
        <v>3511</v>
      </c>
      <c r="J109">
        <v>1404.52</v>
      </c>
      <c r="K109">
        <v>0.4</v>
      </c>
      <c r="M109" t="s">
        <v>205</v>
      </c>
    </row>
    <row r="110" spans="1:13" hidden="1">
      <c r="A110" t="s">
        <v>153</v>
      </c>
      <c r="B110" t="s">
        <v>8</v>
      </c>
      <c r="C110" t="s">
        <v>152</v>
      </c>
      <c r="D110" t="str">
        <f>LEFT(M110,10)</f>
        <v>12/15/2024</v>
      </c>
      <c r="E110" t="s">
        <v>202</v>
      </c>
      <c r="F110" t="s">
        <v>227</v>
      </c>
      <c r="G110" t="s">
        <v>237</v>
      </c>
      <c r="I110">
        <v>295</v>
      </c>
      <c r="J110">
        <v>177</v>
      </c>
      <c r="K110">
        <v>0.6</v>
      </c>
      <c r="M110" t="s">
        <v>205</v>
      </c>
    </row>
    <row r="111" spans="1:13" hidden="1">
      <c r="A111" t="s">
        <v>153</v>
      </c>
      <c r="B111" t="s">
        <v>8</v>
      </c>
      <c r="C111" t="s">
        <v>152</v>
      </c>
      <c r="D111" t="str">
        <f>LEFT(M111,10)</f>
        <v>12/15/2024</v>
      </c>
      <c r="E111" t="s">
        <v>202</v>
      </c>
      <c r="F111" t="s">
        <v>227</v>
      </c>
      <c r="G111" t="s">
        <v>228</v>
      </c>
      <c r="I111">
        <v>622.5</v>
      </c>
      <c r="J111">
        <v>68.48</v>
      </c>
      <c r="K111">
        <v>0.11</v>
      </c>
      <c r="M111" t="s">
        <v>205</v>
      </c>
    </row>
    <row r="112" spans="1:13" hidden="1">
      <c r="A112" t="s">
        <v>153</v>
      </c>
      <c r="B112" t="s">
        <v>8</v>
      </c>
      <c r="C112" t="s">
        <v>152</v>
      </c>
      <c r="D112" t="str">
        <f>LEFT(M112,10)</f>
        <v>12/15/2024</v>
      </c>
      <c r="E112" t="s">
        <v>202</v>
      </c>
      <c r="F112" t="s">
        <v>227</v>
      </c>
      <c r="G112" t="s">
        <v>252</v>
      </c>
      <c r="I112">
        <v>118</v>
      </c>
      <c r="J112">
        <v>12.98</v>
      </c>
      <c r="K112">
        <v>0.11</v>
      </c>
      <c r="M112" t="s">
        <v>205</v>
      </c>
    </row>
    <row r="113" spans="1:13" hidden="1">
      <c r="A113" t="s">
        <v>153</v>
      </c>
      <c r="B113" t="s">
        <v>8</v>
      </c>
      <c r="C113" t="s">
        <v>152</v>
      </c>
      <c r="D113" t="str">
        <f>LEFT(M113,10)</f>
        <v>12/15/2024</v>
      </c>
      <c r="E113" t="s">
        <v>202</v>
      </c>
      <c r="F113" t="s">
        <v>218</v>
      </c>
      <c r="G113" t="s">
        <v>220</v>
      </c>
      <c r="I113">
        <v>172</v>
      </c>
      <c r="J113">
        <v>249.4</v>
      </c>
      <c r="K113">
        <v>1.45</v>
      </c>
      <c r="M113" t="s">
        <v>205</v>
      </c>
    </row>
    <row r="114" spans="1:13" hidden="1">
      <c r="A114" t="s">
        <v>153</v>
      </c>
      <c r="B114" t="s">
        <v>8</v>
      </c>
      <c r="C114" t="s">
        <v>152</v>
      </c>
      <c r="D114" t="str">
        <f>LEFT(M114,10)</f>
        <v>12/15/2024</v>
      </c>
      <c r="E114" t="s">
        <v>202</v>
      </c>
      <c r="F114" t="s">
        <v>218</v>
      </c>
      <c r="G114" t="s">
        <v>240</v>
      </c>
      <c r="I114">
        <v>218.5</v>
      </c>
      <c r="J114">
        <v>393.3</v>
      </c>
      <c r="K114">
        <v>1.8</v>
      </c>
      <c r="M114" t="s">
        <v>205</v>
      </c>
    </row>
    <row r="115" spans="1:13" hidden="1">
      <c r="A115" t="s">
        <v>153</v>
      </c>
      <c r="B115" t="s">
        <v>8</v>
      </c>
      <c r="C115" t="s">
        <v>152</v>
      </c>
      <c r="D115" t="str">
        <f>LEFT(M115,10)</f>
        <v>12/15/2024</v>
      </c>
      <c r="E115" t="s">
        <v>202</v>
      </c>
      <c r="F115" t="s">
        <v>218</v>
      </c>
      <c r="G115" t="s">
        <v>241</v>
      </c>
      <c r="I115">
        <v>49.5</v>
      </c>
      <c r="J115">
        <v>89.1</v>
      </c>
      <c r="K115">
        <v>1.8</v>
      </c>
      <c r="M115" t="s">
        <v>205</v>
      </c>
    </row>
    <row r="116" spans="1:13" hidden="1">
      <c r="A116" t="s">
        <v>153</v>
      </c>
      <c r="B116" t="s">
        <v>8</v>
      </c>
      <c r="C116" t="s">
        <v>152</v>
      </c>
      <c r="D116" t="str">
        <f>LEFT(M116,10)</f>
        <v>12/15/2024</v>
      </c>
      <c r="E116" t="s">
        <v>202</v>
      </c>
      <c r="F116" t="s">
        <v>218</v>
      </c>
      <c r="G116" t="s">
        <v>219</v>
      </c>
      <c r="I116">
        <v>79</v>
      </c>
      <c r="J116">
        <v>3.95</v>
      </c>
      <c r="K116">
        <v>0.05</v>
      </c>
      <c r="M116" t="s">
        <v>205</v>
      </c>
    </row>
    <row r="117" spans="1:13" hidden="1">
      <c r="A117" t="s">
        <v>153</v>
      </c>
      <c r="B117" t="s">
        <v>8</v>
      </c>
      <c r="C117" t="s">
        <v>152</v>
      </c>
      <c r="D117" t="str">
        <f>LEFT(M117,10)</f>
        <v>12/15/2024</v>
      </c>
      <c r="E117" t="s">
        <v>202</v>
      </c>
      <c r="F117" t="s">
        <v>218</v>
      </c>
      <c r="G117" t="s">
        <v>242</v>
      </c>
      <c r="I117">
        <v>59.5</v>
      </c>
      <c r="J117">
        <v>35.700000000000003</v>
      </c>
      <c r="K117">
        <v>0.6</v>
      </c>
      <c r="M117" t="s">
        <v>205</v>
      </c>
    </row>
    <row r="118" spans="1:13" hidden="1">
      <c r="A118" t="s">
        <v>153</v>
      </c>
      <c r="B118" t="s">
        <v>8</v>
      </c>
      <c r="C118" t="s">
        <v>152</v>
      </c>
      <c r="D118" t="str">
        <f>LEFT(M118,10)</f>
        <v>12/15/2024</v>
      </c>
      <c r="E118" t="s">
        <v>202</v>
      </c>
      <c r="F118" t="s">
        <v>218</v>
      </c>
      <c r="G118" t="s">
        <v>221</v>
      </c>
      <c r="I118">
        <v>70.5</v>
      </c>
      <c r="J118">
        <v>165.68</v>
      </c>
      <c r="K118">
        <v>2.35</v>
      </c>
      <c r="M118" t="s">
        <v>205</v>
      </c>
    </row>
    <row r="119" spans="1:13" hidden="1">
      <c r="A119" t="s">
        <v>153</v>
      </c>
      <c r="B119" t="s">
        <v>8</v>
      </c>
      <c r="C119" t="s">
        <v>152</v>
      </c>
      <c r="D119" t="str">
        <f>LEFT(M119,10)</f>
        <v>12/15/2024</v>
      </c>
      <c r="E119" t="s">
        <v>202</v>
      </c>
      <c r="F119" t="s">
        <v>218</v>
      </c>
      <c r="G119" t="s">
        <v>219</v>
      </c>
      <c r="I119">
        <v>81.5</v>
      </c>
      <c r="J119">
        <v>69.28</v>
      </c>
      <c r="K119">
        <v>0.85</v>
      </c>
      <c r="M119" t="s">
        <v>205</v>
      </c>
    </row>
    <row r="120" spans="1:13" hidden="1">
      <c r="A120" t="s">
        <v>153</v>
      </c>
      <c r="B120" t="s">
        <v>8</v>
      </c>
      <c r="C120" t="s">
        <v>152</v>
      </c>
      <c r="D120" t="str">
        <f>LEFT(M120,10)</f>
        <v>12/15/2024</v>
      </c>
      <c r="E120" t="s">
        <v>202</v>
      </c>
      <c r="F120" t="s">
        <v>218</v>
      </c>
      <c r="G120" t="s">
        <v>222</v>
      </c>
      <c r="I120">
        <v>90.5</v>
      </c>
      <c r="J120">
        <v>135.75</v>
      </c>
      <c r="K120">
        <v>1.05</v>
      </c>
      <c r="M120" t="s">
        <v>205</v>
      </c>
    </row>
    <row r="121" spans="1:13" hidden="1">
      <c r="A121" t="s">
        <v>153</v>
      </c>
      <c r="B121" t="s">
        <v>8</v>
      </c>
      <c r="C121" t="s">
        <v>152</v>
      </c>
      <c r="D121" t="str">
        <f>LEFT(M121,10)</f>
        <v>12/15/2024</v>
      </c>
      <c r="E121" t="s">
        <v>202</v>
      </c>
      <c r="F121" t="s">
        <v>218</v>
      </c>
      <c r="G121" t="s">
        <v>223</v>
      </c>
      <c r="I121">
        <v>346</v>
      </c>
      <c r="J121">
        <v>207.6</v>
      </c>
      <c r="K121">
        <v>0.6</v>
      </c>
      <c r="M121" t="s">
        <v>205</v>
      </c>
    </row>
    <row r="122" spans="1:13" hidden="1">
      <c r="A122" t="s">
        <v>153</v>
      </c>
      <c r="B122" t="s">
        <v>8</v>
      </c>
      <c r="C122" t="s">
        <v>152</v>
      </c>
      <c r="D122" t="str">
        <f>LEFT(M122,10)</f>
        <v>12/15/2024</v>
      </c>
      <c r="E122" t="s">
        <v>202</v>
      </c>
      <c r="F122" t="s">
        <v>218</v>
      </c>
      <c r="G122" t="s">
        <v>223</v>
      </c>
      <c r="I122">
        <v>158.5</v>
      </c>
      <c r="J122">
        <v>95.1</v>
      </c>
      <c r="K122">
        <v>0.6</v>
      </c>
      <c r="M122" t="s">
        <v>205</v>
      </c>
    </row>
    <row r="123" spans="1:13" hidden="1">
      <c r="A123" t="s">
        <v>153</v>
      </c>
      <c r="B123" t="s">
        <v>8</v>
      </c>
      <c r="C123" t="s">
        <v>152</v>
      </c>
      <c r="D123" t="str">
        <f>LEFT(M123,10)</f>
        <v>12/15/2024</v>
      </c>
      <c r="E123" t="s">
        <v>202</v>
      </c>
      <c r="F123" t="s">
        <v>218</v>
      </c>
      <c r="G123" t="s">
        <v>247</v>
      </c>
      <c r="I123">
        <v>195.5</v>
      </c>
      <c r="J123">
        <v>879.75</v>
      </c>
      <c r="K123">
        <v>4.5</v>
      </c>
      <c r="M123" t="s">
        <v>205</v>
      </c>
    </row>
    <row r="124" spans="1:13" hidden="1">
      <c r="A124" t="s">
        <v>153</v>
      </c>
      <c r="B124" t="s">
        <v>8</v>
      </c>
      <c r="C124" t="s">
        <v>152</v>
      </c>
      <c r="D124" t="str">
        <f>LEFT(M124,10)</f>
        <v>12/15/2024</v>
      </c>
      <c r="E124" t="s">
        <v>202</v>
      </c>
      <c r="F124" t="s">
        <v>218</v>
      </c>
      <c r="G124" t="s">
        <v>224</v>
      </c>
      <c r="I124">
        <v>94.5</v>
      </c>
      <c r="J124">
        <v>47.25</v>
      </c>
      <c r="K124">
        <v>0.5</v>
      </c>
      <c r="M124" t="s">
        <v>205</v>
      </c>
    </row>
    <row r="125" spans="1:13" hidden="1">
      <c r="A125" t="s">
        <v>153</v>
      </c>
      <c r="B125" t="s">
        <v>8</v>
      </c>
      <c r="C125" t="s">
        <v>152</v>
      </c>
      <c r="D125" t="str">
        <f>LEFT(M125,10)</f>
        <v>12/15/2024</v>
      </c>
      <c r="E125" t="s">
        <v>202</v>
      </c>
      <c r="F125" t="s">
        <v>218</v>
      </c>
      <c r="G125" t="s">
        <v>239</v>
      </c>
      <c r="I125">
        <v>59</v>
      </c>
      <c r="J125">
        <v>17.7</v>
      </c>
      <c r="K125">
        <v>0.3</v>
      </c>
      <c r="M125" t="s">
        <v>205</v>
      </c>
    </row>
    <row r="126" spans="1:13" hidden="1">
      <c r="A126" t="s">
        <v>153</v>
      </c>
      <c r="B126" t="s">
        <v>8</v>
      </c>
      <c r="C126" t="s">
        <v>152</v>
      </c>
      <c r="D126" t="str">
        <f>LEFT(M126,10)</f>
        <v>12/15/2024</v>
      </c>
      <c r="E126" t="s">
        <v>202</v>
      </c>
      <c r="F126" t="s">
        <v>203</v>
      </c>
      <c r="G126" t="s">
        <v>204</v>
      </c>
      <c r="I126">
        <v>44.9</v>
      </c>
      <c r="J126">
        <v>233.48</v>
      </c>
      <c r="K126">
        <v>5.2</v>
      </c>
      <c r="M126" t="s">
        <v>205</v>
      </c>
    </row>
    <row r="127" spans="1:13" hidden="1">
      <c r="A127" t="s">
        <v>153</v>
      </c>
      <c r="B127" t="s">
        <v>8</v>
      </c>
      <c r="C127" t="s">
        <v>152</v>
      </c>
      <c r="D127" t="str">
        <f>LEFT(M127,10)</f>
        <v>12/15/2024</v>
      </c>
      <c r="E127" t="s">
        <v>202</v>
      </c>
      <c r="F127" t="s">
        <v>216</v>
      </c>
      <c r="G127" t="s">
        <v>253</v>
      </c>
      <c r="I127">
        <v>450</v>
      </c>
      <c r="J127">
        <v>238.9</v>
      </c>
      <c r="K127">
        <v>0.53</v>
      </c>
      <c r="M127" t="s">
        <v>205</v>
      </c>
    </row>
    <row r="128" spans="1:13" hidden="1">
      <c r="A128" t="s">
        <v>153</v>
      </c>
      <c r="B128" t="s">
        <v>8</v>
      </c>
      <c r="C128" t="s">
        <v>152</v>
      </c>
      <c r="D128" t="str">
        <f>LEFT(M128,10)</f>
        <v>12/15/2024</v>
      </c>
      <c r="E128" t="s">
        <v>202</v>
      </c>
      <c r="F128" t="s">
        <v>218</v>
      </c>
      <c r="G128" t="s">
        <v>222</v>
      </c>
      <c r="I128">
        <v>81.5</v>
      </c>
      <c r="J128">
        <v>69.28</v>
      </c>
      <c r="K128">
        <v>0.85</v>
      </c>
      <c r="M128" t="s">
        <v>205</v>
      </c>
    </row>
    <row r="129" spans="1:13" hidden="1">
      <c r="A129" t="s">
        <v>163</v>
      </c>
      <c r="B129" t="s">
        <v>164</v>
      </c>
      <c r="C129" t="s">
        <v>19</v>
      </c>
      <c r="D129" t="str">
        <f>LEFT(M129,10)</f>
        <v>12/15/2024</v>
      </c>
      <c r="E129" t="s">
        <v>202</v>
      </c>
      <c r="F129" t="s">
        <v>227</v>
      </c>
      <c r="G129" t="s">
        <v>237</v>
      </c>
      <c r="I129">
        <v>1750</v>
      </c>
      <c r="J129">
        <v>1487.5</v>
      </c>
      <c r="K129">
        <v>0.85</v>
      </c>
      <c r="M129" t="s">
        <v>205</v>
      </c>
    </row>
    <row r="130" spans="1:13" hidden="1">
      <c r="A130" t="s">
        <v>163</v>
      </c>
      <c r="B130" t="s">
        <v>164</v>
      </c>
      <c r="C130" t="s">
        <v>19</v>
      </c>
      <c r="D130" t="str">
        <f>LEFT(M130,10)</f>
        <v>12/15/2024</v>
      </c>
      <c r="E130" t="s">
        <v>202</v>
      </c>
      <c r="F130" t="s">
        <v>227</v>
      </c>
      <c r="G130" t="s">
        <v>228</v>
      </c>
      <c r="I130">
        <v>2430</v>
      </c>
      <c r="J130">
        <v>558.9</v>
      </c>
      <c r="K130">
        <v>0.23</v>
      </c>
      <c r="M130" t="s">
        <v>205</v>
      </c>
    </row>
    <row r="131" spans="1:13" hidden="1">
      <c r="A131" t="s">
        <v>163</v>
      </c>
      <c r="B131" t="s">
        <v>164</v>
      </c>
      <c r="C131" t="s">
        <v>19</v>
      </c>
      <c r="D131" t="str">
        <f>LEFT(M131,10)</f>
        <v>12/15/2024</v>
      </c>
      <c r="E131" t="s">
        <v>202</v>
      </c>
      <c r="F131" t="s">
        <v>227</v>
      </c>
      <c r="G131" t="s">
        <v>229</v>
      </c>
      <c r="I131">
        <v>10050</v>
      </c>
      <c r="J131">
        <v>3316.5</v>
      </c>
      <c r="K131">
        <v>0.33</v>
      </c>
      <c r="M131" t="s">
        <v>205</v>
      </c>
    </row>
    <row r="132" spans="1:13" hidden="1">
      <c r="A132" t="s">
        <v>163</v>
      </c>
      <c r="B132" t="s">
        <v>164</v>
      </c>
      <c r="C132" t="s">
        <v>19</v>
      </c>
      <c r="D132" t="str">
        <f>LEFT(M132,10)</f>
        <v>12/15/2024</v>
      </c>
      <c r="E132" t="s">
        <v>202</v>
      </c>
      <c r="F132" t="s">
        <v>227</v>
      </c>
      <c r="G132" t="s">
        <v>238</v>
      </c>
      <c r="I132">
        <v>70</v>
      </c>
      <c r="J132">
        <v>17.5</v>
      </c>
      <c r="K132">
        <v>0.25</v>
      </c>
      <c r="M132" t="s">
        <v>205</v>
      </c>
    </row>
    <row r="133" spans="1:13" hidden="1">
      <c r="A133" t="s">
        <v>163</v>
      </c>
      <c r="B133" t="s">
        <v>164</v>
      </c>
      <c r="C133" t="s">
        <v>19</v>
      </c>
      <c r="D133" t="str">
        <f>LEFT(M133,10)</f>
        <v>12/15/2024</v>
      </c>
      <c r="E133" t="s">
        <v>202</v>
      </c>
      <c r="F133" t="s">
        <v>227</v>
      </c>
      <c r="G133" t="s">
        <v>252</v>
      </c>
      <c r="I133">
        <v>750</v>
      </c>
      <c r="J133">
        <v>112.5</v>
      </c>
      <c r="K133">
        <v>0.15</v>
      </c>
      <c r="M133" t="s">
        <v>205</v>
      </c>
    </row>
    <row r="134" spans="1:13" hidden="1">
      <c r="A134" t="s">
        <v>163</v>
      </c>
      <c r="B134" t="s">
        <v>164</v>
      </c>
      <c r="C134" t="s">
        <v>19</v>
      </c>
      <c r="D134" t="str">
        <f>LEFT(M134,10)</f>
        <v>12/15/2024</v>
      </c>
      <c r="E134" t="s">
        <v>202</v>
      </c>
      <c r="F134" t="s">
        <v>218</v>
      </c>
      <c r="G134" t="s">
        <v>224</v>
      </c>
      <c r="I134">
        <v>110</v>
      </c>
      <c r="J134">
        <v>55</v>
      </c>
      <c r="K134">
        <v>0.5</v>
      </c>
      <c r="M134" t="s">
        <v>205</v>
      </c>
    </row>
    <row r="135" spans="1:13" hidden="1">
      <c r="A135" t="s">
        <v>163</v>
      </c>
      <c r="B135" t="s">
        <v>164</v>
      </c>
      <c r="C135" t="s">
        <v>19</v>
      </c>
      <c r="D135" t="str">
        <f>LEFT(M135,10)</f>
        <v>12/15/2024</v>
      </c>
      <c r="E135" t="s">
        <v>202</v>
      </c>
      <c r="F135" t="s">
        <v>218</v>
      </c>
      <c r="G135" t="s">
        <v>221</v>
      </c>
      <c r="I135">
        <v>1162</v>
      </c>
      <c r="J135">
        <v>2440.1999999999998</v>
      </c>
      <c r="K135">
        <v>2.1</v>
      </c>
      <c r="M135" t="s">
        <v>205</v>
      </c>
    </row>
    <row r="136" spans="1:13" hidden="1">
      <c r="A136" t="s">
        <v>163</v>
      </c>
      <c r="B136" t="s">
        <v>164</v>
      </c>
      <c r="C136" t="s">
        <v>19</v>
      </c>
      <c r="D136" t="str">
        <f>LEFT(M136,10)</f>
        <v>12/15/2024</v>
      </c>
      <c r="E136" t="s">
        <v>202</v>
      </c>
      <c r="F136" t="s">
        <v>218</v>
      </c>
      <c r="G136" t="s">
        <v>222</v>
      </c>
      <c r="I136">
        <v>198</v>
      </c>
      <c r="J136">
        <v>277.2</v>
      </c>
      <c r="K136">
        <v>1.4</v>
      </c>
      <c r="M136" t="s">
        <v>205</v>
      </c>
    </row>
    <row r="137" spans="1:13" hidden="1">
      <c r="A137" t="s">
        <v>163</v>
      </c>
      <c r="B137" t="s">
        <v>164</v>
      </c>
      <c r="C137" t="s">
        <v>19</v>
      </c>
      <c r="D137" t="str">
        <f>LEFT(M137,10)</f>
        <v>12/15/2024</v>
      </c>
      <c r="E137" t="s">
        <v>202</v>
      </c>
      <c r="F137" t="s">
        <v>218</v>
      </c>
      <c r="G137" t="s">
        <v>220</v>
      </c>
      <c r="I137">
        <v>830</v>
      </c>
      <c r="J137">
        <v>1079</v>
      </c>
      <c r="K137">
        <v>1.3</v>
      </c>
      <c r="M137" t="s">
        <v>205</v>
      </c>
    </row>
    <row r="138" spans="1:13" hidden="1">
      <c r="A138" t="s">
        <v>163</v>
      </c>
      <c r="B138" t="s">
        <v>164</v>
      </c>
      <c r="C138" t="s">
        <v>19</v>
      </c>
      <c r="D138" t="str">
        <f>LEFT(M138,10)</f>
        <v>12/15/2024</v>
      </c>
      <c r="E138" t="s">
        <v>202</v>
      </c>
      <c r="F138" t="s">
        <v>218</v>
      </c>
      <c r="G138" t="s">
        <v>223</v>
      </c>
      <c r="I138">
        <v>303</v>
      </c>
      <c r="J138">
        <v>151.5</v>
      </c>
      <c r="K138">
        <v>0.5</v>
      </c>
      <c r="M138" t="s">
        <v>205</v>
      </c>
    </row>
    <row r="139" spans="1:13" hidden="1">
      <c r="A139" t="s">
        <v>163</v>
      </c>
      <c r="B139" t="s">
        <v>164</v>
      </c>
      <c r="C139" t="s">
        <v>19</v>
      </c>
      <c r="D139" t="str">
        <f>LEFT(M139,10)</f>
        <v>12/15/2024</v>
      </c>
      <c r="E139" t="s">
        <v>202</v>
      </c>
      <c r="F139" t="s">
        <v>218</v>
      </c>
      <c r="G139" t="s">
        <v>241</v>
      </c>
      <c r="I139">
        <v>150</v>
      </c>
      <c r="J139">
        <v>285</v>
      </c>
      <c r="K139">
        <v>1.9</v>
      </c>
      <c r="M139" t="s">
        <v>205</v>
      </c>
    </row>
    <row r="140" spans="1:13" hidden="1">
      <c r="A140" t="s">
        <v>163</v>
      </c>
      <c r="B140" t="s">
        <v>164</v>
      </c>
      <c r="C140" t="s">
        <v>19</v>
      </c>
      <c r="D140" t="str">
        <f>LEFT(M140,10)</f>
        <v>12/15/2024</v>
      </c>
      <c r="E140" t="s">
        <v>202</v>
      </c>
      <c r="F140" t="s">
        <v>218</v>
      </c>
      <c r="G140" t="s">
        <v>219</v>
      </c>
      <c r="I140">
        <v>184</v>
      </c>
      <c r="J140">
        <v>36.799999999999997</v>
      </c>
      <c r="K140">
        <v>0.2</v>
      </c>
      <c r="M140" t="s">
        <v>205</v>
      </c>
    </row>
    <row r="141" spans="1:13" hidden="1">
      <c r="A141" t="s">
        <v>163</v>
      </c>
      <c r="B141" t="s">
        <v>164</v>
      </c>
      <c r="C141" t="s">
        <v>19</v>
      </c>
      <c r="D141" t="str">
        <f>LEFT(M141,10)</f>
        <v>12/15/2024</v>
      </c>
      <c r="E141" t="s">
        <v>202</v>
      </c>
      <c r="F141" t="s">
        <v>218</v>
      </c>
      <c r="G141" t="s">
        <v>240</v>
      </c>
      <c r="I141">
        <v>2200</v>
      </c>
      <c r="J141">
        <v>4620</v>
      </c>
      <c r="K141">
        <v>2.1</v>
      </c>
      <c r="M141" t="s">
        <v>205</v>
      </c>
    </row>
    <row r="142" spans="1:13" hidden="1">
      <c r="A142" t="s">
        <v>163</v>
      </c>
      <c r="B142" t="s">
        <v>164</v>
      </c>
      <c r="C142" t="s">
        <v>19</v>
      </c>
      <c r="D142" t="str">
        <f>LEFT(M142,10)</f>
        <v>12/15/2024</v>
      </c>
      <c r="E142" t="s">
        <v>202</v>
      </c>
      <c r="F142" t="s">
        <v>218</v>
      </c>
      <c r="G142" t="s">
        <v>242</v>
      </c>
      <c r="I142">
        <v>116</v>
      </c>
      <c r="J142">
        <v>104.4</v>
      </c>
      <c r="K142">
        <v>0.9</v>
      </c>
      <c r="M142" t="s">
        <v>205</v>
      </c>
    </row>
    <row r="143" spans="1:13" hidden="1">
      <c r="A143" t="s">
        <v>163</v>
      </c>
      <c r="B143" t="s">
        <v>164</v>
      </c>
      <c r="C143" t="s">
        <v>19</v>
      </c>
      <c r="D143" t="str">
        <f>LEFT(M143,10)</f>
        <v>12/15/2024</v>
      </c>
      <c r="E143" t="s">
        <v>202</v>
      </c>
      <c r="F143" t="s">
        <v>218</v>
      </c>
      <c r="G143" t="s">
        <v>222</v>
      </c>
      <c r="I143">
        <v>339</v>
      </c>
      <c r="J143">
        <v>271.2</v>
      </c>
      <c r="K143">
        <v>0.8</v>
      </c>
      <c r="M143" t="s">
        <v>205</v>
      </c>
    </row>
    <row r="144" spans="1:13" hidden="1">
      <c r="A144" t="s">
        <v>163</v>
      </c>
      <c r="B144" t="s">
        <v>164</v>
      </c>
      <c r="C144" t="s">
        <v>19</v>
      </c>
      <c r="D144" t="str">
        <f>LEFT(M144,10)</f>
        <v>12/15/2024</v>
      </c>
      <c r="E144" t="s">
        <v>202</v>
      </c>
      <c r="F144" t="s">
        <v>218</v>
      </c>
      <c r="G144" t="s">
        <v>222</v>
      </c>
      <c r="I144">
        <v>490</v>
      </c>
      <c r="J144">
        <v>686</v>
      </c>
      <c r="K144">
        <v>1.4</v>
      </c>
      <c r="M144" t="s">
        <v>205</v>
      </c>
    </row>
    <row r="145" spans="1:13" hidden="1">
      <c r="A145" t="s">
        <v>163</v>
      </c>
      <c r="B145" t="s">
        <v>164</v>
      </c>
      <c r="C145" t="s">
        <v>19</v>
      </c>
      <c r="D145" t="str">
        <f>LEFT(M145,10)</f>
        <v>12/15/2024</v>
      </c>
      <c r="E145" t="s">
        <v>202</v>
      </c>
      <c r="F145" t="s">
        <v>218</v>
      </c>
      <c r="G145" t="s">
        <v>222</v>
      </c>
      <c r="I145">
        <v>809</v>
      </c>
      <c r="J145">
        <v>889.9</v>
      </c>
      <c r="K145">
        <v>1.1000000000000001</v>
      </c>
      <c r="M145" t="s">
        <v>205</v>
      </c>
    </row>
    <row r="146" spans="1:13" hidden="1">
      <c r="A146" t="s">
        <v>163</v>
      </c>
      <c r="B146" t="s">
        <v>164</v>
      </c>
      <c r="C146" t="s">
        <v>19</v>
      </c>
      <c r="D146" t="str">
        <f>LEFT(M146,10)</f>
        <v>12/15/2024</v>
      </c>
      <c r="E146" t="s">
        <v>202</v>
      </c>
      <c r="F146" t="s">
        <v>218</v>
      </c>
      <c r="G146" t="s">
        <v>223</v>
      </c>
      <c r="I146">
        <v>1030</v>
      </c>
      <c r="J146">
        <v>618</v>
      </c>
      <c r="K146">
        <v>0.6</v>
      </c>
      <c r="M146" t="s">
        <v>205</v>
      </c>
    </row>
    <row r="147" spans="1:13" hidden="1">
      <c r="A147" t="s">
        <v>163</v>
      </c>
      <c r="B147" t="s">
        <v>164</v>
      </c>
      <c r="C147" t="s">
        <v>19</v>
      </c>
      <c r="D147" t="str">
        <f>LEFT(M147,10)</f>
        <v>12/15/2024</v>
      </c>
      <c r="E147" t="s">
        <v>202</v>
      </c>
      <c r="F147" t="s">
        <v>218</v>
      </c>
      <c r="G147" t="s">
        <v>225</v>
      </c>
      <c r="I147">
        <v>83</v>
      </c>
      <c r="J147">
        <v>66.400000000000006</v>
      </c>
      <c r="K147">
        <v>0.8</v>
      </c>
      <c r="M147" t="s">
        <v>205</v>
      </c>
    </row>
    <row r="148" spans="1:13" hidden="1">
      <c r="A148" t="s">
        <v>163</v>
      </c>
      <c r="B148" t="s">
        <v>164</v>
      </c>
      <c r="C148" t="s">
        <v>19</v>
      </c>
      <c r="D148" t="str">
        <f>LEFT(M148,10)</f>
        <v>12/15/2024</v>
      </c>
      <c r="E148" t="s">
        <v>202</v>
      </c>
      <c r="F148" t="s">
        <v>218</v>
      </c>
      <c r="G148" t="s">
        <v>245</v>
      </c>
      <c r="I148">
        <v>356</v>
      </c>
      <c r="J148">
        <v>53.4</v>
      </c>
      <c r="K148">
        <v>0.15</v>
      </c>
      <c r="M148" t="s">
        <v>205</v>
      </c>
    </row>
    <row r="149" spans="1:13" hidden="1">
      <c r="A149" t="s">
        <v>163</v>
      </c>
      <c r="B149" t="s">
        <v>164</v>
      </c>
      <c r="C149" t="s">
        <v>19</v>
      </c>
      <c r="D149" t="str">
        <f>LEFT(M149,10)</f>
        <v>12/15/2024</v>
      </c>
      <c r="E149" t="s">
        <v>202</v>
      </c>
      <c r="F149" t="s">
        <v>218</v>
      </c>
      <c r="G149" t="s">
        <v>226</v>
      </c>
      <c r="I149">
        <v>86</v>
      </c>
      <c r="J149">
        <v>43</v>
      </c>
      <c r="K149">
        <v>0.5</v>
      </c>
      <c r="M149" t="s">
        <v>205</v>
      </c>
    </row>
    <row r="150" spans="1:13" hidden="1">
      <c r="A150" t="s">
        <v>163</v>
      </c>
      <c r="B150" t="s">
        <v>164</v>
      </c>
      <c r="C150" t="s">
        <v>19</v>
      </c>
      <c r="D150" t="str">
        <f>LEFT(M150,10)</f>
        <v>12/15/2024</v>
      </c>
      <c r="E150" t="s">
        <v>202</v>
      </c>
      <c r="F150" t="s">
        <v>203</v>
      </c>
      <c r="G150" t="s">
        <v>207</v>
      </c>
      <c r="I150">
        <v>1</v>
      </c>
      <c r="J150">
        <v>5</v>
      </c>
      <c r="K150">
        <v>5</v>
      </c>
      <c r="M150" t="s">
        <v>205</v>
      </c>
    </row>
    <row r="151" spans="1:13" hidden="1">
      <c r="A151" t="s">
        <v>163</v>
      </c>
      <c r="B151" t="s">
        <v>164</v>
      </c>
      <c r="C151" t="s">
        <v>19</v>
      </c>
      <c r="D151" t="str">
        <f>LEFT(M151,10)</f>
        <v>12/15/2024</v>
      </c>
      <c r="E151" t="s">
        <v>202</v>
      </c>
      <c r="F151" t="s">
        <v>203</v>
      </c>
      <c r="G151" t="s">
        <v>259</v>
      </c>
      <c r="I151">
        <v>5</v>
      </c>
      <c r="J151">
        <v>42.5</v>
      </c>
      <c r="K151">
        <v>8.5</v>
      </c>
      <c r="M151" t="s">
        <v>205</v>
      </c>
    </row>
    <row r="152" spans="1:13" hidden="1">
      <c r="A152" t="s">
        <v>163</v>
      </c>
      <c r="B152" t="s">
        <v>164</v>
      </c>
      <c r="C152" t="s">
        <v>19</v>
      </c>
      <c r="D152" t="str">
        <f>LEFT(M152,10)</f>
        <v>12/15/2024</v>
      </c>
      <c r="E152" t="s">
        <v>202</v>
      </c>
      <c r="F152" t="s">
        <v>203</v>
      </c>
      <c r="G152" t="s">
        <v>208</v>
      </c>
      <c r="I152">
        <v>11</v>
      </c>
      <c r="J152">
        <v>93.5</v>
      </c>
      <c r="K152">
        <v>8.5</v>
      </c>
      <c r="M152" t="s">
        <v>205</v>
      </c>
    </row>
    <row r="153" spans="1:13" hidden="1">
      <c r="A153" t="s">
        <v>163</v>
      </c>
      <c r="B153" t="s">
        <v>164</v>
      </c>
      <c r="C153" t="s">
        <v>19</v>
      </c>
      <c r="D153" t="str">
        <f>LEFT(M153,10)</f>
        <v>12/15/2024</v>
      </c>
      <c r="E153" t="s">
        <v>202</v>
      </c>
      <c r="F153" t="s">
        <v>203</v>
      </c>
      <c r="G153" t="s">
        <v>208</v>
      </c>
      <c r="I153">
        <v>20</v>
      </c>
      <c r="J153">
        <v>110</v>
      </c>
      <c r="K153">
        <v>5.5</v>
      </c>
      <c r="M153" t="s">
        <v>205</v>
      </c>
    </row>
    <row r="154" spans="1:13" hidden="1">
      <c r="A154" t="s">
        <v>163</v>
      </c>
      <c r="B154" t="s">
        <v>164</v>
      </c>
      <c r="C154" t="s">
        <v>19</v>
      </c>
      <c r="D154" t="str">
        <f>LEFT(M154,10)</f>
        <v>12/15/2024</v>
      </c>
      <c r="E154" t="s">
        <v>202</v>
      </c>
      <c r="F154" t="s">
        <v>203</v>
      </c>
      <c r="G154" t="s">
        <v>204</v>
      </c>
      <c r="I154">
        <v>120</v>
      </c>
      <c r="J154">
        <v>684</v>
      </c>
      <c r="K154">
        <v>5.7</v>
      </c>
      <c r="M154" t="s">
        <v>205</v>
      </c>
    </row>
    <row r="155" spans="1:13" hidden="1">
      <c r="A155" t="s">
        <v>163</v>
      </c>
      <c r="B155" t="s">
        <v>164</v>
      </c>
      <c r="C155" t="s">
        <v>19</v>
      </c>
      <c r="D155" t="str">
        <f>LEFT(M155,10)</f>
        <v>12/15/2024</v>
      </c>
      <c r="E155" t="s">
        <v>202</v>
      </c>
      <c r="F155" t="s">
        <v>203</v>
      </c>
      <c r="G155" t="s">
        <v>260</v>
      </c>
      <c r="I155">
        <v>2.5</v>
      </c>
      <c r="J155">
        <v>82.5</v>
      </c>
      <c r="K155">
        <v>33</v>
      </c>
      <c r="M155" t="s">
        <v>205</v>
      </c>
    </row>
    <row r="156" spans="1:13" hidden="1">
      <c r="A156" t="s">
        <v>163</v>
      </c>
      <c r="B156" t="s">
        <v>164</v>
      </c>
      <c r="C156" t="s">
        <v>19</v>
      </c>
      <c r="D156" t="str">
        <f>LEFT(M156,10)</f>
        <v>12/15/2024</v>
      </c>
      <c r="E156" t="s">
        <v>202</v>
      </c>
      <c r="F156" t="s">
        <v>203</v>
      </c>
      <c r="G156" t="s">
        <v>206</v>
      </c>
      <c r="I156">
        <v>2</v>
      </c>
      <c r="J156">
        <v>8</v>
      </c>
      <c r="K156">
        <v>4</v>
      </c>
      <c r="M156" t="s">
        <v>205</v>
      </c>
    </row>
    <row r="157" spans="1:13" hidden="1">
      <c r="A157" t="s">
        <v>163</v>
      </c>
      <c r="B157" t="s">
        <v>164</v>
      </c>
      <c r="C157" t="s">
        <v>19</v>
      </c>
      <c r="D157" t="str">
        <f>LEFT(M157,10)</f>
        <v>12/15/2024</v>
      </c>
      <c r="E157" t="s">
        <v>202</v>
      </c>
      <c r="F157" t="s">
        <v>203</v>
      </c>
      <c r="G157" t="s">
        <v>261</v>
      </c>
      <c r="I157">
        <v>25</v>
      </c>
      <c r="J157">
        <v>250</v>
      </c>
      <c r="K157">
        <v>10</v>
      </c>
      <c r="M157" t="s">
        <v>205</v>
      </c>
    </row>
    <row r="158" spans="1:13" hidden="1">
      <c r="A158" t="s">
        <v>163</v>
      </c>
      <c r="B158" t="s">
        <v>164</v>
      </c>
      <c r="C158" t="s">
        <v>19</v>
      </c>
      <c r="D158" t="str">
        <f>LEFT(M158,10)</f>
        <v>12/15/2024</v>
      </c>
      <c r="E158" t="s">
        <v>202</v>
      </c>
      <c r="F158" t="s">
        <v>203</v>
      </c>
      <c r="G158" t="s">
        <v>259</v>
      </c>
      <c r="I158">
        <v>3.5</v>
      </c>
      <c r="J158">
        <v>12.25</v>
      </c>
      <c r="K158">
        <v>3.5</v>
      </c>
      <c r="M158" t="s">
        <v>205</v>
      </c>
    </row>
    <row r="159" spans="1:13" hidden="1">
      <c r="A159" t="s">
        <v>163</v>
      </c>
      <c r="B159" t="s">
        <v>164</v>
      </c>
      <c r="C159" t="s">
        <v>19</v>
      </c>
      <c r="D159" t="str">
        <f>LEFT(M159,10)</f>
        <v>12/15/2024</v>
      </c>
      <c r="E159" t="s">
        <v>202</v>
      </c>
      <c r="F159" t="s">
        <v>203</v>
      </c>
      <c r="G159" t="s">
        <v>236</v>
      </c>
      <c r="I159">
        <v>1070</v>
      </c>
      <c r="J159">
        <v>428</v>
      </c>
      <c r="K159">
        <v>0.4</v>
      </c>
      <c r="M159" t="s">
        <v>205</v>
      </c>
    </row>
    <row r="160" spans="1:13" hidden="1">
      <c r="A160" t="s">
        <v>163</v>
      </c>
      <c r="B160" t="s">
        <v>164</v>
      </c>
      <c r="C160" t="s">
        <v>19</v>
      </c>
      <c r="D160" t="str">
        <f>LEFT(M160,10)</f>
        <v>12/15/2024</v>
      </c>
      <c r="E160" t="s">
        <v>202</v>
      </c>
      <c r="F160" t="s">
        <v>203</v>
      </c>
      <c r="G160" t="s">
        <v>259</v>
      </c>
      <c r="I160">
        <v>3.5</v>
      </c>
      <c r="J160">
        <v>70</v>
      </c>
      <c r="K160">
        <v>20</v>
      </c>
      <c r="M160" t="s">
        <v>205</v>
      </c>
    </row>
    <row r="161" spans="1:13" hidden="1">
      <c r="A161" t="s">
        <v>163</v>
      </c>
      <c r="B161" t="s">
        <v>164</v>
      </c>
      <c r="C161" t="s">
        <v>19</v>
      </c>
      <c r="D161" t="str">
        <f>LEFT(M161,10)</f>
        <v>12/15/2024</v>
      </c>
      <c r="E161" t="s">
        <v>202</v>
      </c>
      <c r="F161" t="s">
        <v>216</v>
      </c>
      <c r="G161" t="s">
        <v>253</v>
      </c>
      <c r="I161">
        <v>7558.33</v>
      </c>
      <c r="J161">
        <v>907</v>
      </c>
      <c r="K161">
        <v>0.12</v>
      </c>
      <c r="M161" t="s">
        <v>205</v>
      </c>
    </row>
    <row r="162" spans="1:13" hidden="1">
      <c r="A162" t="s">
        <v>163</v>
      </c>
      <c r="B162" t="s">
        <v>164</v>
      </c>
      <c r="C162" t="s">
        <v>19</v>
      </c>
      <c r="D162" t="str">
        <f>LEFT(M162,10)</f>
        <v>12/15/2024</v>
      </c>
      <c r="E162" t="s">
        <v>202</v>
      </c>
      <c r="F162" t="s">
        <v>218</v>
      </c>
      <c r="G162" t="s">
        <v>239</v>
      </c>
      <c r="I162">
        <v>275</v>
      </c>
      <c r="J162">
        <v>165</v>
      </c>
      <c r="K162">
        <v>0.6</v>
      </c>
      <c r="M162" t="s">
        <v>205</v>
      </c>
    </row>
    <row r="163" spans="1:13" hidden="1">
      <c r="A163" t="s">
        <v>163</v>
      </c>
      <c r="B163" t="s">
        <v>164</v>
      </c>
      <c r="C163" t="s">
        <v>19</v>
      </c>
      <c r="D163" t="str">
        <f>LEFT(M163,10)</f>
        <v>12/15/2024</v>
      </c>
      <c r="E163" t="s">
        <v>232</v>
      </c>
      <c r="F163" t="s">
        <v>262</v>
      </c>
      <c r="I163">
        <v>0</v>
      </c>
      <c r="J163">
        <v>4293.07</v>
      </c>
      <c r="M163" t="s">
        <v>205</v>
      </c>
    </row>
    <row r="164" spans="1:13" hidden="1">
      <c r="A164" t="s">
        <v>163</v>
      </c>
      <c r="B164" t="s">
        <v>164</v>
      </c>
      <c r="C164" t="s">
        <v>19</v>
      </c>
      <c r="D164" t="str">
        <f>LEFT(M164,10)</f>
        <v>12/15/2024</v>
      </c>
      <c r="E164" t="s">
        <v>232</v>
      </c>
      <c r="F164" t="s">
        <v>255</v>
      </c>
      <c r="I164">
        <v>0</v>
      </c>
      <c r="J164">
        <v>4785.2299999999996</v>
      </c>
      <c r="L164" t="s">
        <v>263</v>
      </c>
      <c r="M164" t="s">
        <v>205</v>
      </c>
    </row>
    <row r="165" spans="1:13" hidden="1">
      <c r="A165" t="s">
        <v>163</v>
      </c>
      <c r="B165" t="s">
        <v>164</v>
      </c>
      <c r="C165" t="s">
        <v>19</v>
      </c>
      <c r="D165" t="str">
        <f>LEFT(M165,10)</f>
        <v>12/15/2024</v>
      </c>
      <c r="E165" t="s">
        <v>232</v>
      </c>
      <c r="F165" t="s">
        <v>255</v>
      </c>
      <c r="I165">
        <v>0</v>
      </c>
      <c r="J165">
        <v>765</v>
      </c>
      <c r="L165" t="s">
        <v>264</v>
      </c>
      <c r="M165" t="s">
        <v>205</v>
      </c>
    </row>
    <row r="166" spans="1:13" hidden="1">
      <c r="A166" t="s">
        <v>163</v>
      </c>
      <c r="B166" t="s">
        <v>164</v>
      </c>
      <c r="C166" t="s">
        <v>19</v>
      </c>
      <c r="D166" t="str">
        <f>LEFT(M166,10)</f>
        <v>12/15/2024</v>
      </c>
      <c r="E166" t="s">
        <v>230</v>
      </c>
      <c r="F166" t="s">
        <v>248</v>
      </c>
      <c r="I166">
        <v>0</v>
      </c>
      <c r="J166">
        <v>9223</v>
      </c>
      <c r="M166" t="s">
        <v>205</v>
      </c>
    </row>
    <row r="167" spans="1:13" hidden="1">
      <c r="A167" t="s">
        <v>163</v>
      </c>
      <c r="B167" t="s">
        <v>164</v>
      </c>
      <c r="C167" t="s">
        <v>19</v>
      </c>
      <c r="D167" t="str">
        <f>LEFT(M167,10)</f>
        <v>12/15/2024</v>
      </c>
      <c r="E167" t="s">
        <v>230</v>
      </c>
      <c r="F167" t="s">
        <v>248</v>
      </c>
      <c r="I167">
        <v>0</v>
      </c>
      <c r="J167">
        <v>12849.87</v>
      </c>
      <c r="M167" t="s">
        <v>205</v>
      </c>
    </row>
    <row r="168" spans="1:13" hidden="1">
      <c r="A168" t="s">
        <v>163</v>
      </c>
      <c r="B168" t="s">
        <v>164</v>
      </c>
      <c r="C168" t="s">
        <v>19</v>
      </c>
      <c r="D168" t="str">
        <f>LEFT(M168,10)</f>
        <v>12/15/2024</v>
      </c>
      <c r="E168" t="s">
        <v>234</v>
      </c>
      <c r="F168" t="s">
        <v>234</v>
      </c>
      <c r="I168">
        <v>4752</v>
      </c>
      <c r="M168" t="s">
        <v>205</v>
      </c>
    </row>
    <row r="169" spans="1:13" hidden="1">
      <c r="A169" t="s">
        <v>117</v>
      </c>
      <c r="B169" t="s">
        <v>8</v>
      </c>
      <c r="C169" t="s">
        <v>116</v>
      </c>
      <c r="D169" t="str">
        <f>LEFT(M169,10)</f>
        <v>12/15/2024</v>
      </c>
      <c r="E169" t="s">
        <v>202</v>
      </c>
      <c r="F169" t="s">
        <v>216</v>
      </c>
      <c r="G169" t="s">
        <v>253</v>
      </c>
      <c r="I169">
        <v>32420</v>
      </c>
      <c r="J169">
        <v>1621</v>
      </c>
      <c r="K169">
        <v>0.05</v>
      </c>
      <c r="M169" t="s">
        <v>205</v>
      </c>
    </row>
    <row r="170" spans="1:13" hidden="1">
      <c r="A170" t="s">
        <v>117</v>
      </c>
      <c r="B170" t="s">
        <v>8</v>
      </c>
      <c r="C170" t="s">
        <v>116</v>
      </c>
      <c r="D170" t="str">
        <f>LEFT(M170,10)</f>
        <v>12/15/2024</v>
      </c>
      <c r="E170" t="s">
        <v>202</v>
      </c>
      <c r="F170" t="s">
        <v>227</v>
      </c>
      <c r="G170" t="s">
        <v>228</v>
      </c>
      <c r="I170">
        <v>2833</v>
      </c>
      <c r="J170">
        <v>283.3</v>
      </c>
      <c r="K170">
        <v>0.1</v>
      </c>
      <c r="M170" t="s">
        <v>205</v>
      </c>
    </row>
    <row r="171" spans="1:13" hidden="1">
      <c r="A171" t="s">
        <v>117</v>
      </c>
      <c r="B171" t="s">
        <v>8</v>
      </c>
      <c r="C171" t="s">
        <v>116</v>
      </c>
      <c r="D171" t="str">
        <f>LEFT(M171,10)</f>
        <v>12/15/2024</v>
      </c>
      <c r="E171" t="s">
        <v>202</v>
      </c>
      <c r="F171" t="s">
        <v>227</v>
      </c>
      <c r="G171" t="s">
        <v>252</v>
      </c>
      <c r="I171">
        <v>840</v>
      </c>
      <c r="J171">
        <v>84</v>
      </c>
      <c r="K171">
        <v>0.1</v>
      </c>
      <c r="M171" t="s">
        <v>205</v>
      </c>
    </row>
    <row r="172" spans="1:13" hidden="1">
      <c r="A172" t="s">
        <v>117</v>
      </c>
      <c r="B172" t="s">
        <v>8</v>
      </c>
      <c r="C172" t="s">
        <v>116</v>
      </c>
      <c r="D172" t="str">
        <f>LEFT(M172,10)</f>
        <v>12/15/2024</v>
      </c>
      <c r="E172" t="s">
        <v>202</v>
      </c>
      <c r="F172" t="s">
        <v>227</v>
      </c>
      <c r="G172" t="s">
        <v>229</v>
      </c>
      <c r="I172">
        <v>12416</v>
      </c>
      <c r="J172">
        <v>5171.3</v>
      </c>
      <c r="K172">
        <v>0.42</v>
      </c>
      <c r="M172" t="s">
        <v>205</v>
      </c>
    </row>
    <row r="173" spans="1:13" hidden="1">
      <c r="A173" t="s">
        <v>117</v>
      </c>
      <c r="B173" t="s">
        <v>8</v>
      </c>
      <c r="C173" t="s">
        <v>116</v>
      </c>
      <c r="D173" t="str">
        <f>LEFT(M173,10)</f>
        <v>12/15/2024</v>
      </c>
      <c r="E173" t="s">
        <v>202</v>
      </c>
      <c r="F173" t="s">
        <v>227</v>
      </c>
      <c r="G173" t="s">
        <v>238</v>
      </c>
      <c r="I173">
        <v>497</v>
      </c>
      <c r="J173">
        <v>99.4</v>
      </c>
      <c r="K173">
        <v>0.2</v>
      </c>
      <c r="M173" t="s">
        <v>205</v>
      </c>
    </row>
    <row r="174" spans="1:13" hidden="1">
      <c r="A174" t="s">
        <v>117</v>
      </c>
      <c r="B174" t="s">
        <v>8</v>
      </c>
      <c r="C174" t="s">
        <v>116</v>
      </c>
      <c r="D174" t="str">
        <f>LEFT(M174,10)</f>
        <v>12/15/2024</v>
      </c>
      <c r="E174" t="s">
        <v>202</v>
      </c>
      <c r="F174" t="s">
        <v>227</v>
      </c>
      <c r="G174" t="s">
        <v>237</v>
      </c>
      <c r="I174">
        <v>2313</v>
      </c>
      <c r="J174">
        <v>1346.7</v>
      </c>
      <c r="K174">
        <v>0.57999999999999996</v>
      </c>
      <c r="M174" t="s">
        <v>205</v>
      </c>
    </row>
    <row r="175" spans="1:13" hidden="1">
      <c r="A175" t="s">
        <v>117</v>
      </c>
      <c r="B175" t="s">
        <v>8</v>
      </c>
      <c r="C175" t="s">
        <v>116</v>
      </c>
      <c r="D175" t="str">
        <f>LEFT(M175,10)</f>
        <v>12/15/2024</v>
      </c>
      <c r="E175" t="s">
        <v>202</v>
      </c>
      <c r="F175" t="s">
        <v>218</v>
      </c>
      <c r="G175" t="s">
        <v>240</v>
      </c>
      <c r="I175">
        <v>2395</v>
      </c>
      <c r="J175">
        <v>3592.5</v>
      </c>
      <c r="K175">
        <v>1.5</v>
      </c>
      <c r="M175" t="s">
        <v>205</v>
      </c>
    </row>
    <row r="176" spans="1:13" hidden="1">
      <c r="A176" t="s">
        <v>117</v>
      </c>
      <c r="B176" t="s">
        <v>8</v>
      </c>
      <c r="C176" t="s">
        <v>116</v>
      </c>
      <c r="D176" t="str">
        <f>LEFT(M176,10)</f>
        <v>12/15/2024</v>
      </c>
      <c r="E176" t="s">
        <v>202</v>
      </c>
      <c r="F176" t="s">
        <v>218</v>
      </c>
      <c r="G176" t="s">
        <v>241</v>
      </c>
      <c r="I176">
        <v>243</v>
      </c>
      <c r="J176">
        <v>364.5</v>
      </c>
      <c r="K176">
        <v>1.5</v>
      </c>
      <c r="M176" t="s">
        <v>205</v>
      </c>
    </row>
    <row r="177" spans="1:13" hidden="1">
      <c r="A177" t="s">
        <v>117</v>
      </c>
      <c r="B177" t="s">
        <v>8</v>
      </c>
      <c r="C177" t="s">
        <v>116</v>
      </c>
      <c r="D177" t="str">
        <f>LEFT(M177,10)</f>
        <v>12/15/2024</v>
      </c>
      <c r="E177" t="s">
        <v>202</v>
      </c>
      <c r="F177" t="s">
        <v>218</v>
      </c>
      <c r="G177" t="s">
        <v>242</v>
      </c>
      <c r="I177">
        <v>231</v>
      </c>
      <c r="J177">
        <v>184.8</v>
      </c>
      <c r="K177">
        <v>0.8</v>
      </c>
      <c r="M177" t="s">
        <v>205</v>
      </c>
    </row>
    <row r="178" spans="1:13" hidden="1">
      <c r="A178" t="s">
        <v>117</v>
      </c>
      <c r="B178" t="s">
        <v>8</v>
      </c>
      <c r="C178" t="s">
        <v>116</v>
      </c>
      <c r="D178" t="str">
        <f>LEFT(M178,10)</f>
        <v>12/15/2024</v>
      </c>
      <c r="E178" t="s">
        <v>202</v>
      </c>
      <c r="F178" t="s">
        <v>218</v>
      </c>
      <c r="G178" t="s">
        <v>219</v>
      </c>
      <c r="I178">
        <v>238</v>
      </c>
      <c r="J178">
        <v>23.8</v>
      </c>
      <c r="K178">
        <v>0.1</v>
      </c>
      <c r="M178" t="s">
        <v>205</v>
      </c>
    </row>
    <row r="179" spans="1:13" hidden="1">
      <c r="A179" t="s">
        <v>117</v>
      </c>
      <c r="B179" t="s">
        <v>8</v>
      </c>
      <c r="C179" t="s">
        <v>116</v>
      </c>
      <c r="D179" t="str">
        <f>LEFT(M179,10)</f>
        <v>12/15/2024</v>
      </c>
      <c r="E179" t="s">
        <v>202</v>
      </c>
      <c r="F179" t="s">
        <v>218</v>
      </c>
      <c r="G179" t="s">
        <v>223</v>
      </c>
      <c r="I179">
        <v>549</v>
      </c>
      <c r="J179">
        <v>247.05</v>
      </c>
      <c r="K179">
        <v>0.45</v>
      </c>
      <c r="M179" t="s">
        <v>205</v>
      </c>
    </row>
    <row r="180" spans="1:13" hidden="1">
      <c r="A180" t="s">
        <v>117</v>
      </c>
      <c r="B180" t="s">
        <v>8</v>
      </c>
      <c r="C180" t="s">
        <v>116</v>
      </c>
      <c r="D180" t="str">
        <f>LEFT(M180,10)</f>
        <v>12/15/2024</v>
      </c>
      <c r="E180" t="s">
        <v>202</v>
      </c>
      <c r="F180" t="s">
        <v>218</v>
      </c>
      <c r="G180" t="s">
        <v>223</v>
      </c>
      <c r="I180">
        <v>1865</v>
      </c>
      <c r="J180">
        <v>1275</v>
      </c>
      <c r="K180">
        <v>0.68</v>
      </c>
      <c r="M180" t="s">
        <v>205</v>
      </c>
    </row>
    <row r="181" spans="1:13" hidden="1">
      <c r="A181" t="s">
        <v>117</v>
      </c>
      <c r="B181" t="s">
        <v>8</v>
      </c>
      <c r="C181" t="s">
        <v>116</v>
      </c>
      <c r="D181" t="str">
        <f>LEFT(M181,10)</f>
        <v>12/15/2024</v>
      </c>
      <c r="E181" t="s">
        <v>202</v>
      </c>
      <c r="F181" t="s">
        <v>218</v>
      </c>
      <c r="G181" t="s">
        <v>220</v>
      </c>
      <c r="I181">
        <v>1453</v>
      </c>
      <c r="J181">
        <v>1453</v>
      </c>
      <c r="K181">
        <v>1</v>
      </c>
      <c r="M181" t="s">
        <v>205</v>
      </c>
    </row>
    <row r="182" spans="1:13" hidden="1">
      <c r="A182" t="s">
        <v>117</v>
      </c>
      <c r="B182" t="s">
        <v>8</v>
      </c>
      <c r="C182" t="s">
        <v>116</v>
      </c>
      <c r="D182" t="str">
        <f>LEFT(M182,10)</f>
        <v>12/15/2024</v>
      </c>
      <c r="E182" t="s">
        <v>202</v>
      </c>
      <c r="F182" t="s">
        <v>218</v>
      </c>
      <c r="G182" t="s">
        <v>222</v>
      </c>
      <c r="I182">
        <v>1698</v>
      </c>
      <c r="J182">
        <v>1205.9000000000001</v>
      </c>
      <c r="K182">
        <v>0.71</v>
      </c>
      <c r="M182" t="s">
        <v>205</v>
      </c>
    </row>
    <row r="183" spans="1:13" hidden="1">
      <c r="A183" t="s">
        <v>117</v>
      </c>
      <c r="B183" t="s">
        <v>8</v>
      </c>
      <c r="C183" t="s">
        <v>116</v>
      </c>
      <c r="D183" t="str">
        <f>LEFT(M183,10)</f>
        <v>12/15/2024</v>
      </c>
      <c r="E183" t="s">
        <v>202</v>
      </c>
      <c r="F183" t="s">
        <v>218</v>
      </c>
      <c r="G183" t="s">
        <v>221</v>
      </c>
      <c r="I183">
        <v>474</v>
      </c>
      <c r="J183">
        <v>853.2</v>
      </c>
      <c r="K183">
        <v>1.8</v>
      </c>
      <c r="M183" t="s">
        <v>205</v>
      </c>
    </row>
    <row r="184" spans="1:13" hidden="1">
      <c r="A184" t="s">
        <v>117</v>
      </c>
      <c r="B184" t="s">
        <v>8</v>
      </c>
      <c r="C184" t="s">
        <v>116</v>
      </c>
      <c r="D184" t="str">
        <f>LEFT(M184,10)</f>
        <v>12/15/2024</v>
      </c>
      <c r="E184" t="s">
        <v>202</v>
      </c>
      <c r="F184" t="s">
        <v>218</v>
      </c>
      <c r="G184" t="s">
        <v>221</v>
      </c>
      <c r="I184">
        <v>800</v>
      </c>
      <c r="J184">
        <v>1600</v>
      </c>
      <c r="K184">
        <v>2</v>
      </c>
      <c r="M184" t="s">
        <v>205</v>
      </c>
    </row>
    <row r="185" spans="1:13" hidden="1">
      <c r="A185" t="s">
        <v>117</v>
      </c>
      <c r="B185" t="s">
        <v>8</v>
      </c>
      <c r="C185" t="s">
        <v>116</v>
      </c>
      <c r="D185" t="str">
        <f>LEFT(M185,10)</f>
        <v>12/15/2024</v>
      </c>
      <c r="E185" t="s">
        <v>202</v>
      </c>
      <c r="F185" t="s">
        <v>218</v>
      </c>
      <c r="G185" t="s">
        <v>226</v>
      </c>
      <c r="I185">
        <v>136</v>
      </c>
      <c r="J185">
        <v>27.2</v>
      </c>
      <c r="K185">
        <v>0.2</v>
      </c>
      <c r="M185" t="s">
        <v>205</v>
      </c>
    </row>
    <row r="186" spans="1:13" hidden="1">
      <c r="A186" t="s">
        <v>117</v>
      </c>
      <c r="B186" t="s">
        <v>8</v>
      </c>
      <c r="C186" t="s">
        <v>116</v>
      </c>
      <c r="D186" t="str">
        <f>LEFT(M186,10)</f>
        <v>12/15/2024</v>
      </c>
      <c r="E186" t="s">
        <v>202</v>
      </c>
      <c r="F186" t="s">
        <v>218</v>
      </c>
      <c r="G186" t="s">
        <v>224</v>
      </c>
      <c r="I186">
        <v>324</v>
      </c>
      <c r="J186">
        <v>162</v>
      </c>
      <c r="K186">
        <v>0.5</v>
      </c>
      <c r="M186" t="s">
        <v>205</v>
      </c>
    </row>
    <row r="187" spans="1:13" hidden="1">
      <c r="A187" t="s">
        <v>117</v>
      </c>
      <c r="B187" t="s">
        <v>8</v>
      </c>
      <c r="C187" t="s">
        <v>116</v>
      </c>
      <c r="D187" t="str">
        <f>LEFT(M187,10)</f>
        <v>12/15/2024</v>
      </c>
      <c r="E187" t="s">
        <v>230</v>
      </c>
      <c r="F187" t="s">
        <v>248</v>
      </c>
      <c r="I187">
        <v>0</v>
      </c>
      <c r="J187">
        <v>14917</v>
      </c>
      <c r="M187" t="s">
        <v>205</v>
      </c>
    </row>
    <row r="188" spans="1:13" hidden="1">
      <c r="A188" t="s">
        <v>117</v>
      </c>
      <c r="B188" t="s">
        <v>8</v>
      </c>
      <c r="C188" t="s">
        <v>116</v>
      </c>
      <c r="D188" t="str">
        <f>LEFT(M188,10)</f>
        <v>12/15/2024</v>
      </c>
      <c r="E188" t="s">
        <v>232</v>
      </c>
      <c r="F188" t="s">
        <v>255</v>
      </c>
      <c r="I188">
        <v>0</v>
      </c>
      <c r="J188">
        <v>102000</v>
      </c>
      <c r="L188" t="s">
        <v>265</v>
      </c>
      <c r="M188" t="s">
        <v>205</v>
      </c>
    </row>
    <row r="189" spans="1:13" hidden="1">
      <c r="A189" t="s">
        <v>117</v>
      </c>
      <c r="B189" t="s">
        <v>8</v>
      </c>
      <c r="C189" t="s">
        <v>116</v>
      </c>
      <c r="D189" t="str">
        <f>LEFT(M189,10)</f>
        <v>12/15/2024</v>
      </c>
      <c r="E189" t="s">
        <v>234</v>
      </c>
      <c r="F189" t="s">
        <v>234</v>
      </c>
      <c r="I189">
        <v>26800</v>
      </c>
      <c r="M189" t="s">
        <v>205</v>
      </c>
    </row>
    <row r="190" spans="1:13" hidden="1">
      <c r="A190" t="s">
        <v>102</v>
      </c>
      <c r="B190" t="s">
        <v>8</v>
      </c>
      <c r="C190" t="s">
        <v>17</v>
      </c>
      <c r="D190" t="str">
        <f>LEFT(M190,10)</f>
        <v>12/15/2024</v>
      </c>
      <c r="E190" t="s">
        <v>202</v>
      </c>
      <c r="F190" t="s">
        <v>218</v>
      </c>
      <c r="G190" t="s">
        <v>240</v>
      </c>
      <c r="I190">
        <v>1755</v>
      </c>
      <c r="J190">
        <v>2632.5</v>
      </c>
      <c r="K190">
        <v>1.5</v>
      </c>
      <c r="M190" t="s">
        <v>205</v>
      </c>
    </row>
    <row r="191" spans="1:13" hidden="1">
      <c r="A191" t="s">
        <v>102</v>
      </c>
      <c r="B191" t="s">
        <v>8</v>
      </c>
      <c r="C191" t="s">
        <v>17</v>
      </c>
      <c r="D191" t="str">
        <f>LEFT(M191,10)</f>
        <v>12/15/2024</v>
      </c>
      <c r="E191" t="s">
        <v>202</v>
      </c>
      <c r="F191" t="s">
        <v>218</v>
      </c>
      <c r="G191" t="s">
        <v>242</v>
      </c>
      <c r="I191">
        <v>122</v>
      </c>
      <c r="J191">
        <v>97.6</v>
      </c>
      <c r="K191">
        <v>0.8</v>
      </c>
      <c r="M191" t="s">
        <v>205</v>
      </c>
    </row>
    <row r="192" spans="1:13" hidden="1">
      <c r="A192" t="s">
        <v>102</v>
      </c>
      <c r="B192" t="s">
        <v>8</v>
      </c>
      <c r="C192" t="s">
        <v>17</v>
      </c>
      <c r="D192" t="str">
        <f>LEFT(M192,10)</f>
        <v>12/15/2024</v>
      </c>
      <c r="E192" t="s">
        <v>202</v>
      </c>
      <c r="F192" t="s">
        <v>218</v>
      </c>
      <c r="G192" t="s">
        <v>220</v>
      </c>
      <c r="I192">
        <v>1763</v>
      </c>
      <c r="J192">
        <v>1763</v>
      </c>
      <c r="K192">
        <v>1</v>
      </c>
      <c r="M192" t="s">
        <v>205</v>
      </c>
    </row>
    <row r="193" spans="1:13" hidden="1">
      <c r="A193" t="s">
        <v>102</v>
      </c>
      <c r="B193" t="s">
        <v>8</v>
      </c>
      <c r="C193" t="s">
        <v>17</v>
      </c>
      <c r="D193" t="str">
        <f>LEFT(M193,10)</f>
        <v>12/15/2024</v>
      </c>
      <c r="E193" t="s">
        <v>202</v>
      </c>
      <c r="F193" t="s">
        <v>218</v>
      </c>
      <c r="G193" t="s">
        <v>221</v>
      </c>
      <c r="I193">
        <v>505</v>
      </c>
      <c r="J193">
        <v>909</v>
      </c>
      <c r="K193">
        <v>1.8</v>
      </c>
      <c r="M193" t="s">
        <v>205</v>
      </c>
    </row>
    <row r="194" spans="1:13" hidden="1">
      <c r="A194" t="s">
        <v>102</v>
      </c>
      <c r="B194" t="s">
        <v>8</v>
      </c>
      <c r="C194" t="s">
        <v>17</v>
      </c>
      <c r="D194" t="str">
        <f>LEFT(M194,10)</f>
        <v>12/15/2024</v>
      </c>
      <c r="E194" t="s">
        <v>202</v>
      </c>
      <c r="F194" t="s">
        <v>218</v>
      </c>
      <c r="G194" t="s">
        <v>221</v>
      </c>
      <c r="I194">
        <v>820</v>
      </c>
      <c r="J194">
        <v>1640</v>
      </c>
      <c r="K194">
        <v>2</v>
      </c>
      <c r="M194" t="s">
        <v>205</v>
      </c>
    </row>
    <row r="195" spans="1:13" hidden="1">
      <c r="A195" t="s">
        <v>102</v>
      </c>
      <c r="B195" t="s">
        <v>8</v>
      </c>
      <c r="C195" t="s">
        <v>17</v>
      </c>
      <c r="D195" t="str">
        <f>LEFT(M195,10)</f>
        <v>12/15/2024</v>
      </c>
      <c r="E195" t="s">
        <v>202</v>
      </c>
      <c r="F195" t="s">
        <v>218</v>
      </c>
      <c r="G195" t="s">
        <v>222</v>
      </c>
      <c r="I195">
        <v>206</v>
      </c>
      <c r="J195">
        <v>164.8</v>
      </c>
      <c r="K195">
        <v>0.8</v>
      </c>
      <c r="M195" t="s">
        <v>205</v>
      </c>
    </row>
    <row r="196" spans="1:13" hidden="1">
      <c r="A196" t="s">
        <v>102</v>
      </c>
      <c r="B196" t="s">
        <v>8</v>
      </c>
      <c r="C196" t="s">
        <v>17</v>
      </c>
      <c r="D196" t="str">
        <f>LEFT(M196,10)</f>
        <v>12/15/2024</v>
      </c>
      <c r="E196" t="s">
        <v>202</v>
      </c>
      <c r="F196" t="s">
        <v>218</v>
      </c>
      <c r="G196" t="s">
        <v>226</v>
      </c>
      <c r="I196">
        <v>1813</v>
      </c>
      <c r="J196">
        <v>362.6</v>
      </c>
      <c r="K196">
        <v>0.2</v>
      </c>
      <c r="M196" t="s">
        <v>205</v>
      </c>
    </row>
    <row r="197" spans="1:13" hidden="1">
      <c r="A197" t="s">
        <v>102</v>
      </c>
      <c r="B197" t="s">
        <v>8</v>
      </c>
      <c r="C197" t="s">
        <v>17</v>
      </c>
      <c r="D197" t="str">
        <f>LEFT(M197,10)</f>
        <v>12/15/2024</v>
      </c>
      <c r="E197" t="s">
        <v>202</v>
      </c>
      <c r="F197" t="s">
        <v>218</v>
      </c>
      <c r="G197" t="s">
        <v>225</v>
      </c>
      <c r="I197">
        <v>97</v>
      </c>
      <c r="J197">
        <v>77.599999999999994</v>
      </c>
      <c r="K197">
        <v>0.8</v>
      </c>
      <c r="M197" t="s">
        <v>205</v>
      </c>
    </row>
    <row r="198" spans="1:13" hidden="1">
      <c r="A198" t="s">
        <v>102</v>
      </c>
      <c r="B198" t="s">
        <v>8</v>
      </c>
      <c r="C198" t="s">
        <v>17</v>
      </c>
      <c r="D198" t="str">
        <f>LEFT(M198,10)</f>
        <v>12/15/2024</v>
      </c>
      <c r="E198" t="s">
        <v>202</v>
      </c>
      <c r="F198" t="s">
        <v>218</v>
      </c>
      <c r="G198" t="s">
        <v>223</v>
      </c>
      <c r="I198">
        <v>662</v>
      </c>
      <c r="J198">
        <v>297.89999999999998</v>
      </c>
      <c r="K198">
        <v>0.45</v>
      </c>
      <c r="M198" t="s">
        <v>205</v>
      </c>
    </row>
    <row r="199" spans="1:13" hidden="1">
      <c r="A199" t="s">
        <v>102</v>
      </c>
      <c r="B199" t="s">
        <v>8</v>
      </c>
      <c r="C199" t="s">
        <v>17</v>
      </c>
      <c r="D199" t="str">
        <f>LEFT(M199,10)</f>
        <v>12/15/2024</v>
      </c>
      <c r="E199" t="s">
        <v>202</v>
      </c>
      <c r="F199" t="s">
        <v>218</v>
      </c>
      <c r="G199" t="s">
        <v>222</v>
      </c>
      <c r="I199">
        <v>742</v>
      </c>
      <c r="J199">
        <v>742</v>
      </c>
      <c r="K199">
        <v>1</v>
      </c>
      <c r="M199" t="s">
        <v>205</v>
      </c>
    </row>
    <row r="200" spans="1:13" hidden="1">
      <c r="A200" t="s">
        <v>102</v>
      </c>
      <c r="B200" t="s">
        <v>8</v>
      </c>
      <c r="C200" t="s">
        <v>17</v>
      </c>
      <c r="D200" t="str">
        <f>LEFT(M200,10)</f>
        <v>12/15/2024</v>
      </c>
      <c r="E200" t="s">
        <v>202</v>
      </c>
      <c r="F200" t="s">
        <v>218</v>
      </c>
      <c r="G200" t="s">
        <v>222</v>
      </c>
      <c r="I200">
        <v>673</v>
      </c>
      <c r="J200">
        <v>807.6</v>
      </c>
      <c r="K200">
        <v>1.2</v>
      </c>
      <c r="M200" t="s">
        <v>205</v>
      </c>
    </row>
    <row r="201" spans="1:13" hidden="1">
      <c r="A201" t="s">
        <v>102</v>
      </c>
      <c r="B201" t="s">
        <v>8</v>
      </c>
      <c r="C201" t="s">
        <v>17</v>
      </c>
      <c r="D201" t="str">
        <f>LEFT(M201,10)</f>
        <v>12/15/2024</v>
      </c>
      <c r="E201" t="s">
        <v>202</v>
      </c>
      <c r="F201" t="s">
        <v>218</v>
      </c>
      <c r="G201" t="s">
        <v>223</v>
      </c>
      <c r="I201">
        <v>2031</v>
      </c>
      <c r="J201">
        <v>1421.7</v>
      </c>
      <c r="K201">
        <v>0.7</v>
      </c>
      <c r="M201" t="s">
        <v>205</v>
      </c>
    </row>
    <row r="202" spans="1:13" hidden="1">
      <c r="A202" t="s">
        <v>102</v>
      </c>
      <c r="B202" t="s">
        <v>8</v>
      </c>
      <c r="C202" t="s">
        <v>17</v>
      </c>
      <c r="D202" t="str">
        <f>LEFT(M202,10)</f>
        <v>12/15/2024</v>
      </c>
      <c r="E202" t="s">
        <v>202</v>
      </c>
      <c r="F202" t="s">
        <v>218</v>
      </c>
      <c r="G202" t="s">
        <v>241</v>
      </c>
      <c r="I202">
        <v>410</v>
      </c>
      <c r="J202">
        <v>615</v>
      </c>
      <c r="K202">
        <v>1.5</v>
      </c>
      <c r="M202" t="s">
        <v>205</v>
      </c>
    </row>
    <row r="203" spans="1:13" hidden="1">
      <c r="A203" t="s">
        <v>102</v>
      </c>
      <c r="B203" t="s">
        <v>8</v>
      </c>
      <c r="C203" t="s">
        <v>17</v>
      </c>
      <c r="D203" t="str">
        <f>LEFT(M203,10)</f>
        <v>12/15/2024</v>
      </c>
      <c r="E203" t="s">
        <v>202</v>
      </c>
      <c r="F203" t="s">
        <v>218</v>
      </c>
      <c r="G203" t="s">
        <v>266</v>
      </c>
      <c r="I203">
        <v>553</v>
      </c>
      <c r="J203">
        <v>5.53</v>
      </c>
      <c r="K203">
        <v>0.01</v>
      </c>
      <c r="M203" t="s">
        <v>205</v>
      </c>
    </row>
    <row r="204" spans="1:13" hidden="1">
      <c r="A204" t="s">
        <v>102</v>
      </c>
      <c r="B204" t="s">
        <v>8</v>
      </c>
      <c r="C204" t="s">
        <v>17</v>
      </c>
      <c r="D204" t="str">
        <f>LEFT(M204,10)</f>
        <v>12/15/2024</v>
      </c>
      <c r="E204" t="s">
        <v>202</v>
      </c>
      <c r="F204" t="s">
        <v>218</v>
      </c>
      <c r="G204" t="s">
        <v>222</v>
      </c>
      <c r="I204">
        <v>121</v>
      </c>
      <c r="J204">
        <v>60.5</v>
      </c>
      <c r="K204">
        <v>0.5</v>
      </c>
      <c r="M204" t="s">
        <v>205</v>
      </c>
    </row>
    <row r="205" spans="1:13" hidden="1">
      <c r="A205" t="s">
        <v>102</v>
      </c>
      <c r="B205" t="s">
        <v>8</v>
      </c>
      <c r="C205" t="s">
        <v>17</v>
      </c>
      <c r="D205" t="str">
        <f>LEFT(M205,10)</f>
        <v>12/15/2024</v>
      </c>
      <c r="E205" t="s">
        <v>202</v>
      </c>
      <c r="F205" t="s">
        <v>218</v>
      </c>
      <c r="G205" t="s">
        <v>267</v>
      </c>
      <c r="I205">
        <v>227</v>
      </c>
      <c r="J205">
        <v>45.4</v>
      </c>
      <c r="K205">
        <v>0.2</v>
      </c>
      <c r="M205" t="s">
        <v>205</v>
      </c>
    </row>
    <row r="206" spans="1:13" hidden="1">
      <c r="A206" t="s">
        <v>102</v>
      </c>
      <c r="B206" t="s">
        <v>8</v>
      </c>
      <c r="C206" t="s">
        <v>17</v>
      </c>
      <c r="D206" t="str">
        <f>LEFT(M206,10)</f>
        <v>12/15/2024</v>
      </c>
      <c r="E206" t="s">
        <v>202</v>
      </c>
      <c r="F206" t="s">
        <v>218</v>
      </c>
      <c r="G206" t="s">
        <v>268</v>
      </c>
      <c r="I206">
        <v>70</v>
      </c>
      <c r="J206">
        <v>70</v>
      </c>
      <c r="K206">
        <v>1</v>
      </c>
      <c r="M206" t="s">
        <v>205</v>
      </c>
    </row>
    <row r="207" spans="1:13" hidden="1">
      <c r="A207" t="s">
        <v>102</v>
      </c>
      <c r="B207" t="s">
        <v>8</v>
      </c>
      <c r="C207" t="s">
        <v>17</v>
      </c>
      <c r="D207" t="str">
        <f>LEFT(M207,10)</f>
        <v>12/15/2024</v>
      </c>
      <c r="E207" t="s">
        <v>202</v>
      </c>
      <c r="F207" t="s">
        <v>218</v>
      </c>
      <c r="G207" t="s">
        <v>224</v>
      </c>
      <c r="I207">
        <v>277</v>
      </c>
      <c r="J207">
        <v>138.5</v>
      </c>
      <c r="K207">
        <v>0.5</v>
      </c>
      <c r="M207" t="s">
        <v>205</v>
      </c>
    </row>
    <row r="208" spans="1:13" hidden="1">
      <c r="A208" t="s">
        <v>102</v>
      </c>
      <c r="B208" t="s">
        <v>8</v>
      </c>
      <c r="C208" t="s">
        <v>17</v>
      </c>
      <c r="D208" t="str">
        <f>LEFT(M208,10)</f>
        <v>12/15/2024</v>
      </c>
      <c r="E208" t="s">
        <v>202</v>
      </c>
      <c r="F208" t="s">
        <v>218</v>
      </c>
      <c r="G208" t="s">
        <v>222</v>
      </c>
      <c r="I208">
        <v>116</v>
      </c>
      <c r="J208">
        <v>34.799999999999997</v>
      </c>
      <c r="K208">
        <v>0.3</v>
      </c>
      <c r="M208" t="s">
        <v>205</v>
      </c>
    </row>
    <row r="209" spans="1:13" hidden="1">
      <c r="A209" t="s">
        <v>102</v>
      </c>
      <c r="B209" t="s">
        <v>8</v>
      </c>
      <c r="C209" t="s">
        <v>17</v>
      </c>
      <c r="D209" t="str">
        <f>LEFT(M209,10)</f>
        <v>12/15/2024</v>
      </c>
      <c r="E209" t="s">
        <v>202</v>
      </c>
      <c r="F209" t="s">
        <v>218</v>
      </c>
      <c r="G209" t="s">
        <v>219</v>
      </c>
      <c r="I209">
        <v>75</v>
      </c>
      <c r="J209">
        <v>7.5</v>
      </c>
      <c r="K209">
        <v>0.1</v>
      </c>
      <c r="M209" t="s">
        <v>205</v>
      </c>
    </row>
    <row r="210" spans="1:13" hidden="1">
      <c r="A210" t="s">
        <v>102</v>
      </c>
      <c r="B210" t="s">
        <v>8</v>
      </c>
      <c r="C210" t="s">
        <v>17</v>
      </c>
      <c r="D210" t="str">
        <f>LEFT(M210,10)</f>
        <v>12/15/2024</v>
      </c>
      <c r="E210" t="s">
        <v>202</v>
      </c>
      <c r="F210" t="s">
        <v>218</v>
      </c>
      <c r="G210" t="s">
        <v>222</v>
      </c>
      <c r="I210">
        <v>247</v>
      </c>
      <c r="J210">
        <v>2.4700000000000002</v>
      </c>
      <c r="K210">
        <v>0.01</v>
      </c>
      <c r="M210" t="s">
        <v>205</v>
      </c>
    </row>
    <row r="211" spans="1:13" hidden="1">
      <c r="A211" t="s">
        <v>102</v>
      </c>
      <c r="B211" t="s">
        <v>8</v>
      </c>
      <c r="C211" t="s">
        <v>17</v>
      </c>
      <c r="D211" t="str">
        <f>LEFT(M211,10)</f>
        <v>12/15/2024</v>
      </c>
      <c r="E211" t="s">
        <v>202</v>
      </c>
      <c r="F211" t="s">
        <v>218</v>
      </c>
      <c r="G211" t="s">
        <v>223</v>
      </c>
      <c r="I211">
        <v>425</v>
      </c>
      <c r="J211">
        <v>191.25</v>
      </c>
      <c r="K211">
        <v>0.45</v>
      </c>
      <c r="M211" t="s">
        <v>205</v>
      </c>
    </row>
    <row r="212" spans="1:13" hidden="1">
      <c r="A212" t="s">
        <v>102</v>
      </c>
      <c r="B212" t="s">
        <v>8</v>
      </c>
      <c r="C212" t="s">
        <v>17</v>
      </c>
      <c r="D212" t="str">
        <f>LEFT(M212,10)</f>
        <v>12/15/2024</v>
      </c>
      <c r="E212" t="s">
        <v>202</v>
      </c>
      <c r="F212" t="s">
        <v>227</v>
      </c>
      <c r="G212" t="s">
        <v>228</v>
      </c>
      <c r="I212">
        <v>8820</v>
      </c>
      <c r="J212">
        <v>662.67</v>
      </c>
      <c r="K212">
        <v>0.08</v>
      </c>
      <c r="M212" t="s">
        <v>205</v>
      </c>
    </row>
    <row r="213" spans="1:13" hidden="1">
      <c r="A213" t="s">
        <v>102</v>
      </c>
      <c r="B213" t="s">
        <v>8</v>
      </c>
      <c r="C213" t="s">
        <v>17</v>
      </c>
      <c r="D213" t="str">
        <f>LEFT(M213,10)</f>
        <v>12/15/2024</v>
      </c>
      <c r="E213" t="s">
        <v>202</v>
      </c>
      <c r="F213" t="s">
        <v>227</v>
      </c>
      <c r="G213" t="s">
        <v>238</v>
      </c>
      <c r="I213">
        <v>830</v>
      </c>
      <c r="J213">
        <v>166</v>
      </c>
      <c r="K213">
        <v>0.2</v>
      </c>
      <c r="M213" t="s">
        <v>205</v>
      </c>
    </row>
    <row r="214" spans="1:13" hidden="1">
      <c r="A214" t="s">
        <v>102</v>
      </c>
      <c r="B214" t="s">
        <v>8</v>
      </c>
      <c r="C214" t="s">
        <v>17</v>
      </c>
      <c r="D214" t="str">
        <f>LEFT(M214,10)</f>
        <v>12/15/2024</v>
      </c>
      <c r="E214" t="s">
        <v>202</v>
      </c>
      <c r="F214" t="s">
        <v>227</v>
      </c>
      <c r="G214" t="s">
        <v>252</v>
      </c>
      <c r="I214">
        <v>916</v>
      </c>
      <c r="J214">
        <v>91.6</v>
      </c>
      <c r="K214">
        <v>0.1</v>
      </c>
      <c r="M214" t="s">
        <v>205</v>
      </c>
    </row>
    <row r="215" spans="1:13" hidden="1">
      <c r="A215" t="s">
        <v>102</v>
      </c>
      <c r="B215" t="s">
        <v>8</v>
      </c>
      <c r="C215" t="s">
        <v>17</v>
      </c>
      <c r="D215" t="str">
        <f>LEFT(M215,10)</f>
        <v>12/15/2024</v>
      </c>
      <c r="E215" t="s">
        <v>202</v>
      </c>
      <c r="F215" t="s">
        <v>227</v>
      </c>
      <c r="G215" t="s">
        <v>229</v>
      </c>
      <c r="I215">
        <v>14623</v>
      </c>
      <c r="J215">
        <v>6028</v>
      </c>
      <c r="K215">
        <v>0.41</v>
      </c>
      <c r="M215" t="s">
        <v>205</v>
      </c>
    </row>
    <row r="216" spans="1:13" hidden="1">
      <c r="A216" t="s">
        <v>102</v>
      </c>
      <c r="B216" t="s">
        <v>8</v>
      </c>
      <c r="C216" t="s">
        <v>17</v>
      </c>
      <c r="D216" t="str">
        <f>LEFT(M216,10)</f>
        <v>12/15/2024</v>
      </c>
      <c r="E216" t="s">
        <v>202</v>
      </c>
      <c r="F216" t="s">
        <v>227</v>
      </c>
      <c r="G216" t="s">
        <v>237</v>
      </c>
      <c r="I216">
        <v>888</v>
      </c>
      <c r="J216">
        <v>532.79999999999995</v>
      </c>
      <c r="K216">
        <v>0.6</v>
      </c>
      <c r="M216" t="s">
        <v>205</v>
      </c>
    </row>
    <row r="217" spans="1:13" hidden="1">
      <c r="A217" t="s">
        <v>102</v>
      </c>
      <c r="B217" t="s">
        <v>8</v>
      </c>
      <c r="C217" t="s">
        <v>17</v>
      </c>
      <c r="D217" t="str">
        <f>LEFT(M217,10)</f>
        <v>12/15/2024</v>
      </c>
      <c r="E217" t="s">
        <v>202</v>
      </c>
      <c r="F217" t="s">
        <v>227</v>
      </c>
      <c r="G217" t="s">
        <v>237</v>
      </c>
      <c r="I217">
        <v>553</v>
      </c>
      <c r="J217">
        <v>331.8</v>
      </c>
      <c r="K217">
        <v>0.6</v>
      </c>
      <c r="M217" t="s">
        <v>205</v>
      </c>
    </row>
    <row r="218" spans="1:13" hidden="1">
      <c r="A218" t="s">
        <v>102</v>
      </c>
      <c r="B218" t="s">
        <v>8</v>
      </c>
      <c r="C218" t="s">
        <v>17</v>
      </c>
      <c r="D218" t="str">
        <f>LEFT(M218,10)</f>
        <v>12/15/2024</v>
      </c>
      <c r="E218" t="s">
        <v>202</v>
      </c>
      <c r="F218" t="s">
        <v>216</v>
      </c>
      <c r="G218" t="s">
        <v>253</v>
      </c>
      <c r="I218">
        <v>5170</v>
      </c>
      <c r="J218">
        <v>258.5</v>
      </c>
      <c r="K218">
        <v>0.05</v>
      </c>
      <c r="M218" t="s">
        <v>205</v>
      </c>
    </row>
    <row r="219" spans="1:13" hidden="1">
      <c r="A219" t="s">
        <v>102</v>
      </c>
      <c r="B219" t="s">
        <v>8</v>
      </c>
      <c r="C219" t="s">
        <v>17</v>
      </c>
      <c r="D219" t="str">
        <f>LEFT(M219,10)</f>
        <v>12/15/2024</v>
      </c>
      <c r="E219" t="s">
        <v>202</v>
      </c>
      <c r="F219" t="s">
        <v>203</v>
      </c>
      <c r="G219" t="s">
        <v>215</v>
      </c>
      <c r="I219">
        <v>6785</v>
      </c>
      <c r="J219">
        <v>1792.5</v>
      </c>
      <c r="K219">
        <v>0.26</v>
      </c>
      <c r="M219" t="s">
        <v>205</v>
      </c>
    </row>
    <row r="220" spans="1:13" hidden="1">
      <c r="A220" t="s">
        <v>102</v>
      </c>
      <c r="B220" t="s">
        <v>8</v>
      </c>
      <c r="C220" t="s">
        <v>17</v>
      </c>
      <c r="D220" t="str">
        <f>LEFT(M220,10)</f>
        <v>12/15/2024</v>
      </c>
      <c r="E220" t="s">
        <v>234</v>
      </c>
      <c r="F220" t="s">
        <v>234</v>
      </c>
      <c r="I220">
        <v>0</v>
      </c>
      <c r="M220" t="s">
        <v>205</v>
      </c>
    </row>
    <row r="221" spans="1:13" hidden="1">
      <c r="A221" t="s">
        <v>102</v>
      </c>
      <c r="B221" t="s">
        <v>8</v>
      </c>
      <c r="C221" t="s">
        <v>17</v>
      </c>
      <c r="D221" t="str">
        <f>LEFT(M221,10)</f>
        <v>12/15/2024</v>
      </c>
      <c r="E221" t="s">
        <v>230</v>
      </c>
      <c r="F221" t="s">
        <v>248</v>
      </c>
      <c r="I221">
        <v>0</v>
      </c>
      <c r="J221">
        <v>19985.599999999999</v>
      </c>
      <c r="M221" t="s">
        <v>205</v>
      </c>
    </row>
    <row r="222" spans="1:13" hidden="1">
      <c r="A222" t="s">
        <v>81</v>
      </c>
      <c r="B222" t="s">
        <v>8</v>
      </c>
      <c r="C222" t="s">
        <v>80</v>
      </c>
      <c r="D222" t="str">
        <f>LEFT(M222,10)</f>
        <v>12/15/2024</v>
      </c>
      <c r="E222" t="s">
        <v>202</v>
      </c>
      <c r="F222" t="s">
        <v>203</v>
      </c>
      <c r="G222" t="s">
        <v>215</v>
      </c>
      <c r="I222">
        <v>6390</v>
      </c>
      <c r="J222">
        <v>3195</v>
      </c>
      <c r="K222">
        <v>0.5</v>
      </c>
      <c r="M222" t="s">
        <v>205</v>
      </c>
    </row>
    <row r="223" spans="1:13" hidden="1">
      <c r="A223" t="s">
        <v>81</v>
      </c>
      <c r="B223" t="s">
        <v>8</v>
      </c>
      <c r="C223" t="s">
        <v>80</v>
      </c>
      <c r="D223" t="str">
        <f>LEFT(M223,10)</f>
        <v>12/15/2024</v>
      </c>
      <c r="E223" t="s">
        <v>202</v>
      </c>
      <c r="F223" t="s">
        <v>218</v>
      </c>
      <c r="G223" t="s">
        <v>240</v>
      </c>
      <c r="I223">
        <v>2544</v>
      </c>
      <c r="J223">
        <v>4579.2</v>
      </c>
      <c r="K223">
        <v>1.8</v>
      </c>
      <c r="M223" t="s">
        <v>205</v>
      </c>
    </row>
    <row r="224" spans="1:13" hidden="1">
      <c r="A224" t="s">
        <v>81</v>
      </c>
      <c r="B224" t="s">
        <v>8</v>
      </c>
      <c r="C224" t="s">
        <v>80</v>
      </c>
      <c r="D224" t="str">
        <f>LEFT(M224,10)</f>
        <v>12/15/2024</v>
      </c>
      <c r="E224" t="s">
        <v>202</v>
      </c>
      <c r="F224" t="s">
        <v>218</v>
      </c>
      <c r="G224" t="s">
        <v>241</v>
      </c>
      <c r="I224">
        <v>524</v>
      </c>
      <c r="J224">
        <v>943.2</v>
      </c>
      <c r="K224">
        <v>1.8</v>
      </c>
      <c r="M224" t="s">
        <v>205</v>
      </c>
    </row>
    <row r="225" spans="1:13" hidden="1">
      <c r="A225" t="s">
        <v>81</v>
      </c>
      <c r="B225" t="s">
        <v>8</v>
      </c>
      <c r="C225" t="s">
        <v>80</v>
      </c>
      <c r="D225" t="str">
        <f>LEFT(M225,10)</f>
        <v>12/15/2024</v>
      </c>
      <c r="E225" t="s">
        <v>202</v>
      </c>
      <c r="F225" t="s">
        <v>218</v>
      </c>
      <c r="G225" t="s">
        <v>242</v>
      </c>
      <c r="I225">
        <v>596</v>
      </c>
      <c r="J225">
        <v>596</v>
      </c>
      <c r="K225">
        <v>1</v>
      </c>
      <c r="M225" t="s">
        <v>205</v>
      </c>
    </row>
    <row r="226" spans="1:13" hidden="1">
      <c r="A226" t="s">
        <v>81</v>
      </c>
      <c r="B226" t="s">
        <v>8</v>
      </c>
      <c r="C226" t="s">
        <v>80</v>
      </c>
      <c r="D226" t="str">
        <f>LEFT(M226,10)</f>
        <v>12/15/2024</v>
      </c>
      <c r="E226" t="s">
        <v>202</v>
      </c>
      <c r="F226" t="s">
        <v>218</v>
      </c>
      <c r="G226" t="s">
        <v>219</v>
      </c>
      <c r="I226">
        <v>720</v>
      </c>
      <c r="J226">
        <v>72</v>
      </c>
      <c r="K226">
        <v>0.1</v>
      </c>
      <c r="M226" t="s">
        <v>205</v>
      </c>
    </row>
    <row r="227" spans="1:13" hidden="1">
      <c r="A227" t="s">
        <v>81</v>
      </c>
      <c r="B227" t="s">
        <v>8</v>
      </c>
      <c r="C227" t="s">
        <v>80</v>
      </c>
      <c r="D227" t="str">
        <f>LEFT(M227,10)</f>
        <v>12/15/2024</v>
      </c>
      <c r="E227" t="s">
        <v>202</v>
      </c>
      <c r="F227" t="s">
        <v>218</v>
      </c>
      <c r="G227" t="s">
        <v>219</v>
      </c>
      <c r="I227">
        <v>866</v>
      </c>
      <c r="J227">
        <v>1558.8</v>
      </c>
      <c r="K227">
        <v>1.8</v>
      </c>
      <c r="M227" t="s">
        <v>205</v>
      </c>
    </row>
    <row r="228" spans="1:13" hidden="1">
      <c r="A228" t="s">
        <v>81</v>
      </c>
      <c r="B228" t="s">
        <v>8</v>
      </c>
      <c r="C228" t="s">
        <v>80</v>
      </c>
      <c r="D228" t="str">
        <f>LEFT(M228,10)</f>
        <v>12/15/2024</v>
      </c>
      <c r="E228" t="s">
        <v>202</v>
      </c>
      <c r="F228" t="s">
        <v>218</v>
      </c>
      <c r="G228" t="s">
        <v>222</v>
      </c>
      <c r="I228">
        <v>1318</v>
      </c>
      <c r="J228">
        <v>2899.6</v>
      </c>
      <c r="K228">
        <v>2.2000000000000002</v>
      </c>
      <c r="M228" t="s">
        <v>205</v>
      </c>
    </row>
    <row r="229" spans="1:13" hidden="1">
      <c r="A229" t="s">
        <v>81</v>
      </c>
      <c r="B229" t="s">
        <v>8</v>
      </c>
      <c r="C229" t="s">
        <v>80</v>
      </c>
      <c r="D229" t="str">
        <f>LEFT(M229,10)</f>
        <v>12/15/2024</v>
      </c>
      <c r="E229" t="s">
        <v>202</v>
      </c>
      <c r="F229" t="s">
        <v>218</v>
      </c>
      <c r="G229" t="s">
        <v>219</v>
      </c>
      <c r="I229">
        <v>4250</v>
      </c>
      <c r="J229">
        <v>1700</v>
      </c>
      <c r="K229">
        <v>0.4</v>
      </c>
      <c r="M229" t="s">
        <v>205</v>
      </c>
    </row>
    <row r="230" spans="1:13" hidden="1">
      <c r="A230" t="s">
        <v>81</v>
      </c>
      <c r="B230" t="s">
        <v>8</v>
      </c>
      <c r="C230" t="s">
        <v>80</v>
      </c>
      <c r="D230" t="str">
        <f>LEFT(M230,10)</f>
        <v>12/15/2024</v>
      </c>
      <c r="E230" t="s">
        <v>202</v>
      </c>
      <c r="F230" t="s">
        <v>218</v>
      </c>
      <c r="G230" t="s">
        <v>240</v>
      </c>
      <c r="I230">
        <v>1808</v>
      </c>
      <c r="J230">
        <v>2169.6</v>
      </c>
      <c r="K230">
        <v>1.2</v>
      </c>
      <c r="M230" t="s">
        <v>205</v>
      </c>
    </row>
    <row r="231" spans="1:13" hidden="1">
      <c r="A231" t="s">
        <v>81</v>
      </c>
      <c r="B231" t="s">
        <v>8</v>
      </c>
      <c r="C231" t="s">
        <v>80</v>
      </c>
      <c r="D231" t="str">
        <f>LEFT(M231,10)</f>
        <v>12/15/2024</v>
      </c>
      <c r="E231" t="s">
        <v>202</v>
      </c>
      <c r="F231" t="s">
        <v>218</v>
      </c>
      <c r="G231" t="s">
        <v>226</v>
      </c>
      <c r="I231">
        <v>828</v>
      </c>
      <c r="J231">
        <v>165.6</v>
      </c>
      <c r="K231">
        <v>0.2</v>
      </c>
      <c r="M231" t="s">
        <v>205</v>
      </c>
    </row>
    <row r="232" spans="1:13" hidden="1">
      <c r="A232" t="s">
        <v>81</v>
      </c>
      <c r="B232" t="s">
        <v>8</v>
      </c>
      <c r="C232" t="s">
        <v>80</v>
      </c>
      <c r="D232" t="str">
        <f>LEFT(M232,10)</f>
        <v>12/15/2024</v>
      </c>
      <c r="E232" t="s">
        <v>202</v>
      </c>
      <c r="F232" t="s">
        <v>218</v>
      </c>
      <c r="G232" t="s">
        <v>225</v>
      </c>
      <c r="I232">
        <v>112</v>
      </c>
      <c r="J232">
        <v>100.8</v>
      </c>
      <c r="K232">
        <v>0.9</v>
      </c>
      <c r="M232" t="s">
        <v>205</v>
      </c>
    </row>
    <row r="233" spans="1:13" hidden="1">
      <c r="A233" t="s">
        <v>81</v>
      </c>
      <c r="B233" t="s">
        <v>8</v>
      </c>
      <c r="C233" t="s">
        <v>80</v>
      </c>
      <c r="D233" t="str">
        <f>LEFT(M233,10)</f>
        <v>12/15/2024</v>
      </c>
      <c r="E233" t="s">
        <v>202</v>
      </c>
      <c r="F233" t="s">
        <v>218</v>
      </c>
      <c r="G233" t="s">
        <v>223</v>
      </c>
      <c r="I233">
        <v>644</v>
      </c>
      <c r="J233">
        <v>386.4</v>
      </c>
      <c r="K233">
        <v>0.6</v>
      </c>
      <c r="M233" t="s">
        <v>205</v>
      </c>
    </row>
    <row r="234" spans="1:13" hidden="1">
      <c r="A234" t="s">
        <v>81</v>
      </c>
      <c r="B234" t="s">
        <v>8</v>
      </c>
      <c r="C234" t="s">
        <v>80</v>
      </c>
      <c r="D234" t="str">
        <f>LEFT(M234,10)</f>
        <v>12/15/2024</v>
      </c>
      <c r="E234" t="s">
        <v>202</v>
      </c>
      <c r="F234" t="s">
        <v>218</v>
      </c>
      <c r="G234" t="s">
        <v>223</v>
      </c>
      <c r="I234">
        <v>3580</v>
      </c>
      <c r="J234">
        <v>3222</v>
      </c>
      <c r="K234">
        <v>0.9</v>
      </c>
      <c r="M234" t="s">
        <v>205</v>
      </c>
    </row>
    <row r="235" spans="1:13" hidden="1">
      <c r="A235" t="s">
        <v>81</v>
      </c>
      <c r="B235" t="s">
        <v>8</v>
      </c>
      <c r="C235" t="s">
        <v>80</v>
      </c>
      <c r="D235" t="str">
        <f>LEFT(M235,10)</f>
        <v>12/15/2024</v>
      </c>
      <c r="E235" t="s">
        <v>202</v>
      </c>
      <c r="F235" t="s">
        <v>218</v>
      </c>
      <c r="G235" t="s">
        <v>222</v>
      </c>
      <c r="I235">
        <v>969</v>
      </c>
      <c r="J235">
        <v>1356.6</v>
      </c>
      <c r="K235">
        <v>1.4</v>
      </c>
      <c r="M235" t="s">
        <v>205</v>
      </c>
    </row>
    <row r="236" spans="1:13" hidden="1">
      <c r="A236" t="s">
        <v>81</v>
      </c>
      <c r="B236" t="s">
        <v>8</v>
      </c>
      <c r="C236" t="s">
        <v>80</v>
      </c>
      <c r="D236" t="str">
        <f>LEFT(M236,10)</f>
        <v>12/15/2024</v>
      </c>
      <c r="E236" t="s">
        <v>202</v>
      </c>
      <c r="F236" t="s">
        <v>218</v>
      </c>
      <c r="G236" t="s">
        <v>222</v>
      </c>
      <c r="I236">
        <v>2251</v>
      </c>
      <c r="J236">
        <v>1350.6</v>
      </c>
      <c r="K236">
        <v>0.6</v>
      </c>
      <c r="M236" t="s">
        <v>205</v>
      </c>
    </row>
    <row r="237" spans="1:13" hidden="1">
      <c r="A237" t="s">
        <v>81</v>
      </c>
      <c r="B237" t="s">
        <v>8</v>
      </c>
      <c r="C237" t="s">
        <v>80</v>
      </c>
      <c r="D237" t="str">
        <f>LEFT(M237,10)</f>
        <v>12/15/2024</v>
      </c>
      <c r="E237" t="s">
        <v>202</v>
      </c>
      <c r="F237" t="s">
        <v>218</v>
      </c>
      <c r="G237" t="s">
        <v>266</v>
      </c>
      <c r="I237">
        <v>355</v>
      </c>
      <c r="J237">
        <v>3.55</v>
      </c>
      <c r="K237">
        <v>0.01</v>
      </c>
      <c r="M237" t="s">
        <v>205</v>
      </c>
    </row>
    <row r="238" spans="1:13" hidden="1">
      <c r="A238" t="s">
        <v>81</v>
      </c>
      <c r="B238" t="s">
        <v>8</v>
      </c>
      <c r="C238" t="s">
        <v>80</v>
      </c>
      <c r="D238" t="str">
        <f>LEFT(M238,10)</f>
        <v>12/15/2024</v>
      </c>
      <c r="E238" t="s">
        <v>202</v>
      </c>
      <c r="F238" t="s">
        <v>218</v>
      </c>
      <c r="G238" t="s">
        <v>224</v>
      </c>
      <c r="I238">
        <v>890</v>
      </c>
      <c r="J238">
        <v>445</v>
      </c>
      <c r="K238">
        <v>0.5</v>
      </c>
      <c r="M238" t="s">
        <v>205</v>
      </c>
    </row>
    <row r="239" spans="1:13" hidden="1">
      <c r="A239" t="s">
        <v>81</v>
      </c>
      <c r="B239" t="s">
        <v>8</v>
      </c>
      <c r="C239" t="s">
        <v>80</v>
      </c>
      <c r="D239" t="str">
        <f>LEFT(M239,10)</f>
        <v>12/15/2024</v>
      </c>
      <c r="E239" t="s">
        <v>202</v>
      </c>
      <c r="F239" t="s">
        <v>218</v>
      </c>
      <c r="G239" t="s">
        <v>219</v>
      </c>
      <c r="I239">
        <v>50</v>
      </c>
      <c r="J239">
        <v>0.5</v>
      </c>
      <c r="K239">
        <v>0.01</v>
      </c>
      <c r="M239" t="s">
        <v>205</v>
      </c>
    </row>
    <row r="240" spans="1:13" hidden="1">
      <c r="A240" t="s">
        <v>81</v>
      </c>
      <c r="B240" t="s">
        <v>8</v>
      </c>
      <c r="C240" t="s">
        <v>80</v>
      </c>
      <c r="D240" t="str">
        <f>LEFT(M240,10)</f>
        <v>12/15/2024</v>
      </c>
      <c r="E240" t="s">
        <v>202</v>
      </c>
      <c r="F240" t="s">
        <v>218</v>
      </c>
      <c r="G240" t="s">
        <v>222</v>
      </c>
      <c r="I240">
        <v>515</v>
      </c>
      <c r="J240">
        <v>412</v>
      </c>
      <c r="K240">
        <v>0.8</v>
      </c>
      <c r="M240" t="s">
        <v>205</v>
      </c>
    </row>
    <row r="241" spans="1:13" hidden="1">
      <c r="A241" t="s">
        <v>81</v>
      </c>
      <c r="B241" t="s">
        <v>8</v>
      </c>
      <c r="C241" t="s">
        <v>80</v>
      </c>
      <c r="D241" t="str">
        <f>LEFT(M241,10)</f>
        <v>12/15/2024</v>
      </c>
      <c r="E241" t="s">
        <v>202</v>
      </c>
      <c r="F241" t="s">
        <v>218</v>
      </c>
      <c r="G241" t="s">
        <v>268</v>
      </c>
      <c r="I241">
        <v>133</v>
      </c>
      <c r="J241">
        <v>106.4</v>
      </c>
      <c r="K241">
        <v>0.8</v>
      </c>
      <c r="M241" t="s">
        <v>205</v>
      </c>
    </row>
    <row r="242" spans="1:13" hidden="1">
      <c r="A242" t="s">
        <v>81</v>
      </c>
      <c r="B242" t="s">
        <v>8</v>
      </c>
      <c r="C242" t="s">
        <v>80</v>
      </c>
      <c r="D242" t="str">
        <f>LEFT(M242,10)</f>
        <v>12/15/2024</v>
      </c>
      <c r="E242" t="s">
        <v>202</v>
      </c>
      <c r="F242" t="s">
        <v>227</v>
      </c>
      <c r="G242" t="s">
        <v>228</v>
      </c>
      <c r="I242">
        <v>12604</v>
      </c>
      <c r="J242">
        <v>1260.4000000000001</v>
      </c>
      <c r="K242">
        <v>0.1</v>
      </c>
      <c r="M242" t="s">
        <v>205</v>
      </c>
    </row>
    <row r="243" spans="1:13" hidden="1">
      <c r="A243" t="s">
        <v>81</v>
      </c>
      <c r="B243" t="s">
        <v>8</v>
      </c>
      <c r="C243" t="s">
        <v>80</v>
      </c>
      <c r="D243" t="str">
        <f>LEFT(M243,10)</f>
        <v>12/15/2024</v>
      </c>
      <c r="E243" t="s">
        <v>202</v>
      </c>
      <c r="F243" t="s">
        <v>227</v>
      </c>
      <c r="G243" t="s">
        <v>237</v>
      </c>
      <c r="I243">
        <v>866</v>
      </c>
      <c r="J243">
        <v>519.6</v>
      </c>
      <c r="K243">
        <v>0.6</v>
      </c>
      <c r="M243" t="s">
        <v>205</v>
      </c>
    </row>
    <row r="244" spans="1:13" hidden="1">
      <c r="A244" t="s">
        <v>81</v>
      </c>
      <c r="B244" t="s">
        <v>8</v>
      </c>
      <c r="C244" t="s">
        <v>80</v>
      </c>
      <c r="D244" t="str">
        <f>LEFT(M244,10)</f>
        <v>12/15/2024</v>
      </c>
      <c r="E244" t="s">
        <v>202</v>
      </c>
      <c r="F244" t="s">
        <v>227</v>
      </c>
      <c r="G244" t="s">
        <v>252</v>
      </c>
      <c r="I244">
        <v>1305</v>
      </c>
      <c r="J244">
        <v>130.5</v>
      </c>
      <c r="K244">
        <v>0.1</v>
      </c>
      <c r="M244" t="s">
        <v>205</v>
      </c>
    </row>
    <row r="245" spans="1:13" hidden="1">
      <c r="A245" t="s">
        <v>81</v>
      </c>
      <c r="B245" t="s">
        <v>8</v>
      </c>
      <c r="C245" t="s">
        <v>80</v>
      </c>
      <c r="D245" t="str">
        <f>LEFT(M245,10)</f>
        <v>12/15/2024</v>
      </c>
      <c r="E245" t="s">
        <v>202</v>
      </c>
      <c r="F245" t="s">
        <v>227</v>
      </c>
      <c r="G245" t="s">
        <v>238</v>
      </c>
      <c r="I245">
        <v>2808</v>
      </c>
      <c r="J245">
        <v>561.6</v>
      </c>
      <c r="K245">
        <v>0.2</v>
      </c>
      <c r="M245" t="s">
        <v>205</v>
      </c>
    </row>
    <row r="246" spans="1:13" hidden="1">
      <c r="A246" t="s">
        <v>81</v>
      </c>
      <c r="B246" t="s">
        <v>8</v>
      </c>
      <c r="C246" t="s">
        <v>80</v>
      </c>
      <c r="D246" t="str">
        <f>LEFT(M246,10)</f>
        <v>12/15/2024</v>
      </c>
      <c r="E246" t="s">
        <v>202</v>
      </c>
      <c r="F246" t="s">
        <v>227</v>
      </c>
      <c r="G246" t="s">
        <v>229</v>
      </c>
      <c r="I246">
        <v>3167</v>
      </c>
      <c r="J246">
        <v>1425.15</v>
      </c>
      <c r="K246">
        <v>0.45</v>
      </c>
      <c r="M246" t="s">
        <v>205</v>
      </c>
    </row>
    <row r="247" spans="1:13" hidden="1">
      <c r="A247" t="s">
        <v>81</v>
      </c>
      <c r="B247" t="s">
        <v>8</v>
      </c>
      <c r="C247" t="s">
        <v>80</v>
      </c>
      <c r="D247" t="str">
        <f>LEFT(M247,10)</f>
        <v>12/15/2024</v>
      </c>
      <c r="E247" t="s">
        <v>202</v>
      </c>
      <c r="F247" t="s">
        <v>227</v>
      </c>
      <c r="G247" t="s">
        <v>229</v>
      </c>
      <c r="I247">
        <v>25004</v>
      </c>
      <c r="J247">
        <v>10751.72</v>
      </c>
      <c r="K247">
        <v>0.43</v>
      </c>
      <c r="M247" t="s">
        <v>205</v>
      </c>
    </row>
    <row r="248" spans="1:13" hidden="1">
      <c r="A248" t="s">
        <v>81</v>
      </c>
      <c r="B248" t="s">
        <v>8</v>
      </c>
      <c r="C248" t="s">
        <v>80</v>
      </c>
      <c r="D248" t="str">
        <f>LEFT(M248,10)</f>
        <v>12/15/2024</v>
      </c>
      <c r="E248" t="s">
        <v>232</v>
      </c>
      <c r="F248" t="s">
        <v>233</v>
      </c>
      <c r="I248">
        <v>0</v>
      </c>
      <c r="J248">
        <v>7114.8</v>
      </c>
      <c r="M248" t="s">
        <v>205</v>
      </c>
    </row>
    <row r="249" spans="1:13" hidden="1">
      <c r="A249" t="s">
        <v>81</v>
      </c>
      <c r="B249" t="s">
        <v>8</v>
      </c>
      <c r="C249" t="s">
        <v>80</v>
      </c>
      <c r="D249" t="str">
        <f>LEFT(M249,10)</f>
        <v>12/15/2024</v>
      </c>
      <c r="E249" t="s">
        <v>232</v>
      </c>
      <c r="F249" t="s">
        <v>255</v>
      </c>
      <c r="G249" t="s">
        <v>249</v>
      </c>
      <c r="I249">
        <v>0</v>
      </c>
      <c r="J249">
        <v>200</v>
      </c>
      <c r="L249" t="s">
        <v>269</v>
      </c>
      <c r="M249" t="s">
        <v>205</v>
      </c>
    </row>
    <row r="250" spans="1:13" hidden="1">
      <c r="A250" t="s">
        <v>81</v>
      </c>
      <c r="B250" t="s">
        <v>8</v>
      </c>
      <c r="C250" t="s">
        <v>80</v>
      </c>
      <c r="D250" t="str">
        <f>LEFT(M250,10)</f>
        <v>12/15/2024</v>
      </c>
      <c r="E250" t="s">
        <v>232</v>
      </c>
      <c r="F250" t="s">
        <v>255</v>
      </c>
      <c r="G250" t="s">
        <v>249</v>
      </c>
      <c r="I250">
        <v>0</v>
      </c>
      <c r="J250">
        <v>670</v>
      </c>
      <c r="L250" t="s">
        <v>270</v>
      </c>
      <c r="M250" t="s">
        <v>205</v>
      </c>
    </row>
    <row r="251" spans="1:13" hidden="1">
      <c r="A251" t="s">
        <v>81</v>
      </c>
      <c r="B251" t="s">
        <v>8</v>
      </c>
      <c r="C251" t="s">
        <v>80</v>
      </c>
      <c r="D251" t="str">
        <f>LEFT(M251,10)</f>
        <v>12/15/2024</v>
      </c>
      <c r="E251" t="s">
        <v>232</v>
      </c>
      <c r="F251" t="s">
        <v>250</v>
      </c>
      <c r="G251" t="s">
        <v>249</v>
      </c>
      <c r="I251">
        <v>0</v>
      </c>
      <c r="J251">
        <v>260</v>
      </c>
      <c r="M251" t="s">
        <v>205</v>
      </c>
    </row>
    <row r="252" spans="1:13" hidden="1">
      <c r="A252" t="s">
        <v>81</v>
      </c>
      <c r="B252" t="s">
        <v>8</v>
      </c>
      <c r="C252" t="s">
        <v>80</v>
      </c>
      <c r="D252" t="str">
        <f>LEFT(M252,10)</f>
        <v>12/15/2024</v>
      </c>
      <c r="E252" t="s">
        <v>232</v>
      </c>
      <c r="F252" t="s">
        <v>251</v>
      </c>
      <c r="G252" t="s">
        <v>249</v>
      </c>
      <c r="I252">
        <v>0</v>
      </c>
      <c r="J252">
        <v>50</v>
      </c>
      <c r="M252" t="s">
        <v>205</v>
      </c>
    </row>
    <row r="253" spans="1:13" hidden="1">
      <c r="A253" t="s">
        <v>81</v>
      </c>
      <c r="B253" t="s">
        <v>8</v>
      </c>
      <c r="C253" t="s">
        <v>80</v>
      </c>
      <c r="D253" t="str">
        <f>LEFT(M253,10)</f>
        <v>12/15/2024</v>
      </c>
      <c r="E253" t="s">
        <v>232</v>
      </c>
      <c r="F253" t="s">
        <v>233</v>
      </c>
      <c r="G253" t="s">
        <v>249</v>
      </c>
      <c r="I253">
        <v>0</v>
      </c>
      <c r="J253">
        <v>25.71</v>
      </c>
      <c r="M253" t="s">
        <v>205</v>
      </c>
    </row>
    <row r="254" spans="1:13" hidden="1">
      <c r="A254" t="s">
        <v>81</v>
      </c>
      <c r="B254" t="s">
        <v>8</v>
      </c>
      <c r="C254" t="s">
        <v>80</v>
      </c>
      <c r="D254" t="str">
        <f>LEFT(M254,10)</f>
        <v>12/15/2024</v>
      </c>
      <c r="E254" t="s">
        <v>232</v>
      </c>
      <c r="F254" t="s">
        <v>251</v>
      </c>
      <c r="G254" t="s">
        <v>249</v>
      </c>
      <c r="I254">
        <v>0</v>
      </c>
      <c r="J254">
        <v>310</v>
      </c>
      <c r="M254" t="s">
        <v>205</v>
      </c>
    </row>
    <row r="255" spans="1:13" hidden="1">
      <c r="A255" t="s">
        <v>81</v>
      </c>
      <c r="B255" t="s">
        <v>8</v>
      </c>
      <c r="C255" t="s">
        <v>80</v>
      </c>
      <c r="D255" t="str">
        <f>LEFT(M255,10)</f>
        <v>12/15/2024</v>
      </c>
      <c r="E255" t="s">
        <v>232</v>
      </c>
      <c r="F255" t="s">
        <v>251</v>
      </c>
      <c r="G255" t="s">
        <v>249</v>
      </c>
      <c r="I255">
        <v>0</v>
      </c>
      <c r="J255">
        <v>850</v>
      </c>
      <c r="M255" t="s">
        <v>205</v>
      </c>
    </row>
    <row r="256" spans="1:13" hidden="1">
      <c r="A256" t="s">
        <v>81</v>
      </c>
      <c r="B256" t="s">
        <v>8</v>
      </c>
      <c r="C256" t="s">
        <v>80</v>
      </c>
      <c r="D256" t="str">
        <f>LEFT(M256,10)</f>
        <v>12/15/2024</v>
      </c>
      <c r="E256" t="s">
        <v>232</v>
      </c>
      <c r="F256" t="s">
        <v>251</v>
      </c>
      <c r="G256" t="s">
        <v>249</v>
      </c>
      <c r="I256">
        <v>0</v>
      </c>
      <c r="J256">
        <v>720</v>
      </c>
      <c r="M256" t="s">
        <v>205</v>
      </c>
    </row>
    <row r="257" spans="1:13" hidden="1">
      <c r="A257" t="s">
        <v>81</v>
      </c>
      <c r="B257" t="s">
        <v>8</v>
      </c>
      <c r="C257" t="s">
        <v>80</v>
      </c>
      <c r="D257" t="str">
        <f>LEFT(M257,10)</f>
        <v>12/15/2024</v>
      </c>
      <c r="E257" t="s">
        <v>232</v>
      </c>
      <c r="F257" t="s">
        <v>255</v>
      </c>
      <c r="G257" t="s">
        <v>249</v>
      </c>
      <c r="I257">
        <v>0</v>
      </c>
      <c r="J257">
        <v>800</v>
      </c>
      <c r="L257" t="s">
        <v>271</v>
      </c>
      <c r="M257" t="s">
        <v>205</v>
      </c>
    </row>
    <row r="258" spans="1:13" hidden="1">
      <c r="A258" t="s">
        <v>81</v>
      </c>
      <c r="B258" t="s">
        <v>8</v>
      </c>
      <c r="C258" t="s">
        <v>80</v>
      </c>
      <c r="D258" t="str">
        <f>LEFT(M258,10)</f>
        <v>12/15/2024</v>
      </c>
      <c r="E258" t="s">
        <v>232</v>
      </c>
      <c r="F258" t="s">
        <v>272</v>
      </c>
      <c r="G258" t="s">
        <v>249</v>
      </c>
      <c r="I258">
        <v>0</v>
      </c>
      <c r="J258">
        <v>6440</v>
      </c>
      <c r="M258" t="s">
        <v>205</v>
      </c>
    </row>
    <row r="259" spans="1:13" hidden="1">
      <c r="A259" t="s">
        <v>81</v>
      </c>
      <c r="B259" t="s">
        <v>8</v>
      </c>
      <c r="C259" t="s">
        <v>80</v>
      </c>
      <c r="D259" t="str">
        <f>LEFT(M259,10)</f>
        <v>12/15/2024</v>
      </c>
      <c r="E259" t="s">
        <v>202</v>
      </c>
      <c r="F259" t="s">
        <v>203</v>
      </c>
      <c r="G259" t="s">
        <v>207</v>
      </c>
      <c r="I259">
        <v>11337</v>
      </c>
      <c r="J259">
        <v>1234.4000000000001</v>
      </c>
      <c r="K259">
        <v>0.11</v>
      </c>
      <c r="M259" t="s">
        <v>205</v>
      </c>
    </row>
    <row r="260" spans="1:13" hidden="1">
      <c r="A260" t="s">
        <v>144</v>
      </c>
      <c r="B260" t="s">
        <v>8</v>
      </c>
      <c r="C260" t="s">
        <v>143</v>
      </c>
      <c r="D260" t="str">
        <f>LEFT(M260,10)</f>
        <v>12/15/2024</v>
      </c>
      <c r="E260" t="s">
        <v>202</v>
      </c>
      <c r="F260" t="s">
        <v>227</v>
      </c>
      <c r="G260" t="s">
        <v>229</v>
      </c>
      <c r="I260">
        <v>4856.6000000000004</v>
      </c>
      <c r="J260">
        <v>1946.64</v>
      </c>
      <c r="K260">
        <v>0.4</v>
      </c>
      <c r="M260" t="s">
        <v>205</v>
      </c>
    </row>
    <row r="261" spans="1:13" hidden="1">
      <c r="A261" t="s">
        <v>144</v>
      </c>
      <c r="B261" t="s">
        <v>8</v>
      </c>
      <c r="C261" t="s">
        <v>143</v>
      </c>
      <c r="D261" t="str">
        <f>LEFT(M261,10)</f>
        <v>12/15/2024</v>
      </c>
      <c r="E261" t="s">
        <v>202</v>
      </c>
      <c r="F261" t="s">
        <v>227</v>
      </c>
      <c r="G261" t="s">
        <v>228</v>
      </c>
      <c r="I261">
        <v>544</v>
      </c>
      <c r="J261">
        <v>65.28</v>
      </c>
      <c r="K261">
        <v>0.12</v>
      </c>
      <c r="M261" t="s">
        <v>205</v>
      </c>
    </row>
    <row r="262" spans="1:13" hidden="1">
      <c r="A262" t="s">
        <v>144</v>
      </c>
      <c r="B262" t="s">
        <v>8</v>
      </c>
      <c r="C262" t="s">
        <v>143</v>
      </c>
      <c r="D262" t="str">
        <f>LEFT(M262,10)</f>
        <v>12/15/2024</v>
      </c>
      <c r="E262" t="s">
        <v>202</v>
      </c>
      <c r="F262" t="s">
        <v>227</v>
      </c>
      <c r="G262" t="s">
        <v>238</v>
      </c>
      <c r="I262">
        <v>164.8</v>
      </c>
      <c r="J262">
        <v>24.72</v>
      </c>
      <c r="K262">
        <v>0.15</v>
      </c>
      <c r="M262" t="s">
        <v>205</v>
      </c>
    </row>
    <row r="263" spans="1:13" hidden="1">
      <c r="A263" t="s">
        <v>144</v>
      </c>
      <c r="B263" t="s">
        <v>8</v>
      </c>
      <c r="C263" t="s">
        <v>143</v>
      </c>
      <c r="D263" t="str">
        <f>LEFT(M263,10)</f>
        <v>12/15/2024</v>
      </c>
      <c r="E263" t="s">
        <v>202</v>
      </c>
      <c r="F263" t="s">
        <v>227</v>
      </c>
      <c r="G263" t="s">
        <v>252</v>
      </c>
      <c r="I263">
        <v>318.12</v>
      </c>
      <c r="J263">
        <v>38.159999999999997</v>
      </c>
      <c r="K263">
        <v>0.12</v>
      </c>
      <c r="M263" t="s">
        <v>205</v>
      </c>
    </row>
    <row r="264" spans="1:13" hidden="1">
      <c r="A264" t="s">
        <v>144</v>
      </c>
      <c r="B264" t="s">
        <v>8</v>
      </c>
      <c r="C264" t="s">
        <v>143</v>
      </c>
      <c r="D264" t="str">
        <f>LEFT(M264,10)</f>
        <v>12/15/2024</v>
      </c>
      <c r="E264" t="s">
        <v>202</v>
      </c>
      <c r="F264" t="s">
        <v>218</v>
      </c>
      <c r="G264" t="s">
        <v>240</v>
      </c>
      <c r="I264">
        <v>391.8</v>
      </c>
      <c r="J264">
        <v>744.42</v>
      </c>
      <c r="K264">
        <v>1.9</v>
      </c>
      <c r="M264" t="s">
        <v>205</v>
      </c>
    </row>
    <row r="265" spans="1:13" hidden="1">
      <c r="A265" t="s">
        <v>144</v>
      </c>
      <c r="B265" t="s">
        <v>8</v>
      </c>
      <c r="C265" t="s">
        <v>143</v>
      </c>
      <c r="D265" t="str">
        <f>LEFT(M265,10)</f>
        <v>12/15/2024</v>
      </c>
      <c r="E265" t="s">
        <v>202</v>
      </c>
      <c r="F265" t="s">
        <v>218</v>
      </c>
      <c r="G265" t="s">
        <v>241</v>
      </c>
      <c r="I265">
        <v>87.2</v>
      </c>
      <c r="J265">
        <v>165.68</v>
      </c>
      <c r="K265">
        <v>1.9</v>
      </c>
      <c r="M265" t="s">
        <v>205</v>
      </c>
    </row>
    <row r="266" spans="1:13" hidden="1">
      <c r="A266" t="s">
        <v>144</v>
      </c>
      <c r="B266" t="s">
        <v>8</v>
      </c>
      <c r="C266" t="s">
        <v>143</v>
      </c>
      <c r="D266" t="str">
        <f>LEFT(M266,10)</f>
        <v>12/15/2024</v>
      </c>
      <c r="E266" t="s">
        <v>202</v>
      </c>
      <c r="F266" t="s">
        <v>218</v>
      </c>
      <c r="G266" t="s">
        <v>220</v>
      </c>
      <c r="I266">
        <v>318</v>
      </c>
      <c r="J266">
        <v>445.2</v>
      </c>
      <c r="K266">
        <v>1.4</v>
      </c>
      <c r="M266" t="s">
        <v>205</v>
      </c>
    </row>
    <row r="267" spans="1:13" hidden="1">
      <c r="A267" t="s">
        <v>144</v>
      </c>
      <c r="B267" t="s">
        <v>8</v>
      </c>
      <c r="C267" t="s">
        <v>143</v>
      </c>
      <c r="D267" t="str">
        <f>LEFT(M267,10)</f>
        <v>12/15/2024</v>
      </c>
      <c r="E267" t="s">
        <v>202</v>
      </c>
      <c r="F267" t="s">
        <v>218</v>
      </c>
      <c r="G267" t="s">
        <v>223</v>
      </c>
      <c r="I267">
        <v>353.6</v>
      </c>
      <c r="J267">
        <v>176.8</v>
      </c>
      <c r="K267">
        <v>0.5</v>
      </c>
      <c r="M267" t="s">
        <v>205</v>
      </c>
    </row>
    <row r="268" spans="1:13" hidden="1">
      <c r="A268" t="s">
        <v>144</v>
      </c>
      <c r="B268" t="s">
        <v>8</v>
      </c>
      <c r="C268" t="s">
        <v>143</v>
      </c>
      <c r="D268" t="str">
        <f>LEFT(M268,10)</f>
        <v>12/15/2024</v>
      </c>
      <c r="E268" t="s">
        <v>202</v>
      </c>
      <c r="F268" t="s">
        <v>218</v>
      </c>
      <c r="G268" t="s">
        <v>221</v>
      </c>
      <c r="I268">
        <v>190.6</v>
      </c>
      <c r="J268">
        <v>419.32</v>
      </c>
      <c r="K268">
        <v>2.2000000000000002</v>
      </c>
      <c r="M268" t="s">
        <v>205</v>
      </c>
    </row>
    <row r="269" spans="1:13" hidden="1">
      <c r="A269" t="s">
        <v>144</v>
      </c>
      <c r="B269" t="s">
        <v>8</v>
      </c>
      <c r="C269" t="s">
        <v>143</v>
      </c>
      <c r="D269" t="str">
        <f>LEFT(M269,10)</f>
        <v>12/15/2024</v>
      </c>
      <c r="E269" t="s">
        <v>202</v>
      </c>
      <c r="F269" t="s">
        <v>218</v>
      </c>
      <c r="G269" t="s">
        <v>222</v>
      </c>
      <c r="I269">
        <v>44.8</v>
      </c>
      <c r="J269">
        <v>67.2</v>
      </c>
      <c r="K269">
        <v>1.5</v>
      </c>
      <c r="M269" t="s">
        <v>205</v>
      </c>
    </row>
    <row r="270" spans="1:13" hidden="1">
      <c r="A270" t="s">
        <v>144</v>
      </c>
      <c r="B270" t="s">
        <v>8</v>
      </c>
      <c r="C270" t="s">
        <v>143</v>
      </c>
      <c r="D270" t="str">
        <f>LEFT(M270,10)</f>
        <v>12/15/2024</v>
      </c>
      <c r="E270" t="s">
        <v>202</v>
      </c>
      <c r="F270" t="s">
        <v>218</v>
      </c>
      <c r="G270" t="s">
        <v>222</v>
      </c>
      <c r="I270">
        <v>135.80000000000001</v>
      </c>
      <c r="J270">
        <v>135.80000000000001</v>
      </c>
      <c r="K270">
        <v>1</v>
      </c>
      <c r="M270" t="s">
        <v>205</v>
      </c>
    </row>
    <row r="271" spans="1:13" hidden="1">
      <c r="A271" t="s">
        <v>144</v>
      </c>
      <c r="B271" t="s">
        <v>8</v>
      </c>
      <c r="C271" t="s">
        <v>143</v>
      </c>
      <c r="D271" t="str">
        <f>LEFT(M271,10)</f>
        <v>12/15/2024</v>
      </c>
      <c r="E271" t="s">
        <v>202</v>
      </c>
      <c r="F271" t="s">
        <v>216</v>
      </c>
      <c r="G271" t="s">
        <v>253</v>
      </c>
      <c r="I271">
        <v>1356.5</v>
      </c>
      <c r="J271">
        <v>203.47</v>
      </c>
      <c r="K271">
        <v>0.15</v>
      </c>
      <c r="M271" t="s">
        <v>205</v>
      </c>
    </row>
    <row r="272" spans="1:13" hidden="1">
      <c r="A272" t="s">
        <v>144</v>
      </c>
      <c r="B272" t="s">
        <v>8</v>
      </c>
      <c r="C272" t="s">
        <v>143</v>
      </c>
      <c r="D272" t="str">
        <f>LEFT(M272,10)</f>
        <v>12/15/2024</v>
      </c>
      <c r="E272" t="s">
        <v>202</v>
      </c>
      <c r="F272" t="s">
        <v>218</v>
      </c>
      <c r="G272" t="s">
        <v>221</v>
      </c>
      <c r="I272">
        <v>47.8</v>
      </c>
      <c r="J272">
        <v>90.82</v>
      </c>
      <c r="K272">
        <v>1.9</v>
      </c>
      <c r="M272" t="s">
        <v>205</v>
      </c>
    </row>
    <row r="273" spans="1:13" hidden="1">
      <c r="A273" t="s">
        <v>144</v>
      </c>
      <c r="B273" t="s">
        <v>8</v>
      </c>
      <c r="C273" t="s">
        <v>143</v>
      </c>
      <c r="D273" t="str">
        <f>LEFT(M273,10)</f>
        <v>12/15/2024</v>
      </c>
      <c r="E273" t="s">
        <v>230</v>
      </c>
      <c r="F273" t="s">
        <v>248</v>
      </c>
      <c r="I273">
        <v>0</v>
      </c>
      <c r="J273">
        <v>2400</v>
      </c>
      <c r="M273" t="s">
        <v>205</v>
      </c>
    </row>
    <row r="274" spans="1:13" hidden="1">
      <c r="A274" t="s">
        <v>144</v>
      </c>
      <c r="B274" t="s">
        <v>8</v>
      </c>
      <c r="C274" t="s">
        <v>143</v>
      </c>
      <c r="D274" t="str">
        <f>LEFT(M274,10)</f>
        <v>12/15/2024</v>
      </c>
      <c r="E274" t="s">
        <v>232</v>
      </c>
      <c r="F274" t="s">
        <v>250</v>
      </c>
      <c r="G274" t="s">
        <v>249</v>
      </c>
      <c r="I274">
        <v>0</v>
      </c>
      <c r="J274">
        <v>1000</v>
      </c>
      <c r="M274" t="s">
        <v>205</v>
      </c>
    </row>
    <row r="275" spans="1:13" hidden="1">
      <c r="A275" t="s">
        <v>144</v>
      </c>
      <c r="B275" t="s">
        <v>8</v>
      </c>
      <c r="C275" t="s">
        <v>143</v>
      </c>
      <c r="D275" t="str">
        <f>LEFT(M275,10)</f>
        <v>12/15/2024</v>
      </c>
      <c r="E275" t="s">
        <v>232</v>
      </c>
      <c r="F275" t="s">
        <v>255</v>
      </c>
      <c r="G275" t="s">
        <v>249</v>
      </c>
      <c r="I275">
        <v>0</v>
      </c>
      <c r="J275">
        <v>70</v>
      </c>
      <c r="L275" t="s">
        <v>273</v>
      </c>
      <c r="M275" t="s">
        <v>205</v>
      </c>
    </row>
    <row r="276" spans="1:13" hidden="1">
      <c r="A276" t="s">
        <v>144</v>
      </c>
      <c r="B276" t="s">
        <v>8</v>
      </c>
      <c r="C276" t="s">
        <v>143</v>
      </c>
      <c r="D276" t="str">
        <f>LEFT(M276,10)</f>
        <v>12/15/2024</v>
      </c>
      <c r="E276" t="s">
        <v>232</v>
      </c>
      <c r="F276" t="s">
        <v>255</v>
      </c>
      <c r="G276" t="s">
        <v>249</v>
      </c>
      <c r="I276">
        <v>0</v>
      </c>
      <c r="J276">
        <v>217</v>
      </c>
      <c r="L276" t="s">
        <v>274</v>
      </c>
      <c r="M276" t="s">
        <v>205</v>
      </c>
    </row>
    <row r="277" spans="1:13" hidden="1">
      <c r="A277" t="s">
        <v>144</v>
      </c>
      <c r="B277" t="s">
        <v>8</v>
      </c>
      <c r="C277" t="s">
        <v>143</v>
      </c>
      <c r="D277" t="str">
        <f>LEFT(M277,10)</f>
        <v>12/15/2024</v>
      </c>
      <c r="E277" t="s">
        <v>232</v>
      </c>
      <c r="F277" t="s">
        <v>275</v>
      </c>
      <c r="G277" t="s">
        <v>249</v>
      </c>
      <c r="I277">
        <v>0</v>
      </c>
      <c r="J277">
        <v>150</v>
      </c>
      <c r="M277" t="s">
        <v>205</v>
      </c>
    </row>
    <row r="278" spans="1:13" hidden="1">
      <c r="A278" t="s">
        <v>144</v>
      </c>
      <c r="B278" t="s">
        <v>8</v>
      </c>
      <c r="C278" t="s">
        <v>143</v>
      </c>
      <c r="D278" t="str">
        <f>LEFT(M278,10)</f>
        <v>12/15/2024</v>
      </c>
      <c r="E278" t="s">
        <v>232</v>
      </c>
      <c r="F278" t="s">
        <v>276</v>
      </c>
      <c r="G278" t="s">
        <v>249</v>
      </c>
      <c r="I278">
        <v>0</v>
      </c>
      <c r="J278">
        <v>100</v>
      </c>
      <c r="M278" t="s">
        <v>205</v>
      </c>
    </row>
    <row r="279" spans="1:13" hidden="1">
      <c r="A279" t="s">
        <v>144</v>
      </c>
      <c r="B279" t="s">
        <v>8</v>
      </c>
      <c r="C279" t="s">
        <v>143</v>
      </c>
      <c r="D279" t="str">
        <f>LEFT(M279,10)</f>
        <v>12/15/2024</v>
      </c>
      <c r="E279" t="s">
        <v>230</v>
      </c>
      <c r="F279" t="s">
        <v>248</v>
      </c>
      <c r="G279" t="s">
        <v>249</v>
      </c>
      <c r="I279">
        <v>0</v>
      </c>
      <c r="J279">
        <v>2640</v>
      </c>
      <c r="M279" t="s">
        <v>205</v>
      </c>
    </row>
    <row r="280" spans="1:13" hidden="1">
      <c r="A280" t="s">
        <v>144</v>
      </c>
      <c r="B280" t="s">
        <v>8</v>
      </c>
      <c r="C280" t="s">
        <v>143</v>
      </c>
      <c r="D280" t="str">
        <f>LEFT(M280,10)</f>
        <v>12/15/2024</v>
      </c>
      <c r="E280" t="s">
        <v>232</v>
      </c>
      <c r="F280" t="s">
        <v>255</v>
      </c>
      <c r="G280" t="s">
        <v>249</v>
      </c>
      <c r="I280">
        <v>0</v>
      </c>
      <c r="J280">
        <v>600</v>
      </c>
      <c r="L280" t="s">
        <v>277</v>
      </c>
      <c r="M280" t="s">
        <v>205</v>
      </c>
    </row>
    <row r="281" spans="1:13" hidden="1">
      <c r="A281" t="s">
        <v>144</v>
      </c>
      <c r="B281" t="s">
        <v>8</v>
      </c>
      <c r="C281" t="s">
        <v>143</v>
      </c>
      <c r="D281" t="str">
        <f>LEFT(M281,10)</f>
        <v>12/15/2024</v>
      </c>
      <c r="E281" t="s">
        <v>202</v>
      </c>
      <c r="F281" t="s">
        <v>203</v>
      </c>
      <c r="G281" t="s">
        <v>236</v>
      </c>
      <c r="I281">
        <v>2163</v>
      </c>
      <c r="J281">
        <v>648.9</v>
      </c>
      <c r="K281">
        <v>0.3</v>
      </c>
      <c r="M281" t="s">
        <v>205</v>
      </c>
    </row>
    <row r="282" spans="1:13" hidden="1">
      <c r="A282" t="s">
        <v>144</v>
      </c>
      <c r="B282" t="s">
        <v>8</v>
      </c>
      <c r="C282" t="s">
        <v>143</v>
      </c>
      <c r="D282" t="str">
        <f>LEFT(M282,10)</f>
        <v>12/15/2024</v>
      </c>
      <c r="E282" t="s">
        <v>202</v>
      </c>
      <c r="F282" t="s">
        <v>203</v>
      </c>
      <c r="G282" t="s">
        <v>208</v>
      </c>
      <c r="I282">
        <v>34.4</v>
      </c>
      <c r="J282">
        <v>206.4</v>
      </c>
      <c r="K282">
        <v>6</v>
      </c>
      <c r="M282" t="s">
        <v>205</v>
      </c>
    </row>
    <row r="283" spans="1:13" hidden="1">
      <c r="A283" t="s">
        <v>144</v>
      </c>
      <c r="B283" t="s">
        <v>8</v>
      </c>
      <c r="C283" t="s">
        <v>143</v>
      </c>
      <c r="D283" t="str">
        <f>LEFT(M283,10)</f>
        <v>12/15/2024</v>
      </c>
      <c r="E283" t="s">
        <v>202</v>
      </c>
      <c r="F283" t="s">
        <v>203</v>
      </c>
      <c r="G283" t="s">
        <v>204</v>
      </c>
      <c r="I283">
        <v>123</v>
      </c>
      <c r="J283">
        <v>590.4</v>
      </c>
      <c r="K283">
        <v>4.8</v>
      </c>
      <c r="M283" t="s">
        <v>205</v>
      </c>
    </row>
    <row r="284" spans="1:13" hidden="1">
      <c r="A284" t="s">
        <v>151</v>
      </c>
      <c r="B284" t="s">
        <v>8</v>
      </c>
      <c r="C284" t="s">
        <v>150</v>
      </c>
      <c r="D284" t="str">
        <f>LEFT(M284,10)</f>
        <v>12/15/2024</v>
      </c>
      <c r="E284" t="s">
        <v>202</v>
      </c>
      <c r="F284" t="s">
        <v>203</v>
      </c>
      <c r="G284" t="s">
        <v>236</v>
      </c>
      <c r="I284">
        <v>255</v>
      </c>
      <c r="J284">
        <v>1402.5</v>
      </c>
      <c r="K284">
        <v>5.5</v>
      </c>
      <c r="M284" t="s">
        <v>205</v>
      </c>
    </row>
    <row r="285" spans="1:13" hidden="1">
      <c r="A285" t="s">
        <v>151</v>
      </c>
      <c r="B285" t="s">
        <v>8</v>
      </c>
      <c r="C285" t="s">
        <v>150</v>
      </c>
      <c r="D285" t="str">
        <f>LEFT(M285,10)</f>
        <v>12/15/2024</v>
      </c>
      <c r="E285" t="s">
        <v>202</v>
      </c>
      <c r="F285" t="s">
        <v>203</v>
      </c>
      <c r="G285" t="s">
        <v>236</v>
      </c>
      <c r="I285">
        <v>57.4</v>
      </c>
      <c r="J285">
        <v>401.8</v>
      </c>
      <c r="K285">
        <v>7</v>
      </c>
      <c r="M285" t="s">
        <v>205</v>
      </c>
    </row>
    <row r="286" spans="1:13" hidden="1">
      <c r="A286" t="s">
        <v>151</v>
      </c>
      <c r="B286" t="s">
        <v>8</v>
      </c>
      <c r="C286" t="s">
        <v>150</v>
      </c>
      <c r="D286" t="str">
        <f>LEFT(M286,10)</f>
        <v>12/15/2024</v>
      </c>
      <c r="E286" t="s">
        <v>202</v>
      </c>
      <c r="F286" t="s">
        <v>203</v>
      </c>
      <c r="G286" t="s">
        <v>259</v>
      </c>
      <c r="I286">
        <v>11</v>
      </c>
      <c r="J286">
        <v>220</v>
      </c>
      <c r="K286">
        <v>20</v>
      </c>
      <c r="M286" t="s">
        <v>205</v>
      </c>
    </row>
    <row r="287" spans="1:13" hidden="1">
      <c r="A287" t="s">
        <v>151</v>
      </c>
      <c r="B287" t="s">
        <v>8</v>
      </c>
      <c r="C287" t="s">
        <v>150</v>
      </c>
      <c r="D287" t="str">
        <f>LEFT(M287,10)</f>
        <v>12/15/2024</v>
      </c>
      <c r="E287" t="s">
        <v>202</v>
      </c>
      <c r="F287" t="s">
        <v>203</v>
      </c>
      <c r="G287" t="s">
        <v>259</v>
      </c>
      <c r="I287">
        <v>100.8</v>
      </c>
      <c r="J287">
        <v>433.44</v>
      </c>
      <c r="K287">
        <v>4.3</v>
      </c>
      <c r="M287" t="s">
        <v>205</v>
      </c>
    </row>
    <row r="288" spans="1:13" hidden="1">
      <c r="A288" t="s">
        <v>151</v>
      </c>
      <c r="B288" t="s">
        <v>8</v>
      </c>
      <c r="C288" t="s">
        <v>150</v>
      </c>
      <c r="D288" t="str">
        <f>LEFT(M288,10)</f>
        <v>12/15/2024</v>
      </c>
      <c r="E288" t="s">
        <v>202</v>
      </c>
      <c r="F288" t="s">
        <v>203</v>
      </c>
      <c r="G288" t="s">
        <v>261</v>
      </c>
      <c r="I288">
        <v>90.2</v>
      </c>
      <c r="J288">
        <v>1172.5999999999999</v>
      </c>
      <c r="K288">
        <v>13</v>
      </c>
      <c r="M288" t="s">
        <v>205</v>
      </c>
    </row>
    <row r="289" spans="1:13" hidden="1">
      <c r="A289" t="s">
        <v>151</v>
      </c>
      <c r="B289" t="s">
        <v>8</v>
      </c>
      <c r="C289" t="s">
        <v>150</v>
      </c>
      <c r="D289" t="str">
        <f>LEFT(M289,10)</f>
        <v>12/15/2024</v>
      </c>
      <c r="E289" t="s">
        <v>202</v>
      </c>
      <c r="F289" t="s">
        <v>203</v>
      </c>
      <c r="G289" t="s">
        <v>260</v>
      </c>
      <c r="I289">
        <v>2.8</v>
      </c>
      <c r="J289">
        <v>92.4</v>
      </c>
      <c r="K289">
        <v>33</v>
      </c>
      <c r="M289" t="s">
        <v>205</v>
      </c>
    </row>
    <row r="290" spans="1:13" hidden="1">
      <c r="A290" t="s">
        <v>151</v>
      </c>
      <c r="B290" t="s">
        <v>8</v>
      </c>
      <c r="C290" t="s">
        <v>150</v>
      </c>
      <c r="D290" t="str">
        <f>LEFT(M290,10)</f>
        <v>12/15/2024</v>
      </c>
      <c r="E290" t="s">
        <v>202</v>
      </c>
      <c r="F290" t="s">
        <v>203</v>
      </c>
      <c r="G290" t="s">
        <v>259</v>
      </c>
      <c r="I290">
        <v>57</v>
      </c>
      <c r="J290">
        <v>171</v>
      </c>
      <c r="K290">
        <v>3</v>
      </c>
      <c r="M290" t="s">
        <v>205</v>
      </c>
    </row>
    <row r="291" spans="1:13" hidden="1">
      <c r="A291" t="s">
        <v>151</v>
      </c>
      <c r="B291" t="s">
        <v>8</v>
      </c>
      <c r="C291" t="s">
        <v>150</v>
      </c>
      <c r="D291" t="str">
        <f>LEFT(M291,10)</f>
        <v>12/15/2024</v>
      </c>
      <c r="E291" t="s">
        <v>202</v>
      </c>
      <c r="F291" t="s">
        <v>203</v>
      </c>
      <c r="G291" t="s">
        <v>206</v>
      </c>
      <c r="I291">
        <v>42</v>
      </c>
      <c r="J291">
        <v>50.4</v>
      </c>
      <c r="K291">
        <v>1.2</v>
      </c>
      <c r="M291" t="s">
        <v>205</v>
      </c>
    </row>
    <row r="292" spans="1:13" hidden="1">
      <c r="A292" t="s">
        <v>151</v>
      </c>
      <c r="B292" t="s">
        <v>8</v>
      </c>
      <c r="C292" t="s">
        <v>150</v>
      </c>
      <c r="D292" t="str">
        <f>LEFT(M292,10)</f>
        <v>12/15/2024</v>
      </c>
      <c r="E292" t="s">
        <v>202</v>
      </c>
      <c r="F292" t="s">
        <v>218</v>
      </c>
      <c r="G292" t="s">
        <v>267</v>
      </c>
      <c r="I292">
        <v>268</v>
      </c>
      <c r="J292">
        <v>80.400000000000006</v>
      </c>
      <c r="K292">
        <v>0.3</v>
      </c>
      <c r="M292" t="s">
        <v>205</v>
      </c>
    </row>
    <row r="293" spans="1:13" hidden="1">
      <c r="A293" t="s">
        <v>151</v>
      </c>
      <c r="B293" t="s">
        <v>8</v>
      </c>
      <c r="C293" t="s">
        <v>150</v>
      </c>
      <c r="D293" t="str">
        <f>LEFT(M293,10)</f>
        <v>12/15/2024</v>
      </c>
      <c r="E293" t="s">
        <v>202</v>
      </c>
      <c r="F293" t="s">
        <v>218</v>
      </c>
      <c r="G293" t="s">
        <v>225</v>
      </c>
      <c r="I293">
        <v>71</v>
      </c>
      <c r="J293">
        <v>63.9</v>
      </c>
      <c r="K293">
        <v>0.9</v>
      </c>
      <c r="M293" t="s">
        <v>205</v>
      </c>
    </row>
    <row r="294" spans="1:13" hidden="1">
      <c r="A294" t="s">
        <v>151</v>
      </c>
      <c r="B294" t="s">
        <v>8</v>
      </c>
      <c r="C294" t="s">
        <v>150</v>
      </c>
      <c r="D294" t="str">
        <f>LEFT(M294,10)</f>
        <v>12/15/2024</v>
      </c>
      <c r="E294" t="s">
        <v>202</v>
      </c>
      <c r="F294" t="s">
        <v>218</v>
      </c>
      <c r="G294" t="s">
        <v>240</v>
      </c>
      <c r="I294">
        <v>575</v>
      </c>
      <c r="J294">
        <v>690</v>
      </c>
      <c r="K294">
        <v>1.2</v>
      </c>
      <c r="M294" t="s">
        <v>205</v>
      </c>
    </row>
    <row r="295" spans="1:13" hidden="1">
      <c r="A295" t="s">
        <v>151</v>
      </c>
      <c r="B295" t="s">
        <v>8</v>
      </c>
      <c r="C295" t="s">
        <v>150</v>
      </c>
      <c r="D295" t="str">
        <f>LEFT(M295,10)</f>
        <v>12/15/2024</v>
      </c>
      <c r="E295" t="s">
        <v>202</v>
      </c>
      <c r="F295" t="s">
        <v>249</v>
      </c>
      <c r="I295">
        <v>0</v>
      </c>
      <c r="K295">
        <v>0</v>
      </c>
      <c r="M295" t="s">
        <v>205</v>
      </c>
    </row>
    <row r="296" spans="1:13" hidden="1">
      <c r="A296" t="s">
        <v>151</v>
      </c>
      <c r="B296" t="s">
        <v>8</v>
      </c>
      <c r="C296" t="s">
        <v>150</v>
      </c>
      <c r="D296" t="str">
        <f>LEFT(M296,10)</f>
        <v>12/15/2024</v>
      </c>
      <c r="E296" t="s">
        <v>202</v>
      </c>
      <c r="F296" t="s">
        <v>218</v>
      </c>
      <c r="G296" t="s">
        <v>243</v>
      </c>
      <c r="H296" t="s">
        <v>278</v>
      </c>
      <c r="I296">
        <v>168</v>
      </c>
      <c r="J296">
        <v>100.8</v>
      </c>
      <c r="K296">
        <v>0.6</v>
      </c>
      <c r="M296" t="s">
        <v>205</v>
      </c>
    </row>
    <row r="297" spans="1:13" hidden="1">
      <c r="A297" t="s">
        <v>151</v>
      </c>
      <c r="B297" t="s">
        <v>8</v>
      </c>
      <c r="C297" t="s">
        <v>150</v>
      </c>
      <c r="D297" t="str">
        <f>LEFT(M297,10)</f>
        <v>12/15/2024</v>
      </c>
      <c r="E297" t="s">
        <v>202</v>
      </c>
      <c r="F297" t="s">
        <v>218</v>
      </c>
      <c r="G297" t="s">
        <v>241</v>
      </c>
      <c r="I297">
        <v>120</v>
      </c>
      <c r="J297">
        <v>216</v>
      </c>
      <c r="K297">
        <v>1.8</v>
      </c>
      <c r="M297" t="s">
        <v>205</v>
      </c>
    </row>
    <row r="298" spans="1:13" hidden="1">
      <c r="A298" t="s">
        <v>151</v>
      </c>
      <c r="B298" t="s">
        <v>8</v>
      </c>
      <c r="C298" t="s">
        <v>150</v>
      </c>
      <c r="D298" t="str">
        <f>LEFT(M298,10)</f>
        <v>12/15/2024</v>
      </c>
      <c r="E298" t="s">
        <v>202</v>
      </c>
      <c r="F298" t="s">
        <v>218</v>
      </c>
      <c r="G298" t="s">
        <v>226</v>
      </c>
      <c r="I298">
        <v>260</v>
      </c>
      <c r="J298">
        <v>52</v>
      </c>
      <c r="K298">
        <v>0.2</v>
      </c>
      <c r="M298" t="s">
        <v>205</v>
      </c>
    </row>
    <row r="299" spans="1:13" hidden="1">
      <c r="A299" t="s">
        <v>151</v>
      </c>
      <c r="B299" t="s">
        <v>8</v>
      </c>
      <c r="C299" t="s">
        <v>150</v>
      </c>
      <c r="D299" t="str">
        <f>LEFT(M299,10)</f>
        <v>12/15/2024</v>
      </c>
      <c r="E299" t="s">
        <v>202</v>
      </c>
      <c r="F299" t="s">
        <v>227</v>
      </c>
      <c r="G299" t="s">
        <v>228</v>
      </c>
      <c r="I299">
        <v>3449</v>
      </c>
      <c r="J299">
        <v>344.9</v>
      </c>
      <c r="K299">
        <v>0.1</v>
      </c>
      <c r="M299" t="s">
        <v>205</v>
      </c>
    </row>
    <row r="300" spans="1:13" hidden="1">
      <c r="A300" t="s">
        <v>151</v>
      </c>
      <c r="B300" t="s">
        <v>8</v>
      </c>
      <c r="C300" t="s">
        <v>150</v>
      </c>
      <c r="D300" t="str">
        <f>LEFT(M300,10)</f>
        <v>12/15/2024</v>
      </c>
      <c r="E300" t="s">
        <v>202</v>
      </c>
      <c r="F300" t="s">
        <v>227</v>
      </c>
      <c r="G300" t="s">
        <v>237</v>
      </c>
      <c r="I300">
        <v>2118</v>
      </c>
      <c r="J300">
        <v>1270.8</v>
      </c>
      <c r="K300">
        <v>0.6</v>
      </c>
      <c r="M300" t="s">
        <v>205</v>
      </c>
    </row>
    <row r="301" spans="1:13" hidden="1">
      <c r="A301" t="s">
        <v>151</v>
      </c>
      <c r="B301" t="s">
        <v>8</v>
      </c>
      <c r="C301" t="s">
        <v>150</v>
      </c>
      <c r="D301" t="str">
        <f>LEFT(M301,10)</f>
        <v>12/15/2024</v>
      </c>
      <c r="E301" t="s">
        <v>202</v>
      </c>
      <c r="F301" t="s">
        <v>218</v>
      </c>
      <c r="G301" t="s">
        <v>243</v>
      </c>
      <c r="H301" t="s">
        <v>279</v>
      </c>
      <c r="I301">
        <v>174</v>
      </c>
      <c r="J301">
        <v>174</v>
      </c>
      <c r="K301">
        <v>1</v>
      </c>
      <c r="M301" t="s">
        <v>205</v>
      </c>
    </row>
    <row r="302" spans="1:13" hidden="1">
      <c r="A302" t="s">
        <v>151</v>
      </c>
      <c r="B302" t="s">
        <v>8</v>
      </c>
      <c r="C302" t="s">
        <v>150</v>
      </c>
      <c r="D302" t="str">
        <f>LEFT(M302,10)</f>
        <v>12/15/2024</v>
      </c>
      <c r="E302" t="s">
        <v>202</v>
      </c>
      <c r="F302" t="s">
        <v>218</v>
      </c>
      <c r="G302" t="s">
        <v>240</v>
      </c>
      <c r="I302">
        <v>633</v>
      </c>
      <c r="J302">
        <v>1139.4000000000001</v>
      </c>
      <c r="K302">
        <v>1.8</v>
      </c>
      <c r="M302" t="s">
        <v>205</v>
      </c>
    </row>
    <row r="303" spans="1:13" hidden="1">
      <c r="A303" t="s">
        <v>151</v>
      </c>
      <c r="B303" t="s">
        <v>8</v>
      </c>
      <c r="C303" t="s">
        <v>150</v>
      </c>
      <c r="D303" t="str">
        <f>LEFT(M303,10)</f>
        <v>12/15/2024</v>
      </c>
      <c r="E303" t="s">
        <v>202</v>
      </c>
      <c r="F303" t="s">
        <v>218</v>
      </c>
      <c r="G303" t="s">
        <v>243</v>
      </c>
      <c r="H303" t="s">
        <v>280</v>
      </c>
      <c r="I303">
        <v>1472</v>
      </c>
      <c r="J303">
        <v>1177.5999999999999</v>
      </c>
      <c r="K303">
        <v>0.8</v>
      </c>
      <c r="M303" t="s">
        <v>205</v>
      </c>
    </row>
    <row r="304" spans="1:13" hidden="1">
      <c r="A304" t="s">
        <v>151</v>
      </c>
      <c r="B304" t="s">
        <v>8</v>
      </c>
      <c r="C304" t="s">
        <v>150</v>
      </c>
      <c r="D304" t="str">
        <f>LEFT(M304,10)</f>
        <v>12/15/2024</v>
      </c>
      <c r="E304" t="s">
        <v>202</v>
      </c>
      <c r="F304" t="s">
        <v>218</v>
      </c>
      <c r="G304" t="s">
        <v>219</v>
      </c>
      <c r="I304">
        <v>70</v>
      </c>
      <c r="J304">
        <v>7</v>
      </c>
      <c r="K304">
        <v>0.1</v>
      </c>
      <c r="M304" t="s">
        <v>205</v>
      </c>
    </row>
    <row r="305" spans="1:13" hidden="1">
      <c r="A305" t="s">
        <v>151</v>
      </c>
      <c r="B305" t="s">
        <v>8</v>
      </c>
      <c r="C305" t="s">
        <v>150</v>
      </c>
      <c r="D305" t="str">
        <f>LEFT(M305,10)</f>
        <v>12/15/2024</v>
      </c>
      <c r="E305" t="s">
        <v>202</v>
      </c>
      <c r="F305" t="s">
        <v>218</v>
      </c>
      <c r="G305" t="s">
        <v>243</v>
      </c>
      <c r="H305" t="s">
        <v>281</v>
      </c>
      <c r="I305">
        <v>162</v>
      </c>
      <c r="J305">
        <v>291.60000000000002</v>
      </c>
      <c r="K305">
        <v>1.8</v>
      </c>
      <c r="M305" t="s">
        <v>205</v>
      </c>
    </row>
    <row r="306" spans="1:13" hidden="1">
      <c r="A306" t="s">
        <v>151</v>
      </c>
      <c r="B306" t="s">
        <v>8</v>
      </c>
      <c r="C306" t="s">
        <v>150</v>
      </c>
      <c r="D306" t="str">
        <f>LEFT(M306,10)</f>
        <v>12/15/2024</v>
      </c>
      <c r="E306" t="s">
        <v>202</v>
      </c>
      <c r="F306" t="s">
        <v>218</v>
      </c>
      <c r="G306" t="s">
        <v>243</v>
      </c>
      <c r="H306" t="s">
        <v>282</v>
      </c>
      <c r="I306">
        <v>206</v>
      </c>
      <c r="J306">
        <v>412</v>
      </c>
      <c r="K306">
        <v>2</v>
      </c>
      <c r="M306" t="s">
        <v>205</v>
      </c>
    </row>
    <row r="307" spans="1:13" hidden="1">
      <c r="A307" t="s">
        <v>151</v>
      </c>
      <c r="B307" t="s">
        <v>8</v>
      </c>
      <c r="C307" t="s">
        <v>150</v>
      </c>
      <c r="D307" t="str">
        <f>LEFT(M307,10)</f>
        <v>12/15/2024</v>
      </c>
      <c r="E307" t="s">
        <v>202</v>
      </c>
      <c r="F307" t="s">
        <v>218</v>
      </c>
      <c r="G307" t="s">
        <v>266</v>
      </c>
      <c r="I307">
        <v>55</v>
      </c>
      <c r="J307">
        <v>5.5</v>
      </c>
      <c r="K307">
        <v>0.1</v>
      </c>
      <c r="M307" t="s">
        <v>205</v>
      </c>
    </row>
    <row r="308" spans="1:13" hidden="1">
      <c r="A308" t="s">
        <v>151</v>
      </c>
      <c r="B308" t="s">
        <v>8</v>
      </c>
      <c r="C308" t="s">
        <v>150</v>
      </c>
      <c r="D308" t="str">
        <f>LEFT(M308,10)</f>
        <v>12/15/2024</v>
      </c>
      <c r="E308" t="s">
        <v>202</v>
      </c>
      <c r="F308" t="s">
        <v>218</v>
      </c>
      <c r="G308" t="s">
        <v>223</v>
      </c>
      <c r="I308">
        <v>282</v>
      </c>
      <c r="J308">
        <v>169.2</v>
      </c>
      <c r="K308">
        <v>0.6</v>
      </c>
      <c r="M308" t="s">
        <v>205</v>
      </c>
    </row>
    <row r="309" spans="1:13" hidden="1">
      <c r="A309" t="s">
        <v>151</v>
      </c>
      <c r="B309" t="s">
        <v>8</v>
      </c>
      <c r="C309" t="s">
        <v>150</v>
      </c>
      <c r="D309" t="str">
        <f>LEFT(M309,10)</f>
        <v>12/15/2024</v>
      </c>
      <c r="E309" t="s">
        <v>202</v>
      </c>
      <c r="F309" t="s">
        <v>218</v>
      </c>
      <c r="G309" t="s">
        <v>243</v>
      </c>
      <c r="H309" t="s">
        <v>283</v>
      </c>
      <c r="I309">
        <v>80</v>
      </c>
      <c r="J309">
        <v>96</v>
      </c>
      <c r="K309">
        <v>1.2</v>
      </c>
      <c r="M309" t="s">
        <v>205</v>
      </c>
    </row>
    <row r="310" spans="1:13" hidden="1">
      <c r="A310" t="s">
        <v>151</v>
      </c>
      <c r="B310" t="s">
        <v>8</v>
      </c>
      <c r="C310" t="s">
        <v>150</v>
      </c>
      <c r="D310" t="str">
        <f>LEFT(M310,10)</f>
        <v>12/15/2024</v>
      </c>
      <c r="E310" t="s">
        <v>202</v>
      </c>
      <c r="F310" t="s">
        <v>218</v>
      </c>
      <c r="G310" t="s">
        <v>243</v>
      </c>
      <c r="H310" t="s">
        <v>284</v>
      </c>
      <c r="I310">
        <v>57</v>
      </c>
      <c r="J310">
        <v>0.56999999999999995</v>
      </c>
      <c r="K310">
        <v>0.01</v>
      </c>
      <c r="M310" t="s">
        <v>205</v>
      </c>
    </row>
    <row r="311" spans="1:13" hidden="1">
      <c r="A311" t="s">
        <v>151</v>
      </c>
      <c r="B311" t="s">
        <v>8</v>
      </c>
      <c r="C311" t="s">
        <v>150</v>
      </c>
      <c r="D311" t="str">
        <f>LEFT(M311,10)</f>
        <v>12/15/2024</v>
      </c>
      <c r="E311" t="s">
        <v>202</v>
      </c>
      <c r="F311" t="s">
        <v>218</v>
      </c>
      <c r="G311" t="s">
        <v>268</v>
      </c>
      <c r="I311">
        <v>72</v>
      </c>
      <c r="J311">
        <v>57.6</v>
      </c>
      <c r="K311">
        <v>0.8</v>
      </c>
      <c r="M311" t="s">
        <v>205</v>
      </c>
    </row>
    <row r="312" spans="1:13" hidden="1">
      <c r="A312" t="s">
        <v>151</v>
      </c>
      <c r="B312" t="s">
        <v>8</v>
      </c>
      <c r="C312" t="s">
        <v>150</v>
      </c>
      <c r="D312" t="str">
        <f>LEFT(M312,10)</f>
        <v>12/15/2024</v>
      </c>
      <c r="E312" t="s">
        <v>202</v>
      </c>
      <c r="F312" t="s">
        <v>227</v>
      </c>
      <c r="G312" t="s">
        <v>252</v>
      </c>
      <c r="I312">
        <v>271</v>
      </c>
      <c r="J312">
        <v>27.1</v>
      </c>
      <c r="K312">
        <v>0.1</v>
      </c>
      <c r="M312" t="s">
        <v>205</v>
      </c>
    </row>
    <row r="313" spans="1:13" hidden="1">
      <c r="A313" t="s">
        <v>151</v>
      </c>
      <c r="B313" t="s">
        <v>8</v>
      </c>
      <c r="C313" t="s">
        <v>150</v>
      </c>
      <c r="D313" t="str">
        <f>LEFT(M313,10)</f>
        <v>12/15/2024</v>
      </c>
      <c r="E313" t="s">
        <v>202</v>
      </c>
      <c r="F313" t="s">
        <v>227</v>
      </c>
      <c r="G313" t="s">
        <v>238</v>
      </c>
      <c r="I313">
        <v>396</v>
      </c>
      <c r="J313">
        <v>79.2</v>
      </c>
      <c r="K313">
        <v>0.2</v>
      </c>
      <c r="M313" t="s">
        <v>205</v>
      </c>
    </row>
    <row r="314" spans="1:13" hidden="1">
      <c r="A314" t="s">
        <v>151</v>
      </c>
      <c r="B314" t="s">
        <v>8</v>
      </c>
      <c r="C314" t="s">
        <v>150</v>
      </c>
      <c r="D314" t="str">
        <f>LEFT(M314,10)</f>
        <v>12/15/2024</v>
      </c>
      <c r="E314" t="s">
        <v>202</v>
      </c>
      <c r="F314" t="s">
        <v>218</v>
      </c>
      <c r="G314" t="s">
        <v>243</v>
      </c>
      <c r="H314" t="s">
        <v>285</v>
      </c>
      <c r="I314">
        <v>60</v>
      </c>
      <c r="J314">
        <v>18</v>
      </c>
      <c r="K314">
        <v>0.3</v>
      </c>
      <c r="M314" t="s">
        <v>205</v>
      </c>
    </row>
    <row r="315" spans="1:13" hidden="1">
      <c r="A315" t="s">
        <v>151</v>
      </c>
      <c r="B315" t="s">
        <v>8</v>
      </c>
      <c r="C315" t="s">
        <v>150</v>
      </c>
      <c r="D315" t="str">
        <f>LEFT(M315,10)</f>
        <v>12/15/2024</v>
      </c>
      <c r="E315" t="s">
        <v>202</v>
      </c>
      <c r="F315" t="s">
        <v>218</v>
      </c>
      <c r="G315" t="s">
        <v>242</v>
      </c>
      <c r="I315">
        <v>60</v>
      </c>
      <c r="J315">
        <v>48</v>
      </c>
      <c r="K315">
        <v>0.8</v>
      </c>
      <c r="M315" t="s">
        <v>205</v>
      </c>
    </row>
    <row r="316" spans="1:13" hidden="1">
      <c r="A316" t="s">
        <v>151</v>
      </c>
      <c r="B316" t="s">
        <v>8</v>
      </c>
      <c r="C316" t="s">
        <v>150</v>
      </c>
      <c r="D316" t="str">
        <f>LEFT(M316,10)</f>
        <v>12/15/2024</v>
      </c>
      <c r="E316" t="s">
        <v>202</v>
      </c>
      <c r="F316" t="s">
        <v>227</v>
      </c>
      <c r="G316" t="s">
        <v>229</v>
      </c>
      <c r="I316">
        <v>3958</v>
      </c>
      <c r="J316">
        <v>1583.2</v>
      </c>
      <c r="K316">
        <v>0.4</v>
      </c>
      <c r="M316" t="s">
        <v>205</v>
      </c>
    </row>
    <row r="317" spans="1:13" hidden="1">
      <c r="A317" t="s">
        <v>151</v>
      </c>
      <c r="B317" t="s">
        <v>8</v>
      </c>
      <c r="C317" t="s">
        <v>150</v>
      </c>
      <c r="D317" t="str">
        <f>LEFT(M317,10)</f>
        <v>12/15/2024</v>
      </c>
      <c r="E317" t="s">
        <v>202</v>
      </c>
      <c r="F317" t="s">
        <v>227</v>
      </c>
      <c r="G317" t="s">
        <v>238</v>
      </c>
      <c r="I317">
        <v>320</v>
      </c>
      <c r="J317">
        <v>64</v>
      </c>
      <c r="K317">
        <v>0.2</v>
      </c>
      <c r="M317" t="s">
        <v>205</v>
      </c>
    </row>
    <row r="318" spans="1:13" hidden="1">
      <c r="A318" t="s">
        <v>151</v>
      </c>
      <c r="B318" t="s">
        <v>8</v>
      </c>
      <c r="C318" t="s">
        <v>150</v>
      </c>
      <c r="D318" t="str">
        <f>LEFT(M318,10)</f>
        <v>12/15/2024</v>
      </c>
      <c r="E318" t="s">
        <v>202</v>
      </c>
      <c r="F318" t="s">
        <v>227</v>
      </c>
      <c r="G318" t="s">
        <v>252</v>
      </c>
      <c r="I318">
        <v>131</v>
      </c>
      <c r="J318">
        <v>13.1</v>
      </c>
      <c r="K318">
        <v>0.1</v>
      </c>
      <c r="M318" t="s">
        <v>205</v>
      </c>
    </row>
    <row r="319" spans="1:13" hidden="1">
      <c r="A319" t="s">
        <v>151</v>
      </c>
      <c r="B319" t="s">
        <v>8</v>
      </c>
      <c r="C319" t="s">
        <v>150</v>
      </c>
      <c r="D319" t="str">
        <f>LEFT(M319,10)</f>
        <v>12/15/2024</v>
      </c>
      <c r="E319" t="s">
        <v>202</v>
      </c>
      <c r="F319" t="s">
        <v>227</v>
      </c>
      <c r="G319" t="s">
        <v>228</v>
      </c>
      <c r="I319">
        <v>3176</v>
      </c>
      <c r="J319">
        <v>317.60000000000002</v>
      </c>
      <c r="K319">
        <v>0.1</v>
      </c>
      <c r="M319" t="s">
        <v>205</v>
      </c>
    </row>
    <row r="320" spans="1:13" hidden="1">
      <c r="A320" t="s">
        <v>151</v>
      </c>
      <c r="B320" t="s">
        <v>8</v>
      </c>
      <c r="C320" t="s">
        <v>150</v>
      </c>
      <c r="D320" t="str">
        <f>LEFT(M320,10)</f>
        <v>12/15/2024</v>
      </c>
      <c r="E320" t="s">
        <v>202</v>
      </c>
      <c r="F320" t="s">
        <v>227</v>
      </c>
      <c r="G320" t="s">
        <v>237</v>
      </c>
      <c r="I320">
        <v>1536</v>
      </c>
      <c r="J320">
        <v>921.6</v>
      </c>
      <c r="K320">
        <v>0.6</v>
      </c>
      <c r="M320" t="s">
        <v>205</v>
      </c>
    </row>
    <row r="321" spans="1:13" hidden="1">
      <c r="A321" t="s">
        <v>151</v>
      </c>
      <c r="B321" t="s">
        <v>8</v>
      </c>
      <c r="C321" t="s">
        <v>150</v>
      </c>
      <c r="D321" t="str">
        <f>LEFT(M321,10)</f>
        <v>12/15/2024</v>
      </c>
      <c r="E321" t="s">
        <v>202</v>
      </c>
      <c r="F321" t="s">
        <v>227</v>
      </c>
      <c r="G321" t="s">
        <v>229</v>
      </c>
      <c r="I321">
        <v>2567</v>
      </c>
      <c r="J321">
        <v>1026.8</v>
      </c>
      <c r="K321">
        <v>0.4</v>
      </c>
      <c r="M321" t="s">
        <v>205</v>
      </c>
    </row>
    <row r="322" spans="1:13" hidden="1">
      <c r="A322" t="s">
        <v>151</v>
      </c>
      <c r="B322" t="s">
        <v>8</v>
      </c>
      <c r="C322" t="s">
        <v>150</v>
      </c>
      <c r="D322" t="str">
        <f>LEFT(M322,10)</f>
        <v>12/15/2024</v>
      </c>
      <c r="E322" t="s">
        <v>202</v>
      </c>
      <c r="F322" t="s">
        <v>203</v>
      </c>
      <c r="G322" t="s">
        <v>236</v>
      </c>
      <c r="I322">
        <v>4700</v>
      </c>
      <c r="J322">
        <v>2350</v>
      </c>
      <c r="K322">
        <v>0.5</v>
      </c>
      <c r="M322" t="s">
        <v>205</v>
      </c>
    </row>
    <row r="323" spans="1:13" hidden="1">
      <c r="A323" t="s">
        <v>151</v>
      </c>
      <c r="B323" t="s">
        <v>8</v>
      </c>
      <c r="C323" t="s">
        <v>150</v>
      </c>
      <c r="D323" t="str">
        <f>LEFT(M323,10)</f>
        <v>12/15/2024</v>
      </c>
      <c r="E323" t="s">
        <v>232</v>
      </c>
      <c r="F323" t="s">
        <v>250</v>
      </c>
      <c r="I323">
        <v>0</v>
      </c>
      <c r="J323">
        <v>336</v>
      </c>
      <c r="M323" t="s">
        <v>205</v>
      </c>
    </row>
    <row r="324" spans="1:13" hidden="1">
      <c r="A324" t="s">
        <v>151</v>
      </c>
      <c r="B324" t="s">
        <v>8</v>
      </c>
      <c r="C324" t="s">
        <v>150</v>
      </c>
      <c r="D324" t="str">
        <f>LEFT(M324,10)</f>
        <v>12/15/2024</v>
      </c>
      <c r="E324" t="s">
        <v>232</v>
      </c>
      <c r="F324" t="s">
        <v>251</v>
      </c>
      <c r="I324">
        <v>0</v>
      </c>
      <c r="J324">
        <v>398.97</v>
      </c>
      <c r="M324" t="s">
        <v>205</v>
      </c>
    </row>
    <row r="325" spans="1:13" hidden="1">
      <c r="A325" t="s">
        <v>151</v>
      </c>
      <c r="B325" t="s">
        <v>8</v>
      </c>
      <c r="C325" t="s">
        <v>150</v>
      </c>
      <c r="D325" t="str">
        <f>LEFT(M325,10)</f>
        <v>12/15/2024</v>
      </c>
      <c r="E325" t="s">
        <v>230</v>
      </c>
      <c r="F325" t="s">
        <v>248</v>
      </c>
      <c r="I325">
        <v>0</v>
      </c>
      <c r="J325">
        <v>18038.400000000001</v>
      </c>
      <c r="M325" t="s">
        <v>205</v>
      </c>
    </row>
    <row r="326" spans="1:13" hidden="1">
      <c r="A326" t="s">
        <v>151</v>
      </c>
      <c r="B326" t="s">
        <v>8</v>
      </c>
      <c r="C326" t="s">
        <v>150</v>
      </c>
      <c r="D326" t="str">
        <f>LEFT(M326,10)</f>
        <v>12/15/2024</v>
      </c>
      <c r="E326" t="s">
        <v>234</v>
      </c>
      <c r="F326" t="s">
        <v>234</v>
      </c>
      <c r="I326">
        <v>6760</v>
      </c>
      <c r="M326" t="s">
        <v>205</v>
      </c>
    </row>
    <row r="327" spans="1:13" hidden="1">
      <c r="A327" t="s">
        <v>66</v>
      </c>
      <c r="B327" t="s">
        <v>63</v>
      </c>
      <c r="C327" t="s">
        <v>60</v>
      </c>
      <c r="D327" t="str">
        <f>LEFT(M327,10)</f>
        <v>12/15/2024</v>
      </c>
      <c r="E327" t="s">
        <v>202</v>
      </c>
      <c r="F327" t="s">
        <v>227</v>
      </c>
      <c r="G327" t="s">
        <v>237</v>
      </c>
      <c r="I327">
        <v>2345.9</v>
      </c>
      <c r="J327">
        <v>1759.43</v>
      </c>
      <c r="K327">
        <v>0.75</v>
      </c>
      <c r="M327" t="s">
        <v>205</v>
      </c>
    </row>
    <row r="328" spans="1:13" hidden="1">
      <c r="A328" t="s">
        <v>66</v>
      </c>
      <c r="B328" t="s">
        <v>63</v>
      </c>
      <c r="C328" t="s">
        <v>60</v>
      </c>
      <c r="D328" t="str">
        <f>LEFT(M328,10)</f>
        <v>12/15/2024</v>
      </c>
      <c r="E328" t="s">
        <v>202</v>
      </c>
      <c r="F328" t="s">
        <v>227</v>
      </c>
      <c r="G328" t="s">
        <v>228</v>
      </c>
      <c r="I328">
        <v>1548.9</v>
      </c>
      <c r="J328">
        <v>154.88999999999999</v>
      </c>
      <c r="K328">
        <v>0.1</v>
      </c>
      <c r="M328" t="s">
        <v>205</v>
      </c>
    </row>
    <row r="329" spans="1:13" hidden="1">
      <c r="A329" t="s">
        <v>66</v>
      </c>
      <c r="B329" t="s">
        <v>63</v>
      </c>
      <c r="C329" t="s">
        <v>60</v>
      </c>
      <c r="D329" t="str">
        <f>LEFT(M329,10)</f>
        <v>12/15/2024</v>
      </c>
      <c r="E329" t="s">
        <v>202</v>
      </c>
      <c r="F329" t="s">
        <v>227</v>
      </c>
      <c r="G329" t="s">
        <v>229</v>
      </c>
      <c r="I329">
        <v>5590.6</v>
      </c>
      <c r="J329">
        <v>2236.2399999999998</v>
      </c>
      <c r="K329">
        <v>0.4</v>
      </c>
      <c r="M329" t="s">
        <v>205</v>
      </c>
    </row>
    <row r="330" spans="1:13" hidden="1">
      <c r="A330" t="s">
        <v>66</v>
      </c>
      <c r="B330" t="s">
        <v>63</v>
      </c>
      <c r="C330" t="s">
        <v>60</v>
      </c>
      <c r="D330" t="str">
        <f>LEFT(M330,10)</f>
        <v>12/15/2024</v>
      </c>
      <c r="E330" t="s">
        <v>202</v>
      </c>
      <c r="F330" t="s">
        <v>227</v>
      </c>
      <c r="G330" t="s">
        <v>229</v>
      </c>
      <c r="I330">
        <v>7207.12</v>
      </c>
      <c r="J330">
        <v>2882.85</v>
      </c>
      <c r="K330">
        <v>0.4</v>
      </c>
      <c r="M330" t="s">
        <v>205</v>
      </c>
    </row>
    <row r="331" spans="1:13" hidden="1">
      <c r="A331" t="s">
        <v>66</v>
      </c>
      <c r="B331" t="s">
        <v>63</v>
      </c>
      <c r="C331" t="s">
        <v>60</v>
      </c>
      <c r="D331" t="str">
        <f>LEFT(M331,10)</f>
        <v>12/15/2024</v>
      </c>
      <c r="E331" t="s">
        <v>202</v>
      </c>
      <c r="F331" t="s">
        <v>227</v>
      </c>
      <c r="G331" t="s">
        <v>238</v>
      </c>
      <c r="I331">
        <v>1433.5</v>
      </c>
      <c r="J331">
        <v>286.7</v>
      </c>
      <c r="K331">
        <v>0.2</v>
      </c>
      <c r="M331" t="s">
        <v>205</v>
      </c>
    </row>
    <row r="332" spans="1:13" hidden="1">
      <c r="A332" t="s">
        <v>66</v>
      </c>
      <c r="B332" t="s">
        <v>63</v>
      </c>
      <c r="C332" t="s">
        <v>60</v>
      </c>
      <c r="D332" t="str">
        <f>LEFT(M332,10)</f>
        <v>12/15/2024</v>
      </c>
      <c r="E332" t="s">
        <v>202</v>
      </c>
      <c r="F332" t="s">
        <v>227</v>
      </c>
      <c r="G332" t="s">
        <v>252</v>
      </c>
      <c r="I332">
        <v>357.4</v>
      </c>
      <c r="J332">
        <v>35.74</v>
      </c>
      <c r="K332">
        <v>0.1</v>
      </c>
      <c r="M332" t="s">
        <v>205</v>
      </c>
    </row>
    <row r="333" spans="1:13" hidden="1">
      <c r="A333" t="s">
        <v>66</v>
      </c>
      <c r="B333" t="s">
        <v>63</v>
      </c>
      <c r="C333" t="s">
        <v>60</v>
      </c>
      <c r="D333" t="str">
        <f>LEFT(M333,10)</f>
        <v>12/15/2024</v>
      </c>
      <c r="E333" t="s">
        <v>202</v>
      </c>
      <c r="F333" t="s">
        <v>218</v>
      </c>
      <c r="G333" t="s">
        <v>221</v>
      </c>
      <c r="I333">
        <v>655.20000000000005</v>
      </c>
      <c r="J333">
        <v>1343.16</v>
      </c>
      <c r="K333">
        <v>2.0499999999999998</v>
      </c>
      <c r="M333" t="s">
        <v>205</v>
      </c>
    </row>
    <row r="334" spans="1:13" hidden="1">
      <c r="A334" t="s">
        <v>66</v>
      </c>
      <c r="B334" t="s">
        <v>63</v>
      </c>
      <c r="C334" t="s">
        <v>60</v>
      </c>
      <c r="D334" t="str">
        <f>LEFT(M334,10)</f>
        <v>12/15/2024</v>
      </c>
      <c r="E334" t="s">
        <v>202</v>
      </c>
      <c r="F334" t="s">
        <v>218</v>
      </c>
      <c r="G334" t="s">
        <v>220</v>
      </c>
      <c r="I334">
        <v>467.8</v>
      </c>
      <c r="J334">
        <v>701.7</v>
      </c>
      <c r="K334">
        <v>1.5</v>
      </c>
      <c r="M334" t="s">
        <v>205</v>
      </c>
    </row>
    <row r="335" spans="1:13" hidden="1">
      <c r="A335" t="s">
        <v>66</v>
      </c>
      <c r="B335" t="s">
        <v>63</v>
      </c>
      <c r="C335" t="s">
        <v>60</v>
      </c>
      <c r="D335" t="str">
        <f>LEFT(M335,10)</f>
        <v>12/15/2024</v>
      </c>
      <c r="E335" t="s">
        <v>202</v>
      </c>
      <c r="F335" t="s">
        <v>218</v>
      </c>
      <c r="G335" t="s">
        <v>223</v>
      </c>
      <c r="I335">
        <v>592.20000000000005</v>
      </c>
      <c r="J335">
        <v>355.32</v>
      </c>
      <c r="K335">
        <v>0.6</v>
      </c>
      <c r="M335" t="s">
        <v>205</v>
      </c>
    </row>
    <row r="336" spans="1:13" hidden="1">
      <c r="A336" t="s">
        <v>66</v>
      </c>
      <c r="B336" t="s">
        <v>63</v>
      </c>
      <c r="C336" t="s">
        <v>60</v>
      </c>
      <c r="D336" t="str">
        <f>LEFT(M336,10)</f>
        <v>12/15/2024</v>
      </c>
      <c r="E336" t="s">
        <v>202</v>
      </c>
      <c r="F336" t="s">
        <v>218</v>
      </c>
      <c r="G336" t="s">
        <v>240</v>
      </c>
      <c r="I336">
        <v>711.4</v>
      </c>
      <c r="J336">
        <v>1529.51</v>
      </c>
      <c r="K336">
        <v>2.15</v>
      </c>
      <c r="M336" t="s">
        <v>205</v>
      </c>
    </row>
    <row r="337" spans="1:13" hidden="1">
      <c r="A337" t="s">
        <v>66</v>
      </c>
      <c r="B337" t="s">
        <v>63</v>
      </c>
      <c r="C337" t="s">
        <v>60</v>
      </c>
      <c r="D337" t="str">
        <f>LEFT(M337,10)</f>
        <v>12/15/2024</v>
      </c>
      <c r="E337" t="s">
        <v>202</v>
      </c>
      <c r="F337" t="s">
        <v>218</v>
      </c>
      <c r="G337" t="s">
        <v>222</v>
      </c>
      <c r="I337">
        <v>557.29999999999995</v>
      </c>
      <c r="J337">
        <v>557.29999999999995</v>
      </c>
      <c r="K337">
        <v>1</v>
      </c>
      <c r="M337" t="s">
        <v>205</v>
      </c>
    </row>
    <row r="338" spans="1:13" hidden="1">
      <c r="A338" t="s">
        <v>66</v>
      </c>
      <c r="B338" t="s">
        <v>63</v>
      </c>
      <c r="C338" t="s">
        <v>60</v>
      </c>
      <c r="D338" t="str">
        <f>LEFT(M338,10)</f>
        <v>12/15/2024</v>
      </c>
      <c r="E338" t="s">
        <v>202</v>
      </c>
      <c r="F338" t="s">
        <v>218</v>
      </c>
      <c r="G338" t="s">
        <v>226</v>
      </c>
      <c r="I338">
        <v>261.39999999999998</v>
      </c>
      <c r="J338">
        <v>65.349999999999994</v>
      </c>
      <c r="K338">
        <v>0.25</v>
      </c>
      <c r="M338" t="s">
        <v>205</v>
      </c>
    </row>
    <row r="339" spans="1:13" hidden="1">
      <c r="A339" t="s">
        <v>66</v>
      </c>
      <c r="B339" t="s">
        <v>63</v>
      </c>
      <c r="C339" t="s">
        <v>60</v>
      </c>
      <c r="D339" t="str">
        <f>LEFT(M339,10)</f>
        <v>12/15/2024</v>
      </c>
      <c r="E339" t="s">
        <v>202</v>
      </c>
      <c r="F339" t="s">
        <v>203</v>
      </c>
      <c r="G339" t="s">
        <v>204</v>
      </c>
      <c r="I339">
        <v>167</v>
      </c>
      <c r="J339">
        <v>751.12</v>
      </c>
      <c r="K339">
        <v>4.5</v>
      </c>
      <c r="M339" t="s">
        <v>205</v>
      </c>
    </row>
    <row r="340" spans="1:13" hidden="1">
      <c r="A340" t="s">
        <v>66</v>
      </c>
      <c r="B340" t="s">
        <v>63</v>
      </c>
      <c r="C340" t="s">
        <v>60</v>
      </c>
      <c r="D340" t="str">
        <f>LEFT(M340,10)</f>
        <v>12/15/2024</v>
      </c>
      <c r="E340" t="s">
        <v>202</v>
      </c>
      <c r="F340" t="s">
        <v>203</v>
      </c>
      <c r="G340" t="s">
        <v>204</v>
      </c>
      <c r="I340">
        <v>599</v>
      </c>
      <c r="J340">
        <v>3172.37</v>
      </c>
      <c r="K340">
        <v>5.3</v>
      </c>
      <c r="M340" t="s">
        <v>205</v>
      </c>
    </row>
    <row r="341" spans="1:13" hidden="1">
      <c r="A341" t="s">
        <v>66</v>
      </c>
      <c r="B341" t="s">
        <v>63</v>
      </c>
      <c r="C341" t="s">
        <v>60</v>
      </c>
      <c r="D341" t="str">
        <f>LEFT(M341,10)</f>
        <v>12/15/2024</v>
      </c>
      <c r="E341" t="s">
        <v>234</v>
      </c>
      <c r="F341" t="s">
        <v>234</v>
      </c>
      <c r="I341">
        <v>14748</v>
      </c>
      <c r="M341" t="s">
        <v>205</v>
      </c>
    </row>
    <row r="342" spans="1:13" hidden="1">
      <c r="A342" t="s">
        <v>66</v>
      </c>
      <c r="B342" t="s">
        <v>63</v>
      </c>
      <c r="C342" t="s">
        <v>60</v>
      </c>
      <c r="D342" t="str">
        <f>LEFT(M342,10)</f>
        <v>12/15/2024</v>
      </c>
      <c r="E342" t="s">
        <v>202</v>
      </c>
      <c r="F342" t="s">
        <v>218</v>
      </c>
      <c r="G342" t="s">
        <v>219</v>
      </c>
      <c r="I342">
        <v>63</v>
      </c>
      <c r="J342">
        <v>3.15</v>
      </c>
      <c r="K342">
        <v>0.05</v>
      </c>
      <c r="M342" t="s">
        <v>205</v>
      </c>
    </row>
    <row r="343" spans="1:13" hidden="1">
      <c r="A343" t="s">
        <v>66</v>
      </c>
      <c r="B343" t="s">
        <v>63</v>
      </c>
      <c r="C343" t="s">
        <v>60</v>
      </c>
      <c r="D343" t="str">
        <f>LEFT(M343,10)</f>
        <v>12/15/2024</v>
      </c>
      <c r="E343" t="s">
        <v>232</v>
      </c>
      <c r="F343" t="s">
        <v>262</v>
      </c>
      <c r="I343">
        <v>0</v>
      </c>
      <c r="J343">
        <v>1500</v>
      </c>
      <c r="M343" t="s">
        <v>205</v>
      </c>
    </row>
    <row r="344" spans="1:13" hidden="1">
      <c r="A344" t="s">
        <v>66</v>
      </c>
      <c r="B344" t="s">
        <v>63</v>
      </c>
      <c r="C344" t="s">
        <v>60</v>
      </c>
      <c r="D344" t="str">
        <f>LEFT(M344,10)</f>
        <v>12/15/2024</v>
      </c>
      <c r="E344" t="s">
        <v>232</v>
      </c>
      <c r="F344" t="s">
        <v>286</v>
      </c>
      <c r="I344">
        <v>0</v>
      </c>
      <c r="J344">
        <v>736.06</v>
      </c>
      <c r="M344" t="s">
        <v>205</v>
      </c>
    </row>
    <row r="345" spans="1:13" hidden="1">
      <c r="A345" t="s">
        <v>66</v>
      </c>
      <c r="B345" t="s">
        <v>63</v>
      </c>
      <c r="C345" t="s">
        <v>60</v>
      </c>
      <c r="D345" t="str">
        <f>LEFT(M345,10)</f>
        <v>12/15/2024</v>
      </c>
      <c r="E345" t="s">
        <v>232</v>
      </c>
      <c r="F345" t="s">
        <v>287</v>
      </c>
      <c r="I345">
        <v>0</v>
      </c>
      <c r="J345">
        <v>1364.58</v>
      </c>
      <c r="M345" t="s">
        <v>205</v>
      </c>
    </row>
    <row r="346" spans="1:13" hidden="1">
      <c r="A346" t="s">
        <v>66</v>
      </c>
      <c r="B346" t="s">
        <v>63</v>
      </c>
      <c r="C346" t="s">
        <v>60</v>
      </c>
      <c r="D346" t="str">
        <f>LEFT(M346,10)</f>
        <v>12/15/2024</v>
      </c>
      <c r="E346" t="s">
        <v>232</v>
      </c>
      <c r="F346" t="s">
        <v>250</v>
      </c>
      <c r="I346">
        <v>0</v>
      </c>
      <c r="J346">
        <v>50</v>
      </c>
      <c r="M346" t="s">
        <v>205</v>
      </c>
    </row>
    <row r="347" spans="1:13" hidden="1">
      <c r="A347" t="s">
        <v>66</v>
      </c>
      <c r="B347" t="s">
        <v>63</v>
      </c>
      <c r="C347" t="s">
        <v>60</v>
      </c>
      <c r="D347" t="str">
        <f>LEFT(M347,10)</f>
        <v>12/15/2024</v>
      </c>
      <c r="E347" t="s">
        <v>232</v>
      </c>
      <c r="F347" t="s">
        <v>251</v>
      </c>
      <c r="I347">
        <v>0</v>
      </c>
      <c r="J347">
        <v>1948.78</v>
      </c>
      <c r="M347" t="s">
        <v>205</v>
      </c>
    </row>
    <row r="348" spans="1:13" hidden="1">
      <c r="A348" t="s">
        <v>66</v>
      </c>
      <c r="B348" t="s">
        <v>63</v>
      </c>
      <c r="C348" t="s">
        <v>60</v>
      </c>
      <c r="D348" t="str">
        <f>LEFT(M348,10)</f>
        <v>12/15/2024</v>
      </c>
      <c r="E348" t="s">
        <v>232</v>
      </c>
      <c r="F348" t="s">
        <v>233</v>
      </c>
      <c r="I348">
        <v>0</v>
      </c>
      <c r="J348">
        <v>105</v>
      </c>
      <c r="M348" t="s">
        <v>205</v>
      </c>
    </row>
    <row r="349" spans="1:13" hidden="1">
      <c r="A349" t="s">
        <v>66</v>
      </c>
      <c r="B349" t="s">
        <v>63</v>
      </c>
      <c r="C349" t="s">
        <v>60</v>
      </c>
      <c r="D349" t="str">
        <f>LEFT(M349,10)</f>
        <v>12/15/2024</v>
      </c>
      <c r="E349" t="s">
        <v>232</v>
      </c>
      <c r="F349" t="s">
        <v>255</v>
      </c>
      <c r="I349">
        <v>0</v>
      </c>
      <c r="J349">
        <v>15000</v>
      </c>
      <c r="L349" t="s">
        <v>288</v>
      </c>
      <c r="M349" t="s">
        <v>205</v>
      </c>
    </row>
    <row r="350" spans="1:13" hidden="1">
      <c r="A350" t="s">
        <v>66</v>
      </c>
      <c r="B350" t="s">
        <v>63</v>
      </c>
      <c r="C350" t="s">
        <v>60</v>
      </c>
      <c r="D350" t="str">
        <f>LEFT(M350,10)</f>
        <v>12/15/2024</v>
      </c>
      <c r="E350" t="s">
        <v>234</v>
      </c>
      <c r="F350" t="s">
        <v>234</v>
      </c>
      <c r="I350">
        <v>0</v>
      </c>
      <c r="M350" t="s">
        <v>205</v>
      </c>
    </row>
    <row r="351" spans="1:13" hidden="1">
      <c r="A351" t="s">
        <v>146</v>
      </c>
      <c r="B351" t="s">
        <v>24</v>
      </c>
      <c r="C351" t="s">
        <v>19</v>
      </c>
      <c r="D351" t="str">
        <f>LEFT(M351,10)</f>
        <v>11/15/2024</v>
      </c>
      <c r="E351" t="s">
        <v>202</v>
      </c>
      <c r="F351" t="s">
        <v>227</v>
      </c>
      <c r="G351" t="s">
        <v>229</v>
      </c>
      <c r="I351">
        <v>7280</v>
      </c>
      <c r="J351">
        <v>4446.3</v>
      </c>
      <c r="K351">
        <v>0.61</v>
      </c>
      <c r="M351" t="s">
        <v>289</v>
      </c>
    </row>
    <row r="352" spans="1:13" hidden="1">
      <c r="A352" t="s">
        <v>146</v>
      </c>
      <c r="B352" t="s">
        <v>24</v>
      </c>
      <c r="C352" t="s">
        <v>19</v>
      </c>
      <c r="D352" t="str">
        <f>LEFT(M352,10)</f>
        <v>11/15/2024</v>
      </c>
      <c r="E352" t="s">
        <v>202</v>
      </c>
      <c r="F352" t="s">
        <v>227</v>
      </c>
      <c r="G352" t="s">
        <v>237</v>
      </c>
      <c r="I352">
        <v>1100</v>
      </c>
      <c r="J352">
        <v>684</v>
      </c>
      <c r="K352">
        <v>0.62</v>
      </c>
      <c r="M352" t="s">
        <v>289</v>
      </c>
    </row>
    <row r="353" spans="1:13" hidden="1">
      <c r="A353" t="s">
        <v>146</v>
      </c>
      <c r="B353" t="s">
        <v>24</v>
      </c>
      <c r="C353" t="s">
        <v>19</v>
      </c>
      <c r="D353" t="str">
        <f>LEFT(M353,10)</f>
        <v>11/15/2024</v>
      </c>
      <c r="E353" t="s">
        <v>202</v>
      </c>
      <c r="F353" t="s">
        <v>227</v>
      </c>
      <c r="G353" t="s">
        <v>238</v>
      </c>
      <c r="I353">
        <v>220</v>
      </c>
      <c r="J353">
        <v>71.5</v>
      </c>
      <c r="K353">
        <v>0.33</v>
      </c>
      <c r="M353" t="s">
        <v>289</v>
      </c>
    </row>
    <row r="354" spans="1:13" hidden="1">
      <c r="A354" t="s">
        <v>146</v>
      </c>
      <c r="B354" t="s">
        <v>24</v>
      </c>
      <c r="C354" t="s">
        <v>19</v>
      </c>
      <c r="D354" t="str">
        <f>LEFT(M354,10)</f>
        <v>11/15/2024</v>
      </c>
      <c r="E354" t="s">
        <v>202</v>
      </c>
      <c r="F354" t="s">
        <v>227</v>
      </c>
      <c r="G354" t="s">
        <v>252</v>
      </c>
      <c r="I354">
        <v>450</v>
      </c>
      <c r="J354">
        <v>167</v>
      </c>
      <c r="K354">
        <v>0.37</v>
      </c>
      <c r="M354" t="s">
        <v>289</v>
      </c>
    </row>
    <row r="355" spans="1:13" hidden="1">
      <c r="A355" t="s">
        <v>146</v>
      </c>
      <c r="B355" t="s">
        <v>24</v>
      </c>
      <c r="C355" t="s">
        <v>19</v>
      </c>
      <c r="D355" t="str">
        <f>LEFT(M355,10)</f>
        <v>11/15/2024</v>
      </c>
      <c r="E355" t="s">
        <v>202</v>
      </c>
      <c r="F355" t="s">
        <v>227</v>
      </c>
      <c r="G355" t="s">
        <v>228</v>
      </c>
      <c r="I355">
        <v>1840</v>
      </c>
      <c r="J355">
        <v>762</v>
      </c>
      <c r="K355">
        <v>0.41</v>
      </c>
      <c r="M355" t="s">
        <v>289</v>
      </c>
    </row>
    <row r="356" spans="1:13" hidden="1">
      <c r="A356" t="s">
        <v>146</v>
      </c>
      <c r="B356" t="s">
        <v>24</v>
      </c>
      <c r="C356" t="s">
        <v>19</v>
      </c>
      <c r="D356" t="str">
        <f>LEFT(M356,10)</f>
        <v>11/15/2024</v>
      </c>
      <c r="E356" t="s">
        <v>202</v>
      </c>
      <c r="F356" t="s">
        <v>218</v>
      </c>
      <c r="G356" t="s">
        <v>240</v>
      </c>
      <c r="I356">
        <v>1770</v>
      </c>
      <c r="J356">
        <v>5012.99</v>
      </c>
      <c r="K356">
        <v>2.83</v>
      </c>
      <c r="M356" t="s">
        <v>289</v>
      </c>
    </row>
    <row r="357" spans="1:13" hidden="1">
      <c r="A357" t="s">
        <v>146</v>
      </c>
      <c r="B357" t="s">
        <v>24</v>
      </c>
      <c r="C357" t="s">
        <v>19</v>
      </c>
      <c r="D357" t="str">
        <f>LEFT(M357,10)</f>
        <v>11/15/2024</v>
      </c>
      <c r="E357" t="s">
        <v>202</v>
      </c>
      <c r="F357" t="s">
        <v>218</v>
      </c>
      <c r="G357" t="s">
        <v>223</v>
      </c>
      <c r="I357">
        <v>618</v>
      </c>
      <c r="J357">
        <v>370.8</v>
      </c>
      <c r="K357">
        <v>0.6</v>
      </c>
      <c r="M357" t="s">
        <v>289</v>
      </c>
    </row>
    <row r="358" spans="1:13" hidden="1">
      <c r="A358" t="s">
        <v>146</v>
      </c>
      <c r="B358" t="s">
        <v>24</v>
      </c>
      <c r="C358" t="s">
        <v>19</v>
      </c>
      <c r="D358" t="str">
        <f>LEFT(M358,10)</f>
        <v>11/15/2024</v>
      </c>
      <c r="E358" t="s">
        <v>202</v>
      </c>
      <c r="F358" t="s">
        <v>218</v>
      </c>
      <c r="G358" t="s">
        <v>224</v>
      </c>
      <c r="I358">
        <v>702</v>
      </c>
      <c r="J358">
        <v>421.2</v>
      </c>
      <c r="K358">
        <v>0.6</v>
      </c>
      <c r="M358" t="s">
        <v>289</v>
      </c>
    </row>
    <row r="359" spans="1:13" hidden="1">
      <c r="A359" t="s">
        <v>146</v>
      </c>
      <c r="B359" t="s">
        <v>24</v>
      </c>
      <c r="C359" t="s">
        <v>19</v>
      </c>
      <c r="D359" t="str">
        <f>LEFT(M359,10)</f>
        <v>11/15/2024</v>
      </c>
      <c r="E359" t="s">
        <v>202</v>
      </c>
      <c r="F359" t="s">
        <v>218</v>
      </c>
      <c r="G359" t="s">
        <v>222</v>
      </c>
      <c r="I359">
        <v>1694</v>
      </c>
      <c r="J359">
        <v>1863.4</v>
      </c>
      <c r="K359">
        <v>1.1000000000000001</v>
      </c>
      <c r="M359" t="s">
        <v>289</v>
      </c>
    </row>
    <row r="360" spans="1:13" hidden="1">
      <c r="A360" t="s">
        <v>146</v>
      </c>
      <c r="B360" t="s">
        <v>24</v>
      </c>
      <c r="C360" t="s">
        <v>19</v>
      </c>
      <c r="D360" t="str">
        <f>LEFT(M360,10)</f>
        <v>11/15/2024</v>
      </c>
      <c r="E360" t="s">
        <v>202</v>
      </c>
      <c r="F360" t="s">
        <v>218</v>
      </c>
      <c r="G360" t="s">
        <v>223</v>
      </c>
      <c r="I360">
        <v>334</v>
      </c>
      <c r="J360">
        <v>167</v>
      </c>
      <c r="K360">
        <v>0.5</v>
      </c>
      <c r="M360" t="s">
        <v>289</v>
      </c>
    </row>
    <row r="361" spans="1:13" hidden="1">
      <c r="A361" t="s">
        <v>146</v>
      </c>
      <c r="B361" t="s">
        <v>24</v>
      </c>
      <c r="C361" t="s">
        <v>19</v>
      </c>
      <c r="D361" t="str">
        <f>LEFT(M361,10)</f>
        <v>11/15/2024</v>
      </c>
      <c r="E361" t="s">
        <v>202</v>
      </c>
      <c r="F361" t="s">
        <v>218</v>
      </c>
      <c r="G361" t="s">
        <v>226</v>
      </c>
      <c r="I361">
        <v>30</v>
      </c>
      <c r="J361">
        <v>9</v>
      </c>
      <c r="K361">
        <v>0.3</v>
      </c>
      <c r="M361" t="s">
        <v>289</v>
      </c>
    </row>
    <row r="362" spans="1:13" hidden="1">
      <c r="A362" t="s">
        <v>146</v>
      </c>
      <c r="B362" t="s">
        <v>24</v>
      </c>
      <c r="C362" t="s">
        <v>19</v>
      </c>
      <c r="D362" t="str">
        <f>LEFT(M362,10)</f>
        <v>11/15/2024</v>
      </c>
      <c r="E362" t="s">
        <v>202</v>
      </c>
      <c r="F362" t="s">
        <v>218</v>
      </c>
      <c r="G362" t="s">
        <v>268</v>
      </c>
      <c r="I362">
        <v>95</v>
      </c>
      <c r="J362">
        <v>123.5</v>
      </c>
      <c r="K362">
        <v>1.3</v>
      </c>
      <c r="M362" t="s">
        <v>289</v>
      </c>
    </row>
    <row r="363" spans="1:13" hidden="1">
      <c r="A363" t="s">
        <v>146</v>
      </c>
      <c r="B363" t="s">
        <v>24</v>
      </c>
      <c r="C363" t="s">
        <v>19</v>
      </c>
      <c r="D363" t="str">
        <f>LEFT(M363,10)</f>
        <v>11/15/2024</v>
      </c>
      <c r="E363" t="s">
        <v>202</v>
      </c>
      <c r="F363" t="s">
        <v>218</v>
      </c>
      <c r="G363" t="s">
        <v>219</v>
      </c>
      <c r="I363">
        <v>10710</v>
      </c>
      <c r="J363">
        <v>3217.82</v>
      </c>
      <c r="K363">
        <v>0.3</v>
      </c>
      <c r="M363" t="s">
        <v>289</v>
      </c>
    </row>
    <row r="364" spans="1:13" hidden="1">
      <c r="A364" t="s">
        <v>146</v>
      </c>
      <c r="B364" t="s">
        <v>24</v>
      </c>
      <c r="C364" t="s">
        <v>19</v>
      </c>
      <c r="D364" t="str">
        <f>LEFT(M364,10)</f>
        <v>11/15/2024</v>
      </c>
      <c r="E364" t="s">
        <v>202</v>
      </c>
      <c r="F364" t="s">
        <v>218</v>
      </c>
      <c r="G364" t="s">
        <v>247</v>
      </c>
      <c r="I364">
        <v>25</v>
      </c>
      <c r="J364">
        <v>82.5</v>
      </c>
      <c r="K364">
        <v>3.3</v>
      </c>
      <c r="M364" t="s">
        <v>289</v>
      </c>
    </row>
    <row r="365" spans="1:13" hidden="1">
      <c r="A365" t="s">
        <v>146</v>
      </c>
      <c r="B365" t="s">
        <v>24</v>
      </c>
      <c r="C365" t="s">
        <v>19</v>
      </c>
      <c r="D365" t="str">
        <f>LEFT(M365,10)</f>
        <v>11/15/2024</v>
      </c>
      <c r="E365" t="s">
        <v>202</v>
      </c>
      <c r="F365" t="s">
        <v>218</v>
      </c>
      <c r="G365" t="s">
        <v>222</v>
      </c>
      <c r="I365">
        <v>186</v>
      </c>
      <c r="J365">
        <v>223.2</v>
      </c>
      <c r="K365">
        <v>1.2</v>
      </c>
      <c r="M365" t="s">
        <v>289</v>
      </c>
    </row>
    <row r="366" spans="1:13" hidden="1">
      <c r="A366" t="s">
        <v>146</v>
      </c>
      <c r="B366" t="s">
        <v>24</v>
      </c>
      <c r="C366" t="s">
        <v>19</v>
      </c>
      <c r="D366" t="str">
        <f>LEFT(M366,10)</f>
        <v>11/15/2024</v>
      </c>
      <c r="E366" t="s">
        <v>202</v>
      </c>
      <c r="F366" t="s">
        <v>218</v>
      </c>
      <c r="G366" t="s">
        <v>242</v>
      </c>
      <c r="I366">
        <v>202</v>
      </c>
      <c r="J366">
        <v>216.6</v>
      </c>
      <c r="K366">
        <v>1.07</v>
      </c>
      <c r="M366" t="s">
        <v>289</v>
      </c>
    </row>
    <row r="367" spans="1:13" hidden="1">
      <c r="A367" t="s">
        <v>146</v>
      </c>
      <c r="B367" t="s">
        <v>24</v>
      </c>
      <c r="C367" t="s">
        <v>19</v>
      </c>
      <c r="D367" t="str">
        <f>LEFT(M367,10)</f>
        <v>11/15/2024</v>
      </c>
      <c r="E367" t="s">
        <v>202</v>
      </c>
      <c r="F367" t="s">
        <v>218</v>
      </c>
      <c r="G367" t="s">
        <v>222</v>
      </c>
      <c r="I367">
        <v>274</v>
      </c>
      <c r="J367">
        <v>246.6</v>
      </c>
      <c r="K367">
        <v>0.9</v>
      </c>
      <c r="M367" t="s">
        <v>289</v>
      </c>
    </row>
    <row r="368" spans="1:13" hidden="1">
      <c r="A368" t="s">
        <v>146</v>
      </c>
      <c r="B368" t="s">
        <v>24</v>
      </c>
      <c r="C368" t="s">
        <v>19</v>
      </c>
      <c r="D368" t="str">
        <f>LEFT(M368,10)</f>
        <v>11/15/2024</v>
      </c>
      <c r="E368" t="s">
        <v>202</v>
      </c>
      <c r="F368" t="s">
        <v>218</v>
      </c>
      <c r="G368" t="s">
        <v>220</v>
      </c>
      <c r="I368">
        <v>353</v>
      </c>
      <c r="J368">
        <v>353</v>
      </c>
      <c r="K368">
        <v>1</v>
      </c>
      <c r="M368" t="s">
        <v>289</v>
      </c>
    </row>
    <row r="369" spans="1:13" hidden="1">
      <c r="A369" t="s">
        <v>146</v>
      </c>
      <c r="B369" t="s">
        <v>24</v>
      </c>
      <c r="C369" t="s">
        <v>19</v>
      </c>
      <c r="D369" t="str">
        <f>LEFT(M369,10)</f>
        <v>11/15/2024</v>
      </c>
      <c r="E369" t="s">
        <v>202</v>
      </c>
      <c r="F369" t="s">
        <v>218</v>
      </c>
      <c r="G369" t="s">
        <v>241</v>
      </c>
      <c r="I369">
        <v>537</v>
      </c>
      <c r="J369">
        <v>1422.36</v>
      </c>
      <c r="K369">
        <v>2.65</v>
      </c>
      <c r="M369" t="s">
        <v>289</v>
      </c>
    </row>
    <row r="370" spans="1:13" hidden="1">
      <c r="A370" t="s">
        <v>146</v>
      </c>
      <c r="B370" t="s">
        <v>24</v>
      </c>
      <c r="C370" t="s">
        <v>19</v>
      </c>
      <c r="D370" t="str">
        <f>LEFT(M370,10)</f>
        <v>11/15/2024</v>
      </c>
      <c r="E370" t="s">
        <v>202</v>
      </c>
      <c r="F370" t="s">
        <v>218</v>
      </c>
      <c r="G370" t="s">
        <v>219</v>
      </c>
      <c r="I370">
        <v>127</v>
      </c>
      <c r="J370">
        <v>50.8</v>
      </c>
      <c r="K370">
        <v>0.4</v>
      </c>
      <c r="M370" t="s">
        <v>289</v>
      </c>
    </row>
    <row r="371" spans="1:13" hidden="1">
      <c r="A371" t="s">
        <v>146</v>
      </c>
      <c r="B371" t="s">
        <v>24</v>
      </c>
      <c r="C371" t="s">
        <v>19</v>
      </c>
      <c r="D371" t="str">
        <f>LEFT(M371,10)</f>
        <v>11/15/2024</v>
      </c>
      <c r="E371" t="s">
        <v>202</v>
      </c>
      <c r="F371" t="s">
        <v>218</v>
      </c>
      <c r="G371" t="s">
        <v>221</v>
      </c>
      <c r="I371">
        <v>1019</v>
      </c>
      <c r="J371">
        <v>2037.9</v>
      </c>
      <c r="K371">
        <v>2</v>
      </c>
      <c r="M371" t="s">
        <v>289</v>
      </c>
    </row>
    <row r="372" spans="1:13" hidden="1">
      <c r="A372" t="s">
        <v>146</v>
      </c>
      <c r="B372" t="s">
        <v>24</v>
      </c>
      <c r="C372" t="s">
        <v>19</v>
      </c>
      <c r="D372" t="str">
        <f>LEFT(M372,10)</f>
        <v>11/15/2024</v>
      </c>
      <c r="E372" t="s">
        <v>202</v>
      </c>
      <c r="F372" t="s">
        <v>218</v>
      </c>
      <c r="G372" t="s">
        <v>239</v>
      </c>
      <c r="I372">
        <v>291</v>
      </c>
      <c r="J372">
        <v>29.1</v>
      </c>
      <c r="K372">
        <v>0.1</v>
      </c>
      <c r="M372" t="s">
        <v>289</v>
      </c>
    </row>
    <row r="373" spans="1:13" hidden="1">
      <c r="A373" t="s">
        <v>146</v>
      </c>
      <c r="B373" t="s">
        <v>24</v>
      </c>
      <c r="C373" t="s">
        <v>19</v>
      </c>
      <c r="D373" t="str">
        <f>LEFT(M373,10)</f>
        <v>11/15/2024</v>
      </c>
      <c r="E373" t="s">
        <v>202</v>
      </c>
      <c r="F373" t="s">
        <v>203</v>
      </c>
      <c r="G373" t="s">
        <v>235</v>
      </c>
      <c r="I373">
        <v>84</v>
      </c>
      <c r="J373">
        <v>588</v>
      </c>
      <c r="K373">
        <v>7</v>
      </c>
      <c r="M373" t="s">
        <v>289</v>
      </c>
    </row>
    <row r="374" spans="1:13" hidden="1">
      <c r="A374" t="s">
        <v>146</v>
      </c>
      <c r="B374" t="s">
        <v>24</v>
      </c>
      <c r="C374" t="s">
        <v>19</v>
      </c>
      <c r="D374" t="str">
        <f>LEFT(M374,10)</f>
        <v>11/15/2024</v>
      </c>
      <c r="E374" t="s">
        <v>202</v>
      </c>
      <c r="F374" t="s">
        <v>203</v>
      </c>
      <c r="G374" t="s">
        <v>207</v>
      </c>
      <c r="I374">
        <v>53</v>
      </c>
      <c r="J374">
        <v>196</v>
      </c>
      <c r="K374">
        <v>3.7</v>
      </c>
      <c r="M374" t="s">
        <v>289</v>
      </c>
    </row>
    <row r="375" spans="1:13" hidden="1">
      <c r="A375" t="s">
        <v>146</v>
      </c>
      <c r="B375" t="s">
        <v>24</v>
      </c>
      <c r="C375" t="s">
        <v>19</v>
      </c>
      <c r="D375" t="str">
        <f>LEFT(M375,10)</f>
        <v>11/15/2024</v>
      </c>
      <c r="E375" t="s">
        <v>202</v>
      </c>
      <c r="F375" t="s">
        <v>203</v>
      </c>
      <c r="G375" t="s">
        <v>206</v>
      </c>
      <c r="I375">
        <v>22.5</v>
      </c>
      <c r="J375">
        <v>45</v>
      </c>
      <c r="K375">
        <v>2</v>
      </c>
      <c r="M375" t="s">
        <v>289</v>
      </c>
    </row>
    <row r="376" spans="1:13" hidden="1">
      <c r="A376" t="s">
        <v>146</v>
      </c>
      <c r="B376" t="s">
        <v>24</v>
      </c>
      <c r="C376" t="s">
        <v>19</v>
      </c>
      <c r="D376" t="str">
        <f>LEFT(M376,10)</f>
        <v>11/15/2024</v>
      </c>
      <c r="E376" t="s">
        <v>202</v>
      </c>
      <c r="F376" t="s">
        <v>203</v>
      </c>
      <c r="G376" t="s">
        <v>236</v>
      </c>
      <c r="I376">
        <v>14.9</v>
      </c>
      <c r="J376">
        <v>251.2</v>
      </c>
      <c r="K376">
        <v>16.86</v>
      </c>
      <c r="M376" t="s">
        <v>289</v>
      </c>
    </row>
    <row r="377" spans="1:13" hidden="1">
      <c r="A377" t="s">
        <v>146</v>
      </c>
      <c r="B377" t="s">
        <v>24</v>
      </c>
      <c r="C377" t="s">
        <v>19</v>
      </c>
      <c r="D377" t="str">
        <f>LEFT(M377,10)</f>
        <v>11/15/2024</v>
      </c>
      <c r="E377" t="s">
        <v>202</v>
      </c>
      <c r="F377" t="s">
        <v>203</v>
      </c>
      <c r="G377" t="s">
        <v>261</v>
      </c>
      <c r="I377">
        <v>38</v>
      </c>
      <c r="J377">
        <v>266</v>
      </c>
      <c r="K377">
        <v>7</v>
      </c>
      <c r="M377" t="s">
        <v>289</v>
      </c>
    </row>
    <row r="378" spans="1:13" hidden="1">
      <c r="A378" t="s">
        <v>146</v>
      </c>
      <c r="B378" t="s">
        <v>24</v>
      </c>
      <c r="C378" t="s">
        <v>19</v>
      </c>
      <c r="D378" t="str">
        <f>LEFT(M378,10)</f>
        <v>11/15/2024</v>
      </c>
      <c r="E378" t="s">
        <v>202</v>
      </c>
      <c r="F378" t="s">
        <v>203</v>
      </c>
      <c r="G378" t="s">
        <v>204</v>
      </c>
      <c r="I378">
        <v>324</v>
      </c>
      <c r="J378">
        <v>2010.74</v>
      </c>
      <c r="K378">
        <v>6.21</v>
      </c>
      <c r="M378" t="s">
        <v>289</v>
      </c>
    </row>
    <row r="379" spans="1:13" hidden="1">
      <c r="A379" t="s">
        <v>146</v>
      </c>
      <c r="B379" t="s">
        <v>24</v>
      </c>
      <c r="C379" t="s">
        <v>19</v>
      </c>
      <c r="D379" t="str">
        <f>LEFT(M379,10)</f>
        <v>11/15/2024</v>
      </c>
      <c r="E379" t="s">
        <v>202</v>
      </c>
      <c r="F379" t="s">
        <v>203</v>
      </c>
      <c r="G379" t="s">
        <v>215</v>
      </c>
      <c r="I379">
        <v>4980</v>
      </c>
      <c r="J379">
        <v>2259.54</v>
      </c>
      <c r="K379">
        <v>0.45</v>
      </c>
      <c r="M379" t="s">
        <v>289</v>
      </c>
    </row>
    <row r="380" spans="1:13" hidden="1">
      <c r="A380" t="s">
        <v>146</v>
      </c>
      <c r="B380" t="s">
        <v>24</v>
      </c>
      <c r="C380" t="s">
        <v>19</v>
      </c>
      <c r="D380" t="str">
        <f>LEFT(M380,10)</f>
        <v>11/15/2024</v>
      </c>
      <c r="E380" t="s">
        <v>202</v>
      </c>
      <c r="F380" t="s">
        <v>203</v>
      </c>
      <c r="G380" t="s">
        <v>259</v>
      </c>
      <c r="I380">
        <v>99.5</v>
      </c>
      <c r="J380">
        <v>69.650000000000006</v>
      </c>
      <c r="K380">
        <v>0.7</v>
      </c>
      <c r="M380" t="s">
        <v>289</v>
      </c>
    </row>
    <row r="381" spans="1:13" hidden="1">
      <c r="A381" t="s">
        <v>146</v>
      </c>
      <c r="B381" t="s">
        <v>24</v>
      </c>
      <c r="C381" t="s">
        <v>19</v>
      </c>
      <c r="D381" t="str">
        <f>LEFT(M381,10)</f>
        <v>11/15/2024</v>
      </c>
      <c r="E381" t="s">
        <v>202</v>
      </c>
      <c r="F381" t="s">
        <v>216</v>
      </c>
      <c r="G381" t="s">
        <v>253</v>
      </c>
      <c r="I381">
        <v>7000</v>
      </c>
      <c r="J381">
        <v>700</v>
      </c>
      <c r="K381">
        <v>0.1</v>
      </c>
      <c r="M381" t="s">
        <v>289</v>
      </c>
    </row>
    <row r="382" spans="1:13" hidden="1">
      <c r="A382" t="s">
        <v>146</v>
      </c>
      <c r="B382" t="s">
        <v>24</v>
      </c>
      <c r="C382" t="s">
        <v>19</v>
      </c>
      <c r="D382" t="str">
        <f>LEFT(M382,10)</f>
        <v>11/15/2024</v>
      </c>
      <c r="E382" t="s">
        <v>230</v>
      </c>
      <c r="F382" t="s">
        <v>248</v>
      </c>
      <c r="I382">
        <v>0</v>
      </c>
      <c r="J382">
        <v>38638.639999999999</v>
      </c>
      <c r="M382" t="s">
        <v>289</v>
      </c>
    </row>
    <row r="383" spans="1:13" hidden="1">
      <c r="A383" t="s">
        <v>146</v>
      </c>
      <c r="B383" t="s">
        <v>24</v>
      </c>
      <c r="C383" t="s">
        <v>19</v>
      </c>
      <c r="D383" t="str">
        <f>LEFT(M383,10)</f>
        <v>11/15/2024</v>
      </c>
      <c r="E383" t="s">
        <v>232</v>
      </c>
      <c r="F383" t="s">
        <v>262</v>
      </c>
      <c r="I383">
        <v>0</v>
      </c>
      <c r="J383">
        <v>10235.41</v>
      </c>
      <c r="M383" t="s">
        <v>289</v>
      </c>
    </row>
    <row r="384" spans="1:13" hidden="1">
      <c r="A384" t="s">
        <v>146</v>
      </c>
      <c r="B384" t="s">
        <v>24</v>
      </c>
      <c r="C384" t="s">
        <v>19</v>
      </c>
      <c r="D384" t="str">
        <f>LEFT(M384,10)</f>
        <v>11/15/2024</v>
      </c>
      <c r="E384" t="s">
        <v>232</v>
      </c>
      <c r="F384" t="s">
        <v>287</v>
      </c>
      <c r="I384">
        <v>0</v>
      </c>
      <c r="J384">
        <v>7293</v>
      </c>
      <c r="M384" t="s">
        <v>289</v>
      </c>
    </row>
    <row r="385" spans="1:13" hidden="1">
      <c r="A385" t="s">
        <v>146</v>
      </c>
      <c r="B385" t="s">
        <v>24</v>
      </c>
      <c r="C385" t="s">
        <v>19</v>
      </c>
      <c r="D385" t="str">
        <f>LEFT(M385,10)</f>
        <v>11/15/2024</v>
      </c>
      <c r="E385" t="s">
        <v>232</v>
      </c>
      <c r="F385" t="s">
        <v>290</v>
      </c>
      <c r="I385">
        <v>0</v>
      </c>
      <c r="J385">
        <v>2060</v>
      </c>
      <c r="M385" t="s">
        <v>289</v>
      </c>
    </row>
    <row r="386" spans="1:13" hidden="1">
      <c r="A386" t="s">
        <v>146</v>
      </c>
      <c r="B386" t="s">
        <v>24</v>
      </c>
      <c r="C386" t="s">
        <v>19</v>
      </c>
      <c r="D386" t="str">
        <f>LEFT(M386,10)</f>
        <v>11/15/2024</v>
      </c>
      <c r="E386" t="s">
        <v>232</v>
      </c>
      <c r="F386" t="s">
        <v>291</v>
      </c>
      <c r="I386">
        <v>0</v>
      </c>
      <c r="J386">
        <v>551.6</v>
      </c>
      <c r="M386" t="s">
        <v>289</v>
      </c>
    </row>
    <row r="387" spans="1:13" hidden="1">
      <c r="A387" t="s">
        <v>146</v>
      </c>
      <c r="B387" t="s">
        <v>24</v>
      </c>
      <c r="C387" t="s">
        <v>19</v>
      </c>
      <c r="D387" t="str">
        <f>LEFT(M387,10)</f>
        <v>11/15/2024</v>
      </c>
      <c r="E387" t="s">
        <v>232</v>
      </c>
      <c r="F387" t="s">
        <v>292</v>
      </c>
      <c r="I387">
        <v>0</v>
      </c>
      <c r="J387">
        <v>700</v>
      </c>
      <c r="M387" t="s">
        <v>289</v>
      </c>
    </row>
    <row r="388" spans="1:13" hidden="1">
      <c r="A388" t="s">
        <v>146</v>
      </c>
      <c r="B388" t="s">
        <v>24</v>
      </c>
      <c r="C388" t="s">
        <v>19</v>
      </c>
      <c r="D388" t="str">
        <f>LEFT(M388,10)</f>
        <v>11/15/2024</v>
      </c>
      <c r="E388" t="s">
        <v>232</v>
      </c>
      <c r="F388" t="s">
        <v>286</v>
      </c>
      <c r="I388">
        <v>0</v>
      </c>
      <c r="J388">
        <v>366.1</v>
      </c>
      <c r="M388" t="s">
        <v>289</v>
      </c>
    </row>
    <row r="389" spans="1:13" hidden="1">
      <c r="A389" t="s">
        <v>146</v>
      </c>
      <c r="B389" t="s">
        <v>24</v>
      </c>
      <c r="C389" t="s">
        <v>19</v>
      </c>
      <c r="D389" t="str">
        <f>LEFT(M389,10)</f>
        <v>11/15/2024</v>
      </c>
      <c r="E389" t="s">
        <v>232</v>
      </c>
      <c r="F389" t="s">
        <v>255</v>
      </c>
      <c r="I389">
        <v>0</v>
      </c>
      <c r="J389">
        <v>17798.63</v>
      </c>
      <c r="L389" t="s">
        <v>293</v>
      </c>
      <c r="M389" t="s">
        <v>289</v>
      </c>
    </row>
    <row r="390" spans="1:13" hidden="1">
      <c r="A390" t="s">
        <v>146</v>
      </c>
      <c r="B390" t="s">
        <v>24</v>
      </c>
      <c r="C390" t="s">
        <v>19</v>
      </c>
      <c r="D390" t="str">
        <f>LEFT(M390,10)</f>
        <v>11/15/2024</v>
      </c>
      <c r="E390" t="s">
        <v>234</v>
      </c>
      <c r="F390" t="s">
        <v>234</v>
      </c>
      <c r="I390">
        <v>6300</v>
      </c>
      <c r="M390" t="s">
        <v>289</v>
      </c>
    </row>
    <row r="391" spans="1:13" hidden="1">
      <c r="A391" t="s">
        <v>43</v>
      </c>
      <c r="B391" t="s">
        <v>8</v>
      </c>
      <c r="C391" t="s">
        <v>42</v>
      </c>
      <c r="D391" t="str">
        <f>LEFT(M391,10)</f>
        <v>11/15/2024</v>
      </c>
      <c r="E391" t="s">
        <v>202</v>
      </c>
      <c r="F391" t="s">
        <v>227</v>
      </c>
      <c r="G391" t="s">
        <v>237</v>
      </c>
      <c r="I391">
        <v>855</v>
      </c>
      <c r="J391">
        <v>513</v>
      </c>
      <c r="K391">
        <v>0.6</v>
      </c>
      <c r="M391" t="s">
        <v>289</v>
      </c>
    </row>
    <row r="392" spans="1:13" hidden="1">
      <c r="A392" t="s">
        <v>43</v>
      </c>
      <c r="B392" t="s">
        <v>8</v>
      </c>
      <c r="C392" t="s">
        <v>42</v>
      </c>
      <c r="D392" t="str">
        <f>LEFT(M392,10)</f>
        <v>11/15/2024</v>
      </c>
      <c r="E392" t="s">
        <v>202</v>
      </c>
      <c r="F392" t="s">
        <v>227</v>
      </c>
      <c r="G392" t="s">
        <v>228</v>
      </c>
      <c r="I392">
        <v>1688</v>
      </c>
      <c r="J392">
        <v>590.79999999999995</v>
      </c>
      <c r="K392">
        <v>0.35</v>
      </c>
      <c r="M392" t="s">
        <v>289</v>
      </c>
    </row>
    <row r="393" spans="1:13" hidden="1">
      <c r="A393" t="s">
        <v>43</v>
      </c>
      <c r="B393" t="s">
        <v>8</v>
      </c>
      <c r="C393" t="s">
        <v>42</v>
      </c>
      <c r="D393" t="str">
        <f>LEFT(M393,10)</f>
        <v>11/15/2024</v>
      </c>
      <c r="E393" t="s">
        <v>202</v>
      </c>
      <c r="F393" t="s">
        <v>227</v>
      </c>
      <c r="G393" t="s">
        <v>229</v>
      </c>
      <c r="I393">
        <v>7639</v>
      </c>
      <c r="J393">
        <v>4812.57</v>
      </c>
      <c r="K393">
        <v>0.63</v>
      </c>
      <c r="M393" t="s">
        <v>289</v>
      </c>
    </row>
    <row r="394" spans="1:13" hidden="1">
      <c r="A394" t="s">
        <v>43</v>
      </c>
      <c r="B394" t="s">
        <v>8</v>
      </c>
      <c r="C394" t="s">
        <v>42</v>
      </c>
      <c r="D394" t="str">
        <f>LEFT(M394,10)</f>
        <v>11/15/2024</v>
      </c>
      <c r="E394" t="s">
        <v>202</v>
      </c>
      <c r="F394" t="s">
        <v>227</v>
      </c>
      <c r="G394" t="s">
        <v>238</v>
      </c>
      <c r="I394">
        <v>633</v>
      </c>
      <c r="J394">
        <v>189.9</v>
      </c>
      <c r="K394">
        <v>0.3</v>
      </c>
      <c r="M394" t="s">
        <v>289</v>
      </c>
    </row>
    <row r="395" spans="1:13" hidden="1">
      <c r="A395" t="s">
        <v>43</v>
      </c>
      <c r="B395" t="s">
        <v>8</v>
      </c>
      <c r="C395" t="s">
        <v>42</v>
      </c>
      <c r="D395" t="str">
        <f>LEFT(M395,10)</f>
        <v>11/15/2024</v>
      </c>
      <c r="E395" t="s">
        <v>202</v>
      </c>
      <c r="F395" t="s">
        <v>227</v>
      </c>
      <c r="G395" t="s">
        <v>252</v>
      </c>
      <c r="I395">
        <v>284</v>
      </c>
      <c r="J395">
        <v>85.2</v>
      </c>
      <c r="K395">
        <v>0.3</v>
      </c>
      <c r="M395" t="s">
        <v>289</v>
      </c>
    </row>
    <row r="396" spans="1:13" hidden="1">
      <c r="A396" t="s">
        <v>43</v>
      </c>
      <c r="B396" t="s">
        <v>8</v>
      </c>
      <c r="C396" t="s">
        <v>42</v>
      </c>
      <c r="D396" t="str">
        <f>LEFT(M396,10)</f>
        <v>11/15/2024</v>
      </c>
      <c r="E396" t="s">
        <v>202</v>
      </c>
      <c r="F396" t="s">
        <v>218</v>
      </c>
      <c r="G396" t="s">
        <v>224</v>
      </c>
      <c r="I396">
        <v>193</v>
      </c>
      <c r="J396">
        <v>193</v>
      </c>
      <c r="K396">
        <v>1</v>
      </c>
      <c r="M396" t="s">
        <v>289</v>
      </c>
    </row>
    <row r="397" spans="1:13" hidden="1">
      <c r="A397" t="s">
        <v>43</v>
      </c>
      <c r="B397" t="s">
        <v>8</v>
      </c>
      <c r="C397" t="s">
        <v>42</v>
      </c>
      <c r="D397" t="str">
        <f>LEFT(M397,10)</f>
        <v>11/15/2024</v>
      </c>
      <c r="E397" t="s">
        <v>202</v>
      </c>
      <c r="F397" t="s">
        <v>218</v>
      </c>
      <c r="G397" t="s">
        <v>221</v>
      </c>
      <c r="I397">
        <v>100</v>
      </c>
      <c r="J397">
        <v>30</v>
      </c>
      <c r="K397">
        <v>0.3</v>
      </c>
      <c r="M397" t="s">
        <v>289</v>
      </c>
    </row>
    <row r="398" spans="1:13" hidden="1">
      <c r="A398" t="s">
        <v>43</v>
      </c>
      <c r="B398" t="s">
        <v>8</v>
      </c>
      <c r="C398" t="s">
        <v>42</v>
      </c>
      <c r="D398" t="str">
        <f>LEFT(M398,10)</f>
        <v>11/15/2024</v>
      </c>
      <c r="E398" t="s">
        <v>202</v>
      </c>
      <c r="F398" t="s">
        <v>218</v>
      </c>
      <c r="G398" t="s">
        <v>240</v>
      </c>
      <c r="I398">
        <v>770</v>
      </c>
      <c r="J398">
        <v>2233</v>
      </c>
      <c r="K398">
        <v>2.9</v>
      </c>
      <c r="M398" t="s">
        <v>289</v>
      </c>
    </row>
    <row r="399" spans="1:13" hidden="1">
      <c r="A399" t="s">
        <v>43</v>
      </c>
      <c r="B399" t="s">
        <v>8</v>
      </c>
      <c r="C399" t="s">
        <v>42</v>
      </c>
      <c r="D399" t="str">
        <f>LEFT(M399,10)</f>
        <v>11/15/2024</v>
      </c>
      <c r="E399" t="s">
        <v>202</v>
      </c>
      <c r="F399" t="s">
        <v>218</v>
      </c>
      <c r="G399" t="s">
        <v>241</v>
      </c>
      <c r="I399">
        <v>107</v>
      </c>
      <c r="J399">
        <v>310</v>
      </c>
      <c r="K399">
        <v>2.9</v>
      </c>
      <c r="M399" t="s">
        <v>289</v>
      </c>
    </row>
    <row r="400" spans="1:13" hidden="1">
      <c r="A400" t="s">
        <v>43</v>
      </c>
      <c r="B400" t="s">
        <v>8</v>
      </c>
      <c r="C400" t="s">
        <v>42</v>
      </c>
      <c r="D400" t="str">
        <f>LEFT(M400,10)</f>
        <v>11/15/2024</v>
      </c>
      <c r="E400" t="s">
        <v>202</v>
      </c>
      <c r="F400" t="s">
        <v>218</v>
      </c>
      <c r="G400" t="s">
        <v>268</v>
      </c>
      <c r="I400">
        <v>123</v>
      </c>
      <c r="J400">
        <v>98.4</v>
      </c>
      <c r="K400">
        <v>0.8</v>
      </c>
      <c r="M400" t="s">
        <v>289</v>
      </c>
    </row>
    <row r="401" spans="1:13" hidden="1">
      <c r="A401" t="s">
        <v>43</v>
      </c>
      <c r="B401" t="s">
        <v>8</v>
      </c>
      <c r="C401" t="s">
        <v>42</v>
      </c>
      <c r="D401" t="str">
        <f>LEFT(M401,10)</f>
        <v>11/15/2024</v>
      </c>
      <c r="E401" t="s">
        <v>202</v>
      </c>
      <c r="F401" t="s">
        <v>218</v>
      </c>
      <c r="G401" t="s">
        <v>222</v>
      </c>
      <c r="I401">
        <v>333</v>
      </c>
      <c r="J401">
        <v>532.79999999999995</v>
      </c>
      <c r="K401">
        <v>1.6</v>
      </c>
      <c r="M401" t="s">
        <v>289</v>
      </c>
    </row>
    <row r="402" spans="1:13" hidden="1">
      <c r="A402" t="s">
        <v>43</v>
      </c>
      <c r="B402" t="s">
        <v>8</v>
      </c>
      <c r="C402" t="s">
        <v>42</v>
      </c>
      <c r="D402" t="str">
        <f>LEFT(M402,10)</f>
        <v>11/15/2024</v>
      </c>
      <c r="E402" t="s">
        <v>202</v>
      </c>
      <c r="F402" t="s">
        <v>218</v>
      </c>
      <c r="G402" t="s">
        <v>222</v>
      </c>
      <c r="I402">
        <v>391</v>
      </c>
      <c r="J402">
        <v>547.4</v>
      </c>
      <c r="K402">
        <v>1.4</v>
      </c>
      <c r="M402" t="s">
        <v>289</v>
      </c>
    </row>
    <row r="403" spans="1:13" hidden="1">
      <c r="A403" t="s">
        <v>43</v>
      </c>
      <c r="B403" t="s">
        <v>8</v>
      </c>
      <c r="C403" t="s">
        <v>42</v>
      </c>
      <c r="D403" t="str">
        <f>LEFT(M403,10)</f>
        <v>11/15/2024</v>
      </c>
      <c r="E403" t="s">
        <v>202</v>
      </c>
      <c r="F403" t="s">
        <v>218</v>
      </c>
      <c r="G403" t="s">
        <v>222</v>
      </c>
      <c r="I403">
        <v>247</v>
      </c>
      <c r="J403">
        <v>321.10000000000002</v>
      </c>
      <c r="K403">
        <v>1.3</v>
      </c>
      <c r="M403" t="s">
        <v>289</v>
      </c>
    </row>
    <row r="404" spans="1:13" hidden="1">
      <c r="A404" t="s">
        <v>43</v>
      </c>
      <c r="B404" t="s">
        <v>8</v>
      </c>
      <c r="C404" t="s">
        <v>42</v>
      </c>
      <c r="D404" t="str">
        <f>LEFT(M404,10)</f>
        <v>11/15/2024</v>
      </c>
      <c r="E404" t="s">
        <v>202</v>
      </c>
      <c r="F404" t="s">
        <v>218</v>
      </c>
      <c r="G404" t="s">
        <v>243</v>
      </c>
      <c r="H404" t="s">
        <v>294</v>
      </c>
      <c r="I404">
        <v>251</v>
      </c>
      <c r="J404">
        <v>75.3</v>
      </c>
      <c r="K404">
        <v>0.3</v>
      </c>
      <c r="M404" t="s">
        <v>289</v>
      </c>
    </row>
    <row r="405" spans="1:13" hidden="1">
      <c r="A405" t="s">
        <v>43</v>
      </c>
      <c r="B405" t="s">
        <v>8</v>
      </c>
      <c r="C405" t="s">
        <v>42</v>
      </c>
      <c r="D405" t="str">
        <f>LEFT(M405,10)</f>
        <v>11/15/2024</v>
      </c>
      <c r="E405" t="s">
        <v>202</v>
      </c>
      <c r="F405" t="s">
        <v>218</v>
      </c>
      <c r="G405" t="s">
        <v>220</v>
      </c>
      <c r="I405">
        <v>571</v>
      </c>
      <c r="J405">
        <v>856.5</v>
      </c>
      <c r="K405">
        <v>1.5</v>
      </c>
      <c r="M405" t="s">
        <v>289</v>
      </c>
    </row>
    <row r="406" spans="1:13" hidden="1">
      <c r="A406" t="s">
        <v>43</v>
      </c>
      <c r="B406" t="s">
        <v>8</v>
      </c>
      <c r="C406" t="s">
        <v>42</v>
      </c>
      <c r="D406" t="str">
        <f>LEFT(M406,10)</f>
        <v>11/15/2024</v>
      </c>
      <c r="E406" t="s">
        <v>202</v>
      </c>
      <c r="F406" t="s">
        <v>218</v>
      </c>
      <c r="G406" t="s">
        <v>219</v>
      </c>
      <c r="I406">
        <v>641</v>
      </c>
      <c r="J406">
        <v>1570.45</v>
      </c>
      <c r="K406">
        <v>2.4500000000000002</v>
      </c>
      <c r="M406" t="s">
        <v>289</v>
      </c>
    </row>
    <row r="407" spans="1:13" hidden="1">
      <c r="A407" t="s">
        <v>43</v>
      </c>
      <c r="B407" t="s">
        <v>8</v>
      </c>
      <c r="C407" t="s">
        <v>42</v>
      </c>
      <c r="D407" t="str">
        <f>LEFT(M407,10)</f>
        <v>11/15/2024</v>
      </c>
      <c r="E407" t="s">
        <v>202</v>
      </c>
      <c r="F407" t="s">
        <v>218</v>
      </c>
      <c r="G407" t="s">
        <v>226</v>
      </c>
      <c r="I407">
        <v>1060</v>
      </c>
      <c r="J407">
        <v>318</v>
      </c>
      <c r="K407">
        <v>0.3</v>
      </c>
      <c r="M407" t="s">
        <v>289</v>
      </c>
    </row>
    <row r="408" spans="1:13" hidden="1">
      <c r="A408" t="s">
        <v>43</v>
      </c>
      <c r="B408" t="s">
        <v>8</v>
      </c>
      <c r="C408" t="s">
        <v>42</v>
      </c>
      <c r="D408" t="str">
        <f>LEFT(M408,10)</f>
        <v>11/15/2024</v>
      </c>
      <c r="E408" t="s">
        <v>202</v>
      </c>
      <c r="F408" t="s">
        <v>203</v>
      </c>
      <c r="G408" t="s">
        <v>207</v>
      </c>
      <c r="I408">
        <v>42.8</v>
      </c>
      <c r="J408">
        <v>184.04</v>
      </c>
      <c r="K408">
        <v>4.3</v>
      </c>
      <c r="M408" t="s">
        <v>289</v>
      </c>
    </row>
    <row r="409" spans="1:13" hidden="1">
      <c r="A409" t="s">
        <v>43</v>
      </c>
      <c r="B409" t="s">
        <v>8</v>
      </c>
      <c r="C409" t="s">
        <v>42</v>
      </c>
      <c r="D409" t="str">
        <f>LEFT(M409,10)</f>
        <v>11/15/2024</v>
      </c>
      <c r="E409" t="s">
        <v>202</v>
      </c>
      <c r="F409" t="s">
        <v>203</v>
      </c>
      <c r="G409" t="s">
        <v>204</v>
      </c>
      <c r="I409">
        <v>358.8</v>
      </c>
      <c r="J409">
        <v>2870.4</v>
      </c>
      <c r="K409">
        <v>8</v>
      </c>
      <c r="M409" t="s">
        <v>289</v>
      </c>
    </row>
    <row r="410" spans="1:13" hidden="1">
      <c r="A410" t="s">
        <v>43</v>
      </c>
      <c r="B410" t="s">
        <v>8</v>
      </c>
      <c r="C410" t="s">
        <v>42</v>
      </c>
      <c r="D410" t="str">
        <f>LEFT(M410,10)</f>
        <v>11/15/2024</v>
      </c>
      <c r="E410" t="s">
        <v>202</v>
      </c>
      <c r="F410" t="s">
        <v>203</v>
      </c>
      <c r="G410" t="s">
        <v>208</v>
      </c>
      <c r="I410">
        <v>111</v>
      </c>
      <c r="J410">
        <v>888</v>
      </c>
      <c r="K410">
        <v>8</v>
      </c>
      <c r="M410" t="s">
        <v>289</v>
      </c>
    </row>
    <row r="411" spans="1:13" hidden="1">
      <c r="A411" t="s">
        <v>43</v>
      </c>
      <c r="B411" t="s">
        <v>8</v>
      </c>
      <c r="C411" t="s">
        <v>42</v>
      </c>
      <c r="D411" t="str">
        <f>LEFT(M411,10)</f>
        <v>11/15/2024</v>
      </c>
      <c r="E411" t="s">
        <v>202</v>
      </c>
      <c r="F411" t="s">
        <v>203</v>
      </c>
      <c r="G411" t="s">
        <v>259</v>
      </c>
      <c r="I411">
        <v>5.2</v>
      </c>
      <c r="J411">
        <v>26</v>
      </c>
      <c r="K411">
        <v>5</v>
      </c>
      <c r="M411" t="s">
        <v>289</v>
      </c>
    </row>
    <row r="412" spans="1:13" hidden="1">
      <c r="A412" t="s">
        <v>43</v>
      </c>
      <c r="B412" t="s">
        <v>8</v>
      </c>
      <c r="C412" t="s">
        <v>42</v>
      </c>
      <c r="D412" t="str">
        <f>LEFT(M412,10)</f>
        <v>11/15/2024</v>
      </c>
      <c r="E412" t="s">
        <v>202</v>
      </c>
      <c r="F412" t="s">
        <v>209</v>
      </c>
      <c r="G412" t="s">
        <v>210</v>
      </c>
      <c r="I412">
        <v>7.4</v>
      </c>
      <c r="J412">
        <v>18.5</v>
      </c>
      <c r="K412">
        <v>2.5</v>
      </c>
      <c r="M412" t="s">
        <v>289</v>
      </c>
    </row>
    <row r="413" spans="1:13" hidden="1">
      <c r="A413" t="s">
        <v>43</v>
      </c>
      <c r="B413" t="s">
        <v>8</v>
      </c>
      <c r="C413" t="s">
        <v>42</v>
      </c>
      <c r="D413" t="str">
        <f>LEFT(M413,10)</f>
        <v>11/15/2024</v>
      </c>
      <c r="E413" t="s">
        <v>202</v>
      </c>
      <c r="F413" t="s">
        <v>203</v>
      </c>
      <c r="G413" t="s">
        <v>260</v>
      </c>
      <c r="I413">
        <v>45.2</v>
      </c>
      <c r="J413">
        <v>1536.8</v>
      </c>
      <c r="K413">
        <v>34</v>
      </c>
      <c r="M413" t="s">
        <v>289</v>
      </c>
    </row>
    <row r="414" spans="1:13" hidden="1">
      <c r="A414" t="s">
        <v>43</v>
      </c>
      <c r="B414" t="s">
        <v>8</v>
      </c>
      <c r="C414" t="s">
        <v>42</v>
      </c>
      <c r="D414" t="str">
        <f>LEFT(M414,10)</f>
        <v>11/15/2024</v>
      </c>
      <c r="E414" t="s">
        <v>202</v>
      </c>
      <c r="F414" t="s">
        <v>203</v>
      </c>
      <c r="G414" t="s">
        <v>215</v>
      </c>
      <c r="I414">
        <v>15</v>
      </c>
      <c r="J414">
        <v>270</v>
      </c>
      <c r="K414">
        <v>18</v>
      </c>
      <c r="M414" t="s">
        <v>289</v>
      </c>
    </row>
    <row r="415" spans="1:13" hidden="1">
      <c r="A415" t="s">
        <v>45</v>
      </c>
      <c r="B415" t="s">
        <v>8</v>
      </c>
      <c r="C415" t="s">
        <v>44</v>
      </c>
      <c r="D415" t="str">
        <f>LEFT(M415,10)</f>
        <v>11/15/2024</v>
      </c>
      <c r="E415" t="s">
        <v>202</v>
      </c>
      <c r="F415" t="s">
        <v>203</v>
      </c>
      <c r="G415" t="s">
        <v>236</v>
      </c>
      <c r="I415">
        <v>4080</v>
      </c>
      <c r="J415">
        <v>2040</v>
      </c>
      <c r="K415">
        <v>0.5</v>
      </c>
      <c r="M415" t="s">
        <v>289</v>
      </c>
    </row>
    <row r="416" spans="1:13" hidden="1">
      <c r="A416" t="s">
        <v>45</v>
      </c>
      <c r="B416" t="s">
        <v>8</v>
      </c>
      <c r="C416" t="s">
        <v>44</v>
      </c>
      <c r="D416" t="str">
        <f>LEFT(M416,10)</f>
        <v>11/15/2024</v>
      </c>
      <c r="E416" t="s">
        <v>202</v>
      </c>
      <c r="F416" t="s">
        <v>216</v>
      </c>
      <c r="G416" t="s">
        <v>253</v>
      </c>
      <c r="I416">
        <v>4893</v>
      </c>
      <c r="J416">
        <v>978.6</v>
      </c>
      <c r="K416">
        <v>0.2</v>
      </c>
      <c r="M416" t="s">
        <v>289</v>
      </c>
    </row>
    <row r="417" spans="1:13" hidden="1">
      <c r="A417" t="s">
        <v>45</v>
      </c>
      <c r="B417" t="s">
        <v>8</v>
      </c>
      <c r="C417" t="s">
        <v>44</v>
      </c>
      <c r="D417" t="str">
        <f>LEFT(M417,10)</f>
        <v>11/15/2024</v>
      </c>
      <c r="E417" t="s">
        <v>202</v>
      </c>
      <c r="F417" t="s">
        <v>216</v>
      </c>
      <c r="G417" t="s">
        <v>217</v>
      </c>
      <c r="I417">
        <v>1587</v>
      </c>
      <c r="J417">
        <v>938.06</v>
      </c>
      <c r="K417">
        <v>0.59</v>
      </c>
      <c r="M417" t="s">
        <v>289</v>
      </c>
    </row>
    <row r="418" spans="1:13" hidden="1">
      <c r="A418" t="s">
        <v>45</v>
      </c>
      <c r="B418" t="s">
        <v>8</v>
      </c>
      <c r="C418" t="s">
        <v>44</v>
      </c>
      <c r="D418" t="str">
        <f>LEFT(M418,10)</f>
        <v>11/15/2024</v>
      </c>
      <c r="E418" t="s">
        <v>202</v>
      </c>
      <c r="F418" t="s">
        <v>203</v>
      </c>
      <c r="G418" t="s">
        <v>236</v>
      </c>
      <c r="I418">
        <v>650.4</v>
      </c>
      <c r="J418">
        <v>5969.1</v>
      </c>
      <c r="K418">
        <v>9.18</v>
      </c>
      <c r="M418" t="s">
        <v>289</v>
      </c>
    </row>
    <row r="419" spans="1:13" hidden="1">
      <c r="A419" t="s">
        <v>45</v>
      </c>
      <c r="B419" t="s">
        <v>8</v>
      </c>
      <c r="C419" t="s">
        <v>44</v>
      </c>
      <c r="D419" t="str">
        <f>LEFT(M419,10)</f>
        <v>11/15/2024</v>
      </c>
      <c r="E419" t="s">
        <v>202</v>
      </c>
      <c r="F419" t="s">
        <v>203</v>
      </c>
      <c r="G419" t="s">
        <v>236</v>
      </c>
      <c r="I419">
        <v>333.9</v>
      </c>
      <c r="J419">
        <v>3940</v>
      </c>
      <c r="K419">
        <v>11.8</v>
      </c>
      <c r="M419" t="s">
        <v>289</v>
      </c>
    </row>
    <row r="420" spans="1:13" hidden="1">
      <c r="A420" t="s">
        <v>45</v>
      </c>
      <c r="B420" t="s">
        <v>8</v>
      </c>
      <c r="C420" t="s">
        <v>44</v>
      </c>
      <c r="D420" t="str">
        <f>LEFT(M420,10)</f>
        <v>11/15/2024</v>
      </c>
      <c r="E420" t="s">
        <v>202</v>
      </c>
      <c r="F420" t="s">
        <v>218</v>
      </c>
      <c r="G420" t="s">
        <v>240</v>
      </c>
      <c r="I420">
        <v>3419</v>
      </c>
      <c r="J420">
        <v>14017.9</v>
      </c>
      <c r="K420">
        <v>4.0999999999999996</v>
      </c>
      <c r="M420" t="s">
        <v>289</v>
      </c>
    </row>
    <row r="421" spans="1:13" hidden="1">
      <c r="A421" t="s">
        <v>45</v>
      </c>
      <c r="B421" t="s">
        <v>8</v>
      </c>
      <c r="C421" t="s">
        <v>44</v>
      </c>
      <c r="D421" t="str">
        <f>LEFT(M421,10)</f>
        <v>11/15/2024</v>
      </c>
      <c r="E421" t="s">
        <v>202</v>
      </c>
      <c r="F421" t="s">
        <v>218</v>
      </c>
      <c r="G421" t="s">
        <v>241</v>
      </c>
      <c r="I421">
        <v>400</v>
      </c>
      <c r="J421">
        <v>1600</v>
      </c>
      <c r="K421">
        <v>4</v>
      </c>
      <c r="M421" t="s">
        <v>289</v>
      </c>
    </row>
    <row r="422" spans="1:13" hidden="1">
      <c r="A422" t="s">
        <v>45</v>
      </c>
      <c r="B422" t="s">
        <v>8</v>
      </c>
      <c r="C422" t="s">
        <v>44</v>
      </c>
      <c r="D422" t="str">
        <f>LEFT(M422,10)</f>
        <v>11/15/2024</v>
      </c>
      <c r="E422" t="s">
        <v>202</v>
      </c>
      <c r="F422" t="s">
        <v>218</v>
      </c>
      <c r="G422" t="s">
        <v>242</v>
      </c>
      <c r="I422">
        <v>285</v>
      </c>
      <c r="J422">
        <v>513</v>
      </c>
      <c r="K422">
        <v>1.8</v>
      </c>
      <c r="M422" t="s">
        <v>289</v>
      </c>
    </row>
    <row r="423" spans="1:13" hidden="1">
      <c r="A423" t="s">
        <v>45</v>
      </c>
      <c r="B423" t="s">
        <v>8</v>
      </c>
      <c r="C423" t="s">
        <v>44</v>
      </c>
      <c r="D423" t="str">
        <f>LEFT(M423,10)</f>
        <v>11/15/2024</v>
      </c>
      <c r="E423" t="s">
        <v>202</v>
      </c>
      <c r="F423" t="s">
        <v>218</v>
      </c>
      <c r="G423" t="s">
        <v>224</v>
      </c>
      <c r="I423">
        <v>588</v>
      </c>
      <c r="J423">
        <v>588</v>
      </c>
      <c r="K423">
        <v>1</v>
      </c>
      <c r="M423" t="s">
        <v>289</v>
      </c>
    </row>
    <row r="424" spans="1:13" hidden="1">
      <c r="A424" t="s">
        <v>45</v>
      </c>
      <c r="B424" t="s">
        <v>8</v>
      </c>
      <c r="C424" t="s">
        <v>44</v>
      </c>
      <c r="D424" t="str">
        <f>LEFT(M424,10)</f>
        <v>11/15/2024</v>
      </c>
      <c r="E424" t="s">
        <v>202</v>
      </c>
      <c r="F424" t="s">
        <v>218</v>
      </c>
      <c r="G424" t="s">
        <v>222</v>
      </c>
      <c r="I424">
        <v>2245</v>
      </c>
      <c r="J424">
        <v>3479.75</v>
      </c>
      <c r="K424">
        <v>1.55</v>
      </c>
      <c r="M424" t="s">
        <v>289</v>
      </c>
    </row>
    <row r="425" spans="1:13" hidden="1">
      <c r="A425" t="s">
        <v>45</v>
      </c>
      <c r="B425" t="s">
        <v>8</v>
      </c>
      <c r="C425" t="s">
        <v>44</v>
      </c>
      <c r="D425" t="str">
        <f>LEFT(M425,10)</f>
        <v>11/15/2024</v>
      </c>
      <c r="E425" t="s">
        <v>202</v>
      </c>
      <c r="F425" t="s">
        <v>218</v>
      </c>
      <c r="G425" t="s">
        <v>222</v>
      </c>
      <c r="I425">
        <v>1321</v>
      </c>
      <c r="J425">
        <v>2509.9</v>
      </c>
      <c r="K425">
        <v>1.9</v>
      </c>
      <c r="M425" t="s">
        <v>289</v>
      </c>
    </row>
    <row r="426" spans="1:13" hidden="1">
      <c r="A426" t="s">
        <v>45</v>
      </c>
      <c r="B426" t="s">
        <v>8</v>
      </c>
      <c r="C426" t="s">
        <v>44</v>
      </c>
      <c r="D426" t="str">
        <f>LEFT(M426,10)</f>
        <v>11/15/2024</v>
      </c>
      <c r="E426" t="s">
        <v>202</v>
      </c>
      <c r="F426" t="s">
        <v>218</v>
      </c>
      <c r="G426" t="s">
        <v>245</v>
      </c>
      <c r="I426">
        <v>302</v>
      </c>
      <c r="J426">
        <v>15.1</v>
      </c>
      <c r="K426">
        <v>0.05</v>
      </c>
      <c r="M426" t="s">
        <v>289</v>
      </c>
    </row>
    <row r="427" spans="1:13" hidden="1">
      <c r="A427" t="s">
        <v>45</v>
      </c>
      <c r="B427" t="s">
        <v>8</v>
      </c>
      <c r="C427" t="s">
        <v>44</v>
      </c>
      <c r="D427" t="str">
        <f>LEFT(M427,10)</f>
        <v>11/15/2024</v>
      </c>
      <c r="E427" t="s">
        <v>202</v>
      </c>
      <c r="F427" t="s">
        <v>218</v>
      </c>
      <c r="G427" t="s">
        <v>225</v>
      </c>
      <c r="I427">
        <v>208</v>
      </c>
      <c r="J427">
        <v>228.8</v>
      </c>
      <c r="K427">
        <v>1.1000000000000001</v>
      </c>
      <c r="M427" t="s">
        <v>289</v>
      </c>
    </row>
    <row r="428" spans="1:13" hidden="1">
      <c r="A428" t="s">
        <v>45</v>
      </c>
      <c r="B428" t="s">
        <v>8</v>
      </c>
      <c r="C428" t="s">
        <v>44</v>
      </c>
      <c r="D428" t="str">
        <f>LEFT(M428,10)</f>
        <v>11/15/2024</v>
      </c>
      <c r="E428" t="s">
        <v>202</v>
      </c>
      <c r="F428" t="s">
        <v>218</v>
      </c>
      <c r="G428" t="s">
        <v>220</v>
      </c>
      <c r="I428">
        <v>2514</v>
      </c>
      <c r="J428">
        <v>3519.6</v>
      </c>
      <c r="K428">
        <v>1.4</v>
      </c>
      <c r="M428" t="s">
        <v>289</v>
      </c>
    </row>
    <row r="429" spans="1:13" hidden="1">
      <c r="A429" t="s">
        <v>45</v>
      </c>
      <c r="B429" t="s">
        <v>8</v>
      </c>
      <c r="C429" t="s">
        <v>44</v>
      </c>
      <c r="D429" t="str">
        <f>LEFT(M429,10)</f>
        <v>11/15/2024</v>
      </c>
      <c r="E429" t="s">
        <v>202</v>
      </c>
      <c r="F429" t="s">
        <v>218</v>
      </c>
      <c r="G429" t="s">
        <v>221</v>
      </c>
      <c r="I429">
        <v>2388</v>
      </c>
      <c r="J429">
        <v>5850.6</v>
      </c>
      <c r="K429">
        <v>2.4500000000000002</v>
      </c>
      <c r="M429" t="s">
        <v>289</v>
      </c>
    </row>
    <row r="430" spans="1:13" hidden="1">
      <c r="A430" t="s">
        <v>45</v>
      </c>
      <c r="B430" t="s">
        <v>8</v>
      </c>
      <c r="C430" t="s">
        <v>44</v>
      </c>
      <c r="D430" t="str">
        <f>LEFT(M430,10)</f>
        <v>11/15/2024</v>
      </c>
      <c r="E430" t="s">
        <v>202</v>
      </c>
      <c r="F430" t="s">
        <v>218</v>
      </c>
      <c r="G430" t="s">
        <v>223</v>
      </c>
      <c r="I430">
        <v>775</v>
      </c>
      <c r="J430">
        <v>542.5</v>
      </c>
      <c r="K430">
        <v>0.7</v>
      </c>
      <c r="M430" t="s">
        <v>289</v>
      </c>
    </row>
    <row r="431" spans="1:13" hidden="1">
      <c r="A431" t="s">
        <v>45</v>
      </c>
      <c r="B431" t="s">
        <v>8</v>
      </c>
      <c r="C431" t="s">
        <v>44</v>
      </c>
      <c r="D431" t="str">
        <f>LEFT(M431,10)</f>
        <v>11/15/2024</v>
      </c>
      <c r="E431" t="s">
        <v>202</v>
      </c>
      <c r="F431" t="s">
        <v>218</v>
      </c>
      <c r="G431" t="s">
        <v>223</v>
      </c>
      <c r="I431">
        <v>2956</v>
      </c>
      <c r="J431">
        <v>2364.8000000000002</v>
      </c>
      <c r="K431">
        <v>0.8</v>
      </c>
      <c r="M431" t="s">
        <v>289</v>
      </c>
    </row>
    <row r="432" spans="1:13" hidden="1">
      <c r="A432" t="s">
        <v>45</v>
      </c>
      <c r="B432" t="s">
        <v>8</v>
      </c>
      <c r="C432" t="s">
        <v>44</v>
      </c>
      <c r="D432" t="str">
        <f>LEFT(M432,10)</f>
        <v>11/15/2024</v>
      </c>
      <c r="E432" t="s">
        <v>202</v>
      </c>
      <c r="F432" t="s">
        <v>218</v>
      </c>
      <c r="G432" t="s">
        <v>226</v>
      </c>
      <c r="I432">
        <v>1069</v>
      </c>
      <c r="J432">
        <v>427.6</v>
      </c>
      <c r="K432">
        <v>0.4</v>
      </c>
      <c r="M432" t="s">
        <v>289</v>
      </c>
    </row>
    <row r="433" spans="1:13" hidden="1">
      <c r="A433" t="s">
        <v>45</v>
      </c>
      <c r="B433" t="s">
        <v>8</v>
      </c>
      <c r="C433" t="s">
        <v>44</v>
      </c>
      <c r="D433" t="str">
        <f>LEFT(M433,10)</f>
        <v>11/15/2024</v>
      </c>
      <c r="E433" t="s">
        <v>202</v>
      </c>
      <c r="F433" t="s">
        <v>218</v>
      </c>
      <c r="G433" t="s">
        <v>247</v>
      </c>
      <c r="I433">
        <v>113</v>
      </c>
      <c r="J433">
        <v>452</v>
      </c>
      <c r="K433">
        <v>4</v>
      </c>
      <c r="M433" t="s">
        <v>289</v>
      </c>
    </row>
    <row r="434" spans="1:13" hidden="1">
      <c r="A434" t="s">
        <v>45</v>
      </c>
      <c r="B434" t="s">
        <v>8</v>
      </c>
      <c r="C434" t="s">
        <v>44</v>
      </c>
      <c r="D434" t="str">
        <f>LEFT(M434,10)</f>
        <v>11/15/2024</v>
      </c>
      <c r="E434" t="s">
        <v>202</v>
      </c>
      <c r="F434" t="s">
        <v>218</v>
      </c>
      <c r="G434" t="s">
        <v>243</v>
      </c>
      <c r="H434" t="s">
        <v>295</v>
      </c>
      <c r="I434">
        <v>234</v>
      </c>
      <c r="J434">
        <v>117</v>
      </c>
      <c r="K434">
        <v>0.5</v>
      </c>
      <c r="M434" t="s">
        <v>289</v>
      </c>
    </row>
    <row r="435" spans="1:13" hidden="1">
      <c r="A435" t="s">
        <v>45</v>
      </c>
      <c r="B435" t="s">
        <v>8</v>
      </c>
      <c r="C435" t="s">
        <v>44</v>
      </c>
      <c r="D435" t="str">
        <f>LEFT(M435,10)</f>
        <v>11/15/2024</v>
      </c>
      <c r="E435" t="s">
        <v>202</v>
      </c>
      <c r="F435" t="s">
        <v>218</v>
      </c>
      <c r="G435" t="s">
        <v>239</v>
      </c>
      <c r="I435">
        <v>272</v>
      </c>
      <c r="J435">
        <v>54.4</v>
      </c>
      <c r="K435">
        <v>0.2</v>
      </c>
      <c r="M435" t="s">
        <v>289</v>
      </c>
    </row>
    <row r="436" spans="1:13" hidden="1">
      <c r="A436" t="s">
        <v>45</v>
      </c>
      <c r="B436" t="s">
        <v>8</v>
      </c>
      <c r="C436" t="s">
        <v>44</v>
      </c>
      <c r="D436" t="str">
        <f>LEFT(M436,10)</f>
        <v>11/15/2024</v>
      </c>
      <c r="E436" t="s">
        <v>202</v>
      </c>
      <c r="F436" t="s">
        <v>218</v>
      </c>
      <c r="G436" t="s">
        <v>266</v>
      </c>
      <c r="I436">
        <v>310</v>
      </c>
      <c r="J436">
        <v>480.5</v>
      </c>
      <c r="K436">
        <v>1.55</v>
      </c>
      <c r="M436" t="s">
        <v>289</v>
      </c>
    </row>
    <row r="437" spans="1:13" hidden="1">
      <c r="A437" t="s">
        <v>45</v>
      </c>
      <c r="B437" t="s">
        <v>8</v>
      </c>
      <c r="C437" t="s">
        <v>44</v>
      </c>
      <c r="D437" t="str">
        <f>LEFT(M437,10)</f>
        <v>11/15/2024</v>
      </c>
      <c r="E437" t="s">
        <v>202</v>
      </c>
      <c r="F437" t="s">
        <v>218</v>
      </c>
      <c r="G437" t="s">
        <v>222</v>
      </c>
      <c r="I437">
        <v>124</v>
      </c>
      <c r="J437">
        <v>173.6</v>
      </c>
      <c r="K437">
        <v>1.4</v>
      </c>
      <c r="M437" t="s">
        <v>289</v>
      </c>
    </row>
    <row r="438" spans="1:13" hidden="1">
      <c r="A438" t="s">
        <v>45</v>
      </c>
      <c r="B438" t="s">
        <v>8</v>
      </c>
      <c r="C438" t="s">
        <v>44</v>
      </c>
      <c r="D438" t="str">
        <f>LEFT(M438,10)</f>
        <v>11/15/2024</v>
      </c>
      <c r="E438" t="s">
        <v>202</v>
      </c>
      <c r="F438" t="s">
        <v>227</v>
      </c>
      <c r="G438" t="s">
        <v>229</v>
      </c>
      <c r="I438">
        <v>17727</v>
      </c>
      <c r="J438">
        <v>13290.75</v>
      </c>
      <c r="K438">
        <v>0.75</v>
      </c>
      <c r="M438" t="s">
        <v>289</v>
      </c>
    </row>
    <row r="439" spans="1:13" hidden="1">
      <c r="A439" t="s">
        <v>45</v>
      </c>
      <c r="B439" t="s">
        <v>8</v>
      </c>
      <c r="C439" t="s">
        <v>44</v>
      </c>
      <c r="D439" t="str">
        <f>LEFT(M439,10)</f>
        <v>11/15/2024</v>
      </c>
      <c r="E439" t="s">
        <v>202</v>
      </c>
      <c r="F439" t="s">
        <v>227</v>
      </c>
      <c r="G439" t="s">
        <v>237</v>
      </c>
      <c r="I439">
        <v>2345</v>
      </c>
      <c r="J439">
        <v>1641.5</v>
      </c>
      <c r="K439">
        <v>0.7</v>
      </c>
      <c r="M439" t="s">
        <v>289</v>
      </c>
    </row>
    <row r="440" spans="1:13" hidden="1">
      <c r="A440" t="s">
        <v>45</v>
      </c>
      <c r="B440" t="s">
        <v>8</v>
      </c>
      <c r="C440" t="s">
        <v>44</v>
      </c>
      <c r="D440" t="str">
        <f>LEFT(M440,10)</f>
        <v>11/15/2024</v>
      </c>
      <c r="E440" t="s">
        <v>202</v>
      </c>
      <c r="F440" t="s">
        <v>227</v>
      </c>
      <c r="G440" t="s">
        <v>228</v>
      </c>
      <c r="I440">
        <v>6347</v>
      </c>
      <c r="J440">
        <v>1586.75</v>
      </c>
      <c r="K440">
        <v>0.25</v>
      </c>
      <c r="M440" t="s">
        <v>289</v>
      </c>
    </row>
    <row r="441" spans="1:13" hidden="1">
      <c r="A441" t="s">
        <v>45</v>
      </c>
      <c r="B441" t="s">
        <v>8</v>
      </c>
      <c r="C441" t="s">
        <v>44</v>
      </c>
      <c r="D441" t="str">
        <f>LEFT(M441,10)</f>
        <v>11/15/2024</v>
      </c>
      <c r="E441" t="s">
        <v>202</v>
      </c>
      <c r="F441" t="s">
        <v>227</v>
      </c>
      <c r="G441" t="s">
        <v>238</v>
      </c>
      <c r="I441">
        <v>1894</v>
      </c>
      <c r="J441">
        <v>473.5</v>
      </c>
      <c r="K441">
        <v>0.25</v>
      </c>
      <c r="M441" t="s">
        <v>289</v>
      </c>
    </row>
    <row r="442" spans="1:13" hidden="1">
      <c r="A442" t="s">
        <v>45</v>
      </c>
      <c r="B442" t="s">
        <v>8</v>
      </c>
      <c r="C442" t="s">
        <v>44</v>
      </c>
      <c r="D442" t="str">
        <f>LEFT(M442,10)</f>
        <v>11/15/2024</v>
      </c>
      <c r="E442" t="s">
        <v>232</v>
      </c>
      <c r="F442" t="s">
        <v>291</v>
      </c>
      <c r="G442" t="s">
        <v>249</v>
      </c>
      <c r="I442">
        <v>0</v>
      </c>
      <c r="J442">
        <v>34.97</v>
      </c>
      <c r="M442" t="s">
        <v>289</v>
      </c>
    </row>
    <row r="443" spans="1:13" hidden="1">
      <c r="A443" t="s">
        <v>45</v>
      </c>
      <c r="B443" t="s">
        <v>8</v>
      </c>
      <c r="C443" t="s">
        <v>44</v>
      </c>
      <c r="D443" t="str">
        <f>LEFT(M443,10)</f>
        <v>11/15/2024</v>
      </c>
      <c r="E443" t="s">
        <v>232</v>
      </c>
      <c r="F443" t="s">
        <v>251</v>
      </c>
      <c r="G443" t="s">
        <v>249</v>
      </c>
      <c r="I443">
        <v>0</v>
      </c>
      <c r="J443">
        <v>825.39</v>
      </c>
      <c r="M443" t="s">
        <v>289</v>
      </c>
    </row>
    <row r="444" spans="1:13" hidden="1">
      <c r="A444" t="s">
        <v>45</v>
      </c>
      <c r="B444" t="s">
        <v>8</v>
      </c>
      <c r="C444" t="s">
        <v>44</v>
      </c>
      <c r="D444" t="str">
        <f>LEFT(M444,10)</f>
        <v>11/15/2024</v>
      </c>
      <c r="E444" t="s">
        <v>232</v>
      </c>
      <c r="F444" t="s">
        <v>290</v>
      </c>
      <c r="G444" t="s">
        <v>249</v>
      </c>
      <c r="I444">
        <v>0</v>
      </c>
      <c r="J444">
        <v>570.97</v>
      </c>
      <c r="M444" t="s">
        <v>289</v>
      </c>
    </row>
    <row r="445" spans="1:13" hidden="1">
      <c r="A445" t="s">
        <v>45</v>
      </c>
      <c r="B445" t="s">
        <v>8</v>
      </c>
      <c r="C445" t="s">
        <v>44</v>
      </c>
      <c r="D445" t="str">
        <f>LEFT(M445,10)</f>
        <v>11/15/2024</v>
      </c>
      <c r="E445" t="s">
        <v>232</v>
      </c>
      <c r="F445" t="s">
        <v>250</v>
      </c>
      <c r="G445" t="s">
        <v>249</v>
      </c>
      <c r="I445">
        <v>0</v>
      </c>
      <c r="J445">
        <v>360</v>
      </c>
      <c r="M445" t="s">
        <v>289</v>
      </c>
    </row>
    <row r="446" spans="1:13" hidden="1">
      <c r="A446" t="s">
        <v>45</v>
      </c>
      <c r="B446" t="s">
        <v>8</v>
      </c>
      <c r="C446" t="s">
        <v>44</v>
      </c>
      <c r="D446" t="str">
        <f>LEFT(M446,10)</f>
        <v>11/15/2024</v>
      </c>
      <c r="E446" t="s">
        <v>232</v>
      </c>
      <c r="F446" t="s">
        <v>262</v>
      </c>
      <c r="G446" t="s">
        <v>249</v>
      </c>
      <c r="I446">
        <v>0</v>
      </c>
      <c r="J446">
        <v>300</v>
      </c>
      <c r="M446" t="s">
        <v>289</v>
      </c>
    </row>
    <row r="447" spans="1:13" hidden="1">
      <c r="A447" t="s">
        <v>45</v>
      </c>
      <c r="B447" t="s">
        <v>8</v>
      </c>
      <c r="C447" t="s">
        <v>44</v>
      </c>
      <c r="D447" t="str">
        <f>LEFT(M447,10)</f>
        <v>11/15/2024</v>
      </c>
      <c r="E447" t="s">
        <v>232</v>
      </c>
      <c r="F447" t="s">
        <v>296</v>
      </c>
      <c r="G447" t="s">
        <v>249</v>
      </c>
      <c r="I447">
        <v>0</v>
      </c>
      <c r="J447">
        <v>1175</v>
      </c>
      <c r="M447" t="s">
        <v>289</v>
      </c>
    </row>
    <row r="448" spans="1:13" hidden="1">
      <c r="A448" t="s">
        <v>45</v>
      </c>
      <c r="B448" t="s">
        <v>8</v>
      </c>
      <c r="C448" t="s">
        <v>44</v>
      </c>
      <c r="D448" t="str">
        <f>LEFT(M448,10)</f>
        <v>11/15/2024</v>
      </c>
      <c r="E448" t="s">
        <v>232</v>
      </c>
      <c r="F448" t="s">
        <v>251</v>
      </c>
      <c r="G448" t="s">
        <v>249</v>
      </c>
      <c r="I448">
        <v>0</v>
      </c>
      <c r="J448">
        <v>250</v>
      </c>
      <c r="M448" t="s">
        <v>289</v>
      </c>
    </row>
    <row r="449" spans="1:13" hidden="1">
      <c r="A449" t="s">
        <v>45</v>
      </c>
      <c r="B449" t="s">
        <v>8</v>
      </c>
      <c r="C449" t="s">
        <v>44</v>
      </c>
      <c r="D449" t="str">
        <f>LEFT(M449,10)</f>
        <v>11/15/2024</v>
      </c>
      <c r="E449" t="s">
        <v>232</v>
      </c>
      <c r="F449" t="s">
        <v>233</v>
      </c>
      <c r="G449" t="s">
        <v>249</v>
      </c>
      <c r="I449">
        <v>0</v>
      </c>
      <c r="J449">
        <v>3740.32</v>
      </c>
      <c r="M449" t="s">
        <v>289</v>
      </c>
    </row>
    <row r="450" spans="1:13" hidden="1">
      <c r="A450" t="s">
        <v>45</v>
      </c>
      <c r="B450" t="s">
        <v>8</v>
      </c>
      <c r="C450" t="s">
        <v>44</v>
      </c>
      <c r="D450" t="str">
        <f>LEFT(M450,10)</f>
        <v>11/15/2024</v>
      </c>
      <c r="E450" t="s">
        <v>230</v>
      </c>
      <c r="F450" t="s">
        <v>248</v>
      </c>
      <c r="G450" t="s">
        <v>249</v>
      </c>
      <c r="I450">
        <v>0</v>
      </c>
      <c r="J450">
        <v>26176.5</v>
      </c>
      <c r="M450" t="s">
        <v>289</v>
      </c>
    </row>
    <row r="451" spans="1:13" hidden="1">
      <c r="A451" t="s">
        <v>48</v>
      </c>
      <c r="B451" t="s">
        <v>8</v>
      </c>
      <c r="C451" t="s">
        <v>47</v>
      </c>
      <c r="D451" t="str">
        <f>LEFT(M451,10)</f>
        <v>11/15/2024</v>
      </c>
      <c r="E451" t="s">
        <v>202</v>
      </c>
      <c r="F451" t="s">
        <v>218</v>
      </c>
      <c r="G451" t="s">
        <v>243</v>
      </c>
      <c r="H451" t="s">
        <v>297</v>
      </c>
      <c r="I451">
        <v>99</v>
      </c>
      <c r="J451">
        <v>0.99</v>
      </c>
      <c r="K451">
        <v>0.01</v>
      </c>
      <c r="M451" t="s">
        <v>289</v>
      </c>
    </row>
    <row r="452" spans="1:13" hidden="1">
      <c r="A452" t="s">
        <v>48</v>
      </c>
      <c r="B452" t="s">
        <v>8</v>
      </c>
      <c r="C452" t="s">
        <v>47</v>
      </c>
      <c r="D452" t="str">
        <f>LEFT(M452,10)</f>
        <v>11/15/2024</v>
      </c>
      <c r="E452" t="s">
        <v>202</v>
      </c>
      <c r="F452" t="s">
        <v>218</v>
      </c>
      <c r="G452" t="s">
        <v>223</v>
      </c>
      <c r="I452">
        <v>450</v>
      </c>
      <c r="J452">
        <v>360</v>
      </c>
      <c r="K452">
        <v>0.8</v>
      </c>
      <c r="M452" t="s">
        <v>289</v>
      </c>
    </row>
    <row r="453" spans="1:13" hidden="1">
      <c r="A453" t="s">
        <v>48</v>
      </c>
      <c r="B453" t="s">
        <v>8</v>
      </c>
      <c r="C453" t="s">
        <v>47</v>
      </c>
      <c r="D453" t="str">
        <f>LEFT(M453,10)</f>
        <v>11/15/2024</v>
      </c>
      <c r="E453" t="s">
        <v>202</v>
      </c>
      <c r="F453" t="s">
        <v>227</v>
      </c>
      <c r="G453" t="s">
        <v>252</v>
      </c>
      <c r="I453">
        <v>449</v>
      </c>
      <c r="J453">
        <v>89.8</v>
      </c>
      <c r="K453">
        <v>0.2</v>
      </c>
      <c r="M453" t="s">
        <v>289</v>
      </c>
    </row>
    <row r="454" spans="1:13" hidden="1">
      <c r="A454" t="s">
        <v>48</v>
      </c>
      <c r="B454" t="s">
        <v>8</v>
      </c>
      <c r="C454" t="s">
        <v>47</v>
      </c>
      <c r="D454" t="str">
        <f>LEFT(M454,10)</f>
        <v>11/15/2024</v>
      </c>
      <c r="E454" t="s">
        <v>202</v>
      </c>
      <c r="F454" t="s">
        <v>227</v>
      </c>
      <c r="G454" t="s">
        <v>238</v>
      </c>
      <c r="I454">
        <v>307</v>
      </c>
      <c r="J454">
        <v>76.75</v>
      </c>
      <c r="K454">
        <v>0.25</v>
      </c>
      <c r="M454" t="s">
        <v>289</v>
      </c>
    </row>
    <row r="455" spans="1:13" hidden="1">
      <c r="A455" t="s">
        <v>48</v>
      </c>
      <c r="B455" t="s">
        <v>8</v>
      </c>
      <c r="C455" t="s">
        <v>47</v>
      </c>
      <c r="D455" t="str">
        <f>LEFT(M455,10)</f>
        <v>11/15/2024</v>
      </c>
      <c r="E455" t="s">
        <v>202</v>
      </c>
      <c r="F455" t="s">
        <v>218</v>
      </c>
      <c r="G455" t="s">
        <v>242</v>
      </c>
      <c r="I455">
        <v>78</v>
      </c>
      <c r="J455">
        <v>70.2</v>
      </c>
      <c r="K455">
        <v>0.9</v>
      </c>
      <c r="M455" t="s">
        <v>289</v>
      </c>
    </row>
    <row r="456" spans="1:13" hidden="1">
      <c r="A456" t="s">
        <v>48</v>
      </c>
      <c r="B456" t="s">
        <v>8</v>
      </c>
      <c r="C456" t="s">
        <v>47</v>
      </c>
      <c r="D456" t="str">
        <f>LEFT(M456,10)</f>
        <v>11/15/2024</v>
      </c>
      <c r="E456" t="s">
        <v>202</v>
      </c>
      <c r="F456" t="s">
        <v>227</v>
      </c>
      <c r="G456" t="s">
        <v>228</v>
      </c>
      <c r="I456">
        <v>2265</v>
      </c>
      <c r="J456">
        <v>453</v>
      </c>
      <c r="K456">
        <v>0.2</v>
      </c>
      <c r="M456" t="s">
        <v>289</v>
      </c>
    </row>
    <row r="457" spans="1:13" hidden="1">
      <c r="A457" t="s">
        <v>48</v>
      </c>
      <c r="B457" t="s">
        <v>8</v>
      </c>
      <c r="C457" t="s">
        <v>47</v>
      </c>
      <c r="D457" t="str">
        <f>LEFT(M457,10)</f>
        <v>11/15/2024</v>
      </c>
      <c r="E457" t="s">
        <v>202</v>
      </c>
      <c r="F457" t="s">
        <v>218</v>
      </c>
      <c r="G457" t="s">
        <v>240</v>
      </c>
      <c r="I457">
        <v>883</v>
      </c>
      <c r="J457">
        <v>2472.4</v>
      </c>
      <c r="K457">
        <v>2.8</v>
      </c>
      <c r="M457" t="s">
        <v>289</v>
      </c>
    </row>
    <row r="458" spans="1:13" hidden="1">
      <c r="A458" t="s">
        <v>48</v>
      </c>
      <c r="B458" t="s">
        <v>8</v>
      </c>
      <c r="C458" t="s">
        <v>47</v>
      </c>
      <c r="D458" t="str">
        <f>LEFT(M458,10)</f>
        <v>11/15/2024</v>
      </c>
      <c r="E458" t="s">
        <v>202</v>
      </c>
      <c r="F458" t="s">
        <v>218</v>
      </c>
      <c r="G458" t="s">
        <v>243</v>
      </c>
      <c r="H458" t="s">
        <v>298</v>
      </c>
      <c r="I458">
        <v>889</v>
      </c>
      <c r="J458">
        <v>800.1</v>
      </c>
      <c r="K458">
        <v>0.9</v>
      </c>
      <c r="M458" t="s">
        <v>289</v>
      </c>
    </row>
    <row r="459" spans="1:13" hidden="1">
      <c r="A459" t="s">
        <v>48</v>
      </c>
      <c r="B459" t="s">
        <v>8</v>
      </c>
      <c r="C459" t="s">
        <v>47</v>
      </c>
      <c r="D459" t="str">
        <f>LEFT(M459,10)</f>
        <v>11/15/2024</v>
      </c>
      <c r="E459" t="s">
        <v>202</v>
      </c>
      <c r="F459" t="s">
        <v>218</v>
      </c>
      <c r="G459" t="s">
        <v>241</v>
      </c>
      <c r="I459">
        <v>141</v>
      </c>
      <c r="J459">
        <v>394.8</v>
      </c>
      <c r="K459">
        <v>2.8</v>
      </c>
      <c r="M459" t="s">
        <v>289</v>
      </c>
    </row>
    <row r="460" spans="1:13" hidden="1">
      <c r="A460" t="s">
        <v>48</v>
      </c>
      <c r="B460" t="s">
        <v>8</v>
      </c>
      <c r="C460" t="s">
        <v>47</v>
      </c>
      <c r="D460" t="str">
        <f>LEFT(M460,10)</f>
        <v>11/15/2024</v>
      </c>
      <c r="E460" t="s">
        <v>202</v>
      </c>
      <c r="F460" t="s">
        <v>218</v>
      </c>
      <c r="G460" t="s">
        <v>226</v>
      </c>
      <c r="I460">
        <v>169</v>
      </c>
      <c r="J460">
        <v>50.7</v>
      </c>
      <c r="K460">
        <v>0.3</v>
      </c>
      <c r="M460" t="s">
        <v>289</v>
      </c>
    </row>
    <row r="461" spans="1:13" hidden="1">
      <c r="A461" t="s">
        <v>48</v>
      </c>
      <c r="B461" t="s">
        <v>8</v>
      </c>
      <c r="C461" t="s">
        <v>47</v>
      </c>
      <c r="D461" t="str">
        <f>LEFT(M461,10)</f>
        <v>11/15/2024</v>
      </c>
      <c r="E461" t="s">
        <v>202</v>
      </c>
      <c r="F461" t="s">
        <v>218</v>
      </c>
      <c r="G461" t="s">
        <v>243</v>
      </c>
      <c r="H461" t="s">
        <v>297</v>
      </c>
      <c r="I461">
        <v>243</v>
      </c>
      <c r="J461">
        <v>2.4300000000000002</v>
      </c>
      <c r="K461">
        <v>0.01</v>
      </c>
      <c r="M461" t="s">
        <v>289</v>
      </c>
    </row>
    <row r="462" spans="1:13" hidden="1">
      <c r="A462" t="s">
        <v>48</v>
      </c>
      <c r="B462" t="s">
        <v>8</v>
      </c>
      <c r="C462" t="s">
        <v>47</v>
      </c>
      <c r="D462" t="str">
        <f>LEFT(M462,10)</f>
        <v>11/15/2024</v>
      </c>
      <c r="E462" t="s">
        <v>202</v>
      </c>
      <c r="F462" t="s">
        <v>218</v>
      </c>
      <c r="G462" t="s">
        <v>220</v>
      </c>
      <c r="I462">
        <v>611</v>
      </c>
      <c r="J462">
        <v>794.3</v>
      </c>
      <c r="K462">
        <v>1.3</v>
      </c>
      <c r="M462" t="s">
        <v>289</v>
      </c>
    </row>
    <row r="463" spans="1:13" hidden="1">
      <c r="A463" t="s">
        <v>48</v>
      </c>
      <c r="B463" t="s">
        <v>8</v>
      </c>
      <c r="C463" t="s">
        <v>47</v>
      </c>
      <c r="D463" t="str">
        <f>LEFT(M463,10)</f>
        <v>11/15/2024</v>
      </c>
      <c r="E463" t="s">
        <v>202</v>
      </c>
      <c r="F463" t="s">
        <v>227</v>
      </c>
      <c r="G463" t="s">
        <v>229</v>
      </c>
      <c r="I463">
        <v>1816</v>
      </c>
      <c r="J463">
        <v>1089.5999999999999</v>
      </c>
      <c r="K463">
        <v>0.6</v>
      </c>
      <c r="M463" t="s">
        <v>289</v>
      </c>
    </row>
    <row r="464" spans="1:13" hidden="1">
      <c r="A464" t="s">
        <v>48</v>
      </c>
      <c r="B464" t="s">
        <v>8</v>
      </c>
      <c r="C464" t="s">
        <v>47</v>
      </c>
      <c r="D464" t="str">
        <f>LEFT(M464,10)</f>
        <v>11/15/2024</v>
      </c>
      <c r="E464" t="s">
        <v>202</v>
      </c>
      <c r="F464" t="s">
        <v>218</v>
      </c>
      <c r="G464" t="s">
        <v>243</v>
      </c>
      <c r="H464" t="s">
        <v>299</v>
      </c>
      <c r="I464">
        <v>432</v>
      </c>
      <c r="J464">
        <v>432</v>
      </c>
      <c r="K464">
        <v>1</v>
      </c>
      <c r="M464" t="s">
        <v>289</v>
      </c>
    </row>
    <row r="465" spans="1:13" hidden="1">
      <c r="A465" t="s">
        <v>48</v>
      </c>
      <c r="B465" t="s">
        <v>8</v>
      </c>
      <c r="C465" t="s">
        <v>47</v>
      </c>
      <c r="D465" t="str">
        <f>LEFT(M465,10)</f>
        <v>11/15/2024</v>
      </c>
      <c r="E465" t="s">
        <v>202</v>
      </c>
      <c r="F465" t="s">
        <v>218</v>
      </c>
      <c r="G465" t="s">
        <v>240</v>
      </c>
      <c r="I465">
        <v>130</v>
      </c>
      <c r="J465">
        <v>364</v>
      </c>
      <c r="K465">
        <v>2.8</v>
      </c>
      <c r="M465" t="s">
        <v>289</v>
      </c>
    </row>
    <row r="466" spans="1:13" hidden="1">
      <c r="A466" t="s">
        <v>48</v>
      </c>
      <c r="B466" t="s">
        <v>8</v>
      </c>
      <c r="C466" t="s">
        <v>47</v>
      </c>
      <c r="D466" t="str">
        <f>LEFT(M466,10)</f>
        <v>11/15/2024</v>
      </c>
      <c r="E466" t="s">
        <v>202</v>
      </c>
      <c r="F466" t="s">
        <v>218</v>
      </c>
      <c r="G466" t="s">
        <v>243</v>
      </c>
      <c r="H466" t="s">
        <v>300</v>
      </c>
      <c r="I466">
        <v>286</v>
      </c>
      <c r="J466">
        <v>629.20000000000005</v>
      </c>
      <c r="K466">
        <v>2.2000000000000002</v>
      </c>
      <c r="M466" t="s">
        <v>289</v>
      </c>
    </row>
    <row r="467" spans="1:13" hidden="1">
      <c r="A467" t="s">
        <v>48</v>
      </c>
      <c r="B467" t="s">
        <v>8</v>
      </c>
      <c r="C467" t="s">
        <v>47</v>
      </c>
      <c r="D467" t="str">
        <f>LEFT(M467,10)</f>
        <v>11/15/2024</v>
      </c>
      <c r="E467" t="s">
        <v>202</v>
      </c>
      <c r="F467" t="s">
        <v>218</v>
      </c>
      <c r="G467" t="s">
        <v>243</v>
      </c>
      <c r="H467" t="s">
        <v>301</v>
      </c>
      <c r="I467">
        <v>271</v>
      </c>
      <c r="J467">
        <v>623.29999999999995</v>
      </c>
      <c r="K467">
        <v>2.2999999999999998</v>
      </c>
      <c r="M467" t="s">
        <v>289</v>
      </c>
    </row>
    <row r="468" spans="1:13" hidden="1">
      <c r="A468" t="s">
        <v>48</v>
      </c>
      <c r="B468" t="s">
        <v>8</v>
      </c>
      <c r="C468" t="s">
        <v>47</v>
      </c>
      <c r="D468" t="str">
        <f>LEFT(M468,10)</f>
        <v>11/15/2024</v>
      </c>
      <c r="E468" t="s">
        <v>202</v>
      </c>
      <c r="F468" t="s">
        <v>218</v>
      </c>
      <c r="G468" t="s">
        <v>242</v>
      </c>
      <c r="I468">
        <v>69</v>
      </c>
      <c r="J468">
        <v>62.1</v>
      </c>
      <c r="K468">
        <v>0.9</v>
      </c>
      <c r="M468" t="s">
        <v>289</v>
      </c>
    </row>
    <row r="469" spans="1:13" hidden="1">
      <c r="A469" t="s">
        <v>48</v>
      </c>
      <c r="B469" t="s">
        <v>8</v>
      </c>
      <c r="C469" t="s">
        <v>47</v>
      </c>
      <c r="D469" t="str">
        <f>LEFT(M469,10)</f>
        <v>11/15/2024</v>
      </c>
      <c r="E469" t="s">
        <v>202</v>
      </c>
      <c r="F469" t="s">
        <v>218</v>
      </c>
      <c r="G469" t="s">
        <v>243</v>
      </c>
      <c r="H469" t="s">
        <v>302</v>
      </c>
      <c r="I469">
        <v>222</v>
      </c>
      <c r="J469">
        <v>222</v>
      </c>
      <c r="K469">
        <v>1</v>
      </c>
      <c r="M469" t="s">
        <v>289</v>
      </c>
    </row>
    <row r="470" spans="1:13" hidden="1">
      <c r="A470" t="s">
        <v>48</v>
      </c>
      <c r="B470" t="s">
        <v>8</v>
      </c>
      <c r="C470" t="s">
        <v>47</v>
      </c>
      <c r="D470" t="str">
        <f>LEFT(M470,10)</f>
        <v>11/15/2024</v>
      </c>
      <c r="E470" t="s">
        <v>202</v>
      </c>
      <c r="F470" t="s">
        <v>203</v>
      </c>
      <c r="G470" t="s">
        <v>215</v>
      </c>
      <c r="I470">
        <v>3080</v>
      </c>
      <c r="J470">
        <v>2464</v>
      </c>
      <c r="K470">
        <v>0.8</v>
      </c>
      <c r="M470" t="s">
        <v>289</v>
      </c>
    </row>
    <row r="471" spans="1:13" hidden="1">
      <c r="A471" t="s">
        <v>48</v>
      </c>
      <c r="B471" t="s">
        <v>8</v>
      </c>
      <c r="C471" t="s">
        <v>47</v>
      </c>
      <c r="D471" t="str">
        <f>LEFT(M471,10)</f>
        <v>11/15/2024</v>
      </c>
      <c r="E471" t="s">
        <v>202</v>
      </c>
      <c r="F471" t="s">
        <v>218</v>
      </c>
      <c r="G471" t="s">
        <v>243</v>
      </c>
      <c r="H471" t="s">
        <v>303</v>
      </c>
      <c r="I471">
        <v>35</v>
      </c>
      <c r="J471">
        <v>3.5</v>
      </c>
      <c r="K471">
        <v>0.1</v>
      </c>
      <c r="M471" t="s">
        <v>289</v>
      </c>
    </row>
    <row r="472" spans="1:13" hidden="1">
      <c r="A472" t="s">
        <v>48</v>
      </c>
      <c r="B472" t="s">
        <v>8</v>
      </c>
      <c r="C472" t="s">
        <v>47</v>
      </c>
      <c r="D472" t="str">
        <f>LEFT(M472,10)</f>
        <v>11/15/2024</v>
      </c>
      <c r="E472" t="s">
        <v>202</v>
      </c>
      <c r="F472" t="s">
        <v>218</v>
      </c>
      <c r="G472" t="s">
        <v>243</v>
      </c>
      <c r="H472" t="s">
        <v>300</v>
      </c>
      <c r="I472">
        <v>185</v>
      </c>
      <c r="J472">
        <v>407</v>
      </c>
      <c r="K472">
        <v>2.2000000000000002</v>
      </c>
      <c r="M472" t="s">
        <v>289</v>
      </c>
    </row>
    <row r="473" spans="1:13" hidden="1">
      <c r="A473" t="s">
        <v>48</v>
      </c>
      <c r="B473" t="s">
        <v>8</v>
      </c>
      <c r="C473" t="s">
        <v>47</v>
      </c>
      <c r="D473" t="str">
        <f>LEFT(M473,10)</f>
        <v>11/15/2024</v>
      </c>
      <c r="E473" t="s">
        <v>202</v>
      </c>
      <c r="F473" t="s">
        <v>218</v>
      </c>
      <c r="G473" t="s">
        <v>243</v>
      </c>
      <c r="H473" t="s">
        <v>299</v>
      </c>
      <c r="I473">
        <v>163</v>
      </c>
      <c r="J473">
        <v>163</v>
      </c>
      <c r="K473">
        <v>1</v>
      </c>
      <c r="M473" t="s">
        <v>289</v>
      </c>
    </row>
    <row r="474" spans="1:13" hidden="1">
      <c r="A474" t="s">
        <v>48</v>
      </c>
      <c r="B474" t="s">
        <v>8</v>
      </c>
      <c r="C474" t="s">
        <v>47</v>
      </c>
      <c r="D474" t="str">
        <f>LEFT(M474,10)</f>
        <v>11/15/2024</v>
      </c>
      <c r="E474" t="s">
        <v>202</v>
      </c>
      <c r="F474" t="s">
        <v>218</v>
      </c>
      <c r="G474" t="s">
        <v>240</v>
      </c>
      <c r="I474">
        <v>912</v>
      </c>
      <c r="J474">
        <v>2553.6</v>
      </c>
      <c r="K474">
        <v>2.8</v>
      </c>
      <c r="M474" t="s">
        <v>289</v>
      </c>
    </row>
    <row r="475" spans="1:13" hidden="1">
      <c r="A475" t="s">
        <v>48</v>
      </c>
      <c r="B475" t="s">
        <v>8</v>
      </c>
      <c r="C475" t="s">
        <v>47</v>
      </c>
      <c r="D475" t="str">
        <f>LEFT(M475,10)</f>
        <v>11/15/2024</v>
      </c>
      <c r="E475" t="s">
        <v>202</v>
      </c>
      <c r="F475" t="s">
        <v>227</v>
      </c>
      <c r="G475" t="s">
        <v>228</v>
      </c>
      <c r="I475">
        <v>2679</v>
      </c>
      <c r="J475">
        <v>535.79999999999995</v>
      </c>
      <c r="K475">
        <v>0.2</v>
      </c>
      <c r="M475" t="s">
        <v>289</v>
      </c>
    </row>
    <row r="476" spans="1:13" hidden="1">
      <c r="A476" t="s">
        <v>48</v>
      </c>
      <c r="B476" t="s">
        <v>8</v>
      </c>
      <c r="C476" t="s">
        <v>47</v>
      </c>
      <c r="D476" t="str">
        <f>LEFT(M476,10)</f>
        <v>11/15/2024</v>
      </c>
      <c r="E476" t="s">
        <v>202</v>
      </c>
      <c r="F476" t="s">
        <v>218</v>
      </c>
      <c r="G476" t="s">
        <v>242</v>
      </c>
      <c r="I476">
        <v>71</v>
      </c>
      <c r="J476">
        <v>63.9</v>
      </c>
      <c r="K476">
        <v>0.9</v>
      </c>
      <c r="M476" t="s">
        <v>289</v>
      </c>
    </row>
    <row r="477" spans="1:13" hidden="1">
      <c r="A477" t="s">
        <v>48</v>
      </c>
      <c r="B477" t="s">
        <v>8</v>
      </c>
      <c r="C477" t="s">
        <v>47</v>
      </c>
      <c r="D477" t="str">
        <f>LEFT(M477,10)</f>
        <v>11/15/2024</v>
      </c>
      <c r="E477" t="s">
        <v>202</v>
      </c>
      <c r="F477" t="s">
        <v>218</v>
      </c>
      <c r="G477" t="s">
        <v>243</v>
      </c>
      <c r="H477" t="s">
        <v>304</v>
      </c>
      <c r="I477">
        <v>53</v>
      </c>
      <c r="J477">
        <v>0.53</v>
      </c>
      <c r="K477">
        <v>0.01</v>
      </c>
      <c r="M477" t="s">
        <v>289</v>
      </c>
    </row>
    <row r="478" spans="1:13" hidden="1">
      <c r="A478" t="s">
        <v>48</v>
      </c>
      <c r="B478" t="s">
        <v>8</v>
      </c>
      <c r="C478" t="s">
        <v>47</v>
      </c>
      <c r="D478" t="str">
        <f>LEFT(M478,10)</f>
        <v>11/15/2024</v>
      </c>
      <c r="E478" t="s">
        <v>202</v>
      </c>
      <c r="F478" t="s">
        <v>218</v>
      </c>
      <c r="G478" t="s">
        <v>243</v>
      </c>
      <c r="H478" t="s">
        <v>305</v>
      </c>
      <c r="I478">
        <v>96</v>
      </c>
      <c r="J478">
        <v>134.4</v>
      </c>
      <c r="K478">
        <v>1.4</v>
      </c>
      <c r="M478" t="s">
        <v>289</v>
      </c>
    </row>
    <row r="479" spans="1:13" hidden="1">
      <c r="A479" t="s">
        <v>48</v>
      </c>
      <c r="B479" t="s">
        <v>8</v>
      </c>
      <c r="C479" t="s">
        <v>47</v>
      </c>
      <c r="D479" t="str">
        <f>LEFT(M479,10)</f>
        <v>11/15/2024</v>
      </c>
      <c r="E479" t="s">
        <v>202</v>
      </c>
      <c r="F479" t="s">
        <v>227</v>
      </c>
      <c r="G479" t="s">
        <v>252</v>
      </c>
      <c r="I479">
        <v>451</v>
      </c>
      <c r="J479">
        <v>90.2</v>
      </c>
      <c r="K479">
        <v>0.2</v>
      </c>
      <c r="M479" t="s">
        <v>289</v>
      </c>
    </row>
    <row r="480" spans="1:13" hidden="1">
      <c r="A480" t="s">
        <v>48</v>
      </c>
      <c r="B480" t="s">
        <v>8</v>
      </c>
      <c r="C480" t="s">
        <v>47</v>
      </c>
      <c r="D480" t="str">
        <f>LEFT(M480,10)</f>
        <v>11/15/2024</v>
      </c>
      <c r="E480" t="s">
        <v>202</v>
      </c>
      <c r="F480" t="s">
        <v>227</v>
      </c>
      <c r="G480" t="s">
        <v>238</v>
      </c>
      <c r="I480">
        <v>356</v>
      </c>
      <c r="J480">
        <v>89</v>
      </c>
      <c r="K480">
        <v>0.25</v>
      </c>
      <c r="M480" t="s">
        <v>289</v>
      </c>
    </row>
    <row r="481" spans="1:13" hidden="1">
      <c r="A481" t="s">
        <v>48</v>
      </c>
      <c r="B481" t="s">
        <v>8</v>
      </c>
      <c r="C481" t="s">
        <v>47</v>
      </c>
      <c r="D481" t="str">
        <f>LEFT(M481,10)</f>
        <v>11/15/2024</v>
      </c>
      <c r="E481" t="s">
        <v>202</v>
      </c>
      <c r="F481" t="s">
        <v>218</v>
      </c>
      <c r="G481" t="s">
        <v>243</v>
      </c>
      <c r="H481" t="s">
        <v>301</v>
      </c>
      <c r="I481">
        <v>375</v>
      </c>
      <c r="J481">
        <v>862.5</v>
      </c>
      <c r="K481">
        <v>2.2999999999999998</v>
      </c>
      <c r="M481" t="s">
        <v>289</v>
      </c>
    </row>
    <row r="482" spans="1:13" hidden="1">
      <c r="A482" t="s">
        <v>48</v>
      </c>
      <c r="B482" t="s">
        <v>8</v>
      </c>
      <c r="C482" t="s">
        <v>47</v>
      </c>
      <c r="D482" t="str">
        <f>LEFT(M482,10)</f>
        <v>11/15/2024</v>
      </c>
      <c r="E482" t="s">
        <v>202</v>
      </c>
      <c r="F482" t="s">
        <v>218</v>
      </c>
      <c r="G482" t="s">
        <v>243</v>
      </c>
      <c r="H482" t="s">
        <v>302</v>
      </c>
      <c r="I482">
        <v>194</v>
      </c>
      <c r="J482">
        <v>194</v>
      </c>
      <c r="K482">
        <v>1</v>
      </c>
      <c r="M482" t="s">
        <v>289</v>
      </c>
    </row>
    <row r="483" spans="1:13" hidden="1">
      <c r="A483" t="s">
        <v>48</v>
      </c>
      <c r="B483" t="s">
        <v>8</v>
      </c>
      <c r="C483" t="s">
        <v>47</v>
      </c>
      <c r="D483" t="str">
        <f>LEFT(M483,10)</f>
        <v>11/15/2024</v>
      </c>
      <c r="E483" t="s">
        <v>202</v>
      </c>
      <c r="F483" t="s">
        <v>218</v>
      </c>
      <c r="G483" t="s">
        <v>225</v>
      </c>
      <c r="I483">
        <v>144</v>
      </c>
      <c r="J483">
        <v>144</v>
      </c>
      <c r="K483">
        <v>1</v>
      </c>
      <c r="M483" t="s">
        <v>289</v>
      </c>
    </row>
    <row r="484" spans="1:13" hidden="1">
      <c r="A484" t="s">
        <v>48</v>
      </c>
      <c r="B484" t="s">
        <v>8</v>
      </c>
      <c r="C484" t="s">
        <v>47</v>
      </c>
      <c r="D484" t="str">
        <f>LEFT(M484,10)</f>
        <v>11/15/2024</v>
      </c>
      <c r="E484" t="s">
        <v>202</v>
      </c>
      <c r="F484" t="s">
        <v>218</v>
      </c>
      <c r="G484" t="s">
        <v>224</v>
      </c>
      <c r="I484">
        <v>114</v>
      </c>
      <c r="J484">
        <v>68.400000000000006</v>
      </c>
      <c r="K484">
        <v>0.6</v>
      </c>
      <c r="M484" t="s">
        <v>289</v>
      </c>
    </row>
    <row r="485" spans="1:13" hidden="1">
      <c r="A485" t="s">
        <v>48</v>
      </c>
      <c r="B485" t="s">
        <v>8</v>
      </c>
      <c r="C485" t="s">
        <v>47</v>
      </c>
      <c r="D485" t="str">
        <f>LEFT(M485,10)</f>
        <v>11/15/2024</v>
      </c>
      <c r="E485" t="s">
        <v>202</v>
      </c>
      <c r="F485" t="s">
        <v>218</v>
      </c>
      <c r="G485" t="s">
        <v>247</v>
      </c>
      <c r="I485">
        <v>46</v>
      </c>
      <c r="J485">
        <v>161</v>
      </c>
      <c r="K485">
        <v>3.5</v>
      </c>
      <c r="M485" t="s">
        <v>289</v>
      </c>
    </row>
    <row r="486" spans="1:13" hidden="1">
      <c r="A486" t="s">
        <v>48</v>
      </c>
      <c r="B486" t="s">
        <v>8</v>
      </c>
      <c r="C486" t="s">
        <v>47</v>
      </c>
      <c r="D486" t="str">
        <f>LEFT(M486,10)</f>
        <v>11/15/2024</v>
      </c>
      <c r="E486" t="s">
        <v>202</v>
      </c>
      <c r="F486" t="s">
        <v>218</v>
      </c>
      <c r="G486" t="s">
        <v>241</v>
      </c>
      <c r="I486">
        <v>198</v>
      </c>
      <c r="J486">
        <v>554.4</v>
      </c>
      <c r="K486">
        <v>2.8</v>
      </c>
      <c r="M486" t="s">
        <v>289</v>
      </c>
    </row>
    <row r="487" spans="1:13" hidden="1">
      <c r="A487" t="s">
        <v>48</v>
      </c>
      <c r="B487" t="s">
        <v>8</v>
      </c>
      <c r="C487" t="s">
        <v>47</v>
      </c>
      <c r="D487" t="str">
        <f>LEFT(M487,10)</f>
        <v>11/15/2024</v>
      </c>
      <c r="E487" t="s">
        <v>202</v>
      </c>
      <c r="F487" t="s">
        <v>227</v>
      </c>
      <c r="G487" t="s">
        <v>229</v>
      </c>
      <c r="I487">
        <v>2318</v>
      </c>
      <c r="J487">
        <v>1390.8</v>
      </c>
      <c r="K487">
        <v>0.6</v>
      </c>
      <c r="M487" t="s">
        <v>289</v>
      </c>
    </row>
    <row r="488" spans="1:13" hidden="1">
      <c r="A488" t="s">
        <v>48</v>
      </c>
      <c r="B488" t="s">
        <v>8</v>
      </c>
      <c r="C488" t="s">
        <v>47</v>
      </c>
      <c r="D488" t="str">
        <f>LEFT(M488,10)</f>
        <v>11/15/2024</v>
      </c>
      <c r="E488" t="s">
        <v>202</v>
      </c>
      <c r="F488" t="s">
        <v>218</v>
      </c>
      <c r="G488" t="s">
        <v>223</v>
      </c>
      <c r="I488">
        <v>430</v>
      </c>
      <c r="J488">
        <v>344</v>
      </c>
      <c r="K488">
        <v>0.8</v>
      </c>
      <c r="M488" t="s">
        <v>289</v>
      </c>
    </row>
    <row r="489" spans="1:13" hidden="1">
      <c r="A489" t="s">
        <v>48</v>
      </c>
      <c r="B489" t="s">
        <v>8</v>
      </c>
      <c r="C489" t="s">
        <v>47</v>
      </c>
      <c r="D489" t="str">
        <f>LEFT(M489,10)</f>
        <v>11/15/2024</v>
      </c>
      <c r="E489" t="s">
        <v>202</v>
      </c>
      <c r="F489" t="s">
        <v>218</v>
      </c>
      <c r="G489" t="s">
        <v>243</v>
      </c>
      <c r="H489" t="s">
        <v>305</v>
      </c>
      <c r="I489">
        <v>100</v>
      </c>
      <c r="J489">
        <v>140</v>
      </c>
      <c r="K489">
        <v>1.4</v>
      </c>
      <c r="M489" t="s">
        <v>289</v>
      </c>
    </row>
    <row r="490" spans="1:13" hidden="1">
      <c r="A490" t="s">
        <v>48</v>
      </c>
      <c r="B490" t="s">
        <v>8</v>
      </c>
      <c r="C490" t="s">
        <v>47</v>
      </c>
      <c r="D490" t="str">
        <f>LEFT(M490,10)</f>
        <v>11/15/2024</v>
      </c>
      <c r="E490" t="s">
        <v>202</v>
      </c>
      <c r="F490" t="s">
        <v>218</v>
      </c>
      <c r="G490" t="s">
        <v>243</v>
      </c>
      <c r="H490" t="s">
        <v>297</v>
      </c>
      <c r="I490">
        <v>103</v>
      </c>
      <c r="J490">
        <v>1.03</v>
      </c>
      <c r="K490">
        <v>0.01</v>
      </c>
      <c r="M490" t="s">
        <v>289</v>
      </c>
    </row>
    <row r="491" spans="1:13" hidden="1">
      <c r="A491" t="s">
        <v>48</v>
      </c>
      <c r="B491" t="s">
        <v>8</v>
      </c>
      <c r="C491" t="s">
        <v>47</v>
      </c>
      <c r="D491" t="str">
        <f>LEFT(M491,10)</f>
        <v>11/15/2024</v>
      </c>
      <c r="E491" t="s">
        <v>202</v>
      </c>
      <c r="F491" t="s">
        <v>218</v>
      </c>
      <c r="G491" t="s">
        <v>243</v>
      </c>
      <c r="H491" t="s">
        <v>301</v>
      </c>
      <c r="I491">
        <v>65</v>
      </c>
      <c r="J491">
        <v>149.5</v>
      </c>
      <c r="K491">
        <v>2.2999999999999998</v>
      </c>
      <c r="M491" t="s">
        <v>289</v>
      </c>
    </row>
    <row r="492" spans="1:13" hidden="1">
      <c r="A492" t="s">
        <v>48</v>
      </c>
      <c r="B492" t="s">
        <v>8</v>
      </c>
      <c r="C492" t="s">
        <v>47</v>
      </c>
      <c r="D492" t="str">
        <f>LEFT(M492,10)</f>
        <v>11/15/2024</v>
      </c>
      <c r="E492" t="s">
        <v>202</v>
      </c>
      <c r="F492" t="s">
        <v>218</v>
      </c>
      <c r="G492" t="s">
        <v>243</v>
      </c>
      <c r="H492" t="s">
        <v>300</v>
      </c>
      <c r="I492">
        <v>179</v>
      </c>
      <c r="J492">
        <v>393.8</v>
      </c>
      <c r="K492">
        <v>2.2000000000000002</v>
      </c>
      <c r="M492" t="s">
        <v>289</v>
      </c>
    </row>
    <row r="493" spans="1:13" hidden="1">
      <c r="A493" t="s">
        <v>48</v>
      </c>
      <c r="B493" t="s">
        <v>8</v>
      </c>
      <c r="C493" t="s">
        <v>47</v>
      </c>
      <c r="D493" t="str">
        <f>LEFT(M493,10)</f>
        <v>11/15/2024</v>
      </c>
      <c r="E493" t="s">
        <v>202</v>
      </c>
      <c r="F493" t="s">
        <v>218</v>
      </c>
      <c r="G493" t="s">
        <v>219</v>
      </c>
      <c r="I493">
        <v>44</v>
      </c>
      <c r="J493">
        <v>4.4000000000000004</v>
      </c>
      <c r="K493">
        <v>0.1</v>
      </c>
      <c r="M493" t="s">
        <v>289</v>
      </c>
    </row>
    <row r="494" spans="1:13" hidden="1">
      <c r="A494" t="s">
        <v>48</v>
      </c>
      <c r="B494" t="s">
        <v>8</v>
      </c>
      <c r="C494" t="s">
        <v>47</v>
      </c>
      <c r="D494" t="str">
        <f>LEFT(M494,10)</f>
        <v>11/15/2024</v>
      </c>
      <c r="E494" t="s">
        <v>202</v>
      </c>
      <c r="F494" t="s">
        <v>218</v>
      </c>
      <c r="G494" t="s">
        <v>243</v>
      </c>
      <c r="H494" t="s">
        <v>299</v>
      </c>
      <c r="I494">
        <v>280</v>
      </c>
      <c r="J494">
        <v>280</v>
      </c>
      <c r="K494">
        <v>1</v>
      </c>
      <c r="M494" t="s">
        <v>289</v>
      </c>
    </row>
    <row r="495" spans="1:13" hidden="1">
      <c r="A495" t="s">
        <v>48</v>
      </c>
      <c r="B495" t="s">
        <v>8</v>
      </c>
      <c r="C495" t="s">
        <v>47</v>
      </c>
      <c r="D495" t="str">
        <f>LEFT(M495,10)</f>
        <v>11/15/2024</v>
      </c>
      <c r="E495" t="s">
        <v>202</v>
      </c>
      <c r="F495" t="s">
        <v>218</v>
      </c>
      <c r="G495" t="s">
        <v>226</v>
      </c>
      <c r="I495">
        <v>55</v>
      </c>
      <c r="J495">
        <v>16.5</v>
      </c>
      <c r="K495">
        <v>0.3</v>
      </c>
      <c r="M495" t="s">
        <v>289</v>
      </c>
    </row>
    <row r="496" spans="1:13" hidden="1">
      <c r="A496" t="s">
        <v>48</v>
      </c>
      <c r="B496" t="s">
        <v>8</v>
      </c>
      <c r="C496" t="s">
        <v>47</v>
      </c>
      <c r="D496" t="str">
        <f>LEFT(M496,10)</f>
        <v>11/15/2024</v>
      </c>
      <c r="E496" t="s">
        <v>202</v>
      </c>
      <c r="F496" t="s">
        <v>218</v>
      </c>
      <c r="G496" t="s">
        <v>220</v>
      </c>
      <c r="I496">
        <v>386</v>
      </c>
      <c r="J496">
        <v>501.8</v>
      </c>
      <c r="K496">
        <v>1.3</v>
      </c>
      <c r="M496" t="s">
        <v>289</v>
      </c>
    </row>
    <row r="497" spans="1:13" hidden="1">
      <c r="A497" t="s">
        <v>48</v>
      </c>
      <c r="B497" t="s">
        <v>8</v>
      </c>
      <c r="C497" t="s">
        <v>47</v>
      </c>
      <c r="D497" t="str">
        <f>LEFT(M497,10)</f>
        <v>11/15/2024</v>
      </c>
      <c r="E497" t="s">
        <v>202</v>
      </c>
      <c r="F497" t="s">
        <v>218</v>
      </c>
      <c r="G497" t="s">
        <v>243</v>
      </c>
      <c r="H497" t="s">
        <v>302</v>
      </c>
      <c r="I497">
        <v>79</v>
      </c>
      <c r="J497">
        <v>79</v>
      </c>
      <c r="K497">
        <v>1</v>
      </c>
      <c r="M497" t="s">
        <v>289</v>
      </c>
    </row>
    <row r="498" spans="1:13" hidden="1">
      <c r="A498" t="s">
        <v>48</v>
      </c>
      <c r="B498" t="s">
        <v>8</v>
      </c>
      <c r="C498" t="s">
        <v>47</v>
      </c>
      <c r="D498" t="str">
        <f>LEFT(M498,10)</f>
        <v>11/15/2024</v>
      </c>
      <c r="E498" t="s">
        <v>202</v>
      </c>
      <c r="F498" t="s">
        <v>218</v>
      </c>
      <c r="G498" t="s">
        <v>243</v>
      </c>
      <c r="H498" t="s">
        <v>297</v>
      </c>
      <c r="I498">
        <v>103</v>
      </c>
      <c r="J498">
        <v>1.03</v>
      </c>
      <c r="K498">
        <v>0.01</v>
      </c>
      <c r="M498" t="s">
        <v>289</v>
      </c>
    </row>
    <row r="499" spans="1:13" hidden="1">
      <c r="A499" t="s">
        <v>48</v>
      </c>
      <c r="B499" t="s">
        <v>8</v>
      </c>
      <c r="C499" t="s">
        <v>47</v>
      </c>
      <c r="D499" t="str">
        <f>LEFT(M499,10)</f>
        <v>11/15/2024</v>
      </c>
      <c r="E499" t="s">
        <v>202</v>
      </c>
      <c r="F499" t="s">
        <v>218</v>
      </c>
      <c r="G499" t="s">
        <v>243</v>
      </c>
      <c r="H499" t="s">
        <v>298</v>
      </c>
      <c r="I499">
        <v>1016</v>
      </c>
      <c r="J499">
        <v>914.4</v>
      </c>
      <c r="K499">
        <v>0.9</v>
      </c>
      <c r="M499" t="s">
        <v>289</v>
      </c>
    </row>
    <row r="500" spans="1:13" hidden="1">
      <c r="A500" t="s">
        <v>48</v>
      </c>
      <c r="B500" t="s">
        <v>8</v>
      </c>
      <c r="C500" t="s">
        <v>47</v>
      </c>
      <c r="D500" t="str">
        <f>LEFT(M500,10)</f>
        <v>11/15/2024</v>
      </c>
      <c r="E500" t="s">
        <v>202</v>
      </c>
      <c r="F500" t="s">
        <v>216</v>
      </c>
      <c r="G500" t="s">
        <v>253</v>
      </c>
      <c r="I500">
        <v>8950</v>
      </c>
      <c r="J500">
        <v>1342.5</v>
      </c>
      <c r="K500">
        <v>0.15</v>
      </c>
      <c r="M500" t="s">
        <v>289</v>
      </c>
    </row>
    <row r="501" spans="1:13" hidden="1">
      <c r="A501" t="s">
        <v>48</v>
      </c>
      <c r="B501" t="s">
        <v>8</v>
      </c>
      <c r="C501" t="s">
        <v>47</v>
      </c>
      <c r="D501" t="str">
        <f>LEFT(M501,10)</f>
        <v>11/15/2024</v>
      </c>
      <c r="E501" t="s">
        <v>202</v>
      </c>
      <c r="F501" t="s">
        <v>203</v>
      </c>
      <c r="G501" t="s">
        <v>204</v>
      </c>
      <c r="I501">
        <v>268.5</v>
      </c>
      <c r="J501">
        <v>1879.5</v>
      </c>
      <c r="K501">
        <v>7</v>
      </c>
      <c r="M501" t="s">
        <v>289</v>
      </c>
    </row>
    <row r="502" spans="1:13" hidden="1">
      <c r="A502" t="s">
        <v>48</v>
      </c>
      <c r="B502" t="s">
        <v>8</v>
      </c>
      <c r="C502" t="s">
        <v>47</v>
      </c>
      <c r="D502" t="str">
        <f>LEFT(M502,10)</f>
        <v>11/15/2024</v>
      </c>
      <c r="E502" t="s">
        <v>202</v>
      </c>
      <c r="F502" t="s">
        <v>203</v>
      </c>
      <c r="G502" t="s">
        <v>259</v>
      </c>
      <c r="I502">
        <v>29</v>
      </c>
      <c r="J502">
        <v>170</v>
      </c>
      <c r="K502">
        <v>5.86</v>
      </c>
      <c r="M502" t="s">
        <v>289</v>
      </c>
    </row>
    <row r="503" spans="1:13" hidden="1">
      <c r="A503" t="s">
        <v>48</v>
      </c>
      <c r="B503" t="s">
        <v>8</v>
      </c>
      <c r="C503" t="s">
        <v>47</v>
      </c>
      <c r="D503" t="str">
        <f>LEFT(M503,10)</f>
        <v>11/15/2024</v>
      </c>
      <c r="E503" t="s">
        <v>202</v>
      </c>
      <c r="F503" t="s">
        <v>203</v>
      </c>
      <c r="G503" t="s">
        <v>260</v>
      </c>
      <c r="I503">
        <v>13</v>
      </c>
      <c r="J503">
        <v>448.5</v>
      </c>
      <c r="K503">
        <v>34.5</v>
      </c>
      <c r="M503" t="s">
        <v>289</v>
      </c>
    </row>
    <row r="504" spans="1:13" hidden="1">
      <c r="A504" t="s">
        <v>48</v>
      </c>
      <c r="B504" t="s">
        <v>8</v>
      </c>
      <c r="C504" t="s">
        <v>47</v>
      </c>
      <c r="D504" t="str">
        <f>LEFT(M504,10)</f>
        <v>11/15/2024</v>
      </c>
      <c r="E504" t="s">
        <v>202</v>
      </c>
      <c r="F504" t="s">
        <v>203</v>
      </c>
      <c r="G504" t="s">
        <v>259</v>
      </c>
      <c r="I504">
        <v>10</v>
      </c>
      <c r="J504">
        <v>30</v>
      </c>
      <c r="K504">
        <v>3</v>
      </c>
      <c r="M504" t="s">
        <v>289</v>
      </c>
    </row>
    <row r="505" spans="1:13" hidden="1">
      <c r="A505" t="s">
        <v>48</v>
      </c>
      <c r="B505" t="s">
        <v>8</v>
      </c>
      <c r="C505" t="s">
        <v>47</v>
      </c>
      <c r="D505" t="str">
        <f>LEFT(M505,10)</f>
        <v>11/15/2024</v>
      </c>
      <c r="E505" t="s">
        <v>202</v>
      </c>
      <c r="F505" t="s">
        <v>203</v>
      </c>
      <c r="G505" t="s">
        <v>259</v>
      </c>
      <c r="I505">
        <v>5</v>
      </c>
      <c r="J505">
        <v>30</v>
      </c>
      <c r="K505">
        <v>6</v>
      </c>
      <c r="M505" t="s">
        <v>289</v>
      </c>
    </row>
    <row r="506" spans="1:13" hidden="1">
      <c r="A506" t="s">
        <v>48</v>
      </c>
      <c r="B506" t="s">
        <v>8</v>
      </c>
      <c r="C506" t="s">
        <v>47</v>
      </c>
      <c r="D506" t="str">
        <f>LEFT(M506,10)</f>
        <v>11/15/2024</v>
      </c>
      <c r="E506" t="s">
        <v>202</v>
      </c>
      <c r="F506" t="s">
        <v>203</v>
      </c>
      <c r="G506" t="s">
        <v>259</v>
      </c>
      <c r="I506">
        <v>1.1000000000000001</v>
      </c>
      <c r="J506">
        <v>16.5</v>
      </c>
      <c r="K506">
        <v>15</v>
      </c>
      <c r="M506" t="s">
        <v>289</v>
      </c>
    </row>
    <row r="507" spans="1:13" hidden="1">
      <c r="A507" t="s">
        <v>48</v>
      </c>
      <c r="B507" t="s">
        <v>8</v>
      </c>
      <c r="C507" t="s">
        <v>47</v>
      </c>
      <c r="D507" t="str">
        <f>LEFT(M507,10)</f>
        <v>11/15/2024</v>
      </c>
      <c r="E507" t="s">
        <v>230</v>
      </c>
      <c r="F507" t="s">
        <v>248</v>
      </c>
      <c r="I507">
        <v>0</v>
      </c>
      <c r="J507">
        <v>25610.16</v>
      </c>
      <c r="M507" t="s">
        <v>289</v>
      </c>
    </row>
    <row r="508" spans="1:13" hidden="1">
      <c r="A508" t="s">
        <v>48</v>
      </c>
      <c r="B508" t="s">
        <v>8</v>
      </c>
      <c r="C508" t="s">
        <v>47</v>
      </c>
      <c r="D508" t="str">
        <f>LEFT(M508,10)</f>
        <v>11/15/2024</v>
      </c>
      <c r="E508" t="s">
        <v>232</v>
      </c>
      <c r="F508" t="s">
        <v>291</v>
      </c>
      <c r="I508">
        <v>0</v>
      </c>
      <c r="J508">
        <v>377.25</v>
      </c>
      <c r="M508" t="s">
        <v>289</v>
      </c>
    </row>
    <row r="509" spans="1:13" hidden="1">
      <c r="A509" t="s">
        <v>48</v>
      </c>
      <c r="B509" t="s">
        <v>8</v>
      </c>
      <c r="C509" t="s">
        <v>47</v>
      </c>
      <c r="D509" t="str">
        <f>LEFT(M509,10)</f>
        <v>11/15/2024</v>
      </c>
      <c r="E509" t="s">
        <v>234</v>
      </c>
      <c r="F509" t="s">
        <v>234</v>
      </c>
      <c r="I509">
        <v>13697.9</v>
      </c>
      <c r="M509" t="s">
        <v>289</v>
      </c>
    </row>
    <row r="510" spans="1:13" hidden="1">
      <c r="A510" t="s">
        <v>48</v>
      </c>
      <c r="B510" t="s">
        <v>8</v>
      </c>
      <c r="C510" t="s">
        <v>47</v>
      </c>
      <c r="D510" t="str">
        <f>LEFT(M510,10)</f>
        <v>11/15/2024</v>
      </c>
      <c r="E510" t="s">
        <v>232</v>
      </c>
      <c r="F510" t="s">
        <v>250</v>
      </c>
      <c r="I510">
        <v>0</v>
      </c>
      <c r="J510">
        <v>100</v>
      </c>
      <c r="M510" t="s">
        <v>289</v>
      </c>
    </row>
    <row r="511" spans="1:13" hidden="1">
      <c r="A511" t="s">
        <v>51</v>
      </c>
      <c r="B511" t="s">
        <v>52</v>
      </c>
      <c r="C511" t="s">
        <v>19</v>
      </c>
      <c r="D511" t="str">
        <f>LEFT(M511,10)</f>
        <v>11/15/2024</v>
      </c>
      <c r="E511" t="s">
        <v>202</v>
      </c>
      <c r="F511" t="s">
        <v>227</v>
      </c>
      <c r="G511" t="s">
        <v>229</v>
      </c>
      <c r="I511">
        <v>14360</v>
      </c>
      <c r="J511">
        <v>8616</v>
      </c>
      <c r="K511">
        <v>0.6</v>
      </c>
      <c r="M511" t="s">
        <v>289</v>
      </c>
    </row>
    <row r="512" spans="1:13" hidden="1">
      <c r="A512" t="s">
        <v>51</v>
      </c>
      <c r="B512" t="s">
        <v>52</v>
      </c>
      <c r="C512" t="s">
        <v>19</v>
      </c>
      <c r="D512" t="str">
        <f>LEFT(M512,10)</f>
        <v>11/15/2024</v>
      </c>
      <c r="E512" t="s">
        <v>202</v>
      </c>
      <c r="F512" t="s">
        <v>227</v>
      </c>
      <c r="G512" t="s">
        <v>237</v>
      </c>
      <c r="I512">
        <v>1850</v>
      </c>
      <c r="J512">
        <v>1295</v>
      </c>
      <c r="K512">
        <v>0.7</v>
      </c>
      <c r="M512" t="s">
        <v>289</v>
      </c>
    </row>
    <row r="513" spans="1:13" hidden="1">
      <c r="A513" t="s">
        <v>51</v>
      </c>
      <c r="B513" t="s">
        <v>52</v>
      </c>
      <c r="C513" t="s">
        <v>19</v>
      </c>
      <c r="D513" t="str">
        <f>LEFT(M513,10)</f>
        <v>11/15/2024</v>
      </c>
      <c r="E513" t="s">
        <v>202</v>
      </c>
      <c r="F513" t="s">
        <v>227</v>
      </c>
      <c r="G513" t="s">
        <v>238</v>
      </c>
      <c r="I513">
        <v>420</v>
      </c>
      <c r="J513">
        <v>147</v>
      </c>
      <c r="K513">
        <v>0.35</v>
      </c>
      <c r="M513" t="s">
        <v>289</v>
      </c>
    </row>
    <row r="514" spans="1:13" hidden="1">
      <c r="A514" t="s">
        <v>51</v>
      </c>
      <c r="B514" t="s">
        <v>52</v>
      </c>
      <c r="C514" t="s">
        <v>19</v>
      </c>
      <c r="D514" t="str">
        <f>LEFT(M514,10)</f>
        <v>11/15/2024</v>
      </c>
      <c r="E514" t="s">
        <v>202</v>
      </c>
      <c r="F514" t="s">
        <v>227</v>
      </c>
      <c r="G514" t="s">
        <v>228</v>
      </c>
      <c r="I514">
        <v>2950</v>
      </c>
      <c r="J514">
        <v>1327.5</v>
      </c>
      <c r="K514">
        <v>0.45</v>
      </c>
      <c r="M514" t="s">
        <v>289</v>
      </c>
    </row>
    <row r="515" spans="1:13" hidden="1">
      <c r="A515" t="s">
        <v>51</v>
      </c>
      <c r="B515" t="s">
        <v>52</v>
      </c>
      <c r="C515" t="s">
        <v>19</v>
      </c>
      <c r="D515" t="str">
        <f>LEFT(M515,10)</f>
        <v>11/15/2024</v>
      </c>
      <c r="E515" t="s">
        <v>202</v>
      </c>
      <c r="F515" t="s">
        <v>227</v>
      </c>
      <c r="G515" t="s">
        <v>252</v>
      </c>
      <c r="I515">
        <v>1200</v>
      </c>
      <c r="J515">
        <v>480</v>
      </c>
      <c r="K515">
        <v>0.4</v>
      </c>
      <c r="M515" t="s">
        <v>289</v>
      </c>
    </row>
    <row r="516" spans="1:13" hidden="1">
      <c r="A516" t="s">
        <v>51</v>
      </c>
      <c r="B516" t="s">
        <v>52</v>
      </c>
      <c r="C516" t="s">
        <v>19</v>
      </c>
      <c r="D516" t="str">
        <f>LEFT(M516,10)</f>
        <v>11/15/2024</v>
      </c>
      <c r="E516" t="s">
        <v>202</v>
      </c>
      <c r="F516" t="s">
        <v>218</v>
      </c>
      <c r="G516" t="s">
        <v>240</v>
      </c>
      <c r="I516">
        <v>2482</v>
      </c>
      <c r="J516">
        <v>10424.4</v>
      </c>
      <c r="K516">
        <v>4.2</v>
      </c>
      <c r="M516" t="s">
        <v>289</v>
      </c>
    </row>
    <row r="517" spans="1:13" hidden="1">
      <c r="A517" t="s">
        <v>51</v>
      </c>
      <c r="B517" t="s">
        <v>52</v>
      </c>
      <c r="C517" t="s">
        <v>19</v>
      </c>
      <c r="D517" t="str">
        <f>LEFT(M517,10)</f>
        <v>11/15/2024</v>
      </c>
      <c r="E517" t="s">
        <v>202</v>
      </c>
      <c r="F517" t="s">
        <v>218</v>
      </c>
      <c r="G517" t="s">
        <v>221</v>
      </c>
      <c r="I517">
        <v>1849</v>
      </c>
      <c r="J517">
        <v>4252.7</v>
      </c>
      <c r="K517">
        <v>2.2999999999999998</v>
      </c>
      <c r="M517" t="s">
        <v>289</v>
      </c>
    </row>
    <row r="518" spans="1:13" hidden="1">
      <c r="A518" t="s">
        <v>51</v>
      </c>
      <c r="B518" t="s">
        <v>52</v>
      </c>
      <c r="C518" t="s">
        <v>19</v>
      </c>
      <c r="D518" t="str">
        <f>LEFT(M518,10)</f>
        <v>11/15/2024</v>
      </c>
      <c r="E518" t="s">
        <v>202</v>
      </c>
      <c r="F518" t="s">
        <v>218</v>
      </c>
      <c r="G518" t="s">
        <v>220</v>
      </c>
      <c r="I518">
        <v>867</v>
      </c>
      <c r="J518">
        <v>1127.0999999999999</v>
      </c>
      <c r="K518">
        <v>1.3</v>
      </c>
      <c r="M518" t="s">
        <v>289</v>
      </c>
    </row>
    <row r="519" spans="1:13" hidden="1">
      <c r="A519" t="s">
        <v>51</v>
      </c>
      <c r="B519" t="s">
        <v>52</v>
      </c>
      <c r="C519" t="s">
        <v>19</v>
      </c>
      <c r="D519" t="str">
        <f>LEFT(M519,10)</f>
        <v>11/15/2024</v>
      </c>
      <c r="E519" t="s">
        <v>202</v>
      </c>
      <c r="F519" t="s">
        <v>218</v>
      </c>
      <c r="G519" t="s">
        <v>222</v>
      </c>
      <c r="I519">
        <v>1047</v>
      </c>
      <c r="J519">
        <v>1675.2</v>
      </c>
      <c r="K519">
        <v>1.6</v>
      </c>
      <c r="M519" t="s">
        <v>289</v>
      </c>
    </row>
    <row r="520" spans="1:13" hidden="1">
      <c r="A520" t="s">
        <v>51</v>
      </c>
      <c r="B520" t="s">
        <v>52</v>
      </c>
      <c r="C520" t="s">
        <v>19</v>
      </c>
      <c r="D520" t="str">
        <f>LEFT(M520,10)</f>
        <v>11/15/2024</v>
      </c>
      <c r="E520" t="s">
        <v>202</v>
      </c>
      <c r="F520" t="s">
        <v>218</v>
      </c>
      <c r="G520" t="s">
        <v>222</v>
      </c>
      <c r="I520">
        <v>1053</v>
      </c>
      <c r="J520">
        <v>1790.1</v>
      </c>
      <c r="K520">
        <v>1.7</v>
      </c>
      <c r="M520" t="s">
        <v>289</v>
      </c>
    </row>
    <row r="521" spans="1:13" hidden="1">
      <c r="A521" t="s">
        <v>51</v>
      </c>
      <c r="B521" t="s">
        <v>52</v>
      </c>
      <c r="C521" t="s">
        <v>19</v>
      </c>
      <c r="D521" t="str">
        <f>LEFT(M521,10)</f>
        <v>11/15/2024</v>
      </c>
      <c r="E521" t="s">
        <v>202</v>
      </c>
      <c r="F521" t="s">
        <v>218</v>
      </c>
      <c r="G521" t="s">
        <v>219</v>
      </c>
      <c r="I521">
        <v>97</v>
      </c>
      <c r="J521">
        <v>38.799999999999997</v>
      </c>
      <c r="K521">
        <v>0.4</v>
      </c>
      <c r="M521" t="s">
        <v>289</v>
      </c>
    </row>
    <row r="522" spans="1:13" hidden="1">
      <c r="A522" t="s">
        <v>51</v>
      </c>
      <c r="B522" t="s">
        <v>52</v>
      </c>
      <c r="C522" t="s">
        <v>19</v>
      </c>
      <c r="D522" t="str">
        <f>LEFT(M522,10)</f>
        <v>11/15/2024</v>
      </c>
      <c r="E522" t="s">
        <v>202</v>
      </c>
      <c r="F522" t="s">
        <v>218</v>
      </c>
      <c r="G522" t="s">
        <v>268</v>
      </c>
      <c r="I522">
        <v>141</v>
      </c>
      <c r="J522">
        <v>155.1</v>
      </c>
      <c r="K522">
        <v>1.1000000000000001</v>
      </c>
      <c r="M522" t="s">
        <v>289</v>
      </c>
    </row>
    <row r="523" spans="1:13" hidden="1">
      <c r="A523" t="s">
        <v>51</v>
      </c>
      <c r="B523" t="s">
        <v>52</v>
      </c>
      <c r="C523" t="s">
        <v>19</v>
      </c>
      <c r="D523" t="str">
        <f>LEFT(M523,10)</f>
        <v>11/15/2024</v>
      </c>
      <c r="E523" t="s">
        <v>202</v>
      </c>
      <c r="F523" t="s">
        <v>218</v>
      </c>
      <c r="G523" t="s">
        <v>242</v>
      </c>
      <c r="I523">
        <v>228</v>
      </c>
      <c r="J523">
        <v>410.4</v>
      </c>
      <c r="K523">
        <v>1.8</v>
      </c>
      <c r="M523" t="s">
        <v>289</v>
      </c>
    </row>
    <row r="524" spans="1:13" hidden="1">
      <c r="A524" t="s">
        <v>51</v>
      </c>
      <c r="B524" t="s">
        <v>52</v>
      </c>
      <c r="C524" t="s">
        <v>19</v>
      </c>
      <c r="D524" t="str">
        <f>LEFT(M524,10)</f>
        <v>11/15/2024</v>
      </c>
      <c r="E524" t="s">
        <v>202</v>
      </c>
      <c r="F524" t="s">
        <v>218</v>
      </c>
      <c r="G524" t="s">
        <v>241</v>
      </c>
      <c r="I524">
        <v>617</v>
      </c>
      <c r="J524">
        <v>2529.6999999999998</v>
      </c>
      <c r="K524">
        <v>4.0999999999999996</v>
      </c>
      <c r="M524" t="s">
        <v>289</v>
      </c>
    </row>
    <row r="525" spans="1:13" hidden="1">
      <c r="A525" t="s">
        <v>51</v>
      </c>
      <c r="B525" t="s">
        <v>52</v>
      </c>
      <c r="C525" t="s">
        <v>19</v>
      </c>
      <c r="D525" t="str">
        <f>LEFT(M525,10)</f>
        <v>11/15/2024</v>
      </c>
      <c r="E525" t="s">
        <v>202</v>
      </c>
      <c r="F525" t="s">
        <v>218</v>
      </c>
      <c r="G525" t="s">
        <v>224</v>
      </c>
      <c r="I525">
        <v>132</v>
      </c>
      <c r="J525">
        <v>125.4</v>
      </c>
      <c r="K525">
        <v>0.95</v>
      </c>
      <c r="M525" t="s">
        <v>289</v>
      </c>
    </row>
    <row r="526" spans="1:13" hidden="1">
      <c r="A526" t="s">
        <v>51</v>
      </c>
      <c r="B526" t="s">
        <v>52</v>
      </c>
      <c r="C526" t="s">
        <v>19</v>
      </c>
      <c r="D526" t="str">
        <f>LEFT(M526,10)</f>
        <v>11/15/2024</v>
      </c>
      <c r="E526" t="s">
        <v>202</v>
      </c>
      <c r="F526" t="s">
        <v>218</v>
      </c>
      <c r="G526" t="s">
        <v>223</v>
      </c>
      <c r="I526">
        <v>1456</v>
      </c>
      <c r="J526">
        <v>1092</v>
      </c>
      <c r="K526">
        <v>0.75</v>
      </c>
      <c r="M526" t="s">
        <v>289</v>
      </c>
    </row>
    <row r="527" spans="1:13" hidden="1">
      <c r="A527" t="s">
        <v>51</v>
      </c>
      <c r="B527" t="s">
        <v>52</v>
      </c>
      <c r="C527" t="s">
        <v>19</v>
      </c>
      <c r="D527" t="str">
        <f>LEFT(M527,10)</f>
        <v>11/15/2024</v>
      </c>
      <c r="E527" t="s">
        <v>202</v>
      </c>
      <c r="F527" t="s">
        <v>218</v>
      </c>
      <c r="G527" t="s">
        <v>223</v>
      </c>
      <c r="I527">
        <v>269</v>
      </c>
      <c r="J527">
        <v>174.85</v>
      </c>
      <c r="K527">
        <v>0.65</v>
      </c>
      <c r="M527" t="s">
        <v>289</v>
      </c>
    </row>
    <row r="528" spans="1:13" hidden="1">
      <c r="A528" t="s">
        <v>51</v>
      </c>
      <c r="B528" t="s">
        <v>52</v>
      </c>
      <c r="C528" t="s">
        <v>19</v>
      </c>
      <c r="D528" t="str">
        <f>LEFT(M528,10)</f>
        <v>11/15/2024</v>
      </c>
      <c r="E528" t="s">
        <v>202</v>
      </c>
      <c r="F528" t="s">
        <v>218</v>
      </c>
      <c r="G528" t="s">
        <v>222</v>
      </c>
      <c r="I528">
        <v>612</v>
      </c>
      <c r="J528">
        <v>795.69</v>
      </c>
      <c r="K528">
        <v>1.3</v>
      </c>
      <c r="M528" t="s">
        <v>289</v>
      </c>
    </row>
    <row r="529" spans="1:13" hidden="1">
      <c r="A529" t="s">
        <v>51</v>
      </c>
      <c r="B529" t="s">
        <v>52</v>
      </c>
      <c r="C529" t="s">
        <v>19</v>
      </c>
      <c r="D529" t="str">
        <f>LEFT(M529,10)</f>
        <v>11/15/2024</v>
      </c>
      <c r="E529" t="s">
        <v>202</v>
      </c>
      <c r="F529" t="s">
        <v>203</v>
      </c>
      <c r="G529" t="s">
        <v>208</v>
      </c>
      <c r="I529">
        <v>99</v>
      </c>
      <c r="J529">
        <v>891.1</v>
      </c>
      <c r="K529">
        <v>9</v>
      </c>
      <c r="M529" t="s">
        <v>289</v>
      </c>
    </row>
    <row r="530" spans="1:13" hidden="1">
      <c r="A530" t="s">
        <v>51</v>
      </c>
      <c r="B530" t="s">
        <v>52</v>
      </c>
      <c r="C530" t="s">
        <v>19</v>
      </c>
      <c r="D530" t="str">
        <f>LEFT(M530,10)</f>
        <v>11/15/2024</v>
      </c>
      <c r="E530" t="s">
        <v>202</v>
      </c>
      <c r="F530" t="s">
        <v>203</v>
      </c>
      <c r="G530" t="s">
        <v>207</v>
      </c>
      <c r="I530">
        <v>93.7</v>
      </c>
      <c r="J530">
        <v>562.23</v>
      </c>
      <c r="K530">
        <v>6</v>
      </c>
      <c r="M530" t="s">
        <v>289</v>
      </c>
    </row>
    <row r="531" spans="1:13" hidden="1">
      <c r="A531" t="s">
        <v>51</v>
      </c>
      <c r="B531" t="s">
        <v>52</v>
      </c>
      <c r="C531" t="s">
        <v>19</v>
      </c>
      <c r="D531" t="str">
        <f>LEFT(M531,10)</f>
        <v>11/15/2024</v>
      </c>
      <c r="E531" t="s">
        <v>202</v>
      </c>
      <c r="F531" t="s">
        <v>203</v>
      </c>
      <c r="G531" t="s">
        <v>259</v>
      </c>
      <c r="I531">
        <v>31</v>
      </c>
      <c r="J531">
        <v>744.13</v>
      </c>
      <c r="K531">
        <v>24</v>
      </c>
      <c r="M531" t="s">
        <v>289</v>
      </c>
    </row>
    <row r="532" spans="1:13" hidden="1">
      <c r="A532" t="s">
        <v>51</v>
      </c>
      <c r="B532" t="s">
        <v>52</v>
      </c>
      <c r="C532" t="s">
        <v>19</v>
      </c>
      <c r="D532" t="str">
        <f>LEFT(M532,10)</f>
        <v>11/15/2024</v>
      </c>
      <c r="E532" t="s">
        <v>202</v>
      </c>
      <c r="F532" t="s">
        <v>203</v>
      </c>
      <c r="G532" t="s">
        <v>206</v>
      </c>
      <c r="I532">
        <v>18.399999999999999</v>
      </c>
      <c r="J532">
        <v>12.88</v>
      </c>
      <c r="K532">
        <v>0.7</v>
      </c>
      <c r="M532" t="s">
        <v>289</v>
      </c>
    </row>
    <row r="533" spans="1:13" hidden="1">
      <c r="A533" t="s">
        <v>51</v>
      </c>
      <c r="B533" t="s">
        <v>52</v>
      </c>
      <c r="C533" t="s">
        <v>19</v>
      </c>
      <c r="D533" t="str">
        <f>LEFT(M533,10)</f>
        <v>11/15/2024</v>
      </c>
      <c r="E533" t="s">
        <v>202</v>
      </c>
      <c r="F533" t="s">
        <v>203</v>
      </c>
      <c r="G533" t="s">
        <v>260</v>
      </c>
      <c r="I533">
        <v>25.2</v>
      </c>
      <c r="J533">
        <v>1008</v>
      </c>
      <c r="K533">
        <v>40</v>
      </c>
      <c r="M533" t="s">
        <v>289</v>
      </c>
    </row>
    <row r="534" spans="1:13" hidden="1">
      <c r="A534" t="s">
        <v>51</v>
      </c>
      <c r="B534" t="s">
        <v>52</v>
      </c>
      <c r="C534" t="s">
        <v>19</v>
      </c>
      <c r="D534" t="str">
        <f>LEFT(M534,10)</f>
        <v>11/15/2024</v>
      </c>
      <c r="E534" t="s">
        <v>202</v>
      </c>
      <c r="F534" t="s">
        <v>203</v>
      </c>
      <c r="G534" t="s">
        <v>236</v>
      </c>
      <c r="I534">
        <v>15.6</v>
      </c>
      <c r="J534">
        <v>54.6</v>
      </c>
      <c r="K534">
        <v>3.5</v>
      </c>
      <c r="M534" t="s">
        <v>289</v>
      </c>
    </row>
    <row r="535" spans="1:13" hidden="1">
      <c r="A535" t="s">
        <v>51</v>
      </c>
      <c r="B535" t="s">
        <v>52</v>
      </c>
      <c r="C535" t="s">
        <v>19</v>
      </c>
      <c r="D535" t="str">
        <f>LEFT(M535,10)</f>
        <v>11/15/2024</v>
      </c>
      <c r="E535" t="s">
        <v>202</v>
      </c>
      <c r="F535" t="s">
        <v>203</v>
      </c>
      <c r="G535" t="s">
        <v>204</v>
      </c>
      <c r="I535">
        <v>558</v>
      </c>
      <c r="J535">
        <v>5022</v>
      </c>
      <c r="K535">
        <v>9</v>
      </c>
      <c r="M535" t="s">
        <v>289</v>
      </c>
    </row>
    <row r="536" spans="1:13" hidden="1">
      <c r="A536" t="s">
        <v>51</v>
      </c>
      <c r="B536" t="s">
        <v>52</v>
      </c>
      <c r="C536" t="s">
        <v>19</v>
      </c>
      <c r="D536" t="str">
        <f>LEFT(M536,10)</f>
        <v>11/15/2024</v>
      </c>
      <c r="E536" t="s">
        <v>202</v>
      </c>
      <c r="F536" t="s">
        <v>203</v>
      </c>
      <c r="G536" t="s">
        <v>236</v>
      </c>
      <c r="I536">
        <v>104</v>
      </c>
      <c r="J536">
        <v>1560</v>
      </c>
      <c r="K536">
        <v>15</v>
      </c>
      <c r="M536" t="s">
        <v>289</v>
      </c>
    </row>
    <row r="537" spans="1:13" hidden="1">
      <c r="A537" t="s">
        <v>51</v>
      </c>
      <c r="B537" t="s">
        <v>52</v>
      </c>
      <c r="C537" t="s">
        <v>19</v>
      </c>
      <c r="D537" t="str">
        <f>LEFT(M537,10)</f>
        <v>11/15/2024</v>
      </c>
      <c r="E537" t="s">
        <v>202</v>
      </c>
      <c r="F537" t="s">
        <v>203</v>
      </c>
      <c r="G537" t="s">
        <v>236</v>
      </c>
      <c r="I537">
        <v>3.6</v>
      </c>
      <c r="J537">
        <v>90</v>
      </c>
      <c r="K537">
        <v>25</v>
      </c>
      <c r="M537" t="s">
        <v>289</v>
      </c>
    </row>
    <row r="538" spans="1:13" hidden="1">
      <c r="A538" t="s">
        <v>51</v>
      </c>
      <c r="B538" t="s">
        <v>52</v>
      </c>
      <c r="C538" t="s">
        <v>19</v>
      </c>
      <c r="D538" t="str">
        <f>LEFT(M538,10)</f>
        <v>11/15/2024</v>
      </c>
      <c r="E538" t="s">
        <v>202</v>
      </c>
      <c r="F538" t="s">
        <v>203</v>
      </c>
      <c r="G538" t="s">
        <v>236</v>
      </c>
      <c r="I538">
        <v>8.4</v>
      </c>
      <c r="J538">
        <v>25.23</v>
      </c>
      <c r="K538">
        <v>3</v>
      </c>
      <c r="M538" t="s">
        <v>289</v>
      </c>
    </row>
    <row r="539" spans="1:13" hidden="1">
      <c r="A539" t="s">
        <v>51</v>
      </c>
      <c r="B539" t="s">
        <v>52</v>
      </c>
      <c r="C539" t="s">
        <v>19</v>
      </c>
      <c r="D539" t="str">
        <f>LEFT(M539,10)</f>
        <v>11/15/2024</v>
      </c>
      <c r="E539" t="s">
        <v>202</v>
      </c>
      <c r="F539" t="s">
        <v>306</v>
      </c>
      <c r="G539" t="s">
        <v>307</v>
      </c>
      <c r="I539">
        <v>210</v>
      </c>
      <c r="J539">
        <v>420</v>
      </c>
      <c r="K539">
        <v>2</v>
      </c>
      <c r="M539" t="s">
        <v>289</v>
      </c>
    </row>
    <row r="540" spans="1:13" hidden="1">
      <c r="A540" t="s">
        <v>51</v>
      </c>
      <c r="B540" t="s">
        <v>52</v>
      </c>
      <c r="C540" t="s">
        <v>19</v>
      </c>
      <c r="D540" t="str">
        <f>LEFT(M540,10)</f>
        <v>11/15/2024</v>
      </c>
      <c r="E540" t="s">
        <v>202</v>
      </c>
      <c r="F540" t="s">
        <v>203</v>
      </c>
      <c r="G540" t="s">
        <v>236</v>
      </c>
      <c r="I540">
        <v>2830</v>
      </c>
      <c r="J540">
        <v>1132</v>
      </c>
      <c r="K540">
        <v>0.4</v>
      </c>
      <c r="M540" t="s">
        <v>289</v>
      </c>
    </row>
    <row r="541" spans="1:13" hidden="1">
      <c r="A541" t="s">
        <v>51</v>
      </c>
      <c r="B541" t="s">
        <v>52</v>
      </c>
      <c r="C541" t="s">
        <v>19</v>
      </c>
      <c r="D541" t="str">
        <f>LEFT(M541,10)</f>
        <v>11/15/2024</v>
      </c>
      <c r="E541" t="s">
        <v>202</v>
      </c>
      <c r="F541" t="s">
        <v>216</v>
      </c>
      <c r="G541" t="s">
        <v>253</v>
      </c>
      <c r="I541">
        <v>5678.5</v>
      </c>
      <c r="J541">
        <v>963.35</v>
      </c>
      <c r="K541">
        <v>0.17</v>
      </c>
      <c r="M541" t="s">
        <v>289</v>
      </c>
    </row>
    <row r="542" spans="1:13" hidden="1">
      <c r="A542" t="s">
        <v>51</v>
      </c>
      <c r="B542" t="s">
        <v>52</v>
      </c>
      <c r="C542" t="s">
        <v>19</v>
      </c>
      <c r="D542" t="str">
        <f>LEFT(M542,10)</f>
        <v>11/15/2024</v>
      </c>
      <c r="E542" t="s">
        <v>230</v>
      </c>
      <c r="F542" t="s">
        <v>248</v>
      </c>
      <c r="I542">
        <v>0</v>
      </c>
      <c r="J542">
        <v>35639.19</v>
      </c>
      <c r="M542" t="s">
        <v>289</v>
      </c>
    </row>
    <row r="543" spans="1:13" hidden="1">
      <c r="A543" t="s">
        <v>51</v>
      </c>
      <c r="B543" t="s">
        <v>52</v>
      </c>
      <c r="C543" t="s">
        <v>19</v>
      </c>
      <c r="D543" t="str">
        <f>LEFT(M543,10)</f>
        <v>11/15/2024</v>
      </c>
      <c r="E543" t="s">
        <v>232</v>
      </c>
      <c r="F543" t="s">
        <v>262</v>
      </c>
      <c r="I543">
        <v>0</v>
      </c>
      <c r="J543">
        <v>9533.07</v>
      </c>
      <c r="M543" t="s">
        <v>289</v>
      </c>
    </row>
    <row r="544" spans="1:13" hidden="1">
      <c r="A544" t="s">
        <v>51</v>
      </c>
      <c r="B544" t="s">
        <v>52</v>
      </c>
      <c r="C544" t="s">
        <v>19</v>
      </c>
      <c r="D544" t="str">
        <f>LEFT(M544,10)</f>
        <v>11/15/2024</v>
      </c>
      <c r="E544" t="s">
        <v>232</v>
      </c>
      <c r="F544" t="s">
        <v>287</v>
      </c>
      <c r="I544">
        <v>0</v>
      </c>
      <c r="J544">
        <v>5970.51</v>
      </c>
      <c r="M544" t="s">
        <v>289</v>
      </c>
    </row>
    <row r="545" spans="1:13" hidden="1">
      <c r="A545" t="s">
        <v>51</v>
      </c>
      <c r="B545" t="s">
        <v>52</v>
      </c>
      <c r="C545" t="s">
        <v>19</v>
      </c>
      <c r="D545" t="str">
        <f>LEFT(M545,10)</f>
        <v>11/15/2024</v>
      </c>
      <c r="E545" t="s">
        <v>232</v>
      </c>
      <c r="F545" t="s">
        <v>292</v>
      </c>
      <c r="I545">
        <v>0</v>
      </c>
      <c r="J545">
        <v>700</v>
      </c>
      <c r="M545" t="s">
        <v>289</v>
      </c>
    </row>
    <row r="546" spans="1:13" hidden="1">
      <c r="A546" t="s">
        <v>51</v>
      </c>
      <c r="B546" t="s">
        <v>52</v>
      </c>
      <c r="C546" t="s">
        <v>19</v>
      </c>
      <c r="D546" t="str">
        <f>LEFT(M546,10)</f>
        <v>11/15/2024</v>
      </c>
      <c r="E546" t="s">
        <v>232</v>
      </c>
      <c r="F546" t="s">
        <v>290</v>
      </c>
      <c r="I546">
        <v>0</v>
      </c>
      <c r="J546">
        <v>3280</v>
      </c>
      <c r="M546" t="s">
        <v>289</v>
      </c>
    </row>
    <row r="547" spans="1:13" hidden="1">
      <c r="A547" t="s">
        <v>51</v>
      </c>
      <c r="B547" t="s">
        <v>52</v>
      </c>
      <c r="C547" t="s">
        <v>19</v>
      </c>
      <c r="D547" t="str">
        <f>LEFT(M547,10)</f>
        <v>11/15/2024</v>
      </c>
      <c r="E547" t="s">
        <v>232</v>
      </c>
      <c r="F547" t="s">
        <v>291</v>
      </c>
      <c r="I547">
        <v>0</v>
      </c>
      <c r="J547">
        <v>1006.05</v>
      </c>
      <c r="M547" t="s">
        <v>289</v>
      </c>
    </row>
    <row r="548" spans="1:13" hidden="1">
      <c r="A548" t="s">
        <v>51</v>
      </c>
      <c r="B548" t="s">
        <v>52</v>
      </c>
      <c r="C548" t="s">
        <v>19</v>
      </c>
      <c r="D548" t="str">
        <f>LEFT(M548,10)</f>
        <v>11/15/2024</v>
      </c>
      <c r="E548" t="s">
        <v>232</v>
      </c>
      <c r="F548" t="s">
        <v>255</v>
      </c>
      <c r="I548">
        <v>0</v>
      </c>
      <c r="J548">
        <v>15149.56</v>
      </c>
      <c r="L548" t="s">
        <v>308</v>
      </c>
      <c r="M548" t="s">
        <v>289</v>
      </c>
    </row>
    <row r="549" spans="1:13" hidden="1">
      <c r="A549" t="s">
        <v>51</v>
      </c>
      <c r="B549" t="s">
        <v>52</v>
      </c>
      <c r="C549" t="s">
        <v>19</v>
      </c>
      <c r="D549" t="str">
        <f>LEFT(M549,10)</f>
        <v>11/15/2024</v>
      </c>
      <c r="E549" t="s">
        <v>234</v>
      </c>
      <c r="F549" t="s">
        <v>234</v>
      </c>
      <c r="I549">
        <v>6100</v>
      </c>
      <c r="M549" t="s">
        <v>289</v>
      </c>
    </row>
    <row r="550" spans="1:13" hidden="1">
      <c r="A550" t="s">
        <v>55</v>
      </c>
      <c r="B550" t="s">
        <v>8</v>
      </c>
      <c r="C550" t="s">
        <v>54</v>
      </c>
      <c r="D550" t="str">
        <f>LEFT(M550,10)</f>
        <v>11/15/2024</v>
      </c>
      <c r="E550" t="s">
        <v>202</v>
      </c>
      <c r="F550" t="s">
        <v>227</v>
      </c>
      <c r="G550" t="s">
        <v>229</v>
      </c>
      <c r="I550">
        <v>4964.5</v>
      </c>
      <c r="J550">
        <v>3971.6</v>
      </c>
      <c r="K550">
        <v>0.8</v>
      </c>
      <c r="M550" t="s">
        <v>289</v>
      </c>
    </row>
    <row r="551" spans="1:13" hidden="1">
      <c r="A551" t="s">
        <v>55</v>
      </c>
      <c r="B551" t="s">
        <v>8</v>
      </c>
      <c r="C551" t="s">
        <v>54</v>
      </c>
      <c r="D551" t="str">
        <f>LEFT(M551,10)</f>
        <v>11/15/2024</v>
      </c>
      <c r="E551" t="s">
        <v>202</v>
      </c>
      <c r="F551" t="s">
        <v>227</v>
      </c>
      <c r="G551" t="s">
        <v>229</v>
      </c>
      <c r="I551">
        <v>14875.5</v>
      </c>
      <c r="J551">
        <v>13090.44</v>
      </c>
      <c r="K551">
        <v>0.88</v>
      </c>
      <c r="M551" t="s">
        <v>289</v>
      </c>
    </row>
    <row r="552" spans="1:13" hidden="1">
      <c r="A552" t="s">
        <v>55</v>
      </c>
      <c r="B552" t="s">
        <v>8</v>
      </c>
      <c r="C552" t="s">
        <v>54</v>
      </c>
      <c r="D552" t="str">
        <f>LEFT(M552,10)</f>
        <v>11/15/2024</v>
      </c>
      <c r="E552" t="s">
        <v>202</v>
      </c>
      <c r="F552" t="s">
        <v>227</v>
      </c>
      <c r="G552" t="s">
        <v>228</v>
      </c>
      <c r="I552">
        <v>7533.5</v>
      </c>
      <c r="J552">
        <v>2260.0500000000002</v>
      </c>
      <c r="K552">
        <v>0.3</v>
      </c>
      <c r="M552" t="s">
        <v>289</v>
      </c>
    </row>
    <row r="553" spans="1:13" hidden="1">
      <c r="A553" t="s">
        <v>55</v>
      </c>
      <c r="B553" t="s">
        <v>8</v>
      </c>
      <c r="C553" t="s">
        <v>54</v>
      </c>
      <c r="D553" t="str">
        <f>LEFT(M553,10)</f>
        <v>11/15/2024</v>
      </c>
      <c r="E553" t="s">
        <v>202</v>
      </c>
      <c r="F553" t="s">
        <v>227</v>
      </c>
      <c r="G553" t="s">
        <v>252</v>
      </c>
      <c r="I553">
        <v>907</v>
      </c>
      <c r="J553">
        <v>272.10000000000002</v>
      </c>
      <c r="K553">
        <v>0.3</v>
      </c>
      <c r="M553" t="s">
        <v>289</v>
      </c>
    </row>
    <row r="554" spans="1:13" hidden="1">
      <c r="A554" t="s">
        <v>55</v>
      </c>
      <c r="B554" t="s">
        <v>8</v>
      </c>
      <c r="C554" t="s">
        <v>54</v>
      </c>
      <c r="D554" t="str">
        <f>LEFT(M554,10)</f>
        <v>11/15/2024</v>
      </c>
      <c r="E554" t="s">
        <v>202</v>
      </c>
      <c r="F554" t="s">
        <v>218</v>
      </c>
      <c r="G554" t="s">
        <v>240</v>
      </c>
      <c r="I554">
        <v>2140</v>
      </c>
      <c r="J554">
        <v>3531</v>
      </c>
      <c r="K554">
        <v>1.65</v>
      </c>
      <c r="M554" t="s">
        <v>289</v>
      </c>
    </row>
    <row r="555" spans="1:13" hidden="1">
      <c r="A555" t="s">
        <v>55</v>
      </c>
      <c r="B555" t="s">
        <v>8</v>
      </c>
      <c r="C555" t="s">
        <v>54</v>
      </c>
      <c r="D555" t="str">
        <f>LEFT(M555,10)</f>
        <v>11/15/2024</v>
      </c>
      <c r="E555" t="s">
        <v>202</v>
      </c>
      <c r="F555" t="s">
        <v>218</v>
      </c>
      <c r="G555" t="s">
        <v>220</v>
      </c>
      <c r="I555">
        <v>790</v>
      </c>
      <c r="J555">
        <v>1264</v>
      </c>
      <c r="K555">
        <v>1.6</v>
      </c>
      <c r="M555" t="s">
        <v>289</v>
      </c>
    </row>
    <row r="556" spans="1:13" hidden="1">
      <c r="A556" t="s">
        <v>55</v>
      </c>
      <c r="B556" t="s">
        <v>8</v>
      </c>
      <c r="C556" t="s">
        <v>54</v>
      </c>
      <c r="D556" t="str">
        <f>LEFT(M556,10)</f>
        <v>11/15/2024</v>
      </c>
      <c r="E556" t="s">
        <v>202</v>
      </c>
      <c r="F556" t="s">
        <v>218</v>
      </c>
      <c r="G556" t="s">
        <v>222</v>
      </c>
      <c r="I556">
        <v>1884</v>
      </c>
      <c r="J556">
        <v>2449.1999999999998</v>
      </c>
      <c r="K556">
        <v>1.3</v>
      </c>
      <c r="M556" t="s">
        <v>289</v>
      </c>
    </row>
    <row r="557" spans="1:13" hidden="1">
      <c r="A557" t="s">
        <v>55</v>
      </c>
      <c r="B557" t="s">
        <v>8</v>
      </c>
      <c r="C557" t="s">
        <v>54</v>
      </c>
      <c r="D557" t="str">
        <f>LEFT(M557,10)</f>
        <v>11/15/2024</v>
      </c>
      <c r="E557" t="s">
        <v>202</v>
      </c>
      <c r="F557" t="s">
        <v>218</v>
      </c>
      <c r="G557" t="s">
        <v>222</v>
      </c>
      <c r="I557">
        <v>826</v>
      </c>
      <c r="J557">
        <v>1032.5</v>
      </c>
      <c r="K557">
        <v>1.25</v>
      </c>
      <c r="M557" t="s">
        <v>289</v>
      </c>
    </row>
    <row r="558" spans="1:13" hidden="1">
      <c r="A558" t="s">
        <v>55</v>
      </c>
      <c r="B558" t="s">
        <v>8</v>
      </c>
      <c r="C558" t="s">
        <v>54</v>
      </c>
      <c r="D558" t="str">
        <f>LEFT(M558,10)</f>
        <v>11/15/2024</v>
      </c>
      <c r="E558" t="s">
        <v>202</v>
      </c>
      <c r="F558" t="s">
        <v>218</v>
      </c>
      <c r="G558" t="s">
        <v>223</v>
      </c>
      <c r="I558">
        <v>3135.5</v>
      </c>
      <c r="J558">
        <v>2194.85</v>
      </c>
      <c r="K558">
        <v>0.7</v>
      </c>
      <c r="M558" t="s">
        <v>289</v>
      </c>
    </row>
    <row r="559" spans="1:13" hidden="1">
      <c r="A559" t="s">
        <v>55</v>
      </c>
      <c r="B559" t="s">
        <v>8</v>
      </c>
      <c r="C559" t="s">
        <v>54</v>
      </c>
      <c r="D559" t="str">
        <f>LEFT(M559,10)</f>
        <v>11/15/2024</v>
      </c>
      <c r="E559" t="s">
        <v>202</v>
      </c>
      <c r="F559" t="s">
        <v>218</v>
      </c>
      <c r="G559" t="s">
        <v>221</v>
      </c>
      <c r="I559">
        <v>180</v>
      </c>
      <c r="J559">
        <v>441</v>
      </c>
      <c r="K559">
        <v>2.4500000000000002</v>
      </c>
      <c r="M559" t="s">
        <v>289</v>
      </c>
    </row>
    <row r="560" spans="1:13" hidden="1">
      <c r="A560" t="s">
        <v>55</v>
      </c>
      <c r="B560" t="s">
        <v>8</v>
      </c>
      <c r="C560" t="s">
        <v>54</v>
      </c>
      <c r="D560" t="str">
        <f>LEFT(M560,10)</f>
        <v>11/15/2024</v>
      </c>
      <c r="E560" t="s">
        <v>202</v>
      </c>
      <c r="F560" t="s">
        <v>218</v>
      </c>
      <c r="G560" t="s">
        <v>221</v>
      </c>
      <c r="I560">
        <v>561</v>
      </c>
      <c r="J560">
        <v>1402.5</v>
      </c>
      <c r="K560">
        <v>2.5</v>
      </c>
      <c r="M560" t="s">
        <v>289</v>
      </c>
    </row>
    <row r="561" spans="1:13" hidden="1">
      <c r="A561" t="s">
        <v>55</v>
      </c>
      <c r="B561" t="s">
        <v>8</v>
      </c>
      <c r="C561" t="s">
        <v>54</v>
      </c>
      <c r="D561" t="str">
        <f>LEFT(M561,10)</f>
        <v>11/15/2024</v>
      </c>
      <c r="E561" t="s">
        <v>202</v>
      </c>
      <c r="F561" t="s">
        <v>218</v>
      </c>
      <c r="G561" t="s">
        <v>221</v>
      </c>
      <c r="I561">
        <v>674.5</v>
      </c>
      <c r="J561">
        <v>1686.25</v>
      </c>
      <c r="K561">
        <v>2.5</v>
      </c>
      <c r="M561" t="s">
        <v>289</v>
      </c>
    </row>
    <row r="562" spans="1:13" hidden="1">
      <c r="A562" t="s">
        <v>55</v>
      </c>
      <c r="B562" t="s">
        <v>8</v>
      </c>
      <c r="C562" t="s">
        <v>54</v>
      </c>
      <c r="D562" t="str">
        <f>LEFT(M562,10)</f>
        <v>11/15/2024</v>
      </c>
      <c r="E562" t="s">
        <v>202</v>
      </c>
      <c r="F562" t="s">
        <v>218</v>
      </c>
      <c r="G562" t="s">
        <v>221</v>
      </c>
      <c r="I562">
        <v>212</v>
      </c>
      <c r="J562">
        <v>519.4</v>
      </c>
      <c r="K562">
        <v>2.4500000000000002</v>
      </c>
      <c r="M562" t="s">
        <v>289</v>
      </c>
    </row>
    <row r="563" spans="1:13" hidden="1">
      <c r="A563" t="s">
        <v>55</v>
      </c>
      <c r="B563" t="s">
        <v>8</v>
      </c>
      <c r="C563" t="s">
        <v>54</v>
      </c>
      <c r="D563" t="str">
        <f>LEFT(M563,10)</f>
        <v>11/15/2024</v>
      </c>
      <c r="E563" t="s">
        <v>202</v>
      </c>
      <c r="F563" t="s">
        <v>218</v>
      </c>
      <c r="G563" t="s">
        <v>240</v>
      </c>
      <c r="I563">
        <v>2129</v>
      </c>
      <c r="J563">
        <v>8941.7999999999993</v>
      </c>
      <c r="K563">
        <v>4.2</v>
      </c>
      <c r="M563" t="s">
        <v>289</v>
      </c>
    </row>
    <row r="564" spans="1:13" hidden="1">
      <c r="A564" t="s">
        <v>55</v>
      </c>
      <c r="B564" t="s">
        <v>8</v>
      </c>
      <c r="C564" t="s">
        <v>54</v>
      </c>
      <c r="D564" t="str">
        <f>LEFT(M564,10)</f>
        <v>11/15/2024</v>
      </c>
      <c r="E564" t="s">
        <v>202</v>
      </c>
      <c r="F564" t="s">
        <v>218</v>
      </c>
      <c r="G564" t="s">
        <v>240</v>
      </c>
      <c r="I564">
        <v>744</v>
      </c>
      <c r="J564">
        <v>2827.2</v>
      </c>
      <c r="K564">
        <v>3.8</v>
      </c>
      <c r="M564" t="s">
        <v>289</v>
      </c>
    </row>
    <row r="565" spans="1:13" hidden="1">
      <c r="A565" t="s">
        <v>55</v>
      </c>
      <c r="B565" t="s">
        <v>8</v>
      </c>
      <c r="C565" t="s">
        <v>54</v>
      </c>
      <c r="D565" t="str">
        <f>LEFT(M565,10)</f>
        <v>11/15/2024</v>
      </c>
      <c r="E565" t="s">
        <v>202</v>
      </c>
      <c r="F565" t="s">
        <v>218</v>
      </c>
      <c r="G565" t="s">
        <v>243</v>
      </c>
      <c r="H565" t="s">
        <v>309</v>
      </c>
      <c r="I565">
        <v>88</v>
      </c>
      <c r="J565">
        <v>44</v>
      </c>
      <c r="K565">
        <v>0.5</v>
      </c>
      <c r="M565" t="s">
        <v>289</v>
      </c>
    </row>
    <row r="566" spans="1:13" hidden="1">
      <c r="A566" t="s">
        <v>55</v>
      </c>
      <c r="B566" t="s">
        <v>8</v>
      </c>
      <c r="C566" t="s">
        <v>54</v>
      </c>
      <c r="D566" t="str">
        <f>LEFT(M566,10)</f>
        <v>11/15/2024</v>
      </c>
      <c r="E566" t="s">
        <v>202</v>
      </c>
      <c r="F566" t="s">
        <v>218</v>
      </c>
      <c r="G566" t="s">
        <v>224</v>
      </c>
      <c r="I566">
        <v>861.5</v>
      </c>
      <c r="J566">
        <v>775.35</v>
      </c>
      <c r="K566">
        <v>0.9</v>
      </c>
      <c r="M566" t="s">
        <v>289</v>
      </c>
    </row>
    <row r="567" spans="1:13" hidden="1">
      <c r="A567" t="s">
        <v>55</v>
      </c>
      <c r="B567" t="s">
        <v>8</v>
      </c>
      <c r="C567" t="s">
        <v>54</v>
      </c>
      <c r="D567" t="str">
        <f>LEFT(M567,10)</f>
        <v>11/15/2024</v>
      </c>
      <c r="E567" t="s">
        <v>202</v>
      </c>
      <c r="F567" t="s">
        <v>218</v>
      </c>
      <c r="G567" t="s">
        <v>225</v>
      </c>
      <c r="I567">
        <v>252.5</v>
      </c>
      <c r="J567">
        <v>189.38</v>
      </c>
      <c r="K567">
        <v>0.75</v>
      </c>
      <c r="M567" t="s">
        <v>289</v>
      </c>
    </row>
    <row r="568" spans="1:13" hidden="1">
      <c r="A568" t="s">
        <v>55</v>
      </c>
      <c r="B568" t="s">
        <v>8</v>
      </c>
      <c r="C568" t="s">
        <v>54</v>
      </c>
      <c r="D568" t="str">
        <f>LEFT(M568,10)</f>
        <v>11/15/2024</v>
      </c>
      <c r="E568" t="s">
        <v>202</v>
      </c>
      <c r="F568" t="s">
        <v>218</v>
      </c>
      <c r="G568" t="s">
        <v>225</v>
      </c>
      <c r="I568">
        <v>112.5</v>
      </c>
      <c r="J568">
        <v>78.75</v>
      </c>
      <c r="K568">
        <v>0.7</v>
      </c>
      <c r="M568" t="s">
        <v>289</v>
      </c>
    </row>
    <row r="569" spans="1:13" hidden="1">
      <c r="A569" t="s">
        <v>55</v>
      </c>
      <c r="B569" t="s">
        <v>8</v>
      </c>
      <c r="C569" t="s">
        <v>54</v>
      </c>
      <c r="D569" t="str">
        <f>LEFT(M569,10)</f>
        <v>11/15/2024</v>
      </c>
      <c r="E569" t="s">
        <v>202</v>
      </c>
      <c r="F569" t="s">
        <v>218</v>
      </c>
      <c r="G569" t="s">
        <v>226</v>
      </c>
      <c r="I569">
        <v>1072.5</v>
      </c>
      <c r="J569">
        <v>214.5</v>
      </c>
      <c r="K569">
        <v>0.2</v>
      </c>
      <c r="M569" t="s">
        <v>289</v>
      </c>
    </row>
    <row r="570" spans="1:13" hidden="1">
      <c r="A570" t="s">
        <v>55</v>
      </c>
      <c r="B570" t="s">
        <v>8</v>
      </c>
      <c r="C570" t="s">
        <v>54</v>
      </c>
      <c r="D570" t="str">
        <f>LEFT(M570,10)</f>
        <v>11/15/2024</v>
      </c>
      <c r="E570" t="s">
        <v>202</v>
      </c>
      <c r="F570" t="s">
        <v>218</v>
      </c>
      <c r="G570" t="s">
        <v>242</v>
      </c>
      <c r="I570">
        <v>170</v>
      </c>
      <c r="J570">
        <v>170</v>
      </c>
      <c r="K570">
        <v>1</v>
      </c>
      <c r="M570" t="s">
        <v>289</v>
      </c>
    </row>
    <row r="571" spans="1:13" hidden="1">
      <c r="A571" t="s">
        <v>55</v>
      </c>
      <c r="B571" t="s">
        <v>8</v>
      </c>
      <c r="C571" t="s">
        <v>54</v>
      </c>
      <c r="D571" t="str">
        <f>LEFT(M571,10)</f>
        <v>11/15/2024</v>
      </c>
      <c r="E571" t="s">
        <v>202</v>
      </c>
      <c r="F571" t="s">
        <v>203</v>
      </c>
      <c r="G571" t="s">
        <v>204</v>
      </c>
      <c r="I571">
        <v>157</v>
      </c>
      <c r="J571">
        <v>1256</v>
      </c>
      <c r="K571">
        <v>8</v>
      </c>
      <c r="M571" t="s">
        <v>289</v>
      </c>
    </row>
    <row r="572" spans="1:13" hidden="1">
      <c r="A572" t="s">
        <v>55</v>
      </c>
      <c r="B572" t="s">
        <v>8</v>
      </c>
      <c r="C572" t="s">
        <v>54</v>
      </c>
      <c r="D572" t="str">
        <f>LEFT(M572,10)</f>
        <v>11/15/2024</v>
      </c>
      <c r="E572" t="s">
        <v>202</v>
      </c>
      <c r="F572" t="s">
        <v>203</v>
      </c>
      <c r="G572" t="s">
        <v>204</v>
      </c>
      <c r="I572">
        <v>409</v>
      </c>
      <c r="J572">
        <v>3558.3</v>
      </c>
      <c r="K572">
        <v>8.6999999999999993</v>
      </c>
      <c r="M572" t="s">
        <v>289</v>
      </c>
    </row>
    <row r="573" spans="1:13" hidden="1">
      <c r="A573" t="s">
        <v>55</v>
      </c>
      <c r="B573" t="s">
        <v>8</v>
      </c>
      <c r="C573" t="s">
        <v>54</v>
      </c>
      <c r="D573" t="str">
        <f>LEFT(M573,10)</f>
        <v>11/15/2024</v>
      </c>
      <c r="E573" t="s">
        <v>202</v>
      </c>
      <c r="F573" t="s">
        <v>203</v>
      </c>
      <c r="G573" t="s">
        <v>259</v>
      </c>
      <c r="I573">
        <v>7.5</v>
      </c>
      <c r="J573">
        <v>60</v>
      </c>
      <c r="K573">
        <v>8</v>
      </c>
      <c r="M573" t="s">
        <v>289</v>
      </c>
    </row>
    <row r="574" spans="1:13" hidden="1">
      <c r="A574" t="s">
        <v>55</v>
      </c>
      <c r="B574" t="s">
        <v>8</v>
      </c>
      <c r="C574" t="s">
        <v>54</v>
      </c>
      <c r="D574" t="str">
        <f>LEFT(M574,10)</f>
        <v>11/15/2024</v>
      </c>
      <c r="E574" t="s">
        <v>202</v>
      </c>
      <c r="F574" t="s">
        <v>203</v>
      </c>
      <c r="G574" t="s">
        <v>204</v>
      </c>
      <c r="I574">
        <v>14</v>
      </c>
      <c r="J574">
        <v>112</v>
      </c>
      <c r="K574">
        <v>8</v>
      </c>
      <c r="M574" t="s">
        <v>289</v>
      </c>
    </row>
    <row r="575" spans="1:13" hidden="1">
      <c r="A575" t="s">
        <v>55</v>
      </c>
      <c r="B575" t="s">
        <v>8</v>
      </c>
      <c r="C575" t="s">
        <v>54</v>
      </c>
      <c r="D575" t="str">
        <f>LEFT(M575,10)</f>
        <v>11/15/2024</v>
      </c>
      <c r="E575" t="s">
        <v>202</v>
      </c>
      <c r="F575" t="s">
        <v>203</v>
      </c>
      <c r="G575" t="s">
        <v>259</v>
      </c>
      <c r="I575">
        <v>13</v>
      </c>
      <c r="J575">
        <v>91</v>
      </c>
      <c r="K575">
        <v>7</v>
      </c>
      <c r="M575" t="s">
        <v>289</v>
      </c>
    </row>
    <row r="576" spans="1:13" hidden="1">
      <c r="A576" t="s">
        <v>55</v>
      </c>
      <c r="B576" t="s">
        <v>8</v>
      </c>
      <c r="C576" t="s">
        <v>54</v>
      </c>
      <c r="D576" t="str">
        <f>LEFT(M576,10)</f>
        <v>11/15/2024</v>
      </c>
      <c r="E576" t="s">
        <v>202</v>
      </c>
      <c r="F576" t="s">
        <v>203</v>
      </c>
      <c r="G576" t="s">
        <v>236</v>
      </c>
      <c r="I576">
        <v>6340</v>
      </c>
      <c r="J576">
        <v>4438</v>
      </c>
      <c r="K576">
        <v>0.7</v>
      </c>
      <c r="M576" t="s">
        <v>289</v>
      </c>
    </row>
    <row r="577" spans="1:13" hidden="1">
      <c r="A577" t="s">
        <v>55</v>
      </c>
      <c r="B577" t="s">
        <v>8</v>
      </c>
      <c r="C577" t="s">
        <v>54</v>
      </c>
      <c r="D577" t="str">
        <f>LEFT(M577,10)</f>
        <v>11/15/2024</v>
      </c>
      <c r="E577" t="s">
        <v>202</v>
      </c>
      <c r="F577" t="s">
        <v>203</v>
      </c>
      <c r="G577" t="s">
        <v>208</v>
      </c>
      <c r="I577">
        <v>86.5</v>
      </c>
      <c r="J577">
        <v>865</v>
      </c>
      <c r="K577">
        <v>10</v>
      </c>
      <c r="M577" t="s">
        <v>289</v>
      </c>
    </row>
    <row r="578" spans="1:13" hidden="1">
      <c r="A578" t="s">
        <v>55</v>
      </c>
      <c r="B578" t="s">
        <v>8</v>
      </c>
      <c r="C578" t="s">
        <v>54</v>
      </c>
      <c r="D578" t="str">
        <f>LEFT(M578,10)</f>
        <v>11/15/2024</v>
      </c>
      <c r="E578" t="s">
        <v>202</v>
      </c>
      <c r="F578" t="s">
        <v>203</v>
      </c>
      <c r="G578" t="s">
        <v>208</v>
      </c>
      <c r="I578">
        <v>27</v>
      </c>
      <c r="J578">
        <v>261.89999999999998</v>
      </c>
      <c r="K578">
        <v>9.6999999999999993</v>
      </c>
      <c r="M578" t="s">
        <v>289</v>
      </c>
    </row>
    <row r="579" spans="1:13" hidden="1">
      <c r="A579" t="s">
        <v>55</v>
      </c>
      <c r="B579" t="s">
        <v>8</v>
      </c>
      <c r="C579" t="s">
        <v>54</v>
      </c>
      <c r="D579" t="str">
        <f>LEFT(M579,10)</f>
        <v>11/15/2024</v>
      </c>
      <c r="E579" t="s">
        <v>202</v>
      </c>
      <c r="F579" t="s">
        <v>203</v>
      </c>
      <c r="G579" t="s">
        <v>206</v>
      </c>
      <c r="I579">
        <v>27.5</v>
      </c>
      <c r="J579">
        <v>110</v>
      </c>
      <c r="K579">
        <v>4</v>
      </c>
      <c r="M579" t="s">
        <v>289</v>
      </c>
    </row>
    <row r="580" spans="1:13" hidden="1">
      <c r="A580" t="s">
        <v>55</v>
      </c>
      <c r="B580" t="s">
        <v>8</v>
      </c>
      <c r="C580" t="s">
        <v>54</v>
      </c>
      <c r="D580" t="str">
        <f>LEFT(M580,10)</f>
        <v>11/15/2024</v>
      </c>
      <c r="E580" t="s">
        <v>202</v>
      </c>
      <c r="F580" t="s">
        <v>203</v>
      </c>
      <c r="G580" t="s">
        <v>215</v>
      </c>
      <c r="I580">
        <v>4.5</v>
      </c>
      <c r="J580">
        <v>5.4</v>
      </c>
      <c r="K580">
        <v>1.2</v>
      </c>
      <c r="M580" t="s">
        <v>289</v>
      </c>
    </row>
    <row r="581" spans="1:13" hidden="1">
      <c r="A581" t="s">
        <v>55</v>
      </c>
      <c r="B581" t="s">
        <v>8</v>
      </c>
      <c r="C581" t="s">
        <v>54</v>
      </c>
      <c r="D581" t="str">
        <f>LEFT(M581,10)</f>
        <v>11/15/2024</v>
      </c>
      <c r="E581" t="s">
        <v>202</v>
      </c>
      <c r="F581" t="s">
        <v>203</v>
      </c>
      <c r="G581" t="s">
        <v>259</v>
      </c>
      <c r="I581">
        <v>8</v>
      </c>
      <c r="J581">
        <v>64</v>
      </c>
      <c r="K581">
        <v>8</v>
      </c>
      <c r="M581" t="s">
        <v>289</v>
      </c>
    </row>
    <row r="582" spans="1:13" hidden="1">
      <c r="A582" t="s">
        <v>55</v>
      </c>
      <c r="B582" t="s">
        <v>8</v>
      </c>
      <c r="C582" t="s">
        <v>54</v>
      </c>
      <c r="D582" t="str">
        <f>LEFT(M582,10)</f>
        <v>11/15/2024</v>
      </c>
      <c r="E582" t="s">
        <v>202</v>
      </c>
      <c r="F582" t="s">
        <v>203</v>
      </c>
      <c r="G582" t="s">
        <v>215</v>
      </c>
      <c r="I582">
        <v>16.5</v>
      </c>
      <c r="J582">
        <v>19.8</v>
      </c>
      <c r="K582">
        <v>1.2</v>
      </c>
      <c r="M582" t="s">
        <v>289</v>
      </c>
    </row>
    <row r="583" spans="1:13" hidden="1">
      <c r="A583" t="s">
        <v>55</v>
      </c>
      <c r="B583" t="s">
        <v>8</v>
      </c>
      <c r="C583" t="s">
        <v>54</v>
      </c>
      <c r="D583" t="str">
        <f>LEFT(M583,10)</f>
        <v>11/15/2024</v>
      </c>
      <c r="E583" t="s">
        <v>202</v>
      </c>
      <c r="F583" t="s">
        <v>203</v>
      </c>
      <c r="G583" t="s">
        <v>259</v>
      </c>
      <c r="I583">
        <v>8.5</v>
      </c>
      <c r="J583">
        <v>85</v>
      </c>
      <c r="K583">
        <v>10</v>
      </c>
      <c r="M583" t="s">
        <v>289</v>
      </c>
    </row>
    <row r="584" spans="1:13" hidden="1">
      <c r="A584" t="s">
        <v>55</v>
      </c>
      <c r="B584" t="s">
        <v>8</v>
      </c>
      <c r="C584" t="s">
        <v>54</v>
      </c>
      <c r="D584" t="str">
        <f>LEFT(M584,10)</f>
        <v>11/15/2024</v>
      </c>
      <c r="E584" t="s">
        <v>202</v>
      </c>
      <c r="F584" t="s">
        <v>203</v>
      </c>
      <c r="G584" t="s">
        <v>259</v>
      </c>
      <c r="I584">
        <v>22.5</v>
      </c>
      <c r="J584">
        <v>472.5</v>
      </c>
      <c r="K584">
        <v>21</v>
      </c>
      <c r="M584" t="s">
        <v>289</v>
      </c>
    </row>
    <row r="585" spans="1:13" hidden="1">
      <c r="A585" t="s">
        <v>55</v>
      </c>
      <c r="B585" t="s">
        <v>8</v>
      </c>
      <c r="C585" t="s">
        <v>54</v>
      </c>
      <c r="D585" t="str">
        <f>LEFT(M585,10)</f>
        <v>11/15/2024</v>
      </c>
      <c r="E585" t="s">
        <v>202</v>
      </c>
      <c r="F585" t="s">
        <v>203</v>
      </c>
      <c r="G585" t="s">
        <v>207</v>
      </c>
      <c r="I585">
        <v>65</v>
      </c>
      <c r="J585">
        <v>390</v>
      </c>
      <c r="K585">
        <v>6</v>
      </c>
      <c r="M585" t="s">
        <v>289</v>
      </c>
    </row>
    <row r="586" spans="1:13" hidden="1">
      <c r="A586" t="s">
        <v>55</v>
      </c>
      <c r="B586" t="s">
        <v>8</v>
      </c>
      <c r="C586" t="s">
        <v>54</v>
      </c>
      <c r="D586" t="str">
        <f>LEFT(M586,10)</f>
        <v>11/15/2024</v>
      </c>
      <c r="E586" t="s">
        <v>202</v>
      </c>
      <c r="F586" t="s">
        <v>203</v>
      </c>
      <c r="G586" t="s">
        <v>207</v>
      </c>
      <c r="I586">
        <v>13</v>
      </c>
      <c r="J586">
        <v>74.099999999999994</v>
      </c>
      <c r="K586">
        <v>5.7</v>
      </c>
      <c r="M586" t="s">
        <v>289</v>
      </c>
    </row>
    <row r="587" spans="1:13" hidden="1">
      <c r="A587" t="s">
        <v>55</v>
      </c>
      <c r="B587" t="s">
        <v>8</v>
      </c>
      <c r="C587" t="s">
        <v>54</v>
      </c>
      <c r="D587" t="str">
        <f>LEFT(M587,10)</f>
        <v>11/15/2024</v>
      </c>
      <c r="E587" t="s">
        <v>202</v>
      </c>
      <c r="F587" t="s">
        <v>203</v>
      </c>
      <c r="G587" t="s">
        <v>215</v>
      </c>
      <c r="I587">
        <v>250</v>
      </c>
      <c r="J587">
        <v>80</v>
      </c>
      <c r="K587">
        <v>0.32</v>
      </c>
      <c r="M587" t="s">
        <v>289</v>
      </c>
    </row>
    <row r="588" spans="1:13" hidden="1">
      <c r="A588" t="s">
        <v>55</v>
      </c>
      <c r="B588" t="s">
        <v>8</v>
      </c>
      <c r="C588" t="s">
        <v>54</v>
      </c>
      <c r="D588" t="str">
        <f>LEFT(M588,10)</f>
        <v>11/15/2024</v>
      </c>
      <c r="E588" t="s">
        <v>202</v>
      </c>
      <c r="F588" t="s">
        <v>203</v>
      </c>
      <c r="G588" t="s">
        <v>215</v>
      </c>
      <c r="I588">
        <v>200</v>
      </c>
      <c r="J588">
        <v>75</v>
      </c>
      <c r="K588">
        <v>0.38</v>
      </c>
      <c r="M588" t="s">
        <v>289</v>
      </c>
    </row>
    <row r="589" spans="1:13" hidden="1">
      <c r="A589" t="s">
        <v>55</v>
      </c>
      <c r="B589" t="s">
        <v>8</v>
      </c>
      <c r="C589" t="s">
        <v>54</v>
      </c>
      <c r="D589" t="str">
        <f>LEFT(M589,10)</f>
        <v>11/15/2024</v>
      </c>
      <c r="E589" t="s">
        <v>202</v>
      </c>
      <c r="F589" t="s">
        <v>203</v>
      </c>
      <c r="G589" t="s">
        <v>215</v>
      </c>
      <c r="I589">
        <v>230</v>
      </c>
      <c r="J589">
        <v>75</v>
      </c>
      <c r="K589">
        <v>0.33</v>
      </c>
      <c r="M589" t="s">
        <v>289</v>
      </c>
    </row>
    <row r="590" spans="1:13" hidden="1">
      <c r="A590" t="s">
        <v>55</v>
      </c>
      <c r="B590" t="s">
        <v>8</v>
      </c>
      <c r="C590" t="s">
        <v>54</v>
      </c>
      <c r="D590" t="str">
        <f>LEFT(M590,10)</f>
        <v>11/15/2024</v>
      </c>
      <c r="E590" t="s">
        <v>202</v>
      </c>
      <c r="F590" t="s">
        <v>203</v>
      </c>
      <c r="G590" t="s">
        <v>215</v>
      </c>
      <c r="I590">
        <v>250</v>
      </c>
      <c r="J590">
        <v>80</v>
      </c>
      <c r="K590">
        <v>0.32</v>
      </c>
      <c r="M590" t="s">
        <v>289</v>
      </c>
    </row>
    <row r="591" spans="1:13" hidden="1">
      <c r="A591" t="s">
        <v>55</v>
      </c>
      <c r="B591" t="s">
        <v>8</v>
      </c>
      <c r="C591" t="s">
        <v>54</v>
      </c>
      <c r="D591" t="str">
        <f>LEFT(M591,10)</f>
        <v>11/15/2024</v>
      </c>
      <c r="E591" t="s">
        <v>202</v>
      </c>
      <c r="F591" t="s">
        <v>203</v>
      </c>
      <c r="G591" t="s">
        <v>260</v>
      </c>
      <c r="I591">
        <v>41</v>
      </c>
      <c r="J591">
        <v>1599</v>
      </c>
      <c r="K591">
        <v>39</v>
      </c>
      <c r="M591" t="s">
        <v>289</v>
      </c>
    </row>
    <row r="592" spans="1:13" hidden="1">
      <c r="A592" t="s">
        <v>55</v>
      </c>
      <c r="B592" t="s">
        <v>8</v>
      </c>
      <c r="C592" t="s">
        <v>54</v>
      </c>
      <c r="D592" t="str">
        <f>LEFT(M592,10)</f>
        <v>11/15/2024</v>
      </c>
      <c r="E592" t="s">
        <v>202</v>
      </c>
      <c r="F592" t="s">
        <v>203</v>
      </c>
      <c r="G592" t="s">
        <v>260</v>
      </c>
      <c r="I592">
        <v>16</v>
      </c>
      <c r="J592">
        <v>608</v>
      </c>
      <c r="K592">
        <v>38</v>
      </c>
      <c r="M592" t="s">
        <v>289</v>
      </c>
    </row>
    <row r="593" spans="1:13" hidden="1">
      <c r="A593" t="s">
        <v>55</v>
      </c>
      <c r="B593" t="s">
        <v>8</v>
      </c>
      <c r="C593" t="s">
        <v>54</v>
      </c>
      <c r="D593" t="str">
        <f>LEFT(M593,10)</f>
        <v>11/15/2024</v>
      </c>
      <c r="E593" t="s">
        <v>202</v>
      </c>
      <c r="F593" t="s">
        <v>216</v>
      </c>
      <c r="G593" t="s">
        <v>253</v>
      </c>
      <c r="I593">
        <v>7610</v>
      </c>
      <c r="J593">
        <v>761</v>
      </c>
      <c r="K593">
        <v>0.1</v>
      </c>
      <c r="M593" t="s">
        <v>289</v>
      </c>
    </row>
    <row r="594" spans="1:13" hidden="1">
      <c r="A594" t="s">
        <v>55</v>
      </c>
      <c r="B594" t="s">
        <v>8</v>
      </c>
      <c r="C594" t="s">
        <v>54</v>
      </c>
      <c r="D594" t="str">
        <f>LEFT(M594,10)</f>
        <v>11/15/2024</v>
      </c>
      <c r="E594" t="s">
        <v>202</v>
      </c>
      <c r="F594" t="s">
        <v>216</v>
      </c>
      <c r="G594" t="s">
        <v>217</v>
      </c>
      <c r="I594">
        <v>1230</v>
      </c>
      <c r="J594">
        <v>935.85</v>
      </c>
      <c r="K594">
        <v>0.76</v>
      </c>
      <c r="M594" t="s">
        <v>289</v>
      </c>
    </row>
    <row r="595" spans="1:13" hidden="1">
      <c r="A595" t="s">
        <v>55</v>
      </c>
      <c r="B595" t="s">
        <v>8</v>
      </c>
      <c r="C595" t="s">
        <v>54</v>
      </c>
      <c r="D595" t="str">
        <f>LEFT(M595,10)</f>
        <v>11/15/2024</v>
      </c>
      <c r="E595" t="s">
        <v>202</v>
      </c>
      <c r="F595" t="s">
        <v>306</v>
      </c>
      <c r="G595" t="s">
        <v>307</v>
      </c>
      <c r="I595">
        <v>50</v>
      </c>
      <c r="J595">
        <v>100</v>
      </c>
      <c r="K595">
        <v>2</v>
      </c>
      <c r="M595" t="s">
        <v>289</v>
      </c>
    </row>
    <row r="596" spans="1:13" hidden="1">
      <c r="A596" t="s">
        <v>55</v>
      </c>
      <c r="B596" t="s">
        <v>8</v>
      </c>
      <c r="C596" t="s">
        <v>54</v>
      </c>
      <c r="D596" t="str">
        <f>LEFT(M596,10)</f>
        <v>11/15/2024</v>
      </c>
      <c r="E596" t="s">
        <v>202</v>
      </c>
      <c r="F596" t="s">
        <v>209</v>
      </c>
      <c r="G596" t="s">
        <v>310</v>
      </c>
      <c r="I596">
        <v>4</v>
      </c>
      <c r="J596">
        <v>60</v>
      </c>
      <c r="K596">
        <v>15</v>
      </c>
      <c r="M596" t="s">
        <v>289</v>
      </c>
    </row>
    <row r="597" spans="1:13" hidden="1">
      <c r="A597" t="s">
        <v>55</v>
      </c>
      <c r="B597" t="s">
        <v>8</v>
      </c>
      <c r="C597" t="s">
        <v>54</v>
      </c>
      <c r="D597" t="str">
        <f>LEFT(M597,10)</f>
        <v>11/15/2024</v>
      </c>
      <c r="E597" t="s">
        <v>202</v>
      </c>
      <c r="F597" t="s">
        <v>209</v>
      </c>
      <c r="G597" t="s">
        <v>210</v>
      </c>
      <c r="I597">
        <v>10.5</v>
      </c>
      <c r="J597">
        <v>26.25</v>
      </c>
      <c r="K597">
        <v>2.5</v>
      </c>
      <c r="M597" t="s">
        <v>289</v>
      </c>
    </row>
    <row r="598" spans="1:13" hidden="1">
      <c r="A598" t="s">
        <v>55</v>
      </c>
      <c r="B598" t="s">
        <v>8</v>
      </c>
      <c r="C598" t="s">
        <v>54</v>
      </c>
      <c r="D598" t="str">
        <f>LEFT(M598,10)</f>
        <v>11/15/2024</v>
      </c>
      <c r="E598" t="s">
        <v>230</v>
      </c>
      <c r="F598" t="s">
        <v>248</v>
      </c>
      <c r="G598" t="s">
        <v>249</v>
      </c>
      <c r="I598">
        <v>0</v>
      </c>
      <c r="J598">
        <v>22223.11</v>
      </c>
      <c r="M598" t="s">
        <v>289</v>
      </c>
    </row>
    <row r="599" spans="1:13" hidden="1">
      <c r="A599" t="s">
        <v>55</v>
      </c>
      <c r="B599" t="s">
        <v>8</v>
      </c>
      <c r="C599" t="s">
        <v>54</v>
      </c>
      <c r="D599" t="str">
        <f>LEFT(M599,10)</f>
        <v>11/15/2024</v>
      </c>
      <c r="E599" t="s">
        <v>234</v>
      </c>
      <c r="F599" t="s">
        <v>234</v>
      </c>
      <c r="G599" t="s">
        <v>249</v>
      </c>
      <c r="I599">
        <v>8825</v>
      </c>
      <c r="M599" t="s">
        <v>289</v>
      </c>
    </row>
    <row r="600" spans="1:13" hidden="1">
      <c r="A600" t="s">
        <v>55</v>
      </c>
      <c r="B600" t="s">
        <v>8</v>
      </c>
      <c r="C600" t="s">
        <v>54</v>
      </c>
      <c r="D600" t="str">
        <f>LEFT(M600,10)</f>
        <v>11/15/2024</v>
      </c>
      <c r="E600" t="s">
        <v>232</v>
      </c>
      <c r="F600" t="s">
        <v>291</v>
      </c>
      <c r="G600" t="s">
        <v>249</v>
      </c>
      <c r="I600">
        <v>0</v>
      </c>
      <c r="J600">
        <v>115</v>
      </c>
      <c r="M600" t="s">
        <v>289</v>
      </c>
    </row>
    <row r="601" spans="1:13" hidden="1">
      <c r="A601" t="s">
        <v>55</v>
      </c>
      <c r="B601" t="s">
        <v>8</v>
      </c>
      <c r="C601" t="s">
        <v>54</v>
      </c>
      <c r="D601" t="str">
        <f>LEFT(M601,10)</f>
        <v>11/15/2024</v>
      </c>
      <c r="E601" t="s">
        <v>232</v>
      </c>
      <c r="F601" t="s">
        <v>255</v>
      </c>
      <c r="G601" t="s">
        <v>249</v>
      </c>
      <c r="I601">
        <v>0</v>
      </c>
      <c r="J601">
        <v>2964.75</v>
      </c>
      <c r="L601" t="s">
        <v>311</v>
      </c>
      <c r="M601" t="s">
        <v>289</v>
      </c>
    </row>
    <row r="602" spans="1:13" hidden="1">
      <c r="A602" t="s">
        <v>55</v>
      </c>
      <c r="B602" t="s">
        <v>8</v>
      </c>
      <c r="C602" t="s">
        <v>54</v>
      </c>
      <c r="D602" t="str">
        <f>LEFT(M602,10)</f>
        <v>11/15/2024</v>
      </c>
      <c r="E602" t="s">
        <v>232</v>
      </c>
      <c r="F602" t="s">
        <v>250</v>
      </c>
      <c r="G602" t="s">
        <v>249</v>
      </c>
      <c r="I602">
        <v>0</v>
      </c>
      <c r="J602">
        <v>150</v>
      </c>
      <c r="M602" t="s">
        <v>289</v>
      </c>
    </row>
    <row r="603" spans="1:13" hidden="1">
      <c r="A603" t="s">
        <v>55</v>
      </c>
      <c r="B603" t="s">
        <v>8</v>
      </c>
      <c r="C603" t="s">
        <v>54</v>
      </c>
      <c r="D603" t="str">
        <f>LEFT(M603,10)</f>
        <v>11/15/2024</v>
      </c>
      <c r="E603" t="s">
        <v>232</v>
      </c>
      <c r="F603" t="s">
        <v>296</v>
      </c>
      <c r="G603" t="s">
        <v>249</v>
      </c>
      <c r="I603">
        <v>0</v>
      </c>
      <c r="J603">
        <v>1200</v>
      </c>
      <c r="M603" t="s">
        <v>289</v>
      </c>
    </row>
    <row r="604" spans="1:13" hidden="1">
      <c r="A604" t="s">
        <v>55</v>
      </c>
      <c r="B604" t="s">
        <v>8</v>
      </c>
      <c r="C604" t="s">
        <v>54</v>
      </c>
      <c r="D604" t="str">
        <f>LEFT(M604,10)</f>
        <v>11/15/2024</v>
      </c>
      <c r="E604" t="s">
        <v>232</v>
      </c>
      <c r="F604" t="s">
        <v>255</v>
      </c>
      <c r="G604" t="s">
        <v>249</v>
      </c>
      <c r="I604">
        <v>0</v>
      </c>
      <c r="J604">
        <v>1870</v>
      </c>
      <c r="L604" t="s">
        <v>264</v>
      </c>
      <c r="M604" t="s">
        <v>289</v>
      </c>
    </row>
    <row r="605" spans="1:13" hidden="1">
      <c r="A605" t="s">
        <v>55</v>
      </c>
      <c r="B605" t="s">
        <v>8</v>
      </c>
      <c r="C605" t="s">
        <v>54</v>
      </c>
      <c r="D605" t="str">
        <f>LEFT(M605,10)</f>
        <v>11/15/2024</v>
      </c>
      <c r="E605" t="s">
        <v>232</v>
      </c>
      <c r="F605" t="s">
        <v>255</v>
      </c>
      <c r="G605" t="s">
        <v>249</v>
      </c>
      <c r="I605">
        <v>0</v>
      </c>
      <c r="J605">
        <v>89</v>
      </c>
      <c r="L605" t="s">
        <v>312</v>
      </c>
      <c r="M605" t="s">
        <v>289</v>
      </c>
    </row>
    <row r="606" spans="1:13" hidden="1">
      <c r="A606" t="s">
        <v>55</v>
      </c>
      <c r="B606" t="s">
        <v>8</v>
      </c>
      <c r="C606" t="s">
        <v>54</v>
      </c>
      <c r="D606" t="str">
        <f>LEFT(M606,10)</f>
        <v>11/15/2024</v>
      </c>
      <c r="E606" t="s">
        <v>232</v>
      </c>
      <c r="F606" t="s">
        <v>255</v>
      </c>
      <c r="G606" t="s">
        <v>249</v>
      </c>
      <c r="I606">
        <v>0</v>
      </c>
      <c r="J606">
        <v>130</v>
      </c>
      <c r="L606" t="s">
        <v>313</v>
      </c>
      <c r="M606" t="s">
        <v>289</v>
      </c>
    </row>
    <row r="607" spans="1:13" hidden="1">
      <c r="A607" t="s">
        <v>55</v>
      </c>
      <c r="B607" t="s">
        <v>8</v>
      </c>
      <c r="C607" t="s">
        <v>54</v>
      </c>
      <c r="D607" t="str">
        <f>LEFT(M607,10)</f>
        <v>11/15/2024</v>
      </c>
      <c r="E607" t="s">
        <v>232</v>
      </c>
      <c r="F607" t="s">
        <v>255</v>
      </c>
      <c r="G607" t="s">
        <v>249</v>
      </c>
      <c r="I607">
        <v>0</v>
      </c>
      <c r="J607">
        <v>250</v>
      </c>
      <c r="L607" t="s">
        <v>314</v>
      </c>
      <c r="M607" t="s">
        <v>289</v>
      </c>
    </row>
    <row r="608" spans="1:13" hidden="1">
      <c r="A608" t="s">
        <v>55</v>
      </c>
      <c r="B608" t="s">
        <v>8</v>
      </c>
      <c r="C608" t="s">
        <v>54</v>
      </c>
      <c r="D608" t="str">
        <f>LEFT(M608,10)</f>
        <v>11/15/2024</v>
      </c>
      <c r="E608" t="s">
        <v>232</v>
      </c>
      <c r="F608" t="s">
        <v>255</v>
      </c>
      <c r="G608" t="s">
        <v>249</v>
      </c>
      <c r="I608">
        <v>0</v>
      </c>
      <c r="J608">
        <v>995</v>
      </c>
      <c r="L608" t="s">
        <v>315</v>
      </c>
      <c r="M608" t="s">
        <v>289</v>
      </c>
    </row>
    <row r="609" spans="1:13" hidden="1">
      <c r="A609" t="s">
        <v>55</v>
      </c>
      <c r="B609" t="s">
        <v>8</v>
      </c>
      <c r="C609" t="s">
        <v>54</v>
      </c>
      <c r="D609" t="str">
        <f>LEFT(M609,10)</f>
        <v>11/15/2024</v>
      </c>
      <c r="E609" t="s">
        <v>232</v>
      </c>
      <c r="F609" t="s">
        <v>290</v>
      </c>
      <c r="G609" t="s">
        <v>249</v>
      </c>
      <c r="I609">
        <v>0</v>
      </c>
      <c r="J609">
        <v>650</v>
      </c>
      <c r="M609" t="s">
        <v>289</v>
      </c>
    </row>
    <row r="610" spans="1:13" hidden="1">
      <c r="A610" t="s">
        <v>55</v>
      </c>
      <c r="B610" t="s">
        <v>8</v>
      </c>
      <c r="C610" t="s">
        <v>54</v>
      </c>
      <c r="D610" t="str">
        <f>LEFT(M610,10)</f>
        <v>11/15/2024</v>
      </c>
      <c r="E610" t="s">
        <v>232</v>
      </c>
      <c r="F610" t="s">
        <v>254</v>
      </c>
      <c r="G610" t="s">
        <v>249</v>
      </c>
      <c r="I610">
        <v>0</v>
      </c>
      <c r="J610">
        <v>7713.13</v>
      </c>
      <c r="M610" t="s">
        <v>289</v>
      </c>
    </row>
    <row r="611" spans="1:13" hidden="1">
      <c r="A611" t="s">
        <v>55</v>
      </c>
      <c r="B611" t="s">
        <v>8</v>
      </c>
      <c r="C611" t="s">
        <v>54</v>
      </c>
      <c r="D611" t="str">
        <f>LEFT(M611,10)</f>
        <v>11/15/2024</v>
      </c>
      <c r="E611" t="s">
        <v>232</v>
      </c>
      <c r="F611" t="s">
        <v>255</v>
      </c>
      <c r="G611" t="s">
        <v>249</v>
      </c>
      <c r="I611">
        <v>0</v>
      </c>
      <c r="J611">
        <v>13883.64</v>
      </c>
      <c r="L611" t="s">
        <v>316</v>
      </c>
      <c r="M611" t="s">
        <v>289</v>
      </c>
    </row>
    <row r="612" spans="1:13" hidden="1">
      <c r="A612" t="s">
        <v>55</v>
      </c>
      <c r="B612" t="s">
        <v>8</v>
      </c>
      <c r="C612" t="s">
        <v>54</v>
      </c>
      <c r="D612" t="str">
        <f>LEFT(M612,10)</f>
        <v>11/15/2024</v>
      </c>
      <c r="E612" t="s">
        <v>232</v>
      </c>
      <c r="F612" t="s">
        <v>255</v>
      </c>
      <c r="G612" t="s">
        <v>249</v>
      </c>
      <c r="I612">
        <v>0</v>
      </c>
      <c r="J612">
        <v>1880.5</v>
      </c>
      <c r="L612" t="s">
        <v>317</v>
      </c>
      <c r="M612" t="s">
        <v>289</v>
      </c>
    </row>
    <row r="613" spans="1:13" hidden="1">
      <c r="A613" t="s">
        <v>56</v>
      </c>
      <c r="B613" t="s">
        <v>57</v>
      </c>
      <c r="C613" t="s">
        <v>19</v>
      </c>
      <c r="D613" t="str">
        <f>LEFT(M613,10)</f>
        <v>11/15/2024</v>
      </c>
      <c r="E613" t="s">
        <v>202</v>
      </c>
      <c r="F613" t="s">
        <v>227</v>
      </c>
      <c r="G613" t="s">
        <v>229</v>
      </c>
      <c r="I613">
        <v>3350</v>
      </c>
      <c r="J613">
        <v>2010</v>
      </c>
      <c r="K613">
        <v>0.6</v>
      </c>
      <c r="M613" t="s">
        <v>289</v>
      </c>
    </row>
    <row r="614" spans="1:13" hidden="1">
      <c r="A614" t="s">
        <v>56</v>
      </c>
      <c r="B614" t="s">
        <v>57</v>
      </c>
      <c r="C614" t="s">
        <v>19</v>
      </c>
      <c r="D614" t="str">
        <f>LEFT(M614,10)</f>
        <v>11/15/2024</v>
      </c>
      <c r="E614" t="s">
        <v>202</v>
      </c>
      <c r="F614" t="s">
        <v>227</v>
      </c>
      <c r="G614" t="s">
        <v>237</v>
      </c>
      <c r="I614">
        <v>640</v>
      </c>
      <c r="J614">
        <v>448</v>
      </c>
      <c r="K614">
        <v>0.7</v>
      </c>
      <c r="M614" t="s">
        <v>289</v>
      </c>
    </row>
    <row r="615" spans="1:13" hidden="1">
      <c r="A615" t="s">
        <v>56</v>
      </c>
      <c r="B615" t="s">
        <v>57</v>
      </c>
      <c r="C615" t="s">
        <v>19</v>
      </c>
      <c r="D615" t="str">
        <f>LEFT(M615,10)</f>
        <v>11/15/2024</v>
      </c>
      <c r="E615" t="s">
        <v>202</v>
      </c>
      <c r="F615" t="s">
        <v>227</v>
      </c>
      <c r="G615" t="s">
        <v>238</v>
      </c>
      <c r="I615">
        <v>310</v>
      </c>
      <c r="J615">
        <v>108.5</v>
      </c>
      <c r="K615">
        <v>0.35</v>
      </c>
      <c r="M615" t="s">
        <v>289</v>
      </c>
    </row>
    <row r="616" spans="1:13" hidden="1">
      <c r="A616" t="s">
        <v>56</v>
      </c>
      <c r="B616" t="s">
        <v>57</v>
      </c>
      <c r="C616" t="s">
        <v>19</v>
      </c>
      <c r="D616" t="str">
        <f>LEFT(M616,10)</f>
        <v>11/15/2024</v>
      </c>
      <c r="E616" t="s">
        <v>202</v>
      </c>
      <c r="F616" t="s">
        <v>227</v>
      </c>
      <c r="G616" t="s">
        <v>228</v>
      </c>
      <c r="I616">
        <v>3000</v>
      </c>
      <c r="J616">
        <v>1350</v>
      </c>
      <c r="K616">
        <v>0.45</v>
      </c>
      <c r="M616" t="s">
        <v>289</v>
      </c>
    </row>
    <row r="617" spans="1:13" hidden="1">
      <c r="A617" t="s">
        <v>56</v>
      </c>
      <c r="B617" t="s">
        <v>57</v>
      </c>
      <c r="C617" t="s">
        <v>19</v>
      </c>
      <c r="D617" t="str">
        <f>LEFT(M617,10)</f>
        <v>11/15/2024</v>
      </c>
      <c r="E617" t="s">
        <v>202</v>
      </c>
      <c r="F617" t="s">
        <v>227</v>
      </c>
      <c r="G617" t="s">
        <v>252</v>
      </c>
      <c r="I617">
        <v>520</v>
      </c>
      <c r="J617">
        <v>208</v>
      </c>
      <c r="K617">
        <v>0.4</v>
      </c>
      <c r="M617" t="s">
        <v>289</v>
      </c>
    </row>
    <row r="618" spans="1:13" hidden="1">
      <c r="A618" t="s">
        <v>56</v>
      </c>
      <c r="B618" t="s">
        <v>57</v>
      </c>
      <c r="C618" t="s">
        <v>19</v>
      </c>
      <c r="D618" t="str">
        <f>LEFT(M618,10)</f>
        <v>11/15/2024</v>
      </c>
      <c r="E618" t="s">
        <v>202</v>
      </c>
      <c r="F618" t="s">
        <v>218</v>
      </c>
      <c r="G618" t="s">
        <v>240</v>
      </c>
      <c r="I618">
        <v>1047</v>
      </c>
      <c r="J618">
        <v>4292.7</v>
      </c>
      <c r="K618">
        <v>4.0999999999999996</v>
      </c>
      <c r="M618" t="s">
        <v>289</v>
      </c>
    </row>
    <row r="619" spans="1:13" hidden="1">
      <c r="A619" t="s">
        <v>56</v>
      </c>
      <c r="B619" t="s">
        <v>57</v>
      </c>
      <c r="C619" t="s">
        <v>19</v>
      </c>
      <c r="D619" t="str">
        <f>LEFT(M619,10)</f>
        <v>11/15/2024</v>
      </c>
      <c r="E619" t="s">
        <v>202</v>
      </c>
      <c r="F619" t="s">
        <v>218</v>
      </c>
      <c r="G619" t="s">
        <v>222</v>
      </c>
      <c r="I619">
        <v>979</v>
      </c>
      <c r="J619">
        <v>1566.4</v>
      </c>
      <c r="K619">
        <v>1.6</v>
      </c>
      <c r="M619" t="s">
        <v>289</v>
      </c>
    </row>
    <row r="620" spans="1:13" hidden="1">
      <c r="A620" t="s">
        <v>56</v>
      </c>
      <c r="B620" t="s">
        <v>57</v>
      </c>
      <c r="C620" t="s">
        <v>19</v>
      </c>
      <c r="D620" t="str">
        <f>LEFT(M620,10)</f>
        <v>11/15/2024</v>
      </c>
      <c r="E620" t="s">
        <v>202</v>
      </c>
      <c r="F620" t="s">
        <v>218</v>
      </c>
      <c r="G620" t="s">
        <v>222</v>
      </c>
      <c r="I620">
        <v>340</v>
      </c>
      <c r="J620">
        <v>578</v>
      </c>
      <c r="K620">
        <v>1.7</v>
      </c>
      <c r="M620" t="s">
        <v>289</v>
      </c>
    </row>
    <row r="621" spans="1:13" hidden="1">
      <c r="A621" t="s">
        <v>56</v>
      </c>
      <c r="B621" t="s">
        <v>57</v>
      </c>
      <c r="C621" t="s">
        <v>19</v>
      </c>
      <c r="D621" t="str">
        <f>LEFT(M621,10)</f>
        <v>11/15/2024</v>
      </c>
      <c r="E621" t="s">
        <v>202</v>
      </c>
      <c r="F621" t="s">
        <v>218</v>
      </c>
      <c r="G621" t="s">
        <v>224</v>
      </c>
      <c r="I621">
        <v>151</v>
      </c>
      <c r="J621">
        <v>135</v>
      </c>
      <c r="K621">
        <v>0.89</v>
      </c>
      <c r="M621" t="s">
        <v>289</v>
      </c>
    </row>
    <row r="622" spans="1:13" hidden="1">
      <c r="A622" t="s">
        <v>56</v>
      </c>
      <c r="B622" t="s">
        <v>57</v>
      </c>
      <c r="C622" t="s">
        <v>19</v>
      </c>
      <c r="D622" t="str">
        <f>LEFT(M622,10)</f>
        <v>11/15/2024</v>
      </c>
      <c r="E622" t="s">
        <v>202</v>
      </c>
      <c r="F622" t="s">
        <v>218</v>
      </c>
      <c r="G622" t="s">
        <v>222</v>
      </c>
      <c r="I622">
        <v>352</v>
      </c>
      <c r="J622">
        <v>457.6</v>
      </c>
      <c r="K622">
        <v>1.3</v>
      </c>
      <c r="M622" t="s">
        <v>289</v>
      </c>
    </row>
    <row r="623" spans="1:13" hidden="1">
      <c r="A623" t="s">
        <v>56</v>
      </c>
      <c r="B623" t="s">
        <v>57</v>
      </c>
      <c r="C623" t="s">
        <v>19</v>
      </c>
      <c r="D623" t="str">
        <f>LEFT(M623,10)</f>
        <v>11/15/2024</v>
      </c>
      <c r="E623" t="s">
        <v>202</v>
      </c>
      <c r="F623" t="s">
        <v>218</v>
      </c>
      <c r="G623" t="s">
        <v>225</v>
      </c>
      <c r="I623">
        <v>37</v>
      </c>
      <c r="J623">
        <v>37</v>
      </c>
      <c r="K623">
        <v>1</v>
      </c>
      <c r="M623" t="s">
        <v>289</v>
      </c>
    </row>
    <row r="624" spans="1:13" hidden="1">
      <c r="A624" t="s">
        <v>56</v>
      </c>
      <c r="B624" t="s">
        <v>57</v>
      </c>
      <c r="C624" t="s">
        <v>19</v>
      </c>
      <c r="D624" t="str">
        <f>LEFT(M624,10)</f>
        <v>11/15/2024</v>
      </c>
      <c r="E624" t="s">
        <v>202</v>
      </c>
      <c r="F624" t="s">
        <v>218</v>
      </c>
      <c r="G624" t="s">
        <v>239</v>
      </c>
      <c r="I624">
        <v>38</v>
      </c>
      <c r="J624">
        <v>1.9</v>
      </c>
      <c r="K624">
        <v>0.05</v>
      </c>
      <c r="M624" t="s">
        <v>289</v>
      </c>
    </row>
    <row r="625" spans="1:13" hidden="1">
      <c r="A625" t="s">
        <v>56</v>
      </c>
      <c r="B625" t="s">
        <v>57</v>
      </c>
      <c r="C625" t="s">
        <v>19</v>
      </c>
      <c r="D625" t="str">
        <f>LEFT(M625,10)</f>
        <v>11/15/2024</v>
      </c>
      <c r="E625" t="s">
        <v>202</v>
      </c>
      <c r="F625" t="s">
        <v>218</v>
      </c>
      <c r="G625" t="s">
        <v>219</v>
      </c>
      <c r="I625">
        <v>57</v>
      </c>
      <c r="J625">
        <v>22.8</v>
      </c>
      <c r="K625">
        <v>0.4</v>
      </c>
      <c r="M625" t="s">
        <v>289</v>
      </c>
    </row>
    <row r="626" spans="1:13" hidden="1">
      <c r="A626" t="s">
        <v>56</v>
      </c>
      <c r="B626" t="s">
        <v>57</v>
      </c>
      <c r="C626" t="s">
        <v>19</v>
      </c>
      <c r="D626" t="str">
        <f>LEFT(M626,10)</f>
        <v>11/15/2024</v>
      </c>
      <c r="E626" t="s">
        <v>202</v>
      </c>
      <c r="F626" t="s">
        <v>218</v>
      </c>
      <c r="G626" t="s">
        <v>241</v>
      </c>
      <c r="I626">
        <v>47</v>
      </c>
      <c r="J626">
        <v>188</v>
      </c>
      <c r="K626">
        <v>4</v>
      </c>
      <c r="M626" t="s">
        <v>289</v>
      </c>
    </row>
    <row r="627" spans="1:13" hidden="1">
      <c r="A627" t="s">
        <v>56</v>
      </c>
      <c r="B627" t="s">
        <v>57</v>
      </c>
      <c r="C627" t="s">
        <v>19</v>
      </c>
      <c r="D627" t="str">
        <f>LEFT(M627,10)</f>
        <v>11/15/2024</v>
      </c>
      <c r="E627" t="s">
        <v>202</v>
      </c>
      <c r="F627" t="s">
        <v>218</v>
      </c>
      <c r="G627" t="s">
        <v>223</v>
      </c>
      <c r="I627">
        <v>264</v>
      </c>
      <c r="J627">
        <v>171.6</v>
      </c>
      <c r="K627">
        <v>0.65</v>
      </c>
      <c r="M627" t="s">
        <v>289</v>
      </c>
    </row>
    <row r="628" spans="1:13" hidden="1">
      <c r="A628" t="s">
        <v>56</v>
      </c>
      <c r="B628" t="s">
        <v>57</v>
      </c>
      <c r="C628" t="s">
        <v>19</v>
      </c>
      <c r="D628" t="str">
        <f>LEFT(M628,10)</f>
        <v>11/15/2024</v>
      </c>
      <c r="E628" t="s">
        <v>202</v>
      </c>
      <c r="F628" t="s">
        <v>218</v>
      </c>
      <c r="G628" t="s">
        <v>220</v>
      </c>
      <c r="I628">
        <v>492</v>
      </c>
      <c r="J628">
        <v>688.8</v>
      </c>
      <c r="K628">
        <v>1.4</v>
      </c>
      <c r="M628" t="s">
        <v>289</v>
      </c>
    </row>
    <row r="629" spans="1:13" hidden="1">
      <c r="A629" t="s">
        <v>56</v>
      </c>
      <c r="B629" t="s">
        <v>57</v>
      </c>
      <c r="C629" t="s">
        <v>19</v>
      </c>
      <c r="D629" t="str">
        <f>LEFT(M629,10)</f>
        <v>11/15/2024</v>
      </c>
      <c r="E629" t="s">
        <v>202</v>
      </c>
      <c r="F629" t="s">
        <v>218</v>
      </c>
      <c r="G629" t="s">
        <v>242</v>
      </c>
      <c r="I629">
        <v>98</v>
      </c>
      <c r="J629">
        <v>176.4</v>
      </c>
      <c r="K629">
        <v>1.8</v>
      </c>
      <c r="M629" t="s">
        <v>289</v>
      </c>
    </row>
    <row r="630" spans="1:13" hidden="1">
      <c r="A630" t="s">
        <v>56</v>
      </c>
      <c r="B630" t="s">
        <v>57</v>
      </c>
      <c r="C630" t="s">
        <v>19</v>
      </c>
      <c r="D630" t="str">
        <f>LEFT(M630,10)</f>
        <v>11/15/2024</v>
      </c>
      <c r="E630" t="s">
        <v>202</v>
      </c>
      <c r="F630" t="s">
        <v>218</v>
      </c>
      <c r="G630" t="s">
        <v>221</v>
      </c>
      <c r="I630">
        <v>411</v>
      </c>
      <c r="J630">
        <v>945.3</v>
      </c>
      <c r="K630">
        <v>2.2999999999999998</v>
      </c>
      <c r="M630" t="s">
        <v>289</v>
      </c>
    </row>
    <row r="631" spans="1:13" hidden="1">
      <c r="A631" t="s">
        <v>56</v>
      </c>
      <c r="B631" t="s">
        <v>57</v>
      </c>
      <c r="C631" t="s">
        <v>19</v>
      </c>
      <c r="D631" t="str">
        <f>LEFT(M631,10)</f>
        <v>11/15/2024</v>
      </c>
      <c r="E631" t="s">
        <v>202</v>
      </c>
      <c r="F631" t="s">
        <v>218</v>
      </c>
      <c r="G631" t="s">
        <v>223</v>
      </c>
      <c r="I631">
        <v>790</v>
      </c>
      <c r="J631">
        <v>592.5</v>
      </c>
      <c r="K631">
        <v>0.75</v>
      </c>
      <c r="M631" t="s">
        <v>289</v>
      </c>
    </row>
    <row r="632" spans="1:13" hidden="1">
      <c r="A632" t="s">
        <v>56</v>
      </c>
      <c r="B632" t="s">
        <v>57</v>
      </c>
      <c r="C632" t="s">
        <v>19</v>
      </c>
      <c r="D632" t="str">
        <f>LEFT(M632,10)</f>
        <v>11/15/2024</v>
      </c>
      <c r="E632" t="s">
        <v>202</v>
      </c>
      <c r="F632" t="s">
        <v>216</v>
      </c>
      <c r="G632" t="s">
        <v>253</v>
      </c>
      <c r="I632">
        <v>8000</v>
      </c>
      <c r="J632">
        <v>960</v>
      </c>
      <c r="K632">
        <v>0.12</v>
      </c>
      <c r="M632" t="s">
        <v>289</v>
      </c>
    </row>
    <row r="633" spans="1:13" hidden="1">
      <c r="A633" t="s">
        <v>56</v>
      </c>
      <c r="B633" t="s">
        <v>57</v>
      </c>
      <c r="C633" t="s">
        <v>19</v>
      </c>
      <c r="D633" t="str">
        <f>LEFT(M633,10)</f>
        <v>11/15/2024</v>
      </c>
      <c r="E633" t="s">
        <v>202</v>
      </c>
      <c r="F633" t="s">
        <v>203</v>
      </c>
      <c r="G633" t="s">
        <v>235</v>
      </c>
      <c r="I633">
        <v>20</v>
      </c>
      <c r="J633">
        <v>150</v>
      </c>
      <c r="K633">
        <v>7.5</v>
      </c>
      <c r="M633" t="s">
        <v>289</v>
      </c>
    </row>
    <row r="634" spans="1:13" hidden="1">
      <c r="A634" t="s">
        <v>56</v>
      </c>
      <c r="B634" t="s">
        <v>57</v>
      </c>
      <c r="C634" t="s">
        <v>19</v>
      </c>
      <c r="D634" t="str">
        <f>LEFT(M634,10)</f>
        <v>11/15/2024</v>
      </c>
      <c r="E634" t="s">
        <v>202</v>
      </c>
      <c r="F634" t="s">
        <v>203</v>
      </c>
      <c r="G634" t="s">
        <v>204</v>
      </c>
      <c r="I634">
        <v>220</v>
      </c>
      <c r="J634">
        <v>1980</v>
      </c>
      <c r="K634">
        <v>9</v>
      </c>
      <c r="M634" t="s">
        <v>289</v>
      </c>
    </row>
    <row r="635" spans="1:13" hidden="1">
      <c r="A635" t="s">
        <v>56</v>
      </c>
      <c r="B635" t="s">
        <v>57</v>
      </c>
      <c r="C635" t="s">
        <v>19</v>
      </c>
      <c r="D635" t="str">
        <f>LEFT(M635,10)</f>
        <v>11/15/2024</v>
      </c>
      <c r="E635" t="s">
        <v>202</v>
      </c>
      <c r="F635" t="s">
        <v>203</v>
      </c>
      <c r="G635" t="s">
        <v>215</v>
      </c>
      <c r="I635">
        <v>1155</v>
      </c>
      <c r="J635">
        <v>462</v>
      </c>
      <c r="K635">
        <v>0.4</v>
      </c>
      <c r="M635" t="s">
        <v>289</v>
      </c>
    </row>
    <row r="636" spans="1:13" hidden="1">
      <c r="A636" t="s">
        <v>56</v>
      </c>
      <c r="B636" t="s">
        <v>57</v>
      </c>
      <c r="C636" t="s">
        <v>19</v>
      </c>
      <c r="D636" t="str">
        <f>LEFT(M636,10)</f>
        <v>11/15/2024</v>
      </c>
      <c r="E636" t="s">
        <v>234</v>
      </c>
      <c r="F636" t="s">
        <v>234</v>
      </c>
      <c r="I636">
        <v>3347.7</v>
      </c>
      <c r="M636" t="s">
        <v>289</v>
      </c>
    </row>
    <row r="637" spans="1:13" hidden="1">
      <c r="A637" t="s">
        <v>56</v>
      </c>
      <c r="B637" t="s">
        <v>57</v>
      </c>
      <c r="C637" t="s">
        <v>19</v>
      </c>
      <c r="D637" t="str">
        <f>LEFT(M637,10)</f>
        <v>11/15/2024</v>
      </c>
      <c r="E637" t="s">
        <v>232</v>
      </c>
      <c r="F637" t="s">
        <v>262</v>
      </c>
      <c r="I637">
        <v>0</v>
      </c>
      <c r="J637">
        <v>5024.9399999999996</v>
      </c>
      <c r="M637" t="s">
        <v>289</v>
      </c>
    </row>
    <row r="638" spans="1:13" hidden="1">
      <c r="A638" t="s">
        <v>56</v>
      </c>
      <c r="B638" t="s">
        <v>57</v>
      </c>
      <c r="C638" t="s">
        <v>19</v>
      </c>
      <c r="D638" t="str">
        <f>LEFT(M638,10)</f>
        <v>11/15/2024</v>
      </c>
      <c r="E638" t="s">
        <v>232</v>
      </c>
      <c r="F638" t="s">
        <v>262</v>
      </c>
      <c r="I638">
        <v>0</v>
      </c>
      <c r="J638">
        <v>4508.13</v>
      </c>
      <c r="M638" t="s">
        <v>289</v>
      </c>
    </row>
    <row r="639" spans="1:13" hidden="1">
      <c r="A639" t="s">
        <v>56</v>
      </c>
      <c r="B639" t="s">
        <v>57</v>
      </c>
      <c r="C639" t="s">
        <v>19</v>
      </c>
      <c r="D639" t="str">
        <f>LEFT(M639,10)</f>
        <v>11/15/2024</v>
      </c>
      <c r="E639" t="s">
        <v>232</v>
      </c>
      <c r="F639" t="s">
        <v>255</v>
      </c>
      <c r="I639">
        <v>0</v>
      </c>
      <c r="J639">
        <v>9551.2199999999993</v>
      </c>
      <c r="L639" t="s">
        <v>318</v>
      </c>
      <c r="M639" t="s">
        <v>289</v>
      </c>
    </row>
    <row r="640" spans="1:13" hidden="1">
      <c r="A640" t="s">
        <v>56</v>
      </c>
      <c r="B640" t="s">
        <v>57</v>
      </c>
      <c r="C640" t="s">
        <v>19</v>
      </c>
      <c r="D640" t="str">
        <f>LEFT(M640,10)</f>
        <v>11/15/2024</v>
      </c>
      <c r="E640" t="s">
        <v>232</v>
      </c>
      <c r="F640" t="s">
        <v>290</v>
      </c>
      <c r="I640">
        <v>0</v>
      </c>
      <c r="J640">
        <v>561</v>
      </c>
      <c r="M640" t="s">
        <v>289</v>
      </c>
    </row>
    <row r="641" spans="1:13" hidden="1">
      <c r="A641" t="s">
        <v>56</v>
      </c>
      <c r="B641" t="s">
        <v>57</v>
      </c>
      <c r="C641" t="s">
        <v>19</v>
      </c>
      <c r="D641" t="str">
        <f>LEFT(M641,10)</f>
        <v>11/15/2024</v>
      </c>
      <c r="E641" t="s">
        <v>232</v>
      </c>
      <c r="F641" t="s">
        <v>255</v>
      </c>
      <c r="I641">
        <v>0</v>
      </c>
      <c r="J641">
        <v>3049.13</v>
      </c>
      <c r="L641" t="s">
        <v>319</v>
      </c>
      <c r="M641" t="s">
        <v>289</v>
      </c>
    </row>
    <row r="642" spans="1:13" hidden="1">
      <c r="A642" t="s">
        <v>56</v>
      </c>
      <c r="B642" t="s">
        <v>57</v>
      </c>
      <c r="C642" t="s">
        <v>19</v>
      </c>
      <c r="D642" t="str">
        <f>LEFT(M642,10)</f>
        <v>11/15/2024</v>
      </c>
      <c r="E642" t="s">
        <v>230</v>
      </c>
      <c r="F642" t="s">
        <v>248</v>
      </c>
      <c r="I642">
        <v>0</v>
      </c>
      <c r="J642">
        <v>29212.43</v>
      </c>
      <c r="M642" t="s">
        <v>289</v>
      </c>
    </row>
    <row r="643" spans="1:13" hidden="1">
      <c r="A643" t="s">
        <v>59</v>
      </c>
      <c r="B643" t="s">
        <v>8</v>
      </c>
      <c r="C643" t="s">
        <v>58</v>
      </c>
      <c r="D643" t="str">
        <f>LEFT(M643,10)</f>
        <v>11/15/2024</v>
      </c>
      <c r="E643" t="s">
        <v>202</v>
      </c>
      <c r="F643" t="s">
        <v>218</v>
      </c>
      <c r="G643" t="s">
        <v>221</v>
      </c>
      <c r="I643">
        <v>301</v>
      </c>
      <c r="J643">
        <v>738.8</v>
      </c>
      <c r="K643">
        <v>2.4500000000000002</v>
      </c>
      <c r="M643" t="s">
        <v>289</v>
      </c>
    </row>
    <row r="644" spans="1:13" hidden="1">
      <c r="A644" t="s">
        <v>59</v>
      </c>
      <c r="B644" t="s">
        <v>8</v>
      </c>
      <c r="C644" t="s">
        <v>58</v>
      </c>
      <c r="D644" t="str">
        <f>LEFT(M644,10)</f>
        <v>11/15/2024</v>
      </c>
      <c r="E644" t="s">
        <v>202</v>
      </c>
      <c r="F644" t="s">
        <v>218</v>
      </c>
      <c r="G644" t="s">
        <v>219</v>
      </c>
      <c r="I644">
        <v>241.4</v>
      </c>
      <c r="J644">
        <v>323</v>
      </c>
      <c r="K644">
        <v>1.34</v>
      </c>
      <c r="M644" t="s">
        <v>289</v>
      </c>
    </row>
    <row r="645" spans="1:13" hidden="1">
      <c r="A645" t="s">
        <v>59</v>
      </c>
      <c r="B645" t="s">
        <v>8</v>
      </c>
      <c r="C645" t="s">
        <v>58</v>
      </c>
      <c r="D645" t="str">
        <f>LEFT(M645,10)</f>
        <v>11/15/2024</v>
      </c>
      <c r="E645" t="s">
        <v>202</v>
      </c>
      <c r="F645" t="s">
        <v>218</v>
      </c>
      <c r="G645" t="s">
        <v>223</v>
      </c>
      <c r="I645">
        <v>3303.2</v>
      </c>
      <c r="J645">
        <v>2413.42</v>
      </c>
      <c r="K645">
        <v>0.73</v>
      </c>
      <c r="M645" t="s">
        <v>289</v>
      </c>
    </row>
    <row r="646" spans="1:13" hidden="1">
      <c r="A646" t="s">
        <v>59</v>
      </c>
      <c r="B646" t="s">
        <v>8</v>
      </c>
      <c r="C646" t="s">
        <v>58</v>
      </c>
      <c r="D646" t="str">
        <f>LEFT(M646,10)</f>
        <v>11/15/2024</v>
      </c>
      <c r="E646" t="s">
        <v>202</v>
      </c>
      <c r="F646" t="s">
        <v>218</v>
      </c>
      <c r="G646" t="s">
        <v>240</v>
      </c>
      <c r="I646">
        <v>2979.6</v>
      </c>
      <c r="J646">
        <v>12443.4</v>
      </c>
      <c r="K646">
        <v>4.18</v>
      </c>
      <c r="M646" t="s">
        <v>289</v>
      </c>
    </row>
    <row r="647" spans="1:13" hidden="1">
      <c r="A647" t="s">
        <v>59</v>
      </c>
      <c r="B647" t="s">
        <v>8</v>
      </c>
      <c r="C647" t="s">
        <v>58</v>
      </c>
      <c r="D647" t="str">
        <f>LEFT(M647,10)</f>
        <v>11/15/2024</v>
      </c>
      <c r="E647" t="s">
        <v>202</v>
      </c>
      <c r="F647" t="s">
        <v>218</v>
      </c>
      <c r="G647" t="s">
        <v>222</v>
      </c>
      <c r="I647">
        <v>3373</v>
      </c>
      <c r="J647">
        <v>5111.6000000000004</v>
      </c>
      <c r="K647">
        <v>1.52</v>
      </c>
      <c r="M647" t="s">
        <v>289</v>
      </c>
    </row>
    <row r="648" spans="1:13" hidden="1">
      <c r="A648" t="s">
        <v>59</v>
      </c>
      <c r="B648" t="s">
        <v>8</v>
      </c>
      <c r="C648" t="s">
        <v>58</v>
      </c>
      <c r="D648" t="str">
        <f>LEFT(M648,10)</f>
        <v>11/15/2024</v>
      </c>
      <c r="E648" t="s">
        <v>202</v>
      </c>
      <c r="F648" t="s">
        <v>218</v>
      </c>
      <c r="G648" t="s">
        <v>221</v>
      </c>
      <c r="I648">
        <v>387.8</v>
      </c>
      <c r="J648">
        <v>933.9</v>
      </c>
      <c r="K648">
        <v>2.41</v>
      </c>
      <c r="M648" t="s">
        <v>289</v>
      </c>
    </row>
    <row r="649" spans="1:13" hidden="1">
      <c r="A649" t="s">
        <v>59</v>
      </c>
      <c r="B649" t="s">
        <v>8</v>
      </c>
      <c r="C649" t="s">
        <v>58</v>
      </c>
      <c r="D649" t="str">
        <f>LEFT(M649,10)</f>
        <v>11/15/2024</v>
      </c>
      <c r="E649" t="s">
        <v>202</v>
      </c>
      <c r="F649" t="s">
        <v>227</v>
      </c>
      <c r="G649" t="s">
        <v>237</v>
      </c>
      <c r="I649">
        <v>1326.6</v>
      </c>
      <c r="J649">
        <v>807.11</v>
      </c>
      <c r="K649">
        <v>0.61</v>
      </c>
      <c r="M649" t="s">
        <v>289</v>
      </c>
    </row>
    <row r="650" spans="1:13" hidden="1">
      <c r="A650" t="s">
        <v>59</v>
      </c>
      <c r="B650" t="s">
        <v>8</v>
      </c>
      <c r="C650" t="s">
        <v>58</v>
      </c>
      <c r="D650" t="str">
        <f>LEFT(M650,10)</f>
        <v>11/15/2024</v>
      </c>
      <c r="E650" t="s">
        <v>202</v>
      </c>
      <c r="F650" t="s">
        <v>227</v>
      </c>
      <c r="G650" t="s">
        <v>228</v>
      </c>
      <c r="I650">
        <v>4149</v>
      </c>
      <c r="J650">
        <v>1369</v>
      </c>
      <c r="K650">
        <v>0.33</v>
      </c>
      <c r="M650" t="s">
        <v>289</v>
      </c>
    </row>
    <row r="651" spans="1:13" hidden="1">
      <c r="A651" t="s">
        <v>59</v>
      </c>
      <c r="B651" t="s">
        <v>8</v>
      </c>
      <c r="C651" t="s">
        <v>58</v>
      </c>
      <c r="D651" t="str">
        <f>LEFT(M651,10)</f>
        <v>11/15/2024</v>
      </c>
      <c r="E651" t="s">
        <v>202</v>
      </c>
      <c r="F651" t="s">
        <v>218</v>
      </c>
      <c r="G651" t="s">
        <v>242</v>
      </c>
      <c r="I651">
        <v>196.2</v>
      </c>
      <c r="J651">
        <v>183.22</v>
      </c>
      <c r="K651">
        <v>0.93</v>
      </c>
      <c r="M651" t="s">
        <v>289</v>
      </c>
    </row>
    <row r="652" spans="1:13" hidden="1">
      <c r="A652" t="s">
        <v>59</v>
      </c>
      <c r="B652" t="s">
        <v>8</v>
      </c>
      <c r="C652" t="s">
        <v>58</v>
      </c>
      <c r="D652" t="str">
        <f>LEFT(M652,10)</f>
        <v>11/15/2024</v>
      </c>
      <c r="E652" t="s">
        <v>202</v>
      </c>
      <c r="F652" t="s">
        <v>227</v>
      </c>
      <c r="G652" t="s">
        <v>252</v>
      </c>
      <c r="I652">
        <v>1093</v>
      </c>
      <c r="J652">
        <v>410.9</v>
      </c>
      <c r="K652">
        <v>0.38</v>
      </c>
      <c r="M652" t="s">
        <v>289</v>
      </c>
    </row>
    <row r="653" spans="1:13" hidden="1">
      <c r="A653" t="s">
        <v>59</v>
      </c>
      <c r="B653" t="s">
        <v>8</v>
      </c>
      <c r="C653" t="s">
        <v>58</v>
      </c>
      <c r="D653" t="str">
        <f>LEFT(M653,10)</f>
        <v>11/15/2024</v>
      </c>
      <c r="E653" t="s">
        <v>202</v>
      </c>
      <c r="F653" t="s">
        <v>227</v>
      </c>
      <c r="G653" t="s">
        <v>238</v>
      </c>
      <c r="I653">
        <v>689.4</v>
      </c>
      <c r="J653">
        <v>257.31</v>
      </c>
      <c r="K653">
        <v>0.37</v>
      </c>
      <c r="M653" t="s">
        <v>289</v>
      </c>
    </row>
    <row r="654" spans="1:13" hidden="1">
      <c r="A654" t="s">
        <v>59</v>
      </c>
      <c r="B654" t="s">
        <v>8</v>
      </c>
      <c r="C654" t="s">
        <v>58</v>
      </c>
      <c r="D654" t="str">
        <f>LEFT(M654,10)</f>
        <v>11/15/2024</v>
      </c>
      <c r="E654" t="s">
        <v>202</v>
      </c>
      <c r="F654" t="s">
        <v>218</v>
      </c>
      <c r="G654" t="s">
        <v>243</v>
      </c>
      <c r="H654" t="s">
        <v>320</v>
      </c>
      <c r="I654">
        <v>247</v>
      </c>
      <c r="J654">
        <v>2.4700000000000002</v>
      </c>
      <c r="K654">
        <v>0.01</v>
      </c>
      <c r="M654" t="s">
        <v>289</v>
      </c>
    </row>
    <row r="655" spans="1:13" hidden="1">
      <c r="A655" t="s">
        <v>59</v>
      </c>
      <c r="B655" t="s">
        <v>8</v>
      </c>
      <c r="C655" t="s">
        <v>58</v>
      </c>
      <c r="D655" t="str">
        <f>LEFT(M655,10)</f>
        <v>11/15/2024</v>
      </c>
      <c r="E655" t="s">
        <v>202</v>
      </c>
      <c r="F655" t="s">
        <v>218</v>
      </c>
      <c r="G655" t="s">
        <v>221</v>
      </c>
      <c r="I655">
        <v>459</v>
      </c>
      <c r="J655">
        <v>1162.9000000000001</v>
      </c>
      <c r="K655">
        <v>2.5299999999999998</v>
      </c>
      <c r="M655" t="s">
        <v>289</v>
      </c>
    </row>
    <row r="656" spans="1:13" hidden="1">
      <c r="A656" t="s">
        <v>59</v>
      </c>
      <c r="B656" t="s">
        <v>8</v>
      </c>
      <c r="C656" t="s">
        <v>58</v>
      </c>
      <c r="D656" t="str">
        <f>LEFT(M656,10)</f>
        <v>11/15/2024</v>
      </c>
      <c r="E656" t="s">
        <v>202</v>
      </c>
      <c r="F656" t="s">
        <v>218</v>
      </c>
      <c r="G656" t="s">
        <v>223</v>
      </c>
      <c r="I656">
        <v>658</v>
      </c>
      <c r="J656">
        <v>926.45</v>
      </c>
      <c r="K656">
        <v>1.41</v>
      </c>
      <c r="M656" t="s">
        <v>289</v>
      </c>
    </row>
    <row r="657" spans="1:13" hidden="1">
      <c r="A657" t="s">
        <v>59</v>
      </c>
      <c r="B657" t="s">
        <v>8</v>
      </c>
      <c r="C657" t="s">
        <v>58</v>
      </c>
      <c r="D657" t="str">
        <f>LEFT(M657,10)</f>
        <v>11/15/2024</v>
      </c>
      <c r="E657" t="s">
        <v>202</v>
      </c>
      <c r="F657" t="s">
        <v>218</v>
      </c>
      <c r="G657" t="s">
        <v>225</v>
      </c>
      <c r="I657">
        <v>345.2</v>
      </c>
      <c r="J657">
        <v>345.2</v>
      </c>
      <c r="K657">
        <v>1</v>
      </c>
      <c r="M657" t="s">
        <v>289</v>
      </c>
    </row>
    <row r="658" spans="1:13" hidden="1">
      <c r="A658" t="s">
        <v>59</v>
      </c>
      <c r="B658" t="s">
        <v>8</v>
      </c>
      <c r="C658" t="s">
        <v>58</v>
      </c>
      <c r="D658" t="str">
        <f>LEFT(M658,10)</f>
        <v>11/15/2024</v>
      </c>
      <c r="E658" t="s">
        <v>202</v>
      </c>
      <c r="F658" t="s">
        <v>218</v>
      </c>
      <c r="G658" t="s">
        <v>220</v>
      </c>
      <c r="I658">
        <v>2634.6</v>
      </c>
      <c r="J658">
        <v>3918.5</v>
      </c>
      <c r="K658">
        <v>1.49</v>
      </c>
      <c r="M658" t="s">
        <v>289</v>
      </c>
    </row>
    <row r="659" spans="1:13" hidden="1">
      <c r="A659" t="s">
        <v>59</v>
      </c>
      <c r="B659" t="s">
        <v>8</v>
      </c>
      <c r="C659" t="s">
        <v>58</v>
      </c>
      <c r="D659" t="str">
        <f>LEFT(M659,10)</f>
        <v>11/15/2024</v>
      </c>
      <c r="E659" t="s">
        <v>202</v>
      </c>
      <c r="F659" t="s">
        <v>218</v>
      </c>
      <c r="G659" t="s">
        <v>266</v>
      </c>
      <c r="I659">
        <v>765.5</v>
      </c>
      <c r="J659">
        <v>21.63</v>
      </c>
      <c r="K659">
        <v>0.03</v>
      </c>
      <c r="M659" t="s">
        <v>289</v>
      </c>
    </row>
    <row r="660" spans="1:13" hidden="1">
      <c r="A660" t="s">
        <v>59</v>
      </c>
      <c r="B660" t="s">
        <v>8</v>
      </c>
      <c r="C660" t="s">
        <v>58</v>
      </c>
      <c r="D660" t="str">
        <f>LEFT(M660,10)</f>
        <v>11/15/2024</v>
      </c>
      <c r="E660" t="s">
        <v>202</v>
      </c>
      <c r="F660" t="s">
        <v>218</v>
      </c>
      <c r="G660" t="s">
        <v>224</v>
      </c>
      <c r="I660">
        <v>718.8</v>
      </c>
      <c r="J660">
        <v>770.08</v>
      </c>
      <c r="K660">
        <v>1.07</v>
      </c>
      <c r="M660" t="s">
        <v>289</v>
      </c>
    </row>
    <row r="661" spans="1:13" hidden="1">
      <c r="A661" t="s">
        <v>59</v>
      </c>
      <c r="B661" t="s">
        <v>8</v>
      </c>
      <c r="C661" t="s">
        <v>58</v>
      </c>
      <c r="D661" t="str">
        <f>LEFT(M661,10)</f>
        <v>11/15/2024</v>
      </c>
      <c r="E661" t="s">
        <v>202</v>
      </c>
      <c r="F661" t="s">
        <v>218</v>
      </c>
      <c r="G661" t="s">
        <v>226</v>
      </c>
      <c r="I661">
        <v>1374.2</v>
      </c>
      <c r="J661">
        <v>409.57</v>
      </c>
      <c r="K661">
        <v>0.3</v>
      </c>
      <c r="M661" t="s">
        <v>289</v>
      </c>
    </row>
    <row r="662" spans="1:13" hidden="1">
      <c r="A662" t="s">
        <v>59</v>
      </c>
      <c r="B662" t="s">
        <v>8</v>
      </c>
      <c r="C662" t="s">
        <v>58</v>
      </c>
      <c r="D662" t="str">
        <f>LEFT(M662,10)</f>
        <v>11/15/2024</v>
      </c>
      <c r="E662" t="s">
        <v>202</v>
      </c>
      <c r="F662" t="s">
        <v>218</v>
      </c>
      <c r="G662" t="s">
        <v>247</v>
      </c>
      <c r="I662">
        <v>116</v>
      </c>
      <c r="J662">
        <v>464</v>
      </c>
      <c r="K662">
        <v>4</v>
      </c>
      <c r="M662" t="s">
        <v>289</v>
      </c>
    </row>
    <row r="663" spans="1:13" hidden="1">
      <c r="A663" t="s">
        <v>59</v>
      </c>
      <c r="B663" t="s">
        <v>8</v>
      </c>
      <c r="C663" t="s">
        <v>58</v>
      </c>
      <c r="D663" t="str">
        <f>LEFT(M663,10)</f>
        <v>11/15/2024</v>
      </c>
      <c r="E663" t="s">
        <v>202</v>
      </c>
      <c r="F663" t="s">
        <v>218</v>
      </c>
      <c r="G663" t="s">
        <v>241</v>
      </c>
      <c r="I663">
        <v>193</v>
      </c>
      <c r="J663">
        <v>725.8</v>
      </c>
      <c r="K663">
        <v>3.76</v>
      </c>
      <c r="M663" t="s">
        <v>289</v>
      </c>
    </row>
    <row r="664" spans="1:13" hidden="1">
      <c r="A664" t="s">
        <v>59</v>
      </c>
      <c r="B664" t="s">
        <v>8</v>
      </c>
      <c r="C664" t="s">
        <v>58</v>
      </c>
      <c r="D664" t="str">
        <f>LEFT(M664,10)</f>
        <v>11/15/2024</v>
      </c>
      <c r="E664" t="s">
        <v>202</v>
      </c>
      <c r="F664" t="s">
        <v>227</v>
      </c>
      <c r="G664" t="s">
        <v>229</v>
      </c>
      <c r="I664">
        <v>15148.6</v>
      </c>
      <c r="J664">
        <v>11721</v>
      </c>
      <c r="K664">
        <v>0.77</v>
      </c>
      <c r="M664" t="s">
        <v>289</v>
      </c>
    </row>
    <row r="665" spans="1:13" hidden="1">
      <c r="A665" t="s">
        <v>59</v>
      </c>
      <c r="B665" t="s">
        <v>8</v>
      </c>
      <c r="C665" t="s">
        <v>58</v>
      </c>
      <c r="D665" t="str">
        <f>LEFT(M665,10)</f>
        <v>11/15/2024</v>
      </c>
      <c r="E665" t="s">
        <v>202</v>
      </c>
      <c r="F665" t="s">
        <v>203</v>
      </c>
      <c r="G665" t="s">
        <v>204</v>
      </c>
      <c r="I665">
        <v>420</v>
      </c>
      <c r="J665">
        <v>3696</v>
      </c>
      <c r="K665">
        <v>8.8000000000000007</v>
      </c>
      <c r="M665" t="s">
        <v>289</v>
      </c>
    </row>
    <row r="666" spans="1:13" hidden="1">
      <c r="A666" t="s">
        <v>59</v>
      </c>
      <c r="B666" t="s">
        <v>8</v>
      </c>
      <c r="C666" t="s">
        <v>58</v>
      </c>
      <c r="D666" t="str">
        <f>LEFT(M666,10)</f>
        <v>11/15/2024</v>
      </c>
      <c r="E666" t="s">
        <v>202</v>
      </c>
      <c r="F666" t="s">
        <v>203</v>
      </c>
      <c r="G666" t="s">
        <v>208</v>
      </c>
      <c r="I666">
        <v>131.9</v>
      </c>
      <c r="J666">
        <v>1187.0999999999999</v>
      </c>
      <c r="K666">
        <v>9</v>
      </c>
      <c r="M666" t="s">
        <v>289</v>
      </c>
    </row>
    <row r="667" spans="1:13" hidden="1">
      <c r="A667" t="s">
        <v>59</v>
      </c>
      <c r="B667" t="s">
        <v>8</v>
      </c>
      <c r="C667" t="s">
        <v>58</v>
      </c>
      <c r="D667" t="str">
        <f>LEFT(M667,10)</f>
        <v>11/15/2024</v>
      </c>
      <c r="E667" t="s">
        <v>202</v>
      </c>
      <c r="F667" t="s">
        <v>203</v>
      </c>
      <c r="G667" t="s">
        <v>207</v>
      </c>
      <c r="I667">
        <v>187.1</v>
      </c>
      <c r="J667">
        <v>784.35</v>
      </c>
      <c r="K667">
        <v>4.1900000000000004</v>
      </c>
      <c r="M667" t="s">
        <v>289</v>
      </c>
    </row>
    <row r="668" spans="1:13" hidden="1">
      <c r="A668" t="s">
        <v>59</v>
      </c>
      <c r="B668" t="s">
        <v>8</v>
      </c>
      <c r="C668" t="s">
        <v>58</v>
      </c>
      <c r="D668" t="str">
        <f>LEFT(M668,10)</f>
        <v>11/15/2024</v>
      </c>
      <c r="E668" t="s">
        <v>202</v>
      </c>
      <c r="F668" t="s">
        <v>203</v>
      </c>
      <c r="G668" t="s">
        <v>260</v>
      </c>
      <c r="I668">
        <v>86.66</v>
      </c>
      <c r="J668">
        <v>2361.3200000000002</v>
      </c>
      <c r="K668">
        <v>27.25</v>
      </c>
      <c r="M668" t="s">
        <v>289</v>
      </c>
    </row>
    <row r="669" spans="1:13" hidden="1">
      <c r="A669" t="s">
        <v>59</v>
      </c>
      <c r="B669" t="s">
        <v>8</v>
      </c>
      <c r="C669" t="s">
        <v>58</v>
      </c>
      <c r="D669" t="str">
        <f>LEFT(M669,10)</f>
        <v>11/15/2024</v>
      </c>
      <c r="E669" t="s">
        <v>202</v>
      </c>
      <c r="F669" t="s">
        <v>218</v>
      </c>
      <c r="G669" t="s">
        <v>267</v>
      </c>
      <c r="I669">
        <v>278</v>
      </c>
      <c r="J669">
        <v>83.4</v>
      </c>
      <c r="K669">
        <v>0.3</v>
      </c>
      <c r="M669" t="s">
        <v>289</v>
      </c>
    </row>
    <row r="670" spans="1:13" hidden="1">
      <c r="A670" t="s">
        <v>59</v>
      </c>
      <c r="B670" t="s">
        <v>8</v>
      </c>
      <c r="C670" t="s">
        <v>58</v>
      </c>
      <c r="D670" t="str">
        <f>LEFT(M670,10)</f>
        <v>11/15/2024</v>
      </c>
      <c r="E670" t="s">
        <v>202</v>
      </c>
      <c r="F670" t="s">
        <v>203</v>
      </c>
      <c r="G670" t="s">
        <v>236</v>
      </c>
      <c r="I670">
        <v>7370</v>
      </c>
      <c r="J670">
        <v>5896</v>
      </c>
      <c r="K670">
        <v>0.8</v>
      </c>
      <c r="M670" t="s">
        <v>289</v>
      </c>
    </row>
    <row r="671" spans="1:13" hidden="1">
      <c r="A671" t="s">
        <v>59</v>
      </c>
      <c r="B671" t="s">
        <v>8</v>
      </c>
      <c r="C671" t="s">
        <v>58</v>
      </c>
      <c r="D671" t="str">
        <f>LEFT(M671,10)</f>
        <v>11/15/2024</v>
      </c>
      <c r="E671" t="s">
        <v>202</v>
      </c>
      <c r="F671" t="s">
        <v>209</v>
      </c>
      <c r="G671" t="s">
        <v>212</v>
      </c>
      <c r="I671">
        <v>53.58</v>
      </c>
      <c r="J671">
        <v>519.52</v>
      </c>
      <c r="K671">
        <v>9.6999999999999993</v>
      </c>
      <c r="M671" t="s">
        <v>289</v>
      </c>
    </row>
    <row r="672" spans="1:13" hidden="1">
      <c r="A672" t="s">
        <v>59</v>
      </c>
      <c r="B672" t="s">
        <v>8</v>
      </c>
      <c r="C672" t="s">
        <v>58</v>
      </c>
      <c r="D672" t="str">
        <f>LEFT(M672,10)</f>
        <v>11/15/2024</v>
      </c>
      <c r="E672" t="s">
        <v>202</v>
      </c>
      <c r="F672" t="s">
        <v>209</v>
      </c>
      <c r="G672" t="s">
        <v>210</v>
      </c>
      <c r="I672">
        <v>17.66</v>
      </c>
      <c r="J672">
        <v>44.15</v>
      </c>
      <c r="K672">
        <v>2.5</v>
      </c>
      <c r="M672" t="s">
        <v>289</v>
      </c>
    </row>
    <row r="673" spans="1:13" hidden="1">
      <c r="A673" t="s">
        <v>59</v>
      </c>
      <c r="B673" t="s">
        <v>8</v>
      </c>
      <c r="C673" t="s">
        <v>58</v>
      </c>
      <c r="D673" t="str">
        <f>LEFT(M673,10)</f>
        <v>11/15/2024</v>
      </c>
      <c r="E673" t="s">
        <v>202</v>
      </c>
      <c r="F673" t="s">
        <v>203</v>
      </c>
      <c r="G673" t="s">
        <v>259</v>
      </c>
      <c r="I673">
        <v>10.8</v>
      </c>
      <c r="J673">
        <v>237.6</v>
      </c>
      <c r="K673">
        <v>22</v>
      </c>
      <c r="M673" t="s">
        <v>289</v>
      </c>
    </row>
    <row r="674" spans="1:13" hidden="1">
      <c r="A674" t="s">
        <v>59</v>
      </c>
      <c r="B674" t="s">
        <v>8</v>
      </c>
      <c r="C674" t="s">
        <v>58</v>
      </c>
      <c r="D674" t="str">
        <f>LEFT(M674,10)</f>
        <v>11/15/2024</v>
      </c>
      <c r="E674" t="s">
        <v>202</v>
      </c>
      <c r="F674" t="s">
        <v>203</v>
      </c>
      <c r="G674" t="s">
        <v>207</v>
      </c>
      <c r="I674">
        <v>4.08</v>
      </c>
      <c r="J674">
        <v>24.48</v>
      </c>
      <c r="K674">
        <v>6</v>
      </c>
      <c r="M674" t="s">
        <v>289</v>
      </c>
    </row>
    <row r="675" spans="1:13" hidden="1">
      <c r="A675" t="s">
        <v>59</v>
      </c>
      <c r="B675" t="s">
        <v>8</v>
      </c>
      <c r="C675" t="s">
        <v>58</v>
      </c>
      <c r="D675" t="str">
        <f>LEFT(M675,10)</f>
        <v>11/15/2024</v>
      </c>
      <c r="E675" t="s">
        <v>202</v>
      </c>
      <c r="F675" t="s">
        <v>209</v>
      </c>
      <c r="G675" t="s">
        <v>310</v>
      </c>
      <c r="I675">
        <v>28</v>
      </c>
      <c r="J675">
        <v>42</v>
      </c>
      <c r="K675">
        <v>1.5</v>
      </c>
      <c r="M675" t="s">
        <v>289</v>
      </c>
    </row>
    <row r="676" spans="1:13" hidden="1">
      <c r="A676" t="s">
        <v>59</v>
      </c>
      <c r="B676" t="s">
        <v>8</v>
      </c>
      <c r="C676" t="s">
        <v>58</v>
      </c>
      <c r="D676" t="str">
        <f>LEFT(M676,10)</f>
        <v>11/15/2024</v>
      </c>
      <c r="E676" t="s">
        <v>202</v>
      </c>
      <c r="F676" t="s">
        <v>216</v>
      </c>
      <c r="G676" t="s">
        <v>253</v>
      </c>
      <c r="I676">
        <v>11036</v>
      </c>
      <c r="J676">
        <v>2206.1999999999998</v>
      </c>
      <c r="K676">
        <v>0.2</v>
      </c>
      <c r="M676" t="s">
        <v>289</v>
      </c>
    </row>
    <row r="677" spans="1:13" hidden="1">
      <c r="A677" t="s">
        <v>59</v>
      </c>
      <c r="B677" t="s">
        <v>8</v>
      </c>
      <c r="C677" t="s">
        <v>58</v>
      </c>
      <c r="D677" t="str">
        <f>LEFT(M677,10)</f>
        <v>11/15/2024</v>
      </c>
      <c r="E677" t="s">
        <v>202</v>
      </c>
      <c r="F677" t="s">
        <v>216</v>
      </c>
      <c r="G677" t="s">
        <v>217</v>
      </c>
      <c r="I677">
        <v>2678.8</v>
      </c>
      <c r="J677">
        <v>1749.6</v>
      </c>
      <c r="K677">
        <v>0.65</v>
      </c>
      <c r="M677" t="s">
        <v>289</v>
      </c>
    </row>
    <row r="678" spans="1:13" hidden="1">
      <c r="A678" t="s">
        <v>59</v>
      </c>
      <c r="B678" t="s">
        <v>8</v>
      </c>
      <c r="C678" t="s">
        <v>58</v>
      </c>
      <c r="D678" t="str">
        <f>LEFT(M678,10)</f>
        <v>11/15/2024</v>
      </c>
      <c r="E678" t="s">
        <v>202</v>
      </c>
      <c r="F678" t="s">
        <v>218</v>
      </c>
      <c r="G678" t="s">
        <v>266</v>
      </c>
      <c r="I678">
        <v>187</v>
      </c>
      <c r="J678">
        <v>9.35</v>
      </c>
      <c r="K678">
        <v>0.05</v>
      </c>
      <c r="M678" t="s">
        <v>289</v>
      </c>
    </row>
    <row r="679" spans="1:13" hidden="1">
      <c r="A679" t="s">
        <v>59</v>
      </c>
      <c r="B679" t="s">
        <v>8</v>
      </c>
      <c r="C679" t="s">
        <v>58</v>
      </c>
      <c r="D679" t="str">
        <f>LEFT(M679,10)</f>
        <v>11/15/2024</v>
      </c>
      <c r="E679" t="s">
        <v>202</v>
      </c>
      <c r="F679" t="s">
        <v>203</v>
      </c>
      <c r="G679" t="s">
        <v>235</v>
      </c>
      <c r="I679">
        <v>21.4</v>
      </c>
      <c r="J679">
        <v>107</v>
      </c>
      <c r="K679">
        <v>5</v>
      </c>
      <c r="M679" t="s">
        <v>289</v>
      </c>
    </row>
    <row r="680" spans="1:13" hidden="1">
      <c r="A680" t="s">
        <v>59</v>
      </c>
      <c r="B680" t="s">
        <v>8</v>
      </c>
      <c r="C680" t="s">
        <v>58</v>
      </c>
      <c r="D680" t="str">
        <f>LEFT(M680,10)</f>
        <v>11/15/2024</v>
      </c>
      <c r="E680" t="s">
        <v>202</v>
      </c>
      <c r="F680" t="s">
        <v>218</v>
      </c>
      <c r="G680" t="s">
        <v>222</v>
      </c>
      <c r="I680">
        <v>470</v>
      </c>
      <c r="J680">
        <v>998</v>
      </c>
      <c r="K680">
        <v>2.12</v>
      </c>
      <c r="M680" t="s">
        <v>289</v>
      </c>
    </row>
    <row r="681" spans="1:13" hidden="1">
      <c r="A681" t="s">
        <v>59</v>
      </c>
      <c r="B681" t="s">
        <v>8</v>
      </c>
      <c r="C681" t="s">
        <v>58</v>
      </c>
      <c r="D681" t="str">
        <f>LEFT(M681,10)</f>
        <v>11/15/2024</v>
      </c>
      <c r="E681" t="s">
        <v>202</v>
      </c>
      <c r="F681" t="s">
        <v>227</v>
      </c>
      <c r="G681" t="s">
        <v>229</v>
      </c>
      <c r="I681">
        <v>1159.0999999999999</v>
      </c>
      <c r="J681">
        <v>927.28</v>
      </c>
      <c r="K681">
        <v>0.8</v>
      </c>
      <c r="M681" t="s">
        <v>289</v>
      </c>
    </row>
    <row r="682" spans="1:13" hidden="1">
      <c r="A682" t="s">
        <v>59</v>
      </c>
      <c r="B682" t="s">
        <v>8</v>
      </c>
      <c r="C682" t="s">
        <v>58</v>
      </c>
      <c r="D682" t="str">
        <f>LEFT(M682,10)</f>
        <v>11/15/2024</v>
      </c>
      <c r="E682" t="s">
        <v>230</v>
      </c>
      <c r="F682" t="s">
        <v>231</v>
      </c>
      <c r="I682">
        <v>0</v>
      </c>
      <c r="J682">
        <v>55073.52</v>
      </c>
      <c r="M682" t="s">
        <v>289</v>
      </c>
    </row>
    <row r="683" spans="1:13" hidden="1">
      <c r="A683" t="s">
        <v>59</v>
      </c>
      <c r="B683" t="s">
        <v>8</v>
      </c>
      <c r="C683" t="s">
        <v>58</v>
      </c>
      <c r="D683" t="str">
        <f>LEFT(M683,10)</f>
        <v>11/15/2024</v>
      </c>
      <c r="E683" t="s">
        <v>230</v>
      </c>
      <c r="F683" t="s">
        <v>248</v>
      </c>
      <c r="I683">
        <v>0</v>
      </c>
      <c r="J683">
        <v>22605.45</v>
      </c>
      <c r="M683" t="s">
        <v>289</v>
      </c>
    </row>
    <row r="684" spans="1:13" hidden="1">
      <c r="A684" t="s">
        <v>59</v>
      </c>
      <c r="B684" t="s">
        <v>8</v>
      </c>
      <c r="C684" t="s">
        <v>58</v>
      </c>
      <c r="D684" t="str">
        <f>LEFT(M684,10)</f>
        <v>11/15/2024</v>
      </c>
      <c r="E684" t="s">
        <v>232</v>
      </c>
      <c r="F684" t="s">
        <v>255</v>
      </c>
      <c r="I684">
        <v>0</v>
      </c>
      <c r="J684">
        <v>8627.9599999999991</v>
      </c>
      <c r="L684" t="s">
        <v>321</v>
      </c>
      <c r="M684" t="s">
        <v>289</v>
      </c>
    </row>
    <row r="685" spans="1:13" hidden="1">
      <c r="A685" t="s">
        <v>59</v>
      </c>
      <c r="B685" t="s">
        <v>8</v>
      </c>
      <c r="C685" t="s">
        <v>58</v>
      </c>
      <c r="D685" t="str">
        <f>LEFT(M685,10)</f>
        <v>11/15/2024</v>
      </c>
      <c r="E685" t="s">
        <v>234</v>
      </c>
      <c r="F685" t="s">
        <v>234</v>
      </c>
      <c r="I685">
        <v>11.87</v>
      </c>
      <c r="M685" t="s">
        <v>289</v>
      </c>
    </row>
    <row r="686" spans="1:13" hidden="1">
      <c r="A686" t="s">
        <v>61</v>
      </c>
      <c r="B686" t="s">
        <v>20</v>
      </c>
      <c r="C686" t="s">
        <v>60</v>
      </c>
      <c r="D686" t="str">
        <f>LEFT(M686,10)</f>
        <v>11/15/2024</v>
      </c>
      <c r="E686" t="s">
        <v>202</v>
      </c>
      <c r="F686" t="s">
        <v>227</v>
      </c>
      <c r="G686" t="s">
        <v>228</v>
      </c>
      <c r="I686">
        <v>3005</v>
      </c>
      <c r="J686">
        <v>1202</v>
      </c>
      <c r="K686">
        <v>0.4</v>
      </c>
      <c r="M686" t="s">
        <v>289</v>
      </c>
    </row>
    <row r="687" spans="1:13" hidden="1">
      <c r="A687" t="s">
        <v>61</v>
      </c>
      <c r="B687" t="s">
        <v>20</v>
      </c>
      <c r="C687" t="s">
        <v>60</v>
      </c>
      <c r="D687" t="str">
        <f>LEFT(M687,10)</f>
        <v>11/15/2024</v>
      </c>
      <c r="E687" t="s">
        <v>202</v>
      </c>
      <c r="F687" t="s">
        <v>227</v>
      </c>
      <c r="G687" t="s">
        <v>229</v>
      </c>
      <c r="I687">
        <v>973</v>
      </c>
      <c r="J687">
        <v>846.51</v>
      </c>
      <c r="K687">
        <v>0.87</v>
      </c>
      <c r="M687" t="s">
        <v>289</v>
      </c>
    </row>
    <row r="688" spans="1:13" hidden="1">
      <c r="A688" t="s">
        <v>61</v>
      </c>
      <c r="B688" t="s">
        <v>20</v>
      </c>
      <c r="C688" t="s">
        <v>60</v>
      </c>
      <c r="D688" t="str">
        <f>LEFT(M688,10)</f>
        <v>11/15/2024</v>
      </c>
      <c r="E688" t="s">
        <v>202</v>
      </c>
      <c r="F688" t="s">
        <v>227</v>
      </c>
      <c r="G688" t="s">
        <v>229</v>
      </c>
      <c r="I688">
        <v>5805</v>
      </c>
      <c r="J688">
        <v>4469.8500000000004</v>
      </c>
      <c r="K688">
        <v>0.77</v>
      </c>
      <c r="M688" t="s">
        <v>289</v>
      </c>
    </row>
    <row r="689" spans="1:13" hidden="1">
      <c r="A689" t="s">
        <v>61</v>
      </c>
      <c r="B689" t="s">
        <v>20</v>
      </c>
      <c r="C689" t="s">
        <v>60</v>
      </c>
      <c r="D689" t="str">
        <f>LEFT(M689,10)</f>
        <v>11/15/2024</v>
      </c>
      <c r="E689" t="s">
        <v>202</v>
      </c>
      <c r="F689" t="s">
        <v>227</v>
      </c>
      <c r="G689" t="s">
        <v>252</v>
      </c>
      <c r="I689">
        <v>584</v>
      </c>
      <c r="J689">
        <v>262.8</v>
      </c>
      <c r="K689">
        <v>0.45</v>
      </c>
      <c r="M689" t="s">
        <v>289</v>
      </c>
    </row>
    <row r="690" spans="1:13" hidden="1">
      <c r="A690" t="s">
        <v>61</v>
      </c>
      <c r="B690" t="s">
        <v>20</v>
      </c>
      <c r="C690" t="s">
        <v>60</v>
      </c>
      <c r="D690" t="str">
        <f>LEFT(M690,10)</f>
        <v>11/15/2024</v>
      </c>
      <c r="E690" t="s">
        <v>202</v>
      </c>
      <c r="F690" t="s">
        <v>218</v>
      </c>
      <c r="G690" t="s">
        <v>221</v>
      </c>
      <c r="I690">
        <v>758</v>
      </c>
      <c r="J690">
        <v>1970.8</v>
      </c>
      <c r="K690">
        <v>2.6</v>
      </c>
      <c r="M690" t="s">
        <v>289</v>
      </c>
    </row>
    <row r="691" spans="1:13" hidden="1">
      <c r="A691" t="s">
        <v>61</v>
      </c>
      <c r="B691" t="s">
        <v>20</v>
      </c>
      <c r="C691" t="s">
        <v>60</v>
      </c>
      <c r="D691" t="str">
        <f>LEFT(M691,10)</f>
        <v>11/15/2024</v>
      </c>
      <c r="E691" t="s">
        <v>202</v>
      </c>
      <c r="F691" t="s">
        <v>218</v>
      </c>
      <c r="G691" t="s">
        <v>220</v>
      </c>
      <c r="I691">
        <v>1143.4000000000001</v>
      </c>
      <c r="J691">
        <v>1829.44</v>
      </c>
      <c r="K691">
        <v>1.6</v>
      </c>
      <c r="M691" t="s">
        <v>289</v>
      </c>
    </row>
    <row r="692" spans="1:13" hidden="1">
      <c r="A692" t="s">
        <v>61</v>
      </c>
      <c r="B692" t="s">
        <v>20</v>
      </c>
      <c r="C692" t="s">
        <v>60</v>
      </c>
      <c r="D692" t="str">
        <f>LEFT(M692,10)</f>
        <v>11/15/2024</v>
      </c>
      <c r="E692" t="s">
        <v>202</v>
      </c>
      <c r="F692" t="s">
        <v>218</v>
      </c>
      <c r="G692" t="s">
        <v>223</v>
      </c>
      <c r="I692">
        <v>1306</v>
      </c>
      <c r="J692">
        <v>1136.22</v>
      </c>
      <c r="K692">
        <v>0.87</v>
      </c>
      <c r="M692" t="s">
        <v>289</v>
      </c>
    </row>
    <row r="693" spans="1:13" hidden="1">
      <c r="A693" t="s">
        <v>61</v>
      </c>
      <c r="B693" t="s">
        <v>20</v>
      </c>
      <c r="C693" t="s">
        <v>60</v>
      </c>
      <c r="D693" t="str">
        <f>LEFT(M693,10)</f>
        <v>11/15/2024</v>
      </c>
      <c r="E693" t="s">
        <v>202</v>
      </c>
      <c r="F693" t="s">
        <v>218</v>
      </c>
      <c r="G693" t="s">
        <v>240</v>
      </c>
      <c r="I693">
        <v>1481</v>
      </c>
      <c r="J693">
        <v>6664.5</v>
      </c>
      <c r="K693">
        <v>4.5</v>
      </c>
      <c r="M693" t="s">
        <v>289</v>
      </c>
    </row>
    <row r="694" spans="1:13" hidden="1">
      <c r="A694" t="s">
        <v>61</v>
      </c>
      <c r="B694" t="s">
        <v>20</v>
      </c>
      <c r="C694" t="s">
        <v>60</v>
      </c>
      <c r="D694" t="str">
        <f>LEFT(M694,10)</f>
        <v>11/15/2024</v>
      </c>
      <c r="E694" t="s">
        <v>202</v>
      </c>
      <c r="F694" t="s">
        <v>218</v>
      </c>
      <c r="G694" t="s">
        <v>242</v>
      </c>
      <c r="I694">
        <v>131</v>
      </c>
      <c r="J694">
        <v>144.1</v>
      </c>
      <c r="K694">
        <v>1.1000000000000001</v>
      </c>
      <c r="M694" t="s">
        <v>289</v>
      </c>
    </row>
    <row r="695" spans="1:13" hidden="1">
      <c r="A695" t="s">
        <v>61</v>
      </c>
      <c r="B695" t="s">
        <v>20</v>
      </c>
      <c r="C695" t="s">
        <v>60</v>
      </c>
      <c r="D695" t="str">
        <f>LEFT(M695,10)</f>
        <v>11/15/2024</v>
      </c>
      <c r="E695" t="s">
        <v>202</v>
      </c>
      <c r="F695" t="s">
        <v>218</v>
      </c>
      <c r="G695" t="s">
        <v>219</v>
      </c>
      <c r="I695">
        <v>107</v>
      </c>
      <c r="J695">
        <v>21.4</v>
      </c>
      <c r="K695">
        <v>0.2</v>
      </c>
      <c r="M695" t="s">
        <v>289</v>
      </c>
    </row>
    <row r="696" spans="1:13" hidden="1">
      <c r="A696" t="s">
        <v>61</v>
      </c>
      <c r="B696" t="s">
        <v>20</v>
      </c>
      <c r="C696" t="s">
        <v>60</v>
      </c>
      <c r="D696" t="str">
        <f>LEFT(M696,10)</f>
        <v>11/15/2024</v>
      </c>
      <c r="E696" t="s">
        <v>202</v>
      </c>
      <c r="F696" t="s">
        <v>218</v>
      </c>
      <c r="G696" t="s">
        <v>222</v>
      </c>
      <c r="I696">
        <v>770</v>
      </c>
      <c r="J696">
        <v>1193.5</v>
      </c>
      <c r="K696">
        <v>1.55</v>
      </c>
      <c r="M696" t="s">
        <v>289</v>
      </c>
    </row>
    <row r="697" spans="1:13" hidden="1">
      <c r="A697" t="s">
        <v>61</v>
      </c>
      <c r="B697" t="s">
        <v>20</v>
      </c>
      <c r="C697" t="s">
        <v>60</v>
      </c>
      <c r="D697" t="str">
        <f>LEFT(M697,10)</f>
        <v>11/15/2024</v>
      </c>
      <c r="E697" t="s">
        <v>202</v>
      </c>
      <c r="F697" t="s">
        <v>218</v>
      </c>
      <c r="G697" t="s">
        <v>226</v>
      </c>
      <c r="I697">
        <v>64</v>
      </c>
      <c r="J697">
        <v>28.8</v>
      </c>
      <c r="K697">
        <v>0.45</v>
      </c>
      <c r="M697" t="s">
        <v>289</v>
      </c>
    </row>
    <row r="698" spans="1:13" hidden="1">
      <c r="A698" t="s">
        <v>61</v>
      </c>
      <c r="B698" t="s">
        <v>20</v>
      </c>
      <c r="C698" t="s">
        <v>60</v>
      </c>
      <c r="D698" t="str">
        <f>LEFT(M698,10)</f>
        <v>11/15/2024</v>
      </c>
      <c r="E698" t="s">
        <v>202</v>
      </c>
      <c r="F698" t="s">
        <v>203</v>
      </c>
      <c r="G698" t="s">
        <v>259</v>
      </c>
      <c r="I698">
        <v>2.4</v>
      </c>
      <c r="J698">
        <v>40.799999999999997</v>
      </c>
      <c r="K698">
        <v>17</v>
      </c>
      <c r="M698" t="s">
        <v>289</v>
      </c>
    </row>
    <row r="699" spans="1:13" hidden="1">
      <c r="A699" t="s">
        <v>61</v>
      </c>
      <c r="B699" t="s">
        <v>20</v>
      </c>
      <c r="C699" t="s">
        <v>60</v>
      </c>
      <c r="D699" t="str">
        <f>LEFT(M699,10)</f>
        <v>11/15/2024</v>
      </c>
      <c r="E699" t="s">
        <v>202</v>
      </c>
      <c r="F699" t="s">
        <v>203</v>
      </c>
      <c r="G699" t="s">
        <v>204</v>
      </c>
      <c r="I699">
        <v>180.9</v>
      </c>
      <c r="J699">
        <v>1447.2</v>
      </c>
      <c r="K699">
        <v>8</v>
      </c>
      <c r="M699" t="s">
        <v>289</v>
      </c>
    </row>
    <row r="700" spans="1:13" hidden="1">
      <c r="A700" t="s">
        <v>61</v>
      </c>
      <c r="B700" t="s">
        <v>20</v>
      </c>
      <c r="C700" t="s">
        <v>60</v>
      </c>
      <c r="D700" t="str">
        <f>LEFT(M700,10)</f>
        <v>11/15/2024</v>
      </c>
      <c r="E700" t="s">
        <v>202</v>
      </c>
      <c r="F700" t="s">
        <v>203</v>
      </c>
      <c r="G700" t="s">
        <v>208</v>
      </c>
      <c r="I700">
        <v>20.9</v>
      </c>
      <c r="J700">
        <v>135.85</v>
      </c>
      <c r="K700">
        <v>6.5</v>
      </c>
      <c r="M700" t="s">
        <v>289</v>
      </c>
    </row>
    <row r="701" spans="1:13" hidden="1">
      <c r="A701" t="s">
        <v>61</v>
      </c>
      <c r="B701" t="s">
        <v>20</v>
      </c>
      <c r="C701" t="s">
        <v>60</v>
      </c>
      <c r="D701" t="str">
        <f>LEFT(M701,10)</f>
        <v>11/15/2024</v>
      </c>
      <c r="E701" t="s">
        <v>202</v>
      </c>
      <c r="F701" t="s">
        <v>203</v>
      </c>
      <c r="G701" t="s">
        <v>259</v>
      </c>
      <c r="I701">
        <v>16.600000000000001</v>
      </c>
      <c r="J701">
        <v>124.5</v>
      </c>
      <c r="K701">
        <v>7.5</v>
      </c>
      <c r="M701" t="s">
        <v>289</v>
      </c>
    </row>
    <row r="702" spans="1:13" hidden="1">
      <c r="A702" t="s">
        <v>61</v>
      </c>
      <c r="B702" t="s">
        <v>20</v>
      </c>
      <c r="C702" t="s">
        <v>60</v>
      </c>
      <c r="D702" t="str">
        <f>LEFT(M702,10)</f>
        <v>11/15/2024</v>
      </c>
      <c r="E702" t="s">
        <v>202</v>
      </c>
      <c r="F702" t="s">
        <v>203</v>
      </c>
      <c r="G702" t="s">
        <v>259</v>
      </c>
      <c r="I702">
        <v>22.5</v>
      </c>
      <c r="J702">
        <v>112.5</v>
      </c>
      <c r="K702">
        <v>5</v>
      </c>
      <c r="M702" t="s">
        <v>289</v>
      </c>
    </row>
    <row r="703" spans="1:13" hidden="1">
      <c r="A703" t="s">
        <v>61</v>
      </c>
      <c r="B703" t="s">
        <v>20</v>
      </c>
      <c r="C703" t="s">
        <v>60</v>
      </c>
      <c r="D703" t="str">
        <f>LEFT(M703,10)</f>
        <v>11/15/2024</v>
      </c>
      <c r="E703" t="s">
        <v>202</v>
      </c>
      <c r="F703" t="s">
        <v>203</v>
      </c>
      <c r="G703" t="s">
        <v>260</v>
      </c>
      <c r="I703">
        <v>0.3</v>
      </c>
      <c r="J703">
        <v>9.3000000000000007</v>
      </c>
      <c r="K703">
        <v>31</v>
      </c>
      <c r="M703" t="s">
        <v>289</v>
      </c>
    </row>
    <row r="704" spans="1:13" hidden="1">
      <c r="A704" t="s">
        <v>61</v>
      </c>
      <c r="B704" t="s">
        <v>20</v>
      </c>
      <c r="C704" t="s">
        <v>60</v>
      </c>
      <c r="D704" t="str">
        <f>LEFT(M704,10)</f>
        <v>11/15/2024</v>
      </c>
      <c r="E704" t="s">
        <v>202</v>
      </c>
      <c r="F704" t="s">
        <v>203</v>
      </c>
      <c r="G704" t="s">
        <v>261</v>
      </c>
      <c r="I704">
        <v>39.799999999999997</v>
      </c>
      <c r="J704">
        <v>199</v>
      </c>
      <c r="K704">
        <v>5</v>
      </c>
      <c r="M704" t="s">
        <v>289</v>
      </c>
    </row>
    <row r="705" spans="1:13" hidden="1">
      <c r="A705" t="s">
        <v>61</v>
      </c>
      <c r="B705" t="s">
        <v>20</v>
      </c>
      <c r="C705" t="s">
        <v>60</v>
      </c>
      <c r="D705" t="str">
        <f>LEFT(M705,10)</f>
        <v>11/15/2024</v>
      </c>
      <c r="E705" t="s">
        <v>202</v>
      </c>
      <c r="F705" t="s">
        <v>203</v>
      </c>
      <c r="G705" t="s">
        <v>261</v>
      </c>
      <c r="I705">
        <v>24.9</v>
      </c>
      <c r="J705">
        <v>124.5</v>
      </c>
      <c r="K705">
        <v>5</v>
      </c>
      <c r="M705" t="s">
        <v>289</v>
      </c>
    </row>
    <row r="706" spans="1:13" hidden="1">
      <c r="A706" t="s">
        <v>61</v>
      </c>
      <c r="B706" t="s">
        <v>20</v>
      </c>
      <c r="C706" t="s">
        <v>60</v>
      </c>
      <c r="D706" t="str">
        <f>LEFT(M706,10)</f>
        <v>11/15/2024</v>
      </c>
      <c r="E706" t="s">
        <v>202</v>
      </c>
      <c r="F706" t="s">
        <v>203</v>
      </c>
      <c r="G706" t="s">
        <v>207</v>
      </c>
      <c r="I706">
        <v>14.1</v>
      </c>
      <c r="J706">
        <v>56.4</v>
      </c>
      <c r="K706">
        <v>4</v>
      </c>
      <c r="M706" t="s">
        <v>289</v>
      </c>
    </row>
    <row r="707" spans="1:13" hidden="1">
      <c r="A707" t="s">
        <v>61</v>
      </c>
      <c r="B707" t="s">
        <v>20</v>
      </c>
      <c r="C707" t="s">
        <v>60</v>
      </c>
      <c r="D707" t="str">
        <f>LEFT(M707,10)</f>
        <v>11/15/2024</v>
      </c>
      <c r="E707" t="s">
        <v>202</v>
      </c>
      <c r="F707" t="s">
        <v>203</v>
      </c>
      <c r="G707" t="s">
        <v>206</v>
      </c>
      <c r="I707">
        <v>33.299999999999997</v>
      </c>
      <c r="J707">
        <v>16.649999999999999</v>
      </c>
      <c r="K707">
        <v>0.5</v>
      </c>
      <c r="M707" t="s">
        <v>289</v>
      </c>
    </row>
    <row r="708" spans="1:13" hidden="1">
      <c r="A708" t="s">
        <v>61</v>
      </c>
      <c r="B708" t="s">
        <v>20</v>
      </c>
      <c r="C708" t="s">
        <v>60</v>
      </c>
      <c r="D708" t="str">
        <f>LEFT(M708,10)</f>
        <v>11/15/2024</v>
      </c>
      <c r="E708" t="s">
        <v>202</v>
      </c>
      <c r="F708" t="s">
        <v>203</v>
      </c>
      <c r="G708" t="s">
        <v>236</v>
      </c>
      <c r="I708">
        <v>460</v>
      </c>
      <c r="J708">
        <v>276</v>
      </c>
      <c r="K708">
        <v>0.6</v>
      </c>
      <c r="M708" t="s">
        <v>289</v>
      </c>
    </row>
    <row r="709" spans="1:13" hidden="1">
      <c r="A709" t="s">
        <v>61</v>
      </c>
      <c r="B709" t="s">
        <v>20</v>
      </c>
      <c r="C709" t="s">
        <v>60</v>
      </c>
      <c r="D709" t="str">
        <f>LEFT(M709,10)</f>
        <v>11/15/2024</v>
      </c>
      <c r="E709" t="s">
        <v>202</v>
      </c>
      <c r="F709" t="s">
        <v>216</v>
      </c>
      <c r="G709" t="s">
        <v>253</v>
      </c>
      <c r="I709">
        <v>7700</v>
      </c>
      <c r="J709">
        <v>770</v>
      </c>
      <c r="K709">
        <v>0.1</v>
      </c>
      <c r="M709" t="s">
        <v>289</v>
      </c>
    </row>
    <row r="710" spans="1:13" hidden="1">
      <c r="A710" t="s">
        <v>61</v>
      </c>
      <c r="B710" t="s">
        <v>20</v>
      </c>
      <c r="C710" t="s">
        <v>60</v>
      </c>
      <c r="D710" t="str">
        <f>LEFT(M710,10)</f>
        <v>11/15/2024</v>
      </c>
      <c r="E710" t="s">
        <v>202</v>
      </c>
      <c r="F710" t="s">
        <v>218</v>
      </c>
      <c r="G710" t="s">
        <v>243</v>
      </c>
      <c r="H710" t="s">
        <v>322</v>
      </c>
      <c r="I710">
        <v>6.7</v>
      </c>
      <c r="J710">
        <v>16.079999999999998</v>
      </c>
      <c r="K710">
        <v>2.4</v>
      </c>
      <c r="M710" t="s">
        <v>289</v>
      </c>
    </row>
    <row r="711" spans="1:13" hidden="1">
      <c r="A711" t="s">
        <v>61</v>
      </c>
      <c r="B711" t="s">
        <v>20</v>
      </c>
      <c r="C711" t="s">
        <v>60</v>
      </c>
      <c r="D711" t="str">
        <f>LEFT(M711,10)</f>
        <v>11/15/2024</v>
      </c>
      <c r="E711" t="s">
        <v>230</v>
      </c>
      <c r="F711" t="s">
        <v>231</v>
      </c>
      <c r="I711">
        <v>0</v>
      </c>
      <c r="J711">
        <v>923.68</v>
      </c>
      <c r="M711" t="s">
        <v>289</v>
      </c>
    </row>
    <row r="712" spans="1:13" hidden="1">
      <c r="A712" t="s">
        <v>61</v>
      </c>
      <c r="B712" t="s">
        <v>20</v>
      </c>
      <c r="C712" t="s">
        <v>60</v>
      </c>
      <c r="D712" t="str">
        <f>LEFT(M712,10)</f>
        <v>11/15/2024</v>
      </c>
      <c r="E712" t="s">
        <v>230</v>
      </c>
      <c r="F712" t="s">
        <v>323</v>
      </c>
      <c r="I712">
        <v>0</v>
      </c>
      <c r="J712">
        <v>200</v>
      </c>
      <c r="L712" t="s">
        <v>324</v>
      </c>
      <c r="M712" t="s">
        <v>289</v>
      </c>
    </row>
    <row r="713" spans="1:13" hidden="1">
      <c r="A713" t="s">
        <v>61</v>
      </c>
      <c r="B713" t="s">
        <v>20</v>
      </c>
      <c r="C713" t="s">
        <v>60</v>
      </c>
      <c r="D713" t="str">
        <f>LEFT(M713,10)</f>
        <v>11/15/2024</v>
      </c>
      <c r="E713" t="s">
        <v>232</v>
      </c>
      <c r="F713" t="s">
        <v>262</v>
      </c>
      <c r="I713">
        <v>0</v>
      </c>
      <c r="J713">
        <v>1065</v>
      </c>
      <c r="M713" t="s">
        <v>289</v>
      </c>
    </row>
    <row r="714" spans="1:13" hidden="1">
      <c r="A714" t="s">
        <v>61</v>
      </c>
      <c r="B714" t="s">
        <v>20</v>
      </c>
      <c r="C714" t="s">
        <v>60</v>
      </c>
      <c r="D714" t="str">
        <f>LEFT(M714,10)</f>
        <v>11/15/2024</v>
      </c>
      <c r="E714" t="s">
        <v>232</v>
      </c>
      <c r="F714" t="s">
        <v>255</v>
      </c>
      <c r="I714">
        <v>0</v>
      </c>
      <c r="J714">
        <v>1000</v>
      </c>
      <c r="L714" t="s">
        <v>325</v>
      </c>
      <c r="M714" t="s">
        <v>289</v>
      </c>
    </row>
    <row r="715" spans="1:13" hidden="1">
      <c r="A715" t="s">
        <v>61</v>
      </c>
      <c r="B715" t="s">
        <v>20</v>
      </c>
      <c r="C715" t="s">
        <v>60</v>
      </c>
      <c r="D715" t="str">
        <f>LEFT(M715,10)</f>
        <v>11/15/2024</v>
      </c>
      <c r="E715" t="s">
        <v>232</v>
      </c>
      <c r="F715" t="s">
        <v>250</v>
      </c>
      <c r="I715">
        <v>0</v>
      </c>
      <c r="J715">
        <v>483.14</v>
      </c>
      <c r="M715" t="s">
        <v>289</v>
      </c>
    </row>
    <row r="716" spans="1:13" hidden="1">
      <c r="A716" t="s">
        <v>61</v>
      </c>
      <c r="B716" t="s">
        <v>20</v>
      </c>
      <c r="C716" t="s">
        <v>60</v>
      </c>
      <c r="D716" t="str">
        <f>LEFT(M716,10)</f>
        <v>11/15/2024</v>
      </c>
      <c r="E716" t="s">
        <v>232</v>
      </c>
      <c r="F716" t="s">
        <v>255</v>
      </c>
      <c r="I716">
        <v>0</v>
      </c>
      <c r="J716">
        <v>1800</v>
      </c>
      <c r="L716" t="s">
        <v>326</v>
      </c>
      <c r="M716" t="s">
        <v>289</v>
      </c>
    </row>
    <row r="717" spans="1:13" hidden="1">
      <c r="A717" t="s">
        <v>61</v>
      </c>
      <c r="B717" t="s">
        <v>20</v>
      </c>
      <c r="C717" t="s">
        <v>60</v>
      </c>
      <c r="D717" t="str">
        <f>LEFT(M717,10)</f>
        <v>11/15/2024</v>
      </c>
      <c r="E717" t="s">
        <v>232</v>
      </c>
      <c r="F717" t="s">
        <v>255</v>
      </c>
      <c r="I717">
        <v>0</v>
      </c>
      <c r="J717">
        <v>198.34</v>
      </c>
      <c r="L717" t="s">
        <v>327</v>
      </c>
      <c r="M717" t="s">
        <v>289</v>
      </c>
    </row>
    <row r="718" spans="1:13" hidden="1">
      <c r="A718" t="s">
        <v>61</v>
      </c>
      <c r="B718" t="s">
        <v>20</v>
      </c>
      <c r="C718" t="s">
        <v>60</v>
      </c>
      <c r="D718" t="str">
        <f>LEFT(M718,10)</f>
        <v>11/15/2024</v>
      </c>
      <c r="E718" t="s">
        <v>232</v>
      </c>
      <c r="F718" t="s">
        <v>255</v>
      </c>
      <c r="I718">
        <v>0</v>
      </c>
      <c r="J718">
        <v>122.24</v>
      </c>
      <c r="L718" t="s">
        <v>328</v>
      </c>
      <c r="M718" t="s">
        <v>289</v>
      </c>
    </row>
    <row r="719" spans="1:13" hidden="1">
      <c r="A719" t="s">
        <v>61</v>
      </c>
      <c r="B719" t="s">
        <v>20</v>
      </c>
      <c r="C719" t="s">
        <v>60</v>
      </c>
      <c r="D719" t="str">
        <f>LEFT(M719,10)</f>
        <v>11/15/2024</v>
      </c>
      <c r="E719" t="s">
        <v>232</v>
      </c>
      <c r="F719" t="s">
        <v>255</v>
      </c>
      <c r="I719">
        <v>0</v>
      </c>
      <c r="J719">
        <v>93</v>
      </c>
      <c r="L719" t="s">
        <v>329</v>
      </c>
      <c r="M719" t="s">
        <v>289</v>
      </c>
    </row>
    <row r="720" spans="1:13" hidden="1">
      <c r="A720" t="s">
        <v>61</v>
      </c>
      <c r="B720" t="s">
        <v>20</v>
      </c>
      <c r="C720" t="s">
        <v>60</v>
      </c>
      <c r="D720" t="str">
        <f>LEFT(M720,10)</f>
        <v>11/15/2024</v>
      </c>
      <c r="E720" t="s">
        <v>232</v>
      </c>
      <c r="F720" t="s">
        <v>296</v>
      </c>
      <c r="I720">
        <v>0</v>
      </c>
      <c r="J720">
        <v>433.2</v>
      </c>
      <c r="M720" t="s">
        <v>289</v>
      </c>
    </row>
    <row r="721" spans="1:13" hidden="1">
      <c r="A721" t="s">
        <v>61</v>
      </c>
      <c r="B721" t="s">
        <v>20</v>
      </c>
      <c r="C721" t="s">
        <v>60</v>
      </c>
      <c r="D721" t="str">
        <f>LEFT(M721,10)</f>
        <v>11/15/2024</v>
      </c>
      <c r="E721" t="s">
        <v>232</v>
      </c>
      <c r="F721" t="s">
        <v>286</v>
      </c>
      <c r="I721">
        <v>0</v>
      </c>
      <c r="J721">
        <v>18.78</v>
      </c>
      <c r="M721" t="s">
        <v>289</v>
      </c>
    </row>
    <row r="722" spans="1:13" hidden="1">
      <c r="A722" t="s">
        <v>61</v>
      </c>
      <c r="B722" t="s">
        <v>20</v>
      </c>
      <c r="C722" t="s">
        <v>60</v>
      </c>
      <c r="D722" t="str">
        <f>LEFT(M722,10)</f>
        <v>11/15/2024</v>
      </c>
      <c r="E722" t="s">
        <v>232</v>
      </c>
      <c r="F722" t="s">
        <v>287</v>
      </c>
      <c r="I722">
        <v>0</v>
      </c>
      <c r="J722">
        <v>587.73</v>
      </c>
      <c r="M722" t="s">
        <v>289</v>
      </c>
    </row>
    <row r="723" spans="1:13" hidden="1">
      <c r="A723" t="s">
        <v>61</v>
      </c>
      <c r="B723" t="s">
        <v>20</v>
      </c>
      <c r="C723" t="s">
        <v>60</v>
      </c>
      <c r="D723" t="str">
        <f>LEFT(M723,10)</f>
        <v>11/15/2024</v>
      </c>
      <c r="E723" t="s">
        <v>232</v>
      </c>
      <c r="F723" t="s">
        <v>251</v>
      </c>
      <c r="I723">
        <v>0</v>
      </c>
      <c r="J723">
        <v>2337.5</v>
      </c>
      <c r="M723" t="s">
        <v>289</v>
      </c>
    </row>
    <row r="724" spans="1:13" hidden="1">
      <c r="A724" t="s">
        <v>61</v>
      </c>
      <c r="B724" t="s">
        <v>20</v>
      </c>
      <c r="C724" t="s">
        <v>60</v>
      </c>
      <c r="D724" t="str">
        <f>LEFT(M724,10)</f>
        <v>11/15/2024</v>
      </c>
      <c r="E724" t="s">
        <v>232</v>
      </c>
      <c r="F724" t="s">
        <v>233</v>
      </c>
      <c r="I724">
        <v>0</v>
      </c>
      <c r="J724">
        <v>224.15</v>
      </c>
      <c r="M724" t="s">
        <v>289</v>
      </c>
    </row>
    <row r="725" spans="1:13" hidden="1">
      <c r="A725" t="s">
        <v>61</v>
      </c>
      <c r="B725" t="s">
        <v>20</v>
      </c>
      <c r="C725" t="s">
        <v>60</v>
      </c>
      <c r="D725" t="str">
        <f>LEFT(M725,10)</f>
        <v>11/15/2024</v>
      </c>
      <c r="E725" t="s">
        <v>232</v>
      </c>
      <c r="F725" t="s">
        <v>255</v>
      </c>
      <c r="I725">
        <v>0</v>
      </c>
      <c r="J725">
        <v>1242.56</v>
      </c>
      <c r="L725" t="s">
        <v>330</v>
      </c>
      <c r="M725" t="s">
        <v>289</v>
      </c>
    </row>
    <row r="726" spans="1:13" hidden="1">
      <c r="A726" t="s">
        <v>61</v>
      </c>
      <c r="B726" t="s">
        <v>20</v>
      </c>
      <c r="C726" t="s">
        <v>60</v>
      </c>
      <c r="D726" t="str">
        <f>LEFT(M726,10)</f>
        <v>11/15/2024</v>
      </c>
      <c r="E726" t="s">
        <v>232</v>
      </c>
      <c r="F726" t="s">
        <v>286</v>
      </c>
      <c r="I726">
        <v>0</v>
      </c>
      <c r="J726">
        <v>124.75</v>
      </c>
      <c r="M726" t="s">
        <v>289</v>
      </c>
    </row>
    <row r="727" spans="1:13" hidden="1">
      <c r="A727" t="s">
        <v>61</v>
      </c>
      <c r="B727" t="s">
        <v>20</v>
      </c>
      <c r="C727" t="s">
        <v>60</v>
      </c>
      <c r="D727" t="str">
        <f>LEFT(M727,10)</f>
        <v>11/15/2024</v>
      </c>
      <c r="E727" t="s">
        <v>234</v>
      </c>
      <c r="F727" t="s">
        <v>234</v>
      </c>
      <c r="I727">
        <v>4340.3</v>
      </c>
      <c r="M727" t="s">
        <v>289</v>
      </c>
    </row>
    <row r="728" spans="1:13" hidden="1">
      <c r="A728" t="s">
        <v>62</v>
      </c>
      <c r="B728" t="s">
        <v>63</v>
      </c>
      <c r="C728" t="s">
        <v>19</v>
      </c>
      <c r="D728" t="str">
        <f>LEFT(M728,10)</f>
        <v>11/15/2024</v>
      </c>
      <c r="E728" t="s">
        <v>202</v>
      </c>
      <c r="F728" t="s">
        <v>227</v>
      </c>
      <c r="G728" t="s">
        <v>237</v>
      </c>
      <c r="I728">
        <v>1200</v>
      </c>
      <c r="J728">
        <v>840</v>
      </c>
      <c r="K728">
        <v>0.7</v>
      </c>
      <c r="M728" t="s">
        <v>289</v>
      </c>
    </row>
    <row r="729" spans="1:13" hidden="1">
      <c r="A729" t="s">
        <v>62</v>
      </c>
      <c r="B729" t="s">
        <v>63</v>
      </c>
      <c r="C729" t="s">
        <v>19</v>
      </c>
      <c r="D729" t="str">
        <f>LEFT(M729,10)</f>
        <v>11/15/2024</v>
      </c>
      <c r="E729" t="s">
        <v>202</v>
      </c>
      <c r="F729" t="s">
        <v>227</v>
      </c>
      <c r="G729" t="s">
        <v>229</v>
      </c>
      <c r="I729">
        <v>6300</v>
      </c>
      <c r="J729">
        <v>3780</v>
      </c>
      <c r="K729">
        <v>0.6</v>
      </c>
      <c r="M729" t="s">
        <v>289</v>
      </c>
    </row>
    <row r="730" spans="1:13" hidden="1">
      <c r="A730" t="s">
        <v>62</v>
      </c>
      <c r="B730" t="s">
        <v>63</v>
      </c>
      <c r="C730" t="s">
        <v>19</v>
      </c>
      <c r="D730" t="str">
        <f>LEFT(M730,10)</f>
        <v>11/15/2024</v>
      </c>
      <c r="E730" t="s">
        <v>202</v>
      </c>
      <c r="F730" t="s">
        <v>227</v>
      </c>
      <c r="G730" t="s">
        <v>238</v>
      </c>
      <c r="I730">
        <v>995</v>
      </c>
      <c r="J730">
        <v>348.25</v>
      </c>
      <c r="K730">
        <v>0.35</v>
      </c>
      <c r="M730" t="s">
        <v>289</v>
      </c>
    </row>
    <row r="731" spans="1:13" hidden="1">
      <c r="A731" t="s">
        <v>62</v>
      </c>
      <c r="B731" t="s">
        <v>63</v>
      </c>
      <c r="C731" t="s">
        <v>19</v>
      </c>
      <c r="D731" t="str">
        <f>LEFT(M731,10)</f>
        <v>11/15/2024</v>
      </c>
      <c r="E731" t="s">
        <v>202</v>
      </c>
      <c r="F731" t="s">
        <v>227</v>
      </c>
      <c r="G731" t="s">
        <v>252</v>
      </c>
      <c r="I731">
        <v>850</v>
      </c>
      <c r="J731">
        <v>340</v>
      </c>
      <c r="K731">
        <v>0.4</v>
      </c>
      <c r="M731" t="s">
        <v>289</v>
      </c>
    </row>
    <row r="732" spans="1:13" hidden="1">
      <c r="A732" t="s">
        <v>62</v>
      </c>
      <c r="B732" t="s">
        <v>63</v>
      </c>
      <c r="C732" t="s">
        <v>19</v>
      </c>
      <c r="D732" t="str">
        <f>LEFT(M732,10)</f>
        <v>11/15/2024</v>
      </c>
      <c r="E732" t="s">
        <v>202</v>
      </c>
      <c r="F732" t="s">
        <v>227</v>
      </c>
      <c r="G732" t="s">
        <v>228</v>
      </c>
      <c r="I732">
        <v>4026</v>
      </c>
      <c r="J732">
        <v>1811.7</v>
      </c>
      <c r="K732">
        <v>0.45</v>
      </c>
      <c r="M732" t="s">
        <v>289</v>
      </c>
    </row>
    <row r="733" spans="1:13" hidden="1">
      <c r="A733" t="s">
        <v>62</v>
      </c>
      <c r="B733" t="s">
        <v>63</v>
      </c>
      <c r="C733" t="s">
        <v>19</v>
      </c>
      <c r="D733" t="str">
        <f>LEFT(M733,10)</f>
        <v>11/15/2024</v>
      </c>
      <c r="E733" t="s">
        <v>202</v>
      </c>
      <c r="F733" t="s">
        <v>218</v>
      </c>
      <c r="G733" t="s">
        <v>224</v>
      </c>
      <c r="I733">
        <v>360</v>
      </c>
      <c r="J733">
        <v>324</v>
      </c>
      <c r="K733">
        <v>0.9</v>
      </c>
      <c r="M733" t="s">
        <v>289</v>
      </c>
    </row>
    <row r="734" spans="1:13" hidden="1">
      <c r="A734" t="s">
        <v>62</v>
      </c>
      <c r="B734" t="s">
        <v>63</v>
      </c>
      <c r="C734" t="s">
        <v>19</v>
      </c>
      <c r="D734" t="str">
        <f>LEFT(M734,10)</f>
        <v>11/15/2024</v>
      </c>
      <c r="E734" t="s">
        <v>202</v>
      </c>
      <c r="F734" t="s">
        <v>218</v>
      </c>
      <c r="G734" t="s">
        <v>221</v>
      </c>
      <c r="I734">
        <v>1836</v>
      </c>
      <c r="J734">
        <v>4222.8</v>
      </c>
      <c r="K734">
        <v>2.2999999999999998</v>
      </c>
      <c r="M734" t="s">
        <v>289</v>
      </c>
    </row>
    <row r="735" spans="1:13" hidden="1">
      <c r="A735" t="s">
        <v>62</v>
      </c>
      <c r="B735" t="s">
        <v>63</v>
      </c>
      <c r="C735" t="s">
        <v>19</v>
      </c>
      <c r="D735" t="str">
        <f>LEFT(M735,10)</f>
        <v>11/15/2024</v>
      </c>
      <c r="E735" t="s">
        <v>202</v>
      </c>
      <c r="F735" t="s">
        <v>218</v>
      </c>
      <c r="G735" t="s">
        <v>223</v>
      </c>
      <c r="I735">
        <v>2620</v>
      </c>
      <c r="J735">
        <v>1965</v>
      </c>
      <c r="K735">
        <v>0.75</v>
      </c>
      <c r="M735" t="s">
        <v>289</v>
      </c>
    </row>
    <row r="736" spans="1:13" hidden="1">
      <c r="A736" t="s">
        <v>62</v>
      </c>
      <c r="B736" t="s">
        <v>63</v>
      </c>
      <c r="C736" t="s">
        <v>19</v>
      </c>
      <c r="D736" t="str">
        <f>LEFT(M736,10)</f>
        <v>11/15/2024</v>
      </c>
      <c r="E736" t="s">
        <v>202</v>
      </c>
      <c r="F736" t="s">
        <v>218</v>
      </c>
      <c r="G736" t="s">
        <v>241</v>
      </c>
      <c r="I736">
        <v>210</v>
      </c>
      <c r="J736">
        <v>840</v>
      </c>
      <c r="K736">
        <v>4</v>
      </c>
      <c r="M736" t="s">
        <v>289</v>
      </c>
    </row>
    <row r="737" spans="1:13" hidden="1">
      <c r="A737" t="s">
        <v>62</v>
      </c>
      <c r="B737" t="s">
        <v>63</v>
      </c>
      <c r="C737" t="s">
        <v>19</v>
      </c>
      <c r="D737" t="str">
        <f>LEFT(M737,10)</f>
        <v>11/15/2024</v>
      </c>
      <c r="E737" t="s">
        <v>202</v>
      </c>
      <c r="F737" t="s">
        <v>218</v>
      </c>
      <c r="G737" t="s">
        <v>240</v>
      </c>
      <c r="I737">
        <v>980</v>
      </c>
      <c r="J737">
        <v>4018</v>
      </c>
      <c r="K737">
        <v>4.0999999999999996</v>
      </c>
      <c r="M737" t="s">
        <v>289</v>
      </c>
    </row>
    <row r="738" spans="1:13" hidden="1">
      <c r="A738" t="s">
        <v>62</v>
      </c>
      <c r="B738" t="s">
        <v>63</v>
      </c>
      <c r="C738" t="s">
        <v>19</v>
      </c>
      <c r="D738" t="str">
        <f>LEFT(M738,10)</f>
        <v>11/15/2024</v>
      </c>
      <c r="E738" t="s">
        <v>202</v>
      </c>
      <c r="F738" t="s">
        <v>218</v>
      </c>
      <c r="G738" t="s">
        <v>219</v>
      </c>
      <c r="I738">
        <v>566</v>
      </c>
      <c r="J738">
        <v>226.4</v>
      </c>
      <c r="K738">
        <v>0.4</v>
      </c>
      <c r="M738" t="s">
        <v>289</v>
      </c>
    </row>
    <row r="739" spans="1:13" hidden="1">
      <c r="A739" t="s">
        <v>62</v>
      </c>
      <c r="B739" t="s">
        <v>63</v>
      </c>
      <c r="C739" t="s">
        <v>19</v>
      </c>
      <c r="D739" t="str">
        <f>LEFT(M739,10)</f>
        <v>11/15/2024</v>
      </c>
      <c r="E739" t="s">
        <v>202</v>
      </c>
      <c r="F739" t="s">
        <v>218</v>
      </c>
      <c r="G739" t="s">
        <v>222</v>
      </c>
      <c r="I739">
        <v>773</v>
      </c>
      <c r="J739">
        <v>1391.4</v>
      </c>
      <c r="K739">
        <v>1.8</v>
      </c>
      <c r="M739" t="s">
        <v>289</v>
      </c>
    </row>
    <row r="740" spans="1:13" hidden="1">
      <c r="A740" t="s">
        <v>62</v>
      </c>
      <c r="B740" t="s">
        <v>63</v>
      </c>
      <c r="C740" t="s">
        <v>19</v>
      </c>
      <c r="D740" t="str">
        <f>LEFT(M740,10)</f>
        <v>11/15/2024</v>
      </c>
      <c r="E740" t="s">
        <v>202</v>
      </c>
      <c r="F740" t="s">
        <v>218</v>
      </c>
      <c r="G740" t="s">
        <v>247</v>
      </c>
      <c r="I740">
        <v>55</v>
      </c>
      <c r="J740">
        <v>192.5</v>
      </c>
      <c r="K740">
        <v>3.5</v>
      </c>
      <c r="M740" t="s">
        <v>289</v>
      </c>
    </row>
    <row r="741" spans="1:13" hidden="1">
      <c r="A741" t="s">
        <v>62</v>
      </c>
      <c r="B741" t="s">
        <v>63</v>
      </c>
      <c r="C741" t="s">
        <v>19</v>
      </c>
      <c r="D741" t="str">
        <f>LEFT(M741,10)</f>
        <v>11/15/2024</v>
      </c>
      <c r="E741" t="s">
        <v>202</v>
      </c>
      <c r="F741" t="s">
        <v>218</v>
      </c>
      <c r="G741" t="s">
        <v>220</v>
      </c>
      <c r="I741">
        <v>850</v>
      </c>
      <c r="J741">
        <v>1190</v>
      </c>
      <c r="K741">
        <v>1.4</v>
      </c>
      <c r="M741" t="s">
        <v>289</v>
      </c>
    </row>
    <row r="742" spans="1:13" hidden="1">
      <c r="A742" t="s">
        <v>62</v>
      </c>
      <c r="B742" t="s">
        <v>63</v>
      </c>
      <c r="C742" t="s">
        <v>19</v>
      </c>
      <c r="D742" t="str">
        <f>LEFT(M742,10)</f>
        <v>11/15/2024</v>
      </c>
      <c r="E742" t="s">
        <v>202</v>
      </c>
      <c r="F742" t="s">
        <v>218</v>
      </c>
      <c r="G742" t="s">
        <v>222</v>
      </c>
      <c r="I742">
        <v>892</v>
      </c>
      <c r="J742">
        <v>1516.4</v>
      </c>
      <c r="K742">
        <v>1.7</v>
      </c>
      <c r="M742" t="s">
        <v>289</v>
      </c>
    </row>
    <row r="743" spans="1:13" hidden="1">
      <c r="A743" t="s">
        <v>62</v>
      </c>
      <c r="B743" t="s">
        <v>63</v>
      </c>
      <c r="C743" t="s">
        <v>19</v>
      </c>
      <c r="D743" t="str">
        <f>LEFT(M743,10)</f>
        <v>11/15/2024</v>
      </c>
      <c r="E743" t="s">
        <v>202</v>
      </c>
      <c r="F743" t="s">
        <v>218</v>
      </c>
      <c r="G743" t="s">
        <v>226</v>
      </c>
      <c r="I743">
        <v>321</v>
      </c>
      <c r="J743">
        <v>96.3</v>
      </c>
      <c r="K743">
        <v>0.3</v>
      </c>
      <c r="M743" t="s">
        <v>289</v>
      </c>
    </row>
    <row r="744" spans="1:13" hidden="1">
      <c r="A744" t="s">
        <v>62</v>
      </c>
      <c r="B744" t="s">
        <v>63</v>
      </c>
      <c r="C744" t="s">
        <v>19</v>
      </c>
      <c r="D744" t="str">
        <f>LEFT(M744,10)</f>
        <v>11/15/2024</v>
      </c>
      <c r="E744" t="s">
        <v>202</v>
      </c>
      <c r="F744" t="s">
        <v>216</v>
      </c>
      <c r="G744" t="s">
        <v>253</v>
      </c>
      <c r="I744">
        <v>11950</v>
      </c>
      <c r="J744">
        <v>1075.5</v>
      </c>
      <c r="K744">
        <v>0.09</v>
      </c>
      <c r="M744" t="s">
        <v>289</v>
      </c>
    </row>
    <row r="745" spans="1:13" hidden="1">
      <c r="A745" t="s">
        <v>62</v>
      </c>
      <c r="B745" t="s">
        <v>63</v>
      </c>
      <c r="C745" t="s">
        <v>19</v>
      </c>
      <c r="D745" t="str">
        <f>LEFT(M745,10)</f>
        <v>11/15/2024</v>
      </c>
      <c r="E745" t="s">
        <v>202</v>
      </c>
      <c r="F745" t="s">
        <v>218</v>
      </c>
      <c r="G745" t="s">
        <v>223</v>
      </c>
      <c r="I745">
        <v>3254</v>
      </c>
      <c r="J745">
        <v>2440.5</v>
      </c>
      <c r="K745">
        <v>0.75</v>
      </c>
      <c r="M745" t="s">
        <v>289</v>
      </c>
    </row>
    <row r="746" spans="1:13" hidden="1">
      <c r="A746" t="s">
        <v>62</v>
      </c>
      <c r="B746" t="s">
        <v>63</v>
      </c>
      <c r="C746" t="s">
        <v>19</v>
      </c>
      <c r="D746" t="str">
        <f>LEFT(M746,10)</f>
        <v>11/15/2024</v>
      </c>
      <c r="E746" t="s">
        <v>202</v>
      </c>
      <c r="F746" t="s">
        <v>218</v>
      </c>
      <c r="G746" t="s">
        <v>222</v>
      </c>
      <c r="I746">
        <v>665</v>
      </c>
      <c r="J746">
        <v>864.5</v>
      </c>
      <c r="K746">
        <v>1.3</v>
      </c>
      <c r="M746" t="s">
        <v>289</v>
      </c>
    </row>
    <row r="747" spans="1:13" hidden="1">
      <c r="A747" t="s">
        <v>62</v>
      </c>
      <c r="B747" t="s">
        <v>63</v>
      </c>
      <c r="C747" t="s">
        <v>19</v>
      </c>
      <c r="D747" t="str">
        <f>LEFT(M747,10)</f>
        <v>11/15/2024</v>
      </c>
      <c r="E747" t="s">
        <v>202</v>
      </c>
      <c r="F747" t="s">
        <v>203</v>
      </c>
      <c r="G747" t="s">
        <v>215</v>
      </c>
      <c r="I747">
        <v>4852.5</v>
      </c>
      <c r="J747">
        <v>1941</v>
      </c>
      <c r="K747">
        <v>0.4</v>
      </c>
      <c r="M747" t="s">
        <v>289</v>
      </c>
    </row>
    <row r="748" spans="1:13" hidden="1">
      <c r="A748" t="s">
        <v>62</v>
      </c>
      <c r="B748" t="s">
        <v>63</v>
      </c>
      <c r="C748" t="s">
        <v>19</v>
      </c>
      <c r="D748" t="str">
        <f>LEFT(M748,10)</f>
        <v>11/15/2024</v>
      </c>
      <c r="E748" t="s">
        <v>202</v>
      </c>
      <c r="F748" t="s">
        <v>203</v>
      </c>
      <c r="G748" t="s">
        <v>204</v>
      </c>
      <c r="I748">
        <v>61</v>
      </c>
      <c r="J748">
        <v>549</v>
      </c>
      <c r="K748">
        <v>9</v>
      </c>
      <c r="M748" t="s">
        <v>289</v>
      </c>
    </row>
    <row r="749" spans="1:13" hidden="1">
      <c r="A749" t="s">
        <v>62</v>
      </c>
      <c r="B749" t="s">
        <v>63</v>
      </c>
      <c r="C749" t="s">
        <v>19</v>
      </c>
      <c r="D749" t="str">
        <f>LEFT(M749,10)</f>
        <v>11/15/2024</v>
      </c>
      <c r="E749" t="s">
        <v>202</v>
      </c>
      <c r="F749" t="s">
        <v>203</v>
      </c>
      <c r="G749" t="s">
        <v>235</v>
      </c>
      <c r="I749">
        <v>58</v>
      </c>
      <c r="J749">
        <v>435</v>
      </c>
      <c r="K749">
        <v>7.5</v>
      </c>
      <c r="M749" t="s">
        <v>289</v>
      </c>
    </row>
    <row r="750" spans="1:13" hidden="1">
      <c r="A750" t="s">
        <v>62</v>
      </c>
      <c r="B750" t="s">
        <v>63</v>
      </c>
      <c r="C750" t="s">
        <v>19</v>
      </c>
      <c r="D750" t="str">
        <f>LEFT(M750,10)</f>
        <v>11/15/2024</v>
      </c>
      <c r="E750" t="s">
        <v>234</v>
      </c>
      <c r="F750" t="s">
        <v>234</v>
      </c>
      <c r="I750">
        <v>6551</v>
      </c>
      <c r="M750" t="s">
        <v>289</v>
      </c>
    </row>
    <row r="751" spans="1:13" hidden="1">
      <c r="A751" t="s">
        <v>62</v>
      </c>
      <c r="B751" t="s">
        <v>63</v>
      </c>
      <c r="C751" t="s">
        <v>19</v>
      </c>
      <c r="D751" t="str">
        <f>LEFT(M751,10)</f>
        <v>11/15/2024</v>
      </c>
      <c r="E751" t="s">
        <v>232</v>
      </c>
      <c r="F751" t="s">
        <v>255</v>
      </c>
      <c r="I751">
        <v>0</v>
      </c>
      <c r="J751">
        <v>3670</v>
      </c>
      <c r="L751" t="s">
        <v>331</v>
      </c>
      <c r="M751" t="s">
        <v>289</v>
      </c>
    </row>
    <row r="752" spans="1:13" hidden="1">
      <c r="A752" t="s">
        <v>62</v>
      </c>
      <c r="B752" t="s">
        <v>63</v>
      </c>
      <c r="C752" t="s">
        <v>19</v>
      </c>
      <c r="D752" t="str">
        <f>LEFT(M752,10)</f>
        <v>11/15/2024</v>
      </c>
      <c r="E752" t="s">
        <v>232</v>
      </c>
      <c r="F752" t="s">
        <v>262</v>
      </c>
      <c r="I752">
        <v>0</v>
      </c>
      <c r="J752">
        <v>5024.9399999999996</v>
      </c>
      <c r="M752" t="s">
        <v>289</v>
      </c>
    </row>
    <row r="753" spans="1:13" hidden="1">
      <c r="A753" t="s">
        <v>62</v>
      </c>
      <c r="B753" t="s">
        <v>63</v>
      </c>
      <c r="C753" t="s">
        <v>19</v>
      </c>
      <c r="D753" t="str">
        <f>LEFT(M753,10)</f>
        <v>11/15/2024</v>
      </c>
      <c r="E753" t="s">
        <v>232</v>
      </c>
      <c r="F753" t="s">
        <v>262</v>
      </c>
      <c r="I753">
        <v>0</v>
      </c>
      <c r="J753">
        <v>4508.13</v>
      </c>
      <c r="M753" t="s">
        <v>289</v>
      </c>
    </row>
    <row r="754" spans="1:13" hidden="1">
      <c r="A754" t="s">
        <v>62</v>
      </c>
      <c r="B754" t="s">
        <v>63</v>
      </c>
      <c r="C754" t="s">
        <v>19</v>
      </c>
      <c r="D754" t="str">
        <f>LEFT(M754,10)</f>
        <v>11/15/2024</v>
      </c>
      <c r="E754" t="s">
        <v>232</v>
      </c>
      <c r="F754" t="s">
        <v>255</v>
      </c>
      <c r="I754">
        <v>0</v>
      </c>
      <c r="J754">
        <v>765</v>
      </c>
      <c r="L754" t="s">
        <v>264</v>
      </c>
      <c r="M754" t="s">
        <v>289</v>
      </c>
    </row>
    <row r="755" spans="1:13" hidden="1">
      <c r="A755" t="s">
        <v>62</v>
      </c>
      <c r="B755" t="s">
        <v>63</v>
      </c>
      <c r="C755" t="s">
        <v>19</v>
      </c>
      <c r="D755" t="str">
        <f>LEFT(M755,10)</f>
        <v>11/15/2024</v>
      </c>
      <c r="E755" t="s">
        <v>232</v>
      </c>
      <c r="F755" t="s">
        <v>255</v>
      </c>
      <c r="I755">
        <v>0</v>
      </c>
      <c r="J755">
        <v>9200</v>
      </c>
      <c r="L755" t="s">
        <v>318</v>
      </c>
      <c r="M755" t="s">
        <v>289</v>
      </c>
    </row>
    <row r="756" spans="1:13" hidden="1">
      <c r="A756" t="s">
        <v>62</v>
      </c>
      <c r="B756" t="s">
        <v>63</v>
      </c>
      <c r="C756" t="s">
        <v>19</v>
      </c>
      <c r="D756" t="str">
        <f>LEFT(M756,10)</f>
        <v>11/15/2024</v>
      </c>
      <c r="E756" t="s">
        <v>232</v>
      </c>
      <c r="F756" t="s">
        <v>290</v>
      </c>
      <c r="I756">
        <v>0</v>
      </c>
      <c r="J756">
        <v>445</v>
      </c>
      <c r="M756" t="s">
        <v>289</v>
      </c>
    </row>
    <row r="757" spans="1:13" hidden="1">
      <c r="A757" t="s">
        <v>62</v>
      </c>
      <c r="B757" t="s">
        <v>63</v>
      </c>
      <c r="C757" t="s">
        <v>19</v>
      </c>
      <c r="D757" t="str">
        <f>LEFT(M757,10)</f>
        <v>11/15/2024</v>
      </c>
      <c r="E757" t="s">
        <v>232</v>
      </c>
      <c r="F757" t="s">
        <v>291</v>
      </c>
      <c r="I757">
        <v>0</v>
      </c>
      <c r="J757">
        <v>480.43</v>
      </c>
      <c r="M757" t="s">
        <v>289</v>
      </c>
    </row>
    <row r="758" spans="1:13" hidden="1">
      <c r="A758" t="s">
        <v>62</v>
      </c>
      <c r="B758" t="s">
        <v>63</v>
      </c>
      <c r="C758" t="s">
        <v>19</v>
      </c>
      <c r="D758" t="str">
        <f>LEFT(M758,10)</f>
        <v>11/15/2024</v>
      </c>
      <c r="E758" t="s">
        <v>230</v>
      </c>
      <c r="F758" t="s">
        <v>248</v>
      </c>
      <c r="I758">
        <v>0</v>
      </c>
      <c r="J758">
        <v>39123.230000000003</v>
      </c>
      <c r="M758" t="s">
        <v>289</v>
      </c>
    </row>
    <row r="759" spans="1:13" hidden="1">
      <c r="A759" t="s">
        <v>65</v>
      </c>
      <c r="B759" t="s">
        <v>8</v>
      </c>
      <c r="C759" t="s">
        <v>64</v>
      </c>
      <c r="D759" t="str">
        <f>LEFT(M759,10)</f>
        <v>11/15/2024</v>
      </c>
      <c r="E759" t="s">
        <v>202</v>
      </c>
      <c r="F759" t="s">
        <v>203</v>
      </c>
      <c r="G759" t="s">
        <v>204</v>
      </c>
      <c r="I759">
        <v>300</v>
      </c>
      <c r="J759">
        <v>2400</v>
      </c>
      <c r="K759">
        <v>8</v>
      </c>
      <c r="M759" t="s">
        <v>289</v>
      </c>
    </row>
    <row r="760" spans="1:13" hidden="1">
      <c r="A760" t="s">
        <v>65</v>
      </c>
      <c r="B760" t="s">
        <v>8</v>
      </c>
      <c r="C760" t="s">
        <v>64</v>
      </c>
      <c r="D760" t="str">
        <f>LEFT(M760,10)</f>
        <v>11/15/2024</v>
      </c>
      <c r="E760" t="s">
        <v>202</v>
      </c>
      <c r="F760" t="s">
        <v>203</v>
      </c>
      <c r="G760" t="s">
        <v>236</v>
      </c>
      <c r="I760">
        <v>4000</v>
      </c>
      <c r="J760">
        <v>2800</v>
      </c>
      <c r="K760">
        <v>0.7</v>
      </c>
      <c r="M760" t="s">
        <v>289</v>
      </c>
    </row>
    <row r="761" spans="1:13" hidden="1">
      <c r="A761" t="s">
        <v>65</v>
      </c>
      <c r="B761" t="s">
        <v>8</v>
      </c>
      <c r="C761" t="s">
        <v>64</v>
      </c>
      <c r="D761" t="str">
        <f>LEFT(M761,10)</f>
        <v>11/15/2024</v>
      </c>
      <c r="E761" t="s">
        <v>202</v>
      </c>
      <c r="F761" t="s">
        <v>218</v>
      </c>
      <c r="G761" t="s">
        <v>220</v>
      </c>
      <c r="I761">
        <v>65</v>
      </c>
      <c r="J761">
        <v>195</v>
      </c>
      <c r="K761">
        <v>3</v>
      </c>
      <c r="M761" t="s">
        <v>289</v>
      </c>
    </row>
    <row r="762" spans="1:13" hidden="1">
      <c r="A762" t="s">
        <v>65</v>
      </c>
      <c r="B762" t="s">
        <v>8</v>
      </c>
      <c r="C762" t="s">
        <v>64</v>
      </c>
      <c r="D762" t="str">
        <f>LEFT(M762,10)</f>
        <v>11/15/2024</v>
      </c>
      <c r="E762" t="s">
        <v>202</v>
      </c>
      <c r="F762" t="s">
        <v>218</v>
      </c>
      <c r="G762" t="s">
        <v>222</v>
      </c>
      <c r="I762">
        <v>95</v>
      </c>
      <c r="J762">
        <v>95</v>
      </c>
      <c r="K762">
        <v>1</v>
      </c>
      <c r="M762" t="s">
        <v>289</v>
      </c>
    </row>
    <row r="763" spans="1:13" hidden="1">
      <c r="A763" t="s">
        <v>65</v>
      </c>
      <c r="B763" t="s">
        <v>8</v>
      </c>
      <c r="C763" t="s">
        <v>64</v>
      </c>
      <c r="D763" t="str">
        <f>LEFT(M763,10)</f>
        <v>11/15/2024</v>
      </c>
      <c r="E763" t="s">
        <v>202</v>
      </c>
      <c r="F763" t="s">
        <v>218</v>
      </c>
      <c r="G763" t="s">
        <v>221</v>
      </c>
      <c r="I763">
        <v>33</v>
      </c>
      <c r="J763">
        <v>66</v>
      </c>
      <c r="K763">
        <v>2</v>
      </c>
      <c r="M763" t="s">
        <v>289</v>
      </c>
    </row>
    <row r="764" spans="1:13" hidden="1">
      <c r="A764" t="s">
        <v>65</v>
      </c>
      <c r="B764" t="s">
        <v>8</v>
      </c>
      <c r="C764" t="s">
        <v>64</v>
      </c>
      <c r="D764" t="str">
        <f>LEFT(M764,10)</f>
        <v>11/15/2024</v>
      </c>
      <c r="E764" t="s">
        <v>232</v>
      </c>
      <c r="F764" t="s">
        <v>250</v>
      </c>
      <c r="I764">
        <v>0</v>
      </c>
      <c r="J764">
        <v>600</v>
      </c>
      <c r="M764" t="s">
        <v>289</v>
      </c>
    </row>
    <row r="765" spans="1:13" hidden="1">
      <c r="A765" t="s">
        <v>65</v>
      </c>
      <c r="B765" t="s">
        <v>8</v>
      </c>
      <c r="C765" t="s">
        <v>64</v>
      </c>
      <c r="D765" t="str">
        <f>LEFT(M765,10)</f>
        <v>11/15/2024</v>
      </c>
      <c r="E765" t="s">
        <v>232</v>
      </c>
      <c r="F765" t="s">
        <v>262</v>
      </c>
      <c r="I765">
        <v>0</v>
      </c>
      <c r="J765">
        <v>1600</v>
      </c>
      <c r="M765" t="s">
        <v>289</v>
      </c>
    </row>
    <row r="766" spans="1:13" hidden="1">
      <c r="A766" t="s">
        <v>65</v>
      </c>
      <c r="B766" t="s">
        <v>8</v>
      </c>
      <c r="C766" t="s">
        <v>64</v>
      </c>
      <c r="D766" t="str">
        <f>LEFT(M766,10)</f>
        <v>11/15/2024</v>
      </c>
      <c r="E766" t="s">
        <v>202</v>
      </c>
      <c r="F766" t="s">
        <v>218</v>
      </c>
      <c r="G766" t="s">
        <v>243</v>
      </c>
      <c r="H766" t="s">
        <v>332</v>
      </c>
      <c r="I766">
        <v>1011</v>
      </c>
      <c r="J766">
        <v>707</v>
      </c>
      <c r="K766">
        <v>0.7</v>
      </c>
      <c r="M766" t="s">
        <v>289</v>
      </c>
    </row>
    <row r="767" spans="1:13" hidden="1">
      <c r="A767" t="s">
        <v>65</v>
      </c>
      <c r="B767" t="s">
        <v>8</v>
      </c>
      <c r="C767" t="s">
        <v>64</v>
      </c>
      <c r="D767" t="str">
        <f>LEFT(M767,10)</f>
        <v>11/15/2024</v>
      </c>
      <c r="E767" t="s">
        <v>202</v>
      </c>
      <c r="F767" t="s">
        <v>218</v>
      </c>
      <c r="G767" t="s">
        <v>222</v>
      </c>
      <c r="I767">
        <v>66</v>
      </c>
      <c r="J767">
        <v>19.8</v>
      </c>
      <c r="K767">
        <v>0.3</v>
      </c>
      <c r="M767" t="s">
        <v>289</v>
      </c>
    </row>
    <row r="768" spans="1:13" hidden="1">
      <c r="A768" t="s">
        <v>66</v>
      </c>
      <c r="B768" t="s">
        <v>63</v>
      </c>
      <c r="C768" t="s">
        <v>60</v>
      </c>
      <c r="D768" t="str">
        <f>LEFT(M768,10)</f>
        <v>11/15/2024</v>
      </c>
      <c r="E768" t="s">
        <v>202</v>
      </c>
      <c r="F768" t="s">
        <v>227</v>
      </c>
      <c r="G768" t="s">
        <v>237</v>
      </c>
      <c r="I768">
        <v>2777</v>
      </c>
      <c r="J768">
        <v>1943.9</v>
      </c>
      <c r="K768">
        <v>0.7</v>
      </c>
      <c r="M768" t="s">
        <v>289</v>
      </c>
    </row>
    <row r="769" spans="1:13" hidden="1">
      <c r="A769" t="s">
        <v>66</v>
      </c>
      <c r="B769" t="s">
        <v>63</v>
      </c>
      <c r="C769" t="s">
        <v>60</v>
      </c>
      <c r="D769" t="str">
        <f>LEFT(M769,10)</f>
        <v>11/15/2024</v>
      </c>
      <c r="E769" t="s">
        <v>202</v>
      </c>
      <c r="F769" t="s">
        <v>227</v>
      </c>
      <c r="G769" t="s">
        <v>228</v>
      </c>
      <c r="I769">
        <v>5811</v>
      </c>
      <c r="J769">
        <v>2324.4</v>
      </c>
      <c r="K769">
        <v>0.4</v>
      </c>
      <c r="M769" t="s">
        <v>289</v>
      </c>
    </row>
    <row r="770" spans="1:13" hidden="1">
      <c r="A770" t="s">
        <v>66</v>
      </c>
      <c r="B770" t="s">
        <v>63</v>
      </c>
      <c r="C770" t="s">
        <v>60</v>
      </c>
      <c r="D770" t="str">
        <f>LEFT(M770,10)</f>
        <v>11/15/2024</v>
      </c>
      <c r="E770" t="s">
        <v>202</v>
      </c>
      <c r="F770" t="s">
        <v>227</v>
      </c>
      <c r="G770" t="s">
        <v>229</v>
      </c>
      <c r="I770">
        <v>9693</v>
      </c>
      <c r="J770">
        <v>7754.4</v>
      </c>
      <c r="K770">
        <v>0.8</v>
      </c>
      <c r="M770" t="s">
        <v>289</v>
      </c>
    </row>
    <row r="771" spans="1:13" hidden="1">
      <c r="A771" t="s">
        <v>66</v>
      </c>
      <c r="B771" t="s">
        <v>63</v>
      </c>
      <c r="C771" t="s">
        <v>60</v>
      </c>
      <c r="D771" t="str">
        <f>LEFT(M771,10)</f>
        <v>11/15/2024</v>
      </c>
      <c r="E771" t="s">
        <v>202</v>
      </c>
      <c r="F771" t="s">
        <v>227</v>
      </c>
      <c r="G771" t="s">
        <v>238</v>
      </c>
      <c r="I771">
        <v>2116</v>
      </c>
      <c r="J771">
        <v>740.6</v>
      </c>
      <c r="K771">
        <v>0.35</v>
      </c>
      <c r="M771" t="s">
        <v>289</v>
      </c>
    </row>
    <row r="772" spans="1:13" hidden="1">
      <c r="A772" t="s">
        <v>66</v>
      </c>
      <c r="B772" t="s">
        <v>63</v>
      </c>
      <c r="C772" t="s">
        <v>60</v>
      </c>
      <c r="D772" t="str">
        <f>LEFT(M772,10)</f>
        <v>11/15/2024</v>
      </c>
      <c r="E772" t="s">
        <v>202</v>
      </c>
      <c r="F772" t="s">
        <v>227</v>
      </c>
      <c r="G772" t="s">
        <v>238</v>
      </c>
      <c r="I772">
        <v>952</v>
      </c>
      <c r="J772">
        <v>380.8</v>
      </c>
      <c r="K772">
        <v>0.4</v>
      </c>
      <c r="M772" t="s">
        <v>289</v>
      </c>
    </row>
    <row r="773" spans="1:13" hidden="1">
      <c r="A773" t="s">
        <v>66</v>
      </c>
      <c r="B773" t="s">
        <v>63</v>
      </c>
      <c r="C773" t="s">
        <v>60</v>
      </c>
      <c r="D773" t="str">
        <f>LEFT(M773,10)</f>
        <v>11/15/2024</v>
      </c>
      <c r="E773" t="s">
        <v>202</v>
      </c>
      <c r="F773" t="s">
        <v>227</v>
      </c>
      <c r="G773" t="s">
        <v>252</v>
      </c>
      <c r="I773">
        <v>1120</v>
      </c>
      <c r="J773">
        <v>336</v>
      </c>
      <c r="K773">
        <v>0.3</v>
      </c>
      <c r="M773" t="s">
        <v>289</v>
      </c>
    </row>
    <row r="774" spans="1:13" hidden="1">
      <c r="A774" t="s">
        <v>66</v>
      </c>
      <c r="B774" t="s">
        <v>63</v>
      </c>
      <c r="C774" t="s">
        <v>60</v>
      </c>
      <c r="D774" t="str">
        <f>LEFT(M774,10)</f>
        <v>11/15/2024</v>
      </c>
      <c r="E774" t="s">
        <v>202</v>
      </c>
      <c r="F774" t="s">
        <v>218</v>
      </c>
      <c r="G774" t="s">
        <v>224</v>
      </c>
      <c r="I774">
        <v>393</v>
      </c>
      <c r="J774">
        <v>393</v>
      </c>
      <c r="K774">
        <v>1</v>
      </c>
      <c r="M774" t="s">
        <v>289</v>
      </c>
    </row>
    <row r="775" spans="1:13" hidden="1">
      <c r="A775" t="s">
        <v>66</v>
      </c>
      <c r="B775" t="s">
        <v>63</v>
      </c>
      <c r="C775" t="s">
        <v>60</v>
      </c>
      <c r="D775" t="str">
        <f>LEFT(M775,10)</f>
        <v>11/15/2024</v>
      </c>
      <c r="E775" t="s">
        <v>202</v>
      </c>
      <c r="F775" t="s">
        <v>218</v>
      </c>
      <c r="G775" t="s">
        <v>221</v>
      </c>
      <c r="I775">
        <v>789</v>
      </c>
      <c r="J775">
        <v>1972.5</v>
      </c>
      <c r="K775">
        <v>2.5</v>
      </c>
      <c r="M775" t="s">
        <v>289</v>
      </c>
    </row>
    <row r="776" spans="1:13" hidden="1">
      <c r="A776" t="s">
        <v>66</v>
      </c>
      <c r="B776" t="s">
        <v>63</v>
      </c>
      <c r="C776" t="s">
        <v>60</v>
      </c>
      <c r="D776" t="str">
        <f>LEFT(M776,10)</f>
        <v>11/15/2024</v>
      </c>
      <c r="E776" t="s">
        <v>202</v>
      </c>
      <c r="F776" t="s">
        <v>218</v>
      </c>
      <c r="G776" t="s">
        <v>221</v>
      </c>
      <c r="I776">
        <v>609</v>
      </c>
      <c r="J776">
        <v>1461.6</v>
      </c>
      <c r="K776">
        <v>2.4</v>
      </c>
      <c r="M776" t="s">
        <v>289</v>
      </c>
    </row>
    <row r="777" spans="1:13" hidden="1">
      <c r="A777" t="s">
        <v>66</v>
      </c>
      <c r="B777" t="s">
        <v>63</v>
      </c>
      <c r="C777" t="s">
        <v>60</v>
      </c>
      <c r="D777" t="str">
        <f>LEFT(M777,10)</f>
        <v>11/15/2024</v>
      </c>
      <c r="E777" t="s">
        <v>202</v>
      </c>
      <c r="F777" t="s">
        <v>218</v>
      </c>
      <c r="G777" t="s">
        <v>220</v>
      </c>
      <c r="I777">
        <v>1494</v>
      </c>
      <c r="J777">
        <v>2241</v>
      </c>
      <c r="K777">
        <v>1.5</v>
      </c>
      <c r="M777" t="s">
        <v>289</v>
      </c>
    </row>
    <row r="778" spans="1:13" hidden="1">
      <c r="A778" t="s">
        <v>66</v>
      </c>
      <c r="B778" t="s">
        <v>63</v>
      </c>
      <c r="C778" t="s">
        <v>60</v>
      </c>
      <c r="D778" t="str">
        <f>LEFT(M778,10)</f>
        <v>11/15/2024</v>
      </c>
      <c r="E778" t="s">
        <v>202</v>
      </c>
      <c r="F778" t="s">
        <v>218</v>
      </c>
      <c r="G778" t="s">
        <v>223</v>
      </c>
      <c r="I778">
        <v>2751</v>
      </c>
      <c r="J778">
        <v>2200.8000000000002</v>
      </c>
      <c r="K778">
        <v>0.8</v>
      </c>
      <c r="M778" t="s">
        <v>289</v>
      </c>
    </row>
    <row r="779" spans="1:13" hidden="1">
      <c r="A779" t="s">
        <v>66</v>
      </c>
      <c r="B779" t="s">
        <v>63</v>
      </c>
      <c r="C779" t="s">
        <v>60</v>
      </c>
      <c r="D779" t="str">
        <f>LEFT(M779,10)</f>
        <v>11/15/2024</v>
      </c>
      <c r="E779" t="s">
        <v>202</v>
      </c>
      <c r="F779" t="s">
        <v>218</v>
      </c>
      <c r="G779" t="s">
        <v>241</v>
      </c>
      <c r="I779">
        <v>536</v>
      </c>
      <c r="J779">
        <v>2144</v>
      </c>
      <c r="K779">
        <v>4</v>
      </c>
      <c r="M779" t="s">
        <v>289</v>
      </c>
    </row>
    <row r="780" spans="1:13" hidden="1">
      <c r="A780" t="s">
        <v>66</v>
      </c>
      <c r="B780" t="s">
        <v>63</v>
      </c>
      <c r="C780" t="s">
        <v>60</v>
      </c>
      <c r="D780" t="str">
        <f>LEFT(M780,10)</f>
        <v>11/15/2024</v>
      </c>
      <c r="E780" t="s">
        <v>202</v>
      </c>
      <c r="F780" t="s">
        <v>218</v>
      </c>
      <c r="G780" t="s">
        <v>240</v>
      </c>
      <c r="I780">
        <v>1982</v>
      </c>
      <c r="J780">
        <v>7928</v>
      </c>
      <c r="K780">
        <v>4</v>
      </c>
      <c r="M780" t="s">
        <v>289</v>
      </c>
    </row>
    <row r="781" spans="1:13" hidden="1">
      <c r="A781" t="s">
        <v>66</v>
      </c>
      <c r="B781" t="s">
        <v>63</v>
      </c>
      <c r="C781" t="s">
        <v>60</v>
      </c>
      <c r="D781" t="str">
        <f>LEFT(M781,10)</f>
        <v>11/15/2024</v>
      </c>
      <c r="E781" t="s">
        <v>202</v>
      </c>
      <c r="F781" t="s">
        <v>218</v>
      </c>
      <c r="G781" t="s">
        <v>242</v>
      </c>
      <c r="I781">
        <v>189</v>
      </c>
      <c r="J781">
        <v>189</v>
      </c>
      <c r="K781">
        <v>1</v>
      </c>
      <c r="M781" t="s">
        <v>289</v>
      </c>
    </row>
    <row r="782" spans="1:13" hidden="1">
      <c r="A782" t="s">
        <v>66</v>
      </c>
      <c r="B782" t="s">
        <v>63</v>
      </c>
      <c r="C782" t="s">
        <v>60</v>
      </c>
      <c r="D782" t="str">
        <f>LEFT(M782,10)</f>
        <v>11/15/2024</v>
      </c>
      <c r="E782" t="s">
        <v>202</v>
      </c>
      <c r="F782" t="s">
        <v>218</v>
      </c>
      <c r="G782" t="s">
        <v>219</v>
      </c>
      <c r="I782">
        <v>118</v>
      </c>
      <c r="J782">
        <v>11.8</v>
      </c>
      <c r="K782">
        <v>0.1</v>
      </c>
      <c r="M782" t="s">
        <v>289</v>
      </c>
    </row>
    <row r="783" spans="1:13" hidden="1">
      <c r="A783" t="s">
        <v>66</v>
      </c>
      <c r="B783" t="s">
        <v>63</v>
      </c>
      <c r="C783" t="s">
        <v>60</v>
      </c>
      <c r="D783" t="str">
        <f>LEFT(M783,10)</f>
        <v>11/15/2024</v>
      </c>
      <c r="E783" t="s">
        <v>202</v>
      </c>
      <c r="F783" t="s">
        <v>218</v>
      </c>
      <c r="G783" t="s">
        <v>243</v>
      </c>
      <c r="H783" t="s">
        <v>333</v>
      </c>
      <c r="I783">
        <v>118</v>
      </c>
      <c r="J783">
        <v>1.18</v>
      </c>
      <c r="K783">
        <v>0.01</v>
      </c>
      <c r="M783" t="s">
        <v>289</v>
      </c>
    </row>
    <row r="784" spans="1:13" hidden="1">
      <c r="A784" t="s">
        <v>66</v>
      </c>
      <c r="B784" t="s">
        <v>63</v>
      </c>
      <c r="C784" t="s">
        <v>60</v>
      </c>
      <c r="D784" t="str">
        <f>LEFT(M784,10)</f>
        <v>11/15/2024</v>
      </c>
      <c r="E784" t="s">
        <v>202</v>
      </c>
      <c r="F784" t="s">
        <v>218</v>
      </c>
      <c r="G784" t="s">
        <v>225</v>
      </c>
      <c r="I784">
        <v>80</v>
      </c>
      <c r="J784">
        <v>88</v>
      </c>
      <c r="K784">
        <v>1.1000000000000001</v>
      </c>
      <c r="M784" t="s">
        <v>289</v>
      </c>
    </row>
    <row r="785" spans="1:13" hidden="1">
      <c r="A785" t="s">
        <v>66</v>
      </c>
      <c r="B785" t="s">
        <v>63</v>
      </c>
      <c r="C785" t="s">
        <v>60</v>
      </c>
      <c r="D785" t="str">
        <f>LEFT(M785,10)</f>
        <v>11/15/2024</v>
      </c>
      <c r="E785" t="s">
        <v>202</v>
      </c>
      <c r="F785" t="s">
        <v>218</v>
      </c>
      <c r="G785" t="s">
        <v>222</v>
      </c>
      <c r="I785">
        <v>1969</v>
      </c>
      <c r="J785">
        <v>2362.8000000000002</v>
      </c>
      <c r="K785">
        <v>1.2</v>
      </c>
      <c r="M785" t="s">
        <v>289</v>
      </c>
    </row>
    <row r="786" spans="1:13" hidden="1">
      <c r="A786" t="s">
        <v>66</v>
      </c>
      <c r="B786" t="s">
        <v>63</v>
      </c>
      <c r="C786" t="s">
        <v>60</v>
      </c>
      <c r="D786" t="str">
        <f>LEFT(M786,10)</f>
        <v>11/15/2024</v>
      </c>
      <c r="E786" t="s">
        <v>202</v>
      </c>
      <c r="F786" t="s">
        <v>218</v>
      </c>
      <c r="G786" t="s">
        <v>222</v>
      </c>
      <c r="I786">
        <v>512</v>
      </c>
      <c r="J786">
        <v>665.6</v>
      </c>
      <c r="K786">
        <v>1.3</v>
      </c>
      <c r="M786" t="s">
        <v>289</v>
      </c>
    </row>
    <row r="787" spans="1:13" hidden="1">
      <c r="A787" t="s">
        <v>66</v>
      </c>
      <c r="B787" t="s">
        <v>63</v>
      </c>
      <c r="C787" t="s">
        <v>60</v>
      </c>
      <c r="D787" t="str">
        <f>LEFT(M787,10)</f>
        <v>11/15/2024</v>
      </c>
      <c r="E787" t="s">
        <v>202</v>
      </c>
      <c r="F787" t="s">
        <v>218</v>
      </c>
      <c r="G787" t="s">
        <v>266</v>
      </c>
      <c r="I787">
        <v>151</v>
      </c>
      <c r="J787">
        <v>1.51</v>
      </c>
      <c r="K787">
        <v>0.01</v>
      </c>
      <c r="M787" t="s">
        <v>289</v>
      </c>
    </row>
    <row r="788" spans="1:13" hidden="1">
      <c r="A788" t="s">
        <v>66</v>
      </c>
      <c r="B788" t="s">
        <v>63</v>
      </c>
      <c r="C788" t="s">
        <v>60</v>
      </c>
      <c r="D788" t="str">
        <f>LEFT(M788,10)</f>
        <v>11/15/2024</v>
      </c>
      <c r="E788" t="s">
        <v>202</v>
      </c>
      <c r="F788" t="s">
        <v>218</v>
      </c>
      <c r="G788" t="s">
        <v>226</v>
      </c>
      <c r="I788">
        <v>150</v>
      </c>
      <c r="J788">
        <v>45</v>
      </c>
      <c r="K788">
        <v>0.3</v>
      </c>
      <c r="M788" t="s">
        <v>289</v>
      </c>
    </row>
    <row r="789" spans="1:13" hidden="1">
      <c r="A789" t="s">
        <v>66</v>
      </c>
      <c r="B789" t="s">
        <v>63</v>
      </c>
      <c r="C789" t="s">
        <v>60</v>
      </c>
      <c r="D789" t="str">
        <f>LEFT(M789,10)</f>
        <v>11/15/2024</v>
      </c>
      <c r="E789" t="s">
        <v>202</v>
      </c>
      <c r="F789" t="s">
        <v>203</v>
      </c>
      <c r="G789" t="s">
        <v>204</v>
      </c>
      <c r="I789">
        <v>580</v>
      </c>
      <c r="J789">
        <v>5510</v>
      </c>
      <c r="K789">
        <v>9.5</v>
      </c>
      <c r="M789" t="s">
        <v>289</v>
      </c>
    </row>
    <row r="790" spans="1:13" hidden="1">
      <c r="A790" t="s">
        <v>66</v>
      </c>
      <c r="B790" t="s">
        <v>63</v>
      </c>
      <c r="C790" t="s">
        <v>60</v>
      </c>
      <c r="D790" t="str">
        <f>LEFT(M790,10)</f>
        <v>11/15/2024</v>
      </c>
      <c r="E790" t="s">
        <v>202</v>
      </c>
      <c r="F790" t="s">
        <v>203</v>
      </c>
      <c r="G790" t="s">
        <v>236</v>
      </c>
      <c r="I790">
        <v>2720</v>
      </c>
      <c r="J790">
        <v>2176</v>
      </c>
      <c r="K790">
        <v>0.8</v>
      </c>
      <c r="M790" t="s">
        <v>289</v>
      </c>
    </row>
    <row r="791" spans="1:13" hidden="1">
      <c r="A791" t="s">
        <v>66</v>
      </c>
      <c r="B791" t="s">
        <v>63</v>
      </c>
      <c r="C791" t="s">
        <v>60</v>
      </c>
      <c r="D791" t="str">
        <f>LEFT(M791,10)</f>
        <v>11/15/2024</v>
      </c>
      <c r="E791" t="s">
        <v>202</v>
      </c>
      <c r="F791" t="s">
        <v>216</v>
      </c>
      <c r="G791" t="s">
        <v>253</v>
      </c>
      <c r="I791">
        <v>5950</v>
      </c>
      <c r="J791">
        <v>892.5</v>
      </c>
      <c r="K791">
        <v>0.15</v>
      </c>
      <c r="M791" t="s">
        <v>289</v>
      </c>
    </row>
    <row r="792" spans="1:13" hidden="1">
      <c r="A792" t="s">
        <v>66</v>
      </c>
      <c r="B792" t="s">
        <v>63</v>
      </c>
      <c r="C792" t="s">
        <v>60</v>
      </c>
      <c r="D792" t="str">
        <f>LEFT(M792,10)</f>
        <v>11/15/2024</v>
      </c>
      <c r="E792" t="s">
        <v>202</v>
      </c>
      <c r="F792" t="s">
        <v>216</v>
      </c>
      <c r="G792" t="s">
        <v>253</v>
      </c>
      <c r="I792">
        <v>23180</v>
      </c>
      <c r="J792">
        <v>1159</v>
      </c>
      <c r="K792">
        <v>0.05</v>
      </c>
      <c r="M792" t="s">
        <v>289</v>
      </c>
    </row>
    <row r="793" spans="1:13" hidden="1">
      <c r="A793" t="s">
        <v>66</v>
      </c>
      <c r="B793" t="s">
        <v>63</v>
      </c>
      <c r="C793" t="s">
        <v>60</v>
      </c>
      <c r="D793" t="str">
        <f>LEFT(M793,10)</f>
        <v>11/15/2024</v>
      </c>
      <c r="E793" t="s">
        <v>234</v>
      </c>
      <c r="F793" t="s">
        <v>234</v>
      </c>
      <c r="I793">
        <v>14198.7</v>
      </c>
      <c r="M793" t="s">
        <v>289</v>
      </c>
    </row>
    <row r="794" spans="1:13" hidden="1">
      <c r="A794" t="s">
        <v>66</v>
      </c>
      <c r="B794" t="s">
        <v>63</v>
      </c>
      <c r="C794" t="s">
        <v>60</v>
      </c>
      <c r="D794" t="str">
        <f>LEFT(M794,10)</f>
        <v>11/15/2024</v>
      </c>
      <c r="E794" t="s">
        <v>232</v>
      </c>
      <c r="F794" t="s">
        <v>262</v>
      </c>
      <c r="I794">
        <v>0</v>
      </c>
      <c r="J794">
        <v>6945</v>
      </c>
      <c r="M794" t="s">
        <v>289</v>
      </c>
    </row>
    <row r="795" spans="1:13" hidden="1">
      <c r="A795" t="s">
        <v>66</v>
      </c>
      <c r="B795" t="s">
        <v>63</v>
      </c>
      <c r="C795" t="s">
        <v>60</v>
      </c>
      <c r="D795" t="str">
        <f>LEFT(M795,10)</f>
        <v>11/15/2024</v>
      </c>
      <c r="E795" t="s">
        <v>232</v>
      </c>
      <c r="F795" t="s">
        <v>296</v>
      </c>
      <c r="I795">
        <v>0</v>
      </c>
      <c r="J795">
        <v>701.8</v>
      </c>
      <c r="M795" t="s">
        <v>289</v>
      </c>
    </row>
    <row r="796" spans="1:13" hidden="1">
      <c r="A796" t="s">
        <v>66</v>
      </c>
      <c r="B796" t="s">
        <v>63</v>
      </c>
      <c r="C796" t="s">
        <v>60</v>
      </c>
      <c r="D796" t="str">
        <f>LEFT(M796,10)</f>
        <v>11/15/2024</v>
      </c>
      <c r="E796" t="s">
        <v>232</v>
      </c>
      <c r="F796" t="s">
        <v>286</v>
      </c>
      <c r="I796">
        <v>0</v>
      </c>
      <c r="J796">
        <v>270.05</v>
      </c>
      <c r="M796" t="s">
        <v>289</v>
      </c>
    </row>
    <row r="797" spans="1:13" hidden="1">
      <c r="A797" t="s">
        <v>66</v>
      </c>
      <c r="B797" t="s">
        <v>63</v>
      </c>
      <c r="C797" t="s">
        <v>60</v>
      </c>
      <c r="D797" t="str">
        <f>LEFT(M797,10)</f>
        <v>11/15/2024</v>
      </c>
      <c r="E797" t="s">
        <v>232</v>
      </c>
      <c r="F797" t="s">
        <v>287</v>
      </c>
      <c r="I797">
        <v>0</v>
      </c>
      <c r="J797">
        <v>728.59</v>
      </c>
      <c r="M797" t="s">
        <v>289</v>
      </c>
    </row>
    <row r="798" spans="1:13" hidden="1">
      <c r="A798" t="s">
        <v>66</v>
      </c>
      <c r="B798" t="s">
        <v>63</v>
      </c>
      <c r="C798" t="s">
        <v>60</v>
      </c>
      <c r="D798" t="str">
        <f>LEFT(M798,10)</f>
        <v>11/15/2024</v>
      </c>
      <c r="E798" t="s">
        <v>232</v>
      </c>
      <c r="F798" t="s">
        <v>250</v>
      </c>
      <c r="I798">
        <v>0</v>
      </c>
      <c r="J798">
        <v>4286.0200000000004</v>
      </c>
      <c r="M798" t="s">
        <v>289</v>
      </c>
    </row>
    <row r="799" spans="1:13" hidden="1">
      <c r="A799" t="s">
        <v>66</v>
      </c>
      <c r="B799" t="s">
        <v>63</v>
      </c>
      <c r="C799" t="s">
        <v>60</v>
      </c>
      <c r="D799" t="str">
        <f>LEFT(M799,10)</f>
        <v>11/15/2024</v>
      </c>
      <c r="E799" t="s">
        <v>232</v>
      </c>
      <c r="F799" t="s">
        <v>251</v>
      </c>
      <c r="I799">
        <v>0</v>
      </c>
      <c r="J799">
        <v>6783.09</v>
      </c>
      <c r="M799" t="s">
        <v>289</v>
      </c>
    </row>
    <row r="800" spans="1:13" hidden="1">
      <c r="A800" t="s">
        <v>66</v>
      </c>
      <c r="B800" t="s">
        <v>63</v>
      </c>
      <c r="C800" t="s">
        <v>60</v>
      </c>
      <c r="D800" t="str">
        <f>LEFT(M800,10)</f>
        <v>11/15/2024</v>
      </c>
      <c r="E800" t="s">
        <v>232</v>
      </c>
      <c r="F800" t="s">
        <v>233</v>
      </c>
      <c r="I800">
        <v>0</v>
      </c>
      <c r="J800">
        <v>2571.65</v>
      </c>
      <c r="M800" t="s">
        <v>289</v>
      </c>
    </row>
    <row r="801" spans="1:13" hidden="1">
      <c r="A801" t="s">
        <v>66</v>
      </c>
      <c r="B801" t="s">
        <v>63</v>
      </c>
      <c r="C801" t="s">
        <v>60</v>
      </c>
      <c r="D801" t="str">
        <f>LEFT(M801,10)</f>
        <v>11/15/2024</v>
      </c>
      <c r="E801" t="s">
        <v>232</v>
      </c>
      <c r="F801" t="s">
        <v>255</v>
      </c>
      <c r="I801">
        <v>0</v>
      </c>
      <c r="J801">
        <v>1000</v>
      </c>
      <c r="L801" t="s">
        <v>334</v>
      </c>
      <c r="M801" t="s">
        <v>289</v>
      </c>
    </row>
    <row r="802" spans="1:13" hidden="1">
      <c r="A802" t="s">
        <v>66</v>
      </c>
      <c r="B802" t="s">
        <v>63</v>
      </c>
      <c r="C802" t="s">
        <v>60</v>
      </c>
      <c r="D802" t="str">
        <f>LEFT(M802,10)</f>
        <v>11/15/2024</v>
      </c>
      <c r="E802" t="s">
        <v>230</v>
      </c>
      <c r="F802" t="s">
        <v>248</v>
      </c>
      <c r="I802">
        <v>0</v>
      </c>
      <c r="J802">
        <v>17322.439999999999</v>
      </c>
      <c r="M802" t="s">
        <v>289</v>
      </c>
    </row>
    <row r="803" spans="1:13" hidden="1">
      <c r="A803" t="s">
        <v>66</v>
      </c>
      <c r="B803" t="s">
        <v>63</v>
      </c>
      <c r="C803" t="s">
        <v>60</v>
      </c>
      <c r="D803" t="str">
        <f>LEFT(M803,10)</f>
        <v>11/15/2024</v>
      </c>
      <c r="E803" t="s">
        <v>230</v>
      </c>
      <c r="F803" t="s">
        <v>323</v>
      </c>
      <c r="I803">
        <v>0</v>
      </c>
      <c r="J803">
        <v>1800</v>
      </c>
      <c r="L803" t="s">
        <v>335</v>
      </c>
      <c r="M803" t="s">
        <v>289</v>
      </c>
    </row>
    <row r="804" spans="1:13" hidden="1">
      <c r="A804" t="s">
        <v>66</v>
      </c>
      <c r="B804" t="s">
        <v>63</v>
      </c>
      <c r="C804" t="s">
        <v>60</v>
      </c>
      <c r="D804" t="str">
        <f>LEFT(M804,10)</f>
        <v>11/15/2024</v>
      </c>
      <c r="F804" t="s">
        <v>249</v>
      </c>
      <c r="I804">
        <v>0</v>
      </c>
      <c r="M804" t="s">
        <v>289</v>
      </c>
    </row>
    <row r="805" spans="1:13" hidden="1">
      <c r="A805" t="s">
        <v>68</v>
      </c>
      <c r="B805" t="s">
        <v>8</v>
      </c>
      <c r="C805" t="s">
        <v>67</v>
      </c>
      <c r="D805" t="str">
        <f>LEFT(M805,10)</f>
        <v>11/15/2024</v>
      </c>
      <c r="E805" t="s">
        <v>202</v>
      </c>
      <c r="F805" t="s">
        <v>227</v>
      </c>
      <c r="G805" t="s">
        <v>237</v>
      </c>
      <c r="I805">
        <v>605</v>
      </c>
      <c r="J805">
        <v>393.25</v>
      </c>
      <c r="K805">
        <v>0.65</v>
      </c>
      <c r="M805" t="s">
        <v>289</v>
      </c>
    </row>
    <row r="806" spans="1:13" hidden="1">
      <c r="A806" t="s">
        <v>68</v>
      </c>
      <c r="B806" t="s">
        <v>8</v>
      </c>
      <c r="C806" t="s">
        <v>67</v>
      </c>
      <c r="D806" t="str">
        <f>LEFT(M806,10)</f>
        <v>11/15/2024</v>
      </c>
      <c r="E806" t="s">
        <v>202</v>
      </c>
      <c r="F806" t="s">
        <v>227</v>
      </c>
      <c r="G806" t="s">
        <v>228</v>
      </c>
      <c r="I806">
        <v>1180</v>
      </c>
      <c r="J806">
        <v>295</v>
      </c>
      <c r="K806">
        <v>0.25</v>
      </c>
      <c r="M806" t="s">
        <v>289</v>
      </c>
    </row>
    <row r="807" spans="1:13" hidden="1">
      <c r="A807" t="s">
        <v>68</v>
      </c>
      <c r="B807" t="s">
        <v>8</v>
      </c>
      <c r="C807" t="s">
        <v>67</v>
      </c>
      <c r="D807" t="str">
        <f>LEFT(M807,10)</f>
        <v>11/15/2024</v>
      </c>
      <c r="E807" t="s">
        <v>202</v>
      </c>
      <c r="F807" t="s">
        <v>227</v>
      </c>
      <c r="G807" t="s">
        <v>229</v>
      </c>
      <c r="I807">
        <v>4597</v>
      </c>
      <c r="J807">
        <v>3447.75</v>
      </c>
      <c r="K807">
        <v>0.75</v>
      </c>
      <c r="M807" t="s">
        <v>289</v>
      </c>
    </row>
    <row r="808" spans="1:13" hidden="1">
      <c r="A808" t="s">
        <v>68</v>
      </c>
      <c r="B808" t="s">
        <v>8</v>
      </c>
      <c r="C808" t="s">
        <v>67</v>
      </c>
      <c r="D808" t="str">
        <f>LEFT(M808,10)</f>
        <v>11/15/2024</v>
      </c>
      <c r="E808" t="s">
        <v>202</v>
      </c>
      <c r="F808" t="s">
        <v>227</v>
      </c>
      <c r="G808" t="s">
        <v>238</v>
      </c>
      <c r="I808">
        <v>495</v>
      </c>
      <c r="J808">
        <v>222.75</v>
      </c>
      <c r="K808">
        <v>0.45</v>
      </c>
      <c r="M808" t="s">
        <v>289</v>
      </c>
    </row>
    <row r="809" spans="1:13" hidden="1">
      <c r="A809" t="s">
        <v>68</v>
      </c>
      <c r="B809" t="s">
        <v>8</v>
      </c>
      <c r="C809" t="s">
        <v>67</v>
      </c>
      <c r="D809" t="str">
        <f>LEFT(M809,10)</f>
        <v>11/15/2024</v>
      </c>
      <c r="E809" t="s">
        <v>202</v>
      </c>
      <c r="F809" t="s">
        <v>227</v>
      </c>
      <c r="G809" t="s">
        <v>252</v>
      </c>
      <c r="I809">
        <v>301</v>
      </c>
      <c r="J809">
        <v>90.3</v>
      </c>
      <c r="K809">
        <v>0.3</v>
      </c>
      <c r="M809" t="s">
        <v>289</v>
      </c>
    </row>
    <row r="810" spans="1:13" hidden="1">
      <c r="A810" t="s">
        <v>68</v>
      </c>
      <c r="B810" t="s">
        <v>8</v>
      </c>
      <c r="C810" t="s">
        <v>67</v>
      </c>
      <c r="D810" t="str">
        <f>LEFT(M810,10)</f>
        <v>11/15/2024</v>
      </c>
      <c r="E810" t="s">
        <v>202</v>
      </c>
      <c r="F810" t="s">
        <v>218</v>
      </c>
      <c r="G810" t="s">
        <v>224</v>
      </c>
      <c r="I810">
        <v>144</v>
      </c>
      <c r="J810">
        <v>122.4</v>
      </c>
      <c r="K810">
        <v>0.85</v>
      </c>
      <c r="M810" t="s">
        <v>289</v>
      </c>
    </row>
    <row r="811" spans="1:13" hidden="1">
      <c r="A811" t="s">
        <v>68</v>
      </c>
      <c r="B811" t="s">
        <v>8</v>
      </c>
      <c r="C811" t="s">
        <v>67</v>
      </c>
      <c r="D811" t="str">
        <f>LEFT(M811,10)</f>
        <v>11/15/2024</v>
      </c>
      <c r="E811" t="s">
        <v>202</v>
      </c>
      <c r="F811" t="s">
        <v>218</v>
      </c>
      <c r="G811" t="s">
        <v>221</v>
      </c>
      <c r="I811">
        <v>430</v>
      </c>
      <c r="J811">
        <v>967.5</v>
      </c>
      <c r="K811">
        <v>2.25</v>
      </c>
      <c r="M811" t="s">
        <v>289</v>
      </c>
    </row>
    <row r="812" spans="1:13" hidden="1">
      <c r="A812" t="s">
        <v>68</v>
      </c>
      <c r="B812" t="s">
        <v>8</v>
      </c>
      <c r="C812" t="s">
        <v>67</v>
      </c>
      <c r="D812" t="str">
        <f>LEFT(M812,10)</f>
        <v>11/15/2024</v>
      </c>
      <c r="E812" t="s">
        <v>202</v>
      </c>
      <c r="F812" t="s">
        <v>218</v>
      </c>
      <c r="G812" t="s">
        <v>221</v>
      </c>
      <c r="I812">
        <v>277</v>
      </c>
      <c r="J812">
        <v>650.95000000000005</v>
      </c>
      <c r="K812">
        <v>2.35</v>
      </c>
      <c r="M812" t="s">
        <v>289</v>
      </c>
    </row>
    <row r="813" spans="1:13" hidden="1">
      <c r="A813" t="s">
        <v>68</v>
      </c>
      <c r="B813" t="s">
        <v>8</v>
      </c>
      <c r="C813" t="s">
        <v>67</v>
      </c>
      <c r="D813" t="str">
        <f>LEFT(M813,10)</f>
        <v>11/15/2024</v>
      </c>
      <c r="E813" t="s">
        <v>202</v>
      </c>
      <c r="F813" t="s">
        <v>218</v>
      </c>
      <c r="G813" t="s">
        <v>220</v>
      </c>
      <c r="I813">
        <v>766</v>
      </c>
      <c r="J813">
        <v>995.8</v>
      </c>
      <c r="K813">
        <v>1.3</v>
      </c>
      <c r="M813" t="s">
        <v>289</v>
      </c>
    </row>
    <row r="814" spans="1:13" hidden="1">
      <c r="A814" t="s">
        <v>68</v>
      </c>
      <c r="B814" t="s">
        <v>8</v>
      </c>
      <c r="C814" t="s">
        <v>67</v>
      </c>
      <c r="D814" t="str">
        <f>LEFT(M814,10)</f>
        <v>11/15/2024</v>
      </c>
      <c r="E814" t="s">
        <v>202</v>
      </c>
      <c r="F814" t="s">
        <v>218</v>
      </c>
      <c r="G814" t="s">
        <v>223</v>
      </c>
      <c r="I814">
        <v>899</v>
      </c>
      <c r="J814">
        <v>719.2</v>
      </c>
      <c r="K814">
        <v>0.8</v>
      </c>
      <c r="M814" t="s">
        <v>289</v>
      </c>
    </row>
    <row r="815" spans="1:13" hidden="1">
      <c r="A815" t="s">
        <v>68</v>
      </c>
      <c r="B815" t="s">
        <v>8</v>
      </c>
      <c r="C815" t="s">
        <v>67</v>
      </c>
      <c r="D815" t="str">
        <f>LEFT(M815,10)</f>
        <v>11/15/2024</v>
      </c>
      <c r="E815" t="s">
        <v>202</v>
      </c>
      <c r="F815" t="s">
        <v>218</v>
      </c>
      <c r="G815" t="s">
        <v>223</v>
      </c>
      <c r="I815">
        <v>1639</v>
      </c>
      <c r="J815">
        <v>1229.25</v>
      </c>
      <c r="K815">
        <v>0.75</v>
      </c>
      <c r="M815" t="s">
        <v>289</v>
      </c>
    </row>
    <row r="816" spans="1:13" hidden="1">
      <c r="A816" t="s">
        <v>68</v>
      </c>
      <c r="B816" t="s">
        <v>8</v>
      </c>
      <c r="C816" t="s">
        <v>67</v>
      </c>
      <c r="D816" t="str">
        <f>LEFT(M816,10)</f>
        <v>11/15/2024</v>
      </c>
      <c r="E816" t="s">
        <v>202</v>
      </c>
      <c r="F816" t="s">
        <v>218</v>
      </c>
      <c r="G816" t="s">
        <v>240</v>
      </c>
      <c r="I816">
        <v>713</v>
      </c>
      <c r="J816">
        <v>2780.7</v>
      </c>
      <c r="K816">
        <v>3.9</v>
      </c>
      <c r="M816" t="s">
        <v>289</v>
      </c>
    </row>
    <row r="817" spans="1:13" hidden="1">
      <c r="A817" t="s">
        <v>68</v>
      </c>
      <c r="B817" t="s">
        <v>8</v>
      </c>
      <c r="C817" t="s">
        <v>67</v>
      </c>
      <c r="D817" t="str">
        <f>LEFT(M817,10)</f>
        <v>11/15/2024</v>
      </c>
      <c r="E817" t="s">
        <v>202</v>
      </c>
      <c r="F817" t="s">
        <v>218</v>
      </c>
      <c r="G817" t="s">
        <v>242</v>
      </c>
      <c r="I817">
        <v>69</v>
      </c>
      <c r="J817">
        <v>124.2</v>
      </c>
      <c r="K817">
        <v>1.8</v>
      </c>
      <c r="M817" t="s">
        <v>289</v>
      </c>
    </row>
    <row r="818" spans="1:13" hidden="1">
      <c r="A818" t="s">
        <v>68</v>
      </c>
      <c r="B818" t="s">
        <v>8</v>
      </c>
      <c r="C818" t="s">
        <v>67</v>
      </c>
      <c r="D818" t="str">
        <f>LEFT(M818,10)</f>
        <v>11/15/2024</v>
      </c>
      <c r="E818" t="s">
        <v>202</v>
      </c>
      <c r="F818" t="s">
        <v>218</v>
      </c>
      <c r="G818" t="s">
        <v>219</v>
      </c>
      <c r="I818">
        <v>146</v>
      </c>
      <c r="J818">
        <v>29.2</v>
      </c>
      <c r="K818">
        <v>0.2</v>
      </c>
      <c r="M818" t="s">
        <v>289</v>
      </c>
    </row>
    <row r="819" spans="1:13" hidden="1">
      <c r="A819" t="s">
        <v>68</v>
      </c>
      <c r="B819" t="s">
        <v>8</v>
      </c>
      <c r="C819" t="s">
        <v>67</v>
      </c>
      <c r="D819" t="str">
        <f>LEFT(M819,10)</f>
        <v>11/15/2024</v>
      </c>
      <c r="E819" t="s">
        <v>202</v>
      </c>
      <c r="F819" t="s">
        <v>218</v>
      </c>
      <c r="G819" t="s">
        <v>225</v>
      </c>
      <c r="I819">
        <v>26</v>
      </c>
      <c r="J819">
        <v>31.2</v>
      </c>
      <c r="K819">
        <v>1.2</v>
      </c>
      <c r="M819" t="s">
        <v>289</v>
      </c>
    </row>
    <row r="820" spans="1:13" hidden="1">
      <c r="A820" t="s">
        <v>68</v>
      </c>
      <c r="B820" t="s">
        <v>8</v>
      </c>
      <c r="C820" t="s">
        <v>67</v>
      </c>
      <c r="D820" t="str">
        <f>LEFT(M820,10)</f>
        <v>11/15/2024</v>
      </c>
      <c r="E820" t="s">
        <v>202</v>
      </c>
      <c r="F820" t="s">
        <v>218</v>
      </c>
      <c r="G820" t="s">
        <v>222</v>
      </c>
      <c r="I820">
        <v>793</v>
      </c>
      <c r="J820">
        <v>1110.2</v>
      </c>
      <c r="K820">
        <v>1.4</v>
      </c>
      <c r="M820" t="s">
        <v>289</v>
      </c>
    </row>
    <row r="821" spans="1:13" hidden="1">
      <c r="A821" t="s">
        <v>68</v>
      </c>
      <c r="B821" t="s">
        <v>8</v>
      </c>
      <c r="C821" t="s">
        <v>67</v>
      </c>
      <c r="D821" t="str">
        <f>LEFT(M821,10)</f>
        <v>11/15/2024</v>
      </c>
      <c r="E821" t="s">
        <v>202</v>
      </c>
      <c r="F821" t="s">
        <v>218</v>
      </c>
      <c r="G821" t="s">
        <v>222</v>
      </c>
      <c r="I821">
        <v>368</v>
      </c>
      <c r="J821">
        <v>662.4</v>
      </c>
      <c r="K821">
        <v>1.8</v>
      </c>
      <c r="M821" t="s">
        <v>289</v>
      </c>
    </row>
    <row r="822" spans="1:13" hidden="1">
      <c r="A822" t="s">
        <v>68</v>
      </c>
      <c r="B822" t="s">
        <v>8</v>
      </c>
      <c r="C822" t="s">
        <v>67</v>
      </c>
      <c r="D822" t="str">
        <f>LEFT(M822,10)</f>
        <v>11/15/2024</v>
      </c>
      <c r="E822" t="s">
        <v>202</v>
      </c>
      <c r="F822" t="s">
        <v>218</v>
      </c>
      <c r="G822" t="s">
        <v>266</v>
      </c>
      <c r="I822">
        <v>193</v>
      </c>
      <c r="J822">
        <v>9.65</v>
      </c>
      <c r="K822">
        <v>0.05</v>
      </c>
      <c r="M822" t="s">
        <v>289</v>
      </c>
    </row>
    <row r="823" spans="1:13" hidden="1">
      <c r="A823" t="s">
        <v>68</v>
      </c>
      <c r="B823" t="s">
        <v>8</v>
      </c>
      <c r="C823" t="s">
        <v>67</v>
      </c>
      <c r="D823" t="str">
        <f>LEFT(M823,10)</f>
        <v>11/15/2024</v>
      </c>
      <c r="E823" t="s">
        <v>202</v>
      </c>
      <c r="F823" t="s">
        <v>218</v>
      </c>
      <c r="G823" t="s">
        <v>226</v>
      </c>
      <c r="I823">
        <v>800</v>
      </c>
      <c r="J823">
        <v>200</v>
      </c>
      <c r="K823">
        <v>0.25</v>
      </c>
      <c r="M823" t="s">
        <v>289</v>
      </c>
    </row>
    <row r="824" spans="1:13" hidden="1">
      <c r="A824" t="s">
        <v>68</v>
      </c>
      <c r="B824" t="s">
        <v>8</v>
      </c>
      <c r="C824" t="s">
        <v>67</v>
      </c>
      <c r="D824" t="str">
        <f>LEFT(M824,10)</f>
        <v>11/15/2024</v>
      </c>
      <c r="E824" t="s">
        <v>202</v>
      </c>
      <c r="F824" t="s">
        <v>218</v>
      </c>
      <c r="G824" t="s">
        <v>267</v>
      </c>
      <c r="I824">
        <v>212</v>
      </c>
      <c r="J824">
        <v>10.6</v>
      </c>
      <c r="K824">
        <v>0.05</v>
      </c>
      <c r="M824" t="s">
        <v>289</v>
      </c>
    </row>
    <row r="825" spans="1:13" hidden="1">
      <c r="A825" t="s">
        <v>68</v>
      </c>
      <c r="B825" t="s">
        <v>8</v>
      </c>
      <c r="C825" t="s">
        <v>67</v>
      </c>
      <c r="D825" t="str">
        <f>LEFT(M825,10)</f>
        <v>11/15/2024</v>
      </c>
      <c r="E825" t="s">
        <v>202</v>
      </c>
      <c r="F825" t="s">
        <v>203</v>
      </c>
      <c r="G825" t="s">
        <v>207</v>
      </c>
      <c r="I825">
        <v>20</v>
      </c>
      <c r="J825">
        <v>80</v>
      </c>
      <c r="K825">
        <v>4</v>
      </c>
      <c r="M825" t="s">
        <v>289</v>
      </c>
    </row>
    <row r="826" spans="1:13" hidden="1">
      <c r="A826" t="s">
        <v>68</v>
      </c>
      <c r="B826" t="s">
        <v>8</v>
      </c>
      <c r="C826" t="s">
        <v>67</v>
      </c>
      <c r="D826" t="str">
        <f>LEFT(M826,10)</f>
        <v>11/15/2024</v>
      </c>
      <c r="E826" t="s">
        <v>202</v>
      </c>
      <c r="F826" t="s">
        <v>203</v>
      </c>
      <c r="G826" t="s">
        <v>204</v>
      </c>
      <c r="I826">
        <v>162</v>
      </c>
      <c r="J826">
        <v>1134</v>
      </c>
      <c r="K826">
        <v>7</v>
      </c>
      <c r="M826" t="s">
        <v>289</v>
      </c>
    </row>
    <row r="827" spans="1:13" hidden="1">
      <c r="A827" t="s">
        <v>68</v>
      </c>
      <c r="B827" t="s">
        <v>8</v>
      </c>
      <c r="C827" t="s">
        <v>67</v>
      </c>
      <c r="D827" t="str">
        <f>LEFT(M827,10)</f>
        <v>11/15/2024</v>
      </c>
      <c r="E827" t="s">
        <v>202</v>
      </c>
      <c r="F827" t="s">
        <v>203</v>
      </c>
      <c r="G827" t="s">
        <v>208</v>
      </c>
      <c r="I827">
        <v>53</v>
      </c>
      <c r="J827">
        <v>371</v>
      </c>
      <c r="K827">
        <v>7</v>
      </c>
      <c r="M827" t="s">
        <v>289</v>
      </c>
    </row>
    <row r="828" spans="1:13" hidden="1">
      <c r="A828" t="s">
        <v>68</v>
      </c>
      <c r="B828" t="s">
        <v>8</v>
      </c>
      <c r="C828" t="s">
        <v>67</v>
      </c>
      <c r="D828" t="str">
        <f>LEFT(M828,10)</f>
        <v>11/15/2024</v>
      </c>
      <c r="E828" t="s">
        <v>202</v>
      </c>
      <c r="F828" t="s">
        <v>203</v>
      </c>
      <c r="G828" t="s">
        <v>215</v>
      </c>
      <c r="I828">
        <v>2714</v>
      </c>
      <c r="J828">
        <v>1357</v>
      </c>
      <c r="K828">
        <v>0.5</v>
      </c>
      <c r="M828" t="s">
        <v>289</v>
      </c>
    </row>
    <row r="829" spans="1:13" hidden="1">
      <c r="A829" t="s">
        <v>68</v>
      </c>
      <c r="B829" t="s">
        <v>8</v>
      </c>
      <c r="C829" t="s">
        <v>67</v>
      </c>
      <c r="D829" t="str">
        <f>LEFT(M829,10)</f>
        <v>11/15/2024</v>
      </c>
      <c r="E829" t="s">
        <v>202</v>
      </c>
      <c r="F829" t="s">
        <v>218</v>
      </c>
      <c r="G829" t="s">
        <v>243</v>
      </c>
      <c r="H829" t="s">
        <v>336</v>
      </c>
      <c r="I829">
        <v>8</v>
      </c>
      <c r="J829">
        <v>1.6</v>
      </c>
      <c r="K829">
        <v>0.2</v>
      </c>
      <c r="M829" t="s">
        <v>289</v>
      </c>
    </row>
    <row r="830" spans="1:13" hidden="1">
      <c r="A830" t="s">
        <v>68</v>
      </c>
      <c r="B830" t="s">
        <v>8</v>
      </c>
      <c r="C830" t="s">
        <v>67</v>
      </c>
      <c r="D830" t="str">
        <f>LEFT(M830,10)</f>
        <v>11/15/2024</v>
      </c>
      <c r="E830" t="s">
        <v>202</v>
      </c>
      <c r="F830" t="s">
        <v>218</v>
      </c>
      <c r="G830" t="s">
        <v>243</v>
      </c>
      <c r="H830" t="s">
        <v>337</v>
      </c>
      <c r="I830">
        <v>30</v>
      </c>
      <c r="J830">
        <v>18</v>
      </c>
      <c r="K830">
        <v>0.6</v>
      </c>
      <c r="M830" t="s">
        <v>289</v>
      </c>
    </row>
    <row r="831" spans="1:13" hidden="1">
      <c r="A831" t="s">
        <v>68</v>
      </c>
      <c r="B831" t="s">
        <v>8</v>
      </c>
      <c r="C831" t="s">
        <v>67</v>
      </c>
      <c r="D831" t="str">
        <f>LEFT(M831,10)</f>
        <v>11/15/2024</v>
      </c>
      <c r="E831" t="s">
        <v>202</v>
      </c>
      <c r="F831" t="s">
        <v>218</v>
      </c>
      <c r="G831" t="s">
        <v>243</v>
      </c>
      <c r="H831" t="s">
        <v>338</v>
      </c>
      <c r="I831">
        <v>16</v>
      </c>
      <c r="J831">
        <v>8</v>
      </c>
      <c r="K831">
        <v>0.5</v>
      </c>
      <c r="M831" t="s">
        <v>289</v>
      </c>
    </row>
    <row r="832" spans="1:13" hidden="1">
      <c r="A832" t="s">
        <v>68</v>
      </c>
      <c r="B832" t="s">
        <v>8</v>
      </c>
      <c r="C832" t="s">
        <v>67</v>
      </c>
      <c r="D832" t="str">
        <f>LEFT(M832,10)</f>
        <v>11/15/2024</v>
      </c>
      <c r="E832" t="s">
        <v>234</v>
      </c>
      <c r="F832" t="s">
        <v>234</v>
      </c>
      <c r="I832">
        <v>1600</v>
      </c>
      <c r="M832" t="s">
        <v>289</v>
      </c>
    </row>
    <row r="833" spans="1:13" hidden="1">
      <c r="A833" t="s">
        <v>68</v>
      </c>
      <c r="B833" t="s">
        <v>8</v>
      </c>
      <c r="C833" t="s">
        <v>67</v>
      </c>
      <c r="D833" t="str">
        <f>LEFT(M833,10)</f>
        <v>11/15/2024</v>
      </c>
      <c r="E833" t="s">
        <v>230</v>
      </c>
      <c r="F833" t="s">
        <v>248</v>
      </c>
      <c r="I833">
        <v>0</v>
      </c>
      <c r="J833">
        <v>9000</v>
      </c>
      <c r="M833" t="s">
        <v>289</v>
      </c>
    </row>
    <row r="834" spans="1:13" hidden="1">
      <c r="A834" t="s">
        <v>70</v>
      </c>
      <c r="B834" t="s">
        <v>8</v>
      </c>
      <c r="C834" t="s">
        <v>69</v>
      </c>
      <c r="D834" t="str">
        <f>LEFT(M834,10)</f>
        <v>11/15/2024</v>
      </c>
      <c r="E834" t="s">
        <v>202</v>
      </c>
      <c r="F834" t="s">
        <v>227</v>
      </c>
      <c r="G834" t="s">
        <v>229</v>
      </c>
      <c r="I834">
        <v>4729</v>
      </c>
      <c r="J834">
        <v>3546.75</v>
      </c>
      <c r="K834">
        <v>0.75</v>
      </c>
      <c r="M834" t="s">
        <v>289</v>
      </c>
    </row>
    <row r="835" spans="1:13" hidden="1">
      <c r="A835" t="s">
        <v>70</v>
      </c>
      <c r="B835" t="s">
        <v>8</v>
      </c>
      <c r="C835" t="s">
        <v>69</v>
      </c>
      <c r="D835" t="str">
        <f>LEFT(M835,10)</f>
        <v>11/15/2024</v>
      </c>
      <c r="E835" t="s">
        <v>202</v>
      </c>
      <c r="F835" t="s">
        <v>227</v>
      </c>
      <c r="G835" t="s">
        <v>237</v>
      </c>
      <c r="I835">
        <v>510.5</v>
      </c>
      <c r="J835">
        <v>306.3</v>
      </c>
      <c r="K835">
        <v>0.6</v>
      </c>
      <c r="M835" t="s">
        <v>289</v>
      </c>
    </row>
    <row r="836" spans="1:13" hidden="1">
      <c r="A836" t="s">
        <v>70</v>
      </c>
      <c r="B836" t="s">
        <v>8</v>
      </c>
      <c r="C836" t="s">
        <v>69</v>
      </c>
      <c r="D836" t="str">
        <f>LEFT(M836,10)</f>
        <v>11/15/2024</v>
      </c>
      <c r="E836" t="s">
        <v>202</v>
      </c>
      <c r="F836" t="s">
        <v>227</v>
      </c>
      <c r="G836" t="s">
        <v>228</v>
      </c>
      <c r="I836">
        <v>1661.5</v>
      </c>
      <c r="J836">
        <v>498.45</v>
      </c>
      <c r="K836">
        <v>0.3</v>
      </c>
      <c r="M836" t="s">
        <v>289</v>
      </c>
    </row>
    <row r="837" spans="1:13" hidden="1">
      <c r="A837" t="s">
        <v>70</v>
      </c>
      <c r="B837" t="s">
        <v>8</v>
      </c>
      <c r="C837" t="s">
        <v>69</v>
      </c>
      <c r="D837" t="str">
        <f>LEFT(M837,10)</f>
        <v>11/15/2024</v>
      </c>
      <c r="E837" t="s">
        <v>202</v>
      </c>
      <c r="F837" t="s">
        <v>227</v>
      </c>
      <c r="G837" t="s">
        <v>238</v>
      </c>
      <c r="I837">
        <v>301.5</v>
      </c>
      <c r="J837">
        <v>120.6</v>
      </c>
      <c r="K837">
        <v>0.4</v>
      </c>
      <c r="M837" t="s">
        <v>289</v>
      </c>
    </row>
    <row r="838" spans="1:13" hidden="1">
      <c r="A838" t="s">
        <v>70</v>
      </c>
      <c r="B838" t="s">
        <v>8</v>
      </c>
      <c r="C838" t="s">
        <v>69</v>
      </c>
      <c r="D838" t="str">
        <f>LEFT(M838,10)</f>
        <v>11/15/2024</v>
      </c>
      <c r="E838" t="s">
        <v>202</v>
      </c>
      <c r="F838" t="s">
        <v>227</v>
      </c>
      <c r="G838" t="s">
        <v>252</v>
      </c>
      <c r="I838">
        <v>453.5</v>
      </c>
      <c r="J838">
        <v>181.4</v>
      </c>
      <c r="K838">
        <v>0.4</v>
      </c>
      <c r="M838" t="s">
        <v>289</v>
      </c>
    </row>
    <row r="839" spans="1:13" hidden="1">
      <c r="A839" t="s">
        <v>70</v>
      </c>
      <c r="B839" t="s">
        <v>8</v>
      </c>
      <c r="C839" t="s">
        <v>69</v>
      </c>
      <c r="D839" t="str">
        <f>LEFT(M839,10)</f>
        <v>11/15/2024</v>
      </c>
      <c r="E839" t="s">
        <v>202</v>
      </c>
      <c r="F839" t="s">
        <v>218</v>
      </c>
      <c r="G839" t="s">
        <v>224</v>
      </c>
      <c r="I839">
        <v>151.5</v>
      </c>
      <c r="J839">
        <v>166.65</v>
      </c>
      <c r="K839">
        <v>1.1000000000000001</v>
      </c>
      <c r="M839" t="s">
        <v>289</v>
      </c>
    </row>
    <row r="840" spans="1:13" hidden="1">
      <c r="A840" t="s">
        <v>70</v>
      </c>
      <c r="B840" t="s">
        <v>8</v>
      </c>
      <c r="C840" t="s">
        <v>69</v>
      </c>
      <c r="D840" t="str">
        <f>LEFT(M840,10)</f>
        <v>11/15/2024</v>
      </c>
      <c r="E840" t="s">
        <v>202</v>
      </c>
      <c r="F840" t="s">
        <v>218</v>
      </c>
      <c r="G840" t="s">
        <v>221</v>
      </c>
      <c r="I840">
        <v>344.5</v>
      </c>
      <c r="J840">
        <v>895.7</v>
      </c>
      <c r="K840">
        <v>2.6</v>
      </c>
      <c r="M840" t="s">
        <v>289</v>
      </c>
    </row>
    <row r="841" spans="1:13" hidden="1">
      <c r="A841" t="s">
        <v>70</v>
      </c>
      <c r="B841" t="s">
        <v>8</v>
      </c>
      <c r="C841" t="s">
        <v>69</v>
      </c>
      <c r="D841" t="str">
        <f>LEFT(M841,10)</f>
        <v>11/15/2024</v>
      </c>
      <c r="E841" t="s">
        <v>202</v>
      </c>
      <c r="F841" t="s">
        <v>218</v>
      </c>
      <c r="G841" t="s">
        <v>220</v>
      </c>
      <c r="I841">
        <v>505</v>
      </c>
      <c r="J841">
        <v>757.5</v>
      </c>
      <c r="K841">
        <v>1.5</v>
      </c>
      <c r="M841" t="s">
        <v>289</v>
      </c>
    </row>
    <row r="842" spans="1:13" hidden="1">
      <c r="A842" t="s">
        <v>70</v>
      </c>
      <c r="B842" t="s">
        <v>8</v>
      </c>
      <c r="C842" t="s">
        <v>69</v>
      </c>
      <c r="D842" t="str">
        <f>LEFT(M842,10)</f>
        <v>11/15/2024</v>
      </c>
      <c r="E842" t="s">
        <v>202</v>
      </c>
      <c r="F842" t="s">
        <v>218</v>
      </c>
      <c r="G842" t="s">
        <v>223</v>
      </c>
      <c r="I842">
        <v>1546</v>
      </c>
      <c r="J842">
        <v>1236.8</v>
      </c>
      <c r="K842">
        <v>0.8</v>
      </c>
      <c r="M842" t="s">
        <v>289</v>
      </c>
    </row>
    <row r="843" spans="1:13" hidden="1">
      <c r="A843" t="s">
        <v>70</v>
      </c>
      <c r="B843" t="s">
        <v>8</v>
      </c>
      <c r="C843" t="s">
        <v>69</v>
      </c>
      <c r="D843" t="str">
        <f>LEFT(M843,10)</f>
        <v>11/15/2024</v>
      </c>
      <c r="E843" t="s">
        <v>202</v>
      </c>
      <c r="F843" t="s">
        <v>218</v>
      </c>
      <c r="G843" t="s">
        <v>240</v>
      </c>
      <c r="I843">
        <v>1098</v>
      </c>
      <c r="J843">
        <v>5160.6000000000004</v>
      </c>
      <c r="K843">
        <v>4.7</v>
      </c>
      <c r="M843" t="s">
        <v>289</v>
      </c>
    </row>
    <row r="844" spans="1:13" hidden="1">
      <c r="A844" t="s">
        <v>70</v>
      </c>
      <c r="B844" t="s">
        <v>8</v>
      </c>
      <c r="C844" t="s">
        <v>69</v>
      </c>
      <c r="D844" t="str">
        <f>LEFT(M844,10)</f>
        <v>11/15/2024</v>
      </c>
      <c r="E844" t="s">
        <v>202</v>
      </c>
      <c r="F844" t="s">
        <v>218</v>
      </c>
      <c r="G844" t="s">
        <v>243</v>
      </c>
      <c r="H844" t="s">
        <v>339</v>
      </c>
      <c r="I844">
        <v>169.5</v>
      </c>
      <c r="J844">
        <v>372.9</v>
      </c>
      <c r="K844">
        <v>2.2000000000000002</v>
      </c>
      <c r="M844" t="s">
        <v>289</v>
      </c>
    </row>
    <row r="845" spans="1:13" hidden="1">
      <c r="A845" t="s">
        <v>70</v>
      </c>
      <c r="B845" t="s">
        <v>8</v>
      </c>
      <c r="C845" t="s">
        <v>69</v>
      </c>
      <c r="D845" t="str">
        <f>LEFT(M845,10)</f>
        <v>11/15/2024</v>
      </c>
      <c r="E845" t="s">
        <v>202</v>
      </c>
      <c r="F845" t="s">
        <v>218</v>
      </c>
      <c r="G845" t="s">
        <v>242</v>
      </c>
      <c r="I845">
        <v>118</v>
      </c>
      <c r="J845">
        <v>129.80000000000001</v>
      </c>
      <c r="K845">
        <v>1.1000000000000001</v>
      </c>
      <c r="M845" t="s">
        <v>289</v>
      </c>
    </row>
    <row r="846" spans="1:13" hidden="1">
      <c r="A846" t="s">
        <v>70</v>
      </c>
      <c r="B846" t="s">
        <v>8</v>
      </c>
      <c r="C846" t="s">
        <v>69</v>
      </c>
      <c r="D846" t="str">
        <f>LEFT(M846,10)</f>
        <v>11/15/2024</v>
      </c>
      <c r="E846" t="s">
        <v>202</v>
      </c>
      <c r="F846" t="s">
        <v>218</v>
      </c>
      <c r="G846" t="s">
        <v>268</v>
      </c>
      <c r="I846">
        <v>82.5</v>
      </c>
      <c r="J846">
        <v>66</v>
      </c>
      <c r="K846">
        <v>0.8</v>
      </c>
      <c r="M846" t="s">
        <v>289</v>
      </c>
    </row>
    <row r="847" spans="1:13" hidden="1">
      <c r="A847" t="s">
        <v>70</v>
      </c>
      <c r="B847" t="s">
        <v>8</v>
      </c>
      <c r="C847" t="s">
        <v>69</v>
      </c>
      <c r="D847" t="str">
        <f>LEFT(M847,10)</f>
        <v>11/15/2024</v>
      </c>
      <c r="E847" t="s">
        <v>202</v>
      </c>
      <c r="F847" t="s">
        <v>218</v>
      </c>
      <c r="G847" t="s">
        <v>219</v>
      </c>
      <c r="I847">
        <v>114</v>
      </c>
      <c r="J847">
        <v>28.5</v>
      </c>
      <c r="K847">
        <v>0.25</v>
      </c>
      <c r="M847" t="s">
        <v>289</v>
      </c>
    </row>
    <row r="848" spans="1:13" hidden="1">
      <c r="A848" t="s">
        <v>70</v>
      </c>
      <c r="B848" t="s">
        <v>8</v>
      </c>
      <c r="C848" t="s">
        <v>69</v>
      </c>
      <c r="D848" t="str">
        <f>LEFT(M848,10)</f>
        <v>11/15/2024</v>
      </c>
      <c r="E848" t="s">
        <v>202</v>
      </c>
      <c r="F848" t="s">
        <v>218</v>
      </c>
      <c r="G848" t="s">
        <v>222</v>
      </c>
      <c r="I848">
        <v>466.5</v>
      </c>
      <c r="J848">
        <v>746.4</v>
      </c>
      <c r="K848">
        <v>1.6</v>
      </c>
      <c r="M848" t="s">
        <v>289</v>
      </c>
    </row>
    <row r="849" spans="1:13" hidden="1">
      <c r="A849" t="s">
        <v>70</v>
      </c>
      <c r="B849" t="s">
        <v>8</v>
      </c>
      <c r="C849" t="s">
        <v>69</v>
      </c>
      <c r="D849" t="str">
        <f>LEFT(M849,10)</f>
        <v>11/15/2024</v>
      </c>
      <c r="E849" t="s">
        <v>202</v>
      </c>
      <c r="F849" t="s">
        <v>218</v>
      </c>
      <c r="G849" t="s">
        <v>222</v>
      </c>
      <c r="I849">
        <v>321</v>
      </c>
      <c r="J849">
        <v>642</v>
      </c>
      <c r="K849">
        <v>2</v>
      </c>
      <c r="M849" t="s">
        <v>289</v>
      </c>
    </row>
    <row r="850" spans="1:13" hidden="1">
      <c r="A850" t="s">
        <v>70</v>
      </c>
      <c r="B850" t="s">
        <v>8</v>
      </c>
      <c r="C850" t="s">
        <v>69</v>
      </c>
      <c r="D850" t="str">
        <f>LEFT(M850,10)</f>
        <v>11/15/2024</v>
      </c>
      <c r="E850" t="s">
        <v>202</v>
      </c>
      <c r="F850" t="s">
        <v>218</v>
      </c>
      <c r="G850" t="s">
        <v>222</v>
      </c>
      <c r="I850">
        <v>221.5</v>
      </c>
      <c r="J850">
        <v>343.33</v>
      </c>
      <c r="K850">
        <v>1.55</v>
      </c>
      <c r="M850" t="s">
        <v>289</v>
      </c>
    </row>
    <row r="851" spans="1:13" hidden="1">
      <c r="A851" t="s">
        <v>70</v>
      </c>
      <c r="B851" t="s">
        <v>8</v>
      </c>
      <c r="C851" t="s">
        <v>69</v>
      </c>
      <c r="D851" t="str">
        <f>LEFT(M851,10)</f>
        <v>11/15/2024</v>
      </c>
      <c r="E851" t="s">
        <v>202</v>
      </c>
      <c r="F851" t="s">
        <v>218</v>
      </c>
      <c r="G851" t="s">
        <v>222</v>
      </c>
      <c r="I851">
        <v>32</v>
      </c>
      <c r="J851">
        <v>64</v>
      </c>
      <c r="K851">
        <v>2</v>
      </c>
      <c r="M851" t="s">
        <v>289</v>
      </c>
    </row>
    <row r="852" spans="1:13" hidden="1">
      <c r="A852" t="s">
        <v>70</v>
      </c>
      <c r="B852" t="s">
        <v>8</v>
      </c>
      <c r="C852" t="s">
        <v>69</v>
      </c>
      <c r="D852" t="str">
        <f>LEFT(M852,10)</f>
        <v>11/15/2024</v>
      </c>
      <c r="E852" t="s">
        <v>202</v>
      </c>
      <c r="F852" t="s">
        <v>218</v>
      </c>
      <c r="G852" t="s">
        <v>226</v>
      </c>
      <c r="I852">
        <v>764.5</v>
      </c>
      <c r="J852">
        <v>267.58</v>
      </c>
      <c r="K852">
        <v>0.35</v>
      </c>
      <c r="M852" t="s">
        <v>289</v>
      </c>
    </row>
    <row r="853" spans="1:13" hidden="1">
      <c r="A853" t="s">
        <v>70</v>
      </c>
      <c r="B853" t="s">
        <v>8</v>
      </c>
      <c r="C853" t="s">
        <v>69</v>
      </c>
      <c r="D853" t="str">
        <f>LEFT(M853,10)</f>
        <v>11/15/2024</v>
      </c>
      <c r="E853" t="s">
        <v>202</v>
      </c>
      <c r="F853" t="s">
        <v>218</v>
      </c>
      <c r="G853" t="s">
        <v>245</v>
      </c>
      <c r="I853">
        <v>108</v>
      </c>
      <c r="J853">
        <v>270</v>
      </c>
      <c r="K853">
        <v>2.5</v>
      </c>
      <c r="M853" t="s">
        <v>289</v>
      </c>
    </row>
    <row r="854" spans="1:13" hidden="1">
      <c r="A854" t="s">
        <v>70</v>
      </c>
      <c r="B854" t="s">
        <v>8</v>
      </c>
      <c r="C854" t="s">
        <v>69</v>
      </c>
      <c r="D854" t="str">
        <f>LEFT(M854,10)</f>
        <v>11/15/2024</v>
      </c>
      <c r="E854" t="s">
        <v>202</v>
      </c>
      <c r="F854" t="s">
        <v>218</v>
      </c>
      <c r="G854" t="s">
        <v>223</v>
      </c>
      <c r="I854">
        <v>380.5</v>
      </c>
      <c r="J854">
        <v>190.25</v>
      </c>
      <c r="K854">
        <v>0.5</v>
      </c>
      <c r="M854" t="s">
        <v>289</v>
      </c>
    </row>
    <row r="855" spans="1:13" hidden="1">
      <c r="A855" t="s">
        <v>70</v>
      </c>
      <c r="B855" t="s">
        <v>8</v>
      </c>
      <c r="C855" t="s">
        <v>69</v>
      </c>
      <c r="D855" t="str">
        <f>LEFT(M855,10)</f>
        <v>11/15/2024</v>
      </c>
      <c r="E855" t="s">
        <v>202</v>
      </c>
      <c r="F855" t="s">
        <v>218</v>
      </c>
      <c r="G855" t="s">
        <v>225</v>
      </c>
      <c r="I855">
        <v>67.5</v>
      </c>
      <c r="J855">
        <v>10.130000000000001</v>
      </c>
      <c r="K855">
        <v>0.15</v>
      </c>
      <c r="M855" t="s">
        <v>289</v>
      </c>
    </row>
    <row r="856" spans="1:13" hidden="1">
      <c r="A856" t="s">
        <v>70</v>
      </c>
      <c r="B856" t="s">
        <v>8</v>
      </c>
      <c r="C856" t="s">
        <v>69</v>
      </c>
      <c r="D856" t="str">
        <f>LEFT(M856,10)</f>
        <v>11/15/2024</v>
      </c>
      <c r="E856" t="s">
        <v>202</v>
      </c>
      <c r="F856" t="s">
        <v>340</v>
      </c>
      <c r="G856" t="s">
        <v>340</v>
      </c>
      <c r="I856">
        <v>109</v>
      </c>
      <c r="J856">
        <v>65.400000000000006</v>
      </c>
      <c r="K856">
        <v>0.6</v>
      </c>
      <c r="M856" t="s">
        <v>289</v>
      </c>
    </row>
    <row r="857" spans="1:13" hidden="1">
      <c r="A857" t="s">
        <v>70</v>
      </c>
      <c r="B857" t="s">
        <v>8</v>
      </c>
      <c r="C857" t="s">
        <v>69</v>
      </c>
      <c r="D857" t="str">
        <f>LEFT(M857,10)</f>
        <v>11/15/2024</v>
      </c>
      <c r="E857" t="s">
        <v>202</v>
      </c>
      <c r="F857" t="s">
        <v>218</v>
      </c>
      <c r="G857" t="s">
        <v>239</v>
      </c>
      <c r="I857">
        <v>25</v>
      </c>
      <c r="J857">
        <v>6.25</v>
      </c>
      <c r="K857">
        <v>0.25</v>
      </c>
      <c r="M857" t="s">
        <v>289</v>
      </c>
    </row>
    <row r="858" spans="1:13" hidden="1">
      <c r="A858" t="s">
        <v>70</v>
      </c>
      <c r="B858" t="s">
        <v>8</v>
      </c>
      <c r="C858" t="s">
        <v>69</v>
      </c>
      <c r="D858" t="str">
        <f>LEFT(M858,10)</f>
        <v>11/15/2024</v>
      </c>
      <c r="E858" t="s">
        <v>202</v>
      </c>
      <c r="F858" t="s">
        <v>203</v>
      </c>
      <c r="G858" t="s">
        <v>259</v>
      </c>
      <c r="I858">
        <v>35.5</v>
      </c>
      <c r="J858">
        <v>106.5</v>
      </c>
      <c r="K858">
        <v>3</v>
      </c>
      <c r="M858" t="s">
        <v>289</v>
      </c>
    </row>
    <row r="859" spans="1:13" hidden="1">
      <c r="A859" t="s">
        <v>70</v>
      </c>
      <c r="B859" t="s">
        <v>8</v>
      </c>
      <c r="C859" t="s">
        <v>69</v>
      </c>
      <c r="D859" t="str">
        <f>LEFT(M859,10)</f>
        <v>11/15/2024</v>
      </c>
      <c r="E859" t="s">
        <v>202</v>
      </c>
      <c r="F859" t="s">
        <v>203</v>
      </c>
      <c r="G859" t="s">
        <v>207</v>
      </c>
      <c r="I859">
        <v>15</v>
      </c>
      <c r="J859">
        <v>48</v>
      </c>
      <c r="K859">
        <v>3.2</v>
      </c>
      <c r="M859" t="s">
        <v>289</v>
      </c>
    </row>
    <row r="860" spans="1:13" hidden="1">
      <c r="A860" t="s">
        <v>70</v>
      </c>
      <c r="B860" t="s">
        <v>8</v>
      </c>
      <c r="C860" t="s">
        <v>69</v>
      </c>
      <c r="D860" t="str">
        <f>LEFT(M860,10)</f>
        <v>11/15/2024</v>
      </c>
      <c r="E860" t="s">
        <v>202</v>
      </c>
      <c r="F860" t="s">
        <v>203</v>
      </c>
      <c r="G860" t="s">
        <v>204</v>
      </c>
      <c r="I860">
        <v>179</v>
      </c>
      <c r="J860">
        <v>1163.5</v>
      </c>
      <c r="K860">
        <v>6.5</v>
      </c>
      <c r="M860" t="s">
        <v>289</v>
      </c>
    </row>
    <row r="861" spans="1:13" hidden="1">
      <c r="A861" t="s">
        <v>70</v>
      </c>
      <c r="B861" t="s">
        <v>8</v>
      </c>
      <c r="C861" t="s">
        <v>69</v>
      </c>
      <c r="D861" t="str">
        <f>LEFT(M861,10)</f>
        <v>11/15/2024</v>
      </c>
      <c r="E861" t="s">
        <v>202</v>
      </c>
      <c r="F861" t="s">
        <v>203</v>
      </c>
      <c r="G861" t="s">
        <v>259</v>
      </c>
      <c r="I861">
        <v>6</v>
      </c>
      <c r="J861">
        <v>96</v>
      </c>
      <c r="K861">
        <v>16</v>
      </c>
      <c r="M861" t="s">
        <v>289</v>
      </c>
    </row>
    <row r="862" spans="1:13" hidden="1">
      <c r="A862" t="s">
        <v>70</v>
      </c>
      <c r="B862" t="s">
        <v>8</v>
      </c>
      <c r="C862" t="s">
        <v>69</v>
      </c>
      <c r="D862" t="str">
        <f>LEFT(M862,10)</f>
        <v>11/15/2024</v>
      </c>
      <c r="E862" t="s">
        <v>202</v>
      </c>
      <c r="F862" t="s">
        <v>203</v>
      </c>
      <c r="G862" t="s">
        <v>208</v>
      </c>
      <c r="I862">
        <v>33</v>
      </c>
      <c r="J862">
        <v>198</v>
      </c>
      <c r="K862">
        <v>6</v>
      </c>
      <c r="M862" t="s">
        <v>289</v>
      </c>
    </row>
    <row r="863" spans="1:13" hidden="1">
      <c r="A863" t="s">
        <v>70</v>
      </c>
      <c r="B863" t="s">
        <v>8</v>
      </c>
      <c r="C863" t="s">
        <v>69</v>
      </c>
      <c r="D863" t="str">
        <f>LEFT(M863,10)</f>
        <v>11/15/2024</v>
      </c>
      <c r="E863" t="s">
        <v>202</v>
      </c>
      <c r="F863" t="s">
        <v>203</v>
      </c>
      <c r="G863" t="s">
        <v>235</v>
      </c>
      <c r="I863">
        <v>18.5</v>
      </c>
      <c r="J863">
        <v>55.5</v>
      </c>
      <c r="K863">
        <v>3</v>
      </c>
      <c r="M863" t="s">
        <v>289</v>
      </c>
    </row>
    <row r="864" spans="1:13" hidden="1">
      <c r="A864" t="s">
        <v>70</v>
      </c>
      <c r="B864" t="s">
        <v>8</v>
      </c>
      <c r="C864" t="s">
        <v>69</v>
      </c>
      <c r="D864" t="str">
        <f>LEFT(M864,10)</f>
        <v>11/15/2024</v>
      </c>
      <c r="E864" t="s">
        <v>202</v>
      </c>
      <c r="F864" t="s">
        <v>203</v>
      </c>
      <c r="G864" t="s">
        <v>260</v>
      </c>
      <c r="I864">
        <v>21</v>
      </c>
      <c r="J864">
        <v>609</v>
      </c>
      <c r="K864">
        <v>29</v>
      </c>
      <c r="M864" t="s">
        <v>289</v>
      </c>
    </row>
    <row r="865" spans="1:13" hidden="1">
      <c r="A865" t="s">
        <v>70</v>
      </c>
      <c r="B865" t="s">
        <v>8</v>
      </c>
      <c r="C865" t="s">
        <v>69</v>
      </c>
      <c r="D865" t="str">
        <f>LEFT(M865,10)</f>
        <v>11/15/2024</v>
      </c>
      <c r="E865" t="s">
        <v>202</v>
      </c>
      <c r="F865" t="s">
        <v>203</v>
      </c>
      <c r="G865" t="s">
        <v>236</v>
      </c>
      <c r="I865">
        <v>3340</v>
      </c>
      <c r="J865">
        <v>1670</v>
      </c>
      <c r="K865">
        <v>0.5</v>
      </c>
      <c r="M865" t="s">
        <v>289</v>
      </c>
    </row>
    <row r="866" spans="1:13" hidden="1">
      <c r="A866" t="s">
        <v>70</v>
      </c>
      <c r="B866" t="s">
        <v>8</v>
      </c>
      <c r="C866" t="s">
        <v>69</v>
      </c>
      <c r="D866" t="str">
        <f>LEFT(M866,10)</f>
        <v>11/15/2024</v>
      </c>
      <c r="E866" t="s">
        <v>202</v>
      </c>
      <c r="F866" t="s">
        <v>203</v>
      </c>
      <c r="G866" t="s">
        <v>206</v>
      </c>
      <c r="I866">
        <v>9</v>
      </c>
      <c r="J866">
        <v>29.7</v>
      </c>
      <c r="K866">
        <v>3.3</v>
      </c>
      <c r="M866" t="s">
        <v>289</v>
      </c>
    </row>
    <row r="867" spans="1:13" hidden="1">
      <c r="A867" t="s">
        <v>70</v>
      </c>
      <c r="B867" t="s">
        <v>8</v>
      </c>
      <c r="C867" t="s">
        <v>69</v>
      </c>
      <c r="D867" t="str">
        <f>LEFT(M867,10)</f>
        <v>11/15/2024</v>
      </c>
      <c r="E867" t="s">
        <v>202</v>
      </c>
      <c r="F867" t="s">
        <v>216</v>
      </c>
      <c r="G867" t="s">
        <v>217</v>
      </c>
      <c r="I867">
        <v>1171</v>
      </c>
      <c r="J867">
        <v>576.79999999999995</v>
      </c>
      <c r="K867">
        <v>0.49</v>
      </c>
      <c r="M867" t="s">
        <v>289</v>
      </c>
    </row>
    <row r="868" spans="1:13" hidden="1">
      <c r="A868" t="s">
        <v>70</v>
      </c>
      <c r="B868" t="s">
        <v>8</v>
      </c>
      <c r="C868" t="s">
        <v>69</v>
      </c>
      <c r="D868" t="str">
        <f>LEFT(M868,10)</f>
        <v>11/15/2024</v>
      </c>
      <c r="E868" t="s">
        <v>202</v>
      </c>
      <c r="F868" t="s">
        <v>216</v>
      </c>
      <c r="G868" t="s">
        <v>253</v>
      </c>
      <c r="I868">
        <v>2199</v>
      </c>
      <c r="J868">
        <v>439.8</v>
      </c>
      <c r="K868">
        <v>0.2</v>
      </c>
      <c r="M868" t="s">
        <v>289</v>
      </c>
    </row>
    <row r="869" spans="1:13" hidden="1">
      <c r="A869" t="s">
        <v>70</v>
      </c>
      <c r="B869" t="s">
        <v>8</v>
      </c>
      <c r="C869" t="s">
        <v>69</v>
      </c>
      <c r="D869" t="str">
        <f>LEFT(M869,10)</f>
        <v>11/15/2024</v>
      </c>
      <c r="E869" t="s">
        <v>202</v>
      </c>
      <c r="F869" t="s">
        <v>209</v>
      </c>
      <c r="G869" t="s">
        <v>212</v>
      </c>
      <c r="I869">
        <v>1</v>
      </c>
      <c r="J869">
        <v>1.5</v>
      </c>
      <c r="K869">
        <v>1.5</v>
      </c>
      <c r="M869" t="s">
        <v>289</v>
      </c>
    </row>
    <row r="870" spans="1:13" hidden="1">
      <c r="A870" t="s">
        <v>70</v>
      </c>
      <c r="B870" t="s">
        <v>8</v>
      </c>
      <c r="C870" t="s">
        <v>69</v>
      </c>
      <c r="D870" t="str">
        <f>LEFT(M870,10)</f>
        <v>11/15/2024</v>
      </c>
      <c r="E870" t="s">
        <v>202</v>
      </c>
      <c r="F870" t="s">
        <v>209</v>
      </c>
      <c r="G870" t="s">
        <v>212</v>
      </c>
      <c r="I870">
        <v>1.5</v>
      </c>
      <c r="J870">
        <v>11.25</v>
      </c>
      <c r="K870">
        <v>7.5</v>
      </c>
      <c r="M870" t="s">
        <v>289</v>
      </c>
    </row>
    <row r="871" spans="1:13" hidden="1">
      <c r="A871" t="s">
        <v>70</v>
      </c>
      <c r="B871" t="s">
        <v>8</v>
      </c>
      <c r="C871" t="s">
        <v>69</v>
      </c>
      <c r="D871" t="str">
        <f>LEFT(M871,10)</f>
        <v>11/15/2024</v>
      </c>
      <c r="E871" t="s">
        <v>202</v>
      </c>
      <c r="F871" t="s">
        <v>209</v>
      </c>
      <c r="G871" t="s">
        <v>210</v>
      </c>
      <c r="I871">
        <v>15</v>
      </c>
      <c r="J871">
        <v>37.5</v>
      </c>
      <c r="K871">
        <v>2.5</v>
      </c>
      <c r="M871" t="s">
        <v>289</v>
      </c>
    </row>
    <row r="872" spans="1:13" hidden="1">
      <c r="A872" t="s">
        <v>70</v>
      </c>
      <c r="B872" t="s">
        <v>8</v>
      </c>
      <c r="C872" t="s">
        <v>69</v>
      </c>
      <c r="D872" t="str">
        <f>LEFT(M872,10)</f>
        <v>11/15/2024</v>
      </c>
      <c r="E872" t="s">
        <v>202</v>
      </c>
      <c r="F872" t="s">
        <v>209</v>
      </c>
      <c r="G872" t="s">
        <v>341</v>
      </c>
      <c r="I872">
        <v>1.5</v>
      </c>
      <c r="J872">
        <v>37.5</v>
      </c>
      <c r="K872">
        <v>25</v>
      </c>
      <c r="M872" t="s">
        <v>289</v>
      </c>
    </row>
    <row r="873" spans="1:13" hidden="1">
      <c r="A873" t="s">
        <v>70</v>
      </c>
      <c r="B873" t="s">
        <v>8</v>
      </c>
      <c r="C873" t="s">
        <v>69</v>
      </c>
      <c r="D873" t="str">
        <f>LEFT(M873,10)</f>
        <v>11/15/2024</v>
      </c>
      <c r="E873" t="s">
        <v>202</v>
      </c>
      <c r="F873" t="s">
        <v>218</v>
      </c>
      <c r="G873" t="s">
        <v>221</v>
      </c>
      <c r="I873">
        <v>226.5</v>
      </c>
      <c r="J873">
        <v>588.9</v>
      </c>
      <c r="K873">
        <v>2.6</v>
      </c>
      <c r="M873" t="s">
        <v>289</v>
      </c>
    </row>
    <row r="874" spans="1:13" hidden="1">
      <c r="A874" t="s">
        <v>70</v>
      </c>
      <c r="B874" t="s">
        <v>8</v>
      </c>
      <c r="C874" t="s">
        <v>69</v>
      </c>
      <c r="D874" t="str">
        <f>LEFT(M874,10)</f>
        <v>11/15/2024</v>
      </c>
      <c r="E874" t="s">
        <v>202</v>
      </c>
      <c r="F874" t="s">
        <v>218</v>
      </c>
      <c r="G874" t="s">
        <v>222</v>
      </c>
      <c r="I874">
        <v>32.5</v>
      </c>
      <c r="J874">
        <v>65</v>
      </c>
      <c r="K874">
        <v>2</v>
      </c>
      <c r="M874" t="s">
        <v>289</v>
      </c>
    </row>
    <row r="875" spans="1:13" hidden="1">
      <c r="A875" t="s">
        <v>70</v>
      </c>
      <c r="B875" t="s">
        <v>8</v>
      </c>
      <c r="C875" t="s">
        <v>69</v>
      </c>
      <c r="D875" t="str">
        <f>LEFT(M875,10)</f>
        <v>11/15/2024</v>
      </c>
      <c r="E875" t="s">
        <v>230</v>
      </c>
      <c r="F875" t="s">
        <v>248</v>
      </c>
      <c r="I875">
        <v>0</v>
      </c>
      <c r="J875">
        <v>12249</v>
      </c>
      <c r="M875" t="s">
        <v>289</v>
      </c>
    </row>
    <row r="876" spans="1:13" hidden="1">
      <c r="A876" t="s">
        <v>70</v>
      </c>
      <c r="B876" t="s">
        <v>8</v>
      </c>
      <c r="C876" t="s">
        <v>69</v>
      </c>
      <c r="D876" t="str">
        <f>LEFT(M876,10)</f>
        <v>11/15/2024</v>
      </c>
      <c r="E876" t="s">
        <v>232</v>
      </c>
      <c r="F876" t="s">
        <v>287</v>
      </c>
      <c r="I876">
        <v>0</v>
      </c>
      <c r="J876">
        <v>2114.5700000000002</v>
      </c>
      <c r="M876" t="s">
        <v>289</v>
      </c>
    </row>
    <row r="877" spans="1:13" hidden="1">
      <c r="A877" t="s">
        <v>70</v>
      </c>
      <c r="B877" t="s">
        <v>8</v>
      </c>
      <c r="C877" t="s">
        <v>69</v>
      </c>
      <c r="D877" t="str">
        <f>LEFT(M877,10)</f>
        <v>11/15/2024</v>
      </c>
      <c r="E877" t="s">
        <v>232</v>
      </c>
      <c r="F877" t="s">
        <v>254</v>
      </c>
      <c r="I877">
        <v>0</v>
      </c>
      <c r="J877">
        <v>2000</v>
      </c>
      <c r="M877" t="s">
        <v>289</v>
      </c>
    </row>
    <row r="878" spans="1:13" hidden="1">
      <c r="A878" t="s">
        <v>70</v>
      </c>
      <c r="B878" t="s">
        <v>8</v>
      </c>
      <c r="C878" t="s">
        <v>69</v>
      </c>
      <c r="D878" t="str">
        <f>LEFT(M878,10)</f>
        <v>11/15/2024</v>
      </c>
      <c r="E878" t="s">
        <v>232</v>
      </c>
      <c r="F878" t="s">
        <v>255</v>
      </c>
      <c r="I878">
        <v>0</v>
      </c>
      <c r="J878">
        <v>66</v>
      </c>
      <c r="L878" t="s">
        <v>342</v>
      </c>
      <c r="M878" t="s">
        <v>289</v>
      </c>
    </row>
    <row r="879" spans="1:13" hidden="1">
      <c r="A879" t="s">
        <v>70</v>
      </c>
      <c r="B879" t="s">
        <v>8</v>
      </c>
      <c r="C879" t="s">
        <v>69</v>
      </c>
      <c r="D879" t="str">
        <f>LEFT(M879,10)</f>
        <v>11/15/2024</v>
      </c>
      <c r="E879" t="s">
        <v>232</v>
      </c>
      <c r="F879" t="s">
        <v>262</v>
      </c>
      <c r="I879">
        <v>0</v>
      </c>
      <c r="J879">
        <v>800</v>
      </c>
      <c r="M879" t="s">
        <v>289</v>
      </c>
    </row>
    <row r="880" spans="1:13" hidden="1">
      <c r="A880" t="s">
        <v>70</v>
      </c>
      <c r="B880" t="s">
        <v>8</v>
      </c>
      <c r="C880" t="s">
        <v>69</v>
      </c>
      <c r="D880" t="str">
        <f>LEFT(M880,10)</f>
        <v>11/15/2024</v>
      </c>
      <c r="E880" t="s">
        <v>232</v>
      </c>
      <c r="F880" t="s">
        <v>296</v>
      </c>
      <c r="I880">
        <v>0</v>
      </c>
      <c r="J880">
        <v>440</v>
      </c>
      <c r="M880" t="s">
        <v>289</v>
      </c>
    </row>
    <row r="881" spans="1:13" hidden="1">
      <c r="A881" t="s">
        <v>70</v>
      </c>
      <c r="B881" t="s">
        <v>8</v>
      </c>
      <c r="C881" t="s">
        <v>69</v>
      </c>
      <c r="D881" t="str">
        <f>LEFT(M881,10)</f>
        <v>11/15/2024</v>
      </c>
      <c r="E881" t="s">
        <v>232</v>
      </c>
      <c r="F881" t="s">
        <v>276</v>
      </c>
      <c r="I881">
        <v>0</v>
      </c>
      <c r="J881">
        <v>40</v>
      </c>
      <c r="M881" t="s">
        <v>289</v>
      </c>
    </row>
    <row r="882" spans="1:13" hidden="1">
      <c r="A882" t="s">
        <v>70</v>
      </c>
      <c r="B882" t="s">
        <v>8</v>
      </c>
      <c r="C882" t="s">
        <v>69</v>
      </c>
      <c r="D882" t="str">
        <f>LEFT(M882,10)</f>
        <v>11/15/2024</v>
      </c>
      <c r="E882" t="s">
        <v>234</v>
      </c>
      <c r="F882" t="s">
        <v>234</v>
      </c>
      <c r="I882">
        <v>5639</v>
      </c>
      <c r="M882" t="s">
        <v>289</v>
      </c>
    </row>
    <row r="883" spans="1:13" hidden="1">
      <c r="A883" t="s">
        <v>72</v>
      </c>
      <c r="B883" t="s">
        <v>8</v>
      </c>
      <c r="C883" t="s">
        <v>71</v>
      </c>
      <c r="D883" t="str">
        <f>LEFT(M883,10)</f>
        <v>11/15/2024</v>
      </c>
      <c r="E883" t="s">
        <v>202</v>
      </c>
      <c r="F883" t="s">
        <v>218</v>
      </c>
      <c r="G883" t="s">
        <v>223</v>
      </c>
      <c r="I883">
        <v>598</v>
      </c>
      <c r="J883">
        <v>299</v>
      </c>
      <c r="K883">
        <v>0.5</v>
      </c>
      <c r="M883" t="s">
        <v>289</v>
      </c>
    </row>
    <row r="884" spans="1:13" hidden="1">
      <c r="A884" t="s">
        <v>72</v>
      </c>
      <c r="B884" t="s">
        <v>8</v>
      </c>
      <c r="C884" t="s">
        <v>71</v>
      </c>
      <c r="D884" t="str">
        <f>LEFT(M884,10)</f>
        <v>11/15/2024</v>
      </c>
      <c r="E884" t="s">
        <v>230</v>
      </c>
      <c r="F884" t="s">
        <v>248</v>
      </c>
      <c r="G884" t="s">
        <v>249</v>
      </c>
      <c r="I884">
        <v>0</v>
      </c>
      <c r="J884">
        <v>74638.95</v>
      </c>
      <c r="M884" t="s">
        <v>289</v>
      </c>
    </row>
    <row r="885" spans="1:13" hidden="1">
      <c r="A885" t="s">
        <v>72</v>
      </c>
      <c r="B885" t="s">
        <v>8</v>
      </c>
      <c r="C885" t="s">
        <v>71</v>
      </c>
      <c r="D885" t="str">
        <f>LEFT(M885,10)</f>
        <v>11/15/2024</v>
      </c>
      <c r="E885" t="s">
        <v>230</v>
      </c>
      <c r="F885" t="s">
        <v>323</v>
      </c>
      <c r="G885" t="s">
        <v>249</v>
      </c>
      <c r="I885">
        <v>0</v>
      </c>
      <c r="J885">
        <v>2117.2199999999998</v>
      </c>
      <c r="L885" t="s">
        <v>343</v>
      </c>
      <c r="M885" t="s">
        <v>289</v>
      </c>
    </row>
    <row r="886" spans="1:13" hidden="1">
      <c r="A886" t="s">
        <v>72</v>
      </c>
      <c r="B886" t="s">
        <v>8</v>
      </c>
      <c r="C886" t="s">
        <v>71</v>
      </c>
      <c r="D886" t="str">
        <f>LEFT(M886,10)</f>
        <v>11/15/2024</v>
      </c>
      <c r="E886" t="s">
        <v>202</v>
      </c>
      <c r="F886" t="s">
        <v>227</v>
      </c>
      <c r="G886" t="s">
        <v>237</v>
      </c>
      <c r="I886">
        <v>621.5</v>
      </c>
      <c r="J886">
        <v>372.9</v>
      </c>
      <c r="K886">
        <v>0.6</v>
      </c>
      <c r="M886" t="s">
        <v>289</v>
      </c>
    </row>
    <row r="887" spans="1:13" hidden="1">
      <c r="A887" t="s">
        <v>72</v>
      </c>
      <c r="B887" t="s">
        <v>8</v>
      </c>
      <c r="C887" t="s">
        <v>71</v>
      </c>
      <c r="D887" t="str">
        <f>LEFT(M887,10)</f>
        <v>11/15/2024</v>
      </c>
      <c r="E887" t="s">
        <v>202</v>
      </c>
      <c r="F887" t="s">
        <v>227</v>
      </c>
      <c r="G887" t="s">
        <v>237</v>
      </c>
      <c r="I887">
        <v>1418.5</v>
      </c>
      <c r="J887">
        <v>922.03</v>
      </c>
      <c r="K887">
        <v>0.65</v>
      </c>
      <c r="M887" t="s">
        <v>289</v>
      </c>
    </row>
    <row r="888" spans="1:13" hidden="1">
      <c r="A888" t="s">
        <v>72</v>
      </c>
      <c r="B888" t="s">
        <v>8</v>
      </c>
      <c r="C888" t="s">
        <v>71</v>
      </c>
      <c r="D888" t="str">
        <f>LEFT(M888,10)</f>
        <v>11/15/2024</v>
      </c>
      <c r="E888" t="s">
        <v>202</v>
      </c>
      <c r="F888" t="s">
        <v>227</v>
      </c>
      <c r="G888" t="s">
        <v>229</v>
      </c>
      <c r="I888">
        <v>11993.5</v>
      </c>
      <c r="J888">
        <v>8755.26</v>
      </c>
      <c r="K888">
        <v>0.73</v>
      </c>
      <c r="M888" t="s">
        <v>289</v>
      </c>
    </row>
    <row r="889" spans="1:13" hidden="1">
      <c r="A889" t="s">
        <v>72</v>
      </c>
      <c r="B889" t="s">
        <v>8</v>
      </c>
      <c r="C889" t="s">
        <v>71</v>
      </c>
      <c r="D889" t="str">
        <f>LEFT(M889,10)</f>
        <v>11/15/2024</v>
      </c>
      <c r="E889" t="s">
        <v>202</v>
      </c>
      <c r="F889" t="s">
        <v>227</v>
      </c>
      <c r="G889" t="s">
        <v>228</v>
      </c>
      <c r="I889">
        <v>3941</v>
      </c>
      <c r="J889">
        <v>1182.3</v>
      </c>
      <c r="K889">
        <v>0.3</v>
      </c>
      <c r="M889" t="s">
        <v>289</v>
      </c>
    </row>
    <row r="890" spans="1:13" hidden="1">
      <c r="A890" t="s">
        <v>72</v>
      </c>
      <c r="B890" t="s">
        <v>8</v>
      </c>
      <c r="C890" t="s">
        <v>71</v>
      </c>
      <c r="D890" t="str">
        <f>LEFT(M890,10)</f>
        <v>11/15/2024</v>
      </c>
      <c r="E890" t="s">
        <v>202</v>
      </c>
      <c r="F890" t="s">
        <v>227</v>
      </c>
      <c r="G890" t="s">
        <v>228</v>
      </c>
      <c r="I890">
        <v>465.5</v>
      </c>
      <c r="J890">
        <v>139.65</v>
      </c>
      <c r="K890">
        <v>0.3</v>
      </c>
      <c r="M890" t="s">
        <v>289</v>
      </c>
    </row>
    <row r="891" spans="1:13" hidden="1">
      <c r="A891" t="s">
        <v>72</v>
      </c>
      <c r="B891" t="s">
        <v>8</v>
      </c>
      <c r="C891" t="s">
        <v>71</v>
      </c>
      <c r="D891" t="str">
        <f>LEFT(M891,10)</f>
        <v>11/15/2024</v>
      </c>
      <c r="E891" t="s">
        <v>202</v>
      </c>
      <c r="F891" t="s">
        <v>227</v>
      </c>
      <c r="G891" t="s">
        <v>228</v>
      </c>
      <c r="I891">
        <v>3352.5</v>
      </c>
      <c r="J891">
        <v>1173.3800000000001</v>
      </c>
      <c r="K891">
        <v>0.35</v>
      </c>
      <c r="M891" t="s">
        <v>289</v>
      </c>
    </row>
    <row r="892" spans="1:13" hidden="1">
      <c r="A892" t="s">
        <v>72</v>
      </c>
      <c r="B892" t="s">
        <v>8</v>
      </c>
      <c r="C892" t="s">
        <v>71</v>
      </c>
      <c r="D892" t="str">
        <f>LEFT(M892,10)</f>
        <v>11/15/2024</v>
      </c>
      <c r="E892" t="s">
        <v>202</v>
      </c>
      <c r="F892" t="s">
        <v>227</v>
      </c>
      <c r="G892" t="s">
        <v>229</v>
      </c>
      <c r="I892">
        <v>11500.5</v>
      </c>
      <c r="J892">
        <v>8970.23</v>
      </c>
      <c r="K892">
        <v>0.78</v>
      </c>
      <c r="M892" t="s">
        <v>289</v>
      </c>
    </row>
    <row r="893" spans="1:13" hidden="1">
      <c r="A893" t="s">
        <v>72</v>
      </c>
      <c r="B893" t="s">
        <v>8</v>
      </c>
      <c r="C893" t="s">
        <v>71</v>
      </c>
      <c r="D893" t="str">
        <f>LEFT(M893,10)</f>
        <v>11/15/2024</v>
      </c>
      <c r="E893" t="s">
        <v>202</v>
      </c>
      <c r="F893" t="s">
        <v>227</v>
      </c>
      <c r="G893" t="s">
        <v>238</v>
      </c>
      <c r="I893">
        <v>1215</v>
      </c>
      <c r="J893">
        <v>486</v>
      </c>
      <c r="K893">
        <v>0.4</v>
      </c>
      <c r="M893" t="s">
        <v>289</v>
      </c>
    </row>
    <row r="894" spans="1:13" hidden="1">
      <c r="A894" t="s">
        <v>72</v>
      </c>
      <c r="B894" t="s">
        <v>8</v>
      </c>
      <c r="C894" t="s">
        <v>71</v>
      </c>
      <c r="D894" t="str">
        <f>LEFT(M894,10)</f>
        <v>11/15/2024</v>
      </c>
      <c r="E894" t="s">
        <v>202</v>
      </c>
      <c r="F894" t="s">
        <v>227</v>
      </c>
      <c r="G894" t="s">
        <v>238</v>
      </c>
      <c r="I894">
        <v>1785.5</v>
      </c>
      <c r="J894">
        <v>714.2</v>
      </c>
      <c r="K894">
        <v>0.4</v>
      </c>
      <c r="M894" t="s">
        <v>289</v>
      </c>
    </row>
    <row r="895" spans="1:13" hidden="1">
      <c r="A895" t="s">
        <v>72</v>
      </c>
      <c r="B895" t="s">
        <v>8</v>
      </c>
      <c r="C895" t="s">
        <v>71</v>
      </c>
      <c r="D895" t="str">
        <f>LEFT(M895,10)</f>
        <v>11/15/2024</v>
      </c>
      <c r="E895" t="s">
        <v>202</v>
      </c>
      <c r="F895" t="s">
        <v>227</v>
      </c>
      <c r="G895" t="s">
        <v>252</v>
      </c>
      <c r="I895">
        <v>812.5</v>
      </c>
      <c r="J895">
        <v>325</v>
      </c>
      <c r="K895">
        <v>0.4</v>
      </c>
      <c r="M895" t="s">
        <v>289</v>
      </c>
    </row>
    <row r="896" spans="1:13" hidden="1">
      <c r="A896" t="s">
        <v>72</v>
      </c>
      <c r="B896" t="s">
        <v>8</v>
      </c>
      <c r="C896" t="s">
        <v>71</v>
      </c>
      <c r="D896" t="str">
        <f>LEFT(M896,10)</f>
        <v>11/15/2024</v>
      </c>
      <c r="E896" t="s">
        <v>202</v>
      </c>
      <c r="F896" t="s">
        <v>227</v>
      </c>
      <c r="G896" t="s">
        <v>252</v>
      </c>
      <c r="I896">
        <v>794</v>
      </c>
      <c r="J896">
        <v>317.60000000000002</v>
      </c>
      <c r="K896">
        <v>0.4</v>
      </c>
      <c r="M896" t="s">
        <v>289</v>
      </c>
    </row>
    <row r="897" spans="1:13" hidden="1">
      <c r="A897" t="s">
        <v>72</v>
      </c>
      <c r="B897" t="s">
        <v>8</v>
      </c>
      <c r="C897" t="s">
        <v>71</v>
      </c>
      <c r="D897" t="str">
        <f>LEFT(M897,10)</f>
        <v>11/15/2024</v>
      </c>
      <c r="E897" t="s">
        <v>202</v>
      </c>
      <c r="F897" t="s">
        <v>218</v>
      </c>
      <c r="G897" t="s">
        <v>241</v>
      </c>
      <c r="I897">
        <v>1725</v>
      </c>
      <c r="J897">
        <v>7762.5</v>
      </c>
      <c r="K897">
        <v>4.5</v>
      </c>
      <c r="M897" t="s">
        <v>289</v>
      </c>
    </row>
    <row r="898" spans="1:13" hidden="1">
      <c r="A898" t="s">
        <v>72</v>
      </c>
      <c r="B898" t="s">
        <v>8</v>
      </c>
      <c r="C898" t="s">
        <v>71</v>
      </c>
      <c r="D898" t="str">
        <f>LEFT(M898,10)</f>
        <v>11/15/2024</v>
      </c>
      <c r="E898" t="s">
        <v>202</v>
      </c>
      <c r="F898" t="s">
        <v>218</v>
      </c>
      <c r="G898" t="s">
        <v>241</v>
      </c>
      <c r="I898">
        <v>1895</v>
      </c>
      <c r="J898">
        <v>8717</v>
      </c>
      <c r="K898">
        <v>4.5999999999999996</v>
      </c>
      <c r="M898" t="s">
        <v>289</v>
      </c>
    </row>
    <row r="899" spans="1:13" hidden="1">
      <c r="A899" t="s">
        <v>72</v>
      </c>
      <c r="B899" t="s">
        <v>8</v>
      </c>
      <c r="C899" t="s">
        <v>71</v>
      </c>
      <c r="D899" t="str">
        <f>LEFT(M899,10)</f>
        <v>11/15/2024</v>
      </c>
      <c r="E899" t="s">
        <v>202</v>
      </c>
      <c r="F899" t="s">
        <v>218</v>
      </c>
      <c r="G899" t="s">
        <v>219</v>
      </c>
      <c r="I899">
        <v>95</v>
      </c>
      <c r="J899">
        <v>23.75</v>
      </c>
      <c r="K899">
        <v>0.25</v>
      </c>
      <c r="M899" t="s">
        <v>289</v>
      </c>
    </row>
    <row r="900" spans="1:13" hidden="1">
      <c r="A900" t="s">
        <v>72</v>
      </c>
      <c r="B900" t="s">
        <v>8</v>
      </c>
      <c r="C900" t="s">
        <v>71</v>
      </c>
      <c r="D900" t="str">
        <f>LEFT(M900,10)</f>
        <v>11/15/2024</v>
      </c>
      <c r="E900" t="s">
        <v>202</v>
      </c>
      <c r="F900" t="s">
        <v>218</v>
      </c>
      <c r="G900" t="s">
        <v>219</v>
      </c>
      <c r="I900">
        <v>202</v>
      </c>
      <c r="J900">
        <v>40.4</v>
      </c>
      <c r="K900">
        <v>0.2</v>
      </c>
      <c r="M900" t="s">
        <v>289</v>
      </c>
    </row>
    <row r="901" spans="1:13" hidden="1">
      <c r="A901" t="s">
        <v>72</v>
      </c>
      <c r="B901" t="s">
        <v>8</v>
      </c>
      <c r="C901" t="s">
        <v>71</v>
      </c>
      <c r="D901" t="str">
        <f>LEFT(M901,10)</f>
        <v>11/15/2024</v>
      </c>
      <c r="E901" t="s">
        <v>202</v>
      </c>
      <c r="F901" t="s">
        <v>218</v>
      </c>
      <c r="G901" t="s">
        <v>243</v>
      </c>
      <c r="H901" t="s">
        <v>344</v>
      </c>
      <c r="I901">
        <v>156</v>
      </c>
      <c r="J901">
        <v>46.8</v>
      </c>
      <c r="K901">
        <v>0.3</v>
      </c>
      <c r="M901" t="s">
        <v>289</v>
      </c>
    </row>
    <row r="902" spans="1:13" hidden="1">
      <c r="A902" t="s">
        <v>72</v>
      </c>
      <c r="B902" t="s">
        <v>8</v>
      </c>
      <c r="C902" t="s">
        <v>71</v>
      </c>
      <c r="D902" t="str">
        <f>LEFT(M902,10)</f>
        <v>11/15/2024</v>
      </c>
      <c r="E902" t="s">
        <v>202</v>
      </c>
      <c r="F902" t="s">
        <v>218</v>
      </c>
      <c r="G902" t="s">
        <v>242</v>
      </c>
      <c r="I902">
        <v>85</v>
      </c>
      <c r="J902">
        <v>93.5</v>
      </c>
      <c r="K902">
        <v>1.1000000000000001</v>
      </c>
      <c r="M902" t="s">
        <v>289</v>
      </c>
    </row>
    <row r="903" spans="1:13" hidden="1">
      <c r="A903" t="s">
        <v>72</v>
      </c>
      <c r="B903" t="s">
        <v>8</v>
      </c>
      <c r="C903" t="s">
        <v>71</v>
      </c>
      <c r="D903" t="str">
        <f>LEFT(M903,10)</f>
        <v>11/15/2024</v>
      </c>
      <c r="E903" t="s">
        <v>202</v>
      </c>
      <c r="F903" t="s">
        <v>218</v>
      </c>
      <c r="G903" t="s">
        <v>242</v>
      </c>
      <c r="I903">
        <v>158</v>
      </c>
      <c r="J903">
        <v>205.4</v>
      </c>
      <c r="K903">
        <v>1.3</v>
      </c>
      <c r="M903" t="s">
        <v>289</v>
      </c>
    </row>
    <row r="904" spans="1:13" hidden="1">
      <c r="A904" t="s">
        <v>72</v>
      </c>
      <c r="B904" t="s">
        <v>8</v>
      </c>
      <c r="C904" t="s">
        <v>71</v>
      </c>
      <c r="D904" t="str">
        <f>LEFT(M904,10)</f>
        <v>11/15/2024</v>
      </c>
      <c r="E904" t="s">
        <v>202</v>
      </c>
      <c r="F904" t="s">
        <v>218</v>
      </c>
      <c r="G904" t="s">
        <v>220</v>
      </c>
      <c r="I904">
        <v>2308.5</v>
      </c>
      <c r="J904">
        <v>3462.75</v>
      </c>
      <c r="K904">
        <v>1.5</v>
      </c>
      <c r="M904" t="s">
        <v>289</v>
      </c>
    </row>
    <row r="905" spans="1:13" hidden="1">
      <c r="A905" t="s">
        <v>72</v>
      </c>
      <c r="B905" t="s">
        <v>8</v>
      </c>
      <c r="C905" t="s">
        <v>71</v>
      </c>
      <c r="D905" t="str">
        <f>LEFT(M905,10)</f>
        <v>11/15/2024</v>
      </c>
      <c r="E905" t="s">
        <v>202</v>
      </c>
      <c r="F905" t="s">
        <v>218</v>
      </c>
      <c r="G905" t="s">
        <v>243</v>
      </c>
      <c r="H905" t="s">
        <v>345</v>
      </c>
      <c r="I905">
        <v>2835</v>
      </c>
      <c r="J905">
        <v>6237</v>
      </c>
      <c r="K905">
        <v>2.2000000000000002</v>
      </c>
      <c r="M905" t="s">
        <v>289</v>
      </c>
    </row>
    <row r="906" spans="1:13" hidden="1">
      <c r="A906" t="s">
        <v>72</v>
      </c>
      <c r="B906" t="s">
        <v>8</v>
      </c>
      <c r="C906" t="s">
        <v>71</v>
      </c>
      <c r="D906" t="str">
        <f>LEFT(M906,10)</f>
        <v>11/15/2024</v>
      </c>
      <c r="E906" t="s">
        <v>202</v>
      </c>
      <c r="F906" t="s">
        <v>218</v>
      </c>
      <c r="G906" t="s">
        <v>223</v>
      </c>
      <c r="I906">
        <v>4679.5</v>
      </c>
      <c r="J906">
        <v>3743.6</v>
      </c>
      <c r="K906">
        <v>0.8</v>
      </c>
      <c r="M906" t="s">
        <v>289</v>
      </c>
    </row>
    <row r="907" spans="1:13" hidden="1">
      <c r="A907" t="s">
        <v>72</v>
      </c>
      <c r="B907" t="s">
        <v>8</v>
      </c>
      <c r="C907" t="s">
        <v>71</v>
      </c>
      <c r="D907" t="str">
        <f>LEFT(M907,10)</f>
        <v>11/15/2024</v>
      </c>
      <c r="E907" t="s">
        <v>202</v>
      </c>
      <c r="F907" t="s">
        <v>218</v>
      </c>
      <c r="I907">
        <v>0</v>
      </c>
      <c r="K907">
        <v>0</v>
      </c>
      <c r="M907" t="s">
        <v>289</v>
      </c>
    </row>
    <row r="908" spans="1:13" hidden="1">
      <c r="A908" t="s">
        <v>72</v>
      </c>
      <c r="B908" t="s">
        <v>8</v>
      </c>
      <c r="C908" t="s">
        <v>71</v>
      </c>
      <c r="D908" t="str">
        <f>LEFT(M908,10)</f>
        <v>11/15/2024</v>
      </c>
      <c r="E908" t="s">
        <v>202</v>
      </c>
      <c r="F908" t="s">
        <v>218</v>
      </c>
      <c r="G908" t="s">
        <v>223</v>
      </c>
      <c r="I908">
        <v>693.5</v>
      </c>
      <c r="J908">
        <v>485.45</v>
      </c>
      <c r="K908">
        <v>0.7</v>
      </c>
      <c r="M908" t="s">
        <v>289</v>
      </c>
    </row>
    <row r="909" spans="1:13" hidden="1">
      <c r="A909" t="s">
        <v>72</v>
      </c>
      <c r="B909" t="s">
        <v>8</v>
      </c>
      <c r="C909" t="s">
        <v>71</v>
      </c>
      <c r="D909" t="str">
        <f>LEFT(M909,10)</f>
        <v>11/15/2024</v>
      </c>
      <c r="E909" t="s">
        <v>202</v>
      </c>
      <c r="F909" t="s">
        <v>218</v>
      </c>
      <c r="G909" t="s">
        <v>266</v>
      </c>
      <c r="I909">
        <v>910.5</v>
      </c>
      <c r="J909">
        <v>45.53</v>
      </c>
      <c r="K909">
        <v>0.05</v>
      </c>
      <c r="M909" t="s">
        <v>289</v>
      </c>
    </row>
    <row r="910" spans="1:13" hidden="1">
      <c r="A910" t="s">
        <v>72</v>
      </c>
      <c r="B910" t="s">
        <v>8</v>
      </c>
      <c r="C910" t="s">
        <v>71</v>
      </c>
      <c r="D910" t="str">
        <f>LEFT(M910,10)</f>
        <v>11/15/2024</v>
      </c>
      <c r="E910" t="s">
        <v>202</v>
      </c>
      <c r="F910" t="s">
        <v>218</v>
      </c>
      <c r="G910" t="s">
        <v>266</v>
      </c>
      <c r="I910">
        <v>1299</v>
      </c>
      <c r="J910">
        <v>64.95</v>
      </c>
      <c r="K910">
        <v>0.05</v>
      </c>
      <c r="M910" t="s">
        <v>289</v>
      </c>
    </row>
    <row r="911" spans="1:13" hidden="1">
      <c r="A911" t="s">
        <v>72</v>
      </c>
      <c r="B911" t="s">
        <v>8</v>
      </c>
      <c r="C911" t="s">
        <v>71</v>
      </c>
      <c r="D911" t="str">
        <f>LEFT(M911,10)</f>
        <v>11/15/2024</v>
      </c>
      <c r="E911" t="s">
        <v>202</v>
      </c>
      <c r="F911" t="s">
        <v>218</v>
      </c>
      <c r="G911" t="s">
        <v>225</v>
      </c>
      <c r="I911">
        <v>207</v>
      </c>
      <c r="J911">
        <v>165.6</v>
      </c>
      <c r="K911">
        <v>0.8</v>
      </c>
      <c r="M911" t="s">
        <v>289</v>
      </c>
    </row>
    <row r="912" spans="1:13" hidden="1">
      <c r="A912" t="s">
        <v>72</v>
      </c>
      <c r="B912" t="s">
        <v>8</v>
      </c>
      <c r="C912" t="s">
        <v>71</v>
      </c>
      <c r="D912" t="str">
        <f>LEFT(M912,10)</f>
        <v>11/15/2024</v>
      </c>
      <c r="E912" t="s">
        <v>202</v>
      </c>
      <c r="F912" t="s">
        <v>218</v>
      </c>
      <c r="G912" t="s">
        <v>225</v>
      </c>
      <c r="I912">
        <v>136</v>
      </c>
      <c r="J912">
        <v>136</v>
      </c>
      <c r="K912">
        <v>1</v>
      </c>
      <c r="M912" t="s">
        <v>289</v>
      </c>
    </row>
    <row r="913" spans="1:13" hidden="1">
      <c r="A913" t="s">
        <v>72</v>
      </c>
      <c r="B913" t="s">
        <v>8</v>
      </c>
      <c r="C913" t="s">
        <v>71</v>
      </c>
      <c r="D913" t="str">
        <f>LEFT(M913,10)</f>
        <v>11/15/2024</v>
      </c>
      <c r="E913" t="s">
        <v>202</v>
      </c>
      <c r="F913" t="s">
        <v>218</v>
      </c>
      <c r="G913" t="s">
        <v>221</v>
      </c>
      <c r="I913">
        <v>398.5</v>
      </c>
      <c r="J913">
        <v>1036.0999999999999</v>
      </c>
      <c r="K913">
        <v>2.6</v>
      </c>
      <c r="M913" t="s">
        <v>289</v>
      </c>
    </row>
    <row r="914" spans="1:13" hidden="1">
      <c r="A914" t="s">
        <v>72</v>
      </c>
      <c r="B914" t="s">
        <v>8</v>
      </c>
      <c r="C914" t="s">
        <v>71</v>
      </c>
      <c r="D914" t="str">
        <f>LEFT(M914,10)</f>
        <v>11/15/2024</v>
      </c>
      <c r="E914" t="s">
        <v>202</v>
      </c>
      <c r="F914" t="s">
        <v>218</v>
      </c>
      <c r="G914" t="s">
        <v>221</v>
      </c>
      <c r="I914">
        <v>362</v>
      </c>
      <c r="J914">
        <v>977.4</v>
      </c>
      <c r="K914">
        <v>2.7</v>
      </c>
      <c r="M914" t="s">
        <v>289</v>
      </c>
    </row>
    <row r="915" spans="1:13" hidden="1">
      <c r="A915" t="s">
        <v>72</v>
      </c>
      <c r="B915" t="s">
        <v>8</v>
      </c>
      <c r="C915" t="s">
        <v>71</v>
      </c>
      <c r="D915" t="str">
        <f>LEFT(M915,10)</f>
        <v>11/15/2024</v>
      </c>
      <c r="E915" t="s">
        <v>202</v>
      </c>
      <c r="F915" t="s">
        <v>218</v>
      </c>
      <c r="G915" t="s">
        <v>220</v>
      </c>
      <c r="I915">
        <v>624.5</v>
      </c>
      <c r="J915">
        <v>1623.7</v>
      </c>
      <c r="K915">
        <v>2.6</v>
      </c>
      <c r="M915" t="s">
        <v>289</v>
      </c>
    </row>
    <row r="916" spans="1:13" hidden="1">
      <c r="A916" t="s">
        <v>72</v>
      </c>
      <c r="B916" t="s">
        <v>8</v>
      </c>
      <c r="C916" t="s">
        <v>71</v>
      </c>
      <c r="D916" t="str">
        <f>LEFT(M916,10)</f>
        <v>11/15/2024</v>
      </c>
      <c r="E916" t="s">
        <v>202</v>
      </c>
      <c r="F916" t="s">
        <v>218</v>
      </c>
      <c r="G916" t="s">
        <v>220</v>
      </c>
      <c r="I916">
        <v>434</v>
      </c>
      <c r="J916">
        <v>1171.8</v>
      </c>
      <c r="K916">
        <v>2.7</v>
      </c>
      <c r="M916" t="s">
        <v>289</v>
      </c>
    </row>
    <row r="917" spans="1:13" hidden="1">
      <c r="A917" t="s">
        <v>72</v>
      </c>
      <c r="B917" t="s">
        <v>8</v>
      </c>
      <c r="C917" t="s">
        <v>71</v>
      </c>
      <c r="D917" t="str">
        <f>LEFT(M917,10)</f>
        <v>11/15/2024</v>
      </c>
      <c r="E917" t="s">
        <v>202</v>
      </c>
      <c r="F917" t="s">
        <v>218</v>
      </c>
      <c r="G917" t="s">
        <v>222</v>
      </c>
      <c r="I917">
        <v>370</v>
      </c>
      <c r="J917">
        <v>740</v>
      </c>
      <c r="K917">
        <v>2</v>
      </c>
      <c r="M917" t="s">
        <v>289</v>
      </c>
    </row>
    <row r="918" spans="1:13" hidden="1">
      <c r="A918" t="s">
        <v>72</v>
      </c>
      <c r="B918" t="s">
        <v>8</v>
      </c>
      <c r="C918" t="s">
        <v>71</v>
      </c>
      <c r="D918" t="str">
        <f>LEFT(M918,10)</f>
        <v>11/15/2024</v>
      </c>
      <c r="E918" t="s">
        <v>202</v>
      </c>
      <c r="F918" t="s">
        <v>218</v>
      </c>
      <c r="G918" t="s">
        <v>222</v>
      </c>
      <c r="I918">
        <v>449.5</v>
      </c>
      <c r="J918">
        <v>719.2</v>
      </c>
      <c r="K918">
        <v>1.6</v>
      </c>
      <c r="M918" t="s">
        <v>289</v>
      </c>
    </row>
    <row r="919" spans="1:13" hidden="1">
      <c r="A919" t="s">
        <v>72</v>
      </c>
      <c r="B919" t="s">
        <v>8</v>
      </c>
      <c r="C919" t="s">
        <v>71</v>
      </c>
      <c r="D919" t="str">
        <f>LEFT(M919,10)</f>
        <v>11/15/2024</v>
      </c>
      <c r="E919" t="s">
        <v>202</v>
      </c>
      <c r="F919" t="s">
        <v>218</v>
      </c>
      <c r="G919" t="s">
        <v>222</v>
      </c>
      <c r="I919">
        <v>498</v>
      </c>
      <c r="J919">
        <v>896.4</v>
      </c>
      <c r="K919">
        <v>1.8</v>
      </c>
      <c r="M919" t="s">
        <v>289</v>
      </c>
    </row>
    <row r="920" spans="1:13" hidden="1">
      <c r="A920" t="s">
        <v>72</v>
      </c>
      <c r="B920" t="s">
        <v>8</v>
      </c>
      <c r="C920" t="s">
        <v>71</v>
      </c>
      <c r="D920" t="str">
        <f>LEFT(M920,10)</f>
        <v>11/15/2024</v>
      </c>
      <c r="E920" t="s">
        <v>202</v>
      </c>
      <c r="F920" t="s">
        <v>218</v>
      </c>
      <c r="G920" t="s">
        <v>222</v>
      </c>
      <c r="I920">
        <v>539</v>
      </c>
      <c r="J920">
        <v>835.45</v>
      </c>
      <c r="K920">
        <v>1.55</v>
      </c>
      <c r="M920" t="s">
        <v>289</v>
      </c>
    </row>
    <row r="921" spans="1:13" hidden="1">
      <c r="A921" t="s">
        <v>72</v>
      </c>
      <c r="B921" t="s">
        <v>8</v>
      </c>
      <c r="C921" t="s">
        <v>71</v>
      </c>
      <c r="D921" t="str">
        <f>LEFT(M921,10)</f>
        <v>11/15/2024</v>
      </c>
      <c r="E921" t="s">
        <v>202</v>
      </c>
      <c r="F921" t="s">
        <v>218</v>
      </c>
      <c r="G921" t="s">
        <v>268</v>
      </c>
      <c r="I921">
        <v>306</v>
      </c>
      <c r="J921">
        <v>612</v>
      </c>
      <c r="K921">
        <v>2</v>
      </c>
      <c r="M921" t="s">
        <v>289</v>
      </c>
    </row>
    <row r="922" spans="1:13" hidden="1">
      <c r="A922" t="s">
        <v>72</v>
      </c>
      <c r="B922" t="s">
        <v>8</v>
      </c>
      <c r="C922" t="s">
        <v>71</v>
      </c>
      <c r="D922" t="str">
        <f>LEFT(M922,10)</f>
        <v>11/15/2024</v>
      </c>
      <c r="E922" t="s">
        <v>202</v>
      </c>
      <c r="F922" t="s">
        <v>218</v>
      </c>
      <c r="G922" t="s">
        <v>268</v>
      </c>
      <c r="I922">
        <v>311</v>
      </c>
      <c r="J922">
        <v>559.79999999999995</v>
      </c>
      <c r="K922">
        <v>1.8</v>
      </c>
      <c r="M922" t="s">
        <v>289</v>
      </c>
    </row>
    <row r="923" spans="1:13" hidden="1">
      <c r="A923" t="s">
        <v>72</v>
      </c>
      <c r="B923" t="s">
        <v>8</v>
      </c>
      <c r="C923" t="s">
        <v>71</v>
      </c>
      <c r="D923" t="str">
        <f>LEFT(M923,10)</f>
        <v>11/15/2024</v>
      </c>
      <c r="E923" t="s">
        <v>202</v>
      </c>
      <c r="F923" t="s">
        <v>218</v>
      </c>
      <c r="G923" t="s">
        <v>222</v>
      </c>
      <c r="I923">
        <v>97.5</v>
      </c>
      <c r="J923">
        <v>195</v>
      </c>
      <c r="K923">
        <v>2</v>
      </c>
      <c r="M923" t="s">
        <v>289</v>
      </c>
    </row>
    <row r="924" spans="1:13" hidden="1">
      <c r="A924" t="s">
        <v>72</v>
      </c>
      <c r="B924" t="s">
        <v>8</v>
      </c>
      <c r="C924" t="s">
        <v>71</v>
      </c>
      <c r="D924" t="str">
        <f>LEFT(M924,10)</f>
        <v>11/15/2024</v>
      </c>
      <c r="E924" t="s">
        <v>202</v>
      </c>
      <c r="F924" t="s">
        <v>218</v>
      </c>
      <c r="G924" t="s">
        <v>222</v>
      </c>
      <c r="I924">
        <v>2391</v>
      </c>
      <c r="J924">
        <v>3825.6</v>
      </c>
      <c r="K924">
        <v>1.6</v>
      </c>
      <c r="M924" t="s">
        <v>289</v>
      </c>
    </row>
    <row r="925" spans="1:13" hidden="1">
      <c r="A925" t="s">
        <v>72</v>
      </c>
      <c r="B925" t="s">
        <v>8</v>
      </c>
      <c r="C925" t="s">
        <v>71</v>
      </c>
      <c r="D925" t="str">
        <f>LEFT(M925,10)</f>
        <v>11/15/2024</v>
      </c>
      <c r="E925" t="s">
        <v>202</v>
      </c>
      <c r="F925" t="s">
        <v>218</v>
      </c>
      <c r="G925" t="s">
        <v>224</v>
      </c>
      <c r="I925">
        <v>0</v>
      </c>
      <c r="K925">
        <v>0</v>
      </c>
      <c r="M925" t="s">
        <v>289</v>
      </c>
    </row>
    <row r="926" spans="1:13" hidden="1">
      <c r="A926" t="s">
        <v>72</v>
      </c>
      <c r="B926" t="s">
        <v>8</v>
      </c>
      <c r="C926" t="s">
        <v>71</v>
      </c>
      <c r="D926" t="str">
        <f>LEFT(M926,10)</f>
        <v>11/15/2024</v>
      </c>
      <c r="E926" t="s">
        <v>202</v>
      </c>
      <c r="F926" t="s">
        <v>218</v>
      </c>
      <c r="G926" t="s">
        <v>243</v>
      </c>
      <c r="H926" t="s">
        <v>346</v>
      </c>
      <c r="I926">
        <v>215</v>
      </c>
      <c r="J926">
        <v>537.5</v>
      </c>
      <c r="K926">
        <v>2.5</v>
      </c>
      <c r="M926" t="s">
        <v>289</v>
      </c>
    </row>
    <row r="927" spans="1:13" hidden="1">
      <c r="A927" t="s">
        <v>72</v>
      </c>
      <c r="B927" t="s">
        <v>8</v>
      </c>
      <c r="C927" t="s">
        <v>71</v>
      </c>
      <c r="D927" t="str">
        <f>LEFT(M927,10)</f>
        <v>11/15/2024</v>
      </c>
      <c r="E927" t="s">
        <v>202</v>
      </c>
      <c r="F927" t="s">
        <v>218</v>
      </c>
      <c r="G927" t="s">
        <v>226</v>
      </c>
      <c r="I927">
        <v>183</v>
      </c>
      <c r="J927">
        <v>54.9</v>
      </c>
      <c r="K927">
        <v>0.3</v>
      </c>
      <c r="M927" t="s">
        <v>289</v>
      </c>
    </row>
    <row r="928" spans="1:13" hidden="1">
      <c r="A928" t="s">
        <v>72</v>
      </c>
      <c r="B928" t="s">
        <v>8</v>
      </c>
      <c r="C928" t="s">
        <v>71</v>
      </c>
      <c r="D928" t="str">
        <f>LEFT(M928,10)</f>
        <v>11/15/2024</v>
      </c>
      <c r="E928" t="s">
        <v>202</v>
      </c>
      <c r="F928" t="s">
        <v>218</v>
      </c>
      <c r="G928" t="s">
        <v>226</v>
      </c>
      <c r="I928">
        <v>454.5</v>
      </c>
      <c r="J928">
        <v>159.08000000000001</v>
      </c>
      <c r="K928">
        <v>0.35</v>
      </c>
      <c r="M928" t="s">
        <v>289</v>
      </c>
    </row>
    <row r="929" spans="1:13" hidden="1">
      <c r="A929" t="s">
        <v>72</v>
      </c>
      <c r="B929" t="s">
        <v>8</v>
      </c>
      <c r="C929" t="s">
        <v>71</v>
      </c>
      <c r="D929" t="str">
        <f>LEFT(M929,10)</f>
        <v>11/15/2024</v>
      </c>
      <c r="E929" t="s">
        <v>202</v>
      </c>
      <c r="F929" t="s">
        <v>218</v>
      </c>
      <c r="G929" t="s">
        <v>243</v>
      </c>
      <c r="H929" t="s">
        <v>347</v>
      </c>
      <c r="I929">
        <v>131.5</v>
      </c>
      <c r="J929">
        <v>39.450000000000003</v>
      </c>
      <c r="K929">
        <v>0.3</v>
      </c>
      <c r="M929" t="s">
        <v>289</v>
      </c>
    </row>
    <row r="930" spans="1:13" hidden="1">
      <c r="A930" t="s">
        <v>72</v>
      </c>
      <c r="B930" t="s">
        <v>8</v>
      </c>
      <c r="C930" t="s">
        <v>71</v>
      </c>
      <c r="D930" t="str">
        <f>LEFT(M930,10)</f>
        <v>11/15/2024</v>
      </c>
      <c r="E930" t="s">
        <v>202</v>
      </c>
      <c r="F930" t="s">
        <v>203</v>
      </c>
      <c r="G930" t="s">
        <v>208</v>
      </c>
      <c r="I930">
        <v>67</v>
      </c>
      <c r="J930">
        <v>636.5</v>
      </c>
      <c r="K930">
        <v>9.5</v>
      </c>
      <c r="M930" t="s">
        <v>289</v>
      </c>
    </row>
    <row r="931" spans="1:13" hidden="1">
      <c r="A931" t="s">
        <v>72</v>
      </c>
      <c r="B931" t="s">
        <v>8</v>
      </c>
      <c r="C931" t="s">
        <v>71</v>
      </c>
      <c r="D931" t="str">
        <f>LEFT(M931,10)</f>
        <v>11/15/2024</v>
      </c>
      <c r="E931" t="s">
        <v>202</v>
      </c>
      <c r="F931" t="s">
        <v>203</v>
      </c>
      <c r="G931" t="s">
        <v>208</v>
      </c>
      <c r="I931">
        <v>2.5</v>
      </c>
      <c r="J931">
        <v>32.5</v>
      </c>
      <c r="K931">
        <v>13</v>
      </c>
      <c r="M931" t="s">
        <v>289</v>
      </c>
    </row>
    <row r="932" spans="1:13" hidden="1">
      <c r="A932" t="s">
        <v>72</v>
      </c>
      <c r="B932" t="s">
        <v>8</v>
      </c>
      <c r="C932" t="s">
        <v>71</v>
      </c>
      <c r="D932" t="str">
        <f>LEFT(M932,10)</f>
        <v>11/15/2024</v>
      </c>
      <c r="E932" t="s">
        <v>202</v>
      </c>
      <c r="F932" t="s">
        <v>203</v>
      </c>
      <c r="G932" t="s">
        <v>208</v>
      </c>
      <c r="I932">
        <v>40</v>
      </c>
      <c r="J932">
        <v>360</v>
      </c>
      <c r="K932">
        <v>9</v>
      </c>
      <c r="M932" t="s">
        <v>289</v>
      </c>
    </row>
    <row r="933" spans="1:13" hidden="1">
      <c r="A933" t="s">
        <v>72</v>
      </c>
      <c r="B933" t="s">
        <v>8</v>
      </c>
      <c r="C933" t="s">
        <v>71</v>
      </c>
      <c r="D933" t="str">
        <f>LEFT(M933,10)</f>
        <v>11/15/2024</v>
      </c>
      <c r="E933" t="s">
        <v>202</v>
      </c>
      <c r="F933" t="s">
        <v>203</v>
      </c>
      <c r="G933" t="s">
        <v>208</v>
      </c>
      <c r="I933">
        <v>28.5</v>
      </c>
      <c r="J933">
        <v>256.5</v>
      </c>
      <c r="K933">
        <v>9</v>
      </c>
      <c r="M933" t="s">
        <v>289</v>
      </c>
    </row>
    <row r="934" spans="1:13" hidden="1">
      <c r="A934" t="s">
        <v>72</v>
      </c>
      <c r="B934" t="s">
        <v>8</v>
      </c>
      <c r="C934" t="s">
        <v>71</v>
      </c>
      <c r="D934" t="str">
        <f>LEFT(M934,10)</f>
        <v>11/15/2024</v>
      </c>
      <c r="E934" t="s">
        <v>202</v>
      </c>
      <c r="F934" t="s">
        <v>203</v>
      </c>
      <c r="G934" t="s">
        <v>236</v>
      </c>
      <c r="I934">
        <v>63.9</v>
      </c>
      <c r="J934">
        <v>383.4</v>
      </c>
      <c r="K934">
        <v>6</v>
      </c>
      <c r="M934" t="s">
        <v>289</v>
      </c>
    </row>
    <row r="935" spans="1:13" hidden="1">
      <c r="A935" t="s">
        <v>72</v>
      </c>
      <c r="B935" t="s">
        <v>8</v>
      </c>
      <c r="C935" t="s">
        <v>71</v>
      </c>
      <c r="D935" t="str">
        <f>LEFT(M935,10)</f>
        <v>11/15/2024</v>
      </c>
      <c r="E935" t="s">
        <v>202</v>
      </c>
      <c r="F935" t="s">
        <v>203</v>
      </c>
      <c r="G935" t="s">
        <v>206</v>
      </c>
      <c r="I935">
        <v>51</v>
      </c>
      <c r="J935">
        <v>178.5</v>
      </c>
      <c r="K935">
        <v>3.5</v>
      </c>
      <c r="M935" t="s">
        <v>289</v>
      </c>
    </row>
    <row r="936" spans="1:13" hidden="1">
      <c r="A936" t="s">
        <v>72</v>
      </c>
      <c r="B936" t="s">
        <v>8</v>
      </c>
      <c r="C936" t="s">
        <v>71</v>
      </c>
      <c r="D936" t="str">
        <f>LEFT(M936,10)</f>
        <v>11/15/2024</v>
      </c>
      <c r="E936" t="s">
        <v>202</v>
      </c>
      <c r="F936" t="s">
        <v>203</v>
      </c>
      <c r="G936" t="s">
        <v>215</v>
      </c>
      <c r="I936">
        <v>8210</v>
      </c>
      <c r="J936">
        <v>4926</v>
      </c>
      <c r="K936">
        <v>0.6</v>
      </c>
      <c r="M936" t="s">
        <v>289</v>
      </c>
    </row>
    <row r="937" spans="1:13" hidden="1">
      <c r="A937" t="s">
        <v>72</v>
      </c>
      <c r="B937" t="s">
        <v>8</v>
      </c>
      <c r="C937" t="s">
        <v>71</v>
      </c>
      <c r="D937" t="str">
        <f>LEFT(M937,10)</f>
        <v>11/15/2024</v>
      </c>
      <c r="E937" t="s">
        <v>202</v>
      </c>
      <c r="F937" t="s">
        <v>203</v>
      </c>
      <c r="G937" t="s">
        <v>207</v>
      </c>
      <c r="I937">
        <v>27</v>
      </c>
      <c r="J937">
        <v>162</v>
      </c>
      <c r="K937">
        <v>6</v>
      </c>
      <c r="M937" t="s">
        <v>289</v>
      </c>
    </row>
    <row r="938" spans="1:13" hidden="1">
      <c r="A938" t="s">
        <v>72</v>
      </c>
      <c r="B938" t="s">
        <v>8</v>
      </c>
      <c r="C938" t="s">
        <v>71</v>
      </c>
      <c r="D938" t="str">
        <f>LEFT(M938,10)</f>
        <v>11/15/2024</v>
      </c>
      <c r="E938" t="s">
        <v>202</v>
      </c>
      <c r="F938" t="s">
        <v>203</v>
      </c>
      <c r="G938" t="s">
        <v>207</v>
      </c>
      <c r="I938">
        <v>10</v>
      </c>
      <c r="J938">
        <v>50</v>
      </c>
      <c r="K938">
        <v>5</v>
      </c>
      <c r="M938" t="s">
        <v>289</v>
      </c>
    </row>
    <row r="939" spans="1:13" hidden="1">
      <c r="A939" t="s">
        <v>72</v>
      </c>
      <c r="B939" t="s">
        <v>8</v>
      </c>
      <c r="C939" t="s">
        <v>71</v>
      </c>
      <c r="D939" t="str">
        <f>LEFT(M939,10)</f>
        <v>11/15/2024</v>
      </c>
      <c r="E939" t="s">
        <v>202</v>
      </c>
      <c r="F939" t="s">
        <v>203</v>
      </c>
      <c r="G939" t="s">
        <v>207</v>
      </c>
      <c r="I939">
        <v>35</v>
      </c>
      <c r="J939">
        <v>175</v>
      </c>
      <c r="K939">
        <v>5</v>
      </c>
      <c r="M939" t="s">
        <v>289</v>
      </c>
    </row>
    <row r="940" spans="1:13" hidden="1">
      <c r="A940" t="s">
        <v>72</v>
      </c>
      <c r="B940" t="s">
        <v>8</v>
      </c>
      <c r="C940" t="s">
        <v>71</v>
      </c>
      <c r="D940" t="str">
        <f>LEFT(M940,10)</f>
        <v>11/15/2024</v>
      </c>
      <c r="E940" t="s">
        <v>202</v>
      </c>
      <c r="F940" t="s">
        <v>203</v>
      </c>
      <c r="G940" t="s">
        <v>204</v>
      </c>
      <c r="I940">
        <v>259</v>
      </c>
      <c r="J940">
        <v>2279.1999999999998</v>
      </c>
      <c r="K940">
        <v>8.8000000000000007</v>
      </c>
      <c r="M940" t="s">
        <v>289</v>
      </c>
    </row>
    <row r="941" spans="1:13" hidden="1">
      <c r="A941" t="s">
        <v>72</v>
      </c>
      <c r="B941" t="s">
        <v>8</v>
      </c>
      <c r="C941" t="s">
        <v>71</v>
      </c>
      <c r="D941" t="str">
        <f>LEFT(M941,10)</f>
        <v>11/15/2024</v>
      </c>
      <c r="E941" t="s">
        <v>202</v>
      </c>
      <c r="F941" t="s">
        <v>203</v>
      </c>
      <c r="G941" t="s">
        <v>204</v>
      </c>
      <c r="I941">
        <v>367</v>
      </c>
      <c r="J941">
        <v>3303</v>
      </c>
      <c r="K941">
        <v>9</v>
      </c>
      <c r="M941" t="s">
        <v>289</v>
      </c>
    </row>
    <row r="942" spans="1:13" hidden="1">
      <c r="A942" t="s">
        <v>72</v>
      </c>
      <c r="B942" t="s">
        <v>8</v>
      </c>
      <c r="C942" t="s">
        <v>71</v>
      </c>
      <c r="D942" t="str">
        <f>LEFT(M942,10)</f>
        <v>11/15/2024</v>
      </c>
      <c r="E942" t="s">
        <v>202</v>
      </c>
      <c r="F942" t="s">
        <v>203</v>
      </c>
      <c r="G942" t="s">
        <v>204</v>
      </c>
      <c r="I942">
        <v>325</v>
      </c>
      <c r="J942">
        <v>2600</v>
      </c>
      <c r="K942">
        <v>8</v>
      </c>
      <c r="M942" t="s">
        <v>289</v>
      </c>
    </row>
    <row r="943" spans="1:13" hidden="1">
      <c r="A943" t="s">
        <v>72</v>
      </c>
      <c r="B943" t="s">
        <v>8</v>
      </c>
      <c r="C943" t="s">
        <v>71</v>
      </c>
      <c r="D943" t="str">
        <f>LEFT(M943,10)</f>
        <v>11/15/2024</v>
      </c>
      <c r="E943" t="s">
        <v>202</v>
      </c>
      <c r="F943" t="s">
        <v>203</v>
      </c>
      <c r="G943" t="s">
        <v>236</v>
      </c>
      <c r="I943">
        <v>20.5</v>
      </c>
      <c r="J943">
        <v>184.5</v>
      </c>
      <c r="K943">
        <v>9</v>
      </c>
      <c r="M943" t="s">
        <v>289</v>
      </c>
    </row>
    <row r="944" spans="1:13" hidden="1">
      <c r="A944" t="s">
        <v>72</v>
      </c>
      <c r="B944" t="s">
        <v>8</v>
      </c>
      <c r="C944" t="s">
        <v>71</v>
      </c>
      <c r="D944" t="str">
        <f>LEFT(M944,10)</f>
        <v>11/15/2024</v>
      </c>
      <c r="E944" t="s">
        <v>202</v>
      </c>
      <c r="F944" t="s">
        <v>203</v>
      </c>
      <c r="G944" t="s">
        <v>207</v>
      </c>
      <c r="I944">
        <v>25</v>
      </c>
      <c r="J944">
        <v>100</v>
      </c>
      <c r="K944">
        <v>4</v>
      </c>
      <c r="M944" t="s">
        <v>289</v>
      </c>
    </row>
    <row r="945" spans="1:13" hidden="1">
      <c r="A945" t="s">
        <v>72</v>
      </c>
      <c r="B945" t="s">
        <v>8</v>
      </c>
      <c r="C945" t="s">
        <v>71</v>
      </c>
      <c r="D945" t="str">
        <f>LEFT(M945,10)</f>
        <v>11/15/2024</v>
      </c>
      <c r="E945" t="s">
        <v>202</v>
      </c>
      <c r="F945" t="s">
        <v>203</v>
      </c>
      <c r="G945" t="s">
        <v>236</v>
      </c>
      <c r="I945">
        <v>6.88</v>
      </c>
      <c r="J945">
        <v>41.28</v>
      </c>
      <c r="K945">
        <v>6</v>
      </c>
      <c r="M945" t="s">
        <v>289</v>
      </c>
    </row>
    <row r="946" spans="1:13" hidden="1">
      <c r="A946" t="s">
        <v>72</v>
      </c>
      <c r="B946" t="s">
        <v>8</v>
      </c>
      <c r="C946" t="s">
        <v>71</v>
      </c>
      <c r="D946" t="str">
        <f>LEFT(M946,10)</f>
        <v>11/15/2024</v>
      </c>
      <c r="E946" t="s">
        <v>202</v>
      </c>
      <c r="F946" t="s">
        <v>203</v>
      </c>
      <c r="G946" t="s">
        <v>260</v>
      </c>
      <c r="I946">
        <v>29.5</v>
      </c>
      <c r="J946">
        <v>1268.5</v>
      </c>
      <c r="K946">
        <v>43</v>
      </c>
      <c r="M946" t="s">
        <v>289</v>
      </c>
    </row>
    <row r="947" spans="1:13" hidden="1">
      <c r="A947" t="s">
        <v>72</v>
      </c>
      <c r="B947" t="s">
        <v>8</v>
      </c>
      <c r="C947" t="s">
        <v>71</v>
      </c>
      <c r="D947" t="str">
        <f>LEFT(M947,10)</f>
        <v>11/15/2024</v>
      </c>
      <c r="E947" t="s">
        <v>202</v>
      </c>
      <c r="F947" t="s">
        <v>203</v>
      </c>
      <c r="G947" t="s">
        <v>260</v>
      </c>
      <c r="I947">
        <v>32</v>
      </c>
      <c r="J947">
        <v>1312</v>
      </c>
      <c r="K947">
        <v>41</v>
      </c>
      <c r="M947" t="s">
        <v>289</v>
      </c>
    </row>
    <row r="948" spans="1:13" hidden="1">
      <c r="A948" t="s">
        <v>72</v>
      </c>
      <c r="B948" t="s">
        <v>8</v>
      </c>
      <c r="C948" t="s">
        <v>71</v>
      </c>
      <c r="D948" t="str">
        <f>LEFT(M948,10)</f>
        <v>11/15/2024</v>
      </c>
      <c r="E948" t="s">
        <v>202</v>
      </c>
      <c r="F948" t="s">
        <v>203</v>
      </c>
      <c r="G948" t="s">
        <v>260</v>
      </c>
      <c r="I948">
        <v>5</v>
      </c>
      <c r="J948">
        <v>200</v>
      </c>
      <c r="K948">
        <v>40</v>
      </c>
      <c r="M948" t="s">
        <v>289</v>
      </c>
    </row>
    <row r="949" spans="1:13" hidden="1">
      <c r="A949" t="s">
        <v>72</v>
      </c>
      <c r="B949" t="s">
        <v>8</v>
      </c>
      <c r="C949" t="s">
        <v>71</v>
      </c>
      <c r="D949" t="str">
        <f>LEFT(M949,10)</f>
        <v>11/15/2024</v>
      </c>
      <c r="E949" t="s">
        <v>202</v>
      </c>
      <c r="F949" t="s">
        <v>203</v>
      </c>
      <c r="G949" t="s">
        <v>260</v>
      </c>
      <c r="I949">
        <v>6</v>
      </c>
      <c r="J949">
        <v>264</v>
      </c>
      <c r="K949">
        <v>44</v>
      </c>
      <c r="M949" t="s">
        <v>289</v>
      </c>
    </row>
    <row r="950" spans="1:13" hidden="1">
      <c r="A950" t="s">
        <v>72</v>
      </c>
      <c r="B950" t="s">
        <v>8</v>
      </c>
      <c r="C950" t="s">
        <v>71</v>
      </c>
      <c r="D950" t="str">
        <f>LEFT(M950,10)</f>
        <v>11/15/2024</v>
      </c>
      <c r="E950" t="s">
        <v>202</v>
      </c>
      <c r="F950" t="s">
        <v>203</v>
      </c>
      <c r="G950" t="s">
        <v>260</v>
      </c>
      <c r="I950">
        <v>14.5</v>
      </c>
      <c r="J950">
        <v>667</v>
      </c>
      <c r="K950">
        <v>46</v>
      </c>
      <c r="M950" t="s">
        <v>289</v>
      </c>
    </row>
    <row r="951" spans="1:13" hidden="1">
      <c r="A951" t="s">
        <v>72</v>
      </c>
      <c r="B951" t="s">
        <v>8</v>
      </c>
      <c r="C951" t="s">
        <v>71</v>
      </c>
      <c r="D951" t="str">
        <f>LEFT(M951,10)</f>
        <v>11/15/2024</v>
      </c>
      <c r="E951" t="s">
        <v>202</v>
      </c>
      <c r="F951" t="s">
        <v>203</v>
      </c>
      <c r="G951" t="s">
        <v>236</v>
      </c>
      <c r="I951">
        <v>10</v>
      </c>
      <c r="J951">
        <v>210</v>
      </c>
      <c r="K951">
        <v>21</v>
      </c>
      <c r="M951" t="s">
        <v>289</v>
      </c>
    </row>
    <row r="952" spans="1:13" hidden="1">
      <c r="A952" t="s">
        <v>72</v>
      </c>
      <c r="B952" t="s">
        <v>8</v>
      </c>
      <c r="C952" t="s">
        <v>71</v>
      </c>
      <c r="D952" t="str">
        <f>LEFT(M952,10)</f>
        <v>11/15/2024</v>
      </c>
      <c r="E952" t="s">
        <v>202</v>
      </c>
      <c r="F952" t="s">
        <v>203</v>
      </c>
      <c r="G952" t="s">
        <v>236</v>
      </c>
      <c r="I952">
        <v>5.7</v>
      </c>
      <c r="J952">
        <v>125.4</v>
      </c>
      <c r="K952">
        <v>22</v>
      </c>
      <c r="M952" t="s">
        <v>289</v>
      </c>
    </row>
    <row r="953" spans="1:13" hidden="1">
      <c r="A953" t="s">
        <v>72</v>
      </c>
      <c r="B953" t="s">
        <v>8</v>
      </c>
      <c r="C953" t="s">
        <v>71</v>
      </c>
      <c r="D953" t="str">
        <f>LEFT(M953,10)</f>
        <v>11/15/2024</v>
      </c>
      <c r="E953" t="s">
        <v>202</v>
      </c>
      <c r="F953" t="s">
        <v>203</v>
      </c>
      <c r="G953" t="s">
        <v>235</v>
      </c>
      <c r="I953">
        <v>1.5</v>
      </c>
      <c r="J953">
        <v>9</v>
      </c>
      <c r="K953">
        <v>6</v>
      </c>
      <c r="M953" t="s">
        <v>289</v>
      </c>
    </row>
    <row r="954" spans="1:13" hidden="1">
      <c r="A954" t="s">
        <v>72</v>
      </c>
      <c r="B954" t="s">
        <v>8</v>
      </c>
      <c r="C954" t="s">
        <v>71</v>
      </c>
      <c r="D954" t="str">
        <f>LEFT(M954,10)</f>
        <v>11/15/2024</v>
      </c>
      <c r="E954" t="s">
        <v>202</v>
      </c>
      <c r="F954" t="s">
        <v>209</v>
      </c>
      <c r="G954" t="s">
        <v>212</v>
      </c>
      <c r="I954">
        <v>129.83000000000001</v>
      </c>
      <c r="J954">
        <v>834.83</v>
      </c>
      <c r="K954">
        <v>6.43</v>
      </c>
      <c r="M954" t="s">
        <v>289</v>
      </c>
    </row>
    <row r="955" spans="1:13" hidden="1">
      <c r="A955" t="s">
        <v>72</v>
      </c>
      <c r="B955" t="s">
        <v>8</v>
      </c>
      <c r="C955" t="s">
        <v>71</v>
      </c>
      <c r="D955" t="str">
        <f>LEFT(M955,10)</f>
        <v>11/15/2024</v>
      </c>
      <c r="E955" t="s">
        <v>202</v>
      </c>
      <c r="F955" t="s">
        <v>216</v>
      </c>
      <c r="G955" t="s">
        <v>217</v>
      </c>
      <c r="I955">
        <v>1575</v>
      </c>
      <c r="J955">
        <v>1323</v>
      </c>
      <c r="K955">
        <v>0.84</v>
      </c>
      <c r="M955" t="s">
        <v>289</v>
      </c>
    </row>
    <row r="956" spans="1:13" hidden="1">
      <c r="A956" t="s">
        <v>72</v>
      </c>
      <c r="B956" t="s">
        <v>8</v>
      </c>
      <c r="C956" t="s">
        <v>71</v>
      </c>
      <c r="D956" t="str">
        <f>LEFT(M956,10)</f>
        <v>11/15/2024</v>
      </c>
      <c r="E956" t="s">
        <v>202</v>
      </c>
      <c r="F956" t="s">
        <v>216</v>
      </c>
      <c r="G956" t="s">
        <v>253</v>
      </c>
      <c r="I956">
        <v>9370</v>
      </c>
      <c r="J956">
        <v>1592.9</v>
      </c>
      <c r="K956">
        <v>0.17</v>
      </c>
      <c r="M956" t="s">
        <v>289</v>
      </c>
    </row>
    <row r="957" spans="1:13" hidden="1">
      <c r="A957" t="s">
        <v>72</v>
      </c>
      <c r="B957" t="s">
        <v>8</v>
      </c>
      <c r="C957" t="s">
        <v>71</v>
      </c>
      <c r="D957" t="str">
        <f>LEFT(M957,10)</f>
        <v>11/15/2024</v>
      </c>
      <c r="E957" t="s">
        <v>202</v>
      </c>
      <c r="F957" t="s">
        <v>306</v>
      </c>
      <c r="G957" t="s">
        <v>307</v>
      </c>
      <c r="I957">
        <v>200</v>
      </c>
      <c r="J957">
        <v>400</v>
      </c>
      <c r="K957">
        <v>2</v>
      </c>
      <c r="M957" t="s">
        <v>289</v>
      </c>
    </row>
    <row r="958" spans="1:13" hidden="1">
      <c r="A958" t="s">
        <v>72</v>
      </c>
      <c r="B958" t="s">
        <v>8</v>
      </c>
      <c r="C958" t="s">
        <v>71</v>
      </c>
      <c r="D958" t="str">
        <f>LEFT(M958,10)</f>
        <v>11/15/2024</v>
      </c>
      <c r="E958" t="s">
        <v>230</v>
      </c>
      <c r="F958" t="s">
        <v>323</v>
      </c>
      <c r="I958">
        <v>0</v>
      </c>
      <c r="J958">
        <v>335.4</v>
      </c>
      <c r="L958" t="s">
        <v>348</v>
      </c>
      <c r="M958" t="s">
        <v>289</v>
      </c>
    </row>
    <row r="959" spans="1:13" hidden="1">
      <c r="A959" t="s">
        <v>72</v>
      </c>
      <c r="B959" t="s">
        <v>8</v>
      </c>
      <c r="C959" t="s">
        <v>71</v>
      </c>
      <c r="D959" t="str">
        <f>LEFT(M959,10)</f>
        <v>11/15/2024</v>
      </c>
      <c r="E959" t="s">
        <v>234</v>
      </c>
      <c r="F959" t="s">
        <v>234</v>
      </c>
      <c r="G959" t="s">
        <v>249</v>
      </c>
      <c r="I959">
        <v>16950</v>
      </c>
      <c r="M959" t="s">
        <v>289</v>
      </c>
    </row>
    <row r="960" spans="1:13" hidden="1">
      <c r="A960" t="s">
        <v>72</v>
      </c>
      <c r="B960" t="s">
        <v>8</v>
      </c>
      <c r="C960" t="s">
        <v>71</v>
      </c>
      <c r="D960" t="str">
        <f>LEFT(M960,10)</f>
        <v>11/15/2024</v>
      </c>
      <c r="E960" t="s">
        <v>230</v>
      </c>
      <c r="F960" t="s">
        <v>248</v>
      </c>
      <c r="G960" t="s">
        <v>249</v>
      </c>
      <c r="I960">
        <v>0</v>
      </c>
      <c r="J960">
        <v>15258.81</v>
      </c>
      <c r="M960" t="s">
        <v>289</v>
      </c>
    </row>
    <row r="961" spans="1:13" hidden="1">
      <c r="A961" t="s">
        <v>72</v>
      </c>
      <c r="B961" t="s">
        <v>8</v>
      </c>
      <c r="C961" t="s">
        <v>71</v>
      </c>
      <c r="D961" t="str">
        <f>LEFT(M961,10)</f>
        <v>11/15/2024</v>
      </c>
      <c r="E961" t="s">
        <v>232</v>
      </c>
      <c r="F961" t="s">
        <v>255</v>
      </c>
      <c r="G961" t="s">
        <v>249</v>
      </c>
      <c r="I961">
        <v>0</v>
      </c>
      <c r="J961">
        <v>89</v>
      </c>
      <c r="L961" t="s">
        <v>349</v>
      </c>
      <c r="M961" t="s">
        <v>289</v>
      </c>
    </row>
    <row r="962" spans="1:13" hidden="1">
      <c r="A962" t="s">
        <v>72</v>
      </c>
      <c r="B962" t="s">
        <v>8</v>
      </c>
      <c r="C962" t="s">
        <v>71</v>
      </c>
      <c r="D962" t="str">
        <f>LEFT(M962,10)</f>
        <v>11/15/2024</v>
      </c>
      <c r="E962" t="s">
        <v>232</v>
      </c>
      <c r="F962" t="s">
        <v>255</v>
      </c>
      <c r="G962" t="s">
        <v>249</v>
      </c>
      <c r="I962">
        <v>0</v>
      </c>
      <c r="J962">
        <v>2344.94</v>
      </c>
      <c r="L962" t="s">
        <v>269</v>
      </c>
      <c r="M962" t="s">
        <v>289</v>
      </c>
    </row>
    <row r="963" spans="1:13" hidden="1">
      <c r="A963" t="s">
        <v>72</v>
      </c>
      <c r="B963" t="s">
        <v>8</v>
      </c>
      <c r="C963" t="s">
        <v>71</v>
      </c>
      <c r="D963" t="str">
        <f>LEFT(M963,10)</f>
        <v>11/15/2024</v>
      </c>
      <c r="E963" t="s">
        <v>232</v>
      </c>
      <c r="F963" t="s">
        <v>255</v>
      </c>
      <c r="G963" t="s">
        <v>249</v>
      </c>
      <c r="I963">
        <v>0</v>
      </c>
      <c r="J963">
        <v>1291.9000000000001</v>
      </c>
      <c r="L963" t="s">
        <v>350</v>
      </c>
      <c r="M963" t="s">
        <v>289</v>
      </c>
    </row>
    <row r="964" spans="1:13" hidden="1">
      <c r="A964" t="s">
        <v>72</v>
      </c>
      <c r="B964" t="s">
        <v>8</v>
      </c>
      <c r="C964" t="s">
        <v>71</v>
      </c>
      <c r="D964" t="str">
        <f>LEFT(M964,10)</f>
        <v>11/15/2024</v>
      </c>
      <c r="E964" t="s">
        <v>232</v>
      </c>
      <c r="F964" t="s">
        <v>251</v>
      </c>
      <c r="G964" t="s">
        <v>249</v>
      </c>
      <c r="I964">
        <v>0</v>
      </c>
      <c r="J964">
        <v>1770.97</v>
      </c>
      <c r="M964" t="s">
        <v>289</v>
      </c>
    </row>
    <row r="965" spans="1:13" hidden="1">
      <c r="A965" t="s">
        <v>72</v>
      </c>
      <c r="B965" t="s">
        <v>8</v>
      </c>
      <c r="C965" t="s">
        <v>71</v>
      </c>
      <c r="D965" t="str">
        <f>LEFT(M965,10)</f>
        <v>11/15/2024</v>
      </c>
      <c r="E965" t="s">
        <v>232</v>
      </c>
      <c r="F965" t="s">
        <v>255</v>
      </c>
      <c r="G965" t="s">
        <v>249</v>
      </c>
      <c r="I965">
        <v>0</v>
      </c>
      <c r="J965">
        <v>95.62</v>
      </c>
      <c r="L965" t="s">
        <v>351</v>
      </c>
      <c r="M965" t="s">
        <v>289</v>
      </c>
    </row>
    <row r="966" spans="1:13" hidden="1">
      <c r="A966" t="s">
        <v>72</v>
      </c>
      <c r="B966" t="s">
        <v>8</v>
      </c>
      <c r="C966" t="s">
        <v>71</v>
      </c>
      <c r="D966" t="str">
        <f>LEFT(M966,10)</f>
        <v>11/15/2024</v>
      </c>
      <c r="E966" t="s">
        <v>232</v>
      </c>
      <c r="F966" t="s">
        <v>255</v>
      </c>
      <c r="G966" t="s">
        <v>249</v>
      </c>
      <c r="I966">
        <v>0</v>
      </c>
      <c r="J966">
        <v>150</v>
      </c>
      <c r="L966" t="s">
        <v>352</v>
      </c>
      <c r="M966" t="s">
        <v>289</v>
      </c>
    </row>
    <row r="967" spans="1:13" hidden="1">
      <c r="A967" t="s">
        <v>72</v>
      </c>
      <c r="B967" t="s">
        <v>8</v>
      </c>
      <c r="C967" t="s">
        <v>71</v>
      </c>
      <c r="D967" t="str">
        <f>LEFT(M967,10)</f>
        <v>11/15/2024</v>
      </c>
      <c r="E967" t="s">
        <v>232</v>
      </c>
      <c r="F967" t="s">
        <v>251</v>
      </c>
      <c r="G967" t="s">
        <v>249</v>
      </c>
      <c r="I967">
        <v>0</v>
      </c>
      <c r="J967">
        <v>470</v>
      </c>
      <c r="M967" t="s">
        <v>289</v>
      </c>
    </row>
    <row r="968" spans="1:13" hidden="1">
      <c r="A968" t="s">
        <v>72</v>
      </c>
      <c r="B968" t="s">
        <v>8</v>
      </c>
      <c r="C968" t="s">
        <v>71</v>
      </c>
      <c r="D968" t="str">
        <f>LEFT(M968,10)</f>
        <v>11/15/2024</v>
      </c>
      <c r="E968" t="s">
        <v>232</v>
      </c>
      <c r="F968" t="s">
        <v>255</v>
      </c>
      <c r="G968" t="s">
        <v>249</v>
      </c>
      <c r="I968">
        <v>0</v>
      </c>
      <c r="J968">
        <v>3537.7</v>
      </c>
      <c r="L968" t="s">
        <v>353</v>
      </c>
      <c r="M968" t="s">
        <v>289</v>
      </c>
    </row>
    <row r="969" spans="1:13" hidden="1">
      <c r="A969" t="s">
        <v>72</v>
      </c>
      <c r="B969" t="s">
        <v>8</v>
      </c>
      <c r="C969" t="s">
        <v>71</v>
      </c>
      <c r="D969" t="str">
        <f>LEFT(M969,10)</f>
        <v>11/15/2024</v>
      </c>
      <c r="E969" t="s">
        <v>232</v>
      </c>
      <c r="F969" t="s">
        <v>255</v>
      </c>
      <c r="G969" t="s">
        <v>249</v>
      </c>
      <c r="I969">
        <v>0</v>
      </c>
      <c r="J969">
        <v>5000</v>
      </c>
      <c r="L969" t="s">
        <v>354</v>
      </c>
      <c r="M969" t="s">
        <v>289</v>
      </c>
    </row>
    <row r="970" spans="1:13" hidden="1">
      <c r="A970" t="s">
        <v>72</v>
      </c>
      <c r="B970" t="s">
        <v>8</v>
      </c>
      <c r="C970" t="s">
        <v>71</v>
      </c>
      <c r="D970" t="str">
        <f>LEFT(M970,10)</f>
        <v>11/15/2024</v>
      </c>
      <c r="E970" t="s">
        <v>232</v>
      </c>
      <c r="F970" t="s">
        <v>287</v>
      </c>
      <c r="G970" t="s">
        <v>249</v>
      </c>
      <c r="I970">
        <v>0</v>
      </c>
      <c r="J970">
        <v>6439.34</v>
      </c>
      <c r="M970" t="s">
        <v>289</v>
      </c>
    </row>
    <row r="971" spans="1:13" hidden="1">
      <c r="A971" t="s">
        <v>72</v>
      </c>
      <c r="B971" t="s">
        <v>8</v>
      </c>
      <c r="C971" t="s">
        <v>71</v>
      </c>
      <c r="D971" t="str">
        <f>LEFT(M971,10)</f>
        <v>11/15/2024</v>
      </c>
      <c r="E971" t="s">
        <v>232</v>
      </c>
      <c r="F971" t="s">
        <v>251</v>
      </c>
      <c r="G971" t="s">
        <v>249</v>
      </c>
      <c r="I971">
        <v>0</v>
      </c>
      <c r="J971">
        <v>200</v>
      </c>
      <c r="M971" t="s">
        <v>289</v>
      </c>
    </row>
    <row r="972" spans="1:13" hidden="1">
      <c r="A972" t="s">
        <v>72</v>
      </c>
      <c r="B972" t="s">
        <v>8</v>
      </c>
      <c r="C972" t="s">
        <v>71</v>
      </c>
      <c r="D972" t="str">
        <f>LEFT(M972,10)</f>
        <v>11/15/2024</v>
      </c>
      <c r="E972" t="s">
        <v>232</v>
      </c>
      <c r="F972" t="s">
        <v>290</v>
      </c>
      <c r="G972" t="s">
        <v>249</v>
      </c>
      <c r="I972">
        <v>0</v>
      </c>
      <c r="J972">
        <v>1627.5</v>
      </c>
      <c r="M972" t="s">
        <v>289</v>
      </c>
    </row>
    <row r="973" spans="1:13" hidden="1">
      <c r="A973" t="s">
        <v>72</v>
      </c>
      <c r="B973" t="s">
        <v>8</v>
      </c>
      <c r="C973" t="s">
        <v>71</v>
      </c>
      <c r="D973" t="str">
        <f>LEFT(M973,10)</f>
        <v>11/15/2024</v>
      </c>
      <c r="E973" t="s">
        <v>232</v>
      </c>
      <c r="F973" t="s">
        <v>292</v>
      </c>
      <c r="G973" t="s">
        <v>249</v>
      </c>
      <c r="I973">
        <v>0</v>
      </c>
      <c r="J973">
        <v>700</v>
      </c>
      <c r="M973" t="s">
        <v>289</v>
      </c>
    </row>
    <row r="974" spans="1:13" hidden="1">
      <c r="A974" t="s">
        <v>72</v>
      </c>
      <c r="B974" t="s">
        <v>8</v>
      </c>
      <c r="C974" t="s">
        <v>71</v>
      </c>
      <c r="D974" t="str">
        <f>LEFT(M974,10)</f>
        <v>11/15/2024</v>
      </c>
      <c r="E974" t="s">
        <v>232</v>
      </c>
      <c r="F974" t="s">
        <v>251</v>
      </c>
      <c r="G974" t="s">
        <v>249</v>
      </c>
      <c r="I974">
        <v>0</v>
      </c>
      <c r="J974">
        <v>1910.35</v>
      </c>
      <c r="M974" t="s">
        <v>289</v>
      </c>
    </row>
    <row r="975" spans="1:13" hidden="1">
      <c r="A975" t="s">
        <v>72</v>
      </c>
      <c r="B975" t="s">
        <v>8</v>
      </c>
      <c r="C975" t="s">
        <v>71</v>
      </c>
      <c r="D975" t="str">
        <f>LEFT(M975,10)</f>
        <v>11/15/2024</v>
      </c>
      <c r="E975" t="s">
        <v>232</v>
      </c>
      <c r="F975" t="s">
        <v>276</v>
      </c>
      <c r="G975" t="s">
        <v>249</v>
      </c>
      <c r="I975">
        <v>0</v>
      </c>
      <c r="J975">
        <v>213.89</v>
      </c>
      <c r="M975" t="s">
        <v>289</v>
      </c>
    </row>
    <row r="976" spans="1:13" hidden="1">
      <c r="A976" t="s">
        <v>72</v>
      </c>
      <c r="B976" t="s">
        <v>8</v>
      </c>
      <c r="C976" t="s">
        <v>71</v>
      </c>
      <c r="D976" t="str">
        <f>LEFT(M976,10)</f>
        <v>11/15/2024</v>
      </c>
      <c r="E976" t="s">
        <v>232</v>
      </c>
      <c r="F976" t="s">
        <v>255</v>
      </c>
      <c r="G976" t="s">
        <v>249</v>
      </c>
      <c r="I976">
        <v>0</v>
      </c>
      <c r="J976">
        <v>252.16</v>
      </c>
      <c r="L976" t="s">
        <v>355</v>
      </c>
      <c r="M976" t="s">
        <v>289</v>
      </c>
    </row>
    <row r="977" spans="1:13" hidden="1">
      <c r="A977" t="s">
        <v>72</v>
      </c>
      <c r="B977" t="s">
        <v>8</v>
      </c>
      <c r="C977" t="s">
        <v>71</v>
      </c>
      <c r="D977" t="str">
        <f>LEFT(M977,10)</f>
        <v>11/15/2024</v>
      </c>
      <c r="E977" t="s">
        <v>232</v>
      </c>
      <c r="F977" t="s">
        <v>255</v>
      </c>
      <c r="G977" t="s">
        <v>249</v>
      </c>
      <c r="I977">
        <v>0</v>
      </c>
      <c r="J977">
        <v>2000</v>
      </c>
      <c r="L977" t="s">
        <v>271</v>
      </c>
      <c r="M977" t="s">
        <v>289</v>
      </c>
    </row>
    <row r="978" spans="1:13" hidden="1">
      <c r="A978" t="s">
        <v>72</v>
      </c>
      <c r="B978" t="s">
        <v>8</v>
      </c>
      <c r="C978" t="s">
        <v>71</v>
      </c>
      <c r="D978" t="str">
        <f>LEFT(M978,10)</f>
        <v>11/15/2024</v>
      </c>
      <c r="E978" t="s">
        <v>232</v>
      </c>
      <c r="F978" t="s">
        <v>251</v>
      </c>
      <c r="G978" t="s">
        <v>249</v>
      </c>
      <c r="I978">
        <v>0</v>
      </c>
      <c r="J978">
        <v>1775.52</v>
      </c>
      <c r="M978" t="s">
        <v>289</v>
      </c>
    </row>
    <row r="979" spans="1:13" hidden="1">
      <c r="A979" t="s">
        <v>72</v>
      </c>
      <c r="B979" t="s">
        <v>8</v>
      </c>
      <c r="C979" t="s">
        <v>71</v>
      </c>
      <c r="D979" t="str">
        <f>LEFT(M979,10)</f>
        <v>11/15/2024</v>
      </c>
      <c r="E979" t="s">
        <v>232</v>
      </c>
      <c r="F979" t="s">
        <v>255</v>
      </c>
      <c r="G979" t="s">
        <v>249</v>
      </c>
      <c r="I979">
        <v>0</v>
      </c>
      <c r="J979">
        <v>250.4</v>
      </c>
      <c r="L979" t="s">
        <v>356</v>
      </c>
      <c r="M979" t="s">
        <v>289</v>
      </c>
    </row>
    <row r="980" spans="1:13" hidden="1">
      <c r="A980" t="s">
        <v>72</v>
      </c>
      <c r="B980" t="s">
        <v>8</v>
      </c>
      <c r="C980" t="s">
        <v>71</v>
      </c>
      <c r="D980" t="str">
        <f>LEFT(M980,10)</f>
        <v>11/15/2024</v>
      </c>
      <c r="E980" t="s">
        <v>232</v>
      </c>
      <c r="F980" t="s">
        <v>255</v>
      </c>
      <c r="G980" t="s">
        <v>249</v>
      </c>
      <c r="I980">
        <v>0</v>
      </c>
      <c r="J980">
        <v>204.92</v>
      </c>
      <c r="L980" t="s">
        <v>357</v>
      </c>
      <c r="M980" t="s">
        <v>289</v>
      </c>
    </row>
    <row r="981" spans="1:13" hidden="1">
      <c r="A981" t="s">
        <v>72</v>
      </c>
      <c r="B981" t="s">
        <v>8</v>
      </c>
      <c r="C981" t="s">
        <v>71</v>
      </c>
      <c r="D981" t="str">
        <f>LEFT(M981,10)</f>
        <v>11/15/2024</v>
      </c>
      <c r="E981" t="s">
        <v>232</v>
      </c>
      <c r="F981" t="s">
        <v>250</v>
      </c>
      <c r="I981">
        <v>0</v>
      </c>
      <c r="J981">
        <v>222.51</v>
      </c>
      <c r="M981" t="s">
        <v>289</v>
      </c>
    </row>
    <row r="982" spans="1:13" hidden="1">
      <c r="A982" t="s">
        <v>72</v>
      </c>
      <c r="B982" t="s">
        <v>8</v>
      </c>
      <c r="C982" t="s">
        <v>71</v>
      </c>
      <c r="D982" t="str">
        <f>LEFT(M982,10)</f>
        <v>11/15/2024</v>
      </c>
      <c r="E982" t="s">
        <v>232</v>
      </c>
      <c r="F982" t="s">
        <v>255</v>
      </c>
      <c r="G982" t="s">
        <v>249</v>
      </c>
      <c r="I982">
        <v>0</v>
      </c>
      <c r="J982">
        <v>117</v>
      </c>
      <c r="L982" t="s">
        <v>358</v>
      </c>
      <c r="M982" t="s">
        <v>289</v>
      </c>
    </row>
    <row r="983" spans="1:13" hidden="1">
      <c r="A983" t="s">
        <v>72</v>
      </c>
      <c r="B983" t="s">
        <v>8</v>
      </c>
      <c r="C983" t="s">
        <v>71</v>
      </c>
      <c r="D983" t="str">
        <f>LEFT(M983,10)</f>
        <v>11/15/2024</v>
      </c>
      <c r="E983" t="s">
        <v>232</v>
      </c>
      <c r="F983" t="s">
        <v>255</v>
      </c>
      <c r="G983" t="s">
        <v>249</v>
      </c>
      <c r="I983">
        <v>0</v>
      </c>
      <c r="J983">
        <v>407.9</v>
      </c>
      <c r="L983" t="s">
        <v>359</v>
      </c>
      <c r="M983" t="s">
        <v>289</v>
      </c>
    </row>
    <row r="984" spans="1:13" hidden="1">
      <c r="A984" t="s">
        <v>72</v>
      </c>
      <c r="B984" t="s">
        <v>8</v>
      </c>
      <c r="C984" t="s">
        <v>71</v>
      </c>
      <c r="D984" t="str">
        <f>LEFT(M984,10)</f>
        <v>11/15/2024</v>
      </c>
      <c r="E984" t="s">
        <v>232</v>
      </c>
      <c r="F984" t="s">
        <v>296</v>
      </c>
      <c r="G984" t="s">
        <v>249</v>
      </c>
      <c r="I984">
        <v>0</v>
      </c>
      <c r="J984">
        <v>1200</v>
      </c>
      <c r="M984" t="s">
        <v>289</v>
      </c>
    </row>
    <row r="985" spans="1:13" hidden="1">
      <c r="A985" t="s">
        <v>72</v>
      </c>
      <c r="B985" t="s">
        <v>8</v>
      </c>
      <c r="C985" t="s">
        <v>71</v>
      </c>
      <c r="D985" t="str">
        <f>LEFT(M985,10)</f>
        <v>11/15/2024</v>
      </c>
      <c r="E985" t="s">
        <v>232</v>
      </c>
      <c r="F985" t="s">
        <v>251</v>
      </c>
      <c r="G985" t="s">
        <v>249</v>
      </c>
      <c r="I985">
        <v>0</v>
      </c>
      <c r="J985">
        <v>450</v>
      </c>
      <c r="M985" t="s">
        <v>289</v>
      </c>
    </row>
    <row r="986" spans="1:13" hidden="1">
      <c r="A986" t="s">
        <v>72</v>
      </c>
      <c r="B986" t="s">
        <v>8</v>
      </c>
      <c r="C986" t="s">
        <v>71</v>
      </c>
      <c r="D986" t="str">
        <f>LEFT(M986,10)</f>
        <v>11/15/2024</v>
      </c>
      <c r="E986" t="s">
        <v>202</v>
      </c>
      <c r="F986" t="s">
        <v>218</v>
      </c>
      <c r="G986" t="s">
        <v>224</v>
      </c>
      <c r="I986">
        <v>825.5</v>
      </c>
      <c r="J986">
        <v>892.45</v>
      </c>
      <c r="K986">
        <v>1.08</v>
      </c>
      <c r="M986" t="s">
        <v>289</v>
      </c>
    </row>
    <row r="987" spans="1:13" hidden="1">
      <c r="A987" t="s">
        <v>72</v>
      </c>
      <c r="B987" t="s">
        <v>8</v>
      </c>
      <c r="C987" t="s">
        <v>71</v>
      </c>
      <c r="D987" t="str">
        <f>LEFT(M987,10)</f>
        <v>11/15/2024</v>
      </c>
      <c r="E987" t="s">
        <v>202</v>
      </c>
      <c r="F987" t="s">
        <v>203</v>
      </c>
      <c r="G987" t="s">
        <v>236</v>
      </c>
      <c r="I987">
        <v>22</v>
      </c>
      <c r="J987">
        <v>242</v>
      </c>
      <c r="K987">
        <v>11</v>
      </c>
      <c r="M987" t="s">
        <v>289</v>
      </c>
    </row>
    <row r="988" spans="1:13" hidden="1">
      <c r="A988" t="s">
        <v>72</v>
      </c>
      <c r="B988" t="s">
        <v>8</v>
      </c>
      <c r="C988" t="s">
        <v>71</v>
      </c>
      <c r="D988" t="str">
        <f>LEFT(M988,10)</f>
        <v>11/15/2024</v>
      </c>
      <c r="E988" t="s">
        <v>249</v>
      </c>
      <c r="F988" t="s">
        <v>249</v>
      </c>
      <c r="G988" t="s">
        <v>249</v>
      </c>
      <c r="I988">
        <v>0</v>
      </c>
      <c r="M988" t="s">
        <v>289</v>
      </c>
    </row>
    <row r="989" spans="1:13" hidden="1">
      <c r="A989" t="s">
        <v>74</v>
      </c>
      <c r="B989" t="s">
        <v>75</v>
      </c>
      <c r="C989" t="s">
        <v>19</v>
      </c>
      <c r="D989" t="str">
        <f>LEFT(M989,10)</f>
        <v>11/15/2024</v>
      </c>
      <c r="E989" t="s">
        <v>202</v>
      </c>
      <c r="F989" t="s">
        <v>227</v>
      </c>
      <c r="G989" t="s">
        <v>229</v>
      </c>
      <c r="I989">
        <v>15990</v>
      </c>
      <c r="J989">
        <v>9594</v>
      </c>
      <c r="K989">
        <v>0.6</v>
      </c>
      <c r="M989" t="s">
        <v>289</v>
      </c>
    </row>
    <row r="990" spans="1:13" hidden="1">
      <c r="A990" t="s">
        <v>78</v>
      </c>
      <c r="B990" t="s">
        <v>8</v>
      </c>
      <c r="C990" t="s">
        <v>77</v>
      </c>
      <c r="D990" t="str">
        <f>LEFT(M990,10)</f>
        <v>11/15/2024</v>
      </c>
      <c r="E990" t="s">
        <v>202</v>
      </c>
      <c r="F990" t="s">
        <v>227</v>
      </c>
      <c r="G990" t="s">
        <v>229</v>
      </c>
      <c r="I990">
        <v>2429.6</v>
      </c>
      <c r="J990">
        <v>1652.13</v>
      </c>
      <c r="K990">
        <v>0.68</v>
      </c>
      <c r="M990" t="s">
        <v>289</v>
      </c>
    </row>
    <row r="991" spans="1:13" hidden="1">
      <c r="A991" t="s">
        <v>78</v>
      </c>
      <c r="B991" t="s">
        <v>8</v>
      </c>
      <c r="C991" t="s">
        <v>77</v>
      </c>
      <c r="D991" t="str">
        <f>LEFT(M991,10)</f>
        <v>11/15/2024</v>
      </c>
      <c r="E991" t="s">
        <v>202</v>
      </c>
      <c r="F991" t="s">
        <v>227</v>
      </c>
      <c r="G991" t="s">
        <v>228</v>
      </c>
      <c r="I991">
        <v>687.8</v>
      </c>
      <c r="J991">
        <v>240.73</v>
      </c>
      <c r="K991">
        <v>0.35</v>
      </c>
      <c r="M991" t="s">
        <v>289</v>
      </c>
    </row>
    <row r="992" spans="1:13" hidden="1">
      <c r="A992" t="s">
        <v>78</v>
      </c>
      <c r="B992" t="s">
        <v>8</v>
      </c>
      <c r="C992" t="s">
        <v>77</v>
      </c>
      <c r="D992" t="str">
        <f>LEFT(M992,10)</f>
        <v>11/15/2024</v>
      </c>
      <c r="E992" t="s">
        <v>202</v>
      </c>
      <c r="F992" t="s">
        <v>227</v>
      </c>
      <c r="G992" t="s">
        <v>252</v>
      </c>
      <c r="I992">
        <v>196</v>
      </c>
      <c r="J992">
        <v>68.599999999999994</v>
      </c>
      <c r="K992">
        <v>0.35</v>
      </c>
      <c r="M992" t="s">
        <v>289</v>
      </c>
    </row>
    <row r="993" spans="1:13" hidden="1">
      <c r="A993" t="s">
        <v>78</v>
      </c>
      <c r="B993" t="s">
        <v>8</v>
      </c>
      <c r="C993" t="s">
        <v>77</v>
      </c>
      <c r="D993" t="str">
        <f>LEFT(M993,10)</f>
        <v>11/15/2024</v>
      </c>
      <c r="E993" t="s">
        <v>202</v>
      </c>
      <c r="F993" t="s">
        <v>218</v>
      </c>
      <c r="G993" t="s">
        <v>223</v>
      </c>
      <c r="I993">
        <v>381.6</v>
      </c>
      <c r="J993">
        <v>343.44</v>
      </c>
      <c r="K993">
        <v>0.9</v>
      </c>
      <c r="M993" t="s">
        <v>289</v>
      </c>
    </row>
    <row r="994" spans="1:13" hidden="1">
      <c r="A994" t="s">
        <v>78</v>
      </c>
      <c r="B994" t="s">
        <v>8</v>
      </c>
      <c r="C994" t="s">
        <v>77</v>
      </c>
      <c r="D994" t="str">
        <f>LEFT(M994,10)</f>
        <v>11/15/2024</v>
      </c>
      <c r="E994" t="s">
        <v>202</v>
      </c>
      <c r="F994" t="s">
        <v>218</v>
      </c>
      <c r="G994" t="s">
        <v>240</v>
      </c>
      <c r="I994">
        <v>426.8</v>
      </c>
      <c r="J994">
        <v>1493</v>
      </c>
      <c r="K994">
        <v>3.5</v>
      </c>
      <c r="M994" t="s">
        <v>289</v>
      </c>
    </row>
    <row r="995" spans="1:13" hidden="1">
      <c r="A995" t="s">
        <v>78</v>
      </c>
      <c r="B995" t="s">
        <v>8</v>
      </c>
      <c r="C995" t="s">
        <v>77</v>
      </c>
      <c r="D995" t="str">
        <f>LEFT(M995,10)</f>
        <v>11/15/2024</v>
      </c>
      <c r="E995" t="s">
        <v>202</v>
      </c>
      <c r="F995" t="s">
        <v>218</v>
      </c>
      <c r="G995" t="s">
        <v>221</v>
      </c>
      <c r="I995">
        <v>175.4</v>
      </c>
      <c r="J995">
        <v>438.5</v>
      </c>
      <c r="K995">
        <v>2.5</v>
      </c>
      <c r="M995" t="s">
        <v>289</v>
      </c>
    </row>
    <row r="996" spans="1:13" hidden="1">
      <c r="A996" t="s">
        <v>78</v>
      </c>
      <c r="B996" t="s">
        <v>8</v>
      </c>
      <c r="C996" t="s">
        <v>77</v>
      </c>
      <c r="D996" t="str">
        <f>LEFT(M996,10)</f>
        <v>11/15/2024</v>
      </c>
      <c r="E996" t="s">
        <v>202</v>
      </c>
      <c r="F996" t="s">
        <v>218</v>
      </c>
      <c r="G996" t="s">
        <v>221</v>
      </c>
      <c r="I996">
        <v>86</v>
      </c>
      <c r="J996">
        <v>206.4</v>
      </c>
      <c r="K996">
        <v>2.4</v>
      </c>
      <c r="M996" t="s">
        <v>289</v>
      </c>
    </row>
    <row r="997" spans="1:13" hidden="1">
      <c r="A997" t="s">
        <v>78</v>
      </c>
      <c r="B997" t="s">
        <v>8</v>
      </c>
      <c r="C997" t="s">
        <v>77</v>
      </c>
      <c r="D997" t="str">
        <f>LEFT(M997,10)</f>
        <v>11/15/2024</v>
      </c>
      <c r="E997" t="s">
        <v>202</v>
      </c>
      <c r="F997" t="s">
        <v>218</v>
      </c>
      <c r="G997" t="s">
        <v>222</v>
      </c>
      <c r="I997">
        <v>510.6</v>
      </c>
      <c r="J997">
        <v>612.72</v>
      </c>
      <c r="K997">
        <v>1.2</v>
      </c>
      <c r="M997" t="s">
        <v>289</v>
      </c>
    </row>
    <row r="998" spans="1:13" hidden="1">
      <c r="A998" t="s">
        <v>78</v>
      </c>
      <c r="B998" t="s">
        <v>8</v>
      </c>
      <c r="C998" t="s">
        <v>77</v>
      </c>
      <c r="D998" t="str">
        <f>LEFT(M998,10)</f>
        <v>11/15/2024</v>
      </c>
      <c r="E998" t="s">
        <v>202</v>
      </c>
      <c r="F998" t="s">
        <v>218</v>
      </c>
      <c r="G998" t="s">
        <v>222</v>
      </c>
      <c r="I998">
        <v>64</v>
      </c>
      <c r="J998">
        <v>64</v>
      </c>
      <c r="K998">
        <v>1</v>
      </c>
      <c r="M998" t="s">
        <v>289</v>
      </c>
    </row>
    <row r="999" spans="1:13" hidden="1">
      <c r="A999" t="s">
        <v>78</v>
      </c>
      <c r="B999" t="s">
        <v>8</v>
      </c>
      <c r="C999" t="s">
        <v>77</v>
      </c>
      <c r="D999" t="str">
        <f>LEFT(M999,10)</f>
        <v>11/15/2024</v>
      </c>
      <c r="E999" t="s">
        <v>202</v>
      </c>
      <c r="F999" t="s">
        <v>218</v>
      </c>
      <c r="G999" t="s">
        <v>225</v>
      </c>
      <c r="I999">
        <v>68</v>
      </c>
      <c r="J999">
        <v>68</v>
      </c>
      <c r="K999">
        <v>1</v>
      </c>
      <c r="M999" t="s">
        <v>289</v>
      </c>
    </row>
    <row r="1000" spans="1:13" hidden="1">
      <c r="A1000" t="s">
        <v>78</v>
      </c>
      <c r="B1000" t="s">
        <v>8</v>
      </c>
      <c r="C1000" t="s">
        <v>77</v>
      </c>
      <c r="D1000" t="str">
        <f>LEFT(M1000,10)</f>
        <v>11/15/2024</v>
      </c>
      <c r="E1000" t="s">
        <v>202</v>
      </c>
      <c r="F1000" t="s">
        <v>218</v>
      </c>
      <c r="G1000" t="s">
        <v>220</v>
      </c>
      <c r="I1000">
        <v>524.4</v>
      </c>
      <c r="J1000">
        <v>734.16</v>
      </c>
      <c r="K1000">
        <v>1.4</v>
      </c>
      <c r="M1000" t="s">
        <v>289</v>
      </c>
    </row>
    <row r="1001" spans="1:13" hidden="1">
      <c r="A1001" t="s">
        <v>78</v>
      </c>
      <c r="B1001" t="s">
        <v>8</v>
      </c>
      <c r="C1001" t="s">
        <v>77</v>
      </c>
      <c r="D1001" t="str">
        <f>LEFT(M1001,10)</f>
        <v>11/15/2024</v>
      </c>
      <c r="E1001" t="s">
        <v>202</v>
      </c>
      <c r="F1001" t="s">
        <v>218</v>
      </c>
      <c r="G1001" t="s">
        <v>242</v>
      </c>
      <c r="I1001">
        <v>64.8</v>
      </c>
      <c r="J1001">
        <v>64.8</v>
      </c>
      <c r="K1001">
        <v>1</v>
      </c>
      <c r="M1001" t="s">
        <v>289</v>
      </c>
    </row>
    <row r="1002" spans="1:13" hidden="1">
      <c r="A1002" t="s">
        <v>78</v>
      </c>
      <c r="B1002" t="s">
        <v>8</v>
      </c>
      <c r="C1002" t="s">
        <v>77</v>
      </c>
      <c r="D1002" t="str">
        <f>LEFT(M1002,10)</f>
        <v>11/15/2024</v>
      </c>
      <c r="E1002" t="s">
        <v>202</v>
      </c>
      <c r="F1002" t="s">
        <v>218</v>
      </c>
      <c r="G1002" t="s">
        <v>241</v>
      </c>
      <c r="I1002">
        <v>44</v>
      </c>
      <c r="J1002">
        <v>154</v>
      </c>
      <c r="K1002">
        <v>3.5</v>
      </c>
      <c r="M1002" t="s">
        <v>289</v>
      </c>
    </row>
    <row r="1003" spans="1:13" hidden="1">
      <c r="A1003" t="s">
        <v>78</v>
      </c>
      <c r="B1003" t="s">
        <v>8</v>
      </c>
      <c r="C1003" t="s">
        <v>77</v>
      </c>
      <c r="D1003" t="str">
        <f>LEFT(M1003,10)</f>
        <v>11/15/2024</v>
      </c>
      <c r="E1003" t="s">
        <v>202</v>
      </c>
      <c r="F1003" t="s">
        <v>218</v>
      </c>
      <c r="G1003" t="s">
        <v>223</v>
      </c>
      <c r="I1003">
        <v>234</v>
      </c>
      <c r="J1003">
        <v>152.1</v>
      </c>
      <c r="K1003">
        <v>0.65</v>
      </c>
      <c r="M1003" t="s">
        <v>289</v>
      </c>
    </row>
    <row r="1004" spans="1:13" hidden="1">
      <c r="A1004" t="s">
        <v>78</v>
      </c>
      <c r="B1004" t="s">
        <v>8</v>
      </c>
      <c r="C1004" t="s">
        <v>77</v>
      </c>
      <c r="D1004" t="str">
        <f>LEFT(M1004,10)</f>
        <v>11/15/2024</v>
      </c>
      <c r="E1004" t="s">
        <v>202</v>
      </c>
      <c r="F1004" t="s">
        <v>218</v>
      </c>
      <c r="G1004" t="s">
        <v>226</v>
      </c>
      <c r="I1004">
        <v>202</v>
      </c>
      <c r="J1004">
        <v>60.6</v>
      </c>
      <c r="K1004">
        <v>0.3</v>
      </c>
      <c r="M1004" t="s">
        <v>289</v>
      </c>
    </row>
    <row r="1005" spans="1:13" hidden="1">
      <c r="A1005" t="s">
        <v>78</v>
      </c>
      <c r="B1005" t="s">
        <v>8</v>
      </c>
      <c r="C1005" t="s">
        <v>77</v>
      </c>
      <c r="D1005" t="str">
        <f>LEFT(M1005,10)</f>
        <v>11/15/2024</v>
      </c>
      <c r="E1005" t="s">
        <v>202</v>
      </c>
      <c r="F1005" t="s">
        <v>227</v>
      </c>
      <c r="G1005" t="s">
        <v>238</v>
      </c>
      <c r="I1005">
        <v>159.6</v>
      </c>
      <c r="J1005">
        <v>55.86</v>
      </c>
      <c r="K1005">
        <v>0.35</v>
      </c>
      <c r="M1005" t="s">
        <v>289</v>
      </c>
    </row>
    <row r="1006" spans="1:13" hidden="1">
      <c r="A1006" t="s">
        <v>78</v>
      </c>
      <c r="B1006" t="s">
        <v>8</v>
      </c>
      <c r="C1006" t="s">
        <v>77</v>
      </c>
      <c r="D1006" t="str">
        <f>LEFT(M1006,10)</f>
        <v>11/15/2024</v>
      </c>
      <c r="E1006" t="s">
        <v>202</v>
      </c>
      <c r="F1006" t="s">
        <v>227</v>
      </c>
      <c r="G1006" t="s">
        <v>237</v>
      </c>
      <c r="I1006">
        <v>408</v>
      </c>
      <c r="J1006">
        <v>244.8</v>
      </c>
      <c r="K1006">
        <v>0.6</v>
      </c>
      <c r="M1006" t="s">
        <v>289</v>
      </c>
    </row>
    <row r="1007" spans="1:13" hidden="1">
      <c r="A1007" t="s">
        <v>78</v>
      </c>
      <c r="B1007" t="s">
        <v>8</v>
      </c>
      <c r="C1007" t="s">
        <v>77</v>
      </c>
      <c r="D1007" t="str">
        <f>LEFT(M1007,10)</f>
        <v>11/15/2024</v>
      </c>
      <c r="E1007" t="s">
        <v>202</v>
      </c>
      <c r="F1007" t="s">
        <v>216</v>
      </c>
      <c r="G1007" t="s">
        <v>217</v>
      </c>
      <c r="I1007">
        <v>1420</v>
      </c>
      <c r="J1007">
        <v>213</v>
      </c>
      <c r="K1007">
        <v>0.15</v>
      </c>
      <c r="M1007" t="s">
        <v>289</v>
      </c>
    </row>
    <row r="1008" spans="1:13" hidden="1">
      <c r="A1008" t="s">
        <v>78</v>
      </c>
      <c r="B1008" t="s">
        <v>8</v>
      </c>
      <c r="C1008" t="s">
        <v>77</v>
      </c>
      <c r="D1008" t="str">
        <f>LEFT(M1008,10)</f>
        <v>11/15/2024</v>
      </c>
      <c r="E1008" t="s">
        <v>202</v>
      </c>
      <c r="F1008" t="s">
        <v>203</v>
      </c>
      <c r="G1008" t="s">
        <v>204</v>
      </c>
      <c r="I1008">
        <v>291</v>
      </c>
      <c r="J1008">
        <v>2328</v>
      </c>
      <c r="K1008">
        <v>8</v>
      </c>
      <c r="M1008" t="s">
        <v>289</v>
      </c>
    </row>
    <row r="1009" spans="1:13" hidden="1">
      <c r="A1009" t="s">
        <v>78</v>
      </c>
      <c r="B1009" t="s">
        <v>8</v>
      </c>
      <c r="C1009" t="s">
        <v>77</v>
      </c>
      <c r="D1009" t="str">
        <f>LEFT(M1009,10)</f>
        <v>11/15/2024</v>
      </c>
      <c r="E1009" t="s">
        <v>202</v>
      </c>
      <c r="F1009" t="s">
        <v>203</v>
      </c>
      <c r="G1009" t="s">
        <v>208</v>
      </c>
      <c r="I1009">
        <v>82</v>
      </c>
      <c r="J1009">
        <v>738</v>
      </c>
      <c r="K1009">
        <v>9</v>
      </c>
      <c r="M1009" t="s">
        <v>289</v>
      </c>
    </row>
    <row r="1010" spans="1:13" hidden="1">
      <c r="A1010" t="s">
        <v>78</v>
      </c>
      <c r="B1010" t="s">
        <v>8</v>
      </c>
      <c r="C1010" t="s">
        <v>77</v>
      </c>
      <c r="D1010" t="str">
        <f>LEFT(M1010,10)</f>
        <v>11/15/2024</v>
      </c>
      <c r="E1010" t="s">
        <v>202</v>
      </c>
      <c r="F1010" t="s">
        <v>203</v>
      </c>
      <c r="G1010" t="s">
        <v>260</v>
      </c>
      <c r="I1010">
        <v>31</v>
      </c>
      <c r="J1010">
        <v>1240</v>
      </c>
      <c r="K1010">
        <v>40</v>
      </c>
      <c r="M1010" t="s">
        <v>289</v>
      </c>
    </row>
    <row r="1011" spans="1:13" hidden="1">
      <c r="A1011" t="s">
        <v>78</v>
      </c>
      <c r="B1011" t="s">
        <v>8</v>
      </c>
      <c r="C1011" t="s">
        <v>77</v>
      </c>
      <c r="D1011" t="str">
        <f>LEFT(M1011,10)</f>
        <v>11/15/2024</v>
      </c>
      <c r="E1011" t="s">
        <v>202</v>
      </c>
      <c r="F1011" t="s">
        <v>203</v>
      </c>
      <c r="G1011" t="s">
        <v>236</v>
      </c>
      <c r="I1011">
        <v>3125</v>
      </c>
      <c r="J1011">
        <v>2500</v>
      </c>
      <c r="K1011">
        <v>0.8</v>
      </c>
      <c r="M1011" t="s">
        <v>289</v>
      </c>
    </row>
    <row r="1012" spans="1:13" hidden="1">
      <c r="A1012" t="s">
        <v>78</v>
      </c>
      <c r="B1012" t="s">
        <v>8</v>
      </c>
      <c r="C1012" t="s">
        <v>77</v>
      </c>
      <c r="D1012" t="str">
        <f>LEFT(M1012,10)</f>
        <v>11/15/2024</v>
      </c>
      <c r="E1012" t="s">
        <v>230</v>
      </c>
      <c r="F1012" t="s">
        <v>248</v>
      </c>
      <c r="G1012" t="s">
        <v>249</v>
      </c>
      <c r="I1012">
        <v>0</v>
      </c>
      <c r="J1012">
        <v>19500</v>
      </c>
      <c r="M1012" t="s">
        <v>289</v>
      </c>
    </row>
    <row r="1013" spans="1:13" hidden="1">
      <c r="A1013" t="s">
        <v>78</v>
      </c>
      <c r="B1013" t="s">
        <v>8</v>
      </c>
      <c r="C1013" t="s">
        <v>77</v>
      </c>
      <c r="D1013" t="str">
        <f>LEFT(M1013,10)</f>
        <v>11/15/2024</v>
      </c>
      <c r="E1013" t="s">
        <v>232</v>
      </c>
      <c r="F1013" t="s">
        <v>255</v>
      </c>
      <c r="G1013" t="s">
        <v>249</v>
      </c>
      <c r="I1013">
        <v>0</v>
      </c>
      <c r="J1013">
        <v>2500</v>
      </c>
      <c r="L1013" t="s">
        <v>263</v>
      </c>
      <c r="M1013" t="s">
        <v>289</v>
      </c>
    </row>
    <row r="1014" spans="1:13" hidden="1">
      <c r="A1014" t="s">
        <v>78</v>
      </c>
      <c r="B1014" t="s">
        <v>8</v>
      </c>
      <c r="C1014" t="s">
        <v>77</v>
      </c>
      <c r="D1014" t="str">
        <f>LEFT(M1014,10)</f>
        <v>11/15/2024</v>
      </c>
      <c r="E1014" t="s">
        <v>232</v>
      </c>
      <c r="F1014" t="s">
        <v>250</v>
      </c>
      <c r="G1014" t="s">
        <v>249</v>
      </c>
      <c r="I1014">
        <v>0</v>
      </c>
      <c r="J1014">
        <v>2154.38</v>
      </c>
      <c r="M1014" t="s">
        <v>289</v>
      </c>
    </row>
    <row r="1015" spans="1:13" hidden="1">
      <c r="A1015" t="s">
        <v>78</v>
      </c>
      <c r="B1015" t="s">
        <v>8</v>
      </c>
      <c r="C1015" t="s">
        <v>77</v>
      </c>
      <c r="D1015" t="str">
        <f>LEFT(M1015,10)</f>
        <v>11/15/2024</v>
      </c>
      <c r="E1015" t="s">
        <v>232</v>
      </c>
      <c r="F1015" t="s">
        <v>255</v>
      </c>
      <c r="G1015" t="s">
        <v>249</v>
      </c>
      <c r="I1015">
        <v>0</v>
      </c>
      <c r="J1015">
        <v>620.79999999999995</v>
      </c>
      <c r="L1015" t="s">
        <v>360</v>
      </c>
      <c r="M1015" t="s">
        <v>289</v>
      </c>
    </row>
    <row r="1016" spans="1:13" hidden="1">
      <c r="A1016" t="s">
        <v>78</v>
      </c>
      <c r="B1016" t="s">
        <v>8</v>
      </c>
      <c r="C1016" t="s">
        <v>77</v>
      </c>
      <c r="D1016" t="str">
        <f>LEFT(M1016,10)</f>
        <v>11/15/2024</v>
      </c>
      <c r="E1016" t="s">
        <v>232</v>
      </c>
      <c r="F1016" t="s">
        <v>251</v>
      </c>
      <c r="G1016" t="s">
        <v>249</v>
      </c>
      <c r="I1016">
        <v>0</v>
      </c>
      <c r="J1016">
        <v>139</v>
      </c>
      <c r="M1016" t="s">
        <v>289</v>
      </c>
    </row>
    <row r="1017" spans="1:13" hidden="1">
      <c r="A1017" t="s">
        <v>78</v>
      </c>
      <c r="B1017" t="s">
        <v>8</v>
      </c>
      <c r="C1017" t="s">
        <v>77</v>
      </c>
      <c r="D1017" t="str">
        <f>LEFT(M1017,10)</f>
        <v>11/15/2024</v>
      </c>
      <c r="E1017" t="s">
        <v>232</v>
      </c>
      <c r="F1017" t="s">
        <v>255</v>
      </c>
      <c r="G1017" t="s">
        <v>249</v>
      </c>
      <c r="I1017">
        <v>0</v>
      </c>
      <c r="J1017">
        <v>100</v>
      </c>
      <c r="L1017" t="s">
        <v>256</v>
      </c>
      <c r="M1017" t="s">
        <v>289</v>
      </c>
    </row>
    <row r="1018" spans="1:13" hidden="1">
      <c r="A1018" t="s">
        <v>78</v>
      </c>
      <c r="B1018" t="s">
        <v>8</v>
      </c>
      <c r="C1018" t="s">
        <v>77</v>
      </c>
      <c r="D1018" t="str">
        <f>LEFT(M1018,10)</f>
        <v>11/15/2024</v>
      </c>
      <c r="E1018" t="s">
        <v>232</v>
      </c>
      <c r="F1018" t="s">
        <v>255</v>
      </c>
      <c r="G1018" t="s">
        <v>249</v>
      </c>
      <c r="I1018">
        <v>0</v>
      </c>
      <c r="J1018">
        <v>260</v>
      </c>
      <c r="L1018" t="s">
        <v>361</v>
      </c>
      <c r="M1018" t="s">
        <v>289</v>
      </c>
    </row>
    <row r="1019" spans="1:13" hidden="1">
      <c r="A1019" t="s">
        <v>78</v>
      </c>
      <c r="B1019" t="s">
        <v>8</v>
      </c>
      <c r="C1019" t="s">
        <v>77</v>
      </c>
      <c r="D1019" t="str">
        <f>LEFT(M1019,10)</f>
        <v>11/15/2024</v>
      </c>
      <c r="E1019" t="s">
        <v>232</v>
      </c>
      <c r="F1019" t="s">
        <v>290</v>
      </c>
      <c r="G1019" t="s">
        <v>249</v>
      </c>
      <c r="I1019">
        <v>0</v>
      </c>
      <c r="J1019">
        <v>485</v>
      </c>
      <c r="M1019" t="s">
        <v>289</v>
      </c>
    </row>
    <row r="1020" spans="1:13" hidden="1">
      <c r="A1020" t="s">
        <v>78</v>
      </c>
      <c r="B1020" t="s">
        <v>8</v>
      </c>
      <c r="C1020" t="s">
        <v>77</v>
      </c>
      <c r="D1020" t="str">
        <f>LEFT(M1020,10)</f>
        <v>11/15/2024</v>
      </c>
      <c r="E1020" t="s">
        <v>232</v>
      </c>
      <c r="F1020" t="s">
        <v>287</v>
      </c>
      <c r="G1020" t="s">
        <v>249</v>
      </c>
      <c r="I1020">
        <v>0</v>
      </c>
      <c r="J1020">
        <v>366</v>
      </c>
      <c r="M1020" t="s">
        <v>289</v>
      </c>
    </row>
    <row r="1021" spans="1:13" hidden="1">
      <c r="A1021" t="s">
        <v>78</v>
      </c>
      <c r="B1021" t="s">
        <v>8</v>
      </c>
      <c r="C1021" t="s">
        <v>77</v>
      </c>
      <c r="D1021" t="str">
        <f>LEFT(M1021,10)</f>
        <v>11/15/2024</v>
      </c>
      <c r="E1021" t="s">
        <v>232</v>
      </c>
      <c r="F1021" t="s">
        <v>255</v>
      </c>
      <c r="G1021" t="s">
        <v>249</v>
      </c>
      <c r="I1021">
        <v>0</v>
      </c>
      <c r="J1021">
        <v>1000</v>
      </c>
      <c r="L1021" t="s">
        <v>362</v>
      </c>
      <c r="M1021" t="s">
        <v>289</v>
      </c>
    </row>
    <row r="1022" spans="1:13" hidden="1">
      <c r="A1022" t="s">
        <v>78</v>
      </c>
      <c r="B1022" t="s">
        <v>8</v>
      </c>
      <c r="C1022" t="s">
        <v>77</v>
      </c>
      <c r="D1022" t="str">
        <f>LEFT(M1022,10)</f>
        <v>11/15/2024</v>
      </c>
      <c r="E1022" t="s">
        <v>232</v>
      </c>
      <c r="F1022" t="s">
        <v>255</v>
      </c>
      <c r="G1022" t="s">
        <v>249</v>
      </c>
      <c r="I1022">
        <v>0</v>
      </c>
      <c r="J1022">
        <v>110</v>
      </c>
      <c r="L1022" t="s">
        <v>363</v>
      </c>
      <c r="M1022" t="s">
        <v>289</v>
      </c>
    </row>
    <row r="1023" spans="1:13" hidden="1">
      <c r="A1023" t="s">
        <v>78</v>
      </c>
      <c r="B1023" t="s">
        <v>8</v>
      </c>
      <c r="C1023" t="s">
        <v>77</v>
      </c>
      <c r="D1023" t="str">
        <f>LEFT(M1023,10)</f>
        <v>11/15/2024</v>
      </c>
      <c r="E1023" t="s">
        <v>234</v>
      </c>
      <c r="F1023" t="s">
        <v>234</v>
      </c>
      <c r="G1023" t="s">
        <v>249</v>
      </c>
      <c r="I1023">
        <v>4800</v>
      </c>
      <c r="M1023" t="s">
        <v>289</v>
      </c>
    </row>
    <row r="1024" spans="1:13" hidden="1">
      <c r="A1024" t="s">
        <v>79</v>
      </c>
      <c r="B1024" t="s">
        <v>8</v>
      </c>
      <c r="C1024" t="s">
        <v>13</v>
      </c>
      <c r="D1024" t="str">
        <f>LEFT(M1024,10)</f>
        <v>11/15/2024</v>
      </c>
      <c r="E1024" t="s">
        <v>202</v>
      </c>
      <c r="F1024" t="s">
        <v>216</v>
      </c>
      <c r="G1024" t="s">
        <v>253</v>
      </c>
      <c r="I1024">
        <v>19340</v>
      </c>
      <c r="J1024">
        <v>1934</v>
      </c>
      <c r="K1024">
        <v>0.1</v>
      </c>
      <c r="M1024" t="s">
        <v>289</v>
      </c>
    </row>
    <row r="1025" spans="1:13" hidden="1">
      <c r="A1025" t="s">
        <v>79</v>
      </c>
      <c r="B1025" t="s">
        <v>8</v>
      </c>
      <c r="C1025" t="s">
        <v>13</v>
      </c>
      <c r="D1025" t="str">
        <f>LEFT(M1025,10)</f>
        <v>11/15/2024</v>
      </c>
      <c r="E1025" t="s">
        <v>202</v>
      </c>
      <c r="F1025" t="s">
        <v>227</v>
      </c>
      <c r="G1025" t="s">
        <v>229</v>
      </c>
      <c r="I1025">
        <v>21036</v>
      </c>
      <c r="J1025">
        <v>16868.8</v>
      </c>
      <c r="K1025">
        <v>0.8</v>
      </c>
      <c r="M1025" t="s">
        <v>289</v>
      </c>
    </row>
    <row r="1026" spans="1:13" hidden="1">
      <c r="A1026" t="s">
        <v>79</v>
      </c>
      <c r="B1026" t="s">
        <v>8</v>
      </c>
      <c r="C1026" t="s">
        <v>13</v>
      </c>
      <c r="D1026" t="str">
        <f>LEFT(M1026,10)</f>
        <v>11/15/2024</v>
      </c>
      <c r="E1026" t="s">
        <v>202</v>
      </c>
      <c r="F1026" t="s">
        <v>227</v>
      </c>
      <c r="G1026" t="s">
        <v>228</v>
      </c>
      <c r="I1026">
        <v>871</v>
      </c>
      <c r="J1026">
        <v>348.8</v>
      </c>
      <c r="K1026">
        <v>0.4</v>
      </c>
      <c r="M1026" t="s">
        <v>289</v>
      </c>
    </row>
    <row r="1027" spans="1:13" hidden="1">
      <c r="A1027" t="s">
        <v>79</v>
      </c>
      <c r="B1027" t="s">
        <v>8</v>
      </c>
      <c r="C1027" t="s">
        <v>13</v>
      </c>
      <c r="D1027" t="str">
        <f>LEFT(M1027,10)</f>
        <v>11/15/2024</v>
      </c>
      <c r="E1027" t="s">
        <v>202</v>
      </c>
      <c r="F1027" t="s">
        <v>227</v>
      </c>
      <c r="G1027" t="s">
        <v>237</v>
      </c>
      <c r="I1027">
        <v>778</v>
      </c>
      <c r="J1027">
        <v>466.8</v>
      </c>
      <c r="K1027">
        <v>0.6</v>
      </c>
      <c r="M1027" t="s">
        <v>289</v>
      </c>
    </row>
    <row r="1028" spans="1:13" hidden="1">
      <c r="A1028" t="s">
        <v>79</v>
      </c>
      <c r="B1028" t="s">
        <v>8</v>
      </c>
      <c r="C1028" t="s">
        <v>13</v>
      </c>
      <c r="D1028" t="str">
        <f>LEFT(M1028,10)</f>
        <v>11/15/2024</v>
      </c>
      <c r="E1028" t="s">
        <v>202</v>
      </c>
      <c r="F1028" t="s">
        <v>227</v>
      </c>
      <c r="G1028" t="s">
        <v>252</v>
      </c>
      <c r="I1028">
        <v>251</v>
      </c>
      <c r="J1028">
        <v>87.85</v>
      </c>
      <c r="K1028">
        <v>0.35</v>
      </c>
      <c r="M1028" t="s">
        <v>289</v>
      </c>
    </row>
    <row r="1029" spans="1:13" hidden="1">
      <c r="A1029" t="s">
        <v>79</v>
      </c>
      <c r="B1029" t="s">
        <v>8</v>
      </c>
      <c r="C1029" t="s">
        <v>13</v>
      </c>
      <c r="D1029" t="str">
        <f>LEFT(M1029,10)</f>
        <v>11/15/2024</v>
      </c>
      <c r="E1029" t="s">
        <v>202</v>
      </c>
      <c r="F1029" t="s">
        <v>227</v>
      </c>
      <c r="G1029" t="s">
        <v>238</v>
      </c>
      <c r="I1029">
        <v>366</v>
      </c>
      <c r="J1029">
        <v>146.4</v>
      </c>
      <c r="K1029">
        <v>0.4</v>
      </c>
      <c r="M1029" t="s">
        <v>289</v>
      </c>
    </row>
    <row r="1030" spans="1:13" hidden="1">
      <c r="A1030" t="s">
        <v>79</v>
      </c>
      <c r="B1030" t="s">
        <v>8</v>
      </c>
      <c r="C1030" t="s">
        <v>13</v>
      </c>
      <c r="D1030" t="str">
        <f>LEFT(M1030,10)</f>
        <v>11/15/2024</v>
      </c>
      <c r="E1030" t="s">
        <v>202</v>
      </c>
      <c r="F1030" t="s">
        <v>227</v>
      </c>
      <c r="G1030" t="s">
        <v>237</v>
      </c>
      <c r="I1030">
        <v>412</v>
      </c>
      <c r="J1030">
        <v>247.2</v>
      </c>
      <c r="K1030">
        <v>0.6</v>
      </c>
      <c r="M1030" t="s">
        <v>289</v>
      </c>
    </row>
    <row r="1031" spans="1:13" hidden="1">
      <c r="A1031" t="s">
        <v>79</v>
      </c>
      <c r="B1031" t="s">
        <v>8</v>
      </c>
      <c r="C1031" t="s">
        <v>13</v>
      </c>
      <c r="D1031" t="str">
        <f>LEFT(M1031,10)</f>
        <v>11/15/2024</v>
      </c>
      <c r="E1031" t="s">
        <v>202</v>
      </c>
      <c r="F1031" t="s">
        <v>218</v>
      </c>
      <c r="G1031" t="s">
        <v>240</v>
      </c>
      <c r="I1031">
        <v>1157</v>
      </c>
      <c r="J1031">
        <v>5206.5</v>
      </c>
      <c r="K1031">
        <v>4.5</v>
      </c>
      <c r="M1031" t="s">
        <v>289</v>
      </c>
    </row>
    <row r="1032" spans="1:13" hidden="1">
      <c r="A1032" t="s">
        <v>79</v>
      </c>
      <c r="B1032" t="s">
        <v>8</v>
      </c>
      <c r="C1032" t="s">
        <v>13</v>
      </c>
      <c r="D1032" t="str">
        <f>LEFT(M1032,10)</f>
        <v>11/15/2024</v>
      </c>
      <c r="E1032" t="s">
        <v>202</v>
      </c>
      <c r="F1032" t="s">
        <v>218</v>
      </c>
      <c r="G1032" t="s">
        <v>221</v>
      </c>
      <c r="I1032">
        <v>583</v>
      </c>
      <c r="J1032">
        <v>1311.75</v>
      </c>
      <c r="K1032">
        <v>2.25</v>
      </c>
      <c r="M1032" t="s">
        <v>289</v>
      </c>
    </row>
    <row r="1033" spans="1:13" hidden="1">
      <c r="A1033" t="s">
        <v>79</v>
      </c>
      <c r="B1033" t="s">
        <v>8</v>
      </c>
      <c r="C1033" t="s">
        <v>13</v>
      </c>
      <c r="D1033" t="str">
        <f>LEFT(M1033,10)</f>
        <v>11/15/2024</v>
      </c>
      <c r="E1033" t="s">
        <v>202</v>
      </c>
      <c r="F1033" t="s">
        <v>218</v>
      </c>
      <c r="G1033" t="s">
        <v>220</v>
      </c>
      <c r="I1033">
        <v>1106</v>
      </c>
      <c r="J1033">
        <v>1548.4</v>
      </c>
      <c r="K1033">
        <v>1.4</v>
      </c>
      <c r="M1033" t="s">
        <v>289</v>
      </c>
    </row>
    <row r="1034" spans="1:13" hidden="1">
      <c r="A1034" t="s">
        <v>79</v>
      </c>
      <c r="B1034" t="s">
        <v>8</v>
      </c>
      <c r="C1034" t="s">
        <v>13</v>
      </c>
      <c r="D1034" t="str">
        <f>LEFT(M1034,10)</f>
        <v>11/15/2024</v>
      </c>
      <c r="E1034" t="s">
        <v>202</v>
      </c>
      <c r="F1034" t="s">
        <v>218</v>
      </c>
      <c r="G1034" t="s">
        <v>223</v>
      </c>
      <c r="I1034">
        <v>1033</v>
      </c>
      <c r="J1034">
        <v>826.4</v>
      </c>
      <c r="K1034">
        <v>0.8</v>
      </c>
      <c r="M1034" t="s">
        <v>289</v>
      </c>
    </row>
    <row r="1035" spans="1:13" hidden="1">
      <c r="A1035" t="s">
        <v>79</v>
      </c>
      <c r="B1035" t="s">
        <v>8</v>
      </c>
      <c r="C1035" t="s">
        <v>13</v>
      </c>
      <c r="D1035" t="str">
        <f>LEFT(M1035,10)</f>
        <v>11/15/2024</v>
      </c>
      <c r="E1035" t="s">
        <v>202</v>
      </c>
      <c r="F1035" t="s">
        <v>218</v>
      </c>
      <c r="G1035" t="s">
        <v>223</v>
      </c>
      <c r="I1035">
        <v>506</v>
      </c>
      <c r="J1035">
        <v>303.60000000000002</v>
      </c>
      <c r="K1035">
        <v>0.6</v>
      </c>
      <c r="M1035" t="s">
        <v>289</v>
      </c>
    </row>
    <row r="1036" spans="1:13" hidden="1">
      <c r="A1036" t="s">
        <v>79</v>
      </c>
      <c r="B1036" t="s">
        <v>8</v>
      </c>
      <c r="C1036" t="s">
        <v>13</v>
      </c>
      <c r="D1036" t="str">
        <f>LEFT(M1036,10)</f>
        <v>11/15/2024</v>
      </c>
      <c r="E1036" t="s">
        <v>202</v>
      </c>
      <c r="F1036" t="s">
        <v>218</v>
      </c>
      <c r="G1036" t="s">
        <v>222</v>
      </c>
      <c r="I1036">
        <v>471</v>
      </c>
      <c r="J1036">
        <v>706.5</v>
      </c>
      <c r="K1036">
        <v>1.5</v>
      </c>
      <c r="M1036" t="s">
        <v>289</v>
      </c>
    </row>
    <row r="1037" spans="1:13" hidden="1">
      <c r="A1037" t="s">
        <v>79</v>
      </c>
      <c r="B1037" t="s">
        <v>8</v>
      </c>
      <c r="C1037" t="s">
        <v>13</v>
      </c>
      <c r="D1037" t="str">
        <f>LEFT(M1037,10)</f>
        <v>11/15/2024</v>
      </c>
      <c r="E1037" t="s">
        <v>202</v>
      </c>
      <c r="F1037" t="s">
        <v>218</v>
      </c>
      <c r="G1037" t="s">
        <v>222</v>
      </c>
      <c r="I1037">
        <v>416</v>
      </c>
      <c r="J1037">
        <v>416</v>
      </c>
      <c r="K1037">
        <v>1</v>
      </c>
      <c r="M1037" t="s">
        <v>289</v>
      </c>
    </row>
    <row r="1038" spans="1:13" hidden="1">
      <c r="A1038" t="s">
        <v>79</v>
      </c>
      <c r="B1038" t="s">
        <v>8</v>
      </c>
      <c r="C1038" t="s">
        <v>13</v>
      </c>
      <c r="D1038" t="str">
        <f>LEFT(M1038,10)</f>
        <v>11/15/2024</v>
      </c>
      <c r="E1038" t="s">
        <v>202</v>
      </c>
      <c r="F1038" t="s">
        <v>218</v>
      </c>
      <c r="G1038" t="s">
        <v>243</v>
      </c>
      <c r="H1038" t="s">
        <v>364</v>
      </c>
      <c r="I1038">
        <v>72</v>
      </c>
      <c r="J1038">
        <v>28.8</v>
      </c>
      <c r="K1038">
        <v>0.4</v>
      </c>
      <c r="M1038" t="s">
        <v>289</v>
      </c>
    </row>
    <row r="1039" spans="1:13" hidden="1">
      <c r="A1039" t="s">
        <v>79</v>
      </c>
      <c r="B1039" t="s">
        <v>8</v>
      </c>
      <c r="C1039" t="s">
        <v>13</v>
      </c>
      <c r="D1039" t="str">
        <f>LEFT(M1039,10)</f>
        <v>11/15/2024</v>
      </c>
      <c r="E1039" t="s">
        <v>202</v>
      </c>
      <c r="F1039" t="s">
        <v>218</v>
      </c>
      <c r="G1039" t="s">
        <v>219</v>
      </c>
      <c r="I1039">
        <v>107</v>
      </c>
      <c r="J1039">
        <v>5.35</v>
      </c>
      <c r="K1039">
        <v>0.05</v>
      </c>
      <c r="M1039" t="s">
        <v>289</v>
      </c>
    </row>
    <row r="1040" spans="1:13" hidden="1">
      <c r="A1040" t="s">
        <v>79</v>
      </c>
      <c r="B1040" t="s">
        <v>8</v>
      </c>
      <c r="C1040" t="s">
        <v>13</v>
      </c>
      <c r="D1040" t="str">
        <f>LEFT(M1040,10)</f>
        <v>11/15/2024</v>
      </c>
      <c r="E1040" t="s">
        <v>202</v>
      </c>
      <c r="F1040" t="s">
        <v>218</v>
      </c>
      <c r="G1040" t="s">
        <v>226</v>
      </c>
      <c r="I1040">
        <v>201</v>
      </c>
      <c r="J1040">
        <v>40.200000000000003</v>
      </c>
      <c r="K1040">
        <v>0.2</v>
      </c>
      <c r="M1040" t="s">
        <v>289</v>
      </c>
    </row>
    <row r="1041" spans="1:13" hidden="1">
      <c r="A1041" t="s">
        <v>79</v>
      </c>
      <c r="B1041" t="s">
        <v>8</v>
      </c>
      <c r="C1041" t="s">
        <v>13</v>
      </c>
      <c r="D1041" t="str">
        <f>LEFT(M1041,10)</f>
        <v>11/15/2024</v>
      </c>
      <c r="E1041" t="s">
        <v>202</v>
      </c>
      <c r="F1041" t="s">
        <v>218</v>
      </c>
      <c r="G1041" t="s">
        <v>224</v>
      </c>
      <c r="I1041">
        <v>97</v>
      </c>
      <c r="J1041">
        <v>97</v>
      </c>
      <c r="K1041">
        <v>1</v>
      </c>
      <c r="M1041" t="s">
        <v>289</v>
      </c>
    </row>
    <row r="1042" spans="1:13" hidden="1">
      <c r="A1042" t="s">
        <v>79</v>
      </c>
      <c r="B1042" t="s">
        <v>8</v>
      </c>
      <c r="C1042" t="s">
        <v>13</v>
      </c>
      <c r="D1042" t="str">
        <f>LEFT(M1042,10)</f>
        <v>11/15/2024</v>
      </c>
      <c r="E1042" t="s">
        <v>202</v>
      </c>
      <c r="F1042" t="s">
        <v>218</v>
      </c>
      <c r="G1042" t="s">
        <v>225</v>
      </c>
      <c r="I1042">
        <v>291</v>
      </c>
      <c r="J1042">
        <v>14.55</v>
      </c>
      <c r="K1042">
        <v>0.05</v>
      </c>
      <c r="M1042" t="s">
        <v>289</v>
      </c>
    </row>
    <row r="1043" spans="1:13" hidden="1">
      <c r="A1043" t="s">
        <v>79</v>
      </c>
      <c r="B1043" t="s">
        <v>8</v>
      </c>
      <c r="C1043" t="s">
        <v>13</v>
      </c>
      <c r="D1043" t="str">
        <f>LEFT(M1043,10)</f>
        <v>11/15/2024</v>
      </c>
      <c r="E1043" t="s">
        <v>202</v>
      </c>
      <c r="F1043" t="s">
        <v>203</v>
      </c>
      <c r="G1043" t="s">
        <v>204</v>
      </c>
      <c r="I1043">
        <v>285</v>
      </c>
      <c r="J1043">
        <v>2166</v>
      </c>
      <c r="K1043">
        <v>7.6</v>
      </c>
      <c r="M1043" t="s">
        <v>289</v>
      </c>
    </row>
    <row r="1044" spans="1:13" hidden="1">
      <c r="A1044" t="s">
        <v>79</v>
      </c>
      <c r="B1044" t="s">
        <v>8</v>
      </c>
      <c r="C1044" t="s">
        <v>13</v>
      </c>
      <c r="D1044" t="str">
        <f>LEFT(M1044,10)</f>
        <v>11/15/2024</v>
      </c>
      <c r="E1044" t="s">
        <v>202</v>
      </c>
      <c r="F1044" t="s">
        <v>203</v>
      </c>
      <c r="G1044" t="s">
        <v>207</v>
      </c>
      <c r="I1044">
        <v>33</v>
      </c>
      <c r="J1044">
        <v>264</v>
      </c>
      <c r="K1044">
        <v>8</v>
      </c>
      <c r="M1044" t="s">
        <v>289</v>
      </c>
    </row>
    <row r="1045" spans="1:13" hidden="1">
      <c r="A1045" t="s">
        <v>79</v>
      </c>
      <c r="B1045" t="s">
        <v>8</v>
      </c>
      <c r="C1045" t="s">
        <v>13</v>
      </c>
      <c r="D1045" t="str">
        <f>LEFT(M1045,10)</f>
        <v>11/15/2024</v>
      </c>
      <c r="E1045" t="s">
        <v>202</v>
      </c>
      <c r="F1045" t="s">
        <v>203</v>
      </c>
      <c r="G1045" t="s">
        <v>260</v>
      </c>
      <c r="I1045">
        <v>41.5</v>
      </c>
      <c r="J1045">
        <v>1577</v>
      </c>
      <c r="K1045">
        <v>38</v>
      </c>
      <c r="M1045" t="s">
        <v>289</v>
      </c>
    </row>
    <row r="1046" spans="1:13" hidden="1">
      <c r="A1046" t="s">
        <v>79</v>
      </c>
      <c r="B1046" t="s">
        <v>8</v>
      </c>
      <c r="C1046" t="s">
        <v>13</v>
      </c>
      <c r="D1046" t="str">
        <f>LEFT(M1046,10)</f>
        <v>11/15/2024</v>
      </c>
      <c r="E1046" t="s">
        <v>202</v>
      </c>
      <c r="F1046" t="s">
        <v>203</v>
      </c>
      <c r="G1046" t="s">
        <v>235</v>
      </c>
      <c r="I1046">
        <v>72</v>
      </c>
      <c r="J1046">
        <v>288</v>
      </c>
      <c r="K1046">
        <v>4</v>
      </c>
      <c r="M1046" t="s">
        <v>289</v>
      </c>
    </row>
    <row r="1047" spans="1:13" hidden="1">
      <c r="A1047" t="s">
        <v>79</v>
      </c>
      <c r="B1047" t="s">
        <v>8</v>
      </c>
      <c r="C1047" t="s">
        <v>13</v>
      </c>
      <c r="D1047" t="str">
        <f>LEFT(M1047,10)</f>
        <v>11/15/2024</v>
      </c>
      <c r="E1047" t="s">
        <v>202</v>
      </c>
      <c r="F1047" t="s">
        <v>203</v>
      </c>
      <c r="G1047" t="s">
        <v>259</v>
      </c>
      <c r="I1047">
        <v>34</v>
      </c>
      <c r="J1047">
        <v>102</v>
      </c>
      <c r="K1047">
        <v>3</v>
      </c>
      <c r="M1047" t="s">
        <v>289</v>
      </c>
    </row>
    <row r="1048" spans="1:13" hidden="1">
      <c r="A1048" t="s">
        <v>79</v>
      </c>
      <c r="B1048" t="s">
        <v>8</v>
      </c>
      <c r="C1048" t="s">
        <v>13</v>
      </c>
      <c r="D1048" t="str">
        <f>LEFT(M1048,10)</f>
        <v>11/15/2024</v>
      </c>
      <c r="E1048" t="s">
        <v>202</v>
      </c>
      <c r="F1048" t="s">
        <v>203</v>
      </c>
      <c r="G1048" t="s">
        <v>236</v>
      </c>
      <c r="I1048">
        <v>1700</v>
      </c>
      <c r="J1048">
        <v>680</v>
      </c>
      <c r="K1048">
        <v>0.4</v>
      </c>
      <c r="M1048" t="s">
        <v>289</v>
      </c>
    </row>
    <row r="1049" spans="1:13" hidden="1">
      <c r="A1049" t="s">
        <v>79</v>
      </c>
      <c r="B1049" t="s">
        <v>8</v>
      </c>
      <c r="C1049" t="s">
        <v>13</v>
      </c>
      <c r="D1049" t="str">
        <f>LEFT(M1049,10)</f>
        <v>11/15/2024</v>
      </c>
      <c r="E1049" t="s">
        <v>234</v>
      </c>
      <c r="F1049" t="s">
        <v>234</v>
      </c>
      <c r="I1049">
        <v>5469</v>
      </c>
      <c r="M1049" t="s">
        <v>289</v>
      </c>
    </row>
    <row r="1050" spans="1:13" hidden="1">
      <c r="A1050" t="s">
        <v>79</v>
      </c>
      <c r="B1050" t="s">
        <v>8</v>
      </c>
      <c r="C1050" t="s">
        <v>13</v>
      </c>
      <c r="D1050" t="str">
        <f>LEFT(M1050,10)</f>
        <v>11/15/2024</v>
      </c>
      <c r="E1050" t="s">
        <v>232</v>
      </c>
      <c r="F1050" t="s">
        <v>272</v>
      </c>
      <c r="I1050">
        <v>0</v>
      </c>
      <c r="J1050">
        <v>628.32000000000005</v>
      </c>
      <c r="M1050" t="s">
        <v>289</v>
      </c>
    </row>
    <row r="1051" spans="1:13" hidden="1">
      <c r="A1051" t="s">
        <v>81</v>
      </c>
      <c r="B1051" t="s">
        <v>8</v>
      </c>
      <c r="C1051" t="s">
        <v>80</v>
      </c>
      <c r="D1051" t="str">
        <f>LEFT(M1051,10)</f>
        <v>11/15/2024</v>
      </c>
      <c r="E1051" t="s">
        <v>202</v>
      </c>
      <c r="F1051" t="s">
        <v>218</v>
      </c>
      <c r="G1051" t="s">
        <v>220</v>
      </c>
      <c r="I1051">
        <v>3664</v>
      </c>
      <c r="J1051">
        <v>5496</v>
      </c>
      <c r="K1051">
        <v>1.5</v>
      </c>
      <c r="M1051" t="s">
        <v>289</v>
      </c>
    </row>
    <row r="1052" spans="1:13" hidden="1">
      <c r="A1052" t="s">
        <v>81</v>
      </c>
      <c r="B1052" t="s">
        <v>8</v>
      </c>
      <c r="C1052" t="s">
        <v>80</v>
      </c>
      <c r="D1052" t="str">
        <f>LEFT(M1052,10)</f>
        <v>11/15/2024</v>
      </c>
      <c r="E1052" t="s">
        <v>202</v>
      </c>
      <c r="F1052" t="s">
        <v>218</v>
      </c>
      <c r="G1052" t="s">
        <v>221</v>
      </c>
      <c r="I1052">
        <v>657</v>
      </c>
      <c r="J1052">
        <v>1642.5</v>
      </c>
      <c r="K1052">
        <v>2.5</v>
      </c>
      <c r="M1052" t="s">
        <v>289</v>
      </c>
    </row>
    <row r="1053" spans="1:13" hidden="1">
      <c r="A1053" t="s">
        <v>81</v>
      </c>
      <c r="B1053" t="s">
        <v>8</v>
      </c>
      <c r="C1053" t="s">
        <v>80</v>
      </c>
      <c r="D1053" t="str">
        <f>LEFT(M1053,10)</f>
        <v>11/15/2024</v>
      </c>
      <c r="E1053" t="s">
        <v>202</v>
      </c>
      <c r="F1053" t="s">
        <v>218</v>
      </c>
      <c r="G1053" t="s">
        <v>223</v>
      </c>
      <c r="I1053">
        <v>1522</v>
      </c>
      <c r="J1053">
        <v>1065.4000000000001</v>
      </c>
      <c r="K1053">
        <v>0.7</v>
      </c>
      <c r="M1053" t="s">
        <v>289</v>
      </c>
    </row>
    <row r="1054" spans="1:13" hidden="1">
      <c r="A1054" t="s">
        <v>81</v>
      </c>
      <c r="B1054" t="s">
        <v>8</v>
      </c>
      <c r="C1054" t="s">
        <v>80</v>
      </c>
      <c r="D1054" t="str">
        <f>LEFT(M1054,10)</f>
        <v>11/15/2024</v>
      </c>
      <c r="E1054" t="s">
        <v>202</v>
      </c>
      <c r="F1054" t="s">
        <v>227</v>
      </c>
      <c r="G1054" t="s">
        <v>238</v>
      </c>
      <c r="I1054">
        <v>3339</v>
      </c>
      <c r="J1054">
        <v>1168.6500000000001</v>
      </c>
      <c r="K1054">
        <v>0.35</v>
      </c>
      <c r="M1054" t="s">
        <v>289</v>
      </c>
    </row>
    <row r="1055" spans="1:13" hidden="1">
      <c r="A1055" t="s">
        <v>81</v>
      </c>
      <c r="B1055" t="s">
        <v>8</v>
      </c>
      <c r="C1055" t="s">
        <v>80</v>
      </c>
      <c r="D1055" t="str">
        <f>LEFT(M1055,10)</f>
        <v>11/15/2024</v>
      </c>
      <c r="E1055" t="s">
        <v>202</v>
      </c>
      <c r="F1055" t="s">
        <v>218</v>
      </c>
      <c r="G1055" t="s">
        <v>240</v>
      </c>
      <c r="I1055">
        <v>4843</v>
      </c>
      <c r="J1055">
        <v>19372</v>
      </c>
      <c r="K1055">
        <v>4</v>
      </c>
      <c r="M1055" t="s">
        <v>289</v>
      </c>
    </row>
    <row r="1056" spans="1:13" hidden="1">
      <c r="A1056" t="s">
        <v>81</v>
      </c>
      <c r="B1056" t="s">
        <v>8</v>
      </c>
      <c r="C1056" t="s">
        <v>80</v>
      </c>
      <c r="D1056" t="str">
        <f>LEFT(M1056,10)</f>
        <v>11/15/2024</v>
      </c>
      <c r="E1056" t="s">
        <v>202</v>
      </c>
      <c r="F1056" t="s">
        <v>218</v>
      </c>
      <c r="G1056" t="s">
        <v>221</v>
      </c>
      <c r="I1056">
        <v>6610</v>
      </c>
      <c r="J1056">
        <v>5949</v>
      </c>
      <c r="K1056">
        <v>0.9</v>
      </c>
      <c r="M1056" t="s">
        <v>289</v>
      </c>
    </row>
    <row r="1057" spans="1:13" hidden="1">
      <c r="A1057" t="s">
        <v>81</v>
      </c>
      <c r="B1057" t="s">
        <v>8</v>
      </c>
      <c r="C1057" t="s">
        <v>80</v>
      </c>
      <c r="D1057" t="str">
        <f>LEFT(M1057,10)</f>
        <v>11/15/2024</v>
      </c>
      <c r="E1057" t="s">
        <v>202</v>
      </c>
      <c r="F1057" t="s">
        <v>227</v>
      </c>
      <c r="G1057" t="s">
        <v>229</v>
      </c>
      <c r="I1057">
        <v>28397</v>
      </c>
      <c r="J1057">
        <v>20161.87</v>
      </c>
      <c r="K1057">
        <v>0.71</v>
      </c>
      <c r="M1057" t="s">
        <v>289</v>
      </c>
    </row>
    <row r="1058" spans="1:13" hidden="1">
      <c r="A1058" t="s">
        <v>81</v>
      </c>
      <c r="B1058" t="s">
        <v>8</v>
      </c>
      <c r="C1058" t="s">
        <v>80</v>
      </c>
      <c r="D1058" t="str">
        <f>LEFT(M1058,10)</f>
        <v>11/15/2024</v>
      </c>
      <c r="E1058" t="s">
        <v>202</v>
      </c>
      <c r="F1058" t="s">
        <v>227</v>
      </c>
      <c r="G1058" t="s">
        <v>228</v>
      </c>
      <c r="I1058">
        <v>12394</v>
      </c>
      <c r="J1058">
        <v>4337.8999999999996</v>
      </c>
      <c r="K1058">
        <v>0.35</v>
      </c>
      <c r="M1058" t="s">
        <v>289</v>
      </c>
    </row>
    <row r="1059" spans="1:13" hidden="1">
      <c r="A1059" t="s">
        <v>81</v>
      </c>
      <c r="B1059" t="s">
        <v>8</v>
      </c>
      <c r="C1059" t="s">
        <v>80</v>
      </c>
      <c r="D1059" t="str">
        <f>LEFT(M1059,10)</f>
        <v>11/15/2024</v>
      </c>
      <c r="E1059" t="s">
        <v>202</v>
      </c>
      <c r="F1059" t="s">
        <v>218</v>
      </c>
      <c r="G1059" t="s">
        <v>225</v>
      </c>
      <c r="I1059">
        <v>515</v>
      </c>
      <c r="J1059">
        <v>515</v>
      </c>
      <c r="K1059">
        <v>1</v>
      </c>
      <c r="M1059" t="s">
        <v>289</v>
      </c>
    </row>
    <row r="1060" spans="1:13" hidden="1">
      <c r="A1060" t="s">
        <v>81</v>
      </c>
      <c r="B1060" t="s">
        <v>8</v>
      </c>
      <c r="C1060" t="s">
        <v>80</v>
      </c>
      <c r="D1060" t="str">
        <f>LEFT(M1060,10)</f>
        <v>11/15/2024</v>
      </c>
      <c r="E1060" t="s">
        <v>202</v>
      </c>
      <c r="F1060" t="s">
        <v>218</v>
      </c>
      <c r="G1060" t="s">
        <v>226</v>
      </c>
      <c r="I1060">
        <v>2208</v>
      </c>
      <c r="J1060">
        <v>662.4</v>
      </c>
      <c r="K1060">
        <v>0.3</v>
      </c>
      <c r="M1060" t="s">
        <v>289</v>
      </c>
    </row>
    <row r="1061" spans="1:13" hidden="1">
      <c r="A1061" t="s">
        <v>81</v>
      </c>
      <c r="B1061" t="s">
        <v>8</v>
      </c>
      <c r="C1061" t="s">
        <v>80</v>
      </c>
      <c r="D1061" t="str">
        <f>LEFT(M1061,10)</f>
        <v>11/15/2024</v>
      </c>
      <c r="E1061" t="s">
        <v>202</v>
      </c>
      <c r="F1061" t="s">
        <v>218</v>
      </c>
      <c r="G1061" t="s">
        <v>224</v>
      </c>
      <c r="I1061">
        <v>1488</v>
      </c>
      <c r="J1061">
        <v>1488</v>
      </c>
      <c r="K1061">
        <v>1</v>
      </c>
      <c r="M1061" t="s">
        <v>289</v>
      </c>
    </row>
    <row r="1062" spans="1:13" hidden="1">
      <c r="A1062" t="s">
        <v>81</v>
      </c>
      <c r="B1062" t="s">
        <v>8</v>
      </c>
      <c r="C1062" t="s">
        <v>80</v>
      </c>
      <c r="D1062" t="str">
        <f>LEFT(M1062,10)</f>
        <v>11/15/2024</v>
      </c>
      <c r="E1062" t="s">
        <v>202</v>
      </c>
      <c r="F1062" t="s">
        <v>218</v>
      </c>
      <c r="G1062" t="s">
        <v>266</v>
      </c>
      <c r="I1062">
        <v>3368</v>
      </c>
      <c r="J1062">
        <v>33.68</v>
      </c>
      <c r="K1062">
        <v>0.01</v>
      </c>
      <c r="M1062" t="s">
        <v>289</v>
      </c>
    </row>
    <row r="1063" spans="1:13" hidden="1">
      <c r="A1063" t="s">
        <v>81</v>
      </c>
      <c r="B1063" t="s">
        <v>8</v>
      </c>
      <c r="C1063" t="s">
        <v>80</v>
      </c>
      <c r="D1063" t="str">
        <f>LEFT(M1063,10)</f>
        <v>11/15/2024</v>
      </c>
      <c r="E1063" t="s">
        <v>202</v>
      </c>
      <c r="F1063" t="s">
        <v>218</v>
      </c>
      <c r="G1063" t="s">
        <v>241</v>
      </c>
      <c r="I1063">
        <v>711</v>
      </c>
      <c r="J1063">
        <v>2844</v>
      </c>
      <c r="K1063">
        <v>4</v>
      </c>
      <c r="M1063" t="s">
        <v>289</v>
      </c>
    </row>
    <row r="1064" spans="1:13" hidden="1">
      <c r="A1064" t="s">
        <v>81</v>
      </c>
      <c r="B1064" t="s">
        <v>8</v>
      </c>
      <c r="C1064" t="s">
        <v>80</v>
      </c>
      <c r="D1064" t="str">
        <f>LEFT(M1064,10)</f>
        <v>11/15/2024</v>
      </c>
      <c r="E1064" t="s">
        <v>202</v>
      </c>
      <c r="F1064" t="s">
        <v>218</v>
      </c>
      <c r="G1064" t="s">
        <v>221</v>
      </c>
      <c r="I1064">
        <v>1532</v>
      </c>
      <c r="J1064">
        <v>3523.6</v>
      </c>
      <c r="K1064">
        <v>2.2999999999999998</v>
      </c>
      <c r="M1064" t="s">
        <v>289</v>
      </c>
    </row>
    <row r="1065" spans="1:13" hidden="1">
      <c r="A1065" t="s">
        <v>81</v>
      </c>
      <c r="B1065" t="s">
        <v>8</v>
      </c>
      <c r="C1065" t="s">
        <v>80</v>
      </c>
      <c r="D1065" t="str">
        <f>LEFT(M1065,10)</f>
        <v>11/15/2024</v>
      </c>
      <c r="E1065" t="s">
        <v>202</v>
      </c>
      <c r="F1065" t="s">
        <v>218</v>
      </c>
      <c r="G1065" t="s">
        <v>219</v>
      </c>
      <c r="I1065">
        <v>617</v>
      </c>
      <c r="J1065">
        <v>61.7</v>
      </c>
      <c r="K1065">
        <v>0.1</v>
      </c>
      <c r="M1065" t="s">
        <v>289</v>
      </c>
    </row>
    <row r="1066" spans="1:13" hidden="1">
      <c r="A1066" t="s">
        <v>81</v>
      </c>
      <c r="B1066" t="s">
        <v>8</v>
      </c>
      <c r="C1066" t="s">
        <v>80</v>
      </c>
      <c r="D1066" t="str">
        <f>LEFT(M1066,10)</f>
        <v>11/15/2024</v>
      </c>
      <c r="E1066" t="s">
        <v>202</v>
      </c>
      <c r="F1066" t="s">
        <v>218</v>
      </c>
      <c r="G1066" t="s">
        <v>222</v>
      </c>
      <c r="I1066">
        <v>788</v>
      </c>
      <c r="J1066">
        <v>1182</v>
      </c>
      <c r="K1066">
        <v>1.5</v>
      </c>
      <c r="M1066" t="s">
        <v>289</v>
      </c>
    </row>
    <row r="1067" spans="1:13" hidden="1">
      <c r="A1067" t="s">
        <v>81</v>
      </c>
      <c r="B1067" t="s">
        <v>8</v>
      </c>
      <c r="C1067" t="s">
        <v>80</v>
      </c>
      <c r="D1067" t="str">
        <f>LEFT(M1067,10)</f>
        <v>11/15/2024</v>
      </c>
      <c r="E1067" t="s">
        <v>202</v>
      </c>
      <c r="F1067" t="s">
        <v>218</v>
      </c>
      <c r="G1067" t="s">
        <v>242</v>
      </c>
      <c r="I1067">
        <v>506</v>
      </c>
      <c r="J1067">
        <v>506</v>
      </c>
      <c r="K1067">
        <v>1</v>
      </c>
      <c r="M1067" t="s">
        <v>289</v>
      </c>
    </row>
    <row r="1068" spans="1:13" hidden="1">
      <c r="A1068" t="s">
        <v>81</v>
      </c>
      <c r="B1068" t="s">
        <v>8</v>
      </c>
      <c r="C1068" t="s">
        <v>80</v>
      </c>
      <c r="D1068" t="str">
        <f>LEFT(M1068,10)</f>
        <v>11/15/2024</v>
      </c>
      <c r="E1068" t="s">
        <v>202</v>
      </c>
      <c r="F1068" t="s">
        <v>218</v>
      </c>
      <c r="G1068" t="s">
        <v>222</v>
      </c>
      <c r="I1068">
        <v>3494</v>
      </c>
      <c r="J1068">
        <v>4192.8</v>
      </c>
      <c r="K1068">
        <v>1.2</v>
      </c>
      <c r="M1068" t="s">
        <v>289</v>
      </c>
    </row>
    <row r="1069" spans="1:13" hidden="1">
      <c r="A1069" t="s">
        <v>81</v>
      </c>
      <c r="B1069" t="s">
        <v>8</v>
      </c>
      <c r="C1069" t="s">
        <v>80</v>
      </c>
      <c r="D1069" t="str">
        <f>LEFT(M1069,10)</f>
        <v>11/15/2024</v>
      </c>
      <c r="E1069" t="s">
        <v>202</v>
      </c>
      <c r="F1069" t="s">
        <v>218</v>
      </c>
      <c r="G1069" t="s">
        <v>221</v>
      </c>
      <c r="I1069">
        <v>996</v>
      </c>
      <c r="J1069">
        <v>2490</v>
      </c>
      <c r="K1069">
        <v>2.5</v>
      </c>
      <c r="M1069" t="s">
        <v>289</v>
      </c>
    </row>
    <row r="1070" spans="1:13" hidden="1">
      <c r="A1070" t="s">
        <v>81</v>
      </c>
      <c r="B1070" t="s">
        <v>8</v>
      </c>
      <c r="C1070" t="s">
        <v>80</v>
      </c>
      <c r="D1070" t="str">
        <f>LEFT(M1070,10)</f>
        <v>11/15/2024</v>
      </c>
      <c r="E1070" t="s">
        <v>202</v>
      </c>
      <c r="F1070" t="s">
        <v>227</v>
      </c>
      <c r="G1070" t="s">
        <v>237</v>
      </c>
      <c r="I1070">
        <v>4782</v>
      </c>
      <c r="J1070">
        <v>2869.2</v>
      </c>
      <c r="K1070">
        <v>0.6</v>
      </c>
      <c r="M1070" t="s">
        <v>289</v>
      </c>
    </row>
    <row r="1071" spans="1:13" hidden="1">
      <c r="A1071" t="s">
        <v>81</v>
      </c>
      <c r="B1071" t="s">
        <v>8</v>
      </c>
      <c r="C1071" t="s">
        <v>80</v>
      </c>
      <c r="D1071" t="str">
        <f>LEFT(M1071,10)</f>
        <v>11/15/2024</v>
      </c>
      <c r="E1071" t="s">
        <v>202</v>
      </c>
      <c r="F1071" t="s">
        <v>227</v>
      </c>
      <c r="G1071" t="s">
        <v>252</v>
      </c>
      <c r="I1071">
        <v>1513</v>
      </c>
      <c r="J1071">
        <v>453.9</v>
      </c>
      <c r="K1071">
        <v>0.3</v>
      </c>
      <c r="M1071" t="s">
        <v>289</v>
      </c>
    </row>
    <row r="1072" spans="1:13" hidden="1">
      <c r="A1072" t="s">
        <v>81</v>
      </c>
      <c r="B1072" t="s">
        <v>8</v>
      </c>
      <c r="C1072" t="s">
        <v>80</v>
      </c>
      <c r="D1072" t="str">
        <f>LEFT(M1072,10)</f>
        <v>11/15/2024</v>
      </c>
      <c r="E1072" t="s">
        <v>202</v>
      </c>
      <c r="F1072" t="s">
        <v>203</v>
      </c>
      <c r="G1072" t="s">
        <v>215</v>
      </c>
      <c r="I1072">
        <v>7570</v>
      </c>
      <c r="J1072">
        <v>4920.5</v>
      </c>
      <c r="K1072">
        <v>0.65</v>
      </c>
      <c r="M1072" t="s">
        <v>289</v>
      </c>
    </row>
    <row r="1073" spans="1:13" hidden="1">
      <c r="A1073" t="s">
        <v>81</v>
      </c>
      <c r="B1073" t="s">
        <v>8</v>
      </c>
      <c r="C1073" t="s">
        <v>80</v>
      </c>
      <c r="D1073" t="str">
        <f>LEFT(M1073,10)</f>
        <v>11/15/2024</v>
      </c>
      <c r="E1073" t="s">
        <v>202</v>
      </c>
      <c r="F1073" t="s">
        <v>218</v>
      </c>
      <c r="G1073" t="s">
        <v>222</v>
      </c>
      <c r="I1073">
        <v>541</v>
      </c>
      <c r="J1073">
        <v>865.6</v>
      </c>
      <c r="K1073">
        <v>1.6</v>
      </c>
      <c r="M1073" t="s">
        <v>289</v>
      </c>
    </row>
    <row r="1074" spans="1:13" hidden="1">
      <c r="A1074" t="s">
        <v>81</v>
      </c>
      <c r="B1074" t="s">
        <v>8</v>
      </c>
      <c r="C1074" t="s">
        <v>80</v>
      </c>
      <c r="D1074" t="str">
        <f>LEFT(M1074,10)</f>
        <v>11/15/2024</v>
      </c>
      <c r="E1074" t="s">
        <v>202</v>
      </c>
      <c r="F1074" t="s">
        <v>216</v>
      </c>
      <c r="G1074" t="s">
        <v>253</v>
      </c>
      <c r="I1074">
        <v>19960</v>
      </c>
      <c r="J1074">
        <v>2994</v>
      </c>
      <c r="K1074">
        <v>0.15</v>
      </c>
      <c r="M1074" t="s">
        <v>289</v>
      </c>
    </row>
    <row r="1075" spans="1:13" hidden="1">
      <c r="A1075" t="s">
        <v>81</v>
      </c>
      <c r="B1075" t="s">
        <v>8</v>
      </c>
      <c r="C1075" t="s">
        <v>80</v>
      </c>
      <c r="D1075" t="str">
        <f>LEFT(M1075,10)</f>
        <v>11/15/2024</v>
      </c>
      <c r="E1075" t="s">
        <v>202</v>
      </c>
      <c r="F1075" t="s">
        <v>218</v>
      </c>
      <c r="G1075" t="s">
        <v>267</v>
      </c>
      <c r="I1075">
        <v>84</v>
      </c>
      <c r="J1075">
        <v>16.8</v>
      </c>
      <c r="K1075">
        <v>0.2</v>
      </c>
      <c r="M1075" t="s">
        <v>289</v>
      </c>
    </row>
    <row r="1076" spans="1:13" hidden="1">
      <c r="A1076" t="s">
        <v>81</v>
      </c>
      <c r="B1076" t="s">
        <v>8</v>
      </c>
      <c r="C1076" t="s">
        <v>80</v>
      </c>
      <c r="D1076" t="str">
        <f>LEFT(M1076,10)</f>
        <v>11/15/2024</v>
      </c>
      <c r="E1076" t="s">
        <v>202</v>
      </c>
      <c r="F1076" t="s">
        <v>218</v>
      </c>
      <c r="G1076" t="s">
        <v>222</v>
      </c>
      <c r="I1076">
        <v>35</v>
      </c>
      <c r="J1076">
        <v>42</v>
      </c>
      <c r="K1076">
        <v>1.2</v>
      </c>
      <c r="M1076" t="s">
        <v>289</v>
      </c>
    </row>
    <row r="1077" spans="1:13" hidden="1">
      <c r="A1077" t="s">
        <v>81</v>
      </c>
      <c r="B1077" t="s">
        <v>8</v>
      </c>
      <c r="C1077" t="s">
        <v>80</v>
      </c>
      <c r="D1077" t="str">
        <f>LEFT(M1077,10)</f>
        <v>11/15/2024</v>
      </c>
      <c r="E1077" t="s">
        <v>202</v>
      </c>
      <c r="F1077" t="s">
        <v>218</v>
      </c>
      <c r="G1077" t="s">
        <v>222</v>
      </c>
      <c r="I1077">
        <v>96</v>
      </c>
      <c r="J1077">
        <v>124.8</v>
      </c>
      <c r="K1077">
        <v>1.3</v>
      </c>
      <c r="M1077" t="s">
        <v>289</v>
      </c>
    </row>
    <row r="1078" spans="1:13" hidden="1">
      <c r="A1078" t="s">
        <v>81</v>
      </c>
      <c r="B1078" t="s">
        <v>8</v>
      </c>
      <c r="C1078" t="s">
        <v>80</v>
      </c>
      <c r="D1078" t="str">
        <f>LEFT(M1078,10)</f>
        <v>11/15/2024</v>
      </c>
      <c r="E1078" t="s">
        <v>202</v>
      </c>
      <c r="F1078" t="s">
        <v>203</v>
      </c>
      <c r="G1078" t="s">
        <v>207</v>
      </c>
      <c r="I1078">
        <v>90</v>
      </c>
      <c r="J1078">
        <v>360</v>
      </c>
      <c r="K1078">
        <v>4</v>
      </c>
      <c r="M1078" t="s">
        <v>289</v>
      </c>
    </row>
    <row r="1079" spans="1:13" hidden="1">
      <c r="A1079" t="s">
        <v>81</v>
      </c>
      <c r="B1079" t="s">
        <v>8</v>
      </c>
      <c r="C1079" t="s">
        <v>80</v>
      </c>
      <c r="D1079" t="str">
        <f>LEFT(M1079,10)</f>
        <v>11/15/2024</v>
      </c>
      <c r="E1079" t="s">
        <v>202</v>
      </c>
      <c r="F1079" t="s">
        <v>203</v>
      </c>
      <c r="G1079" t="s">
        <v>204</v>
      </c>
      <c r="I1079">
        <v>288.39999999999998</v>
      </c>
      <c r="J1079">
        <v>2249.52</v>
      </c>
      <c r="K1079">
        <v>7.8</v>
      </c>
      <c r="M1079" t="s">
        <v>289</v>
      </c>
    </row>
    <row r="1080" spans="1:13" hidden="1">
      <c r="A1080" t="s">
        <v>81</v>
      </c>
      <c r="B1080" t="s">
        <v>8</v>
      </c>
      <c r="C1080" t="s">
        <v>80</v>
      </c>
      <c r="D1080" t="str">
        <f>LEFT(M1080,10)</f>
        <v>11/15/2024</v>
      </c>
      <c r="E1080" t="s">
        <v>202</v>
      </c>
      <c r="F1080" t="s">
        <v>203</v>
      </c>
      <c r="G1080" t="s">
        <v>259</v>
      </c>
      <c r="I1080">
        <v>66</v>
      </c>
      <c r="J1080">
        <v>561</v>
      </c>
      <c r="K1080">
        <v>8.5</v>
      </c>
      <c r="M1080" t="s">
        <v>289</v>
      </c>
    </row>
    <row r="1081" spans="1:13" hidden="1">
      <c r="A1081" t="s">
        <v>81</v>
      </c>
      <c r="B1081" t="s">
        <v>8</v>
      </c>
      <c r="C1081" t="s">
        <v>80</v>
      </c>
      <c r="D1081" t="str">
        <f>LEFT(M1081,10)</f>
        <v>11/15/2024</v>
      </c>
      <c r="E1081" t="s">
        <v>202</v>
      </c>
      <c r="F1081" t="s">
        <v>203</v>
      </c>
      <c r="G1081" t="s">
        <v>259</v>
      </c>
      <c r="I1081">
        <v>10.7</v>
      </c>
      <c r="J1081">
        <v>203.3</v>
      </c>
      <c r="K1081">
        <v>19</v>
      </c>
      <c r="M1081" t="s">
        <v>289</v>
      </c>
    </row>
    <row r="1082" spans="1:13" hidden="1">
      <c r="A1082" t="s">
        <v>81</v>
      </c>
      <c r="B1082" t="s">
        <v>8</v>
      </c>
      <c r="C1082" t="s">
        <v>80</v>
      </c>
      <c r="D1082" t="str">
        <f>LEFT(M1082,10)</f>
        <v>11/15/2024</v>
      </c>
      <c r="E1082" t="s">
        <v>202</v>
      </c>
      <c r="F1082" t="s">
        <v>218</v>
      </c>
      <c r="G1082" t="s">
        <v>239</v>
      </c>
      <c r="I1082">
        <v>550</v>
      </c>
      <c r="J1082">
        <v>660</v>
      </c>
      <c r="K1082">
        <v>1.2</v>
      </c>
      <c r="M1082" t="s">
        <v>289</v>
      </c>
    </row>
    <row r="1083" spans="1:13" hidden="1">
      <c r="A1083" t="s">
        <v>81</v>
      </c>
      <c r="B1083" t="s">
        <v>8</v>
      </c>
      <c r="C1083" t="s">
        <v>80</v>
      </c>
      <c r="D1083" t="str">
        <f>LEFT(M1083,10)</f>
        <v>11/15/2024</v>
      </c>
      <c r="E1083" t="s">
        <v>232</v>
      </c>
      <c r="F1083" t="s">
        <v>262</v>
      </c>
      <c r="I1083">
        <v>0</v>
      </c>
      <c r="J1083">
        <v>7300.04</v>
      </c>
      <c r="M1083" t="s">
        <v>289</v>
      </c>
    </row>
    <row r="1084" spans="1:13" hidden="1">
      <c r="A1084" t="s">
        <v>81</v>
      </c>
      <c r="B1084" t="s">
        <v>8</v>
      </c>
      <c r="C1084" t="s">
        <v>80</v>
      </c>
      <c r="D1084" t="str">
        <f>LEFT(M1084,10)</f>
        <v>11/15/2024</v>
      </c>
      <c r="E1084" t="s">
        <v>232</v>
      </c>
      <c r="F1084" t="s">
        <v>262</v>
      </c>
      <c r="I1084">
        <v>0</v>
      </c>
      <c r="J1084">
        <v>250</v>
      </c>
      <c r="M1084" t="s">
        <v>289</v>
      </c>
    </row>
    <row r="1085" spans="1:13" hidden="1">
      <c r="A1085" t="s">
        <v>81</v>
      </c>
      <c r="B1085" t="s">
        <v>8</v>
      </c>
      <c r="C1085" t="s">
        <v>80</v>
      </c>
      <c r="D1085" t="str">
        <f>LEFT(M1085,10)</f>
        <v>11/15/2024</v>
      </c>
      <c r="E1085" t="s">
        <v>232</v>
      </c>
      <c r="F1085" t="s">
        <v>262</v>
      </c>
      <c r="I1085">
        <v>0</v>
      </c>
      <c r="J1085">
        <v>725</v>
      </c>
      <c r="M1085" t="s">
        <v>289</v>
      </c>
    </row>
    <row r="1086" spans="1:13" hidden="1">
      <c r="A1086" t="s">
        <v>81</v>
      </c>
      <c r="B1086" t="s">
        <v>8</v>
      </c>
      <c r="C1086" t="s">
        <v>80</v>
      </c>
      <c r="D1086" t="str">
        <f>LEFT(M1086,10)</f>
        <v>11/15/2024</v>
      </c>
      <c r="E1086" t="s">
        <v>232</v>
      </c>
      <c r="F1086" t="s">
        <v>262</v>
      </c>
      <c r="I1086">
        <v>0</v>
      </c>
      <c r="J1086">
        <v>800</v>
      </c>
      <c r="M1086" t="s">
        <v>289</v>
      </c>
    </row>
    <row r="1087" spans="1:13" hidden="1">
      <c r="A1087" t="s">
        <v>81</v>
      </c>
      <c r="B1087" t="s">
        <v>8</v>
      </c>
      <c r="C1087" t="s">
        <v>80</v>
      </c>
      <c r="D1087" t="str">
        <f>LEFT(M1087,10)</f>
        <v>11/15/2024</v>
      </c>
      <c r="E1087" t="s">
        <v>232</v>
      </c>
      <c r="F1087" t="s">
        <v>262</v>
      </c>
      <c r="I1087">
        <v>0</v>
      </c>
      <c r="J1087">
        <v>489.9</v>
      </c>
      <c r="M1087" t="s">
        <v>289</v>
      </c>
    </row>
    <row r="1088" spans="1:13" hidden="1">
      <c r="A1088" t="s">
        <v>81</v>
      </c>
      <c r="B1088" t="s">
        <v>8</v>
      </c>
      <c r="C1088" t="s">
        <v>80</v>
      </c>
      <c r="D1088" t="str">
        <f>LEFT(M1088,10)</f>
        <v>11/15/2024</v>
      </c>
      <c r="E1088" t="s">
        <v>232</v>
      </c>
      <c r="F1088" t="s">
        <v>262</v>
      </c>
      <c r="I1088">
        <v>0</v>
      </c>
      <c r="J1088">
        <v>180</v>
      </c>
      <c r="M1088" t="s">
        <v>289</v>
      </c>
    </row>
    <row r="1089" spans="1:13" hidden="1">
      <c r="A1089" t="s">
        <v>81</v>
      </c>
      <c r="B1089" t="s">
        <v>8</v>
      </c>
      <c r="C1089" t="s">
        <v>80</v>
      </c>
      <c r="D1089" t="str">
        <f>LEFT(M1089,10)</f>
        <v>11/15/2024</v>
      </c>
      <c r="E1089" t="s">
        <v>232</v>
      </c>
      <c r="F1089" t="s">
        <v>251</v>
      </c>
      <c r="I1089">
        <v>0</v>
      </c>
      <c r="J1089">
        <v>1830</v>
      </c>
      <c r="M1089" t="s">
        <v>289</v>
      </c>
    </row>
    <row r="1090" spans="1:13" hidden="1">
      <c r="A1090" t="s">
        <v>81</v>
      </c>
      <c r="B1090" t="s">
        <v>8</v>
      </c>
      <c r="C1090" t="s">
        <v>80</v>
      </c>
      <c r="D1090" t="str">
        <f>LEFT(M1090,10)</f>
        <v>11/15/2024</v>
      </c>
      <c r="E1090" t="s">
        <v>232</v>
      </c>
      <c r="F1090" t="s">
        <v>251</v>
      </c>
      <c r="I1090">
        <v>0</v>
      </c>
      <c r="J1090">
        <v>420</v>
      </c>
      <c r="M1090" t="s">
        <v>289</v>
      </c>
    </row>
    <row r="1091" spans="1:13" hidden="1">
      <c r="A1091" t="s">
        <v>81</v>
      </c>
      <c r="B1091" t="s">
        <v>8</v>
      </c>
      <c r="C1091" t="s">
        <v>80</v>
      </c>
      <c r="D1091" t="str">
        <f>LEFT(M1091,10)</f>
        <v>11/15/2024</v>
      </c>
      <c r="E1091" t="s">
        <v>232</v>
      </c>
      <c r="F1091" t="s">
        <v>233</v>
      </c>
      <c r="I1091">
        <v>0</v>
      </c>
      <c r="J1091">
        <v>243.77</v>
      </c>
      <c r="M1091" t="s">
        <v>289</v>
      </c>
    </row>
    <row r="1092" spans="1:13" hidden="1">
      <c r="A1092" t="s">
        <v>81</v>
      </c>
      <c r="B1092" t="s">
        <v>8</v>
      </c>
      <c r="C1092" t="s">
        <v>80</v>
      </c>
      <c r="D1092" t="str">
        <f>LEFT(M1092,10)</f>
        <v>11/15/2024</v>
      </c>
      <c r="E1092" t="s">
        <v>232</v>
      </c>
      <c r="F1092" t="s">
        <v>290</v>
      </c>
      <c r="I1092">
        <v>0</v>
      </c>
      <c r="J1092">
        <v>907.5</v>
      </c>
      <c r="M1092" t="s">
        <v>289</v>
      </c>
    </row>
    <row r="1093" spans="1:13" hidden="1">
      <c r="A1093" t="s">
        <v>81</v>
      </c>
      <c r="B1093" t="s">
        <v>8</v>
      </c>
      <c r="C1093" t="s">
        <v>80</v>
      </c>
      <c r="D1093" t="str">
        <f>LEFT(M1093,10)</f>
        <v>11/15/2024</v>
      </c>
      <c r="E1093" t="s">
        <v>232</v>
      </c>
      <c r="F1093" t="s">
        <v>262</v>
      </c>
      <c r="I1093">
        <v>0</v>
      </c>
      <c r="J1093">
        <v>1199.58</v>
      </c>
      <c r="M1093" t="s">
        <v>289</v>
      </c>
    </row>
    <row r="1094" spans="1:13" hidden="1">
      <c r="A1094" t="s">
        <v>81</v>
      </c>
      <c r="B1094" t="s">
        <v>8</v>
      </c>
      <c r="C1094" t="s">
        <v>80</v>
      </c>
      <c r="D1094" t="str">
        <f>LEFT(M1094,10)</f>
        <v>11/15/2024</v>
      </c>
      <c r="E1094" t="s">
        <v>232</v>
      </c>
      <c r="F1094" t="s">
        <v>286</v>
      </c>
      <c r="I1094">
        <v>0</v>
      </c>
      <c r="J1094">
        <v>205</v>
      </c>
      <c r="M1094" t="s">
        <v>289</v>
      </c>
    </row>
    <row r="1095" spans="1:13" hidden="1">
      <c r="A1095" t="s">
        <v>81</v>
      </c>
      <c r="B1095" t="s">
        <v>8</v>
      </c>
      <c r="C1095" t="s">
        <v>80</v>
      </c>
      <c r="D1095" t="str">
        <f>LEFT(M1095,10)</f>
        <v>11/15/2024</v>
      </c>
      <c r="E1095" t="s">
        <v>232</v>
      </c>
      <c r="F1095" t="s">
        <v>287</v>
      </c>
      <c r="I1095">
        <v>0</v>
      </c>
      <c r="J1095">
        <v>60.85</v>
      </c>
      <c r="M1095" t="s">
        <v>289</v>
      </c>
    </row>
    <row r="1096" spans="1:13" hidden="1">
      <c r="A1096" t="s">
        <v>81</v>
      </c>
      <c r="B1096" t="s">
        <v>8</v>
      </c>
      <c r="C1096" t="s">
        <v>80</v>
      </c>
      <c r="D1096" t="str">
        <f>LEFT(M1096,10)</f>
        <v>11/15/2024</v>
      </c>
      <c r="E1096" t="s">
        <v>232</v>
      </c>
      <c r="F1096" t="s">
        <v>255</v>
      </c>
      <c r="I1096">
        <v>0</v>
      </c>
      <c r="J1096">
        <v>7100</v>
      </c>
      <c r="L1096" t="s">
        <v>365</v>
      </c>
      <c r="M1096" t="s">
        <v>289</v>
      </c>
    </row>
    <row r="1097" spans="1:13" hidden="1">
      <c r="A1097" t="s">
        <v>81</v>
      </c>
      <c r="B1097" t="s">
        <v>8</v>
      </c>
      <c r="C1097" t="s">
        <v>80</v>
      </c>
      <c r="D1097" t="str">
        <f>LEFT(M1097,10)</f>
        <v>11/15/2024</v>
      </c>
      <c r="E1097" t="s">
        <v>232</v>
      </c>
      <c r="F1097" t="s">
        <v>255</v>
      </c>
      <c r="I1097">
        <v>0</v>
      </c>
      <c r="J1097">
        <v>1199.58</v>
      </c>
      <c r="L1097" t="s">
        <v>366</v>
      </c>
      <c r="M1097" t="s">
        <v>289</v>
      </c>
    </row>
    <row r="1098" spans="1:13" hidden="1">
      <c r="A1098" t="s">
        <v>81</v>
      </c>
      <c r="B1098" t="s">
        <v>8</v>
      </c>
      <c r="C1098" t="s">
        <v>80</v>
      </c>
      <c r="D1098" t="str">
        <f>LEFT(M1098,10)</f>
        <v>11/15/2024</v>
      </c>
      <c r="E1098" t="s">
        <v>232</v>
      </c>
      <c r="F1098" t="s">
        <v>262</v>
      </c>
      <c r="I1098">
        <v>0</v>
      </c>
      <c r="J1098">
        <v>3100</v>
      </c>
      <c r="M1098" t="s">
        <v>289</v>
      </c>
    </row>
    <row r="1099" spans="1:13" hidden="1">
      <c r="A1099" t="s">
        <v>81</v>
      </c>
      <c r="B1099" t="s">
        <v>8</v>
      </c>
      <c r="C1099" t="s">
        <v>80</v>
      </c>
      <c r="D1099" t="str">
        <f>LEFT(M1099,10)</f>
        <v>11/15/2024</v>
      </c>
      <c r="E1099" t="s">
        <v>232</v>
      </c>
      <c r="F1099" t="s">
        <v>272</v>
      </c>
      <c r="I1099">
        <v>0</v>
      </c>
      <c r="J1099">
        <v>2440</v>
      </c>
      <c r="M1099" t="s">
        <v>289</v>
      </c>
    </row>
    <row r="1100" spans="1:13" hidden="1">
      <c r="A1100" t="s">
        <v>81</v>
      </c>
      <c r="B1100" t="s">
        <v>8</v>
      </c>
      <c r="C1100" t="s">
        <v>80</v>
      </c>
      <c r="D1100" t="str">
        <f>LEFT(M1100,10)</f>
        <v>11/15/2024</v>
      </c>
      <c r="E1100" t="s">
        <v>234</v>
      </c>
      <c r="F1100" t="s">
        <v>234</v>
      </c>
      <c r="I1100">
        <v>15000</v>
      </c>
      <c r="M1100" t="s">
        <v>289</v>
      </c>
    </row>
    <row r="1101" spans="1:13" hidden="1">
      <c r="A1101" t="s">
        <v>83</v>
      </c>
      <c r="B1101" t="s">
        <v>8</v>
      </c>
      <c r="C1101" t="s">
        <v>82</v>
      </c>
      <c r="D1101" t="str">
        <f>LEFT(M1101,10)</f>
        <v>11/15/2024</v>
      </c>
      <c r="E1101" t="s">
        <v>232</v>
      </c>
      <c r="F1101" t="s">
        <v>275</v>
      </c>
      <c r="I1101">
        <v>0</v>
      </c>
      <c r="J1101">
        <v>552.83000000000004</v>
      </c>
      <c r="M1101" t="s">
        <v>289</v>
      </c>
    </row>
    <row r="1102" spans="1:13" hidden="1">
      <c r="A1102" t="s">
        <v>83</v>
      </c>
      <c r="B1102" t="s">
        <v>8</v>
      </c>
      <c r="C1102" t="s">
        <v>82</v>
      </c>
      <c r="D1102" t="str">
        <f>LEFT(M1102,10)</f>
        <v>11/15/2024</v>
      </c>
      <c r="E1102" t="s">
        <v>232</v>
      </c>
      <c r="F1102" t="s">
        <v>276</v>
      </c>
      <c r="I1102">
        <v>0</v>
      </c>
      <c r="J1102">
        <v>184.39</v>
      </c>
      <c r="M1102" t="s">
        <v>289</v>
      </c>
    </row>
    <row r="1103" spans="1:13" hidden="1">
      <c r="A1103" t="s">
        <v>83</v>
      </c>
      <c r="B1103" t="s">
        <v>8</v>
      </c>
      <c r="C1103" t="s">
        <v>82</v>
      </c>
      <c r="D1103" t="str">
        <f>LEFT(M1103,10)</f>
        <v>11/15/2024</v>
      </c>
      <c r="E1103" t="s">
        <v>232</v>
      </c>
      <c r="F1103" t="s">
        <v>287</v>
      </c>
      <c r="I1103">
        <v>0</v>
      </c>
      <c r="J1103">
        <v>450</v>
      </c>
      <c r="M1103" t="s">
        <v>289</v>
      </c>
    </row>
    <row r="1104" spans="1:13" hidden="1">
      <c r="A1104" t="s">
        <v>83</v>
      </c>
      <c r="B1104" t="s">
        <v>8</v>
      </c>
      <c r="C1104" t="s">
        <v>82</v>
      </c>
      <c r="D1104" t="str">
        <f>LEFT(M1104,10)</f>
        <v>11/15/2024</v>
      </c>
      <c r="E1104" t="s">
        <v>232</v>
      </c>
      <c r="F1104" t="s">
        <v>250</v>
      </c>
      <c r="I1104">
        <v>0</v>
      </c>
      <c r="J1104">
        <v>352.2</v>
      </c>
      <c r="M1104" t="s">
        <v>289</v>
      </c>
    </row>
    <row r="1105" spans="1:13" hidden="1">
      <c r="A1105" t="s">
        <v>83</v>
      </c>
      <c r="B1105" t="s">
        <v>8</v>
      </c>
      <c r="C1105" t="s">
        <v>82</v>
      </c>
      <c r="D1105" t="str">
        <f>LEFT(M1105,10)</f>
        <v>11/15/2024</v>
      </c>
      <c r="E1105" t="s">
        <v>232</v>
      </c>
      <c r="F1105" t="s">
        <v>250</v>
      </c>
      <c r="I1105">
        <v>0</v>
      </c>
      <c r="J1105">
        <v>4276.32</v>
      </c>
      <c r="M1105" t="s">
        <v>289</v>
      </c>
    </row>
    <row r="1106" spans="1:13" hidden="1">
      <c r="A1106" t="s">
        <v>83</v>
      </c>
      <c r="B1106" t="s">
        <v>8</v>
      </c>
      <c r="C1106" t="s">
        <v>82</v>
      </c>
      <c r="D1106" t="str">
        <f>LEFT(M1106,10)</f>
        <v>11/15/2024</v>
      </c>
      <c r="E1106" t="s">
        <v>232</v>
      </c>
      <c r="F1106" t="s">
        <v>233</v>
      </c>
      <c r="I1106">
        <v>0</v>
      </c>
      <c r="J1106">
        <v>1863.84</v>
      </c>
      <c r="M1106" t="s">
        <v>289</v>
      </c>
    </row>
    <row r="1107" spans="1:13" hidden="1">
      <c r="A1107" t="s">
        <v>83</v>
      </c>
      <c r="B1107" t="s">
        <v>8</v>
      </c>
      <c r="C1107" t="s">
        <v>82</v>
      </c>
      <c r="D1107" t="str">
        <f>LEFT(M1107,10)</f>
        <v>11/15/2024</v>
      </c>
      <c r="E1107" t="s">
        <v>230</v>
      </c>
      <c r="F1107" t="s">
        <v>248</v>
      </c>
      <c r="I1107">
        <v>0</v>
      </c>
      <c r="J1107">
        <v>6660.28</v>
      </c>
      <c r="M1107" t="s">
        <v>289</v>
      </c>
    </row>
    <row r="1108" spans="1:13" hidden="1">
      <c r="A1108" t="s">
        <v>83</v>
      </c>
      <c r="B1108" t="s">
        <v>8</v>
      </c>
      <c r="C1108" t="s">
        <v>82</v>
      </c>
      <c r="D1108" t="str">
        <f>LEFT(M1108,10)</f>
        <v>11/15/2024</v>
      </c>
      <c r="E1108" t="s">
        <v>232</v>
      </c>
      <c r="F1108" t="s">
        <v>255</v>
      </c>
      <c r="I1108">
        <v>0</v>
      </c>
      <c r="J1108">
        <v>158.22999999999999</v>
      </c>
      <c r="L1108" t="s">
        <v>367</v>
      </c>
      <c r="M1108" t="s">
        <v>289</v>
      </c>
    </row>
    <row r="1109" spans="1:13" hidden="1">
      <c r="A1109" t="s">
        <v>83</v>
      </c>
      <c r="B1109" t="s">
        <v>8</v>
      </c>
      <c r="C1109" t="s">
        <v>82</v>
      </c>
      <c r="D1109" t="str">
        <f>LEFT(M1109,10)</f>
        <v>11/15/2024</v>
      </c>
      <c r="E1109" t="s">
        <v>234</v>
      </c>
      <c r="F1109" t="s">
        <v>234</v>
      </c>
      <c r="I1109">
        <v>8780</v>
      </c>
      <c r="M1109" t="s">
        <v>289</v>
      </c>
    </row>
    <row r="1110" spans="1:13" hidden="1">
      <c r="A1110" t="s">
        <v>83</v>
      </c>
      <c r="B1110" t="s">
        <v>8</v>
      </c>
      <c r="C1110" t="s">
        <v>82</v>
      </c>
      <c r="D1110" t="str">
        <f>LEFT(M1110,10)</f>
        <v>11/15/2024</v>
      </c>
      <c r="E1110" t="s">
        <v>202</v>
      </c>
      <c r="F1110" t="s">
        <v>227</v>
      </c>
      <c r="G1110" t="s">
        <v>237</v>
      </c>
      <c r="I1110">
        <v>570</v>
      </c>
      <c r="J1110">
        <v>399</v>
      </c>
      <c r="K1110">
        <v>0.7</v>
      </c>
      <c r="M1110" t="s">
        <v>289</v>
      </c>
    </row>
    <row r="1111" spans="1:13" hidden="1">
      <c r="A1111" t="s">
        <v>83</v>
      </c>
      <c r="B1111" t="s">
        <v>8</v>
      </c>
      <c r="C1111" t="s">
        <v>82</v>
      </c>
      <c r="D1111" t="str">
        <f>LEFT(M1111,10)</f>
        <v>11/15/2024</v>
      </c>
      <c r="E1111" t="s">
        <v>202</v>
      </c>
      <c r="F1111" t="s">
        <v>227</v>
      </c>
      <c r="G1111" t="s">
        <v>228</v>
      </c>
      <c r="I1111">
        <v>1709</v>
      </c>
      <c r="J1111">
        <v>478.52</v>
      </c>
      <c r="K1111">
        <v>0.28000000000000003</v>
      </c>
      <c r="M1111" t="s">
        <v>289</v>
      </c>
    </row>
    <row r="1112" spans="1:13" hidden="1">
      <c r="A1112" t="s">
        <v>83</v>
      </c>
      <c r="B1112" t="s">
        <v>8</v>
      </c>
      <c r="C1112" t="s">
        <v>82</v>
      </c>
      <c r="D1112" t="str">
        <f>LEFT(M1112,10)</f>
        <v>11/15/2024</v>
      </c>
      <c r="E1112" t="s">
        <v>202</v>
      </c>
      <c r="F1112" t="s">
        <v>227</v>
      </c>
      <c r="G1112" t="s">
        <v>229</v>
      </c>
      <c r="I1112">
        <v>5343</v>
      </c>
      <c r="J1112">
        <v>4007.25</v>
      </c>
      <c r="K1112">
        <v>0.75</v>
      </c>
      <c r="M1112" t="s">
        <v>289</v>
      </c>
    </row>
    <row r="1113" spans="1:13" hidden="1">
      <c r="A1113" t="s">
        <v>83</v>
      </c>
      <c r="B1113" t="s">
        <v>8</v>
      </c>
      <c r="C1113" t="s">
        <v>82</v>
      </c>
      <c r="D1113" t="str">
        <f>LEFT(M1113,10)</f>
        <v>11/15/2024</v>
      </c>
      <c r="E1113" t="s">
        <v>202</v>
      </c>
      <c r="F1113" t="s">
        <v>227</v>
      </c>
      <c r="G1113" t="s">
        <v>238</v>
      </c>
      <c r="I1113">
        <v>264</v>
      </c>
      <c r="J1113">
        <v>73.92</v>
      </c>
      <c r="K1113">
        <v>0.28000000000000003</v>
      </c>
      <c r="M1113" t="s">
        <v>289</v>
      </c>
    </row>
    <row r="1114" spans="1:13" hidden="1">
      <c r="A1114" t="s">
        <v>83</v>
      </c>
      <c r="B1114" t="s">
        <v>8</v>
      </c>
      <c r="C1114" t="s">
        <v>82</v>
      </c>
      <c r="D1114" t="str">
        <f>LEFT(M1114,10)</f>
        <v>11/15/2024</v>
      </c>
      <c r="E1114" t="s">
        <v>202</v>
      </c>
      <c r="F1114" t="s">
        <v>227</v>
      </c>
      <c r="G1114" t="s">
        <v>252</v>
      </c>
      <c r="I1114">
        <v>393</v>
      </c>
      <c r="J1114">
        <v>110.04</v>
      </c>
      <c r="K1114">
        <v>0.28000000000000003</v>
      </c>
      <c r="M1114" t="s">
        <v>289</v>
      </c>
    </row>
    <row r="1115" spans="1:13" hidden="1">
      <c r="A1115" t="s">
        <v>83</v>
      </c>
      <c r="B1115" t="s">
        <v>8</v>
      </c>
      <c r="C1115" t="s">
        <v>82</v>
      </c>
      <c r="D1115" t="str">
        <f>LEFT(M1115,10)</f>
        <v>11/15/2024</v>
      </c>
      <c r="E1115" t="s">
        <v>202</v>
      </c>
      <c r="F1115" t="s">
        <v>203</v>
      </c>
      <c r="G1115" t="s">
        <v>215</v>
      </c>
      <c r="I1115">
        <v>1333</v>
      </c>
      <c r="J1115">
        <v>1333</v>
      </c>
      <c r="K1115">
        <v>1</v>
      </c>
      <c r="M1115" t="s">
        <v>289</v>
      </c>
    </row>
    <row r="1116" spans="1:13" hidden="1">
      <c r="A1116" t="s">
        <v>83</v>
      </c>
      <c r="B1116" t="s">
        <v>8</v>
      </c>
      <c r="C1116" t="s">
        <v>82</v>
      </c>
      <c r="D1116" t="str">
        <f>LEFT(M1116,10)</f>
        <v>11/15/2024</v>
      </c>
      <c r="E1116" t="s">
        <v>202</v>
      </c>
      <c r="F1116" t="s">
        <v>218</v>
      </c>
      <c r="G1116" t="s">
        <v>220</v>
      </c>
      <c r="I1116">
        <v>583</v>
      </c>
      <c r="J1116">
        <v>874.5</v>
      </c>
      <c r="K1116">
        <v>1.5</v>
      </c>
      <c r="M1116" t="s">
        <v>289</v>
      </c>
    </row>
    <row r="1117" spans="1:13" hidden="1">
      <c r="A1117" t="s">
        <v>83</v>
      </c>
      <c r="B1117" t="s">
        <v>8</v>
      </c>
      <c r="C1117" t="s">
        <v>82</v>
      </c>
      <c r="D1117" t="str">
        <f>LEFT(M1117,10)</f>
        <v>11/15/2024</v>
      </c>
      <c r="E1117" t="s">
        <v>202</v>
      </c>
      <c r="F1117" t="s">
        <v>218</v>
      </c>
      <c r="G1117" t="s">
        <v>240</v>
      </c>
      <c r="I1117">
        <v>862</v>
      </c>
      <c r="J1117">
        <v>3534.2</v>
      </c>
      <c r="K1117">
        <v>4.0999999999999996</v>
      </c>
      <c r="M1117" t="s">
        <v>289</v>
      </c>
    </row>
    <row r="1118" spans="1:13" hidden="1">
      <c r="A1118" t="s">
        <v>83</v>
      </c>
      <c r="B1118" t="s">
        <v>8</v>
      </c>
      <c r="C1118" t="s">
        <v>82</v>
      </c>
      <c r="D1118" t="str">
        <f>LEFT(M1118,10)</f>
        <v>11/15/2024</v>
      </c>
      <c r="E1118" t="s">
        <v>202</v>
      </c>
      <c r="F1118" t="s">
        <v>218</v>
      </c>
      <c r="G1118" t="s">
        <v>241</v>
      </c>
      <c r="I1118">
        <v>240</v>
      </c>
      <c r="J1118">
        <v>960</v>
      </c>
      <c r="K1118">
        <v>4</v>
      </c>
      <c r="M1118" t="s">
        <v>289</v>
      </c>
    </row>
    <row r="1119" spans="1:13" hidden="1">
      <c r="A1119" t="s">
        <v>83</v>
      </c>
      <c r="B1119" t="s">
        <v>8</v>
      </c>
      <c r="C1119" t="s">
        <v>82</v>
      </c>
      <c r="D1119" t="str">
        <f>LEFT(M1119,10)</f>
        <v>11/15/2024</v>
      </c>
      <c r="E1119" t="s">
        <v>202</v>
      </c>
      <c r="F1119" t="s">
        <v>218</v>
      </c>
      <c r="G1119" t="s">
        <v>219</v>
      </c>
      <c r="I1119">
        <v>108</v>
      </c>
      <c r="J1119">
        <v>54</v>
      </c>
      <c r="K1119">
        <v>0.5</v>
      </c>
      <c r="M1119" t="s">
        <v>289</v>
      </c>
    </row>
    <row r="1120" spans="1:13" hidden="1">
      <c r="A1120" t="s">
        <v>83</v>
      </c>
      <c r="B1120" t="s">
        <v>8</v>
      </c>
      <c r="C1120" t="s">
        <v>82</v>
      </c>
      <c r="D1120" t="str">
        <f>LEFT(M1120,10)</f>
        <v>11/15/2024</v>
      </c>
      <c r="E1120" t="s">
        <v>202</v>
      </c>
      <c r="F1120" t="s">
        <v>218</v>
      </c>
      <c r="G1120" t="s">
        <v>242</v>
      </c>
      <c r="I1120">
        <v>60</v>
      </c>
      <c r="J1120">
        <v>108</v>
      </c>
      <c r="K1120">
        <v>1.8</v>
      </c>
      <c r="M1120" t="s">
        <v>289</v>
      </c>
    </row>
    <row r="1121" spans="1:13" hidden="1">
      <c r="A1121" t="s">
        <v>83</v>
      </c>
      <c r="B1121" t="s">
        <v>8</v>
      </c>
      <c r="C1121" t="s">
        <v>82</v>
      </c>
      <c r="D1121" t="str">
        <f>LEFT(M1121,10)</f>
        <v>11/15/2024</v>
      </c>
      <c r="E1121" t="s">
        <v>202</v>
      </c>
      <c r="F1121" t="s">
        <v>218</v>
      </c>
      <c r="G1121" t="s">
        <v>221</v>
      </c>
      <c r="I1121">
        <v>797</v>
      </c>
      <c r="J1121">
        <v>1912.8</v>
      </c>
      <c r="K1121">
        <v>2.4</v>
      </c>
      <c r="M1121" t="s">
        <v>289</v>
      </c>
    </row>
    <row r="1122" spans="1:13" hidden="1">
      <c r="A1122" t="s">
        <v>83</v>
      </c>
      <c r="B1122" t="s">
        <v>8</v>
      </c>
      <c r="C1122" t="s">
        <v>82</v>
      </c>
      <c r="D1122" t="str">
        <f>LEFT(M1122,10)</f>
        <v>11/15/2024</v>
      </c>
      <c r="E1122" t="s">
        <v>202</v>
      </c>
      <c r="F1122" t="s">
        <v>218</v>
      </c>
      <c r="G1122" t="s">
        <v>268</v>
      </c>
      <c r="I1122">
        <v>574</v>
      </c>
      <c r="J1122">
        <v>918.4</v>
      </c>
      <c r="K1122">
        <v>1.6</v>
      </c>
      <c r="M1122" t="s">
        <v>289</v>
      </c>
    </row>
    <row r="1123" spans="1:13" hidden="1">
      <c r="A1123" t="s">
        <v>83</v>
      </c>
      <c r="B1123" t="s">
        <v>8</v>
      </c>
      <c r="C1123" t="s">
        <v>82</v>
      </c>
      <c r="D1123" t="str">
        <f>LEFT(M1123,10)</f>
        <v>11/15/2024</v>
      </c>
      <c r="E1123" t="s">
        <v>202</v>
      </c>
      <c r="F1123" t="s">
        <v>218</v>
      </c>
      <c r="G1123" t="s">
        <v>222</v>
      </c>
      <c r="I1123">
        <v>383</v>
      </c>
      <c r="J1123">
        <v>727.7</v>
      </c>
      <c r="K1123">
        <v>1.9</v>
      </c>
      <c r="M1123" t="s">
        <v>289</v>
      </c>
    </row>
    <row r="1124" spans="1:13" hidden="1">
      <c r="A1124" t="s">
        <v>83</v>
      </c>
      <c r="B1124" t="s">
        <v>8</v>
      </c>
      <c r="C1124" t="s">
        <v>82</v>
      </c>
      <c r="D1124" t="str">
        <f>LEFT(M1124,10)</f>
        <v>11/15/2024</v>
      </c>
      <c r="E1124" t="s">
        <v>202</v>
      </c>
      <c r="F1124" t="s">
        <v>218</v>
      </c>
      <c r="G1124" t="s">
        <v>223</v>
      </c>
      <c r="I1124">
        <v>1152</v>
      </c>
      <c r="J1124">
        <v>979.2</v>
      </c>
      <c r="K1124">
        <v>0.85</v>
      </c>
      <c r="M1124" t="s">
        <v>289</v>
      </c>
    </row>
    <row r="1125" spans="1:13" hidden="1">
      <c r="A1125" t="s">
        <v>83</v>
      </c>
      <c r="B1125" t="s">
        <v>8</v>
      </c>
      <c r="C1125" t="s">
        <v>82</v>
      </c>
      <c r="D1125" t="str">
        <f>LEFT(M1125,10)</f>
        <v>11/15/2024</v>
      </c>
      <c r="E1125" t="s">
        <v>202</v>
      </c>
      <c r="F1125" t="s">
        <v>218</v>
      </c>
      <c r="G1125" t="s">
        <v>243</v>
      </c>
      <c r="H1125" t="s">
        <v>368</v>
      </c>
      <c r="I1125">
        <v>389</v>
      </c>
      <c r="J1125">
        <v>291.75</v>
      </c>
      <c r="K1125">
        <v>0.75</v>
      </c>
      <c r="M1125" t="s">
        <v>289</v>
      </c>
    </row>
    <row r="1126" spans="1:13" hidden="1">
      <c r="A1126" t="s">
        <v>83</v>
      </c>
      <c r="B1126" t="s">
        <v>8</v>
      </c>
      <c r="C1126" t="s">
        <v>82</v>
      </c>
      <c r="D1126" t="str">
        <f>LEFT(M1126,10)</f>
        <v>11/15/2024</v>
      </c>
      <c r="E1126" t="s">
        <v>202</v>
      </c>
      <c r="F1126" t="s">
        <v>218</v>
      </c>
      <c r="G1126" t="s">
        <v>226</v>
      </c>
      <c r="I1126">
        <v>125</v>
      </c>
      <c r="J1126">
        <v>62.5</v>
      </c>
      <c r="K1126">
        <v>0.5</v>
      </c>
      <c r="M1126" t="s">
        <v>289</v>
      </c>
    </row>
    <row r="1127" spans="1:13" hidden="1">
      <c r="A1127" t="s">
        <v>83</v>
      </c>
      <c r="B1127" t="s">
        <v>8</v>
      </c>
      <c r="C1127" t="s">
        <v>82</v>
      </c>
      <c r="D1127" t="str">
        <f>LEFT(M1127,10)</f>
        <v>11/15/2024</v>
      </c>
      <c r="E1127" t="s">
        <v>202</v>
      </c>
      <c r="F1127" t="s">
        <v>218</v>
      </c>
      <c r="G1127" t="s">
        <v>243</v>
      </c>
      <c r="H1127" t="s">
        <v>369</v>
      </c>
      <c r="I1127">
        <v>27</v>
      </c>
      <c r="J1127">
        <v>13.5</v>
      </c>
      <c r="K1127">
        <v>0.5</v>
      </c>
      <c r="M1127" t="s">
        <v>289</v>
      </c>
    </row>
    <row r="1128" spans="1:13" hidden="1">
      <c r="A1128" t="s">
        <v>83</v>
      </c>
      <c r="B1128" t="s">
        <v>8</v>
      </c>
      <c r="C1128" t="s">
        <v>82</v>
      </c>
      <c r="D1128" t="str">
        <f>LEFT(M1128,10)</f>
        <v>11/15/2024</v>
      </c>
      <c r="E1128" t="s">
        <v>202</v>
      </c>
      <c r="F1128" t="s">
        <v>218</v>
      </c>
      <c r="G1128" t="s">
        <v>243</v>
      </c>
      <c r="H1128" t="s">
        <v>370</v>
      </c>
      <c r="I1128">
        <v>104</v>
      </c>
      <c r="J1128">
        <v>166.4</v>
      </c>
      <c r="K1128">
        <v>1.6</v>
      </c>
      <c r="M1128" t="s">
        <v>289</v>
      </c>
    </row>
    <row r="1129" spans="1:13" hidden="1">
      <c r="A1129" t="s">
        <v>83</v>
      </c>
      <c r="B1129" t="s">
        <v>8</v>
      </c>
      <c r="C1129" t="s">
        <v>82</v>
      </c>
      <c r="D1129" t="str">
        <f>LEFT(M1129,10)</f>
        <v>11/15/2024</v>
      </c>
      <c r="E1129" t="s">
        <v>202</v>
      </c>
      <c r="F1129" t="s">
        <v>218</v>
      </c>
      <c r="G1129" t="s">
        <v>224</v>
      </c>
      <c r="I1129">
        <v>154</v>
      </c>
      <c r="J1129">
        <v>123.2</v>
      </c>
      <c r="K1129">
        <v>0.8</v>
      </c>
      <c r="M1129" t="s">
        <v>289</v>
      </c>
    </row>
    <row r="1130" spans="1:13" hidden="1">
      <c r="A1130" t="s">
        <v>83</v>
      </c>
      <c r="B1130" t="s">
        <v>8</v>
      </c>
      <c r="C1130" t="s">
        <v>82</v>
      </c>
      <c r="D1130" t="str">
        <f>LEFT(M1130,10)</f>
        <v>11/15/2024</v>
      </c>
      <c r="E1130" t="s">
        <v>202</v>
      </c>
      <c r="F1130" t="s">
        <v>218</v>
      </c>
      <c r="G1130" t="s">
        <v>243</v>
      </c>
      <c r="H1130" t="s">
        <v>371</v>
      </c>
      <c r="I1130">
        <v>69</v>
      </c>
      <c r="J1130">
        <v>48.3</v>
      </c>
      <c r="K1130">
        <v>0.7</v>
      </c>
      <c r="M1130" t="s">
        <v>289</v>
      </c>
    </row>
    <row r="1131" spans="1:13" hidden="1">
      <c r="A1131" t="s">
        <v>83</v>
      </c>
      <c r="B1131" t="s">
        <v>8</v>
      </c>
      <c r="C1131" t="s">
        <v>82</v>
      </c>
      <c r="D1131" t="str">
        <f>LEFT(M1131,10)</f>
        <v>11/15/2024</v>
      </c>
      <c r="E1131" t="s">
        <v>202</v>
      </c>
      <c r="F1131" t="s">
        <v>218</v>
      </c>
      <c r="G1131" t="s">
        <v>243</v>
      </c>
      <c r="H1131" t="s">
        <v>372</v>
      </c>
      <c r="I1131">
        <v>39</v>
      </c>
      <c r="J1131">
        <v>1.95</v>
      </c>
      <c r="K1131">
        <v>0.05</v>
      </c>
      <c r="M1131" t="s">
        <v>289</v>
      </c>
    </row>
    <row r="1132" spans="1:13" hidden="1">
      <c r="A1132" t="s">
        <v>83</v>
      </c>
      <c r="B1132" t="s">
        <v>8</v>
      </c>
      <c r="C1132" t="s">
        <v>82</v>
      </c>
      <c r="D1132" t="str">
        <f>LEFT(M1132,10)</f>
        <v>11/15/2024</v>
      </c>
      <c r="E1132" t="s">
        <v>202</v>
      </c>
      <c r="F1132" t="s">
        <v>216</v>
      </c>
      <c r="G1132" t="s">
        <v>253</v>
      </c>
      <c r="I1132">
        <v>4140</v>
      </c>
      <c r="J1132">
        <v>703.8</v>
      </c>
      <c r="K1132">
        <v>0.17</v>
      </c>
      <c r="M1132" t="s">
        <v>289</v>
      </c>
    </row>
    <row r="1133" spans="1:13" hidden="1">
      <c r="A1133" t="s">
        <v>84</v>
      </c>
      <c r="B1133" t="s">
        <v>8</v>
      </c>
      <c r="C1133" t="s">
        <v>21</v>
      </c>
      <c r="D1133" t="str">
        <f>LEFT(M1133,10)</f>
        <v>11/15/2024</v>
      </c>
      <c r="E1133" t="s">
        <v>230</v>
      </c>
      <c r="F1133" t="s">
        <v>248</v>
      </c>
      <c r="G1133" t="s">
        <v>249</v>
      </c>
      <c r="I1133">
        <v>0</v>
      </c>
      <c r="J1133">
        <v>14317.25</v>
      </c>
      <c r="M1133" t="s">
        <v>289</v>
      </c>
    </row>
    <row r="1134" spans="1:13" hidden="1">
      <c r="A1134" t="s">
        <v>84</v>
      </c>
      <c r="B1134" t="s">
        <v>8</v>
      </c>
      <c r="C1134" t="s">
        <v>21</v>
      </c>
      <c r="D1134" t="str">
        <f>LEFT(M1134,10)</f>
        <v>11/15/2024</v>
      </c>
      <c r="E1134" t="s">
        <v>234</v>
      </c>
      <c r="F1134" t="s">
        <v>234</v>
      </c>
      <c r="G1134" t="s">
        <v>249</v>
      </c>
      <c r="I1134">
        <v>0</v>
      </c>
      <c r="M1134" t="s">
        <v>289</v>
      </c>
    </row>
    <row r="1135" spans="1:13" hidden="1">
      <c r="A1135" t="s">
        <v>84</v>
      </c>
      <c r="B1135" t="s">
        <v>8</v>
      </c>
      <c r="C1135" t="s">
        <v>21</v>
      </c>
      <c r="D1135" t="str">
        <f>LEFT(M1135,10)</f>
        <v>11/15/2024</v>
      </c>
      <c r="E1135" t="s">
        <v>202</v>
      </c>
      <c r="F1135" t="s">
        <v>227</v>
      </c>
      <c r="G1135" t="s">
        <v>229</v>
      </c>
      <c r="I1135">
        <v>8315</v>
      </c>
      <c r="J1135">
        <v>6236.25</v>
      </c>
      <c r="K1135">
        <v>0.75</v>
      </c>
      <c r="M1135" t="s">
        <v>289</v>
      </c>
    </row>
    <row r="1136" spans="1:13" hidden="1">
      <c r="A1136" t="s">
        <v>84</v>
      </c>
      <c r="B1136" t="s">
        <v>8</v>
      </c>
      <c r="C1136" t="s">
        <v>21</v>
      </c>
      <c r="D1136" t="str">
        <f>LEFT(M1136,10)</f>
        <v>11/15/2024</v>
      </c>
      <c r="E1136" t="s">
        <v>202</v>
      </c>
      <c r="F1136" t="s">
        <v>218</v>
      </c>
      <c r="G1136" t="s">
        <v>240</v>
      </c>
      <c r="I1136">
        <v>1813</v>
      </c>
      <c r="J1136">
        <v>6889.4</v>
      </c>
      <c r="K1136">
        <v>3.8</v>
      </c>
      <c r="M1136" t="s">
        <v>289</v>
      </c>
    </row>
    <row r="1137" spans="1:13" hidden="1">
      <c r="A1137" t="s">
        <v>84</v>
      </c>
      <c r="B1137" t="s">
        <v>8</v>
      </c>
      <c r="C1137" t="s">
        <v>21</v>
      </c>
      <c r="D1137" t="str">
        <f>LEFT(M1137,10)</f>
        <v>11/15/2024</v>
      </c>
      <c r="E1137" t="s">
        <v>202</v>
      </c>
      <c r="F1137" t="s">
        <v>218</v>
      </c>
      <c r="G1137" t="s">
        <v>223</v>
      </c>
      <c r="I1137">
        <v>2614</v>
      </c>
      <c r="J1137">
        <v>2614</v>
      </c>
      <c r="K1137">
        <v>1</v>
      </c>
      <c r="M1137" t="s">
        <v>289</v>
      </c>
    </row>
    <row r="1138" spans="1:13" hidden="1">
      <c r="A1138" t="s">
        <v>84</v>
      </c>
      <c r="B1138" t="s">
        <v>8</v>
      </c>
      <c r="C1138" t="s">
        <v>21</v>
      </c>
      <c r="D1138" t="str">
        <f>LEFT(M1138,10)</f>
        <v>11/15/2024</v>
      </c>
      <c r="E1138" t="s">
        <v>202</v>
      </c>
      <c r="F1138" t="s">
        <v>218</v>
      </c>
      <c r="G1138" t="s">
        <v>220</v>
      </c>
      <c r="I1138">
        <v>1717</v>
      </c>
      <c r="J1138">
        <v>2575.5</v>
      </c>
      <c r="K1138">
        <v>1.5</v>
      </c>
      <c r="M1138" t="s">
        <v>289</v>
      </c>
    </row>
    <row r="1139" spans="1:13" hidden="1">
      <c r="A1139" t="s">
        <v>84</v>
      </c>
      <c r="B1139" t="s">
        <v>8</v>
      </c>
      <c r="C1139" t="s">
        <v>21</v>
      </c>
      <c r="D1139" t="str">
        <f>LEFT(M1139,10)</f>
        <v>11/15/2024</v>
      </c>
      <c r="E1139" t="s">
        <v>202</v>
      </c>
      <c r="F1139" t="s">
        <v>218</v>
      </c>
      <c r="G1139" t="s">
        <v>219</v>
      </c>
      <c r="I1139">
        <v>1463</v>
      </c>
      <c r="J1139">
        <v>3657.5</v>
      </c>
      <c r="K1139">
        <v>2.5</v>
      </c>
      <c r="M1139" t="s">
        <v>289</v>
      </c>
    </row>
    <row r="1140" spans="1:13" hidden="1">
      <c r="A1140" t="s">
        <v>84</v>
      </c>
      <c r="B1140" t="s">
        <v>8</v>
      </c>
      <c r="C1140" t="s">
        <v>21</v>
      </c>
      <c r="D1140" t="str">
        <f>LEFT(M1140,10)</f>
        <v>11/15/2024</v>
      </c>
      <c r="E1140" t="s">
        <v>202</v>
      </c>
      <c r="F1140" t="s">
        <v>218</v>
      </c>
      <c r="G1140" t="s">
        <v>222</v>
      </c>
      <c r="I1140">
        <v>1422</v>
      </c>
      <c r="J1140">
        <v>1990.8</v>
      </c>
      <c r="K1140">
        <v>1.4</v>
      </c>
      <c r="M1140" t="s">
        <v>289</v>
      </c>
    </row>
    <row r="1141" spans="1:13" hidden="1">
      <c r="A1141" t="s">
        <v>84</v>
      </c>
      <c r="B1141" t="s">
        <v>8</v>
      </c>
      <c r="C1141" t="s">
        <v>21</v>
      </c>
      <c r="D1141" t="str">
        <f>LEFT(M1141,10)</f>
        <v>11/15/2024</v>
      </c>
      <c r="E1141" t="s">
        <v>202</v>
      </c>
      <c r="F1141" t="s">
        <v>227</v>
      </c>
      <c r="G1141" t="s">
        <v>252</v>
      </c>
      <c r="I1141">
        <v>875</v>
      </c>
      <c r="J1141">
        <v>262.5</v>
      </c>
      <c r="K1141">
        <v>0.3</v>
      </c>
      <c r="M1141" t="s">
        <v>289</v>
      </c>
    </row>
    <row r="1142" spans="1:13" hidden="1">
      <c r="A1142" t="s">
        <v>84</v>
      </c>
      <c r="B1142" t="s">
        <v>8</v>
      </c>
      <c r="C1142" t="s">
        <v>21</v>
      </c>
      <c r="D1142" t="str">
        <f>LEFT(M1142,10)</f>
        <v>11/15/2024</v>
      </c>
      <c r="E1142" t="s">
        <v>202</v>
      </c>
      <c r="F1142" t="s">
        <v>218</v>
      </c>
      <c r="G1142" t="s">
        <v>222</v>
      </c>
      <c r="I1142">
        <v>934</v>
      </c>
      <c r="J1142">
        <v>1587.8</v>
      </c>
      <c r="K1142">
        <v>1.7</v>
      </c>
      <c r="M1142" t="s">
        <v>289</v>
      </c>
    </row>
    <row r="1143" spans="1:13" hidden="1">
      <c r="A1143" t="s">
        <v>84</v>
      </c>
      <c r="B1143" t="s">
        <v>8</v>
      </c>
      <c r="C1143" t="s">
        <v>21</v>
      </c>
      <c r="D1143" t="str">
        <f>LEFT(M1143,10)</f>
        <v>11/15/2024</v>
      </c>
      <c r="E1143" t="s">
        <v>202</v>
      </c>
      <c r="F1143" t="s">
        <v>218</v>
      </c>
      <c r="G1143" t="s">
        <v>221</v>
      </c>
      <c r="I1143">
        <v>6680</v>
      </c>
      <c r="J1143">
        <v>2004</v>
      </c>
      <c r="K1143">
        <v>0.3</v>
      </c>
      <c r="M1143" t="s">
        <v>289</v>
      </c>
    </row>
    <row r="1144" spans="1:13" hidden="1">
      <c r="A1144" t="s">
        <v>84</v>
      </c>
      <c r="B1144" t="s">
        <v>8</v>
      </c>
      <c r="C1144" t="s">
        <v>21</v>
      </c>
      <c r="D1144" t="str">
        <f>LEFT(M1144,10)</f>
        <v>11/15/2024</v>
      </c>
      <c r="E1144" t="s">
        <v>202</v>
      </c>
      <c r="F1144" t="s">
        <v>218</v>
      </c>
      <c r="G1144" t="s">
        <v>223</v>
      </c>
      <c r="I1144">
        <v>523</v>
      </c>
      <c r="J1144">
        <v>366.1</v>
      </c>
      <c r="K1144">
        <v>0.7</v>
      </c>
      <c r="M1144" t="s">
        <v>289</v>
      </c>
    </row>
    <row r="1145" spans="1:13" hidden="1">
      <c r="A1145" t="s">
        <v>84</v>
      </c>
      <c r="B1145" t="s">
        <v>8</v>
      </c>
      <c r="C1145" t="s">
        <v>21</v>
      </c>
      <c r="D1145" t="str">
        <f>LEFT(M1145,10)</f>
        <v>11/15/2024</v>
      </c>
      <c r="E1145" t="s">
        <v>202</v>
      </c>
      <c r="F1145" t="s">
        <v>203</v>
      </c>
      <c r="G1145" t="s">
        <v>236</v>
      </c>
      <c r="I1145">
        <v>3914</v>
      </c>
      <c r="J1145">
        <v>2348.4</v>
      </c>
      <c r="K1145">
        <v>0.6</v>
      </c>
      <c r="M1145" t="s">
        <v>289</v>
      </c>
    </row>
    <row r="1146" spans="1:13" hidden="1">
      <c r="A1146" t="s">
        <v>84</v>
      </c>
      <c r="B1146" t="s">
        <v>8</v>
      </c>
      <c r="C1146" t="s">
        <v>21</v>
      </c>
      <c r="D1146" t="str">
        <f>LEFT(M1146,10)</f>
        <v>11/15/2024</v>
      </c>
      <c r="E1146" t="s">
        <v>202</v>
      </c>
      <c r="F1146" t="s">
        <v>216</v>
      </c>
      <c r="G1146" t="s">
        <v>217</v>
      </c>
      <c r="I1146">
        <v>4256</v>
      </c>
      <c r="J1146">
        <v>851.2</v>
      </c>
      <c r="K1146">
        <v>0.2</v>
      </c>
      <c r="M1146" t="s">
        <v>289</v>
      </c>
    </row>
    <row r="1147" spans="1:13" hidden="1">
      <c r="A1147" t="s">
        <v>85</v>
      </c>
      <c r="B1147" t="s">
        <v>8</v>
      </c>
      <c r="C1147" t="s">
        <v>14</v>
      </c>
      <c r="D1147" t="str">
        <f>LEFT(M1147,10)</f>
        <v>11/15/2024</v>
      </c>
      <c r="E1147" t="s">
        <v>230</v>
      </c>
      <c r="F1147" t="s">
        <v>248</v>
      </c>
      <c r="G1147" t="s">
        <v>249</v>
      </c>
      <c r="I1147">
        <v>0</v>
      </c>
      <c r="J1147">
        <v>15245.65</v>
      </c>
      <c r="M1147" t="s">
        <v>289</v>
      </c>
    </row>
    <row r="1148" spans="1:13" hidden="1">
      <c r="A1148" t="s">
        <v>85</v>
      </c>
      <c r="B1148" t="s">
        <v>8</v>
      </c>
      <c r="C1148" t="s">
        <v>14</v>
      </c>
      <c r="D1148" t="str">
        <f>LEFT(M1148,10)</f>
        <v>11/15/2024</v>
      </c>
      <c r="E1148" t="s">
        <v>234</v>
      </c>
      <c r="F1148" t="s">
        <v>234</v>
      </c>
      <c r="G1148" t="s">
        <v>249</v>
      </c>
      <c r="I1148">
        <v>20650</v>
      </c>
      <c r="M1148" t="s">
        <v>289</v>
      </c>
    </row>
    <row r="1149" spans="1:13" hidden="1">
      <c r="A1149" t="s">
        <v>85</v>
      </c>
      <c r="B1149" t="s">
        <v>8</v>
      </c>
      <c r="C1149" t="s">
        <v>14</v>
      </c>
      <c r="D1149" t="str">
        <f>LEFT(M1149,10)</f>
        <v>11/15/2024</v>
      </c>
      <c r="E1149" t="s">
        <v>232</v>
      </c>
      <c r="F1149" t="s">
        <v>255</v>
      </c>
      <c r="G1149" t="s">
        <v>249</v>
      </c>
      <c r="I1149">
        <v>0</v>
      </c>
      <c r="J1149">
        <v>281.01</v>
      </c>
      <c r="L1149" t="s">
        <v>373</v>
      </c>
      <c r="M1149" t="s">
        <v>289</v>
      </c>
    </row>
    <row r="1150" spans="1:13" hidden="1">
      <c r="A1150" t="s">
        <v>85</v>
      </c>
      <c r="B1150" t="s">
        <v>8</v>
      </c>
      <c r="C1150" t="s">
        <v>14</v>
      </c>
      <c r="D1150" t="str">
        <f>LEFT(M1150,10)</f>
        <v>11/15/2024</v>
      </c>
      <c r="E1150" t="s">
        <v>232</v>
      </c>
      <c r="F1150" t="s">
        <v>255</v>
      </c>
      <c r="G1150" t="s">
        <v>249</v>
      </c>
      <c r="I1150">
        <v>0</v>
      </c>
      <c r="J1150">
        <v>390</v>
      </c>
      <c r="L1150" t="s">
        <v>374</v>
      </c>
      <c r="M1150" t="s">
        <v>289</v>
      </c>
    </row>
    <row r="1151" spans="1:13" hidden="1">
      <c r="A1151" t="s">
        <v>85</v>
      </c>
      <c r="B1151" t="s">
        <v>8</v>
      </c>
      <c r="C1151" t="s">
        <v>14</v>
      </c>
      <c r="D1151" t="str">
        <f>LEFT(M1151,10)</f>
        <v>11/15/2024</v>
      </c>
      <c r="E1151" t="s">
        <v>232</v>
      </c>
      <c r="F1151" t="s">
        <v>255</v>
      </c>
      <c r="G1151" t="s">
        <v>249</v>
      </c>
      <c r="I1151">
        <v>0</v>
      </c>
      <c r="J1151">
        <v>46.02</v>
      </c>
      <c r="L1151" t="s">
        <v>375</v>
      </c>
      <c r="M1151" t="s">
        <v>289</v>
      </c>
    </row>
    <row r="1152" spans="1:13" hidden="1">
      <c r="A1152" t="s">
        <v>85</v>
      </c>
      <c r="B1152" t="s">
        <v>8</v>
      </c>
      <c r="C1152" t="s">
        <v>14</v>
      </c>
      <c r="D1152" t="str">
        <f>LEFT(M1152,10)</f>
        <v>11/15/2024</v>
      </c>
      <c r="E1152" t="s">
        <v>232</v>
      </c>
      <c r="F1152" t="s">
        <v>255</v>
      </c>
      <c r="G1152" t="s">
        <v>249</v>
      </c>
      <c r="I1152">
        <v>0</v>
      </c>
      <c r="J1152">
        <v>153.34</v>
      </c>
      <c r="L1152" t="s">
        <v>376</v>
      </c>
      <c r="M1152" t="s">
        <v>289</v>
      </c>
    </row>
    <row r="1153" spans="1:13" hidden="1">
      <c r="A1153" t="s">
        <v>85</v>
      </c>
      <c r="B1153" t="s">
        <v>8</v>
      </c>
      <c r="C1153" t="s">
        <v>14</v>
      </c>
      <c r="D1153" t="str">
        <f>LEFT(M1153,10)</f>
        <v>11/15/2024</v>
      </c>
      <c r="E1153" t="s">
        <v>202</v>
      </c>
      <c r="F1153" t="s">
        <v>218</v>
      </c>
      <c r="G1153" t="s">
        <v>225</v>
      </c>
      <c r="I1153">
        <v>163</v>
      </c>
      <c r="J1153">
        <v>179.3</v>
      </c>
      <c r="K1153">
        <v>1.1000000000000001</v>
      </c>
      <c r="M1153" t="s">
        <v>289</v>
      </c>
    </row>
    <row r="1154" spans="1:13" hidden="1">
      <c r="A1154" t="s">
        <v>85</v>
      </c>
      <c r="B1154" t="s">
        <v>8</v>
      </c>
      <c r="C1154" t="s">
        <v>14</v>
      </c>
      <c r="D1154" t="str">
        <f>LEFT(M1154,10)</f>
        <v>11/15/2024</v>
      </c>
      <c r="E1154" t="s">
        <v>202</v>
      </c>
      <c r="F1154" t="s">
        <v>218</v>
      </c>
      <c r="G1154" t="s">
        <v>224</v>
      </c>
      <c r="I1154">
        <v>155</v>
      </c>
      <c r="J1154">
        <v>155</v>
      </c>
      <c r="K1154">
        <v>1</v>
      </c>
      <c r="M1154" t="s">
        <v>289</v>
      </c>
    </row>
    <row r="1155" spans="1:13" hidden="1">
      <c r="A1155" t="s">
        <v>85</v>
      </c>
      <c r="B1155" t="s">
        <v>8</v>
      </c>
      <c r="C1155" t="s">
        <v>14</v>
      </c>
      <c r="D1155" t="str">
        <f>LEFT(M1155,10)</f>
        <v>11/15/2024</v>
      </c>
      <c r="E1155" t="s">
        <v>202</v>
      </c>
      <c r="F1155" t="s">
        <v>218</v>
      </c>
      <c r="G1155" t="s">
        <v>221</v>
      </c>
      <c r="I1155">
        <v>653.5</v>
      </c>
      <c r="J1155">
        <v>1503.05</v>
      </c>
      <c r="K1155">
        <v>2.2999999999999998</v>
      </c>
      <c r="M1155" t="s">
        <v>289</v>
      </c>
    </row>
    <row r="1156" spans="1:13" hidden="1">
      <c r="A1156" t="s">
        <v>85</v>
      </c>
      <c r="B1156" t="s">
        <v>8</v>
      </c>
      <c r="C1156" t="s">
        <v>14</v>
      </c>
      <c r="D1156" t="str">
        <f>LEFT(M1156,10)</f>
        <v>11/15/2024</v>
      </c>
      <c r="E1156" t="s">
        <v>202</v>
      </c>
      <c r="F1156" t="s">
        <v>218</v>
      </c>
      <c r="G1156" t="s">
        <v>222</v>
      </c>
      <c r="I1156">
        <v>2580.5</v>
      </c>
      <c r="J1156">
        <v>3225.62</v>
      </c>
      <c r="K1156">
        <v>1.25</v>
      </c>
      <c r="M1156" t="s">
        <v>289</v>
      </c>
    </row>
    <row r="1157" spans="1:13" hidden="1">
      <c r="A1157" t="s">
        <v>85</v>
      </c>
      <c r="B1157" t="s">
        <v>8</v>
      </c>
      <c r="C1157" t="s">
        <v>14</v>
      </c>
      <c r="D1157" t="str">
        <f>LEFT(M1157,10)</f>
        <v>11/15/2024</v>
      </c>
      <c r="E1157" t="s">
        <v>202</v>
      </c>
      <c r="F1157" t="s">
        <v>218</v>
      </c>
      <c r="G1157" t="s">
        <v>223</v>
      </c>
      <c r="I1157">
        <v>3653.5</v>
      </c>
      <c r="J1157">
        <v>3287.7</v>
      </c>
      <c r="K1157">
        <v>0.9</v>
      </c>
      <c r="M1157" t="s">
        <v>289</v>
      </c>
    </row>
    <row r="1158" spans="1:13" hidden="1">
      <c r="A1158" t="s">
        <v>85</v>
      </c>
      <c r="B1158" t="s">
        <v>8</v>
      </c>
      <c r="C1158" t="s">
        <v>14</v>
      </c>
      <c r="D1158" t="str">
        <f>LEFT(M1158,10)</f>
        <v>11/15/2024</v>
      </c>
      <c r="E1158" t="s">
        <v>202</v>
      </c>
      <c r="F1158" t="s">
        <v>218</v>
      </c>
      <c r="G1158" t="s">
        <v>242</v>
      </c>
      <c r="I1158">
        <v>157</v>
      </c>
      <c r="J1158">
        <v>188.4</v>
      </c>
      <c r="K1158">
        <v>1.2</v>
      </c>
      <c r="M1158" t="s">
        <v>289</v>
      </c>
    </row>
    <row r="1159" spans="1:13" hidden="1">
      <c r="A1159" t="s">
        <v>85</v>
      </c>
      <c r="B1159" t="s">
        <v>8</v>
      </c>
      <c r="C1159" t="s">
        <v>14</v>
      </c>
      <c r="D1159" t="str">
        <f>LEFT(M1159,10)</f>
        <v>11/15/2024</v>
      </c>
      <c r="E1159" t="s">
        <v>202</v>
      </c>
      <c r="F1159" t="s">
        <v>218</v>
      </c>
      <c r="G1159" t="s">
        <v>240</v>
      </c>
      <c r="I1159">
        <v>3711</v>
      </c>
      <c r="J1159">
        <v>14658.45</v>
      </c>
      <c r="K1159">
        <v>3.95</v>
      </c>
      <c r="M1159" t="s">
        <v>289</v>
      </c>
    </row>
    <row r="1160" spans="1:13" hidden="1">
      <c r="A1160" t="s">
        <v>85</v>
      </c>
      <c r="B1160" t="s">
        <v>8</v>
      </c>
      <c r="C1160" t="s">
        <v>14</v>
      </c>
      <c r="D1160" t="str">
        <f>LEFT(M1160,10)</f>
        <v>11/15/2024</v>
      </c>
      <c r="E1160" t="s">
        <v>202</v>
      </c>
      <c r="F1160" t="s">
        <v>218</v>
      </c>
      <c r="G1160" t="s">
        <v>226</v>
      </c>
      <c r="I1160">
        <v>1440</v>
      </c>
      <c r="J1160">
        <v>432</v>
      </c>
      <c r="K1160">
        <v>0.3</v>
      </c>
      <c r="M1160" t="s">
        <v>289</v>
      </c>
    </row>
    <row r="1161" spans="1:13" hidden="1">
      <c r="A1161" t="s">
        <v>85</v>
      </c>
      <c r="B1161" t="s">
        <v>8</v>
      </c>
      <c r="C1161" t="s">
        <v>14</v>
      </c>
      <c r="D1161" t="str">
        <f>LEFT(M1161,10)</f>
        <v>11/15/2024</v>
      </c>
      <c r="E1161" t="s">
        <v>202</v>
      </c>
      <c r="F1161" t="s">
        <v>218</v>
      </c>
      <c r="G1161" t="s">
        <v>220</v>
      </c>
      <c r="I1161">
        <v>1133.5</v>
      </c>
      <c r="J1161">
        <v>2663.72</v>
      </c>
      <c r="K1161">
        <v>2.35</v>
      </c>
      <c r="M1161" t="s">
        <v>289</v>
      </c>
    </row>
    <row r="1162" spans="1:13" hidden="1">
      <c r="A1162" t="s">
        <v>85</v>
      </c>
      <c r="B1162" t="s">
        <v>8</v>
      </c>
      <c r="C1162" t="s">
        <v>14</v>
      </c>
      <c r="D1162" t="str">
        <f>LEFT(M1162,10)</f>
        <v>11/15/2024</v>
      </c>
      <c r="E1162" t="s">
        <v>202</v>
      </c>
      <c r="F1162" t="s">
        <v>218</v>
      </c>
      <c r="G1162" t="s">
        <v>223</v>
      </c>
      <c r="I1162">
        <v>1108.5</v>
      </c>
      <c r="J1162">
        <v>1551.9</v>
      </c>
      <c r="K1162">
        <v>1.4</v>
      </c>
      <c r="M1162" t="s">
        <v>289</v>
      </c>
    </row>
    <row r="1163" spans="1:13" hidden="1">
      <c r="A1163" t="s">
        <v>85</v>
      </c>
      <c r="B1163" t="s">
        <v>8</v>
      </c>
      <c r="C1163" t="s">
        <v>14</v>
      </c>
      <c r="D1163" t="str">
        <f>LEFT(M1163,10)</f>
        <v>11/15/2024</v>
      </c>
      <c r="E1163" t="s">
        <v>202</v>
      </c>
      <c r="F1163" t="s">
        <v>218</v>
      </c>
      <c r="G1163" t="s">
        <v>219</v>
      </c>
      <c r="I1163">
        <v>312</v>
      </c>
      <c r="J1163">
        <v>62.4</v>
      </c>
      <c r="K1163">
        <v>0.2</v>
      </c>
      <c r="M1163" t="s">
        <v>289</v>
      </c>
    </row>
    <row r="1164" spans="1:13" hidden="1">
      <c r="A1164" t="s">
        <v>85</v>
      </c>
      <c r="B1164" t="s">
        <v>8</v>
      </c>
      <c r="C1164" t="s">
        <v>14</v>
      </c>
      <c r="D1164" t="str">
        <f>LEFT(M1164,10)</f>
        <v>11/15/2024</v>
      </c>
      <c r="E1164" t="s">
        <v>202</v>
      </c>
      <c r="F1164" t="s">
        <v>227</v>
      </c>
      <c r="G1164" t="s">
        <v>252</v>
      </c>
      <c r="I1164">
        <v>1149</v>
      </c>
      <c r="J1164">
        <v>402.15</v>
      </c>
      <c r="K1164">
        <v>0.35</v>
      </c>
      <c r="M1164" t="s">
        <v>289</v>
      </c>
    </row>
    <row r="1165" spans="1:13" hidden="1">
      <c r="A1165" t="s">
        <v>85</v>
      </c>
      <c r="B1165" t="s">
        <v>8</v>
      </c>
      <c r="C1165" t="s">
        <v>14</v>
      </c>
      <c r="D1165" t="str">
        <f>LEFT(M1165,10)</f>
        <v>11/15/2024</v>
      </c>
      <c r="E1165" t="s">
        <v>202</v>
      </c>
      <c r="F1165" t="s">
        <v>227</v>
      </c>
      <c r="G1165" t="s">
        <v>238</v>
      </c>
      <c r="I1165">
        <v>1824.5</v>
      </c>
      <c r="J1165">
        <v>729.8</v>
      </c>
      <c r="K1165">
        <v>0.4</v>
      </c>
      <c r="M1165" t="s">
        <v>289</v>
      </c>
    </row>
    <row r="1166" spans="1:13" hidden="1">
      <c r="A1166" t="s">
        <v>85</v>
      </c>
      <c r="B1166" t="s">
        <v>8</v>
      </c>
      <c r="C1166" t="s">
        <v>14</v>
      </c>
      <c r="D1166" t="str">
        <f>LEFT(M1166,10)</f>
        <v>11/15/2024</v>
      </c>
      <c r="E1166" t="s">
        <v>202</v>
      </c>
      <c r="F1166" t="s">
        <v>227</v>
      </c>
      <c r="G1166" t="s">
        <v>229</v>
      </c>
      <c r="I1166">
        <v>13061.5</v>
      </c>
      <c r="J1166">
        <v>9796.1200000000008</v>
      </c>
      <c r="K1166">
        <v>0.75</v>
      </c>
      <c r="M1166" t="s">
        <v>289</v>
      </c>
    </row>
    <row r="1167" spans="1:13" hidden="1">
      <c r="A1167" t="s">
        <v>85</v>
      </c>
      <c r="B1167" t="s">
        <v>8</v>
      </c>
      <c r="C1167" t="s">
        <v>14</v>
      </c>
      <c r="D1167" t="str">
        <f>LEFT(M1167,10)</f>
        <v>11/15/2024</v>
      </c>
      <c r="E1167" t="s">
        <v>202</v>
      </c>
      <c r="F1167" t="s">
        <v>227</v>
      </c>
      <c r="G1167" t="s">
        <v>228</v>
      </c>
      <c r="I1167">
        <v>4785</v>
      </c>
      <c r="J1167">
        <v>1435.5</v>
      </c>
      <c r="K1167">
        <v>0.3</v>
      </c>
      <c r="M1167" t="s">
        <v>289</v>
      </c>
    </row>
    <row r="1168" spans="1:13" hidden="1">
      <c r="A1168" t="s">
        <v>85</v>
      </c>
      <c r="B1168" t="s">
        <v>8</v>
      </c>
      <c r="C1168" t="s">
        <v>14</v>
      </c>
      <c r="D1168" t="str">
        <f>LEFT(M1168,10)</f>
        <v>11/15/2024</v>
      </c>
      <c r="E1168" t="s">
        <v>202</v>
      </c>
      <c r="F1168" t="s">
        <v>227</v>
      </c>
      <c r="G1168" t="s">
        <v>237</v>
      </c>
      <c r="I1168">
        <v>1172</v>
      </c>
      <c r="J1168">
        <v>761.8</v>
      </c>
      <c r="K1168">
        <v>0.65</v>
      </c>
      <c r="M1168" t="s">
        <v>289</v>
      </c>
    </row>
    <row r="1169" spans="1:13" hidden="1">
      <c r="A1169" t="s">
        <v>85</v>
      </c>
      <c r="B1169" t="s">
        <v>8</v>
      </c>
      <c r="C1169" t="s">
        <v>14</v>
      </c>
      <c r="D1169" t="str">
        <f>LEFT(M1169,10)</f>
        <v>11/15/2024</v>
      </c>
      <c r="E1169" t="s">
        <v>202</v>
      </c>
      <c r="F1169" t="s">
        <v>203</v>
      </c>
      <c r="G1169" t="s">
        <v>215</v>
      </c>
      <c r="I1169">
        <v>4260</v>
      </c>
      <c r="J1169">
        <v>2982</v>
      </c>
      <c r="K1169">
        <v>0.7</v>
      </c>
      <c r="M1169" t="s">
        <v>289</v>
      </c>
    </row>
    <row r="1170" spans="1:13" hidden="1">
      <c r="A1170" t="s">
        <v>85</v>
      </c>
      <c r="B1170" t="s">
        <v>8</v>
      </c>
      <c r="C1170" t="s">
        <v>14</v>
      </c>
      <c r="D1170" t="str">
        <f>LEFT(M1170,10)</f>
        <v>11/15/2024</v>
      </c>
      <c r="E1170" t="s">
        <v>202</v>
      </c>
      <c r="F1170" t="s">
        <v>203</v>
      </c>
      <c r="G1170" t="s">
        <v>261</v>
      </c>
      <c r="I1170">
        <v>32.5</v>
      </c>
      <c r="J1170">
        <v>390</v>
      </c>
      <c r="K1170">
        <v>12</v>
      </c>
      <c r="M1170" t="s">
        <v>289</v>
      </c>
    </row>
    <row r="1171" spans="1:13" hidden="1">
      <c r="A1171" t="s">
        <v>85</v>
      </c>
      <c r="B1171" t="s">
        <v>8</v>
      </c>
      <c r="C1171" t="s">
        <v>14</v>
      </c>
      <c r="D1171" t="str">
        <f>LEFT(M1171,10)</f>
        <v>11/15/2024</v>
      </c>
      <c r="E1171" t="s">
        <v>202</v>
      </c>
      <c r="F1171" t="s">
        <v>203</v>
      </c>
      <c r="G1171" t="s">
        <v>259</v>
      </c>
      <c r="I1171">
        <v>9</v>
      </c>
      <c r="J1171">
        <v>162</v>
      </c>
      <c r="K1171">
        <v>18</v>
      </c>
      <c r="M1171" t="s">
        <v>289</v>
      </c>
    </row>
    <row r="1172" spans="1:13" hidden="1">
      <c r="A1172" t="s">
        <v>85</v>
      </c>
      <c r="B1172" t="s">
        <v>8</v>
      </c>
      <c r="C1172" t="s">
        <v>14</v>
      </c>
      <c r="D1172" t="str">
        <f>LEFT(M1172,10)</f>
        <v>11/15/2024</v>
      </c>
      <c r="E1172" t="s">
        <v>202</v>
      </c>
      <c r="F1172" t="s">
        <v>203</v>
      </c>
      <c r="G1172" t="s">
        <v>204</v>
      </c>
      <c r="I1172">
        <v>486</v>
      </c>
      <c r="J1172">
        <v>3888</v>
      </c>
      <c r="K1172">
        <v>8</v>
      </c>
      <c r="M1172" t="s">
        <v>289</v>
      </c>
    </row>
    <row r="1173" spans="1:13" hidden="1">
      <c r="A1173" t="s">
        <v>85</v>
      </c>
      <c r="B1173" t="s">
        <v>8</v>
      </c>
      <c r="C1173" t="s">
        <v>14</v>
      </c>
      <c r="D1173" t="str">
        <f>LEFT(M1173,10)</f>
        <v>11/15/2024</v>
      </c>
      <c r="E1173" t="s">
        <v>202</v>
      </c>
      <c r="F1173" t="s">
        <v>203</v>
      </c>
      <c r="G1173" t="s">
        <v>208</v>
      </c>
      <c r="I1173">
        <v>45.5</v>
      </c>
      <c r="J1173">
        <v>409.5</v>
      </c>
      <c r="K1173">
        <v>9</v>
      </c>
      <c r="M1173" t="s">
        <v>289</v>
      </c>
    </row>
    <row r="1174" spans="1:13" hidden="1">
      <c r="A1174" t="s">
        <v>85</v>
      </c>
      <c r="B1174" t="s">
        <v>8</v>
      </c>
      <c r="C1174" t="s">
        <v>14</v>
      </c>
      <c r="D1174" t="str">
        <f>LEFT(M1174,10)</f>
        <v>11/15/2024</v>
      </c>
      <c r="E1174" t="s">
        <v>202</v>
      </c>
      <c r="F1174" t="s">
        <v>203</v>
      </c>
      <c r="G1174" t="s">
        <v>259</v>
      </c>
      <c r="I1174">
        <v>73.5</v>
      </c>
      <c r="J1174">
        <v>183.75</v>
      </c>
      <c r="K1174">
        <v>2.5</v>
      </c>
      <c r="M1174" t="s">
        <v>289</v>
      </c>
    </row>
    <row r="1175" spans="1:13" hidden="1">
      <c r="A1175" t="s">
        <v>85</v>
      </c>
      <c r="B1175" t="s">
        <v>8</v>
      </c>
      <c r="C1175" t="s">
        <v>14</v>
      </c>
      <c r="D1175" t="str">
        <f>LEFT(M1175,10)</f>
        <v>11/15/2024</v>
      </c>
      <c r="E1175" t="s">
        <v>202</v>
      </c>
      <c r="F1175" t="s">
        <v>209</v>
      </c>
      <c r="G1175" t="s">
        <v>214</v>
      </c>
      <c r="I1175">
        <v>597.5</v>
      </c>
      <c r="J1175">
        <v>358.5</v>
      </c>
      <c r="K1175">
        <v>0.6</v>
      </c>
      <c r="M1175" t="s">
        <v>289</v>
      </c>
    </row>
    <row r="1176" spans="1:13" hidden="1">
      <c r="A1176" t="s">
        <v>85</v>
      </c>
      <c r="B1176" t="s">
        <v>8</v>
      </c>
      <c r="C1176" t="s">
        <v>14</v>
      </c>
      <c r="D1176" t="str">
        <f>LEFT(M1176,10)</f>
        <v>11/15/2024</v>
      </c>
      <c r="E1176" t="s">
        <v>202</v>
      </c>
      <c r="F1176" t="s">
        <v>209</v>
      </c>
      <c r="G1176" t="s">
        <v>214</v>
      </c>
      <c r="I1176">
        <v>995.5</v>
      </c>
      <c r="J1176">
        <v>895.95</v>
      </c>
      <c r="K1176">
        <v>0.9</v>
      </c>
      <c r="M1176" t="s">
        <v>289</v>
      </c>
    </row>
    <row r="1177" spans="1:13" hidden="1">
      <c r="A1177" t="s">
        <v>88</v>
      </c>
      <c r="B1177" t="s">
        <v>8</v>
      </c>
      <c r="C1177" t="s">
        <v>87</v>
      </c>
      <c r="D1177" t="str">
        <f>LEFT(M1177,10)</f>
        <v>11/15/2024</v>
      </c>
      <c r="E1177" t="s">
        <v>234</v>
      </c>
      <c r="F1177" t="s">
        <v>234</v>
      </c>
      <c r="I1177">
        <v>915</v>
      </c>
      <c r="M1177" t="s">
        <v>289</v>
      </c>
    </row>
    <row r="1178" spans="1:13" hidden="1">
      <c r="A1178" t="s">
        <v>88</v>
      </c>
      <c r="B1178" t="s">
        <v>8</v>
      </c>
      <c r="C1178" t="s">
        <v>87</v>
      </c>
      <c r="D1178" t="str">
        <f>LEFT(M1178,10)</f>
        <v>11/15/2024</v>
      </c>
      <c r="E1178" t="s">
        <v>230</v>
      </c>
      <c r="F1178" t="s">
        <v>248</v>
      </c>
      <c r="I1178">
        <v>0</v>
      </c>
      <c r="J1178">
        <v>2653</v>
      </c>
      <c r="M1178" t="s">
        <v>289</v>
      </c>
    </row>
    <row r="1179" spans="1:13" hidden="1">
      <c r="A1179" t="s">
        <v>88</v>
      </c>
      <c r="B1179" t="s">
        <v>8</v>
      </c>
      <c r="C1179" t="s">
        <v>87</v>
      </c>
      <c r="D1179" t="str">
        <f>LEFT(M1179,10)</f>
        <v>11/15/2024</v>
      </c>
      <c r="E1179" t="s">
        <v>232</v>
      </c>
      <c r="F1179" t="s">
        <v>287</v>
      </c>
      <c r="I1179">
        <v>0</v>
      </c>
      <c r="J1179">
        <v>350</v>
      </c>
      <c r="M1179" t="s">
        <v>289</v>
      </c>
    </row>
    <row r="1180" spans="1:13" hidden="1">
      <c r="A1180" t="s">
        <v>88</v>
      </c>
      <c r="B1180" t="s">
        <v>8</v>
      </c>
      <c r="C1180" t="s">
        <v>87</v>
      </c>
      <c r="D1180" t="str">
        <f>LEFT(M1180,10)</f>
        <v>11/15/2024</v>
      </c>
      <c r="E1180" t="s">
        <v>232</v>
      </c>
      <c r="F1180" t="s">
        <v>255</v>
      </c>
      <c r="I1180">
        <v>0</v>
      </c>
      <c r="J1180">
        <v>750</v>
      </c>
      <c r="L1180" t="s">
        <v>377</v>
      </c>
      <c r="M1180" t="s">
        <v>289</v>
      </c>
    </row>
    <row r="1181" spans="1:13" hidden="1">
      <c r="A1181" t="s">
        <v>88</v>
      </c>
      <c r="B1181" t="s">
        <v>8</v>
      </c>
      <c r="C1181" t="s">
        <v>87</v>
      </c>
      <c r="D1181" t="str">
        <f>LEFT(M1181,10)</f>
        <v>11/15/2024</v>
      </c>
      <c r="E1181" t="s">
        <v>202</v>
      </c>
      <c r="F1181" t="s">
        <v>218</v>
      </c>
      <c r="G1181" t="s">
        <v>239</v>
      </c>
      <c r="I1181">
        <v>27</v>
      </c>
      <c r="J1181">
        <v>1.35</v>
      </c>
      <c r="K1181">
        <v>0.05</v>
      </c>
      <c r="M1181" t="s">
        <v>289</v>
      </c>
    </row>
    <row r="1182" spans="1:13" hidden="1">
      <c r="A1182" t="s">
        <v>88</v>
      </c>
      <c r="B1182" t="s">
        <v>8</v>
      </c>
      <c r="C1182" t="s">
        <v>87</v>
      </c>
      <c r="D1182" t="str">
        <f>LEFT(M1182,10)</f>
        <v>11/15/2024</v>
      </c>
      <c r="E1182" t="s">
        <v>202</v>
      </c>
      <c r="F1182" t="s">
        <v>218</v>
      </c>
      <c r="G1182" t="s">
        <v>268</v>
      </c>
      <c r="I1182">
        <v>90</v>
      </c>
      <c r="J1182">
        <v>72</v>
      </c>
      <c r="K1182">
        <v>0.8</v>
      </c>
      <c r="M1182" t="s">
        <v>289</v>
      </c>
    </row>
    <row r="1183" spans="1:13" hidden="1">
      <c r="A1183" t="s">
        <v>88</v>
      </c>
      <c r="B1183" t="s">
        <v>8</v>
      </c>
      <c r="C1183" t="s">
        <v>87</v>
      </c>
      <c r="D1183" t="str">
        <f>LEFT(M1183,10)</f>
        <v>11/15/2024</v>
      </c>
      <c r="E1183" t="s">
        <v>202</v>
      </c>
      <c r="F1183" t="s">
        <v>218</v>
      </c>
      <c r="G1183" t="s">
        <v>378</v>
      </c>
      <c r="I1183">
        <v>110</v>
      </c>
      <c r="J1183">
        <v>5.5</v>
      </c>
      <c r="K1183">
        <v>0.05</v>
      </c>
      <c r="M1183" t="s">
        <v>289</v>
      </c>
    </row>
    <row r="1184" spans="1:13" hidden="1">
      <c r="A1184" t="s">
        <v>88</v>
      </c>
      <c r="B1184" t="s">
        <v>8</v>
      </c>
      <c r="C1184" t="s">
        <v>87</v>
      </c>
      <c r="D1184" t="str">
        <f>LEFT(M1184,10)</f>
        <v>11/15/2024</v>
      </c>
      <c r="E1184" t="s">
        <v>202</v>
      </c>
      <c r="F1184" t="s">
        <v>227</v>
      </c>
      <c r="G1184" t="s">
        <v>228</v>
      </c>
      <c r="I1184">
        <v>1188</v>
      </c>
      <c r="J1184">
        <v>356.4</v>
      </c>
      <c r="K1184">
        <v>0.3</v>
      </c>
      <c r="M1184" t="s">
        <v>289</v>
      </c>
    </row>
    <row r="1185" spans="1:13" hidden="1">
      <c r="A1185" t="s">
        <v>88</v>
      </c>
      <c r="B1185" t="s">
        <v>8</v>
      </c>
      <c r="C1185" t="s">
        <v>87</v>
      </c>
      <c r="D1185" t="str">
        <f>LEFT(M1185,10)</f>
        <v>11/15/2024</v>
      </c>
      <c r="E1185" t="s">
        <v>202</v>
      </c>
      <c r="F1185" t="s">
        <v>227</v>
      </c>
      <c r="G1185" t="s">
        <v>229</v>
      </c>
      <c r="I1185">
        <v>3006</v>
      </c>
      <c r="J1185">
        <v>1803.6</v>
      </c>
      <c r="K1185">
        <v>0.6</v>
      </c>
      <c r="M1185" t="s">
        <v>289</v>
      </c>
    </row>
    <row r="1186" spans="1:13" hidden="1">
      <c r="A1186" t="s">
        <v>88</v>
      </c>
      <c r="B1186" t="s">
        <v>8</v>
      </c>
      <c r="C1186" t="s">
        <v>87</v>
      </c>
      <c r="D1186" t="str">
        <f>LEFT(M1186,10)</f>
        <v>11/15/2024</v>
      </c>
      <c r="E1186" t="s">
        <v>202</v>
      </c>
      <c r="F1186" t="s">
        <v>218</v>
      </c>
      <c r="G1186" t="s">
        <v>221</v>
      </c>
      <c r="I1186">
        <v>198.4</v>
      </c>
      <c r="J1186">
        <v>496</v>
      </c>
      <c r="K1186">
        <v>2.5</v>
      </c>
      <c r="M1186" t="s">
        <v>289</v>
      </c>
    </row>
    <row r="1187" spans="1:13" hidden="1">
      <c r="A1187" t="s">
        <v>88</v>
      </c>
      <c r="B1187" t="s">
        <v>8</v>
      </c>
      <c r="C1187" t="s">
        <v>87</v>
      </c>
      <c r="D1187" t="str">
        <f>LEFT(M1187,10)</f>
        <v>11/15/2024</v>
      </c>
      <c r="E1187" t="s">
        <v>202</v>
      </c>
      <c r="F1187" t="s">
        <v>218</v>
      </c>
      <c r="G1187" t="s">
        <v>240</v>
      </c>
      <c r="I1187">
        <v>252</v>
      </c>
      <c r="J1187">
        <v>856.8</v>
      </c>
      <c r="K1187">
        <v>3.4</v>
      </c>
      <c r="M1187" t="s">
        <v>289</v>
      </c>
    </row>
    <row r="1188" spans="1:13" hidden="1">
      <c r="A1188" t="s">
        <v>88</v>
      </c>
      <c r="B1188" t="s">
        <v>8</v>
      </c>
      <c r="C1188" t="s">
        <v>87</v>
      </c>
      <c r="D1188" t="str">
        <f>LEFT(M1188,10)</f>
        <v>11/15/2024</v>
      </c>
      <c r="E1188" t="s">
        <v>202</v>
      </c>
      <c r="F1188" t="s">
        <v>218</v>
      </c>
      <c r="G1188" t="s">
        <v>242</v>
      </c>
      <c r="I1188">
        <v>57.6</v>
      </c>
      <c r="J1188">
        <v>51.84</v>
      </c>
      <c r="K1188">
        <v>0.9</v>
      </c>
      <c r="M1188" t="s">
        <v>289</v>
      </c>
    </row>
    <row r="1189" spans="1:13" hidden="1">
      <c r="A1189" t="s">
        <v>88</v>
      </c>
      <c r="B1189" t="s">
        <v>8</v>
      </c>
      <c r="C1189" t="s">
        <v>87</v>
      </c>
      <c r="D1189" t="str">
        <f>LEFT(M1189,10)</f>
        <v>11/15/2024</v>
      </c>
      <c r="E1189" t="s">
        <v>202</v>
      </c>
      <c r="F1189" t="s">
        <v>218</v>
      </c>
      <c r="G1189" t="s">
        <v>241</v>
      </c>
      <c r="I1189">
        <v>39.799999999999997</v>
      </c>
      <c r="J1189">
        <v>135.32</v>
      </c>
      <c r="K1189">
        <v>3.4</v>
      </c>
      <c r="M1189" t="s">
        <v>289</v>
      </c>
    </row>
    <row r="1190" spans="1:13" hidden="1">
      <c r="A1190" t="s">
        <v>88</v>
      </c>
      <c r="B1190" t="s">
        <v>8</v>
      </c>
      <c r="C1190" t="s">
        <v>87</v>
      </c>
      <c r="D1190" t="str">
        <f>LEFT(M1190,10)</f>
        <v>11/15/2024</v>
      </c>
      <c r="E1190" t="s">
        <v>202</v>
      </c>
      <c r="F1190" t="s">
        <v>218</v>
      </c>
      <c r="G1190" t="s">
        <v>220</v>
      </c>
      <c r="I1190">
        <v>254</v>
      </c>
      <c r="J1190">
        <v>355.6</v>
      </c>
      <c r="K1190">
        <v>1.4</v>
      </c>
      <c r="M1190" t="s">
        <v>289</v>
      </c>
    </row>
    <row r="1191" spans="1:13" hidden="1">
      <c r="A1191" t="s">
        <v>88</v>
      </c>
      <c r="B1191" t="s">
        <v>8</v>
      </c>
      <c r="C1191" t="s">
        <v>87</v>
      </c>
      <c r="D1191" t="str">
        <f>LEFT(M1191,10)</f>
        <v>11/15/2024</v>
      </c>
      <c r="E1191" t="s">
        <v>202</v>
      </c>
      <c r="F1191" t="s">
        <v>218</v>
      </c>
      <c r="G1191" t="s">
        <v>226</v>
      </c>
      <c r="I1191">
        <v>481.8</v>
      </c>
      <c r="J1191">
        <v>144.54</v>
      </c>
      <c r="K1191">
        <v>0.3</v>
      </c>
      <c r="M1191" t="s">
        <v>289</v>
      </c>
    </row>
    <row r="1192" spans="1:13" hidden="1">
      <c r="A1192" t="s">
        <v>88</v>
      </c>
      <c r="B1192" t="s">
        <v>8</v>
      </c>
      <c r="C1192" t="s">
        <v>87</v>
      </c>
      <c r="D1192" t="str">
        <f>LEFT(M1192,10)</f>
        <v>11/15/2024</v>
      </c>
      <c r="E1192" t="s">
        <v>202</v>
      </c>
      <c r="F1192" t="s">
        <v>218</v>
      </c>
      <c r="G1192" t="s">
        <v>223</v>
      </c>
      <c r="I1192">
        <v>439</v>
      </c>
      <c r="J1192">
        <v>351.2</v>
      </c>
      <c r="K1192">
        <v>0.8</v>
      </c>
      <c r="M1192" t="s">
        <v>289</v>
      </c>
    </row>
    <row r="1193" spans="1:13" hidden="1">
      <c r="A1193" t="s">
        <v>88</v>
      </c>
      <c r="B1193" t="s">
        <v>8</v>
      </c>
      <c r="C1193" t="s">
        <v>87</v>
      </c>
      <c r="D1193" t="str">
        <f>LEFT(M1193,10)</f>
        <v>11/15/2024</v>
      </c>
      <c r="E1193" t="s">
        <v>202</v>
      </c>
      <c r="F1193" t="s">
        <v>218</v>
      </c>
      <c r="G1193" t="s">
        <v>222</v>
      </c>
      <c r="I1193">
        <v>724.8</v>
      </c>
      <c r="J1193">
        <v>724.8</v>
      </c>
      <c r="K1193">
        <v>1</v>
      </c>
      <c r="M1193" t="s">
        <v>289</v>
      </c>
    </row>
    <row r="1194" spans="1:13" hidden="1">
      <c r="A1194" t="s">
        <v>88</v>
      </c>
      <c r="B1194" t="s">
        <v>8</v>
      </c>
      <c r="C1194" t="s">
        <v>87</v>
      </c>
      <c r="D1194" t="str">
        <f>LEFT(M1194,10)</f>
        <v>11/15/2024</v>
      </c>
      <c r="E1194" t="s">
        <v>202</v>
      </c>
      <c r="F1194" t="s">
        <v>203</v>
      </c>
      <c r="G1194" t="s">
        <v>236</v>
      </c>
      <c r="I1194">
        <v>618</v>
      </c>
      <c r="J1194">
        <v>432.6</v>
      </c>
      <c r="K1194">
        <v>0.7</v>
      </c>
      <c r="M1194" t="s">
        <v>289</v>
      </c>
    </row>
    <row r="1195" spans="1:13" hidden="1">
      <c r="A1195" t="s">
        <v>88</v>
      </c>
      <c r="B1195" t="s">
        <v>8</v>
      </c>
      <c r="C1195" t="s">
        <v>87</v>
      </c>
      <c r="D1195" t="str">
        <f>LEFT(M1195,10)</f>
        <v>11/15/2024</v>
      </c>
      <c r="E1195" t="s">
        <v>202</v>
      </c>
      <c r="F1195" t="s">
        <v>227</v>
      </c>
      <c r="G1195" t="s">
        <v>252</v>
      </c>
      <c r="I1195">
        <v>93.6</v>
      </c>
      <c r="J1195">
        <v>18.72</v>
      </c>
      <c r="K1195">
        <v>0.2</v>
      </c>
      <c r="M1195" t="s">
        <v>289</v>
      </c>
    </row>
    <row r="1196" spans="1:13" hidden="1">
      <c r="A1196" t="s">
        <v>90</v>
      </c>
      <c r="B1196" t="s">
        <v>8</v>
      </c>
      <c r="C1196" t="s">
        <v>89</v>
      </c>
      <c r="D1196" t="str">
        <f>LEFT(M1196,10)</f>
        <v>11/15/2024</v>
      </c>
      <c r="E1196" t="s">
        <v>230</v>
      </c>
      <c r="F1196" t="s">
        <v>248</v>
      </c>
      <c r="I1196">
        <v>0</v>
      </c>
      <c r="J1196">
        <v>4978.78</v>
      </c>
      <c r="M1196" t="s">
        <v>289</v>
      </c>
    </row>
    <row r="1197" spans="1:13" hidden="1">
      <c r="A1197" t="s">
        <v>90</v>
      </c>
      <c r="B1197" t="s">
        <v>8</v>
      </c>
      <c r="C1197" t="s">
        <v>89</v>
      </c>
      <c r="D1197" t="str">
        <f>LEFT(M1197,10)</f>
        <v>11/15/2024</v>
      </c>
      <c r="E1197" t="s">
        <v>234</v>
      </c>
      <c r="F1197" t="s">
        <v>234</v>
      </c>
      <c r="I1197">
        <v>0</v>
      </c>
      <c r="M1197" t="s">
        <v>289</v>
      </c>
    </row>
    <row r="1198" spans="1:13" hidden="1">
      <c r="A1198" t="s">
        <v>90</v>
      </c>
      <c r="B1198" t="s">
        <v>8</v>
      </c>
      <c r="C1198" t="s">
        <v>89</v>
      </c>
      <c r="D1198" t="str">
        <f>LEFT(M1198,10)</f>
        <v>11/15/2024</v>
      </c>
      <c r="E1198" t="s">
        <v>202</v>
      </c>
      <c r="F1198" t="s">
        <v>218</v>
      </c>
      <c r="G1198" t="s">
        <v>226</v>
      </c>
      <c r="I1198">
        <v>102</v>
      </c>
      <c r="J1198">
        <v>20.399999999999999</v>
      </c>
      <c r="K1198">
        <v>0.2</v>
      </c>
      <c r="M1198" t="s">
        <v>289</v>
      </c>
    </row>
    <row r="1199" spans="1:13" hidden="1">
      <c r="A1199" t="s">
        <v>90</v>
      </c>
      <c r="B1199" t="s">
        <v>8</v>
      </c>
      <c r="C1199" t="s">
        <v>89</v>
      </c>
      <c r="D1199" t="str">
        <f>LEFT(M1199,10)</f>
        <v>11/15/2024</v>
      </c>
      <c r="E1199" t="s">
        <v>202</v>
      </c>
      <c r="F1199" t="s">
        <v>218</v>
      </c>
      <c r="G1199" t="s">
        <v>224</v>
      </c>
      <c r="I1199">
        <v>112</v>
      </c>
      <c r="J1199">
        <v>89.6</v>
      </c>
      <c r="K1199">
        <v>0.8</v>
      </c>
      <c r="M1199" t="s">
        <v>289</v>
      </c>
    </row>
    <row r="1200" spans="1:13" hidden="1">
      <c r="A1200" t="s">
        <v>90</v>
      </c>
      <c r="B1200" t="s">
        <v>8</v>
      </c>
      <c r="C1200" t="s">
        <v>89</v>
      </c>
      <c r="D1200" t="str">
        <f>LEFT(M1200,10)</f>
        <v>11/15/2024</v>
      </c>
      <c r="E1200" t="s">
        <v>202</v>
      </c>
      <c r="F1200" t="s">
        <v>218</v>
      </c>
      <c r="G1200" t="s">
        <v>241</v>
      </c>
      <c r="I1200">
        <v>96</v>
      </c>
      <c r="J1200">
        <v>288</v>
      </c>
      <c r="K1200">
        <v>3</v>
      </c>
      <c r="M1200" t="s">
        <v>289</v>
      </c>
    </row>
    <row r="1201" spans="1:13" hidden="1">
      <c r="A1201" t="s">
        <v>90</v>
      </c>
      <c r="B1201" t="s">
        <v>8</v>
      </c>
      <c r="C1201" t="s">
        <v>89</v>
      </c>
      <c r="D1201" t="str">
        <f>LEFT(M1201,10)</f>
        <v>11/15/2024</v>
      </c>
      <c r="E1201" t="s">
        <v>202</v>
      </c>
      <c r="F1201" t="s">
        <v>218</v>
      </c>
      <c r="G1201" t="s">
        <v>225</v>
      </c>
      <c r="I1201">
        <v>64</v>
      </c>
      <c r="J1201">
        <v>64</v>
      </c>
      <c r="K1201">
        <v>1</v>
      </c>
      <c r="M1201" t="s">
        <v>289</v>
      </c>
    </row>
    <row r="1202" spans="1:13" hidden="1">
      <c r="A1202" t="s">
        <v>90</v>
      </c>
      <c r="B1202" t="s">
        <v>8</v>
      </c>
      <c r="C1202" t="s">
        <v>89</v>
      </c>
      <c r="D1202" t="str">
        <f>LEFT(M1202,10)</f>
        <v>11/15/2024</v>
      </c>
      <c r="E1202" t="s">
        <v>202</v>
      </c>
      <c r="F1202" t="s">
        <v>218</v>
      </c>
      <c r="G1202" t="s">
        <v>220</v>
      </c>
      <c r="I1202">
        <v>441</v>
      </c>
      <c r="J1202">
        <v>617.4</v>
      </c>
      <c r="K1202">
        <v>1.4</v>
      </c>
      <c r="M1202" t="s">
        <v>289</v>
      </c>
    </row>
    <row r="1203" spans="1:13" hidden="1">
      <c r="A1203" t="s">
        <v>90</v>
      </c>
      <c r="B1203" t="s">
        <v>8</v>
      </c>
      <c r="C1203" t="s">
        <v>89</v>
      </c>
      <c r="D1203" t="str">
        <f>LEFT(M1203,10)</f>
        <v>11/15/2024</v>
      </c>
      <c r="E1203" t="s">
        <v>202</v>
      </c>
      <c r="F1203" t="s">
        <v>218</v>
      </c>
      <c r="G1203" t="s">
        <v>243</v>
      </c>
      <c r="H1203" t="s">
        <v>278</v>
      </c>
      <c r="I1203">
        <v>56</v>
      </c>
      <c r="J1203">
        <v>56</v>
      </c>
      <c r="K1203">
        <v>1</v>
      </c>
      <c r="M1203" t="s">
        <v>289</v>
      </c>
    </row>
    <row r="1204" spans="1:13" hidden="1">
      <c r="A1204" t="s">
        <v>90</v>
      </c>
      <c r="B1204" t="s">
        <v>8</v>
      </c>
      <c r="C1204" t="s">
        <v>89</v>
      </c>
      <c r="D1204" t="str">
        <f>LEFT(M1204,10)</f>
        <v>11/15/2024</v>
      </c>
      <c r="E1204" t="s">
        <v>202</v>
      </c>
      <c r="F1204" t="s">
        <v>227</v>
      </c>
      <c r="G1204" t="s">
        <v>252</v>
      </c>
      <c r="I1204">
        <v>189</v>
      </c>
      <c r="J1204">
        <v>47.25</v>
      </c>
      <c r="K1204">
        <v>0.25</v>
      </c>
      <c r="M1204" t="s">
        <v>289</v>
      </c>
    </row>
    <row r="1205" spans="1:13" hidden="1">
      <c r="A1205" t="s">
        <v>90</v>
      </c>
      <c r="B1205" t="s">
        <v>8</v>
      </c>
      <c r="C1205" t="s">
        <v>89</v>
      </c>
      <c r="D1205" t="str">
        <f>LEFT(M1205,10)</f>
        <v>11/15/2024</v>
      </c>
      <c r="E1205" t="s">
        <v>202</v>
      </c>
      <c r="F1205" t="s">
        <v>227</v>
      </c>
      <c r="G1205" t="s">
        <v>238</v>
      </c>
      <c r="I1205">
        <v>147</v>
      </c>
      <c r="J1205">
        <v>44.1</v>
      </c>
      <c r="K1205">
        <v>0.3</v>
      </c>
      <c r="M1205" t="s">
        <v>289</v>
      </c>
    </row>
    <row r="1206" spans="1:13" hidden="1">
      <c r="A1206" t="s">
        <v>90</v>
      </c>
      <c r="B1206" t="s">
        <v>8</v>
      </c>
      <c r="C1206" t="s">
        <v>89</v>
      </c>
      <c r="D1206" t="str">
        <f>LEFT(M1206,10)</f>
        <v>11/15/2024</v>
      </c>
      <c r="E1206" t="s">
        <v>202</v>
      </c>
      <c r="F1206" t="s">
        <v>218</v>
      </c>
      <c r="G1206" t="s">
        <v>243</v>
      </c>
      <c r="H1206" t="s">
        <v>379</v>
      </c>
      <c r="I1206">
        <v>108</v>
      </c>
      <c r="J1206">
        <v>75.599999999999994</v>
      </c>
      <c r="K1206">
        <v>0.7</v>
      </c>
      <c r="M1206" t="s">
        <v>289</v>
      </c>
    </row>
    <row r="1207" spans="1:13" hidden="1">
      <c r="A1207" t="s">
        <v>90</v>
      </c>
      <c r="B1207" t="s">
        <v>8</v>
      </c>
      <c r="C1207" t="s">
        <v>89</v>
      </c>
      <c r="D1207" t="str">
        <f>LEFT(M1207,10)</f>
        <v>11/15/2024</v>
      </c>
      <c r="E1207" t="s">
        <v>202</v>
      </c>
      <c r="F1207" t="s">
        <v>218</v>
      </c>
      <c r="G1207" t="s">
        <v>242</v>
      </c>
      <c r="I1207">
        <v>64</v>
      </c>
      <c r="J1207">
        <v>51.2</v>
      </c>
      <c r="K1207">
        <v>0.8</v>
      </c>
      <c r="M1207" t="s">
        <v>289</v>
      </c>
    </row>
    <row r="1208" spans="1:13" hidden="1">
      <c r="A1208" t="s">
        <v>90</v>
      </c>
      <c r="B1208" t="s">
        <v>8</v>
      </c>
      <c r="C1208" t="s">
        <v>89</v>
      </c>
      <c r="D1208" t="str">
        <f>LEFT(M1208,10)</f>
        <v>11/15/2024</v>
      </c>
      <c r="E1208" t="s">
        <v>202</v>
      </c>
      <c r="F1208" t="s">
        <v>218</v>
      </c>
      <c r="G1208" t="s">
        <v>243</v>
      </c>
      <c r="H1208" t="s">
        <v>380</v>
      </c>
      <c r="I1208">
        <v>283</v>
      </c>
      <c r="J1208">
        <v>622.6</v>
      </c>
      <c r="K1208">
        <v>2.2000000000000002</v>
      </c>
      <c r="M1208" t="s">
        <v>289</v>
      </c>
    </row>
    <row r="1209" spans="1:13" hidden="1">
      <c r="A1209" t="s">
        <v>90</v>
      </c>
      <c r="B1209" t="s">
        <v>8</v>
      </c>
      <c r="C1209" t="s">
        <v>89</v>
      </c>
      <c r="D1209" t="str">
        <f>LEFT(M1209,10)</f>
        <v>11/15/2024</v>
      </c>
      <c r="E1209" t="s">
        <v>202</v>
      </c>
      <c r="F1209" t="s">
        <v>218</v>
      </c>
      <c r="G1209" t="s">
        <v>219</v>
      </c>
      <c r="I1209">
        <v>55</v>
      </c>
      <c r="J1209">
        <v>5.5</v>
      </c>
      <c r="K1209">
        <v>0.1</v>
      </c>
      <c r="M1209" t="s">
        <v>289</v>
      </c>
    </row>
    <row r="1210" spans="1:13" hidden="1">
      <c r="A1210" t="s">
        <v>90</v>
      </c>
      <c r="B1210" t="s">
        <v>8</v>
      </c>
      <c r="C1210" t="s">
        <v>89</v>
      </c>
      <c r="D1210" t="str">
        <f>LEFT(M1210,10)</f>
        <v>11/15/2024</v>
      </c>
      <c r="E1210" t="s">
        <v>202</v>
      </c>
      <c r="F1210" t="s">
        <v>218</v>
      </c>
      <c r="G1210" t="s">
        <v>223</v>
      </c>
      <c r="I1210">
        <v>355</v>
      </c>
      <c r="J1210">
        <v>284</v>
      </c>
      <c r="K1210">
        <v>0.8</v>
      </c>
      <c r="M1210" t="s">
        <v>289</v>
      </c>
    </row>
    <row r="1211" spans="1:13" hidden="1">
      <c r="A1211" t="s">
        <v>90</v>
      </c>
      <c r="B1211" t="s">
        <v>8</v>
      </c>
      <c r="C1211" t="s">
        <v>89</v>
      </c>
      <c r="D1211" t="str">
        <f>LEFT(M1211,10)</f>
        <v>11/15/2024</v>
      </c>
      <c r="E1211" t="s">
        <v>202</v>
      </c>
      <c r="F1211" t="s">
        <v>227</v>
      </c>
      <c r="G1211" t="s">
        <v>228</v>
      </c>
      <c r="I1211">
        <v>809</v>
      </c>
      <c r="J1211">
        <v>242.7</v>
      </c>
      <c r="K1211">
        <v>0.3</v>
      </c>
      <c r="M1211" t="s">
        <v>289</v>
      </c>
    </row>
    <row r="1212" spans="1:13" hidden="1">
      <c r="A1212" t="s">
        <v>90</v>
      </c>
      <c r="B1212" t="s">
        <v>8</v>
      </c>
      <c r="C1212" t="s">
        <v>89</v>
      </c>
      <c r="D1212" t="str">
        <f>LEFT(M1212,10)</f>
        <v>11/15/2024</v>
      </c>
      <c r="E1212" t="s">
        <v>202</v>
      </c>
      <c r="F1212" t="s">
        <v>227</v>
      </c>
      <c r="G1212" t="s">
        <v>237</v>
      </c>
      <c r="I1212">
        <v>285</v>
      </c>
      <c r="J1212">
        <v>171</v>
      </c>
      <c r="K1212">
        <v>0.6</v>
      </c>
      <c r="M1212" t="s">
        <v>289</v>
      </c>
    </row>
    <row r="1213" spans="1:13" hidden="1">
      <c r="A1213" t="s">
        <v>90</v>
      </c>
      <c r="B1213" t="s">
        <v>8</v>
      </c>
      <c r="C1213" t="s">
        <v>89</v>
      </c>
      <c r="D1213" t="str">
        <f>LEFT(M1213,10)</f>
        <v>11/15/2024</v>
      </c>
      <c r="E1213" t="s">
        <v>202</v>
      </c>
      <c r="F1213" t="s">
        <v>218</v>
      </c>
      <c r="G1213" t="s">
        <v>240</v>
      </c>
      <c r="I1213">
        <v>433</v>
      </c>
      <c r="J1213">
        <v>1299</v>
      </c>
      <c r="K1213">
        <v>3</v>
      </c>
      <c r="M1213" t="s">
        <v>289</v>
      </c>
    </row>
    <row r="1214" spans="1:13" hidden="1">
      <c r="A1214" t="s">
        <v>90</v>
      </c>
      <c r="B1214" t="s">
        <v>8</v>
      </c>
      <c r="C1214" t="s">
        <v>89</v>
      </c>
      <c r="D1214" t="str">
        <f>LEFT(M1214,10)</f>
        <v>11/15/2024</v>
      </c>
      <c r="E1214" t="s">
        <v>202</v>
      </c>
      <c r="F1214" t="s">
        <v>218</v>
      </c>
      <c r="G1214" t="s">
        <v>243</v>
      </c>
      <c r="H1214" t="s">
        <v>279</v>
      </c>
      <c r="I1214">
        <v>311</v>
      </c>
      <c r="J1214">
        <v>404.3</v>
      </c>
      <c r="K1214">
        <v>1.3</v>
      </c>
      <c r="M1214" t="s">
        <v>289</v>
      </c>
    </row>
    <row r="1215" spans="1:13" hidden="1">
      <c r="A1215" t="s">
        <v>90</v>
      </c>
      <c r="B1215" t="s">
        <v>8</v>
      </c>
      <c r="C1215" t="s">
        <v>89</v>
      </c>
      <c r="D1215" t="str">
        <f>LEFT(M1215,10)</f>
        <v>11/15/2024</v>
      </c>
      <c r="E1215" t="s">
        <v>202</v>
      </c>
      <c r="F1215" t="s">
        <v>227</v>
      </c>
      <c r="G1215" t="s">
        <v>229</v>
      </c>
      <c r="I1215">
        <v>3280</v>
      </c>
      <c r="J1215">
        <v>2066.4</v>
      </c>
      <c r="K1215">
        <v>0.63</v>
      </c>
      <c r="M1215" t="s">
        <v>289</v>
      </c>
    </row>
    <row r="1216" spans="1:13" hidden="1">
      <c r="A1216" t="s">
        <v>90</v>
      </c>
      <c r="B1216" t="s">
        <v>8</v>
      </c>
      <c r="C1216" t="s">
        <v>89</v>
      </c>
      <c r="D1216" t="str">
        <f>LEFT(M1216,10)</f>
        <v>11/15/2024</v>
      </c>
      <c r="E1216" t="s">
        <v>202</v>
      </c>
      <c r="F1216" t="s">
        <v>216</v>
      </c>
      <c r="G1216" t="s">
        <v>253</v>
      </c>
      <c r="I1216">
        <v>1320</v>
      </c>
      <c r="J1216">
        <v>198</v>
      </c>
      <c r="K1216">
        <v>0.15</v>
      </c>
      <c r="M1216" t="s">
        <v>289</v>
      </c>
    </row>
    <row r="1217" spans="1:13" hidden="1">
      <c r="A1217" t="s">
        <v>90</v>
      </c>
      <c r="B1217" t="s">
        <v>8</v>
      </c>
      <c r="C1217" t="s">
        <v>89</v>
      </c>
      <c r="D1217" t="str">
        <f>LEFT(M1217,10)</f>
        <v>11/15/2024</v>
      </c>
      <c r="E1217" t="s">
        <v>202</v>
      </c>
      <c r="F1217" t="s">
        <v>203</v>
      </c>
      <c r="G1217" t="s">
        <v>236</v>
      </c>
      <c r="I1217">
        <v>1290</v>
      </c>
      <c r="J1217">
        <v>774</v>
      </c>
      <c r="K1217">
        <v>0.6</v>
      </c>
      <c r="M1217" t="s">
        <v>289</v>
      </c>
    </row>
    <row r="1218" spans="1:13" hidden="1">
      <c r="A1218" t="s">
        <v>90</v>
      </c>
      <c r="B1218" t="s">
        <v>8</v>
      </c>
      <c r="C1218" t="s">
        <v>89</v>
      </c>
      <c r="D1218" t="str">
        <f>LEFT(M1218,10)</f>
        <v>11/15/2024</v>
      </c>
      <c r="E1218" t="s">
        <v>202</v>
      </c>
      <c r="F1218" t="s">
        <v>203</v>
      </c>
      <c r="G1218" t="s">
        <v>204</v>
      </c>
      <c r="I1218">
        <v>280</v>
      </c>
      <c r="J1218">
        <v>1310</v>
      </c>
      <c r="K1218">
        <v>4.68</v>
      </c>
      <c r="M1218" t="s">
        <v>289</v>
      </c>
    </row>
    <row r="1219" spans="1:13" hidden="1">
      <c r="A1219" t="s">
        <v>92</v>
      </c>
      <c r="B1219" t="s">
        <v>8</v>
      </c>
      <c r="C1219" t="s">
        <v>91</v>
      </c>
      <c r="D1219" t="str">
        <f>LEFT(M1219,10)</f>
        <v>11/15/2024</v>
      </c>
      <c r="E1219" t="s">
        <v>202</v>
      </c>
      <c r="F1219" t="s">
        <v>227</v>
      </c>
      <c r="G1219" t="s">
        <v>237</v>
      </c>
      <c r="I1219">
        <v>504.4</v>
      </c>
      <c r="J1219">
        <v>327.86</v>
      </c>
      <c r="K1219">
        <v>0.65</v>
      </c>
      <c r="M1219" t="s">
        <v>289</v>
      </c>
    </row>
    <row r="1220" spans="1:13" hidden="1">
      <c r="A1220" t="s">
        <v>92</v>
      </c>
      <c r="B1220" t="s">
        <v>8</v>
      </c>
      <c r="C1220" t="s">
        <v>91</v>
      </c>
      <c r="D1220" t="str">
        <f>LEFT(M1220,10)</f>
        <v>11/15/2024</v>
      </c>
      <c r="E1220" t="s">
        <v>202</v>
      </c>
      <c r="F1220" t="s">
        <v>227</v>
      </c>
      <c r="G1220" t="s">
        <v>228</v>
      </c>
      <c r="I1220">
        <v>1289.5</v>
      </c>
      <c r="J1220">
        <v>515.79999999999995</v>
      </c>
      <c r="K1220">
        <v>0.4</v>
      </c>
      <c r="M1220" t="s">
        <v>289</v>
      </c>
    </row>
    <row r="1221" spans="1:13" hidden="1">
      <c r="A1221" t="s">
        <v>92</v>
      </c>
      <c r="B1221" t="s">
        <v>8</v>
      </c>
      <c r="C1221" t="s">
        <v>91</v>
      </c>
      <c r="D1221" t="str">
        <f>LEFT(M1221,10)</f>
        <v>11/15/2024</v>
      </c>
      <c r="E1221" t="s">
        <v>202</v>
      </c>
      <c r="F1221" t="s">
        <v>227</v>
      </c>
      <c r="G1221" t="s">
        <v>229</v>
      </c>
      <c r="I1221">
        <v>3340.4</v>
      </c>
      <c r="J1221">
        <v>2772.53</v>
      </c>
      <c r="K1221">
        <v>0.83</v>
      </c>
      <c r="M1221" t="s">
        <v>289</v>
      </c>
    </row>
    <row r="1222" spans="1:13" hidden="1">
      <c r="A1222" t="s">
        <v>92</v>
      </c>
      <c r="B1222" t="s">
        <v>8</v>
      </c>
      <c r="C1222" t="s">
        <v>91</v>
      </c>
      <c r="D1222" t="str">
        <f>LEFT(M1222,10)</f>
        <v>11/15/2024</v>
      </c>
      <c r="E1222" t="s">
        <v>202</v>
      </c>
      <c r="F1222" t="s">
        <v>227</v>
      </c>
      <c r="G1222" t="s">
        <v>229</v>
      </c>
      <c r="I1222">
        <v>4521.29</v>
      </c>
      <c r="J1222">
        <v>3617.03</v>
      </c>
      <c r="K1222">
        <v>0.8</v>
      </c>
      <c r="M1222" t="s">
        <v>289</v>
      </c>
    </row>
    <row r="1223" spans="1:13" hidden="1">
      <c r="A1223" t="s">
        <v>92</v>
      </c>
      <c r="B1223" t="s">
        <v>8</v>
      </c>
      <c r="C1223" t="s">
        <v>91</v>
      </c>
      <c r="D1223" t="str">
        <f>LEFT(M1223,10)</f>
        <v>11/15/2024</v>
      </c>
      <c r="E1223" t="s">
        <v>202</v>
      </c>
      <c r="F1223" t="s">
        <v>227</v>
      </c>
      <c r="G1223" t="s">
        <v>238</v>
      </c>
      <c r="I1223">
        <v>1360.1</v>
      </c>
      <c r="J1223">
        <v>544.04</v>
      </c>
      <c r="K1223">
        <v>0.4</v>
      </c>
      <c r="M1223" t="s">
        <v>289</v>
      </c>
    </row>
    <row r="1224" spans="1:13" hidden="1">
      <c r="A1224" t="s">
        <v>92</v>
      </c>
      <c r="B1224" t="s">
        <v>8</v>
      </c>
      <c r="C1224" t="s">
        <v>91</v>
      </c>
      <c r="D1224" t="str">
        <f>LEFT(M1224,10)</f>
        <v>11/15/2024</v>
      </c>
      <c r="E1224" t="s">
        <v>202</v>
      </c>
      <c r="F1224" t="s">
        <v>227</v>
      </c>
      <c r="G1224" t="s">
        <v>252</v>
      </c>
      <c r="I1224">
        <v>274.8</v>
      </c>
      <c r="J1224">
        <v>96.18</v>
      </c>
      <c r="K1224">
        <v>0.35</v>
      </c>
      <c r="M1224" t="s">
        <v>289</v>
      </c>
    </row>
    <row r="1225" spans="1:13" hidden="1">
      <c r="A1225" t="s">
        <v>92</v>
      </c>
      <c r="B1225" t="s">
        <v>8</v>
      </c>
      <c r="C1225" t="s">
        <v>91</v>
      </c>
      <c r="D1225" t="str">
        <f>LEFT(M1225,10)</f>
        <v>11/15/2024</v>
      </c>
      <c r="E1225" t="s">
        <v>202</v>
      </c>
      <c r="F1225" t="s">
        <v>218</v>
      </c>
      <c r="G1225" t="s">
        <v>224</v>
      </c>
      <c r="I1225">
        <v>200.6</v>
      </c>
      <c r="J1225">
        <v>240.72</v>
      </c>
      <c r="K1225">
        <v>1.2</v>
      </c>
      <c r="M1225" t="s">
        <v>289</v>
      </c>
    </row>
    <row r="1226" spans="1:13" hidden="1">
      <c r="A1226" t="s">
        <v>92</v>
      </c>
      <c r="B1226" t="s">
        <v>8</v>
      </c>
      <c r="C1226" t="s">
        <v>91</v>
      </c>
      <c r="D1226" t="str">
        <f>LEFT(M1226,10)</f>
        <v>11/15/2024</v>
      </c>
      <c r="E1226" t="s">
        <v>202</v>
      </c>
      <c r="F1226" t="s">
        <v>218</v>
      </c>
      <c r="G1226" t="s">
        <v>221</v>
      </c>
      <c r="I1226">
        <v>228.3</v>
      </c>
      <c r="J1226">
        <v>593.58000000000004</v>
      </c>
      <c r="K1226">
        <v>2.6</v>
      </c>
      <c r="M1226" t="s">
        <v>289</v>
      </c>
    </row>
    <row r="1227" spans="1:13" hidden="1">
      <c r="A1227" t="s">
        <v>92</v>
      </c>
      <c r="B1227" t="s">
        <v>8</v>
      </c>
      <c r="C1227" t="s">
        <v>91</v>
      </c>
      <c r="D1227" t="str">
        <f>LEFT(M1227,10)</f>
        <v>11/15/2024</v>
      </c>
      <c r="E1227" t="s">
        <v>202</v>
      </c>
      <c r="F1227" t="s">
        <v>218</v>
      </c>
      <c r="G1227" t="s">
        <v>221</v>
      </c>
      <c r="I1227">
        <v>441.1</v>
      </c>
      <c r="J1227">
        <v>1190.97</v>
      </c>
      <c r="K1227">
        <v>2.7</v>
      </c>
      <c r="M1227" t="s">
        <v>289</v>
      </c>
    </row>
    <row r="1228" spans="1:13" hidden="1">
      <c r="A1228" t="s">
        <v>92</v>
      </c>
      <c r="B1228" t="s">
        <v>8</v>
      </c>
      <c r="C1228" t="s">
        <v>91</v>
      </c>
      <c r="D1228" t="str">
        <f>LEFT(M1228,10)</f>
        <v>11/15/2024</v>
      </c>
      <c r="E1228" t="s">
        <v>202</v>
      </c>
      <c r="F1228" t="s">
        <v>218</v>
      </c>
      <c r="G1228" t="s">
        <v>220</v>
      </c>
      <c r="I1228">
        <v>733.5</v>
      </c>
      <c r="J1228">
        <v>1173.5999999999999</v>
      </c>
      <c r="K1228">
        <v>1.6</v>
      </c>
      <c r="M1228" t="s">
        <v>289</v>
      </c>
    </row>
    <row r="1229" spans="1:13" hidden="1">
      <c r="A1229" t="s">
        <v>92</v>
      </c>
      <c r="B1229" t="s">
        <v>8</v>
      </c>
      <c r="C1229" t="s">
        <v>91</v>
      </c>
      <c r="D1229" t="str">
        <f>LEFT(M1229,10)</f>
        <v>11/15/2024</v>
      </c>
      <c r="E1229" t="s">
        <v>202</v>
      </c>
      <c r="F1229" t="s">
        <v>218</v>
      </c>
      <c r="G1229" t="s">
        <v>223</v>
      </c>
      <c r="I1229">
        <v>303.8</v>
      </c>
      <c r="J1229">
        <v>212.66</v>
      </c>
      <c r="K1229">
        <v>0.7</v>
      </c>
      <c r="M1229" t="s">
        <v>289</v>
      </c>
    </row>
    <row r="1230" spans="1:13" hidden="1">
      <c r="A1230" t="s">
        <v>92</v>
      </c>
      <c r="B1230" t="s">
        <v>8</v>
      </c>
      <c r="C1230" t="s">
        <v>91</v>
      </c>
      <c r="D1230" t="str">
        <f>LEFT(M1230,10)</f>
        <v>11/15/2024</v>
      </c>
      <c r="E1230" t="s">
        <v>202</v>
      </c>
      <c r="F1230" t="s">
        <v>218</v>
      </c>
      <c r="G1230" t="s">
        <v>223</v>
      </c>
      <c r="I1230">
        <v>1459.7</v>
      </c>
      <c r="J1230">
        <v>1313.73</v>
      </c>
      <c r="K1230">
        <v>0.9</v>
      </c>
      <c r="M1230" t="s">
        <v>289</v>
      </c>
    </row>
    <row r="1231" spans="1:13" hidden="1">
      <c r="A1231" t="s">
        <v>92</v>
      </c>
      <c r="B1231" t="s">
        <v>8</v>
      </c>
      <c r="C1231" t="s">
        <v>91</v>
      </c>
      <c r="D1231" t="str">
        <f>LEFT(M1231,10)</f>
        <v>11/15/2024</v>
      </c>
      <c r="E1231" t="s">
        <v>202</v>
      </c>
      <c r="F1231" t="s">
        <v>218</v>
      </c>
      <c r="G1231" t="s">
        <v>243</v>
      </c>
      <c r="H1231" t="s">
        <v>381</v>
      </c>
      <c r="I1231">
        <v>89.5</v>
      </c>
      <c r="J1231">
        <v>223.75</v>
      </c>
      <c r="K1231">
        <v>2.5</v>
      </c>
      <c r="M1231" t="s">
        <v>289</v>
      </c>
    </row>
    <row r="1232" spans="1:13" hidden="1">
      <c r="A1232" t="s">
        <v>92</v>
      </c>
      <c r="B1232" t="s">
        <v>8</v>
      </c>
      <c r="C1232" t="s">
        <v>91</v>
      </c>
      <c r="D1232" t="str">
        <f>LEFT(M1232,10)</f>
        <v>11/15/2024</v>
      </c>
      <c r="E1232" t="s">
        <v>202</v>
      </c>
      <c r="F1232" t="s">
        <v>218</v>
      </c>
      <c r="G1232" t="s">
        <v>241</v>
      </c>
      <c r="I1232">
        <v>45.8</v>
      </c>
      <c r="J1232">
        <v>206.1</v>
      </c>
      <c r="K1232">
        <v>4.5</v>
      </c>
      <c r="M1232" t="s">
        <v>289</v>
      </c>
    </row>
    <row r="1233" spans="1:13" hidden="1">
      <c r="A1233" t="s">
        <v>92</v>
      </c>
      <c r="B1233" t="s">
        <v>8</v>
      </c>
      <c r="C1233" t="s">
        <v>91</v>
      </c>
      <c r="D1233" t="str">
        <f>LEFT(M1233,10)</f>
        <v>11/15/2024</v>
      </c>
      <c r="E1233" t="s">
        <v>202</v>
      </c>
      <c r="F1233" t="s">
        <v>218</v>
      </c>
      <c r="G1233" t="s">
        <v>240</v>
      </c>
      <c r="I1233">
        <v>722.2</v>
      </c>
      <c r="J1233">
        <v>3249.9</v>
      </c>
      <c r="K1233">
        <v>4.5</v>
      </c>
      <c r="M1233" t="s">
        <v>289</v>
      </c>
    </row>
    <row r="1234" spans="1:13" hidden="1">
      <c r="A1234" t="s">
        <v>92</v>
      </c>
      <c r="B1234" t="s">
        <v>8</v>
      </c>
      <c r="C1234" t="s">
        <v>91</v>
      </c>
      <c r="D1234" t="str">
        <f>LEFT(M1234,10)</f>
        <v>11/15/2024</v>
      </c>
      <c r="E1234" t="s">
        <v>202</v>
      </c>
      <c r="F1234" t="s">
        <v>218</v>
      </c>
      <c r="G1234" t="s">
        <v>242</v>
      </c>
      <c r="I1234">
        <v>46.2</v>
      </c>
      <c r="J1234">
        <v>55.44</v>
      </c>
      <c r="K1234">
        <v>1.2</v>
      </c>
      <c r="M1234" t="s">
        <v>289</v>
      </c>
    </row>
    <row r="1235" spans="1:13" hidden="1">
      <c r="A1235" t="s">
        <v>92</v>
      </c>
      <c r="B1235" t="s">
        <v>8</v>
      </c>
      <c r="C1235" t="s">
        <v>91</v>
      </c>
      <c r="D1235" t="str">
        <f>LEFT(M1235,10)</f>
        <v>11/15/2024</v>
      </c>
      <c r="E1235" t="s">
        <v>202</v>
      </c>
      <c r="F1235" t="s">
        <v>218</v>
      </c>
      <c r="G1235" t="s">
        <v>219</v>
      </c>
      <c r="I1235">
        <v>121.7</v>
      </c>
      <c r="J1235">
        <v>12.17</v>
      </c>
      <c r="K1235">
        <v>0.1</v>
      </c>
      <c r="M1235" t="s">
        <v>289</v>
      </c>
    </row>
    <row r="1236" spans="1:13" hidden="1">
      <c r="A1236" t="s">
        <v>92</v>
      </c>
      <c r="B1236" t="s">
        <v>8</v>
      </c>
      <c r="C1236" t="s">
        <v>91</v>
      </c>
      <c r="D1236" t="str">
        <f>LEFT(M1236,10)</f>
        <v>11/15/2024</v>
      </c>
      <c r="E1236" t="s">
        <v>202</v>
      </c>
      <c r="F1236" t="s">
        <v>218</v>
      </c>
      <c r="G1236" t="s">
        <v>225</v>
      </c>
      <c r="I1236">
        <v>59.4</v>
      </c>
      <c r="J1236">
        <v>59.4</v>
      </c>
      <c r="K1236">
        <v>1</v>
      </c>
      <c r="M1236" t="s">
        <v>289</v>
      </c>
    </row>
    <row r="1237" spans="1:13" hidden="1">
      <c r="A1237" t="s">
        <v>92</v>
      </c>
      <c r="B1237" t="s">
        <v>8</v>
      </c>
      <c r="C1237" t="s">
        <v>91</v>
      </c>
      <c r="D1237" t="str">
        <f>LEFT(M1237,10)</f>
        <v>11/15/2024</v>
      </c>
      <c r="E1237" t="s">
        <v>202</v>
      </c>
      <c r="F1237" t="s">
        <v>218</v>
      </c>
      <c r="G1237" t="s">
        <v>239</v>
      </c>
      <c r="I1237">
        <v>46.4</v>
      </c>
      <c r="J1237">
        <v>4.6399999999999997</v>
      </c>
      <c r="K1237">
        <v>0.1</v>
      </c>
      <c r="M1237" t="s">
        <v>289</v>
      </c>
    </row>
    <row r="1238" spans="1:13" hidden="1">
      <c r="A1238" t="s">
        <v>92</v>
      </c>
      <c r="B1238" t="s">
        <v>8</v>
      </c>
      <c r="C1238" t="s">
        <v>91</v>
      </c>
      <c r="D1238" t="str">
        <f>LEFT(M1238,10)</f>
        <v>11/15/2024</v>
      </c>
      <c r="E1238" t="s">
        <v>202</v>
      </c>
      <c r="F1238" t="s">
        <v>218</v>
      </c>
      <c r="G1238" t="s">
        <v>222</v>
      </c>
      <c r="I1238">
        <v>1201.4000000000001</v>
      </c>
      <c r="J1238">
        <v>1681.4</v>
      </c>
      <c r="K1238">
        <v>1.4</v>
      </c>
      <c r="M1238" t="s">
        <v>289</v>
      </c>
    </row>
    <row r="1239" spans="1:13" hidden="1">
      <c r="A1239" t="s">
        <v>92</v>
      </c>
      <c r="B1239" t="s">
        <v>8</v>
      </c>
      <c r="C1239" t="s">
        <v>91</v>
      </c>
      <c r="D1239" t="str">
        <f>LEFT(M1239,10)</f>
        <v>11/15/2024</v>
      </c>
      <c r="E1239" t="s">
        <v>202</v>
      </c>
      <c r="F1239" t="s">
        <v>218</v>
      </c>
      <c r="G1239" t="s">
        <v>222</v>
      </c>
      <c r="I1239">
        <v>260.7</v>
      </c>
      <c r="J1239">
        <v>521.4</v>
      </c>
      <c r="K1239">
        <v>2</v>
      </c>
      <c r="M1239" t="s">
        <v>289</v>
      </c>
    </row>
    <row r="1240" spans="1:13" hidden="1">
      <c r="A1240" t="s">
        <v>92</v>
      </c>
      <c r="B1240" t="s">
        <v>8</v>
      </c>
      <c r="C1240" t="s">
        <v>91</v>
      </c>
      <c r="D1240" t="str">
        <f>LEFT(M1240,10)</f>
        <v>11/15/2024</v>
      </c>
      <c r="E1240" t="s">
        <v>202</v>
      </c>
      <c r="F1240" t="s">
        <v>218</v>
      </c>
      <c r="G1240" t="s">
        <v>222</v>
      </c>
      <c r="I1240">
        <v>81</v>
      </c>
      <c r="J1240">
        <v>121.5</v>
      </c>
      <c r="K1240">
        <v>1.5</v>
      </c>
      <c r="M1240" t="s">
        <v>289</v>
      </c>
    </row>
    <row r="1241" spans="1:13" hidden="1">
      <c r="A1241" t="s">
        <v>92</v>
      </c>
      <c r="B1241" t="s">
        <v>8</v>
      </c>
      <c r="C1241" t="s">
        <v>91</v>
      </c>
      <c r="D1241" t="str">
        <f>LEFT(M1241,10)</f>
        <v>11/15/2024</v>
      </c>
      <c r="E1241" t="s">
        <v>202</v>
      </c>
      <c r="F1241" t="s">
        <v>218</v>
      </c>
      <c r="G1241" t="s">
        <v>243</v>
      </c>
      <c r="H1241" t="s">
        <v>382</v>
      </c>
      <c r="I1241">
        <v>92.9</v>
      </c>
      <c r="J1241">
        <v>83.61</v>
      </c>
      <c r="K1241">
        <v>0.9</v>
      </c>
      <c r="M1241" t="s">
        <v>289</v>
      </c>
    </row>
    <row r="1242" spans="1:13" hidden="1">
      <c r="A1242" t="s">
        <v>92</v>
      </c>
      <c r="B1242" t="s">
        <v>8</v>
      </c>
      <c r="C1242" t="s">
        <v>91</v>
      </c>
      <c r="D1242" t="str">
        <f>LEFT(M1242,10)</f>
        <v>11/15/2024</v>
      </c>
      <c r="E1242" t="s">
        <v>202</v>
      </c>
      <c r="F1242" t="s">
        <v>218</v>
      </c>
      <c r="G1242" t="s">
        <v>266</v>
      </c>
      <c r="I1242">
        <v>480.2</v>
      </c>
      <c r="J1242">
        <v>24.01</v>
      </c>
      <c r="K1242">
        <v>0.05</v>
      </c>
      <c r="M1242" t="s">
        <v>289</v>
      </c>
    </row>
    <row r="1243" spans="1:13" hidden="1">
      <c r="A1243" t="s">
        <v>92</v>
      </c>
      <c r="B1243" t="s">
        <v>8</v>
      </c>
      <c r="C1243" t="s">
        <v>91</v>
      </c>
      <c r="D1243" t="str">
        <f>LEFT(M1243,10)</f>
        <v>11/15/2024</v>
      </c>
      <c r="E1243" t="s">
        <v>202</v>
      </c>
      <c r="F1243" t="s">
        <v>218</v>
      </c>
      <c r="G1243" t="s">
        <v>243</v>
      </c>
      <c r="H1243" t="s">
        <v>383</v>
      </c>
      <c r="I1243">
        <v>601.70000000000005</v>
      </c>
      <c r="J1243">
        <v>1323.74</v>
      </c>
      <c r="K1243">
        <v>2.2000000000000002</v>
      </c>
      <c r="M1243" t="s">
        <v>289</v>
      </c>
    </row>
    <row r="1244" spans="1:13" hidden="1">
      <c r="A1244" t="s">
        <v>92</v>
      </c>
      <c r="B1244" t="s">
        <v>8</v>
      </c>
      <c r="C1244" t="s">
        <v>91</v>
      </c>
      <c r="D1244" t="str">
        <f>LEFT(M1244,10)</f>
        <v>11/15/2024</v>
      </c>
      <c r="E1244" t="s">
        <v>202</v>
      </c>
      <c r="F1244" t="s">
        <v>218</v>
      </c>
      <c r="G1244" t="s">
        <v>243</v>
      </c>
      <c r="H1244" t="s">
        <v>384</v>
      </c>
      <c r="I1244">
        <v>194.5</v>
      </c>
      <c r="J1244">
        <v>58.35</v>
      </c>
      <c r="K1244">
        <v>0.3</v>
      </c>
      <c r="M1244" t="s">
        <v>289</v>
      </c>
    </row>
    <row r="1245" spans="1:13" hidden="1">
      <c r="A1245" t="s">
        <v>92</v>
      </c>
      <c r="B1245" t="s">
        <v>8</v>
      </c>
      <c r="C1245" t="s">
        <v>91</v>
      </c>
      <c r="D1245" t="str">
        <f>LEFT(M1245,10)</f>
        <v>11/15/2024</v>
      </c>
      <c r="E1245" t="s">
        <v>202</v>
      </c>
      <c r="F1245" t="s">
        <v>218</v>
      </c>
      <c r="G1245" t="s">
        <v>226</v>
      </c>
      <c r="I1245">
        <v>583.20000000000005</v>
      </c>
      <c r="J1245">
        <v>174.96</v>
      </c>
      <c r="K1245">
        <v>0.3</v>
      </c>
      <c r="M1245" t="s">
        <v>289</v>
      </c>
    </row>
    <row r="1246" spans="1:13" hidden="1">
      <c r="A1246" t="s">
        <v>92</v>
      </c>
      <c r="B1246" t="s">
        <v>8</v>
      </c>
      <c r="C1246" t="s">
        <v>91</v>
      </c>
      <c r="D1246" t="str">
        <f>LEFT(M1246,10)</f>
        <v>11/15/2024</v>
      </c>
      <c r="E1246" t="s">
        <v>202</v>
      </c>
      <c r="F1246" t="s">
        <v>203</v>
      </c>
      <c r="G1246" t="s">
        <v>207</v>
      </c>
      <c r="I1246">
        <v>81.5</v>
      </c>
      <c r="J1246">
        <v>326</v>
      </c>
      <c r="K1246">
        <v>4</v>
      </c>
      <c r="M1246" t="s">
        <v>289</v>
      </c>
    </row>
    <row r="1247" spans="1:13" hidden="1">
      <c r="A1247" t="s">
        <v>92</v>
      </c>
      <c r="B1247" t="s">
        <v>8</v>
      </c>
      <c r="C1247" t="s">
        <v>91</v>
      </c>
      <c r="D1247" t="str">
        <f>LEFT(M1247,10)</f>
        <v>11/15/2024</v>
      </c>
      <c r="E1247" t="s">
        <v>202</v>
      </c>
      <c r="F1247" t="s">
        <v>203</v>
      </c>
      <c r="G1247" t="s">
        <v>204</v>
      </c>
      <c r="I1247">
        <v>121.2</v>
      </c>
      <c r="J1247">
        <v>1054.44</v>
      </c>
      <c r="K1247">
        <v>8.6999999999999993</v>
      </c>
      <c r="M1247" t="s">
        <v>289</v>
      </c>
    </row>
    <row r="1248" spans="1:13" hidden="1">
      <c r="A1248" t="s">
        <v>92</v>
      </c>
      <c r="B1248" t="s">
        <v>8</v>
      </c>
      <c r="C1248" t="s">
        <v>91</v>
      </c>
      <c r="D1248" t="str">
        <f>LEFT(M1248,10)</f>
        <v>11/15/2024</v>
      </c>
      <c r="E1248" t="s">
        <v>202</v>
      </c>
      <c r="F1248" t="s">
        <v>203</v>
      </c>
      <c r="G1248" t="s">
        <v>259</v>
      </c>
      <c r="I1248">
        <v>53.5</v>
      </c>
      <c r="J1248">
        <v>481.5</v>
      </c>
      <c r="K1248">
        <v>9</v>
      </c>
      <c r="M1248" t="s">
        <v>289</v>
      </c>
    </row>
    <row r="1249" spans="1:13" hidden="1">
      <c r="A1249" t="s">
        <v>92</v>
      </c>
      <c r="B1249" t="s">
        <v>8</v>
      </c>
      <c r="C1249" t="s">
        <v>91</v>
      </c>
      <c r="D1249" t="str">
        <f>LEFT(M1249,10)</f>
        <v>11/15/2024</v>
      </c>
      <c r="E1249" t="s">
        <v>202</v>
      </c>
      <c r="F1249" t="s">
        <v>203</v>
      </c>
      <c r="G1249" t="s">
        <v>260</v>
      </c>
      <c r="I1249">
        <v>1.2</v>
      </c>
      <c r="J1249">
        <v>46.8</v>
      </c>
      <c r="K1249">
        <v>39</v>
      </c>
      <c r="M1249" t="s">
        <v>289</v>
      </c>
    </row>
    <row r="1250" spans="1:13" hidden="1">
      <c r="A1250" t="s">
        <v>92</v>
      </c>
      <c r="B1250" t="s">
        <v>8</v>
      </c>
      <c r="C1250" t="s">
        <v>91</v>
      </c>
      <c r="D1250" t="str">
        <f>LEFT(M1250,10)</f>
        <v>11/15/2024</v>
      </c>
      <c r="E1250" t="s">
        <v>202</v>
      </c>
      <c r="F1250" t="s">
        <v>203</v>
      </c>
      <c r="G1250" t="s">
        <v>259</v>
      </c>
      <c r="I1250">
        <v>4.4000000000000004</v>
      </c>
      <c r="J1250">
        <v>83.6</v>
      </c>
      <c r="K1250">
        <v>19</v>
      </c>
      <c r="M1250" t="s">
        <v>289</v>
      </c>
    </row>
    <row r="1251" spans="1:13" hidden="1">
      <c r="A1251" t="s">
        <v>92</v>
      </c>
      <c r="B1251" t="s">
        <v>8</v>
      </c>
      <c r="C1251" t="s">
        <v>91</v>
      </c>
      <c r="D1251" t="str">
        <f>LEFT(M1251,10)</f>
        <v>11/15/2024</v>
      </c>
      <c r="E1251" t="s">
        <v>202</v>
      </c>
      <c r="F1251" t="s">
        <v>203</v>
      </c>
      <c r="G1251" t="s">
        <v>259</v>
      </c>
      <c r="I1251">
        <v>7.8</v>
      </c>
      <c r="J1251">
        <v>20.28</v>
      </c>
      <c r="K1251">
        <v>2.6</v>
      </c>
      <c r="M1251" t="s">
        <v>289</v>
      </c>
    </row>
    <row r="1252" spans="1:13" hidden="1">
      <c r="A1252" t="s">
        <v>92</v>
      </c>
      <c r="B1252" t="s">
        <v>8</v>
      </c>
      <c r="C1252" t="s">
        <v>91</v>
      </c>
      <c r="D1252" t="str">
        <f>LEFT(M1252,10)</f>
        <v>11/15/2024</v>
      </c>
      <c r="E1252" t="s">
        <v>202</v>
      </c>
      <c r="F1252" t="s">
        <v>203</v>
      </c>
      <c r="G1252" t="s">
        <v>259</v>
      </c>
      <c r="I1252">
        <v>7</v>
      </c>
      <c r="J1252">
        <v>140</v>
      </c>
      <c r="K1252">
        <v>20</v>
      </c>
      <c r="M1252" t="s">
        <v>289</v>
      </c>
    </row>
    <row r="1253" spans="1:13" hidden="1">
      <c r="A1253" t="s">
        <v>92</v>
      </c>
      <c r="B1253" t="s">
        <v>8</v>
      </c>
      <c r="C1253" t="s">
        <v>91</v>
      </c>
      <c r="D1253" t="str">
        <f>LEFT(M1253,10)</f>
        <v>11/15/2024</v>
      </c>
      <c r="E1253" t="s">
        <v>202</v>
      </c>
      <c r="F1253" t="s">
        <v>203</v>
      </c>
      <c r="G1253" t="s">
        <v>236</v>
      </c>
      <c r="I1253">
        <v>1990</v>
      </c>
      <c r="J1253">
        <v>1592</v>
      </c>
      <c r="K1253">
        <v>0.8</v>
      </c>
      <c r="M1253" t="s">
        <v>289</v>
      </c>
    </row>
    <row r="1254" spans="1:13" hidden="1">
      <c r="A1254" t="s">
        <v>92</v>
      </c>
      <c r="B1254" t="s">
        <v>8</v>
      </c>
      <c r="C1254" t="s">
        <v>91</v>
      </c>
      <c r="D1254" t="str">
        <f>LEFT(M1254,10)</f>
        <v>11/15/2024</v>
      </c>
      <c r="E1254" t="s">
        <v>202</v>
      </c>
      <c r="F1254" t="s">
        <v>216</v>
      </c>
      <c r="G1254" t="s">
        <v>253</v>
      </c>
      <c r="I1254">
        <v>3970</v>
      </c>
      <c r="J1254">
        <v>794</v>
      </c>
      <c r="K1254">
        <v>0.2</v>
      </c>
      <c r="M1254" t="s">
        <v>289</v>
      </c>
    </row>
    <row r="1255" spans="1:13" hidden="1">
      <c r="A1255" t="s">
        <v>92</v>
      </c>
      <c r="B1255" t="s">
        <v>8</v>
      </c>
      <c r="C1255" t="s">
        <v>91</v>
      </c>
      <c r="D1255" t="str">
        <f>LEFT(M1255,10)</f>
        <v>11/15/2024</v>
      </c>
      <c r="E1255" t="s">
        <v>202</v>
      </c>
      <c r="F1255" t="s">
        <v>306</v>
      </c>
      <c r="G1255" t="s">
        <v>307</v>
      </c>
      <c r="I1255">
        <v>40</v>
      </c>
      <c r="J1255">
        <v>80</v>
      </c>
      <c r="K1255">
        <v>2</v>
      </c>
      <c r="M1255" t="s">
        <v>289</v>
      </c>
    </row>
    <row r="1256" spans="1:13" hidden="1">
      <c r="A1256" t="s">
        <v>92</v>
      </c>
      <c r="B1256" t="s">
        <v>8</v>
      </c>
      <c r="C1256" t="s">
        <v>91</v>
      </c>
      <c r="D1256" t="str">
        <f>LEFT(M1256,10)</f>
        <v>11/15/2024</v>
      </c>
      <c r="E1256" t="s">
        <v>232</v>
      </c>
      <c r="F1256" t="s">
        <v>233</v>
      </c>
      <c r="I1256">
        <v>0</v>
      </c>
      <c r="J1256">
        <v>1708.52</v>
      </c>
      <c r="M1256" t="s">
        <v>289</v>
      </c>
    </row>
    <row r="1257" spans="1:13" hidden="1">
      <c r="A1257" t="s">
        <v>92</v>
      </c>
      <c r="B1257" t="s">
        <v>8</v>
      </c>
      <c r="C1257" t="s">
        <v>91</v>
      </c>
      <c r="D1257" t="str">
        <f>LEFT(M1257,10)</f>
        <v>11/15/2024</v>
      </c>
      <c r="E1257" t="s">
        <v>232</v>
      </c>
      <c r="F1257" t="s">
        <v>251</v>
      </c>
      <c r="I1257">
        <v>0</v>
      </c>
      <c r="J1257">
        <v>955</v>
      </c>
      <c r="M1257" t="s">
        <v>289</v>
      </c>
    </row>
    <row r="1258" spans="1:13" hidden="1">
      <c r="A1258" t="s">
        <v>92</v>
      </c>
      <c r="B1258" t="s">
        <v>8</v>
      </c>
      <c r="C1258" t="s">
        <v>91</v>
      </c>
      <c r="D1258" t="str">
        <f>LEFT(M1258,10)</f>
        <v>11/15/2024</v>
      </c>
      <c r="E1258" t="s">
        <v>232</v>
      </c>
      <c r="F1258" t="s">
        <v>251</v>
      </c>
      <c r="I1258">
        <v>0</v>
      </c>
      <c r="J1258">
        <v>850</v>
      </c>
      <c r="M1258" t="s">
        <v>289</v>
      </c>
    </row>
    <row r="1259" spans="1:13" hidden="1">
      <c r="A1259" t="s">
        <v>92</v>
      </c>
      <c r="B1259" t="s">
        <v>8</v>
      </c>
      <c r="C1259" t="s">
        <v>91</v>
      </c>
      <c r="D1259" t="str">
        <f>LEFT(M1259,10)</f>
        <v>11/15/2024</v>
      </c>
      <c r="E1259" t="s">
        <v>232</v>
      </c>
      <c r="F1259" t="s">
        <v>286</v>
      </c>
      <c r="I1259">
        <v>0</v>
      </c>
      <c r="J1259">
        <v>152.5</v>
      </c>
      <c r="M1259" t="s">
        <v>289</v>
      </c>
    </row>
    <row r="1260" spans="1:13" hidden="1">
      <c r="A1260" t="s">
        <v>92</v>
      </c>
      <c r="B1260" t="s">
        <v>8</v>
      </c>
      <c r="C1260" t="s">
        <v>91</v>
      </c>
      <c r="D1260" t="str">
        <f>LEFT(M1260,10)</f>
        <v>11/15/2024</v>
      </c>
      <c r="E1260" t="s">
        <v>232</v>
      </c>
      <c r="F1260" t="s">
        <v>233</v>
      </c>
      <c r="I1260">
        <v>0</v>
      </c>
      <c r="J1260">
        <v>181.88</v>
      </c>
      <c r="M1260" t="s">
        <v>289</v>
      </c>
    </row>
    <row r="1261" spans="1:13" hidden="1">
      <c r="A1261" t="s">
        <v>92</v>
      </c>
      <c r="B1261" t="s">
        <v>8</v>
      </c>
      <c r="C1261" t="s">
        <v>91</v>
      </c>
      <c r="D1261" t="str">
        <f>LEFT(M1261,10)</f>
        <v>11/15/2024</v>
      </c>
      <c r="E1261" t="s">
        <v>232</v>
      </c>
      <c r="F1261" t="s">
        <v>233</v>
      </c>
      <c r="I1261">
        <v>0</v>
      </c>
      <c r="J1261">
        <v>17.3</v>
      </c>
      <c r="M1261" t="s">
        <v>289</v>
      </c>
    </row>
    <row r="1262" spans="1:13" hidden="1">
      <c r="A1262" t="s">
        <v>92</v>
      </c>
      <c r="B1262" t="s">
        <v>8</v>
      </c>
      <c r="C1262" t="s">
        <v>91</v>
      </c>
      <c r="D1262" t="str">
        <f>LEFT(M1262,10)</f>
        <v>11/15/2024</v>
      </c>
      <c r="E1262" t="s">
        <v>232</v>
      </c>
      <c r="F1262" t="s">
        <v>290</v>
      </c>
      <c r="I1262">
        <v>0</v>
      </c>
      <c r="J1262">
        <v>153</v>
      </c>
      <c r="M1262" t="s">
        <v>289</v>
      </c>
    </row>
    <row r="1263" spans="1:13" hidden="1">
      <c r="A1263" t="s">
        <v>92</v>
      </c>
      <c r="B1263" t="s">
        <v>8</v>
      </c>
      <c r="C1263" t="s">
        <v>91</v>
      </c>
      <c r="D1263" t="str">
        <f>LEFT(M1263,10)</f>
        <v>11/15/2024</v>
      </c>
      <c r="E1263" t="s">
        <v>232</v>
      </c>
      <c r="F1263" t="s">
        <v>272</v>
      </c>
      <c r="I1263">
        <v>0</v>
      </c>
      <c r="J1263">
        <v>1200</v>
      </c>
      <c r="M1263" t="s">
        <v>289</v>
      </c>
    </row>
    <row r="1264" spans="1:13" hidden="1">
      <c r="A1264" t="s">
        <v>92</v>
      </c>
      <c r="B1264" t="s">
        <v>8</v>
      </c>
      <c r="C1264" t="s">
        <v>91</v>
      </c>
      <c r="D1264" t="str">
        <f>LEFT(M1264,10)</f>
        <v>11/15/2024</v>
      </c>
      <c r="E1264" t="s">
        <v>232</v>
      </c>
      <c r="F1264" t="s">
        <v>250</v>
      </c>
      <c r="I1264">
        <v>0</v>
      </c>
      <c r="J1264">
        <v>1830.08</v>
      </c>
      <c r="M1264" t="s">
        <v>289</v>
      </c>
    </row>
    <row r="1265" spans="1:13" hidden="1">
      <c r="A1265" t="s">
        <v>92</v>
      </c>
      <c r="B1265" t="s">
        <v>8</v>
      </c>
      <c r="C1265" t="s">
        <v>91</v>
      </c>
      <c r="D1265" t="str">
        <f>LEFT(M1265,10)</f>
        <v>11/15/2024</v>
      </c>
      <c r="E1265" t="s">
        <v>232</v>
      </c>
      <c r="F1265" t="s">
        <v>255</v>
      </c>
      <c r="I1265">
        <v>0</v>
      </c>
      <c r="J1265">
        <v>988</v>
      </c>
      <c r="L1265" t="s">
        <v>385</v>
      </c>
      <c r="M1265" t="s">
        <v>289</v>
      </c>
    </row>
    <row r="1266" spans="1:13" hidden="1">
      <c r="A1266" t="s">
        <v>92</v>
      </c>
      <c r="B1266" t="s">
        <v>8</v>
      </c>
      <c r="C1266" t="s">
        <v>91</v>
      </c>
      <c r="D1266" t="str">
        <f>LEFT(M1266,10)</f>
        <v>11/15/2024</v>
      </c>
      <c r="E1266" t="s">
        <v>232</v>
      </c>
      <c r="F1266" t="s">
        <v>251</v>
      </c>
      <c r="I1266">
        <v>0</v>
      </c>
      <c r="J1266">
        <v>700</v>
      </c>
      <c r="M1266" t="s">
        <v>289</v>
      </c>
    </row>
    <row r="1267" spans="1:13" hidden="1">
      <c r="A1267" t="s">
        <v>92</v>
      </c>
      <c r="B1267" t="s">
        <v>8</v>
      </c>
      <c r="C1267" t="s">
        <v>91</v>
      </c>
      <c r="D1267" t="str">
        <f>LEFT(M1267,10)</f>
        <v>11/15/2024</v>
      </c>
      <c r="E1267" t="s">
        <v>232</v>
      </c>
      <c r="F1267" t="s">
        <v>262</v>
      </c>
      <c r="I1267">
        <v>0</v>
      </c>
      <c r="J1267">
        <v>6927.44</v>
      </c>
      <c r="M1267" t="s">
        <v>289</v>
      </c>
    </row>
    <row r="1268" spans="1:13" hidden="1">
      <c r="A1268" t="s">
        <v>92</v>
      </c>
      <c r="B1268" t="s">
        <v>8</v>
      </c>
      <c r="C1268" t="s">
        <v>91</v>
      </c>
      <c r="D1268" t="str">
        <f>LEFT(M1268,10)</f>
        <v>11/15/2024</v>
      </c>
      <c r="E1268" t="s">
        <v>234</v>
      </c>
      <c r="F1268" t="s">
        <v>234</v>
      </c>
      <c r="I1268">
        <v>3072.09</v>
      </c>
      <c r="M1268" t="s">
        <v>289</v>
      </c>
    </row>
    <row r="1269" spans="1:13" hidden="1">
      <c r="A1269" t="s">
        <v>92</v>
      </c>
      <c r="B1269" t="s">
        <v>8</v>
      </c>
      <c r="C1269" t="s">
        <v>91</v>
      </c>
      <c r="D1269" t="str">
        <f>LEFT(M1269,10)</f>
        <v>11/15/2024</v>
      </c>
      <c r="E1269" t="s">
        <v>230</v>
      </c>
      <c r="F1269" t="s">
        <v>248</v>
      </c>
      <c r="I1269">
        <v>0</v>
      </c>
      <c r="J1269">
        <v>20059.849999999999</v>
      </c>
      <c r="M1269" t="s">
        <v>289</v>
      </c>
    </row>
    <row r="1270" spans="1:13" hidden="1">
      <c r="A1270" t="s">
        <v>94</v>
      </c>
      <c r="B1270" t="s">
        <v>8</v>
      </c>
      <c r="C1270" t="s">
        <v>93</v>
      </c>
      <c r="D1270" t="str">
        <f>LEFT(M1270,10)</f>
        <v>11/15/2024</v>
      </c>
      <c r="E1270" t="s">
        <v>202</v>
      </c>
      <c r="F1270" t="s">
        <v>227</v>
      </c>
      <c r="G1270" t="s">
        <v>229</v>
      </c>
      <c r="I1270">
        <v>16518</v>
      </c>
      <c r="J1270">
        <v>12875.1</v>
      </c>
      <c r="K1270">
        <v>0.78</v>
      </c>
      <c r="M1270" t="s">
        <v>289</v>
      </c>
    </row>
    <row r="1271" spans="1:13" hidden="1">
      <c r="A1271" t="s">
        <v>94</v>
      </c>
      <c r="B1271" t="s">
        <v>8</v>
      </c>
      <c r="C1271" t="s">
        <v>93</v>
      </c>
      <c r="D1271" t="str">
        <f>LEFT(M1271,10)</f>
        <v>11/15/2024</v>
      </c>
      <c r="E1271" t="s">
        <v>202</v>
      </c>
      <c r="F1271" t="s">
        <v>227</v>
      </c>
      <c r="G1271" t="s">
        <v>237</v>
      </c>
      <c r="I1271">
        <v>1813.6</v>
      </c>
      <c r="J1271">
        <v>1088.1600000000001</v>
      </c>
      <c r="K1271">
        <v>0.6</v>
      </c>
      <c r="M1271" t="s">
        <v>289</v>
      </c>
    </row>
    <row r="1272" spans="1:13" hidden="1">
      <c r="A1272" t="s">
        <v>94</v>
      </c>
      <c r="B1272" t="s">
        <v>8</v>
      </c>
      <c r="C1272" t="s">
        <v>93</v>
      </c>
      <c r="D1272" t="str">
        <f>LEFT(M1272,10)</f>
        <v>11/15/2024</v>
      </c>
      <c r="E1272" t="s">
        <v>202</v>
      </c>
      <c r="F1272" t="s">
        <v>227</v>
      </c>
      <c r="G1272" t="s">
        <v>228</v>
      </c>
      <c r="I1272">
        <v>10056</v>
      </c>
      <c r="J1272">
        <v>3016.81</v>
      </c>
      <c r="K1272">
        <v>0.3</v>
      </c>
      <c r="M1272" t="s">
        <v>289</v>
      </c>
    </row>
    <row r="1273" spans="1:13" hidden="1">
      <c r="A1273" t="s">
        <v>94</v>
      </c>
      <c r="B1273" t="s">
        <v>8</v>
      </c>
      <c r="C1273" t="s">
        <v>93</v>
      </c>
      <c r="D1273" t="str">
        <f>LEFT(M1273,10)</f>
        <v>11/15/2024</v>
      </c>
      <c r="E1273" t="s">
        <v>202</v>
      </c>
      <c r="F1273" t="s">
        <v>227</v>
      </c>
      <c r="G1273" t="s">
        <v>238</v>
      </c>
      <c r="I1273">
        <v>943.6</v>
      </c>
      <c r="J1273">
        <v>371.32</v>
      </c>
      <c r="K1273">
        <v>0.39</v>
      </c>
      <c r="M1273" t="s">
        <v>289</v>
      </c>
    </row>
    <row r="1274" spans="1:13" hidden="1">
      <c r="A1274" t="s">
        <v>94</v>
      </c>
      <c r="B1274" t="s">
        <v>8</v>
      </c>
      <c r="C1274" t="s">
        <v>93</v>
      </c>
      <c r="D1274" t="str">
        <f>LEFT(M1274,10)</f>
        <v>11/15/2024</v>
      </c>
      <c r="E1274" t="s">
        <v>202</v>
      </c>
      <c r="F1274" t="s">
        <v>227</v>
      </c>
      <c r="G1274" t="s">
        <v>252</v>
      </c>
      <c r="I1274">
        <v>1978.6</v>
      </c>
      <c r="J1274">
        <v>692.51</v>
      </c>
      <c r="K1274">
        <v>0.35</v>
      </c>
      <c r="M1274" t="s">
        <v>289</v>
      </c>
    </row>
    <row r="1275" spans="1:13" hidden="1">
      <c r="A1275" t="s">
        <v>94</v>
      </c>
      <c r="B1275" t="s">
        <v>8</v>
      </c>
      <c r="C1275" t="s">
        <v>93</v>
      </c>
      <c r="D1275" t="str">
        <f>LEFT(M1275,10)</f>
        <v>11/15/2024</v>
      </c>
      <c r="E1275" t="s">
        <v>202</v>
      </c>
      <c r="F1275" t="s">
        <v>218</v>
      </c>
      <c r="G1275" t="s">
        <v>240</v>
      </c>
      <c r="I1275">
        <v>4288.3999999999996</v>
      </c>
      <c r="J1275">
        <v>19297.8</v>
      </c>
      <c r="K1275">
        <v>4.5</v>
      </c>
      <c r="M1275" t="s">
        <v>289</v>
      </c>
    </row>
    <row r="1276" spans="1:13" hidden="1">
      <c r="A1276" t="s">
        <v>94</v>
      </c>
      <c r="B1276" t="s">
        <v>8</v>
      </c>
      <c r="C1276" t="s">
        <v>93</v>
      </c>
      <c r="D1276" t="str">
        <f>LEFT(M1276,10)</f>
        <v>11/15/2024</v>
      </c>
      <c r="E1276" t="s">
        <v>202</v>
      </c>
      <c r="F1276" t="s">
        <v>218</v>
      </c>
      <c r="G1276" t="s">
        <v>242</v>
      </c>
      <c r="I1276">
        <v>387.4</v>
      </c>
      <c r="J1276">
        <v>426.14</v>
      </c>
      <c r="K1276">
        <v>1.1000000000000001</v>
      </c>
      <c r="M1276" t="s">
        <v>289</v>
      </c>
    </row>
    <row r="1277" spans="1:13" hidden="1">
      <c r="A1277" t="s">
        <v>94</v>
      </c>
      <c r="B1277" t="s">
        <v>8</v>
      </c>
      <c r="C1277" t="s">
        <v>93</v>
      </c>
      <c r="D1277" t="str">
        <f>LEFT(M1277,10)</f>
        <v>11/15/2024</v>
      </c>
      <c r="E1277" t="s">
        <v>202</v>
      </c>
      <c r="F1277" t="s">
        <v>218</v>
      </c>
      <c r="G1277" t="s">
        <v>220</v>
      </c>
      <c r="I1277">
        <v>2015.4</v>
      </c>
      <c r="J1277">
        <v>3023.1</v>
      </c>
      <c r="K1277">
        <v>1.5</v>
      </c>
      <c r="M1277" t="s">
        <v>289</v>
      </c>
    </row>
    <row r="1278" spans="1:13" hidden="1">
      <c r="A1278" t="s">
        <v>94</v>
      </c>
      <c r="B1278" t="s">
        <v>8</v>
      </c>
      <c r="C1278" t="s">
        <v>93</v>
      </c>
      <c r="D1278" t="str">
        <f>LEFT(M1278,10)</f>
        <v>11/15/2024</v>
      </c>
      <c r="E1278" t="s">
        <v>202</v>
      </c>
      <c r="F1278" t="s">
        <v>218</v>
      </c>
      <c r="G1278" t="s">
        <v>223</v>
      </c>
      <c r="I1278">
        <v>6112.4</v>
      </c>
      <c r="J1278">
        <v>4889.92</v>
      </c>
      <c r="K1278">
        <v>0.8</v>
      </c>
      <c r="M1278" t="s">
        <v>289</v>
      </c>
    </row>
    <row r="1279" spans="1:13" hidden="1">
      <c r="A1279" t="s">
        <v>94</v>
      </c>
      <c r="B1279" t="s">
        <v>8</v>
      </c>
      <c r="C1279" t="s">
        <v>93</v>
      </c>
      <c r="D1279" t="str">
        <f>LEFT(M1279,10)</f>
        <v>11/15/2024</v>
      </c>
      <c r="E1279" t="s">
        <v>202</v>
      </c>
      <c r="F1279" t="s">
        <v>218</v>
      </c>
      <c r="G1279" t="s">
        <v>223</v>
      </c>
      <c r="I1279">
        <v>1354.6</v>
      </c>
      <c r="J1279">
        <v>677.3</v>
      </c>
      <c r="K1279">
        <v>0.5</v>
      </c>
      <c r="M1279" t="s">
        <v>289</v>
      </c>
    </row>
    <row r="1280" spans="1:13" hidden="1">
      <c r="A1280" t="s">
        <v>94</v>
      </c>
      <c r="B1280" t="s">
        <v>8</v>
      </c>
      <c r="C1280" t="s">
        <v>93</v>
      </c>
      <c r="D1280" t="str">
        <f>LEFT(M1280,10)</f>
        <v>11/15/2024</v>
      </c>
      <c r="E1280" t="s">
        <v>202</v>
      </c>
      <c r="F1280" t="s">
        <v>218</v>
      </c>
      <c r="G1280" t="s">
        <v>221</v>
      </c>
      <c r="I1280">
        <v>918.6</v>
      </c>
      <c r="J1280">
        <v>2359.77</v>
      </c>
      <c r="K1280">
        <v>2.57</v>
      </c>
      <c r="M1280" t="s">
        <v>289</v>
      </c>
    </row>
    <row r="1281" spans="1:13" hidden="1">
      <c r="A1281" t="s">
        <v>94</v>
      </c>
      <c r="B1281" t="s">
        <v>8</v>
      </c>
      <c r="C1281" t="s">
        <v>93</v>
      </c>
      <c r="D1281" t="str">
        <f>LEFT(M1281,10)</f>
        <v>11/15/2024</v>
      </c>
      <c r="E1281" t="s">
        <v>202</v>
      </c>
      <c r="F1281" t="s">
        <v>218</v>
      </c>
      <c r="G1281" t="s">
        <v>222</v>
      </c>
      <c r="I1281">
        <v>1246</v>
      </c>
      <c r="J1281">
        <v>2242.8000000000002</v>
      </c>
      <c r="K1281">
        <v>1.8</v>
      </c>
      <c r="M1281" t="s">
        <v>289</v>
      </c>
    </row>
    <row r="1282" spans="1:13" hidden="1">
      <c r="A1282" t="s">
        <v>94</v>
      </c>
      <c r="B1282" t="s">
        <v>8</v>
      </c>
      <c r="C1282" t="s">
        <v>93</v>
      </c>
      <c r="D1282" t="str">
        <f>LEFT(M1282,10)</f>
        <v>11/15/2024</v>
      </c>
      <c r="E1282" t="s">
        <v>202</v>
      </c>
      <c r="F1282" t="s">
        <v>218</v>
      </c>
      <c r="G1282" t="s">
        <v>222</v>
      </c>
      <c r="I1282">
        <v>1159.8</v>
      </c>
      <c r="J1282">
        <v>1855.68</v>
      </c>
      <c r="K1282">
        <v>1.6</v>
      </c>
      <c r="M1282" t="s">
        <v>289</v>
      </c>
    </row>
    <row r="1283" spans="1:13" hidden="1">
      <c r="A1283" t="s">
        <v>94</v>
      </c>
      <c r="B1283" t="s">
        <v>8</v>
      </c>
      <c r="C1283" t="s">
        <v>93</v>
      </c>
      <c r="D1283" t="str">
        <f>LEFT(M1283,10)</f>
        <v>11/15/2024</v>
      </c>
      <c r="E1283" t="s">
        <v>202</v>
      </c>
      <c r="F1283" t="s">
        <v>218</v>
      </c>
      <c r="G1283" t="s">
        <v>222</v>
      </c>
      <c r="I1283">
        <v>964.8</v>
      </c>
      <c r="J1283">
        <v>1495.44</v>
      </c>
      <c r="K1283">
        <v>1.55</v>
      </c>
      <c r="M1283" t="s">
        <v>289</v>
      </c>
    </row>
    <row r="1284" spans="1:13" hidden="1">
      <c r="A1284" t="s">
        <v>94</v>
      </c>
      <c r="B1284" t="s">
        <v>8</v>
      </c>
      <c r="C1284" t="s">
        <v>93</v>
      </c>
      <c r="D1284" t="str">
        <f>LEFT(M1284,10)</f>
        <v>11/15/2024</v>
      </c>
      <c r="E1284" t="s">
        <v>202</v>
      </c>
      <c r="F1284" t="s">
        <v>218</v>
      </c>
      <c r="G1284" t="s">
        <v>224</v>
      </c>
      <c r="I1284">
        <v>511.4</v>
      </c>
      <c r="J1284">
        <v>511.4</v>
      </c>
      <c r="K1284">
        <v>1</v>
      </c>
      <c r="M1284" t="s">
        <v>289</v>
      </c>
    </row>
    <row r="1285" spans="1:13" hidden="1">
      <c r="A1285" t="s">
        <v>94</v>
      </c>
      <c r="B1285" t="s">
        <v>8</v>
      </c>
      <c r="C1285" t="s">
        <v>93</v>
      </c>
      <c r="D1285" t="str">
        <f>LEFT(M1285,10)</f>
        <v>11/15/2024</v>
      </c>
      <c r="E1285" t="s">
        <v>202</v>
      </c>
      <c r="F1285" t="s">
        <v>218</v>
      </c>
      <c r="G1285" t="s">
        <v>225</v>
      </c>
      <c r="I1285">
        <v>351.4</v>
      </c>
      <c r="J1285">
        <v>281.12</v>
      </c>
      <c r="K1285">
        <v>0.8</v>
      </c>
      <c r="M1285" t="s">
        <v>289</v>
      </c>
    </row>
    <row r="1286" spans="1:13" hidden="1">
      <c r="A1286" t="s">
        <v>94</v>
      </c>
      <c r="B1286" t="s">
        <v>8</v>
      </c>
      <c r="C1286" t="s">
        <v>93</v>
      </c>
      <c r="D1286" t="str">
        <f>LEFT(M1286,10)</f>
        <v>11/15/2024</v>
      </c>
      <c r="E1286" t="s">
        <v>202</v>
      </c>
      <c r="F1286" t="s">
        <v>218</v>
      </c>
      <c r="G1286" t="s">
        <v>226</v>
      </c>
      <c r="I1286">
        <v>626.6</v>
      </c>
      <c r="J1286">
        <v>219.31</v>
      </c>
      <c r="K1286">
        <v>0.35</v>
      </c>
      <c r="M1286" t="s">
        <v>289</v>
      </c>
    </row>
    <row r="1287" spans="1:13" hidden="1">
      <c r="A1287" t="s">
        <v>94</v>
      </c>
      <c r="B1287" t="s">
        <v>8</v>
      </c>
      <c r="C1287" t="s">
        <v>93</v>
      </c>
      <c r="D1287" t="str">
        <f>LEFT(M1287,10)</f>
        <v>11/15/2024</v>
      </c>
      <c r="E1287" t="s">
        <v>202</v>
      </c>
      <c r="F1287" t="s">
        <v>218</v>
      </c>
      <c r="G1287" t="s">
        <v>243</v>
      </c>
      <c r="H1287" t="s">
        <v>386</v>
      </c>
      <c r="I1287">
        <v>671.8</v>
      </c>
      <c r="J1287">
        <v>67.180000000000007</v>
      </c>
      <c r="K1287">
        <v>0.1</v>
      </c>
      <c r="M1287" t="s">
        <v>289</v>
      </c>
    </row>
    <row r="1288" spans="1:13" hidden="1">
      <c r="A1288" t="s">
        <v>94</v>
      </c>
      <c r="B1288" t="s">
        <v>8</v>
      </c>
      <c r="C1288" t="s">
        <v>93</v>
      </c>
      <c r="D1288" t="str">
        <f>LEFT(M1288,10)</f>
        <v>11/15/2024</v>
      </c>
      <c r="E1288" t="s">
        <v>202</v>
      </c>
      <c r="F1288" t="s">
        <v>218</v>
      </c>
      <c r="G1288" t="s">
        <v>222</v>
      </c>
      <c r="I1288">
        <v>150.6</v>
      </c>
      <c r="J1288">
        <v>271.08</v>
      </c>
      <c r="K1288">
        <v>1.8</v>
      </c>
      <c r="M1288" t="s">
        <v>289</v>
      </c>
    </row>
    <row r="1289" spans="1:13" hidden="1">
      <c r="A1289" t="s">
        <v>94</v>
      </c>
      <c r="B1289" t="s">
        <v>8</v>
      </c>
      <c r="C1289" t="s">
        <v>93</v>
      </c>
      <c r="D1289" t="str">
        <f>LEFT(M1289,10)</f>
        <v>11/15/2024</v>
      </c>
      <c r="E1289" t="s">
        <v>202</v>
      </c>
      <c r="F1289" t="s">
        <v>218</v>
      </c>
      <c r="G1289" t="s">
        <v>239</v>
      </c>
      <c r="I1289">
        <v>136.80000000000001</v>
      </c>
      <c r="J1289">
        <v>34.200000000000003</v>
      </c>
      <c r="K1289">
        <v>0.25</v>
      </c>
      <c r="M1289" t="s">
        <v>289</v>
      </c>
    </row>
    <row r="1290" spans="1:13" hidden="1">
      <c r="A1290" t="s">
        <v>94</v>
      </c>
      <c r="B1290" t="s">
        <v>8</v>
      </c>
      <c r="C1290" t="s">
        <v>93</v>
      </c>
      <c r="D1290" t="str">
        <f>LEFT(M1290,10)</f>
        <v>11/15/2024</v>
      </c>
      <c r="E1290" t="s">
        <v>202</v>
      </c>
      <c r="F1290" t="s">
        <v>218</v>
      </c>
      <c r="G1290" t="s">
        <v>221</v>
      </c>
      <c r="I1290">
        <v>1384.6</v>
      </c>
      <c r="J1290">
        <v>3599.96</v>
      </c>
      <c r="K1290">
        <v>2.6</v>
      </c>
      <c r="M1290" t="s">
        <v>289</v>
      </c>
    </row>
    <row r="1291" spans="1:13" hidden="1">
      <c r="A1291" t="s">
        <v>94</v>
      </c>
      <c r="B1291" t="s">
        <v>8</v>
      </c>
      <c r="C1291" t="s">
        <v>93</v>
      </c>
      <c r="D1291" t="str">
        <f>LEFT(M1291,10)</f>
        <v>11/15/2024</v>
      </c>
      <c r="E1291" t="s">
        <v>202</v>
      </c>
      <c r="F1291" t="s">
        <v>218</v>
      </c>
      <c r="G1291" t="s">
        <v>220</v>
      </c>
      <c r="I1291">
        <v>146.80000000000001</v>
      </c>
      <c r="J1291">
        <v>102.76</v>
      </c>
      <c r="K1291">
        <v>0.7</v>
      </c>
      <c r="M1291" t="s">
        <v>289</v>
      </c>
    </row>
    <row r="1292" spans="1:13" hidden="1">
      <c r="A1292" t="s">
        <v>94</v>
      </c>
      <c r="B1292" t="s">
        <v>8</v>
      </c>
      <c r="C1292" t="s">
        <v>93</v>
      </c>
      <c r="D1292" t="str">
        <f>LEFT(M1292,10)</f>
        <v>11/15/2024</v>
      </c>
      <c r="E1292" t="s">
        <v>202</v>
      </c>
      <c r="F1292" t="s">
        <v>218</v>
      </c>
      <c r="G1292" t="s">
        <v>219</v>
      </c>
      <c r="I1292">
        <v>187.6</v>
      </c>
      <c r="J1292">
        <v>37.520000000000003</v>
      </c>
      <c r="K1292">
        <v>0.2</v>
      </c>
      <c r="M1292" t="s">
        <v>289</v>
      </c>
    </row>
    <row r="1293" spans="1:13" hidden="1">
      <c r="A1293" t="s">
        <v>94</v>
      </c>
      <c r="B1293" t="s">
        <v>8</v>
      </c>
      <c r="C1293" t="s">
        <v>93</v>
      </c>
      <c r="D1293" t="str">
        <f>LEFT(M1293,10)</f>
        <v>11/15/2024</v>
      </c>
      <c r="E1293" t="s">
        <v>202</v>
      </c>
      <c r="F1293" t="s">
        <v>216</v>
      </c>
      <c r="G1293" t="s">
        <v>253</v>
      </c>
      <c r="I1293">
        <v>17150</v>
      </c>
      <c r="J1293">
        <v>2572.5</v>
      </c>
      <c r="K1293">
        <v>0.15</v>
      </c>
      <c r="M1293" t="s">
        <v>289</v>
      </c>
    </row>
    <row r="1294" spans="1:13" hidden="1">
      <c r="A1294" t="s">
        <v>94</v>
      </c>
      <c r="B1294" t="s">
        <v>8</v>
      </c>
      <c r="C1294" t="s">
        <v>93</v>
      </c>
      <c r="D1294" t="str">
        <f>LEFT(M1294,10)</f>
        <v>11/15/2024</v>
      </c>
      <c r="E1294" t="s">
        <v>202</v>
      </c>
      <c r="F1294" t="s">
        <v>203</v>
      </c>
      <c r="G1294" t="s">
        <v>236</v>
      </c>
      <c r="I1294">
        <v>5460</v>
      </c>
      <c r="J1294">
        <v>2730</v>
      </c>
      <c r="K1294">
        <v>0.5</v>
      </c>
      <c r="M1294" t="s">
        <v>289</v>
      </c>
    </row>
    <row r="1295" spans="1:13" hidden="1">
      <c r="A1295" t="s">
        <v>94</v>
      </c>
      <c r="B1295" t="s">
        <v>8</v>
      </c>
      <c r="C1295" t="s">
        <v>93</v>
      </c>
      <c r="D1295" t="str">
        <f>LEFT(M1295,10)</f>
        <v>11/15/2024</v>
      </c>
      <c r="E1295" t="s">
        <v>202</v>
      </c>
      <c r="F1295" t="s">
        <v>203</v>
      </c>
      <c r="G1295" t="s">
        <v>204</v>
      </c>
      <c r="I1295">
        <v>456.3</v>
      </c>
      <c r="J1295">
        <v>4197.96</v>
      </c>
      <c r="K1295">
        <v>9.1999999999999993</v>
      </c>
      <c r="M1295" t="s">
        <v>289</v>
      </c>
    </row>
    <row r="1296" spans="1:13" hidden="1">
      <c r="A1296" t="s">
        <v>94</v>
      </c>
      <c r="B1296" t="s">
        <v>8</v>
      </c>
      <c r="C1296" t="s">
        <v>93</v>
      </c>
      <c r="D1296" t="str">
        <f>LEFT(M1296,10)</f>
        <v>11/15/2024</v>
      </c>
      <c r="E1296" t="s">
        <v>202</v>
      </c>
      <c r="F1296" t="s">
        <v>203</v>
      </c>
      <c r="G1296" t="s">
        <v>206</v>
      </c>
      <c r="I1296">
        <v>34.4</v>
      </c>
      <c r="J1296">
        <v>34.4</v>
      </c>
      <c r="K1296">
        <v>1</v>
      </c>
      <c r="M1296" t="s">
        <v>289</v>
      </c>
    </row>
    <row r="1297" spans="1:13" hidden="1">
      <c r="A1297" t="s">
        <v>94</v>
      </c>
      <c r="B1297" t="s">
        <v>8</v>
      </c>
      <c r="C1297" t="s">
        <v>93</v>
      </c>
      <c r="D1297" t="str">
        <f>LEFT(M1297,10)</f>
        <v>11/15/2024</v>
      </c>
      <c r="E1297" t="s">
        <v>202</v>
      </c>
      <c r="F1297" t="s">
        <v>203</v>
      </c>
      <c r="G1297" t="s">
        <v>259</v>
      </c>
      <c r="I1297">
        <v>106</v>
      </c>
      <c r="J1297">
        <v>318</v>
      </c>
      <c r="K1297">
        <v>3</v>
      </c>
      <c r="M1297" t="s">
        <v>289</v>
      </c>
    </row>
    <row r="1298" spans="1:13" hidden="1">
      <c r="A1298" t="s">
        <v>94</v>
      </c>
      <c r="B1298" t="s">
        <v>8</v>
      </c>
      <c r="C1298" t="s">
        <v>93</v>
      </c>
      <c r="D1298" t="str">
        <f>LEFT(M1298,10)</f>
        <v>11/15/2024</v>
      </c>
      <c r="E1298" t="s">
        <v>202</v>
      </c>
      <c r="F1298" t="s">
        <v>203</v>
      </c>
      <c r="G1298" t="s">
        <v>259</v>
      </c>
      <c r="I1298">
        <v>17</v>
      </c>
      <c r="J1298">
        <v>178.5</v>
      </c>
      <c r="K1298">
        <v>10.5</v>
      </c>
      <c r="M1298" t="s">
        <v>289</v>
      </c>
    </row>
    <row r="1299" spans="1:13" hidden="1">
      <c r="A1299" t="s">
        <v>94</v>
      </c>
      <c r="B1299" t="s">
        <v>8</v>
      </c>
      <c r="C1299" t="s">
        <v>93</v>
      </c>
      <c r="D1299" t="str">
        <f>LEFT(M1299,10)</f>
        <v>11/15/2024</v>
      </c>
      <c r="E1299" t="s">
        <v>202</v>
      </c>
      <c r="F1299" t="s">
        <v>203</v>
      </c>
      <c r="G1299" t="s">
        <v>235</v>
      </c>
      <c r="I1299">
        <v>9</v>
      </c>
      <c r="J1299">
        <v>54</v>
      </c>
      <c r="K1299">
        <v>6</v>
      </c>
      <c r="M1299" t="s">
        <v>289</v>
      </c>
    </row>
    <row r="1300" spans="1:13" hidden="1">
      <c r="A1300" t="s">
        <v>94</v>
      </c>
      <c r="B1300" t="s">
        <v>8</v>
      </c>
      <c r="C1300" t="s">
        <v>93</v>
      </c>
      <c r="D1300" t="str">
        <f>LEFT(M1300,10)</f>
        <v>11/15/2024</v>
      </c>
      <c r="E1300" t="s">
        <v>202</v>
      </c>
      <c r="F1300" t="s">
        <v>203</v>
      </c>
      <c r="G1300" t="s">
        <v>207</v>
      </c>
      <c r="I1300">
        <v>12</v>
      </c>
      <c r="J1300">
        <v>66</v>
      </c>
      <c r="K1300">
        <v>5.5</v>
      </c>
      <c r="M1300" t="s">
        <v>289</v>
      </c>
    </row>
    <row r="1301" spans="1:13" hidden="1">
      <c r="A1301" t="s">
        <v>94</v>
      </c>
      <c r="B1301" t="s">
        <v>8</v>
      </c>
      <c r="C1301" t="s">
        <v>93</v>
      </c>
      <c r="D1301" t="str">
        <f>LEFT(M1301,10)</f>
        <v>11/15/2024</v>
      </c>
      <c r="E1301" t="s">
        <v>202</v>
      </c>
      <c r="F1301" t="s">
        <v>203</v>
      </c>
      <c r="G1301" t="s">
        <v>259</v>
      </c>
      <c r="I1301">
        <v>14.7</v>
      </c>
      <c r="J1301">
        <v>396.9</v>
      </c>
      <c r="K1301">
        <v>27</v>
      </c>
      <c r="M1301" t="s">
        <v>289</v>
      </c>
    </row>
    <row r="1302" spans="1:13" hidden="1">
      <c r="A1302" t="s">
        <v>94</v>
      </c>
      <c r="B1302" t="s">
        <v>8</v>
      </c>
      <c r="C1302" t="s">
        <v>93</v>
      </c>
      <c r="D1302" t="str">
        <f>LEFT(M1302,10)</f>
        <v>11/15/2024</v>
      </c>
      <c r="E1302" t="s">
        <v>202</v>
      </c>
      <c r="F1302" t="s">
        <v>203</v>
      </c>
      <c r="G1302" t="s">
        <v>208</v>
      </c>
      <c r="I1302">
        <v>46</v>
      </c>
      <c r="J1302">
        <v>460</v>
      </c>
      <c r="K1302">
        <v>10</v>
      </c>
      <c r="M1302" t="s">
        <v>289</v>
      </c>
    </row>
    <row r="1303" spans="1:13" hidden="1">
      <c r="A1303" t="s">
        <v>94</v>
      </c>
      <c r="B1303" t="s">
        <v>8</v>
      </c>
      <c r="C1303" t="s">
        <v>93</v>
      </c>
      <c r="D1303" t="str">
        <f>LEFT(M1303,10)</f>
        <v>11/15/2024</v>
      </c>
      <c r="E1303" t="s">
        <v>202</v>
      </c>
      <c r="F1303" t="s">
        <v>203</v>
      </c>
      <c r="G1303" t="s">
        <v>207</v>
      </c>
      <c r="I1303">
        <v>7.3</v>
      </c>
      <c r="J1303">
        <v>10.95</v>
      </c>
      <c r="K1303">
        <v>1.5</v>
      </c>
      <c r="M1303" t="s">
        <v>289</v>
      </c>
    </row>
    <row r="1304" spans="1:13" hidden="1">
      <c r="A1304" t="s">
        <v>94</v>
      </c>
      <c r="B1304" t="s">
        <v>8</v>
      </c>
      <c r="C1304" t="s">
        <v>93</v>
      </c>
      <c r="D1304" t="str">
        <f>LEFT(M1304,10)</f>
        <v>11/15/2024</v>
      </c>
      <c r="E1304" t="s">
        <v>202</v>
      </c>
      <c r="F1304" t="s">
        <v>203</v>
      </c>
      <c r="G1304" t="s">
        <v>259</v>
      </c>
      <c r="I1304">
        <v>4.7</v>
      </c>
      <c r="J1304">
        <v>37.6</v>
      </c>
      <c r="K1304">
        <v>8</v>
      </c>
      <c r="M1304" t="s">
        <v>289</v>
      </c>
    </row>
    <row r="1305" spans="1:13" hidden="1">
      <c r="A1305" t="s">
        <v>94</v>
      </c>
      <c r="B1305" t="s">
        <v>8</v>
      </c>
      <c r="C1305" t="s">
        <v>93</v>
      </c>
      <c r="D1305" t="str">
        <f>LEFT(M1305,10)</f>
        <v>11/15/2024</v>
      </c>
      <c r="E1305" t="s">
        <v>230</v>
      </c>
      <c r="F1305" t="s">
        <v>248</v>
      </c>
      <c r="I1305">
        <v>0</v>
      </c>
      <c r="J1305">
        <v>32570</v>
      </c>
      <c r="M1305" t="s">
        <v>289</v>
      </c>
    </row>
    <row r="1306" spans="1:13" hidden="1">
      <c r="A1306" t="s">
        <v>94</v>
      </c>
      <c r="B1306" t="s">
        <v>8</v>
      </c>
      <c r="C1306" t="s">
        <v>93</v>
      </c>
      <c r="D1306" t="str">
        <f>LEFT(M1306,10)</f>
        <v>11/15/2024</v>
      </c>
      <c r="E1306" t="s">
        <v>232</v>
      </c>
      <c r="F1306" t="s">
        <v>275</v>
      </c>
      <c r="I1306">
        <v>0</v>
      </c>
      <c r="J1306">
        <v>2511.58</v>
      </c>
      <c r="M1306" t="s">
        <v>289</v>
      </c>
    </row>
    <row r="1307" spans="1:13" hidden="1">
      <c r="A1307" t="s">
        <v>94</v>
      </c>
      <c r="B1307" t="s">
        <v>8</v>
      </c>
      <c r="C1307" t="s">
        <v>93</v>
      </c>
      <c r="D1307" t="str">
        <f>LEFT(M1307,10)</f>
        <v>11/15/2024</v>
      </c>
      <c r="E1307" t="s">
        <v>232</v>
      </c>
      <c r="F1307" t="s">
        <v>255</v>
      </c>
      <c r="I1307">
        <v>0</v>
      </c>
      <c r="J1307">
        <v>109.9</v>
      </c>
      <c r="L1307" t="s">
        <v>256</v>
      </c>
      <c r="M1307" t="s">
        <v>289</v>
      </c>
    </row>
    <row r="1308" spans="1:13" hidden="1">
      <c r="A1308" t="s">
        <v>94</v>
      </c>
      <c r="B1308" t="s">
        <v>8</v>
      </c>
      <c r="C1308" t="s">
        <v>93</v>
      </c>
      <c r="D1308" t="str">
        <f>LEFT(M1308,10)</f>
        <v>11/15/2024</v>
      </c>
      <c r="E1308" t="s">
        <v>232</v>
      </c>
      <c r="F1308" t="s">
        <v>233</v>
      </c>
      <c r="I1308">
        <v>0</v>
      </c>
      <c r="J1308">
        <v>5746.84</v>
      </c>
      <c r="M1308" t="s">
        <v>289</v>
      </c>
    </row>
    <row r="1309" spans="1:13" hidden="1">
      <c r="A1309" t="s">
        <v>94</v>
      </c>
      <c r="B1309" t="s">
        <v>8</v>
      </c>
      <c r="C1309" t="s">
        <v>93</v>
      </c>
      <c r="D1309" t="str">
        <f>LEFT(M1309,10)</f>
        <v>11/15/2024</v>
      </c>
      <c r="E1309" t="s">
        <v>232</v>
      </c>
      <c r="F1309" t="s">
        <v>233</v>
      </c>
      <c r="I1309">
        <v>0</v>
      </c>
      <c r="J1309">
        <v>695</v>
      </c>
      <c r="M1309" t="s">
        <v>289</v>
      </c>
    </row>
    <row r="1310" spans="1:13" hidden="1">
      <c r="A1310" t="s">
        <v>94</v>
      </c>
      <c r="B1310" t="s">
        <v>8</v>
      </c>
      <c r="C1310" t="s">
        <v>93</v>
      </c>
      <c r="D1310" t="str">
        <f>LEFT(M1310,10)</f>
        <v>11/15/2024</v>
      </c>
      <c r="E1310" t="s">
        <v>232</v>
      </c>
      <c r="F1310" t="s">
        <v>233</v>
      </c>
      <c r="I1310">
        <v>0</v>
      </c>
      <c r="J1310">
        <v>155.4</v>
      </c>
      <c r="M1310" t="s">
        <v>289</v>
      </c>
    </row>
    <row r="1311" spans="1:13" hidden="1">
      <c r="A1311" t="s">
        <v>94</v>
      </c>
      <c r="B1311" t="s">
        <v>8</v>
      </c>
      <c r="C1311" t="s">
        <v>93</v>
      </c>
      <c r="D1311" t="str">
        <f>LEFT(M1311,10)</f>
        <v>11/15/2024</v>
      </c>
      <c r="E1311" t="s">
        <v>232</v>
      </c>
      <c r="F1311" t="s">
        <v>290</v>
      </c>
      <c r="I1311">
        <v>0</v>
      </c>
      <c r="J1311">
        <v>2182.6799999999998</v>
      </c>
      <c r="M1311" t="s">
        <v>289</v>
      </c>
    </row>
    <row r="1312" spans="1:13" hidden="1">
      <c r="A1312" t="s">
        <v>94</v>
      </c>
      <c r="B1312" t="s">
        <v>8</v>
      </c>
      <c r="C1312" t="s">
        <v>93</v>
      </c>
      <c r="D1312" t="str">
        <f>LEFT(M1312,10)</f>
        <v>11/15/2024</v>
      </c>
      <c r="E1312" t="s">
        <v>232</v>
      </c>
      <c r="F1312" t="s">
        <v>255</v>
      </c>
      <c r="I1312">
        <v>0</v>
      </c>
      <c r="J1312">
        <v>140</v>
      </c>
      <c r="L1312" t="s">
        <v>387</v>
      </c>
      <c r="M1312" t="s">
        <v>289</v>
      </c>
    </row>
    <row r="1313" spans="1:13" hidden="1">
      <c r="A1313" t="s">
        <v>94</v>
      </c>
      <c r="B1313" t="s">
        <v>8</v>
      </c>
      <c r="C1313" t="s">
        <v>93</v>
      </c>
      <c r="D1313" t="str">
        <f>LEFT(M1313,10)</f>
        <v>11/15/2024</v>
      </c>
      <c r="E1313" t="s">
        <v>232</v>
      </c>
      <c r="F1313" t="s">
        <v>251</v>
      </c>
      <c r="I1313">
        <v>0</v>
      </c>
      <c r="J1313">
        <v>500</v>
      </c>
      <c r="M1313" t="s">
        <v>289</v>
      </c>
    </row>
    <row r="1314" spans="1:13" hidden="1">
      <c r="A1314" t="s">
        <v>94</v>
      </c>
      <c r="B1314" t="s">
        <v>8</v>
      </c>
      <c r="C1314" t="s">
        <v>93</v>
      </c>
      <c r="D1314" t="str">
        <f>LEFT(M1314,10)</f>
        <v>11/15/2024</v>
      </c>
      <c r="E1314" t="s">
        <v>232</v>
      </c>
      <c r="F1314" t="s">
        <v>250</v>
      </c>
      <c r="I1314">
        <v>0</v>
      </c>
      <c r="J1314">
        <v>300</v>
      </c>
      <c r="M1314" t="s">
        <v>289</v>
      </c>
    </row>
    <row r="1315" spans="1:13" hidden="1">
      <c r="A1315" t="s">
        <v>94</v>
      </c>
      <c r="B1315" t="s">
        <v>8</v>
      </c>
      <c r="C1315" t="s">
        <v>93</v>
      </c>
      <c r="D1315" t="str">
        <f>LEFT(M1315,10)</f>
        <v>11/15/2024</v>
      </c>
      <c r="E1315" t="s">
        <v>234</v>
      </c>
      <c r="F1315" t="s">
        <v>234</v>
      </c>
      <c r="I1315">
        <v>42550</v>
      </c>
      <c r="M1315" t="s">
        <v>289</v>
      </c>
    </row>
    <row r="1316" spans="1:13" hidden="1">
      <c r="A1316" t="s">
        <v>94</v>
      </c>
      <c r="B1316" t="s">
        <v>8</v>
      </c>
      <c r="C1316" t="s">
        <v>93</v>
      </c>
      <c r="D1316" t="str">
        <f>LEFT(M1316,10)</f>
        <v>11/15/2024</v>
      </c>
      <c r="F1316" t="s">
        <v>249</v>
      </c>
      <c r="I1316">
        <v>0</v>
      </c>
      <c r="M1316" t="s">
        <v>289</v>
      </c>
    </row>
    <row r="1317" spans="1:13" hidden="1">
      <c r="A1317" t="s">
        <v>97</v>
      </c>
      <c r="B1317" t="s">
        <v>8</v>
      </c>
      <c r="C1317" t="s">
        <v>96</v>
      </c>
      <c r="D1317" t="str">
        <f>LEFT(M1317,10)</f>
        <v>11/15/2024</v>
      </c>
      <c r="E1317" t="s">
        <v>202</v>
      </c>
      <c r="F1317" t="s">
        <v>227</v>
      </c>
      <c r="G1317" t="s">
        <v>229</v>
      </c>
      <c r="I1317">
        <v>14641.5</v>
      </c>
      <c r="J1317">
        <v>11950</v>
      </c>
      <c r="K1317">
        <v>0.82</v>
      </c>
      <c r="M1317" t="s">
        <v>289</v>
      </c>
    </row>
    <row r="1318" spans="1:13" hidden="1">
      <c r="A1318" t="s">
        <v>97</v>
      </c>
      <c r="B1318" t="s">
        <v>8</v>
      </c>
      <c r="C1318" t="s">
        <v>96</v>
      </c>
      <c r="D1318" t="str">
        <f>LEFT(M1318,10)</f>
        <v>11/15/2024</v>
      </c>
      <c r="E1318" t="s">
        <v>202</v>
      </c>
      <c r="F1318" t="s">
        <v>227</v>
      </c>
      <c r="G1318" t="s">
        <v>228</v>
      </c>
      <c r="I1318">
        <v>5149.5</v>
      </c>
      <c r="J1318">
        <v>1544.85</v>
      </c>
      <c r="K1318">
        <v>0.3</v>
      </c>
      <c r="M1318" t="s">
        <v>289</v>
      </c>
    </row>
    <row r="1319" spans="1:13" hidden="1">
      <c r="A1319" t="s">
        <v>97</v>
      </c>
      <c r="B1319" t="s">
        <v>8</v>
      </c>
      <c r="C1319" t="s">
        <v>96</v>
      </c>
      <c r="D1319" t="str">
        <f>LEFT(M1319,10)</f>
        <v>11/15/2024</v>
      </c>
      <c r="E1319" t="s">
        <v>202</v>
      </c>
      <c r="F1319" t="s">
        <v>227</v>
      </c>
      <c r="G1319" t="s">
        <v>237</v>
      </c>
      <c r="I1319">
        <v>3335</v>
      </c>
      <c r="J1319">
        <v>2001</v>
      </c>
      <c r="K1319">
        <v>0.6</v>
      </c>
      <c r="M1319" t="s">
        <v>289</v>
      </c>
    </row>
    <row r="1320" spans="1:13" hidden="1">
      <c r="A1320" t="s">
        <v>97</v>
      </c>
      <c r="B1320" t="s">
        <v>8</v>
      </c>
      <c r="C1320" t="s">
        <v>96</v>
      </c>
      <c r="D1320" t="str">
        <f>LEFT(M1320,10)</f>
        <v>11/15/2024</v>
      </c>
      <c r="E1320" t="s">
        <v>202</v>
      </c>
      <c r="F1320" t="s">
        <v>227</v>
      </c>
      <c r="G1320" t="s">
        <v>252</v>
      </c>
      <c r="I1320">
        <v>1236</v>
      </c>
      <c r="J1320">
        <v>432.6</v>
      </c>
      <c r="K1320">
        <v>0.35</v>
      </c>
      <c r="M1320" t="s">
        <v>289</v>
      </c>
    </row>
    <row r="1321" spans="1:13" hidden="1">
      <c r="A1321" t="s">
        <v>97</v>
      </c>
      <c r="B1321" t="s">
        <v>8</v>
      </c>
      <c r="C1321" t="s">
        <v>96</v>
      </c>
      <c r="D1321" t="str">
        <f>LEFT(M1321,10)</f>
        <v>11/15/2024</v>
      </c>
      <c r="E1321" t="s">
        <v>202</v>
      </c>
      <c r="F1321" t="s">
        <v>218</v>
      </c>
      <c r="G1321" t="s">
        <v>240</v>
      </c>
      <c r="I1321">
        <v>3068</v>
      </c>
      <c r="J1321">
        <v>13806</v>
      </c>
      <c r="K1321">
        <v>4.5</v>
      </c>
      <c r="M1321" t="s">
        <v>289</v>
      </c>
    </row>
    <row r="1322" spans="1:13" hidden="1">
      <c r="A1322" t="s">
        <v>97</v>
      </c>
      <c r="B1322" t="s">
        <v>8</v>
      </c>
      <c r="C1322" t="s">
        <v>96</v>
      </c>
      <c r="D1322" t="str">
        <f>LEFT(M1322,10)</f>
        <v>11/15/2024</v>
      </c>
      <c r="E1322" t="s">
        <v>202</v>
      </c>
      <c r="F1322" t="s">
        <v>218</v>
      </c>
      <c r="G1322" t="s">
        <v>221</v>
      </c>
      <c r="I1322">
        <v>649</v>
      </c>
      <c r="J1322">
        <v>1687.4</v>
      </c>
      <c r="K1322">
        <v>2.6</v>
      </c>
      <c r="M1322" t="s">
        <v>289</v>
      </c>
    </row>
    <row r="1323" spans="1:13" hidden="1">
      <c r="A1323" t="s">
        <v>97</v>
      </c>
      <c r="B1323" t="s">
        <v>8</v>
      </c>
      <c r="C1323" t="s">
        <v>96</v>
      </c>
      <c r="D1323" t="str">
        <f>LEFT(M1323,10)</f>
        <v>11/15/2024</v>
      </c>
      <c r="E1323" t="s">
        <v>202</v>
      </c>
      <c r="F1323" t="s">
        <v>218</v>
      </c>
      <c r="G1323" t="s">
        <v>219</v>
      </c>
      <c r="I1323">
        <v>467</v>
      </c>
      <c r="J1323">
        <v>299.02999999999997</v>
      </c>
      <c r="K1323">
        <v>0.64</v>
      </c>
      <c r="M1323" t="s">
        <v>289</v>
      </c>
    </row>
    <row r="1324" spans="1:13" hidden="1">
      <c r="A1324" t="s">
        <v>97</v>
      </c>
      <c r="B1324" t="s">
        <v>8</v>
      </c>
      <c r="C1324" t="s">
        <v>96</v>
      </c>
      <c r="D1324" t="str">
        <f>LEFT(M1324,10)</f>
        <v>11/15/2024</v>
      </c>
      <c r="E1324" t="s">
        <v>202</v>
      </c>
      <c r="F1324" t="s">
        <v>218</v>
      </c>
      <c r="G1324" t="s">
        <v>242</v>
      </c>
      <c r="I1324">
        <v>241.5</v>
      </c>
      <c r="J1324">
        <v>265.64999999999998</v>
      </c>
      <c r="K1324">
        <v>1.1000000000000001</v>
      </c>
      <c r="M1324" t="s">
        <v>289</v>
      </c>
    </row>
    <row r="1325" spans="1:13" hidden="1">
      <c r="A1325" t="s">
        <v>97</v>
      </c>
      <c r="B1325" t="s">
        <v>8</v>
      </c>
      <c r="C1325" t="s">
        <v>96</v>
      </c>
      <c r="D1325" t="str">
        <f>LEFT(M1325,10)</f>
        <v>11/15/2024</v>
      </c>
      <c r="E1325" t="s">
        <v>202</v>
      </c>
      <c r="F1325" t="s">
        <v>218</v>
      </c>
      <c r="G1325" t="s">
        <v>221</v>
      </c>
      <c r="I1325">
        <v>692.5</v>
      </c>
      <c r="J1325">
        <v>1765.88</v>
      </c>
      <c r="K1325">
        <v>2.5499999999999998</v>
      </c>
      <c r="M1325" t="s">
        <v>289</v>
      </c>
    </row>
    <row r="1326" spans="1:13" hidden="1">
      <c r="A1326" t="s">
        <v>97</v>
      </c>
      <c r="B1326" t="s">
        <v>8</v>
      </c>
      <c r="C1326" t="s">
        <v>96</v>
      </c>
      <c r="D1326" t="str">
        <f>LEFT(M1326,10)</f>
        <v>11/15/2024</v>
      </c>
      <c r="E1326" t="s">
        <v>202</v>
      </c>
      <c r="F1326" t="s">
        <v>218</v>
      </c>
      <c r="G1326" t="s">
        <v>220</v>
      </c>
      <c r="I1326">
        <v>2799</v>
      </c>
      <c r="J1326">
        <v>4571.3999999999996</v>
      </c>
      <c r="K1326">
        <v>1.63</v>
      </c>
      <c r="M1326" t="s">
        <v>289</v>
      </c>
    </row>
    <row r="1327" spans="1:13" hidden="1">
      <c r="A1327" t="s">
        <v>97</v>
      </c>
      <c r="B1327" t="s">
        <v>8</v>
      </c>
      <c r="C1327" t="s">
        <v>96</v>
      </c>
      <c r="D1327" t="str">
        <f>LEFT(M1327,10)</f>
        <v>11/15/2024</v>
      </c>
      <c r="E1327" t="s">
        <v>202</v>
      </c>
      <c r="F1327" t="s">
        <v>218</v>
      </c>
      <c r="G1327" t="s">
        <v>223</v>
      </c>
      <c r="I1327">
        <v>2470</v>
      </c>
      <c r="J1327">
        <v>1976</v>
      </c>
      <c r="K1327">
        <v>0.8</v>
      </c>
      <c r="M1327" t="s">
        <v>289</v>
      </c>
    </row>
    <row r="1328" spans="1:13" hidden="1">
      <c r="A1328" t="s">
        <v>97</v>
      </c>
      <c r="B1328" t="s">
        <v>8</v>
      </c>
      <c r="C1328" t="s">
        <v>96</v>
      </c>
      <c r="D1328" t="str">
        <f>LEFT(M1328,10)</f>
        <v>11/15/2024</v>
      </c>
      <c r="E1328" t="s">
        <v>202</v>
      </c>
      <c r="F1328" t="s">
        <v>218</v>
      </c>
      <c r="G1328" t="s">
        <v>223</v>
      </c>
      <c r="I1328">
        <v>175</v>
      </c>
      <c r="J1328">
        <v>87.5</v>
      </c>
      <c r="K1328">
        <v>0.5</v>
      </c>
      <c r="M1328" t="s">
        <v>289</v>
      </c>
    </row>
    <row r="1329" spans="1:13" hidden="1">
      <c r="A1329" t="s">
        <v>97</v>
      </c>
      <c r="B1329" t="s">
        <v>8</v>
      </c>
      <c r="C1329" t="s">
        <v>96</v>
      </c>
      <c r="D1329" t="str">
        <f>LEFT(M1329,10)</f>
        <v>11/15/2024</v>
      </c>
      <c r="E1329" t="s">
        <v>202</v>
      </c>
      <c r="F1329" t="s">
        <v>227</v>
      </c>
      <c r="G1329" t="s">
        <v>238</v>
      </c>
      <c r="I1329">
        <v>439.5</v>
      </c>
      <c r="J1329">
        <v>153.83000000000001</v>
      </c>
      <c r="K1329">
        <v>0.35</v>
      </c>
      <c r="M1329" t="s">
        <v>289</v>
      </c>
    </row>
    <row r="1330" spans="1:13" hidden="1">
      <c r="A1330" t="s">
        <v>97</v>
      </c>
      <c r="B1330" t="s">
        <v>8</v>
      </c>
      <c r="C1330" t="s">
        <v>96</v>
      </c>
      <c r="D1330" t="str">
        <f>LEFT(M1330,10)</f>
        <v>11/15/2024</v>
      </c>
      <c r="E1330" t="s">
        <v>202</v>
      </c>
      <c r="F1330" t="s">
        <v>218</v>
      </c>
      <c r="G1330" t="s">
        <v>222</v>
      </c>
      <c r="I1330">
        <v>822.5</v>
      </c>
      <c r="J1330">
        <v>1274.8800000000001</v>
      </c>
      <c r="K1330">
        <v>1.55</v>
      </c>
      <c r="M1330" t="s">
        <v>289</v>
      </c>
    </row>
    <row r="1331" spans="1:13" hidden="1">
      <c r="A1331" t="s">
        <v>97</v>
      </c>
      <c r="B1331" t="s">
        <v>8</v>
      </c>
      <c r="C1331" t="s">
        <v>96</v>
      </c>
      <c r="D1331" t="str">
        <f>LEFT(M1331,10)</f>
        <v>11/15/2024</v>
      </c>
      <c r="E1331" t="s">
        <v>202</v>
      </c>
      <c r="F1331" t="s">
        <v>218</v>
      </c>
      <c r="G1331" t="s">
        <v>222</v>
      </c>
      <c r="I1331">
        <v>640</v>
      </c>
      <c r="J1331">
        <v>1152</v>
      </c>
      <c r="K1331">
        <v>1.8</v>
      </c>
      <c r="M1331" t="s">
        <v>289</v>
      </c>
    </row>
    <row r="1332" spans="1:13" hidden="1">
      <c r="A1332" t="s">
        <v>97</v>
      </c>
      <c r="B1332" t="s">
        <v>8</v>
      </c>
      <c r="C1332" t="s">
        <v>96</v>
      </c>
      <c r="D1332" t="str">
        <f>LEFT(M1332,10)</f>
        <v>11/15/2024</v>
      </c>
      <c r="E1332" t="s">
        <v>202</v>
      </c>
      <c r="F1332" t="s">
        <v>218</v>
      </c>
      <c r="G1332" t="s">
        <v>222</v>
      </c>
      <c r="I1332">
        <v>2571.5</v>
      </c>
      <c r="J1332">
        <v>3985.83</v>
      </c>
      <c r="K1332">
        <v>1.55</v>
      </c>
      <c r="M1332" t="s">
        <v>289</v>
      </c>
    </row>
    <row r="1333" spans="1:13" hidden="1">
      <c r="A1333" t="s">
        <v>97</v>
      </c>
      <c r="B1333" t="s">
        <v>8</v>
      </c>
      <c r="C1333" t="s">
        <v>96</v>
      </c>
      <c r="D1333" t="str">
        <f>LEFT(M1333,10)</f>
        <v>11/15/2024</v>
      </c>
      <c r="E1333" t="s">
        <v>202</v>
      </c>
      <c r="F1333" t="s">
        <v>218</v>
      </c>
      <c r="G1333" t="s">
        <v>226</v>
      </c>
      <c r="I1333">
        <v>5249.5</v>
      </c>
      <c r="J1333">
        <v>1837.33</v>
      </c>
      <c r="K1333">
        <v>0.35</v>
      </c>
      <c r="M1333" t="s">
        <v>289</v>
      </c>
    </row>
    <row r="1334" spans="1:13" hidden="1">
      <c r="A1334" t="s">
        <v>97</v>
      </c>
      <c r="B1334" t="s">
        <v>8</v>
      </c>
      <c r="C1334" t="s">
        <v>96</v>
      </c>
      <c r="D1334" t="str">
        <f>LEFT(M1334,10)</f>
        <v>11/15/2024</v>
      </c>
      <c r="E1334" t="s">
        <v>202</v>
      </c>
      <c r="F1334" t="s">
        <v>218</v>
      </c>
      <c r="G1334" t="s">
        <v>225</v>
      </c>
      <c r="I1334">
        <v>246</v>
      </c>
      <c r="J1334">
        <v>196.8</v>
      </c>
      <c r="K1334">
        <v>0.8</v>
      </c>
      <c r="M1334" t="s">
        <v>289</v>
      </c>
    </row>
    <row r="1335" spans="1:13" hidden="1">
      <c r="A1335" t="s">
        <v>97</v>
      </c>
      <c r="B1335" t="s">
        <v>8</v>
      </c>
      <c r="C1335" t="s">
        <v>96</v>
      </c>
      <c r="D1335" t="str">
        <f>LEFT(M1335,10)</f>
        <v>11/15/2024</v>
      </c>
      <c r="E1335" t="s">
        <v>202</v>
      </c>
      <c r="F1335" t="s">
        <v>218</v>
      </c>
      <c r="G1335" t="s">
        <v>239</v>
      </c>
      <c r="I1335">
        <v>275</v>
      </c>
      <c r="J1335">
        <v>262.08</v>
      </c>
      <c r="K1335">
        <v>0.95</v>
      </c>
      <c r="M1335" t="s">
        <v>289</v>
      </c>
    </row>
    <row r="1336" spans="1:13" hidden="1">
      <c r="A1336" t="s">
        <v>97</v>
      </c>
      <c r="B1336" t="s">
        <v>8</v>
      </c>
      <c r="C1336" t="s">
        <v>96</v>
      </c>
      <c r="D1336" t="str">
        <f>LEFT(M1336,10)</f>
        <v>11/15/2024</v>
      </c>
      <c r="E1336" t="s">
        <v>202</v>
      </c>
      <c r="F1336" t="s">
        <v>218</v>
      </c>
      <c r="G1336" t="s">
        <v>224</v>
      </c>
      <c r="I1336">
        <v>317.5</v>
      </c>
      <c r="J1336">
        <v>317.5</v>
      </c>
      <c r="K1336">
        <v>1</v>
      </c>
      <c r="M1336" t="s">
        <v>289</v>
      </c>
    </row>
    <row r="1337" spans="1:13" hidden="1">
      <c r="A1337" t="s">
        <v>97</v>
      </c>
      <c r="B1337" t="s">
        <v>8</v>
      </c>
      <c r="C1337" t="s">
        <v>96</v>
      </c>
      <c r="D1337" t="str">
        <f>LEFT(M1337,10)</f>
        <v>11/15/2024</v>
      </c>
      <c r="E1337" t="s">
        <v>202</v>
      </c>
      <c r="F1337" t="s">
        <v>218</v>
      </c>
      <c r="G1337" t="s">
        <v>243</v>
      </c>
      <c r="H1337" t="s">
        <v>388</v>
      </c>
      <c r="I1337">
        <v>61.5</v>
      </c>
      <c r="J1337">
        <v>95.33</v>
      </c>
      <c r="K1337">
        <v>1.55</v>
      </c>
      <c r="M1337" t="s">
        <v>289</v>
      </c>
    </row>
    <row r="1338" spans="1:13" hidden="1">
      <c r="A1338" t="s">
        <v>97</v>
      </c>
      <c r="B1338" t="s">
        <v>8</v>
      </c>
      <c r="C1338" t="s">
        <v>96</v>
      </c>
      <c r="D1338" t="str">
        <f>LEFT(M1338,10)</f>
        <v>11/15/2024</v>
      </c>
      <c r="E1338" t="s">
        <v>202</v>
      </c>
      <c r="F1338" t="s">
        <v>218</v>
      </c>
      <c r="G1338" t="s">
        <v>243</v>
      </c>
      <c r="H1338" t="s">
        <v>389</v>
      </c>
      <c r="I1338">
        <v>227.5</v>
      </c>
      <c r="J1338">
        <v>91</v>
      </c>
      <c r="K1338">
        <v>0.4</v>
      </c>
      <c r="M1338" t="s">
        <v>289</v>
      </c>
    </row>
    <row r="1339" spans="1:13" hidden="1">
      <c r="A1339" t="s">
        <v>97</v>
      </c>
      <c r="B1339" t="s">
        <v>8</v>
      </c>
      <c r="C1339" t="s">
        <v>96</v>
      </c>
      <c r="D1339" t="str">
        <f>LEFT(M1339,10)</f>
        <v>11/15/2024</v>
      </c>
      <c r="E1339" t="s">
        <v>202</v>
      </c>
      <c r="F1339" t="s">
        <v>218</v>
      </c>
      <c r="G1339" t="s">
        <v>223</v>
      </c>
      <c r="I1339">
        <v>730.5</v>
      </c>
      <c r="J1339">
        <v>365.25</v>
      </c>
      <c r="K1339">
        <v>0.5</v>
      </c>
      <c r="M1339" t="s">
        <v>289</v>
      </c>
    </row>
    <row r="1340" spans="1:13" hidden="1">
      <c r="A1340" t="s">
        <v>97</v>
      </c>
      <c r="B1340" t="s">
        <v>8</v>
      </c>
      <c r="C1340" t="s">
        <v>96</v>
      </c>
      <c r="D1340" t="str">
        <f>LEFT(M1340,10)</f>
        <v>11/15/2024</v>
      </c>
      <c r="E1340" t="s">
        <v>202</v>
      </c>
      <c r="F1340" t="s">
        <v>209</v>
      </c>
      <c r="G1340" t="s">
        <v>214</v>
      </c>
      <c r="I1340">
        <v>580</v>
      </c>
      <c r="J1340">
        <v>1160</v>
      </c>
      <c r="K1340">
        <v>2</v>
      </c>
      <c r="M1340" t="s">
        <v>289</v>
      </c>
    </row>
    <row r="1341" spans="1:13" hidden="1">
      <c r="A1341" t="s">
        <v>97</v>
      </c>
      <c r="B1341" t="s">
        <v>8</v>
      </c>
      <c r="C1341" t="s">
        <v>96</v>
      </c>
      <c r="D1341" t="str">
        <f>LEFT(M1341,10)</f>
        <v>11/15/2024</v>
      </c>
      <c r="E1341" t="s">
        <v>202</v>
      </c>
      <c r="F1341" t="s">
        <v>203</v>
      </c>
      <c r="G1341" t="s">
        <v>204</v>
      </c>
      <c r="I1341">
        <v>358</v>
      </c>
      <c r="J1341">
        <v>2900.56</v>
      </c>
      <c r="K1341">
        <v>8.1</v>
      </c>
      <c r="M1341" t="s">
        <v>289</v>
      </c>
    </row>
    <row r="1342" spans="1:13" hidden="1">
      <c r="A1342" t="s">
        <v>97</v>
      </c>
      <c r="B1342" t="s">
        <v>8</v>
      </c>
      <c r="C1342" t="s">
        <v>96</v>
      </c>
      <c r="D1342" t="str">
        <f>LEFT(M1342,10)</f>
        <v>11/15/2024</v>
      </c>
      <c r="E1342" t="s">
        <v>202</v>
      </c>
      <c r="F1342" t="s">
        <v>203</v>
      </c>
      <c r="G1342" t="s">
        <v>208</v>
      </c>
      <c r="I1342">
        <v>73</v>
      </c>
      <c r="J1342">
        <v>576.70000000000005</v>
      </c>
      <c r="K1342">
        <v>7.9</v>
      </c>
      <c r="M1342" t="s">
        <v>289</v>
      </c>
    </row>
    <row r="1343" spans="1:13" hidden="1">
      <c r="A1343" t="s">
        <v>97</v>
      </c>
      <c r="B1343" t="s">
        <v>8</v>
      </c>
      <c r="C1343" t="s">
        <v>96</v>
      </c>
      <c r="D1343" t="str">
        <f>LEFT(M1343,10)</f>
        <v>11/15/2024</v>
      </c>
      <c r="E1343" t="s">
        <v>202</v>
      </c>
      <c r="F1343" t="s">
        <v>203</v>
      </c>
      <c r="G1343" t="s">
        <v>259</v>
      </c>
      <c r="I1343">
        <v>62.5</v>
      </c>
      <c r="J1343">
        <v>325</v>
      </c>
      <c r="K1343">
        <v>5.2</v>
      </c>
      <c r="M1343" t="s">
        <v>289</v>
      </c>
    </row>
    <row r="1344" spans="1:13" hidden="1">
      <c r="A1344" t="s">
        <v>97</v>
      </c>
      <c r="B1344" t="s">
        <v>8</v>
      </c>
      <c r="C1344" t="s">
        <v>96</v>
      </c>
      <c r="D1344" t="str">
        <f>LEFT(M1344,10)</f>
        <v>11/15/2024</v>
      </c>
      <c r="E1344" t="s">
        <v>202</v>
      </c>
      <c r="F1344" t="s">
        <v>203</v>
      </c>
      <c r="G1344" t="s">
        <v>259</v>
      </c>
      <c r="I1344">
        <v>27</v>
      </c>
      <c r="J1344">
        <v>580.5</v>
      </c>
      <c r="K1344">
        <v>21.5</v>
      </c>
      <c r="M1344" t="s">
        <v>289</v>
      </c>
    </row>
    <row r="1345" spans="1:13" hidden="1">
      <c r="A1345" t="s">
        <v>97</v>
      </c>
      <c r="B1345" t="s">
        <v>8</v>
      </c>
      <c r="C1345" t="s">
        <v>96</v>
      </c>
      <c r="D1345" t="str">
        <f>LEFT(M1345,10)</f>
        <v>11/15/2024</v>
      </c>
      <c r="E1345" t="s">
        <v>202</v>
      </c>
      <c r="F1345" t="s">
        <v>203</v>
      </c>
      <c r="G1345" t="s">
        <v>260</v>
      </c>
      <c r="I1345">
        <v>28.5</v>
      </c>
      <c r="J1345">
        <v>969</v>
      </c>
      <c r="K1345">
        <v>34</v>
      </c>
      <c r="M1345" t="s">
        <v>289</v>
      </c>
    </row>
    <row r="1346" spans="1:13" hidden="1">
      <c r="A1346" t="s">
        <v>97</v>
      </c>
      <c r="B1346" t="s">
        <v>8</v>
      </c>
      <c r="C1346" t="s">
        <v>96</v>
      </c>
      <c r="D1346" t="str">
        <f>LEFT(M1346,10)</f>
        <v>11/15/2024</v>
      </c>
      <c r="E1346" t="s">
        <v>202</v>
      </c>
      <c r="F1346" t="s">
        <v>203</v>
      </c>
      <c r="G1346" t="s">
        <v>206</v>
      </c>
      <c r="I1346">
        <v>28.5</v>
      </c>
      <c r="J1346">
        <v>94.71</v>
      </c>
      <c r="K1346">
        <v>3.32</v>
      </c>
      <c r="M1346" t="s">
        <v>289</v>
      </c>
    </row>
    <row r="1347" spans="1:13" hidden="1">
      <c r="A1347" t="s">
        <v>97</v>
      </c>
      <c r="B1347" t="s">
        <v>8</v>
      </c>
      <c r="C1347" t="s">
        <v>96</v>
      </c>
      <c r="D1347" t="str">
        <f>LEFT(M1347,10)</f>
        <v>11/15/2024</v>
      </c>
      <c r="E1347" t="s">
        <v>202</v>
      </c>
      <c r="F1347" t="s">
        <v>218</v>
      </c>
      <c r="G1347" t="s">
        <v>247</v>
      </c>
      <c r="I1347">
        <v>52.5</v>
      </c>
      <c r="J1347">
        <v>210</v>
      </c>
      <c r="K1347">
        <v>4</v>
      </c>
      <c r="M1347" t="s">
        <v>289</v>
      </c>
    </row>
    <row r="1348" spans="1:13" hidden="1">
      <c r="A1348" t="s">
        <v>97</v>
      </c>
      <c r="B1348" t="s">
        <v>8</v>
      </c>
      <c r="C1348" t="s">
        <v>96</v>
      </c>
      <c r="D1348" t="str">
        <f>LEFT(M1348,10)</f>
        <v>11/15/2024</v>
      </c>
      <c r="E1348" t="s">
        <v>202</v>
      </c>
      <c r="F1348" t="s">
        <v>216</v>
      </c>
      <c r="G1348" t="s">
        <v>217</v>
      </c>
      <c r="I1348">
        <v>1837</v>
      </c>
      <c r="J1348">
        <v>1401.3</v>
      </c>
      <c r="K1348">
        <v>0.76</v>
      </c>
      <c r="M1348" t="s">
        <v>289</v>
      </c>
    </row>
    <row r="1349" spans="1:13" hidden="1">
      <c r="A1349" t="s">
        <v>97</v>
      </c>
      <c r="B1349" t="s">
        <v>8</v>
      </c>
      <c r="C1349" t="s">
        <v>96</v>
      </c>
      <c r="D1349" t="str">
        <f>LEFT(M1349,10)</f>
        <v>11/15/2024</v>
      </c>
      <c r="E1349" t="s">
        <v>202</v>
      </c>
      <c r="F1349" t="s">
        <v>216</v>
      </c>
      <c r="G1349" t="s">
        <v>253</v>
      </c>
      <c r="I1349">
        <v>11580</v>
      </c>
      <c r="J1349">
        <v>2316</v>
      </c>
      <c r="K1349">
        <v>0.2</v>
      </c>
      <c r="M1349" t="s">
        <v>289</v>
      </c>
    </row>
    <row r="1350" spans="1:13" hidden="1">
      <c r="A1350" t="s">
        <v>97</v>
      </c>
      <c r="B1350" t="s">
        <v>8</v>
      </c>
      <c r="C1350" t="s">
        <v>96</v>
      </c>
      <c r="D1350" t="str">
        <f>LEFT(M1350,10)</f>
        <v>11/15/2024</v>
      </c>
      <c r="E1350" t="s">
        <v>202</v>
      </c>
      <c r="F1350" t="s">
        <v>209</v>
      </c>
      <c r="G1350" t="s">
        <v>214</v>
      </c>
      <c r="I1350">
        <v>441.5</v>
      </c>
      <c r="J1350">
        <v>725.5</v>
      </c>
      <c r="K1350">
        <v>1.64</v>
      </c>
      <c r="M1350" t="s">
        <v>289</v>
      </c>
    </row>
    <row r="1351" spans="1:13" hidden="1">
      <c r="A1351" t="s">
        <v>97</v>
      </c>
      <c r="B1351" t="s">
        <v>8</v>
      </c>
      <c r="C1351" t="s">
        <v>96</v>
      </c>
      <c r="D1351" t="str">
        <f>LEFT(M1351,10)</f>
        <v>11/15/2024</v>
      </c>
      <c r="E1351" t="s">
        <v>202</v>
      </c>
      <c r="F1351" t="s">
        <v>216</v>
      </c>
      <c r="G1351" t="s">
        <v>217</v>
      </c>
      <c r="I1351">
        <v>65</v>
      </c>
      <c r="J1351">
        <v>130</v>
      </c>
      <c r="K1351">
        <v>2</v>
      </c>
      <c r="M1351" t="s">
        <v>289</v>
      </c>
    </row>
    <row r="1352" spans="1:13" hidden="1">
      <c r="A1352" t="s">
        <v>97</v>
      </c>
      <c r="B1352" t="s">
        <v>8</v>
      </c>
      <c r="C1352" t="s">
        <v>96</v>
      </c>
      <c r="D1352" t="str">
        <f>LEFT(M1352,10)</f>
        <v>11/15/2024</v>
      </c>
      <c r="E1352" t="s">
        <v>202</v>
      </c>
      <c r="F1352" t="s">
        <v>203</v>
      </c>
      <c r="G1352" t="s">
        <v>207</v>
      </c>
      <c r="I1352">
        <v>33</v>
      </c>
      <c r="J1352">
        <v>171.6</v>
      </c>
      <c r="K1352">
        <v>5.2</v>
      </c>
      <c r="M1352" t="s">
        <v>289</v>
      </c>
    </row>
    <row r="1353" spans="1:13" hidden="1">
      <c r="A1353" t="s">
        <v>97</v>
      </c>
      <c r="B1353" t="s">
        <v>8</v>
      </c>
      <c r="C1353" t="s">
        <v>96</v>
      </c>
      <c r="D1353" t="str">
        <f>LEFT(M1353,10)</f>
        <v>11/15/2024</v>
      </c>
      <c r="E1353" t="s">
        <v>202</v>
      </c>
      <c r="F1353" t="s">
        <v>203</v>
      </c>
      <c r="G1353" t="s">
        <v>215</v>
      </c>
      <c r="I1353">
        <v>4530</v>
      </c>
      <c r="J1353">
        <v>3397.5</v>
      </c>
      <c r="K1353">
        <v>0.75</v>
      </c>
      <c r="M1353" t="s">
        <v>289</v>
      </c>
    </row>
    <row r="1354" spans="1:13" hidden="1">
      <c r="A1354" t="s">
        <v>97</v>
      </c>
      <c r="B1354" t="s">
        <v>8</v>
      </c>
      <c r="C1354" t="s">
        <v>96</v>
      </c>
      <c r="D1354" t="str">
        <f>LEFT(M1354,10)</f>
        <v>11/15/2024</v>
      </c>
      <c r="E1354" t="s">
        <v>230</v>
      </c>
      <c r="F1354" t="s">
        <v>248</v>
      </c>
      <c r="I1354">
        <v>0</v>
      </c>
      <c r="J1354">
        <v>35250</v>
      </c>
      <c r="M1354" t="s">
        <v>289</v>
      </c>
    </row>
    <row r="1355" spans="1:13" hidden="1">
      <c r="A1355" t="s">
        <v>97</v>
      </c>
      <c r="B1355" t="s">
        <v>8</v>
      </c>
      <c r="C1355" t="s">
        <v>96</v>
      </c>
      <c r="D1355" t="str">
        <f>LEFT(M1355,10)</f>
        <v>11/15/2024</v>
      </c>
      <c r="E1355" t="s">
        <v>232</v>
      </c>
      <c r="F1355" t="s">
        <v>287</v>
      </c>
      <c r="I1355">
        <v>0</v>
      </c>
      <c r="J1355">
        <v>5916.48</v>
      </c>
      <c r="M1355" t="s">
        <v>289</v>
      </c>
    </row>
    <row r="1356" spans="1:13" hidden="1">
      <c r="A1356" t="s">
        <v>97</v>
      </c>
      <c r="B1356" t="s">
        <v>8</v>
      </c>
      <c r="C1356" t="s">
        <v>96</v>
      </c>
      <c r="D1356" t="str">
        <f>LEFT(M1356,10)</f>
        <v>11/15/2024</v>
      </c>
      <c r="E1356" t="s">
        <v>232</v>
      </c>
      <c r="F1356" t="s">
        <v>255</v>
      </c>
      <c r="I1356">
        <v>0</v>
      </c>
      <c r="J1356">
        <v>48.75</v>
      </c>
      <c r="L1356" t="s">
        <v>390</v>
      </c>
      <c r="M1356" t="s">
        <v>289</v>
      </c>
    </row>
    <row r="1357" spans="1:13" hidden="1">
      <c r="A1357" t="s">
        <v>97</v>
      </c>
      <c r="B1357" t="s">
        <v>8</v>
      </c>
      <c r="C1357" t="s">
        <v>96</v>
      </c>
      <c r="D1357" t="str">
        <f>LEFT(M1357,10)</f>
        <v>11/15/2024</v>
      </c>
      <c r="E1357" t="s">
        <v>232</v>
      </c>
      <c r="F1357" t="s">
        <v>286</v>
      </c>
      <c r="I1357">
        <v>0</v>
      </c>
      <c r="J1357">
        <v>71.099999999999994</v>
      </c>
      <c r="M1357" t="s">
        <v>289</v>
      </c>
    </row>
    <row r="1358" spans="1:13" hidden="1">
      <c r="A1358" t="s">
        <v>97</v>
      </c>
      <c r="B1358" t="s">
        <v>8</v>
      </c>
      <c r="C1358" t="s">
        <v>96</v>
      </c>
      <c r="D1358" t="str">
        <f>LEFT(M1358,10)</f>
        <v>11/15/2024</v>
      </c>
      <c r="E1358" t="s">
        <v>232</v>
      </c>
      <c r="F1358" t="s">
        <v>296</v>
      </c>
      <c r="I1358">
        <v>0</v>
      </c>
      <c r="J1358">
        <v>1005</v>
      </c>
      <c r="M1358" t="s">
        <v>289</v>
      </c>
    </row>
    <row r="1359" spans="1:13" hidden="1">
      <c r="A1359" t="s">
        <v>97</v>
      </c>
      <c r="B1359" t="s">
        <v>8</v>
      </c>
      <c r="C1359" t="s">
        <v>96</v>
      </c>
      <c r="D1359" t="str">
        <f>LEFT(M1359,10)</f>
        <v>11/15/2024</v>
      </c>
      <c r="E1359" t="s">
        <v>232</v>
      </c>
      <c r="F1359" t="s">
        <v>262</v>
      </c>
      <c r="I1359">
        <v>0</v>
      </c>
      <c r="J1359">
        <v>800</v>
      </c>
      <c r="M1359" t="s">
        <v>289</v>
      </c>
    </row>
    <row r="1360" spans="1:13" hidden="1">
      <c r="A1360" t="s">
        <v>97</v>
      </c>
      <c r="B1360" t="s">
        <v>8</v>
      </c>
      <c r="C1360" t="s">
        <v>96</v>
      </c>
      <c r="D1360" t="str">
        <f>LEFT(M1360,10)</f>
        <v>11/15/2024</v>
      </c>
      <c r="E1360" t="s">
        <v>232</v>
      </c>
      <c r="F1360" t="s">
        <v>255</v>
      </c>
      <c r="I1360">
        <v>0</v>
      </c>
      <c r="J1360">
        <v>214</v>
      </c>
      <c r="L1360" t="s">
        <v>391</v>
      </c>
      <c r="M1360" t="s">
        <v>289</v>
      </c>
    </row>
    <row r="1361" spans="1:13" hidden="1">
      <c r="A1361" t="s">
        <v>97</v>
      </c>
      <c r="B1361" t="s">
        <v>8</v>
      </c>
      <c r="C1361" t="s">
        <v>96</v>
      </c>
      <c r="D1361" t="str">
        <f>LEFT(M1361,10)</f>
        <v>11/15/2024</v>
      </c>
      <c r="E1361" t="s">
        <v>232</v>
      </c>
      <c r="F1361" t="s">
        <v>251</v>
      </c>
      <c r="I1361">
        <v>0</v>
      </c>
      <c r="J1361">
        <v>2890</v>
      </c>
      <c r="M1361" t="s">
        <v>289</v>
      </c>
    </row>
    <row r="1362" spans="1:13" hidden="1">
      <c r="A1362" t="s">
        <v>97</v>
      </c>
      <c r="B1362" t="s">
        <v>8</v>
      </c>
      <c r="C1362" t="s">
        <v>96</v>
      </c>
      <c r="D1362" t="str">
        <f>LEFT(M1362,10)</f>
        <v>11/15/2024</v>
      </c>
      <c r="E1362" t="s">
        <v>232</v>
      </c>
      <c r="F1362" t="s">
        <v>251</v>
      </c>
      <c r="I1362">
        <v>0</v>
      </c>
      <c r="J1362">
        <v>167.17</v>
      </c>
      <c r="M1362" t="s">
        <v>289</v>
      </c>
    </row>
    <row r="1363" spans="1:13" hidden="1">
      <c r="A1363" t="s">
        <v>97</v>
      </c>
      <c r="B1363" t="s">
        <v>8</v>
      </c>
      <c r="C1363" t="s">
        <v>96</v>
      </c>
      <c r="D1363" t="str">
        <f>LEFT(M1363,10)</f>
        <v>11/15/2024</v>
      </c>
      <c r="E1363" t="s">
        <v>234</v>
      </c>
      <c r="F1363" t="s">
        <v>234</v>
      </c>
      <c r="I1363">
        <v>2750</v>
      </c>
      <c r="M1363" t="s">
        <v>289</v>
      </c>
    </row>
    <row r="1364" spans="1:13" hidden="1">
      <c r="A1364" t="s">
        <v>99</v>
      </c>
      <c r="B1364" t="s">
        <v>8</v>
      </c>
      <c r="C1364" t="s">
        <v>98</v>
      </c>
      <c r="D1364" t="str">
        <f>LEFT(M1364,10)</f>
        <v>11/15/2024</v>
      </c>
      <c r="E1364" t="s">
        <v>202</v>
      </c>
      <c r="F1364" t="s">
        <v>203</v>
      </c>
      <c r="G1364" t="s">
        <v>207</v>
      </c>
      <c r="I1364">
        <v>26.4</v>
      </c>
      <c r="J1364">
        <v>105.6</v>
      </c>
      <c r="K1364">
        <v>4</v>
      </c>
      <c r="M1364" t="s">
        <v>289</v>
      </c>
    </row>
    <row r="1365" spans="1:13" hidden="1">
      <c r="A1365" t="s">
        <v>99</v>
      </c>
      <c r="B1365" t="s">
        <v>8</v>
      </c>
      <c r="C1365" t="s">
        <v>98</v>
      </c>
      <c r="D1365" t="str">
        <f>LEFT(M1365,10)</f>
        <v>11/15/2024</v>
      </c>
      <c r="E1365" t="s">
        <v>202</v>
      </c>
      <c r="F1365" t="s">
        <v>203</v>
      </c>
      <c r="G1365" t="s">
        <v>204</v>
      </c>
      <c r="I1365">
        <v>64.3</v>
      </c>
      <c r="J1365">
        <v>514.4</v>
      </c>
      <c r="K1365">
        <v>8</v>
      </c>
      <c r="M1365" t="s">
        <v>289</v>
      </c>
    </row>
    <row r="1366" spans="1:13" hidden="1">
      <c r="A1366" t="s">
        <v>99</v>
      </c>
      <c r="B1366" t="s">
        <v>8</v>
      </c>
      <c r="C1366" t="s">
        <v>98</v>
      </c>
      <c r="D1366" t="str">
        <f>LEFT(M1366,10)</f>
        <v>11/15/2024</v>
      </c>
      <c r="E1366" t="s">
        <v>202</v>
      </c>
      <c r="F1366" t="s">
        <v>203</v>
      </c>
      <c r="G1366" t="s">
        <v>208</v>
      </c>
      <c r="I1366">
        <v>30.4</v>
      </c>
      <c r="J1366">
        <v>262.64999999999998</v>
      </c>
      <c r="K1366">
        <v>8.64</v>
      </c>
      <c r="M1366" t="s">
        <v>289</v>
      </c>
    </row>
    <row r="1367" spans="1:13" hidden="1">
      <c r="A1367" t="s">
        <v>99</v>
      </c>
      <c r="B1367" t="s">
        <v>8</v>
      </c>
      <c r="C1367" t="s">
        <v>98</v>
      </c>
      <c r="D1367" t="str">
        <f>LEFT(M1367,10)</f>
        <v>11/15/2024</v>
      </c>
      <c r="E1367" t="s">
        <v>202</v>
      </c>
      <c r="F1367" t="s">
        <v>209</v>
      </c>
      <c r="G1367" t="s">
        <v>210</v>
      </c>
      <c r="I1367">
        <v>15.4</v>
      </c>
      <c r="J1367">
        <v>43.12</v>
      </c>
      <c r="K1367">
        <v>2.8</v>
      </c>
      <c r="M1367" t="s">
        <v>289</v>
      </c>
    </row>
    <row r="1368" spans="1:13" hidden="1">
      <c r="A1368" t="s">
        <v>99</v>
      </c>
      <c r="B1368" t="s">
        <v>8</v>
      </c>
      <c r="C1368" t="s">
        <v>98</v>
      </c>
      <c r="D1368" t="str">
        <f>LEFT(M1368,10)</f>
        <v>11/15/2024</v>
      </c>
      <c r="E1368" t="s">
        <v>202</v>
      </c>
      <c r="F1368" t="s">
        <v>203</v>
      </c>
      <c r="G1368" t="s">
        <v>260</v>
      </c>
      <c r="I1368">
        <v>12.4</v>
      </c>
      <c r="J1368">
        <v>434</v>
      </c>
      <c r="K1368">
        <v>35</v>
      </c>
      <c r="M1368" t="s">
        <v>289</v>
      </c>
    </row>
    <row r="1369" spans="1:13" hidden="1">
      <c r="A1369" t="s">
        <v>99</v>
      </c>
      <c r="B1369" t="s">
        <v>8</v>
      </c>
      <c r="C1369" t="s">
        <v>98</v>
      </c>
      <c r="D1369" t="str">
        <f>LEFT(M1369,10)</f>
        <v>11/15/2024</v>
      </c>
      <c r="E1369" t="s">
        <v>202</v>
      </c>
      <c r="F1369" t="s">
        <v>203</v>
      </c>
      <c r="G1369" t="s">
        <v>259</v>
      </c>
      <c r="I1369">
        <v>0.6</v>
      </c>
      <c r="J1369">
        <v>12</v>
      </c>
      <c r="K1369">
        <v>20</v>
      </c>
      <c r="M1369" t="s">
        <v>289</v>
      </c>
    </row>
    <row r="1370" spans="1:13" hidden="1">
      <c r="A1370" t="s">
        <v>99</v>
      </c>
      <c r="B1370" t="s">
        <v>8</v>
      </c>
      <c r="C1370" t="s">
        <v>98</v>
      </c>
      <c r="D1370" t="str">
        <f>LEFT(M1370,10)</f>
        <v>11/15/2024</v>
      </c>
      <c r="E1370" t="s">
        <v>202</v>
      </c>
      <c r="F1370" t="s">
        <v>209</v>
      </c>
      <c r="G1370" t="s">
        <v>214</v>
      </c>
      <c r="I1370">
        <v>449.4</v>
      </c>
      <c r="J1370">
        <v>355.34</v>
      </c>
      <c r="K1370">
        <v>0.79</v>
      </c>
      <c r="M1370" t="s">
        <v>289</v>
      </c>
    </row>
    <row r="1371" spans="1:13" hidden="1">
      <c r="A1371" t="s">
        <v>99</v>
      </c>
      <c r="B1371" t="s">
        <v>8</v>
      </c>
      <c r="C1371" t="s">
        <v>98</v>
      </c>
      <c r="D1371" t="str">
        <f>LEFT(M1371,10)</f>
        <v>11/15/2024</v>
      </c>
      <c r="E1371" t="s">
        <v>202</v>
      </c>
      <c r="F1371" t="s">
        <v>203</v>
      </c>
      <c r="G1371" t="s">
        <v>215</v>
      </c>
      <c r="I1371">
        <v>240</v>
      </c>
      <c r="J1371">
        <v>192</v>
      </c>
      <c r="K1371">
        <v>0.8</v>
      </c>
      <c r="M1371" t="s">
        <v>289</v>
      </c>
    </row>
    <row r="1372" spans="1:13" hidden="1">
      <c r="A1372" t="s">
        <v>99</v>
      </c>
      <c r="B1372" t="s">
        <v>8</v>
      </c>
      <c r="C1372" t="s">
        <v>98</v>
      </c>
      <c r="D1372" t="str">
        <f>LEFT(M1372,10)</f>
        <v>11/15/2024</v>
      </c>
      <c r="E1372" t="s">
        <v>202</v>
      </c>
      <c r="F1372" t="s">
        <v>216</v>
      </c>
      <c r="G1372" t="s">
        <v>217</v>
      </c>
      <c r="I1372">
        <v>30</v>
      </c>
      <c r="J1372">
        <v>38</v>
      </c>
      <c r="K1372">
        <v>1.27</v>
      </c>
      <c r="M1372" t="s">
        <v>289</v>
      </c>
    </row>
    <row r="1373" spans="1:13" hidden="1">
      <c r="A1373" t="s">
        <v>99</v>
      </c>
      <c r="B1373" t="s">
        <v>8</v>
      </c>
      <c r="C1373" t="s">
        <v>98</v>
      </c>
      <c r="D1373" t="str">
        <f>LEFT(M1373,10)</f>
        <v>11/15/2024</v>
      </c>
      <c r="E1373" t="s">
        <v>202</v>
      </c>
      <c r="F1373" t="s">
        <v>203</v>
      </c>
      <c r="G1373" t="s">
        <v>259</v>
      </c>
      <c r="I1373">
        <v>285</v>
      </c>
      <c r="J1373">
        <v>1500</v>
      </c>
      <c r="K1373">
        <v>5.26</v>
      </c>
      <c r="M1373" t="s">
        <v>289</v>
      </c>
    </row>
    <row r="1374" spans="1:13" hidden="1">
      <c r="A1374" t="s">
        <v>99</v>
      </c>
      <c r="B1374" t="s">
        <v>8</v>
      </c>
      <c r="C1374" t="s">
        <v>98</v>
      </c>
      <c r="D1374" t="str">
        <f>LEFT(M1374,10)</f>
        <v>11/15/2024</v>
      </c>
      <c r="E1374" t="s">
        <v>202</v>
      </c>
      <c r="F1374" t="s">
        <v>227</v>
      </c>
      <c r="G1374" t="s">
        <v>229</v>
      </c>
      <c r="I1374">
        <v>3558.8</v>
      </c>
      <c r="J1374">
        <v>2847.04</v>
      </c>
      <c r="K1374">
        <v>0.8</v>
      </c>
      <c r="M1374" t="s">
        <v>289</v>
      </c>
    </row>
    <row r="1375" spans="1:13" hidden="1">
      <c r="A1375" t="s">
        <v>99</v>
      </c>
      <c r="B1375" t="s">
        <v>8</v>
      </c>
      <c r="C1375" t="s">
        <v>98</v>
      </c>
      <c r="D1375" t="str">
        <f>LEFT(M1375,10)</f>
        <v>11/15/2024</v>
      </c>
      <c r="E1375" t="s">
        <v>202</v>
      </c>
      <c r="F1375" t="s">
        <v>227</v>
      </c>
      <c r="G1375" t="s">
        <v>237</v>
      </c>
      <c r="I1375">
        <v>452.4</v>
      </c>
      <c r="J1375">
        <v>271.44</v>
      </c>
      <c r="K1375">
        <v>0.6</v>
      </c>
      <c r="M1375" t="s">
        <v>289</v>
      </c>
    </row>
    <row r="1376" spans="1:13" hidden="1">
      <c r="A1376" t="s">
        <v>99</v>
      </c>
      <c r="B1376" t="s">
        <v>8</v>
      </c>
      <c r="C1376" t="s">
        <v>98</v>
      </c>
      <c r="D1376" t="str">
        <f>LEFT(M1376,10)</f>
        <v>11/15/2024</v>
      </c>
      <c r="E1376" t="s">
        <v>202</v>
      </c>
      <c r="F1376" t="s">
        <v>218</v>
      </c>
      <c r="G1376" t="s">
        <v>224</v>
      </c>
      <c r="I1376">
        <v>104.8</v>
      </c>
      <c r="J1376">
        <v>104.8</v>
      </c>
      <c r="K1376">
        <v>1</v>
      </c>
      <c r="M1376" t="s">
        <v>289</v>
      </c>
    </row>
    <row r="1377" spans="1:13" hidden="1">
      <c r="A1377" t="s">
        <v>99</v>
      </c>
      <c r="B1377" t="s">
        <v>8</v>
      </c>
      <c r="C1377" t="s">
        <v>98</v>
      </c>
      <c r="D1377" t="str">
        <f>LEFT(M1377,10)</f>
        <v>11/15/2024</v>
      </c>
      <c r="E1377" t="s">
        <v>202</v>
      </c>
      <c r="F1377" t="s">
        <v>218</v>
      </c>
      <c r="G1377" t="s">
        <v>223</v>
      </c>
      <c r="I1377">
        <v>540.4</v>
      </c>
      <c r="J1377">
        <v>486.36</v>
      </c>
      <c r="K1377">
        <v>0.9</v>
      </c>
      <c r="M1377" t="s">
        <v>289</v>
      </c>
    </row>
    <row r="1378" spans="1:13" hidden="1">
      <c r="A1378" t="s">
        <v>99</v>
      </c>
      <c r="B1378" t="s">
        <v>8</v>
      </c>
      <c r="C1378" t="s">
        <v>98</v>
      </c>
      <c r="D1378" t="str">
        <f>LEFT(M1378,10)</f>
        <v>11/15/2024</v>
      </c>
      <c r="E1378" t="s">
        <v>202</v>
      </c>
      <c r="F1378" t="s">
        <v>218</v>
      </c>
      <c r="G1378" t="s">
        <v>226</v>
      </c>
      <c r="I1378">
        <v>90</v>
      </c>
      <c r="J1378">
        <v>27</v>
      </c>
      <c r="K1378">
        <v>0.3</v>
      </c>
      <c r="M1378" t="s">
        <v>289</v>
      </c>
    </row>
    <row r="1379" spans="1:13" hidden="1">
      <c r="A1379" t="s">
        <v>99</v>
      </c>
      <c r="B1379" t="s">
        <v>8</v>
      </c>
      <c r="C1379" t="s">
        <v>98</v>
      </c>
      <c r="D1379" t="str">
        <f>LEFT(M1379,10)</f>
        <v>11/15/2024</v>
      </c>
      <c r="E1379" t="s">
        <v>202</v>
      </c>
      <c r="F1379" t="s">
        <v>227</v>
      </c>
      <c r="G1379" t="s">
        <v>238</v>
      </c>
      <c r="I1379">
        <v>98.2</v>
      </c>
      <c r="J1379">
        <v>34.369999999999997</v>
      </c>
      <c r="K1379">
        <v>0.35</v>
      </c>
      <c r="M1379" t="s">
        <v>289</v>
      </c>
    </row>
    <row r="1380" spans="1:13" hidden="1">
      <c r="A1380" t="s">
        <v>99</v>
      </c>
      <c r="B1380" t="s">
        <v>8</v>
      </c>
      <c r="C1380" t="s">
        <v>98</v>
      </c>
      <c r="D1380" t="str">
        <f>LEFT(M1380,10)</f>
        <v>11/15/2024</v>
      </c>
      <c r="E1380" t="s">
        <v>202</v>
      </c>
      <c r="F1380" t="s">
        <v>227</v>
      </c>
      <c r="G1380" t="s">
        <v>252</v>
      </c>
      <c r="I1380">
        <v>150.80000000000001</v>
      </c>
      <c r="J1380">
        <v>52.78</v>
      </c>
      <c r="K1380">
        <v>0.35</v>
      </c>
      <c r="M1380" t="s">
        <v>289</v>
      </c>
    </row>
    <row r="1381" spans="1:13" hidden="1">
      <c r="A1381" t="s">
        <v>99</v>
      </c>
      <c r="B1381" t="s">
        <v>8</v>
      </c>
      <c r="C1381" t="s">
        <v>98</v>
      </c>
      <c r="D1381" t="str">
        <f>LEFT(M1381,10)</f>
        <v>11/15/2024</v>
      </c>
      <c r="E1381" t="s">
        <v>202</v>
      </c>
      <c r="F1381" t="s">
        <v>218</v>
      </c>
      <c r="G1381" t="s">
        <v>243</v>
      </c>
      <c r="H1381" t="s">
        <v>392</v>
      </c>
      <c r="I1381">
        <v>178</v>
      </c>
      <c r="J1381">
        <v>71.2</v>
      </c>
      <c r="K1381">
        <v>0.4</v>
      </c>
      <c r="M1381" t="s">
        <v>289</v>
      </c>
    </row>
    <row r="1382" spans="1:13" hidden="1">
      <c r="A1382" t="s">
        <v>99</v>
      </c>
      <c r="B1382" t="s">
        <v>8</v>
      </c>
      <c r="C1382" t="s">
        <v>98</v>
      </c>
      <c r="D1382" t="str">
        <f>LEFT(M1382,10)</f>
        <v>11/15/2024</v>
      </c>
      <c r="E1382" t="s">
        <v>202</v>
      </c>
      <c r="F1382" t="s">
        <v>218</v>
      </c>
      <c r="G1382" t="s">
        <v>220</v>
      </c>
      <c r="I1382">
        <v>243.8</v>
      </c>
      <c r="J1382">
        <v>365.7</v>
      </c>
      <c r="K1382">
        <v>1.5</v>
      </c>
      <c r="M1382" t="s">
        <v>289</v>
      </c>
    </row>
    <row r="1383" spans="1:13" hidden="1">
      <c r="A1383" t="s">
        <v>99</v>
      </c>
      <c r="B1383" t="s">
        <v>8</v>
      </c>
      <c r="C1383" t="s">
        <v>98</v>
      </c>
      <c r="D1383" t="str">
        <f>LEFT(M1383,10)</f>
        <v>11/15/2024</v>
      </c>
      <c r="E1383" t="s">
        <v>202</v>
      </c>
      <c r="F1383" t="s">
        <v>218</v>
      </c>
      <c r="G1383" t="s">
        <v>266</v>
      </c>
      <c r="I1383">
        <v>142.80000000000001</v>
      </c>
      <c r="J1383">
        <v>1.42</v>
      </c>
      <c r="K1383">
        <v>0.01</v>
      </c>
      <c r="M1383" t="s">
        <v>289</v>
      </c>
    </row>
    <row r="1384" spans="1:13" hidden="1">
      <c r="A1384" t="s">
        <v>99</v>
      </c>
      <c r="B1384" t="s">
        <v>8</v>
      </c>
      <c r="C1384" t="s">
        <v>98</v>
      </c>
      <c r="D1384" t="str">
        <f>LEFT(M1384,10)</f>
        <v>11/15/2024</v>
      </c>
      <c r="E1384" t="s">
        <v>202</v>
      </c>
      <c r="F1384" t="s">
        <v>218</v>
      </c>
      <c r="G1384" t="s">
        <v>221</v>
      </c>
      <c r="I1384">
        <v>224.8</v>
      </c>
      <c r="J1384">
        <v>584.48</v>
      </c>
      <c r="K1384">
        <v>2.6</v>
      </c>
      <c r="M1384" t="s">
        <v>289</v>
      </c>
    </row>
    <row r="1385" spans="1:13" hidden="1">
      <c r="A1385" t="s">
        <v>99</v>
      </c>
      <c r="B1385" t="s">
        <v>8</v>
      </c>
      <c r="C1385" t="s">
        <v>98</v>
      </c>
      <c r="D1385" t="str">
        <f>LEFT(M1385,10)</f>
        <v>11/15/2024</v>
      </c>
      <c r="E1385" t="s">
        <v>202</v>
      </c>
      <c r="F1385" t="s">
        <v>218</v>
      </c>
      <c r="G1385" t="s">
        <v>221</v>
      </c>
      <c r="I1385">
        <v>184.6</v>
      </c>
      <c r="J1385">
        <v>461.5</v>
      </c>
      <c r="K1385">
        <v>2.5</v>
      </c>
      <c r="M1385" t="s">
        <v>289</v>
      </c>
    </row>
    <row r="1386" spans="1:13" hidden="1">
      <c r="A1386" t="s">
        <v>99</v>
      </c>
      <c r="B1386" t="s">
        <v>8</v>
      </c>
      <c r="C1386" t="s">
        <v>98</v>
      </c>
      <c r="D1386" t="str">
        <f>LEFT(M1386,10)</f>
        <v>11/15/2024</v>
      </c>
      <c r="E1386" t="s">
        <v>202</v>
      </c>
      <c r="F1386" t="s">
        <v>218</v>
      </c>
      <c r="G1386" t="s">
        <v>222</v>
      </c>
      <c r="I1386">
        <v>562.4</v>
      </c>
      <c r="J1386">
        <v>843.6</v>
      </c>
      <c r="K1386">
        <v>1.5</v>
      </c>
      <c r="M1386" t="s">
        <v>289</v>
      </c>
    </row>
    <row r="1387" spans="1:13" hidden="1">
      <c r="A1387" t="s">
        <v>99</v>
      </c>
      <c r="B1387" t="s">
        <v>8</v>
      </c>
      <c r="C1387" t="s">
        <v>98</v>
      </c>
      <c r="D1387" t="str">
        <f>LEFT(M1387,10)</f>
        <v>11/15/2024</v>
      </c>
      <c r="E1387" t="s">
        <v>202</v>
      </c>
      <c r="F1387" t="s">
        <v>218</v>
      </c>
      <c r="G1387" t="s">
        <v>268</v>
      </c>
      <c r="I1387">
        <v>59.6</v>
      </c>
      <c r="J1387">
        <v>59.6</v>
      </c>
      <c r="K1387">
        <v>1</v>
      </c>
      <c r="M1387" t="s">
        <v>289</v>
      </c>
    </row>
    <row r="1388" spans="1:13" hidden="1">
      <c r="A1388" t="s">
        <v>99</v>
      </c>
      <c r="B1388" t="s">
        <v>8</v>
      </c>
      <c r="C1388" t="s">
        <v>98</v>
      </c>
      <c r="D1388" t="str">
        <f>LEFT(M1388,10)</f>
        <v>11/15/2024</v>
      </c>
      <c r="E1388" t="s">
        <v>202</v>
      </c>
      <c r="F1388" t="s">
        <v>218</v>
      </c>
      <c r="G1388" t="s">
        <v>242</v>
      </c>
      <c r="I1388">
        <v>38.200000000000003</v>
      </c>
      <c r="J1388">
        <v>38.200000000000003</v>
      </c>
      <c r="K1388">
        <v>1</v>
      </c>
      <c r="M1388" t="s">
        <v>289</v>
      </c>
    </row>
    <row r="1389" spans="1:13" hidden="1">
      <c r="A1389" t="s">
        <v>99</v>
      </c>
      <c r="B1389" t="s">
        <v>8</v>
      </c>
      <c r="C1389" t="s">
        <v>98</v>
      </c>
      <c r="D1389" t="str">
        <f>LEFT(M1389,10)</f>
        <v>11/15/2024</v>
      </c>
      <c r="E1389" t="s">
        <v>202</v>
      </c>
      <c r="F1389" t="s">
        <v>218</v>
      </c>
      <c r="G1389" t="s">
        <v>240</v>
      </c>
      <c r="I1389">
        <v>417.8</v>
      </c>
      <c r="J1389">
        <v>1880.1</v>
      </c>
      <c r="K1389">
        <v>4.5</v>
      </c>
      <c r="M1389" t="s">
        <v>289</v>
      </c>
    </row>
    <row r="1390" spans="1:13" hidden="1">
      <c r="A1390" t="s">
        <v>99</v>
      </c>
      <c r="B1390" t="s">
        <v>8</v>
      </c>
      <c r="C1390" t="s">
        <v>98</v>
      </c>
      <c r="D1390" t="str">
        <f>LEFT(M1390,10)</f>
        <v>11/15/2024</v>
      </c>
      <c r="E1390" t="s">
        <v>202</v>
      </c>
      <c r="F1390" t="s">
        <v>216</v>
      </c>
      <c r="G1390" t="s">
        <v>253</v>
      </c>
      <c r="I1390">
        <v>1104</v>
      </c>
      <c r="J1390">
        <v>220.8</v>
      </c>
      <c r="K1390">
        <v>0.2</v>
      </c>
      <c r="M1390" t="s">
        <v>289</v>
      </c>
    </row>
    <row r="1391" spans="1:13" hidden="1">
      <c r="A1391" t="s">
        <v>99</v>
      </c>
      <c r="B1391" t="s">
        <v>8</v>
      </c>
      <c r="C1391" t="s">
        <v>98</v>
      </c>
      <c r="D1391" t="str">
        <f>LEFT(M1391,10)</f>
        <v>11/15/2024</v>
      </c>
      <c r="E1391" t="s">
        <v>202</v>
      </c>
      <c r="F1391" t="s">
        <v>203</v>
      </c>
      <c r="G1391" t="s">
        <v>215</v>
      </c>
      <c r="I1391">
        <v>1420</v>
      </c>
      <c r="J1391">
        <v>1136</v>
      </c>
      <c r="K1391">
        <v>0.8</v>
      </c>
      <c r="M1391" t="s">
        <v>289</v>
      </c>
    </row>
    <row r="1392" spans="1:13" hidden="1">
      <c r="A1392" t="s">
        <v>99</v>
      </c>
      <c r="B1392" t="s">
        <v>8</v>
      </c>
      <c r="C1392" t="s">
        <v>98</v>
      </c>
      <c r="D1392" t="str">
        <f>LEFT(M1392,10)</f>
        <v>11/15/2024</v>
      </c>
      <c r="E1392" t="s">
        <v>232</v>
      </c>
      <c r="F1392" t="s">
        <v>262</v>
      </c>
      <c r="I1392">
        <v>0</v>
      </c>
      <c r="J1392">
        <v>1197.79</v>
      </c>
      <c r="M1392" t="s">
        <v>289</v>
      </c>
    </row>
    <row r="1393" spans="1:13" hidden="1">
      <c r="A1393" t="s">
        <v>99</v>
      </c>
      <c r="B1393" t="s">
        <v>8</v>
      </c>
      <c r="C1393" t="s">
        <v>98</v>
      </c>
      <c r="D1393" t="str">
        <f>LEFT(M1393,10)</f>
        <v>11/15/2024</v>
      </c>
      <c r="E1393" t="s">
        <v>234</v>
      </c>
      <c r="F1393" t="s">
        <v>234</v>
      </c>
      <c r="I1393">
        <v>1120</v>
      </c>
      <c r="M1393" t="s">
        <v>289</v>
      </c>
    </row>
    <row r="1394" spans="1:13" hidden="1">
      <c r="A1394" t="s">
        <v>99</v>
      </c>
      <c r="B1394" t="s">
        <v>8</v>
      </c>
      <c r="C1394" t="s">
        <v>98</v>
      </c>
      <c r="D1394" t="str">
        <f>LEFT(M1394,10)</f>
        <v>11/15/2024</v>
      </c>
      <c r="E1394" t="s">
        <v>234</v>
      </c>
      <c r="F1394" t="s">
        <v>234</v>
      </c>
      <c r="I1394">
        <v>1</v>
      </c>
      <c r="M1394" t="s">
        <v>289</v>
      </c>
    </row>
    <row r="1395" spans="1:13" hidden="1">
      <c r="A1395" t="s">
        <v>101</v>
      </c>
      <c r="B1395" t="s">
        <v>8</v>
      </c>
      <c r="C1395" t="s">
        <v>100</v>
      </c>
      <c r="D1395" t="str">
        <f>LEFT(M1395,10)</f>
        <v>11/15/2024</v>
      </c>
      <c r="E1395" t="s">
        <v>202</v>
      </c>
      <c r="F1395" t="s">
        <v>203</v>
      </c>
      <c r="G1395" t="s">
        <v>236</v>
      </c>
      <c r="I1395">
        <v>2950</v>
      </c>
      <c r="J1395">
        <v>2065</v>
      </c>
      <c r="K1395">
        <v>0.7</v>
      </c>
      <c r="M1395" t="s">
        <v>289</v>
      </c>
    </row>
    <row r="1396" spans="1:13" hidden="1">
      <c r="A1396" t="s">
        <v>101</v>
      </c>
      <c r="B1396" t="s">
        <v>8</v>
      </c>
      <c r="C1396" t="s">
        <v>100</v>
      </c>
      <c r="D1396" t="str">
        <f>LEFT(M1396,10)</f>
        <v>11/15/2024</v>
      </c>
      <c r="E1396" t="s">
        <v>202</v>
      </c>
      <c r="F1396" t="s">
        <v>203</v>
      </c>
      <c r="G1396" t="s">
        <v>261</v>
      </c>
      <c r="I1396">
        <v>42.6</v>
      </c>
      <c r="J1396">
        <v>1704</v>
      </c>
      <c r="K1396">
        <v>40</v>
      </c>
      <c r="M1396" t="s">
        <v>289</v>
      </c>
    </row>
    <row r="1397" spans="1:13" hidden="1">
      <c r="A1397" t="s">
        <v>101</v>
      </c>
      <c r="B1397" t="s">
        <v>8</v>
      </c>
      <c r="C1397" t="s">
        <v>100</v>
      </c>
      <c r="D1397" t="str">
        <f>LEFT(M1397,10)</f>
        <v>11/15/2024</v>
      </c>
      <c r="E1397" t="s">
        <v>202</v>
      </c>
      <c r="F1397" t="s">
        <v>203</v>
      </c>
      <c r="G1397" t="s">
        <v>204</v>
      </c>
      <c r="I1397">
        <v>256.8</v>
      </c>
      <c r="J1397">
        <v>2311.1999999999998</v>
      </c>
      <c r="K1397">
        <v>9</v>
      </c>
      <c r="M1397" t="s">
        <v>289</v>
      </c>
    </row>
    <row r="1398" spans="1:13" hidden="1">
      <c r="A1398" t="s">
        <v>101</v>
      </c>
      <c r="B1398" t="s">
        <v>8</v>
      </c>
      <c r="C1398" t="s">
        <v>100</v>
      </c>
      <c r="D1398" t="str">
        <f>LEFT(M1398,10)</f>
        <v>11/15/2024</v>
      </c>
      <c r="E1398" t="s">
        <v>202</v>
      </c>
      <c r="F1398" t="s">
        <v>216</v>
      </c>
      <c r="G1398" t="s">
        <v>253</v>
      </c>
      <c r="I1398">
        <v>1310</v>
      </c>
      <c r="J1398">
        <v>262</v>
      </c>
      <c r="K1398">
        <v>0.2</v>
      </c>
      <c r="M1398" t="s">
        <v>289</v>
      </c>
    </row>
    <row r="1399" spans="1:13" hidden="1">
      <c r="A1399" t="s">
        <v>101</v>
      </c>
      <c r="B1399" t="s">
        <v>8</v>
      </c>
      <c r="C1399" t="s">
        <v>100</v>
      </c>
      <c r="D1399" t="str">
        <f>LEFT(M1399,10)</f>
        <v>11/15/2024</v>
      </c>
      <c r="E1399" t="s">
        <v>202</v>
      </c>
      <c r="F1399" t="s">
        <v>227</v>
      </c>
      <c r="G1399" t="s">
        <v>228</v>
      </c>
      <c r="I1399">
        <v>1328</v>
      </c>
      <c r="J1399">
        <v>464.8</v>
      </c>
      <c r="K1399">
        <v>0.35</v>
      </c>
      <c r="M1399" t="s">
        <v>289</v>
      </c>
    </row>
    <row r="1400" spans="1:13" hidden="1">
      <c r="A1400" t="s">
        <v>101</v>
      </c>
      <c r="B1400" t="s">
        <v>8</v>
      </c>
      <c r="C1400" t="s">
        <v>100</v>
      </c>
      <c r="D1400" t="str">
        <f>LEFT(M1400,10)</f>
        <v>11/15/2024</v>
      </c>
      <c r="E1400" t="s">
        <v>202</v>
      </c>
      <c r="F1400" t="s">
        <v>227</v>
      </c>
      <c r="G1400" t="s">
        <v>238</v>
      </c>
      <c r="I1400">
        <v>427</v>
      </c>
      <c r="J1400">
        <v>192.15</v>
      </c>
      <c r="K1400">
        <v>0.45</v>
      </c>
      <c r="M1400" t="s">
        <v>289</v>
      </c>
    </row>
    <row r="1401" spans="1:13" hidden="1">
      <c r="A1401" t="s">
        <v>101</v>
      </c>
      <c r="B1401" t="s">
        <v>8</v>
      </c>
      <c r="C1401" t="s">
        <v>100</v>
      </c>
      <c r="D1401" t="str">
        <f>LEFT(M1401,10)</f>
        <v>11/15/2024</v>
      </c>
      <c r="E1401" t="s">
        <v>202</v>
      </c>
      <c r="F1401" t="s">
        <v>227</v>
      </c>
      <c r="G1401" t="s">
        <v>252</v>
      </c>
      <c r="I1401">
        <v>151</v>
      </c>
      <c r="J1401">
        <v>67.95</v>
      </c>
      <c r="K1401">
        <v>0.45</v>
      </c>
      <c r="M1401" t="s">
        <v>289</v>
      </c>
    </row>
    <row r="1402" spans="1:13" hidden="1">
      <c r="A1402" t="s">
        <v>101</v>
      </c>
      <c r="B1402" t="s">
        <v>8</v>
      </c>
      <c r="C1402" t="s">
        <v>100</v>
      </c>
      <c r="D1402" t="str">
        <f>LEFT(M1402,10)</f>
        <v>11/15/2024</v>
      </c>
      <c r="E1402" t="s">
        <v>202</v>
      </c>
      <c r="F1402" t="s">
        <v>227</v>
      </c>
      <c r="G1402" t="s">
        <v>229</v>
      </c>
      <c r="I1402">
        <v>9755</v>
      </c>
      <c r="J1402">
        <v>8096.65</v>
      </c>
      <c r="K1402">
        <v>0.83</v>
      </c>
      <c r="M1402" t="s">
        <v>289</v>
      </c>
    </row>
    <row r="1403" spans="1:13" hidden="1">
      <c r="A1403" t="s">
        <v>101</v>
      </c>
      <c r="B1403" t="s">
        <v>8</v>
      </c>
      <c r="C1403" t="s">
        <v>100</v>
      </c>
      <c r="D1403" t="str">
        <f>LEFT(M1403,10)</f>
        <v>11/15/2024</v>
      </c>
      <c r="E1403" t="s">
        <v>202</v>
      </c>
      <c r="F1403" t="s">
        <v>218</v>
      </c>
      <c r="G1403" t="s">
        <v>247</v>
      </c>
      <c r="I1403">
        <v>60</v>
      </c>
      <c r="J1403">
        <v>264</v>
      </c>
      <c r="K1403">
        <v>4.4000000000000004</v>
      </c>
      <c r="M1403" t="s">
        <v>289</v>
      </c>
    </row>
    <row r="1404" spans="1:13" hidden="1">
      <c r="A1404" t="s">
        <v>101</v>
      </c>
      <c r="B1404" t="s">
        <v>8</v>
      </c>
      <c r="C1404" t="s">
        <v>100</v>
      </c>
      <c r="D1404" t="str">
        <f>LEFT(M1404,10)</f>
        <v>11/15/2024</v>
      </c>
      <c r="E1404" t="s">
        <v>202</v>
      </c>
      <c r="F1404" t="s">
        <v>218</v>
      </c>
      <c r="G1404" t="s">
        <v>225</v>
      </c>
      <c r="I1404">
        <v>80</v>
      </c>
      <c r="J1404">
        <v>80</v>
      </c>
      <c r="K1404">
        <v>1</v>
      </c>
      <c r="M1404" t="s">
        <v>289</v>
      </c>
    </row>
    <row r="1405" spans="1:13" hidden="1">
      <c r="A1405" t="s">
        <v>101</v>
      </c>
      <c r="B1405" t="s">
        <v>8</v>
      </c>
      <c r="C1405" t="s">
        <v>100</v>
      </c>
      <c r="D1405" t="str">
        <f>LEFT(M1405,10)</f>
        <v>11/15/2024</v>
      </c>
      <c r="E1405" t="s">
        <v>202</v>
      </c>
      <c r="F1405" t="s">
        <v>218</v>
      </c>
      <c r="G1405" t="s">
        <v>220</v>
      </c>
      <c r="I1405">
        <v>968</v>
      </c>
      <c r="J1405">
        <v>1534.95</v>
      </c>
      <c r="K1405">
        <v>1.59</v>
      </c>
      <c r="M1405" t="s">
        <v>289</v>
      </c>
    </row>
    <row r="1406" spans="1:13" hidden="1">
      <c r="A1406" t="s">
        <v>101</v>
      </c>
      <c r="B1406" t="s">
        <v>8</v>
      </c>
      <c r="C1406" t="s">
        <v>100</v>
      </c>
      <c r="D1406" t="str">
        <f>LEFT(M1406,10)</f>
        <v>11/15/2024</v>
      </c>
      <c r="E1406" t="s">
        <v>202</v>
      </c>
      <c r="F1406" t="s">
        <v>218</v>
      </c>
      <c r="G1406" t="s">
        <v>226</v>
      </c>
      <c r="I1406">
        <v>447</v>
      </c>
      <c r="J1406">
        <v>178.8</v>
      </c>
      <c r="K1406">
        <v>0.4</v>
      </c>
      <c r="M1406" t="s">
        <v>289</v>
      </c>
    </row>
    <row r="1407" spans="1:13" hidden="1">
      <c r="A1407" t="s">
        <v>101</v>
      </c>
      <c r="B1407" t="s">
        <v>8</v>
      </c>
      <c r="C1407" t="s">
        <v>100</v>
      </c>
      <c r="D1407" t="str">
        <f>LEFT(M1407,10)</f>
        <v>11/15/2024</v>
      </c>
      <c r="E1407" t="s">
        <v>202</v>
      </c>
      <c r="F1407" t="s">
        <v>218</v>
      </c>
      <c r="G1407" t="s">
        <v>223</v>
      </c>
      <c r="I1407">
        <v>1358</v>
      </c>
      <c r="J1407">
        <v>1143</v>
      </c>
      <c r="K1407">
        <v>0.84</v>
      </c>
      <c r="M1407" t="s">
        <v>289</v>
      </c>
    </row>
    <row r="1408" spans="1:13" hidden="1">
      <c r="A1408" t="s">
        <v>101</v>
      </c>
      <c r="B1408" t="s">
        <v>8</v>
      </c>
      <c r="C1408" t="s">
        <v>100</v>
      </c>
      <c r="D1408" t="str">
        <f>LEFT(M1408,10)</f>
        <v>11/15/2024</v>
      </c>
      <c r="E1408" t="s">
        <v>202</v>
      </c>
      <c r="F1408" t="s">
        <v>218</v>
      </c>
      <c r="G1408" t="s">
        <v>240</v>
      </c>
      <c r="I1408">
        <v>695</v>
      </c>
      <c r="J1408">
        <v>3185.7</v>
      </c>
      <c r="K1408">
        <v>4.58</v>
      </c>
      <c r="M1408" t="s">
        <v>289</v>
      </c>
    </row>
    <row r="1409" spans="1:13" hidden="1">
      <c r="A1409" t="s">
        <v>101</v>
      </c>
      <c r="B1409" t="s">
        <v>8</v>
      </c>
      <c r="C1409" t="s">
        <v>100</v>
      </c>
      <c r="D1409" t="str">
        <f>LEFT(M1409,10)</f>
        <v>11/15/2024</v>
      </c>
      <c r="E1409" t="s">
        <v>202</v>
      </c>
      <c r="F1409" t="s">
        <v>218</v>
      </c>
      <c r="G1409" t="s">
        <v>242</v>
      </c>
      <c r="I1409">
        <v>67</v>
      </c>
      <c r="J1409">
        <v>67</v>
      </c>
      <c r="K1409">
        <v>1</v>
      </c>
      <c r="M1409" t="s">
        <v>289</v>
      </c>
    </row>
    <row r="1410" spans="1:13" hidden="1">
      <c r="A1410" t="s">
        <v>101</v>
      </c>
      <c r="B1410" t="s">
        <v>8</v>
      </c>
      <c r="C1410" t="s">
        <v>100</v>
      </c>
      <c r="D1410" t="str">
        <f>LEFT(M1410,10)</f>
        <v>11/15/2024</v>
      </c>
      <c r="E1410" t="s">
        <v>202</v>
      </c>
      <c r="F1410" t="s">
        <v>218</v>
      </c>
      <c r="G1410" t="s">
        <v>224</v>
      </c>
      <c r="I1410">
        <v>206</v>
      </c>
      <c r="J1410">
        <v>247.2</v>
      </c>
      <c r="K1410">
        <v>1.2</v>
      </c>
      <c r="M1410" t="s">
        <v>289</v>
      </c>
    </row>
    <row r="1411" spans="1:13" hidden="1">
      <c r="A1411" t="s">
        <v>101</v>
      </c>
      <c r="B1411" t="s">
        <v>8</v>
      </c>
      <c r="C1411" t="s">
        <v>100</v>
      </c>
      <c r="D1411" t="str">
        <f>LEFT(M1411,10)</f>
        <v>11/15/2024</v>
      </c>
      <c r="E1411" t="s">
        <v>202</v>
      </c>
      <c r="F1411" t="s">
        <v>218</v>
      </c>
      <c r="G1411" t="s">
        <v>222</v>
      </c>
      <c r="I1411">
        <v>597</v>
      </c>
      <c r="J1411">
        <v>835.8</v>
      </c>
      <c r="K1411">
        <v>1.4</v>
      </c>
      <c r="M1411" t="s">
        <v>289</v>
      </c>
    </row>
    <row r="1412" spans="1:13" hidden="1">
      <c r="A1412" t="s">
        <v>101</v>
      </c>
      <c r="B1412" t="s">
        <v>8</v>
      </c>
      <c r="C1412" t="s">
        <v>100</v>
      </c>
      <c r="D1412" t="str">
        <f>LEFT(M1412,10)</f>
        <v>11/15/2024</v>
      </c>
      <c r="E1412" t="s">
        <v>202</v>
      </c>
      <c r="F1412" t="s">
        <v>218</v>
      </c>
      <c r="G1412" t="s">
        <v>243</v>
      </c>
      <c r="H1412" t="s">
        <v>393</v>
      </c>
      <c r="I1412">
        <v>276</v>
      </c>
      <c r="J1412">
        <v>579.6</v>
      </c>
      <c r="K1412">
        <v>2.1</v>
      </c>
      <c r="M1412" t="s">
        <v>289</v>
      </c>
    </row>
    <row r="1413" spans="1:13" hidden="1">
      <c r="A1413" t="s">
        <v>101</v>
      </c>
      <c r="B1413" t="s">
        <v>8</v>
      </c>
      <c r="C1413" t="s">
        <v>100</v>
      </c>
      <c r="D1413" t="str">
        <f>LEFT(M1413,10)</f>
        <v>11/15/2024</v>
      </c>
      <c r="E1413" t="s">
        <v>202</v>
      </c>
      <c r="F1413" t="s">
        <v>218</v>
      </c>
      <c r="G1413" t="s">
        <v>243</v>
      </c>
      <c r="H1413" t="s">
        <v>394</v>
      </c>
      <c r="I1413">
        <v>671</v>
      </c>
      <c r="J1413">
        <v>1803.7</v>
      </c>
      <c r="K1413">
        <v>2.69</v>
      </c>
      <c r="M1413" t="s">
        <v>289</v>
      </c>
    </row>
    <row r="1414" spans="1:13" hidden="1">
      <c r="A1414" t="s">
        <v>101</v>
      </c>
      <c r="B1414" t="s">
        <v>8</v>
      </c>
      <c r="C1414" t="s">
        <v>100</v>
      </c>
      <c r="D1414" t="str">
        <f>LEFT(M1414,10)</f>
        <v>11/15/2024</v>
      </c>
      <c r="E1414" t="s">
        <v>202</v>
      </c>
      <c r="F1414" t="s">
        <v>218</v>
      </c>
      <c r="G1414" t="s">
        <v>243</v>
      </c>
      <c r="H1414" t="s">
        <v>395</v>
      </c>
      <c r="I1414">
        <v>233</v>
      </c>
      <c r="J1414">
        <v>2.33</v>
      </c>
      <c r="K1414">
        <v>0.01</v>
      </c>
      <c r="M1414" t="s">
        <v>289</v>
      </c>
    </row>
    <row r="1415" spans="1:13" hidden="1">
      <c r="A1415" t="s">
        <v>101</v>
      </c>
      <c r="B1415" t="s">
        <v>8</v>
      </c>
      <c r="C1415" t="s">
        <v>100</v>
      </c>
      <c r="D1415" t="str">
        <f>LEFT(M1415,10)</f>
        <v>11/15/2024</v>
      </c>
      <c r="E1415" t="s">
        <v>232</v>
      </c>
      <c r="F1415" t="s">
        <v>255</v>
      </c>
      <c r="I1415">
        <v>0</v>
      </c>
      <c r="J1415">
        <v>50</v>
      </c>
      <c r="L1415" t="s">
        <v>396</v>
      </c>
      <c r="M1415" t="s">
        <v>289</v>
      </c>
    </row>
    <row r="1416" spans="1:13" hidden="1">
      <c r="A1416" t="s">
        <v>101</v>
      </c>
      <c r="B1416" t="s">
        <v>8</v>
      </c>
      <c r="C1416" t="s">
        <v>100</v>
      </c>
      <c r="D1416" t="str">
        <f>LEFT(M1416,10)</f>
        <v>11/15/2024</v>
      </c>
      <c r="E1416" t="s">
        <v>232</v>
      </c>
      <c r="F1416" t="s">
        <v>287</v>
      </c>
      <c r="I1416">
        <v>0</v>
      </c>
      <c r="J1416">
        <v>239</v>
      </c>
      <c r="M1416" t="s">
        <v>289</v>
      </c>
    </row>
    <row r="1417" spans="1:13" hidden="1">
      <c r="A1417" t="s">
        <v>101</v>
      </c>
      <c r="B1417" t="s">
        <v>8</v>
      </c>
      <c r="C1417" t="s">
        <v>100</v>
      </c>
      <c r="D1417" t="str">
        <f>LEFT(M1417,10)</f>
        <v>11/15/2024</v>
      </c>
      <c r="E1417" t="s">
        <v>232</v>
      </c>
      <c r="F1417" t="s">
        <v>254</v>
      </c>
      <c r="I1417">
        <v>0</v>
      </c>
      <c r="J1417">
        <v>501.81</v>
      </c>
      <c r="M1417" t="s">
        <v>289</v>
      </c>
    </row>
    <row r="1418" spans="1:13" hidden="1">
      <c r="A1418" t="s">
        <v>101</v>
      </c>
      <c r="B1418" t="s">
        <v>8</v>
      </c>
      <c r="C1418" t="s">
        <v>100</v>
      </c>
      <c r="D1418" t="str">
        <f>LEFT(M1418,10)</f>
        <v>11/15/2024</v>
      </c>
      <c r="E1418" t="s">
        <v>230</v>
      </c>
      <c r="F1418" t="s">
        <v>248</v>
      </c>
      <c r="I1418">
        <v>0</v>
      </c>
      <c r="J1418">
        <v>10036.15</v>
      </c>
      <c r="M1418" t="s">
        <v>289</v>
      </c>
    </row>
    <row r="1419" spans="1:13" hidden="1">
      <c r="A1419" t="s">
        <v>101</v>
      </c>
      <c r="B1419" t="s">
        <v>8</v>
      </c>
      <c r="C1419" t="s">
        <v>100</v>
      </c>
      <c r="D1419" t="str">
        <f>LEFT(M1419,10)</f>
        <v>11/15/2024</v>
      </c>
      <c r="E1419" t="s">
        <v>234</v>
      </c>
      <c r="F1419" t="s">
        <v>234</v>
      </c>
      <c r="I1419">
        <v>4719</v>
      </c>
      <c r="M1419" t="s">
        <v>289</v>
      </c>
    </row>
    <row r="1420" spans="1:13" hidden="1">
      <c r="A1420" t="s">
        <v>101</v>
      </c>
      <c r="B1420" t="s">
        <v>8</v>
      </c>
      <c r="C1420" t="s">
        <v>100</v>
      </c>
      <c r="D1420" t="str">
        <f>LEFT(M1420,10)</f>
        <v>11/15/2024</v>
      </c>
      <c r="E1420" t="s">
        <v>202</v>
      </c>
      <c r="F1420" t="s">
        <v>218</v>
      </c>
      <c r="G1420" t="s">
        <v>243</v>
      </c>
      <c r="H1420" t="s">
        <v>397</v>
      </c>
      <c r="I1420">
        <v>98</v>
      </c>
      <c r="J1420">
        <v>29.4</v>
      </c>
      <c r="K1420">
        <v>0.3</v>
      </c>
      <c r="M1420" t="s">
        <v>289</v>
      </c>
    </row>
    <row r="1421" spans="1:13" hidden="1">
      <c r="A1421" t="s">
        <v>101</v>
      </c>
      <c r="B1421" t="s">
        <v>8</v>
      </c>
      <c r="C1421" t="s">
        <v>100</v>
      </c>
      <c r="D1421" t="str">
        <f>LEFT(M1421,10)</f>
        <v>11/15/2024</v>
      </c>
      <c r="E1421" t="s">
        <v>202</v>
      </c>
      <c r="F1421" t="s">
        <v>227</v>
      </c>
      <c r="G1421" t="s">
        <v>237</v>
      </c>
      <c r="I1421">
        <v>1058</v>
      </c>
      <c r="J1421">
        <v>687.7</v>
      </c>
      <c r="K1421">
        <v>0.65</v>
      </c>
      <c r="M1421" t="s">
        <v>289</v>
      </c>
    </row>
    <row r="1422" spans="1:13" hidden="1">
      <c r="A1422" t="s">
        <v>101</v>
      </c>
      <c r="B1422" t="s">
        <v>8</v>
      </c>
      <c r="C1422" t="s">
        <v>100</v>
      </c>
      <c r="D1422" t="str">
        <f>LEFT(M1422,10)</f>
        <v>11/15/2024</v>
      </c>
      <c r="E1422" t="s">
        <v>202</v>
      </c>
      <c r="F1422" t="s">
        <v>218</v>
      </c>
      <c r="G1422" t="s">
        <v>241</v>
      </c>
      <c r="I1422">
        <v>125</v>
      </c>
      <c r="J1422">
        <v>569.1</v>
      </c>
      <c r="K1422">
        <v>4.55</v>
      </c>
      <c r="M1422" t="s">
        <v>289</v>
      </c>
    </row>
    <row r="1423" spans="1:13" hidden="1">
      <c r="A1423" t="s">
        <v>101</v>
      </c>
      <c r="B1423" t="s">
        <v>8</v>
      </c>
      <c r="C1423" t="s">
        <v>100</v>
      </c>
      <c r="D1423" t="str">
        <f>LEFT(M1423,10)</f>
        <v>11/15/2024</v>
      </c>
      <c r="E1423" t="s">
        <v>202</v>
      </c>
      <c r="F1423" t="s">
        <v>209</v>
      </c>
      <c r="G1423" t="s">
        <v>214</v>
      </c>
      <c r="I1423">
        <v>789</v>
      </c>
      <c r="J1423">
        <v>710.1</v>
      </c>
      <c r="K1423">
        <v>0.9</v>
      </c>
      <c r="M1423" t="s">
        <v>289</v>
      </c>
    </row>
    <row r="1424" spans="1:13" hidden="1">
      <c r="A1424" t="s">
        <v>101</v>
      </c>
      <c r="B1424" t="s">
        <v>8</v>
      </c>
      <c r="C1424" t="s">
        <v>100</v>
      </c>
      <c r="D1424" t="str">
        <f>LEFT(M1424,10)</f>
        <v>11/15/2024</v>
      </c>
      <c r="E1424" t="s">
        <v>202</v>
      </c>
      <c r="F1424" t="s">
        <v>203</v>
      </c>
      <c r="G1424" t="s">
        <v>259</v>
      </c>
      <c r="I1424">
        <v>440.6</v>
      </c>
      <c r="J1424">
        <v>2757.71</v>
      </c>
      <c r="K1424">
        <v>6.26</v>
      </c>
      <c r="M1424" t="s">
        <v>289</v>
      </c>
    </row>
    <row r="1425" spans="1:13" hidden="1">
      <c r="A1425" t="s">
        <v>102</v>
      </c>
      <c r="B1425" t="s">
        <v>8</v>
      </c>
      <c r="C1425" t="s">
        <v>17</v>
      </c>
      <c r="D1425" t="str">
        <f>LEFT(M1425,10)</f>
        <v>11/15/2024</v>
      </c>
      <c r="E1425" t="s">
        <v>202</v>
      </c>
      <c r="F1425" t="s">
        <v>218</v>
      </c>
      <c r="G1425" t="s">
        <v>222</v>
      </c>
      <c r="I1425">
        <v>677</v>
      </c>
      <c r="J1425">
        <v>880.1</v>
      </c>
      <c r="K1425">
        <v>1.3</v>
      </c>
      <c r="M1425" t="s">
        <v>289</v>
      </c>
    </row>
    <row r="1426" spans="1:13" hidden="1">
      <c r="A1426" t="s">
        <v>102</v>
      </c>
      <c r="B1426" t="s">
        <v>8</v>
      </c>
      <c r="C1426" t="s">
        <v>17</v>
      </c>
      <c r="D1426" t="str">
        <f>LEFT(M1426,10)</f>
        <v>11/15/2024</v>
      </c>
      <c r="E1426" t="s">
        <v>202</v>
      </c>
      <c r="F1426" t="s">
        <v>218</v>
      </c>
      <c r="G1426" t="s">
        <v>240</v>
      </c>
      <c r="I1426">
        <v>1925</v>
      </c>
      <c r="J1426">
        <v>7315</v>
      </c>
      <c r="K1426">
        <v>3.8</v>
      </c>
      <c r="M1426" t="s">
        <v>289</v>
      </c>
    </row>
    <row r="1427" spans="1:13" hidden="1">
      <c r="A1427" t="s">
        <v>102</v>
      </c>
      <c r="B1427" t="s">
        <v>8</v>
      </c>
      <c r="C1427" t="s">
        <v>17</v>
      </c>
      <c r="D1427" t="str">
        <f>LEFT(M1427,10)</f>
        <v>11/15/2024</v>
      </c>
      <c r="E1427" t="s">
        <v>202</v>
      </c>
      <c r="F1427" t="s">
        <v>218</v>
      </c>
      <c r="G1427" t="s">
        <v>242</v>
      </c>
      <c r="I1427">
        <v>191</v>
      </c>
      <c r="J1427">
        <v>152.80000000000001</v>
      </c>
      <c r="K1427">
        <v>0.8</v>
      </c>
      <c r="M1427" t="s">
        <v>289</v>
      </c>
    </row>
    <row r="1428" spans="1:13" hidden="1">
      <c r="A1428" t="s">
        <v>102</v>
      </c>
      <c r="B1428" t="s">
        <v>8</v>
      </c>
      <c r="C1428" t="s">
        <v>17</v>
      </c>
      <c r="D1428" t="str">
        <f>LEFT(M1428,10)</f>
        <v>11/15/2024</v>
      </c>
      <c r="E1428" t="s">
        <v>202</v>
      </c>
      <c r="F1428" t="s">
        <v>218</v>
      </c>
      <c r="G1428" t="s">
        <v>220</v>
      </c>
      <c r="I1428">
        <v>1414</v>
      </c>
      <c r="J1428">
        <v>2050.3000000000002</v>
      </c>
      <c r="K1428">
        <v>1.45</v>
      </c>
      <c r="M1428" t="s">
        <v>289</v>
      </c>
    </row>
    <row r="1429" spans="1:13" hidden="1">
      <c r="A1429" t="s">
        <v>102</v>
      </c>
      <c r="B1429" t="s">
        <v>8</v>
      </c>
      <c r="C1429" t="s">
        <v>17</v>
      </c>
      <c r="D1429" t="str">
        <f>LEFT(M1429,10)</f>
        <v>11/15/2024</v>
      </c>
      <c r="E1429" t="s">
        <v>202</v>
      </c>
      <c r="F1429" t="s">
        <v>218</v>
      </c>
      <c r="G1429" t="s">
        <v>221</v>
      </c>
      <c r="I1429">
        <v>615</v>
      </c>
      <c r="J1429">
        <v>1371.2</v>
      </c>
      <c r="K1429">
        <v>2.23</v>
      </c>
      <c r="M1429" t="s">
        <v>289</v>
      </c>
    </row>
    <row r="1430" spans="1:13" hidden="1">
      <c r="A1430" t="s">
        <v>102</v>
      </c>
      <c r="B1430" t="s">
        <v>8</v>
      </c>
      <c r="C1430" t="s">
        <v>17</v>
      </c>
      <c r="D1430" t="str">
        <f>LEFT(M1430,10)</f>
        <v>11/15/2024</v>
      </c>
      <c r="E1430" t="s">
        <v>202</v>
      </c>
      <c r="F1430" t="s">
        <v>218</v>
      </c>
      <c r="G1430" t="s">
        <v>221</v>
      </c>
      <c r="I1430">
        <v>1196</v>
      </c>
      <c r="J1430">
        <v>2724</v>
      </c>
      <c r="K1430">
        <v>2.2799999999999998</v>
      </c>
      <c r="M1430" t="s">
        <v>289</v>
      </c>
    </row>
    <row r="1431" spans="1:13" hidden="1">
      <c r="A1431" t="s">
        <v>102</v>
      </c>
      <c r="B1431" t="s">
        <v>8</v>
      </c>
      <c r="C1431" t="s">
        <v>17</v>
      </c>
      <c r="D1431" t="str">
        <f>LEFT(M1431,10)</f>
        <v>11/15/2024</v>
      </c>
      <c r="E1431" t="s">
        <v>202</v>
      </c>
      <c r="F1431" t="s">
        <v>218</v>
      </c>
      <c r="G1431" t="s">
        <v>222</v>
      </c>
      <c r="I1431">
        <v>689</v>
      </c>
      <c r="J1431">
        <v>551.20000000000005</v>
      </c>
      <c r="K1431">
        <v>0.8</v>
      </c>
      <c r="M1431" t="s">
        <v>289</v>
      </c>
    </row>
    <row r="1432" spans="1:13" hidden="1">
      <c r="A1432" t="s">
        <v>102</v>
      </c>
      <c r="B1432" t="s">
        <v>8</v>
      </c>
      <c r="C1432" t="s">
        <v>17</v>
      </c>
      <c r="D1432" t="str">
        <f>LEFT(M1432,10)</f>
        <v>11/15/2024</v>
      </c>
      <c r="E1432" t="s">
        <v>202</v>
      </c>
      <c r="F1432" t="s">
        <v>218</v>
      </c>
      <c r="G1432" t="s">
        <v>226</v>
      </c>
      <c r="I1432">
        <v>2090</v>
      </c>
      <c r="J1432">
        <v>627</v>
      </c>
      <c r="K1432">
        <v>0.3</v>
      </c>
      <c r="M1432" t="s">
        <v>289</v>
      </c>
    </row>
    <row r="1433" spans="1:13" hidden="1">
      <c r="A1433" t="s">
        <v>102</v>
      </c>
      <c r="B1433" t="s">
        <v>8</v>
      </c>
      <c r="C1433" t="s">
        <v>17</v>
      </c>
      <c r="D1433" t="str">
        <f>LEFT(M1433,10)</f>
        <v>11/15/2024</v>
      </c>
      <c r="E1433" t="s">
        <v>202</v>
      </c>
      <c r="F1433" t="s">
        <v>218</v>
      </c>
      <c r="G1433" t="s">
        <v>225</v>
      </c>
      <c r="I1433">
        <v>316</v>
      </c>
      <c r="J1433">
        <v>284.39999999999998</v>
      </c>
      <c r="K1433">
        <v>0.9</v>
      </c>
      <c r="M1433" t="s">
        <v>289</v>
      </c>
    </row>
    <row r="1434" spans="1:13" hidden="1">
      <c r="A1434" t="s">
        <v>102</v>
      </c>
      <c r="B1434" t="s">
        <v>8</v>
      </c>
      <c r="C1434" t="s">
        <v>17</v>
      </c>
      <c r="D1434" t="str">
        <f>LEFT(M1434,10)</f>
        <v>11/15/2024</v>
      </c>
      <c r="E1434" t="s">
        <v>202</v>
      </c>
      <c r="F1434" t="s">
        <v>218</v>
      </c>
      <c r="G1434" t="s">
        <v>223</v>
      </c>
      <c r="I1434">
        <v>1150</v>
      </c>
      <c r="J1434">
        <v>805</v>
      </c>
      <c r="K1434">
        <v>0.7</v>
      </c>
      <c r="M1434" t="s">
        <v>289</v>
      </c>
    </row>
    <row r="1435" spans="1:13" hidden="1">
      <c r="A1435" t="s">
        <v>102</v>
      </c>
      <c r="B1435" t="s">
        <v>8</v>
      </c>
      <c r="C1435" t="s">
        <v>17</v>
      </c>
      <c r="D1435" t="str">
        <f>LEFT(M1435,10)</f>
        <v>11/15/2024</v>
      </c>
      <c r="E1435" t="s">
        <v>202</v>
      </c>
      <c r="F1435" t="s">
        <v>218</v>
      </c>
      <c r="G1435" t="s">
        <v>222</v>
      </c>
      <c r="I1435">
        <v>1037</v>
      </c>
      <c r="J1435">
        <v>1348.1</v>
      </c>
      <c r="K1435">
        <v>1.3</v>
      </c>
      <c r="M1435" t="s">
        <v>289</v>
      </c>
    </row>
    <row r="1436" spans="1:13" hidden="1">
      <c r="A1436" t="s">
        <v>102</v>
      </c>
      <c r="B1436" t="s">
        <v>8</v>
      </c>
      <c r="C1436" t="s">
        <v>17</v>
      </c>
      <c r="D1436" t="str">
        <f>LEFT(M1436,10)</f>
        <v>11/15/2024</v>
      </c>
      <c r="E1436" t="s">
        <v>202</v>
      </c>
      <c r="F1436" t="s">
        <v>218</v>
      </c>
      <c r="G1436" t="s">
        <v>222</v>
      </c>
      <c r="I1436">
        <v>1381</v>
      </c>
      <c r="J1436">
        <v>2209.6</v>
      </c>
      <c r="K1436">
        <v>1.6</v>
      </c>
      <c r="M1436" t="s">
        <v>289</v>
      </c>
    </row>
    <row r="1437" spans="1:13" hidden="1">
      <c r="A1437" t="s">
        <v>102</v>
      </c>
      <c r="B1437" t="s">
        <v>8</v>
      </c>
      <c r="C1437" t="s">
        <v>17</v>
      </c>
      <c r="D1437" t="str">
        <f>LEFT(M1437,10)</f>
        <v>11/15/2024</v>
      </c>
      <c r="E1437" t="s">
        <v>202</v>
      </c>
      <c r="F1437" t="s">
        <v>218</v>
      </c>
      <c r="G1437" t="s">
        <v>223</v>
      </c>
      <c r="I1437">
        <v>2925</v>
      </c>
      <c r="J1437">
        <v>2632.5</v>
      </c>
      <c r="K1437">
        <v>0.9</v>
      </c>
      <c r="M1437" t="s">
        <v>289</v>
      </c>
    </row>
    <row r="1438" spans="1:13" hidden="1">
      <c r="A1438" t="s">
        <v>102</v>
      </c>
      <c r="B1438" t="s">
        <v>8</v>
      </c>
      <c r="C1438" t="s">
        <v>17</v>
      </c>
      <c r="D1438" t="str">
        <f>LEFT(M1438,10)</f>
        <v>11/15/2024</v>
      </c>
      <c r="E1438" t="s">
        <v>202</v>
      </c>
      <c r="F1438" t="s">
        <v>218</v>
      </c>
      <c r="G1438" t="s">
        <v>241</v>
      </c>
      <c r="I1438">
        <v>527</v>
      </c>
      <c r="J1438">
        <v>2002.6</v>
      </c>
      <c r="K1438">
        <v>3.8</v>
      </c>
      <c r="M1438" t="s">
        <v>289</v>
      </c>
    </row>
    <row r="1439" spans="1:13" hidden="1">
      <c r="A1439" t="s">
        <v>102</v>
      </c>
      <c r="B1439" t="s">
        <v>8</v>
      </c>
      <c r="C1439" t="s">
        <v>17</v>
      </c>
      <c r="D1439" t="str">
        <f>LEFT(M1439,10)</f>
        <v>11/15/2024</v>
      </c>
      <c r="E1439" t="s">
        <v>202</v>
      </c>
      <c r="F1439" t="s">
        <v>218</v>
      </c>
      <c r="G1439" t="s">
        <v>266</v>
      </c>
      <c r="I1439">
        <v>1503</v>
      </c>
      <c r="J1439">
        <v>15.03</v>
      </c>
      <c r="K1439">
        <v>0.01</v>
      </c>
      <c r="M1439" t="s">
        <v>289</v>
      </c>
    </row>
    <row r="1440" spans="1:13" hidden="1">
      <c r="A1440" t="s">
        <v>102</v>
      </c>
      <c r="B1440" t="s">
        <v>8</v>
      </c>
      <c r="C1440" t="s">
        <v>17</v>
      </c>
      <c r="D1440" t="str">
        <f>LEFT(M1440,10)</f>
        <v>11/15/2024</v>
      </c>
      <c r="E1440" t="s">
        <v>202</v>
      </c>
      <c r="F1440" t="s">
        <v>218</v>
      </c>
      <c r="G1440" t="s">
        <v>224</v>
      </c>
      <c r="I1440">
        <v>1229</v>
      </c>
      <c r="J1440">
        <v>1106.0999999999999</v>
      </c>
      <c r="K1440">
        <v>0.9</v>
      </c>
      <c r="M1440" t="s">
        <v>289</v>
      </c>
    </row>
    <row r="1441" spans="1:13" hidden="1">
      <c r="A1441" t="s">
        <v>102</v>
      </c>
      <c r="B1441" t="s">
        <v>8</v>
      </c>
      <c r="C1441" t="s">
        <v>17</v>
      </c>
      <c r="D1441" t="str">
        <f>LEFT(M1441,10)</f>
        <v>11/15/2024</v>
      </c>
      <c r="E1441" t="s">
        <v>202</v>
      </c>
      <c r="F1441" t="s">
        <v>218</v>
      </c>
      <c r="G1441" t="s">
        <v>267</v>
      </c>
      <c r="I1441">
        <v>936</v>
      </c>
      <c r="J1441">
        <v>187.2</v>
      </c>
      <c r="K1441">
        <v>0.2</v>
      </c>
      <c r="M1441" t="s">
        <v>289</v>
      </c>
    </row>
    <row r="1442" spans="1:13" hidden="1">
      <c r="A1442" t="s">
        <v>102</v>
      </c>
      <c r="B1442" t="s">
        <v>8</v>
      </c>
      <c r="C1442" t="s">
        <v>17</v>
      </c>
      <c r="D1442" t="str">
        <f>LEFT(M1442,10)</f>
        <v>11/15/2024</v>
      </c>
      <c r="E1442" t="s">
        <v>202</v>
      </c>
      <c r="F1442" t="s">
        <v>218</v>
      </c>
      <c r="G1442" t="s">
        <v>247</v>
      </c>
      <c r="I1442">
        <v>75</v>
      </c>
      <c r="J1442">
        <v>300</v>
      </c>
      <c r="K1442">
        <v>4</v>
      </c>
      <c r="M1442" t="s">
        <v>289</v>
      </c>
    </row>
    <row r="1443" spans="1:13" hidden="1">
      <c r="A1443" t="s">
        <v>102</v>
      </c>
      <c r="B1443" t="s">
        <v>8</v>
      </c>
      <c r="C1443" t="s">
        <v>17</v>
      </c>
      <c r="D1443" t="str">
        <f>LEFT(M1443,10)</f>
        <v>11/15/2024</v>
      </c>
      <c r="E1443" t="s">
        <v>202</v>
      </c>
      <c r="F1443" t="s">
        <v>218</v>
      </c>
      <c r="G1443" t="s">
        <v>267</v>
      </c>
      <c r="I1443">
        <v>123</v>
      </c>
      <c r="J1443">
        <v>24.6</v>
      </c>
      <c r="K1443">
        <v>0.2</v>
      </c>
      <c r="M1443" t="s">
        <v>289</v>
      </c>
    </row>
    <row r="1444" spans="1:13" hidden="1">
      <c r="A1444" t="s">
        <v>102</v>
      </c>
      <c r="B1444" t="s">
        <v>8</v>
      </c>
      <c r="C1444" t="s">
        <v>17</v>
      </c>
      <c r="D1444" t="str">
        <f>LEFT(M1444,10)</f>
        <v>11/15/2024</v>
      </c>
      <c r="E1444" t="s">
        <v>202</v>
      </c>
      <c r="F1444" t="s">
        <v>218</v>
      </c>
      <c r="G1444" t="s">
        <v>222</v>
      </c>
      <c r="I1444">
        <v>150</v>
      </c>
      <c r="J1444">
        <v>195</v>
      </c>
      <c r="K1444">
        <v>1.3</v>
      </c>
      <c r="M1444" t="s">
        <v>289</v>
      </c>
    </row>
    <row r="1445" spans="1:13" hidden="1">
      <c r="A1445" t="s">
        <v>102</v>
      </c>
      <c r="B1445" t="s">
        <v>8</v>
      </c>
      <c r="C1445" t="s">
        <v>17</v>
      </c>
      <c r="D1445" t="str">
        <f>LEFT(M1445,10)</f>
        <v>11/15/2024</v>
      </c>
      <c r="E1445" t="s">
        <v>202</v>
      </c>
      <c r="F1445" t="s">
        <v>218</v>
      </c>
      <c r="G1445" t="s">
        <v>219</v>
      </c>
      <c r="I1445">
        <v>129</v>
      </c>
      <c r="J1445">
        <v>167.7</v>
      </c>
      <c r="K1445">
        <v>1.3</v>
      </c>
      <c r="M1445" t="s">
        <v>289</v>
      </c>
    </row>
    <row r="1446" spans="1:13" hidden="1">
      <c r="A1446" t="s">
        <v>102</v>
      </c>
      <c r="B1446" t="s">
        <v>8</v>
      </c>
      <c r="C1446" t="s">
        <v>17</v>
      </c>
      <c r="D1446" t="str">
        <f>LEFT(M1446,10)</f>
        <v>11/15/2024</v>
      </c>
      <c r="E1446" t="s">
        <v>202</v>
      </c>
      <c r="F1446" t="s">
        <v>218</v>
      </c>
      <c r="G1446" t="s">
        <v>219</v>
      </c>
      <c r="I1446">
        <v>84</v>
      </c>
      <c r="J1446">
        <v>8.4</v>
      </c>
      <c r="K1446">
        <v>0.1</v>
      </c>
      <c r="M1446" t="s">
        <v>289</v>
      </c>
    </row>
    <row r="1447" spans="1:13" hidden="1">
      <c r="A1447" t="s">
        <v>102</v>
      </c>
      <c r="B1447" t="s">
        <v>8</v>
      </c>
      <c r="C1447" t="s">
        <v>17</v>
      </c>
      <c r="D1447" t="str">
        <f>LEFT(M1447,10)</f>
        <v>11/15/2024</v>
      </c>
      <c r="E1447" t="s">
        <v>202</v>
      </c>
      <c r="F1447" t="s">
        <v>218</v>
      </c>
      <c r="G1447" t="s">
        <v>221</v>
      </c>
      <c r="I1447">
        <v>149</v>
      </c>
      <c r="J1447">
        <v>298</v>
      </c>
      <c r="K1447">
        <v>2</v>
      </c>
      <c r="M1447" t="s">
        <v>289</v>
      </c>
    </row>
    <row r="1448" spans="1:13" hidden="1">
      <c r="A1448" t="s">
        <v>102</v>
      </c>
      <c r="B1448" t="s">
        <v>8</v>
      </c>
      <c r="C1448" t="s">
        <v>17</v>
      </c>
      <c r="D1448" t="str">
        <f>LEFT(M1448,10)</f>
        <v>11/15/2024</v>
      </c>
      <c r="E1448" t="s">
        <v>202</v>
      </c>
      <c r="F1448" t="s">
        <v>227</v>
      </c>
      <c r="G1448" t="s">
        <v>228</v>
      </c>
      <c r="I1448">
        <v>8670</v>
      </c>
      <c r="J1448">
        <v>1734</v>
      </c>
      <c r="K1448">
        <v>0.2</v>
      </c>
      <c r="M1448" t="s">
        <v>289</v>
      </c>
    </row>
    <row r="1449" spans="1:13" hidden="1">
      <c r="A1449" t="s">
        <v>102</v>
      </c>
      <c r="B1449" t="s">
        <v>8</v>
      </c>
      <c r="C1449" t="s">
        <v>17</v>
      </c>
      <c r="D1449" t="str">
        <f>LEFT(M1449,10)</f>
        <v>11/15/2024</v>
      </c>
      <c r="E1449" t="s">
        <v>202</v>
      </c>
      <c r="F1449" t="s">
        <v>227</v>
      </c>
      <c r="G1449" t="s">
        <v>238</v>
      </c>
      <c r="I1449">
        <v>1945</v>
      </c>
      <c r="J1449">
        <v>486.25</v>
      </c>
      <c r="K1449">
        <v>0.25</v>
      </c>
      <c r="M1449" t="s">
        <v>289</v>
      </c>
    </row>
    <row r="1450" spans="1:13" hidden="1">
      <c r="A1450" t="s">
        <v>102</v>
      </c>
      <c r="B1450" t="s">
        <v>8</v>
      </c>
      <c r="C1450" t="s">
        <v>17</v>
      </c>
      <c r="D1450" t="str">
        <f>LEFT(M1450,10)</f>
        <v>11/15/2024</v>
      </c>
      <c r="E1450" t="s">
        <v>202</v>
      </c>
      <c r="F1450" t="s">
        <v>227</v>
      </c>
      <c r="G1450" t="s">
        <v>252</v>
      </c>
      <c r="I1450">
        <v>1258</v>
      </c>
      <c r="J1450">
        <v>188.7</v>
      </c>
      <c r="K1450">
        <v>0.15</v>
      </c>
      <c r="M1450" t="s">
        <v>289</v>
      </c>
    </row>
    <row r="1451" spans="1:13" hidden="1">
      <c r="A1451" t="s">
        <v>102</v>
      </c>
      <c r="B1451" t="s">
        <v>8</v>
      </c>
      <c r="C1451" t="s">
        <v>17</v>
      </c>
      <c r="D1451" t="str">
        <f>LEFT(M1451,10)</f>
        <v>11/15/2024</v>
      </c>
      <c r="E1451" t="s">
        <v>202</v>
      </c>
      <c r="F1451" t="s">
        <v>227</v>
      </c>
      <c r="G1451" t="s">
        <v>229</v>
      </c>
      <c r="I1451">
        <v>15039</v>
      </c>
      <c r="J1451">
        <v>10978</v>
      </c>
      <c r="K1451">
        <v>0.73</v>
      </c>
      <c r="M1451" t="s">
        <v>289</v>
      </c>
    </row>
    <row r="1452" spans="1:13" hidden="1">
      <c r="A1452" t="s">
        <v>102</v>
      </c>
      <c r="B1452" t="s">
        <v>8</v>
      </c>
      <c r="C1452" t="s">
        <v>17</v>
      </c>
      <c r="D1452" t="str">
        <f>LEFT(M1452,10)</f>
        <v>11/15/2024</v>
      </c>
      <c r="E1452" t="s">
        <v>202</v>
      </c>
      <c r="F1452" t="s">
        <v>227</v>
      </c>
      <c r="G1452" t="s">
        <v>237</v>
      </c>
      <c r="I1452">
        <v>700</v>
      </c>
      <c r="J1452">
        <v>350</v>
      </c>
      <c r="K1452">
        <v>0.5</v>
      </c>
      <c r="M1452" t="s">
        <v>289</v>
      </c>
    </row>
    <row r="1453" spans="1:13" hidden="1">
      <c r="A1453" t="s">
        <v>102</v>
      </c>
      <c r="B1453" t="s">
        <v>8</v>
      </c>
      <c r="C1453" t="s">
        <v>17</v>
      </c>
      <c r="D1453" t="str">
        <f>LEFT(M1453,10)</f>
        <v>11/15/2024</v>
      </c>
      <c r="E1453" t="s">
        <v>202</v>
      </c>
      <c r="F1453" t="s">
        <v>227</v>
      </c>
      <c r="G1453" t="s">
        <v>237</v>
      </c>
      <c r="I1453">
        <v>658</v>
      </c>
      <c r="J1453">
        <v>394.8</v>
      </c>
      <c r="K1453">
        <v>0.6</v>
      </c>
      <c r="M1453" t="s">
        <v>289</v>
      </c>
    </row>
    <row r="1454" spans="1:13" hidden="1">
      <c r="A1454" t="s">
        <v>102</v>
      </c>
      <c r="B1454" t="s">
        <v>8</v>
      </c>
      <c r="C1454" t="s">
        <v>17</v>
      </c>
      <c r="D1454" t="str">
        <f>LEFT(M1454,10)</f>
        <v>11/15/2024</v>
      </c>
      <c r="E1454" t="s">
        <v>202</v>
      </c>
      <c r="F1454" t="s">
        <v>216</v>
      </c>
      <c r="G1454" t="s">
        <v>253</v>
      </c>
      <c r="I1454">
        <v>2860</v>
      </c>
      <c r="J1454">
        <v>976.1</v>
      </c>
      <c r="K1454">
        <v>0.34</v>
      </c>
      <c r="M1454" t="s">
        <v>289</v>
      </c>
    </row>
    <row r="1455" spans="1:13" hidden="1">
      <c r="A1455" t="s">
        <v>102</v>
      </c>
      <c r="B1455" t="s">
        <v>8</v>
      </c>
      <c r="C1455" t="s">
        <v>17</v>
      </c>
      <c r="D1455" t="str">
        <f>LEFT(M1455,10)</f>
        <v>11/15/2024</v>
      </c>
      <c r="E1455" t="s">
        <v>202</v>
      </c>
      <c r="F1455" t="s">
        <v>203</v>
      </c>
      <c r="G1455" t="s">
        <v>215</v>
      </c>
      <c r="I1455">
        <v>8149</v>
      </c>
      <c r="J1455">
        <v>4889.3999999999996</v>
      </c>
      <c r="K1455">
        <v>0.6</v>
      </c>
      <c r="M1455" t="s">
        <v>289</v>
      </c>
    </row>
    <row r="1456" spans="1:13" hidden="1">
      <c r="A1456" t="s">
        <v>102</v>
      </c>
      <c r="B1456" t="s">
        <v>8</v>
      </c>
      <c r="C1456" t="s">
        <v>17</v>
      </c>
      <c r="D1456" t="str">
        <f>LEFT(M1456,10)</f>
        <v>11/15/2024</v>
      </c>
      <c r="E1456" t="s">
        <v>202</v>
      </c>
      <c r="F1456" t="s">
        <v>203</v>
      </c>
      <c r="G1456" t="s">
        <v>204</v>
      </c>
      <c r="I1456">
        <v>688</v>
      </c>
      <c r="J1456">
        <v>4505</v>
      </c>
      <c r="K1456">
        <v>6.55</v>
      </c>
      <c r="M1456" t="s">
        <v>289</v>
      </c>
    </row>
    <row r="1457" spans="1:13" hidden="1">
      <c r="A1457" t="s">
        <v>102</v>
      </c>
      <c r="B1457" t="s">
        <v>8</v>
      </c>
      <c r="C1457" t="s">
        <v>17</v>
      </c>
      <c r="D1457" t="str">
        <f>LEFT(M1457,10)</f>
        <v>11/15/2024</v>
      </c>
      <c r="E1457" t="s">
        <v>202</v>
      </c>
      <c r="F1457" t="s">
        <v>203</v>
      </c>
      <c r="G1457" t="s">
        <v>260</v>
      </c>
      <c r="I1457">
        <v>112</v>
      </c>
      <c r="J1457">
        <v>2240</v>
      </c>
      <c r="K1457">
        <v>20</v>
      </c>
      <c r="M1457" t="s">
        <v>289</v>
      </c>
    </row>
    <row r="1458" spans="1:13" hidden="1">
      <c r="A1458" t="s">
        <v>102</v>
      </c>
      <c r="B1458" t="s">
        <v>8</v>
      </c>
      <c r="C1458" t="s">
        <v>17</v>
      </c>
      <c r="D1458" t="str">
        <f>LEFT(M1458,10)</f>
        <v>11/15/2024</v>
      </c>
      <c r="E1458" t="s">
        <v>230</v>
      </c>
      <c r="F1458" t="s">
        <v>248</v>
      </c>
      <c r="I1458">
        <v>0</v>
      </c>
      <c r="J1458">
        <v>50270.5</v>
      </c>
      <c r="M1458" t="s">
        <v>289</v>
      </c>
    </row>
    <row r="1459" spans="1:13" hidden="1">
      <c r="A1459" t="s">
        <v>102</v>
      </c>
      <c r="B1459" t="s">
        <v>8</v>
      </c>
      <c r="C1459" t="s">
        <v>17</v>
      </c>
      <c r="D1459" t="str">
        <f>LEFT(M1459,10)</f>
        <v>11/15/2024</v>
      </c>
      <c r="E1459" t="s">
        <v>232</v>
      </c>
      <c r="F1459" t="s">
        <v>255</v>
      </c>
      <c r="I1459">
        <v>0</v>
      </c>
      <c r="J1459">
        <v>18963.580000000002</v>
      </c>
      <c r="L1459" t="s">
        <v>398</v>
      </c>
      <c r="M1459" t="s">
        <v>289</v>
      </c>
    </row>
    <row r="1460" spans="1:13" hidden="1">
      <c r="A1460" t="s">
        <v>103</v>
      </c>
      <c r="B1460" t="s">
        <v>24</v>
      </c>
      <c r="C1460" t="s">
        <v>60</v>
      </c>
      <c r="D1460" t="str">
        <f>LEFT(M1460,10)</f>
        <v>11/15/2024</v>
      </c>
      <c r="E1460" t="s">
        <v>202</v>
      </c>
      <c r="F1460" t="s">
        <v>227</v>
      </c>
      <c r="G1460" t="s">
        <v>229</v>
      </c>
      <c r="I1460">
        <v>4965</v>
      </c>
      <c r="J1460">
        <v>3276.9</v>
      </c>
      <c r="K1460">
        <v>0.66</v>
      </c>
      <c r="M1460" t="s">
        <v>289</v>
      </c>
    </row>
    <row r="1461" spans="1:13" hidden="1">
      <c r="A1461" t="s">
        <v>103</v>
      </c>
      <c r="B1461" t="s">
        <v>24</v>
      </c>
      <c r="C1461" t="s">
        <v>60</v>
      </c>
      <c r="D1461" t="str">
        <f>LEFT(M1461,10)</f>
        <v>11/15/2024</v>
      </c>
      <c r="E1461" t="s">
        <v>202</v>
      </c>
      <c r="F1461" t="s">
        <v>227</v>
      </c>
      <c r="G1461" t="s">
        <v>229</v>
      </c>
      <c r="I1461">
        <v>14320</v>
      </c>
      <c r="J1461">
        <v>9451.2000000000007</v>
      </c>
      <c r="K1461">
        <v>0.66</v>
      </c>
      <c r="M1461" t="s">
        <v>289</v>
      </c>
    </row>
    <row r="1462" spans="1:13" hidden="1">
      <c r="A1462" t="s">
        <v>103</v>
      </c>
      <c r="B1462" t="s">
        <v>24</v>
      </c>
      <c r="C1462" t="s">
        <v>60</v>
      </c>
      <c r="D1462" t="str">
        <f>LEFT(M1462,10)</f>
        <v>11/15/2024</v>
      </c>
      <c r="E1462" t="s">
        <v>202</v>
      </c>
      <c r="F1462" t="s">
        <v>227</v>
      </c>
      <c r="G1462" t="s">
        <v>229</v>
      </c>
      <c r="I1462">
        <v>12930</v>
      </c>
      <c r="J1462">
        <v>8533.7999999999993</v>
      </c>
      <c r="K1462">
        <v>0.66</v>
      </c>
      <c r="M1462" t="s">
        <v>289</v>
      </c>
    </row>
    <row r="1463" spans="1:13" hidden="1">
      <c r="A1463" t="s">
        <v>103</v>
      </c>
      <c r="B1463" t="s">
        <v>24</v>
      </c>
      <c r="C1463" t="s">
        <v>60</v>
      </c>
      <c r="D1463" t="str">
        <f>LEFT(M1463,10)</f>
        <v>11/15/2024</v>
      </c>
      <c r="E1463" t="s">
        <v>202</v>
      </c>
      <c r="F1463" t="s">
        <v>227</v>
      </c>
      <c r="G1463" t="s">
        <v>252</v>
      </c>
      <c r="I1463">
        <v>5276</v>
      </c>
      <c r="J1463">
        <v>2110.4</v>
      </c>
      <c r="K1463">
        <v>0.4</v>
      </c>
      <c r="M1463" t="s">
        <v>289</v>
      </c>
    </row>
    <row r="1464" spans="1:13" hidden="1">
      <c r="A1464" t="s">
        <v>103</v>
      </c>
      <c r="B1464" t="s">
        <v>24</v>
      </c>
      <c r="C1464" t="s">
        <v>60</v>
      </c>
      <c r="D1464" t="str">
        <f>LEFT(M1464,10)</f>
        <v>11/15/2024</v>
      </c>
      <c r="E1464" t="s">
        <v>202</v>
      </c>
      <c r="F1464" t="s">
        <v>218</v>
      </c>
      <c r="G1464" t="s">
        <v>241</v>
      </c>
      <c r="I1464">
        <v>1759</v>
      </c>
      <c r="J1464">
        <v>5277</v>
      </c>
      <c r="K1464">
        <v>3</v>
      </c>
      <c r="M1464" t="s">
        <v>289</v>
      </c>
    </row>
    <row r="1465" spans="1:13" hidden="1">
      <c r="A1465" t="s">
        <v>103</v>
      </c>
      <c r="B1465" t="s">
        <v>24</v>
      </c>
      <c r="C1465" t="s">
        <v>60</v>
      </c>
      <c r="D1465" t="str">
        <f>LEFT(M1465,10)</f>
        <v>11/15/2024</v>
      </c>
      <c r="E1465" t="s">
        <v>202</v>
      </c>
      <c r="F1465" t="s">
        <v>218</v>
      </c>
      <c r="G1465" t="s">
        <v>241</v>
      </c>
      <c r="I1465">
        <v>439</v>
      </c>
      <c r="J1465">
        <v>1448.7</v>
      </c>
      <c r="K1465">
        <v>3.3</v>
      </c>
      <c r="M1465" t="s">
        <v>289</v>
      </c>
    </row>
    <row r="1466" spans="1:13" hidden="1">
      <c r="A1466" t="s">
        <v>103</v>
      </c>
      <c r="B1466" t="s">
        <v>24</v>
      </c>
      <c r="C1466" t="s">
        <v>60</v>
      </c>
      <c r="D1466" t="str">
        <f>LEFT(M1466,10)</f>
        <v>11/15/2024</v>
      </c>
      <c r="E1466" t="s">
        <v>202</v>
      </c>
      <c r="F1466" t="s">
        <v>218</v>
      </c>
      <c r="G1466" t="s">
        <v>241</v>
      </c>
      <c r="I1466">
        <v>1534</v>
      </c>
      <c r="J1466">
        <v>5062.2</v>
      </c>
      <c r="K1466">
        <v>3.3</v>
      </c>
      <c r="M1466" t="s">
        <v>289</v>
      </c>
    </row>
    <row r="1467" spans="1:13" hidden="1">
      <c r="A1467" t="s">
        <v>103</v>
      </c>
      <c r="B1467" t="s">
        <v>24</v>
      </c>
      <c r="C1467" t="s">
        <v>60</v>
      </c>
      <c r="D1467" t="str">
        <f>LEFT(M1467,10)</f>
        <v>11/15/2024</v>
      </c>
      <c r="E1467" t="s">
        <v>202</v>
      </c>
      <c r="F1467" t="s">
        <v>218</v>
      </c>
      <c r="G1467" t="s">
        <v>221</v>
      </c>
      <c r="I1467">
        <v>1326</v>
      </c>
      <c r="J1467">
        <v>2917.2</v>
      </c>
      <c r="K1467">
        <v>2.2000000000000002</v>
      </c>
      <c r="M1467" t="s">
        <v>289</v>
      </c>
    </row>
    <row r="1468" spans="1:13" hidden="1">
      <c r="A1468" t="s">
        <v>103</v>
      </c>
      <c r="B1468" t="s">
        <v>24</v>
      </c>
      <c r="C1468" t="s">
        <v>60</v>
      </c>
      <c r="D1468" t="str">
        <f>LEFT(M1468,10)</f>
        <v>11/15/2024</v>
      </c>
      <c r="E1468" t="s">
        <v>202</v>
      </c>
      <c r="F1468" t="s">
        <v>218</v>
      </c>
      <c r="G1468" t="s">
        <v>221</v>
      </c>
      <c r="I1468">
        <v>287</v>
      </c>
      <c r="J1468">
        <v>631.4</v>
      </c>
      <c r="K1468">
        <v>2.2000000000000002</v>
      </c>
      <c r="M1468" t="s">
        <v>289</v>
      </c>
    </row>
    <row r="1469" spans="1:13" hidden="1">
      <c r="A1469" t="s">
        <v>103</v>
      </c>
      <c r="B1469" t="s">
        <v>24</v>
      </c>
      <c r="C1469" t="s">
        <v>60</v>
      </c>
      <c r="D1469" t="str">
        <f>LEFT(M1469,10)</f>
        <v>11/15/2024</v>
      </c>
      <c r="E1469" t="s">
        <v>202</v>
      </c>
      <c r="F1469" t="s">
        <v>218</v>
      </c>
      <c r="G1469" t="s">
        <v>221</v>
      </c>
      <c r="I1469">
        <v>402</v>
      </c>
      <c r="J1469">
        <v>884.4</v>
      </c>
      <c r="K1469">
        <v>2.2000000000000002</v>
      </c>
      <c r="M1469" t="s">
        <v>289</v>
      </c>
    </row>
    <row r="1470" spans="1:13" hidden="1">
      <c r="A1470" t="s">
        <v>103</v>
      </c>
      <c r="B1470" t="s">
        <v>24</v>
      </c>
      <c r="C1470" t="s">
        <v>60</v>
      </c>
      <c r="D1470" t="str">
        <f>LEFT(M1470,10)</f>
        <v>11/15/2024</v>
      </c>
      <c r="E1470" t="s">
        <v>202</v>
      </c>
      <c r="F1470" t="s">
        <v>218</v>
      </c>
      <c r="G1470" t="s">
        <v>222</v>
      </c>
      <c r="I1470">
        <v>1803</v>
      </c>
      <c r="J1470">
        <v>1803</v>
      </c>
      <c r="K1470">
        <v>1</v>
      </c>
      <c r="M1470" t="s">
        <v>289</v>
      </c>
    </row>
    <row r="1471" spans="1:13" hidden="1">
      <c r="A1471" t="s">
        <v>103</v>
      </c>
      <c r="B1471" t="s">
        <v>24</v>
      </c>
      <c r="C1471" t="s">
        <v>60</v>
      </c>
      <c r="D1471" t="str">
        <f>LEFT(M1471,10)</f>
        <v>11/15/2024</v>
      </c>
      <c r="E1471" t="s">
        <v>202</v>
      </c>
      <c r="F1471" t="s">
        <v>218</v>
      </c>
      <c r="G1471" t="s">
        <v>222</v>
      </c>
      <c r="I1471">
        <v>271</v>
      </c>
      <c r="J1471">
        <v>271</v>
      </c>
      <c r="K1471">
        <v>1</v>
      </c>
      <c r="M1471" t="s">
        <v>289</v>
      </c>
    </row>
    <row r="1472" spans="1:13" hidden="1">
      <c r="A1472" t="s">
        <v>103</v>
      </c>
      <c r="B1472" t="s">
        <v>24</v>
      </c>
      <c r="C1472" t="s">
        <v>60</v>
      </c>
      <c r="D1472" t="str">
        <f>LEFT(M1472,10)</f>
        <v>11/15/2024</v>
      </c>
      <c r="E1472" t="s">
        <v>202</v>
      </c>
      <c r="F1472" t="s">
        <v>218</v>
      </c>
      <c r="G1472" t="s">
        <v>222</v>
      </c>
      <c r="I1472">
        <v>2375</v>
      </c>
      <c r="J1472">
        <v>2375</v>
      </c>
      <c r="K1472">
        <v>1</v>
      </c>
      <c r="M1472" t="s">
        <v>289</v>
      </c>
    </row>
    <row r="1473" spans="1:13" hidden="1">
      <c r="A1473" t="s">
        <v>103</v>
      </c>
      <c r="B1473" t="s">
        <v>24</v>
      </c>
      <c r="C1473" t="s">
        <v>60</v>
      </c>
      <c r="D1473" t="str">
        <f>LEFT(M1473,10)</f>
        <v>11/15/2024</v>
      </c>
      <c r="E1473" t="s">
        <v>202</v>
      </c>
      <c r="F1473" t="s">
        <v>218</v>
      </c>
      <c r="G1473" t="s">
        <v>222</v>
      </c>
      <c r="I1473">
        <v>832</v>
      </c>
      <c r="J1473">
        <v>1248</v>
      </c>
      <c r="K1473">
        <v>1.5</v>
      </c>
      <c r="M1473" t="s">
        <v>289</v>
      </c>
    </row>
    <row r="1474" spans="1:13" hidden="1">
      <c r="A1474" t="s">
        <v>103</v>
      </c>
      <c r="B1474" t="s">
        <v>24</v>
      </c>
      <c r="C1474" t="s">
        <v>60</v>
      </c>
      <c r="D1474" t="str">
        <f>LEFT(M1474,10)</f>
        <v>11/15/2024</v>
      </c>
      <c r="E1474" t="s">
        <v>202</v>
      </c>
      <c r="F1474" t="s">
        <v>218</v>
      </c>
      <c r="G1474" t="s">
        <v>222</v>
      </c>
      <c r="I1474">
        <v>384</v>
      </c>
      <c r="J1474">
        <v>576</v>
      </c>
      <c r="K1474">
        <v>1.5</v>
      </c>
      <c r="M1474" t="s">
        <v>289</v>
      </c>
    </row>
    <row r="1475" spans="1:13" hidden="1">
      <c r="A1475" t="s">
        <v>103</v>
      </c>
      <c r="B1475" t="s">
        <v>24</v>
      </c>
      <c r="C1475" t="s">
        <v>60</v>
      </c>
      <c r="D1475" t="str">
        <f>LEFT(M1475,10)</f>
        <v>11/15/2024</v>
      </c>
      <c r="E1475" t="s">
        <v>202</v>
      </c>
      <c r="F1475" t="s">
        <v>218</v>
      </c>
      <c r="G1475" t="s">
        <v>222</v>
      </c>
      <c r="I1475">
        <v>961</v>
      </c>
      <c r="J1475">
        <v>1441.5</v>
      </c>
      <c r="K1475">
        <v>1.5</v>
      </c>
      <c r="M1475" t="s">
        <v>289</v>
      </c>
    </row>
    <row r="1476" spans="1:13" hidden="1">
      <c r="A1476" t="s">
        <v>103</v>
      </c>
      <c r="B1476" t="s">
        <v>24</v>
      </c>
      <c r="C1476" t="s">
        <v>60</v>
      </c>
      <c r="D1476" t="str">
        <f>LEFT(M1476,10)</f>
        <v>11/15/2024</v>
      </c>
      <c r="E1476" t="s">
        <v>202</v>
      </c>
      <c r="F1476" t="s">
        <v>218</v>
      </c>
      <c r="G1476" t="s">
        <v>224</v>
      </c>
      <c r="I1476">
        <v>343</v>
      </c>
      <c r="J1476">
        <v>171.5</v>
      </c>
      <c r="K1476">
        <v>0.5</v>
      </c>
      <c r="M1476" t="s">
        <v>289</v>
      </c>
    </row>
    <row r="1477" spans="1:13" hidden="1">
      <c r="A1477" t="s">
        <v>103</v>
      </c>
      <c r="B1477" t="s">
        <v>24</v>
      </c>
      <c r="C1477" t="s">
        <v>60</v>
      </c>
      <c r="D1477" t="str">
        <f>LEFT(M1477,10)</f>
        <v>11/15/2024</v>
      </c>
      <c r="E1477" t="s">
        <v>202</v>
      </c>
      <c r="F1477" t="s">
        <v>218</v>
      </c>
      <c r="G1477" t="s">
        <v>226</v>
      </c>
      <c r="I1477">
        <v>586</v>
      </c>
      <c r="J1477">
        <v>175.8</v>
      </c>
      <c r="K1477">
        <v>0.3</v>
      </c>
      <c r="M1477" t="s">
        <v>289</v>
      </c>
    </row>
    <row r="1478" spans="1:13" hidden="1">
      <c r="A1478" t="s">
        <v>103</v>
      </c>
      <c r="B1478" t="s">
        <v>24</v>
      </c>
      <c r="C1478" t="s">
        <v>60</v>
      </c>
      <c r="D1478" t="str">
        <f>LEFT(M1478,10)</f>
        <v>11/15/2024</v>
      </c>
      <c r="E1478" t="s">
        <v>202</v>
      </c>
      <c r="F1478" t="s">
        <v>218</v>
      </c>
      <c r="G1478" t="s">
        <v>226</v>
      </c>
      <c r="I1478">
        <v>523</v>
      </c>
      <c r="J1478">
        <v>130.75</v>
      </c>
      <c r="K1478">
        <v>0.25</v>
      </c>
      <c r="M1478" t="s">
        <v>289</v>
      </c>
    </row>
    <row r="1479" spans="1:13" hidden="1">
      <c r="A1479" t="s">
        <v>103</v>
      </c>
      <c r="B1479" t="s">
        <v>24</v>
      </c>
      <c r="C1479" t="s">
        <v>60</v>
      </c>
      <c r="D1479" t="str">
        <f>LEFT(M1479,10)</f>
        <v>11/15/2024</v>
      </c>
      <c r="E1479" t="s">
        <v>202</v>
      </c>
      <c r="F1479" t="s">
        <v>218</v>
      </c>
      <c r="G1479" t="s">
        <v>223</v>
      </c>
      <c r="I1479">
        <v>1423</v>
      </c>
      <c r="J1479">
        <v>853.8</v>
      </c>
      <c r="K1479">
        <v>0.6</v>
      </c>
      <c r="M1479" t="s">
        <v>289</v>
      </c>
    </row>
    <row r="1480" spans="1:13" hidden="1">
      <c r="A1480" t="s">
        <v>103</v>
      </c>
      <c r="B1480" t="s">
        <v>24</v>
      </c>
      <c r="C1480" t="s">
        <v>60</v>
      </c>
      <c r="D1480" t="str">
        <f>LEFT(M1480,10)</f>
        <v>11/15/2024</v>
      </c>
      <c r="E1480" t="s">
        <v>202</v>
      </c>
      <c r="F1480" t="s">
        <v>218</v>
      </c>
      <c r="G1480" t="s">
        <v>223</v>
      </c>
      <c r="I1480">
        <v>419</v>
      </c>
      <c r="J1480">
        <v>251.4</v>
      </c>
      <c r="K1480">
        <v>0.6</v>
      </c>
      <c r="M1480" t="s">
        <v>289</v>
      </c>
    </row>
    <row r="1481" spans="1:13" hidden="1">
      <c r="A1481" t="s">
        <v>103</v>
      </c>
      <c r="B1481" t="s">
        <v>24</v>
      </c>
      <c r="C1481" t="s">
        <v>60</v>
      </c>
      <c r="D1481" t="str">
        <f>LEFT(M1481,10)</f>
        <v>11/15/2024</v>
      </c>
      <c r="E1481" t="s">
        <v>202</v>
      </c>
      <c r="F1481" t="s">
        <v>218</v>
      </c>
      <c r="G1481" t="s">
        <v>223</v>
      </c>
      <c r="I1481">
        <v>1389</v>
      </c>
      <c r="J1481">
        <v>833.4</v>
      </c>
      <c r="K1481">
        <v>0.6</v>
      </c>
      <c r="M1481" t="s">
        <v>289</v>
      </c>
    </row>
    <row r="1482" spans="1:13" hidden="1">
      <c r="A1482" t="s">
        <v>103</v>
      </c>
      <c r="B1482" t="s">
        <v>24</v>
      </c>
      <c r="C1482" t="s">
        <v>60</v>
      </c>
      <c r="D1482" t="str">
        <f>LEFT(M1482,10)</f>
        <v>11/15/2024</v>
      </c>
      <c r="E1482" t="s">
        <v>202</v>
      </c>
      <c r="F1482" t="s">
        <v>218</v>
      </c>
      <c r="G1482" t="s">
        <v>220</v>
      </c>
      <c r="I1482">
        <v>378</v>
      </c>
      <c r="J1482">
        <v>415.8</v>
      </c>
      <c r="K1482">
        <v>1.1000000000000001</v>
      </c>
      <c r="M1482" t="s">
        <v>289</v>
      </c>
    </row>
    <row r="1483" spans="1:13" hidden="1">
      <c r="A1483" t="s">
        <v>103</v>
      </c>
      <c r="B1483" t="s">
        <v>24</v>
      </c>
      <c r="C1483" t="s">
        <v>60</v>
      </c>
      <c r="D1483" t="str">
        <f>LEFT(M1483,10)</f>
        <v>11/15/2024</v>
      </c>
      <c r="E1483" t="s">
        <v>202</v>
      </c>
      <c r="F1483" t="s">
        <v>218</v>
      </c>
      <c r="G1483" t="s">
        <v>220</v>
      </c>
      <c r="I1483">
        <v>611</v>
      </c>
      <c r="J1483">
        <v>672</v>
      </c>
      <c r="K1483">
        <v>1.1000000000000001</v>
      </c>
      <c r="M1483" t="s">
        <v>289</v>
      </c>
    </row>
    <row r="1484" spans="1:13" hidden="1">
      <c r="A1484" t="s">
        <v>103</v>
      </c>
      <c r="B1484" t="s">
        <v>24</v>
      </c>
      <c r="C1484" t="s">
        <v>60</v>
      </c>
      <c r="D1484" t="str">
        <f>LEFT(M1484,10)</f>
        <v>11/15/2024</v>
      </c>
      <c r="E1484" t="s">
        <v>202</v>
      </c>
      <c r="F1484" t="s">
        <v>218</v>
      </c>
      <c r="G1484" t="s">
        <v>239</v>
      </c>
      <c r="I1484">
        <v>445.5</v>
      </c>
      <c r="J1484">
        <v>534</v>
      </c>
      <c r="K1484">
        <v>1.2</v>
      </c>
      <c r="M1484" t="s">
        <v>289</v>
      </c>
    </row>
    <row r="1485" spans="1:13" hidden="1">
      <c r="A1485" t="s">
        <v>103</v>
      </c>
      <c r="B1485" t="s">
        <v>24</v>
      </c>
      <c r="C1485" t="s">
        <v>60</v>
      </c>
      <c r="D1485" t="str">
        <f>LEFT(M1485,10)</f>
        <v>11/15/2024</v>
      </c>
      <c r="E1485" t="s">
        <v>202</v>
      </c>
      <c r="F1485" t="s">
        <v>218</v>
      </c>
      <c r="G1485" t="s">
        <v>225</v>
      </c>
      <c r="I1485">
        <v>333</v>
      </c>
      <c r="J1485">
        <v>99.9</v>
      </c>
      <c r="K1485">
        <v>0.3</v>
      </c>
      <c r="M1485" t="s">
        <v>289</v>
      </c>
    </row>
    <row r="1486" spans="1:13" hidden="1">
      <c r="A1486" t="s">
        <v>103</v>
      </c>
      <c r="B1486" t="s">
        <v>24</v>
      </c>
      <c r="C1486" t="s">
        <v>60</v>
      </c>
      <c r="D1486" t="str">
        <f>LEFT(M1486,10)</f>
        <v>11/15/2024</v>
      </c>
      <c r="E1486" t="s">
        <v>202</v>
      </c>
      <c r="F1486" t="s">
        <v>216</v>
      </c>
      <c r="G1486" t="s">
        <v>253</v>
      </c>
      <c r="I1486">
        <v>38370</v>
      </c>
      <c r="J1486">
        <v>4220.7</v>
      </c>
      <c r="K1486">
        <v>0.11</v>
      </c>
      <c r="M1486" t="s">
        <v>289</v>
      </c>
    </row>
    <row r="1487" spans="1:13" hidden="1">
      <c r="A1487" t="s">
        <v>103</v>
      </c>
      <c r="B1487" t="s">
        <v>24</v>
      </c>
      <c r="C1487" t="s">
        <v>60</v>
      </c>
      <c r="D1487" t="str">
        <f>LEFT(M1487,10)</f>
        <v>11/15/2024</v>
      </c>
      <c r="E1487" t="s">
        <v>202</v>
      </c>
      <c r="F1487" t="s">
        <v>203</v>
      </c>
      <c r="G1487" t="s">
        <v>236</v>
      </c>
      <c r="I1487">
        <v>3980</v>
      </c>
      <c r="J1487">
        <v>2388</v>
      </c>
      <c r="K1487">
        <v>0.6</v>
      </c>
      <c r="M1487" t="s">
        <v>289</v>
      </c>
    </row>
    <row r="1488" spans="1:13" hidden="1">
      <c r="A1488" t="s">
        <v>103</v>
      </c>
      <c r="B1488" t="s">
        <v>24</v>
      </c>
      <c r="C1488" t="s">
        <v>60</v>
      </c>
      <c r="D1488" t="str">
        <f>LEFT(M1488,10)</f>
        <v>11/15/2024</v>
      </c>
      <c r="E1488" t="s">
        <v>202</v>
      </c>
      <c r="F1488" t="s">
        <v>203</v>
      </c>
      <c r="G1488" t="s">
        <v>204</v>
      </c>
      <c r="I1488">
        <v>1250</v>
      </c>
      <c r="J1488">
        <v>10002.64</v>
      </c>
      <c r="K1488">
        <v>8</v>
      </c>
      <c r="M1488" t="s">
        <v>289</v>
      </c>
    </row>
    <row r="1489" spans="1:13" hidden="1">
      <c r="A1489" t="s">
        <v>103</v>
      </c>
      <c r="B1489" t="s">
        <v>24</v>
      </c>
      <c r="C1489" t="s">
        <v>60</v>
      </c>
      <c r="D1489" t="str">
        <f>LEFT(M1489,10)</f>
        <v>11/15/2024</v>
      </c>
      <c r="E1489" t="s">
        <v>230</v>
      </c>
      <c r="F1489" t="s">
        <v>323</v>
      </c>
      <c r="I1489">
        <v>0</v>
      </c>
      <c r="J1489">
        <v>25362.99</v>
      </c>
      <c r="L1489" t="s">
        <v>399</v>
      </c>
      <c r="M1489" t="s">
        <v>289</v>
      </c>
    </row>
    <row r="1490" spans="1:13" hidden="1">
      <c r="A1490" t="s">
        <v>103</v>
      </c>
      <c r="B1490" t="s">
        <v>24</v>
      </c>
      <c r="C1490" t="s">
        <v>60</v>
      </c>
      <c r="D1490" t="str">
        <f>LEFT(M1490,10)</f>
        <v>11/15/2024</v>
      </c>
      <c r="E1490" t="s">
        <v>230</v>
      </c>
      <c r="F1490" t="s">
        <v>323</v>
      </c>
      <c r="I1490">
        <v>0</v>
      </c>
      <c r="J1490">
        <v>29171.67</v>
      </c>
      <c r="L1490" t="s">
        <v>399</v>
      </c>
      <c r="M1490" t="s">
        <v>289</v>
      </c>
    </row>
    <row r="1491" spans="1:13" hidden="1">
      <c r="A1491" t="s">
        <v>103</v>
      </c>
      <c r="B1491" t="s">
        <v>24</v>
      </c>
      <c r="C1491" t="s">
        <v>60</v>
      </c>
      <c r="D1491" t="str">
        <f>LEFT(M1491,10)</f>
        <v>11/15/2024</v>
      </c>
      <c r="E1491" t="s">
        <v>230</v>
      </c>
      <c r="F1491" t="s">
        <v>323</v>
      </c>
      <c r="I1491">
        <v>0</v>
      </c>
      <c r="J1491">
        <v>5273.7</v>
      </c>
      <c r="L1491" t="s">
        <v>400</v>
      </c>
      <c r="M1491" t="s">
        <v>289</v>
      </c>
    </row>
    <row r="1492" spans="1:13" hidden="1">
      <c r="A1492" t="s">
        <v>103</v>
      </c>
      <c r="B1492" t="s">
        <v>24</v>
      </c>
      <c r="C1492" t="s">
        <v>60</v>
      </c>
      <c r="D1492" t="str">
        <f>LEFT(M1492,10)</f>
        <v>11/15/2024</v>
      </c>
      <c r="E1492" t="s">
        <v>232</v>
      </c>
      <c r="F1492" t="s">
        <v>262</v>
      </c>
      <c r="I1492">
        <v>0</v>
      </c>
      <c r="J1492">
        <v>8379.5</v>
      </c>
      <c r="M1492" t="s">
        <v>289</v>
      </c>
    </row>
    <row r="1493" spans="1:13" hidden="1">
      <c r="A1493" t="s">
        <v>103</v>
      </c>
      <c r="B1493" t="s">
        <v>24</v>
      </c>
      <c r="C1493" t="s">
        <v>60</v>
      </c>
      <c r="D1493" t="str">
        <f>LEFT(M1493,10)</f>
        <v>11/15/2024</v>
      </c>
      <c r="E1493" t="s">
        <v>232</v>
      </c>
      <c r="F1493" t="s">
        <v>286</v>
      </c>
      <c r="I1493">
        <v>0</v>
      </c>
      <c r="J1493">
        <v>4150.7299999999996</v>
      </c>
      <c r="M1493" t="s">
        <v>289</v>
      </c>
    </row>
    <row r="1494" spans="1:13" hidden="1">
      <c r="A1494" t="s">
        <v>103</v>
      </c>
      <c r="B1494" t="s">
        <v>24</v>
      </c>
      <c r="C1494" t="s">
        <v>60</v>
      </c>
      <c r="D1494" t="str">
        <f>LEFT(M1494,10)</f>
        <v>11/15/2024</v>
      </c>
      <c r="E1494" t="s">
        <v>232</v>
      </c>
      <c r="F1494" t="s">
        <v>233</v>
      </c>
      <c r="I1494">
        <v>0</v>
      </c>
      <c r="J1494">
        <v>5096.17</v>
      </c>
      <c r="M1494" t="s">
        <v>289</v>
      </c>
    </row>
    <row r="1495" spans="1:13" hidden="1">
      <c r="A1495" t="s">
        <v>103</v>
      </c>
      <c r="B1495" t="s">
        <v>24</v>
      </c>
      <c r="C1495" t="s">
        <v>60</v>
      </c>
      <c r="D1495" t="str">
        <f>LEFT(M1495,10)</f>
        <v>11/15/2024</v>
      </c>
      <c r="E1495" t="s">
        <v>232</v>
      </c>
      <c r="F1495" t="s">
        <v>287</v>
      </c>
      <c r="I1495">
        <v>0</v>
      </c>
      <c r="J1495">
        <v>635.09</v>
      </c>
      <c r="M1495" t="s">
        <v>289</v>
      </c>
    </row>
    <row r="1496" spans="1:13" hidden="1">
      <c r="A1496" t="s">
        <v>103</v>
      </c>
      <c r="B1496" t="s">
        <v>24</v>
      </c>
      <c r="C1496" t="s">
        <v>60</v>
      </c>
      <c r="D1496" t="str">
        <f>LEFT(M1496,10)</f>
        <v>11/15/2024</v>
      </c>
      <c r="E1496" t="s">
        <v>232</v>
      </c>
      <c r="F1496" t="s">
        <v>250</v>
      </c>
      <c r="I1496">
        <v>0</v>
      </c>
      <c r="J1496">
        <v>3982.5</v>
      </c>
      <c r="M1496" t="s">
        <v>289</v>
      </c>
    </row>
    <row r="1497" spans="1:13" hidden="1">
      <c r="A1497" t="s">
        <v>103</v>
      </c>
      <c r="B1497" t="s">
        <v>24</v>
      </c>
      <c r="C1497" t="s">
        <v>60</v>
      </c>
      <c r="D1497" t="str">
        <f>LEFT(M1497,10)</f>
        <v>11/15/2024</v>
      </c>
      <c r="E1497" t="s">
        <v>232</v>
      </c>
      <c r="F1497" t="s">
        <v>251</v>
      </c>
      <c r="I1497">
        <v>0</v>
      </c>
      <c r="J1497">
        <v>6668.51</v>
      </c>
      <c r="M1497" t="s">
        <v>289</v>
      </c>
    </row>
    <row r="1498" spans="1:13" hidden="1">
      <c r="A1498" t="s">
        <v>103</v>
      </c>
      <c r="B1498" t="s">
        <v>24</v>
      </c>
      <c r="C1498" t="s">
        <v>60</v>
      </c>
      <c r="D1498" t="str">
        <f>LEFT(M1498,10)</f>
        <v>11/15/2024</v>
      </c>
      <c r="E1498" t="s">
        <v>234</v>
      </c>
      <c r="F1498" t="s">
        <v>234</v>
      </c>
      <c r="I1498">
        <v>9557.1299999999992</v>
      </c>
      <c r="M1498" t="s">
        <v>289</v>
      </c>
    </row>
    <row r="1499" spans="1:13" hidden="1">
      <c r="A1499" t="s">
        <v>105</v>
      </c>
      <c r="B1499" t="s">
        <v>8</v>
      </c>
      <c r="C1499" t="s">
        <v>104</v>
      </c>
      <c r="D1499" t="str">
        <f>LEFT(M1499,10)</f>
        <v>11/15/2024</v>
      </c>
      <c r="E1499" t="s">
        <v>202</v>
      </c>
      <c r="F1499" t="s">
        <v>227</v>
      </c>
      <c r="G1499" t="s">
        <v>229</v>
      </c>
      <c r="I1499">
        <v>9440</v>
      </c>
      <c r="J1499">
        <v>7552</v>
      </c>
      <c r="K1499">
        <v>0.8</v>
      </c>
      <c r="M1499" t="s">
        <v>289</v>
      </c>
    </row>
    <row r="1500" spans="1:13" hidden="1">
      <c r="A1500" t="s">
        <v>105</v>
      </c>
      <c r="B1500" t="s">
        <v>8</v>
      </c>
      <c r="C1500" t="s">
        <v>104</v>
      </c>
      <c r="D1500" t="str">
        <f>LEFT(M1500,10)</f>
        <v>11/15/2024</v>
      </c>
      <c r="E1500" t="s">
        <v>202</v>
      </c>
      <c r="F1500" t="s">
        <v>227</v>
      </c>
      <c r="G1500" t="s">
        <v>237</v>
      </c>
      <c r="I1500">
        <v>1236</v>
      </c>
      <c r="J1500">
        <v>741.6</v>
      </c>
      <c r="K1500">
        <v>0.6</v>
      </c>
      <c r="M1500" t="s">
        <v>289</v>
      </c>
    </row>
    <row r="1501" spans="1:13" hidden="1">
      <c r="A1501" t="s">
        <v>105</v>
      </c>
      <c r="B1501" t="s">
        <v>8</v>
      </c>
      <c r="C1501" t="s">
        <v>104</v>
      </c>
      <c r="D1501" t="str">
        <f>LEFT(M1501,10)</f>
        <v>11/15/2024</v>
      </c>
      <c r="E1501" t="s">
        <v>202</v>
      </c>
      <c r="F1501" t="s">
        <v>227</v>
      </c>
      <c r="G1501" t="s">
        <v>238</v>
      </c>
      <c r="I1501">
        <v>1269</v>
      </c>
      <c r="J1501">
        <v>444.15</v>
      </c>
      <c r="K1501">
        <v>0.35</v>
      </c>
      <c r="M1501" t="s">
        <v>289</v>
      </c>
    </row>
    <row r="1502" spans="1:13" hidden="1">
      <c r="A1502" t="s">
        <v>105</v>
      </c>
      <c r="B1502" t="s">
        <v>8</v>
      </c>
      <c r="C1502" t="s">
        <v>104</v>
      </c>
      <c r="D1502" t="str">
        <f>LEFT(M1502,10)</f>
        <v>11/15/2024</v>
      </c>
      <c r="E1502" t="s">
        <v>202</v>
      </c>
      <c r="F1502" t="s">
        <v>227</v>
      </c>
      <c r="G1502" t="s">
        <v>228</v>
      </c>
      <c r="I1502">
        <v>3403</v>
      </c>
      <c r="J1502">
        <v>1210</v>
      </c>
      <c r="K1502">
        <v>0.36</v>
      </c>
      <c r="M1502" t="s">
        <v>289</v>
      </c>
    </row>
    <row r="1503" spans="1:13" hidden="1">
      <c r="A1503" t="s">
        <v>105</v>
      </c>
      <c r="B1503" t="s">
        <v>8</v>
      </c>
      <c r="C1503" t="s">
        <v>104</v>
      </c>
      <c r="D1503" t="str">
        <f>LEFT(M1503,10)</f>
        <v>11/15/2024</v>
      </c>
      <c r="E1503" t="s">
        <v>202</v>
      </c>
      <c r="F1503" t="s">
        <v>227</v>
      </c>
      <c r="G1503" t="s">
        <v>252</v>
      </c>
      <c r="I1503">
        <v>262</v>
      </c>
      <c r="J1503">
        <v>78.599999999999994</v>
      </c>
      <c r="K1503">
        <v>0.3</v>
      </c>
      <c r="M1503" t="s">
        <v>289</v>
      </c>
    </row>
    <row r="1504" spans="1:13" hidden="1">
      <c r="A1504" t="s">
        <v>105</v>
      </c>
      <c r="B1504" t="s">
        <v>8</v>
      </c>
      <c r="C1504" t="s">
        <v>104</v>
      </c>
      <c r="D1504" t="str">
        <f>LEFT(M1504,10)</f>
        <v>11/15/2024</v>
      </c>
      <c r="E1504" t="s">
        <v>202</v>
      </c>
      <c r="F1504" t="s">
        <v>218</v>
      </c>
      <c r="G1504" t="s">
        <v>221</v>
      </c>
      <c r="I1504">
        <v>919</v>
      </c>
      <c r="J1504">
        <v>2251.5500000000002</v>
      </c>
      <c r="K1504">
        <v>2.4500000000000002</v>
      </c>
      <c r="M1504" t="s">
        <v>289</v>
      </c>
    </row>
    <row r="1505" spans="1:13" hidden="1">
      <c r="A1505" t="s">
        <v>105</v>
      </c>
      <c r="B1505" t="s">
        <v>8</v>
      </c>
      <c r="C1505" t="s">
        <v>104</v>
      </c>
      <c r="D1505" t="str">
        <f>LEFT(M1505,10)</f>
        <v>11/15/2024</v>
      </c>
      <c r="E1505" t="s">
        <v>202</v>
      </c>
      <c r="F1505" t="s">
        <v>218</v>
      </c>
      <c r="G1505" t="s">
        <v>220</v>
      </c>
      <c r="I1505">
        <v>1439</v>
      </c>
      <c r="J1505">
        <v>2158.5</v>
      </c>
      <c r="K1505">
        <v>1.5</v>
      </c>
      <c r="M1505" t="s">
        <v>289</v>
      </c>
    </row>
    <row r="1506" spans="1:13" hidden="1">
      <c r="A1506" t="s">
        <v>105</v>
      </c>
      <c r="B1506" t="s">
        <v>8</v>
      </c>
      <c r="C1506" t="s">
        <v>104</v>
      </c>
      <c r="D1506" t="str">
        <f>LEFT(M1506,10)</f>
        <v>11/15/2024</v>
      </c>
      <c r="E1506" t="s">
        <v>202</v>
      </c>
      <c r="F1506" t="s">
        <v>218</v>
      </c>
      <c r="G1506" t="s">
        <v>223</v>
      </c>
      <c r="I1506">
        <v>1537</v>
      </c>
      <c r="J1506">
        <v>1369.7</v>
      </c>
      <c r="K1506">
        <v>0.89</v>
      </c>
      <c r="M1506" t="s">
        <v>289</v>
      </c>
    </row>
    <row r="1507" spans="1:13" hidden="1">
      <c r="A1507" t="s">
        <v>105</v>
      </c>
      <c r="B1507" t="s">
        <v>8</v>
      </c>
      <c r="C1507" t="s">
        <v>104</v>
      </c>
      <c r="D1507" t="str">
        <f>LEFT(M1507,10)</f>
        <v>11/15/2024</v>
      </c>
      <c r="E1507" t="s">
        <v>202</v>
      </c>
      <c r="F1507" t="s">
        <v>218</v>
      </c>
      <c r="G1507" t="s">
        <v>240</v>
      </c>
      <c r="I1507">
        <v>901</v>
      </c>
      <c r="J1507">
        <v>3153.5</v>
      </c>
      <c r="K1507">
        <v>3.5</v>
      </c>
      <c r="M1507" t="s">
        <v>289</v>
      </c>
    </row>
    <row r="1508" spans="1:13" hidden="1">
      <c r="A1508" t="s">
        <v>105</v>
      </c>
      <c r="B1508" t="s">
        <v>8</v>
      </c>
      <c r="C1508" t="s">
        <v>104</v>
      </c>
      <c r="D1508" t="str">
        <f>LEFT(M1508,10)</f>
        <v>11/15/2024</v>
      </c>
      <c r="E1508" t="s">
        <v>202</v>
      </c>
      <c r="F1508" t="s">
        <v>218</v>
      </c>
      <c r="G1508" t="s">
        <v>241</v>
      </c>
      <c r="I1508">
        <v>77</v>
      </c>
      <c r="J1508">
        <v>254.1</v>
      </c>
      <c r="K1508">
        <v>3.3</v>
      </c>
      <c r="M1508" t="s">
        <v>289</v>
      </c>
    </row>
    <row r="1509" spans="1:13" hidden="1">
      <c r="A1509" t="s">
        <v>105</v>
      </c>
      <c r="B1509" t="s">
        <v>8</v>
      </c>
      <c r="C1509" t="s">
        <v>104</v>
      </c>
      <c r="D1509" t="str">
        <f>LEFT(M1509,10)</f>
        <v>11/15/2024</v>
      </c>
      <c r="E1509" t="s">
        <v>202</v>
      </c>
      <c r="F1509" t="s">
        <v>218</v>
      </c>
      <c r="G1509" t="s">
        <v>242</v>
      </c>
      <c r="I1509">
        <v>62</v>
      </c>
      <c r="J1509">
        <v>62</v>
      </c>
      <c r="K1509">
        <v>1</v>
      </c>
      <c r="M1509" t="s">
        <v>289</v>
      </c>
    </row>
    <row r="1510" spans="1:13" hidden="1">
      <c r="A1510" t="s">
        <v>105</v>
      </c>
      <c r="B1510" t="s">
        <v>8</v>
      </c>
      <c r="C1510" t="s">
        <v>104</v>
      </c>
      <c r="D1510" t="str">
        <f>LEFT(M1510,10)</f>
        <v>11/15/2024</v>
      </c>
      <c r="E1510" t="s">
        <v>202</v>
      </c>
      <c r="F1510" t="s">
        <v>218</v>
      </c>
      <c r="G1510" t="s">
        <v>219</v>
      </c>
      <c r="I1510">
        <v>165</v>
      </c>
      <c r="J1510">
        <v>16.5</v>
      </c>
      <c r="K1510">
        <v>0.1</v>
      </c>
      <c r="M1510" t="s">
        <v>289</v>
      </c>
    </row>
    <row r="1511" spans="1:13" hidden="1">
      <c r="A1511" t="s">
        <v>105</v>
      </c>
      <c r="B1511" t="s">
        <v>8</v>
      </c>
      <c r="C1511" t="s">
        <v>104</v>
      </c>
      <c r="D1511" t="str">
        <f>LEFT(M1511,10)</f>
        <v>11/15/2024</v>
      </c>
      <c r="E1511" t="s">
        <v>202</v>
      </c>
      <c r="F1511" t="s">
        <v>218</v>
      </c>
      <c r="G1511" t="s">
        <v>243</v>
      </c>
      <c r="H1511" t="s">
        <v>344</v>
      </c>
      <c r="I1511">
        <v>231</v>
      </c>
      <c r="J1511">
        <v>69.3</v>
      </c>
      <c r="K1511">
        <v>0.3</v>
      </c>
      <c r="M1511" t="s">
        <v>289</v>
      </c>
    </row>
    <row r="1512" spans="1:13" hidden="1">
      <c r="A1512" t="s">
        <v>105</v>
      </c>
      <c r="B1512" t="s">
        <v>8</v>
      </c>
      <c r="C1512" t="s">
        <v>104</v>
      </c>
      <c r="D1512" t="str">
        <f>LEFT(M1512,10)</f>
        <v>11/15/2024</v>
      </c>
      <c r="E1512" t="s">
        <v>202</v>
      </c>
      <c r="F1512" t="s">
        <v>218</v>
      </c>
      <c r="G1512" t="s">
        <v>222</v>
      </c>
      <c r="I1512">
        <v>1763</v>
      </c>
      <c r="J1512">
        <v>2632.9</v>
      </c>
      <c r="K1512">
        <v>1.49</v>
      </c>
      <c r="M1512" t="s">
        <v>289</v>
      </c>
    </row>
    <row r="1513" spans="1:13" hidden="1">
      <c r="A1513" t="s">
        <v>105</v>
      </c>
      <c r="B1513" t="s">
        <v>8</v>
      </c>
      <c r="C1513" t="s">
        <v>104</v>
      </c>
      <c r="D1513" t="str">
        <f>LEFT(M1513,10)</f>
        <v>11/15/2024</v>
      </c>
      <c r="E1513" t="s">
        <v>202</v>
      </c>
      <c r="F1513" t="s">
        <v>218</v>
      </c>
      <c r="G1513" t="s">
        <v>226</v>
      </c>
      <c r="I1513">
        <v>416</v>
      </c>
      <c r="J1513">
        <v>124.8</v>
      </c>
      <c r="K1513">
        <v>0.3</v>
      </c>
      <c r="M1513" t="s">
        <v>289</v>
      </c>
    </row>
    <row r="1514" spans="1:13" hidden="1">
      <c r="A1514" t="s">
        <v>105</v>
      </c>
      <c r="B1514" t="s">
        <v>8</v>
      </c>
      <c r="C1514" t="s">
        <v>104</v>
      </c>
      <c r="D1514" t="str">
        <f>LEFT(M1514,10)</f>
        <v>11/15/2024</v>
      </c>
      <c r="E1514" t="s">
        <v>202</v>
      </c>
      <c r="F1514" t="s">
        <v>218</v>
      </c>
      <c r="G1514" t="s">
        <v>225</v>
      </c>
      <c r="I1514">
        <v>144</v>
      </c>
      <c r="J1514">
        <v>144</v>
      </c>
      <c r="K1514">
        <v>1</v>
      </c>
      <c r="M1514" t="s">
        <v>289</v>
      </c>
    </row>
    <row r="1515" spans="1:13" hidden="1">
      <c r="A1515" t="s">
        <v>105</v>
      </c>
      <c r="B1515" t="s">
        <v>8</v>
      </c>
      <c r="C1515" t="s">
        <v>104</v>
      </c>
      <c r="D1515" t="str">
        <f>LEFT(M1515,10)</f>
        <v>11/15/2024</v>
      </c>
      <c r="E1515" t="s">
        <v>202</v>
      </c>
      <c r="F1515" t="s">
        <v>218</v>
      </c>
      <c r="G1515" t="s">
        <v>224</v>
      </c>
      <c r="I1515">
        <v>274</v>
      </c>
      <c r="J1515">
        <v>274</v>
      </c>
      <c r="K1515">
        <v>1</v>
      </c>
      <c r="M1515" t="s">
        <v>289</v>
      </c>
    </row>
    <row r="1516" spans="1:13" hidden="1">
      <c r="A1516" t="s">
        <v>105</v>
      </c>
      <c r="B1516" t="s">
        <v>8</v>
      </c>
      <c r="C1516" t="s">
        <v>104</v>
      </c>
      <c r="D1516" t="str">
        <f>LEFT(M1516,10)</f>
        <v>11/15/2024</v>
      </c>
      <c r="E1516" t="s">
        <v>202</v>
      </c>
      <c r="F1516" t="s">
        <v>218</v>
      </c>
      <c r="G1516" t="s">
        <v>267</v>
      </c>
      <c r="I1516">
        <v>407</v>
      </c>
      <c r="J1516">
        <v>81.400000000000006</v>
      </c>
      <c r="K1516">
        <v>0.2</v>
      </c>
      <c r="M1516" t="s">
        <v>289</v>
      </c>
    </row>
    <row r="1517" spans="1:13" hidden="1">
      <c r="A1517" t="s">
        <v>105</v>
      </c>
      <c r="B1517" t="s">
        <v>8</v>
      </c>
      <c r="C1517" t="s">
        <v>104</v>
      </c>
      <c r="D1517" t="str">
        <f>LEFT(M1517,10)</f>
        <v>11/15/2024</v>
      </c>
      <c r="E1517" t="s">
        <v>202</v>
      </c>
      <c r="F1517" t="s">
        <v>203</v>
      </c>
      <c r="G1517" t="s">
        <v>208</v>
      </c>
      <c r="I1517">
        <v>30</v>
      </c>
      <c r="J1517">
        <v>30</v>
      </c>
      <c r="K1517">
        <v>1</v>
      </c>
      <c r="M1517" t="s">
        <v>289</v>
      </c>
    </row>
    <row r="1518" spans="1:13" hidden="1">
      <c r="A1518" t="s">
        <v>105</v>
      </c>
      <c r="B1518" t="s">
        <v>8</v>
      </c>
      <c r="C1518" t="s">
        <v>104</v>
      </c>
      <c r="D1518" t="str">
        <f>LEFT(M1518,10)</f>
        <v>11/15/2024</v>
      </c>
      <c r="E1518" t="s">
        <v>202</v>
      </c>
      <c r="F1518" t="s">
        <v>203</v>
      </c>
      <c r="G1518" t="s">
        <v>259</v>
      </c>
      <c r="I1518">
        <v>67</v>
      </c>
      <c r="J1518">
        <v>290</v>
      </c>
      <c r="K1518">
        <v>4.33</v>
      </c>
      <c r="M1518" t="s">
        <v>289</v>
      </c>
    </row>
    <row r="1519" spans="1:13" hidden="1">
      <c r="A1519" t="s">
        <v>105</v>
      </c>
      <c r="B1519" t="s">
        <v>8</v>
      </c>
      <c r="C1519" t="s">
        <v>104</v>
      </c>
      <c r="D1519" t="str">
        <f>LEFT(M1519,10)</f>
        <v>11/15/2024</v>
      </c>
      <c r="E1519" t="s">
        <v>202</v>
      </c>
      <c r="F1519" t="s">
        <v>209</v>
      </c>
      <c r="G1519" t="s">
        <v>310</v>
      </c>
      <c r="I1519">
        <v>3.5</v>
      </c>
      <c r="J1519">
        <v>35</v>
      </c>
      <c r="K1519">
        <v>10</v>
      </c>
      <c r="M1519" t="s">
        <v>289</v>
      </c>
    </row>
    <row r="1520" spans="1:13" hidden="1">
      <c r="A1520" t="s">
        <v>105</v>
      </c>
      <c r="B1520" t="s">
        <v>8</v>
      </c>
      <c r="C1520" t="s">
        <v>104</v>
      </c>
      <c r="D1520" t="str">
        <f>LEFT(M1520,10)</f>
        <v>11/15/2024</v>
      </c>
      <c r="E1520" t="s">
        <v>202</v>
      </c>
      <c r="F1520" t="s">
        <v>209</v>
      </c>
      <c r="G1520" t="s">
        <v>214</v>
      </c>
      <c r="I1520">
        <v>45</v>
      </c>
      <c r="J1520">
        <v>15</v>
      </c>
      <c r="K1520">
        <v>0.33</v>
      </c>
      <c r="M1520" t="s">
        <v>289</v>
      </c>
    </row>
    <row r="1521" spans="1:13" hidden="1">
      <c r="A1521" t="s">
        <v>105</v>
      </c>
      <c r="B1521" t="s">
        <v>8</v>
      </c>
      <c r="C1521" t="s">
        <v>104</v>
      </c>
      <c r="D1521" t="str">
        <f>LEFT(M1521,10)</f>
        <v>11/15/2024</v>
      </c>
      <c r="E1521" t="s">
        <v>202</v>
      </c>
      <c r="F1521" t="s">
        <v>306</v>
      </c>
      <c r="G1521" t="s">
        <v>307</v>
      </c>
      <c r="I1521">
        <v>80</v>
      </c>
      <c r="J1521">
        <v>160</v>
      </c>
      <c r="K1521">
        <v>2</v>
      </c>
      <c r="M1521" t="s">
        <v>289</v>
      </c>
    </row>
    <row r="1522" spans="1:13" hidden="1">
      <c r="A1522" t="s">
        <v>105</v>
      </c>
      <c r="B1522" t="s">
        <v>8</v>
      </c>
      <c r="C1522" t="s">
        <v>104</v>
      </c>
      <c r="D1522" t="str">
        <f>LEFT(M1522,10)</f>
        <v>11/15/2024</v>
      </c>
      <c r="E1522" t="s">
        <v>202</v>
      </c>
      <c r="F1522" t="s">
        <v>216</v>
      </c>
      <c r="G1522" t="s">
        <v>217</v>
      </c>
      <c r="I1522">
        <v>18</v>
      </c>
      <c r="J1522">
        <v>17.3</v>
      </c>
      <c r="K1522">
        <v>0.96</v>
      </c>
      <c r="M1522" t="s">
        <v>289</v>
      </c>
    </row>
    <row r="1523" spans="1:13" hidden="1">
      <c r="A1523" t="s">
        <v>105</v>
      </c>
      <c r="B1523" t="s">
        <v>8</v>
      </c>
      <c r="C1523" t="s">
        <v>104</v>
      </c>
      <c r="D1523" t="str">
        <f>LEFT(M1523,10)</f>
        <v>11/15/2024</v>
      </c>
      <c r="E1523" t="s">
        <v>202</v>
      </c>
      <c r="F1523" t="s">
        <v>216</v>
      </c>
      <c r="G1523" t="s">
        <v>253</v>
      </c>
      <c r="I1523">
        <v>7140</v>
      </c>
      <c r="J1523">
        <v>1071</v>
      </c>
      <c r="K1523">
        <v>0.15</v>
      </c>
      <c r="M1523" t="s">
        <v>289</v>
      </c>
    </row>
    <row r="1524" spans="1:13" hidden="1">
      <c r="A1524" t="s">
        <v>105</v>
      </c>
      <c r="B1524" t="s">
        <v>8</v>
      </c>
      <c r="C1524" t="s">
        <v>104</v>
      </c>
      <c r="D1524" t="str">
        <f>LEFT(M1524,10)</f>
        <v>11/15/2024</v>
      </c>
      <c r="E1524" t="s">
        <v>202</v>
      </c>
      <c r="F1524" t="s">
        <v>203</v>
      </c>
      <c r="G1524" t="s">
        <v>236</v>
      </c>
      <c r="I1524">
        <v>2370</v>
      </c>
      <c r="J1524">
        <v>1659</v>
      </c>
      <c r="K1524">
        <v>0.7</v>
      </c>
      <c r="M1524" t="s">
        <v>289</v>
      </c>
    </row>
    <row r="1525" spans="1:13" hidden="1">
      <c r="A1525" t="s">
        <v>105</v>
      </c>
      <c r="B1525" t="s">
        <v>8</v>
      </c>
      <c r="C1525" t="s">
        <v>104</v>
      </c>
      <c r="D1525" t="str">
        <f>LEFT(M1525,10)</f>
        <v>11/15/2024</v>
      </c>
      <c r="E1525" t="s">
        <v>234</v>
      </c>
      <c r="F1525" t="s">
        <v>234</v>
      </c>
      <c r="I1525">
        <v>3580</v>
      </c>
      <c r="M1525" t="s">
        <v>289</v>
      </c>
    </row>
    <row r="1526" spans="1:13" hidden="1">
      <c r="A1526" t="s">
        <v>105</v>
      </c>
      <c r="B1526" t="s">
        <v>8</v>
      </c>
      <c r="C1526" t="s">
        <v>104</v>
      </c>
      <c r="D1526" t="str">
        <f>LEFT(M1526,10)</f>
        <v>11/15/2024</v>
      </c>
      <c r="E1526" t="s">
        <v>230</v>
      </c>
      <c r="F1526" t="s">
        <v>248</v>
      </c>
      <c r="I1526">
        <v>0</v>
      </c>
      <c r="J1526">
        <v>6090.29</v>
      </c>
      <c r="M1526" t="s">
        <v>289</v>
      </c>
    </row>
    <row r="1527" spans="1:13" hidden="1">
      <c r="A1527" t="s">
        <v>105</v>
      </c>
      <c r="B1527" t="s">
        <v>8</v>
      </c>
      <c r="C1527" t="s">
        <v>104</v>
      </c>
      <c r="D1527" t="str">
        <f>LEFT(M1527,10)</f>
        <v>11/15/2024</v>
      </c>
      <c r="E1527" t="s">
        <v>232</v>
      </c>
      <c r="F1527" t="s">
        <v>233</v>
      </c>
      <c r="I1527">
        <v>0</v>
      </c>
      <c r="J1527">
        <v>776.6</v>
      </c>
      <c r="M1527" t="s">
        <v>289</v>
      </c>
    </row>
    <row r="1528" spans="1:13" hidden="1">
      <c r="A1528" t="s">
        <v>105</v>
      </c>
      <c r="B1528" t="s">
        <v>8</v>
      </c>
      <c r="C1528" t="s">
        <v>104</v>
      </c>
      <c r="D1528" t="str">
        <f>LEFT(M1528,10)</f>
        <v>11/15/2024</v>
      </c>
      <c r="E1528" t="s">
        <v>232</v>
      </c>
      <c r="F1528" t="s">
        <v>287</v>
      </c>
      <c r="I1528">
        <v>0</v>
      </c>
      <c r="J1528">
        <v>718.41</v>
      </c>
      <c r="M1528" t="s">
        <v>289</v>
      </c>
    </row>
    <row r="1529" spans="1:13" hidden="1">
      <c r="A1529" t="s">
        <v>105</v>
      </c>
      <c r="B1529" t="s">
        <v>8</v>
      </c>
      <c r="C1529" t="s">
        <v>104</v>
      </c>
      <c r="D1529" t="str">
        <f>LEFT(M1529,10)</f>
        <v>11/15/2024</v>
      </c>
      <c r="E1529" t="s">
        <v>232</v>
      </c>
      <c r="F1529" t="s">
        <v>290</v>
      </c>
      <c r="I1529">
        <v>0</v>
      </c>
      <c r="J1529">
        <v>32</v>
      </c>
      <c r="M1529" t="s">
        <v>289</v>
      </c>
    </row>
    <row r="1530" spans="1:13" hidden="1">
      <c r="A1530" t="s">
        <v>105</v>
      </c>
      <c r="B1530" t="s">
        <v>8</v>
      </c>
      <c r="C1530" t="s">
        <v>104</v>
      </c>
      <c r="D1530" t="str">
        <f>LEFT(M1530,10)</f>
        <v>11/15/2024</v>
      </c>
      <c r="E1530" t="s">
        <v>232</v>
      </c>
      <c r="F1530" t="s">
        <v>251</v>
      </c>
      <c r="I1530">
        <v>0</v>
      </c>
      <c r="J1530">
        <v>190</v>
      </c>
      <c r="M1530" t="s">
        <v>289</v>
      </c>
    </row>
    <row r="1531" spans="1:13" hidden="1">
      <c r="A1531" t="s">
        <v>105</v>
      </c>
      <c r="B1531" t="s">
        <v>8</v>
      </c>
      <c r="C1531" t="s">
        <v>104</v>
      </c>
      <c r="D1531" t="str">
        <f>LEFT(M1531,10)</f>
        <v>11/15/2024</v>
      </c>
      <c r="E1531" t="s">
        <v>232</v>
      </c>
      <c r="F1531" t="s">
        <v>255</v>
      </c>
      <c r="I1531">
        <v>0</v>
      </c>
      <c r="J1531">
        <v>100</v>
      </c>
      <c r="L1531" t="s">
        <v>401</v>
      </c>
      <c r="M1531" t="s">
        <v>289</v>
      </c>
    </row>
    <row r="1532" spans="1:13" hidden="1">
      <c r="A1532" t="s">
        <v>105</v>
      </c>
      <c r="B1532" t="s">
        <v>8</v>
      </c>
      <c r="C1532" t="s">
        <v>104</v>
      </c>
      <c r="D1532" t="str">
        <f>LEFT(M1532,10)</f>
        <v>11/15/2024</v>
      </c>
      <c r="E1532" t="s">
        <v>232</v>
      </c>
      <c r="F1532" t="s">
        <v>255</v>
      </c>
      <c r="I1532">
        <v>0</v>
      </c>
      <c r="J1532">
        <v>140</v>
      </c>
      <c r="L1532" t="s">
        <v>402</v>
      </c>
      <c r="M1532" t="s">
        <v>289</v>
      </c>
    </row>
    <row r="1533" spans="1:13" hidden="1">
      <c r="A1533" t="s">
        <v>105</v>
      </c>
      <c r="B1533" t="s">
        <v>8</v>
      </c>
      <c r="C1533" t="s">
        <v>104</v>
      </c>
      <c r="D1533" t="str">
        <f>LEFT(M1533,10)</f>
        <v>11/15/2024</v>
      </c>
      <c r="E1533" t="s">
        <v>232</v>
      </c>
      <c r="F1533" t="s">
        <v>291</v>
      </c>
      <c r="I1533">
        <v>0</v>
      </c>
      <c r="J1533">
        <v>25.58</v>
      </c>
      <c r="M1533" t="s">
        <v>289</v>
      </c>
    </row>
    <row r="1534" spans="1:13" hidden="1">
      <c r="A1534" t="s">
        <v>107</v>
      </c>
      <c r="B1534" t="s">
        <v>8</v>
      </c>
      <c r="C1534" t="s">
        <v>106</v>
      </c>
      <c r="D1534" t="str">
        <f>LEFT(M1534,10)</f>
        <v>11/15/2024</v>
      </c>
      <c r="E1534" t="s">
        <v>202</v>
      </c>
      <c r="F1534" t="s">
        <v>218</v>
      </c>
      <c r="G1534" t="s">
        <v>226</v>
      </c>
      <c r="I1534">
        <v>92</v>
      </c>
      <c r="J1534">
        <v>27.6</v>
      </c>
      <c r="K1534">
        <v>0.3</v>
      </c>
      <c r="M1534" t="s">
        <v>289</v>
      </c>
    </row>
    <row r="1535" spans="1:13" hidden="1">
      <c r="A1535" t="s">
        <v>107</v>
      </c>
      <c r="B1535" t="s">
        <v>8</v>
      </c>
      <c r="C1535" t="s">
        <v>106</v>
      </c>
      <c r="D1535" t="str">
        <f>LEFT(M1535,10)</f>
        <v>11/15/2024</v>
      </c>
      <c r="E1535" t="s">
        <v>202</v>
      </c>
      <c r="F1535" t="s">
        <v>218</v>
      </c>
      <c r="G1535" t="s">
        <v>224</v>
      </c>
      <c r="I1535">
        <v>140</v>
      </c>
      <c r="J1535">
        <v>126</v>
      </c>
      <c r="K1535">
        <v>0.9</v>
      </c>
      <c r="M1535" t="s">
        <v>289</v>
      </c>
    </row>
    <row r="1536" spans="1:13" hidden="1">
      <c r="A1536" t="s">
        <v>107</v>
      </c>
      <c r="B1536" t="s">
        <v>8</v>
      </c>
      <c r="C1536" t="s">
        <v>106</v>
      </c>
      <c r="D1536" t="str">
        <f>LEFT(M1536,10)</f>
        <v>11/15/2024</v>
      </c>
      <c r="E1536" t="s">
        <v>202</v>
      </c>
      <c r="F1536" t="s">
        <v>218</v>
      </c>
      <c r="G1536" t="s">
        <v>219</v>
      </c>
      <c r="I1536">
        <v>516</v>
      </c>
      <c r="J1536">
        <v>619.20000000000005</v>
      </c>
      <c r="K1536">
        <v>1.2</v>
      </c>
      <c r="M1536" t="s">
        <v>289</v>
      </c>
    </row>
    <row r="1537" spans="1:13" hidden="1">
      <c r="A1537" t="s">
        <v>107</v>
      </c>
      <c r="B1537" t="s">
        <v>8</v>
      </c>
      <c r="C1537" t="s">
        <v>106</v>
      </c>
      <c r="D1537" t="str">
        <f>LEFT(M1537,10)</f>
        <v>11/15/2024</v>
      </c>
      <c r="E1537" t="s">
        <v>202</v>
      </c>
      <c r="F1537" t="s">
        <v>227</v>
      </c>
      <c r="G1537" t="s">
        <v>237</v>
      </c>
      <c r="I1537">
        <v>480</v>
      </c>
      <c r="J1537">
        <v>288</v>
      </c>
      <c r="K1537">
        <v>0.6</v>
      </c>
      <c r="M1537" t="s">
        <v>289</v>
      </c>
    </row>
    <row r="1538" spans="1:13" hidden="1">
      <c r="A1538" t="s">
        <v>107</v>
      </c>
      <c r="B1538" t="s">
        <v>8</v>
      </c>
      <c r="C1538" t="s">
        <v>106</v>
      </c>
      <c r="D1538" t="str">
        <f>LEFT(M1538,10)</f>
        <v>11/15/2024</v>
      </c>
      <c r="E1538" t="s">
        <v>202</v>
      </c>
      <c r="F1538" t="s">
        <v>227</v>
      </c>
      <c r="G1538" t="s">
        <v>252</v>
      </c>
      <c r="I1538">
        <v>178</v>
      </c>
      <c r="J1538">
        <v>35.6</v>
      </c>
      <c r="K1538">
        <v>0.2</v>
      </c>
      <c r="M1538" t="s">
        <v>289</v>
      </c>
    </row>
    <row r="1539" spans="1:13" hidden="1">
      <c r="A1539" t="s">
        <v>107</v>
      </c>
      <c r="B1539" t="s">
        <v>8</v>
      </c>
      <c r="C1539" t="s">
        <v>106</v>
      </c>
      <c r="D1539" t="str">
        <f>LEFT(M1539,10)</f>
        <v>11/15/2024</v>
      </c>
      <c r="E1539" t="s">
        <v>202</v>
      </c>
      <c r="F1539" t="s">
        <v>227</v>
      </c>
      <c r="G1539" t="s">
        <v>238</v>
      </c>
      <c r="I1539">
        <v>181</v>
      </c>
      <c r="J1539">
        <v>45.25</v>
      </c>
      <c r="K1539">
        <v>0.25</v>
      </c>
      <c r="M1539" t="s">
        <v>289</v>
      </c>
    </row>
    <row r="1540" spans="1:13" hidden="1">
      <c r="A1540" t="s">
        <v>107</v>
      </c>
      <c r="B1540" t="s">
        <v>8</v>
      </c>
      <c r="C1540" t="s">
        <v>106</v>
      </c>
      <c r="D1540" t="str">
        <f>LEFT(M1540,10)</f>
        <v>11/15/2024</v>
      </c>
      <c r="E1540" t="s">
        <v>202</v>
      </c>
      <c r="F1540" t="s">
        <v>218</v>
      </c>
      <c r="G1540" t="s">
        <v>266</v>
      </c>
      <c r="I1540">
        <v>132</v>
      </c>
      <c r="J1540">
        <v>1.32</v>
      </c>
      <c r="K1540">
        <v>0.01</v>
      </c>
      <c r="M1540" t="s">
        <v>289</v>
      </c>
    </row>
    <row r="1541" spans="1:13" hidden="1">
      <c r="A1541" t="s">
        <v>107</v>
      </c>
      <c r="B1541" t="s">
        <v>8</v>
      </c>
      <c r="C1541" t="s">
        <v>106</v>
      </c>
      <c r="D1541" t="str">
        <f>LEFT(M1541,10)</f>
        <v>11/15/2024</v>
      </c>
      <c r="E1541" t="s">
        <v>202</v>
      </c>
      <c r="F1541" t="s">
        <v>218</v>
      </c>
      <c r="G1541" t="s">
        <v>242</v>
      </c>
      <c r="I1541">
        <v>69</v>
      </c>
      <c r="J1541">
        <v>69</v>
      </c>
      <c r="K1541">
        <v>1</v>
      </c>
      <c r="M1541" t="s">
        <v>289</v>
      </c>
    </row>
    <row r="1542" spans="1:13" hidden="1">
      <c r="A1542" t="s">
        <v>107</v>
      </c>
      <c r="B1542" t="s">
        <v>8</v>
      </c>
      <c r="C1542" t="s">
        <v>106</v>
      </c>
      <c r="D1542" t="str">
        <f>LEFT(M1542,10)</f>
        <v>11/15/2024</v>
      </c>
      <c r="E1542" t="s">
        <v>202</v>
      </c>
      <c r="F1542" t="s">
        <v>218</v>
      </c>
      <c r="G1542" t="s">
        <v>268</v>
      </c>
      <c r="I1542">
        <v>140</v>
      </c>
      <c r="J1542">
        <v>210</v>
      </c>
      <c r="K1542">
        <v>1.5</v>
      </c>
      <c r="M1542" t="s">
        <v>289</v>
      </c>
    </row>
    <row r="1543" spans="1:13" hidden="1">
      <c r="A1543" t="s">
        <v>107</v>
      </c>
      <c r="B1543" t="s">
        <v>8</v>
      </c>
      <c r="C1543" t="s">
        <v>106</v>
      </c>
      <c r="D1543" t="str">
        <f>LEFT(M1543,10)</f>
        <v>11/15/2024</v>
      </c>
      <c r="E1543" t="s">
        <v>202</v>
      </c>
      <c r="F1543" t="s">
        <v>218</v>
      </c>
      <c r="G1543" t="s">
        <v>223</v>
      </c>
      <c r="I1543">
        <v>222</v>
      </c>
      <c r="J1543">
        <v>177.6</v>
      </c>
      <c r="K1543">
        <v>0.8</v>
      </c>
      <c r="M1543" t="s">
        <v>289</v>
      </c>
    </row>
    <row r="1544" spans="1:13" hidden="1">
      <c r="A1544" t="s">
        <v>107</v>
      </c>
      <c r="B1544" t="s">
        <v>8</v>
      </c>
      <c r="C1544" t="s">
        <v>106</v>
      </c>
      <c r="D1544" t="str">
        <f>LEFT(M1544,10)</f>
        <v>11/15/2024</v>
      </c>
      <c r="E1544" t="s">
        <v>202</v>
      </c>
      <c r="F1544" t="s">
        <v>218</v>
      </c>
      <c r="G1544" t="s">
        <v>267</v>
      </c>
      <c r="I1544">
        <v>117</v>
      </c>
      <c r="J1544">
        <v>11.7</v>
      </c>
      <c r="K1544">
        <v>0.1</v>
      </c>
      <c r="M1544" t="s">
        <v>289</v>
      </c>
    </row>
    <row r="1545" spans="1:13" hidden="1">
      <c r="A1545" t="s">
        <v>107</v>
      </c>
      <c r="B1545" t="s">
        <v>8</v>
      </c>
      <c r="C1545" t="s">
        <v>106</v>
      </c>
      <c r="D1545" t="str">
        <f>LEFT(M1545,10)</f>
        <v>11/15/2024</v>
      </c>
      <c r="E1545" t="s">
        <v>202</v>
      </c>
      <c r="F1545" t="s">
        <v>216</v>
      </c>
      <c r="G1545" t="s">
        <v>253</v>
      </c>
      <c r="I1545">
        <v>2030</v>
      </c>
      <c r="J1545">
        <v>304.5</v>
      </c>
      <c r="K1545">
        <v>0.15</v>
      </c>
      <c r="M1545" t="s">
        <v>289</v>
      </c>
    </row>
    <row r="1546" spans="1:13" hidden="1">
      <c r="A1546" t="s">
        <v>107</v>
      </c>
      <c r="B1546" t="s">
        <v>8</v>
      </c>
      <c r="C1546" t="s">
        <v>106</v>
      </c>
      <c r="D1546" t="str">
        <f>LEFT(M1546,10)</f>
        <v>11/15/2024</v>
      </c>
      <c r="E1546" t="s">
        <v>202</v>
      </c>
      <c r="F1546" t="s">
        <v>218</v>
      </c>
      <c r="G1546" t="s">
        <v>240</v>
      </c>
      <c r="I1546">
        <v>572</v>
      </c>
      <c r="J1546">
        <v>1944.8</v>
      </c>
      <c r="K1546">
        <v>3.4</v>
      </c>
      <c r="M1546" t="s">
        <v>289</v>
      </c>
    </row>
    <row r="1547" spans="1:13" hidden="1">
      <c r="A1547" t="s">
        <v>107</v>
      </c>
      <c r="B1547" t="s">
        <v>8</v>
      </c>
      <c r="C1547" t="s">
        <v>106</v>
      </c>
      <c r="D1547" t="str">
        <f>LEFT(M1547,10)</f>
        <v>11/15/2024</v>
      </c>
      <c r="E1547" t="s">
        <v>202</v>
      </c>
      <c r="F1547" t="s">
        <v>227</v>
      </c>
      <c r="G1547" t="s">
        <v>229</v>
      </c>
      <c r="I1547">
        <v>2363</v>
      </c>
      <c r="J1547">
        <v>1606.84</v>
      </c>
      <c r="K1547">
        <v>0.68</v>
      </c>
      <c r="M1547" t="s">
        <v>289</v>
      </c>
    </row>
    <row r="1548" spans="1:13" hidden="1">
      <c r="A1548" t="s">
        <v>107</v>
      </c>
      <c r="B1548" t="s">
        <v>8</v>
      </c>
      <c r="C1548" t="s">
        <v>106</v>
      </c>
      <c r="D1548" t="str">
        <f>LEFT(M1548,10)</f>
        <v>11/15/2024</v>
      </c>
      <c r="E1548" t="s">
        <v>202</v>
      </c>
      <c r="F1548" t="s">
        <v>218</v>
      </c>
      <c r="G1548" t="s">
        <v>240</v>
      </c>
      <c r="I1548">
        <v>503</v>
      </c>
      <c r="J1548">
        <v>1207.2</v>
      </c>
      <c r="K1548">
        <v>2.4</v>
      </c>
      <c r="M1548" t="s">
        <v>289</v>
      </c>
    </row>
    <row r="1549" spans="1:13" hidden="1">
      <c r="A1549" t="s">
        <v>107</v>
      </c>
      <c r="B1549" t="s">
        <v>8</v>
      </c>
      <c r="C1549" t="s">
        <v>106</v>
      </c>
      <c r="D1549" t="str">
        <f>LEFT(M1549,10)</f>
        <v>11/15/2024</v>
      </c>
      <c r="E1549" t="s">
        <v>202</v>
      </c>
      <c r="F1549" t="s">
        <v>227</v>
      </c>
      <c r="G1549" t="s">
        <v>228</v>
      </c>
      <c r="I1549">
        <v>637</v>
      </c>
      <c r="J1549">
        <v>191.1</v>
      </c>
      <c r="K1549">
        <v>0.3</v>
      </c>
      <c r="M1549" t="s">
        <v>289</v>
      </c>
    </row>
    <row r="1550" spans="1:13" hidden="1">
      <c r="A1550" t="s">
        <v>107</v>
      </c>
      <c r="B1550" t="s">
        <v>8</v>
      </c>
      <c r="C1550" t="s">
        <v>106</v>
      </c>
      <c r="D1550" t="str">
        <f>LEFT(M1550,10)</f>
        <v>11/15/2024</v>
      </c>
      <c r="E1550" t="s">
        <v>202</v>
      </c>
      <c r="F1550" t="s">
        <v>218</v>
      </c>
      <c r="G1550" t="s">
        <v>223</v>
      </c>
      <c r="I1550">
        <v>495</v>
      </c>
      <c r="J1550">
        <v>445.5</v>
      </c>
      <c r="K1550">
        <v>0.9</v>
      </c>
      <c r="M1550" t="s">
        <v>289</v>
      </c>
    </row>
    <row r="1551" spans="1:13" hidden="1">
      <c r="A1551" t="s">
        <v>107</v>
      </c>
      <c r="B1551" t="s">
        <v>8</v>
      </c>
      <c r="C1551" t="s">
        <v>106</v>
      </c>
      <c r="D1551" t="str">
        <f>LEFT(M1551,10)</f>
        <v>11/15/2024</v>
      </c>
      <c r="E1551" t="s">
        <v>202</v>
      </c>
      <c r="F1551" t="s">
        <v>218</v>
      </c>
      <c r="G1551" t="s">
        <v>240</v>
      </c>
      <c r="I1551">
        <v>306</v>
      </c>
      <c r="J1551">
        <v>428.4</v>
      </c>
      <c r="K1551">
        <v>1.4</v>
      </c>
      <c r="M1551" t="s">
        <v>289</v>
      </c>
    </row>
    <row r="1552" spans="1:13" hidden="1">
      <c r="A1552" t="s">
        <v>107</v>
      </c>
      <c r="B1552" t="s">
        <v>8</v>
      </c>
      <c r="C1552" t="s">
        <v>106</v>
      </c>
      <c r="D1552" t="str">
        <f>LEFT(M1552,10)</f>
        <v>11/15/2024</v>
      </c>
      <c r="E1552" t="s">
        <v>202</v>
      </c>
      <c r="F1552" t="s">
        <v>218</v>
      </c>
      <c r="G1552" t="s">
        <v>219</v>
      </c>
      <c r="I1552">
        <v>135</v>
      </c>
      <c r="J1552">
        <v>1.35</v>
      </c>
      <c r="K1552">
        <v>0.01</v>
      </c>
      <c r="M1552" t="s">
        <v>289</v>
      </c>
    </row>
    <row r="1553" spans="1:13" hidden="1">
      <c r="A1553" t="s">
        <v>107</v>
      </c>
      <c r="B1553" t="s">
        <v>8</v>
      </c>
      <c r="C1553" t="s">
        <v>106</v>
      </c>
      <c r="D1553" t="str">
        <f>LEFT(M1553,10)</f>
        <v>11/15/2024</v>
      </c>
      <c r="E1553" t="s">
        <v>202</v>
      </c>
      <c r="F1553" t="s">
        <v>218</v>
      </c>
      <c r="G1553" t="s">
        <v>225</v>
      </c>
      <c r="I1553">
        <v>74</v>
      </c>
      <c r="J1553">
        <v>74</v>
      </c>
      <c r="K1553">
        <v>1</v>
      </c>
      <c r="M1553" t="s">
        <v>289</v>
      </c>
    </row>
    <row r="1554" spans="1:13" hidden="1">
      <c r="A1554" t="s">
        <v>107</v>
      </c>
      <c r="B1554" t="s">
        <v>8</v>
      </c>
      <c r="C1554" t="s">
        <v>106</v>
      </c>
      <c r="D1554" t="str">
        <f>LEFT(M1554,10)</f>
        <v>11/15/2024</v>
      </c>
      <c r="E1554" t="s">
        <v>202</v>
      </c>
      <c r="F1554" t="s">
        <v>218</v>
      </c>
      <c r="G1554" t="s">
        <v>239</v>
      </c>
      <c r="I1554">
        <v>92</v>
      </c>
      <c r="J1554">
        <v>0.92</v>
      </c>
      <c r="K1554">
        <v>0.01</v>
      </c>
      <c r="M1554" t="s">
        <v>289</v>
      </c>
    </row>
    <row r="1555" spans="1:13" hidden="1">
      <c r="A1555" t="s">
        <v>107</v>
      </c>
      <c r="B1555" t="s">
        <v>8</v>
      </c>
      <c r="C1555" t="s">
        <v>106</v>
      </c>
      <c r="D1555" t="str">
        <f>LEFT(M1555,10)</f>
        <v>11/15/2024</v>
      </c>
      <c r="E1555" t="s">
        <v>202</v>
      </c>
      <c r="F1555" t="s">
        <v>203</v>
      </c>
      <c r="G1555" t="s">
        <v>215</v>
      </c>
      <c r="I1555">
        <v>730</v>
      </c>
      <c r="J1555">
        <v>438</v>
      </c>
      <c r="K1555">
        <v>0.6</v>
      </c>
      <c r="M1555" t="s">
        <v>289</v>
      </c>
    </row>
    <row r="1556" spans="1:13" hidden="1">
      <c r="A1556" t="s">
        <v>107</v>
      </c>
      <c r="B1556" t="s">
        <v>8</v>
      </c>
      <c r="C1556" t="s">
        <v>106</v>
      </c>
      <c r="D1556" t="str">
        <f>LEFT(M1556,10)</f>
        <v>11/15/2024</v>
      </c>
      <c r="E1556" t="s">
        <v>232</v>
      </c>
      <c r="F1556" t="s">
        <v>272</v>
      </c>
      <c r="I1556">
        <v>0</v>
      </c>
      <c r="J1556">
        <v>128</v>
      </c>
      <c r="M1556" t="s">
        <v>289</v>
      </c>
    </row>
    <row r="1557" spans="1:13" hidden="1">
      <c r="A1557" t="s">
        <v>107</v>
      </c>
      <c r="B1557" t="s">
        <v>8</v>
      </c>
      <c r="C1557" t="s">
        <v>106</v>
      </c>
      <c r="D1557" t="str">
        <f>LEFT(M1557,10)</f>
        <v>11/15/2024</v>
      </c>
      <c r="E1557" t="s">
        <v>232</v>
      </c>
      <c r="F1557" t="s">
        <v>291</v>
      </c>
      <c r="I1557">
        <v>0</v>
      </c>
      <c r="J1557">
        <v>165</v>
      </c>
      <c r="M1557" t="s">
        <v>289</v>
      </c>
    </row>
    <row r="1558" spans="1:13" hidden="1">
      <c r="A1558" t="s">
        <v>107</v>
      </c>
      <c r="B1558" t="s">
        <v>8</v>
      </c>
      <c r="C1558" t="s">
        <v>106</v>
      </c>
      <c r="D1558" t="str">
        <f>LEFT(M1558,10)</f>
        <v>11/15/2024</v>
      </c>
      <c r="E1558" t="s">
        <v>234</v>
      </c>
      <c r="F1558" t="s">
        <v>234</v>
      </c>
      <c r="I1558">
        <v>2500</v>
      </c>
      <c r="M1558" t="s">
        <v>289</v>
      </c>
    </row>
    <row r="1559" spans="1:13" hidden="1">
      <c r="A1559" t="s">
        <v>109</v>
      </c>
      <c r="B1559" t="s">
        <v>8</v>
      </c>
      <c r="C1559" t="s">
        <v>108</v>
      </c>
      <c r="D1559" t="str">
        <f>LEFT(M1559,10)</f>
        <v>11/15/2024</v>
      </c>
      <c r="E1559" t="s">
        <v>234</v>
      </c>
      <c r="F1559" t="s">
        <v>234</v>
      </c>
      <c r="I1559">
        <v>4474</v>
      </c>
      <c r="M1559" t="s">
        <v>289</v>
      </c>
    </row>
    <row r="1560" spans="1:13" hidden="1">
      <c r="A1560" t="s">
        <v>109</v>
      </c>
      <c r="B1560" t="s">
        <v>8</v>
      </c>
      <c r="C1560" t="s">
        <v>108</v>
      </c>
      <c r="D1560" t="str">
        <f>LEFT(M1560,10)</f>
        <v>11/15/2024</v>
      </c>
      <c r="E1560" t="s">
        <v>232</v>
      </c>
      <c r="F1560" t="s">
        <v>250</v>
      </c>
      <c r="I1560">
        <v>0</v>
      </c>
      <c r="J1560">
        <v>310</v>
      </c>
      <c r="M1560" t="s">
        <v>289</v>
      </c>
    </row>
    <row r="1561" spans="1:13" hidden="1">
      <c r="A1561" t="s">
        <v>109</v>
      </c>
      <c r="B1561" t="s">
        <v>8</v>
      </c>
      <c r="C1561" t="s">
        <v>108</v>
      </c>
      <c r="D1561" t="str">
        <f>LEFT(M1561,10)</f>
        <v>11/15/2024</v>
      </c>
      <c r="E1561" t="s">
        <v>232</v>
      </c>
      <c r="F1561" t="s">
        <v>251</v>
      </c>
      <c r="I1561">
        <v>0</v>
      </c>
      <c r="J1561">
        <v>93.6</v>
      </c>
      <c r="M1561" t="s">
        <v>289</v>
      </c>
    </row>
    <row r="1562" spans="1:13" hidden="1">
      <c r="A1562" t="s">
        <v>109</v>
      </c>
      <c r="B1562" t="s">
        <v>8</v>
      </c>
      <c r="C1562" t="s">
        <v>108</v>
      </c>
      <c r="D1562" t="str">
        <f>LEFT(M1562,10)</f>
        <v>11/15/2024</v>
      </c>
      <c r="E1562" t="s">
        <v>232</v>
      </c>
      <c r="F1562" t="s">
        <v>272</v>
      </c>
      <c r="I1562">
        <v>0</v>
      </c>
      <c r="J1562">
        <v>1300</v>
      </c>
      <c r="M1562" t="s">
        <v>289</v>
      </c>
    </row>
    <row r="1563" spans="1:13" hidden="1">
      <c r="A1563" t="s">
        <v>109</v>
      </c>
      <c r="B1563" t="s">
        <v>8</v>
      </c>
      <c r="C1563" t="s">
        <v>108</v>
      </c>
      <c r="D1563" t="str">
        <f>LEFT(M1563,10)</f>
        <v>11/15/2024</v>
      </c>
      <c r="E1563" t="s">
        <v>232</v>
      </c>
      <c r="F1563" t="s">
        <v>276</v>
      </c>
      <c r="I1563">
        <v>0</v>
      </c>
      <c r="J1563">
        <v>113.98</v>
      </c>
      <c r="M1563" t="s">
        <v>289</v>
      </c>
    </row>
    <row r="1564" spans="1:13" hidden="1">
      <c r="A1564" t="s">
        <v>109</v>
      </c>
      <c r="B1564" t="s">
        <v>8</v>
      </c>
      <c r="C1564" t="s">
        <v>108</v>
      </c>
      <c r="D1564" t="str">
        <f>LEFT(M1564,10)</f>
        <v>11/15/2024</v>
      </c>
      <c r="E1564" t="s">
        <v>232</v>
      </c>
      <c r="F1564" t="s">
        <v>291</v>
      </c>
      <c r="I1564">
        <v>0</v>
      </c>
      <c r="J1564">
        <v>135</v>
      </c>
      <c r="M1564" t="s">
        <v>289</v>
      </c>
    </row>
    <row r="1565" spans="1:13" hidden="1">
      <c r="A1565" t="s">
        <v>109</v>
      </c>
      <c r="B1565" t="s">
        <v>8</v>
      </c>
      <c r="C1565" t="s">
        <v>108</v>
      </c>
      <c r="D1565" t="str">
        <f>LEFT(M1565,10)</f>
        <v>11/15/2024</v>
      </c>
      <c r="E1565" t="s">
        <v>232</v>
      </c>
      <c r="F1565" t="s">
        <v>287</v>
      </c>
      <c r="I1565">
        <v>0</v>
      </c>
      <c r="J1565">
        <v>678.19</v>
      </c>
      <c r="M1565" t="s">
        <v>289</v>
      </c>
    </row>
    <row r="1566" spans="1:13" hidden="1">
      <c r="A1566" t="s">
        <v>109</v>
      </c>
      <c r="B1566" t="s">
        <v>8</v>
      </c>
      <c r="C1566" t="s">
        <v>108</v>
      </c>
      <c r="D1566" t="str">
        <f>LEFT(M1566,10)</f>
        <v>11/15/2024</v>
      </c>
      <c r="E1566" t="s">
        <v>202</v>
      </c>
      <c r="F1566" t="s">
        <v>227</v>
      </c>
      <c r="G1566" t="s">
        <v>228</v>
      </c>
      <c r="I1566">
        <v>1271</v>
      </c>
      <c r="J1566">
        <v>317.75</v>
      </c>
      <c r="K1566">
        <v>0.25</v>
      </c>
      <c r="M1566" t="s">
        <v>289</v>
      </c>
    </row>
    <row r="1567" spans="1:13" hidden="1">
      <c r="A1567" t="s">
        <v>109</v>
      </c>
      <c r="B1567" t="s">
        <v>8</v>
      </c>
      <c r="C1567" t="s">
        <v>108</v>
      </c>
      <c r="D1567" t="str">
        <f>LEFT(M1567,10)</f>
        <v>11/15/2024</v>
      </c>
      <c r="E1567" t="s">
        <v>202</v>
      </c>
      <c r="F1567" t="s">
        <v>227</v>
      </c>
      <c r="G1567" t="s">
        <v>229</v>
      </c>
      <c r="I1567">
        <v>4866</v>
      </c>
      <c r="J1567">
        <v>3406.2</v>
      </c>
      <c r="K1567">
        <v>0.7</v>
      </c>
      <c r="M1567" t="s">
        <v>289</v>
      </c>
    </row>
    <row r="1568" spans="1:13" hidden="1">
      <c r="A1568" t="s">
        <v>109</v>
      </c>
      <c r="B1568" t="s">
        <v>8</v>
      </c>
      <c r="C1568" t="s">
        <v>108</v>
      </c>
      <c r="D1568" t="str">
        <f>LEFT(M1568,10)</f>
        <v>11/15/2024</v>
      </c>
      <c r="E1568" t="s">
        <v>202</v>
      </c>
      <c r="F1568" t="s">
        <v>227</v>
      </c>
      <c r="G1568" t="s">
        <v>238</v>
      </c>
      <c r="I1568">
        <v>315</v>
      </c>
      <c r="J1568">
        <v>78.75</v>
      </c>
      <c r="K1568">
        <v>0.25</v>
      </c>
      <c r="M1568" t="s">
        <v>289</v>
      </c>
    </row>
    <row r="1569" spans="1:13" hidden="1">
      <c r="A1569" t="s">
        <v>109</v>
      </c>
      <c r="B1569" t="s">
        <v>8</v>
      </c>
      <c r="C1569" t="s">
        <v>108</v>
      </c>
      <c r="D1569" t="str">
        <f>LEFT(M1569,10)</f>
        <v>11/15/2024</v>
      </c>
      <c r="E1569" t="s">
        <v>202</v>
      </c>
      <c r="F1569" t="s">
        <v>227</v>
      </c>
      <c r="G1569" t="s">
        <v>252</v>
      </c>
      <c r="I1569">
        <v>265</v>
      </c>
      <c r="J1569">
        <v>66.25</v>
      </c>
      <c r="K1569">
        <v>0.25</v>
      </c>
      <c r="M1569" t="s">
        <v>289</v>
      </c>
    </row>
    <row r="1570" spans="1:13" hidden="1">
      <c r="A1570" t="s">
        <v>109</v>
      </c>
      <c r="B1570" t="s">
        <v>8</v>
      </c>
      <c r="C1570" t="s">
        <v>108</v>
      </c>
      <c r="D1570" t="str">
        <f>LEFT(M1570,10)</f>
        <v>11/15/2024</v>
      </c>
      <c r="E1570" t="s">
        <v>202</v>
      </c>
      <c r="F1570" t="s">
        <v>218</v>
      </c>
      <c r="G1570" t="s">
        <v>224</v>
      </c>
      <c r="I1570">
        <v>266</v>
      </c>
      <c r="J1570">
        <v>266</v>
      </c>
      <c r="K1570">
        <v>1</v>
      </c>
      <c r="M1570" t="s">
        <v>289</v>
      </c>
    </row>
    <row r="1571" spans="1:13" hidden="1">
      <c r="A1571" t="s">
        <v>109</v>
      </c>
      <c r="B1571" t="s">
        <v>8</v>
      </c>
      <c r="C1571" t="s">
        <v>108</v>
      </c>
      <c r="D1571" t="str">
        <f>LEFT(M1571,10)</f>
        <v>11/15/2024</v>
      </c>
      <c r="E1571" t="s">
        <v>202</v>
      </c>
      <c r="F1571" t="s">
        <v>218</v>
      </c>
      <c r="G1571" t="s">
        <v>221</v>
      </c>
      <c r="I1571">
        <v>1605</v>
      </c>
      <c r="J1571">
        <v>3771.75</v>
      </c>
      <c r="K1571">
        <v>2.35</v>
      </c>
      <c r="M1571" t="s">
        <v>289</v>
      </c>
    </row>
    <row r="1572" spans="1:13" hidden="1">
      <c r="A1572" t="s">
        <v>109</v>
      </c>
      <c r="B1572" t="s">
        <v>8</v>
      </c>
      <c r="C1572" t="s">
        <v>108</v>
      </c>
      <c r="D1572" t="str">
        <f>LEFT(M1572,10)</f>
        <v>11/15/2024</v>
      </c>
      <c r="E1572" t="s">
        <v>202</v>
      </c>
      <c r="F1572" t="s">
        <v>218</v>
      </c>
      <c r="G1572" t="s">
        <v>220</v>
      </c>
      <c r="I1572">
        <v>1640</v>
      </c>
      <c r="J1572">
        <v>2214</v>
      </c>
      <c r="K1572">
        <v>1.35</v>
      </c>
      <c r="M1572" t="s">
        <v>289</v>
      </c>
    </row>
    <row r="1573" spans="1:13" hidden="1">
      <c r="A1573" t="s">
        <v>109</v>
      </c>
      <c r="B1573" t="s">
        <v>8</v>
      </c>
      <c r="C1573" t="s">
        <v>108</v>
      </c>
      <c r="D1573" t="str">
        <f>LEFT(M1573,10)</f>
        <v>11/15/2024</v>
      </c>
      <c r="E1573" t="s">
        <v>202</v>
      </c>
      <c r="F1573" t="s">
        <v>218</v>
      </c>
      <c r="G1573" t="s">
        <v>247</v>
      </c>
      <c r="I1573">
        <v>197</v>
      </c>
      <c r="J1573">
        <v>738.75</v>
      </c>
      <c r="K1573">
        <v>3.75</v>
      </c>
      <c r="M1573" t="s">
        <v>289</v>
      </c>
    </row>
    <row r="1574" spans="1:13" hidden="1">
      <c r="A1574" t="s">
        <v>109</v>
      </c>
      <c r="B1574" t="s">
        <v>8</v>
      </c>
      <c r="C1574" t="s">
        <v>108</v>
      </c>
      <c r="D1574" t="str">
        <f>LEFT(M1574,10)</f>
        <v>11/15/2024</v>
      </c>
      <c r="E1574" t="s">
        <v>202</v>
      </c>
      <c r="F1574" t="s">
        <v>218</v>
      </c>
      <c r="G1574" t="s">
        <v>223</v>
      </c>
      <c r="I1574">
        <v>3833</v>
      </c>
      <c r="J1574">
        <v>3015.2</v>
      </c>
      <c r="K1574">
        <v>0.79</v>
      </c>
      <c r="M1574" t="s">
        <v>289</v>
      </c>
    </row>
    <row r="1575" spans="1:13" hidden="1">
      <c r="A1575" t="s">
        <v>109</v>
      </c>
      <c r="B1575" t="s">
        <v>8</v>
      </c>
      <c r="C1575" t="s">
        <v>108</v>
      </c>
      <c r="D1575" t="str">
        <f>LEFT(M1575,10)</f>
        <v>11/15/2024</v>
      </c>
      <c r="E1575" t="s">
        <v>202</v>
      </c>
      <c r="F1575" t="s">
        <v>218</v>
      </c>
      <c r="G1575" t="s">
        <v>241</v>
      </c>
      <c r="I1575">
        <v>466</v>
      </c>
      <c r="J1575">
        <v>1864</v>
      </c>
      <c r="K1575">
        <v>4</v>
      </c>
      <c r="M1575" t="s">
        <v>289</v>
      </c>
    </row>
    <row r="1576" spans="1:13" hidden="1">
      <c r="A1576" t="s">
        <v>109</v>
      </c>
      <c r="B1576" t="s">
        <v>8</v>
      </c>
      <c r="C1576" t="s">
        <v>108</v>
      </c>
      <c r="D1576" t="str">
        <f>LEFT(M1576,10)</f>
        <v>11/15/2024</v>
      </c>
      <c r="E1576" t="s">
        <v>202</v>
      </c>
      <c r="F1576" t="s">
        <v>218</v>
      </c>
      <c r="G1576" t="s">
        <v>240</v>
      </c>
      <c r="I1576">
        <v>2004</v>
      </c>
      <c r="J1576">
        <v>8216.4</v>
      </c>
      <c r="K1576">
        <v>4.0999999999999996</v>
      </c>
      <c r="M1576" t="s">
        <v>289</v>
      </c>
    </row>
    <row r="1577" spans="1:13" hidden="1">
      <c r="A1577" t="s">
        <v>109</v>
      </c>
      <c r="B1577" t="s">
        <v>8</v>
      </c>
      <c r="C1577" t="s">
        <v>108</v>
      </c>
      <c r="D1577" t="str">
        <f>LEFT(M1577,10)</f>
        <v>11/15/2024</v>
      </c>
      <c r="E1577" t="s">
        <v>202</v>
      </c>
      <c r="F1577" t="s">
        <v>218</v>
      </c>
      <c r="G1577" t="s">
        <v>242</v>
      </c>
      <c r="I1577">
        <v>292</v>
      </c>
      <c r="J1577">
        <v>438</v>
      </c>
      <c r="K1577">
        <v>1.5</v>
      </c>
      <c r="M1577" t="s">
        <v>289</v>
      </c>
    </row>
    <row r="1578" spans="1:13" hidden="1">
      <c r="A1578" t="s">
        <v>109</v>
      </c>
      <c r="B1578" t="s">
        <v>8</v>
      </c>
      <c r="C1578" t="s">
        <v>108</v>
      </c>
      <c r="D1578" t="str">
        <f>LEFT(M1578,10)</f>
        <v>11/15/2024</v>
      </c>
      <c r="E1578" t="s">
        <v>202</v>
      </c>
      <c r="F1578" t="s">
        <v>218</v>
      </c>
      <c r="G1578" t="s">
        <v>219</v>
      </c>
      <c r="I1578">
        <v>121</v>
      </c>
      <c r="J1578">
        <v>48.4</v>
      </c>
      <c r="K1578">
        <v>0.4</v>
      </c>
      <c r="M1578" t="s">
        <v>289</v>
      </c>
    </row>
    <row r="1579" spans="1:13" hidden="1">
      <c r="A1579" t="s">
        <v>109</v>
      </c>
      <c r="B1579" t="s">
        <v>8</v>
      </c>
      <c r="C1579" t="s">
        <v>108</v>
      </c>
      <c r="D1579" t="str">
        <f>LEFT(M1579,10)</f>
        <v>11/15/2024</v>
      </c>
      <c r="E1579" t="s">
        <v>202</v>
      </c>
      <c r="F1579" t="s">
        <v>218</v>
      </c>
      <c r="G1579" t="s">
        <v>225</v>
      </c>
      <c r="I1579">
        <v>114</v>
      </c>
      <c r="J1579">
        <v>125.4</v>
      </c>
      <c r="K1579">
        <v>1.1000000000000001</v>
      </c>
      <c r="M1579" t="s">
        <v>289</v>
      </c>
    </row>
    <row r="1580" spans="1:13" hidden="1">
      <c r="A1580" t="s">
        <v>109</v>
      </c>
      <c r="B1580" t="s">
        <v>8</v>
      </c>
      <c r="C1580" t="s">
        <v>108</v>
      </c>
      <c r="D1580" t="str">
        <f>LEFT(M1580,10)</f>
        <v>11/15/2024</v>
      </c>
      <c r="E1580" t="s">
        <v>202</v>
      </c>
      <c r="F1580" t="s">
        <v>218</v>
      </c>
      <c r="G1580" t="s">
        <v>245</v>
      </c>
      <c r="I1580">
        <v>414</v>
      </c>
      <c r="J1580">
        <v>41.4</v>
      </c>
      <c r="K1580">
        <v>0.1</v>
      </c>
      <c r="M1580" t="s">
        <v>289</v>
      </c>
    </row>
    <row r="1581" spans="1:13" hidden="1">
      <c r="A1581" t="s">
        <v>109</v>
      </c>
      <c r="B1581" t="s">
        <v>8</v>
      </c>
      <c r="C1581" t="s">
        <v>108</v>
      </c>
      <c r="D1581" t="str">
        <f>LEFT(M1581,10)</f>
        <v>11/15/2024</v>
      </c>
      <c r="E1581" t="s">
        <v>202</v>
      </c>
      <c r="F1581" t="s">
        <v>218</v>
      </c>
      <c r="G1581" t="s">
        <v>222</v>
      </c>
      <c r="I1581">
        <v>2555</v>
      </c>
      <c r="J1581">
        <v>4102.1000000000004</v>
      </c>
      <c r="K1581">
        <v>1.61</v>
      </c>
      <c r="M1581" t="s">
        <v>289</v>
      </c>
    </row>
    <row r="1582" spans="1:13" hidden="1">
      <c r="A1582" t="s">
        <v>109</v>
      </c>
      <c r="B1582" t="s">
        <v>8</v>
      </c>
      <c r="C1582" t="s">
        <v>108</v>
      </c>
      <c r="D1582" t="str">
        <f>LEFT(M1582,10)</f>
        <v>11/15/2024</v>
      </c>
      <c r="E1582" t="s">
        <v>202</v>
      </c>
      <c r="F1582" t="s">
        <v>218</v>
      </c>
      <c r="G1582" t="s">
        <v>266</v>
      </c>
      <c r="I1582">
        <v>15</v>
      </c>
      <c r="J1582">
        <v>1.5</v>
      </c>
      <c r="K1582">
        <v>0.1</v>
      </c>
      <c r="M1582" t="s">
        <v>289</v>
      </c>
    </row>
    <row r="1583" spans="1:13" hidden="1">
      <c r="A1583" t="s">
        <v>109</v>
      </c>
      <c r="B1583" t="s">
        <v>8</v>
      </c>
      <c r="C1583" t="s">
        <v>108</v>
      </c>
      <c r="D1583" t="str">
        <f>LEFT(M1583,10)</f>
        <v>11/15/2024</v>
      </c>
      <c r="E1583" t="s">
        <v>202</v>
      </c>
      <c r="F1583" t="s">
        <v>218</v>
      </c>
      <c r="G1583" t="s">
        <v>226</v>
      </c>
      <c r="I1583">
        <v>719</v>
      </c>
      <c r="J1583">
        <v>287.60000000000002</v>
      </c>
      <c r="K1583">
        <v>0.4</v>
      </c>
      <c r="M1583" t="s">
        <v>289</v>
      </c>
    </row>
    <row r="1584" spans="1:13" hidden="1">
      <c r="A1584" t="s">
        <v>109</v>
      </c>
      <c r="B1584" t="s">
        <v>8</v>
      </c>
      <c r="C1584" t="s">
        <v>108</v>
      </c>
      <c r="D1584" t="str">
        <f>LEFT(M1584,10)</f>
        <v>11/15/2024</v>
      </c>
      <c r="E1584" t="s">
        <v>202</v>
      </c>
      <c r="F1584" t="s">
        <v>218</v>
      </c>
      <c r="G1584" t="s">
        <v>243</v>
      </c>
      <c r="H1584" t="s">
        <v>403</v>
      </c>
      <c r="I1584">
        <v>182</v>
      </c>
      <c r="J1584">
        <v>72.8</v>
      </c>
      <c r="K1584">
        <v>0.4</v>
      </c>
      <c r="M1584" t="s">
        <v>289</v>
      </c>
    </row>
    <row r="1585" spans="1:13" hidden="1">
      <c r="A1585" t="s">
        <v>109</v>
      </c>
      <c r="B1585" t="s">
        <v>8</v>
      </c>
      <c r="C1585" t="s">
        <v>108</v>
      </c>
      <c r="D1585" t="str">
        <f>LEFT(M1585,10)</f>
        <v>11/15/2024</v>
      </c>
      <c r="E1585" t="s">
        <v>202</v>
      </c>
      <c r="F1585" t="s">
        <v>203</v>
      </c>
      <c r="G1585" t="s">
        <v>207</v>
      </c>
      <c r="I1585">
        <v>33.6</v>
      </c>
      <c r="J1585">
        <v>252</v>
      </c>
      <c r="K1585">
        <v>7.5</v>
      </c>
      <c r="M1585" t="s">
        <v>289</v>
      </c>
    </row>
    <row r="1586" spans="1:13" hidden="1">
      <c r="A1586" t="s">
        <v>109</v>
      </c>
      <c r="B1586" t="s">
        <v>8</v>
      </c>
      <c r="C1586" t="s">
        <v>108</v>
      </c>
      <c r="D1586" t="str">
        <f>LEFT(M1586,10)</f>
        <v>11/15/2024</v>
      </c>
      <c r="E1586" t="s">
        <v>202</v>
      </c>
      <c r="F1586" t="s">
        <v>203</v>
      </c>
      <c r="G1586" t="s">
        <v>204</v>
      </c>
      <c r="I1586">
        <v>151.5</v>
      </c>
      <c r="J1586">
        <v>1439.25</v>
      </c>
      <c r="K1586">
        <v>9.5</v>
      </c>
      <c r="M1586" t="s">
        <v>289</v>
      </c>
    </row>
    <row r="1587" spans="1:13" hidden="1">
      <c r="A1587" t="s">
        <v>109</v>
      </c>
      <c r="B1587" t="s">
        <v>8</v>
      </c>
      <c r="C1587" t="s">
        <v>108</v>
      </c>
      <c r="D1587" t="str">
        <f>LEFT(M1587,10)</f>
        <v>11/15/2024</v>
      </c>
      <c r="E1587" t="s">
        <v>202</v>
      </c>
      <c r="F1587" t="s">
        <v>203</v>
      </c>
      <c r="G1587" t="s">
        <v>208</v>
      </c>
      <c r="I1587">
        <v>20.8</v>
      </c>
      <c r="J1587">
        <v>199.68</v>
      </c>
      <c r="K1587">
        <v>9.6</v>
      </c>
      <c r="M1587" t="s">
        <v>289</v>
      </c>
    </row>
    <row r="1588" spans="1:13" hidden="1">
      <c r="A1588" t="s">
        <v>109</v>
      </c>
      <c r="B1588" t="s">
        <v>8</v>
      </c>
      <c r="C1588" t="s">
        <v>108</v>
      </c>
      <c r="D1588" t="str">
        <f>LEFT(M1588,10)</f>
        <v>11/15/2024</v>
      </c>
      <c r="E1588" t="s">
        <v>202</v>
      </c>
      <c r="F1588" t="s">
        <v>203</v>
      </c>
      <c r="G1588" t="s">
        <v>259</v>
      </c>
      <c r="I1588">
        <v>41.6</v>
      </c>
      <c r="J1588">
        <v>399.36</v>
      </c>
      <c r="K1588">
        <v>9.6</v>
      </c>
      <c r="M1588" t="s">
        <v>289</v>
      </c>
    </row>
    <row r="1589" spans="1:13" hidden="1">
      <c r="A1589" t="s">
        <v>109</v>
      </c>
      <c r="B1589" t="s">
        <v>8</v>
      </c>
      <c r="C1589" t="s">
        <v>108</v>
      </c>
      <c r="D1589" t="str">
        <f>LEFT(M1589,10)</f>
        <v>11/15/2024</v>
      </c>
      <c r="E1589" t="s">
        <v>202</v>
      </c>
      <c r="F1589" t="s">
        <v>203</v>
      </c>
      <c r="G1589" t="s">
        <v>236</v>
      </c>
      <c r="I1589">
        <v>2355</v>
      </c>
      <c r="J1589">
        <v>1530.75</v>
      </c>
      <c r="K1589">
        <v>0.65</v>
      </c>
      <c r="M1589" t="s">
        <v>289</v>
      </c>
    </row>
    <row r="1590" spans="1:13" hidden="1">
      <c r="A1590" t="s">
        <v>109</v>
      </c>
      <c r="B1590" t="s">
        <v>8</v>
      </c>
      <c r="C1590" t="s">
        <v>108</v>
      </c>
      <c r="D1590" t="str">
        <f>LEFT(M1590,10)</f>
        <v>11/15/2024</v>
      </c>
      <c r="E1590" t="s">
        <v>202</v>
      </c>
      <c r="F1590" t="s">
        <v>216</v>
      </c>
      <c r="G1590" t="s">
        <v>253</v>
      </c>
      <c r="I1590">
        <v>15670</v>
      </c>
      <c r="J1590">
        <v>1567</v>
      </c>
      <c r="K1590">
        <v>0.1</v>
      </c>
      <c r="M1590" t="s">
        <v>289</v>
      </c>
    </row>
    <row r="1591" spans="1:13" hidden="1">
      <c r="A1591" t="s">
        <v>109</v>
      </c>
      <c r="B1591" t="s">
        <v>8</v>
      </c>
      <c r="C1591" t="s">
        <v>108</v>
      </c>
      <c r="D1591" t="str">
        <f>LEFT(M1591,10)</f>
        <v>11/15/2024</v>
      </c>
      <c r="E1591" t="s">
        <v>230</v>
      </c>
      <c r="F1591" t="s">
        <v>323</v>
      </c>
      <c r="I1591">
        <v>0</v>
      </c>
      <c r="J1591">
        <v>14811.45</v>
      </c>
      <c r="L1591" t="s">
        <v>404</v>
      </c>
      <c r="M1591" t="s">
        <v>289</v>
      </c>
    </row>
    <row r="1592" spans="1:13" hidden="1">
      <c r="A1592" t="s">
        <v>109</v>
      </c>
      <c r="B1592" t="s">
        <v>8</v>
      </c>
      <c r="C1592" t="s">
        <v>108</v>
      </c>
      <c r="D1592" t="str">
        <f>LEFT(M1592,10)</f>
        <v>11/15/2024</v>
      </c>
      <c r="F1592" t="s">
        <v>249</v>
      </c>
      <c r="I1592">
        <v>0</v>
      </c>
      <c r="M1592" t="s">
        <v>289</v>
      </c>
    </row>
    <row r="1593" spans="1:13" hidden="1">
      <c r="A1593" t="s">
        <v>110</v>
      </c>
      <c r="B1593" t="s">
        <v>52</v>
      </c>
      <c r="C1593" t="s">
        <v>60</v>
      </c>
      <c r="D1593" t="str">
        <f>LEFT(M1593,10)</f>
        <v>11/15/2024</v>
      </c>
      <c r="E1593" t="s">
        <v>202</v>
      </c>
      <c r="F1593" t="s">
        <v>227</v>
      </c>
      <c r="G1593" t="s">
        <v>237</v>
      </c>
      <c r="I1593">
        <v>902</v>
      </c>
      <c r="J1593">
        <v>631.4</v>
      </c>
      <c r="K1593">
        <v>0.7</v>
      </c>
      <c r="M1593" t="s">
        <v>289</v>
      </c>
    </row>
    <row r="1594" spans="1:13" hidden="1">
      <c r="A1594" t="s">
        <v>110</v>
      </c>
      <c r="B1594" t="s">
        <v>52</v>
      </c>
      <c r="C1594" t="s">
        <v>60</v>
      </c>
      <c r="D1594" t="str">
        <f>LEFT(M1594,10)</f>
        <v>11/15/2024</v>
      </c>
      <c r="E1594" t="s">
        <v>202</v>
      </c>
      <c r="F1594" t="s">
        <v>227</v>
      </c>
      <c r="G1594" t="s">
        <v>228</v>
      </c>
      <c r="I1594">
        <v>2310</v>
      </c>
      <c r="J1594">
        <v>924</v>
      </c>
      <c r="K1594">
        <v>0.4</v>
      </c>
      <c r="M1594" t="s">
        <v>289</v>
      </c>
    </row>
    <row r="1595" spans="1:13" hidden="1">
      <c r="A1595" t="s">
        <v>110</v>
      </c>
      <c r="B1595" t="s">
        <v>52</v>
      </c>
      <c r="C1595" t="s">
        <v>60</v>
      </c>
      <c r="D1595" t="str">
        <f>LEFT(M1595,10)</f>
        <v>11/15/2024</v>
      </c>
      <c r="E1595" t="s">
        <v>202</v>
      </c>
      <c r="F1595" t="s">
        <v>227</v>
      </c>
      <c r="G1595" t="s">
        <v>229</v>
      </c>
      <c r="I1595">
        <v>9401</v>
      </c>
      <c r="J1595">
        <v>8930.9500000000007</v>
      </c>
      <c r="K1595">
        <v>0.95</v>
      </c>
      <c r="M1595" t="s">
        <v>289</v>
      </c>
    </row>
    <row r="1596" spans="1:13" hidden="1">
      <c r="A1596" t="s">
        <v>110</v>
      </c>
      <c r="B1596" t="s">
        <v>52</v>
      </c>
      <c r="C1596" t="s">
        <v>60</v>
      </c>
      <c r="D1596" t="str">
        <f>LEFT(M1596,10)</f>
        <v>11/15/2024</v>
      </c>
      <c r="E1596" t="s">
        <v>202</v>
      </c>
      <c r="F1596" t="s">
        <v>227</v>
      </c>
      <c r="G1596" t="s">
        <v>229</v>
      </c>
      <c r="I1596">
        <v>4934</v>
      </c>
      <c r="J1596">
        <v>3947.2</v>
      </c>
      <c r="K1596">
        <v>0.8</v>
      </c>
      <c r="M1596" t="s">
        <v>289</v>
      </c>
    </row>
    <row r="1597" spans="1:13" hidden="1">
      <c r="A1597" t="s">
        <v>110</v>
      </c>
      <c r="B1597" t="s">
        <v>52</v>
      </c>
      <c r="C1597" t="s">
        <v>60</v>
      </c>
      <c r="D1597" t="str">
        <f>LEFT(M1597,10)</f>
        <v>11/15/2024</v>
      </c>
      <c r="E1597" t="s">
        <v>202</v>
      </c>
      <c r="F1597" t="s">
        <v>227</v>
      </c>
      <c r="G1597" t="s">
        <v>252</v>
      </c>
      <c r="I1597">
        <v>394</v>
      </c>
      <c r="J1597">
        <v>137.9</v>
      </c>
      <c r="K1597">
        <v>0.35</v>
      </c>
      <c r="M1597" t="s">
        <v>289</v>
      </c>
    </row>
    <row r="1598" spans="1:13" hidden="1">
      <c r="A1598" t="s">
        <v>110</v>
      </c>
      <c r="B1598" t="s">
        <v>52</v>
      </c>
      <c r="C1598" t="s">
        <v>60</v>
      </c>
      <c r="D1598" t="str">
        <f>LEFT(M1598,10)</f>
        <v>11/15/2024</v>
      </c>
      <c r="E1598" t="s">
        <v>202</v>
      </c>
      <c r="F1598" t="s">
        <v>218</v>
      </c>
      <c r="G1598" t="s">
        <v>224</v>
      </c>
      <c r="I1598">
        <v>282</v>
      </c>
      <c r="J1598">
        <v>310.2</v>
      </c>
      <c r="K1598">
        <v>1.1000000000000001</v>
      </c>
      <c r="M1598" t="s">
        <v>289</v>
      </c>
    </row>
    <row r="1599" spans="1:13" hidden="1">
      <c r="A1599" t="s">
        <v>110</v>
      </c>
      <c r="B1599" t="s">
        <v>52</v>
      </c>
      <c r="C1599" t="s">
        <v>60</v>
      </c>
      <c r="D1599" t="str">
        <f>LEFT(M1599,10)</f>
        <v>11/15/2024</v>
      </c>
      <c r="E1599" t="s">
        <v>202</v>
      </c>
      <c r="F1599" t="s">
        <v>218</v>
      </c>
      <c r="G1599" t="s">
        <v>221</v>
      </c>
      <c r="I1599">
        <v>286</v>
      </c>
      <c r="J1599">
        <v>757.9</v>
      </c>
      <c r="K1599">
        <v>2.65</v>
      </c>
      <c r="M1599" t="s">
        <v>289</v>
      </c>
    </row>
    <row r="1600" spans="1:13" hidden="1">
      <c r="A1600" t="s">
        <v>110</v>
      </c>
      <c r="B1600" t="s">
        <v>52</v>
      </c>
      <c r="C1600" t="s">
        <v>60</v>
      </c>
      <c r="D1600" t="str">
        <f>LEFT(M1600,10)</f>
        <v>11/15/2024</v>
      </c>
      <c r="E1600" t="s">
        <v>202</v>
      </c>
      <c r="F1600" t="s">
        <v>218</v>
      </c>
      <c r="G1600" t="s">
        <v>221</v>
      </c>
      <c r="I1600">
        <v>213</v>
      </c>
      <c r="J1600">
        <v>564.45000000000005</v>
      </c>
      <c r="K1600">
        <v>2.65</v>
      </c>
      <c r="M1600" t="s">
        <v>289</v>
      </c>
    </row>
    <row r="1601" spans="1:13" hidden="1">
      <c r="A1601" t="s">
        <v>110</v>
      </c>
      <c r="B1601" t="s">
        <v>52</v>
      </c>
      <c r="C1601" t="s">
        <v>60</v>
      </c>
      <c r="D1601" t="str">
        <f>LEFT(M1601,10)</f>
        <v>11/15/2024</v>
      </c>
      <c r="E1601" t="s">
        <v>202</v>
      </c>
      <c r="F1601" t="s">
        <v>218</v>
      </c>
      <c r="G1601" t="s">
        <v>221</v>
      </c>
      <c r="I1601">
        <v>221</v>
      </c>
      <c r="J1601">
        <v>552.5</v>
      </c>
      <c r="K1601">
        <v>2.5</v>
      </c>
      <c r="M1601" t="s">
        <v>289</v>
      </c>
    </row>
    <row r="1602" spans="1:13" hidden="1">
      <c r="A1602" t="s">
        <v>110</v>
      </c>
      <c r="B1602" t="s">
        <v>52</v>
      </c>
      <c r="C1602" t="s">
        <v>60</v>
      </c>
      <c r="D1602" t="str">
        <f>LEFT(M1602,10)</f>
        <v>11/15/2024</v>
      </c>
      <c r="E1602" t="s">
        <v>202</v>
      </c>
      <c r="F1602" t="s">
        <v>218</v>
      </c>
      <c r="G1602" t="s">
        <v>221</v>
      </c>
      <c r="I1602">
        <v>842</v>
      </c>
      <c r="J1602">
        <v>2105</v>
      </c>
      <c r="K1602">
        <v>2.5</v>
      </c>
      <c r="M1602" t="s">
        <v>289</v>
      </c>
    </row>
    <row r="1603" spans="1:13" hidden="1">
      <c r="A1603" t="s">
        <v>110</v>
      </c>
      <c r="B1603" t="s">
        <v>52</v>
      </c>
      <c r="C1603" t="s">
        <v>60</v>
      </c>
      <c r="D1603" t="str">
        <f>LEFT(M1603,10)</f>
        <v>11/15/2024</v>
      </c>
      <c r="E1603" t="s">
        <v>202</v>
      </c>
      <c r="F1603" t="s">
        <v>218</v>
      </c>
      <c r="G1603" t="s">
        <v>220</v>
      </c>
      <c r="I1603">
        <v>1134</v>
      </c>
      <c r="J1603">
        <v>1814.4</v>
      </c>
      <c r="K1603">
        <v>1.6</v>
      </c>
      <c r="M1603" t="s">
        <v>289</v>
      </c>
    </row>
    <row r="1604" spans="1:13" hidden="1">
      <c r="A1604" t="s">
        <v>110</v>
      </c>
      <c r="B1604" t="s">
        <v>52</v>
      </c>
      <c r="C1604" t="s">
        <v>60</v>
      </c>
      <c r="D1604" t="str">
        <f>LEFT(M1604,10)</f>
        <v>11/15/2024</v>
      </c>
      <c r="E1604" t="s">
        <v>202</v>
      </c>
      <c r="F1604" t="s">
        <v>218</v>
      </c>
      <c r="G1604" t="s">
        <v>223</v>
      </c>
      <c r="I1604">
        <v>1471</v>
      </c>
      <c r="J1604">
        <v>1176.8</v>
      </c>
      <c r="K1604">
        <v>0.8</v>
      </c>
      <c r="M1604" t="s">
        <v>289</v>
      </c>
    </row>
    <row r="1605" spans="1:13" hidden="1">
      <c r="A1605" t="s">
        <v>110</v>
      </c>
      <c r="B1605" t="s">
        <v>52</v>
      </c>
      <c r="C1605" t="s">
        <v>60</v>
      </c>
      <c r="D1605" t="str">
        <f>LEFT(M1605,10)</f>
        <v>11/15/2024</v>
      </c>
      <c r="E1605" t="s">
        <v>202</v>
      </c>
      <c r="F1605" t="s">
        <v>218</v>
      </c>
      <c r="G1605" t="s">
        <v>241</v>
      </c>
      <c r="I1605">
        <v>188</v>
      </c>
      <c r="J1605">
        <v>752</v>
      </c>
      <c r="K1605">
        <v>4</v>
      </c>
      <c r="M1605" t="s">
        <v>289</v>
      </c>
    </row>
    <row r="1606" spans="1:13" hidden="1">
      <c r="A1606" t="s">
        <v>110</v>
      </c>
      <c r="B1606" t="s">
        <v>52</v>
      </c>
      <c r="C1606" t="s">
        <v>60</v>
      </c>
      <c r="D1606" t="str">
        <f>LEFT(M1606,10)</f>
        <v>11/15/2024</v>
      </c>
      <c r="E1606" t="s">
        <v>202</v>
      </c>
      <c r="F1606" t="s">
        <v>218</v>
      </c>
      <c r="G1606" t="s">
        <v>241</v>
      </c>
      <c r="I1606">
        <v>148</v>
      </c>
      <c r="J1606">
        <v>481</v>
      </c>
      <c r="K1606">
        <v>3.25</v>
      </c>
      <c r="M1606" t="s">
        <v>289</v>
      </c>
    </row>
    <row r="1607" spans="1:13" hidden="1">
      <c r="A1607" t="s">
        <v>110</v>
      </c>
      <c r="B1607" t="s">
        <v>52</v>
      </c>
      <c r="C1607" t="s">
        <v>60</v>
      </c>
      <c r="D1607" t="str">
        <f>LEFT(M1607,10)</f>
        <v>11/15/2024</v>
      </c>
      <c r="E1607" t="s">
        <v>202</v>
      </c>
      <c r="F1607" t="s">
        <v>218</v>
      </c>
      <c r="G1607" t="s">
        <v>240</v>
      </c>
      <c r="I1607">
        <v>1525</v>
      </c>
      <c r="J1607">
        <v>6100</v>
      </c>
      <c r="K1607">
        <v>4</v>
      </c>
      <c r="M1607" t="s">
        <v>289</v>
      </c>
    </row>
    <row r="1608" spans="1:13" hidden="1">
      <c r="A1608" t="s">
        <v>110</v>
      </c>
      <c r="B1608" t="s">
        <v>52</v>
      </c>
      <c r="C1608" t="s">
        <v>60</v>
      </c>
      <c r="D1608" t="str">
        <f>LEFT(M1608,10)</f>
        <v>11/15/2024</v>
      </c>
      <c r="E1608" t="s">
        <v>202</v>
      </c>
      <c r="F1608" t="s">
        <v>218</v>
      </c>
      <c r="G1608" t="s">
        <v>242</v>
      </c>
      <c r="I1608">
        <v>153</v>
      </c>
      <c r="J1608">
        <v>168.3</v>
      </c>
      <c r="K1608">
        <v>1.1000000000000001</v>
      </c>
      <c r="M1608" t="s">
        <v>289</v>
      </c>
    </row>
    <row r="1609" spans="1:13" hidden="1">
      <c r="A1609" t="s">
        <v>110</v>
      </c>
      <c r="B1609" t="s">
        <v>52</v>
      </c>
      <c r="C1609" t="s">
        <v>60</v>
      </c>
      <c r="D1609" t="str">
        <f>LEFT(M1609,10)</f>
        <v>11/15/2024</v>
      </c>
      <c r="E1609" t="s">
        <v>202</v>
      </c>
      <c r="F1609" t="s">
        <v>218</v>
      </c>
      <c r="G1609" t="s">
        <v>222</v>
      </c>
      <c r="I1609">
        <v>494</v>
      </c>
      <c r="J1609">
        <v>913.9</v>
      </c>
      <c r="K1609">
        <v>1.85</v>
      </c>
      <c r="M1609" t="s">
        <v>289</v>
      </c>
    </row>
    <row r="1610" spans="1:13" hidden="1">
      <c r="A1610" t="s">
        <v>110</v>
      </c>
      <c r="B1610" t="s">
        <v>52</v>
      </c>
      <c r="C1610" t="s">
        <v>60</v>
      </c>
      <c r="D1610" t="str">
        <f>LEFT(M1610,10)</f>
        <v>11/15/2024</v>
      </c>
      <c r="E1610" t="s">
        <v>202</v>
      </c>
      <c r="F1610" t="s">
        <v>218</v>
      </c>
      <c r="G1610" t="s">
        <v>222</v>
      </c>
      <c r="I1610">
        <v>682</v>
      </c>
      <c r="J1610">
        <v>886.6</v>
      </c>
      <c r="K1610">
        <v>1.3</v>
      </c>
      <c r="M1610" t="s">
        <v>289</v>
      </c>
    </row>
    <row r="1611" spans="1:13" hidden="1">
      <c r="A1611" t="s">
        <v>110</v>
      </c>
      <c r="B1611" t="s">
        <v>52</v>
      </c>
      <c r="C1611" t="s">
        <v>60</v>
      </c>
      <c r="D1611" t="str">
        <f>LEFT(M1611,10)</f>
        <v>11/15/2024</v>
      </c>
      <c r="E1611" t="s">
        <v>202</v>
      </c>
      <c r="F1611" t="s">
        <v>203</v>
      </c>
      <c r="G1611" t="s">
        <v>204</v>
      </c>
      <c r="I1611">
        <v>195.2</v>
      </c>
      <c r="J1611">
        <v>1561.6</v>
      </c>
      <c r="K1611">
        <v>8</v>
      </c>
      <c r="M1611" t="s">
        <v>289</v>
      </c>
    </row>
    <row r="1612" spans="1:13" hidden="1">
      <c r="A1612" t="s">
        <v>110</v>
      </c>
      <c r="B1612" t="s">
        <v>52</v>
      </c>
      <c r="C1612" t="s">
        <v>60</v>
      </c>
      <c r="D1612" t="str">
        <f>LEFT(M1612,10)</f>
        <v>11/15/2024</v>
      </c>
      <c r="E1612" t="s">
        <v>202</v>
      </c>
      <c r="F1612" t="s">
        <v>203</v>
      </c>
      <c r="G1612" t="s">
        <v>215</v>
      </c>
      <c r="I1612">
        <v>1820</v>
      </c>
      <c r="J1612">
        <v>1456</v>
      </c>
      <c r="K1612">
        <v>0.8</v>
      </c>
      <c r="M1612" t="s">
        <v>289</v>
      </c>
    </row>
    <row r="1613" spans="1:13" hidden="1">
      <c r="A1613" t="s">
        <v>110</v>
      </c>
      <c r="B1613" t="s">
        <v>52</v>
      </c>
      <c r="C1613" t="s">
        <v>60</v>
      </c>
      <c r="D1613" t="str">
        <f>LEFT(M1613,10)</f>
        <v>11/15/2024</v>
      </c>
      <c r="E1613" t="s">
        <v>230</v>
      </c>
      <c r="F1613" t="s">
        <v>323</v>
      </c>
      <c r="I1613">
        <v>0</v>
      </c>
      <c r="J1613">
        <v>550</v>
      </c>
      <c r="L1613" t="s">
        <v>405</v>
      </c>
      <c r="M1613" t="s">
        <v>289</v>
      </c>
    </row>
    <row r="1614" spans="1:13" hidden="1">
      <c r="A1614" t="s">
        <v>110</v>
      </c>
      <c r="B1614" t="s">
        <v>52</v>
      </c>
      <c r="C1614" t="s">
        <v>60</v>
      </c>
      <c r="D1614" t="str">
        <f>LEFT(M1614,10)</f>
        <v>11/15/2024</v>
      </c>
      <c r="E1614" t="s">
        <v>232</v>
      </c>
      <c r="F1614" t="s">
        <v>262</v>
      </c>
      <c r="I1614">
        <v>0</v>
      </c>
      <c r="J1614">
        <v>1000</v>
      </c>
      <c r="M1614" t="s">
        <v>289</v>
      </c>
    </row>
    <row r="1615" spans="1:13" hidden="1">
      <c r="A1615" t="s">
        <v>110</v>
      </c>
      <c r="B1615" t="s">
        <v>52</v>
      </c>
      <c r="C1615" t="s">
        <v>60</v>
      </c>
      <c r="D1615" t="str">
        <f>LEFT(M1615,10)</f>
        <v>11/15/2024</v>
      </c>
      <c r="E1615" t="s">
        <v>232</v>
      </c>
      <c r="F1615" t="s">
        <v>262</v>
      </c>
      <c r="I1615">
        <v>0</v>
      </c>
      <c r="J1615">
        <v>2600</v>
      </c>
      <c r="M1615" t="s">
        <v>289</v>
      </c>
    </row>
    <row r="1616" spans="1:13" hidden="1">
      <c r="A1616" t="s">
        <v>110</v>
      </c>
      <c r="B1616" t="s">
        <v>52</v>
      </c>
      <c r="C1616" t="s">
        <v>60</v>
      </c>
      <c r="D1616" t="str">
        <f>LEFT(M1616,10)</f>
        <v>11/15/2024</v>
      </c>
      <c r="E1616" t="s">
        <v>232</v>
      </c>
      <c r="F1616" t="s">
        <v>262</v>
      </c>
      <c r="I1616">
        <v>0</v>
      </c>
      <c r="J1616">
        <v>2500</v>
      </c>
      <c r="M1616" t="s">
        <v>289</v>
      </c>
    </row>
    <row r="1617" spans="1:13" hidden="1">
      <c r="A1617" t="s">
        <v>110</v>
      </c>
      <c r="B1617" t="s">
        <v>52</v>
      </c>
      <c r="C1617" t="s">
        <v>60</v>
      </c>
      <c r="D1617" t="str">
        <f>LEFT(M1617,10)</f>
        <v>11/15/2024</v>
      </c>
      <c r="E1617" t="s">
        <v>232</v>
      </c>
      <c r="F1617" t="s">
        <v>255</v>
      </c>
      <c r="I1617">
        <v>0</v>
      </c>
      <c r="J1617">
        <v>187.86</v>
      </c>
      <c r="L1617" t="s">
        <v>357</v>
      </c>
      <c r="M1617" t="s">
        <v>289</v>
      </c>
    </row>
    <row r="1618" spans="1:13" hidden="1">
      <c r="A1618" t="s">
        <v>110</v>
      </c>
      <c r="B1618" t="s">
        <v>52</v>
      </c>
      <c r="C1618" t="s">
        <v>60</v>
      </c>
      <c r="D1618" t="str">
        <f>LEFT(M1618,10)</f>
        <v>11/15/2024</v>
      </c>
      <c r="E1618" t="s">
        <v>232</v>
      </c>
      <c r="F1618" t="s">
        <v>255</v>
      </c>
      <c r="I1618">
        <v>0</v>
      </c>
      <c r="J1618">
        <v>60</v>
      </c>
      <c r="L1618" t="s">
        <v>406</v>
      </c>
      <c r="M1618" t="s">
        <v>289</v>
      </c>
    </row>
    <row r="1619" spans="1:13" hidden="1">
      <c r="A1619" t="s">
        <v>110</v>
      </c>
      <c r="B1619" t="s">
        <v>52</v>
      </c>
      <c r="C1619" t="s">
        <v>60</v>
      </c>
      <c r="D1619" t="str">
        <f>LEFT(M1619,10)</f>
        <v>11/15/2024</v>
      </c>
      <c r="E1619" t="s">
        <v>232</v>
      </c>
      <c r="F1619" t="s">
        <v>250</v>
      </c>
      <c r="I1619">
        <v>0</v>
      </c>
      <c r="J1619">
        <v>1000</v>
      </c>
      <c r="M1619" t="s">
        <v>289</v>
      </c>
    </row>
    <row r="1620" spans="1:13" hidden="1">
      <c r="A1620" t="s">
        <v>110</v>
      </c>
      <c r="B1620" t="s">
        <v>52</v>
      </c>
      <c r="C1620" t="s">
        <v>60</v>
      </c>
      <c r="D1620" t="str">
        <f>LEFT(M1620,10)</f>
        <v>11/15/2024</v>
      </c>
      <c r="E1620" t="s">
        <v>232</v>
      </c>
      <c r="F1620" t="s">
        <v>255</v>
      </c>
      <c r="I1620">
        <v>0</v>
      </c>
      <c r="J1620">
        <v>350</v>
      </c>
      <c r="L1620" t="s">
        <v>407</v>
      </c>
      <c r="M1620" t="s">
        <v>289</v>
      </c>
    </row>
    <row r="1621" spans="1:13" hidden="1">
      <c r="A1621" t="s">
        <v>110</v>
      </c>
      <c r="B1621" t="s">
        <v>52</v>
      </c>
      <c r="C1621" t="s">
        <v>60</v>
      </c>
      <c r="D1621" t="str">
        <f>LEFT(M1621,10)</f>
        <v>11/15/2024</v>
      </c>
      <c r="E1621" t="s">
        <v>232</v>
      </c>
      <c r="F1621" t="s">
        <v>255</v>
      </c>
      <c r="I1621">
        <v>0</v>
      </c>
      <c r="J1621">
        <v>300</v>
      </c>
      <c r="L1621" t="s">
        <v>408</v>
      </c>
      <c r="M1621" t="s">
        <v>289</v>
      </c>
    </row>
    <row r="1622" spans="1:13" hidden="1">
      <c r="A1622" t="s">
        <v>110</v>
      </c>
      <c r="B1622" t="s">
        <v>52</v>
      </c>
      <c r="C1622" t="s">
        <v>60</v>
      </c>
      <c r="D1622" t="str">
        <f>LEFT(M1622,10)</f>
        <v>11/15/2024</v>
      </c>
      <c r="E1622" t="s">
        <v>232</v>
      </c>
      <c r="F1622" t="s">
        <v>255</v>
      </c>
      <c r="I1622">
        <v>0</v>
      </c>
      <c r="J1622">
        <v>75</v>
      </c>
      <c r="L1622" t="s">
        <v>409</v>
      </c>
      <c r="M1622" t="s">
        <v>289</v>
      </c>
    </row>
    <row r="1623" spans="1:13" hidden="1">
      <c r="A1623" t="s">
        <v>110</v>
      </c>
      <c r="B1623" t="s">
        <v>52</v>
      </c>
      <c r="C1623" t="s">
        <v>60</v>
      </c>
      <c r="D1623" t="str">
        <f>LEFT(M1623,10)</f>
        <v>11/15/2024</v>
      </c>
      <c r="E1623" t="s">
        <v>234</v>
      </c>
      <c r="F1623" t="s">
        <v>234</v>
      </c>
      <c r="I1623">
        <v>10907</v>
      </c>
      <c r="M1623" t="s">
        <v>289</v>
      </c>
    </row>
    <row r="1624" spans="1:13" hidden="1">
      <c r="A1624" t="s">
        <v>110</v>
      </c>
      <c r="B1624" t="s">
        <v>52</v>
      </c>
      <c r="C1624" t="s">
        <v>60</v>
      </c>
      <c r="D1624" t="str">
        <f>LEFT(M1624,10)</f>
        <v>11/15/2024</v>
      </c>
      <c r="E1624" t="s">
        <v>232</v>
      </c>
      <c r="F1624" t="s">
        <v>255</v>
      </c>
      <c r="I1624">
        <v>0</v>
      </c>
      <c r="J1624">
        <v>9000</v>
      </c>
      <c r="L1624" t="s">
        <v>410</v>
      </c>
      <c r="M1624" t="s">
        <v>289</v>
      </c>
    </row>
    <row r="1625" spans="1:13" hidden="1">
      <c r="A1625" t="s">
        <v>112</v>
      </c>
      <c r="B1625" t="s">
        <v>8</v>
      </c>
      <c r="C1625" t="s">
        <v>111</v>
      </c>
      <c r="D1625" t="str">
        <f>LEFT(M1625,10)</f>
        <v>11/15/2024</v>
      </c>
      <c r="E1625" t="s">
        <v>234</v>
      </c>
      <c r="F1625" t="s">
        <v>234</v>
      </c>
      <c r="G1625" t="s">
        <v>249</v>
      </c>
      <c r="I1625">
        <v>1402</v>
      </c>
      <c r="M1625" t="s">
        <v>289</v>
      </c>
    </row>
    <row r="1626" spans="1:13" hidden="1">
      <c r="A1626" t="s">
        <v>112</v>
      </c>
      <c r="B1626" t="s">
        <v>8</v>
      </c>
      <c r="C1626" t="s">
        <v>111</v>
      </c>
      <c r="D1626" t="str">
        <f>LEFT(M1626,10)</f>
        <v>11/15/2024</v>
      </c>
      <c r="E1626" t="s">
        <v>230</v>
      </c>
      <c r="F1626" t="s">
        <v>248</v>
      </c>
      <c r="I1626">
        <v>0</v>
      </c>
      <c r="J1626">
        <v>16512</v>
      </c>
      <c r="M1626" t="s">
        <v>289</v>
      </c>
    </row>
    <row r="1627" spans="1:13" hidden="1">
      <c r="A1627" t="s">
        <v>112</v>
      </c>
      <c r="B1627" t="s">
        <v>8</v>
      </c>
      <c r="C1627" t="s">
        <v>111</v>
      </c>
      <c r="D1627" t="str">
        <f>LEFT(M1627,10)</f>
        <v>11/15/2024</v>
      </c>
      <c r="E1627" t="s">
        <v>232</v>
      </c>
      <c r="F1627" t="s">
        <v>233</v>
      </c>
      <c r="G1627" t="s">
        <v>249</v>
      </c>
      <c r="I1627">
        <v>0</v>
      </c>
      <c r="J1627">
        <v>1087.24</v>
      </c>
      <c r="M1627" t="s">
        <v>289</v>
      </c>
    </row>
    <row r="1628" spans="1:13" hidden="1">
      <c r="A1628" t="s">
        <v>112</v>
      </c>
      <c r="B1628" t="s">
        <v>8</v>
      </c>
      <c r="C1628" t="s">
        <v>111</v>
      </c>
      <c r="D1628" t="str">
        <f>LEFT(M1628,10)</f>
        <v>11/15/2024</v>
      </c>
      <c r="E1628" t="s">
        <v>202</v>
      </c>
      <c r="F1628" t="s">
        <v>216</v>
      </c>
      <c r="G1628" t="s">
        <v>253</v>
      </c>
      <c r="I1628">
        <v>5700</v>
      </c>
      <c r="J1628">
        <v>684</v>
      </c>
      <c r="K1628">
        <v>0.12</v>
      </c>
      <c r="M1628" t="s">
        <v>289</v>
      </c>
    </row>
    <row r="1629" spans="1:13" hidden="1">
      <c r="A1629" t="s">
        <v>112</v>
      </c>
      <c r="B1629" t="s">
        <v>8</v>
      </c>
      <c r="C1629" t="s">
        <v>111</v>
      </c>
      <c r="D1629" t="str">
        <f>LEFT(M1629,10)</f>
        <v>11/15/2024</v>
      </c>
      <c r="E1629" t="s">
        <v>202</v>
      </c>
      <c r="F1629" t="s">
        <v>209</v>
      </c>
      <c r="G1629" t="s">
        <v>214</v>
      </c>
      <c r="I1629">
        <v>76.5</v>
      </c>
      <c r="J1629">
        <v>150</v>
      </c>
      <c r="K1629">
        <v>1.96</v>
      </c>
      <c r="M1629" t="s">
        <v>289</v>
      </c>
    </row>
    <row r="1630" spans="1:13" hidden="1">
      <c r="A1630" t="s">
        <v>112</v>
      </c>
      <c r="B1630" t="s">
        <v>8</v>
      </c>
      <c r="C1630" t="s">
        <v>111</v>
      </c>
      <c r="D1630" t="str">
        <f>LEFT(M1630,10)</f>
        <v>11/15/2024</v>
      </c>
      <c r="E1630" t="s">
        <v>202</v>
      </c>
      <c r="F1630" t="s">
        <v>203</v>
      </c>
      <c r="G1630" t="s">
        <v>236</v>
      </c>
      <c r="I1630">
        <v>1630</v>
      </c>
      <c r="J1630">
        <v>2545</v>
      </c>
      <c r="K1630">
        <v>1.56</v>
      </c>
      <c r="M1630" t="s">
        <v>289</v>
      </c>
    </row>
    <row r="1631" spans="1:13" hidden="1">
      <c r="A1631" t="s">
        <v>112</v>
      </c>
      <c r="B1631" t="s">
        <v>8</v>
      </c>
      <c r="C1631" t="s">
        <v>111</v>
      </c>
      <c r="D1631" t="str">
        <f>LEFT(M1631,10)</f>
        <v>11/15/2024</v>
      </c>
      <c r="E1631" t="s">
        <v>202</v>
      </c>
      <c r="F1631" t="s">
        <v>227</v>
      </c>
      <c r="G1631" t="s">
        <v>237</v>
      </c>
      <c r="I1631">
        <v>288</v>
      </c>
      <c r="J1631">
        <v>201.6</v>
      </c>
      <c r="K1631">
        <v>0.7</v>
      </c>
      <c r="M1631" t="s">
        <v>289</v>
      </c>
    </row>
    <row r="1632" spans="1:13" hidden="1">
      <c r="A1632" t="s">
        <v>112</v>
      </c>
      <c r="B1632" t="s">
        <v>8</v>
      </c>
      <c r="C1632" t="s">
        <v>111</v>
      </c>
      <c r="D1632" t="str">
        <f>LEFT(M1632,10)</f>
        <v>11/15/2024</v>
      </c>
      <c r="E1632" t="s">
        <v>202</v>
      </c>
      <c r="F1632" t="s">
        <v>218</v>
      </c>
      <c r="G1632" t="s">
        <v>222</v>
      </c>
      <c r="I1632">
        <v>266</v>
      </c>
      <c r="J1632">
        <v>505.4</v>
      </c>
      <c r="K1632">
        <v>1.9</v>
      </c>
      <c r="M1632" t="s">
        <v>289</v>
      </c>
    </row>
    <row r="1633" spans="1:13" hidden="1">
      <c r="A1633" t="s">
        <v>112</v>
      </c>
      <c r="B1633" t="s">
        <v>8</v>
      </c>
      <c r="C1633" t="s">
        <v>111</v>
      </c>
      <c r="D1633" t="str">
        <f>LEFT(M1633,10)</f>
        <v>11/15/2024</v>
      </c>
      <c r="E1633" t="s">
        <v>202</v>
      </c>
      <c r="F1633" t="s">
        <v>218</v>
      </c>
      <c r="G1633" t="s">
        <v>245</v>
      </c>
      <c r="I1633">
        <v>183</v>
      </c>
      <c r="J1633">
        <v>18.3</v>
      </c>
      <c r="K1633">
        <v>0.1</v>
      </c>
      <c r="M1633" t="s">
        <v>289</v>
      </c>
    </row>
    <row r="1634" spans="1:13" hidden="1">
      <c r="A1634" t="s">
        <v>112</v>
      </c>
      <c r="B1634" t="s">
        <v>8</v>
      </c>
      <c r="C1634" t="s">
        <v>111</v>
      </c>
      <c r="D1634" t="str">
        <f>LEFT(M1634,10)</f>
        <v>11/15/2024</v>
      </c>
      <c r="E1634" t="s">
        <v>202</v>
      </c>
      <c r="F1634" t="s">
        <v>218</v>
      </c>
      <c r="G1634" t="s">
        <v>240</v>
      </c>
      <c r="I1634">
        <v>504</v>
      </c>
      <c r="J1634">
        <v>2217.6</v>
      </c>
      <c r="K1634">
        <v>4.4000000000000004</v>
      </c>
      <c r="M1634" t="s">
        <v>289</v>
      </c>
    </row>
    <row r="1635" spans="1:13" hidden="1">
      <c r="A1635" t="s">
        <v>112</v>
      </c>
      <c r="B1635" t="s">
        <v>8</v>
      </c>
      <c r="C1635" t="s">
        <v>111</v>
      </c>
      <c r="D1635" t="str">
        <f>LEFT(M1635,10)</f>
        <v>11/15/2024</v>
      </c>
      <c r="E1635" t="s">
        <v>202</v>
      </c>
      <c r="F1635" t="s">
        <v>218</v>
      </c>
      <c r="G1635" t="s">
        <v>239</v>
      </c>
      <c r="I1635">
        <v>54</v>
      </c>
      <c r="J1635">
        <v>10.8</v>
      </c>
      <c r="K1635">
        <v>0.2</v>
      </c>
      <c r="M1635" t="s">
        <v>289</v>
      </c>
    </row>
    <row r="1636" spans="1:13" hidden="1">
      <c r="A1636" t="s">
        <v>112</v>
      </c>
      <c r="B1636" t="s">
        <v>8</v>
      </c>
      <c r="C1636" t="s">
        <v>111</v>
      </c>
      <c r="D1636" t="str">
        <f>LEFT(M1636,10)</f>
        <v>11/15/2024</v>
      </c>
      <c r="E1636" t="s">
        <v>202</v>
      </c>
      <c r="F1636" t="s">
        <v>218</v>
      </c>
      <c r="G1636" t="s">
        <v>241</v>
      </c>
      <c r="I1636">
        <v>119</v>
      </c>
      <c r="J1636">
        <v>511.7</v>
      </c>
      <c r="K1636">
        <v>4.3</v>
      </c>
      <c r="M1636" t="s">
        <v>289</v>
      </c>
    </row>
    <row r="1637" spans="1:13" hidden="1">
      <c r="A1637" t="s">
        <v>112</v>
      </c>
      <c r="B1637" t="s">
        <v>8</v>
      </c>
      <c r="C1637" t="s">
        <v>111</v>
      </c>
      <c r="D1637" t="str">
        <f>LEFT(M1637,10)</f>
        <v>11/15/2024</v>
      </c>
      <c r="E1637" t="s">
        <v>202</v>
      </c>
      <c r="F1637" t="s">
        <v>218</v>
      </c>
      <c r="G1637" t="s">
        <v>242</v>
      </c>
      <c r="I1637">
        <v>35</v>
      </c>
      <c r="J1637">
        <v>70</v>
      </c>
      <c r="K1637">
        <v>2</v>
      </c>
      <c r="M1637" t="s">
        <v>289</v>
      </c>
    </row>
    <row r="1638" spans="1:13" hidden="1">
      <c r="A1638" t="s">
        <v>112</v>
      </c>
      <c r="B1638" t="s">
        <v>8</v>
      </c>
      <c r="C1638" t="s">
        <v>111</v>
      </c>
      <c r="D1638" t="str">
        <f>LEFT(M1638,10)</f>
        <v>11/15/2024</v>
      </c>
      <c r="E1638" t="s">
        <v>202</v>
      </c>
      <c r="F1638" t="s">
        <v>227</v>
      </c>
      <c r="G1638" t="s">
        <v>252</v>
      </c>
      <c r="I1638">
        <v>245</v>
      </c>
      <c r="J1638">
        <v>73.5</v>
      </c>
      <c r="K1638">
        <v>0.3</v>
      </c>
      <c r="M1638" t="s">
        <v>289</v>
      </c>
    </row>
    <row r="1639" spans="1:13" hidden="1">
      <c r="A1639" t="s">
        <v>112</v>
      </c>
      <c r="B1639" t="s">
        <v>8</v>
      </c>
      <c r="C1639" t="s">
        <v>111</v>
      </c>
      <c r="D1639" t="str">
        <f>LEFT(M1639,10)</f>
        <v>11/15/2024</v>
      </c>
      <c r="E1639" t="s">
        <v>202</v>
      </c>
      <c r="F1639" t="s">
        <v>218</v>
      </c>
      <c r="G1639" t="s">
        <v>221</v>
      </c>
      <c r="I1639">
        <v>315</v>
      </c>
      <c r="J1639">
        <v>724.5</v>
      </c>
      <c r="K1639">
        <v>2.2999999999999998</v>
      </c>
      <c r="M1639" t="s">
        <v>289</v>
      </c>
    </row>
    <row r="1640" spans="1:13" hidden="1">
      <c r="A1640" t="s">
        <v>112</v>
      </c>
      <c r="B1640" t="s">
        <v>8</v>
      </c>
      <c r="C1640" t="s">
        <v>111</v>
      </c>
      <c r="D1640" t="str">
        <f>LEFT(M1640,10)</f>
        <v>11/15/2024</v>
      </c>
      <c r="E1640" t="s">
        <v>202</v>
      </c>
      <c r="F1640" t="s">
        <v>218</v>
      </c>
      <c r="G1640" t="s">
        <v>222</v>
      </c>
      <c r="I1640">
        <v>291</v>
      </c>
      <c r="J1640">
        <v>407.4</v>
      </c>
      <c r="K1640">
        <v>1.4</v>
      </c>
      <c r="M1640" t="s">
        <v>289</v>
      </c>
    </row>
    <row r="1641" spans="1:13" hidden="1">
      <c r="A1641" t="s">
        <v>112</v>
      </c>
      <c r="B1641" t="s">
        <v>8</v>
      </c>
      <c r="C1641" t="s">
        <v>111</v>
      </c>
      <c r="D1641" t="str">
        <f>LEFT(M1641,10)</f>
        <v>11/15/2024</v>
      </c>
      <c r="E1641" t="s">
        <v>202</v>
      </c>
      <c r="F1641" t="s">
        <v>218</v>
      </c>
      <c r="G1641" t="s">
        <v>223</v>
      </c>
      <c r="I1641">
        <v>540</v>
      </c>
      <c r="J1641">
        <v>432</v>
      </c>
      <c r="K1641">
        <v>0.8</v>
      </c>
      <c r="M1641" t="s">
        <v>289</v>
      </c>
    </row>
    <row r="1642" spans="1:13" hidden="1">
      <c r="A1642" t="s">
        <v>112</v>
      </c>
      <c r="B1642" t="s">
        <v>8</v>
      </c>
      <c r="C1642" t="s">
        <v>111</v>
      </c>
      <c r="D1642" t="str">
        <f>LEFT(M1642,10)</f>
        <v>11/15/2024</v>
      </c>
      <c r="E1642" t="s">
        <v>202</v>
      </c>
      <c r="F1642" t="s">
        <v>218</v>
      </c>
      <c r="G1642" t="s">
        <v>223</v>
      </c>
      <c r="I1642">
        <v>144</v>
      </c>
      <c r="J1642">
        <v>108</v>
      </c>
      <c r="K1642">
        <v>0.75</v>
      </c>
      <c r="M1642" t="s">
        <v>289</v>
      </c>
    </row>
    <row r="1643" spans="1:13" hidden="1">
      <c r="A1643" t="s">
        <v>112</v>
      </c>
      <c r="B1643" t="s">
        <v>8</v>
      </c>
      <c r="C1643" t="s">
        <v>111</v>
      </c>
      <c r="D1643" t="str">
        <f>LEFT(M1643,10)</f>
        <v>11/15/2024</v>
      </c>
      <c r="E1643" t="s">
        <v>202</v>
      </c>
      <c r="F1643" t="s">
        <v>218</v>
      </c>
      <c r="G1643" t="s">
        <v>220</v>
      </c>
      <c r="I1643">
        <v>229</v>
      </c>
      <c r="J1643">
        <v>297.7</v>
      </c>
      <c r="K1643">
        <v>1.3</v>
      </c>
      <c r="M1643" t="s">
        <v>289</v>
      </c>
    </row>
    <row r="1644" spans="1:13" hidden="1">
      <c r="A1644" t="s">
        <v>112</v>
      </c>
      <c r="B1644" t="s">
        <v>8</v>
      </c>
      <c r="C1644" t="s">
        <v>111</v>
      </c>
      <c r="D1644" t="str">
        <f>LEFT(M1644,10)</f>
        <v>11/15/2024</v>
      </c>
      <c r="E1644" t="s">
        <v>202</v>
      </c>
      <c r="F1644" t="s">
        <v>218</v>
      </c>
      <c r="G1644" t="s">
        <v>219</v>
      </c>
      <c r="I1644">
        <v>42</v>
      </c>
      <c r="J1644">
        <v>16.8</v>
      </c>
      <c r="K1644">
        <v>0.4</v>
      </c>
      <c r="M1644" t="s">
        <v>289</v>
      </c>
    </row>
    <row r="1645" spans="1:13" hidden="1">
      <c r="A1645" t="s">
        <v>112</v>
      </c>
      <c r="B1645" t="s">
        <v>8</v>
      </c>
      <c r="C1645" t="s">
        <v>111</v>
      </c>
      <c r="D1645" t="str">
        <f>LEFT(M1645,10)</f>
        <v>11/15/2024</v>
      </c>
      <c r="E1645" t="s">
        <v>202</v>
      </c>
      <c r="F1645" t="s">
        <v>218</v>
      </c>
      <c r="G1645" t="s">
        <v>224</v>
      </c>
      <c r="I1645">
        <v>98</v>
      </c>
      <c r="J1645">
        <v>93.1</v>
      </c>
      <c r="K1645">
        <v>0.95</v>
      </c>
      <c r="M1645" t="s">
        <v>289</v>
      </c>
    </row>
    <row r="1646" spans="1:13" hidden="1">
      <c r="A1646" t="s">
        <v>112</v>
      </c>
      <c r="B1646" t="s">
        <v>8</v>
      </c>
      <c r="C1646" t="s">
        <v>111</v>
      </c>
      <c r="D1646" t="str">
        <f>LEFT(M1646,10)</f>
        <v>11/15/2024</v>
      </c>
      <c r="E1646" t="s">
        <v>202</v>
      </c>
      <c r="F1646" t="s">
        <v>227</v>
      </c>
      <c r="G1646" t="s">
        <v>229</v>
      </c>
      <c r="I1646">
        <v>2780</v>
      </c>
      <c r="J1646">
        <v>2085</v>
      </c>
      <c r="K1646">
        <v>0.75</v>
      </c>
      <c r="M1646" t="s">
        <v>289</v>
      </c>
    </row>
    <row r="1647" spans="1:13" hidden="1">
      <c r="A1647" t="s">
        <v>112</v>
      </c>
      <c r="B1647" t="s">
        <v>8</v>
      </c>
      <c r="C1647" t="s">
        <v>111</v>
      </c>
      <c r="D1647" t="str">
        <f>LEFT(M1647,10)</f>
        <v>11/15/2024</v>
      </c>
      <c r="E1647" t="s">
        <v>202</v>
      </c>
      <c r="F1647" t="s">
        <v>227</v>
      </c>
      <c r="G1647" t="s">
        <v>228</v>
      </c>
      <c r="I1647">
        <v>782</v>
      </c>
      <c r="J1647">
        <v>234.6</v>
      </c>
      <c r="K1647">
        <v>0.3</v>
      </c>
      <c r="M1647" t="s">
        <v>289</v>
      </c>
    </row>
    <row r="1648" spans="1:13" hidden="1">
      <c r="A1648" t="s">
        <v>112</v>
      </c>
      <c r="B1648" t="s">
        <v>8</v>
      </c>
      <c r="C1648" t="s">
        <v>111</v>
      </c>
      <c r="D1648" t="str">
        <f>LEFT(M1648,10)</f>
        <v>11/15/2024</v>
      </c>
      <c r="E1648" t="s">
        <v>202</v>
      </c>
      <c r="F1648" t="s">
        <v>218</v>
      </c>
      <c r="G1648" t="s">
        <v>226</v>
      </c>
      <c r="I1648">
        <v>303</v>
      </c>
      <c r="J1648">
        <v>90.9</v>
      </c>
      <c r="K1648">
        <v>0.3</v>
      </c>
      <c r="M1648" t="s">
        <v>289</v>
      </c>
    </row>
    <row r="1649" spans="1:13" hidden="1">
      <c r="A1649" t="s">
        <v>112</v>
      </c>
      <c r="B1649" t="s">
        <v>8</v>
      </c>
      <c r="C1649" t="s">
        <v>111</v>
      </c>
      <c r="D1649" t="str">
        <f>LEFT(M1649,10)</f>
        <v>11/15/2024</v>
      </c>
      <c r="E1649" t="s">
        <v>202</v>
      </c>
      <c r="F1649" t="s">
        <v>227</v>
      </c>
      <c r="G1649" t="s">
        <v>238</v>
      </c>
      <c r="I1649">
        <v>262</v>
      </c>
      <c r="J1649">
        <v>78.599999999999994</v>
      </c>
      <c r="K1649">
        <v>0.3</v>
      </c>
      <c r="M1649" t="s">
        <v>289</v>
      </c>
    </row>
    <row r="1650" spans="1:13" hidden="1">
      <c r="A1650" t="s">
        <v>114</v>
      </c>
      <c r="B1650" t="s">
        <v>8</v>
      </c>
      <c r="C1650" t="s">
        <v>113</v>
      </c>
      <c r="D1650" t="str">
        <f>LEFT(M1650,10)</f>
        <v>11/15/2024</v>
      </c>
      <c r="E1650" t="s">
        <v>230</v>
      </c>
      <c r="F1650" t="s">
        <v>248</v>
      </c>
      <c r="I1650">
        <v>0</v>
      </c>
      <c r="J1650">
        <v>5074.2299999999996</v>
      </c>
      <c r="M1650" t="s">
        <v>289</v>
      </c>
    </row>
    <row r="1651" spans="1:13" hidden="1">
      <c r="A1651" t="s">
        <v>114</v>
      </c>
      <c r="B1651" t="s">
        <v>8</v>
      </c>
      <c r="C1651" t="s">
        <v>113</v>
      </c>
      <c r="D1651" t="str">
        <f>LEFT(M1651,10)</f>
        <v>11/15/2024</v>
      </c>
      <c r="E1651" t="s">
        <v>234</v>
      </c>
      <c r="F1651" t="s">
        <v>234</v>
      </c>
      <c r="I1651">
        <v>10000</v>
      </c>
      <c r="M1651" t="s">
        <v>289</v>
      </c>
    </row>
    <row r="1652" spans="1:13" hidden="1">
      <c r="A1652" t="s">
        <v>114</v>
      </c>
      <c r="B1652" t="s">
        <v>8</v>
      </c>
      <c r="C1652" t="s">
        <v>113</v>
      </c>
      <c r="D1652" t="str">
        <f>LEFT(M1652,10)</f>
        <v>11/15/2024</v>
      </c>
      <c r="E1652" t="s">
        <v>232</v>
      </c>
      <c r="F1652" t="s">
        <v>251</v>
      </c>
      <c r="I1652">
        <v>0</v>
      </c>
      <c r="J1652">
        <v>883.5</v>
      </c>
      <c r="M1652" t="s">
        <v>289</v>
      </c>
    </row>
    <row r="1653" spans="1:13" hidden="1">
      <c r="A1653" t="s">
        <v>114</v>
      </c>
      <c r="B1653" t="s">
        <v>8</v>
      </c>
      <c r="C1653" t="s">
        <v>113</v>
      </c>
      <c r="D1653" t="str">
        <f>LEFT(M1653,10)</f>
        <v>11/15/2024</v>
      </c>
      <c r="E1653" t="s">
        <v>232</v>
      </c>
      <c r="F1653" t="s">
        <v>254</v>
      </c>
      <c r="I1653">
        <v>0</v>
      </c>
      <c r="J1653">
        <v>3000</v>
      </c>
      <c r="M1653" t="s">
        <v>289</v>
      </c>
    </row>
    <row r="1654" spans="1:13" hidden="1">
      <c r="A1654" t="s">
        <v>114</v>
      </c>
      <c r="B1654" t="s">
        <v>8</v>
      </c>
      <c r="C1654" t="s">
        <v>113</v>
      </c>
      <c r="D1654" t="str">
        <f>LEFT(M1654,10)</f>
        <v>11/15/2024</v>
      </c>
      <c r="E1654" t="s">
        <v>202</v>
      </c>
      <c r="F1654" t="s">
        <v>203</v>
      </c>
      <c r="G1654" t="s">
        <v>204</v>
      </c>
      <c r="I1654">
        <v>305</v>
      </c>
      <c r="J1654">
        <v>2434.89</v>
      </c>
      <c r="K1654">
        <v>7.98</v>
      </c>
      <c r="M1654" t="s">
        <v>289</v>
      </c>
    </row>
    <row r="1655" spans="1:13" hidden="1">
      <c r="A1655" t="s">
        <v>114</v>
      </c>
      <c r="B1655" t="s">
        <v>8</v>
      </c>
      <c r="C1655" t="s">
        <v>113</v>
      </c>
      <c r="D1655" t="str">
        <f>LEFT(M1655,10)</f>
        <v>11/15/2024</v>
      </c>
      <c r="E1655" t="s">
        <v>202</v>
      </c>
      <c r="F1655" t="s">
        <v>218</v>
      </c>
      <c r="G1655" t="s">
        <v>219</v>
      </c>
      <c r="I1655">
        <v>105</v>
      </c>
      <c r="J1655">
        <v>1.05</v>
      </c>
      <c r="K1655">
        <v>0.01</v>
      </c>
      <c r="M1655" t="s">
        <v>289</v>
      </c>
    </row>
    <row r="1656" spans="1:13" hidden="1">
      <c r="A1656" t="s">
        <v>114</v>
      </c>
      <c r="B1656" t="s">
        <v>8</v>
      </c>
      <c r="C1656" t="s">
        <v>113</v>
      </c>
      <c r="D1656" t="str">
        <f>LEFT(M1656,10)</f>
        <v>11/15/2024</v>
      </c>
      <c r="E1656" t="s">
        <v>202</v>
      </c>
      <c r="F1656" t="s">
        <v>218</v>
      </c>
      <c r="G1656" t="s">
        <v>267</v>
      </c>
      <c r="I1656">
        <v>335</v>
      </c>
      <c r="J1656">
        <v>67</v>
      </c>
      <c r="K1656">
        <v>0.2</v>
      </c>
      <c r="M1656" t="s">
        <v>289</v>
      </c>
    </row>
    <row r="1657" spans="1:13" hidden="1">
      <c r="A1657" t="s">
        <v>114</v>
      </c>
      <c r="B1657" t="s">
        <v>8</v>
      </c>
      <c r="C1657" t="s">
        <v>113</v>
      </c>
      <c r="D1657" t="str">
        <f>LEFT(M1657,10)</f>
        <v>11/15/2024</v>
      </c>
      <c r="E1657" t="s">
        <v>202</v>
      </c>
      <c r="F1657" t="s">
        <v>203</v>
      </c>
      <c r="G1657" t="s">
        <v>236</v>
      </c>
      <c r="I1657">
        <v>2690</v>
      </c>
      <c r="J1657">
        <v>2152</v>
      </c>
      <c r="K1657">
        <v>0.8</v>
      </c>
      <c r="M1657" t="s">
        <v>289</v>
      </c>
    </row>
    <row r="1658" spans="1:13" hidden="1">
      <c r="A1658" t="s">
        <v>114</v>
      </c>
      <c r="B1658" t="s">
        <v>8</v>
      </c>
      <c r="C1658" t="s">
        <v>113</v>
      </c>
      <c r="D1658" t="str">
        <f>LEFT(M1658,10)</f>
        <v>11/15/2024</v>
      </c>
      <c r="E1658" t="s">
        <v>202</v>
      </c>
      <c r="F1658" t="s">
        <v>203</v>
      </c>
      <c r="G1658" t="s">
        <v>236</v>
      </c>
      <c r="I1658">
        <v>3330</v>
      </c>
      <c r="J1658">
        <v>2664</v>
      </c>
      <c r="K1658">
        <v>0.8</v>
      </c>
      <c r="M1658" t="s">
        <v>289</v>
      </c>
    </row>
    <row r="1659" spans="1:13" hidden="1">
      <c r="A1659" t="s">
        <v>114</v>
      </c>
      <c r="B1659" t="s">
        <v>8</v>
      </c>
      <c r="C1659" t="s">
        <v>113</v>
      </c>
      <c r="D1659" t="str">
        <f>LEFT(M1659,10)</f>
        <v>11/15/2024</v>
      </c>
      <c r="E1659" t="s">
        <v>202</v>
      </c>
      <c r="F1659" t="s">
        <v>218</v>
      </c>
      <c r="G1659" t="s">
        <v>241</v>
      </c>
      <c r="I1659">
        <v>231</v>
      </c>
      <c r="J1659">
        <v>993.3</v>
      </c>
      <c r="K1659">
        <v>4.3</v>
      </c>
      <c r="M1659" t="s">
        <v>289</v>
      </c>
    </row>
    <row r="1660" spans="1:13" hidden="1">
      <c r="A1660" t="s">
        <v>114</v>
      </c>
      <c r="B1660" t="s">
        <v>8</v>
      </c>
      <c r="C1660" t="s">
        <v>113</v>
      </c>
      <c r="D1660" t="str">
        <f>LEFT(M1660,10)</f>
        <v>11/15/2024</v>
      </c>
      <c r="E1660" t="s">
        <v>202</v>
      </c>
      <c r="F1660" t="s">
        <v>218</v>
      </c>
      <c r="G1660" t="s">
        <v>224</v>
      </c>
      <c r="I1660">
        <v>159</v>
      </c>
      <c r="J1660">
        <v>127.2</v>
      </c>
      <c r="K1660">
        <v>0.8</v>
      </c>
      <c r="M1660" t="s">
        <v>289</v>
      </c>
    </row>
    <row r="1661" spans="1:13" hidden="1">
      <c r="A1661" t="s">
        <v>114</v>
      </c>
      <c r="B1661" t="s">
        <v>8</v>
      </c>
      <c r="C1661" t="s">
        <v>113</v>
      </c>
      <c r="D1661" t="str">
        <f>LEFT(M1661,10)</f>
        <v>11/15/2024</v>
      </c>
      <c r="E1661" t="s">
        <v>202</v>
      </c>
      <c r="F1661" t="s">
        <v>218</v>
      </c>
      <c r="G1661" t="s">
        <v>225</v>
      </c>
      <c r="I1661">
        <v>342</v>
      </c>
      <c r="J1661">
        <v>307.8</v>
      </c>
      <c r="K1661">
        <v>0.9</v>
      </c>
      <c r="M1661" t="s">
        <v>289</v>
      </c>
    </row>
    <row r="1662" spans="1:13" hidden="1">
      <c r="A1662" t="s">
        <v>114</v>
      </c>
      <c r="B1662" t="s">
        <v>8</v>
      </c>
      <c r="C1662" t="s">
        <v>113</v>
      </c>
      <c r="D1662" t="str">
        <f>LEFT(M1662,10)</f>
        <v>11/15/2024</v>
      </c>
      <c r="E1662" t="s">
        <v>202</v>
      </c>
      <c r="F1662" t="s">
        <v>218</v>
      </c>
      <c r="G1662" t="s">
        <v>222</v>
      </c>
      <c r="I1662">
        <v>915</v>
      </c>
      <c r="J1662">
        <v>1098</v>
      </c>
      <c r="K1662">
        <v>1.2</v>
      </c>
      <c r="M1662" t="s">
        <v>289</v>
      </c>
    </row>
    <row r="1663" spans="1:13" hidden="1">
      <c r="A1663" t="s">
        <v>114</v>
      </c>
      <c r="B1663" t="s">
        <v>8</v>
      </c>
      <c r="C1663" t="s">
        <v>113</v>
      </c>
      <c r="D1663" t="str">
        <f>LEFT(M1663,10)</f>
        <v>11/15/2024</v>
      </c>
      <c r="E1663" t="s">
        <v>202</v>
      </c>
      <c r="F1663" t="s">
        <v>218</v>
      </c>
      <c r="G1663" t="s">
        <v>221</v>
      </c>
      <c r="I1663">
        <v>96</v>
      </c>
      <c r="J1663">
        <v>240</v>
      </c>
      <c r="K1663">
        <v>2.5</v>
      </c>
      <c r="M1663" t="s">
        <v>289</v>
      </c>
    </row>
    <row r="1664" spans="1:13" hidden="1">
      <c r="A1664" t="s">
        <v>114</v>
      </c>
      <c r="B1664" t="s">
        <v>8</v>
      </c>
      <c r="C1664" t="s">
        <v>113</v>
      </c>
      <c r="D1664" t="str">
        <f>LEFT(M1664,10)</f>
        <v>11/15/2024</v>
      </c>
      <c r="E1664" t="s">
        <v>202</v>
      </c>
      <c r="F1664" t="s">
        <v>218</v>
      </c>
      <c r="G1664" t="s">
        <v>222</v>
      </c>
      <c r="I1664">
        <v>329</v>
      </c>
      <c r="J1664">
        <v>526.4</v>
      </c>
      <c r="K1664">
        <v>1.6</v>
      </c>
      <c r="M1664" t="s">
        <v>289</v>
      </c>
    </row>
    <row r="1665" spans="1:13" hidden="1">
      <c r="A1665" t="s">
        <v>114</v>
      </c>
      <c r="B1665" t="s">
        <v>8</v>
      </c>
      <c r="C1665" t="s">
        <v>113</v>
      </c>
      <c r="D1665" t="str">
        <f>LEFT(M1665,10)</f>
        <v>11/15/2024</v>
      </c>
      <c r="E1665" t="s">
        <v>202</v>
      </c>
      <c r="F1665" t="s">
        <v>218</v>
      </c>
      <c r="G1665" t="s">
        <v>219</v>
      </c>
      <c r="I1665">
        <v>120</v>
      </c>
      <c r="J1665">
        <v>1.2</v>
      </c>
      <c r="K1665">
        <v>0.01</v>
      </c>
      <c r="M1665" t="s">
        <v>289</v>
      </c>
    </row>
    <row r="1666" spans="1:13" hidden="1">
      <c r="A1666" t="s">
        <v>114</v>
      </c>
      <c r="B1666" t="s">
        <v>8</v>
      </c>
      <c r="C1666" t="s">
        <v>113</v>
      </c>
      <c r="D1666" t="str">
        <f>LEFT(M1666,10)</f>
        <v>11/15/2024</v>
      </c>
      <c r="E1666" t="s">
        <v>202</v>
      </c>
      <c r="F1666" t="s">
        <v>227</v>
      </c>
      <c r="G1666" t="s">
        <v>252</v>
      </c>
      <c r="I1666">
        <v>396</v>
      </c>
      <c r="J1666">
        <v>99</v>
      </c>
      <c r="K1666">
        <v>0.25</v>
      </c>
      <c r="M1666" t="s">
        <v>289</v>
      </c>
    </row>
    <row r="1667" spans="1:13" hidden="1">
      <c r="A1667" t="s">
        <v>114</v>
      </c>
      <c r="B1667" t="s">
        <v>8</v>
      </c>
      <c r="C1667" t="s">
        <v>113</v>
      </c>
      <c r="D1667" t="str">
        <f>LEFT(M1667,10)</f>
        <v>11/15/2024</v>
      </c>
      <c r="E1667" t="s">
        <v>202</v>
      </c>
      <c r="F1667" t="s">
        <v>218</v>
      </c>
      <c r="G1667" t="s">
        <v>223</v>
      </c>
      <c r="I1667">
        <v>838</v>
      </c>
      <c r="J1667">
        <v>586.6</v>
      </c>
      <c r="K1667">
        <v>0.7</v>
      </c>
      <c r="M1667" t="s">
        <v>289</v>
      </c>
    </row>
    <row r="1668" spans="1:13" hidden="1">
      <c r="A1668" t="s">
        <v>114</v>
      </c>
      <c r="B1668" t="s">
        <v>8</v>
      </c>
      <c r="C1668" t="s">
        <v>113</v>
      </c>
      <c r="D1668" t="str">
        <f>LEFT(M1668,10)</f>
        <v>11/15/2024</v>
      </c>
      <c r="E1668" t="s">
        <v>202</v>
      </c>
      <c r="F1668" t="s">
        <v>218</v>
      </c>
      <c r="G1668" t="s">
        <v>242</v>
      </c>
      <c r="I1668">
        <v>201</v>
      </c>
      <c r="J1668">
        <v>160.80000000000001</v>
      </c>
      <c r="K1668">
        <v>0.8</v>
      </c>
      <c r="M1668" t="s">
        <v>289</v>
      </c>
    </row>
    <row r="1669" spans="1:13" hidden="1">
      <c r="A1669" t="s">
        <v>114</v>
      </c>
      <c r="B1669" t="s">
        <v>8</v>
      </c>
      <c r="C1669" t="s">
        <v>113</v>
      </c>
      <c r="D1669" t="str">
        <f>LEFT(M1669,10)</f>
        <v>11/15/2024</v>
      </c>
      <c r="E1669" t="s">
        <v>202</v>
      </c>
      <c r="F1669" t="s">
        <v>218</v>
      </c>
      <c r="G1669" t="s">
        <v>239</v>
      </c>
      <c r="I1669">
        <v>35</v>
      </c>
      <c r="J1669">
        <v>3.5</v>
      </c>
      <c r="K1669">
        <v>0.1</v>
      </c>
      <c r="M1669" t="s">
        <v>289</v>
      </c>
    </row>
    <row r="1670" spans="1:13" hidden="1">
      <c r="A1670" t="s">
        <v>114</v>
      </c>
      <c r="B1670" t="s">
        <v>8</v>
      </c>
      <c r="C1670" t="s">
        <v>113</v>
      </c>
      <c r="D1670" t="str">
        <f>LEFT(M1670,10)</f>
        <v>11/15/2024</v>
      </c>
      <c r="E1670" t="s">
        <v>202</v>
      </c>
      <c r="F1670" t="s">
        <v>227</v>
      </c>
      <c r="G1670" t="s">
        <v>228</v>
      </c>
      <c r="I1670">
        <v>1469</v>
      </c>
      <c r="J1670">
        <v>440.7</v>
      </c>
      <c r="K1670">
        <v>0.3</v>
      </c>
      <c r="M1670" t="s">
        <v>289</v>
      </c>
    </row>
    <row r="1671" spans="1:13" hidden="1">
      <c r="A1671" t="s">
        <v>114</v>
      </c>
      <c r="B1671" t="s">
        <v>8</v>
      </c>
      <c r="C1671" t="s">
        <v>113</v>
      </c>
      <c r="D1671" t="str">
        <f>LEFT(M1671,10)</f>
        <v>11/15/2024</v>
      </c>
      <c r="E1671" t="s">
        <v>202</v>
      </c>
      <c r="F1671" t="s">
        <v>227</v>
      </c>
      <c r="G1671" t="s">
        <v>237</v>
      </c>
      <c r="I1671">
        <v>660</v>
      </c>
      <c r="J1671">
        <v>396</v>
      </c>
      <c r="K1671">
        <v>0.6</v>
      </c>
      <c r="M1671" t="s">
        <v>289</v>
      </c>
    </row>
    <row r="1672" spans="1:13" hidden="1">
      <c r="A1672" t="s">
        <v>114</v>
      </c>
      <c r="B1672" t="s">
        <v>8</v>
      </c>
      <c r="C1672" t="s">
        <v>113</v>
      </c>
      <c r="D1672" t="str">
        <f>LEFT(M1672,10)</f>
        <v>11/15/2024</v>
      </c>
      <c r="E1672" t="s">
        <v>202</v>
      </c>
      <c r="F1672" t="s">
        <v>218</v>
      </c>
      <c r="G1672" t="s">
        <v>240</v>
      </c>
      <c r="I1672">
        <v>853</v>
      </c>
      <c r="J1672">
        <v>3667.9</v>
      </c>
      <c r="K1672">
        <v>4.3</v>
      </c>
      <c r="M1672" t="s">
        <v>289</v>
      </c>
    </row>
    <row r="1673" spans="1:13" hidden="1">
      <c r="A1673" t="s">
        <v>114</v>
      </c>
      <c r="B1673" t="s">
        <v>8</v>
      </c>
      <c r="C1673" t="s">
        <v>113</v>
      </c>
      <c r="D1673" t="str">
        <f>LEFT(M1673,10)</f>
        <v>11/15/2024</v>
      </c>
      <c r="E1673" t="s">
        <v>202</v>
      </c>
      <c r="F1673" t="s">
        <v>218</v>
      </c>
      <c r="G1673" t="s">
        <v>221</v>
      </c>
      <c r="I1673">
        <v>254</v>
      </c>
      <c r="J1673">
        <v>609.6</v>
      </c>
      <c r="K1673">
        <v>2.4</v>
      </c>
      <c r="M1673" t="s">
        <v>289</v>
      </c>
    </row>
    <row r="1674" spans="1:13" hidden="1">
      <c r="A1674" t="s">
        <v>114</v>
      </c>
      <c r="B1674" t="s">
        <v>8</v>
      </c>
      <c r="C1674" t="s">
        <v>113</v>
      </c>
      <c r="D1674" t="str">
        <f>LEFT(M1674,10)</f>
        <v>11/15/2024</v>
      </c>
      <c r="E1674" t="s">
        <v>202</v>
      </c>
      <c r="F1674" t="s">
        <v>227</v>
      </c>
      <c r="G1674" t="s">
        <v>229</v>
      </c>
      <c r="I1674">
        <v>3283</v>
      </c>
      <c r="J1674">
        <v>2298.1</v>
      </c>
      <c r="K1674">
        <v>0.7</v>
      </c>
      <c r="M1674" t="s">
        <v>289</v>
      </c>
    </row>
    <row r="1675" spans="1:13" hidden="1">
      <c r="A1675" t="s">
        <v>114</v>
      </c>
      <c r="B1675" t="s">
        <v>8</v>
      </c>
      <c r="C1675" t="s">
        <v>113</v>
      </c>
      <c r="D1675" t="str">
        <f>LEFT(M1675,10)</f>
        <v>11/15/2024</v>
      </c>
      <c r="E1675" t="s">
        <v>202</v>
      </c>
      <c r="F1675" t="s">
        <v>227</v>
      </c>
      <c r="G1675" t="s">
        <v>229</v>
      </c>
      <c r="I1675">
        <v>4165</v>
      </c>
      <c r="J1675">
        <v>2915.5</v>
      </c>
      <c r="K1675">
        <v>0.7</v>
      </c>
      <c r="M1675" t="s">
        <v>289</v>
      </c>
    </row>
    <row r="1676" spans="1:13" hidden="1">
      <c r="A1676" t="s">
        <v>114</v>
      </c>
      <c r="B1676" t="s">
        <v>8</v>
      </c>
      <c r="C1676" t="s">
        <v>113</v>
      </c>
      <c r="D1676" t="str">
        <f>LEFT(M1676,10)</f>
        <v>11/15/2024</v>
      </c>
      <c r="E1676" t="s">
        <v>202</v>
      </c>
      <c r="F1676" t="s">
        <v>227</v>
      </c>
      <c r="G1676" t="s">
        <v>228</v>
      </c>
      <c r="I1676">
        <v>1651</v>
      </c>
      <c r="J1676">
        <v>495.3</v>
      </c>
      <c r="K1676">
        <v>0.3</v>
      </c>
      <c r="M1676" t="s">
        <v>289</v>
      </c>
    </row>
    <row r="1677" spans="1:13" hidden="1">
      <c r="A1677" t="s">
        <v>114</v>
      </c>
      <c r="B1677" t="s">
        <v>8</v>
      </c>
      <c r="C1677" t="s">
        <v>113</v>
      </c>
      <c r="D1677" t="str">
        <f>LEFT(M1677,10)</f>
        <v>11/15/2024</v>
      </c>
      <c r="E1677" t="s">
        <v>202</v>
      </c>
      <c r="F1677" t="s">
        <v>227</v>
      </c>
      <c r="G1677" t="s">
        <v>237</v>
      </c>
      <c r="I1677">
        <v>586</v>
      </c>
      <c r="J1677">
        <v>351.6</v>
      </c>
      <c r="K1677">
        <v>0.6</v>
      </c>
      <c r="M1677" t="s">
        <v>289</v>
      </c>
    </row>
    <row r="1678" spans="1:13" hidden="1">
      <c r="A1678" t="s">
        <v>114</v>
      </c>
      <c r="B1678" t="s">
        <v>8</v>
      </c>
      <c r="C1678" t="s">
        <v>113</v>
      </c>
      <c r="D1678" t="str">
        <f>LEFT(M1678,10)</f>
        <v>11/15/2024</v>
      </c>
      <c r="E1678" t="s">
        <v>202</v>
      </c>
      <c r="F1678" t="s">
        <v>227</v>
      </c>
      <c r="G1678" t="s">
        <v>252</v>
      </c>
      <c r="I1678">
        <v>815</v>
      </c>
      <c r="J1678">
        <v>203.75</v>
      </c>
      <c r="K1678">
        <v>0.25</v>
      </c>
      <c r="M1678" t="s">
        <v>289</v>
      </c>
    </row>
    <row r="1679" spans="1:13" hidden="1">
      <c r="A1679" t="s">
        <v>114</v>
      </c>
      <c r="B1679" t="s">
        <v>8</v>
      </c>
      <c r="C1679" t="s">
        <v>113</v>
      </c>
      <c r="D1679" t="str">
        <f>LEFT(M1679,10)</f>
        <v>11/15/2024</v>
      </c>
      <c r="E1679" t="s">
        <v>202</v>
      </c>
      <c r="F1679" t="s">
        <v>218</v>
      </c>
      <c r="G1679" t="s">
        <v>220</v>
      </c>
      <c r="I1679">
        <v>565</v>
      </c>
      <c r="J1679">
        <v>819.25</v>
      </c>
      <c r="K1679">
        <v>1.45</v>
      </c>
      <c r="M1679" t="s">
        <v>289</v>
      </c>
    </row>
    <row r="1680" spans="1:13" hidden="1">
      <c r="A1680" t="s">
        <v>114</v>
      </c>
      <c r="B1680" t="s">
        <v>8</v>
      </c>
      <c r="C1680" t="s">
        <v>113</v>
      </c>
      <c r="D1680" t="str">
        <f>LEFT(M1680,10)</f>
        <v>11/15/2024</v>
      </c>
      <c r="E1680" t="s">
        <v>202</v>
      </c>
      <c r="F1680" t="s">
        <v>218</v>
      </c>
      <c r="G1680" t="s">
        <v>223</v>
      </c>
      <c r="I1680">
        <v>756</v>
      </c>
      <c r="J1680">
        <v>529.20000000000005</v>
      </c>
      <c r="K1680">
        <v>0.7</v>
      </c>
      <c r="M1680" t="s">
        <v>289</v>
      </c>
    </row>
    <row r="1681" spans="1:13" hidden="1">
      <c r="A1681" t="s">
        <v>114</v>
      </c>
      <c r="B1681" t="s">
        <v>8</v>
      </c>
      <c r="C1681" t="s">
        <v>113</v>
      </c>
      <c r="D1681" t="str">
        <f>LEFT(M1681,10)</f>
        <v>11/15/2024</v>
      </c>
      <c r="E1681" t="s">
        <v>202</v>
      </c>
      <c r="F1681" t="s">
        <v>218</v>
      </c>
      <c r="G1681" t="s">
        <v>266</v>
      </c>
      <c r="I1681">
        <v>203</v>
      </c>
      <c r="J1681">
        <v>2.0299999999999998</v>
      </c>
      <c r="K1681">
        <v>0.01</v>
      </c>
      <c r="M1681" t="s">
        <v>289</v>
      </c>
    </row>
    <row r="1682" spans="1:13" hidden="1">
      <c r="A1682" t="s">
        <v>114</v>
      </c>
      <c r="B1682" t="s">
        <v>8</v>
      </c>
      <c r="C1682" t="s">
        <v>113</v>
      </c>
      <c r="D1682" t="str">
        <f>LEFT(M1682,10)</f>
        <v>11/15/2024</v>
      </c>
      <c r="E1682" t="s">
        <v>202</v>
      </c>
      <c r="F1682" t="s">
        <v>218</v>
      </c>
      <c r="G1682" t="s">
        <v>226</v>
      </c>
      <c r="I1682">
        <v>470</v>
      </c>
      <c r="J1682">
        <v>141</v>
      </c>
      <c r="K1682">
        <v>0.3</v>
      </c>
      <c r="M1682" t="s">
        <v>289</v>
      </c>
    </row>
    <row r="1683" spans="1:13" hidden="1">
      <c r="A1683" t="s">
        <v>114</v>
      </c>
      <c r="B1683" t="s">
        <v>8</v>
      </c>
      <c r="C1683" t="s">
        <v>113</v>
      </c>
      <c r="D1683" t="str">
        <f>LEFT(M1683,10)</f>
        <v>11/15/2024</v>
      </c>
      <c r="E1683" t="s">
        <v>202</v>
      </c>
      <c r="F1683" t="s">
        <v>218</v>
      </c>
      <c r="G1683" t="s">
        <v>225</v>
      </c>
      <c r="I1683">
        <v>115</v>
      </c>
      <c r="J1683">
        <v>103.5</v>
      </c>
      <c r="K1683">
        <v>0.9</v>
      </c>
      <c r="M1683" t="s">
        <v>289</v>
      </c>
    </row>
    <row r="1684" spans="1:13" hidden="1">
      <c r="A1684" t="s">
        <v>114</v>
      </c>
      <c r="B1684" t="s">
        <v>8</v>
      </c>
      <c r="C1684" t="s">
        <v>113</v>
      </c>
      <c r="D1684" t="str">
        <f>LEFT(M1684,10)</f>
        <v>11/15/2024</v>
      </c>
      <c r="E1684" t="s">
        <v>202</v>
      </c>
      <c r="F1684" t="s">
        <v>218</v>
      </c>
      <c r="G1684" t="s">
        <v>219</v>
      </c>
      <c r="I1684">
        <v>85</v>
      </c>
      <c r="J1684">
        <v>0.85</v>
      </c>
      <c r="K1684">
        <v>0.01</v>
      </c>
      <c r="M1684" t="s">
        <v>289</v>
      </c>
    </row>
    <row r="1685" spans="1:13" hidden="1">
      <c r="A1685" t="s">
        <v>114</v>
      </c>
      <c r="B1685" t="s">
        <v>8</v>
      </c>
      <c r="C1685" t="s">
        <v>113</v>
      </c>
      <c r="D1685" t="str">
        <f>LEFT(M1685,10)</f>
        <v>11/15/2024</v>
      </c>
      <c r="E1685" t="s">
        <v>202</v>
      </c>
      <c r="F1685" t="s">
        <v>218</v>
      </c>
      <c r="G1685" t="s">
        <v>219</v>
      </c>
      <c r="I1685">
        <v>88</v>
      </c>
      <c r="J1685">
        <v>8.8000000000000007</v>
      </c>
      <c r="K1685">
        <v>0.1</v>
      </c>
      <c r="M1685" t="s">
        <v>289</v>
      </c>
    </row>
    <row r="1686" spans="1:13" hidden="1">
      <c r="A1686" t="s">
        <v>114</v>
      </c>
      <c r="B1686" t="s">
        <v>8</v>
      </c>
      <c r="C1686" t="s">
        <v>113</v>
      </c>
      <c r="D1686" t="str">
        <f>LEFT(M1686,10)</f>
        <v>11/15/2024</v>
      </c>
      <c r="E1686" t="s">
        <v>202</v>
      </c>
      <c r="F1686" t="s">
        <v>218</v>
      </c>
      <c r="G1686" t="s">
        <v>219</v>
      </c>
      <c r="I1686">
        <v>90</v>
      </c>
      <c r="J1686">
        <v>9</v>
      </c>
      <c r="K1686">
        <v>0.1</v>
      </c>
      <c r="M1686" t="s">
        <v>289</v>
      </c>
    </row>
    <row r="1687" spans="1:13" hidden="1">
      <c r="A1687" t="s">
        <v>114</v>
      </c>
      <c r="B1687" t="s">
        <v>8</v>
      </c>
      <c r="C1687" t="s">
        <v>113</v>
      </c>
      <c r="D1687" t="str">
        <f>LEFT(M1687,10)</f>
        <v>11/15/2024</v>
      </c>
      <c r="E1687" t="s">
        <v>202</v>
      </c>
      <c r="F1687" t="s">
        <v>218</v>
      </c>
      <c r="G1687" t="s">
        <v>222</v>
      </c>
      <c r="I1687">
        <v>217</v>
      </c>
      <c r="J1687">
        <v>347.2</v>
      </c>
      <c r="K1687">
        <v>1.6</v>
      </c>
      <c r="M1687" t="s">
        <v>289</v>
      </c>
    </row>
    <row r="1688" spans="1:13" hidden="1">
      <c r="A1688" t="s">
        <v>114</v>
      </c>
      <c r="B1688" t="s">
        <v>8</v>
      </c>
      <c r="C1688" t="s">
        <v>113</v>
      </c>
      <c r="D1688" t="str">
        <f>LEFT(M1688,10)</f>
        <v>11/15/2024</v>
      </c>
      <c r="E1688" t="s">
        <v>202</v>
      </c>
      <c r="F1688" t="s">
        <v>218</v>
      </c>
      <c r="G1688" t="s">
        <v>222</v>
      </c>
      <c r="I1688">
        <v>889</v>
      </c>
      <c r="J1688">
        <v>1066.8</v>
      </c>
      <c r="K1688">
        <v>1.2</v>
      </c>
      <c r="M1688" t="s">
        <v>289</v>
      </c>
    </row>
    <row r="1689" spans="1:13" hidden="1">
      <c r="A1689" t="s">
        <v>114</v>
      </c>
      <c r="B1689" t="s">
        <v>8</v>
      </c>
      <c r="C1689" t="s">
        <v>113</v>
      </c>
      <c r="D1689" t="str">
        <f>LEFT(M1689,10)</f>
        <v>11/15/2024</v>
      </c>
      <c r="E1689" t="s">
        <v>202</v>
      </c>
      <c r="F1689" t="s">
        <v>218</v>
      </c>
      <c r="G1689" t="s">
        <v>224</v>
      </c>
      <c r="I1689">
        <v>183</v>
      </c>
      <c r="J1689">
        <v>146.4</v>
      </c>
      <c r="K1689">
        <v>0.8</v>
      </c>
      <c r="M1689" t="s">
        <v>289</v>
      </c>
    </row>
    <row r="1690" spans="1:13" hidden="1">
      <c r="A1690" t="s">
        <v>114</v>
      </c>
      <c r="B1690" t="s">
        <v>8</v>
      </c>
      <c r="C1690" t="s">
        <v>113</v>
      </c>
      <c r="D1690" t="str">
        <f>LEFT(M1690,10)</f>
        <v>11/15/2024</v>
      </c>
      <c r="E1690" t="s">
        <v>202</v>
      </c>
      <c r="F1690" t="s">
        <v>218</v>
      </c>
      <c r="G1690" t="s">
        <v>221</v>
      </c>
      <c r="I1690">
        <v>325</v>
      </c>
      <c r="J1690">
        <v>812.5</v>
      </c>
      <c r="K1690">
        <v>2.5</v>
      </c>
      <c r="M1690" t="s">
        <v>289</v>
      </c>
    </row>
    <row r="1691" spans="1:13" hidden="1">
      <c r="A1691" t="s">
        <v>114</v>
      </c>
      <c r="B1691" t="s">
        <v>8</v>
      </c>
      <c r="C1691" t="s">
        <v>113</v>
      </c>
      <c r="D1691" t="str">
        <f>LEFT(M1691,10)</f>
        <v>11/15/2024</v>
      </c>
      <c r="E1691" t="s">
        <v>202</v>
      </c>
      <c r="F1691" t="s">
        <v>218</v>
      </c>
      <c r="G1691" t="s">
        <v>221</v>
      </c>
      <c r="I1691">
        <v>280</v>
      </c>
      <c r="J1691">
        <v>672</v>
      </c>
      <c r="K1691">
        <v>2.4</v>
      </c>
      <c r="M1691" t="s">
        <v>289</v>
      </c>
    </row>
    <row r="1692" spans="1:13" hidden="1">
      <c r="A1692" t="s">
        <v>114</v>
      </c>
      <c r="B1692" t="s">
        <v>8</v>
      </c>
      <c r="C1692" t="s">
        <v>113</v>
      </c>
      <c r="D1692" t="str">
        <f>LEFT(M1692,10)</f>
        <v>11/15/2024</v>
      </c>
      <c r="E1692" t="s">
        <v>202</v>
      </c>
      <c r="F1692" t="s">
        <v>218</v>
      </c>
      <c r="G1692" t="s">
        <v>267</v>
      </c>
      <c r="I1692">
        <v>494</v>
      </c>
      <c r="J1692">
        <v>98.8</v>
      </c>
      <c r="K1692">
        <v>0.2</v>
      </c>
      <c r="M1692" t="s">
        <v>289</v>
      </c>
    </row>
    <row r="1693" spans="1:13" hidden="1">
      <c r="A1693" t="s">
        <v>114</v>
      </c>
      <c r="B1693" t="s">
        <v>8</v>
      </c>
      <c r="C1693" t="s">
        <v>113</v>
      </c>
      <c r="D1693" t="str">
        <f>LEFT(M1693,10)</f>
        <v>11/15/2024</v>
      </c>
      <c r="E1693" t="s">
        <v>202</v>
      </c>
      <c r="F1693" t="s">
        <v>218</v>
      </c>
      <c r="G1693" t="s">
        <v>240</v>
      </c>
      <c r="I1693">
        <v>837</v>
      </c>
      <c r="J1693">
        <v>3599.1</v>
      </c>
      <c r="K1693">
        <v>4.3</v>
      </c>
      <c r="M1693" t="s">
        <v>289</v>
      </c>
    </row>
    <row r="1694" spans="1:13" hidden="1">
      <c r="A1694" t="s">
        <v>114</v>
      </c>
      <c r="B1694" t="s">
        <v>8</v>
      </c>
      <c r="C1694" t="s">
        <v>113</v>
      </c>
      <c r="D1694" t="str">
        <f>LEFT(M1694,10)</f>
        <v>11/15/2024</v>
      </c>
      <c r="E1694" t="s">
        <v>202</v>
      </c>
      <c r="F1694" t="s">
        <v>218</v>
      </c>
      <c r="G1694" t="s">
        <v>241</v>
      </c>
      <c r="I1694">
        <v>202</v>
      </c>
      <c r="J1694">
        <v>868.6</v>
      </c>
      <c r="K1694">
        <v>4.3</v>
      </c>
      <c r="M1694" t="s">
        <v>289</v>
      </c>
    </row>
    <row r="1695" spans="1:13" hidden="1">
      <c r="A1695" t="s">
        <v>114</v>
      </c>
      <c r="B1695" t="s">
        <v>8</v>
      </c>
      <c r="C1695" t="s">
        <v>113</v>
      </c>
      <c r="D1695" t="str">
        <f>LEFT(M1695,10)</f>
        <v>11/15/2024</v>
      </c>
      <c r="E1695" t="s">
        <v>202</v>
      </c>
      <c r="F1695" t="s">
        <v>218</v>
      </c>
      <c r="G1695" t="s">
        <v>242</v>
      </c>
      <c r="I1695">
        <v>98</v>
      </c>
      <c r="J1695">
        <v>78.400000000000006</v>
      </c>
      <c r="K1695">
        <v>0.8</v>
      </c>
      <c r="M1695" t="s">
        <v>289</v>
      </c>
    </row>
    <row r="1696" spans="1:13" hidden="1">
      <c r="A1696" t="s">
        <v>115</v>
      </c>
      <c r="B1696" t="s">
        <v>8</v>
      </c>
      <c r="C1696" t="s">
        <v>30</v>
      </c>
      <c r="D1696" t="str">
        <f>LEFT(M1696,10)</f>
        <v>11/15/2024</v>
      </c>
      <c r="E1696" t="s">
        <v>202</v>
      </c>
      <c r="F1696" t="s">
        <v>203</v>
      </c>
      <c r="G1696" t="s">
        <v>236</v>
      </c>
      <c r="I1696">
        <v>5130</v>
      </c>
      <c r="J1696">
        <v>2665</v>
      </c>
      <c r="K1696">
        <v>0.52</v>
      </c>
      <c r="M1696" t="s">
        <v>289</v>
      </c>
    </row>
    <row r="1697" spans="1:13" hidden="1">
      <c r="A1697" t="s">
        <v>115</v>
      </c>
      <c r="B1697" t="s">
        <v>8</v>
      </c>
      <c r="C1697" t="s">
        <v>30</v>
      </c>
      <c r="D1697" t="str">
        <f>LEFT(M1697,10)</f>
        <v>11/15/2024</v>
      </c>
      <c r="E1697" t="s">
        <v>202</v>
      </c>
      <c r="F1697" t="s">
        <v>216</v>
      </c>
      <c r="G1697" t="s">
        <v>217</v>
      </c>
      <c r="I1697">
        <v>13890</v>
      </c>
      <c r="J1697">
        <v>1289</v>
      </c>
      <c r="K1697">
        <v>0.09</v>
      </c>
      <c r="M1697" t="s">
        <v>289</v>
      </c>
    </row>
    <row r="1698" spans="1:13" hidden="1">
      <c r="A1698" t="s">
        <v>115</v>
      </c>
      <c r="B1698" t="s">
        <v>8</v>
      </c>
      <c r="C1698" t="s">
        <v>30</v>
      </c>
      <c r="D1698" t="str">
        <f>LEFT(M1698,10)</f>
        <v>11/15/2024</v>
      </c>
      <c r="E1698" t="s">
        <v>202</v>
      </c>
      <c r="F1698" t="s">
        <v>218</v>
      </c>
      <c r="G1698" t="s">
        <v>219</v>
      </c>
      <c r="I1698">
        <v>1149</v>
      </c>
      <c r="J1698">
        <v>3102</v>
      </c>
      <c r="K1698">
        <v>2.7</v>
      </c>
      <c r="M1698" t="s">
        <v>289</v>
      </c>
    </row>
    <row r="1699" spans="1:13" hidden="1">
      <c r="A1699" t="s">
        <v>115</v>
      </c>
      <c r="B1699" t="s">
        <v>8</v>
      </c>
      <c r="C1699" t="s">
        <v>30</v>
      </c>
      <c r="D1699" t="str">
        <f>LEFT(M1699,10)</f>
        <v>11/15/2024</v>
      </c>
      <c r="E1699" t="s">
        <v>202</v>
      </c>
      <c r="F1699" t="s">
        <v>218</v>
      </c>
      <c r="G1699" t="s">
        <v>221</v>
      </c>
      <c r="I1699">
        <v>1553</v>
      </c>
      <c r="J1699">
        <v>3416</v>
      </c>
      <c r="K1699">
        <v>2.2000000000000002</v>
      </c>
      <c r="M1699" t="s">
        <v>289</v>
      </c>
    </row>
    <row r="1700" spans="1:13" hidden="1">
      <c r="A1700" t="s">
        <v>115</v>
      </c>
      <c r="B1700" t="s">
        <v>8</v>
      </c>
      <c r="C1700" t="s">
        <v>30</v>
      </c>
      <c r="D1700" t="str">
        <f>LEFT(M1700,10)</f>
        <v>11/15/2024</v>
      </c>
      <c r="E1700" t="s">
        <v>202</v>
      </c>
      <c r="F1700" t="s">
        <v>218</v>
      </c>
      <c r="G1700" t="s">
        <v>222</v>
      </c>
      <c r="I1700">
        <v>549</v>
      </c>
      <c r="J1700">
        <v>439.2</v>
      </c>
      <c r="K1700">
        <v>0.8</v>
      </c>
      <c r="M1700" t="s">
        <v>289</v>
      </c>
    </row>
    <row r="1701" spans="1:13" hidden="1">
      <c r="A1701" t="s">
        <v>115</v>
      </c>
      <c r="B1701" t="s">
        <v>8</v>
      </c>
      <c r="C1701" t="s">
        <v>30</v>
      </c>
      <c r="D1701" t="str">
        <f>LEFT(M1701,10)</f>
        <v>11/15/2024</v>
      </c>
      <c r="E1701" t="s">
        <v>202</v>
      </c>
      <c r="F1701" t="s">
        <v>218</v>
      </c>
      <c r="G1701" t="s">
        <v>222</v>
      </c>
      <c r="I1701">
        <v>266</v>
      </c>
      <c r="J1701">
        <v>345.6</v>
      </c>
      <c r="K1701">
        <v>1.3</v>
      </c>
      <c r="M1701" t="s">
        <v>289</v>
      </c>
    </row>
    <row r="1702" spans="1:13" hidden="1">
      <c r="A1702" t="s">
        <v>115</v>
      </c>
      <c r="B1702" t="s">
        <v>8</v>
      </c>
      <c r="C1702" t="s">
        <v>30</v>
      </c>
      <c r="D1702" t="str">
        <f>LEFT(M1702,10)</f>
        <v>11/15/2024</v>
      </c>
      <c r="E1702" t="s">
        <v>202</v>
      </c>
      <c r="F1702" t="s">
        <v>218</v>
      </c>
      <c r="G1702" t="s">
        <v>220</v>
      </c>
      <c r="I1702">
        <v>1304</v>
      </c>
      <c r="J1702">
        <v>1499</v>
      </c>
      <c r="K1702">
        <v>1.1499999999999999</v>
      </c>
      <c r="M1702" t="s">
        <v>289</v>
      </c>
    </row>
    <row r="1703" spans="1:13" hidden="1">
      <c r="A1703" t="s">
        <v>115</v>
      </c>
      <c r="B1703" t="s">
        <v>8</v>
      </c>
      <c r="C1703" t="s">
        <v>30</v>
      </c>
      <c r="D1703" t="str">
        <f>LEFT(M1703,10)</f>
        <v>11/15/2024</v>
      </c>
      <c r="E1703" t="s">
        <v>202</v>
      </c>
      <c r="F1703" t="s">
        <v>218</v>
      </c>
      <c r="G1703" t="s">
        <v>223</v>
      </c>
      <c r="I1703">
        <v>1792</v>
      </c>
      <c r="J1703">
        <v>1164</v>
      </c>
      <c r="K1703">
        <v>0.65</v>
      </c>
      <c r="M1703" t="s">
        <v>289</v>
      </c>
    </row>
    <row r="1704" spans="1:13" hidden="1">
      <c r="A1704" t="s">
        <v>115</v>
      </c>
      <c r="B1704" t="s">
        <v>8</v>
      </c>
      <c r="C1704" t="s">
        <v>30</v>
      </c>
      <c r="D1704" t="str">
        <f>LEFT(M1704,10)</f>
        <v>11/15/2024</v>
      </c>
      <c r="E1704" t="s">
        <v>202</v>
      </c>
      <c r="F1704" t="s">
        <v>218</v>
      </c>
      <c r="G1704" t="s">
        <v>225</v>
      </c>
      <c r="I1704">
        <v>82</v>
      </c>
      <c r="J1704">
        <v>32.799999999999997</v>
      </c>
      <c r="K1704">
        <v>0.4</v>
      </c>
      <c r="M1704" t="s">
        <v>289</v>
      </c>
    </row>
    <row r="1705" spans="1:13" hidden="1">
      <c r="A1705" t="s">
        <v>115</v>
      </c>
      <c r="B1705" t="s">
        <v>8</v>
      </c>
      <c r="C1705" t="s">
        <v>30</v>
      </c>
      <c r="D1705" t="str">
        <f>LEFT(M1705,10)</f>
        <v>11/15/2024</v>
      </c>
      <c r="E1705" t="s">
        <v>202</v>
      </c>
      <c r="F1705" t="s">
        <v>218</v>
      </c>
      <c r="G1705" t="s">
        <v>226</v>
      </c>
      <c r="I1705">
        <v>812</v>
      </c>
      <c r="J1705">
        <v>203</v>
      </c>
      <c r="K1705">
        <v>0.25</v>
      </c>
      <c r="M1705" t="s">
        <v>289</v>
      </c>
    </row>
    <row r="1706" spans="1:13" hidden="1">
      <c r="A1706" t="s">
        <v>115</v>
      </c>
      <c r="B1706" t="s">
        <v>8</v>
      </c>
      <c r="C1706" t="s">
        <v>30</v>
      </c>
      <c r="D1706" t="str">
        <f>LEFT(M1706,10)</f>
        <v>11/15/2024</v>
      </c>
      <c r="E1706" t="s">
        <v>202</v>
      </c>
      <c r="F1706" t="s">
        <v>218</v>
      </c>
      <c r="G1706" t="s">
        <v>223</v>
      </c>
      <c r="I1706">
        <v>483</v>
      </c>
      <c r="J1706">
        <v>289.60000000000002</v>
      </c>
      <c r="K1706">
        <v>0.6</v>
      </c>
      <c r="M1706" t="s">
        <v>289</v>
      </c>
    </row>
    <row r="1707" spans="1:13" hidden="1">
      <c r="A1707" t="s">
        <v>115</v>
      </c>
      <c r="B1707" t="s">
        <v>8</v>
      </c>
      <c r="C1707" t="s">
        <v>30</v>
      </c>
      <c r="D1707" t="str">
        <f>LEFT(M1707,10)</f>
        <v>11/15/2024</v>
      </c>
      <c r="E1707" t="s">
        <v>202</v>
      </c>
      <c r="F1707" t="s">
        <v>227</v>
      </c>
      <c r="G1707" t="s">
        <v>229</v>
      </c>
      <c r="I1707">
        <v>14260</v>
      </c>
      <c r="J1707">
        <v>9269</v>
      </c>
      <c r="K1707">
        <v>0.65</v>
      </c>
      <c r="M1707" t="s">
        <v>289</v>
      </c>
    </row>
    <row r="1708" spans="1:13" hidden="1">
      <c r="A1708" t="s">
        <v>115</v>
      </c>
      <c r="B1708" t="s">
        <v>8</v>
      </c>
      <c r="C1708" t="s">
        <v>30</v>
      </c>
      <c r="D1708" t="str">
        <f>LEFT(M1708,10)</f>
        <v>11/15/2024</v>
      </c>
      <c r="E1708" t="s">
        <v>202</v>
      </c>
      <c r="F1708" t="s">
        <v>227</v>
      </c>
      <c r="G1708" t="s">
        <v>228</v>
      </c>
      <c r="I1708">
        <v>900</v>
      </c>
      <c r="J1708">
        <v>456</v>
      </c>
      <c r="K1708">
        <v>0.51</v>
      </c>
      <c r="M1708" t="s">
        <v>289</v>
      </c>
    </row>
    <row r="1709" spans="1:13" hidden="1">
      <c r="A1709" t="s">
        <v>115</v>
      </c>
      <c r="B1709" t="s">
        <v>8</v>
      </c>
      <c r="C1709" t="s">
        <v>30</v>
      </c>
      <c r="D1709" t="str">
        <f>LEFT(M1709,10)</f>
        <v>11/15/2024</v>
      </c>
      <c r="E1709" t="s">
        <v>232</v>
      </c>
      <c r="F1709" t="s">
        <v>233</v>
      </c>
      <c r="I1709">
        <v>0</v>
      </c>
      <c r="J1709">
        <v>1500</v>
      </c>
      <c r="M1709" t="s">
        <v>289</v>
      </c>
    </row>
    <row r="1710" spans="1:13" hidden="1">
      <c r="A1710" t="s">
        <v>115</v>
      </c>
      <c r="B1710" t="s">
        <v>8</v>
      </c>
      <c r="C1710" t="s">
        <v>30</v>
      </c>
      <c r="D1710" t="str">
        <f>LEFT(M1710,10)</f>
        <v>11/15/2024</v>
      </c>
      <c r="E1710" t="s">
        <v>230</v>
      </c>
      <c r="F1710" t="s">
        <v>248</v>
      </c>
      <c r="I1710">
        <v>0</v>
      </c>
      <c r="J1710">
        <v>10200</v>
      </c>
      <c r="M1710" t="s">
        <v>289</v>
      </c>
    </row>
    <row r="1711" spans="1:13" hidden="1">
      <c r="A1711" t="s">
        <v>115</v>
      </c>
      <c r="B1711" t="s">
        <v>8</v>
      </c>
      <c r="C1711" t="s">
        <v>30</v>
      </c>
      <c r="D1711" t="str">
        <f>LEFT(M1711,10)</f>
        <v>11/15/2024</v>
      </c>
      <c r="E1711" t="s">
        <v>230</v>
      </c>
      <c r="F1711" t="s">
        <v>231</v>
      </c>
      <c r="I1711">
        <v>0</v>
      </c>
      <c r="J1711">
        <v>1300</v>
      </c>
      <c r="M1711" t="s">
        <v>289</v>
      </c>
    </row>
    <row r="1712" spans="1:13" hidden="1">
      <c r="A1712" t="s">
        <v>117</v>
      </c>
      <c r="B1712" t="s">
        <v>8</v>
      </c>
      <c r="C1712" t="s">
        <v>116</v>
      </c>
      <c r="D1712" t="str">
        <f>LEFT(M1712,10)</f>
        <v>11/15/2024</v>
      </c>
      <c r="E1712" t="s">
        <v>202</v>
      </c>
      <c r="F1712" t="s">
        <v>203</v>
      </c>
      <c r="G1712" t="s">
        <v>215</v>
      </c>
      <c r="I1712">
        <v>28869</v>
      </c>
      <c r="J1712">
        <v>10422.5</v>
      </c>
      <c r="K1712">
        <v>0.36</v>
      </c>
      <c r="M1712" t="s">
        <v>289</v>
      </c>
    </row>
    <row r="1713" spans="1:13" hidden="1">
      <c r="A1713" t="s">
        <v>117</v>
      </c>
      <c r="B1713" t="s">
        <v>8</v>
      </c>
      <c r="C1713" t="s">
        <v>116</v>
      </c>
      <c r="D1713" t="str">
        <f>LEFT(M1713,10)</f>
        <v>11/15/2024</v>
      </c>
      <c r="E1713" t="s">
        <v>202</v>
      </c>
      <c r="F1713" t="s">
        <v>218</v>
      </c>
      <c r="G1713" t="s">
        <v>240</v>
      </c>
      <c r="I1713">
        <v>9268</v>
      </c>
      <c r="J1713">
        <v>22927.7</v>
      </c>
      <c r="K1713">
        <v>2.4700000000000002</v>
      </c>
      <c r="M1713" t="s">
        <v>289</v>
      </c>
    </row>
    <row r="1714" spans="1:13" hidden="1">
      <c r="A1714" t="s">
        <v>117</v>
      </c>
      <c r="B1714" t="s">
        <v>8</v>
      </c>
      <c r="C1714" t="s">
        <v>116</v>
      </c>
      <c r="D1714" t="str">
        <f>LEFT(M1714,10)</f>
        <v>11/15/2024</v>
      </c>
      <c r="E1714" t="s">
        <v>202</v>
      </c>
      <c r="F1714" t="s">
        <v>218</v>
      </c>
      <c r="G1714" t="s">
        <v>241</v>
      </c>
      <c r="I1714">
        <v>1042</v>
      </c>
      <c r="J1714">
        <v>2709.2</v>
      </c>
      <c r="K1714">
        <v>2.6</v>
      </c>
      <c r="M1714" t="s">
        <v>289</v>
      </c>
    </row>
    <row r="1715" spans="1:13" hidden="1">
      <c r="A1715" t="s">
        <v>117</v>
      </c>
      <c r="B1715" t="s">
        <v>8</v>
      </c>
      <c r="C1715" t="s">
        <v>116</v>
      </c>
      <c r="D1715" t="str">
        <f>LEFT(M1715,10)</f>
        <v>11/15/2024</v>
      </c>
      <c r="E1715" t="s">
        <v>202</v>
      </c>
      <c r="F1715" t="s">
        <v>218</v>
      </c>
      <c r="G1715" t="s">
        <v>242</v>
      </c>
      <c r="I1715">
        <v>423</v>
      </c>
      <c r="J1715">
        <v>338.4</v>
      </c>
      <c r="K1715">
        <v>0.8</v>
      </c>
      <c r="M1715" t="s">
        <v>289</v>
      </c>
    </row>
    <row r="1716" spans="1:13" hidden="1">
      <c r="A1716" t="s">
        <v>117</v>
      </c>
      <c r="B1716" t="s">
        <v>8</v>
      </c>
      <c r="C1716" t="s">
        <v>116</v>
      </c>
      <c r="D1716" t="str">
        <f>LEFT(M1716,10)</f>
        <v>11/15/2024</v>
      </c>
      <c r="E1716" t="s">
        <v>202</v>
      </c>
      <c r="F1716" t="s">
        <v>218</v>
      </c>
      <c r="G1716" t="s">
        <v>219</v>
      </c>
      <c r="I1716">
        <v>917</v>
      </c>
      <c r="J1716">
        <v>91.7</v>
      </c>
      <c r="K1716">
        <v>0.1</v>
      </c>
      <c r="M1716" t="s">
        <v>289</v>
      </c>
    </row>
    <row r="1717" spans="1:13" hidden="1">
      <c r="A1717" t="s">
        <v>117</v>
      </c>
      <c r="B1717" t="s">
        <v>8</v>
      </c>
      <c r="C1717" t="s">
        <v>116</v>
      </c>
      <c r="D1717" t="str">
        <f>LEFT(M1717,10)</f>
        <v>11/15/2024</v>
      </c>
      <c r="E1717" t="s">
        <v>202</v>
      </c>
      <c r="F1717" t="s">
        <v>218</v>
      </c>
      <c r="G1717" t="s">
        <v>266</v>
      </c>
      <c r="I1717">
        <v>111</v>
      </c>
      <c r="J1717">
        <v>1.1100000000000001</v>
      </c>
      <c r="K1717">
        <v>0.01</v>
      </c>
      <c r="M1717" t="s">
        <v>289</v>
      </c>
    </row>
    <row r="1718" spans="1:13" hidden="1">
      <c r="A1718" t="s">
        <v>117</v>
      </c>
      <c r="B1718" t="s">
        <v>8</v>
      </c>
      <c r="C1718" t="s">
        <v>116</v>
      </c>
      <c r="D1718" t="str">
        <f>LEFT(M1718,10)</f>
        <v>11/15/2024</v>
      </c>
      <c r="E1718" t="s">
        <v>202</v>
      </c>
      <c r="F1718" t="s">
        <v>218</v>
      </c>
      <c r="G1718" t="s">
        <v>243</v>
      </c>
      <c r="H1718" t="s">
        <v>411</v>
      </c>
      <c r="I1718">
        <v>175</v>
      </c>
      <c r="J1718">
        <v>35</v>
      </c>
      <c r="K1718">
        <v>0.2</v>
      </c>
      <c r="M1718" t="s">
        <v>289</v>
      </c>
    </row>
    <row r="1719" spans="1:13" hidden="1">
      <c r="A1719" t="s">
        <v>117</v>
      </c>
      <c r="B1719" t="s">
        <v>8</v>
      </c>
      <c r="C1719" t="s">
        <v>116</v>
      </c>
      <c r="D1719" t="str">
        <f>LEFT(M1719,10)</f>
        <v>11/15/2024</v>
      </c>
      <c r="E1719" t="s">
        <v>202</v>
      </c>
      <c r="F1719" t="s">
        <v>218</v>
      </c>
      <c r="G1719" t="s">
        <v>223</v>
      </c>
      <c r="I1719">
        <v>2941</v>
      </c>
      <c r="J1719">
        <v>1911.65</v>
      </c>
      <c r="K1719">
        <v>0.65</v>
      </c>
      <c r="M1719" t="s">
        <v>289</v>
      </c>
    </row>
    <row r="1720" spans="1:13" hidden="1">
      <c r="A1720" t="s">
        <v>117</v>
      </c>
      <c r="B1720" t="s">
        <v>8</v>
      </c>
      <c r="C1720" t="s">
        <v>116</v>
      </c>
      <c r="D1720" t="str">
        <f>LEFT(M1720,10)</f>
        <v>11/15/2024</v>
      </c>
      <c r="E1720" t="s">
        <v>202</v>
      </c>
      <c r="F1720" t="s">
        <v>218</v>
      </c>
      <c r="G1720" t="s">
        <v>243</v>
      </c>
      <c r="H1720" t="s">
        <v>412</v>
      </c>
      <c r="I1720">
        <v>8472</v>
      </c>
      <c r="J1720">
        <v>6777.6</v>
      </c>
      <c r="K1720">
        <v>0.8</v>
      </c>
      <c r="M1720" t="s">
        <v>289</v>
      </c>
    </row>
    <row r="1721" spans="1:13" hidden="1">
      <c r="A1721" t="s">
        <v>117</v>
      </c>
      <c r="B1721" t="s">
        <v>8</v>
      </c>
      <c r="C1721" t="s">
        <v>116</v>
      </c>
      <c r="D1721" t="str">
        <f>LEFT(M1721,10)</f>
        <v>11/15/2024</v>
      </c>
      <c r="E1721" t="s">
        <v>202</v>
      </c>
      <c r="F1721" t="s">
        <v>218</v>
      </c>
      <c r="G1721" t="s">
        <v>220</v>
      </c>
      <c r="I1721">
        <v>3265</v>
      </c>
      <c r="J1721">
        <v>4081.25</v>
      </c>
      <c r="K1721">
        <v>1.25</v>
      </c>
      <c r="M1721" t="s">
        <v>289</v>
      </c>
    </row>
    <row r="1722" spans="1:13" hidden="1">
      <c r="A1722" t="s">
        <v>117</v>
      </c>
      <c r="B1722" t="s">
        <v>8</v>
      </c>
      <c r="C1722" t="s">
        <v>116</v>
      </c>
      <c r="D1722" t="str">
        <f>LEFT(M1722,10)</f>
        <v>11/15/2024</v>
      </c>
      <c r="E1722" t="s">
        <v>202</v>
      </c>
      <c r="F1722" t="s">
        <v>218</v>
      </c>
      <c r="G1722" t="s">
        <v>222</v>
      </c>
      <c r="I1722">
        <v>7017</v>
      </c>
      <c r="J1722">
        <v>6761.9</v>
      </c>
      <c r="K1722">
        <v>0.96</v>
      </c>
      <c r="M1722" t="s">
        <v>289</v>
      </c>
    </row>
    <row r="1723" spans="1:13" hidden="1">
      <c r="A1723" t="s">
        <v>117</v>
      </c>
      <c r="B1723" t="s">
        <v>8</v>
      </c>
      <c r="C1723" t="s">
        <v>116</v>
      </c>
      <c r="D1723" t="str">
        <f>LEFT(M1723,10)</f>
        <v>11/15/2024</v>
      </c>
      <c r="E1723" t="s">
        <v>202</v>
      </c>
      <c r="F1723" t="s">
        <v>218</v>
      </c>
      <c r="G1723" t="s">
        <v>243</v>
      </c>
      <c r="H1723" t="s">
        <v>413</v>
      </c>
      <c r="I1723">
        <v>2130</v>
      </c>
      <c r="J1723">
        <v>4533.8999999999996</v>
      </c>
      <c r="K1723">
        <v>2.13</v>
      </c>
      <c r="M1723" t="s">
        <v>289</v>
      </c>
    </row>
    <row r="1724" spans="1:13" hidden="1">
      <c r="A1724" t="s">
        <v>117</v>
      </c>
      <c r="B1724" t="s">
        <v>8</v>
      </c>
      <c r="C1724" t="s">
        <v>116</v>
      </c>
      <c r="D1724" t="str">
        <f>LEFT(M1724,10)</f>
        <v>11/15/2024</v>
      </c>
      <c r="E1724" t="s">
        <v>202</v>
      </c>
      <c r="F1724" t="s">
        <v>218</v>
      </c>
      <c r="G1724" t="s">
        <v>243</v>
      </c>
      <c r="H1724" t="s">
        <v>414</v>
      </c>
      <c r="I1724">
        <v>2920</v>
      </c>
      <c r="J1724">
        <v>6191.3</v>
      </c>
      <c r="K1724">
        <v>2.12</v>
      </c>
      <c r="M1724" t="s">
        <v>289</v>
      </c>
    </row>
    <row r="1725" spans="1:13" hidden="1">
      <c r="A1725" t="s">
        <v>117</v>
      </c>
      <c r="B1725" t="s">
        <v>8</v>
      </c>
      <c r="C1725" t="s">
        <v>116</v>
      </c>
      <c r="D1725" t="str">
        <f>LEFT(M1725,10)</f>
        <v>11/15/2024</v>
      </c>
      <c r="E1725" t="s">
        <v>202</v>
      </c>
      <c r="F1725" t="s">
        <v>218</v>
      </c>
      <c r="G1725" t="s">
        <v>226</v>
      </c>
      <c r="I1725">
        <v>1495</v>
      </c>
      <c r="J1725">
        <v>299</v>
      </c>
      <c r="K1725">
        <v>0.2</v>
      </c>
      <c r="M1725" t="s">
        <v>289</v>
      </c>
    </row>
    <row r="1726" spans="1:13" hidden="1">
      <c r="A1726" t="s">
        <v>117</v>
      </c>
      <c r="B1726" t="s">
        <v>8</v>
      </c>
      <c r="C1726" t="s">
        <v>116</v>
      </c>
      <c r="D1726" t="str">
        <f>LEFT(M1726,10)</f>
        <v>11/15/2024</v>
      </c>
      <c r="E1726" t="s">
        <v>202</v>
      </c>
      <c r="F1726" t="s">
        <v>218</v>
      </c>
      <c r="G1726" t="s">
        <v>224</v>
      </c>
      <c r="I1726">
        <v>1694</v>
      </c>
      <c r="J1726">
        <v>847</v>
      </c>
      <c r="K1726">
        <v>0.5</v>
      </c>
      <c r="M1726" t="s">
        <v>289</v>
      </c>
    </row>
    <row r="1727" spans="1:13" hidden="1">
      <c r="A1727" t="s">
        <v>117</v>
      </c>
      <c r="B1727" t="s">
        <v>8</v>
      </c>
      <c r="C1727" t="s">
        <v>116</v>
      </c>
      <c r="D1727" t="str">
        <f>LEFT(M1727,10)</f>
        <v>11/15/2024</v>
      </c>
      <c r="E1727" t="s">
        <v>202</v>
      </c>
      <c r="F1727" t="s">
        <v>227</v>
      </c>
      <c r="G1727" t="s">
        <v>228</v>
      </c>
      <c r="I1727">
        <v>18243</v>
      </c>
      <c r="J1727">
        <v>2769.45</v>
      </c>
      <c r="K1727">
        <v>0.15</v>
      </c>
      <c r="M1727" t="s">
        <v>289</v>
      </c>
    </row>
    <row r="1728" spans="1:13" hidden="1">
      <c r="A1728" t="s">
        <v>117</v>
      </c>
      <c r="B1728" t="s">
        <v>8</v>
      </c>
      <c r="C1728" t="s">
        <v>116</v>
      </c>
      <c r="D1728" t="str">
        <f>LEFT(M1728,10)</f>
        <v>11/15/2024</v>
      </c>
      <c r="E1728" t="s">
        <v>202</v>
      </c>
      <c r="F1728" t="s">
        <v>227</v>
      </c>
      <c r="G1728" t="s">
        <v>252</v>
      </c>
      <c r="I1728">
        <v>2983</v>
      </c>
      <c r="J1728">
        <v>447.45</v>
      </c>
      <c r="K1728">
        <v>0.15</v>
      </c>
      <c r="M1728" t="s">
        <v>289</v>
      </c>
    </row>
    <row r="1729" spans="1:13" hidden="1">
      <c r="A1729" t="s">
        <v>117</v>
      </c>
      <c r="B1729" t="s">
        <v>8</v>
      </c>
      <c r="C1729" t="s">
        <v>116</v>
      </c>
      <c r="D1729" t="str">
        <f>LEFT(M1729,10)</f>
        <v>11/15/2024</v>
      </c>
      <c r="E1729" t="s">
        <v>202</v>
      </c>
      <c r="F1729" t="s">
        <v>227</v>
      </c>
      <c r="G1729" t="s">
        <v>229</v>
      </c>
      <c r="I1729">
        <v>45993</v>
      </c>
      <c r="J1729">
        <v>25296.15</v>
      </c>
      <c r="K1729">
        <v>0.55000000000000004</v>
      </c>
      <c r="M1729" t="s">
        <v>289</v>
      </c>
    </row>
    <row r="1730" spans="1:13" hidden="1">
      <c r="A1730" t="s">
        <v>117</v>
      </c>
      <c r="B1730" t="s">
        <v>8</v>
      </c>
      <c r="C1730" t="s">
        <v>116</v>
      </c>
      <c r="D1730" t="str">
        <f>LEFT(M1730,10)</f>
        <v>11/15/2024</v>
      </c>
      <c r="E1730" t="s">
        <v>202</v>
      </c>
      <c r="F1730" t="s">
        <v>227</v>
      </c>
      <c r="G1730" t="s">
        <v>238</v>
      </c>
      <c r="I1730">
        <v>2834</v>
      </c>
      <c r="J1730">
        <v>569.5</v>
      </c>
      <c r="K1730">
        <v>0.2</v>
      </c>
      <c r="M1730" t="s">
        <v>289</v>
      </c>
    </row>
    <row r="1731" spans="1:13" hidden="1">
      <c r="A1731" t="s">
        <v>117</v>
      </c>
      <c r="B1731" t="s">
        <v>8</v>
      </c>
      <c r="C1731" t="s">
        <v>116</v>
      </c>
      <c r="D1731" t="str">
        <f>LEFT(M1731,10)</f>
        <v>11/15/2024</v>
      </c>
      <c r="E1731" t="s">
        <v>202</v>
      </c>
      <c r="F1731" t="s">
        <v>227</v>
      </c>
      <c r="G1731" t="s">
        <v>237</v>
      </c>
      <c r="I1731">
        <v>9067</v>
      </c>
      <c r="J1731">
        <v>5131.2</v>
      </c>
      <c r="K1731">
        <v>0.56999999999999995</v>
      </c>
      <c r="M1731" t="s">
        <v>289</v>
      </c>
    </row>
    <row r="1732" spans="1:13" hidden="1">
      <c r="A1732" t="s">
        <v>117</v>
      </c>
      <c r="B1732" t="s">
        <v>8</v>
      </c>
      <c r="C1732" t="s">
        <v>116</v>
      </c>
      <c r="D1732" t="str">
        <f>LEFT(M1732,10)</f>
        <v>11/15/2024</v>
      </c>
      <c r="E1732" t="s">
        <v>202</v>
      </c>
      <c r="F1732" t="s">
        <v>216</v>
      </c>
      <c r="G1732" t="s">
        <v>217</v>
      </c>
      <c r="I1732">
        <v>7761</v>
      </c>
      <c r="J1732">
        <v>2026.6</v>
      </c>
      <c r="K1732">
        <v>0.26</v>
      </c>
      <c r="M1732" t="s">
        <v>289</v>
      </c>
    </row>
    <row r="1733" spans="1:13" hidden="1">
      <c r="A1733" t="s">
        <v>117</v>
      </c>
      <c r="B1733" t="s">
        <v>8</v>
      </c>
      <c r="C1733" t="s">
        <v>116</v>
      </c>
      <c r="D1733" t="str">
        <f>LEFT(M1733,10)</f>
        <v>11/15/2024</v>
      </c>
      <c r="E1733" t="s">
        <v>202</v>
      </c>
      <c r="F1733" t="s">
        <v>216</v>
      </c>
      <c r="G1733" t="s">
        <v>253</v>
      </c>
      <c r="I1733">
        <v>43120</v>
      </c>
      <c r="J1733">
        <v>4847.2</v>
      </c>
      <c r="K1733">
        <v>0.11</v>
      </c>
      <c r="M1733" t="s">
        <v>289</v>
      </c>
    </row>
    <row r="1734" spans="1:13" hidden="1">
      <c r="A1734" t="s">
        <v>117</v>
      </c>
      <c r="B1734" t="s">
        <v>8</v>
      </c>
      <c r="C1734" t="s">
        <v>116</v>
      </c>
      <c r="D1734" t="str">
        <f>LEFT(M1734,10)</f>
        <v>11/15/2024</v>
      </c>
      <c r="E1734" t="s">
        <v>230</v>
      </c>
      <c r="F1734" t="s">
        <v>248</v>
      </c>
      <c r="I1734">
        <v>0</v>
      </c>
      <c r="J1734">
        <v>40158</v>
      </c>
      <c r="M1734" t="s">
        <v>289</v>
      </c>
    </row>
    <row r="1735" spans="1:13" hidden="1">
      <c r="A1735" t="s">
        <v>117</v>
      </c>
      <c r="B1735" t="s">
        <v>8</v>
      </c>
      <c r="C1735" t="s">
        <v>116</v>
      </c>
      <c r="D1735" t="str">
        <f>LEFT(M1735,10)</f>
        <v>11/15/2024</v>
      </c>
      <c r="E1735" t="s">
        <v>232</v>
      </c>
      <c r="F1735" t="s">
        <v>255</v>
      </c>
      <c r="I1735">
        <v>0</v>
      </c>
      <c r="J1735">
        <v>112000</v>
      </c>
      <c r="L1735" t="s">
        <v>265</v>
      </c>
      <c r="M1735" t="s">
        <v>289</v>
      </c>
    </row>
    <row r="1736" spans="1:13" hidden="1">
      <c r="A1736" t="s">
        <v>117</v>
      </c>
      <c r="B1736" t="s">
        <v>8</v>
      </c>
      <c r="C1736" t="s">
        <v>116</v>
      </c>
      <c r="D1736" t="str">
        <f>LEFT(M1736,10)</f>
        <v>11/15/2024</v>
      </c>
      <c r="E1736" t="s">
        <v>234</v>
      </c>
      <c r="F1736" t="s">
        <v>234</v>
      </c>
      <c r="I1736">
        <v>134770</v>
      </c>
      <c r="M1736" t="s">
        <v>289</v>
      </c>
    </row>
    <row r="1737" spans="1:13" hidden="1">
      <c r="A1737" t="s">
        <v>119</v>
      </c>
      <c r="B1737" t="s">
        <v>8</v>
      </c>
      <c r="C1737" t="s">
        <v>118</v>
      </c>
      <c r="D1737" t="str">
        <f>LEFT(M1737,10)</f>
        <v>11/15/2024</v>
      </c>
      <c r="E1737" t="s">
        <v>202</v>
      </c>
      <c r="F1737" t="s">
        <v>203</v>
      </c>
      <c r="G1737" t="s">
        <v>207</v>
      </c>
      <c r="I1737">
        <v>29</v>
      </c>
      <c r="J1737">
        <v>116</v>
      </c>
      <c r="K1737">
        <v>4</v>
      </c>
      <c r="M1737" t="s">
        <v>289</v>
      </c>
    </row>
    <row r="1738" spans="1:13" hidden="1">
      <c r="A1738" t="s">
        <v>119</v>
      </c>
      <c r="B1738" t="s">
        <v>8</v>
      </c>
      <c r="C1738" t="s">
        <v>118</v>
      </c>
      <c r="D1738" t="str">
        <f>LEFT(M1738,10)</f>
        <v>11/15/2024</v>
      </c>
      <c r="E1738" t="s">
        <v>202</v>
      </c>
      <c r="F1738" t="s">
        <v>203</v>
      </c>
      <c r="G1738" t="s">
        <v>204</v>
      </c>
      <c r="I1738">
        <v>127</v>
      </c>
      <c r="J1738">
        <v>1016</v>
      </c>
      <c r="K1738">
        <v>8</v>
      </c>
      <c r="M1738" t="s">
        <v>289</v>
      </c>
    </row>
    <row r="1739" spans="1:13" hidden="1">
      <c r="A1739" t="s">
        <v>119</v>
      </c>
      <c r="B1739" t="s">
        <v>8</v>
      </c>
      <c r="C1739" t="s">
        <v>118</v>
      </c>
      <c r="D1739" t="str">
        <f>LEFT(M1739,10)</f>
        <v>11/15/2024</v>
      </c>
      <c r="E1739" t="s">
        <v>202</v>
      </c>
      <c r="F1739" t="s">
        <v>203</v>
      </c>
      <c r="G1739" t="s">
        <v>208</v>
      </c>
      <c r="I1739">
        <v>30</v>
      </c>
      <c r="J1739">
        <v>255</v>
      </c>
      <c r="K1739">
        <v>8.5</v>
      </c>
      <c r="M1739" t="s">
        <v>289</v>
      </c>
    </row>
    <row r="1740" spans="1:13" hidden="1">
      <c r="A1740" t="s">
        <v>119</v>
      </c>
      <c r="B1740" t="s">
        <v>8</v>
      </c>
      <c r="C1740" t="s">
        <v>118</v>
      </c>
      <c r="D1740" t="str">
        <f>LEFT(M1740,10)</f>
        <v>11/15/2024</v>
      </c>
      <c r="E1740" t="s">
        <v>202</v>
      </c>
      <c r="F1740" t="s">
        <v>218</v>
      </c>
      <c r="G1740" t="s">
        <v>224</v>
      </c>
      <c r="I1740">
        <v>259</v>
      </c>
      <c r="J1740">
        <v>310.8</v>
      </c>
      <c r="K1740">
        <v>1.2</v>
      </c>
      <c r="M1740" t="s">
        <v>289</v>
      </c>
    </row>
    <row r="1741" spans="1:13" hidden="1">
      <c r="A1741" t="s">
        <v>119</v>
      </c>
      <c r="B1741" t="s">
        <v>8</v>
      </c>
      <c r="C1741" t="s">
        <v>118</v>
      </c>
      <c r="D1741" t="str">
        <f>LEFT(M1741,10)</f>
        <v>11/15/2024</v>
      </c>
      <c r="E1741" t="s">
        <v>202</v>
      </c>
      <c r="F1741" t="s">
        <v>218</v>
      </c>
      <c r="G1741" t="s">
        <v>221</v>
      </c>
      <c r="I1741">
        <v>307</v>
      </c>
      <c r="J1741">
        <v>767.5</v>
      </c>
      <c r="K1741">
        <v>2.5</v>
      </c>
      <c r="M1741" t="s">
        <v>289</v>
      </c>
    </row>
    <row r="1742" spans="1:13" hidden="1">
      <c r="A1742" t="s">
        <v>119</v>
      </c>
      <c r="B1742" t="s">
        <v>8</v>
      </c>
      <c r="C1742" t="s">
        <v>118</v>
      </c>
      <c r="D1742" t="str">
        <f>LEFT(M1742,10)</f>
        <v>11/15/2024</v>
      </c>
      <c r="E1742" t="s">
        <v>202</v>
      </c>
      <c r="F1742" t="s">
        <v>218</v>
      </c>
      <c r="G1742" t="s">
        <v>220</v>
      </c>
      <c r="I1742">
        <v>478</v>
      </c>
      <c r="J1742">
        <v>740.9</v>
      </c>
      <c r="K1742">
        <v>1.55</v>
      </c>
      <c r="M1742" t="s">
        <v>289</v>
      </c>
    </row>
    <row r="1743" spans="1:13" hidden="1">
      <c r="A1743" t="s">
        <v>119</v>
      </c>
      <c r="B1743" t="s">
        <v>8</v>
      </c>
      <c r="C1743" t="s">
        <v>118</v>
      </c>
      <c r="D1743" t="str">
        <f>LEFT(M1743,10)</f>
        <v>11/15/2024</v>
      </c>
      <c r="E1743" t="s">
        <v>202</v>
      </c>
      <c r="F1743" t="s">
        <v>218</v>
      </c>
      <c r="G1743" t="s">
        <v>247</v>
      </c>
      <c r="I1743">
        <v>111</v>
      </c>
      <c r="J1743">
        <v>444</v>
      </c>
      <c r="K1743">
        <v>4</v>
      </c>
      <c r="M1743" t="s">
        <v>289</v>
      </c>
    </row>
    <row r="1744" spans="1:13" hidden="1">
      <c r="A1744" t="s">
        <v>119</v>
      </c>
      <c r="B1744" t="s">
        <v>8</v>
      </c>
      <c r="C1744" t="s">
        <v>118</v>
      </c>
      <c r="D1744" t="str">
        <f>LEFT(M1744,10)</f>
        <v>11/15/2024</v>
      </c>
      <c r="E1744" t="s">
        <v>202</v>
      </c>
      <c r="F1744" t="s">
        <v>218</v>
      </c>
      <c r="G1744" t="s">
        <v>223</v>
      </c>
      <c r="I1744">
        <v>957</v>
      </c>
      <c r="J1744">
        <v>861.3</v>
      </c>
      <c r="K1744">
        <v>0.9</v>
      </c>
      <c r="M1744" t="s">
        <v>289</v>
      </c>
    </row>
    <row r="1745" spans="1:13" hidden="1">
      <c r="A1745" t="s">
        <v>119</v>
      </c>
      <c r="B1745" t="s">
        <v>8</v>
      </c>
      <c r="C1745" t="s">
        <v>118</v>
      </c>
      <c r="D1745" t="str">
        <f>LEFT(M1745,10)</f>
        <v>11/15/2024</v>
      </c>
      <c r="E1745" t="s">
        <v>202</v>
      </c>
      <c r="F1745" t="s">
        <v>218</v>
      </c>
      <c r="G1745" t="s">
        <v>223</v>
      </c>
      <c r="I1745">
        <v>211</v>
      </c>
      <c r="J1745">
        <v>168.8</v>
      </c>
      <c r="K1745">
        <v>0.8</v>
      </c>
      <c r="M1745" t="s">
        <v>289</v>
      </c>
    </row>
    <row r="1746" spans="1:13" hidden="1">
      <c r="A1746" t="s">
        <v>119</v>
      </c>
      <c r="B1746" t="s">
        <v>8</v>
      </c>
      <c r="C1746" t="s">
        <v>118</v>
      </c>
      <c r="D1746" t="str">
        <f>LEFT(M1746,10)</f>
        <v>11/15/2024</v>
      </c>
      <c r="E1746" t="s">
        <v>202</v>
      </c>
      <c r="F1746" t="s">
        <v>218</v>
      </c>
      <c r="G1746" t="s">
        <v>241</v>
      </c>
      <c r="I1746">
        <v>47</v>
      </c>
      <c r="J1746">
        <v>202.1</v>
      </c>
      <c r="K1746">
        <v>4.3</v>
      </c>
      <c r="M1746" t="s">
        <v>289</v>
      </c>
    </row>
    <row r="1747" spans="1:13" hidden="1">
      <c r="A1747" t="s">
        <v>119</v>
      </c>
      <c r="B1747" t="s">
        <v>8</v>
      </c>
      <c r="C1747" t="s">
        <v>118</v>
      </c>
      <c r="D1747" t="str">
        <f>LEFT(M1747,10)</f>
        <v>11/15/2024</v>
      </c>
      <c r="E1747" t="s">
        <v>202</v>
      </c>
      <c r="F1747" t="s">
        <v>218</v>
      </c>
      <c r="G1747" t="s">
        <v>240</v>
      </c>
      <c r="I1747">
        <v>543</v>
      </c>
      <c r="J1747">
        <v>2334.9</v>
      </c>
      <c r="K1747">
        <v>4.3</v>
      </c>
      <c r="M1747" t="s">
        <v>289</v>
      </c>
    </row>
    <row r="1748" spans="1:13" hidden="1">
      <c r="A1748" t="s">
        <v>119</v>
      </c>
      <c r="B1748" t="s">
        <v>8</v>
      </c>
      <c r="C1748" t="s">
        <v>118</v>
      </c>
      <c r="D1748" t="str">
        <f>LEFT(M1748,10)</f>
        <v>11/15/2024</v>
      </c>
      <c r="E1748" t="s">
        <v>202</v>
      </c>
      <c r="F1748" t="s">
        <v>218</v>
      </c>
      <c r="G1748" t="s">
        <v>242</v>
      </c>
      <c r="I1748">
        <v>51</v>
      </c>
      <c r="J1748">
        <v>61.2</v>
      </c>
      <c r="K1748">
        <v>1.2</v>
      </c>
      <c r="M1748" t="s">
        <v>289</v>
      </c>
    </row>
    <row r="1749" spans="1:13" hidden="1">
      <c r="A1749" t="s">
        <v>119</v>
      </c>
      <c r="B1749" t="s">
        <v>8</v>
      </c>
      <c r="C1749" t="s">
        <v>118</v>
      </c>
      <c r="D1749" t="str">
        <f>LEFT(M1749,10)</f>
        <v>11/15/2024</v>
      </c>
      <c r="E1749" t="s">
        <v>202</v>
      </c>
      <c r="F1749" t="s">
        <v>218</v>
      </c>
      <c r="G1749" t="s">
        <v>222</v>
      </c>
      <c r="I1749">
        <v>447</v>
      </c>
      <c r="J1749">
        <v>625.79999999999995</v>
      </c>
      <c r="K1749">
        <v>1.4</v>
      </c>
      <c r="M1749" t="s">
        <v>289</v>
      </c>
    </row>
    <row r="1750" spans="1:13" hidden="1">
      <c r="A1750" t="s">
        <v>119</v>
      </c>
      <c r="B1750" t="s">
        <v>8</v>
      </c>
      <c r="C1750" t="s">
        <v>118</v>
      </c>
      <c r="D1750" t="str">
        <f>LEFT(M1750,10)</f>
        <v>11/15/2024</v>
      </c>
      <c r="E1750" t="s">
        <v>202</v>
      </c>
      <c r="F1750" t="s">
        <v>218</v>
      </c>
      <c r="G1750" t="s">
        <v>222</v>
      </c>
      <c r="I1750">
        <v>614</v>
      </c>
      <c r="J1750">
        <v>859.6</v>
      </c>
      <c r="K1750">
        <v>1.4</v>
      </c>
      <c r="M1750" t="s">
        <v>289</v>
      </c>
    </row>
    <row r="1751" spans="1:13" hidden="1">
      <c r="A1751" t="s">
        <v>119</v>
      </c>
      <c r="B1751" t="s">
        <v>8</v>
      </c>
      <c r="C1751" t="s">
        <v>118</v>
      </c>
      <c r="D1751" t="str">
        <f>LEFT(M1751,10)</f>
        <v>11/15/2024</v>
      </c>
      <c r="E1751" t="s">
        <v>202</v>
      </c>
      <c r="F1751" t="s">
        <v>218</v>
      </c>
      <c r="G1751" t="s">
        <v>226</v>
      </c>
      <c r="I1751">
        <v>1026</v>
      </c>
      <c r="J1751">
        <v>307.8</v>
      </c>
      <c r="K1751">
        <v>0.3</v>
      </c>
      <c r="M1751" t="s">
        <v>289</v>
      </c>
    </row>
    <row r="1752" spans="1:13" hidden="1">
      <c r="A1752" t="s">
        <v>119</v>
      </c>
      <c r="B1752" t="s">
        <v>8</v>
      </c>
      <c r="C1752" t="s">
        <v>118</v>
      </c>
      <c r="D1752" t="str">
        <f>LEFT(M1752,10)</f>
        <v>11/15/2024</v>
      </c>
      <c r="E1752" t="s">
        <v>202</v>
      </c>
      <c r="F1752" t="s">
        <v>218</v>
      </c>
      <c r="G1752" t="s">
        <v>243</v>
      </c>
      <c r="H1752" t="s">
        <v>415</v>
      </c>
      <c r="I1752">
        <v>70</v>
      </c>
      <c r="J1752">
        <v>140</v>
      </c>
      <c r="K1752">
        <v>2</v>
      </c>
      <c r="M1752" t="s">
        <v>289</v>
      </c>
    </row>
    <row r="1753" spans="1:13" hidden="1">
      <c r="A1753" t="s">
        <v>119</v>
      </c>
      <c r="B1753" t="s">
        <v>8</v>
      </c>
      <c r="C1753" t="s">
        <v>118</v>
      </c>
      <c r="D1753" t="str">
        <f>LEFT(M1753,10)</f>
        <v>11/15/2024</v>
      </c>
      <c r="E1753" t="s">
        <v>202</v>
      </c>
      <c r="F1753" t="s">
        <v>227</v>
      </c>
      <c r="G1753" t="s">
        <v>237</v>
      </c>
      <c r="I1753">
        <v>354</v>
      </c>
      <c r="J1753">
        <v>230.1</v>
      </c>
      <c r="K1753">
        <v>0.65</v>
      </c>
      <c r="M1753" t="s">
        <v>289</v>
      </c>
    </row>
    <row r="1754" spans="1:13" hidden="1">
      <c r="A1754" t="s">
        <v>119</v>
      </c>
      <c r="B1754" t="s">
        <v>8</v>
      </c>
      <c r="C1754" t="s">
        <v>118</v>
      </c>
      <c r="D1754" t="str">
        <f>LEFT(M1754,10)</f>
        <v>11/15/2024</v>
      </c>
      <c r="E1754" t="s">
        <v>202</v>
      </c>
      <c r="F1754" t="s">
        <v>227</v>
      </c>
      <c r="G1754" t="s">
        <v>228</v>
      </c>
      <c r="I1754">
        <v>1240</v>
      </c>
      <c r="J1754">
        <v>496</v>
      </c>
      <c r="K1754">
        <v>0.4</v>
      </c>
      <c r="M1754" t="s">
        <v>289</v>
      </c>
    </row>
    <row r="1755" spans="1:13" hidden="1">
      <c r="A1755" t="s">
        <v>119</v>
      </c>
      <c r="B1755" t="s">
        <v>8</v>
      </c>
      <c r="C1755" t="s">
        <v>118</v>
      </c>
      <c r="D1755" t="str">
        <f>LEFT(M1755,10)</f>
        <v>11/15/2024</v>
      </c>
      <c r="E1755" t="s">
        <v>202</v>
      </c>
      <c r="F1755" t="s">
        <v>227</v>
      </c>
      <c r="G1755" t="s">
        <v>229</v>
      </c>
      <c r="I1755">
        <v>3358</v>
      </c>
      <c r="J1755">
        <v>2518.5</v>
      </c>
      <c r="K1755">
        <v>0.75</v>
      </c>
      <c r="M1755" t="s">
        <v>289</v>
      </c>
    </row>
    <row r="1756" spans="1:13" hidden="1">
      <c r="A1756" t="s">
        <v>119</v>
      </c>
      <c r="B1756" t="s">
        <v>8</v>
      </c>
      <c r="C1756" t="s">
        <v>118</v>
      </c>
      <c r="D1756" t="str">
        <f>LEFT(M1756,10)</f>
        <v>11/15/2024</v>
      </c>
      <c r="E1756" t="s">
        <v>202</v>
      </c>
      <c r="F1756" t="s">
        <v>227</v>
      </c>
      <c r="G1756" t="s">
        <v>238</v>
      </c>
      <c r="I1756">
        <v>566</v>
      </c>
      <c r="J1756">
        <v>226.4</v>
      </c>
      <c r="K1756">
        <v>0.4</v>
      </c>
      <c r="M1756" t="s">
        <v>289</v>
      </c>
    </row>
    <row r="1757" spans="1:13" hidden="1">
      <c r="A1757" t="s">
        <v>119</v>
      </c>
      <c r="B1757" t="s">
        <v>8</v>
      </c>
      <c r="C1757" t="s">
        <v>118</v>
      </c>
      <c r="D1757" t="str">
        <f>LEFT(M1757,10)</f>
        <v>11/15/2024</v>
      </c>
      <c r="E1757" t="s">
        <v>202</v>
      </c>
      <c r="F1757" t="s">
        <v>227</v>
      </c>
      <c r="G1757" t="s">
        <v>252</v>
      </c>
      <c r="I1757">
        <v>213</v>
      </c>
      <c r="J1757">
        <v>63.9</v>
      </c>
      <c r="K1757">
        <v>0.3</v>
      </c>
      <c r="M1757" t="s">
        <v>289</v>
      </c>
    </row>
    <row r="1758" spans="1:13" hidden="1">
      <c r="A1758" t="s">
        <v>119</v>
      </c>
      <c r="B1758" t="s">
        <v>8</v>
      </c>
      <c r="C1758" t="s">
        <v>118</v>
      </c>
      <c r="D1758" t="str">
        <f>LEFT(M1758,10)</f>
        <v>11/15/2024</v>
      </c>
      <c r="E1758" t="s">
        <v>202</v>
      </c>
      <c r="F1758" t="s">
        <v>209</v>
      </c>
      <c r="G1758" t="s">
        <v>214</v>
      </c>
      <c r="I1758">
        <v>3000</v>
      </c>
      <c r="J1758">
        <v>3000</v>
      </c>
      <c r="K1758">
        <v>1</v>
      </c>
      <c r="M1758" t="s">
        <v>289</v>
      </c>
    </row>
    <row r="1759" spans="1:13" hidden="1">
      <c r="A1759" t="s">
        <v>119</v>
      </c>
      <c r="B1759" t="s">
        <v>8</v>
      </c>
      <c r="C1759" t="s">
        <v>118</v>
      </c>
      <c r="D1759" t="str">
        <f>LEFT(M1759,10)</f>
        <v>11/15/2024</v>
      </c>
      <c r="E1759" t="s">
        <v>202</v>
      </c>
      <c r="F1759" t="s">
        <v>203</v>
      </c>
      <c r="G1759" t="s">
        <v>236</v>
      </c>
      <c r="I1759">
        <v>1090</v>
      </c>
      <c r="J1759">
        <v>872</v>
      </c>
      <c r="K1759">
        <v>0.8</v>
      </c>
      <c r="M1759" t="s">
        <v>289</v>
      </c>
    </row>
    <row r="1760" spans="1:13" hidden="1">
      <c r="A1760" t="s">
        <v>119</v>
      </c>
      <c r="B1760" t="s">
        <v>8</v>
      </c>
      <c r="C1760" t="s">
        <v>118</v>
      </c>
      <c r="D1760" t="str">
        <f>LEFT(M1760,10)</f>
        <v>11/15/2024</v>
      </c>
      <c r="E1760" t="s">
        <v>202</v>
      </c>
      <c r="F1760" t="s">
        <v>216</v>
      </c>
      <c r="G1760" t="s">
        <v>253</v>
      </c>
      <c r="I1760">
        <v>1920</v>
      </c>
      <c r="J1760">
        <v>288</v>
      </c>
      <c r="K1760">
        <v>0.15</v>
      </c>
      <c r="M1760" t="s">
        <v>289</v>
      </c>
    </row>
    <row r="1761" spans="1:13" hidden="1">
      <c r="A1761" t="s">
        <v>119</v>
      </c>
      <c r="B1761" t="s">
        <v>8</v>
      </c>
      <c r="C1761" t="s">
        <v>118</v>
      </c>
      <c r="D1761" t="str">
        <f>LEFT(M1761,10)</f>
        <v>11/15/2024</v>
      </c>
      <c r="E1761" t="s">
        <v>230</v>
      </c>
      <c r="F1761" t="s">
        <v>248</v>
      </c>
      <c r="I1761">
        <v>0</v>
      </c>
      <c r="J1761">
        <v>16906.599999999999</v>
      </c>
      <c r="M1761" t="s">
        <v>289</v>
      </c>
    </row>
    <row r="1762" spans="1:13" hidden="1">
      <c r="A1762" t="s">
        <v>119</v>
      </c>
      <c r="B1762" t="s">
        <v>8</v>
      </c>
      <c r="C1762" t="s">
        <v>118</v>
      </c>
      <c r="D1762" t="str">
        <f>LEFT(M1762,10)</f>
        <v>11/15/2024</v>
      </c>
      <c r="E1762" t="s">
        <v>232</v>
      </c>
      <c r="F1762" t="s">
        <v>262</v>
      </c>
      <c r="I1762">
        <v>0</v>
      </c>
      <c r="J1762">
        <v>350</v>
      </c>
      <c r="M1762" t="s">
        <v>289</v>
      </c>
    </row>
    <row r="1763" spans="1:13" hidden="1">
      <c r="A1763" t="s">
        <v>119</v>
      </c>
      <c r="B1763" t="s">
        <v>8</v>
      </c>
      <c r="C1763" t="s">
        <v>118</v>
      </c>
      <c r="D1763" t="str">
        <f>LEFT(M1763,10)</f>
        <v>11/15/2024</v>
      </c>
      <c r="E1763" t="s">
        <v>232</v>
      </c>
      <c r="F1763" t="s">
        <v>272</v>
      </c>
      <c r="I1763">
        <v>0</v>
      </c>
      <c r="J1763">
        <v>900</v>
      </c>
      <c r="M1763" t="s">
        <v>289</v>
      </c>
    </row>
    <row r="1764" spans="1:13" hidden="1">
      <c r="A1764" t="s">
        <v>119</v>
      </c>
      <c r="B1764" t="s">
        <v>8</v>
      </c>
      <c r="C1764" t="s">
        <v>118</v>
      </c>
      <c r="D1764" t="str">
        <f>LEFT(M1764,10)</f>
        <v>11/15/2024</v>
      </c>
      <c r="E1764" t="s">
        <v>232</v>
      </c>
      <c r="F1764" t="s">
        <v>290</v>
      </c>
      <c r="I1764">
        <v>0</v>
      </c>
      <c r="J1764">
        <v>100</v>
      </c>
      <c r="M1764" t="s">
        <v>289</v>
      </c>
    </row>
    <row r="1765" spans="1:13" hidden="1">
      <c r="A1765" t="s">
        <v>119</v>
      </c>
      <c r="B1765" t="s">
        <v>8</v>
      </c>
      <c r="C1765" t="s">
        <v>118</v>
      </c>
      <c r="D1765" t="str">
        <f>LEFT(M1765,10)</f>
        <v>11/15/2024</v>
      </c>
      <c r="E1765" t="s">
        <v>232</v>
      </c>
      <c r="F1765" t="s">
        <v>255</v>
      </c>
      <c r="I1765">
        <v>0</v>
      </c>
      <c r="J1765">
        <v>325</v>
      </c>
      <c r="L1765" t="s">
        <v>416</v>
      </c>
      <c r="M1765" t="s">
        <v>289</v>
      </c>
    </row>
    <row r="1766" spans="1:13" hidden="1">
      <c r="A1766" t="s">
        <v>119</v>
      </c>
      <c r="B1766" t="s">
        <v>8</v>
      </c>
      <c r="C1766" t="s">
        <v>118</v>
      </c>
      <c r="D1766" t="str">
        <f>LEFT(M1766,10)</f>
        <v>11/15/2024</v>
      </c>
      <c r="E1766" t="s">
        <v>232</v>
      </c>
      <c r="F1766" t="s">
        <v>255</v>
      </c>
      <c r="I1766">
        <v>0</v>
      </c>
      <c r="J1766">
        <v>1395</v>
      </c>
      <c r="L1766" t="s">
        <v>316</v>
      </c>
      <c r="M1766" t="s">
        <v>289</v>
      </c>
    </row>
    <row r="1767" spans="1:13" hidden="1">
      <c r="A1767" t="s">
        <v>121</v>
      </c>
      <c r="B1767" t="s">
        <v>75</v>
      </c>
      <c r="C1767" t="s">
        <v>60</v>
      </c>
      <c r="D1767" t="str">
        <f>LEFT(M1767,10)</f>
        <v>11/15/2024</v>
      </c>
      <c r="E1767" t="s">
        <v>232</v>
      </c>
      <c r="F1767" t="s">
        <v>262</v>
      </c>
      <c r="I1767">
        <v>0</v>
      </c>
      <c r="J1767">
        <v>1000</v>
      </c>
      <c r="M1767" t="s">
        <v>289</v>
      </c>
    </row>
    <row r="1768" spans="1:13" hidden="1">
      <c r="A1768" t="s">
        <v>124</v>
      </c>
      <c r="B1768" t="s">
        <v>8</v>
      </c>
      <c r="C1768" t="s">
        <v>123</v>
      </c>
      <c r="D1768" t="str">
        <f>LEFT(M1768,10)</f>
        <v>11/15/2024</v>
      </c>
      <c r="E1768" t="s">
        <v>202</v>
      </c>
      <c r="F1768" t="s">
        <v>227</v>
      </c>
      <c r="G1768" t="s">
        <v>237</v>
      </c>
      <c r="I1768">
        <v>300</v>
      </c>
      <c r="J1768">
        <v>180</v>
      </c>
      <c r="K1768">
        <v>0.6</v>
      </c>
      <c r="M1768" t="s">
        <v>289</v>
      </c>
    </row>
    <row r="1769" spans="1:13" hidden="1">
      <c r="A1769" t="s">
        <v>124</v>
      </c>
      <c r="B1769" t="s">
        <v>8</v>
      </c>
      <c r="C1769" t="s">
        <v>123</v>
      </c>
      <c r="D1769" t="str">
        <f>LEFT(M1769,10)</f>
        <v>11/15/2024</v>
      </c>
      <c r="E1769" t="s">
        <v>202</v>
      </c>
      <c r="F1769" t="s">
        <v>227</v>
      </c>
      <c r="G1769" t="s">
        <v>228</v>
      </c>
      <c r="I1769">
        <v>809</v>
      </c>
      <c r="J1769">
        <v>323.60000000000002</v>
      </c>
      <c r="K1769">
        <v>0.4</v>
      </c>
      <c r="M1769" t="s">
        <v>289</v>
      </c>
    </row>
    <row r="1770" spans="1:13" hidden="1">
      <c r="A1770" t="s">
        <v>124</v>
      </c>
      <c r="B1770" t="s">
        <v>8</v>
      </c>
      <c r="C1770" t="s">
        <v>123</v>
      </c>
      <c r="D1770" t="str">
        <f>LEFT(M1770,10)</f>
        <v>11/15/2024</v>
      </c>
      <c r="E1770" t="s">
        <v>202</v>
      </c>
      <c r="F1770" t="s">
        <v>227</v>
      </c>
      <c r="G1770" t="s">
        <v>229</v>
      </c>
      <c r="I1770">
        <v>4630</v>
      </c>
      <c r="J1770">
        <v>3472.5</v>
      </c>
      <c r="K1770">
        <v>0.75</v>
      </c>
      <c r="M1770" t="s">
        <v>289</v>
      </c>
    </row>
    <row r="1771" spans="1:13" hidden="1">
      <c r="A1771" t="s">
        <v>124</v>
      </c>
      <c r="B1771" t="s">
        <v>8</v>
      </c>
      <c r="C1771" t="s">
        <v>123</v>
      </c>
      <c r="D1771" t="str">
        <f>LEFT(M1771,10)</f>
        <v>11/15/2024</v>
      </c>
      <c r="E1771" t="s">
        <v>202</v>
      </c>
      <c r="F1771" t="s">
        <v>227</v>
      </c>
      <c r="G1771" t="s">
        <v>238</v>
      </c>
      <c r="I1771">
        <v>481</v>
      </c>
      <c r="J1771">
        <v>192.4</v>
      </c>
      <c r="K1771">
        <v>0.4</v>
      </c>
      <c r="M1771" t="s">
        <v>289</v>
      </c>
    </row>
    <row r="1772" spans="1:13" hidden="1">
      <c r="A1772" t="s">
        <v>124</v>
      </c>
      <c r="B1772" t="s">
        <v>8</v>
      </c>
      <c r="C1772" t="s">
        <v>123</v>
      </c>
      <c r="D1772" t="str">
        <f>LEFT(M1772,10)</f>
        <v>11/15/2024</v>
      </c>
      <c r="E1772" t="s">
        <v>202</v>
      </c>
      <c r="F1772" t="s">
        <v>227</v>
      </c>
      <c r="G1772" t="s">
        <v>252</v>
      </c>
      <c r="I1772">
        <v>258</v>
      </c>
      <c r="J1772">
        <v>103.2</v>
      </c>
      <c r="K1772">
        <v>0.4</v>
      </c>
      <c r="M1772" t="s">
        <v>289</v>
      </c>
    </row>
    <row r="1773" spans="1:13" hidden="1">
      <c r="A1773" t="s">
        <v>124</v>
      </c>
      <c r="B1773" t="s">
        <v>8</v>
      </c>
      <c r="C1773" t="s">
        <v>123</v>
      </c>
      <c r="D1773" t="str">
        <f>LEFT(M1773,10)</f>
        <v>11/15/2024</v>
      </c>
      <c r="E1773" t="s">
        <v>202</v>
      </c>
      <c r="F1773" t="s">
        <v>218</v>
      </c>
      <c r="G1773" t="s">
        <v>224</v>
      </c>
      <c r="I1773">
        <v>117</v>
      </c>
      <c r="J1773">
        <v>117</v>
      </c>
      <c r="K1773">
        <v>1</v>
      </c>
      <c r="M1773" t="s">
        <v>289</v>
      </c>
    </row>
    <row r="1774" spans="1:13" hidden="1">
      <c r="A1774" t="s">
        <v>124</v>
      </c>
      <c r="B1774" t="s">
        <v>8</v>
      </c>
      <c r="C1774" t="s">
        <v>123</v>
      </c>
      <c r="D1774" t="str">
        <f>LEFT(M1774,10)</f>
        <v>11/15/2024</v>
      </c>
      <c r="E1774" t="s">
        <v>202</v>
      </c>
      <c r="F1774" t="s">
        <v>218</v>
      </c>
      <c r="G1774" t="s">
        <v>221</v>
      </c>
      <c r="I1774">
        <v>194</v>
      </c>
      <c r="J1774">
        <v>494.7</v>
      </c>
      <c r="K1774">
        <v>2.5499999999999998</v>
      </c>
      <c r="M1774" t="s">
        <v>289</v>
      </c>
    </row>
    <row r="1775" spans="1:13" hidden="1">
      <c r="A1775" t="s">
        <v>124</v>
      </c>
      <c r="B1775" t="s">
        <v>8</v>
      </c>
      <c r="C1775" t="s">
        <v>123</v>
      </c>
      <c r="D1775" t="str">
        <f>LEFT(M1775,10)</f>
        <v>11/15/2024</v>
      </c>
      <c r="E1775" t="s">
        <v>202</v>
      </c>
      <c r="F1775" t="s">
        <v>218</v>
      </c>
      <c r="G1775" t="s">
        <v>220</v>
      </c>
      <c r="I1775">
        <v>421</v>
      </c>
      <c r="J1775">
        <v>631.5</v>
      </c>
      <c r="K1775">
        <v>1.5</v>
      </c>
      <c r="M1775" t="s">
        <v>289</v>
      </c>
    </row>
    <row r="1776" spans="1:13" hidden="1">
      <c r="A1776" t="s">
        <v>124</v>
      </c>
      <c r="B1776" t="s">
        <v>8</v>
      </c>
      <c r="C1776" t="s">
        <v>123</v>
      </c>
      <c r="D1776" t="str">
        <f>LEFT(M1776,10)</f>
        <v>11/15/2024</v>
      </c>
      <c r="E1776" t="s">
        <v>202</v>
      </c>
      <c r="F1776" t="s">
        <v>218</v>
      </c>
      <c r="G1776" t="s">
        <v>223</v>
      </c>
      <c r="I1776">
        <v>1231</v>
      </c>
      <c r="J1776">
        <v>984.8</v>
      </c>
      <c r="K1776">
        <v>0.8</v>
      </c>
      <c r="M1776" t="s">
        <v>289</v>
      </c>
    </row>
    <row r="1777" spans="1:13" hidden="1">
      <c r="A1777" t="s">
        <v>124</v>
      </c>
      <c r="B1777" t="s">
        <v>8</v>
      </c>
      <c r="C1777" t="s">
        <v>123</v>
      </c>
      <c r="D1777" t="str">
        <f>LEFT(M1777,10)</f>
        <v>11/15/2024</v>
      </c>
      <c r="E1777" t="s">
        <v>202</v>
      </c>
      <c r="F1777" t="s">
        <v>218</v>
      </c>
      <c r="G1777" t="s">
        <v>240</v>
      </c>
      <c r="I1777">
        <v>745</v>
      </c>
      <c r="J1777">
        <v>3389.75</v>
      </c>
      <c r="K1777">
        <v>4.55</v>
      </c>
      <c r="M1777" t="s">
        <v>289</v>
      </c>
    </row>
    <row r="1778" spans="1:13" hidden="1">
      <c r="A1778" t="s">
        <v>124</v>
      </c>
      <c r="B1778" t="s">
        <v>8</v>
      </c>
      <c r="C1778" t="s">
        <v>123</v>
      </c>
      <c r="D1778" t="str">
        <f>LEFT(M1778,10)</f>
        <v>11/15/2024</v>
      </c>
      <c r="E1778" t="s">
        <v>202</v>
      </c>
      <c r="F1778" t="s">
        <v>218</v>
      </c>
      <c r="G1778" t="s">
        <v>242</v>
      </c>
      <c r="I1778">
        <v>88</v>
      </c>
      <c r="J1778">
        <v>96.8</v>
      </c>
      <c r="K1778">
        <v>1.1000000000000001</v>
      </c>
      <c r="M1778" t="s">
        <v>289</v>
      </c>
    </row>
    <row r="1779" spans="1:13" hidden="1">
      <c r="A1779" t="s">
        <v>124</v>
      </c>
      <c r="B1779" t="s">
        <v>8</v>
      </c>
      <c r="C1779" t="s">
        <v>123</v>
      </c>
      <c r="D1779" t="str">
        <f>LEFT(M1779,10)</f>
        <v>11/15/2024</v>
      </c>
      <c r="E1779" t="s">
        <v>202</v>
      </c>
      <c r="F1779" t="s">
        <v>218</v>
      </c>
      <c r="G1779" t="s">
        <v>219</v>
      </c>
      <c r="I1779">
        <v>82</v>
      </c>
      <c r="J1779">
        <v>16.399999999999999</v>
      </c>
      <c r="K1779">
        <v>0.2</v>
      </c>
      <c r="M1779" t="s">
        <v>289</v>
      </c>
    </row>
    <row r="1780" spans="1:13" hidden="1">
      <c r="A1780" t="s">
        <v>124</v>
      </c>
      <c r="B1780" t="s">
        <v>8</v>
      </c>
      <c r="C1780" t="s">
        <v>123</v>
      </c>
      <c r="D1780" t="str">
        <f>LEFT(M1780,10)</f>
        <v>11/15/2024</v>
      </c>
      <c r="E1780" t="s">
        <v>202</v>
      </c>
      <c r="F1780" t="s">
        <v>218</v>
      </c>
      <c r="G1780" t="s">
        <v>222</v>
      </c>
      <c r="I1780">
        <v>314</v>
      </c>
      <c r="J1780">
        <v>565.20000000000005</v>
      </c>
      <c r="K1780">
        <v>1.8</v>
      </c>
      <c r="M1780" t="s">
        <v>289</v>
      </c>
    </row>
    <row r="1781" spans="1:13" hidden="1">
      <c r="A1781" t="s">
        <v>124</v>
      </c>
      <c r="B1781" t="s">
        <v>8</v>
      </c>
      <c r="C1781" t="s">
        <v>123</v>
      </c>
      <c r="D1781" t="str">
        <f>LEFT(M1781,10)</f>
        <v>11/15/2024</v>
      </c>
      <c r="E1781" t="s">
        <v>202</v>
      </c>
      <c r="F1781" t="s">
        <v>218</v>
      </c>
      <c r="G1781" t="s">
        <v>268</v>
      </c>
      <c r="I1781">
        <v>51</v>
      </c>
      <c r="J1781">
        <v>40.799999999999997</v>
      </c>
      <c r="K1781">
        <v>0.8</v>
      </c>
      <c r="M1781" t="s">
        <v>289</v>
      </c>
    </row>
    <row r="1782" spans="1:13" hidden="1">
      <c r="A1782" t="s">
        <v>124</v>
      </c>
      <c r="B1782" t="s">
        <v>8</v>
      </c>
      <c r="C1782" t="s">
        <v>123</v>
      </c>
      <c r="D1782" t="str">
        <f>LEFT(M1782,10)</f>
        <v>11/15/2024</v>
      </c>
      <c r="E1782" t="s">
        <v>202</v>
      </c>
      <c r="F1782" t="s">
        <v>218</v>
      </c>
      <c r="G1782" t="s">
        <v>224</v>
      </c>
      <c r="I1782">
        <v>342</v>
      </c>
      <c r="J1782">
        <v>68.400000000000006</v>
      </c>
      <c r="K1782">
        <v>0.2</v>
      </c>
      <c r="M1782" t="s">
        <v>289</v>
      </c>
    </row>
    <row r="1783" spans="1:13" hidden="1">
      <c r="A1783" t="s">
        <v>124</v>
      </c>
      <c r="B1783" t="s">
        <v>8</v>
      </c>
      <c r="C1783" t="s">
        <v>123</v>
      </c>
      <c r="D1783" t="str">
        <f>LEFT(M1783,10)</f>
        <v>11/15/2024</v>
      </c>
      <c r="E1783" t="s">
        <v>202</v>
      </c>
      <c r="F1783" t="s">
        <v>218</v>
      </c>
      <c r="G1783" t="s">
        <v>243</v>
      </c>
      <c r="H1783" t="s">
        <v>417</v>
      </c>
      <c r="I1783">
        <v>103</v>
      </c>
      <c r="J1783">
        <v>51.5</v>
      </c>
      <c r="K1783">
        <v>0.5</v>
      </c>
      <c r="M1783" t="s">
        <v>289</v>
      </c>
    </row>
    <row r="1784" spans="1:13" hidden="1">
      <c r="A1784" t="s">
        <v>124</v>
      </c>
      <c r="B1784" t="s">
        <v>8</v>
      </c>
      <c r="C1784" t="s">
        <v>123</v>
      </c>
      <c r="D1784" t="str">
        <f>LEFT(M1784,10)</f>
        <v>11/15/2024</v>
      </c>
      <c r="E1784" t="s">
        <v>202</v>
      </c>
      <c r="F1784" t="s">
        <v>218</v>
      </c>
      <c r="G1784" t="s">
        <v>243</v>
      </c>
      <c r="H1784" t="s">
        <v>299</v>
      </c>
      <c r="I1784">
        <v>842</v>
      </c>
      <c r="J1784">
        <v>1305.0999999999999</v>
      </c>
      <c r="K1784">
        <v>1.55</v>
      </c>
      <c r="M1784" t="s">
        <v>289</v>
      </c>
    </row>
    <row r="1785" spans="1:13" hidden="1">
      <c r="A1785" t="s">
        <v>124</v>
      </c>
      <c r="B1785" t="s">
        <v>8</v>
      </c>
      <c r="C1785" t="s">
        <v>123</v>
      </c>
      <c r="D1785" t="str">
        <f>LEFT(M1785,10)</f>
        <v>11/15/2024</v>
      </c>
      <c r="E1785" t="s">
        <v>202</v>
      </c>
      <c r="F1785" t="s">
        <v>218</v>
      </c>
      <c r="G1785" t="s">
        <v>243</v>
      </c>
      <c r="H1785" t="s">
        <v>418</v>
      </c>
      <c r="I1785">
        <v>111</v>
      </c>
      <c r="J1785">
        <v>222</v>
      </c>
      <c r="K1785">
        <v>2</v>
      </c>
      <c r="M1785" t="s">
        <v>289</v>
      </c>
    </row>
    <row r="1786" spans="1:13" hidden="1">
      <c r="A1786" t="s">
        <v>124</v>
      </c>
      <c r="B1786" t="s">
        <v>8</v>
      </c>
      <c r="C1786" t="s">
        <v>123</v>
      </c>
      <c r="D1786" t="str">
        <f>LEFT(M1786,10)</f>
        <v>11/15/2024</v>
      </c>
      <c r="E1786" t="s">
        <v>202</v>
      </c>
      <c r="F1786" t="s">
        <v>218</v>
      </c>
      <c r="G1786" t="s">
        <v>243</v>
      </c>
      <c r="H1786" t="s">
        <v>419</v>
      </c>
      <c r="I1786">
        <v>33</v>
      </c>
      <c r="J1786">
        <v>132</v>
      </c>
      <c r="K1786">
        <v>4</v>
      </c>
      <c r="M1786" t="s">
        <v>289</v>
      </c>
    </row>
    <row r="1787" spans="1:13" hidden="1">
      <c r="A1787" t="s">
        <v>124</v>
      </c>
      <c r="B1787" t="s">
        <v>8</v>
      </c>
      <c r="C1787" t="s">
        <v>123</v>
      </c>
      <c r="D1787" t="str">
        <f>LEFT(M1787,10)</f>
        <v>11/15/2024</v>
      </c>
      <c r="E1787" t="s">
        <v>202</v>
      </c>
      <c r="F1787" t="s">
        <v>218</v>
      </c>
      <c r="G1787" t="s">
        <v>243</v>
      </c>
      <c r="H1787" t="s">
        <v>420</v>
      </c>
      <c r="I1787">
        <v>289</v>
      </c>
      <c r="J1787">
        <v>736.95</v>
      </c>
      <c r="K1787">
        <v>2.5499999999999998</v>
      </c>
      <c r="M1787" t="s">
        <v>289</v>
      </c>
    </row>
    <row r="1788" spans="1:13" hidden="1">
      <c r="A1788" t="s">
        <v>124</v>
      </c>
      <c r="B1788" t="s">
        <v>8</v>
      </c>
      <c r="C1788" t="s">
        <v>123</v>
      </c>
      <c r="D1788" t="str">
        <f>LEFT(M1788,10)</f>
        <v>11/15/2024</v>
      </c>
      <c r="E1788" t="s">
        <v>202</v>
      </c>
      <c r="F1788" t="s">
        <v>218</v>
      </c>
      <c r="G1788" t="s">
        <v>243</v>
      </c>
      <c r="H1788" t="s">
        <v>415</v>
      </c>
      <c r="I1788">
        <v>56</v>
      </c>
      <c r="J1788">
        <v>140</v>
      </c>
      <c r="K1788">
        <v>2.5</v>
      </c>
      <c r="M1788" t="s">
        <v>289</v>
      </c>
    </row>
    <row r="1789" spans="1:13" hidden="1">
      <c r="A1789" t="s">
        <v>124</v>
      </c>
      <c r="B1789" t="s">
        <v>8</v>
      </c>
      <c r="C1789" t="s">
        <v>123</v>
      </c>
      <c r="D1789" t="str">
        <f>LEFT(M1789,10)</f>
        <v>11/15/2024</v>
      </c>
      <c r="E1789" t="s">
        <v>202</v>
      </c>
      <c r="F1789" t="s">
        <v>218</v>
      </c>
      <c r="G1789" t="s">
        <v>243</v>
      </c>
      <c r="H1789" t="s">
        <v>421</v>
      </c>
      <c r="I1789">
        <v>46</v>
      </c>
      <c r="J1789">
        <v>66.7</v>
      </c>
      <c r="K1789">
        <v>1.45</v>
      </c>
      <c r="M1789" t="s">
        <v>289</v>
      </c>
    </row>
    <row r="1790" spans="1:13" hidden="1">
      <c r="A1790" t="s">
        <v>124</v>
      </c>
      <c r="B1790" t="s">
        <v>8</v>
      </c>
      <c r="C1790" t="s">
        <v>123</v>
      </c>
      <c r="D1790" t="str">
        <f>LEFT(M1790,10)</f>
        <v>11/15/2024</v>
      </c>
      <c r="E1790" t="s">
        <v>202</v>
      </c>
      <c r="F1790" t="s">
        <v>203</v>
      </c>
      <c r="G1790" t="s">
        <v>207</v>
      </c>
      <c r="I1790">
        <v>27</v>
      </c>
      <c r="J1790">
        <v>162</v>
      </c>
      <c r="K1790">
        <v>6</v>
      </c>
      <c r="M1790" t="s">
        <v>289</v>
      </c>
    </row>
    <row r="1791" spans="1:13" hidden="1">
      <c r="A1791" t="s">
        <v>124</v>
      </c>
      <c r="B1791" t="s">
        <v>8</v>
      </c>
      <c r="C1791" t="s">
        <v>123</v>
      </c>
      <c r="D1791" t="str">
        <f>LEFT(M1791,10)</f>
        <v>11/15/2024</v>
      </c>
      <c r="E1791" t="s">
        <v>202</v>
      </c>
      <c r="F1791" t="s">
        <v>203</v>
      </c>
      <c r="G1791" t="s">
        <v>204</v>
      </c>
      <c r="I1791">
        <v>241</v>
      </c>
      <c r="J1791">
        <v>2241.3000000000002</v>
      </c>
      <c r="K1791">
        <v>9.3000000000000007</v>
      </c>
      <c r="M1791" t="s">
        <v>289</v>
      </c>
    </row>
    <row r="1792" spans="1:13" hidden="1">
      <c r="A1792" t="s">
        <v>124</v>
      </c>
      <c r="B1792" t="s">
        <v>8</v>
      </c>
      <c r="C1792" t="s">
        <v>123</v>
      </c>
      <c r="D1792" t="str">
        <f>LEFT(M1792,10)</f>
        <v>11/15/2024</v>
      </c>
      <c r="E1792" t="s">
        <v>202</v>
      </c>
      <c r="F1792" t="s">
        <v>203</v>
      </c>
      <c r="G1792" t="s">
        <v>208</v>
      </c>
      <c r="I1792">
        <v>22</v>
      </c>
      <c r="J1792">
        <v>209</v>
      </c>
      <c r="K1792">
        <v>9.5</v>
      </c>
      <c r="M1792" t="s">
        <v>289</v>
      </c>
    </row>
    <row r="1793" spans="1:13" hidden="1">
      <c r="A1793" t="s">
        <v>124</v>
      </c>
      <c r="B1793" t="s">
        <v>8</v>
      </c>
      <c r="C1793" t="s">
        <v>123</v>
      </c>
      <c r="D1793" t="str">
        <f>LEFT(M1793,10)</f>
        <v>11/15/2024</v>
      </c>
      <c r="E1793" t="s">
        <v>202</v>
      </c>
      <c r="F1793" t="s">
        <v>203</v>
      </c>
      <c r="G1793" t="s">
        <v>235</v>
      </c>
      <c r="I1793">
        <v>27.1</v>
      </c>
      <c r="J1793">
        <v>162.6</v>
      </c>
      <c r="K1793">
        <v>6</v>
      </c>
      <c r="M1793" t="s">
        <v>289</v>
      </c>
    </row>
    <row r="1794" spans="1:13" hidden="1">
      <c r="A1794" t="s">
        <v>124</v>
      </c>
      <c r="B1794" t="s">
        <v>8</v>
      </c>
      <c r="C1794" t="s">
        <v>123</v>
      </c>
      <c r="D1794" t="str">
        <f>LEFT(M1794,10)</f>
        <v>11/15/2024</v>
      </c>
      <c r="E1794" t="s">
        <v>202</v>
      </c>
      <c r="F1794" t="s">
        <v>203</v>
      </c>
      <c r="G1794" t="s">
        <v>261</v>
      </c>
      <c r="I1794">
        <v>20.3</v>
      </c>
      <c r="J1794">
        <v>832.3</v>
      </c>
      <c r="K1794">
        <v>41</v>
      </c>
      <c r="M1794" t="s">
        <v>289</v>
      </c>
    </row>
    <row r="1795" spans="1:13" hidden="1">
      <c r="A1795" t="s">
        <v>124</v>
      </c>
      <c r="B1795" t="s">
        <v>8</v>
      </c>
      <c r="C1795" t="s">
        <v>123</v>
      </c>
      <c r="D1795" t="str">
        <f>LEFT(M1795,10)</f>
        <v>11/15/2024</v>
      </c>
      <c r="E1795" t="s">
        <v>202</v>
      </c>
      <c r="F1795" t="s">
        <v>203</v>
      </c>
      <c r="G1795" t="s">
        <v>206</v>
      </c>
      <c r="I1795">
        <v>40</v>
      </c>
      <c r="J1795">
        <v>40</v>
      </c>
      <c r="K1795">
        <v>1</v>
      </c>
      <c r="M1795" t="s">
        <v>289</v>
      </c>
    </row>
    <row r="1796" spans="1:13" hidden="1">
      <c r="A1796" t="s">
        <v>124</v>
      </c>
      <c r="B1796" t="s">
        <v>8</v>
      </c>
      <c r="C1796" t="s">
        <v>123</v>
      </c>
      <c r="D1796" t="str">
        <f>LEFT(M1796,10)</f>
        <v>11/15/2024</v>
      </c>
      <c r="E1796" t="s">
        <v>202</v>
      </c>
      <c r="F1796" t="s">
        <v>203</v>
      </c>
      <c r="G1796" t="s">
        <v>236</v>
      </c>
      <c r="I1796">
        <v>1200</v>
      </c>
      <c r="J1796">
        <v>780</v>
      </c>
      <c r="K1796">
        <v>0.65</v>
      </c>
      <c r="M1796" t="s">
        <v>289</v>
      </c>
    </row>
    <row r="1797" spans="1:13" hidden="1">
      <c r="A1797" t="s">
        <v>124</v>
      </c>
      <c r="B1797" t="s">
        <v>8</v>
      </c>
      <c r="C1797" t="s">
        <v>123</v>
      </c>
      <c r="D1797" t="str">
        <f>LEFT(M1797,10)</f>
        <v>11/15/2024</v>
      </c>
      <c r="E1797" t="s">
        <v>202</v>
      </c>
      <c r="F1797" t="s">
        <v>203</v>
      </c>
      <c r="G1797" t="s">
        <v>259</v>
      </c>
      <c r="I1797">
        <v>5.2</v>
      </c>
      <c r="J1797">
        <v>124.8</v>
      </c>
      <c r="K1797">
        <v>24</v>
      </c>
      <c r="M1797" t="s">
        <v>289</v>
      </c>
    </row>
    <row r="1798" spans="1:13" hidden="1">
      <c r="A1798" t="s">
        <v>124</v>
      </c>
      <c r="B1798" t="s">
        <v>8</v>
      </c>
      <c r="C1798" t="s">
        <v>123</v>
      </c>
      <c r="D1798" t="str">
        <f>LEFT(M1798,10)</f>
        <v>11/15/2024</v>
      </c>
      <c r="E1798" t="s">
        <v>202</v>
      </c>
      <c r="F1798" t="s">
        <v>203</v>
      </c>
      <c r="G1798" t="s">
        <v>259</v>
      </c>
      <c r="I1798">
        <v>6.2</v>
      </c>
      <c r="J1798">
        <v>37.200000000000003</v>
      </c>
      <c r="K1798">
        <v>6</v>
      </c>
      <c r="M1798" t="s">
        <v>289</v>
      </c>
    </row>
    <row r="1799" spans="1:13" hidden="1">
      <c r="A1799" t="s">
        <v>124</v>
      </c>
      <c r="B1799" t="s">
        <v>8</v>
      </c>
      <c r="C1799" t="s">
        <v>123</v>
      </c>
      <c r="D1799" t="str">
        <f>LEFT(M1799,10)</f>
        <v>11/15/2024</v>
      </c>
      <c r="E1799" t="s">
        <v>202</v>
      </c>
      <c r="F1799" t="s">
        <v>203</v>
      </c>
      <c r="G1799" t="s">
        <v>259</v>
      </c>
      <c r="I1799">
        <v>7.1</v>
      </c>
      <c r="J1799">
        <v>120.7</v>
      </c>
      <c r="K1799">
        <v>17</v>
      </c>
      <c r="M1799" t="s">
        <v>289</v>
      </c>
    </row>
    <row r="1800" spans="1:13" hidden="1">
      <c r="A1800" t="s">
        <v>124</v>
      </c>
      <c r="B1800" t="s">
        <v>8</v>
      </c>
      <c r="C1800" t="s">
        <v>123</v>
      </c>
      <c r="D1800" t="str">
        <f>LEFT(M1800,10)</f>
        <v>11/15/2024</v>
      </c>
      <c r="E1800" t="s">
        <v>202</v>
      </c>
      <c r="F1800" t="s">
        <v>203</v>
      </c>
      <c r="G1800" t="s">
        <v>259</v>
      </c>
      <c r="I1800">
        <v>21</v>
      </c>
      <c r="J1800">
        <v>52.5</v>
      </c>
      <c r="K1800">
        <v>2.5</v>
      </c>
      <c r="M1800" t="s">
        <v>289</v>
      </c>
    </row>
    <row r="1801" spans="1:13" hidden="1">
      <c r="A1801" t="s">
        <v>124</v>
      </c>
      <c r="B1801" t="s">
        <v>8</v>
      </c>
      <c r="C1801" t="s">
        <v>123</v>
      </c>
      <c r="D1801" t="str">
        <f>LEFT(M1801,10)</f>
        <v>11/15/2024</v>
      </c>
      <c r="E1801" t="s">
        <v>202</v>
      </c>
      <c r="F1801" t="s">
        <v>203</v>
      </c>
      <c r="G1801" t="s">
        <v>259</v>
      </c>
      <c r="I1801">
        <v>40</v>
      </c>
      <c r="J1801">
        <v>48</v>
      </c>
      <c r="K1801">
        <v>1.2</v>
      </c>
      <c r="M1801" t="s">
        <v>289</v>
      </c>
    </row>
    <row r="1802" spans="1:13" hidden="1">
      <c r="A1802" t="s">
        <v>124</v>
      </c>
      <c r="B1802" t="s">
        <v>8</v>
      </c>
      <c r="C1802" t="s">
        <v>123</v>
      </c>
      <c r="D1802" t="str">
        <f>LEFT(M1802,10)</f>
        <v>11/15/2024</v>
      </c>
      <c r="E1802" t="s">
        <v>202</v>
      </c>
      <c r="F1802" t="s">
        <v>216</v>
      </c>
      <c r="G1802" t="s">
        <v>253</v>
      </c>
      <c r="I1802">
        <v>6590</v>
      </c>
      <c r="J1802">
        <v>659</v>
      </c>
      <c r="K1802">
        <v>0.1</v>
      </c>
      <c r="M1802" t="s">
        <v>289</v>
      </c>
    </row>
    <row r="1803" spans="1:13" hidden="1">
      <c r="A1803" t="s">
        <v>124</v>
      </c>
      <c r="B1803" t="s">
        <v>8</v>
      </c>
      <c r="C1803" t="s">
        <v>123</v>
      </c>
      <c r="D1803" t="str">
        <f>LEFT(M1803,10)</f>
        <v>11/15/2024</v>
      </c>
      <c r="E1803" t="s">
        <v>202</v>
      </c>
      <c r="F1803" t="s">
        <v>216</v>
      </c>
      <c r="G1803" t="s">
        <v>217</v>
      </c>
      <c r="I1803">
        <v>1704</v>
      </c>
      <c r="J1803">
        <v>634.57000000000005</v>
      </c>
      <c r="K1803">
        <v>0.37</v>
      </c>
      <c r="M1803" t="s">
        <v>289</v>
      </c>
    </row>
    <row r="1804" spans="1:13" hidden="1">
      <c r="A1804" t="s">
        <v>124</v>
      </c>
      <c r="B1804" t="s">
        <v>8</v>
      </c>
      <c r="C1804" t="s">
        <v>123</v>
      </c>
      <c r="D1804" t="str">
        <f>LEFT(M1804,10)</f>
        <v>11/15/2024</v>
      </c>
      <c r="E1804" t="s">
        <v>202</v>
      </c>
      <c r="F1804" t="s">
        <v>209</v>
      </c>
      <c r="G1804" t="s">
        <v>310</v>
      </c>
      <c r="I1804">
        <v>28</v>
      </c>
      <c r="J1804">
        <v>28</v>
      </c>
      <c r="K1804">
        <v>1</v>
      </c>
      <c r="M1804" t="s">
        <v>289</v>
      </c>
    </row>
    <row r="1805" spans="1:13" hidden="1">
      <c r="A1805" t="s">
        <v>124</v>
      </c>
      <c r="B1805" t="s">
        <v>8</v>
      </c>
      <c r="C1805" t="s">
        <v>123</v>
      </c>
      <c r="D1805" t="str">
        <f>LEFT(M1805,10)</f>
        <v>11/15/2024</v>
      </c>
      <c r="E1805" t="s">
        <v>202</v>
      </c>
      <c r="F1805" t="s">
        <v>209</v>
      </c>
      <c r="G1805" t="s">
        <v>210</v>
      </c>
      <c r="I1805">
        <v>2.4</v>
      </c>
      <c r="J1805">
        <v>7.2</v>
      </c>
      <c r="K1805">
        <v>3</v>
      </c>
      <c r="M1805" t="s">
        <v>289</v>
      </c>
    </row>
    <row r="1806" spans="1:13" hidden="1">
      <c r="A1806" t="s">
        <v>124</v>
      </c>
      <c r="B1806" t="s">
        <v>8</v>
      </c>
      <c r="C1806" t="s">
        <v>123</v>
      </c>
      <c r="D1806" t="str">
        <f>LEFT(M1806,10)</f>
        <v>11/15/2024</v>
      </c>
      <c r="E1806" t="s">
        <v>234</v>
      </c>
      <c r="F1806" t="s">
        <v>234</v>
      </c>
      <c r="I1806">
        <v>6392</v>
      </c>
      <c r="M1806" t="s">
        <v>289</v>
      </c>
    </row>
    <row r="1807" spans="1:13" hidden="1">
      <c r="A1807" t="s">
        <v>124</v>
      </c>
      <c r="B1807" t="s">
        <v>8</v>
      </c>
      <c r="C1807" t="s">
        <v>123</v>
      </c>
      <c r="D1807" t="str">
        <f>LEFT(M1807,10)</f>
        <v>11/15/2024</v>
      </c>
      <c r="E1807" t="s">
        <v>232</v>
      </c>
      <c r="F1807" t="s">
        <v>272</v>
      </c>
      <c r="I1807">
        <v>0</v>
      </c>
      <c r="J1807">
        <v>660</v>
      </c>
      <c r="M1807" t="s">
        <v>289</v>
      </c>
    </row>
    <row r="1808" spans="1:13" hidden="1">
      <c r="A1808" t="s">
        <v>124</v>
      </c>
      <c r="B1808" t="s">
        <v>8</v>
      </c>
      <c r="C1808" t="s">
        <v>123</v>
      </c>
      <c r="D1808" t="str">
        <f>LEFT(M1808,10)</f>
        <v>11/15/2024</v>
      </c>
      <c r="E1808" t="s">
        <v>230</v>
      </c>
      <c r="F1808" t="s">
        <v>248</v>
      </c>
      <c r="I1808">
        <v>0</v>
      </c>
      <c r="J1808">
        <v>13562.2</v>
      </c>
      <c r="M1808" t="s">
        <v>289</v>
      </c>
    </row>
    <row r="1809" spans="1:13" hidden="1">
      <c r="A1809" t="s">
        <v>127</v>
      </c>
      <c r="B1809" t="s">
        <v>8</v>
      </c>
      <c r="C1809" t="s">
        <v>126</v>
      </c>
      <c r="D1809" t="str">
        <f>LEFT(M1809,10)</f>
        <v>11/15/2024</v>
      </c>
      <c r="E1809" t="s">
        <v>202</v>
      </c>
      <c r="F1809" t="s">
        <v>218</v>
      </c>
      <c r="G1809" t="s">
        <v>243</v>
      </c>
      <c r="H1809" t="s">
        <v>422</v>
      </c>
      <c r="I1809">
        <v>54</v>
      </c>
      <c r="J1809">
        <v>5.4</v>
      </c>
      <c r="K1809">
        <v>0.1</v>
      </c>
      <c r="M1809" t="s">
        <v>289</v>
      </c>
    </row>
    <row r="1810" spans="1:13" hidden="1">
      <c r="A1810" t="s">
        <v>127</v>
      </c>
      <c r="B1810" t="s">
        <v>8</v>
      </c>
      <c r="C1810" t="s">
        <v>126</v>
      </c>
      <c r="D1810" t="str">
        <f>LEFT(M1810,10)</f>
        <v>11/15/2024</v>
      </c>
      <c r="E1810" t="s">
        <v>202</v>
      </c>
      <c r="F1810" t="s">
        <v>218</v>
      </c>
      <c r="G1810" t="s">
        <v>220</v>
      </c>
      <c r="I1810">
        <v>476</v>
      </c>
      <c r="J1810">
        <v>761.6</v>
      </c>
      <c r="K1810">
        <v>1.6</v>
      </c>
      <c r="M1810" t="s">
        <v>289</v>
      </c>
    </row>
    <row r="1811" spans="1:13" hidden="1">
      <c r="A1811" t="s">
        <v>127</v>
      </c>
      <c r="B1811" t="s">
        <v>8</v>
      </c>
      <c r="C1811" t="s">
        <v>126</v>
      </c>
      <c r="D1811" t="str">
        <f>LEFT(M1811,10)</f>
        <v>11/15/2024</v>
      </c>
      <c r="E1811" t="s">
        <v>202</v>
      </c>
      <c r="F1811" t="s">
        <v>218</v>
      </c>
      <c r="G1811" t="s">
        <v>241</v>
      </c>
      <c r="I1811">
        <v>33</v>
      </c>
      <c r="J1811">
        <v>125.4</v>
      </c>
      <c r="K1811">
        <v>3.8</v>
      </c>
      <c r="M1811" t="s">
        <v>289</v>
      </c>
    </row>
    <row r="1812" spans="1:13" hidden="1">
      <c r="A1812" t="s">
        <v>127</v>
      </c>
      <c r="B1812" t="s">
        <v>8</v>
      </c>
      <c r="C1812" t="s">
        <v>126</v>
      </c>
      <c r="D1812" t="str">
        <f>LEFT(M1812,10)</f>
        <v>11/15/2024</v>
      </c>
      <c r="E1812" t="s">
        <v>202</v>
      </c>
      <c r="F1812" t="s">
        <v>218</v>
      </c>
      <c r="G1812" t="s">
        <v>224</v>
      </c>
      <c r="I1812">
        <v>70</v>
      </c>
      <c r="J1812">
        <v>70</v>
      </c>
      <c r="K1812">
        <v>1</v>
      </c>
      <c r="M1812" t="s">
        <v>289</v>
      </c>
    </row>
    <row r="1813" spans="1:13" hidden="1">
      <c r="A1813" t="s">
        <v>127</v>
      </c>
      <c r="B1813" t="s">
        <v>8</v>
      </c>
      <c r="C1813" t="s">
        <v>126</v>
      </c>
      <c r="D1813" t="str">
        <f>LEFT(M1813,10)</f>
        <v>11/15/2024</v>
      </c>
      <c r="E1813" t="s">
        <v>202</v>
      </c>
      <c r="F1813" t="s">
        <v>218</v>
      </c>
      <c r="G1813" t="s">
        <v>226</v>
      </c>
      <c r="I1813">
        <v>92</v>
      </c>
      <c r="J1813">
        <v>27.6</v>
      </c>
      <c r="K1813">
        <v>0.3</v>
      </c>
      <c r="M1813" t="s">
        <v>289</v>
      </c>
    </row>
    <row r="1814" spans="1:13" hidden="1">
      <c r="A1814" t="s">
        <v>127</v>
      </c>
      <c r="B1814" t="s">
        <v>8</v>
      </c>
      <c r="C1814" t="s">
        <v>126</v>
      </c>
      <c r="D1814" t="str">
        <f>LEFT(M1814,10)</f>
        <v>11/15/2024</v>
      </c>
      <c r="E1814" t="s">
        <v>202</v>
      </c>
      <c r="F1814" t="s">
        <v>227</v>
      </c>
      <c r="G1814" t="s">
        <v>228</v>
      </c>
      <c r="I1814">
        <v>714</v>
      </c>
      <c r="J1814">
        <v>249.9</v>
      </c>
      <c r="K1814">
        <v>0.35</v>
      </c>
      <c r="M1814" t="s">
        <v>289</v>
      </c>
    </row>
    <row r="1815" spans="1:13" hidden="1">
      <c r="A1815" t="s">
        <v>127</v>
      </c>
      <c r="B1815" t="s">
        <v>8</v>
      </c>
      <c r="C1815" t="s">
        <v>126</v>
      </c>
      <c r="D1815" t="str">
        <f>LEFT(M1815,10)</f>
        <v>11/15/2024</v>
      </c>
      <c r="E1815" t="s">
        <v>202</v>
      </c>
      <c r="F1815" t="s">
        <v>227</v>
      </c>
      <c r="G1815" t="s">
        <v>237</v>
      </c>
      <c r="I1815">
        <v>173</v>
      </c>
      <c r="J1815">
        <v>86.5</v>
      </c>
      <c r="K1815">
        <v>0.5</v>
      </c>
      <c r="M1815" t="s">
        <v>289</v>
      </c>
    </row>
    <row r="1816" spans="1:13" hidden="1">
      <c r="A1816" t="s">
        <v>127</v>
      </c>
      <c r="B1816" t="s">
        <v>8</v>
      </c>
      <c r="C1816" t="s">
        <v>126</v>
      </c>
      <c r="D1816" t="str">
        <f>LEFT(M1816,10)</f>
        <v>11/15/2024</v>
      </c>
      <c r="E1816" t="s">
        <v>202</v>
      </c>
      <c r="F1816" t="s">
        <v>218</v>
      </c>
      <c r="G1816" t="s">
        <v>219</v>
      </c>
      <c r="I1816">
        <v>178</v>
      </c>
      <c r="J1816">
        <v>427.2</v>
      </c>
      <c r="K1816">
        <v>2.4</v>
      </c>
      <c r="M1816" t="s">
        <v>289</v>
      </c>
    </row>
    <row r="1817" spans="1:13" hidden="1">
      <c r="A1817" t="s">
        <v>127</v>
      </c>
      <c r="B1817" t="s">
        <v>8</v>
      </c>
      <c r="C1817" t="s">
        <v>126</v>
      </c>
      <c r="D1817" t="str">
        <f>LEFT(M1817,10)</f>
        <v>11/15/2024</v>
      </c>
      <c r="E1817" t="s">
        <v>202</v>
      </c>
      <c r="F1817" t="s">
        <v>218</v>
      </c>
      <c r="G1817" t="s">
        <v>243</v>
      </c>
      <c r="H1817" t="s">
        <v>423</v>
      </c>
      <c r="I1817">
        <v>258</v>
      </c>
      <c r="J1817">
        <v>361.2</v>
      </c>
      <c r="K1817">
        <v>1.4</v>
      </c>
      <c r="M1817" t="s">
        <v>289</v>
      </c>
    </row>
    <row r="1818" spans="1:13" hidden="1">
      <c r="A1818" t="s">
        <v>127</v>
      </c>
      <c r="B1818" t="s">
        <v>8</v>
      </c>
      <c r="C1818" t="s">
        <v>126</v>
      </c>
      <c r="D1818" t="str">
        <f>LEFT(M1818,10)</f>
        <v>11/15/2024</v>
      </c>
      <c r="E1818" t="s">
        <v>202</v>
      </c>
      <c r="F1818" t="s">
        <v>218</v>
      </c>
      <c r="G1818" t="s">
        <v>243</v>
      </c>
      <c r="H1818" t="s">
        <v>424</v>
      </c>
      <c r="I1818">
        <v>527</v>
      </c>
      <c r="J1818">
        <v>368.9</v>
      </c>
      <c r="K1818">
        <v>0.7</v>
      </c>
      <c r="M1818" t="s">
        <v>289</v>
      </c>
    </row>
    <row r="1819" spans="1:13" hidden="1">
      <c r="A1819" t="s">
        <v>127</v>
      </c>
      <c r="B1819" t="s">
        <v>8</v>
      </c>
      <c r="C1819" t="s">
        <v>126</v>
      </c>
      <c r="D1819" t="str">
        <f>LEFT(M1819,10)</f>
        <v>11/15/2024</v>
      </c>
      <c r="E1819" t="s">
        <v>202</v>
      </c>
      <c r="F1819" t="s">
        <v>218</v>
      </c>
      <c r="G1819" t="s">
        <v>222</v>
      </c>
      <c r="I1819">
        <v>49</v>
      </c>
      <c r="J1819">
        <v>34.299999999999997</v>
      </c>
      <c r="K1819">
        <v>0.7</v>
      </c>
      <c r="M1819" t="s">
        <v>289</v>
      </c>
    </row>
    <row r="1820" spans="1:13" hidden="1">
      <c r="A1820" t="s">
        <v>127</v>
      </c>
      <c r="B1820" t="s">
        <v>8</v>
      </c>
      <c r="C1820" t="s">
        <v>126</v>
      </c>
      <c r="D1820" t="str">
        <f>LEFT(M1820,10)</f>
        <v>11/15/2024</v>
      </c>
      <c r="E1820" t="s">
        <v>202</v>
      </c>
      <c r="F1820" t="s">
        <v>227</v>
      </c>
      <c r="G1820" t="s">
        <v>252</v>
      </c>
      <c r="I1820">
        <v>76</v>
      </c>
      <c r="J1820">
        <v>26.6</v>
      </c>
      <c r="K1820">
        <v>0.35</v>
      </c>
      <c r="M1820" t="s">
        <v>289</v>
      </c>
    </row>
    <row r="1821" spans="1:13" hidden="1">
      <c r="A1821" t="s">
        <v>127</v>
      </c>
      <c r="B1821" t="s">
        <v>8</v>
      </c>
      <c r="C1821" t="s">
        <v>126</v>
      </c>
      <c r="D1821" t="str">
        <f>LEFT(M1821,10)</f>
        <v>11/15/2024</v>
      </c>
      <c r="E1821" t="s">
        <v>202</v>
      </c>
      <c r="F1821" t="s">
        <v>227</v>
      </c>
      <c r="G1821" t="s">
        <v>229</v>
      </c>
      <c r="I1821">
        <v>2253</v>
      </c>
      <c r="J1821">
        <v>1802.4</v>
      </c>
      <c r="K1821">
        <v>0.8</v>
      </c>
      <c r="M1821" t="s">
        <v>289</v>
      </c>
    </row>
    <row r="1822" spans="1:13" hidden="1">
      <c r="A1822" t="s">
        <v>127</v>
      </c>
      <c r="B1822" t="s">
        <v>8</v>
      </c>
      <c r="C1822" t="s">
        <v>126</v>
      </c>
      <c r="D1822" t="str">
        <f>LEFT(M1822,10)</f>
        <v>11/15/2024</v>
      </c>
      <c r="E1822" t="s">
        <v>202</v>
      </c>
      <c r="F1822" t="s">
        <v>216</v>
      </c>
      <c r="G1822" t="s">
        <v>253</v>
      </c>
      <c r="I1822">
        <v>510</v>
      </c>
      <c r="J1822">
        <v>76.5</v>
      </c>
      <c r="K1822">
        <v>0.15</v>
      </c>
      <c r="M1822" t="s">
        <v>289</v>
      </c>
    </row>
    <row r="1823" spans="1:13" hidden="1">
      <c r="A1823" t="s">
        <v>127</v>
      </c>
      <c r="B1823" t="s">
        <v>8</v>
      </c>
      <c r="C1823" t="s">
        <v>126</v>
      </c>
      <c r="D1823" t="str">
        <f>LEFT(M1823,10)</f>
        <v>11/15/2024</v>
      </c>
      <c r="E1823" t="s">
        <v>202</v>
      </c>
      <c r="F1823" t="s">
        <v>203</v>
      </c>
      <c r="G1823" t="s">
        <v>236</v>
      </c>
      <c r="I1823">
        <v>970</v>
      </c>
      <c r="J1823">
        <v>776</v>
      </c>
      <c r="K1823">
        <v>0.8</v>
      </c>
      <c r="M1823" t="s">
        <v>289</v>
      </c>
    </row>
    <row r="1824" spans="1:13" hidden="1">
      <c r="A1824" t="s">
        <v>127</v>
      </c>
      <c r="B1824" t="s">
        <v>8</v>
      </c>
      <c r="C1824" t="s">
        <v>126</v>
      </c>
      <c r="D1824" t="str">
        <f>LEFT(M1824,10)</f>
        <v>11/15/2024</v>
      </c>
      <c r="E1824" t="s">
        <v>202</v>
      </c>
      <c r="F1824" t="s">
        <v>203</v>
      </c>
      <c r="G1824" t="s">
        <v>204</v>
      </c>
      <c r="I1824">
        <v>89.7</v>
      </c>
      <c r="J1824">
        <v>762.45</v>
      </c>
      <c r="K1824">
        <v>8.5</v>
      </c>
      <c r="M1824" t="s">
        <v>289</v>
      </c>
    </row>
    <row r="1825" spans="1:13" hidden="1">
      <c r="A1825" t="s">
        <v>127</v>
      </c>
      <c r="B1825" t="s">
        <v>8</v>
      </c>
      <c r="C1825" t="s">
        <v>126</v>
      </c>
      <c r="D1825" t="str">
        <f>LEFT(M1825,10)</f>
        <v>11/15/2024</v>
      </c>
      <c r="E1825" t="s">
        <v>202</v>
      </c>
      <c r="F1825" t="s">
        <v>203</v>
      </c>
      <c r="G1825" t="s">
        <v>259</v>
      </c>
      <c r="I1825">
        <v>8.6999999999999993</v>
      </c>
      <c r="J1825">
        <v>73.95</v>
      </c>
      <c r="K1825">
        <v>8.5</v>
      </c>
      <c r="M1825" t="s">
        <v>289</v>
      </c>
    </row>
    <row r="1826" spans="1:13" hidden="1">
      <c r="A1826" t="s">
        <v>127</v>
      </c>
      <c r="B1826" t="s">
        <v>8</v>
      </c>
      <c r="C1826" t="s">
        <v>126</v>
      </c>
      <c r="D1826" t="str">
        <f>LEFT(M1826,10)</f>
        <v>11/15/2024</v>
      </c>
      <c r="E1826" t="s">
        <v>202</v>
      </c>
      <c r="F1826" t="s">
        <v>203</v>
      </c>
      <c r="G1826" t="s">
        <v>207</v>
      </c>
      <c r="I1826">
        <v>8.1999999999999993</v>
      </c>
      <c r="J1826">
        <v>328</v>
      </c>
      <c r="K1826">
        <v>40</v>
      </c>
      <c r="M1826" t="s">
        <v>289</v>
      </c>
    </row>
    <row r="1827" spans="1:13" hidden="1">
      <c r="A1827" t="s">
        <v>127</v>
      </c>
      <c r="B1827" t="s">
        <v>8</v>
      </c>
      <c r="C1827" t="s">
        <v>126</v>
      </c>
      <c r="D1827" t="str">
        <f>LEFT(M1827,10)</f>
        <v>11/15/2024</v>
      </c>
      <c r="E1827" t="s">
        <v>202</v>
      </c>
      <c r="F1827" t="s">
        <v>203</v>
      </c>
      <c r="G1827" t="s">
        <v>207</v>
      </c>
      <c r="I1827">
        <v>21.5</v>
      </c>
      <c r="J1827">
        <v>161.25</v>
      </c>
      <c r="K1827">
        <v>7.5</v>
      </c>
      <c r="M1827" t="s">
        <v>289</v>
      </c>
    </row>
    <row r="1828" spans="1:13" hidden="1">
      <c r="A1828" t="s">
        <v>127</v>
      </c>
      <c r="B1828" t="s">
        <v>8</v>
      </c>
      <c r="C1828" t="s">
        <v>126</v>
      </c>
      <c r="D1828" t="str">
        <f>LEFT(M1828,10)</f>
        <v>11/15/2024</v>
      </c>
      <c r="E1828" t="s">
        <v>202</v>
      </c>
      <c r="F1828" t="s">
        <v>203</v>
      </c>
      <c r="G1828" t="s">
        <v>259</v>
      </c>
      <c r="I1828">
        <v>1.7</v>
      </c>
      <c r="J1828">
        <v>11.05</v>
      </c>
      <c r="K1828">
        <v>6.5</v>
      </c>
      <c r="M1828" t="s">
        <v>289</v>
      </c>
    </row>
    <row r="1829" spans="1:13" hidden="1">
      <c r="A1829" t="s">
        <v>127</v>
      </c>
      <c r="B1829" t="s">
        <v>8</v>
      </c>
      <c r="C1829" t="s">
        <v>126</v>
      </c>
      <c r="D1829" t="str">
        <f>LEFT(M1829,10)</f>
        <v>11/15/2024</v>
      </c>
      <c r="E1829" t="s">
        <v>202</v>
      </c>
      <c r="F1829" t="s">
        <v>203</v>
      </c>
      <c r="G1829" t="s">
        <v>235</v>
      </c>
      <c r="I1829">
        <v>1.3</v>
      </c>
      <c r="J1829">
        <v>9.1</v>
      </c>
      <c r="K1829">
        <v>7</v>
      </c>
      <c r="M1829" t="s">
        <v>289</v>
      </c>
    </row>
    <row r="1830" spans="1:13" hidden="1">
      <c r="A1830" t="s">
        <v>127</v>
      </c>
      <c r="B1830" t="s">
        <v>8</v>
      </c>
      <c r="C1830" t="s">
        <v>126</v>
      </c>
      <c r="D1830" t="str">
        <f>LEFT(M1830,10)</f>
        <v>11/15/2024</v>
      </c>
      <c r="E1830" t="s">
        <v>202</v>
      </c>
      <c r="F1830" t="s">
        <v>218</v>
      </c>
      <c r="G1830" t="s">
        <v>240</v>
      </c>
      <c r="I1830">
        <v>337</v>
      </c>
      <c r="J1830">
        <v>1280.5999999999999</v>
      </c>
      <c r="K1830">
        <v>3.8</v>
      </c>
      <c r="M1830" t="s">
        <v>289</v>
      </c>
    </row>
    <row r="1831" spans="1:13" hidden="1">
      <c r="A1831" t="s">
        <v>127</v>
      </c>
      <c r="B1831" t="s">
        <v>8</v>
      </c>
      <c r="C1831" t="s">
        <v>126</v>
      </c>
      <c r="D1831" t="str">
        <f>LEFT(M1831,10)</f>
        <v>11/15/2024</v>
      </c>
      <c r="E1831" t="s">
        <v>230</v>
      </c>
      <c r="F1831" t="s">
        <v>248</v>
      </c>
      <c r="G1831" t="s">
        <v>249</v>
      </c>
      <c r="I1831">
        <v>0</v>
      </c>
      <c r="J1831">
        <v>4710.62</v>
      </c>
      <c r="M1831" t="s">
        <v>289</v>
      </c>
    </row>
    <row r="1832" spans="1:13" hidden="1">
      <c r="A1832" t="s">
        <v>127</v>
      </c>
      <c r="B1832" t="s">
        <v>8</v>
      </c>
      <c r="C1832" t="s">
        <v>126</v>
      </c>
      <c r="D1832" t="str">
        <f>LEFT(M1832,10)</f>
        <v>11/15/2024</v>
      </c>
      <c r="E1832" t="s">
        <v>232</v>
      </c>
      <c r="F1832" t="s">
        <v>255</v>
      </c>
      <c r="G1832" t="s">
        <v>249</v>
      </c>
      <c r="I1832">
        <v>0</v>
      </c>
      <c r="J1832">
        <v>1642.15</v>
      </c>
      <c r="L1832" t="s">
        <v>425</v>
      </c>
      <c r="M1832" t="s">
        <v>289</v>
      </c>
    </row>
    <row r="1833" spans="1:13" hidden="1">
      <c r="A1833" t="s">
        <v>129</v>
      </c>
      <c r="B1833" t="s">
        <v>8</v>
      </c>
      <c r="C1833" t="s">
        <v>128</v>
      </c>
      <c r="D1833" t="str">
        <f>LEFT(M1833,10)</f>
        <v>11/15/2024</v>
      </c>
      <c r="E1833" t="s">
        <v>232</v>
      </c>
      <c r="F1833" t="s">
        <v>254</v>
      </c>
      <c r="I1833">
        <v>0</v>
      </c>
      <c r="J1833">
        <v>609.76</v>
      </c>
      <c r="M1833" t="s">
        <v>289</v>
      </c>
    </row>
    <row r="1834" spans="1:13" hidden="1">
      <c r="A1834" t="s">
        <v>129</v>
      </c>
      <c r="B1834" t="s">
        <v>8</v>
      </c>
      <c r="C1834" t="s">
        <v>128</v>
      </c>
      <c r="D1834" t="str">
        <f>LEFT(M1834,10)</f>
        <v>11/15/2024</v>
      </c>
      <c r="E1834" t="s">
        <v>234</v>
      </c>
      <c r="F1834" t="s">
        <v>234</v>
      </c>
      <c r="I1834">
        <v>2250</v>
      </c>
      <c r="M1834" t="s">
        <v>289</v>
      </c>
    </row>
    <row r="1835" spans="1:13" hidden="1">
      <c r="A1835" t="s">
        <v>129</v>
      </c>
      <c r="B1835" t="s">
        <v>8</v>
      </c>
      <c r="C1835" t="s">
        <v>128</v>
      </c>
      <c r="D1835" t="str">
        <f>LEFT(M1835,10)</f>
        <v>11/15/2024</v>
      </c>
      <c r="E1835" t="s">
        <v>230</v>
      </c>
      <c r="F1835" t="s">
        <v>248</v>
      </c>
      <c r="I1835">
        <v>0</v>
      </c>
      <c r="J1835">
        <v>5225</v>
      </c>
      <c r="M1835" t="s">
        <v>289</v>
      </c>
    </row>
    <row r="1836" spans="1:13" hidden="1">
      <c r="A1836" t="s">
        <v>129</v>
      </c>
      <c r="B1836" t="s">
        <v>8</v>
      </c>
      <c r="C1836" t="s">
        <v>128</v>
      </c>
      <c r="D1836" t="str">
        <f>LEFT(M1836,10)</f>
        <v>11/15/2024</v>
      </c>
      <c r="E1836" t="s">
        <v>202</v>
      </c>
      <c r="F1836" t="s">
        <v>227</v>
      </c>
      <c r="G1836" t="s">
        <v>228</v>
      </c>
      <c r="I1836">
        <v>594</v>
      </c>
      <c r="J1836">
        <v>207.9</v>
      </c>
      <c r="K1836">
        <v>0.35</v>
      </c>
      <c r="M1836" t="s">
        <v>289</v>
      </c>
    </row>
    <row r="1837" spans="1:13" hidden="1">
      <c r="A1837" t="s">
        <v>129</v>
      </c>
      <c r="B1837" t="s">
        <v>8</v>
      </c>
      <c r="C1837" t="s">
        <v>128</v>
      </c>
      <c r="D1837" t="str">
        <f>LEFT(M1837,10)</f>
        <v>11/15/2024</v>
      </c>
      <c r="E1837" t="s">
        <v>202</v>
      </c>
      <c r="F1837" t="s">
        <v>227</v>
      </c>
      <c r="G1837" t="s">
        <v>229</v>
      </c>
      <c r="I1837">
        <v>3337</v>
      </c>
      <c r="J1837">
        <v>2669.6</v>
      </c>
      <c r="K1837">
        <v>0.8</v>
      </c>
      <c r="M1837" t="s">
        <v>289</v>
      </c>
    </row>
    <row r="1838" spans="1:13" hidden="1">
      <c r="A1838" t="s">
        <v>129</v>
      </c>
      <c r="B1838" t="s">
        <v>8</v>
      </c>
      <c r="C1838" t="s">
        <v>128</v>
      </c>
      <c r="D1838" t="str">
        <f>LEFT(M1838,10)</f>
        <v>11/15/2024</v>
      </c>
      <c r="E1838" t="s">
        <v>202</v>
      </c>
      <c r="F1838" t="s">
        <v>227</v>
      </c>
      <c r="G1838" t="s">
        <v>238</v>
      </c>
      <c r="I1838">
        <v>116</v>
      </c>
      <c r="J1838">
        <v>34.799999999999997</v>
      </c>
      <c r="K1838">
        <v>0.3</v>
      </c>
      <c r="M1838" t="s">
        <v>289</v>
      </c>
    </row>
    <row r="1839" spans="1:13" hidden="1">
      <c r="A1839" t="s">
        <v>129</v>
      </c>
      <c r="B1839" t="s">
        <v>8</v>
      </c>
      <c r="C1839" t="s">
        <v>128</v>
      </c>
      <c r="D1839" t="str">
        <f>LEFT(M1839,10)</f>
        <v>11/15/2024</v>
      </c>
      <c r="E1839" t="s">
        <v>202</v>
      </c>
      <c r="F1839" t="s">
        <v>227</v>
      </c>
      <c r="G1839" t="s">
        <v>252</v>
      </c>
      <c r="I1839">
        <v>238</v>
      </c>
      <c r="J1839">
        <v>71.400000000000006</v>
      </c>
      <c r="K1839">
        <v>0.3</v>
      </c>
      <c r="M1839" t="s">
        <v>289</v>
      </c>
    </row>
    <row r="1840" spans="1:13" hidden="1">
      <c r="A1840" t="s">
        <v>129</v>
      </c>
      <c r="B1840" t="s">
        <v>8</v>
      </c>
      <c r="C1840" t="s">
        <v>128</v>
      </c>
      <c r="D1840" t="str">
        <f>LEFT(M1840,10)</f>
        <v>11/15/2024</v>
      </c>
      <c r="E1840" t="s">
        <v>202</v>
      </c>
      <c r="F1840" t="s">
        <v>218</v>
      </c>
      <c r="G1840" t="s">
        <v>224</v>
      </c>
      <c r="I1840">
        <v>66</v>
      </c>
      <c r="J1840">
        <v>66</v>
      </c>
      <c r="K1840">
        <v>1</v>
      </c>
      <c r="M1840" t="s">
        <v>289</v>
      </c>
    </row>
    <row r="1841" spans="1:13" hidden="1">
      <c r="A1841" t="s">
        <v>129</v>
      </c>
      <c r="B1841" t="s">
        <v>8</v>
      </c>
      <c r="C1841" t="s">
        <v>128</v>
      </c>
      <c r="D1841" t="str">
        <f>LEFT(M1841,10)</f>
        <v>11/15/2024</v>
      </c>
      <c r="E1841" t="s">
        <v>202</v>
      </c>
      <c r="F1841" t="s">
        <v>218</v>
      </c>
      <c r="G1841" t="s">
        <v>221</v>
      </c>
      <c r="I1841">
        <v>242</v>
      </c>
      <c r="J1841">
        <v>617.1</v>
      </c>
      <c r="K1841">
        <v>2.5499999999999998</v>
      </c>
      <c r="M1841" t="s">
        <v>289</v>
      </c>
    </row>
    <row r="1842" spans="1:13" hidden="1">
      <c r="A1842" t="s">
        <v>129</v>
      </c>
      <c r="B1842" t="s">
        <v>8</v>
      </c>
      <c r="C1842" t="s">
        <v>128</v>
      </c>
      <c r="D1842" t="str">
        <f>LEFT(M1842,10)</f>
        <v>11/15/2024</v>
      </c>
      <c r="E1842" t="s">
        <v>202</v>
      </c>
      <c r="F1842" t="s">
        <v>218</v>
      </c>
      <c r="G1842" t="s">
        <v>221</v>
      </c>
      <c r="I1842">
        <v>122</v>
      </c>
      <c r="J1842">
        <v>305</v>
      </c>
      <c r="K1842">
        <v>2.5</v>
      </c>
      <c r="M1842" t="s">
        <v>289</v>
      </c>
    </row>
    <row r="1843" spans="1:13" hidden="1">
      <c r="A1843" t="s">
        <v>129</v>
      </c>
      <c r="B1843" t="s">
        <v>8</v>
      </c>
      <c r="C1843" t="s">
        <v>128</v>
      </c>
      <c r="D1843" t="str">
        <f>LEFT(M1843,10)</f>
        <v>11/15/2024</v>
      </c>
      <c r="E1843" t="s">
        <v>202</v>
      </c>
      <c r="F1843" t="s">
        <v>218</v>
      </c>
      <c r="G1843" t="s">
        <v>220</v>
      </c>
      <c r="I1843">
        <v>115</v>
      </c>
      <c r="J1843">
        <v>172.5</v>
      </c>
      <c r="K1843">
        <v>1.5</v>
      </c>
      <c r="M1843" t="s">
        <v>289</v>
      </c>
    </row>
    <row r="1844" spans="1:13" hidden="1">
      <c r="A1844" t="s">
        <v>129</v>
      </c>
      <c r="B1844" t="s">
        <v>8</v>
      </c>
      <c r="C1844" t="s">
        <v>128</v>
      </c>
      <c r="D1844" t="str">
        <f>LEFT(M1844,10)</f>
        <v>11/15/2024</v>
      </c>
      <c r="E1844" t="s">
        <v>202</v>
      </c>
      <c r="F1844" t="s">
        <v>218</v>
      </c>
      <c r="G1844" t="s">
        <v>247</v>
      </c>
      <c r="I1844">
        <v>21</v>
      </c>
      <c r="J1844">
        <v>84</v>
      </c>
      <c r="K1844">
        <v>4</v>
      </c>
      <c r="M1844" t="s">
        <v>289</v>
      </c>
    </row>
    <row r="1845" spans="1:13" hidden="1">
      <c r="A1845" t="s">
        <v>129</v>
      </c>
      <c r="B1845" t="s">
        <v>8</v>
      </c>
      <c r="C1845" t="s">
        <v>128</v>
      </c>
      <c r="D1845" t="str">
        <f>LEFT(M1845,10)</f>
        <v>11/15/2024</v>
      </c>
      <c r="E1845" t="s">
        <v>202</v>
      </c>
      <c r="F1845" t="s">
        <v>218</v>
      </c>
      <c r="G1845" t="s">
        <v>223</v>
      </c>
      <c r="I1845">
        <v>660</v>
      </c>
      <c r="J1845">
        <v>594</v>
      </c>
      <c r="K1845">
        <v>0.9</v>
      </c>
      <c r="M1845" t="s">
        <v>289</v>
      </c>
    </row>
    <row r="1846" spans="1:13" hidden="1">
      <c r="A1846" t="s">
        <v>129</v>
      </c>
      <c r="B1846" t="s">
        <v>8</v>
      </c>
      <c r="C1846" t="s">
        <v>128</v>
      </c>
      <c r="D1846" t="str">
        <f>LEFT(M1846,10)</f>
        <v>11/15/2024</v>
      </c>
      <c r="E1846" t="s">
        <v>202</v>
      </c>
      <c r="F1846" t="s">
        <v>218</v>
      </c>
      <c r="G1846" t="s">
        <v>223</v>
      </c>
      <c r="I1846">
        <v>196</v>
      </c>
      <c r="J1846">
        <v>137.19999999999999</v>
      </c>
      <c r="K1846">
        <v>0.7</v>
      </c>
      <c r="M1846" t="s">
        <v>289</v>
      </c>
    </row>
    <row r="1847" spans="1:13" hidden="1">
      <c r="A1847" t="s">
        <v>129</v>
      </c>
      <c r="B1847" t="s">
        <v>8</v>
      </c>
      <c r="C1847" t="s">
        <v>128</v>
      </c>
      <c r="D1847" t="str">
        <f>LEFT(M1847,10)</f>
        <v>11/15/2024</v>
      </c>
      <c r="E1847" t="s">
        <v>202</v>
      </c>
      <c r="F1847" t="s">
        <v>218</v>
      </c>
      <c r="G1847" t="s">
        <v>240</v>
      </c>
      <c r="I1847">
        <v>548</v>
      </c>
      <c r="J1847">
        <v>2192</v>
      </c>
      <c r="K1847">
        <v>4</v>
      </c>
      <c r="M1847" t="s">
        <v>289</v>
      </c>
    </row>
    <row r="1848" spans="1:13" hidden="1">
      <c r="A1848" t="s">
        <v>129</v>
      </c>
      <c r="B1848" t="s">
        <v>8</v>
      </c>
      <c r="C1848" t="s">
        <v>128</v>
      </c>
      <c r="D1848" t="str">
        <f>LEFT(M1848,10)</f>
        <v>11/15/2024</v>
      </c>
      <c r="E1848" t="s">
        <v>202</v>
      </c>
      <c r="F1848" t="s">
        <v>218</v>
      </c>
      <c r="G1848" t="s">
        <v>241</v>
      </c>
      <c r="I1848">
        <v>87</v>
      </c>
      <c r="J1848">
        <v>348</v>
      </c>
      <c r="K1848">
        <v>4</v>
      </c>
      <c r="M1848" t="s">
        <v>289</v>
      </c>
    </row>
    <row r="1849" spans="1:13" hidden="1">
      <c r="A1849" t="s">
        <v>129</v>
      </c>
      <c r="B1849" t="s">
        <v>8</v>
      </c>
      <c r="C1849" t="s">
        <v>128</v>
      </c>
      <c r="D1849" t="str">
        <f>LEFT(M1849,10)</f>
        <v>11/15/2024</v>
      </c>
      <c r="E1849" t="s">
        <v>202</v>
      </c>
      <c r="F1849" t="s">
        <v>218</v>
      </c>
      <c r="G1849" t="s">
        <v>222</v>
      </c>
      <c r="I1849">
        <v>188</v>
      </c>
      <c r="J1849">
        <v>338</v>
      </c>
      <c r="K1849">
        <v>1.8</v>
      </c>
      <c r="M1849" t="s">
        <v>289</v>
      </c>
    </row>
    <row r="1850" spans="1:13" hidden="1">
      <c r="A1850" t="s">
        <v>129</v>
      </c>
      <c r="B1850" t="s">
        <v>8</v>
      </c>
      <c r="C1850" t="s">
        <v>128</v>
      </c>
      <c r="D1850" t="str">
        <f>LEFT(M1850,10)</f>
        <v>11/15/2024</v>
      </c>
      <c r="E1850" t="s">
        <v>202</v>
      </c>
      <c r="F1850" t="s">
        <v>218</v>
      </c>
      <c r="G1850" t="s">
        <v>222</v>
      </c>
      <c r="I1850">
        <v>553</v>
      </c>
      <c r="J1850">
        <v>718.9</v>
      </c>
      <c r="K1850">
        <v>1.3</v>
      </c>
      <c r="M1850" t="s">
        <v>289</v>
      </c>
    </row>
    <row r="1851" spans="1:13" hidden="1">
      <c r="A1851" t="s">
        <v>129</v>
      </c>
      <c r="B1851" t="s">
        <v>8</v>
      </c>
      <c r="C1851" t="s">
        <v>128</v>
      </c>
      <c r="D1851" t="str">
        <f>LEFT(M1851,10)</f>
        <v>11/15/2024</v>
      </c>
      <c r="E1851" t="s">
        <v>202</v>
      </c>
      <c r="F1851" t="s">
        <v>218</v>
      </c>
      <c r="G1851" t="s">
        <v>222</v>
      </c>
      <c r="I1851">
        <v>198</v>
      </c>
      <c r="J1851">
        <v>237.6</v>
      </c>
      <c r="K1851">
        <v>1.2</v>
      </c>
      <c r="M1851" t="s">
        <v>289</v>
      </c>
    </row>
    <row r="1852" spans="1:13" hidden="1">
      <c r="A1852" t="s">
        <v>129</v>
      </c>
      <c r="B1852" t="s">
        <v>8</v>
      </c>
      <c r="C1852" t="s">
        <v>128</v>
      </c>
      <c r="D1852" t="str">
        <f>LEFT(M1852,10)</f>
        <v>11/15/2024</v>
      </c>
      <c r="E1852" t="s">
        <v>202</v>
      </c>
      <c r="F1852" t="s">
        <v>218</v>
      </c>
      <c r="G1852" t="s">
        <v>222</v>
      </c>
      <c r="I1852">
        <v>48</v>
      </c>
      <c r="J1852">
        <v>38.4</v>
      </c>
      <c r="K1852">
        <v>0.8</v>
      </c>
      <c r="M1852" t="s">
        <v>289</v>
      </c>
    </row>
    <row r="1853" spans="1:13" hidden="1">
      <c r="A1853" t="s">
        <v>129</v>
      </c>
      <c r="B1853" t="s">
        <v>8</v>
      </c>
      <c r="C1853" t="s">
        <v>128</v>
      </c>
      <c r="D1853" t="str">
        <f>LEFT(M1853,10)</f>
        <v>11/15/2024</v>
      </c>
      <c r="E1853" t="s">
        <v>202</v>
      </c>
      <c r="F1853" t="s">
        <v>218</v>
      </c>
      <c r="G1853" t="s">
        <v>222</v>
      </c>
      <c r="I1853">
        <v>48</v>
      </c>
      <c r="J1853">
        <v>38.4</v>
      </c>
      <c r="K1853">
        <v>0.8</v>
      </c>
      <c r="M1853" t="s">
        <v>289</v>
      </c>
    </row>
    <row r="1854" spans="1:13" hidden="1">
      <c r="A1854" t="s">
        <v>129</v>
      </c>
      <c r="B1854" t="s">
        <v>8</v>
      </c>
      <c r="C1854" t="s">
        <v>128</v>
      </c>
      <c r="D1854" t="str">
        <f>LEFT(M1854,10)</f>
        <v>11/15/2024</v>
      </c>
      <c r="E1854" t="s">
        <v>202</v>
      </c>
      <c r="F1854" t="s">
        <v>218</v>
      </c>
      <c r="G1854" t="s">
        <v>226</v>
      </c>
      <c r="I1854">
        <v>136</v>
      </c>
      <c r="J1854">
        <v>40.799999999999997</v>
      </c>
      <c r="K1854">
        <v>0.3</v>
      </c>
      <c r="M1854" t="s">
        <v>289</v>
      </c>
    </row>
    <row r="1855" spans="1:13" hidden="1">
      <c r="A1855" t="s">
        <v>129</v>
      </c>
      <c r="B1855" t="s">
        <v>8</v>
      </c>
      <c r="C1855" t="s">
        <v>128</v>
      </c>
      <c r="D1855" t="str">
        <f>LEFT(M1855,10)</f>
        <v>11/15/2024</v>
      </c>
      <c r="E1855" t="s">
        <v>202</v>
      </c>
      <c r="F1855" t="s">
        <v>203</v>
      </c>
      <c r="G1855" t="s">
        <v>207</v>
      </c>
      <c r="I1855">
        <v>7.9</v>
      </c>
      <c r="J1855">
        <v>33.97</v>
      </c>
      <c r="K1855">
        <v>4.3</v>
      </c>
      <c r="M1855" t="s">
        <v>289</v>
      </c>
    </row>
    <row r="1856" spans="1:13" hidden="1">
      <c r="A1856" t="s">
        <v>129</v>
      </c>
      <c r="B1856" t="s">
        <v>8</v>
      </c>
      <c r="C1856" t="s">
        <v>128</v>
      </c>
      <c r="D1856" t="str">
        <f>LEFT(M1856,10)</f>
        <v>11/15/2024</v>
      </c>
      <c r="E1856" t="s">
        <v>202</v>
      </c>
      <c r="F1856" t="s">
        <v>203</v>
      </c>
      <c r="G1856" t="s">
        <v>204</v>
      </c>
      <c r="I1856">
        <v>190.2</v>
      </c>
      <c r="J1856">
        <v>1521.6</v>
      </c>
      <c r="K1856">
        <v>8</v>
      </c>
      <c r="M1856" t="s">
        <v>289</v>
      </c>
    </row>
    <row r="1857" spans="1:13" hidden="1">
      <c r="A1857" t="s">
        <v>129</v>
      </c>
      <c r="B1857" t="s">
        <v>8</v>
      </c>
      <c r="C1857" t="s">
        <v>128</v>
      </c>
      <c r="D1857" t="str">
        <f>LEFT(M1857,10)</f>
        <v>11/15/2024</v>
      </c>
      <c r="E1857" t="s">
        <v>202</v>
      </c>
      <c r="F1857" t="s">
        <v>203</v>
      </c>
      <c r="G1857" t="s">
        <v>235</v>
      </c>
      <c r="I1857">
        <v>14.1</v>
      </c>
      <c r="J1857">
        <v>70.5</v>
      </c>
      <c r="K1857">
        <v>5</v>
      </c>
      <c r="M1857" t="s">
        <v>289</v>
      </c>
    </row>
    <row r="1858" spans="1:13" hidden="1">
      <c r="A1858" t="s">
        <v>129</v>
      </c>
      <c r="B1858" t="s">
        <v>8</v>
      </c>
      <c r="C1858" t="s">
        <v>128</v>
      </c>
      <c r="D1858" t="str">
        <f>LEFT(M1858,10)</f>
        <v>11/15/2024</v>
      </c>
      <c r="E1858" t="s">
        <v>202</v>
      </c>
      <c r="F1858" t="s">
        <v>203</v>
      </c>
      <c r="G1858" t="s">
        <v>208</v>
      </c>
      <c r="I1858">
        <v>55.3</v>
      </c>
      <c r="J1858">
        <v>442.4</v>
      </c>
      <c r="K1858">
        <v>8</v>
      </c>
      <c r="M1858" t="s">
        <v>289</v>
      </c>
    </row>
    <row r="1859" spans="1:13" hidden="1">
      <c r="A1859" t="s">
        <v>129</v>
      </c>
      <c r="B1859" t="s">
        <v>8</v>
      </c>
      <c r="C1859" t="s">
        <v>128</v>
      </c>
      <c r="D1859" t="str">
        <f>LEFT(M1859,10)</f>
        <v>11/15/2024</v>
      </c>
      <c r="E1859" t="s">
        <v>202</v>
      </c>
      <c r="F1859" t="s">
        <v>203</v>
      </c>
      <c r="G1859" t="s">
        <v>260</v>
      </c>
      <c r="I1859">
        <v>15.8</v>
      </c>
      <c r="J1859">
        <v>505.6</v>
      </c>
      <c r="K1859">
        <v>32</v>
      </c>
      <c r="M1859" t="s">
        <v>289</v>
      </c>
    </row>
    <row r="1860" spans="1:13" hidden="1">
      <c r="A1860" t="s">
        <v>129</v>
      </c>
      <c r="B1860" t="s">
        <v>8</v>
      </c>
      <c r="C1860" t="s">
        <v>128</v>
      </c>
      <c r="D1860" t="str">
        <f>LEFT(M1860,10)</f>
        <v>11/15/2024</v>
      </c>
      <c r="E1860" t="s">
        <v>202</v>
      </c>
      <c r="F1860" t="s">
        <v>203</v>
      </c>
      <c r="G1860" t="s">
        <v>206</v>
      </c>
      <c r="I1860">
        <v>11.5</v>
      </c>
      <c r="J1860">
        <v>37.950000000000003</v>
      </c>
      <c r="K1860">
        <v>3.3</v>
      </c>
      <c r="M1860" t="s">
        <v>289</v>
      </c>
    </row>
    <row r="1861" spans="1:13" hidden="1">
      <c r="A1861" t="s">
        <v>129</v>
      </c>
      <c r="B1861" t="s">
        <v>8</v>
      </c>
      <c r="C1861" t="s">
        <v>128</v>
      </c>
      <c r="D1861" t="str">
        <f>LEFT(M1861,10)</f>
        <v>11/15/2024</v>
      </c>
      <c r="E1861" t="s">
        <v>202</v>
      </c>
      <c r="F1861" t="s">
        <v>203</v>
      </c>
      <c r="G1861" t="s">
        <v>236</v>
      </c>
      <c r="I1861">
        <v>870</v>
      </c>
      <c r="J1861">
        <v>696</v>
      </c>
      <c r="K1861">
        <v>0.8</v>
      </c>
      <c r="M1861" t="s">
        <v>289</v>
      </c>
    </row>
    <row r="1862" spans="1:13" hidden="1">
      <c r="A1862" t="s">
        <v>130</v>
      </c>
      <c r="B1862" t="s">
        <v>8</v>
      </c>
      <c r="C1862" t="s">
        <v>60</v>
      </c>
      <c r="D1862" t="str">
        <f>LEFT(M1862,10)</f>
        <v>11/15/2024</v>
      </c>
      <c r="E1862" t="s">
        <v>202</v>
      </c>
      <c r="F1862" t="s">
        <v>227</v>
      </c>
      <c r="G1862" t="s">
        <v>237</v>
      </c>
      <c r="I1862">
        <v>4660</v>
      </c>
      <c r="J1862">
        <v>2097</v>
      </c>
      <c r="K1862">
        <v>0.45</v>
      </c>
      <c r="M1862" t="s">
        <v>289</v>
      </c>
    </row>
    <row r="1863" spans="1:13" hidden="1">
      <c r="A1863" t="s">
        <v>130</v>
      </c>
      <c r="B1863" t="s">
        <v>8</v>
      </c>
      <c r="C1863" t="s">
        <v>60</v>
      </c>
      <c r="D1863" t="str">
        <f>LEFT(M1863,10)</f>
        <v>11/15/2024</v>
      </c>
      <c r="E1863" t="s">
        <v>202</v>
      </c>
      <c r="F1863" t="s">
        <v>227</v>
      </c>
      <c r="G1863" t="s">
        <v>229</v>
      </c>
      <c r="I1863">
        <v>23489</v>
      </c>
      <c r="J1863">
        <v>15267.85</v>
      </c>
      <c r="K1863">
        <v>0.65</v>
      </c>
      <c r="M1863" t="s">
        <v>289</v>
      </c>
    </row>
    <row r="1864" spans="1:13" hidden="1">
      <c r="A1864" t="s">
        <v>130</v>
      </c>
      <c r="B1864" t="s">
        <v>8</v>
      </c>
      <c r="C1864" t="s">
        <v>60</v>
      </c>
      <c r="D1864" t="str">
        <f>LEFT(M1864,10)</f>
        <v>11/15/2024</v>
      </c>
      <c r="E1864" t="s">
        <v>202</v>
      </c>
      <c r="F1864" t="s">
        <v>227</v>
      </c>
      <c r="G1864" t="s">
        <v>229</v>
      </c>
      <c r="I1864">
        <v>7712.6</v>
      </c>
      <c r="J1864">
        <v>5784.45</v>
      </c>
      <c r="K1864">
        <v>0.75</v>
      </c>
      <c r="M1864" t="s">
        <v>289</v>
      </c>
    </row>
    <row r="1865" spans="1:13" hidden="1">
      <c r="A1865" t="s">
        <v>130</v>
      </c>
      <c r="B1865" t="s">
        <v>8</v>
      </c>
      <c r="C1865" t="s">
        <v>60</v>
      </c>
      <c r="D1865" t="str">
        <f>LEFT(M1865,10)</f>
        <v>11/15/2024</v>
      </c>
      <c r="E1865" t="s">
        <v>202</v>
      </c>
      <c r="F1865" t="s">
        <v>227</v>
      </c>
      <c r="G1865" t="s">
        <v>238</v>
      </c>
      <c r="I1865">
        <v>828</v>
      </c>
      <c r="J1865">
        <v>331.2</v>
      </c>
      <c r="K1865">
        <v>0.4</v>
      </c>
      <c r="M1865" t="s">
        <v>289</v>
      </c>
    </row>
    <row r="1866" spans="1:13" hidden="1">
      <c r="A1866" t="s">
        <v>130</v>
      </c>
      <c r="B1866" t="s">
        <v>8</v>
      </c>
      <c r="C1866" t="s">
        <v>60</v>
      </c>
      <c r="D1866" t="str">
        <f>LEFT(M1866,10)</f>
        <v>11/15/2024</v>
      </c>
      <c r="E1866" t="s">
        <v>202</v>
      </c>
      <c r="F1866" t="s">
        <v>227</v>
      </c>
      <c r="G1866" t="s">
        <v>252</v>
      </c>
      <c r="I1866">
        <v>1123</v>
      </c>
      <c r="J1866">
        <v>336.9</v>
      </c>
      <c r="K1866">
        <v>0.3</v>
      </c>
      <c r="M1866" t="s">
        <v>289</v>
      </c>
    </row>
    <row r="1867" spans="1:13" hidden="1">
      <c r="A1867" t="s">
        <v>130</v>
      </c>
      <c r="B1867" t="s">
        <v>8</v>
      </c>
      <c r="C1867" t="s">
        <v>60</v>
      </c>
      <c r="D1867" t="str">
        <f>LEFT(M1867,10)</f>
        <v>11/15/2024</v>
      </c>
      <c r="E1867" t="s">
        <v>202</v>
      </c>
      <c r="F1867" t="s">
        <v>218</v>
      </c>
      <c r="G1867" t="s">
        <v>221</v>
      </c>
      <c r="I1867">
        <v>2006.8</v>
      </c>
      <c r="J1867">
        <v>3210.88</v>
      </c>
      <c r="K1867">
        <v>1.6</v>
      </c>
      <c r="M1867" t="s">
        <v>289</v>
      </c>
    </row>
    <row r="1868" spans="1:13" hidden="1">
      <c r="A1868" t="s">
        <v>130</v>
      </c>
      <c r="B1868" t="s">
        <v>8</v>
      </c>
      <c r="C1868" t="s">
        <v>60</v>
      </c>
      <c r="D1868" t="str">
        <f>LEFT(M1868,10)</f>
        <v>11/15/2024</v>
      </c>
      <c r="E1868" t="s">
        <v>202</v>
      </c>
      <c r="F1868" t="s">
        <v>218</v>
      </c>
      <c r="G1868" t="s">
        <v>220</v>
      </c>
      <c r="I1868">
        <v>3045.2</v>
      </c>
      <c r="J1868">
        <v>4567.8</v>
      </c>
      <c r="K1868">
        <v>1.5</v>
      </c>
      <c r="M1868" t="s">
        <v>289</v>
      </c>
    </row>
    <row r="1869" spans="1:13" hidden="1">
      <c r="A1869" t="s">
        <v>130</v>
      </c>
      <c r="B1869" t="s">
        <v>8</v>
      </c>
      <c r="C1869" t="s">
        <v>60</v>
      </c>
      <c r="D1869" t="str">
        <f>LEFT(M1869,10)</f>
        <v>11/15/2024</v>
      </c>
      <c r="E1869" t="s">
        <v>202</v>
      </c>
      <c r="F1869" t="s">
        <v>218</v>
      </c>
      <c r="G1869" t="s">
        <v>223</v>
      </c>
      <c r="I1869">
        <v>2986.4</v>
      </c>
      <c r="J1869">
        <v>1493.2</v>
      </c>
      <c r="K1869">
        <v>0.5</v>
      </c>
      <c r="M1869" t="s">
        <v>289</v>
      </c>
    </row>
    <row r="1870" spans="1:13" hidden="1">
      <c r="A1870" t="s">
        <v>130</v>
      </c>
      <c r="B1870" t="s">
        <v>8</v>
      </c>
      <c r="C1870" t="s">
        <v>60</v>
      </c>
      <c r="D1870" t="str">
        <f>LEFT(M1870,10)</f>
        <v>11/15/2024</v>
      </c>
      <c r="E1870" t="s">
        <v>202</v>
      </c>
      <c r="F1870" t="s">
        <v>218</v>
      </c>
      <c r="G1870" t="s">
        <v>240</v>
      </c>
      <c r="I1870">
        <v>2396.1999999999998</v>
      </c>
      <c r="J1870">
        <v>8626.32</v>
      </c>
      <c r="K1870">
        <v>3.6</v>
      </c>
      <c r="M1870" t="s">
        <v>289</v>
      </c>
    </row>
    <row r="1871" spans="1:13" hidden="1">
      <c r="A1871" t="s">
        <v>130</v>
      </c>
      <c r="B1871" t="s">
        <v>8</v>
      </c>
      <c r="C1871" t="s">
        <v>60</v>
      </c>
      <c r="D1871" t="str">
        <f>LEFT(M1871,10)</f>
        <v>11/15/2024</v>
      </c>
      <c r="E1871" t="s">
        <v>202</v>
      </c>
      <c r="F1871" t="s">
        <v>218</v>
      </c>
      <c r="G1871" t="s">
        <v>240</v>
      </c>
      <c r="I1871">
        <v>1362</v>
      </c>
      <c r="J1871">
        <v>5175.6000000000004</v>
      </c>
      <c r="K1871">
        <v>3.8</v>
      </c>
      <c r="M1871" t="s">
        <v>289</v>
      </c>
    </row>
    <row r="1872" spans="1:13" hidden="1">
      <c r="A1872" t="s">
        <v>130</v>
      </c>
      <c r="B1872" t="s">
        <v>8</v>
      </c>
      <c r="C1872" t="s">
        <v>60</v>
      </c>
      <c r="D1872" t="str">
        <f>LEFT(M1872,10)</f>
        <v>11/15/2024</v>
      </c>
      <c r="E1872" t="s">
        <v>202</v>
      </c>
      <c r="F1872" t="s">
        <v>218</v>
      </c>
      <c r="G1872" t="s">
        <v>242</v>
      </c>
      <c r="I1872">
        <v>155.6</v>
      </c>
      <c r="J1872">
        <v>77.8</v>
      </c>
      <c r="K1872">
        <v>0.5</v>
      </c>
      <c r="M1872" t="s">
        <v>289</v>
      </c>
    </row>
    <row r="1873" spans="1:13" hidden="1">
      <c r="A1873" t="s">
        <v>130</v>
      </c>
      <c r="B1873" t="s">
        <v>8</v>
      </c>
      <c r="C1873" t="s">
        <v>60</v>
      </c>
      <c r="D1873" t="str">
        <f>LEFT(M1873,10)</f>
        <v>11/15/2024</v>
      </c>
      <c r="E1873" t="s">
        <v>202</v>
      </c>
      <c r="F1873" t="s">
        <v>218</v>
      </c>
      <c r="G1873" t="s">
        <v>239</v>
      </c>
      <c r="I1873">
        <v>220</v>
      </c>
      <c r="J1873">
        <v>264</v>
      </c>
      <c r="K1873">
        <v>1.2</v>
      </c>
      <c r="M1873" t="s">
        <v>289</v>
      </c>
    </row>
    <row r="1874" spans="1:13" hidden="1">
      <c r="A1874" t="s">
        <v>130</v>
      </c>
      <c r="B1874" t="s">
        <v>8</v>
      </c>
      <c r="C1874" t="s">
        <v>60</v>
      </c>
      <c r="D1874" t="str">
        <f>LEFT(M1874,10)</f>
        <v>11/15/2024</v>
      </c>
      <c r="E1874" t="s">
        <v>202</v>
      </c>
      <c r="F1874" t="s">
        <v>218</v>
      </c>
      <c r="G1874" t="s">
        <v>222</v>
      </c>
      <c r="I1874">
        <v>2024.2</v>
      </c>
      <c r="J1874">
        <v>1922.99</v>
      </c>
      <c r="K1874">
        <v>0.95</v>
      </c>
      <c r="M1874" t="s">
        <v>289</v>
      </c>
    </row>
    <row r="1875" spans="1:13" hidden="1">
      <c r="A1875" t="s">
        <v>130</v>
      </c>
      <c r="B1875" t="s">
        <v>8</v>
      </c>
      <c r="C1875" t="s">
        <v>60</v>
      </c>
      <c r="D1875" t="str">
        <f>LEFT(M1875,10)</f>
        <v>11/15/2024</v>
      </c>
      <c r="E1875" t="s">
        <v>202</v>
      </c>
      <c r="F1875" t="s">
        <v>218</v>
      </c>
      <c r="G1875" t="s">
        <v>222</v>
      </c>
      <c r="I1875">
        <v>412</v>
      </c>
      <c r="J1875">
        <v>454.08</v>
      </c>
      <c r="K1875">
        <v>1.1000000000000001</v>
      </c>
      <c r="M1875" t="s">
        <v>289</v>
      </c>
    </row>
    <row r="1876" spans="1:13" hidden="1">
      <c r="A1876" t="s">
        <v>130</v>
      </c>
      <c r="B1876" t="s">
        <v>8</v>
      </c>
      <c r="C1876" t="s">
        <v>60</v>
      </c>
      <c r="D1876" t="str">
        <f>LEFT(M1876,10)</f>
        <v>11/15/2024</v>
      </c>
      <c r="E1876" t="s">
        <v>202</v>
      </c>
      <c r="F1876" t="s">
        <v>218</v>
      </c>
      <c r="G1876" t="s">
        <v>226</v>
      </c>
      <c r="I1876">
        <v>394</v>
      </c>
      <c r="J1876">
        <v>59.1</v>
      </c>
      <c r="K1876">
        <v>0.15</v>
      </c>
      <c r="M1876" t="s">
        <v>289</v>
      </c>
    </row>
    <row r="1877" spans="1:13" hidden="1">
      <c r="A1877" t="s">
        <v>130</v>
      </c>
      <c r="B1877" t="s">
        <v>8</v>
      </c>
      <c r="C1877" t="s">
        <v>60</v>
      </c>
      <c r="D1877" t="str">
        <f>LEFT(M1877,10)</f>
        <v>11/15/2024</v>
      </c>
      <c r="E1877" t="s">
        <v>202</v>
      </c>
      <c r="F1877" t="s">
        <v>203</v>
      </c>
      <c r="G1877" t="s">
        <v>207</v>
      </c>
      <c r="I1877">
        <v>49.5</v>
      </c>
      <c r="J1877">
        <v>297</v>
      </c>
      <c r="K1877">
        <v>6</v>
      </c>
      <c r="M1877" t="s">
        <v>289</v>
      </c>
    </row>
    <row r="1878" spans="1:13" hidden="1">
      <c r="A1878" t="s">
        <v>130</v>
      </c>
      <c r="B1878" t="s">
        <v>8</v>
      </c>
      <c r="C1878" t="s">
        <v>60</v>
      </c>
      <c r="D1878" t="str">
        <f>LEFT(M1878,10)</f>
        <v>11/15/2024</v>
      </c>
      <c r="E1878" t="s">
        <v>202</v>
      </c>
      <c r="F1878" t="s">
        <v>203</v>
      </c>
      <c r="G1878" t="s">
        <v>204</v>
      </c>
      <c r="I1878">
        <v>277.7</v>
      </c>
      <c r="J1878">
        <v>2277.14</v>
      </c>
      <c r="K1878">
        <v>8.1999999999999993</v>
      </c>
      <c r="M1878" t="s">
        <v>289</v>
      </c>
    </row>
    <row r="1879" spans="1:13" hidden="1">
      <c r="A1879" t="s">
        <v>130</v>
      </c>
      <c r="B1879" t="s">
        <v>8</v>
      </c>
      <c r="C1879" t="s">
        <v>60</v>
      </c>
      <c r="D1879" t="str">
        <f>LEFT(M1879,10)</f>
        <v>11/15/2024</v>
      </c>
      <c r="E1879" t="s">
        <v>202</v>
      </c>
      <c r="F1879" t="s">
        <v>203</v>
      </c>
      <c r="G1879" t="s">
        <v>204</v>
      </c>
      <c r="I1879">
        <v>382.6</v>
      </c>
      <c r="J1879">
        <v>3060.8</v>
      </c>
      <c r="K1879">
        <v>8</v>
      </c>
      <c r="M1879" t="s">
        <v>289</v>
      </c>
    </row>
    <row r="1880" spans="1:13" hidden="1">
      <c r="A1880" t="s">
        <v>130</v>
      </c>
      <c r="B1880" t="s">
        <v>8</v>
      </c>
      <c r="C1880" t="s">
        <v>60</v>
      </c>
      <c r="D1880" t="str">
        <f>LEFT(M1880,10)</f>
        <v>11/15/2024</v>
      </c>
      <c r="E1880" t="s">
        <v>202</v>
      </c>
      <c r="F1880" t="s">
        <v>203</v>
      </c>
      <c r="G1880" t="s">
        <v>208</v>
      </c>
      <c r="I1880">
        <v>31.3</v>
      </c>
      <c r="J1880">
        <v>281.7</v>
      </c>
      <c r="K1880">
        <v>9</v>
      </c>
      <c r="M1880" t="s">
        <v>289</v>
      </c>
    </row>
    <row r="1881" spans="1:13" hidden="1">
      <c r="A1881" t="s">
        <v>130</v>
      </c>
      <c r="B1881" t="s">
        <v>8</v>
      </c>
      <c r="C1881" t="s">
        <v>60</v>
      </c>
      <c r="D1881" t="str">
        <f>LEFT(M1881,10)</f>
        <v>11/15/2024</v>
      </c>
      <c r="E1881" t="s">
        <v>202</v>
      </c>
      <c r="F1881" t="s">
        <v>203</v>
      </c>
      <c r="G1881" t="s">
        <v>235</v>
      </c>
      <c r="I1881">
        <v>13.6</v>
      </c>
      <c r="J1881">
        <v>81.599999999999994</v>
      </c>
      <c r="K1881">
        <v>6</v>
      </c>
      <c r="M1881" t="s">
        <v>289</v>
      </c>
    </row>
    <row r="1882" spans="1:13" hidden="1">
      <c r="A1882" t="s">
        <v>130</v>
      </c>
      <c r="B1882" t="s">
        <v>8</v>
      </c>
      <c r="C1882" t="s">
        <v>60</v>
      </c>
      <c r="D1882" t="str">
        <f>LEFT(M1882,10)</f>
        <v>11/15/2024</v>
      </c>
      <c r="E1882" t="s">
        <v>202</v>
      </c>
      <c r="F1882" t="s">
        <v>203</v>
      </c>
      <c r="G1882" t="s">
        <v>259</v>
      </c>
      <c r="I1882">
        <v>13.5</v>
      </c>
      <c r="J1882">
        <v>128.25</v>
      </c>
      <c r="K1882">
        <v>9.5</v>
      </c>
      <c r="M1882" t="s">
        <v>289</v>
      </c>
    </row>
    <row r="1883" spans="1:13" hidden="1">
      <c r="A1883" t="s">
        <v>130</v>
      </c>
      <c r="B1883" t="s">
        <v>8</v>
      </c>
      <c r="C1883" t="s">
        <v>60</v>
      </c>
      <c r="D1883" t="str">
        <f>LEFT(M1883,10)</f>
        <v>11/15/2024</v>
      </c>
      <c r="E1883" t="s">
        <v>202</v>
      </c>
      <c r="F1883" t="s">
        <v>203</v>
      </c>
      <c r="G1883" t="s">
        <v>259</v>
      </c>
      <c r="I1883">
        <v>25</v>
      </c>
      <c r="J1883">
        <v>262.5</v>
      </c>
      <c r="K1883">
        <v>10.5</v>
      </c>
      <c r="M1883" t="s">
        <v>289</v>
      </c>
    </row>
    <row r="1884" spans="1:13" hidden="1">
      <c r="A1884" t="s">
        <v>130</v>
      </c>
      <c r="B1884" t="s">
        <v>8</v>
      </c>
      <c r="C1884" t="s">
        <v>60</v>
      </c>
      <c r="D1884" t="str">
        <f>LEFT(M1884,10)</f>
        <v>11/15/2024</v>
      </c>
      <c r="E1884" t="s">
        <v>202</v>
      </c>
      <c r="F1884" t="s">
        <v>203</v>
      </c>
      <c r="G1884" t="s">
        <v>259</v>
      </c>
      <c r="I1884">
        <v>5.6</v>
      </c>
      <c r="J1884">
        <v>36.4</v>
      </c>
      <c r="K1884">
        <v>6.5</v>
      </c>
      <c r="M1884" t="s">
        <v>289</v>
      </c>
    </row>
    <row r="1885" spans="1:13" hidden="1">
      <c r="A1885" t="s">
        <v>130</v>
      </c>
      <c r="B1885" t="s">
        <v>8</v>
      </c>
      <c r="C1885" t="s">
        <v>60</v>
      </c>
      <c r="D1885" t="str">
        <f>LEFT(M1885,10)</f>
        <v>11/15/2024</v>
      </c>
      <c r="E1885" t="s">
        <v>202</v>
      </c>
      <c r="F1885" t="s">
        <v>203</v>
      </c>
      <c r="G1885" t="s">
        <v>259</v>
      </c>
      <c r="I1885">
        <v>9</v>
      </c>
      <c r="J1885">
        <v>189</v>
      </c>
      <c r="K1885">
        <v>21</v>
      </c>
      <c r="M1885" t="s">
        <v>289</v>
      </c>
    </row>
    <row r="1886" spans="1:13" hidden="1">
      <c r="A1886" t="s">
        <v>130</v>
      </c>
      <c r="B1886" t="s">
        <v>8</v>
      </c>
      <c r="C1886" t="s">
        <v>60</v>
      </c>
      <c r="D1886" t="str">
        <f>LEFT(M1886,10)</f>
        <v>11/15/2024</v>
      </c>
      <c r="E1886" t="s">
        <v>202</v>
      </c>
      <c r="F1886" t="s">
        <v>203</v>
      </c>
      <c r="G1886" t="s">
        <v>206</v>
      </c>
      <c r="I1886">
        <v>2.8</v>
      </c>
      <c r="J1886">
        <v>11.2</v>
      </c>
      <c r="K1886">
        <v>4</v>
      </c>
      <c r="M1886" t="s">
        <v>289</v>
      </c>
    </row>
    <row r="1887" spans="1:13" hidden="1">
      <c r="A1887" t="s">
        <v>130</v>
      </c>
      <c r="B1887" t="s">
        <v>8</v>
      </c>
      <c r="C1887" t="s">
        <v>60</v>
      </c>
      <c r="D1887" t="str">
        <f>LEFT(M1887,10)</f>
        <v>11/15/2024</v>
      </c>
      <c r="E1887" t="s">
        <v>202</v>
      </c>
      <c r="F1887" t="s">
        <v>203</v>
      </c>
      <c r="G1887" t="s">
        <v>259</v>
      </c>
      <c r="I1887">
        <v>52.5</v>
      </c>
      <c r="J1887">
        <v>446.25</v>
      </c>
      <c r="K1887">
        <v>8.5</v>
      </c>
      <c r="M1887" t="s">
        <v>289</v>
      </c>
    </row>
    <row r="1888" spans="1:13" hidden="1">
      <c r="A1888" t="s">
        <v>130</v>
      </c>
      <c r="B1888" t="s">
        <v>8</v>
      </c>
      <c r="C1888" t="s">
        <v>60</v>
      </c>
      <c r="D1888" t="str">
        <f>LEFT(M1888,10)</f>
        <v>11/15/2024</v>
      </c>
      <c r="E1888" t="s">
        <v>202</v>
      </c>
      <c r="F1888" t="s">
        <v>203</v>
      </c>
      <c r="G1888" t="s">
        <v>259</v>
      </c>
      <c r="I1888">
        <v>92</v>
      </c>
      <c r="J1888">
        <v>736</v>
      </c>
      <c r="K1888">
        <v>8</v>
      </c>
      <c r="M1888" t="s">
        <v>289</v>
      </c>
    </row>
    <row r="1889" spans="1:13" hidden="1">
      <c r="A1889" t="s">
        <v>130</v>
      </c>
      <c r="B1889" t="s">
        <v>8</v>
      </c>
      <c r="C1889" t="s">
        <v>60</v>
      </c>
      <c r="D1889" t="str">
        <f>LEFT(M1889,10)</f>
        <v>11/15/2024</v>
      </c>
      <c r="E1889" t="s">
        <v>202</v>
      </c>
      <c r="F1889" t="s">
        <v>203</v>
      </c>
      <c r="G1889" t="s">
        <v>215</v>
      </c>
      <c r="I1889">
        <v>2800</v>
      </c>
      <c r="J1889">
        <v>1680</v>
      </c>
      <c r="K1889">
        <v>0.6</v>
      </c>
      <c r="M1889" t="s">
        <v>289</v>
      </c>
    </row>
    <row r="1890" spans="1:13" hidden="1">
      <c r="A1890" t="s">
        <v>130</v>
      </c>
      <c r="B1890" t="s">
        <v>8</v>
      </c>
      <c r="C1890" t="s">
        <v>60</v>
      </c>
      <c r="D1890" t="str">
        <f>LEFT(M1890,10)</f>
        <v>11/15/2024</v>
      </c>
      <c r="E1890" t="s">
        <v>202</v>
      </c>
      <c r="F1890" t="s">
        <v>216</v>
      </c>
      <c r="G1890" t="s">
        <v>217</v>
      </c>
      <c r="I1890">
        <v>64473.5</v>
      </c>
      <c r="J1890">
        <v>3546.04</v>
      </c>
      <c r="K1890">
        <v>0.05</v>
      </c>
      <c r="M1890" t="s">
        <v>289</v>
      </c>
    </row>
    <row r="1891" spans="1:13" hidden="1">
      <c r="A1891" t="s">
        <v>130</v>
      </c>
      <c r="B1891" t="s">
        <v>8</v>
      </c>
      <c r="C1891" t="s">
        <v>60</v>
      </c>
      <c r="D1891" t="str">
        <f>LEFT(M1891,10)</f>
        <v>11/15/2024</v>
      </c>
      <c r="E1891" t="s">
        <v>230</v>
      </c>
      <c r="F1891" t="s">
        <v>323</v>
      </c>
      <c r="I1891">
        <v>0</v>
      </c>
      <c r="J1891">
        <v>1600</v>
      </c>
      <c r="L1891" t="s">
        <v>426</v>
      </c>
      <c r="M1891" t="s">
        <v>289</v>
      </c>
    </row>
    <row r="1892" spans="1:13" hidden="1">
      <c r="A1892" t="s">
        <v>130</v>
      </c>
      <c r="B1892" t="s">
        <v>8</v>
      </c>
      <c r="C1892" t="s">
        <v>60</v>
      </c>
      <c r="D1892" t="str">
        <f>LEFT(M1892,10)</f>
        <v>11/15/2024</v>
      </c>
      <c r="E1892" t="s">
        <v>232</v>
      </c>
      <c r="F1892" t="s">
        <v>262</v>
      </c>
      <c r="I1892">
        <v>0</v>
      </c>
      <c r="J1892">
        <v>6265</v>
      </c>
      <c r="M1892" t="s">
        <v>289</v>
      </c>
    </row>
    <row r="1893" spans="1:13" hidden="1">
      <c r="A1893" t="s">
        <v>130</v>
      </c>
      <c r="B1893" t="s">
        <v>8</v>
      </c>
      <c r="C1893" t="s">
        <v>60</v>
      </c>
      <c r="D1893" t="str">
        <f>LEFT(M1893,10)</f>
        <v>11/15/2024</v>
      </c>
      <c r="E1893" t="s">
        <v>232</v>
      </c>
      <c r="F1893" t="s">
        <v>286</v>
      </c>
      <c r="I1893">
        <v>0</v>
      </c>
      <c r="J1893">
        <v>816.59</v>
      </c>
      <c r="M1893" t="s">
        <v>289</v>
      </c>
    </row>
    <row r="1894" spans="1:13" hidden="1">
      <c r="A1894" t="s">
        <v>130</v>
      </c>
      <c r="B1894" t="s">
        <v>8</v>
      </c>
      <c r="C1894" t="s">
        <v>60</v>
      </c>
      <c r="D1894" t="str">
        <f>LEFT(M1894,10)</f>
        <v>11/15/2024</v>
      </c>
      <c r="E1894" t="s">
        <v>232</v>
      </c>
      <c r="F1894" t="s">
        <v>296</v>
      </c>
      <c r="I1894">
        <v>0</v>
      </c>
      <c r="J1894">
        <v>681</v>
      </c>
      <c r="M1894" t="s">
        <v>289</v>
      </c>
    </row>
    <row r="1895" spans="1:13" hidden="1">
      <c r="A1895" t="s">
        <v>130</v>
      </c>
      <c r="B1895" t="s">
        <v>8</v>
      </c>
      <c r="C1895" t="s">
        <v>60</v>
      </c>
      <c r="D1895" t="str">
        <f>LEFT(M1895,10)</f>
        <v>11/15/2024</v>
      </c>
      <c r="E1895" t="s">
        <v>232</v>
      </c>
      <c r="F1895" t="s">
        <v>250</v>
      </c>
      <c r="I1895">
        <v>0</v>
      </c>
      <c r="J1895">
        <v>6572.53</v>
      </c>
      <c r="M1895" t="s">
        <v>289</v>
      </c>
    </row>
    <row r="1896" spans="1:13" hidden="1">
      <c r="A1896" t="s">
        <v>130</v>
      </c>
      <c r="B1896" t="s">
        <v>8</v>
      </c>
      <c r="C1896" t="s">
        <v>60</v>
      </c>
      <c r="D1896" t="str">
        <f>LEFT(M1896,10)</f>
        <v>11/15/2024</v>
      </c>
      <c r="E1896" t="s">
        <v>232</v>
      </c>
      <c r="F1896" t="s">
        <v>251</v>
      </c>
      <c r="I1896">
        <v>0</v>
      </c>
      <c r="J1896">
        <v>1290</v>
      </c>
      <c r="M1896" t="s">
        <v>289</v>
      </c>
    </row>
    <row r="1897" spans="1:13" hidden="1">
      <c r="A1897" t="s">
        <v>130</v>
      </c>
      <c r="B1897" t="s">
        <v>8</v>
      </c>
      <c r="C1897" t="s">
        <v>60</v>
      </c>
      <c r="D1897" t="str">
        <f>LEFT(M1897,10)</f>
        <v>11/15/2024</v>
      </c>
      <c r="E1897" t="s">
        <v>232</v>
      </c>
      <c r="F1897" t="s">
        <v>233</v>
      </c>
      <c r="I1897">
        <v>0</v>
      </c>
      <c r="J1897">
        <v>3927</v>
      </c>
      <c r="M1897" t="s">
        <v>289</v>
      </c>
    </row>
    <row r="1898" spans="1:13" hidden="1">
      <c r="A1898" t="s">
        <v>130</v>
      </c>
      <c r="B1898" t="s">
        <v>8</v>
      </c>
      <c r="C1898" t="s">
        <v>60</v>
      </c>
      <c r="D1898" t="str">
        <f>LEFT(M1898,10)</f>
        <v>11/15/2024</v>
      </c>
      <c r="E1898" t="s">
        <v>230</v>
      </c>
      <c r="F1898" t="s">
        <v>231</v>
      </c>
      <c r="I1898">
        <v>0</v>
      </c>
      <c r="J1898">
        <v>23012.5</v>
      </c>
      <c r="M1898" t="s">
        <v>289</v>
      </c>
    </row>
    <row r="1899" spans="1:13" hidden="1">
      <c r="A1899" t="s">
        <v>130</v>
      </c>
      <c r="B1899" t="s">
        <v>8</v>
      </c>
      <c r="C1899" t="s">
        <v>60</v>
      </c>
      <c r="D1899" t="str">
        <f>LEFT(M1899,10)</f>
        <v>11/15/2024</v>
      </c>
      <c r="E1899" t="s">
        <v>232</v>
      </c>
      <c r="F1899" t="s">
        <v>251</v>
      </c>
      <c r="I1899">
        <v>0</v>
      </c>
      <c r="J1899">
        <v>21200</v>
      </c>
      <c r="M1899" t="s">
        <v>289</v>
      </c>
    </row>
    <row r="1900" spans="1:13" hidden="1">
      <c r="A1900" t="s">
        <v>130</v>
      </c>
      <c r="B1900" t="s">
        <v>8</v>
      </c>
      <c r="C1900" t="s">
        <v>60</v>
      </c>
      <c r="D1900" t="str">
        <f>LEFT(M1900,10)</f>
        <v>11/15/2024</v>
      </c>
      <c r="E1900" t="s">
        <v>234</v>
      </c>
      <c r="F1900" t="s">
        <v>234</v>
      </c>
      <c r="I1900">
        <v>12060</v>
      </c>
      <c r="M1900" t="s">
        <v>289</v>
      </c>
    </row>
    <row r="1901" spans="1:13" hidden="1">
      <c r="A1901" t="s">
        <v>131</v>
      </c>
      <c r="B1901" t="s">
        <v>8</v>
      </c>
      <c r="C1901" t="s">
        <v>28</v>
      </c>
      <c r="D1901" t="str">
        <f>LEFT(M1901,10)</f>
        <v>11/15/2024</v>
      </c>
      <c r="E1901" t="s">
        <v>202</v>
      </c>
      <c r="F1901" t="s">
        <v>227</v>
      </c>
      <c r="G1901" t="s">
        <v>229</v>
      </c>
      <c r="I1901">
        <v>2825</v>
      </c>
      <c r="J1901">
        <v>1977.5</v>
      </c>
      <c r="K1901">
        <v>0.7</v>
      </c>
      <c r="M1901" t="s">
        <v>289</v>
      </c>
    </row>
    <row r="1902" spans="1:13" hidden="1">
      <c r="A1902" t="s">
        <v>131</v>
      </c>
      <c r="B1902" t="s">
        <v>8</v>
      </c>
      <c r="C1902" t="s">
        <v>28</v>
      </c>
      <c r="D1902" t="str">
        <f>LEFT(M1902,10)</f>
        <v>11/15/2024</v>
      </c>
      <c r="E1902" t="s">
        <v>202</v>
      </c>
      <c r="F1902" t="s">
        <v>218</v>
      </c>
      <c r="G1902" t="s">
        <v>220</v>
      </c>
      <c r="I1902">
        <v>412</v>
      </c>
      <c r="J1902">
        <v>535.6</v>
      </c>
      <c r="K1902">
        <v>1.3</v>
      </c>
      <c r="M1902" t="s">
        <v>289</v>
      </c>
    </row>
    <row r="1903" spans="1:13" hidden="1">
      <c r="A1903" t="s">
        <v>131</v>
      </c>
      <c r="B1903" t="s">
        <v>8</v>
      </c>
      <c r="C1903" t="s">
        <v>28</v>
      </c>
      <c r="D1903" t="str">
        <f>LEFT(M1903,10)</f>
        <v>11/15/2024</v>
      </c>
      <c r="E1903" t="s">
        <v>202</v>
      </c>
      <c r="F1903" t="s">
        <v>218</v>
      </c>
      <c r="G1903" t="s">
        <v>223</v>
      </c>
      <c r="I1903">
        <v>240</v>
      </c>
      <c r="J1903">
        <v>96</v>
      </c>
      <c r="K1903">
        <v>0.4</v>
      </c>
      <c r="M1903" t="s">
        <v>289</v>
      </c>
    </row>
    <row r="1904" spans="1:13" hidden="1">
      <c r="A1904" t="s">
        <v>131</v>
      </c>
      <c r="B1904" t="s">
        <v>8</v>
      </c>
      <c r="C1904" t="s">
        <v>28</v>
      </c>
      <c r="D1904" t="str">
        <f>LEFT(M1904,10)</f>
        <v>11/15/2024</v>
      </c>
      <c r="E1904" t="s">
        <v>202</v>
      </c>
      <c r="F1904" t="s">
        <v>218</v>
      </c>
      <c r="G1904" t="s">
        <v>223</v>
      </c>
      <c r="I1904">
        <v>545</v>
      </c>
      <c r="J1904">
        <v>272.5</v>
      </c>
      <c r="K1904">
        <v>0.5</v>
      </c>
      <c r="M1904" t="s">
        <v>289</v>
      </c>
    </row>
    <row r="1905" spans="1:13" hidden="1">
      <c r="A1905" t="s">
        <v>131</v>
      </c>
      <c r="B1905" t="s">
        <v>8</v>
      </c>
      <c r="C1905" t="s">
        <v>28</v>
      </c>
      <c r="D1905" t="str">
        <f>LEFT(M1905,10)</f>
        <v>11/15/2024</v>
      </c>
      <c r="E1905" t="s">
        <v>202</v>
      </c>
      <c r="F1905" t="s">
        <v>218</v>
      </c>
      <c r="G1905" t="s">
        <v>221</v>
      </c>
      <c r="I1905">
        <v>245</v>
      </c>
      <c r="J1905">
        <v>514.5</v>
      </c>
      <c r="K1905">
        <v>2.1</v>
      </c>
      <c r="M1905" t="s">
        <v>289</v>
      </c>
    </row>
    <row r="1906" spans="1:13" hidden="1">
      <c r="A1906" t="s">
        <v>131</v>
      </c>
      <c r="B1906" t="s">
        <v>8</v>
      </c>
      <c r="C1906" t="s">
        <v>28</v>
      </c>
      <c r="D1906" t="str">
        <f>LEFT(M1906,10)</f>
        <v>11/15/2024</v>
      </c>
      <c r="E1906" t="s">
        <v>202</v>
      </c>
      <c r="F1906" t="s">
        <v>218</v>
      </c>
      <c r="G1906" t="s">
        <v>222</v>
      </c>
      <c r="I1906">
        <v>189</v>
      </c>
      <c r="J1906">
        <v>113.4</v>
      </c>
      <c r="K1906">
        <v>0.6</v>
      </c>
      <c r="M1906" t="s">
        <v>289</v>
      </c>
    </row>
    <row r="1907" spans="1:13" hidden="1">
      <c r="A1907" t="s">
        <v>131</v>
      </c>
      <c r="B1907" t="s">
        <v>8</v>
      </c>
      <c r="C1907" t="s">
        <v>28</v>
      </c>
      <c r="D1907" t="str">
        <f>LEFT(M1907,10)</f>
        <v>11/15/2024</v>
      </c>
      <c r="E1907" t="s">
        <v>202</v>
      </c>
      <c r="F1907" t="s">
        <v>227</v>
      </c>
      <c r="G1907" t="s">
        <v>228</v>
      </c>
      <c r="I1907">
        <v>724</v>
      </c>
      <c r="J1907">
        <v>217.2</v>
      </c>
      <c r="K1907">
        <v>0.3</v>
      </c>
      <c r="M1907" t="s">
        <v>289</v>
      </c>
    </row>
    <row r="1908" spans="1:13" hidden="1">
      <c r="A1908" t="s">
        <v>131</v>
      </c>
      <c r="B1908" t="s">
        <v>8</v>
      </c>
      <c r="C1908" t="s">
        <v>28</v>
      </c>
      <c r="D1908" t="str">
        <f>LEFT(M1908,10)</f>
        <v>11/15/2024</v>
      </c>
      <c r="E1908" t="s">
        <v>202</v>
      </c>
      <c r="F1908" t="s">
        <v>218</v>
      </c>
      <c r="G1908" t="s">
        <v>222</v>
      </c>
      <c r="I1908">
        <v>313</v>
      </c>
      <c r="J1908">
        <v>62.6</v>
      </c>
      <c r="K1908">
        <v>0.2</v>
      </c>
      <c r="M1908" t="s">
        <v>289</v>
      </c>
    </row>
    <row r="1909" spans="1:13" hidden="1">
      <c r="A1909" t="s">
        <v>131</v>
      </c>
      <c r="B1909" t="s">
        <v>8</v>
      </c>
      <c r="C1909" t="s">
        <v>28</v>
      </c>
      <c r="D1909" t="str">
        <f>LEFT(M1909,10)</f>
        <v>11/15/2024</v>
      </c>
      <c r="E1909" t="s">
        <v>202</v>
      </c>
      <c r="F1909" t="s">
        <v>218</v>
      </c>
      <c r="G1909" t="s">
        <v>240</v>
      </c>
      <c r="I1909">
        <v>297</v>
      </c>
      <c r="J1909">
        <v>1039.5</v>
      </c>
      <c r="K1909">
        <v>3.5</v>
      </c>
      <c r="M1909" t="s">
        <v>289</v>
      </c>
    </row>
    <row r="1910" spans="1:13" hidden="1">
      <c r="A1910" t="s">
        <v>131</v>
      </c>
      <c r="B1910" t="s">
        <v>8</v>
      </c>
      <c r="C1910" t="s">
        <v>28</v>
      </c>
      <c r="D1910" t="str">
        <f>LEFT(M1910,10)</f>
        <v>11/15/2024</v>
      </c>
      <c r="E1910" t="s">
        <v>202</v>
      </c>
      <c r="F1910" t="s">
        <v>218</v>
      </c>
      <c r="G1910" t="s">
        <v>241</v>
      </c>
      <c r="I1910">
        <v>36</v>
      </c>
      <c r="J1910">
        <v>126</v>
      </c>
      <c r="K1910">
        <v>3.5</v>
      </c>
      <c r="M1910" t="s">
        <v>289</v>
      </c>
    </row>
    <row r="1911" spans="1:13" hidden="1">
      <c r="A1911" t="s">
        <v>131</v>
      </c>
      <c r="B1911" t="s">
        <v>8</v>
      </c>
      <c r="C1911" t="s">
        <v>28</v>
      </c>
      <c r="D1911" t="str">
        <f>LEFT(M1911,10)</f>
        <v>11/15/2024</v>
      </c>
      <c r="E1911" t="s">
        <v>202</v>
      </c>
      <c r="F1911" t="s">
        <v>227</v>
      </c>
      <c r="G1911" t="s">
        <v>237</v>
      </c>
      <c r="I1911">
        <v>272</v>
      </c>
      <c r="J1911">
        <v>108.8</v>
      </c>
      <c r="K1911">
        <v>0.4</v>
      </c>
      <c r="M1911" t="s">
        <v>289</v>
      </c>
    </row>
    <row r="1912" spans="1:13" hidden="1">
      <c r="A1912" t="s">
        <v>131</v>
      </c>
      <c r="B1912" t="s">
        <v>8</v>
      </c>
      <c r="C1912" t="s">
        <v>28</v>
      </c>
      <c r="D1912" t="str">
        <f>LEFT(M1912,10)</f>
        <v>11/15/2024</v>
      </c>
      <c r="E1912" t="s">
        <v>202</v>
      </c>
      <c r="F1912" t="s">
        <v>227</v>
      </c>
      <c r="G1912" t="s">
        <v>252</v>
      </c>
      <c r="I1912">
        <v>195</v>
      </c>
      <c r="J1912">
        <v>19.5</v>
      </c>
      <c r="K1912">
        <v>0.1</v>
      </c>
      <c r="M1912" t="s">
        <v>289</v>
      </c>
    </row>
    <row r="1913" spans="1:13" hidden="1">
      <c r="A1913" t="s">
        <v>131</v>
      </c>
      <c r="B1913" t="s">
        <v>8</v>
      </c>
      <c r="C1913" t="s">
        <v>28</v>
      </c>
      <c r="D1913" t="str">
        <f>LEFT(M1913,10)</f>
        <v>11/15/2024</v>
      </c>
      <c r="E1913" t="s">
        <v>202</v>
      </c>
      <c r="F1913" t="s">
        <v>218</v>
      </c>
      <c r="G1913" t="s">
        <v>224</v>
      </c>
      <c r="I1913">
        <v>103</v>
      </c>
      <c r="J1913">
        <v>51.5</v>
      </c>
      <c r="K1913">
        <v>0.5</v>
      </c>
      <c r="M1913" t="s">
        <v>289</v>
      </c>
    </row>
    <row r="1914" spans="1:13" hidden="1">
      <c r="A1914" t="s">
        <v>131</v>
      </c>
      <c r="B1914" t="s">
        <v>8</v>
      </c>
      <c r="C1914" t="s">
        <v>28</v>
      </c>
      <c r="D1914" t="str">
        <f>LEFT(M1914,10)</f>
        <v>11/15/2024</v>
      </c>
      <c r="E1914" t="s">
        <v>202</v>
      </c>
      <c r="F1914" t="s">
        <v>218</v>
      </c>
      <c r="G1914" t="s">
        <v>242</v>
      </c>
      <c r="I1914">
        <v>53</v>
      </c>
      <c r="J1914">
        <v>26.5</v>
      </c>
      <c r="K1914">
        <v>0.5</v>
      </c>
      <c r="M1914" t="s">
        <v>289</v>
      </c>
    </row>
    <row r="1915" spans="1:13" hidden="1">
      <c r="A1915" t="s">
        <v>131</v>
      </c>
      <c r="B1915" t="s">
        <v>8</v>
      </c>
      <c r="C1915" t="s">
        <v>28</v>
      </c>
      <c r="D1915" t="str">
        <f>LEFT(M1915,10)</f>
        <v>11/15/2024</v>
      </c>
      <c r="E1915" t="s">
        <v>202</v>
      </c>
      <c r="F1915" t="s">
        <v>227</v>
      </c>
      <c r="G1915" t="s">
        <v>229</v>
      </c>
      <c r="I1915">
        <v>74</v>
      </c>
      <c r="J1915">
        <v>22.2</v>
      </c>
      <c r="K1915">
        <v>0.3</v>
      </c>
      <c r="M1915" t="s">
        <v>289</v>
      </c>
    </row>
    <row r="1916" spans="1:13" hidden="1">
      <c r="A1916" t="s">
        <v>131</v>
      </c>
      <c r="B1916" t="s">
        <v>8</v>
      </c>
      <c r="C1916" t="s">
        <v>28</v>
      </c>
      <c r="D1916" t="str">
        <f>LEFT(M1916,10)</f>
        <v>11/15/2024</v>
      </c>
      <c r="E1916" t="s">
        <v>202</v>
      </c>
      <c r="F1916" t="s">
        <v>218</v>
      </c>
      <c r="G1916" t="s">
        <v>266</v>
      </c>
      <c r="I1916">
        <v>53</v>
      </c>
      <c r="J1916">
        <v>2.65</v>
      </c>
      <c r="K1916">
        <v>0.05</v>
      </c>
      <c r="M1916" t="s">
        <v>289</v>
      </c>
    </row>
    <row r="1917" spans="1:13" hidden="1">
      <c r="A1917" t="s">
        <v>131</v>
      </c>
      <c r="B1917" t="s">
        <v>8</v>
      </c>
      <c r="C1917" t="s">
        <v>28</v>
      </c>
      <c r="D1917" t="str">
        <f>LEFT(M1917,10)</f>
        <v>11/15/2024</v>
      </c>
      <c r="E1917" t="s">
        <v>202</v>
      </c>
      <c r="F1917" t="s">
        <v>227</v>
      </c>
      <c r="G1917" t="s">
        <v>237</v>
      </c>
      <c r="I1917">
        <v>191</v>
      </c>
      <c r="J1917">
        <v>76.400000000000006</v>
      </c>
      <c r="K1917">
        <v>0.4</v>
      </c>
      <c r="M1917" t="s">
        <v>289</v>
      </c>
    </row>
    <row r="1918" spans="1:13" hidden="1">
      <c r="A1918" t="s">
        <v>131</v>
      </c>
      <c r="B1918" t="s">
        <v>8</v>
      </c>
      <c r="C1918" t="s">
        <v>28</v>
      </c>
      <c r="D1918" t="str">
        <f>LEFT(M1918,10)</f>
        <v>11/15/2024</v>
      </c>
      <c r="E1918" t="s">
        <v>202</v>
      </c>
      <c r="F1918" t="s">
        <v>203</v>
      </c>
      <c r="G1918" t="s">
        <v>208</v>
      </c>
      <c r="I1918">
        <v>6</v>
      </c>
      <c r="J1918">
        <v>42</v>
      </c>
      <c r="K1918">
        <v>7</v>
      </c>
      <c r="M1918" t="s">
        <v>289</v>
      </c>
    </row>
    <row r="1919" spans="1:13" hidden="1">
      <c r="A1919" t="s">
        <v>131</v>
      </c>
      <c r="B1919" t="s">
        <v>8</v>
      </c>
      <c r="C1919" t="s">
        <v>28</v>
      </c>
      <c r="D1919" t="str">
        <f>LEFT(M1919,10)</f>
        <v>11/15/2024</v>
      </c>
      <c r="E1919" t="s">
        <v>202</v>
      </c>
      <c r="F1919" t="s">
        <v>203</v>
      </c>
      <c r="G1919" t="s">
        <v>204</v>
      </c>
      <c r="I1919">
        <v>55</v>
      </c>
      <c r="J1919">
        <v>275</v>
      </c>
      <c r="K1919">
        <v>5</v>
      </c>
      <c r="M1919" t="s">
        <v>289</v>
      </c>
    </row>
    <row r="1920" spans="1:13" hidden="1">
      <c r="A1920" t="s">
        <v>131</v>
      </c>
      <c r="B1920" t="s">
        <v>8</v>
      </c>
      <c r="C1920" t="s">
        <v>28</v>
      </c>
      <c r="D1920" t="str">
        <f>LEFT(M1920,10)</f>
        <v>11/15/2024</v>
      </c>
      <c r="E1920" t="s">
        <v>202</v>
      </c>
      <c r="F1920" t="s">
        <v>218</v>
      </c>
      <c r="G1920" t="s">
        <v>226</v>
      </c>
      <c r="I1920">
        <v>184</v>
      </c>
      <c r="J1920">
        <v>36.799999999999997</v>
      </c>
      <c r="K1920">
        <v>0.2</v>
      </c>
      <c r="M1920" t="s">
        <v>289</v>
      </c>
    </row>
    <row r="1921" spans="1:13" hidden="1">
      <c r="A1921" t="s">
        <v>131</v>
      </c>
      <c r="B1921" t="s">
        <v>8</v>
      </c>
      <c r="C1921" t="s">
        <v>28</v>
      </c>
      <c r="D1921" t="str">
        <f>LEFT(M1921,10)</f>
        <v>11/15/2024</v>
      </c>
      <c r="E1921" t="s">
        <v>230</v>
      </c>
      <c r="F1921" t="s">
        <v>248</v>
      </c>
      <c r="I1921">
        <v>0</v>
      </c>
      <c r="J1921">
        <v>3932.5</v>
      </c>
      <c r="M1921" t="s">
        <v>289</v>
      </c>
    </row>
    <row r="1922" spans="1:13" hidden="1">
      <c r="A1922" t="s">
        <v>131</v>
      </c>
      <c r="B1922" t="s">
        <v>8</v>
      </c>
      <c r="C1922" t="s">
        <v>28</v>
      </c>
      <c r="D1922" t="str">
        <f>LEFT(M1922,10)</f>
        <v>11/15/2024</v>
      </c>
      <c r="E1922" t="s">
        <v>234</v>
      </c>
      <c r="F1922" t="s">
        <v>234</v>
      </c>
      <c r="I1922">
        <v>1725</v>
      </c>
      <c r="M1922" t="s">
        <v>289</v>
      </c>
    </row>
    <row r="1923" spans="1:13" hidden="1">
      <c r="A1923" t="s">
        <v>133</v>
      </c>
      <c r="B1923" t="s">
        <v>8</v>
      </c>
      <c r="C1923" t="s">
        <v>132</v>
      </c>
      <c r="D1923" t="str">
        <f>LEFT(M1923,10)</f>
        <v>11/15/2024</v>
      </c>
      <c r="E1923" t="s">
        <v>202</v>
      </c>
      <c r="F1923" t="s">
        <v>227</v>
      </c>
      <c r="G1923" t="s">
        <v>229</v>
      </c>
      <c r="I1923">
        <v>5885.4</v>
      </c>
      <c r="J1923">
        <v>4296.34</v>
      </c>
      <c r="K1923">
        <v>0.73</v>
      </c>
      <c r="M1923" t="s">
        <v>289</v>
      </c>
    </row>
    <row r="1924" spans="1:13" hidden="1">
      <c r="A1924" t="s">
        <v>133</v>
      </c>
      <c r="B1924" t="s">
        <v>8</v>
      </c>
      <c r="C1924" t="s">
        <v>132</v>
      </c>
      <c r="D1924" t="str">
        <f>LEFT(M1924,10)</f>
        <v>11/15/2024</v>
      </c>
      <c r="E1924" t="s">
        <v>202</v>
      </c>
      <c r="F1924" t="s">
        <v>227</v>
      </c>
      <c r="G1924" t="s">
        <v>228</v>
      </c>
      <c r="I1924">
        <v>1305</v>
      </c>
      <c r="J1924">
        <v>391.5</v>
      </c>
      <c r="K1924">
        <v>0.3</v>
      </c>
      <c r="M1924" t="s">
        <v>289</v>
      </c>
    </row>
    <row r="1925" spans="1:13" hidden="1">
      <c r="A1925" t="s">
        <v>133</v>
      </c>
      <c r="B1925" t="s">
        <v>8</v>
      </c>
      <c r="C1925" t="s">
        <v>132</v>
      </c>
      <c r="D1925" t="str">
        <f>LEFT(M1925,10)</f>
        <v>11/15/2024</v>
      </c>
      <c r="E1925" t="s">
        <v>202</v>
      </c>
      <c r="F1925" t="s">
        <v>227</v>
      </c>
      <c r="G1925" t="s">
        <v>238</v>
      </c>
      <c r="I1925">
        <v>240.2</v>
      </c>
      <c r="J1925">
        <v>96.08</v>
      </c>
      <c r="K1925">
        <v>0.4</v>
      </c>
      <c r="M1925" t="s">
        <v>289</v>
      </c>
    </row>
    <row r="1926" spans="1:13" hidden="1">
      <c r="A1926" t="s">
        <v>133</v>
      </c>
      <c r="B1926" t="s">
        <v>8</v>
      </c>
      <c r="C1926" t="s">
        <v>132</v>
      </c>
      <c r="D1926" t="str">
        <f>LEFT(M1926,10)</f>
        <v>11/15/2024</v>
      </c>
      <c r="E1926" t="s">
        <v>202</v>
      </c>
      <c r="F1926" t="s">
        <v>227</v>
      </c>
      <c r="G1926" t="s">
        <v>252</v>
      </c>
      <c r="I1926">
        <v>366</v>
      </c>
      <c r="J1926">
        <v>128.1</v>
      </c>
      <c r="K1926">
        <v>0.35</v>
      </c>
      <c r="M1926" t="s">
        <v>289</v>
      </c>
    </row>
    <row r="1927" spans="1:13" hidden="1">
      <c r="A1927" t="s">
        <v>133</v>
      </c>
      <c r="B1927" t="s">
        <v>8</v>
      </c>
      <c r="C1927" t="s">
        <v>132</v>
      </c>
      <c r="D1927" t="str">
        <f>LEFT(M1927,10)</f>
        <v>11/15/2024</v>
      </c>
      <c r="E1927" t="s">
        <v>202</v>
      </c>
      <c r="F1927" t="s">
        <v>227</v>
      </c>
      <c r="G1927" t="s">
        <v>237</v>
      </c>
      <c r="I1927">
        <v>527.4</v>
      </c>
      <c r="J1927">
        <v>316.44</v>
      </c>
      <c r="K1927">
        <v>0.6</v>
      </c>
      <c r="M1927" t="s">
        <v>289</v>
      </c>
    </row>
    <row r="1928" spans="1:13" hidden="1">
      <c r="A1928" t="s">
        <v>133</v>
      </c>
      <c r="B1928" t="s">
        <v>8</v>
      </c>
      <c r="C1928" t="s">
        <v>132</v>
      </c>
      <c r="D1928" t="str">
        <f>LEFT(M1928,10)</f>
        <v>11/15/2024</v>
      </c>
      <c r="E1928" t="s">
        <v>202</v>
      </c>
      <c r="F1928" t="s">
        <v>218</v>
      </c>
      <c r="G1928" t="s">
        <v>223</v>
      </c>
      <c r="I1928">
        <v>171.2</v>
      </c>
      <c r="J1928">
        <v>85.6</v>
      </c>
      <c r="K1928">
        <v>0.5</v>
      </c>
      <c r="M1928" t="s">
        <v>289</v>
      </c>
    </row>
    <row r="1929" spans="1:13" hidden="1">
      <c r="A1929" t="s">
        <v>133</v>
      </c>
      <c r="B1929" t="s">
        <v>8</v>
      </c>
      <c r="C1929" t="s">
        <v>132</v>
      </c>
      <c r="D1929" t="str">
        <f>LEFT(M1929,10)</f>
        <v>11/15/2024</v>
      </c>
      <c r="E1929" t="s">
        <v>202</v>
      </c>
      <c r="F1929" t="s">
        <v>218</v>
      </c>
      <c r="G1929" t="s">
        <v>222</v>
      </c>
      <c r="I1929">
        <v>767.2</v>
      </c>
      <c r="J1929">
        <v>1380.96</v>
      </c>
      <c r="K1929">
        <v>1.8</v>
      </c>
      <c r="M1929" t="s">
        <v>289</v>
      </c>
    </row>
    <row r="1930" spans="1:13" hidden="1">
      <c r="A1930" t="s">
        <v>133</v>
      </c>
      <c r="B1930" t="s">
        <v>8</v>
      </c>
      <c r="C1930" t="s">
        <v>132</v>
      </c>
      <c r="D1930" t="str">
        <f>LEFT(M1930,10)</f>
        <v>11/15/2024</v>
      </c>
      <c r="E1930" t="s">
        <v>202</v>
      </c>
      <c r="F1930" t="s">
        <v>218</v>
      </c>
      <c r="G1930" t="s">
        <v>220</v>
      </c>
      <c r="I1930">
        <v>729.4</v>
      </c>
      <c r="J1930">
        <v>1094.0999999999999</v>
      </c>
      <c r="K1930">
        <v>1.5</v>
      </c>
      <c r="M1930" t="s">
        <v>289</v>
      </c>
    </row>
    <row r="1931" spans="1:13" hidden="1">
      <c r="A1931" t="s">
        <v>133</v>
      </c>
      <c r="B1931" t="s">
        <v>8</v>
      </c>
      <c r="C1931" t="s">
        <v>132</v>
      </c>
      <c r="D1931" t="str">
        <f>LEFT(M1931,10)</f>
        <v>11/15/2024</v>
      </c>
      <c r="E1931" t="s">
        <v>202</v>
      </c>
      <c r="F1931" t="s">
        <v>218</v>
      </c>
      <c r="G1931" t="s">
        <v>223</v>
      </c>
      <c r="I1931">
        <v>711.4</v>
      </c>
      <c r="J1931">
        <v>533.54999999999995</v>
      </c>
      <c r="K1931">
        <v>0.75</v>
      </c>
      <c r="M1931" t="s">
        <v>289</v>
      </c>
    </row>
    <row r="1932" spans="1:13" hidden="1">
      <c r="A1932" t="s">
        <v>133</v>
      </c>
      <c r="B1932" t="s">
        <v>8</v>
      </c>
      <c r="C1932" t="s">
        <v>132</v>
      </c>
      <c r="D1932" t="str">
        <f>LEFT(M1932,10)</f>
        <v>11/15/2024</v>
      </c>
      <c r="E1932" t="s">
        <v>202</v>
      </c>
      <c r="F1932" t="s">
        <v>218</v>
      </c>
      <c r="G1932" t="s">
        <v>219</v>
      </c>
      <c r="I1932">
        <v>66.400000000000006</v>
      </c>
      <c r="J1932">
        <v>13.28</v>
      </c>
      <c r="K1932">
        <v>0.2</v>
      </c>
      <c r="M1932" t="s">
        <v>289</v>
      </c>
    </row>
    <row r="1933" spans="1:13" hidden="1">
      <c r="A1933" t="s">
        <v>133</v>
      </c>
      <c r="B1933" t="s">
        <v>8</v>
      </c>
      <c r="C1933" t="s">
        <v>132</v>
      </c>
      <c r="D1933" t="str">
        <f>LEFT(M1933,10)</f>
        <v>11/15/2024</v>
      </c>
      <c r="E1933" t="s">
        <v>202</v>
      </c>
      <c r="F1933" t="s">
        <v>218</v>
      </c>
      <c r="G1933" t="s">
        <v>224</v>
      </c>
      <c r="I1933">
        <v>134.4</v>
      </c>
      <c r="J1933">
        <v>147.84</v>
      </c>
      <c r="K1933">
        <v>1.1000000000000001</v>
      </c>
      <c r="M1933" t="s">
        <v>289</v>
      </c>
    </row>
    <row r="1934" spans="1:13" hidden="1">
      <c r="A1934" t="s">
        <v>133</v>
      </c>
      <c r="B1934" t="s">
        <v>8</v>
      </c>
      <c r="C1934" t="s">
        <v>132</v>
      </c>
      <c r="D1934" t="str">
        <f>LEFT(M1934,10)</f>
        <v>11/15/2024</v>
      </c>
      <c r="E1934" t="s">
        <v>202</v>
      </c>
      <c r="F1934" t="s">
        <v>218</v>
      </c>
      <c r="G1934" t="s">
        <v>222</v>
      </c>
      <c r="I1934">
        <v>183.8</v>
      </c>
      <c r="J1934">
        <v>284.89</v>
      </c>
      <c r="K1934">
        <v>1.55</v>
      </c>
      <c r="M1934" t="s">
        <v>289</v>
      </c>
    </row>
    <row r="1935" spans="1:13" hidden="1">
      <c r="A1935" t="s">
        <v>133</v>
      </c>
      <c r="B1935" t="s">
        <v>8</v>
      </c>
      <c r="C1935" t="s">
        <v>132</v>
      </c>
      <c r="D1935" t="str">
        <f>LEFT(M1935,10)</f>
        <v>11/15/2024</v>
      </c>
      <c r="E1935" t="s">
        <v>202</v>
      </c>
      <c r="F1935" t="s">
        <v>218</v>
      </c>
      <c r="G1935" t="s">
        <v>221</v>
      </c>
      <c r="I1935">
        <v>438.6</v>
      </c>
      <c r="J1935">
        <v>1118.43</v>
      </c>
      <c r="K1935">
        <v>2.5499999999999998</v>
      </c>
      <c r="M1935" t="s">
        <v>289</v>
      </c>
    </row>
    <row r="1936" spans="1:13" hidden="1">
      <c r="A1936" t="s">
        <v>133</v>
      </c>
      <c r="B1936" t="s">
        <v>8</v>
      </c>
      <c r="C1936" t="s">
        <v>132</v>
      </c>
      <c r="D1936" t="str">
        <f>LEFT(M1936,10)</f>
        <v>11/15/2024</v>
      </c>
      <c r="E1936" t="s">
        <v>202</v>
      </c>
      <c r="F1936" t="s">
        <v>218</v>
      </c>
      <c r="G1936" t="s">
        <v>222</v>
      </c>
      <c r="I1936">
        <v>61.4</v>
      </c>
      <c r="J1936">
        <v>147.36000000000001</v>
      </c>
      <c r="K1936">
        <v>2.4</v>
      </c>
      <c r="M1936" t="s">
        <v>289</v>
      </c>
    </row>
    <row r="1937" spans="1:13" hidden="1">
      <c r="A1937" t="s">
        <v>133</v>
      </c>
      <c r="B1937" t="s">
        <v>8</v>
      </c>
      <c r="C1937" t="s">
        <v>132</v>
      </c>
      <c r="D1937" t="str">
        <f>LEFT(M1937,10)</f>
        <v>11/15/2024</v>
      </c>
      <c r="E1937" t="s">
        <v>202</v>
      </c>
      <c r="F1937" t="s">
        <v>218</v>
      </c>
      <c r="G1937" t="s">
        <v>240</v>
      </c>
      <c r="I1937">
        <v>915</v>
      </c>
      <c r="J1937">
        <v>4300.5</v>
      </c>
      <c r="K1937">
        <v>4.7</v>
      </c>
      <c r="M1937" t="s">
        <v>289</v>
      </c>
    </row>
    <row r="1938" spans="1:13" hidden="1">
      <c r="A1938" t="s">
        <v>133</v>
      </c>
      <c r="B1938" t="s">
        <v>8</v>
      </c>
      <c r="C1938" t="s">
        <v>132</v>
      </c>
      <c r="D1938" t="str">
        <f>LEFT(M1938,10)</f>
        <v>11/15/2024</v>
      </c>
      <c r="E1938" t="s">
        <v>202</v>
      </c>
      <c r="F1938" t="s">
        <v>218</v>
      </c>
      <c r="G1938" t="s">
        <v>242</v>
      </c>
      <c r="I1938">
        <v>76.599999999999994</v>
      </c>
      <c r="J1938">
        <v>107.24</v>
      </c>
      <c r="K1938">
        <v>1.4</v>
      </c>
      <c r="M1938" t="s">
        <v>289</v>
      </c>
    </row>
    <row r="1939" spans="1:13" hidden="1">
      <c r="A1939" t="s">
        <v>133</v>
      </c>
      <c r="B1939" t="s">
        <v>8</v>
      </c>
      <c r="C1939" t="s">
        <v>132</v>
      </c>
      <c r="D1939" t="str">
        <f>LEFT(M1939,10)</f>
        <v>11/15/2024</v>
      </c>
      <c r="E1939" t="s">
        <v>202</v>
      </c>
      <c r="F1939" t="s">
        <v>218</v>
      </c>
      <c r="G1939" t="s">
        <v>225</v>
      </c>
      <c r="I1939">
        <v>87.4</v>
      </c>
      <c r="J1939">
        <v>69.92</v>
      </c>
      <c r="K1939">
        <v>0.8</v>
      </c>
      <c r="M1939" t="s">
        <v>289</v>
      </c>
    </row>
    <row r="1940" spans="1:13" hidden="1">
      <c r="A1940" t="s">
        <v>133</v>
      </c>
      <c r="B1940" t="s">
        <v>8</v>
      </c>
      <c r="C1940" t="s">
        <v>132</v>
      </c>
      <c r="D1940" t="str">
        <f>LEFT(M1940,10)</f>
        <v>11/15/2024</v>
      </c>
      <c r="E1940" t="s">
        <v>202</v>
      </c>
      <c r="F1940" t="s">
        <v>227</v>
      </c>
      <c r="G1940" t="s">
        <v>237</v>
      </c>
      <c r="I1940">
        <v>140.4</v>
      </c>
      <c r="J1940">
        <v>84.24</v>
      </c>
      <c r="K1940">
        <v>0.6</v>
      </c>
      <c r="M1940" t="s">
        <v>289</v>
      </c>
    </row>
    <row r="1941" spans="1:13" hidden="1">
      <c r="A1941" t="s">
        <v>133</v>
      </c>
      <c r="B1941" t="s">
        <v>8</v>
      </c>
      <c r="C1941" t="s">
        <v>132</v>
      </c>
      <c r="D1941" t="str">
        <f>LEFT(M1941,10)</f>
        <v>11/15/2024</v>
      </c>
      <c r="E1941" t="s">
        <v>202</v>
      </c>
      <c r="F1941" t="s">
        <v>218</v>
      </c>
      <c r="G1941" t="s">
        <v>226</v>
      </c>
      <c r="I1941">
        <v>127.2</v>
      </c>
      <c r="J1941">
        <v>38.159999999999997</v>
      </c>
      <c r="K1941">
        <v>0.3</v>
      </c>
      <c r="M1941" t="s">
        <v>289</v>
      </c>
    </row>
    <row r="1942" spans="1:13" hidden="1">
      <c r="A1942" t="s">
        <v>133</v>
      </c>
      <c r="B1942" t="s">
        <v>8</v>
      </c>
      <c r="C1942" t="s">
        <v>132</v>
      </c>
      <c r="D1942" t="str">
        <f>LEFT(M1942,10)</f>
        <v>11/15/2024</v>
      </c>
      <c r="E1942" t="s">
        <v>202</v>
      </c>
      <c r="F1942" t="s">
        <v>216</v>
      </c>
      <c r="G1942" t="s">
        <v>253</v>
      </c>
      <c r="I1942">
        <v>3643</v>
      </c>
      <c r="J1942">
        <v>510.02</v>
      </c>
      <c r="K1942">
        <v>0.14000000000000001</v>
      </c>
      <c r="M1942" t="s">
        <v>289</v>
      </c>
    </row>
    <row r="1943" spans="1:13" hidden="1">
      <c r="A1943" t="s">
        <v>133</v>
      </c>
      <c r="B1943" t="s">
        <v>8</v>
      </c>
      <c r="C1943" t="s">
        <v>132</v>
      </c>
      <c r="D1943" t="str">
        <f>LEFT(M1943,10)</f>
        <v>11/15/2024</v>
      </c>
      <c r="E1943" t="s">
        <v>202</v>
      </c>
      <c r="F1943" t="s">
        <v>216</v>
      </c>
      <c r="G1943" t="s">
        <v>217</v>
      </c>
      <c r="I1943">
        <v>1030</v>
      </c>
      <c r="J1943">
        <v>412</v>
      </c>
      <c r="K1943">
        <v>0.4</v>
      </c>
      <c r="M1943" t="s">
        <v>289</v>
      </c>
    </row>
    <row r="1944" spans="1:13" hidden="1">
      <c r="A1944" t="s">
        <v>133</v>
      </c>
      <c r="B1944" t="s">
        <v>8</v>
      </c>
      <c r="C1944" t="s">
        <v>132</v>
      </c>
      <c r="D1944" t="str">
        <f>LEFT(M1944,10)</f>
        <v>11/15/2024</v>
      </c>
      <c r="E1944" t="s">
        <v>202</v>
      </c>
      <c r="F1944" t="s">
        <v>227</v>
      </c>
      <c r="G1944" t="s">
        <v>237</v>
      </c>
      <c r="I1944">
        <v>1381</v>
      </c>
      <c r="J1944">
        <v>690.5</v>
      </c>
      <c r="K1944">
        <v>0.5</v>
      </c>
      <c r="M1944" t="s">
        <v>289</v>
      </c>
    </row>
    <row r="1945" spans="1:13" hidden="1">
      <c r="A1945" t="s">
        <v>133</v>
      </c>
      <c r="B1945" t="s">
        <v>8</v>
      </c>
      <c r="C1945" t="s">
        <v>132</v>
      </c>
      <c r="D1945" t="str">
        <f>LEFT(M1945,10)</f>
        <v>11/15/2024</v>
      </c>
      <c r="E1945" t="s">
        <v>202</v>
      </c>
      <c r="F1945" t="s">
        <v>203</v>
      </c>
      <c r="G1945" t="s">
        <v>259</v>
      </c>
      <c r="I1945">
        <v>27</v>
      </c>
      <c r="J1945">
        <v>81</v>
      </c>
      <c r="K1945">
        <v>3</v>
      </c>
      <c r="M1945" t="s">
        <v>289</v>
      </c>
    </row>
    <row r="1946" spans="1:13" hidden="1">
      <c r="A1946" t="s">
        <v>133</v>
      </c>
      <c r="B1946" t="s">
        <v>8</v>
      </c>
      <c r="C1946" t="s">
        <v>132</v>
      </c>
      <c r="D1946" t="str">
        <f>LEFT(M1946,10)</f>
        <v>11/15/2024</v>
      </c>
      <c r="E1946" t="s">
        <v>202</v>
      </c>
      <c r="F1946" t="s">
        <v>218</v>
      </c>
      <c r="G1946" t="s">
        <v>239</v>
      </c>
      <c r="I1946">
        <v>52.8</v>
      </c>
      <c r="J1946">
        <v>13.2</v>
      </c>
      <c r="K1946">
        <v>0.25</v>
      </c>
      <c r="M1946" t="s">
        <v>289</v>
      </c>
    </row>
    <row r="1947" spans="1:13" hidden="1">
      <c r="A1947" t="s">
        <v>133</v>
      </c>
      <c r="B1947" t="s">
        <v>8</v>
      </c>
      <c r="C1947" t="s">
        <v>132</v>
      </c>
      <c r="D1947" t="str">
        <f>LEFT(M1947,10)</f>
        <v>11/15/2024</v>
      </c>
      <c r="E1947" t="s">
        <v>202</v>
      </c>
      <c r="F1947" t="s">
        <v>203</v>
      </c>
      <c r="G1947" t="s">
        <v>208</v>
      </c>
      <c r="I1947">
        <v>33.6</v>
      </c>
      <c r="J1947">
        <v>201.6</v>
      </c>
      <c r="K1947">
        <v>6</v>
      </c>
      <c r="M1947" t="s">
        <v>289</v>
      </c>
    </row>
    <row r="1948" spans="1:13" hidden="1">
      <c r="A1948" t="s">
        <v>133</v>
      </c>
      <c r="B1948" t="s">
        <v>8</v>
      </c>
      <c r="C1948" t="s">
        <v>132</v>
      </c>
      <c r="D1948" t="str">
        <f>LEFT(M1948,10)</f>
        <v>11/15/2024</v>
      </c>
      <c r="E1948" t="s">
        <v>202</v>
      </c>
      <c r="F1948" t="s">
        <v>209</v>
      </c>
      <c r="G1948" t="s">
        <v>310</v>
      </c>
      <c r="I1948">
        <v>34</v>
      </c>
      <c r="J1948">
        <v>34</v>
      </c>
      <c r="K1948">
        <v>1</v>
      </c>
      <c r="M1948" t="s">
        <v>289</v>
      </c>
    </row>
    <row r="1949" spans="1:13" hidden="1">
      <c r="A1949" t="s">
        <v>133</v>
      </c>
      <c r="B1949" t="s">
        <v>8</v>
      </c>
      <c r="C1949" t="s">
        <v>132</v>
      </c>
      <c r="D1949" t="str">
        <f>LEFT(M1949,10)</f>
        <v>11/15/2024</v>
      </c>
      <c r="E1949" t="s">
        <v>202</v>
      </c>
      <c r="F1949" t="s">
        <v>209</v>
      </c>
      <c r="G1949" t="s">
        <v>212</v>
      </c>
      <c r="I1949">
        <v>7.4</v>
      </c>
      <c r="J1949">
        <v>55.5</v>
      </c>
      <c r="K1949">
        <v>7.5</v>
      </c>
      <c r="M1949" t="s">
        <v>289</v>
      </c>
    </row>
    <row r="1950" spans="1:13" hidden="1">
      <c r="A1950" t="s">
        <v>133</v>
      </c>
      <c r="B1950" t="s">
        <v>8</v>
      </c>
      <c r="C1950" t="s">
        <v>132</v>
      </c>
      <c r="D1950" t="str">
        <f>LEFT(M1950,10)</f>
        <v>11/15/2024</v>
      </c>
      <c r="E1950" t="s">
        <v>202</v>
      </c>
      <c r="F1950" t="s">
        <v>203</v>
      </c>
      <c r="G1950" t="s">
        <v>259</v>
      </c>
      <c r="I1950">
        <v>3.4</v>
      </c>
      <c r="J1950">
        <v>54.4</v>
      </c>
      <c r="K1950">
        <v>16</v>
      </c>
      <c r="M1950" t="s">
        <v>289</v>
      </c>
    </row>
    <row r="1951" spans="1:13" hidden="1">
      <c r="A1951" t="s">
        <v>133</v>
      </c>
      <c r="B1951" t="s">
        <v>8</v>
      </c>
      <c r="C1951" t="s">
        <v>132</v>
      </c>
      <c r="D1951" t="str">
        <f>LEFT(M1951,10)</f>
        <v>11/15/2024</v>
      </c>
      <c r="E1951" t="s">
        <v>202</v>
      </c>
      <c r="F1951" t="s">
        <v>203</v>
      </c>
      <c r="G1951" t="s">
        <v>207</v>
      </c>
      <c r="I1951">
        <v>15.2</v>
      </c>
      <c r="J1951">
        <v>48.64</v>
      </c>
      <c r="K1951">
        <v>3.2</v>
      </c>
      <c r="M1951" t="s">
        <v>289</v>
      </c>
    </row>
    <row r="1952" spans="1:13" hidden="1">
      <c r="A1952" t="s">
        <v>133</v>
      </c>
      <c r="B1952" t="s">
        <v>8</v>
      </c>
      <c r="C1952" t="s">
        <v>132</v>
      </c>
      <c r="D1952" t="str">
        <f>LEFT(M1952,10)</f>
        <v>11/15/2024</v>
      </c>
      <c r="E1952" t="s">
        <v>202</v>
      </c>
      <c r="F1952" t="s">
        <v>203</v>
      </c>
      <c r="G1952" t="s">
        <v>204</v>
      </c>
      <c r="I1952">
        <v>188</v>
      </c>
      <c r="J1952">
        <v>1222</v>
      </c>
      <c r="K1952">
        <v>6.5</v>
      </c>
      <c r="M1952" t="s">
        <v>289</v>
      </c>
    </row>
    <row r="1953" spans="1:13" hidden="1">
      <c r="A1953" t="s">
        <v>133</v>
      </c>
      <c r="B1953" t="s">
        <v>8</v>
      </c>
      <c r="C1953" t="s">
        <v>132</v>
      </c>
      <c r="D1953" t="str">
        <f>LEFT(M1953,10)</f>
        <v>11/15/2024</v>
      </c>
      <c r="E1953" t="s">
        <v>202</v>
      </c>
      <c r="F1953" t="s">
        <v>209</v>
      </c>
      <c r="G1953" t="s">
        <v>212</v>
      </c>
      <c r="I1953">
        <v>6.85</v>
      </c>
      <c r="J1953">
        <v>10.28</v>
      </c>
      <c r="K1953">
        <v>1.5</v>
      </c>
      <c r="M1953" t="s">
        <v>289</v>
      </c>
    </row>
    <row r="1954" spans="1:13" hidden="1">
      <c r="A1954" t="s">
        <v>133</v>
      </c>
      <c r="B1954" t="s">
        <v>8</v>
      </c>
      <c r="C1954" t="s">
        <v>132</v>
      </c>
      <c r="D1954" t="str">
        <f>LEFT(M1954,10)</f>
        <v>11/15/2024</v>
      </c>
      <c r="E1954" t="s">
        <v>202</v>
      </c>
      <c r="F1954" t="s">
        <v>203</v>
      </c>
      <c r="G1954" t="s">
        <v>236</v>
      </c>
      <c r="I1954">
        <v>4680</v>
      </c>
      <c r="J1954">
        <v>2340</v>
      </c>
      <c r="K1954">
        <v>0.5</v>
      </c>
      <c r="M1954" t="s">
        <v>289</v>
      </c>
    </row>
    <row r="1955" spans="1:13" hidden="1">
      <c r="A1955" t="s">
        <v>133</v>
      </c>
      <c r="B1955" t="s">
        <v>8</v>
      </c>
      <c r="C1955" t="s">
        <v>132</v>
      </c>
      <c r="D1955" t="str">
        <f>LEFT(M1955,10)</f>
        <v>11/15/2024</v>
      </c>
      <c r="E1955" t="s">
        <v>230</v>
      </c>
      <c r="F1955" t="s">
        <v>248</v>
      </c>
      <c r="I1955">
        <v>0</v>
      </c>
      <c r="J1955">
        <v>16657.900000000001</v>
      </c>
      <c r="M1955" t="s">
        <v>289</v>
      </c>
    </row>
    <row r="1956" spans="1:13" hidden="1">
      <c r="A1956" t="s">
        <v>133</v>
      </c>
      <c r="B1956" t="s">
        <v>8</v>
      </c>
      <c r="C1956" t="s">
        <v>132</v>
      </c>
      <c r="D1956" t="str">
        <f>LEFT(M1956,10)</f>
        <v>11/15/2024</v>
      </c>
      <c r="E1956" t="s">
        <v>232</v>
      </c>
      <c r="F1956" t="s">
        <v>255</v>
      </c>
      <c r="I1956">
        <v>0</v>
      </c>
      <c r="J1956">
        <v>90</v>
      </c>
      <c r="L1956" t="s">
        <v>357</v>
      </c>
      <c r="M1956" t="s">
        <v>289</v>
      </c>
    </row>
    <row r="1957" spans="1:13" hidden="1">
      <c r="A1957" t="s">
        <v>133</v>
      </c>
      <c r="B1957" t="s">
        <v>8</v>
      </c>
      <c r="C1957" t="s">
        <v>132</v>
      </c>
      <c r="D1957" t="str">
        <f>LEFT(M1957,10)</f>
        <v>11/15/2024</v>
      </c>
      <c r="E1957" t="s">
        <v>232</v>
      </c>
      <c r="F1957" t="s">
        <v>255</v>
      </c>
      <c r="I1957">
        <v>0</v>
      </c>
      <c r="J1957">
        <v>400</v>
      </c>
      <c r="L1957" t="s">
        <v>427</v>
      </c>
      <c r="M1957" t="s">
        <v>289</v>
      </c>
    </row>
    <row r="1958" spans="1:13" hidden="1">
      <c r="A1958" t="s">
        <v>133</v>
      </c>
      <c r="B1958" t="s">
        <v>8</v>
      </c>
      <c r="C1958" t="s">
        <v>132</v>
      </c>
      <c r="D1958" t="str">
        <f>LEFT(M1958,10)</f>
        <v>11/15/2024</v>
      </c>
      <c r="E1958" t="s">
        <v>232</v>
      </c>
      <c r="F1958" t="s">
        <v>250</v>
      </c>
      <c r="I1958">
        <v>0</v>
      </c>
      <c r="J1958">
        <v>550</v>
      </c>
      <c r="M1958" t="s">
        <v>289</v>
      </c>
    </row>
    <row r="1959" spans="1:13" hidden="1">
      <c r="A1959" t="s">
        <v>133</v>
      </c>
      <c r="B1959" t="s">
        <v>8</v>
      </c>
      <c r="C1959" t="s">
        <v>132</v>
      </c>
      <c r="D1959" t="str">
        <f>LEFT(M1959,10)</f>
        <v>11/15/2024</v>
      </c>
      <c r="E1959" t="s">
        <v>232</v>
      </c>
      <c r="F1959" t="s">
        <v>296</v>
      </c>
      <c r="I1959">
        <v>0</v>
      </c>
      <c r="J1959">
        <v>460</v>
      </c>
      <c r="M1959" t="s">
        <v>289</v>
      </c>
    </row>
    <row r="1960" spans="1:13" hidden="1">
      <c r="A1960" t="s">
        <v>133</v>
      </c>
      <c r="B1960" t="s">
        <v>8</v>
      </c>
      <c r="C1960" t="s">
        <v>132</v>
      </c>
      <c r="D1960" t="str">
        <f>LEFT(M1960,10)</f>
        <v>11/15/2024</v>
      </c>
      <c r="E1960" t="s">
        <v>232</v>
      </c>
      <c r="F1960" t="s">
        <v>254</v>
      </c>
      <c r="I1960">
        <v>0</v>
      </c>
      <c r="J1960">
        <v>200</v>
      </c>
      <c r="M1960" t="s">
        <v>289</v>
      </c>
    </row>
    <row r="1961" spans="1:13" hidden="1">
      <c r="A1961" t="s">
        <v>133</v>
      </c>
      <c r="B1961" t="s">
        <v>8</v>
      </c>
      <c r="C1961" t="s">
        <v>132</v>
      </c>
      <c r="D1961" t="str">
        <f>LEFT(M1961,10)</f>
        <v>11/15/2024</v>
      </c>
      <c r="E1961" t="s">
        <v>234</v>
      </c>
      <c r="F1961" t="s">
        <v>234</v>
      </c>
      <c r="I1961">
        <v>3240</v>
      </c>
      <c r="M1961" t="s">
        <v>289</v>
      </c>
    </row>
    <row r="1962" spans="1:13" hidden="1">
      <c r="A1962" t="s">
        <v>136</v>
      </c>
      <c r="B1962" t="s">
        <v>8</v>
      </c>
      <c r="C1962" t="s">
        <v>135</v>
      </c>
      <c r="D1962" t="str">
        <f>LEFT(M1962,10)</f>
        <v>11/15/2024</v>
      </c>
      <c r="E1962" t="s">
        <v>202</v>
      </c>
      <c r="F1962" t="s">
        <v>203</v>
      </c>
      <c r="G1962" t="s">
        <v>215</v>
      </c>
      <c r="I1962">
        <v>18070</v>
      </c>
      <c r="J1962">
        <v>14456</v>
      </c>
      <c r="K1962">
        <v>0.8</v>
      </c>
      <c r="M1962" t="s">
        <v>289</v>
      </c>
    </row>
    <row r="1963" spans="1:13" hidden="1">
      <c r="A1963" t="s">
        <v>136</v>
      </c>
      <c r="B1963" t="s">
        <v>8</v>
      </c>
      <c r="C1963" t="s">
        <v>135</v>
      </c>
      <c r="D1963" t="str">
        <f>LEFT(M1963,10)</f>
        <v>11/15/2024</v>
      </c>
      <c r="E1963" t="s">
        <v>202</v>
      </c>
      <c r="F1963" t="s">
        <v>227</v>
      </c>
      <c r="G1963" t="s">
        <v>229</v>
      </c>
      <c r="I1963">
        <v>19110</v>
      </c>
      <c r="J1963">
        <v>14332.5</v>
      </c>
      <c r="K1963">
        <v>0.75</v>
      </c>
      <c r="M1963" t="s">
        <v>289</v>
      </c>
    </row>
    <row r="1964" spans="1:13" hidden="1">
      <c r="A1964" t="s">
        <v>136</v>
      </c>
      <c r="B1964" t="s">
        <v>8</v>
      </c>
      <c r="C1964" t="s">
        <v>135</v>
      </c>
      <c r="D1964" t="str">
        <f>LEFT(M1964,10)</f>
        <v>11/15/2024</v>
      </c>
      <c r="E1964" t="s">
        <v>202</v>
      </c>
      <c r="F1964" t="s">
        <v>227</v>
      </c>
      <c r="G1964" t="s">
        <v>237</v>
      </c>
      <c r="I1964">
        <v>1625</v>
      </c>
      <c r="J1964">
        <v>812.5</v>
      </c>
      <c r="K1964">
        <v>0.5</v>
      </c>
      <c r="M1964" t="s">
        <v>289</v>
      </c>
    </row>
    <row r="1965" spans="1:13" hidden="1">
      <c r="A1965" t="s">
        <v>136</v>
      </c>
      <c r="B1965" t="s">
        <v>8</v>
      </c>
      <c r="C1965" t="s">
        <v>135</v>
      </c>
      <c r="D1965" t="str">
        <f>LEFT(M1965,10)</f>
        <v>11/15/2024</v>
      </c>
      <c r="E1965" t="s">
        <v>202</v>
      </c>
      <c r="F1965" t="s">
        <v>227</v>
      </c>
      <c r="G1965" t="s">
        <v>228</v>
      </c>
      <c r="I1965">
        <v>975</v>
      </c>
      <c r="J1965">
        <v>292.5</v>
      </c>
      <c r="K1965">
        <v>0.3</v>
      </c>
      <c r="M1965" t="s">
        <v>289</v>
      </c>
    </row>
    <row r="1966" spans="1:13" hidden="1">
      <c r="A1966" t="s">
        <v>136</v>
      </c>
      <c r="B1966" t="s">
        <v>8</v>
      </c>
      <c r="C1966" t="s">
        <v>135</v>
      </c>
      <c r="D1966" t="str">
        <f>LEFT(M1966,10)</f>
        <v>11/15/2024</v>
      </c>
      <c r="E1966" t="s">
        <v>202</v>
      </c>
      <c r="F1966" t="s">
        <v>227</v>
      </c>
      <c r="G1966" t="s">
        <v>238</v>
      </c>
      <c r="I1966">
        <v>2090</v>
      </c>
      <c r="J1966">
        <v>836</v>
      </c>
      <c r="K1966">
        <v>0.4</v>
      </c>
      <c r="M1966" t="s">
        <v>289</v>
      </c>
    </row>
    <row r="1967" spans="1:13" hidden="1">
      <c r="A1967" t="s">
        <v>136</v>
      </c>
      <c r="B1967" t="s">
        <v>8</v>
      </c>
      <c r="C1967" t="s">
        <v>135</v>
      </c>
      <c r="D1967" t="str">
        <f>LEFT(M1967,10)</f>
        <v>11/15/2024</v>
      </c>
      <c r="E1967" t="s">
        <v>202</v>
      </c>
      <c r="F1967" t="s">
        <v>227</v>
      </c>
      <c r="G1967" t="s">
        <v>252</v>
      </c>
      <c r="I1967">
        <v>1200</v>
      </c>
      <c r="J1967">
        <v>420</v>
      </c>
      <c r="M1967" t="s">
        <v>289</v>
      </c>
    </row>
    <row r="1968" spans="1:13" hidden="1">
      <c r="A1968" t="s">
        <v>136</v>
      </c>
      <c r="B1968" t="s">
        <v>8</v>
      </c>
      <c r="C1968" t="s">
        <v>135</v>
      </c>
      <c r="D1968" t="str">
        <f>LEFT(M1968,10)</f>
        <v>11/15/2024</v>
      </c>
      <c r="E1968" t="s">
        <v>202</v>
      </c>
      <c r="F1968" t="s">
        <v>218</v>
      </c>
      <c r="G1968" t="s">
        <v>240</v>
      </c>
      <c r="I1968">
        <v>2315</v>
      </c>
      <c r="J1968">
        <v>8324</v>
      </c>
      <c r="K1968">
        <v>3.6</v>
      </c>
      <c r="M1968" t="s">
        <v>289</v>
      </c>
    </row>
    <row r="1969" spans="1:13" hidden="1">
      <c r="A1969" t="s">
        <v>136</v>
      </c>
      <c r="B1969" t="s">
        <v>8</v>
      </c>
      <c r="C1969" t="s">
        <v>135</v>
      </c>
      <c r="D1969" t="str">
        <f>LEFT(M1969,10)</f>
        <v>11/15/2024</v>
      </c>
      <c r="E1969" t="s">
        <v>202</v>
      </c>
      <c r="F1969" t="s">
        <v>218</v>
      </c>
      <c r="G1969" t="s">
        <v>220</v>
      </c>
      <c r="I1969">
        <v>3225</v>
      </c>
      <c r="J1969">
        <v>6450</v>
      </c>
      <c r="K1969">
        <v>2</v>
      </c>
      <c r="M1969" t="s">
        <v>289</v>
      </c>
    </row>
    <row r="1970" spans="1:13" hidden="1">
      <c r="A1970" t="s">
        <v>136</v>
      </c>
      <c r="B1970" t="s">
        <v>8</v>
      </c>
      <c r="C1970" t="s">
        <v>135</v>
      </c>
      <c r="D1970" t="str">
        <f>LEFT(M1970,10)</f>
        <v>11/15/2024</v>
      </c>
      <c r="E1970" t="s">
        <v>202</v>
      </c>
      <c r="F1970" t="s">
        <v>218</v>
      </c>
      <c r="G1970" t="s">
        <v>223</v>
      </c>
      <c r="I1970">
        <v>2112</v>
      </c>
      <c r="J1970">
        <v>1689.6</v>
      </c>
      <c r="K1970">
        <v>0.8</v>
      </c>
      <c r="M1970" t="s">
        <v>289</v>
      </c>
    </row>
    <row r="1971" spans="1:13" hidden="1">
      <c r="A1971" t="s">
        <v>136</v>
      </c>
      <c r="B1971" t="s">
        <v>8</v>
      </c>
      <c r="C1971" t="s">
        <v>135</v>
      </c>
      <c r="D1971" t="str">
        <f>LEFT(M1971,10)</f>
        <v>11/15/2024</v>
      </c>
      <c r="E1971" t="s">
        <v>202</v>
      </c>
      <c r="F1971" t="s">
        <v>218</v>
      </c>
      <c r="G1971" t="s">
        <v>226</v>
      </c>
      <c r="I1971">
        <v>1980</v>
      </c>
      <c r="J1971">
        <v>792</v>
      </c>
      <c r="K1971">
        <v>0.4</v>
      </c>
      <c r="M1971" t="s">
        <v>289</v>
      </c>
    </row>
    <row r="1972" spans="1:13" hidden="1">
      <c r="A1972" t="s">
        <v>136</v>
      </c>
      <c r="B1972" t="s">
        <v>8</v>
      </c>
      <c r="C1972" t="s">
        <v>135</v>
      </c>
      <c r="D1972" t="str">
        <f>LEFT(M1972,10)</f>
        <v>11/15/2024</v>
      </c>
      <c r="E1972" t="s">
        <v>202</v>
      </c>
      <c r="F1972" t="s">
        <v>218</v>
      </c>
      <c r="G1972" t="s">
        <v>221</v>
      </c>
      <c r="I1972">
        <v>2510</v>
      </c>
      <c r="J1972">
        <v>6024</v>
      </c>
      <c r="K1972">
        <v>2.4</v>
      </c>
      <c r="M1972" t="s">
        <v>289</v>
      </c>
    </row>
    <row r="1973" spans="1:13" hidden="1">
      <c r="A1973" t="s">
        <v>136</v>
      </c>
      <c r="B1973" t="s">
        <v>8</v>
      </c>
      <c r="C1973" t="s">
        <v>135</v>
      </c>
      <c r="D1973" t="str">
        <f>LEFT(M1973,10)</f>
        <v>11/15/2024</v>
      </c>
      <c r="E1973" t="s">
        <v>202</v>
      </c>
      <c r="F1973" t="s">
        <v>218</v>
      </c>
      <c r="G1973" t="s">
        <v>222</v>
      </c>
      <c r="I1973">
        <v>2820</v>
      </c>
      <c r="J1973">
        <v>2538</v>
      </c>
      <c r="K1973">
        <v>0.9</v>
      </c>
      <c r="M1973" t="s">
        <v>289</v>
      </c>
    </row>
    <row r="1974" spans="1:13" hidden="1">
      <c r="A1974" t="s">
        <v>136</v>
      </c>
      <c r="B1974" t="s">
        <v>8</v>
      </c>
      <c r="C1974" t="s">
        <v>135</v>
      </c>
      <c r="D1974" t="str">
        <f>LEFT(M1974,10)</f>
        <v>11/15/2024</v>
      </c>
      <c r="E1974" t="s">
        <v>202</v>
      </c>
      <c r="F1974" t="s">
        <v>218</v>
      </c>
      <c r="G1974" t="s">
        <v>224</v>
      </c>
      <c r="I1974">
        <v>480</v>
      </c>
      <c r="J1974">
        <v>480</v>
      </c>
      <c r="K1974">
        <v>1</v>
      </c>
      <c r="M1974" t="s">
        <v>289</v>
      </c>
    </row>
    <row r="1975" spans="1:13" hidden="1">
      <c r="A1975" t="s">
        <v>136</v>
      </c>
      <c r="B1975" t="s">
        <v>8</v>
      </c>
      <c r="C1975" t="s">
        <v>135</v>
      </c>
      <c r="D1975" t="str">
        <f>LEFT(M1975,10)</f>
        <v>11/15/2024</v>
      </c>
      <c r="E1975" t="s">
        <v>202</v>
      </c>
      <c r="F1975" t="s">
        <v>218</v>
      </c>
      <c r="G1975" t="s">
        <v>225</v>
      </c>
      <c r="I1975">
        <v>160</v>
      </c>
      <c r="J1975">
        <v>128</v>
      </c>
      <c r="K1975">
        <v>0.8</v>
      </c>
      <c r="M1975" t="s">
        <v>289</v>
      </c>
    </row>
    <row r="1976" spans="1:13" hidden="1">
      <c r="A1976" t="s">
        <v>136</v>
      </c>
      <c r="B1976" t="s">
        <v>8</v>
      </c>
      <c r="C1976" t="s">
        <v>135</v>
      </c>
      <c r="D1976" t="str">
        <f>LEFT(M1976,10)</f>
        <v>11/15/2024</v>
      </c>
      <c r="E1976" t="s">
        <v>202</v>
      </c>
      <c r="F1976" t="s">
        <v>218</v>
      </c>
      <c r="G1976" t="s">
        <v>243</v>
      </c>
      <c r="H1976" t="s">
        <v>364</v>
      </c>
      <c r="I1976">
        <v>113</v>
      </c>
      <c r="J1976">
        <v>90.4</v>
      </c>
      <c r="K1976">
        <v>0.8</v>
      </c>
      <c r="M1976" t="s">
        <v>289</v>
      </c>
    </row>
    <row r="1977" spans="1:13" hidden="1">
      <c r="A1977" t="s">
        <v>136</v>
      </c>
      <c r="B1977" t="s">
        <v>8</v>
      </c>
      <c r="C1977" t="s">
        <v>135</v>
      </c>
      <c r="D1977" t="str">
        <f>LEFT(M1977,10)</f>
        <v>11/15/2024</v>
      </c>
      <c r="E1977" t="s">
        <v>202</v>
      </c>
      <c r="F1977" t="s">
        <v>218</v>
      </c>
      <c r="G1977" t="s">
        <v>247</v>
      </c>
      <c r="I1977">
        <v>92</v>
      </c>
      <c r="J1977">
        <v>349.6</v>
      </c>
      <c r="K1977">
        <v>3.8</v>
      </c>
      <c r="M1977" t="s">
        <v>289</v>
      </c>
    </row>
    <row r="1978" spans="1:13" hidden="1">
      <c r="A1978" t="s">
        <v>136</v>
      </c>
      <c r="B1978" t="s">
        <v>8</v>
      </c>
      <c r="C1978" t="s">
        <v>135</v>
      </c>
      <c r="D1978" t="str">
        <f>LEFT(M1978,10)</f>
        <v>11/15/2024</v>
      </c>
      <c r="E1978" t="s">
        <v>202</v>
      </c>
      <c r="F1978" t="s">
        <v>203</v>
      </c>
      <c r="G1978" t="s">
        <v>204</v>
      </c>
      <c r="I1978">
        <v>2118</v>
      </c>
      <c r="J1978">
        <v>16520.400000000001</v>
      </c>
      <c r="K1978">
        <v>7.8</v>
      </c>
      <c r="M1978" t="s">
        <v>289</v>
      </c>
    </row>
    <row r="1979" spans="1:13" hidden="1">
      <c r="A1979" t="s">
        <v>136</v>
      </c>
      <c r="B1979" t="s">
        <v>8</v>
      </c>
      <c r="C1979" t="s">
        <v>135</v>
      </c>
      <c r="D1979" t="str">
        <f>LEFT(M1979,10)</f>
        <v>11/15/2024</v>
      </c>
      <c r="E1979" t="s">
        <v>202</v>
      </c>
      <c r="F1979" t="s">
        <v>203</v>
      </c>
      <c r="G1979" t="s">
        <v>236</v>
      </c>
      <c r="I1979">
        <v>410</v>
      </c>
      <c r="J1979">
        <v>3075</v>
      </c>
      <c r="K1979">
        <v>7.5</v>
      </c>
      <c r="M1979" t="s">
        <v>289</v>
      </c>
    </row>
    <row r="1980" spans="1:13" hidden="1">
      <c r="A1980" t="s">
        <v>136</v>
      </c>
      <c r="B1980" t="s">
        <v>8</v>
      </c>
      <c r="C1980" t="s">
        <v>135</v>
      </c>
      <c r="D1980" t="str">
        <f>LEFT(M1980,10)</f>
        <v>11/15/2024</v>
      </c>
      <c r="E1980" t="s">
        <v>202</v>
      </c>
      <c r="F1980" t="s">
        <v>203</v>
      </c>
      <c r="G1980" t="s">
        <v>260</v>
      </c>
      <c r="I1980">
        <v>110</v>
      </c>
      <c r="J1980">
        <v>4070</v>
      </c>
      <c r="K1980">
        <v>37</v>
      </c>
      <c r="M1980" t="s">
        <v>289</v>
      </c>
    </row>
    <row r="1981" spans="1:13" hidden="1">
      <c r="A1981" t="s">
        <v>136</v>
      </c>
      <c r="B1981" t="s">
        <v>8</v>
      </c>
      <c r="C1981" t="s">
        <v>135</v>
      </c>
      <c r="D1981" t="str">
        <f>LEFT(M1981,10)</f>
        <v>11/15/2024</v>
      </c>
      <c r="E1981" t="s">
        <v>202</v>
      </c>
      <c r="F1981" t="s">
        <v>203</v>
      </c>
      <c r="G1981" t="s">
        <v>207</v>
      </c>
      <c r="I1981">
        <v>220</v>
      </c>
      <c r="J1981">
        <v>990</v>
      </c>
      <c r="K1981">
        <v>4.5</v>
      </c>
      <c r="M1981" t="s">
        <v>289</v>
      </c>
    </row>
    <row r="1982" spans="1:13" hidden="1">
      <c r="A1982" t="s">
        <v>136</v>
      </c>
      <c r="B1982" t="s">
        <v>8</v>
      </c>
      <c r="C1982" t="s">
        <v>135</v>
      </c>
      <c r="D1982" t="str">
        <f>LEFT(M1982,10)</f>
        <v>11/15/2024</v>
      </c>
      <c r="E1982" t="s">
        <v>202</v>
      </c>
      <c r="F1982" t="s">
        <v>203</v>
      </c>
      <c r="G1982" t="s">
        <v>259</v>
      </c>
      <c r="I1982">
        <v>105</v>
      </c>
      <c r="J1982">
        <v>2205</v>
      </c>
      <c r="K1982">
        <v>21</v>
      </c>
      <c r="M1982" t="s">
        <v>289</v>
      </c>
    </row>
    <row r="1983" spans="1:13" hidden="1">
      <c r="A1983" t="s">
        <v>136</v>
      </c>
      <c r="B1983" t="s">
        <v>8</v>
      </c>
      <c r="C1983" t="s">
        <v>135</v>
      </c>
      <c r="D1983" t="str">
        <f>LEFT(M1983,10)</f>
        <v>11/15/2024</v>
      </c>
      <c r="E1983" t="s">
        <v>202</v>
      </c>
      <c r="F1983" t="s">
        <v>216</v>
      </c>
      <c r="G1983" t="s">
        <v>253</v>
      </c>
      <c r="I1983">
        <v>3420</v>
      </c>
      <c r="J1983">
        <v>581.4</v>
      </c>
      <c r="K1983">
        <v>0.17</v>
      </c>
      <c r="M1983" t="s">
        <v>289</v>
      </c>
    </row>
    <row r="1984" spans="1:13" hidden="1">
      <c r="A1984" t="s">
        <v>136</v>
      </c>
      <c r="B1984" t="s">
        <v>8</v>
      </c>
      <c r="C1984" t="s">
        <v>135</v>
      </c>
      <c r="D1984" t="str">
        <f>LEFT(M1984,10)</f>
        <v>11/15/2024</v>
      </c>
      <c r="E1984" t="s">
        <v>232</v>
      </c>
      <c r="F1984" t="s">
        <v>255</v>
      </c>
      <c r="I1984">
        <v>0</v>
      </c>
      <c r="J1984">
        <v>54965</v>
      </c>
      <c r="L1984" t="s">
        <v>428</v>
      </c>
      <c r="M1984" t="s">
        <v>289</v>
      </c>
    </row>
    <row r="1985" spans="1:13" hidden="1">
      <c r="A1985" t="s">
        <v>136</v>
      </c>
      <c r="B1985" t="s">
        <v>8</v>
      </c>
      <c r="C1985" t="s">
        <v>135</v>
      </c>
      <c r="D1985" t="str">
        <f>LEFT(M1985,10)</f>
        <v>11/15/2024</v>
      </c>
      <c r="E1985" t="s">
        <v>234</v>
      </c>
      <c r="F1985" t="s">
        <v>234</v>
      </c>
      <c r="I1985">
        <v>7580</v>
      </c>
      <c r="M1985" t="s">
        <v>289</v>
      </c>
    </row>
    <row r="1986" spans="1:13" hidden="1">
      <c r="A1986" t="s">
        <v>136</v>
      </c>
      <c r="B1986" t="s">
        <v>8</v>
      </c>
      <c r="C1986" t="s">
        <v>135</v>
      </c>
      <c r="D1986" t="str">
        <f>LEFT(M1986,10)</f>
        <v>11/15/2024</v>
      </c>
      <c r="E1986" t="s">
        <v>232</v>
      </c>
      <c r="F1986" t="s">
        <v>290</v>
      </c>
      <c r="I1986">
        <v>0</v>
      </c>
      <c r="J1986">
        <v>391</v>
      </c>
      <c r="M1986" t="s">
        <v>289</v>
      </c>
    </row>
    <row r="1987" spans="1:13" hidden="1">
      <c r="A1987" t="s">
        <v>136</v>
      </c>
      <c r="B1987" t="s">
        <v>8</v>
      </c>
      <c r="C1987" t="s">
        <v>135</v>
      </c>
      <c r="D1987" t="str">
        <f>LEFT(M1987,10)</f>
        <v>11/15/2024</v>
      </c>
      <c r="E1987" t="s">
        <v>232</v>
      </c>
      <c r="F1987" t="s">
        <v>251</v>
      </c>
      <c r="I1987">
        <v>0</v>
      </c>
      <c r="J1987">
        <v>2014</v>
      </c>
      <c r="M1987" t="s">
        <v>289</v>
      </c>
    </row>
    <row r="1988" spans="1:13" hidden="1">
      <c r="A1988" t="s">
        <v>136</v>
      </c>
      <c r="B1988" t="s">
        <v>8</v>
      </c>
      <c r="C1988" t="s">
        <v>135</v>
      </c>
      <c r="D1988" t="str">
        <f>LEFT(M1988,10)</f>
        <v>11/15/2024</v>
      </c>
      <c r="E1988" t="s">
        <v>230</v>
      </c>
      <c r="F1988" t="s">
        <v>248</v>
      </c>
      <c r="I1988">
        <v>0</v>
      </c>
      <c r="J1988">
        <v>7259</v>
      </c>
      <c r="M1988" t="s">
        <v>289</v>
      </c>
    </row>
    <row r="1989" spans="1:13" hidden="1">
      <c r="A1989" t="s">
        <v>137</v>
      </c>
      <c r="B1989" t="s">
        <v>8</v>
      </c>
      <c r="C1989" t="s">
        <v>12</v>
      </c>
      <c r="D1989" t="str">
        <f>LEFT(M1989,10)</f>
        <v>11/15/2024</v>
      </c>
      <c r="E1989" t="s">
        <v>202</v>
      </c>
      <c r="F1989" t="s">
        <v>227</v>
      </c>
      <c r="G1989" t="s">
        <v>237</v>
      </c>
      <c r="I1989">
        <v>800</v>
      </c>
      <c r="J1989">
        <v>560</v>
      </c>
      <c r="K1989">
        <v>0.7</v>
      </c>
      <c r="M1989" t="s">
        <v>289</v>
      </c>
    </row>
    <row r="1990" spans="1:13" hidden="1">
      <c r="A1990" t="s">
        <v>137</v>
      </c>
      <c r="B1990" t="s">
        <v>8</v>
      </c>
      <c r="C1990" t="s">
        <v>12</v>
      </c>
      <c r="D1990" t="str">
        <f>LEFT(M1990,10)</f>
        <v>11/15/2024</v>
      </c>
      <c r="E1990" t="s">
        <v>202</v>
      </c>
      <c r="F1990" t="s">
        <v>227</v>
      </c>
      <c r="G1990" t="s">
        <v>228</v>
      </c>
      <c r="I1990">
        <v>1300</v>
      </c>
      <c r="J1990">
        <v>325</v>
      </c>
      <c r="K1990">
        <v>0.25</v>
      </c>
      <c r="M1990" t="s">
        <v>289</v>
      </c>
    </row>
    <row r="1991" spans="1:13" hidden="1">
      <c r="A1991" t="s">
        <v>137</v>
      </c>
      <c r="B1991" t="s">
        <v>8</v>
      </c>
      <c r="C1991" t="s">
        <v>12</v>
      </c>
      <c r="D1991" t="str">
        <f>LEFT(M1991,10)</f>
        <v>11/15/2024</v>
      </c>
      <c r="E1991" t="s">
        <v>202</v>
      </c>
      <c r="F1991" t="s">
        <v>227</v>
      </c>
      <c r="G1991" t="s">
        <v>229</v>
      </c>
      <c r="I1991">
        <v>8500</v>
      </c>
      <c r="J1991">
        <v>5950</v>
      </c>
      <c r="K1991">
        <v>0.7</v>
      </c>
      <c r="M1991" t="s">
        <v>289</v>
      </c>
    </row>
    <row r="1992" spans="1:13" hidden="1">
      <c r="A1992" t="s">
        <v>137</v>
      </c>
      <c r="B1992" t="s">
        <v>8</v>
      </c>
      <c r="C1992" t="s">
        <v>12</v>
      </c>
      <c r="D1992" t="str">
        <f>LEFT(M1992,10)</f>
        <v>11/15/2024</v>
      </c>
      <c r="E1992" t="s">
        <v>202</v>
      </c>
      <c r="F1992" t="s">
        <v>227</v>
      </c>
      <c r="G1992" t="s">
        <v>252</v>
      </c>
      <c r="I1992">
        <v>500</v>
      </c>
      <c r="J1992">
        <v>150</v>
      </c>
      <c r="K1992">
        <v>0.3</v>
      </c>
      <c r="M1992" t="s">
        <v>289</v>
      </c>
    </row>
    <row r="1993" spans="1:13" hidden="1">
      <c r="A1993" t="s">
        <v>137</v>
      </c>
      <c r="B1993" t="s">
        <v>8</v>
      </c>
      <c r="C1993" t="s">
        <v>12</v>
      </c>
      <c r="D1993" t="str">
        <f>LEFT(M1993,10)</f>
        <v>11/15/2024</v>
      </c>
      <c r="E1993" t="s">
        <v>202</v>
      </c>
      <c r="F1993" t="s">
        <v>218</v>
      </c>
      <c r="G1993" t="s">
        <v>224</v>
      </c>
      <c r="I1993">
        <v>100</v>
      </c>
      <c r="J1993">
        <v>80</v>
      </c>
      <c r="K1993">
        <v>0.8</v>
      </c>
      <c r="M1993" t="s">
        <v>289</v>
      </c>
    </row>
    <row r="1994" spans="1:13" hidden="1">
      <c r="A1994" t="s">
        <v>137</v>
      </c>
      <c r="B1994" t="s">
        <v>8</v>
      </c>
      <c r="C1994" t="s">
        <v>12</v>
      </c>
      <c r="D1994" t="str">
        <f>LEFT(M1994,10)</f>
        <v>11/15/2024</v>
      </c>
      <c r="E1994" t="s">
        <v>202</v>
      </c>
      <c r="F1994" t="s">
        <v>218</v>
      </c>
      <c r="G1994" t="s">
        <v>221</v>
      </c>
      <c r="I1994">
        <v>1050</v>
      </c>
      <c r="J1994">
        <v>2310</v>
      </c>
      <c r="K1994">
        <v>2.2000000000000002</v>
      </c>
      <c r="M1994" t="s">
        <v>289</v>
      </c>
    </row>
    <row r="1995" spans="1:13" hidden="1">
      <c r="A1995" t="s">
        <v>137</v>
      </c>
      <c r="B1995" t="s">
        <v>8</v>
      </c>
      <c r="C1995" t="s">
        <v>12</v>
      </c>
      <c r="D1995" t="str">
        <f>LEFT(M1995,10)</f>
        <v>11/15/2024</v>
      </c>
      <c r="E1995" t="s">
        <v>202</v>
      </c>
      <c r="F1995" t="s">
        <v>218</v>
      </c>
      <c r="G1995" t="s">
        <v>220</v>
      </c>
      <c r="I1995">
        <v>1500</v>
      </c>
      <c r="J1995">
        <v>1950</v>
      </c>
      <c r="K1995">
        <v>1.3</v>
      </c>
      <c r="M1995" t="s">
        <v>289</v>
      </c>
    </row>
    <row r="1996" spans="1:13" hidden="1">
      <c r="A1996" t="s">
        <v>137</v>
      </c>
      <c r="B1996" t="s">
        <v>8</v>
      </c>
      <c r="C1996" t="s">
        <v>12</v>
      </c>
      <c r="D1996" t="str">
        <f>LEFT(M1996,10)</f>
        <v>11/15/2024</v>
      </c>
      <c r="E1996" t="s">
        <v>202</v>
      </c>
      <c r="F1996" t="s">
        <v>218</v>
      </c>
      <c r="G1996" t="s">
        <v>223</v>
      </c>
      <c r="I1996">
        <v>2000</v>
      </c>
      <c r="J1996">
        <v>1500</v>
      </c>
      <c r="K1996">
        <v>0.75</v>
      </c>
      <c r="M1996" t="s">
        <v>289</v>
      </c>
    </row>
    <row r="1997" spans="1:13" hidden="1">
      <c r="A1997" t="s">
        <v>137</v>
      </c>
      <c r="B1997" t="s">
        <v>8</v>
      </c>
      <c r="C1997" t="s">
        <v>12</v>
      </c>
      <c r="D1997" t="str">
        <f>LEFT(M1997,10)</f>
        <v>11/15/2024</v>
      </c>
      <c r="E1997" t="s">
        <v>202</v>
      </c>
      <c r="F1997" t="s">
        <v>218</v>
      </c>
      <c r="G1997" t="s">
        <v>241</v>
      </c>
      <c r="I1997">
        <v>450</v>
      </c>
      <c r="J1997">
        <v>1800</v>
      </c>
      <c r="K1997">
        <v>4</v>
      </c>
      <c r="M1997" t="s">
        <v>289</v>
      </c>
    </row>
    <row r="1998" spans="1:13" hidden="1">
      <c r="A1998" t="s">
        <v>137</v>
      </c>
      <c r="B1998" t="s">
        <v>8</v>
      </c>
      <c r="C1998" t="s">
        <v>12</v>
      </c>
      <c r="D1998" t="str">
        <f>LEFT(M1998,10)</f>
        <v>11/15/2024</v>
      </c>
      <c r="E1998" t="s">
        <v>202</v>
      </c>
      <c r="F1998" t="s">
        <v>218</v>
      </c>
      <c r="G1998" t="s">
        <v>240</v>
      </c>
      <c r="I1998">
        <v>450</v>
      </c>
      <c r="J1998">
        <v>1800</v>
      </c>
      <c r="K1998">
        <v>4</v>
      </c>
      <c r="M1998" t="s">
        <v>289</v>
      </c>
    </row>
    <row r="1999" spans="1:13" hidden="1">
      <c r="A1999" t="s">
        <v>137</v>
      </c>
      <c r="B1999" t="s">
        <v>8</v>
      </c>
      <c r="C1999" t="s">
        <v>12</v>
      </c>
      <c r="D1999" t="str">
        <f>LEFT(M1999,10)</f>
        <v>11/15/2024</v>
      </c>
      <c r="E1999" t="s">
        <v>202</v>
      </c>
      <c r="F1999" t="s">
        <v>218</v>
      </c>
      <c r="G1999" t="s">
        <v>242</v>
      </c>
      <c r="I1999">
        <v>150</v>
      </c>
      <c r="J1999">
        <v>195</v>
      </c>
      <c r="K1999">
        <v>1.3</v>
      </c>
      <c r="M1999" t="s">
        <v>289</v>
      </c>
    </row>
    <row r="2000" spans="1:13" hidden="1">
      <c r="A2000" t="s">
        <v>137</v>
      </c>
      <c r="B2000" t="s">
        <v>8</v>
      </c>
      <c r="C2000" t="s">
        <v>12</v>
      </c>
      <c r="D2000" t="str">
        <f>LEFT(M2000,10)</f>
        <v>11/15/2024</v>
      </c>
      <c r="E2000" t="s">
        <v>202</v>
      </c>
      <c r="F2000" t="s">
        <v>218</v>
      </c>
      <c r="G2000" t="s">
        <v>219</v>
      </c>
      <c r="I2000">
        <v>100</v>
      </c>
      <c r="J2000">
        <v>5</v>
      </c>
      <c r="K2000">
        <v>0.05</v>
      </c>
      <c r="M2000" t="s">
        <v>289</v>
      </c>
    </row>
    <row r="2001" spans="1:13" hidden="1">
      <c r="A2001" t="s">
        <v>137</v>
      </c>
      <c r="B2001" t="s">
        <v>8</v>
      </c>
      <c r="C2001" t="s">
        <v>12</v>
      </c>
      <c r="D2001" t="str">
        <f>LEFT(M2001,10)</f>
        <v>11/15/2024</v>
      </c>
      <c r="E2001" t="s">
        <v>202</v>
      </c>
      <c r="F2001" t="s">
        <v>218</v>
      </c>
      <c r="G2001" t="s">
        <v>225</v>
      </c>
      <c r="I2001">
        <v>160</v>
      </c>
      <c r="J2001">
        <v>160</v>
      </c>
      <c r="K2001">
        <v>1</v>
      </c>
      <c r="M2001" t="s">
        <v>289</v>
      </c>
    </row>
    <row r="2002" spans="1:13" hidden="1">
      <c r="A2002" t="s">
        <v>137</v>
      </c>
      <c r="B2002" t="s">
        <v>8</v>
      </c>
      <c r="C2002" t="s">
        <v>12</v>
      </c>
      <c r="D2002" t="str">
        <f>LEFT(M2002,10)</f>
        <v>11/15/2024</v>
      </c>
      <c r="E2002" t="s">
        <v>202</v>
      </c>
      <c r="F2002" t="s">
        <v>218</v>
      </c>
      <c r="G2002" t="s">
        <v>222</v>
      </c>
      <c r="I2002">
        <v>1350</v>
      </c>
      <c r="J2002">
        <v>1822.5</v>
      </c>
      <c r="K2002">
        <v>1.35</v>
      </c>
      <c r="M2002" t="s">
        <v>289</v>
      </c>
    </row>
    <row r="2003" spans="1:13" hidden="1">
      <c r="A2003" t="s">
        <v>137</v>
      </c>
      <c r="B2003" t="s">
        <v>8</v>
      </c>
      <c r="C2003" t="s">
        <v>12</v>
      </c>
      <c r="D2003" t="str">
        <f>LEFT(M2003,10)</f>
        <v>11/15/2024</v>
      </c>
      <c r="E2003" t="s">
        <v>202</v>
      </c>
      <c r="F2003" t="s">
        <v>218</v>
      </c>
      <c r="G2003" t="s">
        <v>266</v>
      </c>
      <c r="I2003">
        <v>250</v>
      </c>
      <c r="J2003">
        <v>12.5</v>
      </c>
      <c r="K2003">
        <v>0.05</v>
      </c>
      <c r="M2003" t="s">
        <v>289</v>
      </c>
    </row>
    <row r="2004" spans="1:13" hidden="1">
      <c r="A2004" t="s">
        <v>137</v>
      </c>
      <c r="B2004" t="s">
        <v>8</v>
      </c>
      <c r="C2004" t="s">
        <v>12</v>
      </c>
      <c r="D2004" t="str">
        <f>LEFT(M2004,10)</f>
        <v>11/15/2024</v>
      </c>
      <c r="E2004" t="s">
        <v>202</v>
      </c>
      <c r="F2004" t="s">
        <v>218</v>
      </c>
      <c r="G2004" t="s">
        <v>226</v>
      </c>
      <c r="I2004">
        <v>1400</v>
      </c>
      <c r="J2004">
        <v>350</v>
      </c>
      <c r="K2004">
        <v>0.25</v>
      </c>
      <c r="M2004" t="s">
        <v>289</v>
      </c>
    </row>
    <row r="2005" spans="1:13" hidden="1">
      <c r="A2005" t="s">
        <v>137</v>
      </c>
      <c r="B2005" t="s">
        <v>8</v>
      </c>
      <c r="C2005" t="s">
        <v>12</v>
      </c>
      <c r="D2005" t="str">
        <f>LEFT(M2005,10)</f>
        <v>11/15/2024</v>
      </c>
      <c r="E2005" t="s">
        <v>202</v>
      </c>
      <c r="F2005" t="s">
        <v>203</v>
      </c>
      <c r="G2005" t="s">
        <v>207</v>
      </c>
      <c r="I2005">
        <v>70</v>
      </c>
      <c r="J2005">
        <v>280</v>
      </c>
      <c r="K2005">
        <v>4</v>
      </c>
      <c r="M2005" t="s">
        <v>289</v>
      </c>
    </row>
    <row r="2006" spans="1:13" hidden="1">
      <c r="A2006" t="s">
        <v>137</v>
      </c>
      <c r="B2006" t="s">
        <v>8</v>
      </c>
      <c r="C2006" t="s">
        <v>12</v>
      </c>
      <c r="D2006" t="str">
        <f>LEFT(M2006,10)</f>
        <v>11/15/2024</v>
      </c>
      <c r="E2006" t="s">
        <v>202</v>
      </c>
      <c r="F2006" t="s">
        <v>203</v>
      </c>
      <c r="G2006" t="s">
        <v>204</v>
      </c>
      <c r="I2006">
        <v>295</v>
      </c>
      <c r="J2006">
        <v>2507.5</v>
      </c>
      <c r="K2006">
        <v>8.5</v>
      </c>
      <c r="M2006" t="s">
        <v>289</v>
      </c>
    </row>
    <row r="2007" spans="1:13" hidden="1">
      <c r="A2007" t="s">
        <v>137</v>
      </c>
      <c r="B2007" t="s">
        <v>8</v>
      </c>
      <c r="C2007" t="s">
        <v>12</v>
      </c>
      <c r="D2007" t="str">
        <f>LEFT(M2007,10)</f>
        <v>11/15/2024</v>
      </c>
      <c r="E2007" t="s">
        <v>202</v>
      </c>
      <c r="F2007" t="s">
        <v>203</v>
      </c>
      <c r="G2007" t="s">
        <v>208</v>
      </c>
      <c r="I2007">
        <v>14</v>
      </c>
      <c r="J2007">
        <v>126</v>
      </c>
      <c r="K2007">
        <v>9</v>
      </c>
      <c r="M2007" t="s">
        <v>289</v>
      </c>
    </row>
    <row r="2008" spans="1:13" hidden="1">
      <c r="A2008" t="s">
        <v>137</v>
      </c>
      <c r="B2008" t="s">
        <v>8</v>
      </c>
      <c r="C2008" t="s">
        <v>12</v>
      </c>
      <c r="D2008" t="str">
        <f>LEFT(M2008,10)</f>
        <v>11/15/2024</v>
      </c>
      <c r="E2008" t="s">
        <v>202</v>
      </c>
      <c r="F2008" t="s">
        <v>203</v>
      </c>
      <c r="G2008" t="s">
        <v>235</v>
      </c>
      <c r="I2008">
        <v>50</v>
      </c>
      <c r="J2008">
        <v>450</v>
      </c>
      <c r="K2008">
        <v>9</v>
      </c>
      <c r="M2008" t="s">
        <v>289</v>
      </c>
    </row>
    <row r="2009" spans="1:13" hidden="1">
      <c r="A2009" t="s">
        <v>137</v>
      </c>
      <c r="B2009" t="s">
        <v>8</v>
      </c>
      <c r="C2009" t="s">
        <v>12</v>
      </c>
      <c r="D2009" t="str">
        <f>LEFT(M2009,10)</f>
        <v>11/15/2024</v>
      </c>
      <c r="E2009" t="s">
        <v>202</v>
      </c>
      <c r="F2009" t="s">
        <v>203</v>
      </c>
      <c r="G2009" t="s">
        <v>260</v>
      </c>
      <c r="I2009">
        <v>30</v>
      </c>
      <c r="J2009">
        <v>1110</v>
      </c>
      <c r="K2009">
        <v>37</v>
      </c>
      <c r="M2009" t="s">
        <v>289</v>
      </c>
    </row>
    <row r="2010" spans="1:13" hidden="1">
      <c r="A2010" t="s">
        <v>137</v>
      </c>
      <c r="B2010" t="s">
        <v>8</v>
      </c>
      <c r="C2010" t="s">
        <v>12</v>
      </c>
      <c r="D2010" t="str">
        <f>LEFT(M2010,10)</f>
        <v>11/15/2024</v>
      </c>
      <c r="E2010" t="s">
        <v>202</v>
      </c>
      <c r="F2010" t="s">
        <v>216</v>
      </c>
      <c r="G2010" t="s">
        <v>253</v>
      </c>
      <c r="I2010">
        <v>8000</v>
      </c>
      <c r="J2010">
        <v>1360</v>
      </c>
      <c r="K2010">
        <v>0.17</v>
      </c>
      <c r="M2010" t="s">
        <v>289</v>
      </c>
    </row>
    <row r="2011" spans="1:13" hidden="1">
      <c r="A2011" t="s">
        <v>137</v>
      </c>
      <c r="B2011" t="s">
        <v>8</v>
      </c>
      <c r="C2011" t="s">
        <v>12</v>
      </c>
      <c r="D2011" t="str">
        <f>LEFT(M2011,10)</f>
        <v>11/15/2024</v>
      </c>
      <c r="E2011" t="s">
        <v>202</v>
      </c>
      <c r="F2011" t="s">
        <v>209</v>
      </c>
      <c r="G2011" t="s">
        <v>210</v>
      </c>
      <c r="I2011">
        <v>21</v>
      </c>
      <c r="J2011">
        <v>54.6</v>
      </c>
      <c r="K2011">
        <v>2.6</v>
      </c>
      <c r="M2011" t="s">
        <v>289</v>
      </c>
    </row>
    <row r="2012" spans="1:13" hidden="1">
      <c r="A2012" t="s">
        <v>137</v>
      </c>
      <c r="B2012" t="s">
        <v>8</v>
      </c>
      <c r="C2012" t="s">
        <v>12</v>
      </c>
      <c r="D2012" t="str">
        <f>LEFT(M2012,10)</f>
        <v>11/15/2024</v>
      </c>
      <c r="E2012" t="s">
        <v>230</v>
      </c>
      <c r="F2012" t="s">
        <v>248</v>
      </c>
      <c r="I2012">
        <v>0</v>
      </c>
      <c r="J2012">
        <v>29503.37</v>
      </c>
      <c r="M2012" t="s">
        <v>289</v>
      </c>
    </row>
    <row r="2013" spans="1:13" hidden="1">
      <c r="A2013" t="s">
        <v>140</v>
      </c>
      <c r="B2013" t="s">
        <v>8</v>
      </c>
      <c r="C2013" t="s">
        <v>139</v>
      </c>
      <c r="D2013" t="str">
        <f>LEFT(M2013,10)</f>
        <v>11/15/2024</v>
      </c>
      <c r="E2013" t="s">
        <v>202</v>
      </c>
      <c r="F2013" t="s">
        <v>227</v>
      </c>
      <c r="G2013" t="s">
        <v>237</v>
      </c>
      <c r="I2013">
        <v>613</v>
      </c>
      <c r="J2013">
        <v>367.8</v>
      </c>
      <c r="K2013">
        <v>0.6</v>
      </c>
      <c r="M2013" t="s">
        <v>289</v>
      </c>
    </row>
    <row r="2014" spans="1:13" hidden="1">
      <c r="A2014" t="s">
        <v>140</v>
      </c>
      <c r="B2014" t="s">
        <v>8</v>
      </c>
      <c r="C2014" t="s">
        <v>139</v>
      </c>
      <c r="D2014" t="str">
        <f>LEFT(M2014,10)</f>
        <v>11/15/2024</v>
      </c>
      <c r="E2014" t="s">
        <v>202</v>
      </c>
      <c r="F2014" t="s">
        <v>227</v>
      </c>
      <c r="G2014" t="s">
        <v>228</v>
      </c>
      <c r="I2014">
        <v>1877.2</v>
      </c>
      <c r="J2014">
        <v>563.16</v>
      </c>
      <c r="K2014">
        <v>0.3</v>
      </c>
      <c r="M2014" t="s">
        <v>289</v>
      </c>
    </row>
    <row r="2015" spans="1:13" hidden="1">
      <c r="A2015" t="s">
        <v>140</v>
      </c>
      <c r="B2015" t="s">
        <v>8</v>
      </c>
      <c r="C2015" t="s">
        <v>139</v>
      </c>
      <c r="D2015" t="str">
        <f>LEFT(M2015,10)</f>
        <v>11/15/2024</v>
      </c>
      <c r="E2015" t="s">
        <v>202</v>
      </c>
      <c r="F2015" t="s">
        <v>227</v>
      </c>
      <c r="G2015" t="s">
        <v>229</v>
      </c>
      <c r="I2015">
        <v>3142.2</v>
      </c>
      <c r="J2015">
        <v>2293.8000000000002</v>
      </c>
      <c r="K2015">
        <v>0.73</v>
      </c>
      <c r="M2015" t="s">
        <v>289</v>
      </c>
    </row>
    <row r="2016" spans="1:13" hidden="1">
      <c r="A2016" t="s">
        <v>140</v>
      </c>
      <c r="B2016" t="s">
        <v>8</v>
      </c>
      <c r="C2016" t="s">
        <v>139</v>
      </c>
      <c r="D2016" t="str">
        <f>LEFT(M2016,10)</f>
        <v>11/15/2024</v>
      </c>
      <c r="E2016" t="s">
        <v>202</v>
      </c>
      <c r="F2016" t="s">
        <v>227</v>
      </c>
      <c r="G2016" t="s">
        <v>252</v>
      </c>
      <c r="I2016">
        <v>202.6</v>
      </c>
      <c r="J2016">
        <v>70.91</v>
      </c>
      <c r="K2016">
        <v>0.35</v>
      </c>
      <c r="M2016" t="s">
        <v>289</v>
      </c>
    </row>
    <row r="2017" spans="1:13" hidden="1">
      <c r="A2017" t="s">
        <v>140</v>
      </c>
      <c r="B2017" t="s">
        <v>8</v>
      </c>
      <c r="C2017" t="s">
        <v>139</v>
      </c>
      <c r="D2017" t="str">
        <f>LEFT(M2017,10)</f>
        <v>11/15/2024</v>
      </c>
      <c r="E2017" t="s">
        <v>202</v>
      </c>
      <c r="F2017" t="s">
        <v>218</v>
      </c>
      <c r="G2017" t="s">
        <v>224</v>
      </c>
      <c r="I2017">
        <v>101.6</v>
      </c>
      <c r="J2017">
        <v>111.76</v>
      </c>
      <c r="K2017">
        <v>1.1000000000000001</v>
      </c>
      <c r="M2017" t="s">
        <v>289</v>
      </c>
    </row>
    <row r="2018" spans="1:13" hidden="1">
      <c r="A2018" t="s">
        <v>140</v>
      </c>
      <c r="B2018" t="s">
        <v>8</v>
      </c>
      <c r="C2018" t="s">
        <v>139</v>
      </c>
      <c r="D2018" t="str">
        <f>LEFT(M2018,10)</f>
        <v>11/15/2024</v>
      </c>
      <c r="E2018" t="s">
        <v>202</v>
      </c>
      <c r="F2018" t="s">
        <v>218</v>
      </c>
      <c r="G2018" t="s">
        <v>221</v>
      </c>
      <c r="I2018">
        <v>86.2</v>
      </c>
      <c r="J2018">
        <v>219.81</v>
      </c>
      <c r="K2018">
        <v>2.5499999999999998</v>
      </c>
      <c r="M2018" t="s">
        <v>289</v>
      </c>
    </row>
    <row r="2019" spans="1:13" hidden="1">
      <c r="A2019" t="s">
        <v>140</v>
      </c>
      <c r="B2019" t="s">
        <v>8</v>
      </c>
      <c r="C2019" t="s">
        <v>139</v>
      </c>
      <c r="D2019" t="str">
        <f>LEFT(M2019,10)</f>
        <v>11/15/2024</v>
      </c>
      <c r="E2019" t="s">
        <v>202</v>
      </c>
      <c r="F2019" t="s">
        <v>218</v>
      </c>
      <c r="G2019" t="s">
        <v>221</v>
      </c>
      <c r="I2019">
        <v>112.2</v>
      </c>
      <c r="J2019">
        <v>286.11</v>
      </c>
      <c r="K2019">
        <v>2.5499999999999998</v>
      </c>
      <c r="M2019" t="s">
        <v>289</v>
      </c>
    </row>
    <row r="2020" spans="1:13" hidden="1">
      <c r="A2020" t="s">
        <v>140</v>
      </c>
      <c r="B2020" t="s">
        <v>8</v>
      </c>
      <c r="C2020" t="s">
        <v>139</v>
      </c>
      <c r="D2020" t="str">
        <f>LEFT(M2020,10)</f>
        <v>11/15/2024</v>
      </c>
      <c r="E2020" t="s">
        <v>202</v>
      </c>
      <c r="F2020" t="s">
        <v>218</v>
      </c>
      <c r="G2020" t="s">
        <v>223</v>
      </c>
      <c r="I2020">
        <v>607.4</v>
      </c>
      <c r="J2020">
        <v>455.55</v>
      </c>
      <c r="K2020">
        <v>0.75</v>
      </c>
      <c r="M2020" t="s">
        <v>289</v>
      </c>
    </row>
    <row r="2021" spans="1:13" hidden="1">
      <c r="A2021" t="s">
        <v>140</v>
      </c>
      <c r="B2021" t="s">
        <v>8</v>
      </c>
      <c r="C2021" t="s">
        <v>139</v>
      </c>
      <c r="D2021" t="str">
        <f>LEFT(M2021,10)</f>
        <v>11/15/2024</v>
      </c>
      <c r="E2021" t="s">
        <v>202</v>
      </c>
      <c r="F2021" t="s">
        <v>218</v>
      </c>
      <c r="G2021" t="s">
        <v>223</v>
      </c>
      <c r="I2021">
        <v>107.4</v>
      </c>
      <c r="J2021">
        <v>53.7</v>
      </c>
      <c r="K2021">
        <v>0.5</v>
      </c>
      <c r="M2021" t="s">
        <v>289</v>
      </c>
    </row>
    <row r="2022" spans="1:13" hidden="1">
      <c r="A2022" t="s">
        <v>140</v>
      </c>
      <c r="B2022" t="s">
        <v>8</v>
      </c>
      <c r="C2022" t="s">
        <v>139</v>
      </c>
      <c r="D2022" t="str">
        <f>LEFT(M2022,10)</f>
        <v>11/15/2024</v>
      </c>
      <c r="E2022" t="s">
        <v>202</v>
      </c>
      <c r="F2022" t="s">
        <v>218</v>
      </c>
      <c r="G2022" t="s">
        <v>240</v>
      </c>
      <c r="I2022">
        <v>547.20000000000005</v>
      </c>
      <c r="J2022">
        <v>2571.84</v>
      </c>
      <c r="K2022">
        <v>4.7</v>
      </c>
      <c r="M2022" t="s">
        <v>289</v>
      </c>
    </row>
    <row r="2023" spans="1:13" hidden="1">
      <c r="A2023" t="s">
        <v>140</v>
      </c>
      <c r="B2023" t="s">
        <v>8</v>
      </c>
      <c r="C2023" t="s">
        <v>139</v>
      </c>
      <c r="D2023" t="str">
        <f>LEFT(M2023,10)</f>
        <v>11/15/2024</v>
      </c>
      <c r="E2023" t="s">
        <v>202</v>
      </c>
      <c r="F2023" t="s">
        <v>218</v>
      </c>
      <c r="G2023" t="s">
        <v>242</v>
      </c>
      <c r="I2023">
        <v>49</v>
      </c>
      <c r="J2023">
        <v>68.599999999999994</v>
      </c>
      <c r="K2023">
        <v>1.4</v>
      </c>
      <c r="M2023" t="s">
        <v>289</v>
      </c>
    </row>
    <row r="2024" spans="1:13" hidden="1">
      <c r="A2024" t="s">
        <v>140</v>
      </c>
      <c r="B2024" t="s">
        <v>8</v>
      </c>
      <c r="C2024" t="s">
        <v>139</v>
      </c>
      <c r="D2024" t="str">
        <f>LEFT(M2024,10)</f>
        <v>11/15/2024</v>
      </c>
      <c r="E2024" t="s">
        <v>202</v>
      </c>
      <c r="F2024" t="s">
        <v>218</v>
      </c>
      <c r="G2024" t="s">
        <v>219</v>
      </c>
      <c r="I2024">
        <v>54.2</v>
      </c>
      <c r="J2024">
        <v>10.84</v>
      </c>
      <c r="K2024">
        <v>0.2</v>
      </c>
      <c r="M2024" t="s">
        <v>289</v>
      </c>
    </row>
    <row r="2025" spans="1:13" hidden="1">
      <c r="A2025" t="s">
        <v>140</v>
      </c>
      <c r="B2025" t="s">
        <v>8</v>
      </c>
      <c r="C2025" t="s">
        <v>139</v>
      </c>
      <c r="D2025" t="str">
        <f>LEFT(M2025,10)</f>
        <v>11/15/2024</v>
      </c>
      <c r="E2025" t="s">
        <v>202</v>
      </c>
      <c r="F2025" t="s">
        <v>218</v>
      </c>
      <c r="G2025" t="s">
        <v>247</v>
      </c>
      <c r="I2025">
        <v>32.6</v>
      </c>
      <c r="J2025">
        <v>136.91999999999999</v>
      </c>
      <c r="K2025">
        <v>4.2</v>
      </c>
      <c r="M2025" t="s">
        <v>289</v>
      </c>
    </row>
    <row r="2026" spans="1:13" hidden="1">
      <c r="A2026" t="s">
        <v>140</v>
      </c>
      <c r="B2026" t="s">
        <v>8</v>
      </c>
      <c r="C2026" t="s">
        <v>139</v>
      </c>
      <c r="D2026" t="str">
        <f>LEFT(M2026,10)</f>
        <v>11/15/2024</v>
      </c>
      <c r="E2026" t="s">
        <v>202</v>
      </c>
      <c r="F2026" t="s">
        <v>218</v>
      </c>
      <c r="G2026" t="s">
        <v>222</v>
      </c>
      <c r="I2026">
        <v>365.8</v>
      </c>
      <c r="J2026">
        <v>658.44</v>
      </c>
      <c r="K2026">
        <v>1.8</v>
      </c>
      <c r="M2026" t="s">
        <v>289</v>
      </c>
    </row>
    <row r="2027" spans="1:13" hidden="1">
      <c r="A2027" t="s">
        <v>140</v>
      </c>
      <c r="B2027" t="s">
        <v>8</v>
      </c>
      <c r="C2027" t="s">
        <v>139</v>
      </c>
      <c r="D2027" t="str">
        <f>LEFT(M2027,10)</f>
        <v>11/15/2024</v>
      </c>
      <c r="E2027" t="s">
        <v>202</v>
      </c>
      <c r="F2027" t="s">
        <v>218</v>
      </c>
      <c r="G2027" t="s">
        <v>243</v>
      </c>
      <c r="H2027" t="s">
        <v>299</v>
      </c>
      <c r="I2027">
        <v>686.8</v>
      </c>
      <c r="J2027">
        <v>1236.24</v>
      </c>
      <c r="K2027">
        <v>1.8</v>
      </c>
      <c r="M2027" t="s">
        <v>289</v>
      </c>
    </row>
    <row r="2028" spans="1:13" hidden="1">
      <c r="A2028" t="s">
        <v>140</v>
      </c>
      <c r="B2028" t="s">
        <v>8</v>
      </c>
      <c r="C2028" t="s">
        <v>139</v>
      </c>
      <c r="D2028" t="str">
        <f>LEFT(M2028,10)</f>
        <v>11/15/2024</v>
      </c>
      <c r="E2028" t="s">
        <v>202</v>
      </c>
      <c r="F2028" t="s">
        <v>218</v>
      </c>
      <c r="G2028" t="s">
        <v>243</v>
      </c>
      <c r="H2028" t="s">
        <v>429</v>
      </c>
      <c r="I2028">
        <v>281.60000000000002</v>
      </c>
      <c r="J2028">
        <v>422.4</v>
      </c>
      <c r="K2028">
        <v>1.5</v>
      </c>
      <c r="M2028" t="s">
        <v>289</v>
      </c>
    </row>
    <row r="2029" spans="1:13" hidden="1">
      <c r="A2029" t="s">
        <v>140</v>
      </c>
      <c r="B2029" t="s">
        <v>8</v>
      </c>
      <c r="C2029" t="s">
        <v>139</v>
      </c>
      <c r="D2029" t="str">
        <f>LEFT(M2029,10)</f>
        <v>11/15/2024</v>
      </c>
      <c r="E2029" t="s">
        <v>202</v>
      </c>
      <c r="F2029" t="s">
        <v>218</v>
      </c>
      <c r="G2029" t="s">
        <v>226</v>
      </c>
      <c r="I2029">
        <v>424.4</v>
      </c>
      <c r="J2029">
        <v>127.32</v>
      </c>
      <c r="K2029">
        <v>0.3</v>
      </c>
      <c r="M2029" t="s">
        <v>289</v>
      </c>
    </row>
    <row r="2030" spans="1:13" hidden="1">
      <c r="A2030" t="s">
        <v>140</v>
      </c>
      <c r="B2030" t="s">
        <v>8</v>
      </c>
      <c r="C2030" t="s">
        <v>139</v>
      </c>
      <c r="D2030" t="str">
        <f>LEFT(M2030,10)</f>
        <v>11/15/2024</v>
      </c>
      <c r="E2030" t="s">
        <v>202</v>
      </c>
      <c r="F2030" t="s">
        <v>218</v>
      </c>
      <c r="G2030" t="s">
        <v>243</v>
      </c>
      <c r="H2030" t="s">
        <v>430</v>
      </c>
      <c r="I2030">
        <v>64</v>
      </c>
      <c r="J2030">
        <v>153.6</v>
      </c>
      <c r="K2030">
        <v>2.4</v>
      </c>
      <c r="M2030" t="s">
        <v>289</v>
      </c>
    </row>
    <row r="2031" spans="1:13" hidden="1">
      <c r="A2031" t="s">
        <v>140</v>
      </c>
      <c r="B2031" t="s">
        <v>8</v>
      </c>
      <c r="C2031" t="s">
        <v>139</v>
      </c>
      <c r="D2031" t="str">
        <f>LEFT(M2031,10)</f>
        <v>11/15/2024</v>
      </c>
      <c r="E2031" t="s">
        <v>202</v>
      </c>
      <c r="F2031" t="s">
        <v>218</v>
      </c>
      <c r="G2031" t="s">
        <v>225</v>
      </c>
      <c r="I2031">
        <v>68.8</v>
      </c>
      <c r="J2031">
        <v>55.04</v>
      </c>
      <c r="K2031">
        <v>0.8</v>
      </c>
      <c r="M2031" t="s">
        <v>289</v>
      </c>
    </row>
    <row r="2032" spans="1:13" hidden="1">
      <c r="A2032" t="s">
        <v>140</v>
      </c>
      <c r="B2032" t="s">
        <v>8</v>
      </c>
      <c r="C2032" t="s">
        <v>139</v>
      </c>
      <c r="D2032" t="str">
        <f>LEFT(M2032,10)</f>
        <v>11/15/2024</v>
      </c>
      <c r="E2032" t="s">
        <v>202</v>
      </c>
      <c r="F2032" t="s">
        <v>203</v>
      </c>
      <c r="G2032" t="s">
        <v>236</v>
      </c>
      <c r="I2032">
        <v>4620</v>
      </c>
      <c r="J2032">
        <v>693</v>
      </c>
      <c r="K2032">
        <v>0.15</v>
      </c>
      <c r="M2032" t="s">
        <v>289</v>
      </c>
    </row>
    <row r="2033" spans="1:13" hidden="1">
      <c r="A2033" t="s">
        <v>140</v>
      </c>
      <c r="B2033" t="s">
        <v>8</v>
      </c>
      <c r="C2033" t="s">
        <v>139</v>
      </c>
      <c r="D2033" t="str">
        <f>LEFT(M2033,10)</f>
        <v>11/15/2024</v>
      </c>
      <c r="E2033" t="s">
        <v>202</v>
      </c>
      <c r="F2033" t="s">
        <v>203</v>
      </c>
      <c r="G2033" t="s">
        <v>204</v>
      </c>
      <c r="I2033">
        <v>249.8</v>
      </c>
      <c r="J2033">
        <v>1748.6</v>
      </c>
      <c r="K2033">
        <v>7</v>
      </c>
      <c r="M2033" t="s">
        <v>289</v>
      </c>
    </row>
    <row r="2034" spans="1:13" hidden="1">
      <c r="A2034" t="s">
        <v>140</v>
      </c>
      <c r="B2034" t="s">
        <v>8</v>
      </c>
      <c r="C2034" t="s">
        <v>139</v>
      </c>
      <c r="D2034" t="str">
        <f>LEFT(M2034,10)</f>
        <v>11/15/2024</v>
      </c>
      <c r="E2034" t="s">
        <v>202</v>
      </c>
      <c r="F2034" t="s">
        <v>203</v>
      </c>
      <c r="G2034" t="s">
        <v>259</v>
      </c>
      <c r="I2034">
        <v>3.7</v>
      </c>
      <c r="J2034">
        <v>51.8</v>
      </c>
      <c r="K2034">
        <v>14</v>
      </c>
      <c r="M2034" t="s">
        <v>289</v>
      </c>
    </row>
    <row r="2035" spans="1:13" hidden="1">
      <c r="A2035" t="s">
        <v>140</v>
      </c>
      <c r="B2035" t="s">
        <v>8</v>
      </c>
      <c r="C2035" t="s">
        <v>139</v>
      </c>
      <c r="D2035" t="str">
        <f>LEFT(M2035,10)</f>
        <v>11/15/2024</v>
      </c>
      <c r="E2035" t="s">
        <v>202</v>
      </c>
      <c r="F2035" t="s">
        <v>203</v>
      </c>
      <c r="G2035" t="s">
        <v>259</v>
      </c>
      <c r="I2035">
        <v>11</v>
      </c>
      <c r="J2035">
        <v>132</v>
      </c>
      <c r="K2035">
        <v>12</v>
      </c>
      <c r="M2035" t="s">
        <v>289</v>
      </c>
    </row>
    <row r="2036" spans="1:13" hidden="1">
      <c r="A2036" t="s">
        <v>140</v>
      </c>
      <c r="B2036" t="s">
        <v>8</v>
      </c>
      <c r="C2036" t="s">
        <v>139</v>
      </c>
      <c r="D2036" t="str">
        <f>LEFT(M2036,10)</f>
        <v>11/15/2024</v>
      </c>
      <c r="E2036" t="s">
        <v>202</v>
      </c>
      <c r="F2036" t="s">
        <v>203</v>
      </c>
      <c r="G2036" t="s">
        <v>215</v>
      </c>
      <c r="I2036">
        <v>2354</v>
      </c>
      <c r="J2036">
        <v>353.1</v>
      </c>
      <c r="K2036">
        <v>0.15</v>
      </c>
      <c r="M2036" t="s">
        <v>289</v>
      </c>
    </row>
    <row r="2037" spans="1:13" hidden="1">
      <c r="A2037" t="s">
        <v>140</v>
      </c>
      <c r="B2037" t="s">
        <v>8</v>
      </c>
      <c r="C2037" t="s">
        <v>139</v>
      </c>
      <c r="D2037" t="str">
        <f>LEFT(M2037,10)</f>
        <v>11/15/2024</v>
      </c>
      <c r="E2037" t="s">
        <v>202</v>
      </c>
      <c r="F2037" t="s">
        <v>203</v>
      </c>
      <c r="G2037" t="s">
        <v>259</v>
      </c>
      <c r="I2037">
        <v>35</v>
      </c>
      <c r="J2037">
        <v>245</v>
      </c>
      <c r="K2037">
        <v>7</v>
      </c>
      <c r="M2037" t="s">
        <v>289</v>
      </c>
    </row>
    <row r="2038" spans="1:13" hidden="1">
      <c r="A2038" t="s">
        <v>140</v>
      </c>
      <c r="B2038" t="s">
        <v>8</v>
      </c>
      <c r="C2038" t="s">
        <v>139</v>
      </c>
      <c r="D2038" t="str">
        <f>LEFT(M2038,10)</f>
        <v>11/15/2024</v>
      </c>
      <c r="E2038" t="s">
        <v>202</v>
      </c>
      <c r="F2038" t="s">
        <v>203</v>
      </c>
      <c r="G2038" t="s">
        <v>236</v>
      </c>
      <c r="I2038">
        <v>48</v>
      </c>
      <c r="J2038">
        <v>240</v>
      </c>
      <c r="K2038">
        <v>5</v>
      </c>
      <c r="M2038" t="s">
        <v>289</v>
      </c>
    </row>
    <row r="2039" spans="1:13" hidden="1">
      <c r="A2039" t="s">
        <v>140</v>
      </c>
      <c r="B2039" t="s">
        <v>8</v>
      </c>
      <c r="C2039" t="s">
        <v>139</v>
      </c>
      <c r="D2039" t="str">
        <f>LEFT(M2039,10)</f>
        <v>11/15/2024</v>
      </c>
      <c r="E2039" t="s">
        <v>202</v>
      </c>
      <c r="F2039" t="s">
        <v>203</v>
      </c>
      <c r="G2039" t="s">
        <v>260</v>
      </c>
      <c r="I2039">
        <v>22.2</v>
      </c>
      <c r="J2039">
        <v>621.6</v>
      </c>
      <c r="K2039">
        <v>28</v>
      </c>
      <c r="M2039" t="s">
        <v>289</v>
      </c>
    </row>
    <row r="2040" spans="1:13" hidden="1">
      <c r="A2040" t="s">
        <v>140</v>
      </c>
      <c r="B2040" t="s">
        <v>8</v>
      </c>
      <c r="C2040" t="s">
        <v>139</v>
      </c>
      <c r="D2040" t="str">
        <f>LEFT(M2040,10)</f>
        <v>11/15/2024</v>
      </c>
      <c r="E2040" t="s">
        <v>202</v>
      </c>
      <c r="F2040" t="s">
        <v>203</v>
      </c>
      <c r="G2040" t="s">
        <v>261</v>
      </c>
      <c r="I2040">
        <v>33.6</v>
      </c>
      <c r="J2040">
        <v>134.4</v>
      </c>
      <c r="K2040">
        <v>4</v>
      </c>
      <c r="M2040" t="s">
        <v>289</v>
      </c>
    </row>
    <row r="2041" spans="1:13" hidden="1">
      <c r="A2041" t="s">
        <v>140</v>
      </c>
      <c r="B2041" t="s">
        <v>8</v>
      </c>
      <c r="C2041" t="s">
        <v>139</v>
      </c>
      <c r="D2041" t="str">
        <f>LEFT(M2041,10)</f>
        <v>11/15/2024</v>
      </c>
      <c r="E2041" t="s">
        <v>202</v>
      </c>
      <c r="F2041" t="s">
        <v>203</v>
      </c>
      <c r="G2041" t="s">
        <v>208</v>
      </c>
      <c r="I2041">
        <v>55.3</v>
      </c>
      <c r="J2041">
        <v>414.75</v>
      </c>
      <c r="K2041">
        <v>7.5</v>
      </c>
      <c r="M2041" t="s">
        <v>289</v>
      </c>
    </row>
    <row r="2042" spans="1:13" hidden="1">
      <c r="A2042" t="s">
        <v>140</v>
      </c>
      <c r="B2042" t="s">
        <v>8</v>
      </c>
      <c r="C2042" t="s">
        <v>139</v>
      </c>
      <c r="D2042" t="str">
        <f>LEFT(M2042,10)</f>
        <v>11/15/2024</v>
      </c>
      <c r="E2042" t="s">
        <v>202</v>
      </c>
      <c r="F2042" t="s">
        <v>216</v>
      </c>
      <c r="G2042" t="s">
        <v>253</v>
      </c>
      <c r="I2042">
        <v>2990</v>
      </c>
      <c r="J2042">
        <v>418.6</v>
      </c>
      <c r="K2042">
        <v>0.14000000000000001</v>
      </c>
      <c r="M2042" t="s">
        <v>289</v>
      </c>
    </row>
    <row r="2043" spans="1:13" hidden="1">
      <c r="A2043" t="s">
        <v>140</v>
      </c>
      <c r="B2043" t="s">
        <v>8</v>
      </c>
      <c r="C2043" t="s">
        <v>139</v>
      </c>
      <c r="D2043" t="str">
        <f>LEFT(M2043,10)</f>
        <v>11/15/2024</v>
      </c>
      <c r="E2043" t="s">
        <v>202</v>
      </c>
      <c r="F2043" t="s">
        <v>216</v>
      </c>
      <c r="G2043" t="s">
        <v>217</v>
      </c>
      <c r="I2043">
        <v>24</v>
      </c>
      <c r="J2043">
        <v>28.8</v>
      </c>
      <c r="K2043">
        <v>1.2</v>
      </c>
      <c r="M2043" t="s">
        <v>289</v>
      </c>
    </row>
    <row r="2044" spans="1:13" hidden="1">
      <c r="A2044" t="s">
        <v>140</v>
      </c>
      <c r="B2044" t="s">
        <v>8</v>
      </c>
      <c r="C2044" t="s">
        <v>139</v>
      </c>
      <c r="D2044" t="str">
        <f>LEFT(M2044,10)</f>
        <v>11/15/2024</v>
      </c>
      <c r="E2044" t="s">
        <v>230</v>
      </c>
      <c r="F2044" t="s">
        <v>248</v>
      </c>
      <c r="I2044">
        <v>0</v>
      </c>
      <c r="J2044">
        <v>11956.57</v>
      </c>
      <c r="M2044" t="s">
        <v>289</v>
      </c>
    </row>
    <row r="2045" spans="1:13" hidden="1">
      <c r="A2045" t="s">
        <v>140</v>
      </c>
      <c r="B2045" t="s">
        <v>8</v>
      </c>
      <c r="C2045" t="s">
        <v>139</v>
      </c>
      <c r="D2045" t="str">
        <f>LEFT(M2045,10)</f>
        <v>11/15/2024</v>
      </c>
      <c r="E2045" t="s">
        <v>232</v>
      </c>
      <c r="F2045" t="s">
        <v>233</v>
      </c>
      <c r="I2045">
        <v>0</v>
      </c>
      <c r="J2045">
        <v>944.22</v>
      </c>
      <c r="M2045" t="s">
        <v>289</v>
      </c>
    </row>
    <row r="2046" spans="1:13" hidden="1">
      <c r="A2046" t="s">
        <v>140</v>
      </c>
      <c r="B2046" t="s">
        <v>8</v>
      </c>
      <c r="C2046" t="s">
        <v>139</v>
      </c>
      <c r="D2046" t="str">
        <f>LEFT(M2046,10)</f>
        <v>11/15/2024</v>
      </c>
      <c r="E2046" t="s">
        <v>232</v>
      </c>
      <c r="F2046" t="s">
        <v>254</v>
      </c>
      <c r="I2046">
        <v>0</v>
      </c>
      <c r="J2046">
        <v>1677.03</v>
      </c>
      <c r="M2046" t="s">
        <v>289</v>
      </c>
    </row>
    <row r="2047" spans="1:13" hidden="1">
      <c r="A2047" t="s">
        <v>140</v>
      </c>
      <c r="B2047" t="s">
        <v>8</v>
      </c>
      <c r="C2047" t="s">
        <v>139</v>
      </c>
      <c r="D2047" t="str">
        <f>LEFT(M2047,10)</f>
        <v>11/15/2024</v>
      </c>
      <c r="E2047" t="s">
        <v>234</v>
      </c>
      <c r="F2047" t="s">
        <v>234</v>
      </c>
      <c r="I2047">
        <v>4702</v>
      </c>
      <c r="M2047" t="s">
        <v>289</v>
      </c>
    </row>
    <row r="2048" spans="1:13" hidden="1">
      <c r="A2048" t="s">
        <v>140</v>
      </c>
      <c r="B2048" t="s">
        <v>8</v>
      </c>
      <c r="C2048" t="s">
        <v>139</v>
      </c>
      <c r="D2048" t="str">
        <f>LEFT(M2048,10)</f>
        <v>11/15/2024</v>
      </c>
      <c r="E2048" t="s">
        <v>232</v>
      </c>
      <c r="F2048" t="s">
        <v>287</v>
      </c>
      <c r="I2048">
        <v>0</v>
      </c>
      <c r="J2048">
        <v>697</v>
      </c>
      <c r="M2048" t="s">
        <v>289</v>
      </c>
    </row>
    <row r="2049" spans="1:13" hidden="1">
      <c r="A2049" t="s">
        <v>140</v>
      </c>
      <c r="B2049" t="s">
        <v>8</v>
      </c>
      <c r="C2049" t="s">
        <v>139</v>
      </c>
      <c r="D2049" t="str">
        <f>LEFT(M2049,10)</f>
        <v>11/15/2024</v>
      </c>
      <c r="E2049" t="s">
        <v>232</v>
      </c>
      <c r="F2049" t="s">
        <v>296</v>
      </c>
      <c r="I2049">
        <v>0</v>
      </c>
      <c r="J2049">
        <v>125</v>
      </c>
      <c r="M2049" t="s">
        <v>289</v>
      </c>
    </row>
    <row r="2050" spans="1:13" hidden="1">
      <c r="A2050" t="s">
        <v>140</v>
      </c>
      <c r="B2050" t="s">
        <v>8</v>
      </c>
      <c r="C2050" t="s">
        <v>139</v>
      </c>
      <c r="D2050" t="str">
        <f>LEFT(M2050,10)</f>
        <v>11/15/2024</v>
      </c>
      <c r="E2050" t="s">
        <v>232</v>
      </c>
      <c r="F2050" t="s">
        <v>233</v>
      </c>
      <c r="I2050">
        <v>0</v>
      </c>
      <c r="J2050">
        <v>406.38</v>
      </c>
      <c r="M2050" t="s">
        <v>289</v>
      </c>
    </row>
    <row r="2051" spans="1:13" hidden="1">
      <c r="A2051" t="s">
        <v>140</v>
      </c>
      <c r="B2051" t="s">
        <v>8</v>
      </c>
      <c r="C2051" t="s">
        <v>139</v>
      </c>
      <c r="D2051" t="str">
        <f>LEFT(M2051,10)</f>
        <v>11/15/2024</v>
      </c>
      <c r="E2051" t="s">
        <v>232</v>
      </c>
      <c r="F2051" t="s">
        <v>291</v>
      </c>
      <c r="I2051">
        <v>0</v>
      </c>
      <c r="J2051">
        <v>360</v>
      </c>
      <c r="M2051" t="s">
        <v>289</v>
      </c>
    </row>
    <row r="2052" spans="1:13" hidden="1">
      <c r="A2052" t="s">
        <v>140</v>
      </c>
      <c r="B2052" t="s">
        <v>8</v>
      </c>
      <c r="C2052" t="s">
        <v>139</v>
      </c>
      <c r="D2052" t="str">
        <f>LEFT(M2052,10)</f>
        <v>11/15/2024</v>
      </c>
      <c r="E2052" t="s">
        <v>232</v>
      </c>
      <c r="F2052" t="s">
        <v>286</v>
      </c>
      <c r="I2052">
        <v>0</v>
      </c>
      <c r="J2052">
        <v>200</v>
      </c>
      <c r="M2052" t="s">
        <v>289</v>
      </c>
    </row>
    <row r="2053" spans="1:13" hidden="1">
      <c r="A2053" t="s">
        <v>142</v>
      </c>
      <c r="B2053" t="s">
        <v>8</v>
      </c>
      <c r="C2053" t="s">
        <v>141</v>
      </c>
      <c r="D2053" t="str">
        <f>LEFT(M2053,10)</f>
        <v>11/15/2024</v>
      </c>
      <c r="E2053" t="s">
        <v>230</v>
      </c>
      <c r="F2053" t="s">
        <v>323</v>
      </c>
      <c r="I2053">
        <v>0</v>
      </c>
      <c r="J2053">
        <v>6000</v>
      </c>
      <c r="L2053" t="s">
        <v>431</v>
      </c>
      <c r="M2053" t="s">
        <v>289</v>
      </c>
    </row>
    <row r="2054" spans="1:13" hidden="1">
      <c r="A2054" t="s">
        <v>142</v>
      </c>
      <c r="B2054" t="s">
        <v>8</v>
      </c>
      <c r="C2054" t="s">
        <v>141</v>
      </c>
      <c r="D2054" t="str">
        <f>LEFT(M2054,10)</f>
        <v>11/15/2024</v>
      </c>
      <c r="E2054" t="s">
        <v>234</v>
      </c>
      <c r="F2054" t="s">
        <v>234</v>
      </c>
      <c r="I2054">
        <v>8156</v>
      </c>
      <c r="M2054" t="s">
        <v>289</v>
      </c>
    </row>
    <row r="2055" spans="1:13" hidden="1">
      <c r="A2055" t="s">
        <v>142</v>
      </c>
      <c r="B2055" t="s">
        <v>8</v>
      </c>
      <c r="C2055" t="s">
        <v>141</v>
      </c>
      <c r="D2055" t="str">
        <f>LEFT(M2055,10)</f>
        <v>11/15/2024</v>
      </c>
      <c r="E2055" t="s">
        <v>232</v>
      </c>
      <c r="F2055" t="s">
        <v>255</v>
      </c>
      <c r="I2055">
        <v>0</v>
      </c>
      <c r="J2055">
        <v>444</v>
      </c>
      <c r="L2055" t="s">
        <v>432</v>
      </c>
      <c r="M2055" t="s">
        <v>289</v>
      </c>
    </row>
    <row r="2056" spans="1:13" hidden="1">
      <c r="A2056" t="s">
        <v>142</v>
      </c>
      <c r="B2056" t="s">
        <v>8</v>
      </c>
      <c r="C2056" t="s">
        <v>141</v>
      </c>
      <c r="D2056" t="str">
        <f>LEFT(M2056,10)</f>
        <v>11/15/2024</v>
      </c>
      <c r="E2056" t="s">
        <v>232</v>
      </c>
      <c r="F2056" t="s">
        <v>233</v>
      </c>
      <c r="I2056">
        <v>0</v>
      </c>
      <c r="J2056">
        <v>404.82</v>
      </c>
      <c r="M2056" t="s">
        <v>289</v>
      </c>
    </row>
    <row r="2057" spans="1:13" hidden="1">
      <c r="A2057" t="s">
        <v>142</v>
      </c>
      <c r="B2057" t="s">
        <v>8</v>
      </c>
      <c r="C2057" t="s">
        <v>141</v>
      </c>
      <c r="D2057" t="str">
        <f>LEFT(M2057,10)</f>
        <v>11/15/2024</v>
      </c>
      <c r="E2057" t="s">
        <v>232</v>
      </c>
      <c r="F2057" t="s">
        <v>233</v>
      </c>
      <c r="I2057">
        <v>0</v>
      </c>
      <c r="J2057">
        <v>211.8</v>
      </c>
      <c r="M2057" t="s">
        <v>289</v>
      </c>
    </row>
    <row r="2058" spans="1:13" hidden="1">
      <c r="A2058" t="s">
        <v>142</v>
      </c>
      <c r="B2058" t="s">
        <v>8</v>
      </c>
      <c r="C2058" t="s">
        <v>141</v>
      </c>
      <c r="D2058" t="str">
        <f>LEFT(M2058,10)</f>
        <v>11/15/2024</v>
      </c>
      <c r="E2058" t="s">
        <v>232</v>
      </c>
      <c r="F2058" t="s">
        <v>255</v>
      </c>
      <c r="I2058">
        <v>0</v>
      </c>
      <c r="J2058">
        <v>380</v>
      </c>
      <c r="L2058" t="s">
        <v>433</v>
      </c>
      <c r="M2058" t="s">
        <v>289</v>
      </c>
    </row>
    <row r="2059" spans="1:13" hidden="1">
      <c r="A2059" t="s">
        <v>142</v>
      </c>
      <c r="B2059" t="s">
        <v>8</v>
      </c>
      <c r="C2059" t="s">
        <v>141</v>
      </c>
      <c r="D2059" t="str">
        <f>LEFT(M2059,10)</f>
        <v>11/15/2024</v>
      </c>
      <c r="E2059" t="s">
        <v>202</v>
      </c>
      <c r="F2059" t="s">
        <v>227</v>
      </c>
      <c r="G2059" t="s">
        <v>237</v>
      </c>
      <c r="I2059">
        <v>388</v>
      </c>
      <c r="J2059">
        <v>302.64</v>
      </c>
      <c r="K2059">
        <v>0.78</v>
      </c>
      <c r="M2059" t="s">
        <v>289</v>
      </c>
    </row>
    <row r="2060" spans="1:13" hidden="1">
      <c r="A2060" t="s">
        <v>142</v>
      </c>
      <c r="B2060" t="s">
        <v>8</v>
      </c>
      <c r="C2060" t="s">
        <v>141</v>
      </c>
      <c r="D2060" t="str">
        <f>LEFT(M2060,10)</f>
        <v>11/15/2024</v>
      </c>
      <c r="E2060" t="s">
        <v>202</v>
      </c>
      <c r="F2060" t="s">
        <v>227</v>
      </c>
      <c r="G2060" t="s">
        <v>228</v>
      </c>
      <c r="I2060">
        <v>1907</v>
      </c>
      <c r="J2060">
        <v>514.89</v>
      </c>
      <c r="K2060">
        <v>0.27</v>
      </c>
      <c r="M2060" t="s">
        <v>289</v>
      </c>
    </row>
    <row r="2061" spans="1:13" hidden="1">
      <c r="A2061" t="s">
        <v>142</v>
      </c>
      <c r="B2061" t="s">
        <v>8</v>
      </c>
      <c r="C2061" t="s">
        <v>141</v>
      </c>
      <c r="D2061" t="str">
        <f>LEFT(M2061,10)</f>
        <v>11/15/2024</v>
      </c>
      <c r="E2061" t="s">
        <v>202</v>
      </c>
      <c r="F2061" t="s">
        <v>227</v>
      </c>
      <c r="G2061" t="s">
        <v>229</v>
      </c>
      <c r="I2061">
        <v>5049</v>
      </c>
      <c r="J2061">
        <v>3938.22</v>
      </c>
      <c r="K2061">
        <v>0.78</v>
      </c>
      <c r="M2061" t="s">
        <v>289</v>
      </c>
    </row>
    <row r="2062" spans="1:13" hidden="1">
      <c r="A2062" t="s">
        <v>142</v>
      </c>
      <c r="B2062" t="s">
        <v>8</v>
      </c>
      <c r="C2062" t="s">
        <v>141</v>
      </c>
      <c r="D2062" t="str">
        <f>LEFT(M2062,10)</f>
        <v>11/15/2024</v>
      </c>
      <c r="E2062" t="s">
        <v>202</v>
      </c>
      <c r="F2062" t="s">
        <v>227</v>
      </c>
      <c r="G2062" t="s">
        <v>238</v>
      </c>
      <c r="I2062">
        <v>434</v>
      </c>
      <c r="J2062">
        <v>151.9</v>
      </c>
      <c r="K2062">
        <v>0.35</v>
      </c>
      <c r="M2062" t="s">
        <v>289</v>
      </c>
    </row>
    <row r="2063" spans="1:13" hidden="1">
      <c r="A2063" t="s">
        <v>142</v>
      </c>
      <c r="B2063" t="s">
        <v>8</v>
      </c>
      <c r="C2063" t="s">
        <v>141</v>
      </c>
      <c r="D2063" t="str">
        <f>LEFT(M2063,10)</f>
        <v>11/15/2024</v>
      </c>
      <c r="E2063" t="s">
        <v>202</v>
      </c>
      <c r="F2063" t="s">
        <v>227</v>
      </c>
      <c r="G2063" t="s">
        <v>252</v>
      </c>
      <c r="I2063">
        <v>551</v>
      </c>
      <c r="J2063">
        <v>192.85</v>
      </c>
      <c r="K2063">
        <v>0.35</v>
      </c>
      <c r="M2063" t="s">
        <v>289</v>
      </c>
    </row>
    <row r="2064" spans="1:13" hidden="1">
      <c r="A2064" t="s">
        <v>142</v>
      </c>
      <c r="B2064" t="s">
        <v>8</v>
      </c>
      <c r="C2064" t="s">
        <v>141</v>
      </c>
      <c r="D2064" t="str">
        <f>LEFT(M2064,10)</f>
        <v>11/15/2024</v>
      </c>
      <c r="E2064" t="s">
        <v>202</v>
      </c>
      <c r="F2064" t="s">
        <v>218</v>
      </c>
      <c r="G2064" t="s">
        <v>224</v>
      </c>
      <c r="I2064">
        <v>313</v>
      </c>
      <c r="J2064">
        <v>375.6</v>
      </c>
      <c r="K2064">
        <v>1.2</v>
      </c>
      <c r="M2064" t="s">
        <v>289</v>
      </c>
    </row>
    <row r="2065" spans="1:13" hidden="1">
      <c r="A2065" t="s">
        <v>142</v>
      </c>
      <c r="B2065" t="s">
        <v>8</v>
      </c>
      <c r="C2065" t="s">
        <v>141</v>
      </c>
      <c r="D2065" t="str">
        <f>LEFT(M2065,10)</f>
        <v>11/15/2024</v>
      </c>
      <c r="E2065" t="s">
        <v>202</v>
      </c>
      <c r="F2065" t="s">
        <v>218</v>
      </c>
      <c r="G2065" t="s">
        <v>220</v>
      </c>
      <c r="I2065">
        <v>896</v>
      </c>
      <c r="J2065">
        <v>1344</v>
      </c>
      <c r="K2065">
        <v>1.5</v>
      </c>
      <c r="M2065" t="s">
        <v>289</v>
      </c>
    </row>
    <row r="2066" spans="1:13" hidden="1">
      <c r="A2066" t="s">
        <v>142</v>
      </c>
      <c r="B2066" t="s">
        <v>8</v>
      </c>
      <c r="C2066" t="s">
        <v>141</v>
      </c>
      <c r="D2066" t="str">
        <f>LEFT(M2066,10)</f>
        <v>11/15/2024</v>
      </c>
      <c r="E2066" t="s">
        <v>202</v>
      </c>
      <c r="F2066" t="s">
        <v>218</v>
      </c>
      <c r="G2066" t="s">
        <v>221</v>
      </c>
      <c r="I2066">
        <v>364</v>
      </c>
      <c r="J2066">
        <v>910</v>
      </c>
      <c r="K2066">
        <v>2.5</v>
      </c>
      <c r="M2066" t="s">
        <v>289</v>
      </c>
    </row>
    <row r="2067" spans="1:13" hidden="1">
      <c r="A2067" t="s">
        <v>142</v>
      </c>
      <c r="B2067" t="s">
        <v>8</v>
      </c>
      <c r="C2067" t="s">
        <v>141</v>
      </c>
      <c r="D2067" t="str">
        <f>LEFT(M2067,10)</f>
        <v>11/15/2024</v>
      </c>
      <c r="E2067" t="s">
        <v>202</v>
      </c>
      <c r="F2067" t="s">
        <v>218</v>
      </c>
      <c r="G2067" t="s">
        <v>221</v>
      </c>
      <c r="I2067">
        <v>370</v>
      </c>
      <c r="J2067">
        <v>925</v>
      </c>
      <c r="K2067">
        <v>2.5</v>
      </c>
      <c r="M2067" t="s">
        <v>289</v>
      </c>
    </row>
    <row r="2068" spans="1:13" hidden="1">
      <c r="A2068" t="s">
        <v>142</v>
      </c>
      <c r="B2068" t="s">
        <v>8</v>
      </c>
      <c r="C2068" t="s">
        <v>141</v>
      </c>
      <c r="D2068" t="str">
        <f>LEFT(M2068,10)</f>
        <v>11/15/2024</v>
      </c>
      <c r="E2068" t="s">
        <v>202</v>
      </c>
      <c r="F2068" t="s">
        <v>218</v>
      </c>
      <c r="G2068" t="s">
        <v>223</v>
      </c>
      <c r="I2068">
        <v>1336</v>
      </c>
      <c r="J2068">
        <v>1068.8</v>
      </c>
      <c r="K2068">
        <v>0.8</v>
      </c>
      <c r="M2068" t="s">
        <v>289</v>
      </c>
    </row>
    <row r="2069" spans="1:13" hidden="1">
      <c r="A2069" t="s">
        <v>142</v>
      </c>
      <c r="B2069" t="s">
        <v>8</v>
      </c>
      <c r="C2069" t="s">
        <v>141</v>
      </c>
      <c r="D2069" t="str">
        <f>LEFT(M2069,10)</f>
        <v>11/15/2024</v>
      </c>
      <c r="E2069" t="s">
        <v>202</v>
      </c>
      <c r="F2069" t="s">
        <v>218</v>
      </c>
      <c r="G2069" t="s">
        <v>223</v>
      </c>
      <c r="I2069">
        <v>652</v>
      </c>
      <c r="J2069">
        <v>326</v>
      </c>
      <c r="K2069">
        <v>0.5</v>
      </c>
      <c r="M2069" t="s">
        <v>289</v>
      </c>
    </row>
    <row r="2070" spans="1:13" hidden="1">
      <c r="A2070" t="s">
        <v>142</v>
      </c>
      <c r="B2070" t="s">
        <v>8</v>
      </c>
      <c r="C2070" t="s">
        <v>141</v>
      </c>
      <c r="D2070" t="str">
        <f>LEFT(M2070,10)</f>
        <v>11/15/2024</v>
      </c>
      <c r="E2070" t="s">
        <v>202</v>
      </c>
      <c r="F2070" t="s">
        <v>218</v>
      </c>
      <c r="G2070" t="s">
        <v>242</v>
      </c>
      <c r="I2070">
        <v>185</v>
      </c>
      <c r="J2070">
        <v>185</v>
      </c>
      <c r="K2070">
        <v>1</v>
      </c>
      <c r="M2070" t="s">
        <v>289</v>
      </c>
    </row>
    <row r="2071" spans="1:13" hidden="1">
      <c r="A2071" t="s">
        <v>142</v>
      </c>
      <c r="B2071" t="s">
        <v>8</v>
      </c>
      <c r="C2071" t="s">
        <v>141</v>
      </c>
      <c r="D2071" t="str">
        <f>LEFT(M2071,10)</f>
        <v>11/15/2024</v>
      </c>
      <c r="E2071" t="s">
        <v>202</v>
      </c>
      <c r="F2071" t="s">
        <v>218</v>
      </c>
      <c r="G2071" t="s">
        <v>241</v>
      </c>
      <c r="I2071">
        <v>1096</v>
      </c>
      <c r="J2071">
        <v>5151.2</v>
      </c>
      <c r="K2071">
        <v>4.7</v>
      </c>
      <c r="M2071" t="s">
        <v>289</v>
      </c>
    </row>
    <row r="2072" spans="1:13" hidden="1">
      <c r="A2072" t="s">
        <v>142</v>
      </c>
      <c r="B2072" t="s">
        <v>8</v>
      </c>
      <c r="C2072" t="s">
        <v>141</v>
      </c>
      <c r="D2072" t="str">
        <f>LEFT(M2072,10)</f>
        <v>11/15/2024</v>
      </c>
      <c r="E2072" t="s">
        <v>202</v>
      </c>
      <c r="F2072" t="s">
        <v>218</v>
      </c>
      <c r="G2072" t="s">
        <v>222</v>
      </c>
      <c r="I2072">
        <v>456</v>
      </c>
      <c r="J2072">
        <v>820.8</v>
      </c>
      <c r="K2072">
        <v>1.8</v>
      </c>
      <c r="M2072" t="s">
        <v>289</v>
      </c>
    </row>
    <row r="2073" spans="1:13" hidden="1">
      <c r="A2073" t="s">
        <v>142</v>
      </c>
      <c r="B2073" t="s">
        <v>8</v>
      </c>
      <c r="C2073" t="s">
        <v>141</v>
      </c>
      <c r="D2073" t="str">
        <f>LEFT(M2073,10)</f>
        <v>11/15/2024</v>
      </c>
      <c r="E2073" t="s">
        <v>202</v>
      </c>
      <c r="F2073" t="s">
        <v>218</v>
      </c>
      <c r="G2073" t="s">
        <v>222</v>
      </c>
      <c r="I2073">
        <v>490</v>
      </c>
      <c r="J2073">
        <v>759.5</v>
      </c>
      <c r="K2073">
        <v>1.55</v>
      </c>
      <c r="M2073" t="s">
        <v>289</v>
      </c>
    </row>
    <row r="2074" spans="1:13" hidden="1">
      <c r="A2074" t="s">
        <v>142</v>
      </c>
      <c r="B2074" t="s">
        <v>8</v>
      </c>
      <c r="C2074" t="s">
        <v>141</v>
      </c>
      <c r="D2074" t="str">
        <f>LEFT(M2074,10)</f>
        <v>11/15/2024</v>
      </c>
      <c r="E2074" t="s">
        <v>202</v>
      </c>
      <c r="F2074" t="s">
        <v>218</v>
      </c>
      <c r="G2074" t="s">
        <v>222</v>
      </c>
      <c r="I2074">
        <v>561</v>
      </c>
      <c r="J2074">
        <v>869.55</v>
      </c>
      <c r="K2074">
        <v>1.55</v>
      </c>
      <c r="M2074" t="s">
        <v>289</v>
      </c>
    </row>
    <row r="2075" spans="1:13" hidden="1">
      <c r="A2075" t="s">
        <v>142</v>
      </c>
      <c r="B2075" t="s">
        <v>8</v>
      </c>
      <c r="C2075" t="s">
        <v>141</v>
      </c>
      <c r="D2075" t="str">
        <f>LEFT(M2075,10)</f>
        <v>11/15/2024</v>
      </c>
      <c r="E2075" t="s">
        <v>202</v>
      </c>
      <c r="F2075" t="s">
        <v>218</v>
      </c>
      <c r="G2075" t="s">
        <v>268</v>
      </c>
      <c r="I2075">
        <v>119</v>
      </c>
      <c r="J2075">
        <v>95.2</v>
      </c>
      <c r="K2075">
        <v>0.8</v>
      </c>
      <c r="M2075" t="s">
        <v>289</v>
      </c>
    </row>
    <row r="2076" spans="1:13" hidden="1">
      <c r="A2076" t="s">
        <v>142</v>
      </c>
      <c r="B2076" t="s">
        <v>8</v>
      </c>
      <c r="C2076" t="s">
        <v>141</v>
      </c>
      <c r="D2076" t="str">
        <f>LEFT(M2076,10)</f>
        <v>11/15/2024</v>
      </c>
      <c r="E2076" t="s">
        <v>202</v>
      </c>
      <c r="F2076" t="s">
        <v>218</v>
      </c>
      <c r="G2076" t="s">
        <v>226</v>
      </c>
      <c r="I2076">
        <v>676</v>
      </c>
      <c r="J2076">
        <v>236.46</v>
      </c>
      <c r="K2076">
        <v>0.35</v>
      </c>
      <c r="M2076" t="s">
        <v>289</v>
      </c>
    </row>
    <row r="2077" spans="1:13" hidden="1">
      <c r="A2077" t="s">
        <v>142</v>
      </c>
      <c r="B2077" t="s">
        <v>8</v>
      </c>
      <c r="C2077" t="s">
        <v>141</v>
      </c>
      <c r="D2077" t="str">
        <f>LEFT(M2077,10)</f>
        <v>11/15/2024</v>
      </c>
      <c r="E2077" t="s">
        <v>202</v>
      </c>
      <c r="F2077" t="s">
        <v>203</v>
      </c>
      <c r="G2077" t="s">
        <v>207</v>
      </c>
      <c r="I2077">
        <v>40.200000000000003</v>
      </c>
      <c r="J2077">
        <v>293.45999999999998</v>
      </c>
      <c r="K2077">
        <v>7.3</v>
      </c>
      <c r="M2077" t="s">
        <v>289</v>
      </c>
    </row>
    <row r="2078" spans="1:13" hidden="1">
      <c r="A2078" t="s">
        <v>142</v>
      </c>
      <c r="B2078" t="s">
        <v>8</v>
      </c>
      <c r="C2078" t="s">
        <v>141</v>
      </c>
      <c r="D2078" t="str">
        <f>LEFT(M2078,10)</f>
        <v>11/15/2024</v>
      </c>
      <c r="E2078" t="s">
        <v>202</v>
      </c>
      <c r="F2078" t="s">
        <v>203</v>
      </c>
      <c r="G2078" t="s">
        <v>204</v>
      </c>
      <c r="I2078">
        <v>142.80000000000001</v>
      </c>
      <c r="J2078">
        <v>1399.44</v>
      </c>
      <c r="K2078">
        <v>9.8000000000000007</v>
      </c>
      <c r="M2078" t="s">
        <v>289</v>
      </c>
    </row>
    <row r="2079" spans="1:13" hidden="1">
      <c r="A2079" t="s">
        <v>142</v>
      </c>
      <c r="B2079" t="s">
        <v>8</v>
      </c>
      <c r="C2079" t="s">
        <v>141</v>
      </c>
      <c r="D2079" t="str">
        <f>LEFT(M2079,10)</f>
        <v>11/15/2024</v>
      </c>
      <c r="E2079" t="s">
        <v>202</v>
      </c>
      <c r="F2079" t="s">
        <v>203</v>
      </c>
      <c r="G2079" t="s">
        <v>208</v>
      </c>
      <c r="I2079">
        <v>44.4</v>
      </c>
      <c r="J2079">
        <v>452.88</v>
      </c>
      <c r="K2079">
        <v>10.199999999999999</v>
      </c>
      <c r="M2079" t="s">
        <v>289</v>
      </c>
    </row>
    <row r="2080" spans="1:13" hidden="1">
      <c r="A2080" t="s">
        <v>142</v>
      </c>
      <c r="B2080" t="s">
        <v>8</v>
      </c>
      <c r="C2080" t="s">
        <v>141</v>
      </c>
      <c r="D2080" t="str">
        <f>LEFT(M2080,10)</f>
        <v>11/15/2024</v>
      </c>
      <c r="E2080" t="s">
        <v>202</v>
      </c>
      <c r="F2080" t="s">
        <v>203</v>
      </c>
      <c r="G2080" t="s">
        <v>235</v>
      </c>
      <c r="I2080">
        <v>28</v>
      </c>
      <c r="J2080">
        <v>238</v>
      </c>
      <c r="K2080">
        <v>8.5</v>
      </c>
      <c r="M2080" t="s">
        <v>289</v>
      </c>
    </row>
    <row r="2081" spans="1:13" hidden="1">
      <c r="A2081" t="s">
        <v>142</v>
      </c>
      <c r="B2081" t="s">
        <v>8</v>
      </c>
      <c r="C2081" t="s">
        <v>141</v>
      </c>
      <c r="D2081" t="str">
        <f>LEFT(M2081,10)</f>
        <v>11/15/2024</v>
      </c>
      <c r="E2081" t="s">
        <v>202</v>
      </c>
      <c r="F2081" t="s">
        <v>203</v>
      </c>
      <c r="G2081" t="s">
        <v>259</v>
      </c>
      <c r="I2081">
        <v>4.2</v>
      </c>
      <c r="J2081">
        <v>102.9</v>
      </c>
      <c r="K2081">
        <v>24.5</v>
      </c>
      <c r="M2081" t="s">
        <v>289</v>
      </c>
    </row>
    <row r="2082" spans="1:13" hidden="1">
      <c r="A2082" t="s">
        <v>142</v>
      </c>
      <c r="B2082" t="s">
        <v>8</v>
      </c>
      <c r="C2082" t="s">
        <v>141</v>
      </c>
      <c r="D2082" t="str">
        <f>LEFT(M2082,10)</f>
        <v>11/15/2024</v>
      </c>
      <c r="E2082" t="s">
        <v>202</v>
      </c>
      <c r="F2082" t="s">
        <v>203</v>
      </c>
      <c r="G2082" t="s">
        <v>260</v>
      </c>
      <c r="I2082">
        <v>9.6</v>
      </c>
      <c r="J2082">
        <v>379.2</v>
      </c>
      <c r="K2082">
        <v>39.5</v>
      </c>
      <c r="M2082" t="s">
        <v>289</v>
      </c>
    </row>
    <row r="2083" spans="1:13" hidden="1">
      <c r="A2083" t="s">
        <v>142</v>
      </c>
      <c r="B2083" t="s">
        <v>8</v>
      </c>
      <c r="C2083" t="s">
        <v>141</v>
      </c>
      <c r="D2083" t="str">
        <f>LEFT(M2083,10)</f>
        <v>11/15/2024</v>
      </c>
      <c r="E2083" t="s">
        <v>202</v>
      </c>
      <c r="F2083" t="s">
        <v>203</v>
      </c>
      <c r="G2083" t="s">
        <v>259</v>
      </c>
      <c r="I2083">
        <v>6.6</v>
      </c>
      <c r="J2083">
        <v>23.1</v>
      </c>
      <c r="K2083">
        <v>3.5</v>
      </c>
      <c r="M2083" t="s">
        <v>289</v>
      </c>
    </row>
    <row r="2084" spans="1:13" hidden="1">
      <c r="A2084" t="s">
        <v>142</v>
      </c>
      <c r="B2084" t="s">
        <v>8</v>
      </c>
      <c r="C2084" t="s">
        <v>141</v>
      </c>
      <c r="D2084" t="str">
        <f>LEFT(M2084,10)</f>
        <v>11/15/2024</v>
      </c>
      <c r="E2084" t="s">
        <v>202</v>
      </c>
      <c r="F2084" t="s">
        <v>203</v>
      </c>
      <c r="G2084" t="s">
        <v>236</v>
      </c>
      <c r="I2084">
        <v>2270</v>
      </c>
      <c r="J2084">
        <v>1475.5</v>
      </c>
      <c r="K2084">
        <v>0.65</v>
      </c>
      <c r="M2084" t="s">
        <v>289</v>
      </c>
    </row>
    <row r="2085" spans="1:13" hidden="1">
      <c r="A2085" t="s">
        <v>142</v>
      </c>
      <c r="B2085" t="s">
        <v>8</v>
      </c>
      <c r="C2085" t="s">
        <v>141</v>
      </c>
      <c r="D2085" t="str">
        <f>LEFT(M2085,10)</f>
        <v>11/15/2024</v>
      </c>
      <c r="E2085" t="s">
        <v>202</v>
      </c>
      <c r="F2085" t="s">
        <v>209</v>
      </c>
      <c r="G2085" t="s">
        <v>214</v>
      </c>
      <c r="I2085">
        <v>111.4</v>
      </c>
      <c r="J2085">
        <v>1031.56</v>
      </c>
      <c r="K2085">
        <v>9.26</v>
      </c>
      <c r="M2085" t="s">
        <v>289</v>
      </c>
    </row>
    <row r="2086" spans="1:13" hidden="1">
      <c r="A2086" t="s">
        <v>142</v>
      </c>
      <c r="B2086" t="s">
        <v>8</v>
      </c>
      <c r="C2086" t="s">
        <v>141</v>
      </c>
      <c r="D2086" t="str">
        <f>LEFT(M2086,10)</f>
        <v>11/15/2024</v>
      </c>
      <c r="E2086" t="s">
        <v>202</v>
      </c>
      <c r="F2086" t="s">
        <v>209</v>
      </c>
      <c r="G2086" t="s">
        <v>210</v>
      </c>
      <c r="I2086">
        <v>19.399999999999999</v>
      </c>
      <c r="J2086">
        <v>69.84</v>
      </c>
      <c r="K2086">
        <v>3.6</v>
      </c>
      <c r="M2086" t="s">
        <v>289</v>
      </c>
    </row>
    <row r="2087" spans="1:13" hidden="1">
      <c r="A2087" t="s">
        <v>142</v>
      </c>
      <c r="B2087" t="s">
        <v>8</v>
      </c>
      <c r="C2087" t="s">
        <v>141</v>
      </c>
      <c r="D2087" t="str">
        <f>LEFT(M2087,10)</f>
        <v>11/15/2024</v>
      </c>
      <c r="E2087" t="s">
        <v>202</v>
      </c>
      <c r="F2087" t="s">
        <v>216</v>
      </c>
      <c r="G2087" t="s">
        <v>253</v>
      </c>
      <c r="I2087">
        <v>2250</v>
      </c>
      <c r="J2087">
        <v>225</v>
      </c>
      <c r="K2087">
        <v>0.1</v>
      </c>
      <c r="M2087" t="s">
        <v>289</v>
      </c>
    </row>
    <row r="2088" spans="1:13" hidden="1">
      <c r="A2088" t="s">
        <v>144</v>
      </c>
      <c r="B2088" t="s">
        <v>8</v>
      </c>
      <c r="C2088" t="s">
        <v>143</v>
      </c>
      <c r="D2088" t="str">
        <f>LEFT(M2088,10)</f>
        <v>11/15/2024</v>
      </c>
      <c r="E2088" t="s">
        <v>202</v>
      </c>
      <c r="F2088" t="s">
        <v>218</v>
      </c>
      <c r="G2088" t="s">
        <v>240</v>
      </c>
      <c r="I2088">
        <v>530</v>
      </c>
      <c r="J2088">
        <v>2544</v>
      </c>
      <c r="K2088">
        <v>4.8</v>
      </c>
      <c r="M2088" t="s">
        <v>289</v>
      </c>
    </row>
    <row r="2089" spans="1:13" hidden="1">
      <c r="A2089" t="s">
        <v>144</v>
      </c>
      <c r="B2089" t="s">
        <v>8</v>
      </c>
      <c r="C2089" t="s">
        <v>143</v>
      </c>
      <c r="D2089" t="str">
        <f>LEFT(M2089,10)</f>
        <v>11/15/2024</v>
      </c>
      <c r="E2089" t="s">
        <v>202</v>
      </c>
      <c r="F2089" t="s">
        <v>218</v>
      </c>
      <c r="G2089" t="s">
        <v>241</v>
      </c>
      <c r="I2089">
        <v>166</v>
      </c>
      <c r="J2089">
        <v>796.8</v>
      </c>
      <c r="K2089">
        <v>4.8</v>
      </c>
      <c r="M2089" t="s">
        <v>289</v>
      </c>
    </row>
    <row r="2090" spans="1:13" hidden="1">
      <c r="A2090" t="s">
        <v>144</v>
      </c>
      <c r="B2090" t="s">
        <v>8</v>
      </c>
      <c r="C2090" t="s">
        <v>143</v>
      </c>
      <c r="D2090" t="str">
        <f>LEFT(M2090,10)</f>
        <v>11/15/2024</v>
      </c>
      <c r="E2090" t="s">
        <v>202</v>
      </c>
      <c r="F2090" t="s">
        <v>218</v>
      </c>
      <c r="G2090" t="s">
        <v>222</v>
      </c>
      <c r="I2090">
        <v>97</v>
      </c>
      <c r="J2090">
        <v>184.3</v>
      </c>
      <c r="K2090">
        <v>1.9</v>
      </c>
      <c r="M2090" t="s">
        <v>289</v>
      </c>
    </row>
    <row r="2091" spans="1:13" hidden="1">
      <c r="A2091" t="s">
        <v>144</v>
      </c>
      <c r="B2091" t="s">
        <v>8</v>
      </c>
      <c r="C2091" t="s">
        <v>143</v>
      </c>
      <c r="D2091" t="str">
        <f>LEFT(M2091,10)</f>
        <v>11/15/2024</v>
      </c>
      <c r="E2091" t="s">
        <v>202</v>
      </c>
      <c r="F2091" t="s">
        <v>218</v>
      </c>
      <c r="G2091" t="s">
        <v>222</v>
      </c>
      <c r="I2091">
        <v>152</v>
      </c>
      <c r="J2091">
        <v>273.60000000000002</v>
      </c>
      <c r="K2091">
        <v>1.8</v>
      </c>
      <c r="M2091" t="s">
        <v>289</v>
      </c>
    </row>
    <row r="2092" spans="1:13" hidden="1">
      <c r="A2092" t="s">
        <v>144</v>
      </c>
      <c r="B2092" t="s">
        <v>8</v>
      </c>
      <c r="C2092" t="s">
        <v>143</v>
      </c>
      <c r="D2092" t="str">
        <f>LEFT(M2092,10)</f>
        <v>11/15/2024</v>
      </c>
      <c r="E2092" t="s">
        <v>202</v>
      </c>
      <c r="F2092" t="s">
        <v>218</v>
      </c>
      <c r="G2092" t="s">
        <v>222</v>
      </c>
      <c r="I2092">
        <v>415</v>
      </c>
      <c r="J2092">
        <v>747</v>
      </c>
      <c r="K2092">
        <v>1.8</v>
      </c>
      <c r="M2092" t="s">
        <v>289</v>
      </c>
    </row>
    <row r="2093" spans="1:13" hidden="1">
      <c r="A2093" t="s">
        <v>144</v>
      </c>
      <c r="B2093" t="s">
        <v>8</v>
      </c>
      <c r="C2093" t="s">
        <v>143</v>
      </c>
      <c r="D2093" t="str">
        <f>LEFT(M2093,10)</f>
        <v>11/15/2024</v>
      </c>
      <c r="E2093" t="s">
        <v>202</v>
      </c>
      <c r="F2093" t="s">
        <v>218</v>
      </c>
      <c r="G2093" t="s">
        <v>224</v>
      </c>
      <c r="I2093">
        <v>205</v>
      </c>
      <c r="J2093">
        <v>225.5</v>
      </c>
      <c r="K2093">
        <v>1.1000000000000001</v>
      </c>
      <c r="M2093" t="s">
        <v>289</v>
      </c>
    </row>
    <row r="2094" spans="1:13" hidden="1">
      <c r="A2094" t="s">
        <v>144</v>
      </c>
      <c r="B2094" t="s">
        <v>8</v>
      </c>
      <c r="C2094" t="s">
        <v>143</v>
      </c>
      <c r="D2094" t="str">
        <f>LEFT(M2094,10)</f>
        <v>11/15/2024</v>
      </c>
      <c r="E2094" t="s">
        <v>202</v>
      </c>
      <c r="F2094" t="s">
        <v>218</v>
      </c>
      <c r="G2094" t="s">
        <v>221</v>
      </c>
      <c r="I2094">
        <v>191</v>
      </c>
      <c r="J2094">
        <v>487</v>
      </c>
      <c r="K2094">
        <v>2.5499999999999998</v>
      </c>
      <c r="M2094" t="s">
        <v>289</v>
      </c>
    </row>
    <row r="2095" spans="1:13" hidden="1">
      <c r="A2095" t="s">
        <v>144</v>
      </c>
      <c r="B2095" t="s">
        <v>8</v>
      </c>
      <c r="C2095" t="s">
        <v>143</v>
      </c>
      <c r="D2095" t="str">
        <f>LEFT(M2095,10)</f>
        <v>11/15/2024</v>
      </c>
      <c r="E2095" t="s">
        <v>202</v>
      </c>
      <c r="F2095" t="s">
        <v>216</v>
      </c>
      <c r="G2095" t="s">
        <v>253</v>
      </c>
      <c r="I2095">
        <v>1255</v>
      </c>
      <c r="J2095">
        <v>175.7</v>
      </c>
      <c r="K2095">
        <v>0.14000000000000001</v>
      </c>
      <c r="M2095" t="s">
        <v>289</v>
      </c>
    </row>
    <row r="2096" spans="1:13" hidden="1">
      <c r="A2096" t="s">
        <v>144</v>
      </c>
      <c r="B2096" t="s">
        <v>8</v>
      </c>
      <c r="C2096" t="s">
        <v>143</v>
      </c>
      <c r="D2096" t="str">
        <f>LEFT(M2096,10)</f>
        <v>11/15/2024</v>
      </c>
      <c r="E2096" t="s">
        <v>202</v>
      </c>
      <c r="F2096" t="s">
        <v>218</v>
      </c>
      <c r="G2096" t="s">
        <v>223</v>
      </c>
      <c r="I2096">
        <v>382</v>
      </c>
      <c r="J2096">
        <v>286.5</v>
      </c>
      <c r="K2096">
        <v>0.75</v>
      </c>
      <c r="M2096" t="s">
        <v>289</v>
      </c>
    </row>
    <row r="2097" spans="1:13" hidden="1">
      <c r="A2097" t="s">
        <v>144</v>
      </c>
      <c r="B2097" t="s">
        <v>8</v>
      </c>
      <c r="C2097" t="s">
        <v>143</v>
      </c>
      <c r="D2097" t="str">
        <f>LEFT(M2097,10)</f>
        <v>11/15/2024</v>
      </c>
      <c r="E2097" t="s">
        <v>202</v>
      </c>
      <c r="F2097" t="s">
        <v>218</v>
      </c>
      <c r="G2097" t="s">
        <v>220</v>
      </c>
      <c r="I2097">
        <v>601.6</v>
      </c>
      <c r="J2097">
        <v>902.4</v>
      </c>
      <c r="K2097">
        <v>1.5</v>
      </c>
      <c r="M2097" t="s">
        <v>289</v>
      </c>
    </row>
    <row r="2098" spans="1:13" hidden="1">
      <c r="A2098" t="s">
        <v>144</v>
      </c>
      <c r="B2098" t="s">
        <v>8</v>
      </c>
      <c r="C2098" t="s">
        <v>143</v>
      </c>
      <c r="D2098" t="str">
        <f>LEFT(M2098,10)</f>
        <v>11/15/2024</v>
      </c>
      <c r="E2098" t="s">
        <v>202</v>
      </c>
      <c r="F2098" t="s">
        <v>218</v>
      </c>
      <c r="G2098" t="s">
        <v>247</v>
      </c>
      <c r="I2098">
        <v>34</v>
      </c>
      <c r="J2098">
        <v>149.6</v>
      </c>
      <c r="K2098">
        <v>4.4000000000000004</v>
      </c>
      <c r="M2098" t="s">
        <v>289</v>
      </c>
    </row>
    <row r="2099" spans="1:13" hidden="1">
      <c r="A2099" t="s">
        <v>144</v>
      </c>
      <c r="B2099" t="s">
        <v>8</v>
      </c>
      <c r="C2099" t="s">
        <v>143</v>
      </c>
      <c r="D2099" t="str">
        <f>LEFT(M2099,10)</f>
        <v>11/15/2024</v>
      </c>
      <c r="E2099" t="s">
        <v>202</v>
      </c>
      <c r="F2099" t="s">
        <v>218</v>
      </c>
      <c r="G2099" t="s">
        <v>243</v>
      </c>
      <c r="H2099" t="s">
        <v>434</v>
      </c>
      <c r="I2099">
        <v>105</v>
      </c>
      <c r="J2099">
        <v>252</v>
      </c>
      <c r="K2099">
        <v>2.4</v>
      </c>
      <c r="M2099" t="s">
        <v>289</v>
      </c>
    </row>
    <row r="2100" spans="1:13" hidden="1">
      <c r="A2100" t="s">
        <v>144</v>
      </c>
      <c r="B2100" t="s">
        <v>8</v>
      </c>
      <c r="C2100" t="s">
        <v>143</v>
      </c>
      <c r="D2100" t="str">
        <f>LEFT(M2100,10)</f>
        <v>11/15/2024</v>
      </c>
      <c r="E2100" t="s">
        <v>202</v>
      </c>
      <c r="F2100" t="s">
        <v>227</v>
      </c>
      <c r="G2100" t="s">
        <v>237</v>
      </c>
      <c r="I2100">
        <v>343</v>
      </c>
      <c r="J2100">
        <v>205.8</v>
      </c>
      <c r="K2100">
        <v>0.6</v>
      </c>
      <c r="M2100" t="s">
        <v>289</v>
      </c>
    </row>
    <row r="2101" spans="1:13" hidden="1">
      <c r="A2101" t="s">
        <v>144</v>
      </c>
      <c r="B2101" t="s">
        <v>8</v>
      </c>
      <c r="C2101" t="s">
        <v>143</v>
      </c>
      <c r="D2101" t="str">
        <f>LEFT(M2101,10)</f>
        <v>11/15/2024</v>
      </c>
      <c r="E2101" t="s">
        <v>202</v>
      </c>
      <c r="F2101" t="s">
        <v>218</v>
      </c>
      <c r="G2101" t="s">
        <v>242</v>
      </c>
      <c r="I2101">
        <v>47</v>
      </c>
      <c r="J2101">
        <v>65.8</v>
      </c>
      <c r="K2101">
        <v>1.4</v>
      </c>
      <c r="M2101" t="s">
        <v>289</v>
      </c>
    </row>
    <row r="2102" spans="1:13" hidden="1">
      <c r="A2102" t="s">
        <v>144</v>
      </c>
      <c r="B2102" t="s">
        <v>8</v>
      </c>
      <c r="C2102" t="s">
        <v>143</v>
      </c>
      <c r="D2102" t="str">
        <f>LEFT(M2102,10)</f>
        <v>11/15/2024</v>
      </c>
      <c r="E2102" t="s">
        <v>202</v>
      </c>
      <c r="F2102" t="s">
        <v>218</v>
      </c>
      <c r="G2102" t="s">
        <v>243</v>
      </c>
      <c r="H2102" t="s">
        <v>435</v>
      </c>
      <c r="I2102">
        <v>222</v>
      </c>
      <c r="J2102">
        <v>111</v>
      </c>
      <c r="K2102">
        <v>0.5</v>
      </c>
      <c r="M2102" t="s">
        <v>289</v>
      </c>
    </row>
    <row r="2103" spans="1:13" hidden="1">
      <c r="A2103" t="s">
        <v>144</v>
      </c>
      <c r="B2103" t="s">
        <v>8</v>
      </c>
      <c r="C2103" t="s">
        <v>143</v>
      </c>
      <c r="D2103" t="str">
        <f>LEFT(M2103,10)</f>
        <v>11/15/2024</v>
      </c>
      <c r="E2103" t="s">
        <v>202</v>
      </c>
      <c r="F2103" t="s">
        <v>227</v>
      </c>
      <c r="G2103" t="s">
        <v>228</v>
      </c>
      <c r="I2103">
        <v>1142</v>
      </c>
      <c r="J2103">
        <v>342.6</v>
      </c>
      <c r="K2103">
        <v>0.3</v>
      </c>
      <c r="M2103" t="s">
        <v>289</v>
      </c>
    </row>
    <row r="2104" spans="1:13" hidden="1">
      <c r="A2104" t="s">
        <v>144</v>
      </c>
      <c r="B2104" t="s">
        <v>8</v>
      </c>
      <c r="C2104" t="s">
        <v>143</v>
      </c>
      <c r="D2104" t="str">
        <f>LEFT(M2104,10)</f>
        <v>11/15/2024</v>
      </c>
      <c r="E2104" t="s">
        <v>202</v>
      </c>
      <c r="F2104" t="s">
        <v>227</v>
      </c>
      <c r="G2104" t="s">
        <v>252</v>
      </c>
      <c r="I2104">
        <v>320</v>
      </c>
      <c r="J2104">
        <v>112</v>
      </c>
      <c r="K2104">
        <v>0.35</v>
      </c>
      <c r="M2104" t="s">
        <v>289</v>
      </c>
    </row>
    <row r="2105" spans="1:13" hidden="1">
      <c r="A2105" t="s">
        <v>144</v>
      </c>
      <c r="B2105" t="s">
        <v>8</v>
      </c>
      <c r="C2105" t="s">
        <v>143</v>
      </c>
      <c r="D2105" t="str">
        <f>LEFT(M2105,10)</f>
        <v>11/15/2024</v>
      </c>
      <c r="E2105" t="s">
        <v>202</v>
      </c>
      <c r="F2105" t="s">
        <v>218</v>
      </c>
      <c r="G2105" t="s">
        <v>226</v>
      </c>
      <c r="I2105">
        <v>93</v>
      </c>
      <c r="J2105">
        <v>32.549999999999997</v>
      </c>
      <c r="K2105">
        <v>0.35</v>
      </c>
      <c r="M2105" t="s">
        <v>289</v>
      </c>
    </row>
    <row r="2106" spans="1:13" hidden="1">
      <c r="A2106" t="s">
        <v>144</v>
      </c>
      <c r="B2106" t="s">
        <v>8</v>
      </c>
      <c r="C2106" t="s">
        <v>143</v>
      </c>
      <c r="D2106" t="str">
        <f>LEFT(M2106,10)</f>
        <v>11/15/2024</v>
      </c>
      <c r="E2106" t="s">
        <v>202</v>
      </c>
      <c r="F2106" t="s">
        <v>227</v>
      </c>
      <c r="G2106" t="s">
        <v>238</v>
      </c>
      <c r="I2106">
        <v>140</v>
      </c>
      <c r="J2106">
        <v>56</v>
      </c>
      <c r="K2106">
        <v>0.4</v>
      </c>
      <c r="M2106" t="s">
        <v>289</v>
      </c>
    </row>
    <row r="2107" spans="1:13" hidden="1">
      <c r="A2107" t="s">
        <v>144</v>
      </c>
      <c r="B2107" t="s">
        <v>8</v>
      </c>
      <c r="C2107" t="s">
        <v>143</v>
      </c>
      <c r="D2107" t="str">
        <f>LEFT(M2107,10)</f>
        <v>11/15/2024</v>
      </c>
      <c r="E2107" t="s">
        <v>202</v>
      </c>
      <c r="F2107" t="s">
        <v>227</v>
      </c>
      <c r="G2107" t="s">
        <v>229</v>
      </c>
      <c r="I2107">
        <v>4733.3999999999996</v>
      </c>
      <c r="J2107">
        <v>3692.05</v>
      </c>
      <c r="K2107">
        <v>0.78</v>
      </c>
      <c r="M2107" t="s">
        <v>289</v>
      </c>
    </row>
    <row r="2108" spans="1:13" hidden="1">
      <c r="A2108" t="s">
        <v>144</v>
      </c>
      <c r="B2108" t="s">
        <v>8</v>
      </c>
      <c r="C2108" t="s">
        <v>143</v>
      </c>
      <c r="D2108" t="str">
        <f>LEFT(M2108,10)</f>
        <v>11/15/2024</v>
      </c>
      <c r="E2108" t="s">
        <v>202</v>
      </c>
      <c r="F2108" t="s">
        <v>218</v>
      </c>
      <c r="G2108" t="s">
        <v>221</v>
      </c>
      <c r="I2108">
        <v>206</v>
      </c>
      <c r="J2108">
        <v>525.29999999999995</v>
      </c>
      <c r="K2108">
        <v>2.5499999999999998</v>
      </c>
      <c r="M2108" t="s">
        <v>289</v>
      </c>
    </row>
    <row r="2109" spans="1:13" hidden="1">
      <c r="A2109" t="s">
        <v>144</v>
      </c>
      <c r="B2109" t="s">
        <v>8</v>
      </c>
      <c r="C2109" t="s">
        <v>143</v>
      </c>
      <c r="D2109" t="str">
        <f>LEFT(M2109,10)</f>
        <v>11/15/2024</v>
      </c>
      <c r="E2109" t="s">
        <v>202</v>
      </c>
      <c r="F2109" t="s">
        <v>203</v>
      </c>
      <c r="G2109" t="s">
        <v>208</v>
      </c>
      <c r="I2109">
        <v>109</v>
      </c>
      <c r="J2109">
        <v>763</v>
      </c>
      <c r="K2109">
        <v>7</v>
      </c>
      <c r="M2109" t="s">
        <v>289</v>
      </c>
    </row>
    <row r="2110" spans="1:13" hidden="1">
      <c r="A2110" t="s">
        <v>144</v>
      </c>
      <c r="B2110" t="s">
        <v>8</v>
      </c>
      <c r="C2110" t="s">
        <v>143</v>
      </c>
      <c r="D2110" t="str">
        <f>LEFT(M2110,10)</f>
        <v>11/15/2024</v>
      </c>
      <c r="E2110" t="s">
        <v>202</v>
      </c>
      <c r="F2110" t="s">
        <v>203</v>
      </c>
      <c r="G2110" t="s">
        <v>204</v>
      </c>
      <c r="I2110">
        <v>164.5</v>
      </c>
      <c r="J2110">
        <v>1069.25</v>
      </c>
      <c r="K2110">
        <v>6.5</v>
      </c>
      <c r="M2110" t="s">
        <v>289</v>
      </c>
    </row>
    <row r="2111" spans="1:13" hidden="1">
      <c r="A2111" t="s">
        <v>144</v>
      </c>
      <c r="B2111" t="s">
        <v>8</v>
      </c>
      <c r="C2111" t="s">
        <v>143</v>
      </c>
      <c r="D2111" t="str">
        <f>LEFT(M2111,10)</f>
        <v>11/15/2024</v>
      </c>
      <c r="E2111" t="s">
        <v>202</v>
      </c>
      <c r="F2111" t="s">
        <v>203</v>
      </c>
      <c r="G2111" t="s">
        <v>207</v>
      </c>
      <c r="I2111">
        <v>12.5</v>
      </c>
      <c r="J2111">
        <v>31</v>
      </c>
      <c r="K2111">
        <v>2.48</v>
      </c>
      <c r="M2111" t="s">
        <v>289</v>
      </c>
    </row>
    <row r="2112" spans="1:13" hidden="1">
      <c r="A2112" t="s">
        <v>144</v>
      </c>
      <c r="B2112" t="s">
        <v>8</v>
      </c>
      <c r="C2112" t="s">
        <v>143</v>
      </c>
      <c r="D2112" t="str">
        <f>LEFT(M2112,10)</f>
        <v>11/15/2024</v>
      </c>
      <c r="E2112" t="s">
        <v>202</v>
      </c>
      <c r="F2112" t="s">
        <v>203</v>
      </c>
      <c r="G2112" t="s">
        <v>236</v>
      </c>
      <c r="I2112">
        <v>860</v>
      </c>
      <c r="J2112">
        <v>387</v>
      </c>
      <c r="K2112">
        <v>0.45</v>
      </c>
      <c r="M2112" t="s">
        <v>289</v>
      </c>
    </row>
    <row r="2113" spans="1:13" hidden="1">
      <c r="A2113" t="s">
        <v>144</v>
      </c>
      <c r="B2113" t="s">
        <v>8</v>
      </c>
      <c r="C2113" t="s">
        <v>143</v>
      </c>
      <c r="D2113" t="str">
        <f>LEFT(M2113,10)</f>
        <v>11/15/2024</v>
      </c>
      <c r="E2113" t="s">
        <v>230</v>
      </c>
      <c r="F2113" t="s">
        <v>248</v>
      </c>
      <c r="I2113">
        <v>0</v>
      </c>
      <c r="J2113">
        <v>2400</v>
      </c>
      <c r="M2113" t="s">
        <v>289</v>
      </c>
    </row>
    <row r="2114" spans="1:13" hidden="1">
      <c r="A2114" t="s">
        <v>144</v>
      </c>
      <c r="B2114" t="s">
        <v>8</v>
      </c>
      <c r="C2114" t="s">
        <v>143</v>
      </c>
      <c r="D2114" t="str">
        <f>LEFT(M2114,10)</f>
        <v>11/15/2024</v>
      </c>
      <c r="E2114" t="s">
        <v>230</v>
      </c>
      <c r="F2114" t="s">
        <v>248</v>
      </c>
      <c r="G2114" t="s">
        <v>249</v>
      </c>
      <c r="I2114">
        <v>0</v>
      </c>
      <c r="J2114">
        <v>5988</v>
      </c>
      <c r="M2114" t="s">
        <v>289</v>
      </c>
    </row>
    <row r="2115" spans="1:13" hidden="1">
      <c r="A2115" t="s">
        <v>144</v>
      </c>
      <c r="B2115" t="s">
        <v>8</v>
      </c>
      <c r="C2115" t="s">
        <v>143</v>
      </c>
      <c r="D2115" t="str">
        <f>LEFT(M2115,10)</f>
        <v>11/15/2024</v>
      </c>
      <c r="E2115" t="s">
        <v>232</v>
      </c>
      <c r="F2115" t="s">
        <v>275</v>
      </c>
      <c r="G2115" t="s">
        <v>249</v>
      </c>
      <c r="I2115">
        <v>0</v>
      </c>
      <c r="J2115">
        <v>150</v>
      </c>
      <c r="M2115" t="s">
        <v>289</v>
      </c>
    </row>
    <row r="2116" spans="1:13" hidden="1">
      <c r="A2116" t="s">
        <v>144</v>
      </c>
      <c r="B2116" t="s">
        <v>8</v>
      </c>
      <c r="C2116" t="s">
        <v>143</v>
      </c>
      <c r="D2116" t="str">
        <f>LEFT(M2116,10)</f>
        <v>11/15/2024</v>
      </c>
      <c r="E2116" t="s">
        <v>232</v>
      </c>
      <c r="F2116" t="s">
        <v>276</v>
      </c>
      <c r="G2116" t="s">
        <v>249</v>
      </c>
      <c r="I2116">
        <v>0</v>
      </c>
      <c r="J2116">
        <v>150</v>
      </c>
      <c r="M2116" t="s">
        <v>289</v>
      </c>
    </row>
    <row r="2117" spans="1:13" hidden="1">
      <c r="A2117" t="s">
        <v>144</v>
      </c>
      <c r="B2117" t="s">
        <v>8</v>
      </c>
      <c r="C2117" t="s">
        <v>143</v>
      </c>
      <c r="D2117" t="str">
        <f>LEFT(M2117,10)</f>
        <v>11/15/2024</v>
      </c>
      <c r="E2117" t="s">
        <v>232</v>
      </c>
      <c r="F2117" t="s">
        <v>250</v>
      </c>
      <c r="G2117" t="s">
        <v>249</v>
      </c>
      <c r="I2117">
        <v>0</v>
      </c>
      <c r="J2117">
        <v>1000</v>
      </c>
      <c r="M2117" t="s">
        <v>289</v>
      </c>
    </row>
    <row r="2118" spans="1:13" hidden="1">
      <c r="A2118" t="s">
        <v>144</v>
      </c>
      <c r="B2118" t="s">
        <v>8</v>
      </c>
      <c r="C2118" t="s">
        <v>143</v>
      </c>
      <c r="D2118" t="str">
        <f>LEFT(M2118,10)</f>
        <v>11/15/2024</v>
      </c>
      <c r="E2118" t="s">
        <v>232</v>
      </c>
      <c r="F2118" t="s">
        <v>255</v>
      </c>
      <c r="G2118" t="s">
        <v>249</v>
      </c>
      <c r="I2118">
        <v>0</v>
      </c>
      <c r="J2118">
        <v>238</v>
      </c>
      <c r="L2118" t="s">
        <v>436</v>
      </c>
      <c r="M2118" t="s">
        <v>289</v>
      </c>
    </row>
    <row r="2119" spans="1:13" hidden="1">
      <c r="A2119" t="s">
        <v>144</v>
      </c>
      <c r="B2119" t="s">
        <v>8</v>
      </c>
      <c r="C2119" t="s">
        <v>143</v>
      </c>
      <c r="D2119" t="str">
        <f>LEFT(M2119,10)</f>
        <v>11/15/2024</v>
      </c>
      <c r="E2119" t="s">
        <v>234</v>
      </c>
      <c r="F2119" t="s">
        <v>234</v>
      </c>
      <c r="G2119" t="s">
        <v>249</v>
      </c>
      <c r="I2119">
        <v>3189</v>
      </c>
      <c r="M2119" t="s">
        <v>289</v>
      </c>
    </row>
    <row r="2120" spans="1:13" hidden="1">
      <c r="A2120" t="s">
        <v>146</v>
      </c>
      <c r="B2120" t="s">
        <v>24</v>
      </c>
      <c r="C2120" t="s">
        <v>19</v>
      </c>
      <c r="D2120" t="str">
        <f>LEFT(M2120,10)</f>
        <v>11/15/2024</v>
      </c>
      <c r="E2120" t="s">
        <v>202</v>
      </c>
      <c r="F2120" t="s">
        <v>227</v>
      </c>
      <c r="G2120" t="s">
        <v>229</v>
      </c>
      <c r="I2120">
        <v>7180</v>
      </c>
      <c r="J2120">
        <v>4277.84</v>
      </c>
      <c r="K2120">
        <v>0.6</v>
      </c>
      <c r="M2120" t="s">
        <v>289</v>
      </c>
    </row>
    <row r="2121" spans="1:13" hidden="1">
      <c r="A2121" t="s">
        <v>146</v>
      </c>
      <c r="B2121" t="s">
        <v>24</v>
      </c>
      <c r="C2121" t="s">
        <v>19</v>
      </c>
      <c r="D2121" t="str">
        <f>LEFT(M2121,10)</f>
        <v>11/15/2024</v>
      </c>
      <c r="E2121" t="s">
        <v>202</v>
      </c>
      <c r="F2121" t="s">
        <v>227</v>
      </c>
      <c r="G2121" t="s">
        <v>237</v>
      </c>
      <c r="I2121">
        <v>970</v>
      </c>
      <c r="J2121">
        <v>679</v>
      </c>
      <c r="K2121">
        <v>0.7</v>
      </c>
      <c r="M2121" t="s">
        <v>289</v>
      </c>
    </row>
    <row r="2122" spans="1:13" hidden="1">
      <c r="A2122" t="s">
        <v>146</v>
      </c>
      <c r="B2122" t="s">
        <v>24</v>
      </c>
      <c r="C2122" t="s">
        <v>19</v>
      </c>
      <c r="D2122" t="str">
        <f>LEFT(M2122,10)</f>
        <v>11/15/2024</v>
      </c>
      <c r="E2122" t="s">
        <v>202</v>
      </c>
      <c r="F2122" t="s">
        <v>227</v>
      </c>
      <c r="G2122" t="s">
        <v>238</v>
      </c>
      <c r="I2122">
        <v>90</v>
      </c>
      <c r="J2122">
        <v>31.65</v>
      </c>
      <c r="K2122">
        <v>0.35</v>
      </c>
      <c r="M2122" t="s">
        <v>289</v>
      </c>
    </row>
    <row r="2123" spans="1:13" hidden="1">
      <c r="A2123" t="s">
        <v>146</v>
      </c>
      <c r="B2123" t="s">
        <v>24</v>
      </c>
      <c r="C2123" t="s">
        <v>19</v>
      </c>
      <c r="D2123" t="str">
        <f>LEFT(M2123,10)</f>
        <v>11/15/2024</v>
      </c>
      <c r="E2123" t="s">
        <v>202</v>
      </c>
      <c r="F2123" t="s">
        <v>227</v>
      </c>
      <c r="G2123" t="s">
        <v>228</v>
      </c>
      <c r="I2123">
        <v>1610</v>
      </c>
      <c r="J2123">
        <v>724.5</v>
      </c>
      <c r="K2123">
        <v>0.45</v>
      </c>
      <c r="M2123" t="s">
        <v>289</v>
      </c>
    </row>
    <row r="2124" spans="1:13" hidden="1">
      <c r="A2124" t="s">
        <v>146</v>
      </c>
      <c r="B2124" t="s">
        <v>24</v>
      </c>
      <c r="C2124" t="s">
        <v>19</v>
      </c>
      <c r="D2124" t="str">
        <f>LEFT(M2124,10)</f>
        <v>11/15/2024</v>
      </c>
      <c r="E2124" t="s">
        <v>202</v>
      </c>
      <c r="F2124" t="s">
        <v>227</v>
      </c>
      <c r="G2124" t="s">
        <v>252</v>
      </c>
      <c r="I2124">
        <v>970</v>
      </c>
      <c r="J2124">
        <v>407.4</v>
      </c>
      <c r="K2124">
        <v>0.42</v>
      </c>
      <c r="M2124" t="s">
        <v>289</v>
      </c>
    </row>
    <row r="2125" spans="1:13" hidden="1">
      <c r="A2125" t="s">
        <v>146</v>
      </c>
      <c r="B2125" t="s">
        <v>24</v>
      </c>
      <c r="C2125" t="s">
        <v>19</v>
      </c>
      <c r="D2125" t="str">
        <f>LEFT(M2125,10)</f>
        <v>11/15/2024</v>
      </c>
      <c r="E2125" t="s">
        <v>202</v>
      </c>
      <c r="F2125" t="s">
        <v>218</v>
      </c>
      <c r="G2125" t="s">
        <v>240</v>
      </c>
      <c r="I2125">
        <v>951</v>
      </c>
      <c r="J2125">
        <v>2721.1</v>
      </c>
      <c r="K2125">
        <v>2.86</v>
      </c>
      <c r="M2125" t="s">
        <v>289</v>
      </c>
    </row>
    <row r="2126" spans="1:13" hidden="1">
      <c r="A2126" t="s">
        <v>146</v>
      </c>
      <c r="B2126" t="s">
        <v>24</v>
      </c>
      <c r="C2126" t="s">
        <v>19</v>
      </c>
      <c r="D2126" t="str">
        <f>LEFT(M2126,10)</f>
        <v>11/15/2024</v>
      </c>
      <c r="E2126" t="s">
        <v>202</v>
      </c>
      <c r="F2126" t="s">
        <v>218</v>
      </c>
      <c r="G2126" t="s">
        <v>223</v>
      </c>
      <c r="I2126">
        <v>510</v>
      </c>
      <c r="J2126">
        <v>306</v>
      </c>
      <c r="K2126">
        <v>0.6</v>
      </c>
      <c r="M2126" t="s">
        <v>289</v>
      </c>
    </row>
    <row r="2127" spans="1:13" hidden="1">
      <c r="A2127" t="s">
        <v>146</v>
      </c>
      <c r="B2127" t="s">
        <v>24</v>
      </c>
      <c r="C2127" t="s">
        <v>19</v>
      </c>
      <c r="D2127" t="str">
        <f>LEFT(M2127,10)</f>
        <v>11/15/2024</v>
      </c>
      <c r="E2127" t="s">
        <v>202</v>
      </c>
      <c r="F2127" t="s">
        <v>218</v>
      </c>
      <c r="G2127" t="s">
        <v>224</v>
      </c>
      <c r="I2127">
        <v>428</v>
      </c>
      <c r="J2127">
        <v>256.8</v>
      </c>
      <c r="K2127">
        <v>0.6</v>
      </c>
      <c r="M2127" t="s">
        <v>289</v>
      </c>
    </row>
    <row r="2128" spans="1:13" hidden="1">
      <c r="A2128" t="s">
        <v>146</v>
      </c>
      <c r="B2128" t="s">
        <v>24</v>
      </c>
      <c r="C2128" t="s">
        <v>19</v>
      </c>
      <c r="D2128" t="str">
        <f>LEFT(M2128,10)</f>
        <v>11/15/2024</v>
      </c>
      <c r="E2128" t="s">
        <v>202</v>
      </c>
      <c r="F2128" t="s">
        <v>218</v>
      </c>
      <c r="G2128" t="s">
        <v>222</v>
      </c>
      <c r="I2128">
        <v>125</v>
      </c>
      <c r="J2128">
        <v>150</v>
      </c>
      <c r="K2128">
        <v>1.2</v>
      </c>
      <c r="M2128" t="s">
        <v>289</v>
      </c>
    </row>
    <row r="2129" spans="1:13" hidden="1">
      <c r="A2129" t="s">
        <v>146</v>
      </c>
      <c r="B2129" t="s">
        <v>24</v>
      </c>
      <c r="C2129" t="s">
        <v>19</v>
      </c>
      <c r="D2129" t="str">
        <f>LEFT(M2129,10)</f>
        <v>11/15/2024</v>
      </c>
      <c r="E2129" t="s">
        <v>202</v>
      </c>
      <c r="F2129" t="s">
        <v>218</v>
      </c>
      <c r="G2129" t="s">
        <v>223</v>
      </c>
      <c r="I2129">
        <v>162</v>
      </c>
      <c r="J2129">
        <v>81</v>
      </c>
      <c r="K2129">
        <v>0.5</v>
      </c>
      <c r="M2129" t="s">
        <v>289</v>
      </c>
    </row>
    <row r="2130" spans="1:13" hidden="1">
      <c r="A2130" t="s">
        <v>146</v>
      </c>
      <c r="B2130" t="s">
        <v>24</v>
      </c>
      <c r="C2130" t="s">
        <v>19</v>
      </c>
      <c r="D2130" t="str">
        <f>LEFT(M2130,10)</f>
        <v>11/15/2024</v>
      </c>
      <c r="E2130" t="s">
        <v>202</v>
      </c>
      <c r="F2130" t="s">
        <v>218</v>
      </c>
      <c r="G2130" t="s">
        <v>226</v>
      </c>
      <c r="I2130">
        <v>41.3</v>
      </c>
      <c r="J2130">
        <v>12.39</v>
      </c>
      <c r="K2130">
        <v>0.3</v>
      </c>
      <c r="M2130" t="s">
        <v>289</v>
      </c>
    </row>
    <row r="2131" spans="1:13" hidden="1">
      <c r="A2131" t="s">
        <v>146</v>
      </c>
      <c r="B2131" t="s">
        <v>24</v>
      </c>
      <c r="C2131" t="s">
        <v>19</v>
      </c>
      <c r="D2131" t="str">
        <f>LEFT(M2131,10)</f>
        <v>11/15/2024</v>
      </c>
      <c r="E2131" t="s">
        <v>202</v>
      </c>
      <c r="F2131" t="s">
        <v>218</v>
      </c>
      <c r="G2131" t="s">
        <v>222</v>
      </c>
      <c r="I2131">
        <v>1345</v>
      </c>
      <c r="J2131">
        <v>1479.5</v>
      </c>
      <c r="K2131">
        <v>1.1000000000000001</v>
      </c>
      <c r="M2131" t="s">
        <v>289</v>
      </c>
    </row>
    <row r="2132" spans="1:13" hidden="1">
      <c r="A2132" t="s">
        <v>146</v>
      </c>
      <c r="B2132" t="s">
        <v>24</v>
      </c>
      <c r="C2132" t="s">
        <v>19</v>
      </c>
      <c r="D2132" t="str">
        <f>LEFT(M2132,10)</f>
        <v>11/15/2024</v>
      </c>
      <c r="E2132" t="s">
        <v>202</v>
      </c>
      <c r="F2132" t="s">
        <v>218</v>
      </c>
      <c r="G2132" t="s">
        <v>247</v>
      </c>
      <c r="I2132">
        <v>58</v>
      </c>
      <c r="J2132">
        <v>191.4</v>
      </c>
      <c r="K2132">
        <v>3.3</v>
      </c>
      <c r="M2132" t="s">
        <v>289</v>
      </c>
    </row>
    <row r="2133" spans="1:13" hidden="1">
      <c r="A2133" t="s">
        <v>146</v>
      </c>
      <c r="B2133" t="s">
        <v>24</v>
      </c>
      <c r="C2133" t="s">
        <v>19</v>
      </c>
      <c r="D2133" t="str">
        <f>LEFT(M2133,10)</f>
        <v>11/15/2024</v>
      </c>
      <c r="E2133" t="s">
        <v>202</v>
      </c>
      <c r="F2133" t="s">
        <v>218</v>
      </c>
      <c r="G2133" t="s">
        <v>242</v>
      </c>
      <c r="I2133">
        <v>102</v>
      </c>
      <c r="J2133">
        <v>112.2</v>
      </c>
      <c r="K2133">
        <v>1.1000000000000001</v>
      </c>
      <c r="M2133" t="s">
        <v>289</v>
      </c>
    </row>
    <row r="2134" spans="1:13" hidden="1">
      <c r="A2134" t="s">
        <v>146</v>
      </c>
      <c r="B2134" t="s">
        <v>24</v>
      </c>
      <c r="C2134" t="s">
        <v>19</v>
      </c>
      <c r="D2134" t="str">
        <f>LEFT(M2134,10)</f>
        <v>11/15/2024</v>
      </c>
      <c r="E2134" t="s">
        <v>202</v>
      </c>
      <c r="F2134" t="s">
        <v>218</v>
      </c>
      <c r="G2134" t="s">
        <v>220</v>
      </c>
      <c r="I2134">
        <v>327</v>
      </c>
      <c r="J2134">
        <v>327</v>
      </c>
      <c r="K2134">
        <v>1</v>
      </c>
      <c r="M2134" t="s">
        <v>289</v>
      </c>
    </row>
    <row r="2135" spans="1:13" hidden="1">
      <c r="A2135" t="s">
        <v>146</v>
      </c>
      <c r="B2135" t="s">
        <v>24</v>
      </c>
      <c r="C2135" t="s">
        <v>19</v>
      </c>
      <c r="D2135" t="str">
        <f>LEFT(M2135,10)</f>
        <v>11/15/2024</v>
      </c>
      <c r="E2135" t="s">
        <v>202</v>
      </c>
      <c r="F2135" t="s">
        <v>218</v>
      </c>
      <c r="G2135" t="s">
        <v>219</v>
      </c>
      <c r="I2135">
        <v>8040</v>
      </c>
      <c r="J2135">
        <v>2412</v>
      </c>
      <c r="K2135">
        <v>0.3</v>
      </c>
      <c r="M2135" t="s">
        <v>289</v>
      </c>
    </row>
    <row r="2136" spans="1:13" hidden="1">
      <c r="A2136" t="s">
        <v>146</v>
      </c>
      <c r="B2136" t="s">
        <v>24</v>
      </c>
      <c r="C2136" t="s">
        <v>19</v>
      </c>
      <c r="D2136" t="str">
        <f>LEFT(M2136,10)</f>
        <v>11/15/2024</v>
      </c>
      <c r="E2136" t="s">
        <v>202</v>
      </c>
      <c r="F2136" t="s">
        <v>218</v>
      </c>
      <c r="G2136" t="s">
        <v>241</v>
      </c>
      <c r="I2136">
        <v>323</v>
      </c>
      <c r="J2136">
        <v>872.1</v>
      </c>
      <c r="K2136">
        <v>2.7</v>
      </c>
      <c r="M2136" t="s">
        <v>289</v>
      </c>
    </row>
    <row r="2137" spans="1:13" hidden="1">
      <c r="A2137" t="s">
        <v>146</v>
      </c>
      <c r="B2137" t="s">
        <v>24</v>
      </c>
      <c r="C2137" t="s">
        <v>19</v>
      </c>
      <c r="D2137" t="str">
        <f>LEFT(M2137,10)</f>
        <v>11/15/2024</v>
      </c>
      <c r="E2137" t="s">
        <v>202</v>
      </c>
      <c r="F2137" t="s">
        <v>218</v>
      </c>
      <c r="G2137" t="s">
        <v>219</v>
      </c>
      <c r="I2137">
        <v>90</v>
      </c>
      <c r="J2137">
        <v>36</v>
      </c>
      <c r="K2137">
        <v>0.4</v>
      </c>
      <c r="M2137" t="s">
        <v>289</v>
      </c>
    </row>
    <row r="2138" spans="1:13" hidden="1">
      <c r="A2138" t="s">
        <v>146</v>
      </c>
      <c r="B2138" t="s">
        <v>24</v>
      </c>
      <c r="C2138" t="s">
        <v>19</v>
      </c>
      <c r="D2138" t="str">
        <f>LEFT(M2138,10)</f>
        <v>11/15/2024</v>
      </c>
      <c r="E2138" t="s">
        <v>202</v>
      </c>
      <c r="F2138" t="s">
        <v>218</v>
      </c>
      <c r="G2138" t="s">
        <v>221</v>
      </c>
      <c r="I2138">
        <v>915</v>
      </c>
      <c r="J2138">
        <v>1866.6</v>
      </c>
      <c r="K2138">
        <v>2.04</v>
      </c>
      <c r="M2138" t="s">
        <v>289</v>
      </c>
    </row>
    <row r="2139" spans="1:13" hidden="1">
      <c r="A2139" t="s">
        <v>146</v>
      </c>
      <c r="B2139" t="s">
        <v>24</v>
      </c>
      <c r="C2139" t="s">
        <v>19</v>
      </c>
      <c r="D2139" t="str">
        <f>LEFT(M2139,10)</f>
        <v>11/15/2024</v>
      </c>
      <c r="E2139" t="s">
        <v>202</v>
      </c>
      <c r="F2139" t="s">
        <v>218</v>
      </c>
      <c r="G2139" t="s">
        <v>239</v>
      </c>
      <c r="I2139">
        <v>349</v>
      </c>
      <c r="J2139">
        <v>38.39</v>
      </c>
      <c r="K2139">
        <v>0.11</v>
      </c>
      <c r="M2139" t="s">
        <v>289</v>
      </c>
    </row>
    <row r="2140" spans="1:13" hidden="1">
      <c r="A2140" t="s">
        <v>146</v>
      </c>
      <c r="B2140" t="s">
        <v>24</v>
      </c>
      <c r="C2140" t="s">
        <v>19</v>
      </c>
      <c r="D2140" t="str">
        <f>LEFT(M2140,10)</f>
        <v>11/15/2024</v>
      </c>
      <c r="E2140" t="s">
        <v>202</v>
      </c>
      <c r="F2140" t="s">
        <v>203</v>
      </c>
      <c r="G2140" t="s">
        <v>235</v>
      </c>
      <c r="I2140">
        <v>65.5</v>
      </c>
      <c r="J2140">
        <v>491.25</v>
      </c>
      <c r="K2140">
        <v>7.5</v>
      </c>
      <c r="M2140" t="s">
        <v>289</v>
      </c>
    </row>
    <row r="2141" spans="1:13" hidden="1">
      <c r="A2141" t="s">
        <v>146</v>
      </c>
      <c r="B2141" t="s">
        <v>24</v>
      </c>
      <c r="C2141" t="s">
        <v>19</v>
      </c>
      <c r="D2141" t="str">
        <f>LEFT(M2141,10)</f>
        <v>11/15/2024</v>
      </c>
      <c r="E2141" t="s">
        <v>202</v>
      </c>
      <c r="F2141" t="s">
        <v>203</v>
      </c>
      <c r="G2141" t="s">
        <v>204</v>
      </c>
      <c r="I2141">
        <v>242</v>
      </c>
      <c r="J2141">
        <v>1669.8</v>
      </c>
      <c r="K2141">
        <v>6.9</v>
      </c>
      <c r="M2141" t="s">
        <v>289</v>
      </c>
    </row>
    <row r="2142" spans="1:13" hidden="1">
      <c r="A2142" t="s">
        <v>146</v>
      </c>
      <c r="B2142" t="s">
        <v>24</v>
      </c>
      <c r="C2142" t="s">
        <v>19</v>
      </c>
      <c r="D2142" t="str">
        <f>LEFT(M2142,10)</f>
        <v>11/15/2024</v>
      </c>
      <c r="E2142" t="s">
        <v>202</v>
      </c>
      <c r="F2142" t="s">
        <v>203</v>
      </c>
      <c r="G2142" t="s">
        <v>207</v>
      </c>
      <c r="I2142">
        <v>41</v>
      </c>
      <c r="J2142">
        <v>164</v>
      </c>
      <c r="K2142">
        <v>4</v>
      </c>
      <c r="M2142" t="s">
        <v>289</v>
      </c>
    </row>
    <row r="2143" spans="1:13" hidden="1">
      <c r="A2143" t="s">
        <v>146</v>
      </c>
      <c r="B2143" t="s">
        <v>24</v>
      </c>
      <c r="C2143" t="s">
        <v>19</v>
      </c>
      <c r="D2143" t="str">
        <f>LEFT(M2143,10)</f>
        <v>11/15/2024</v>
      </c>
      <c r="E2143" t="s">
        <v>202</v>
      </c>
      <c r="F2143" t="s">
        <v>203</v>
      </c>
      <c r="G2143" t="s">
        <v>259</v>
      </c>
      <c r="I2143">
        <v>8.8000000000000007</v>
      </c>
      <c r="J2143">
        <v>158.4</v>
      </c>
      <c r="K2143">
        <v>18</v>
      </c>
      <c r="M2143" t="s">
        <v>289</v>
      </c>
    </row>
    <row r="2144" spans="1:13" hidden="1">
      <c r="A2144" t="s">
        <v>146</v>
      </c>
      <c r="B2144" t="s">
        <v>24</v>
      </c>
      <c r="C2144" t="s">
        <v>19</v>
      </c>
      <c r="D2144" t="str">
        <f>LEFT(M2144,10)</f>
        <v>11/15/2024</v>
      </c>
      <c r="E2144" t="s">
        <v>202</v>
      </c>
      <c r="F2144" t="s">
        <v>203</v>
      </c>
      <c r="G2144" t="s">
        <v>206</v>
      </c>
      <c r="I2144">
        <v>20.5</v>
      </c>
      <c r="J2144">
        <v>41</v>
      </c>
      <c r="K2144">
        <v>2</v>
      </c>
      <c r="M2144" t="s">
        <v>289</v>
      </c>
    </row>
    <row r="2145" spans="1:13" hidden="1">
      <c r="A2145" t="s">
        <v>146</v>
      </c>
      <c r="B2145" t="s">
        <v>24</v>
      </c>
      <c r="C2145" t="s">
        <v>19</v>
      </c>
      <c r="D2145" t="str">
        <f>LEFT(M2145,10)</f>
        <v>11/15/2024</v>
      </c>
      <c r="E2145" t="s">
        <v>202</v>
      </c>
      <c r="F2145" t="s">
        <v>203</v>
      </c>
      <c r="G2145" t="s">
        <v>261</v>
      </c>
      <c r="I2145">
        <v>24.7</v>
      </c>
      <c r="J2145">
        <v>172.9</v>
      </c>
      <c r="K2145">
        <v>7</v>
      </c>
      <c r="M2145" t="s">
        <v>289</v>
      </c>
    </row>
    <row r="2146" spans="1:13" hidden="1">
      <c r="A2146" t="s">
        <v>146</v>
      </c>
      <c r="B2146" t="s">
        <v>24</v>
      </c>
      <c r="C2146" t="s">
        <v>19</v>
      </c>
      <c r="D2146" t="str">
        <f>LEFT(M2146,10)</f>
        <v>11/15/2024</v>
      </c>
      <c r="E2146" t="s">
        <v>202</v>
      </c>
      <c r="F2146" t="s">
        <v>203</v>
      </c>
      <c r="G2146" t="s">
        <v>215</v>
      </c>
      <c r="I2146">
        <v>4290</v>
      </c>
      <c r="J2146">
        <v>1951.23</v>
      </c>
      <c r="K2146">
        <v>0.45</v>
      </c>
      <c r="M2146" t="s">
        <v>289</v>
      </c>
    </row>
    <row r="2147" spans="1:13" hidden="1">
      <c r="A2147" t="s">
        <v>146</v>
      </c>
      <c r="B2147" t="s">
        <v>24</v>
      </c>
      <c r="C2147" t="s">
        <v>19</v>
      </c>
      <c r="D2147" t="str">
        <f>LEFT(M2147,10)</f>
        <v>11/15/2024</v>
      </c>
      <c r="E2147" t="s">
        <v>202</v>
      </c>
      <c r="F2147" t="s">
        <v>203</v>
      </c>
      <c r="G2147" t="s">
        <v>236</v>
      </c>
      <c r="I2147">
        <v>102</v>
      </c>
      <c r="J2147">
        <v>71.400000000000006</v>
      </c>
      <c r="K2147">
        <v>0.7</v>
      </c>
      <c r="M2147" t="s">
        <v>289</v>
      </c>
    </row>
    <row r="2148" spans="1:13" hidden="1">
      <c r="A2148" t="s">
        <v>146</v>
      </c>
      <c r="B2148" t="s">
        <v>24</v>
      </c>
      <c r="C2148" t="s">
        <v>19</v>
      </c>
      <c r="D2148" t="str">
        <f>LEFT(M2148,10)</f>
        <v>11/15/2024</v>
      </c>
      <c r="E2148" t="s">
        <v>202</v>
      </c>
      <c r="F2148" t="s">
        <v>216</v>
      </c>
      <c r="G2148" t="s">
        <v>253</v>
      </c>
      <c r="I2148">
        <v>13600</v>
      </c>
      <c r="J2148">
        <v>1360</v>
      </c>
      <c r="K2148">
        <v>0.1</v>
      </c>
      <c r="M2148" t="s">
        <v>289</v>
      </c>
    </row>
    <row r="2149" spans="1:13" hidden="1">
      <c r="A2149" t="s">
        <v>146</v>
      </c>
      <c r="B2149" t="s">
        <v>24</v>
      </c>
      <c r="C2149" t="s">
        <v>19</v>
      </c>
      <c r="D2149" t="str">
        <f>LEFT(M2149,10)</f>
        <v>11/15/2024</v>
      </c>
      <c r="E2149" t="s">
        <v>230</v>
      </c>
      <c r="F2149" t="s">
        <v>248</v>
      </c>
      <c r="I2149">
        <v>0</v>
      </c>
      <c r="J2149">
        <v>38862.300000000003</v>
      </c>
      <c r="M2149" t="s">
        <v>289</v>
      </c>
    </row>
    <row r="2150" spans="1:13" hidden="1">
      <c r="A2150" t="s">
        <v>146</v>
      </c>
      <c r="B2150" t="s">
        <v>24</v>
      </c>
      <c r="C2150" t="s">
        <v>19</v>
      </c>
      <c r="D2150" t="str">
        <f>LEFT(M2150,10)</f>
        <v>11/15/2024</v>
      </c>
      <c r="E2150" t="s">
        <v>232</v>
      </c>
      <c r="F2150" t="s">
        <v>262</v>
      </c>
      <c r="I2150">
        <v>0</v>
      </c>
      <c r="J2150">
        <v>10235.41</v>
      </c>
      <c r="M2150" t="s">
        <v>289</v>
      </c>
    </row>
    <row r="2151" spans="1:13" hidden="1">
      <c r="A2151" t="s">
        <v>146</v>
      </c>
      <c r="B2151" t="s">
        <v>24</v>
      </c>
      <c r="C2151" t="s">
        <v>19</v>
      </c>
      <c r="D2151" t="str">
        <f>LEFT(M2151,10)</f>
        <v>11/15/2024</v>
      </c>
      <c r="E2151" t="s">
        <v>232</v>
      </c>
      <c r="F2151" t="s">
        <v>287</v>
      </c>
      <c r="I2151">
        <v>0</v>
      </c>
      <c r="J2151">
        <v>7802.46</v>
      </c>
      <c r="M2151" t="s">
        <v>289</v>
      </c>
    </row>
    <row r="2152" spans="1:13" hidden="1">
      <c r="A2152" t="s">
        <v>146</v>
      </c>
      <c r="B2152" t="s">
        <v>24</v>
      </c>
      <c r="C2152" t="s">
        <v>19</v>
      </c>
      <c r="D2152" t="str">
        <f>LEFT(M2152,10)</f>
        <v>11/15/2024</v>
      </c>
      <c r="E2152" t="s">
        <v>232</v>
      </c>
      <c r="F2152" t="s">
        <v>291</v>
      </c>
      <c r="I2152">
        <v>0</v>
      </c>
      <c r="J2152">
        <v>1842.15</v>
      </c>
      <c r="M2152" t="s">
        <v>289</v>
      </c>
    </row>
    <row r="2153" spans="1:13" hidden="1">
      <c r="A2153" t="s">
        <v>146</v>
      </c>
      <c r="B2153" t="s">
        <v>24</v>
      </c>
      <c r="C2153" t="s">
        <v>19</v>
      </c>
      <c r="D2153" t="str">
        <f>LEFT(M2153,10)</f>
        <v>11/15/2024</v>
      </c>
      <c r="E2153" t="s">
        <v>232</v>
      </c>
      <c r="F2153" t="s">
        <v>292</v>
      </c>
      <c r="I2153">
        <v>0</v>
      </c>
      <c r="J2153">
        <v>1400</v>
      </c>
      <c r="M2153" t="s">
        <v>289</v>
      </c>
    </row>
    <row r="2154" spans="1:13" hidden="1">
      <c r="A2154" t="s">
        <v>146</v>
      </c>
      <c r="B2154" t="s">
        <v>24</v>
      </c>
      <c r="C2154" t="s">
        <v>19</v>
      </c>
      <c r="D2154" t="str">
        <f>LEFT(M2154,10)</f>
        <v>11/15/2024</v>
      </c>
      <c r="E2154" t="s">
        <v>232</v>
      </c>
      <c r="F2154" t="s">
        <v>255</v>
      </c>
      <c r="I2154">
        <v>0</v>
      </c>
      <c r="J2154">
        <v>17582.28</v>
      </c>
      <c r="L2154" t="s">
        <v>437</v>
      </c>
      <c r="M2154" t="s">
        <v>289</v>
      </c>
    </row>
    <row r="2155" spans="1:13" hidden="1">
      <c r="A2155" t="s">
        <v>146</v>
      </c>
      <c r="B2155" t="s">
        <v>24</v>
      </c>
      <c r="C2155" t="s">
        <v>19</v>
      </c>
      <c r="D2155" t="str">
        <f>LEFT(M2155,10)</f>
        <v>11/15/2024</v>
      </c>
      <c r="E2155" t="s">
        <v>234</v>
      </c>
      <c r="F2155" t="s">
        <v>234</v>
      </c>
      <c r="I2155">
        <v>6400</v>
      </c>
      <c r="M2155" t="s">
        <v>289</v>
      </c>
    </row>
    <row r="2156" spans="1:13" hidden="1">
      <c r="A2156" t="s">
        <v>149</v>
      </c>
      <c r="B2156" t="s">
        <v>8</v>
      </c>
      <c r="C2156" t="s">
        <v>148</v>
      </c>
      <c r="D2156" t="str">
        <f>LEFT(M2156,10)</f>
        <v>11/15/2024</v>
      </c>
      <c r="E2156" t="s">
        <v>234</v>
      </c>
      <c r="F2156" t="s">
        <v>234</v>
      </c>
      <c r="G2156" t="s">
        <v>249</v>
      </c>
      <c r="I2156">
        <v>9800</v>
      </c>
      <c r="M2156" t="s">
        <v>289</v>
      </c>
    </row>
    <row r="2157" spans="1:13" hidden="1">
      <c r="A2157" t="s">
        <v>149</v>
      </c>
      <c r="B2157" t="s">
        <v>8</v>
      </c>
      <c r="C2157" t="s">
        <v>148</v>
      </c>
      <c r="D2157" t="str">
        <f>LEFT(M2157,10)</f>
        <v>11/15/2024</v>
      </c>
      <c r="E2157" t="s">
        <v>232</v>
      </c>
      <c r="F2157" t="s">
        <v>255</v>
      </c>
      <c r="G2157" t="s">
        <v>249</v>
      </c>
      <c r="I2157">
        <v>0</v>
      </c>
      <c r="J2157">
        <v>1754.09</v>
      </c>
      <c r="L2157" t="s">
        <v>438</v>
      </c>
      <c r="M2157" t="s">
        <v>289</v>
      </c>
    </row>
    <row r="2158" spans="1:13" hidden="1">
      <c r="A2158" t="s">
        <v>149</v>
      </c>
      <c r="B2158" t="s">
        <v>8</v>
      </c>
      <c r="C2158" t="s">
        <v>148</v>
      </c>
      <c r="D2158" t="str">
        <f>LEFT(M2158,10)</f>
        <v>11/15/2024</v>
      </c>
      <c r="E2158" t="s">
        <v>230</v>
      </c>
      <c r="F2158" t="s">
        <v>248</v>
      </c>
      <c r="G2158" t="s">
        <v>249</v>
      </c>
      <c r="I2158">
        <v>0</v>
      </c>
      <c r="J2158">
        <v>11963</v>
      </c>
      <c r="M2158" t="s">
        <v>289</v>
      </c>
    </row>
    <row r="2159" spans="1:13" hidden="1">
      <c r="A2159" t="s">
        <v>149</v>
      </c>
      <c r="B2159" t="s">
        <v>8</v>
      </c>
      <c r="C2159" t="s">
        <v>148</v>
      </c>
      <c r="D2159" t="str">
        <f>LEFT(M2159,10)</f>
        <v>11/15/2024</v>
      </c>
      <c r="E2159" t="s">
        <v>202</v>
      </c>
      <c r="F2159" t="s">
        <v>216</v>
      </c>
      <c r="G2159" t="s">
        <v>253</v>
      </c>
      <c r="I2159">
        <v>144</v>
      </c>
      <c r="J2159">
        <v>86.4</v>
      </c>
      <c r="K2159">
        <v>0.6</v>
      </c>
      <c r="M2159" t="s">
        <v>289</v>
      </c>
    </row>
    <row r="2160" spans="1:13" hidden="1">
      <c r="A2160" t="s">
        <v>149</v>
      </c>
      <c r="B2160" t="s">
        <v>8</v>
      </c>
      <c r="C2160" t="s">
        <v>148</v>
      </c>
      <c r="D2160" t="str">
        <f>LEFT(M2160,10)</f>
        <v>11/15/2024</v>
      </c>
      <c r="E2160" t="s">
        <v>202</v>
      </c>
      <c r="F2160" t="s">
        <v>216</v>
      </c>
      <c r="G2160" t="s">
        <v>253</v>
      </c>
      <c r="I2160">
        <v>26</v>
      </c>
      <c r="J2160">
        <v>44.2</v>
      </c>
      <c r="K2160">
        <v>1.7</v>
      </c>
      <c r="M2160" t="s">
        <v>289</v>
      </c>
    </row>
    <row r="2161" spans="1:13" hidden="1">
      <c r="A2161" t="s">
        <v>149</v>
      </c>
      <c r="B2161" t="s">
        <v>8</v>
      </c>
      <c r="C2161" t="s">
        <v>148</v>
      </c>
      <c r="D2161" t="str">
        <f>LEFT(M2161,10)</f>
        <v>11/15/2024</v>
      </c>
      <c r="E2161" t="s">
        <v>202</v>
      </c>
      <c r="F2161" t="s">
        <v>216</v>
      </c>
      <c r="G2161" t="s">
        <v>253</v>
      </c>
      <c r="I2161">
        <v>6</v>
      </c>
      <c r="J2161">
        <v>4.2</v>
      </c>
      <c r="K2161">
        <v>0.7</v>
      </c>
      <c r="M2161" t="s">
        <v>289</v>
      </c>
    </row>
    <row r="2162" spans="1:13" hidden="1">
      <c r="A2162" t="s">
        <v>149</v>
      </c>
      <c r="B2162" t="s">
        <v>8</v>
      </c>
      <c r="C2162" t="s">
        <v>148</v>
      </c>
      <c r="D2162" t="str">
        <f>LEFT(M2162,10)</f>
        <v>11/15/2024</v>
      </c>
      <c r="E2162" t="s">
        <v>202</v>
      </c>
      <c r="F2162" t="s">
        <v>216</v>
      </c>
      <c r="G2162" t="s">
        <v>253</v>
      </c>
      <c r="I2162">
        <v>17</v>
      </c>
      <c r="J2162">
        <v>25.5</v>
      </c>
      <c r="K2162">
        <v>1.5</v>
      </c>
      <c r="M2162" t="s">
        <v>289</v>
      </c>
    </row>
    <row r="2163" spans="1:13" hidden="1">
      <c r="A2163" t="s">
        <v>149</v>
      </c>
      <c r="B2163" t="s">
        <v>8</v>
      </c>
      <c r="C2163" t="s">
        <v>148</v>
      </c>
      <c r="D2163" t="str">
        <f>LEFT(M2163,10)</f>
        <v>11/15/2024</v>
      </c>
      <c r="E2163" t="s">
        <v>202</v>
      </c>
      <c r="F2163" t="s">
        <v>216</v>
      </c>
      <c r="G2163" t="s">
        <v>253</v>
      </c>
      <c r="I2163">
        <v>13.6</v>
      </c>
      <c r="J2163">
        <v>40.799999999999997</v>
      </c>
      <c r="K2163">
        <v>3</v>
      </c>
      <c r="M2163" t="s">
        <v>289</v>
      </c>
    </row>
    <row r="2164" spans="1:13" hidden="1">
      <c r="A2164" t="s">
        <v>149</v>
      </c>
      <c r="B2164" t="s">
        <v>8</v>
      </c>
      <c r="C2164" t="s">
        <v>148</v>
      </c>
      <c r="D2164" t="str">
        <f>LEFT(M2164,10)</f>
        <v>11/15/2024</v>
      </c>
      <c r="E2164" t="s">
        <v>202</v>
      </c>
      <c r="F2164" t="s">
        <v>216</v>
      </c>
      <c r="G2164" t="s">
        <v>253</v>
      </c>
      <c r="I2164">
        <v>1.125</v>
      </c>
      <c r="J2164">
        <v>393.75</v>
      </c>
      <c r="K2164">
        <v>350</v>
      </c>
      <c r="M2164" t="s">
        <v>289</v>
      </c>
    </row>
    <row r="2165" spans="1:13" hidden="1">
      <c r="A2165" t="s">
        <v>149</v>
      </c>
      <c r="B2165" t="s">
        <v>8</v>
      </c>
      <c r="C2165" t="s">
        <v>148</v>
      </c>
      <c r="D2165" t="str">
        <f>LEFT(M2165,10)</f>
        <v>11/15/2024</v>
      </c>
      <c r="E2165" t="s">
        <v>202</v>
      </c>
      <c r="F2165" t="s">
        <v>209</v>
      </c>
      <c r="G2165" t="s">
        <v>341</v>
      </c>
      <c r="I2165">
        <v>12.5</v>
      </c>
      <c r="J2165">
        <v>187.5</v>
      </c>
      <c r="K2165">
        <v>15</v>
      </c>
      <c r="M2165" t="s">
        <v>289</v>
      </c>
    </row>
    <row r="2166" spans="1:13" hidden="1">
      <c r="A2166" t="s">
        <v>149</v>
      </c>
      <c r="B2166" t="s">
        <v>8</v>
      </c>
      <c r="C2166" t="s">
        <v>148</v>
      </c>
      <c r="D2166" t="str">
        <f>LEFT(M2166,10)</f>
        <v>11/15/2024</v>
      </c>
      <c r="E2166" t="s">
        <v>202</v>
      </c>
      <c r="F2166" t="s">
        <v>216</v>
      </c>
      <c r="G2166" t="s">
        <v>253</v>
      </c>
      <c r="I2166">
        <v>4</v>
      </c>
      <c r="J2166">
        <v>2</v>
      </c>
      <c r="K2166">
        <v>0.5</v>
      </c>
      <c r="M2166" t="s">
        <v>289</v>
      </c>
    </row>
    <row r="2167" spans="1:13" hidden="1">
      <c r="A2167" t="s">
        <v>149</v>
      </c>
      <c r="B2167" t="s">
        <v>8</v>
      </c>
      <c r="C2167" t="s">
        <v>148</v>
      </c>
      <c r="D2167" t="str">
        <f>LEFT(M2167,10)</f>
        <v>11/15/2024</v>
      </c>
      <c r="E2167" t="s">
        <v>202</v>
      </c>
      <c r="F2167" t="s">
        <v>203</v>
      </c>
      <c r="G2167" t="s">
        <v>236</v>
      </c>
      <c r="I2167">
        <v>4.5</v>
      </c>
      <c r="J2167">
        <v>58.5</v>
      </c>
      <c r="K2167">
        <v>13</v>
      </c>
      <c r="M2167" t="s">
        <v>289</v>
      </c>
    </row>
    <row r="2168" spans="1:13" hidden="1">
      <c r="A2168" t="s">
        <v>149</v>
      </c>
      <c r="B2168" t="s">
        <v>8</v>
      </c>
      <c r="C2168" t="s">
        <v>148</v>
      </c>
      <c r="D2168" t="str">
        <f>LEFT(M2168,10)</f>
        <v>11/15/2024</v>
      </c>
      <c r="E2168" t="s">
        <v>202</v>
      </c>
      <c r="F2168" t="s">
        <v>203</v>
      </c>
      <c r="G2168" t="s">
        <v>236</v>
      </c>
      <c r="I2168">
        <v>12.7</v>
      </c>
      <c r="J2168">
        <v>12.7</v>
      </c>
      <c r="K2168">
        <v>1</v>
      </c>
      <c r="M2168" t="s">
        <v>289</v>
      </c>
    </row>
    <row r="2169" spans="1:13" hidden="1">
      <c r="A2169" t="s">
        <v>149</v>
      </c>
      <c r="B2169" t="s">
        <v>8</v>
      </c>
      <c r="C2169" t="s">
        <v>148</v>
      </c>
      <c r="D2169" t="str">
        <f>LEFT(M2169,10)</f>
        <v>11/15/2024</v>
      </c>
      <c r="E2169" t="s">
        <v>202</v>
      </c>
      <c r="F2169" t="s">
        <v>216</v>
      </c>
      <c r="G2169" t="s">
        <v>217</v>
      </c>
      <c r="I2169">
        <v>4.7</v>
      </c>
      <c r="J2169">
        <v>14.1</v>
      </c>
      <c r="K2169">
        <v>3</v>
      </c>
      <c r="M2169" t="s">
        <v>289</v>
      </c>
    </row>
    <row r="2170" spans="1:13" hidden="1">
      <c r="A2170" t="s">
        <v>149</v>
      </c>
      <c r="B2170" t="s">
        <v>8</v>
      </c>
      <c r="C2170" t="s">
        <v>148</v>
      </c>
      <c r="D2170" t="str">
        <f>LEFT(M2170,10)</f>
        <v>11/15/2024</v>
      </c>
      <c r="E2170" t="s">
        <v>202</v>
      </c>
      <c r="F2170" t="s">
        <v>203</v>
      </c>
      <c r="G2170" t="s">
        <v>236</v>
      </c>
      <c r="I2170">
        <v>1880</v>
      </c>
      <c r="J2170">
        <v>1316</v>
      </c>
      <c r="K2170">
        <v>0.7</v>
      </c>
      <c r="M2170" t="s">
        <v>289</v>
      </c>
    </row>
    <row r="2171" spans="1:13" hidden="1">
      <c r="A2171" t="s">
        <v>149</v>
      </c>
      <c r="B2171" t="s">
        <v>8</v>
      </c>
      <c r="C2171" t="s">
        <v>148</v>
      </c>
      <c r="D2171" t="str">
        <f>LEFT(M2171,10)</f>
        <v>11/15/2024</v>
      </c>
      <c r="E2171" t="s">
        <v>202</v>
      </c>
      <c r="F2171" t="s">
        <v>216</v>
      </c>
      <c r="G2171" t="s">
        <v>253</v>
      </c>
      <c r="I2171">
        <v>6640</v>
      </c>
      <c r="J2171">
        <v>1328</v>
      </c>
      <c r="K2171">
        <v>0.2</v>
      </c>
      <c r="M2171" t="s">
        <v>289</v>
      </c>
    </row>
    <row r="2172" spans="1:13" hidden="1">
      <c r="A2172" t="s">
        <v>149</v>
      </c>
      <c r="B2172" t="s">
        <v>8</v>
      </c>
      <c r="C2172" t="s">
        <v>148</v>
      </c>
      <c r="D2172" t="str">
        <f>LEFT(M2172,10)</f>
        <v>11/15/2024</v>
      </c>
      <c r="E2172" t="s">
        <v>202</v>
      </c>
      <c r="F2172" t="s">
        <v>203</v>
      </c>
      <c r="G2172" t="s">
        <v>215</v>
      </c>
      <c r="I2172">
        <v>32.450000000000003</v>
      </c>
      <c r="J2172">
        <v>649</v>
      </c>
      <c r="K2172">
        <v>20</v>
      </c>
      <c r="M2172" t="s">
        <v>289</v>
      </c>
    </row>
    <row r="2173" spans="1:13" hidden="1">
      <c r="A2173" t="s">
        <v>149</v>
      </c>
      <c r="B2173" t="s">
        <v>8</v>
      </c>
      <c r="C2173" t="s">
        <v>148</v>
      </c>
      <c r="D2173" t="str">
        <f>LEFT(M2173,10)</f>
        <v>11/15/2024</v>
      </c>
      <c r="E2173" t="s">
        <v>202</v>
      </c>
      <c r="F2173" t="s">
        <v>203</v>
      </c>
      <c r="G2173" t="s">
        <v>204</v>
      </c>
      <c r="I2173">
        <v>177.5</v>
      </c>
      <c r="J2173">
        <v>1455.5</v>
      </c>
      <c r="K2173">
        <v>8.1999999999999993</v>
      </c>
      <c r="M2173" t="s">
        <v>289</v>
      </c>
    </row>
    <row r="2174" spans="1:13" hidden="1">
      <c r="A2174" t="s">
        <v>149</v>
      </c>
      <c r="B2174" t="s">
        <v>8</v>
      </c>
      <c r="C2174" t="s">
        <v>148</v>
      </c>
      <c r="D2174" t="str">
        <f>LEFT(M2174,10)</f>
        <v>11/15/2024</v>
      </c>
      <c r="E2174" t="s">
        <v>202</v>
      </c>
      <c r="F2174" t="s">
        <v>203</v>
      </c>
      <c r="G2174" t="s">
        <v>207</v>
      </c>
      <c r="I2174">
        <v>37.799999999999997</v>
      </c>
      <c r="J2174">
        <v>340.2</v>
      </c>
      <c r="K2174">
        <v>9</v>
      </c>
      <c r="M2174" t="s">
        <v>289</v>
      </c>
    </row>
    <row r="2175" spans="1:13" hidden="1">
      <c r="A2175" t="s">
        <v>149</v>
      </c>
      <c r="B2175" t="s">
        <v>8</v>
      </c>
      <c r="C2175" t="s">
        <v>148</v>
      </c>
      <c r="D2175" t="str">
        <f>LEFT(M2175,10)</f>
        <v>11/15/2024</v>
      </c>
      <c r="E2175" t="s">
        <v>202</v>
      </c>
      <c r="F2175" t="s">
        <v>203</v>
      </c>
      <c r="G2175" t="s">
        <v>207</v>
      </c>
      <c r="I2175">
        <v>58.9</v>
      </c>
      <c r="J2175">
        <v>265.05</v>
      </c>
      <c r="K2175">
        <v>4.5</v>
      </c>
      <c r="M2175" t="s">
        <v>289</v>
      </c>
    </row>
    <row r="2176" spans="1:13" hidden="1">
      <c r="A2176" t="s">
        <v>149</v>
      </c>
      <c r="B2176" t="s">
        <v>8</v>
      </c>
      <c r="C2176" t="s">
        <v>148</v>
      </c>
      <c r="D2176" t="str">
        <f>LEFT(M2176,10)</f>
        <v>11/15/2024</v>
      </c>
      <c r="E2176" t="s">
        <v>202</v>
      </c>
      <c r="F2176" t="s">
        <v>203</v>
      </c>
      <c r="G2176" t="s">
        <v>261</v>
      </c>
      <c r="I2176">
        <v>19.899999999999999</v>
      </c>
      <c r="J2176">
        <v>815.9</v>
      </c>
      <c r="K2176">
        <v>41</v>
      </c>
      <c r="M2176" t="s">
        <v>289</v>
      </c>
    </row>
    <row r="2177" spans="1:13" hidden="1">
      <c r="A2177" t="s">
        <v>149</v>
      </c>
      <c r="B2177" t="s">
        <v>8</v>
      </c>
      <c r="C2177" t="s">
        <v>148</v>
      </c>
      <c r="D2177" t="str">
        <f>LEFT(M2177,10)</f>
        <v>11/15/2024</v>
      </c>
      <c r="E2177" t="s">
        <v>202</v>
      </c>
      <c r="F2177" t="s">
        <v>203</v>
      </c>
      <c r="G2177" t="s">
        <v>215</v>
      </c>
      <c r="I2177">
        <v>11.4</v>
      </c>
      <c r="J2177">
        <v>228</v>
      </c>
      <c r="K2177">
        <v>20</v>
      </c>
      <c r="M2177" t="s">
        <v>289</v>
      </c>
    </row>
    <row r="2178" spans="1:13" hidden="1">
      <c r="A2178" t="s">
        <v>149</v>
      </c>
      <c r="B2178" t="s">
        <v>8</v>
      </c>
      <c r="C2178" t="s">
        <v>148</v>
      </c>
      <c r="D2178" t="str">
        <f>LEFT(M2178,10)</f>
        <v>11/15/2024</v>
      </c>
      <c r="E2178" t="s">
        <v>202</v>
      </c>
      <c r="F2178" t="s">
        <v>203</v>
      </c>
      <c r="G2178" t="s">
        <v>206</v>
      </c>
      <c r="I2178">
        <v>1</v>
      </c>
      <c r="J2178">
        <v>7</v>
      </c>
      <c r="K2178">
        <v>7</v>
      </c>
      <c r="M2178" t="s">
        <v>289</v>
      </c>
    </row>
    <row r="2179" spans="1:13" hidden="1">
      <c r="A2179" t="s">
        <v>149</v>
      </c>
      <c r="B2179" t="s">
        <v>8</v>
      </c>
      <c r="C2179" t="s">
        <v>148</v>
      </c>
      <c r="D2179" t="str">
        <f>LEFT(M2179,10)</f>
        <v>11/15/2024</v>
      </c>
      <c r="E2179" t="s">
        <v>202</v>
      </c>
      <c r="F2179" t="s">
        <v>209</v>
      </c>
      <c r="G2179" t="s">
        <v>210</v>
      </c>
      <c r="I2179">
        <v>2.7</v>
      </c>
      <c r="J2179">
        <v>9.4499999999999993</v>
      </c>
      <c r="K2179">
        <v>3.5</v>
      </c>
      <c r="M2179" t="s">
        <v>289</v>
      </c>
    </row>
    <row r="2180" spans="1:13" hidden="1">
      <c r="A2180" t="s">
        <v>149</v>
      </c>
      <c r="B2180" t="s">
        <v>8</v>
      </c>
      <c r="C2180" t="s">
        <v>148</v>
      </c>
      <c r="D2180" t="str">
        <f>LEFT(M2180,10)</f>
        <v>11/15/2024</v>
      </c>
      <c r="E2180" t="s">
        <v>202</v>
      </c>
      <c r="F2180" t="s">
        <v>209</v>
      </c>
      <c r="G2180" t="s">
        <v>341</v>
      </c>
      <c r="I2180">
        <v>1.4</v>
      </c>
      <c r="J2180">
        <v>35</v>
      </c>
      <c r="K2180">
        <v>25</v>
      </c>
      <c r="M2180" t="s">
        <v>289</v>
      </c>
    </row>
    <row r="2181" spans="1:13" hidden="1">
      <c r="A2181" t="s">
        <v>149</v>
      </c>
      <c r="B2181" t="s">
        <v>8</v>
      </c>
      <c r="C2181" t="s">
        <v>148</v>
      </c>
      <c r="D2181" t="str">
        <f>LEFT(M2181,10)</f>
        <v>11/15/2024</v>
      </c>
      <c r="E2181" t="s">
        <v>202</v>
      </c>
      <c r="F2181" t="s">
        <v>227</v>
      </c>
      <c r="G2181" t="s">
        <v>237</v>
      </c>
      <c r="I2181">
        <v>913</v>
      </c>
      <c r="J2181">
        <v>639.1</v>
      </c>
      <c r="K2181">
        <v>0.7</v>
      </c>
      <c r="M2181" t="s">
        <v>289</v>
      </c>
    </row>
    <row r="2182" spans="1:13" hidden="1">
      <c r="A2182" t="s">
        <v>149</v>
      </c>
      <c r="B2182" t="s">
        <v>8</v>
      </c>
      <c r="C2182" t="s">
        <v>148</v>
      </c>
      <c r="D2182" t="str">
        <f>LEFT(M2182,10)</f>
        <v>11/15/2024</v>
      </c>
      <c r="E2182" t="s">
        <v>202</v>
      </c>
      <c r="F2182" t="s">
        <v>227</v>
      </c>
      <c r="G2182" t="s">
        <v>238</v>
      </c>
      <c r="I2182">
        <v>857</v>
      </c>
      <c r="J2182">
        <v>342.8</v>
      </c>
      <c r="K2182">
        <v>0.4</v>
      </c>
      <c r="M2182" t="s">
        <v>289</v>
      </c>
    </row>
    <row r="2183" spans="1:13" hidden="1">
      <c r="A2183" t="s">
        <v>149</v>
      </c>
      <c r="B2183" t="s">
        <v>8</v>
      </c>
      <c r="C2183" t="s">
        <v>148</v>
      </c>
      <c r="D2183" t="str">
        <f>LEFT(M2183,10)</f>
        <v>11/15/2024</v>
      </c>
      <c r="E2183" t="s">
        <v>202</v>
      </c>
      <c r="F2183" t="s">
        <v>227</v>
      </c>
      <c r="G2183" t="s">
        <v>228</v>
      </c>
      <c r="I2183">
        <v>3779</v>
      </c>
      <c r="J2183">
        <v>1133.7</v>
      </c>
      <c r="K2183">
        <v>0.3</v>
      </c>
      <c r="M2183" t="s">
        <v>289</v>
      </c>
    </row>
    <row r="2184" spans="1:13" hidden="1">
      <c r="A2184" t="s">
        <v>149</v>
      </c>
      <c r="B2184" t="s">
        <v>8</v>
      </c>
      <c r="C2184" t="s">
        <v>148</v>
      </c>
      <c r="D2184" t="str">
        <f>LEFT(M2184,10)</f>
        <v>11/15/2024</v>
      </c>
      <c r="E2184" t="s">
        <v>202</v>
      </c>
      <c r="F2184" t="s">
        <v>227</v>
      </c>
      <c r="G2184" t="s">
        <v>229</v>
      </c>
      <c r="I2184">
        <v>7661</v>
      </c>
      <c r="J2184">
        <v>6511.85</v>
      </c>
      <c r="K2184">
        <v>0.85</v>
      </c>
      <c r="M2184" t="s">
        <v>289</v>
      </c>
    </row>
    <row r="2185" spans="1:13" hidden="1">
      <c r="A2185" t="s">
        <v>149</v>
      </c>
      <c r="B2185" t="s">
        <v>8</v>
      </c>
      <c r="C2185" t="s">
        <v>148</v>
      </c>
      <c r="D2185" t="str">
        <f>LEFT(M2185,10)</f>
        <v>11/15/2024</v>
      </c>
      <c r="E2185" t="s">
        <v>202</v>
      </c>
      <c r="F2185" t="s">
        <v>227</v>
      </c>
      <c r="G2185" t="s">
        <v>252</v>
      </c>
      <c r="I2185">
        <v>911</v>
      </c>
      <c r="J2185">
        <v>364.4</v>
      </c>
      <c r="K2185">
        <v>0.4</v>
      </c>
      <c r="M2185" t="s">
        <v>289</v>
      </c>
    </row>
    <row r="2186" spans="1:13" hidden="1">
      <c r="A2186" t="s">
        <v>149</v>
      </c>
      <c r="B2186" t="s">
        <v>8</v>
      </c>
      <c r="C2186" t="s">
        <v>148</v>
      </c>
      <c r="D2186" t="str">
        <f>LEFT(M2186,10)</f>
        <v>11/15/2024</v>
      </c>
      <c r="E2186" t="s">
        <v>202</v>
      </c>
      <c r="F2186" t="s">
        <v>218</v>
      </c>
      <c r="G2186" t="s">
        <v>220</v>
      </c>
      <c r="I2186">
        <v>1030</v>
      </c>
      <c r="J2186">
        <v>1545</v>
      </c>
      <c r="K2186">
        <v>1.5</v>
      </c>
      <c r="M2186" t="s">
        <v>289</v>
      </c>
    </row>
    <row r="2187" spans="1:13" hidden="1">
      <c r="A2187" t="s">
        <v>149</v>
      </c>
      <c r="B2187" t="s">
        <v>8</v>
      </c>
      <c r="C2187" t="s">
        <v>148</v>
      </c>
      <c r="D2187" t="str">
        <f>LEFT(M2187,10)</f>
        <v>11/15/2024</v>
      </c>
      <c r="E2187" t="s">
        <v>202</v>
      </c>
      <c r="F2187" t="s">
        <v>218</v>
      </c>
      <c r="G2187" t="s">
        <v>219</v>
      </c>
      <c r="I2187">
        <v>244</v>
      </c>
      <c r="J2187">
        <v>48.8</v>
      </c>
      <c r="K2187">
        <v>0.2</v>
      </c>
      <c r="M2187" t="s">
        <v>289</v>
      </c>
    </row>
    <row r="2188" spans="1:13" hidden="1">
      <c r="A2188" t="s">
        <v>149</v>
      </c>
      <c r="B2188" t="s">
        <v>8</v>
      </c>
      <c r="C2188" t="s">
        <v>148</v>
      </c>
      <c r="D2188" t="str">
        <f>LEFT(M2188,10)</f>
        <v>11/15/2024</v>
      </c>
      <c r="E2188" t="s">
        <v>202</v>
      </c>
      <c r="F2188" t="s">
        <v>218</v>
      </c>
      <c r="G2188" t="s">
        <v>224</v>
      </c>
      <c r="I2188">
        <v>252</v>
      </c>
      <c r="J2188">
        <v>302.39999999999998</v>
      </c>
      <c r="K2188">
        <v>1.2</v>
      </c>
      <c r="M2188" t="s">
        <v>289</v>
      </c>
    </row>
    <row r="2189" spans="1:13" hidden="1">
      <c r="A2189" t="s">
        <v>149</v>
      </c>
      <c r="B2189" t="s">
        <v>8</v>
      </c>
      <c r="C2189" t="s">
        <v>148</v>
      </c>
      <c r="D2189" t="str">
        <f>LEFT(M2189,10)</f>
        <v>11/15/2024</v>
      </c>
      <c r="E2189" t="s">
        <v>202</v>
      </c>
      <c r="F2189" t="s">
        <v>218</v>
      </c>
      <c r="G2189" t="s">
        <v>219</v>
      </c>
      <c r="I2189">
        <v>192</v>
      </c>
      <c r="J2189">
        <v>28.8</v>
      </c>
      <c r="K2189">
        <v>0.15</v>
      </c>
      <c r="M2189" t="s">
        <v>289</v>
      </c>
    </row>
    <row r="2190" spans="1:13" hidden="1">
      <c r="A2190" t="s">
        <v>149</v>
      </c>
      <c r="B2190" t="s">
        <v>8</v>
      </c>
      <c r="C2190" t="s">
        <v>148</v>
      </c>
      <c r="D2190" t="str">
        <f>LEFT(M2190,10)</f>
        <v>11/15/2024</v>
      </c>
      <c r="E2190" t="s">
        <v>202</v>
      </c>
      <c r="F2190" t="s">
        <v>218</v>
      </c>
      <c r="G2190" t="s">
        <v>225</v>
      </c>
      <c r="I2190">
        <v>226</v>
      </c>
      <c r="J2190">
        <v>271.2</v>
      </c>
      <c r="K2190">
        <v>1.2</v>
      </c>
      <c r="M2190" t="s">
        <v>289</v>
      </c>
    </row>
    <row r="2191" spans="1:13" hidden="1">
      <c r="A2191" t="s">
        <v>149</v>
      </c>
      <c r="B2191" t="s">
        <v>8</v>
      </c>
      <c r="C2191" t="s">
        <v>148</v>
      </c>
      <c r="D2191" t="str">
        <f>LEFT(M2191,10)</f>
        <v>11/15/2024</v>
      </c>
      <c r="E2191" t="s">
        <v>202</v>
      </c>
      <c r="F2191" t="s">
        <v>218</v>
      </c>
      <c r="G2191" t="s">
        <v>223</v>
      </c>
      <c r="I2191">
        <v>632</v>
      </c>
      <c r="J2191">
        <v>1706.4</v>
      </c>
      <c r="K2191">
        <v>2.7</v>
      </c>
      <c r="M2191" t="s">
        <v>289</v>
      </c>
    </row>
    <row r="2192" spans="1:13" hidden="1">
      <c r="A2192" t="s">
        <v>149</v>
      </c>
      <c r="B2192" t="s">
        <v>8</v>
      </c>
      <c r="C2192" t="s">
        <v>148</v>
      </c>
      <c r="D2192" t="str">
        <f>LEFT(M2192,10)</f>
        <v>11/15/2024</v>
      </c>
      <c r="E2192" t="s">
        <v>202</v>
      </c>
      <c r="F2192" t="s">
        <v>218</v>
      </c>
      <c r="G2192" t="s">
        <v>219</v>
      </c>
      <c r="I2192">
        <v>531</v>
      </c>
      <c r="J2192">
        <v>1380.6</v>
      </c>
      <c r="K2192">
        <v>2.6</v>
      </c>
      <c r="M2192" t="s">
        <v>289</v>
      </c>
    </row>
    <row r="2193" spans="1:13" hidden="1">
      <c r="A2193" t="s">
        <v>149</v>
      </c>
      <c r="B2193" t="s">
        <v>8</v>
      </c>
      <c r="C2193" t="s">
        <v>148</v>
      </c>
      <c r="D2193" t="str">
        <f>LEFT(M2193,10)</f>
        <v>11/15/2024</v>
      </c>
      <c r="E2193" t="s">
        <v>202</v>
      </c>
      <c r="F2193" t="s">
        <v>218</v>
      </c>
      <c r="G2193" t="s">
        <v>268</v>
      </c>
      <c r="I2193">
        <v>447</v>
      </c>
      <c r="J2193">
        <v>625.79999999999995</v>
      </c>
      <c r="K2193">
        <v>1.4</v>
      </c>
      <c r="M2193" t="s">
        <v>289</v>
      </c>
    </row>
    <row r="2194" spans="1:13" hidden="1">
      <c r="A2194" t="s">
        <v>149</v>
      </c>
      <c r="B2194" t="s">
        <v>8</v>
      </c>
      <c r="C2194" t="s">
        <v>148</v>
      </c>
      <c r="D2194" t="str">
        <f>LEFT(M2194,10)</f>
        <v>11/15/2024</v>
      </c>
      <c r="E2194" t="s">
        <v>202</v>
      </c>
      <c r="F2194" t="s">
        <v>218</v>
      </c>
      <c r="G2194" t="s">
        <v>226</v>
      </c>
      <c r="I2194">
        <v>127</v>
      </c>
      <c r="J2194">
        <v>127</v>
      </c>
      <c r="K2194">
        <v>1</v>
      </c>
      <c r="M2194" t="s">
        <v>289</v>
      </c>
    </row>
    <row r="2195" spans="1:13" hidden="1">
      <c r="A2195" t="s">
        <v>149</v>
      </c>
      <c r="B2195" t="s">
        <v>8</v>
      </c>
      <c r="C2195" t="s">
        <v>148</v>
      </c>
      <c r="D2195" t="str">
        <f>LEFT(M2195,10)</f>
        <v>11/15/2024</v>
      </c>
      <c r="E2195" t="s">
        <v>202</v>
      </c>
      <c r="F2195" t="s">
        <v>218</v>
      </c>
      <c r="G2195" t="s">
        <v>239</v>
      </c>
      <c r="I2195">
        <v>354</v>
      </c>
      <c r="J2195">
        <v>495.6</v>
      </c>
      <c r="K2195">
        <v>1.4</v>
      </c>
      <c r="M2195" t="s">
        <v>289</v>
      </c>
    </row>
    <row r="2196" spans="1:13" hidden="1">
      <c r="A2196" t="s">
        <v>149</v>
      </c>
      <c r="B2196" t="s">
        <v>8</v>
      </c>
      <c r="C2196" t="s">
        <v>148</v>
      </c>
      <c r="D2196" t="str">
        <f>LEFT(M2196,10)</f>
        <v>11/15/2024</v>
      </c>
      <c r="E2196" t="s">
        <v>202</v>
      </c>
      <c r="F2196" t="s">
        <v>218</v>
      </c>
      <c r="G2196" t="s">
        <v>242</v>
      </c>
      <c r="I2196">
        <v>175</v>
      </c>
      <c r="J2196">
        <v>175</v>
      </c>
      <c r="K2196">
        <v>1</v>
      </c>
      <c r="M2196" t="s">
        <v>289</v>
      </c>
    </row>
    <row r="2197" spans="1:13" hidden="1">
      <c r="A2197" t="s">
        <v>149</v>
      </c>
      <c r="B2197" t="s">
        <v>8</v>
      </c>
      <c r="C2197" t="s">
        <v>148</v>
      </c>
      <c r="D2197" t="str">
        <f>LEFT(M2197,10)</f>
        <v>11/15/2024</v>
      </c>
      <c r="E2197" t="s">
        <v>202</v>
      </c>
      <c r="F2197" t="s">
        <v>218</v>
      </c>
      <c r="G2197" t="s">
        <v>241</v>
      </c>
      <c r="I2197">
        <v>375</v>
      </c>
      <c r="J2197">
        <v>1612.5</v>
      </c>
      <c r="K2197">
        <v>4.3</v>
      </c>
      <c r="M2197" t="s">
        <v>289</v>
      </c>
    </row>
    <row r="2198" spans="1:13" hidden="1">
      <c r="A2198" t="s">
        <v>149</v>
      </c>
      <c r="B2198" t="s">
        <v>8</v>
      </c>
      <c r="C2198" t="s">
        <v>148</v>
      </c>
      <c r="D2198" t="str">
        <f>LEFT(M2198,10)</f>
        <v>11/15/2024</v>
      </c>
      <c r="E2198" t="s">
        <v>202</v>
      </c>
      <c r="F2198" t="s">
        <v>218</v>
      </c>
      <c r="G2198" t="s">
        <v>268</v>
      </c>
      <c r="I2198">
        <v>372</v>
      </c>
      <c r="J2198">
        <v>558</v>
      </c>
      <c r="K2198">
        <v>1.5</v>
      </c>
      <c r="M2198" t="s">
        <v>289</v>
      </c>
    </row>
    <row r="2199" spans="1:13" hidden="1">
      <c r="A2199" t="s">
        <v>149</v>
      </c>
      <c r="B2199" t="s">
        <v>8</v>
      </c>
      <c r="C2199" t="s">
        <v>148</v>
      </c>
      <c r="D2199" t="str">
        <f>LEFT(M2199,10)</f>
        <v>11/15/2024</v>
      </c>
      <c r="E2199" t="s">
        <v>202</v>
      </c>
      <c r="F2199" t="s">
        <v>218</v>
      </c>
      <c r="G2199" t="s">
        <v>266</v>
      </c>
      <c r="I2199">
        <v>426</v>
      </c>
      <c r="J2199">
        <v>298.2</v>
      </c>
      <c r="K2199">
        <v>0.7</v>
      </c>
      <c r="M2199" t="s">
        <v>289</v>
      </c>
    </row>
    <row r="2200" spans="1:13" hidden="1">
      <c r="A2200" t="s">
        <v>149</v>
      </c>
      <c r="B2200" t="s">
        <v>8</v>
      </c>
      <c r="C2200" t="s">
        <v>148</v>
      </c>
      <c r="D2200" t="str">
        <f>LEFT(M2200,10)</f>
        <v>11/15/2024</v>
      </c>
      <c r="E2200" t="s">
        <v>202</v>
      </c>
      <c r="F2200" t="s">
        <v>218</v>
      </c>
      <c r="G2200" t="s">
        <v>221</v>
      </c>
      <c r="I2200">
        <v>1052</v>
      </c>
      <c r="J2200">
        <v>946.8</v>
      </c>
      <c r="K2200">
        <v>0.9</v>
      </c>
      <c r="M2200" t="s">
        <v>289</v>
      </c>
    </row>
    <row r="2201" spans="1:13" hidden="1">
      <c r="A2201" t="s">
        <v>149</v>
      </c>
      <c r="B2201" t="s">
        <v>8</v>
      </c>
      <c r="C2201" t="s">
        <v>148</v>
      </c>
      <c r="D2201" t="str">
        <f>LEFT(M2201,10)</f>
        <v>11/15/2024</v>
      </c>
      <c r="E2201" t="s">
        <v>202</v>
      </c>
      <c r="F2201" t="s">
        <v>218</v>
      </c>
      <c r="G2201" t="s">
        <v>220</v>
      </c>
      <c r="I2201">
        <v>312</v>
      </c>
      <c r="J2201">
        <v>561.6</v>
      </c>
      <c r="K2201">
        <v>1.8</v>
      </c>
      <c r="M2201" t="s">
        <v>289</v>
      </c>
    </row>
    <row r="2202" spans="1:13" hidden="1">
      <c r="A2202" t="s">
        <v>149</v>
      </c>
      <c r="B2202" t="s">
        <v>8</v>
      </c>
      <c r="C2202" t="s">
        <v>148</v>
      </c>
      <c r="D2202" t="str">
        <f>LEFT(M2202,10)</f>
        <v>11/15/2024</v>
      </c>
      <c r="E2202" t="s">
        <v>202</v>
      </c>
      <c r="F2202" t="s">
        <v>218</v>
      </c>
      <c r="G2202" t="s">
        <v>240</v>
      </c>
      <c r="I2202">
        <v>1619</v>
      </c>
      <c r="J2202">
        <v>6961.7</v>
      </c>
      <c r="K2202">
        <v>4.3</v>
      </c>
      <c r="M2202" t="s">
        <v>289</v>
      </c>
    </row>
    <row r="2203" spans="1:13" hidden="1">
      <c r="A2203" t="s">
        <v>149</v>
      </c>
      <c r="B2203" t="s">
        <v>8</v>
      </c>
      <c r="C2203" t="s">
        <v>148</v>
      </c>
      <c r="D2203" t="str">
        <f>LEFT(M2203,10)</f>
        <v>11/15/2024</v>
      </c>
      <c r="E2203" t="s">
        <v>202</v>
      </c>
      <c r="F2203" t="s">
        <v>218</v>
      </c>
      <c r="G2203" t="s">
        <v>226</v>
      </c>
      <c r="I2203">
        <v>123</v>
      </c>
      <c r="J2203">
        <v>36.9</v>
      </c>
      <c r="K2203">
        <v>0.3</v>
      </c>
      <c r="M2203" t="s">
        <v>289</v>
      </c>
    </row>
    <row r="2204" spans="1:13" hidden="1">
      <c r="A2204" t="s">
        <v>151</v>
      </c>
      <c r="B2204" t="s">
        <v>8</v>
      </c>
      <c r="C2204" t="s">
        <v>150</v>
      </c>
      <c r="D2204" t="str">
        <f>LEFT(M2204,10)</f>
        <v>11/15/2024</v>
      </c>
      <c r="E2204" t="s">
        <v>202</v>
      </c>
      <c r="F2204" t="s">
        <v>203</v>
      </c>
      <c r="G2204" t="s">
        <v>204</v>
      </c>
      <c r="I2204">
        <v>280.5</v>
      </c>
      <c r="J2204">
        <v>1963.5</v>
      </c>
      <c r="K2204">
        <v>7</v>
      </c>
      <c r="M2204" t="s">
        <v>289</v>
      </c>
    </row>
    <row r="2205" spans="1:13" hidden="1">
      <c r="A2205" t="s">
        <v>151</v>
      </c>
      <c r="B2205" t="s">
        <v>8</v>
      </c>
      <c r="C2205" t="s">
        <v>150</v>
      </c>
      <c r="D2205" t="str">
        <f>LEFT(M2205,10)</f>
        <v>11/15/2024</v>
      </c>
      <c r="E2205" t="s">
        <v>202</v>
      </c>
      <c r="F2205" t="s">
        <v>203</v>
      </c>
      <c r="G2205" t="s">
        <v>261</v>
      </c>
      <c r="I2205">
        <v>21.1</v>
      </c>
      <c r="J2205">
        <v>738.5</v>
      </c>
      <c r="K2205">
        <v>35</v>
      </c>
      <c r="M2205" t="s">
        <v>289</v>
      </c>
    </row>
    <row r="2206" spans="1:13" hidden="1">
      <c r="A2206" t="s">
        <v>151</v>
      </c>
      <c r="B2206" t="s">
        <v>8</v>
      </c>
      <c r="C2206" t="s">
        <v>150</v>
      </c>
      <c r="D2206" t="str">
        <f>LEFT(M2206,10)</f>
        <v>11/15/2024</v>
      </c>
      <c r="E2206" t="s">
        <v>202</v>
      </c>
      <c r="F2206" t="s">
        <v>203</v>
      </c>
      <c r="G2206" t="s">
        <v>261</v>
      </c>
      <c r="I2206">
        <v>36</v>
      </c>
      <c r="J2206">
        <v>75.599999999999994</v>
      </c>
      <c r="K2206">
        <v>2.1</v>
      </c>
      <c r="M2206" t="s">
        <v>289</v>
      </c>
    </row>
    <row r="2207" spans="1:13" hidden="1">
      <c r="A2207" t="s">
        <v>151</v>
      </c>
      <c r="B2207" t="s">
        <v>8</v>
      </c>
      <c r="C2207" t="s">
        <v>150</v>
      </c>
      <c r="D2207" t="str">
        <f>LEFT(M2207,10)</f>
        <v>11/15/2024</v>
      </c>
      <c r="E2207" t="s">
        <v>202</v>
      </c>
      <c r="F2207" t="s">
        <v>203</v>
      </c>
      <c r="G2207" t="s">
        <v>207</v>
      </c>
      <c r="I2207">
        <v>76</v>
      </c>
      <c r="J2207">
        <v>608</v>
      </c>
      <c r="K2207">
        <v>8</v>
      </c>
      <c r="M2207" t="s">
        <v>289</v>
      </c>
    </row>
    <row r="2208" spans="1:13" hidden="1">
      <c r="A2208" t="s">
        <v>151</v>
      </c>
      <c r="B2208" t="s">
        <v>8</v>
      </c>
      <c r="C2208" t="s">
        <v>150</v>
      </c>
      <c r="D2208" t="str">
        <f>LEFT(M2208,10)</f>
        <v>11/15/2024</v>
      </c>
      <c r="E2208" t="s">
        <v>202</v>
      </c>
      <c r="F2208" t="s">
        <v>203</v>
      </c>
      <c r="G2208" t="s">
        <v>206</v>
      </c>
      <c r="I2208">
        <v>74.8</v>
      </c>
      <c r="J2208">
        <v>82.28</v>
      </c>
      <c r="K2208">
        <v>1.1000000000000001</v>
      </c>
      <c r="M2208" t="s">
        <v>289</v>
      </c>
    </row>
    <row r="2209" spans="1:13" hidden="1">
      <c r="A2209" t="s">
        <v>151</v>
      </c>
      <c r="B2209" t="s">
        <v>8</v>
      </c>
      <c r="C2209" t="s">
        <v>150</v>
      </c>
      <c r="D2209" t="str">
        <f>LEFT(M2209,10)</f>
        <v>11/15/2024</v>
      </c>
      <c r="E2209" t="s">
        <v>202</v>
      </c>
      <c r="F2209" t="s">
        <v>209</v>
      </c>
      <c r="G2209" t="s">
        <v>210</v>
      </c>
      <c r="I2209">
        <v>173.6</v>
      </c>
      <c r="J2209">
        <v>434</v>
      </c>
      <c r="K2209">
        <v>2.5</v>
      </c>
      <c r="M2209" t="s">
        <v>289</v>
      </c>
    </row>
    <row r="2210" spans="1:13" hidden="1">
      <c r="A2210" t="s">
        <v>151</v>
      </c>
      <c r="B2210" t="s">
        <v>8</v>
      </c>
      <c r="C2210" t="s">
        <v>150</v>
      </c>
      <c r="D2210" t="str">
        <f>LEFT(M2210,10)</f>
        <v>11/15/2024</v>
      </c>
      <c r="E2210" t="s">
        <v>202</v>
      </c>
      <c r="F2210" t="s">
        <v>203</v>
      </c>
      <c r="G2210" t="s">
        <v>215</v>
      </c>
      <c r="I2210">
        <v>144</v>
      </c>
      <c r="J2210">
        <v>144</v>
      </c>
      <c r="K2210">
        <v>1</v>
      </c>
      <c r="M2210" t="s">
        <v>289</v>
      </c>
    </row>
    <row r="2211" spans="1:13" hidden="1">
      <c r="A2211" t="s">
        <v>151</v>
      </c>
      <c r="B2211" t="s">
        <v>8</v>
      </c>
      <c r="C2211" t="s">
        <v>150</v>
      </c>
      <c r="D2211" t="str">
        <f>LEFT(M2211,10)</f>
        <v>11/15/2024</v>
      </c>
      <c r="E2211" t="s">
        <v>202</v>
      </c>
      <c r="F2211" t="s">
        <v>209</v>
      </c>
      <c r="G2211" t="s">
        <v>310</v>
      </c>
      <c r="I2211">
        <v>5</v>
      </c>
      <c r="J2211">
        <v>75</v>
      </c>
      <c r="K2211">
        <v>15</v>
      </c>
      <c r="M2211" t="s">
        <v>289</v>
      </c>
    </row>
    <row r="2212" spans="1:13" hidden="1">
      <c r="A2212" t="s">
        <v>151</v>
      </c>
      <c r="B2212" t="s">
        <v>8</v>
      </c>
      <c r="C2212" t="s">
        <v>150</v>
      </c>
      <c r="D2212" t="str">
        <f>LEFT(M2212,10)</f>
        <v>11/15/2024</v>
      </c>
      <c r="E2212" t="s">
        <v>202</v>
      </c>
      <c r="F2212" t="s">
        <v>203</v>
      </c>
      <c r="G2212" t="s">
        <v>208</v>
      </c>
      <c r="I2212">
        <v>7</v>
      </c>
      <c r="J2212">
        <v>35</v>
      </c>
      <c r="K2212">
        <v>5</v>
      </c>
      <c r="M2212" t="s">
        <v>289</v>
      </c>
    </row>
    <row r="2213" spans="1:13" hidden="1">
      <c r="A2213" t="s">
        <v>151</v>
      </c>
      <c r="B2213" t="s">
        <v>8</v>
      </c>
      <c r="C2213" t="s">
        <v>150</v>
      </c>
      <c r="D2213" t="str">
        <f>LEFT(M2213,10)</f>
        <v>11/15/2024</v>
      </c>
      <c r="E2213" t="s">
        <v>230</v>
      </c>
      <c r="F2213" t="s">
        <v>248</v>
      </c>
      <c r="I2213">
        <v>0</v>
      </c>
      <c r="J2213">
        <v>24178.55</v>
      </c>
      <c r="M2213" t="s">
        <v>289</v>
      </c>
    </row>
    <row r="2214" spans="1:13" hidden="1">
      <c r="A2214" t="s">
        <v>151</v>
      </c>
      <c r="B2214" t="s">
        <v>8</v>
      </c>
      <c r="C2214" t="s">
        <v>150</v>
      </c>
      <c r="D2214" t="str">
        <f>LEFT(M2214,10)</f>
        <v>11/15/2024</v>
      </c>
      <c r="E2214" t="s">
        <v>202</v>
      </c>
      <c r="F2214" t="s">
        <v>218</v>
      </c>
      <c r="G2214" t="s">
        <v>222</v>
      </c>
      <c r="I2214">
        <v>237</v>
      </c>
      <c r="J2214">
        <v>284.39999999999998</v>
      </c>
      <c r="K2214">
        <v>1.2</v>
      </c>
      <c r="M2214" t="s">
        <v>289</v>
      </c>
    </row>
    <row r="2215" spans="1:13" hidden="1">
      <c r="A2215" t="s">
        <v>151</v>
      </c>
      <c r="B2215" t="s">
        <v>8</v>
      </c>
      <c r="C2215" t="s">
        <v>150</v>
      </c>
      <c r="D2215" t="str">
        <f>LEFT(M2215,10)</f>
        <v>11/15/2024</v>
      </c>
      <c r="E2215" t="s">
        <v>202</v>
      </c>
      <c r="F2215" t="s">
        <v>218</v>
      </c>
      <c r="G2215" t="s">
        <v>219</v>
      </c>
      <c r="I2215">
        <v>38</v>
      </c>
      <c r="J2215">
        <v>11.4</v>
      </c>
      <c r="K2215">
        <v>0.3</v>
      </c>
      <c r="M2215" t="s">
        <v>289</v>
      </c>
    </row>
    <row r="2216" spans="1:13" hidden="1">
      <c r="A2216" t="s">
        <v>151</v>
      </c>
      <c r="B2216" t="s">
        <v>8</v>
      </c>
      <c r="C2216" t="s">
        <v>150</v>
      </c>
      <c r="D2216" t="str">
        <f>LEFT(M2216,10)</f>
        <v>11/15/2024</v>
      </c>
      <c r="E2216" t="s">
        <v>202</v>
      </c>
      <c r="F2216" t="s">
        <v>218</v>
      </c>
      <c r="G2216" t="s">
        <v>267</v>
      </c>
      <c r="I2216">
        <v>347</v>
      </c>
      <c r="J2216">
        <v>52.05</v>
      </c>
      <c r="K2216">
        <v>0.15</v>
      </c>
      <c r="M2216" t="s">
        <v>289</v>
      </c>
    </row>
    <row r="2217" spans="1:13" hidden="1">
      <c r="A2217" t="s">
        <v>151</v>
      </c>
      <c r="B2217" t="s">
        <v>8</v>
      </c>
      <c r="C2217" t="s">
        <v>150</v>
      </c>
      <c r="D2217" t="str">
        <f>LEFT(M2217,10)</f>
        <v>11/15/2024</v>
      </c>
      <c r="E2217" t="s">
        <v>202</v>
      </c>
      <c r="F2217" t="s">
        <v>218</v>
      </c>
      <c r="G2217" t="s">
        <v>225</v>
      </c>
      <c r="I2217">
        <v>10</v>
      </c>
      <c r="J2217">
        <v>9</v>
      </c>
      <c r="K2217">
        <v>0.9</v>
      </c>
      <c r="M2217" t="s">
        <v>289</v>
      </c>
    </row>
    <row r="2218" spans="1:13" hidden="1">
      <c r="A2218" t="s">
        <v>151</v>
      </c>
      <c r="B2218" t="s">
        <v>8</v>
      </c>
      <c r="C2218" t="s">
        <v>150</v>
      </c>
      <c r="D2218" t="str">
        <f>LEFT(M2218,10)</f>
        <v>11/15/2024</v>
      </c>
      <c r="E2218" t="s">
        <v>202</v>
      </c>
      <c r="F2218" t="s">
        <v>218</v>
      </c>
      <c r="G2218" t="s">
        <v>224</v>
      </c>
      <c r="I2218">
        <v>218</v>
      </c>
      <c r="J2218">
        <v>218</v>
      </c>
      <c r="K2218">
        <v>1</v>
      </c>
      <c r="M2218" t="s">
        <v>289</v>
      </c>
    </row>
    <row r="2219" spans="1:13" hidden="1">
      <c r="A2219" t="s">
        <v>151</v>
      </c>
      <c r="B2219" t="s">
        <v>8</v>
      </c>
      <c r="C2219" t="s">
        <v>150</v>
      </c>
      <c r="D2219" t="str">
        <f>LEFT(M2219,10)</f>
        <v>11/15/2024</v>
      </c>
      <c r="E2219" t="s">
        <v>202</v>
      </c>
      <c r="F2219" t="s">
        <v>203</v>
      </c>
      <c r="G2219" t="s">
        <v>236</v>
      </c>
      <c r="I2219">
        <v>4330</v>
      </c>
      <c r="J2219">
        <v>2165</v>
      </c>
      <c r="K2219">
        <v>0.5</v>
      </c>
      <c r="M2219" t="s">
        <v>289</v>
      </c>
    </row>
    <row r="2220" spans="1:13" hidden="1">
      <c r="A2220" t="s">
        <v>151</v>
      </c>
      <c r="B2220" t="s">
        <v>8</v>
      </c>
      <c r="C2220" t="s">
        <v>150</v>
      </c>
      <c r="D2220" t="str">
        <f>LEFT(M2220,10)</f>
        <v>11/15/2024</v>
      </c>
      <c r="E2220" t="s">
        <v>202</v>
      </c>
      <c r="F2220" t="s">
        <v>218</v>
      </c>
      <c r="G2220" t="s">
        <v>266</v>
      </c>
      <c r="I2220">
        <v>166</v>
      </c>
      <c r="J2220">
        <v>1.66</v>
      </c>
      <c r="K2220">
        <v>0.01</v>
      </c>
      <c r="M2220" t="s">
        <v>289</v>
      </c>
    </row>
    <row r="2221" spans="1:13" hidden="1">
      <c r="A2221" t="s">
        <v>151</v>
      </c>
      <c r="B2221" t="s">
        <v>8</v>
      </c>
      <c r="C2221" t="s">
        <v>150</v>
      </c>
      <c r="D2221" t="str">
        <f>LEFT(M2221,10)</f>
        <v>11/15/2024</v>
      </c>
      <c r="E2221" t="s">
        <v>202</v>
      </c>
      <c r="F2221" t="s">
        <v>227</v>
      </c>
      <c r="G2221" t="s">
        <v>228</v>
      </c>
      <c r="I2221">
        <v>5056</v>
      </c>
      <c r="J2221">
        <v>859.52</v>
      </c>
      <c r="K2221">
        <v>0.17</v>
      </c>
      <c r="M2221" t="s">
        <v>289</v>
      </c>
    </row>
    <row r="2222" spans="1:13" hidden="1">
      <c r="A2222" t="s">
        <v>151</v>
      </c>
      <c r="B2222" t="s">
        <v>8</v>
      </c>
      <c r="C2222" t="s">
        <v>150</v>
      </c>
      <c r="D2222" t="str">
        <f>LEFT(M2222,10)</f>
        <v>11/15/2024</v>
      </c>
      <c r="E2222" t="s">
        <v>202</v>
      </c>
      <c r="F2222" t="s">
        <v>227</v>
      </c>
      <c r="G2222" t="s">
        <v>237</v>
      </c>
      <c r="I2222">
        <v>694</v>
      </c>
      <c r="J2222">
        <v>416.4</v>
      </c>
      <c r="K2222">
        <v>0.6</v>
      </c>
      <c r="M2222" t="s">
        <v>289</v>
      </c>
    </row>
    <row r="2223" spans="1:13" hidden="1">
      <c r="A2223" t="s">
        <v>151</v>
      </c>
      <c r="B2223" t="s">
        <v>8</v>
      </c>
      <c r="C2223" t="s">
        <v>150</v>
      </c>
      <c r="D2223" t="str">
        <f>LEFT(M2223,10)</f>
        <v>11/15/2024</v>
      </c>
      <c r="E2223" t="s">
        <v>202</v>
      </c>
      <c r="F2223" t="s">
        <v>218</v>
      </c>
      <c r="G2223" t="s">
        <v>223</v>
      </c>
      <c r="I2223">
        <v>2002</v>
      </c>
      <c r="J2223">
        <v>1801.8</v>
      </c>
      <c r="K2223">
        <v>0.9</v>
      </c>
      <c r="M2223" t="s">
        <v>289</v>
      </c>
    </row>
    <row r="2224" spans="1:13" hidden="1">
      <c r="A2224" t="s">
        <v>151</v>
      </c>
      <c r="B2224" t="s">
        <v>8</v>
      </c>
      <c r="C2224" t="s">
        <v>150</v>
      </c>
      <c r="D2224" t="str">
        <f>LEFT(M2224,10)</f>
        <v>11/15/2024</v>
      </c>
      <c r="E2224" t="s">
        <v>202</v>
      </c>
      <c r="F2224" t="s">
        <v>218</v>
      </c>
      <c r="G2224" t="s">
        <v>220</v>
      </c>
      <c r="I2224">
        <v>48</v>
      </c>
      <c r="J2224">
        <v>4.8</v>
      </c>
      <c r="K2224">
        <v>0.1</v>
      </c>
      <c r="M2224" t="s">
        <v>289</v>
      </c>
    </row>
    <row r="2225" spans="1:13" hidden="1">
      <c r="A2225" t="s">
        <v>151</v>
      </c>
      <c r="B2225" t="s">
        <v>8</v>
      </c>
      <c r="C2225" t="s">
        <v>150</v>
      </c>
      <c r="D2225" t="str">
        <f>LEFT(M2225,10)</f>
        <v>11/15/2024</v>
      </c>
      <c r="E2225" t="s">
        <v>202</v>
      </c>
      <c r="F2225" t="s">
        <v>218</v>
      </c>
      <c r="G2225" t="s">
        <v>223</v>
      </c>
      <c r="I2225">
        <v>582</v>
      </c>
      <c r="J2225">
        <v>407.4</v>
      </c>
      <c r="K2225">
        <v>0.7</v>
      </c>
      <c r="M2225" t="s">
        <v>289</v>
      </c>
    </row>
    <row r="2226" spans="1:13" hidden="1">
      <c r="A2226" t="s">
        <v>151</v>
      </c>
      <c r="B2226" t="s">
        <v>8</v>
      </c>
      <c r="C2226" t="s">
        <v>150</v>
      </c>
      <c r="D2226" t="str">
        <f>LEFT(M2226,10)</f>
        <v>11/15/2024</v>
      </c>
      <c r="E2226" t="s">
        <v>202</v>
      </c>
      <c r="F2226" t="s">
        <v>227</v>
      </c>
      <c r="G2226" t="s">
        <v>238</v>
      </c>
      <c r="I2226">
        <v>1034</v>
      </c>
      <c r="J2226">
        <v>206.8</v>
      </c>
      <c r="K2226">
        <v>0.2</v>
      </c>
      <c r="M2226" t="s">
        <v>289</v>
      </c>
    </row>
    <row r="2227" spans="1:13" hidden="1">
      <c r="A2227" t="s">
        <v>151</v>
      </c>
      <c r="B2227" t="s">
        <v>8</v>
      </c>
      <c r="C2227" t="s">
        <v>150</v>
      </c>
      <c r="D2227" t="str">
        <f>LEFT(M2227,10)</f>
        <v>11/15/2024</v>
      </c>
      <c r="E2227" t="s">
        <v>202</v>
      </c>
      <c r="F2227" t="s">
        <v>227</v>
      </c>
      <c r="G2227" t="s">
        <v>252</v>
      </c>
      <c r="I2227">
        <v>368</v>
      </c>
      <c r="J2227">
        <v>62.56</v>
      </c>
      <c r="K2227">
        <v>0.17</v>
      </c>
      <c r="M2227" t="s">
        <v>289</v>
      </c>
    </row>
    <row r="2228" spans="1:13" hidden="1">
      <c r="A2228" t="s">
        <v>151</v>
      </c>
      <c r="B2228" t="s">
        <v>8</v>
      </c>
      <c r="C2228" t="s">
        <v>150</v>
      </c>
      <c r="D2228" t="str">
        <f>LEFT(M2228,10)</f>
        <v>11/15/2024</v>
      </c>
      <c r="E2228" t="s">
        <v>202</v>
      </c>
      <c r="F2228" t="s">
        <v>218</v>
      </c>
      <c r="G2228" t="s">
        <v>266</v>
      </c>
      <c r="I2228">
        <v>191</v>
      </c>
      <c r="J2228">
        <v>1.91</v>
      </c>
      <c r="K2228">
        <v>0.01</v>
      </c>
      <c r="M2228" t="s">
        <v>289</v>
      </c>
    </row>
    <row r="2229" spans="1:13" hidden="1">
      <c r="A2229" t="s">
        <v>151</v>
      </c>
      <c r="B2229" t="s">
        <v>8</v>
      </c>
      <c r="C2229" t="s">
        <v>150</v>
      </c>
      <c r="D2229" t="str">
        <f>LEFT(M2229,10)</f>
        <v>11/15/2024</v>
      </c>
      <c r="E2229" t="s">
        <v>202</v>
      </c>
      <c r="F2229" t="s">
        <v>218</v>
      </c>
      <c r="G2229" t="s">
        <v>220</v>
      </c>
      <c r="I2229">
        <v>735</v>
      </c>
      <c r="J2229">
        <v>955.5</v>
      </c>
      <c r="K2229">
        <v>1.3</v>
      </c>
      <c r="M2229" t="s">
        <v>289</v>
      </c>
    </row>
    <row r="2230" spans="1:13" hidden="1">
      <c r="A2230" t="s">
        <v>151</v>
      </c>
      <c r="B2230" t="s">
        <v>8</v>
      </c>
      <c r="C2230" t="s">
        <v>150</v>
      </c>
      <c r="D2230" t="str">
        <f>LEFT(M2230,10)</f>
        <v>11/15/2024</v>
      </c>
      <c r="E2230" t="s">
        <v>202</v>
      </c>
      <c r="F2230" t="s">
        <v>218</v>
      </c>
      <c r="G2230" t="s">
        <v>226</v>
      </c>
      <c r="I2230">
        <v>666</v>
      </c>
      <c r="J2230">
        <v>133.19999999999999</v>
      </c>
      <c r="K2230">
        <v>0.2</v>
      </c>
      <c r="M2230" t="s">
        <v>289</v>
      </c>
    </row>
    <row r="2231" spans="1:13" hidden="1">
      <c r="A2231" t="s">
        <v>151</v>
      </c>
      <c r="B2231" t="s">
        <v>8</v>
      </c>
      <c r="C2231" t="s">
        <v>150</v>
      </c>
      <c r="D2231" t="str">
        <f>LEFT(M2231,10)</f>
        <v>11/15/2024</v>
      </c>
      <c r="E2231" t="s">
        <v>202</v>
      </c>
      <c r="F2231" t="s">
        <v>227</v>
      </c>
      <c r="G2231" t="s">
        <v>229</v>
      </c>
      <c r="I2231">
        <v>4678</v>
      </c>
      <c r="J2231">
        <v>2806.8</v>
      </c>
      <c r="K2231">
        <v>0.6</v>
      </c>
      <c r="M2231" t="s">
        <v>289</v>
      </c>
    </row>
    <row r="2232" spans="1:13" hidden="1">
      <c r="A2232" t="s">
        <v>151</v>
      </c>
      <c r="B2232" t="s">
        <v>8</v>
      </c>
      <c r="C2232" t="s">
        <v>150</v>
      </c>
      <c r="D2232" t="str">
        <f>LEFT(M2232,10)</f>
        <v>11/15/2024</v>
      </c>
      <c r="E2232" t="s">
        <v>202</v>
      </c>
      <c r="F2232" t="s">
        <v>218</v>
      </c>
      <c r="G2232" t="s">
        <v>219</v>
      </c>
      <c r="I2232">
        <v>112</v>
      </c>
      <c r="J2232">
        <v>16.8</v>
      </c>
      <c r="K2232">
        <v>0.15</v>
      </c>
      <c r="M2232" t="s">
        <v>289</v>
      </c>
    </row>
    <row r="2233" spans="1:13" hidden="1">
      <c r="A2233" t="s">
        <v>151</v>
      </c>
      <c r="B2233" t="s">
        <v>8</v>
      </c>
      <c r="C2233" t="s">
        <v>150</v>
      </c>
      <c r="D2233" t="str">
        <f>LEFT(M2233,10)</f>
        <v>11/15/2024</v>
      </c>
      <c r="E2233" t="s">
        <v>202</v>
      </c>
      <c r="F2233" t="s">
        <v>218</v>
      </c>
      <c r="G2233" t="s">
        <v>219</v>
      </c>
      <c r="I2233">
        <v>282</v>
      </c>
      <c r="J2233">
        <v>620.4</v>
      </c>
      <c r="K2233">
        <v>2.2000000000000002</v>
      </c>
      <c r="M2233" t="s">
        <v>289</v>
      </c>
    </row>
    <row r="2234" spans="1:13" hidden="1">
      <c r="A2234" t="s">
        <v>151</v>
      </c>
      <c r="B2234" t="s">
        <v>8</v>
      </c>
      <c r="C2234" t="s">
        <v>150</v>
      </c>
      <c r="D2234" t="str">
        <f>LEFT(M2234,10)</f>
        <v>11/15/2024</v>
      </c>
      <c r="E2234" t="s">
        <v>202</v>
      </c>
      <c r="F2234" t="s">
        <v>218</v>
      </c>
      <c r="G2234" t="s">
        <v>222</v>
      </c>
      <c r="I2234">
        <v>138</v>
      </c>
      <c r="J2234">
        <v>41.4</v>
      </c>
      <c r="K2234">
        <v>0.3</v>
      </c>
      <c r="M2234" t="s">
        <v>289</v>
      </c>
    </row>
    <row r="2235" spans="1:13" hidden="1">
      <c r="A2235" t="s">
        <v>151</v>
      </c>
      <c r="B2235" t="s">
        <v>8</v>
      </c>
      <c r="C2235" t="s">
        <v>150</v>
      </c>
      <c r="D2235" t="str">
        <f>LEFT(M2235,10)</f>
        <v>11/15/2024</v>
      </c>
      <c r="E2235" t="s">
        <v>202</v>
      </c>
      <c r="F2235" t="s">
        <v>218</v>
      </c>
      <c r="G2235" t="s">
        <v>222</v>
      </c>
      <c r="I2235">
        <v>478</v>
      </c>
      <c r="J2235">
        <v>573.6</v>
      </c>
      <c r="K2235">
        <v>1.2</v>
      </c>
      <c r="M2235" t="s">
        <v>289</v>
      </c>
    </row>
    <row r="2236" spans="1:13" hidden="1">
      <c r="A2236" t="s">
        <v>151</v>
      </c>
      <c r="B2236" t="s">
        <v>8</v>
      </c>
      <c r="C2236" t="s">
        <v>150</v>
      </c>
      <c r="D2236" t="str">
        <f>LEFT(M2236,10)</f>
        <v>11/15/2024</v>
      </c>
      <c r="E2236" t="s">
        <v>202</v>
      </c>
      <c r="F2236" t="s">
        <v>218</v>
      </c>
      <c r="G2236" t="s">
        <v>219</v>
      </c>
      <c r="I2236">
        <v>46</v>
      </c>
      <c r="J2236">
        <v>0.46</v>
      </c>
      <c r="K2236">
        <v>0.01</v>
      </c>
      <c r="M2236" t="s">
        <v>289</v>
      </c>
    </row>
    <row r="2237" spans="1:13" hidden="1">
      <c r="A2237" t="s">
        <v>151</v>
      </c>
      <c r="B2237" t="s">
        <v>8</v>
      </c>
      <c r="C2237" t="s">
        <v>150</v>
      </c>
      <c r="D2237" t="str">
        <f>LEFT(M2237,10)</f>
        <v>11/15/2024</v>
      </c>
      <c r="E2237" t="s">
        <v>202</v>
      </c>
      <c r="F2237" t="s">
        <v>218</v>
      </c>
      <c r="G2237" t="s">
        <v>219</v>
      </c>
      <c r="I2237">
        <v>267</v>
      </c>
      <c r="J2237">
        <v>373.8</v>
      </c>
      <c r="K2237">
        <v>1.4</v>
      </c>
      <c r="M2237" t="s">
        <v>289</v>
      </c>
    </row>
    <row r="2238" spans="1:13" hidden="1">
      <c r="A2238" t="s">
        <v>151</v>
      </c>
      <c r="B2238" t="s">
        <v>8</v>
      </c>
      <c r="C2238" t="s">
        <v>150</v>
      </c>
      <c r="D2238" t="str">
        <f>LEFT(M2238,10)</f>
        <v>11/15/2024</v>
      </c>
      <c r="E2238" t="s">
        <v>202</v>
      </c>
      <c r="F2238" t="s">
        <v>218</v>
      </c>
      <c r="G2238" t="s">
        <v>222</v>
      </c>
      <c r="I2238">
        <v>81</v>
      </c>
      <c r="J2238">
        <v>81</v>
      </c>
      <c r="K2238">
        <v>1</v>
      </c>
      <c r="M2238" t="s">
        <v>289</v>
      </c>
    </row>
    <row r="2239" spans="1:13" hidden="1">
      <c r="A2239" t="s">
        <v>151</v>
      </c>
      <c r="B2239" t="s">
        <v>8</v>
      </c>
      <c r="C2239" t="s">
        <v>150</v>
      </c>
      <c r="D2239" t="str">
        <f>LEFT(M2239,10)</f>
        <v>11/15/2024</v>
      </c>
      <c r="E2239" t="s">
        <v>202</v>
      </c>
      <c r="F2239" t="s">
        <v>218</v>
      </c>
      <c r="G2239" t="s">
        <v>242</v>
      </c>
      <c r="I2239">
        <v>59</v>
      </c>
      <c r="J2239">
        <v>47.2</v>
      </c>
      <c r="K2239">
        <v>0.8</v>
      </c>
      <c r="M2239" t="s">
        <v>289</v>
      </c>
    </row>
    <row r="2240" spans="1:13" hidden="1">
      <c r="A2240" t="s">
        <v>151</v>
      </c>
      <c r="B2240" t="s">
        <v>8</v>
      </c>
      <c r="C2240" t="s">
        <v>150</v>
      </c>
      <c r="D2240" t="str">
        <f>LEFT(M2240,10)</f>
        <v>11/15/2024</v>
      </c>
      <c r="E2240" t="s">
        <v>202</v>
      </c>
      <c r="F2240" t="s">
        <v>218</v>
      </c>
      <c r="G2240" t="s">
        <v>219</v>
      </c>
      <c r="I2240">
        <v>315</v>
      </c>
      <c r="J2240">
        <v>756</v>
      </c>
      <c r="K2240">
        <v>2.4</v>
      </c>
      <c r="M2240" t="s">
        <v>289</v>
      </c>
    </row>
    <row r="2241" spans="1:13" hidden="1">
      <c r="A2241" t="s">
        <v>151</v>
      </c>
      <c r="B2241" t="s">
        <v>8</v>
      </c>
      <c r="C2241" t="s">
        <v>150</v>
      </c>
      <c r="D2241" t="str">
        <f>LEFT(M2241,10)</f>
        <v>11/15/2024</v>
      </c>
      <c r="E2241" t="s">
        <v>202</v>
      </c>
      <c r="F2241" t="s">
        <v>218</v>
      </c>
      <c r="G2241" t="s">
        <v>222</v>
      </c>
      <c r="I2241">
        <v>349</v>
      </c>
      <c r="J2241">
        <v>418.8</v>
      </c>
      <c r="K2241">
        <v>1.2</v>
      </c>
      <c r="M2241" t="s">
        <v>289</v>
      </c>
    </row>
    <row r="2242" spans="1:13" hidden="1">
      <c r="A2242" t="s">
        <v>151</v>
      </c>
      <c r="B2242" t="s">
        <v>8</v>
      </c>
      <c r="C2242" t="s">
        <v>150</v>
      </c>
      <c r="D2242" t="str">
        <f>LEFT(M2242,10)</f>
        <v>11/15/2024</v>
      </c>
      <c r="E2242" t="s">
        <v>202</v>
      </c>
      <c r="F2242" t="s">
        <v>218</v>
      </c>
      <c r="G2242" t="s">
        <v>266</v>
      </c>
      <c r="I2242">
        <v>277</v>
      </c>
      <c r="J2242">
        <v>2.77</v>
      </c>
      <c r="K2242">
        <v>0.01</v>
      </c>
      <c r="M2242" t="s">
        <v>289</v>
      </c>
    </row>
    <row r="2243" spans="1:13" hidden="1">
      <c r="A2243" t="s">
        <v>151</v>
      </c>
      <c r="B2243" t="s">
        <v>8</v>
      </c>
      <c r="C2243" t="s">
        <v>150</v>
      </c>
      <c r="D2243" t="str">
        <f>LEFT(M2243,10)</f>
        <v>11/15/2024</v>
      </c>
      <c r="E2243" t="s">
        <v>202</v>
      </c>
      <c r="F2243" t="s">
        <v>218</v>
      </c>
      <c r="G2243" t="s">
        <v>241</v>
      </c>
      <c r="I2243">
        <v>97</v>
      </c>
      <c r="J2243">
        <v>329.8</v>
      </c>
      <c r="K2243">
        <v>3.4</v>
      </c>
      <c r="M2243" t="s">
        <v>289</v>
      </c>
    </row>
    <row r="2244" spans="1:13" hidden="1">
      <c r="A2244" t="s">
        <v>151</v>
      </c>
      <c r="B2244" t="s">
        <v>8</v>
      </c>
      <c r="C2244" t="s">
        <v>150</v>
      </c>
      <c r="D2244" t="str">
        <f>LEFT(M2244,10)</f>
        <v>11/15/2024</v>
      </c>
      <c r="E2244" t="s">
        <v>202</v>
      </c>
      <c r="F2244" t="s">
        <v>218</v>
      </c>
      <c r="G2244" t="s">
        <v>240</v>
      </c>
      <c r="I2244">
        <v>1009</v>
      </c>
      <c r="J2244">
        <v>3430.6</v>
      </c>
      <c r="K2244">
        <v>3.4</v>
      </c>
      <c r="M2244" t="s">
        <v>289</v>
      </c>
    </row>
    <row r="2245" spans="1:13" hidden="1">
      <c r="A2245" t="s">
        <v>151</v>
      </c>
      <c r="B2245" t="s">
        <v>8</v>
      </c>
      <c r="C2245" t="s">
        <v>150</v>
      </c>
      <c r="D2245" t="str">
        <f>LEFT(M2245,10)</f>
        <v>11/15/2024</v>
      </c>
      <c r="E2245" t="s">
        <v>202</v>
      </c>
      <c r="F2245" t="s">
        <v>216</v>
      </c>
      <c r="G2245" t="s">
        <v>253</v>
      </c>
      <c r="I2245">
        <v>6920</v>
      </c>
      <c r="J2245">
        <v>1038</v>
      </c>
      <c r="K2245">
        <v>0.15</v>
      </c>
      <c r="M2245" t="s">
        <v>289</v>
      </c>
    </row>
    <row r="2246" spans="1:13" hidden="1">
      <c r="A2246" t="s">
        <v>151</v>
      </c>
      <c r="B2246" t="s">
        <v>8</v>
      </c>
      <c r="C2246" t="s">
        <v>150</v>
      </c>
      <c r="D2246" t="str">
        <f>LEFT(M2246,10)</f>
        <v>11/15/2024</v>
      </c>
      <c r="E2246" t="s">
        <v>202</v>
      </c>
      <c r="F2246" t="s">
        <v>209</v>
      </c>
      <c r="G2246" t="s">
        <v>212</v>
      </c>
      <c r="I2246">
        <v>66.7</v>
      </c>
      <c r="J2246">
        <v>280.14</v>
      </c>
      <c r="K2246">
        <v>4.2</v>
      </c>
      <c r="M2246" t="s">
        <v>289</v>
      </c>
    </row>
    <row r="2247" spans="1:13" hidden="1">
      <c r="A2247" t="s">
        <v>151</v>
      </c>
      <c r="B2247" t="s">
        <v>8</v>
      </c>
      <c r="C2247" t="s">
        <v>150</v>
      </c>
      <c r="D2247" t="str">
        <f>LEFT(M2247,10)</f>
        <v>11/15/2024</v>
      </c>
      <c r="E2247" t="s">
        <v>202</v>
      </c>
      <c r="F2247" t="s">
        <v>209</v>
      </c>
      <c r="G2247" t="s">
        <v>212</v>
      </c>
      <c r="I2247">
        <v>8.1999999999999993</v>
      </c>
      <c r="J2247">
        <v>287</v>
      </c>
      <c r="K2247">
        <v>35</v>
      </c>
      <c r="M2247" t="s">
        <v>289</v>
      </c>
    </row>
    <row r="2248" spans="1:13" hidden="1">
      <c r="A2248" t="s">
        <v>151</v>
      </c>
      <c r="B2248" t="s">
        <v>8</v>
      </c>
      <c r="C2248" t="s">
        <v>150</v>
      </c>
      <c r="D2248" t="str">
        <f>LEFT(M2248,10)</f>
        <v>11/15/2024</v>
      </c>
      <c r="E2248" t="s">
        <v>202</v>
      </c>
      <c r="F2248" t="s">
        <v>209</v>
      </c>
      <c r="G2248" t="s">
        <v>212</v>
      </c>
      <c r="I2248">
        <v>12.5</v>
      </c>
      <c r="J2248">
        <v>225</v>
      </c>
      <c r="K2248">
        <v>18</v>
      </c>
      <c r="M2248" t="s">
        <v>289</v>
      </c>
    </row>
    <row r="2249" spans="1:13" hidden="1">
      <c r="A2249" t="s">
        <v>151</v>
      </c>
      <c r="B2249" t="s">
        <v>8</v>
      </c>
      <c r="C2249" t="s">
        <v>150</v>
      </c>
      <c r="D2249" t="str">
        <f>LEFT(M2249,10)</f>
        <v>11/15/2024</v>
      </c>
      <c r="E2249" t="s">
        <v>202</v>
      </c>
      <c r="F2249" t="s">
        <v>209</v>
      </c>
      <c r="G2249" t="s">
        <v>212</v>
      </c>
      <c r="I2249">
        <v>10.7</v>
      </c>
      <c r="J2249">
        <v>74.900000000000006</v>
      </c>
      <c r="K2249">
        <v>7</v>
      </c>
      <c r="M2249" t="s">
        <v>289</v>
      </c>
    </row>
    <row r="2250" spans="1:13" hidden="1">
      <c r="A2250" t="s">
        <v>151</v>
      </c>
      <c r="B2250" t="s">
        <v>8</v>
      </c>
      <c r="C2250" t="s">
        <v>150</v>
      </c>
      <c r="D2250" t="str">
        <f>LEFT(M2250,10)</f>
        <v>11/15/2024</v>
      </c>
      <c r="E2250" t="s">
        <v>202</v>
      </c>
      <c r="F2250" t="s">
        <v>209</v>
      </c>
      <c r="G2250" t="s">
        <v>439</v>
      </c>
      <c r="I2250">
        <v>1.1000000000000001</v>
      </c>
      <c r="J2250">
        <v>27.5</v>
      </c>
      <c r="K2250">
        <v>25</v>
      </c>
      <c r="M2250" t="s">
        <v>289</v>
      </c>
    </row>
    <row r="2251" spans="1:13" hidden="1">
      <c r="A2251" t="s">
        <v>151</v>
      </c>
      <c r="B2251" t="s">
        <v>8</v>
      </c>
      <c r="C2251" t="s">
        <v>150</v>
      </c>
      <c r="D2251" t="str">
        <f>LEFT(M2251,10)</f>
        <v>11/15/2024</v>
      </c>
      <c r="E2251" t="s">
        <v>202</v>
      </c>
      <c r="F2251" t="s">
        <v>209</v>
      </c>
      <c r="G2251" t="s">
        <v>439</v>
      </c>
      <c r="I2251">
        <v>3.9</v>
      </c>
      <c r="J2251">
        <v>70.2</v>
      </c>
      <c r="K2251">
        <v>18</v>
      </c>
      <c r="M2251" t="s">
        <v>289</v>
      </c>
    </row>
    <row r="2252" spans="1:13" hidden="1">
      <c r="A2252" t="s">
        <v>151</v>
      </c>
      <c r="B2252" t="s">
        <v>8</v>
      </c>
      <c r="C2252" t="s">
        <v>150</v>
      </c>
      <c r="D2252" t="str">
        <f>LEFT(M2252,10)</f>
        <v>11/15/2024</v>
      </c>
      <c r="E2252" t="s">
        <v>202</v>
      </c>
      <c r="F2252" t="s">
        <v>209</v>
      </c>
      <c r="G2252" t="s">
        <v>439</v>
      </c>
      <c r="I2252">
        <v>3</v>
      </c>
      <c r="J2252">
        <v>36</v>
      </c>
      <c r="K2252">
        <v>12</v>
      </c>
      <c r="M2252" t="s">
        <v>289</v>
      </c>
    </row>
    <row r="2253" spans="1:13" hidden="1">
      <c r="A2253" t="s">
        <v>151</v>
      </c>
      <c r="B2253" t="s">
        <v>8</v>
      </c>
      <c r="C2253" t="s">
        <v>150</v>
      </c>
      <c r="D2253" t="str">
        <f>LEFT(M2253,10)</f>
        <v>11/15/2024</v>
      </c>
      <c r="E2253" t="s">
        <v>202</v>
      </c>
      <c r="F2253" t="s">
        <v>209</v>
      </c>
      <c r="G2253" t="s">
        <v>213</v>
      </c>
      <c r="I2253">
        <v>4.9000000000000004</v>
      </c>
      <c r="J2253">
        <v>34.299999999999997</v>
      </c>
      <c r="K2253">
        <v>7</v>
      </c>
      <c r="M2253" t="s">
        <v>289</v>
      </c>
    </row>
    <row r="2254" spans="1:13" hidden="1">
      <c r="A2254" t="s">
        <v>151</v>
      </c>
      <c r="B2254" t="s">
        <v>8</v>
      </c>
      <c r="C2254" t="s">
        <v>150</v>
      </c>
      <c r="D2254" t="str">
        <f>LEFT(M2254,10)</f>
        <v>11/15/2024</v>
      </c>
      <c r="E2254" t="s">
        <v>202</v>
      </c>
      <c r="F2254" t="s">
        <v>209</v>
      </c>
      <c r="G2254" t="s">
        <v>439</v>
      </c>
      <c r="I2254">
        <v>0.4</v>
      </c>
      <c r="J2254">
        <v>20</v>
      </c>
      <c r="K2254">
        <v>50</v>
      </c>
      <c r="M2254" t="s">
        <v>289</v>
      </c>
    </row>
    <row r="2255" spans="1:13" hidden="1">
      <c r="A2255" t="s">
        <v>151</v>
      </c>
      <c r="B2255" t="s">
        <v>8</v>
      </c>
      <c r="C2255" t="s">
        <v>150</v>
      </c>
      <c r="D2255" t="str">
        <f>LEFT(M2255,10)</f>
        <v>11/15/2024</v>
      </c>
      <c r="E2255" t="s">
        <v>202</v>
      </c>
      <c r="F2255" t="s">
        <v>209</v>
      </c>
      <c r="G2255" t="s">
        <v>213</v>
      </c>
      <c r="I2255">
        <v>0.4</v>
      </c>
      <c r="J2255">
        <v>60</v>
      </c>
      <c r="K2255">
        <v>150</v>
      </c>
      <c r="M2255" t="s">
        <v>289</v>
      </c>
    </row>
    <row r="2256" spans="1:13" hidden="1">
      <c r="A2256" t="s">
        <v>151</v>
      </c>
      <c r="B2256" t="s">
        <v>8</v>
      </c>
      <c r="C2256" t="s">
        <v>150</v>
      </c>
      <c r="D2256" t="str">
        <f>LEFT(M2256,10)</f>
        <v>11/15/2024</v>
      </c>
      <c r="E2256" t="s">
        <v>202</v>
      </c>
      <c r="F2256" t="s">
        <v>209</v>
      </c>
      <c r="G2256" t="s">
        <v>341</v>
      </c>
      <c r="I2256">
        <v>8.3000000000000007</v>
      </c>
      <c r="J2256">
        <v>273.89999999999998</v>
      </c>
      <c r="K2256">
        <v>33</v>
      </c>
      <c r="M2256" t="s">
        <v>289</v>
      </c>
    </row>
    <row r="2257" spans="1:13" hidden="1">
      <c r="A2257" t="s">
        <v>151</v>
      </c>
      <c r="B2257" t="s">
        <v>8</v>
      </c>
      <c r="C2257" t="s">
        <v>150</v>
      </c>
      <c r="D2257" t="str">
        <f>LEFT(M2257,10)</f>
        <v>11/15/2024</v>
      </c>
      <c r="E2257" t="s">
        <v>202</v>
      </c>
      <c r="F2257" t="s">
        <v>209</v>
      </c>
      <c r="G2257" t="s">
        <v>210</v>
      </c>
      <c r="I2257">
        <v>4.0999999999999996</v>
      </c>
      <c r="J2257">
        <v>16.399999999999999</v>
      </c>
      <c r="K2257">
        <v>4</v>
      </c>
      <c r="M2257" t="s">
        <v>289</v>
      </c>
    </row>
    <row r="2258" spans="1:13" hidden="1">
      <c r="A2258" t="s">
        <v>151</v>
      </c>
      <c r="B2258" t="s">
        <v>8</v>
      </c>
      <c r="C2258" t="s">
        <v>150</v>
      </c>
      <c r="D2258" t="str">
        <f>LEFT(M2258,10)</f>
        <v>11/15/2024</v>
      </c>
      <c r="E2258" t="s">
        <v>202</v>
      </c>
      <c r="F2258" t="s">
        <v>209</v>
      </c>
      <c r="G2258" t="s">
        <v>214</v>
      </c>
      <c r="I2258">
        <v>3.3</v>
      </c>
      <c r="J2258">
        <v>13.2</v>
      </c>
      <c r="K2258">
        <v>4</v>
      </c>
      <c r="M2258" t="s">
        <v>289</v>
      </c>
    </row>
    <row r="2259" spans="1:13" hidden="1">
      <c r="A2259" t="s">
        <v>151</v>
      </c>
      <c r="B2259" t="s">
        <v>8</v>
      </c>
      <c r="C2259" t="s">
        <v>150</v>
      </c>
      <c r="D2259" t="str">
        <f>LEFT(M2259,10)</f>
        <v>11/15/2024</v>
      </c>
      <c r="E2259" t="s">
        <v>202</v>
      </c>
      <c r="F2259" t="s">
        <v>209</v>
      </c>
      <c r="G2259" t="s">
        <v>214</v>
      </c>
      <c r="I2259">
        <v>5</v>
      </c>
      <c r="J2259">
        <v>25</v>
      </c>
      <c r="K2259">
        <v>5</v>
      </c>
      <c r="M2259" t="s">
        <v>289</v>
      </c>
    </row>
    <row r="2260" spans="1:13" hidden="1">
      <c r="A2260" t="s">
        <v>151</v>
      </c>
      <c r="B2260" t="s">
        <v>8</v>
      </c>
      <c r="C2260" t="s">
        <v>150</v>
      </c>
      <c r="D2260" t="str">
        <f>LEFT(M2260,10)</f>
        <v>11/15/2024</v>
      </c>
      <c r="E2260" t="s">
        <v>202</v>
      </c>
      <c r="F2260" t="s">
        <v>203</v>
      </c>
      <c r="G2260" t="s">
        <v>260</v>
      </c>
      <c r="I2260">
        <v>7.2</v>
      </c>
      <c r="J2260">
        <v>288</v>
      </c>
      <c r="K2260">
        <v>40</v>
      </c>
      <c r="M2260" t="s">
        <v>289</v>
      </c>
    </row>
    <row r="2261" spans="1:13" hidden="1">
      <c r="A2261" t="s">
        <v>151</v>
      </c>
      <c r="B2261" t="s">
        <v>8</v>
      </c>
      <c r="C2261" t="s">
        <v>150</v>
      </c>
      <c r="D2261" t="str">
        <f>LEFT(M2261,10)</f>
        <v>11/15/2024</v>
      </c>
      <c r="E2261" t="s">
        <v>202</v>
      </c>
      <c r="F2261" t="s">
        <v>203</v>
      </c>
      <c r="G2261" t="s">
        <v>260</v>
      </c>
      <c r="I2261">
        <v>3.7</v>
      </c>
      <c r="J2261">
        <v>155.4</v>
      </c>
      <c r="K2261">
        <v>42</v>
      </c>
      <c r="M2261" t="s">
        <v>289</v>
      </c>
    </row>
    <row r="2262" spans="1:13" hidden="1">
      <c r="A2262" t="s">
        <v>151</v>
      </c>
      <c r="B2262" t="s">
        <v>8</v>
      </c>
      <c r="C2262" t="s">
        <v>150</v>
      </c>
      <c r="D2262" t="str">
        <f>LEFT(M2262,10)</f>
        <v>11/15/2024</v>
      </c>
      <c r="E2262" t="s">
        <v>202</v>
      </c>
      <c r="F2262" t="s">
        <v>203</v>
      </c>
      <c r="G2262" t="s">
        <v>259</v>
      </c>
      <c r="I2262">
        <v>26.9</v>
      </c>
      <c r="J2262">
        <v>403.5</v>
      </c>
      <c r="K2262">
        <v>15</v>
      </c>
      <c r="M2262" t="s">
        <v>289</v>
      </c>
    </row>
    <row r="2263" spans="1:13" hidden="1">
      <c r="A2263" t="s">
        <v>151</v>
      </c>
      <c r="B2263" t="s">
        <v>8</v>
      </c>
      <c r="C2263" t="s">
        <v>150</v>
      </c>
      <c r="D2263" t="str">
        <f>LEFT(M2263,10)</f>
        <v>11/15/2024</v>
      </c>
      <c r="E2263" t="s">
        <v>202</v>
      </c>
      <c r="F2263" t="s">
        <v>209</v>
      </c>
      <c r="G2263" t="s">
        <v>211</v>
      </c>
      <c r="I2263">
        <v>34</v>
      </c>
      <c r="J2263">
        <v>0</v>
      </c>
      <c r="K2263">
        <v>0</v>
      </c>
      <c r="M2263" t="s">
        <v>289</v>
      </c>
    </row>
    <row r="2264" spans="1:13" hidden="1">
      <c r="A2264" t="s">
        <v>151</v>
      </c>
      <c r="B2264" t="s">
        <v>8</v>
      </c>
      <c r="C2264" t="s">
        <v>150</v>
      </c>
      <c r="D2264" t="str">
        <f>LEFT(M2264,10)</f>
        <v>11/15/2024</v>
      </c>
      <c r="E2264" t="s">
        <v>202</v>
      </c>
      <c r="F2264" t="s">
        <v>203</v>
      </c>
      <c r="G2264" t="s">
        <v>236</v>
      </c>
      <c r="I2264">
        <v>3</v>
      </c>
      <c r="J2264">
        <v>1.5</v>
      </c>
      <c r="K2264">
        <v>0.5</v>
      </c>
      <c r="M2264" t="s">
        <v>289</v>
      </c>
    </row>
    <row r="2265" spans="1:13" hidden="1">
      <c r="A2265" t="s">
        <v>151</v>
      </c>
      <c r="B2265" t="s">
        <v>8</v>
      </c>
      <c r="C2265" t="s">
        <v>150</v>
      </c>
      <c r="D2265" t="str">
        <f>LEFT(M2265,10)</f>
        <v>11/15/2024</v>
      </c>
      <c r="E2265" t="s">
        <v>202</v>
      </c>
      <c r="F2265" t="s">
        <v>209</v>
      </c>
      <c r="G2265" t="s">
        <v>439</v>
      </c>
      <c r="I2265">
        <v>162</v>
      </c>
      <c r="J2265">
        <v>129.6</v>
      </c>
      <c r="K2265">
        <v>0.8</v>
      </c>
      <c r="M2265" t="s">
        <v>289</v>
      </c>
    </row>
    <row r="2266" spans="1:13" hidden="1">
      <c r="A2266" t="s">
        <v>151</v>
      </c>
      <c r="B2266" t="s">
        <v>8</v>
      </c>
      <c r="C2266" t="s">
        <v>150</v>
      </c>
      <c r="D2266" t="str">
        <f>LEFT(M2266,10)</f>
        <v>11/15/2024</v>
      </c>
      <c r="E2266" t="s">
        <v>202</v>
      </c>
      <c r="F2266" t="s">
        <v>209</v>
      </c>
      <c r="G2266" t="s">
        <v>214</v>
      </c>
      <c r="I2266">
        <v>310</v>
      </c>
      <c r="J2266">
        <v>279</v>
      </c>
      <c r="K2266">
        <v>0.9</v>
      </c>
      <c r="M2266" t="s">
        <v>289</v>
      </c>
    </row>
    <row r="2267" spans="1:13" hidden="1">
      <c r="A2267" t="s">
        <v>151</v>
      </c>
      <c r="B2267" t="s">
        <v>8</v>
      </c>
      <c r="C2267" t="s">
        <v>150</v>
      </c>
      <c r="D2267" t="str">
        <f>LEFT(M2267,10)</f>
        <v>11/15/2024</v>
      </c>
      <c r="E2267" t="s">
        <v>202</v>
      </c>
      <c r="F2267" t="s">
        <v>209</v>
      </c>
      <c r="G2267" t="s">
        <v>214</v>
      </c>
      <c r="I2267">
        <v>141</v>
      </c>
      <c r="J2267">
        <v>56.4</v>
      </c>
      <c r="K2267">
        <v>0.4</v>
      </c>
      <c r="M2267" t="s">
        <v>289</v>
      </c>
    </row>
    <row r="2268" spans="1:13" hidden="1">
      <c r="A2268" t="s">
        <v>151</v>
      </c>
      <c r="B2268" t="s">
        <v>8</v>
      </c>
      <c r="C2268" t="s">
        <v>150</v>
      </c>
      <c r="D2268" t="str">
        <f>LEFT(M2268,10)</f>
        <v>11/15/2024</v>
      </c>
      <c r="E2268" t="s">
        <v>202</v>
      </c>
      <c r="F2268" t="s">
        <v>209</v>
      </c>
      <c r="G2268" t="s">
        <v>214</v>
      </c>
      <c r="I2268">
        <v>62</v>
      </c>
      <c r="J2268">
        <v>155</v>
      </c>
      <c r="K2268">
        <v>2.5</v>
      </c>
      <c r="M2268" t="s">
        <v>289</v>
      </c>
    </row>
    <row r="2269" spans="1:13" hidden="1">
      <c r="A2269" t="s">
        <v>151</v>
      </c>
      <c r="B2269" t="s">
        <v>8</v>
      </c>
      <c r="C2269" t="s">
        <v>150</v>
      </c>
      <c r="D2269" t="str">
        <f>LEFT(M2269,10)</f>
        <v>11/15/2024</v>
      </c>
      <c r="E2269" t="s">
        <v>202</v>
      </c>
      <c r="F2269" t="s">
        <v>209</v>
      </c>
      <c r="G2269" t="s">
        <v>214</v>
      </c>
      <c r="I2269">
        <v>2470</v>
      </c>
      <c r="J2269">
        <v>1482</v>
      </c>
      <c r="K2269">
        <v>0.6</v>
      </c>
      <c r="M2269" t="s">
        <v>289</v>
      </c>
    </row>
    <row r="2270" spans="1:13" hidden="1">
      <c r="A2270" t="s">
        <v>151</v>
      </c>
      <c r="B2270" t="s">
        <v>8</v>
      </c>
      <c r="C2270" t="s">
        <v>150</v>
      </c>
      <c r="D2270" t="str">
        <f>LEFT(M2270,10)</f>
        <v>11/15/2024</v>
      </c>
      <c r="E2270" t="s">
        <v>234</v>
      </c>
      <c r="F2270" t="s">
        <v>234</v>
      </c>
      <c r="I2270">
        <v>0</v>
      </c>
      <c r="M2270" t="s">
        <v>289</v>
      </c>
    </row>
    <row r="2271" spans="1:13" hidden="1">
      <c r="A2271" t="s">
        <v>151</v>
      </c>
      <c r="B2271" t="s">
        <v>8</v>
      </c>
      <c r="C2271" t="s">
        <v>150</v>
      </c>
      <c r="D2271" t="str">
        <f>LEFT(M2271,10)</f>
        <v>11/15/2024</v>
      </c>
      <c r="E2271" t="s">
        <v>232</v>
      </c>
      <c r="F2271" t="s">
        <v>255</v>
      </c>
      <c r="I2271">
        <v>0</v>
      </c>
      <c r="J2271">
        <v>4419.24</v>
      </c>
      <c r="L2271" t="s">
        <v>440</v>
      </c>
      <c r="M2271" t="s">
        <v>289</v>
      </c>
    </row>
    <row r="2272" spans="1:13" hidden="1">
      <c r="A2272" t="s">
        <v>153</v>
      </c>
      <c r="B2272" t="s">
        <v>8</v>
      </c>
      <c r="C2272" t="s">
        <v>152</v>
      </c>
      <c r="D2272" t="str">
        <f>LEFT(M2272,10)</f>
        <v>11/15/2024</v>
      </c>
      <c r="E2272" t="s">
        <v>202</v>
      </c>
      <c r="F2272" t="s">
        <v>227</v>
      </c>
      <c r="G2272" t="s">
        <v>229</v>
      </c>
      <c r="I2272">
        <v>4527</v>
      </c>
      <c r="J2272">
        <v>3395.25</v>
      </c>
      <c r="K2272">
        <v>0.75</v>
      </c>
      <c r="M2272" t="s">
        <v>289</v>
      </c>
    </row>
    <row r="2273" spans="1:13" hidden="1">
      <c r="A2273" t="s">
        <v>153</v>
      </c>
      <c r="B2273" t="s">
        <v>8</v>
      </c>
      <c r="C2273" t="s">
        <v>152</v>
      </c>
      <c r="D2273" t="str">
        <f>LEFT(M2273,10)</f>
        <v>11/15/2024</v>
      </c>
      <c r="E2273" t="s">
        <v>202</v>
      </c>
      <c r="F2273" t="s">
        <v>227</v>
      </c>
      <c r="G2273" t="s">
        <v>228</v>
      </c>
      <c r="I2273">
        <v>615.5</v>
      </c>
      <c r="J2273">
        <v>184.65</v>
      </c>
      <c r="K2273">
        <v>0.3</v>
      </c>
      <c r="M2273" t="s">
        <v>289</v>
      </c>
    </row>
    <row r="2274" spans="1:13" hidden="1">
      <c r="A2274" t="s">
        <v>153</v>
      </c>
      <c r="B2274" t="s">
        <v>8</v>
      </c>
      <c r="C2274" t="s">
        <v>152</v>
      </c>
      <c r="D2274" t="str">
        <f>LEFT(M2274,10)</f>
        <v>11/15/2024</v>
      </c>
      <c r="E2274" t="s">
        <v>202</v>
      </c>
      <c r="F2274" t="s">
        <v>227</v>
      </c>
      <c r="G2274" t="s">
        <v>238</v>
      </c>
      <c r="I2274">
        <v>371.5</v>
      </c>
      <c r="J2274">
        <v>148.6</v>
      </c>
      <c r="K2274">
        <v>0.4</v>
      </c>
      <c r="M2274" t="s">
        <v>289</v>
      </c>
    </row>
    <row r="2275" spans="1:13" hidden="1">
      <c r="A2275" t="s">
        <v>153</v>
      </c>
      <c r="B2275" t="s">
        <v>8</v>
      </c>
      <c r="C2275" t="s">
        <v>152</v>
      </c>
      <c r="D2275" t="str">
        <f>LEFT(M2275,10)</f>
        <v>11/15/2024</v>
      </c>
      <c r="E2275" t="s">
        <v>202</v>
      </c>
      <c r="F2275" t="s">
        <v>227</v>
      </c>
      <c r="G2275" t="s">
        <v>237</v>
      </c>
      <c r="I2275">
        <v>215</v>
      </c>
      <c r="J2275">
        <v>129</v>
      </c>
      <c r="K2275">
        <v>0.6</v>
      </c>
      <c r="M2275" t="s">
        <v>289</v>
      </c>
    </row>
    <row r="2276" spans="1:13" hidden="1">
      <c r="A2276" t="s">
        <v>153</v>
      </c>
      <c r="B2276" t="s">
        <v>8</v>
      </c>
      <c r="C2276" t="s">
        <v>152</v>
      </c>
      <c r="D2276" t="str">
        <f>LEFT(M2276,10)</f>
        <v>11/15/2024</v>
      </c>
      <c r="E2276" t="s">
        <v>202</v>
      </c>
      <c r="F2276" t="s">
        <v>227</v>
      </c>
      <c r="G2276" t="s">
        <v>252</v>
      </c>
      <c r="I2276">
        <v>119</v>
      </c>
      <c r="J2276">
        <v>41.65</v>
      </c>
      <c r="K2276">
        <v>0.35</v>
      </c>
      <c r="M2276" t="s">
        <v>289</v>
      </c>
    </row>
    <row r="2277" spans="1:13" hidden="1">
      <c r="A2277" t="s">
        <v>153</v>
      </c>
      <c r="B2277" t="s">
        <v>8</v>
      </c>
      <c r="C2277" t="s">
        <v>152</v>
      </c>
      <c r="D2277" t="str">
        <f>LEFT(M2277,10)</f>
        <v>11/15/2024</v>
      </c>
      <c r="E2277" t="s">
        <v>202</v>
      </c>
      <c r="F2277" t="s">
        <v>218</v>
      </c>
      <c r="G2277" t="s">
        <v>220</v>
      </c>
      <c r="I2277">
        <v>282</v>
      </c>
      <c r="J2277">
        <v>394.8</v>
      </c>
      <c r="K2277">
        <v>1.4</v>
      </c>
      <c r="M2277" t="s">
        <v>289</v>
      </c>
    </row>
    <row r="2278" spans="1:13" hidden="1">
      <c r="A2278" t="s">
        <v>153</v>
      </c>
      <c r="B2278" t="s">
        <v>8</v>
      </c>
      <c r="C2278" t="s">
        <v>152</v>
      </c>
      <c r="D2278" t="str">
        <f>LEFT(M2278,10)</f>
        <v>11/15/2024</v>
      </c>
      <c r="E2278" t="s">
        <v>202</v>
      </c>
      <c r="F2278" t="s">
        <v>218</v>
      </c>
      <c r="G2278" t="s">
        <v>223</v>
      </c>
      <c r="I2278">
        <v>518</v>
      </c>
      <c r="J2278">
        <v>388.5</v>
      </c>
      <c r="K2278">
        <v>0.75</v>
      </c>
      <c r="M2278" t="s">
        <v>289</v>
      </c>
    </row>
    <row r="2279" spans="1:13" hidden="1">
      <c r="A2279" t="s">
        <v>153</v>
      </c>
      <c r="B2279" t="s">
        <v>8</v>
      </c>
      <c r="C2279" t="s">
        <v>152</v>
      </c>
      <c r="D2279" t="str">
        <f>LEFT(M2279,10)</f>
        <v>11/15/2024</v>
      </c>
      <c r="E2279" t="s">
        <v>202</v>
      </c>
      <c r="F2279" t="s">
        <v>218</v>
      </c>
      <c r="G2279" t="s">
        <v>221</v>
      </c>
      <c r="I2279">
        <v>59.5</v>
      </c>
      <c r="J2279">
        <v>142.80000000000001</v>
      </c>
      <c r="K2279">
        <v>2.4</v>
      </c>
      <c r="M2279" t="s">
        <v>289</v>
      </c>
    </row>
    <row r="2280" spans="1:13" hidden="1">
      <c r="A2280" t="s">
        <v>153</v>
      </c>
      <c r="B2280" t="s">
        <v>8</v>
      </c>
      <c r="C2280" t="s">
        <v>152</v>
      </c>
      <c r="D2280" t="str">
        <f>LEFT(M2280,10)</f>
        <v>11/15/2024</v>
      </c>
      <c r="E2280" t="s">
        <v>202</v>
      </c>
      <c r="F2280" t="s">
        <v>218</v>
      </c>
      <c r="G2280" t="s">
        <v>221</v>
      </c>
      <c r="I2280">
        <v>231</v>
      </c>
      <c r="J2280">
        <v>589.04999999999995</v>
      </c>
      <c r="K2280">
        <v>2.5499999999999998</v>
      </c>
      <c r="M2280" t="s">
        <v>289</v>
      </c>
    </row>
    <row r="2281" spans="1:13" hidden="1">
      <c r="A2281" t="s">
        <v>153</v>
      </c>
      <c r="B2281" t="s">
        <v>8</v>
      </c>
      <c r="C2281" t="s">
        <v>152</v>
      </c>
      <c r="D2281" t="str">
        <f>LEFT(M2281,10)</f>
        <v>11/15/2024</v>
      </c>
      <c r="E2281" t="s">
        <v>202</v>
      </c>
      <c r="F2281" t="s">
        <v>218</v>
      </c>
      <c r="G2281" t="s">
        <v>268</v>
      </c>
      <c r="I2281">
        <v>668</v>
      </c>
      <c r="J2281">
        <v>1035.4000000000001</v>
      </c>
      <c r="K2281">
        <v>1.55</v>
      </c>
      <c r="M2281" t="s">
        <v>289</v>
      </c>
    </row>
    <row r="2282" spans="1:13" hidden="1">
      <c r="A2282" t="s">
        <v>153</v>
      </c>
      <c r="B2282" t="s">
        <v>8</v>
      </c>
      <c r="C2282" t="s">
        <v>152</v>
      </c>
      <c r="D2282" t="str">
        <f>LEFT(M2282,10)</f>
        <v>11/15/2024</v>
      </c>
      <c r="E2282" t="s">
        <v>202</v>
      </c>
      <c r="F2282" t="s">
        <v>218</v>
      </c>
      <c r="G2282" t="s">
        <v>240</v>
      </c>
      <c r="I2282">
        <v>582.5</v>
      </c>
      <c r="J2282">
        <v>2679.5</v>
      </c>
      <c r="K2282">
        <v>4.5999999999999996</v>
      </c>
      <c r="M2282" t="s">
        <v>289</v>
      </c>
    </row>
    <row r="2283" spans="1:13" hidden="1">
      <c r="A2283" t="s">
        <v>153</v>
      </c>
      <c r="B2283" t="s">
        <v>8</v>
      </c>
      <c r="C2283" t="s">
        <v>152</v>
      </c>
      <c r="D2283" t="str">
        <f>LEFT(M2283,10)</f>
        <v>11/15/2024</v>
      </c>
      <c r="E2283" t="s">
        <v>202</v>
      </c>
      <c r="F2283" t="s">
        <v>218</v>
      </c>
      <c r="G2283" t="s">
        <v>223</v>
      </c>
      <c r="I2283">
        <v>196.5</v>
      </c>
      <c r="J2283">
        <v>98.25</v>
      </c>
      <c r="K2283">
        <v>0.5</v>
      </c>
      <c r="M2283" t="s">
        <v>289</v>
      </c>
    </row>
    <row r="2284" spans="1:13" hidden="1">
      <c r="A2284" t="s">
        <v>153</v>
      </c>
      <c r="B2284" t="s">
        <v>8</v>
      </c>
      <c r="C2284" t="s">
        <v>152</v>
      </c>
      <c r="D2284" t="str">
        <f>LEFT(M2284,10)</f>
        <v>11/15/2024</v>
      </c>
      <c r="E2284" t="s">
        <v>202</v>
      </c>
      <c r="F2284" t="s">
        <v>218</v>
      </c>
      <c r="G2284" t="s">
        <v>221</v>
      </c>
      <c r="I2284">
        <v>82.5</v>
      </c>
      <c r="J2284">
        <v>210.38</v>
      </c>
      <c r="K2284">
        <v>2.5499999999999998</v>
      </c>
      <c r="M2284" t="s">
        <v>289</v>
      </c>
    </row>
    <row r="2285" spans="1:13" hidden="1">
      <c r="A2285" t="s">
        <v>153</v>
      </c>
      <c r="B2285" t="s">
        <v>8</v>
      </c>
      <c r="C2285" t="s">
        <v>152</v>
      </c>
      <c r="D2285" t="str">
        <f>LEFT(M2285,10)</f>
        <v>11/15/2024</v>
      </c>
      <c r="E2285" t="s">
        <v>202</v>
      </c>
      <c r="F2285" t="s">
        <v>218</v>
      </c>
      <c r="G2285" t="s">
        <v>268</v>
      </c>
      <c r="I2285">
        <v>910</v>
      </c>
      <c r="J2285">
        <v>1820</v>
      </c>
      <c r="K2285">
        <v>2</v>
      </c>
      <c r="M2285" t="s">
        <v>289</v>
      </c>
    </row>
    <row r="2286" spans="1:13" hidden="1">
      <c r="A2286" t="s">
        <v>153</v>
      </c>
      <c r="B2286" t="s">
        <v>8</v>
      </c>
      <c r="C2286" t="s">
        <v>152</v>
      </c>
      <c r="D2286" t="str">
        <f>LEFT(M2286,10)</f>
        <v>11/15/2024</v>
      </c>
      <c r="E2286" t="s">
        <v>202</v>
      </c>
      <c r="F2286" t="s">
        <v>218</v>
      </c>
      <c r="G2286" t="s">
        <v>224</v>
      </c>
      <c r="I2286">
        <v>195</v>
      </c>
      <c r="J2286">
        <v>214.5</v>
      </c>
      <c r="K2286">
        <v>1.1000000000000001</v>
      </c>
      <c r="M2286" t="s">
        <v>289</v>
      </c>
    </row>
    <row r="2287" spans="1:13" hidden="1">
      <c r="A2287" t="s">
        <v>153</v>
      </c>
      <c r="B2287" t="s">
        <v>8</v>
      </c>
      <c r="C2287" t="s">
        <v>152</v>
      </c>
      <c r="D2287" t="str">
        <f>LEFT(M2287,10)</f>
        <v>11/15/2024</v>
      </c>
      <c r="E2287" t="s">
        <v>202</v>
      </c>
      <c r="F2287" t="s">
        <v>218</v>
      </c>
      <c r="G2287" t="s">
        <v>247</v>
      </c>
      <c r="I2287">
        <v>76.5</v>
      </c>
      <c r="J2287">
        <v>321.3</v>
      </c>
      <c r="K2287">
        <v>4.2</v>
      </c>
      <c r="M2287" t="s">
        <v>289</v>
      </c>
    </row>
    <row r="2288" spans="1:13" hidden="1">
      <c r="A2288" t="s">
        <v>153</v>
      </c>
      <c r="B2288" t="s">
        <v>8</v>
      </c>
      <c r="C2288" t="s">
        <v>152</v>
      </c>
      <c r="D2288" t="str">
        <f>LEFT(M2288,10)</f>
        <v>11/15/2024</v>
      </c>
      <c r="E2288" t="s">
        <v>202</v>
      </c>
      <c r="F2288" t="s">
        <v>218</v>
      </c>
      <c r="G2288" t="s">
        <v>226</v>
      </c>
      <c r="I2288">
        <v>780.5</v>
      </c>
      <c r="J2288">
        <v>156.1</v>
      </c>
      <c r="K2288">
        <v>0.2</v>
      </c>
      <c r="M2288" t="s">
        <v>289</v>
      </c>
    </row>
    <row r="2289" spans="1:13" hidden="1">
      <c r="A2289" t="s">
        <v>153</v>
      </c>
      <c r="B2289" t="s">
        <v>8</v>
      </c>
      <c r="C2289" t="s">
        <v>152</v>
      </c>
      <c r="D2289" t="str">
        <f>LEFT(M2289,10)</f>
        <v>11/15/2024</v>
      </c>
      <c r="E2289" t="s">
        <v>202</v>
      </c>
      <c r="F2289" t="s">
        <v>218</v>
      </c>
      <c r="G2289" t="s">
        <v>242</v>
      </c>
      <c r="I2289">
        <v>70</v>
      </c>
      <c r="J2289">
        <v>108.5</v>
      </c>
      <c r="K2289">
        <v>1.55</v>
      </c>
      <c r="M2289" t="s">
        <v>289</v>
      </c>
    </row>
    <row r="2290" spans="1:13" hidden="1">
      <c r="A2290" t="s">
        <v>153</v>
      </c>
      <c r="B2290" t="s">
        <v>8</v>
      </c>
      <c r="C2290" t="s">
        <v>152</v>
      </c>
      <c r="D2290" t="str">
        <f>LEFT(M2290,10)</f>
        <v>11/15/2024</v>
      </c>
      <c r="E2290" t="s">
        <v>234</v>
      </c>
      <c r="F2290" t="s">
        <v>234</v>
      </c>
      <c r="I2290">
        <v>84000</v>
      </c>
      <c r="M2290" t="s">
        <v>289</v>
      </c>
    </row>
    <row r="2291" spans="1:13" hidden="1">
      <c r="A2291" t="s">
        <v>155</v>
      </c>
      <c r="B2291" t="s">
        <v>8</v>
      </c>
      <c r="C2291" t="s">
        <v>154</v>
      </c>
      <c r="D2291" t="str">
        <f>LEFT(M2291,10)</f>
        <v>11/15/2024</v>
      </c>
      <c r="E2291" t="s">
        <v>202</v>
      </c>
      <c r="F2291" t="s">
        <v>203</v>
      </c>
      <c r="G2291" t="s">
        <v>208</v>
      </c>
      <c r="I2291">
        <v>712</v>
      </c>
      <c r="J2291">
        <v>6408</v>
      </c>
      <c r="K2291">
        <v>9</v>
      </c>
      <c r="M2291" t="s">
        <v>289</v>
      </c>
    </row>
    <row r="2292" spans="1:13" hidden="1">
      <c r="A2292" t="s">
        <v>155</v>
      </c>
      <c r="B2292" t="s">
        <v>8</v>
      </c>
      <c r="C2292" t="s">
        <v>154</v>
      </c>
      <c r="D2292" t="str">
        <f>LEFT(M2292,10)</f>
        <v>11/15/2024</v>
      </c>
      <c r="E2292" t="s">
        <v>202</v>
      </c>
      <c r="F2292" t="s">
        <v>227</v>
      </c>
      <c r="G2292" t="s">
        <v>238</v>
      </c>
      <c r="I2292">
        <v>793</v>
      </c>
      <c r="J2292">
        <v>237.9</v>
      </c>
      <c r="K2292">
        <v>0.3</v>
      </c>
      <c r="M2292" t="s">
        <v>289</v>
      </c>
    </row>
    <row r="2293" spans="1:13" hidden="1">
      <c r="A2293" t="s">
        <v>155</v>
      </c>
      <c r="B2293" t="s">
        <v>8</v>
      </c>
      <c r="C2293" t="s">
        <v>154</v>
      </c>
      <c r="D2293" t="str">
        <f>LEFT(M2293,10)</f>
        <v>11/15/2024</v>
      </c>
      <c r="E2293" t="s">
        <v>202</v>
      </c>
      <c r="F2293" t="s">
        <v>218</v>
      </c>
      <c r="G2293" t="s">
        <v>268</v>
      </c>
      <c r="I2293">
        <v>367</v>
      </c>
      <c r="J2293">
        <v>367</v>
      </c>
      <c r="K2293">
        <v>1</v>
      </c>
      <c r="M2293" t="s">
        <v>289</v>
      </c>
    </row>
    <row r="2294" spans="1:13" hidden="1">
      <c r="A2294" t="s">
        <v>155</v>
      </c>
      <c r="B2294" t="s">
        <v>8</v>
      </c>
      <c r="C2294" t="s">
        <v>154</v>
      </c>
      <c r="D2294" t="str">
        <f>LEFT(M2294,10)</f>
        <v>11/15/2024</v>
      </c>
      <c r="E2294" t="s">
        <v>202</v>
      </c>
      <c r="F2294" t="s">
        <v>218</v>
      </c>
      <c r="G2294" t="s">
        <v>220</v>
      </c>
      <c r="I2294">
        <v>2286</v>
      </c>
      <c r="J2294">
        <v>3200.4</v>
      </c>
      <c r="K2294">
        <v>1.4</v>
      </c>
      <c r="M2294" t="s">
        <v>289</v>
      </c>
    </row>
    <row r="2295" spans="1:13" hidden="1">
      <c r="A2295" t="s">
        <v>155</v>
      </c>
      <c r="B2295" t="s">
        <v>8</v>
      </c>
      <c r="C2295" t="s">
        <v>154</v>
      </c>
      <c r="D2295" t="str">
        <f>LEFT(M2295,10)</f>
        <v>11/15/2024</v>
      </c>
      <c r="E2295" t="s">
        <v>202</v>
      </c>
      <c r="F2295" t="s">
        <v>218</v>
      </c>
      <c r="G2295" t="s">
        <v>266</v>
      </c>
      <c r="I2295">
        <v>767</v>
      </c>
      <c r="J2295">
        <v>7.67</v>
      </c>
      <c r="K2295">
        <v>0.01</v>
      </c>
      <c r="M2295" t="s">
        <v>289</v>
      </c>
    </row>
    <row r="2296" spans="1:13" hidden="1">
      <c r="A2296" t="s">
        <v>155</v>
      </c>
      <c r="B2296" t="s">
        <v>8</v>
      </c>
      <c r="C2296" t="s">
        <v>154</v>
      </c>
      <c r="D2296" t="str">
        <f>LEFT(M2296,10)</f>
        <v>11/15/2024</v>
      </c>
      <c r="E2296" t="s">
        <v>202</v>
      </c>
      <c r="F2296" t="s">
        <v>209</v>
      </c>
      <c r="G2296" t="s">
        <v>214</v>
      </c>
      <c r="I2296">
        <v>352</v>
      </c>
      <c r="J2296">
        <v>1089</v>
      </c>
      <c r="K2296">
        <v>3.09</v>
      </c>
      <c r="M2296" t="s">
        <v>289</v>
      </c>
    </row>
    <row r="2297" spans="1:13" hidden="1">
      <c r="A2297" t="s">
        <v>155</v>
      </c>
      <c r="B2297" t="s">
        <v>8</v>
      </c>
      <c r="C2297" t="s">
        <v>154</v>
      </c>
      <c r="D2297" t="str">
        <f>LEFT(M2297,10)</f>
        <v>11/15/2024</v>
      </c>
      <c r="E2297" t="s">
        <v>202</v>
      </c>
      <c r="F2297" t="s">
        <v>203</v>
      </c>
      <c r="G2297" t="s">
        <v>261</v>
      </c>
      <c r="I2297">
        <v>309</v>
      </c>
      <c r="J2297">
        <v>1545</v>
      </c>
      <c r="K2297">
        <v>5</v>
      </c>
      <c r="M2297" t="s">
        <v>289</v>
      </c>
    </row>
    <row r="2298" spans="1:13" hidden="1">
      <c r="A2298" t="s">
        <v>155</v>
      </c>
      <c r="B2298" t="s">
        <v>8</v>
      </c>
      <c r="C2298" t="s">
        <v>154</v>
      </c>
      <c r="D2298" t="str">
        <f>LEFT(M2298,10)</f>
        <v>11/15/2024</v>
      </c>
      <c r="E2298" t="s">
        <v>202</v>
      </c>
      <c r="F2298" t="s">
        <v>227</v>
      </c>
      <c r="G2298" t="s">
        <v>237</v>
      </c>
      <c r="I2298">
        <v>1486</v>
      </c>
      <c r="J2298">
        <v>891.6</v>
      </c>
      <c r="K2298">
        <v>0.6</v>
      </c>
      <c r="M2298" t="s">
        <v>289</v>
      </c>
    </row>
    <row r="2299" spans="1:13" hidden="1">
      <c r="A2299" t="s">
        <v>155</v>
      </c>
      <c r="B2299" t="s">
        <v>8</v>
      </c>
      <c r="C2299" t="s">
        <v>154</v>
      </c>
      <c r="D2299" t="str">
        <f>LEFT(M2299,10)</f>
        <v>11/15/2024</v>
      </c>
      <c r="E2299" t="s">
        <v>202</v>
      </c>
      <c r="F2299" t="s">
        <v>227</v>
      </c>
      <c r="G2299" t="s">
        <v>228</v>
      </c>
      <c r="I2299">
        <v>5142</v>
      </c>
      <c r="J2299">
        <v>1542.6</v>
      </c>
      <c r="K2299">
        <v>0.3</v>
      </c>
      <c r="M2299" t="s">
        <v>289</v>
      </c>
    </row>
    <row r="2300" spans="1:13" hidden="1">
      <c r="A2300" t="s">
        <v>155</v>
      </c>
      <c r="B2300" t="s">
        <v>8</v>
      </c>
      <c r="C2300" t="s">
        <v>154</v>
      </c>
      <c r="D2300" t="str">
        <f>LEFT(M2300,10)</f>
        <v>11/15/2024</v>
      </c>
      <c r="E2300" t="s">
        <v>202</v>
      </c>
      <c r="F2300" t="s">
        <v>227</v>
      </c>
      <c r="G2300" t="s">
        <v>229</v>
      </c>
      <c r="I2300">
        <v>16825</v>
      </c>
      <c r="J2300">
        <v>11777.5</v>
      </c>
      <c r="K2300">
        <v>0.7</v>
      </c>
      <c r="M2300" t="s">
        <v>289</v>
      </c>
    </row>
    <row r="2301" spans="1:13" hidden="1">
      <c r="A2301" t="s">
        <v>155</v>
      </c>
      <c r="B2301" t="s">
        <v>8</v>
      </c>
      <c r="C2301" t="s">
        <v>154</v>
      </c>
      <c r="D2301" t="str">
        <f>LEFT(M2301,10)</f>
        <v>11/15/2024</v>
      </c>
      <c r="E2301" t="s">
        <v>202</v>
      </c>
      <c r="F2301" t="s">
        <v>218</v>
      </c>
      <c r="G2301" t="s">
        <v>240</v>
      </c>
      <c r="I2301">
        <v>2343</v>
      </c>
      <c r="J2301">
        <v>7497.7</v>
      </c>
      <c r="K2301">
        <v>3.2</v>
      </c>
      <c r="M2301" t="s">
        <v>289</v>
      </c>
    </row>
    <row r="2302" spans="1:13" hidden="1">
      <c r="A2302" t="s">
        <v>155</v>
      </c>
      <c r="B2302" t="s">
        <v>8</v>
      </c>
      <c r="C2302" t="s">
        <v>154</v>
      </c>
      <c r="D2302" t="str">
        <f>LEFT(M2302,10)</f>
        <v>11/15/2024</v>
      </c>
      <c r="E2302" t="s">
        <v>202</v>
      </c>
      <c r="F2302" t="s">
        <v>218</v>
      </c>
      <c r="G2302" t="s">
        <v>219</v>
      </c>
      <c r="I2302">
        <v>1600</v>
      </c>
      <c r="J2302">
        <v>160</v>
      </c>
      <c r="K2302">
        <v>0.1</v>
      </c>
      <c r="M2302" t="s">
        <v>289</v>
      </c>
    </row>
    <row r="2303" spans="1:13" hidden="1">
      <c r="A2303" t="s">
        <v>155</v>
      </c>
      <c r="B2303" t="s">
        <v>8</v>
      </c>
      <c r="C2303" t="s">
        <v>154</v>
      </c>
      <c r="D2303" t="str">
        <f>LEFT(M2303,10)</f>
        <v>11/15/2024</v>
      </c>
      <c r="E2303" t="s">
        <v>202</v>
      </c>
      <c r="F2303" t="s">
        <v>218</v>
      </c>
      <c r="G2303" t="s">
        <v>242</v>
      </c>
      <c r="I2303">
        <v>248</v>
      </c>
      <c r="J2303">
        <v>173.6</v>
      </c>
      <c r="K2303">
        <v>0.7</v>
      </c>
      <c r="M2303" t="s">
        <v>289</v>
      </c>
    </row>
    <row r="2304" spans="1:13" hidden="1">
      <c r="A2304" t="s">
        <v>155</v>
      </c>
      <c r="B2304" t="s">
        <v>8</v>
      </c>
      <c r="C2304" t="s">
        <v>154</v>
      </c>
      <c r="D2304" t="str">
        <f>LEFT(M2304,10)</f>
        <v>11/15/2024</v>
      </c>
      <c r="E2304" t="s">
        <v>202</v>
      </c>
      <c r="F2304" t="s">
        <v>218</v>
      </c>
      <c r="G2304" t="s">
        <v>243</v>
      </c>
      <c r="H2304" t="s">
        <v>421</v>
      </c>
      <c r="I2304">
        <v>456</v>
      </c>
      <c r="J2304">
        <v>136.80000000000001</v>
      </c>
      <c r="K2304">
        <v>0.3</v>
      </c>
      <c r="M2304" t="s">
        <v>289</v>
      </c>
    </row>
    <row r="2305" spans="1:13" hidden="1">
      <c r="A2305" t="s">
        <v>155</v>
      </c>
      <c r="B2305" t="s">
        <v>8</v>
      </c>
      <c r="C2305" t="s">
        <v>154</v>
      </c>
      <c r="D2305" t="str">
        <f>LEFT(M2305,10)</f>
        <v>11/15/2024</v>
      </c>
      <c r="E2305" t="s">
        <v>202</v>
      </c>
      <c r="F2305" t="s">
        <v>218</v>
      </c>
      <c r="G2305" t="s">
        <v>222</v>
      </c>
      <c r="I2305">
        <v>1737</v>
      </c>
      <c r="J2305">
        <v>1910.7</v>
      </c>
      <c r="K2305">
        <v>1.1000000000000001</v>
      </c>
      <c r="M2305" t="s">
        <v>289</v>
      </c>
    </row>
    <row r="2306" spans="1:13" hidden="1">
      <c r="A2306" t="s">
        <v>155</v>
      </c>
      <c r="B2306" t="s">
        <v>8</v>
      </c>
      <c r="C2306" t="s">
        <v>154</v>
      </c>
      <c r="D2306" t="str">
        <f>LEFT(M2306,10)</f>
        <v>11/15/2024</v>
      </c>
      <c r="E2306" t="s">
        <v>202</v>
      </c>
      <c r="F2306" t="s">
        <v>218</v>
      </c>
      <c r="G2306" t="s">
        <v>224</v>
      </c>
      <c r="I2306">
        <v>408</v>
      </c>
      <c r="J2306">
        <v>204</v>
      </c>
      <c r="K2306">
        <v>0.5</v>
      </c>
      <c r="M2306" t="s">
        <v>289</v>
      </c>
    </row>
    <row r="2307" spans="1:13" hidden="1">
      <c r="A2307" t="s">
        <v>155</v>
      </c>
      <c r="B2307" t="s">
        <v>8</v>
      </c>
      <c r="C2307" t="s">
        <v>154</v>
      </c>
      <c r="D2307" t="str">
        <f>LEFT(M2307,10)</f>
        <v>11/15/2024</v>
      </c>
      <c r="E2307" t="s">
        <v>202</v>
      </c>
      <c r="F2307" t="s">
        <v>218</v>
      </c>
      <c r="G2307" t="s">
        <v>226</v>
      </c>
      <c r="I2307">
        <v>577</v>
      </c>
      <c r="J2307">
        <v>288.5</v>
      </c>
      <c r="K2307">
        <v>0.5</v>
      </c>
      <c r="M2307" t="s">
        <v>289</v>
      </c>
    </row>
    <row r="2308" spans="1:13" hidden="1">
      <c r="A2308" t="s">
        <v>155</v>
      </c>
      <c r="B2308" t="s">
        <v>8</v>
      </c>
      <c r="C2308" t="s">
        <v>154</v>
      </c>
      <c r="D2308" t="str">
        <f>LEFT(M2308,10)</f>
        <v>11/15/2024</v>
      </c>
      <c r="E2308" t="s">
        <v>202</v>
      </c>
      <c r="F2308" t="s">
        <v>218</v>
      </c>
      <c r="G2308" t="s">
        <v>223</v>
      </c>
      <c r="I2308">
        <v>2446</v>
      </c>
      <c r="J2308">
        <v>1956.8</v>
      </c>
      <c r="K2308">
        <v>0.8</v>
      </c>
      <c r="M2308" t="s">
        <v>289</v>
      </c>
    </row>
    <row r="2309" spans="1:13" hidden="1">
      <c r="A2309" t="s">
        <v>155</v>
      </c>
      <c r="B2309" t="s">
        <v>8</v>
      </c>
      <c r="C2309" t="s">
        <v>154</v>
      </c>
      <c r="D2309" t="str">
        <f>LEFT(M2309,10)</f>
        <v>11/15/2024</v>
      </c>
      <c r="E2309" t="s">
        <v>202</v>
      </c>
      <c r="F2309" t="s">
        <v>203</v>
      </c>
      <c r="G2309" t="s">
        <v>236</v>
      </c>
      <c r="I2309">
        <v>9340</v>
      </c>
      <c r="J2309">
        <v>5604</v>
      </c>
      <c r="K2309">
        <v>0.6</v>
      </c>
      <c r="M2309" t="s">
        <v>289</v>
      </c>
    </row>
    <row r="2310" spans="1:13" hidden="1">
      <c r="A2310" t="s">
        <v>155</v>
      </c>
      <c r="B2310" t="s">
        <v>8</v>
      </c>
      <c r="C2310" t="s">
        <v>154</v>
      </c>
      <c r="D2310" t="str">
        <f>LEFT(M2310,10)</f>
        <v>11/15/2024</v>
      </c>
      <c r="E2310" t="s">
        <v>202</v>
      </c>
      <c r="F2310" t="s">
        <v>227</v>
      </c>
      <c r="G2310" t="s">
        <v>252</v>
      </c>
      <c r="I2310">
        <v>1067</v>
      </c>
      <c r="J2310">
        <v>320.10000000000002</v>
      </c>
      <c r="K2310">
        <v>0.3</v>
      </c>
      <c r="M2310" t="s">
        <v>289</v>
      </c>
    </row>
    <row r="2311" spans="1:13" hidden="1">
      <c r="A2311" t="s">
        <v>155</v>
      </c>
      <c r="B2311" t="s">
        <v>8</v>
      </c>
      <c r="C2311" t="s">
        <v>154</v>
      </c>
      <c r="D2311" t="str">
        <f>LEFT(M2311,10)</f>
        <v>11/15/2024</v>
      </c>
      <c r="E2311" t="s">
        <v>202</v>
      </c>
      <c r="F2311" t="s">
        <v>216</v>
      </c>
      <c r="G2311" t="s">
        <v>217</v>
      </c>
      <c r="I2311">
        <v>3132</v>
      </c>
      <c r="J2311">
        <v>1488</v>
      </c>
      <c r="K2311">
        <v>0.48</v>
      </c>
      <c r="M2311" t="s">
        <v>289</v>
      </c>
    </row>
    <row r="2312" spans="1:13" hidden="1">
      <c r="A2312" t="s">
        <v>155</v>
      </c>
      <c r="B2312" t="s">
        <v>8</v>
      </c>
      <c r="C2312" t="s">
        <v>154</v>
      </c>
      <c r="D2312" t="str">
        <f>LEFT(M2312,10)</f>
        <v>11/15/2024</v>
      </c>
      <c r="E2312" t="s">
        <v>202</v>
      </c>
      <c r="F2312" t="s">
        <v>216</v>
      </c>
      <c r="G2312" t="s">
        <v>253</v>
      </c>
      <c r="I2312">
        <v>8870</v>
      </c>
      <c r="J2312">
        <v>1330.5</v>
      </c>
      <c r="K2312">
        <v>0.15</v>
      </c>
      <c r="M2312" t="s">
        <v>289</v>
      </c>
    </row>
    <row r="2313" spans="1:13" hidden="1">
      <c r="A2313" t="s">
        <v>155</v>
      </c>
      <c r="B2313" t="s">
        <v>8</v>
      </c>
      <c r="C2313" t="s">
        <v>154</v>
      </c>
      <c r="D2313" t="str">
        <f>LEFT(M2313,10)</f>
        <v>11/15/2024</v>
      </c>
      <c r="E2313" t="s">
        <v>232</v>
      </c>
      <c r="F2313" t="s">
        <v>296</v>
      </c>
      <c r="I2313">
        <v>0</v>
      </c>
      <c r="J2313">
        <v>1440</v>
      </c>
      <c r="M2313" t="s">
        <v>289</v>
      </c>
    </row>
    <row r="2314" spans="1:13" hidden="1">
      <c r="A2314" t="s">
        <v>155</v>
      </c>
      <c r="B2314" t="s">
        <v>8</v>
      </c>
      <c r="C2314" t="s">
        <v>154</v>
      </c>
      <c r="D2314" t="str">
        <f>LEFT(M2314,10)</f>
        <v>11/15/2024</v>
      </c>
      <c r="E2314" t="s">
        <v>232</v>
      </c>
      <c r="F2314" t="s">
        <v>272</v>
      </c>
      <c r="I2314">
        <v>0</v>
      </c>
      <c r="J2314">
        <v>700</v>
      </c>
      <c r="M2314" t="s">
        <v>289</v>
      </c>
    </row>
    <row r="2315" spans="1:13" hidden="1">
      <c r="A2315" t="s">
        <v>155</v>
      </c>
      <c r="B2315" t="s">
        <v>8</v>
      </c>
      <c r="C2315" t="s">
        <v>154</v>
      </c>
      <c r="D2315" t="str">
        <f>LEFT(M2315,10)</f>
        <v>11/15/2024</v>
      </c>
      <c r="E2315" t="s">
        <v>232</v>
      </c>
      <c r="F2315" t="s">
        <v>287</v>
      </c>
      <c r="I2315">
        <v>0</v>
      </c>
      <c r="J2315">
        <v>415.11</v>
      </c>
      <c r="M2315" t="s">
        <v>289</v>
      </c>
    </row>
    <row r="2316" spans="1:13" hidden="1">
      <c r="A2316" t="s">
        <v>155</v>
      </c>
      <c r="B2316" t="s">
        <v>8</v>
      </c>
      <c r="C2316" t="s">
        <v>154</v>
      </c>
      <c r="D2316" t="str">
        <f>LEFT(M2316,10)</f>
        <v>11/15/2024</v>
      </c>
      <c r="E2316" t="s">
        <v>232</v>
      </c>
      <c r="F2316" t="s">
        <v>251</v>
      </c>
      <c r="I2316">
        <v>0</v>
      </c>
      <c r="J2316">
        <v>2750</v>
      </c>
      <c r="M2316" t="s">
        <v>289</v>
      </c>
    </row>
    <row r="2317" spans="1:13" hidden="1">
      <c r="A2317" t="s">
        <v>155</v>
      </c>
      <c r="B2317" t="s">
        <v>8</v>
      </c>
      <c r="C2317" t="s">
        <v>154</v>
      </c>
      <c r="D2317" t="str">
        <f>LEFT(M2317,10)</f>
        <v>11/15/2024</v>
      </c>
      <c r="E2317" t="s">
        <v>232</v>
      </c>
      <c r="F2317" t="s">
        <v>255</v>
      </c>
      <c r="I2317">
        <v>0</v>
      </c>
      <c r="J2317">
        <v>5000</v>
      </c>
      <c r="L2317" t="s">
        <v>441</v>
      </c>
      <c r="M2317" t="s">
        <v>289</v>
      </c>
    </row>
    <row r="2318" spans="1:13" hidden="1">
      <c r="A2318" t="s">
        <v>155</v>
      </c>
      <c r="B2318" t="s">
        <v>8</v>
      </c>
      <c r="C2318" t="s">
        <v>154</v>
      </c>
      <c r="D2318" t="str">
        <f>LEFT(M2318,10)</f>
        <v>11/15/2024</v>
      </c>
      <c r="E2318" t="s">
        <v>234</v>
      </c>
      <c r="F2318" t="s">
        <v>234</v>
      </c>
      <c r="I2318">
        <v>15680</v>
      </c>
      <c r="M2318" t="s">
        <v>289</v>
      </c>
    </row>
    <row r="2319" spans="1:13" hidden="1">
      <c r="A2319" t="s">
        <v>155</v>
      </c>
      <c r="B2319" t="s">
        <v>8</v>
      </c>
      <c r="C2319" t="s">
        <v>154</v>
      </c>
      <c r="D2319" t="str">
        <f>LEFT(M2319,10)</f>
        <v>11/15/2024</v>
      </c>
      <c r="E2319" t="s">
        <v>230</v>
      </c>
      <c r="F2319" t="s">
        <v>248</v>
      </c>
      <c r="I2319">
        <v>0</v>
      </c>
      <c r="J2319">
        <v>46057.56</v>
      </c>
      <c r="M2319" t="s">
        <v>289</v>
      </c>
    </row>
    <row r="2320" spans="1:13" hidden="1">
      <c r="A2320" t="s">
        <v>157</v>
      </c>
      <c r="B2320" t="s">
        <v>8</v>
      </c>
      <c r="C2320" t="s">
        <v>156</v>
      </c>
      <c r="D2320" t="str">
        <f>LEFT(M2320,10)</f>
        <v>11/15/2024</v>
      </c>
      <c r="E2320" t="s">
        <v>202</v>
      </c>
      <c r="F2320" t="s">
        <v>203</v>
      </c>
      <c r="G2320" t="s">
        <v>204</v>
      </c>
      <c r="I2320">
        <v>184</v>
      </c>
      <c r="J2320">
        <v>1656</v>
      </c>
      <c r="K2320">
        <v>9</v>
      </c>
      <c r="M2320" t="s">
        <v>289</v>
      </c>
    </row>
    <row r="2321" spans="1:13" hidden="1">
      <c r="A2321" t="s">
        <v>157</v>
      </c>
      <c r="B2321" t="s">
        <v>8</v>
      </c>
      <c r="C2321" t="s">
        <v>156</v>
      </c>
      <c r="D2321" t="str">
        <f>LEFT(M2321,10)</f>
        <v>11/15/2024</v>
      </c>
      <c r="E2321" t="s">
        <v>202</v>
      </c>
      <c r="F2321" t="s">
        <v>203</v>
      </c>
      <c r="G2321" t="s">
        <v>259</v>
      </c>
      <c r="I2321">
        <v>24</v>
      </c>
      <c r="J2321">
        <v>168</v>
      </c>
      <c r="K2321">
        <v>7</v>
      </c>
      <c r="M2321" t="s">
        <v>289</v>
      </c>
    </row>
    <row r="2322" spans="1:13" hidden="1">
      <c r="A2322" t="s">
        <v>157</v>
      </c>
      <c r="B2322" t="s">
        <v>8</v>
      </c>
      <c r="C2322" t="s">
        <v>156</v>
      </c>
      <c r="D2322" t="str">
        <f>LEFT(M2322,10)</f>
        <v>11/15/2024</v>
      </c>
      <c r="E2322" t="s">
        <v>202</v>
      </c>
      <c r="F2322" t="s">
        <v>203</v>
      </c>
      <c r="G2322" t="s">
        <v>236</v>
      </c>
      <c r="I2322">
        <v>20</v>
      </c>
      <c r="J2322">
        <v>180</v>
      </c>
      <c r="K2322">
        <v>9</v>
      </c>
      <c r="M2322" t="s">
        <v>289</v>
      </c>
    </row>
    <row r="2323" spans="1:13" hidden="1">
      <c r="A2323" t="s">
        <v>157</v>
      </c>
      <c r="B2323" t="s">
        <v>8</v>
      </c>
      <c r="C2323" t="s">
        <v>156</v>
      </c>
      <c r="D2323" t="str">
        <f>LEFT(M2323,10)</f>
        <v>11/15/2024</v>
      </c>
      <c r="E2323" t="s">
        <v>202</v>
      </c>
      <c r="F2323" t="s">
        <v>203</v>
      </c>
      <c r="G2323" t="s">
        <v>207</v>
      </c>
      <c r="I2323">
        <v>4</v>
      </c>
      <c r="J2323">
        <v>42.8</v>
      </c>
      <c r="K2323">
        <v>10.7</v>
      </c>
      <c r="M2323" t="s">
        <v>289</v>
      </c>
    </row>
    <row r="2324" spans="1:13" hidden="1">
      <c r="A2324" t="s">
        <v>157</v>
      </c>
      <c r="B2324" t="s">
        <v>8</v>
      </c>
      <c r="C2324" t="s">
        <v>156</v>
      </c>
      <c r="D2324" t="str">
        <f>LEFT(M2324,10)</f>
        <v>11/15/2024</v>
      </c>
      <c r="E2324" t="s">
        <v>202</v>
      </c>
      <c r="F2324" t="s">
        <v>203</v>
      </c>
      <c r="G2324" t="s">
        <v>208</v>
      </c>
      <c r="I2324">
        <v>13.2</v>
      </c>
      <c r="J2324">
        <v>132</v>
      </c>
      <c r="K2324">
        <v>10</v>
      </c>
      <c r="M2324" t="s">
        <v>289</v>
      </c>
    </row>
    <row r="2325" spans="1:13" hidden="1">
      <c r="A2325" t="s">
        <v>157</v>
      </c>
      <c r="B2325" t="s">
        <v>8</v>
      </c>
      <c r="C2325" t="s">
        <v>156</v>
      </c>
      <c r="D2325" t="str">
        <f>LEFT(M2325,10)</f>
        <v>11/15/2024</v>
      </c>
      <c r="E2325" t="s">
        <v>202</v>
      </c>
      <c r="F2325" t="s">
        <v>203</v>
      </c>
      <c r="G2325" t="s">
        <v>261</v>
      </c>
      <c r="I2325">
        <v>9.5</v>
      </c>
      <c r="J2325">
        <v>399</v>
      </c>
      <c r="K2325">
        <v>42</v>
      </c>
      <c r="M2325" t="s">
        <v>289</v>
      </c>
    </row>
    <row r="2326" spans="1:13" hidden="1">
      <c r="A2326" t="s">
        <v>157</v>
      </c>
      <c r="B2326" t="s">
        <v>8</v>
      </c>
      <c r="C2326" t="s">
        <v>156</v>
      </c>
      <c r="D2326" t="str">
        <f>LEFT(M2326,10)</f>
        <v>11/15/2024</v>
      </c>
      <c r="E2326" t="s">
        <v>202</v>
      </c>
      <c r="F2326" t="s">
        <v>203</v>
      </c>
      <c r="G2326" t="s">
        <v>236</v>
      </c>
      <c r="I2326">
        <v>1163</v>
      </c>
      <c r="J2326">
        <v>755.95</v>
      </c>
      <c r="K2326">
        <v>0.65</v>
      </c>
      <c r="M2326" t="s">
        <v>289</v>
      </c>
    </row>
    <row r="2327" spans="1:13" hidden="1">
      <c r="A2327" t="s">
        <v>157</v>
      </c>
      <c r="B2327" t="s">
        <v>8</v>
      </c>
      <c r="C2327" t="s">
        <v>156</v>
      </c>
      <c r="D2327" t="str">
        <f>LEFT(M2327,10)</f>
        <v>11/15/2024</v>
      </c>
      <c r="E2327" t="s">
        <v>202</v>
      </c>
      <c r="F2327" t="s">
        <v>216</v>
      </c>
      <c r="G2327" t="s">
        <v>253</v>
      </c>
      <c r="I2327">
        <v>3713</v>
      </c>
      <c r="J2327">
        <v>556.95000000000005</v>
      </c>
      <c r="K2327">
        <v>0.15</v>
      </c>
      <c r="M2327" t="s">
        <v>289</v>
      </c>
    </row>
    <row r="2328" spans="1:13" hidden="1">
      <c r="A2328" t="s">
        <v>157</v>
      </c>
      <c r="B2328" t="s">
        <v>8</v>
      </c>
      <c r="C2328" t="s">
        <v>156</v>
      </c>
      <c r="D2328" t="str">
        <f>LEFT(M2328,10)</f>
        <v>11/15/2024</v>
      </c>
      <c r="E2328" t="s">
        <v>202</v>
      </c>
      <c r="F2328" t="s">
        <v>218</v>
      </c>
      <c r="G2328" t="s">
        <v>220</v>
      </c>
      <c r="I2328">
        <v>698</v>
      </c>
      <c r="J2328">
        <v>1047</v>
      </c>
      <c r="K2328">
        <v>1.5</v>
      </c>
      <c r="M2328" t="s">
        <v>289</v>
      </c>
    </row>
    <row r="2329" spans="1:13" hidden="1">
      <c r="A2329" t="s">
        <v>157</v>
      </c>
      <c r="B2329" t="s">
        <v>8</v>
      </c>
      <c r="C2329" t="s">
        <v>156</v>
      </c>
      <c r="D2329" t="str">
        <f>LEFT(M2329,10)</f>
        <v>11/15/2024</v>
      </c>
      <c r="E2329" t="s">
        <v>202</v>
      </c>
      <c r="F2329" t="s">
        <v>218</v>
      </c>
      <c r="G2329" t="s">
        <v>243</v>
      </c>
      <c r="H2329" t="s">
        <v>442</v>
      </c>
      <c r="I2329">
        <v>247</v>
      </c>
      <c r="J2329">
        <v>580.45000000000005</v>
      </c>
      <c r="K2329">
        <v>2.35</v>
      </c>
      <c r="M2329" t="s">
        <v>289</v>
      </c>
    </row>
    <row r="2330" spans="1:13" hidden="1">
      <c r="A2330" t="s">
        <v>157</v>
      </c>
      <c r="B2330" t="s">
        <v>8</v>
      </c>
      <c r="C2330" t="s">
        <v>156</v>
      </c>
      <c r="D2330" t="str">
        <f>LEFT(M2330,10)</f>
        <v>11/15/2024</v>
      </c>
      <c r="E2330" t="s">
        <v>202</v>
      </c>
      <c r="F2330" t="s">
        <v>218</v>
      </c>
      <c r="G2330" t="s">
        <v>242</v>
      </c>
      <c r="I2330">
        <v>115</v>
      </c>
      <c r="J2330">
        <v>115</v>
      </c>
      <c r="K2330">
        <v>1</v>
      </c>
      <c r="M2330" t="s">
        <v>289</v>
      </c>
    </row>
    <row r="2331" spans="1:13" hidden="1">
      <c r="A2331" t="s">
        <v>157</v>
      </c>
      <c r="B2331" t="s">
        <v>8</v>
      </c>
      <c r="C2331" t="s">
        <v>156</v>
      </c>
      <c r="D2331" t="str">
        <f>LEFT(M2331,10)</f>
        <v>11/15/2024</v>
      </c>
      <c r="E2331" t="s">
        <v>202</v>
      </c>
      <c r="F2331" t="s">
        <v>218</v>
      </c>
      <c r="G2331" t="s">
        <v>240</v>
      </c>
      <c r="I2331">
        <v>360</v>
      </c>
      <c r="J2331">
        <v>1620</v>
      </c>
      <c r="K2331">
        <v>4.5</v>
      </c>
      <c r="M2331" t="s">
        <v>289</v>
      </c>
    </row>
    <row r="2332" spans="1:13" hidden="1">
      <c r="A2332" t="s">
        <v>157</v>
      </c>
      <c r="B2332" t="s">
        <v>8</v>
      </c>
      <c r="C2332" t="s">
        <v>156</v>
      </c>
      <c r="D2332" t="str">
        <f>LEFT(M2332,10)</f>
        <v>11/15/2024</v>
      </c>
      <c r="E2332" t="s">
        <v>202</v>
      </c>
      <c r="F2332" t="s">
        <v>218</v>
      </c>
      <c r="G2332" t="s">
        <v>222</v>
      </c>
      <c r="I2332">
        <v>278</v>
      </c>
      <c r="J2332">
        <v>500.4</v>
      </c>
      <c r="K2332">
        <v>1.8</v>
      </c>
      <c r="M2332" t="s">
        <v>289</v>
      </c>
    </row>
    <row r="2333" spans="1:13" hidden="1">
      <c r="A2333" t="s">
        <v>157</v>
      </c>
      <c r="B2333" t="s">
        <v>8</v>
      </c>
      <c r="C2333" t="s">
        <v>156</v>
      </c>
      <c r="D2333" t="str">
        <f>LEFT(M2333,10)</f>
        <v>11/15/2024</v>
      </c>
      <c r="E2333" t="s">
        <v>202</v>
      </c>
      <c r="F2333" t="s">
        <v>218</v>
      </c>
      <c r="G2333" t="s">
        <v>222</v>
      </c>
      <c r="I2333">
        <v>230</v>
      </c>
      <c r="J2333">
        <v>322</v>
      </c>
      <c r="K2333">
        <v>1.4</v>
      </c>
      <c r="M2333" t="s">
        <v>289</v>
      </c>
    </row>
    <row r="2334" spans="1:13" hidden="1">
      <c r="A2334" t="s">
        <v>157</v>
      </c>
      <c r="B2334" t="s">
        <v>8</v>
      </c>
      <c r="C2334" t="s">
        <v>156</v>
      </c>
      <c r="D2334" t="str">
        <f>LEFT(M2334,10)</f>
        <v>11/15/2024</v>
      </c>
      <c r="E2334" t="s">
        <v>202</v>
      </c>
      <c r="F2334" t="s">
        <v>218</v>
      </c>
      <c r="G2334" t="s">
        <v>222</v>
      </c>
      <c r="I2334">
        <v>230</v>
      </c>
      <c r="J2334">
        <v>276</v>
      </c>
      <c r="K2334">
        <v>1.2</v>
      </c>
      <c r="M2334" t="s">
        <v>289</v>
      </c>
    </row>
    <row r="2335" spans="1:13" hidden="1">
      <c r="A2335" t="s">
        <v>157</v>
      </c>
      <c r="B2335" t="s">
        <v>8</v>
      </c>
      <c r="C2335" t="s">
        <v>156</v>
      </c>
      <c r="D2335" t="str">
        <f>LEFT(M2335,10)</f>
        <v>11/15/2024</v>
      </c>
      <c r="E2335" t="s">
        <v>202</v>
      </c>
      <c r="F2335" t="s">
        <v>218</v>
      </c>
      <c r="G2335" t="s">
        <v>224</v>
      </c>
      <c r="I2335">
        <v>103</v>
      </c>
      <c r="J2335">
        <v>113.3</v>
      </c>
      <c r="K2335">
        <v>1.1000000000000001</v>
      </c>
      <c r="M2335" t="s">
        <v>289</v>
      </c>
    </row>
    <row r="2336" spans="1:13" hidden="1">
      <c r="A2336" t="s">
        <v>157</v>
      </c>
      <c r="B2336" t="s">
        <v>8</v>
      </c>
      <c r="C2336" t="s">
        <v>156</v>
      </c>
      <c r="D2336" t="str">
        <f>LEFT(M2336,10)</f>
        <v>11/15/2024</v>
      </c>
      <c r="E2336" t="s">
        <v>202</v>
      </c>
      <c r="F2336" t="s">
        <v>218</v>
      </c>
      <c r="G2336" t="s">
        <v>226</v>
      </c>
      <c r="I2336">
        <v>467</v>
      </c>
      <c r="J2336">
        <v>140.1</v>
      </c>
      <c r="K2336">
        <v>0.3</v>
      </c>
      <c r="M2336" t="s">
        <v>289</v>
      </c>
    </row>
    <row r="2337" spans="1:13" hidden="1">
      <c r="A2337" t="s">
        <v>157</v>
      </c>
      <c r="B2337" t="s">
        <v>8</v>
      </c>
      <c r="C2337" t="s">
        <v>156</v>
      </c>
      <c r="D2337" t="str">
        <f>LEFT(M2337,10)</f>
        <v>11/15/2024</v>
      </c>
      <c r="E2337" t="s">
        <v>202</v>
      </c>
      <c r="F2337" t="s">
        <v>218</v>
      </c>
      <c r="G2337" t="s">
        <v>223</v>
      </c>
      <c r="I2337">
        <v>545</v>
      </c>
      <c r="J2337">
        <v>436</v>
      </c>
      <c r="K2337">
        <v>0.8</v>
      </c>
      <c r="M2337" t="s">
        <v>289</v>
      </c>
    </row>
    <row r="2338" spans="1:13" hidden="1">
      <c r="A2338" t="s">
        <v>157</v>
      </c>
      <c r="B2338" t="s">
        <v>8</v>
      </c>
      <c r="C2338" t="s">
        <v>156</v>
      </c>
      <c r="D2338" t="str">
        <f>LEFT(M2338,10)</f>
        <v>11/15/2024</v>
      </c>
      <c r="E2338" t="s">
        <v>202</v>
      </c>
      <c r="F2338" t="s">
        <v>218</v>
      </c>
      <c r="G2338" t="s">
        <v>241</v>
      </c>
      <c r="I2338">
        <v>115</v>
      </c>
      <c r="J2338">
        <v>517.5</v>
      </c>
      <c r="K2338">
        <v>4.5</v>
      </c>
      <c r="M2338" t="s">
        <v>289</v>
      </c>
    </row>
    <row r="2339" spans="1:13" hidden="1">
      <c r="A2339" t="s">
        <v>157</v>
      </c>
      <c r="B2339" t="s">
        <v>8</v>
      </c>
      <c r="C2339" t="s">
        <v>156</v>
      </c>
      <c r="D2339" t="str">
        <f>LEFT(M2339,10)</f>
        <v>11/15/2024</v>
      </c>
      <c r="E2339" t="s">
        <v>202</v>
      </c>
      <c r="F2339" t="s">
        <v>227</v>
      </c>
      <c r="G2339" t="s">
        <v>252</v>
      </c>
      <c r="I2339">
        <v>255</v>
      </c>
      <c r="J2339">
        <v>89.25</v>
      </c>
      <c r="K2339">
        <v>0.35</v>
      </c>
      <c r="M2339" t="s">
        <v>289</v>
      </c>
    </row>
    <row r="2340" spans="1:13" hidden="1">
      <c r="A2340" t="s">
        <v>157</v>
      </c>
      <c r="B2340" t="s">
        <v>8</v>
      </c>
      <c r="C2340" t="s">
        <v>156</v>
      </c>
      <c r="D2340" t="str">
        <f>LEFT(M2340,10)</f>
        <v>11/15/2024</v>
      </c>
      <c r="E2340" t="s">
        <v>202</v>
      </c>
      <c r="F2340" t="s">
        <v>227</v>
      </c>
      <c r="G2340" t="s">
        <v>229</v>
      </c>
      <c r="I2340">
        <v>3373</v>
      </c>
      <c r="J2340">
        <v>2529.75</v>
      </c>
      <c r="K2340">
        <v>0.75</v>
      </c>
      <c r="M2340" t="s">
        <v>289</v>
      </c>
    </row>
    <row r="2341" spans="1:13" hidden="1">
      <c r="A2341" t="s">
        <v>157</v>
      </c>
      <c r="B2341" t="s">
        <v>8</v>
      </c>
      <c r="C2341" t="s">
        <v>156</v>
      </c>
      <c r="D2341" t="str">
        <f>LEFT(M2341,10)</f>
        <v>11/15/2024</v>
      </c>
      <c r="E2341" t="s">
        <v>202</v>
      </c>
      <c r="F2341" t="s">
        <v>227</v>
      </c>
      <c r="G2341" t="s">
        <v>228</v>
      </c>
      <c r="I2341">
        <v>375</v>
      </c>
      <c r="J2341">
        <v>131.25</v>
      </c>
      <c r="K2341">
        <v>0.35</v>
      </c>
      <c r="M2341" t="s">
        <v>289</v>
      </c>
    </row>
    <row r="2342" spans="1:13" hidden="1">
      <c r="A2342" t="s">
        <v>157</v>
      </c>
      <c r="B2342" t="s">
        <v>8</v>
      </c>
      <c r="C2342" t="s">
        <v>156</v>
      </c>
      <c r="D2342" t="str">
        <f>LEFT(M2342,10)</f>
        <v>11/15/2024</v>
      </c>
      <c r="E2342" t="s">
        <v>232</v>
      </c>
      <c r="F2342" t="s">
        <v>290</v>
      </c>
      <c r="I2342">
        <v>0</v>
      </c>
      <c r="J2342">
        <v>300</v>
      </c>
      <c r="M2342" t="s">
        <v>289</v>
      </c>
    </row>
    <row r="2343" spans="1:13" hidden="1">
      <c r="A2343" t="s">
        <v>157</v>
      </c>
      <c r="B2343" t="s">
        <v>8</v>
      </c>
      <c r="C2343" t="s">
        <v>156</v>
      </c>
      <c r="D2343" t="str">
        <f>LEFT(M2343,10)</f>
        <v>11/15/2024</v>
      </c>
      <c r="E2343" t="s">
        <v>232</v>
      </c>
      <c r="F2343" t="s">
        <v>296</v>
      </c>
      <c r="I2343">
        <v>0</v>
      </c>
      <c r="J2343">
        <v>250</v>
      </c>
      <c r="M2343" t="s">
        <v>289</v>
      </c>
    </row>
    <row r="2344" spans="1:13" hidden="1">
      <c r="A2344" t="s">
        <v>157</v>
      </c>
      <c r="B2344" t="s">
        <v>8</v>
      </c>
      <c r="C2344" t="s">
        <v>156</v>
      </c>
      <c r="D2344" t="str">
        <f>LEFT(M2344,10)</f>
        <v>11/15/2024</v>
      </c>
      <c r="E2344" t="s">
        <v>232</v>
      </c>
      <c r="F2344" t="s">
        <v>251</v>
      </c>
      <c r="I2344">
        <v>0</v>
      </c>
      <c r="J2344">
        <v>1045.44</v>
      </c>
      <c r="M2344" t="s">
        <v>289</v>
      </c>
    </row>
    <row r="2345" spans="1:13" hidden="1">
      <c r="A2345" t="s">
        <v>159</v>
      </c>
      <c r="B2345" t="s">
        <v>8</v>
      </c>
      <c r="C2345" t="s">
        <v>158</v>
      </c>
      <c r="D2345" t="str">
        <f>LEFT(M2345,10)</f>
        <v>11/15/2024</v>
      </c>
      <c r="E2345" t="s">
        <v>202</v>
      </c>
      <c r="F2345" t="s">
        <v>203</v>
      </c>
      <c r="G2345" t="s">
        <v>207</v>
      </c>
      <c r="I2345">
        <v>95.5</v>
      </c>
      <c r="J2345">
        <v>573</v>
      </c>
      <c r="K2345">
        <v>6</v>
      </c>
      <c r="M2345" t="s">
        <v>289</v>
      </c>
    </row>
    <row r="2346" spans="1:13" hidden="1">
      <c r="A2346" t="s">
        <v>159</v>
      </c>
      <c r="B2346" t="s">
        <v>8</v>
      </c>
      <c r="C2346" t="s">
        <v>158</v>
      </c>
      <c r="D2346" t="str">
        <f>LEFT(M2346,10)</f>
        <v>11/15/2024</v>
      </c>
      <c r="E2346" t="s">
        <v>202</v>
      </c>
      <c r="F2346" t="s">
        <v>203</v>
      </c>
      <c r="G2346" t="s">
        <v>204</v>
      </c>
      <c r="I2346">
        <v>744.2</v>
      </c>
      <c r="J2346">
        <v>6697.8</v>
      </c>
      <c r="K2346">
        <v>9</v>
      </c>
      <c r="M2346" t="s">
        <v>289</v>
      </c>
    </row>
    <row r="2347" spans="1:13" hidden="1">
      <c r="A2347" t="s">
        <v>159</v>
      </c>
      <c r="B2347" t="s">
        <v>8</v>
      </c>
      <c r="C2347" t="s">
        <v>158</v>
      </c>
      <c r="D2347" t="str">
        <f>LEFT(M2347,10)</f>
        <v>11/15/2024</v>
      </c>
      <c r="E2347" t="s">
        <v>202</v>
      </c>
      <c r="F2347" t="s">
        <v>203</v>
      </c>
      <c r="G2347" t="s">
        <v>208</v>
      </c>
      <c r="I2347">
        <v>213</v>
      </c>
      <c r="J2347">
        <v>1917</v>
      </c>
      <c r="K2347">
        <v>9</v>
      </c>
      <c r="M2347" t="s">
        <v>289</v>
      </c>
    </row>
    <row r="2348" spans="1:13" hidden="1">
      <c r="A2348" t="s">
        <v>159</v>
      </c>
      <c r="B2348" t="s">
        <v>8</v>
      </c>
      <c r="C2348" t="s">
        <v>158</v>
      </c>
      <c r="D2348" t="str">
        <f>LEFT(M2348,10)</f>
        <v>11/15/2024</v>
      </c>
      <c r="E2348" t="s">
        <v>202</v>
      </c>
      <c r="F2348" t="s">
        <v>203</v>
      </c>
      <c r="G2348" t="s">
        <v>235</v>
      </c>
      <c r="I2348">
        <v>79.5</v>
      </c>
      <c r="J2348">
        <v>477</v>
      </c>
      <c r="K2348">
        <v>6</v>
      </c>
      <c r="M2348" t="s">
        <v>289</v>
      </c>
    </row>
    <row r="2349" spans="1:13" hidden="1">
      <c r="A2349" t="s">
        <v>159</v>
      </c>
      <c r="B2349" t="s">
        <v>8</v>
      </c>
      <c r="C2349" t="s">
        <v>158</v>
      </c>
      <c r="D2349" t="str">
        <f>LEFT(M2349,10)</f>
        <v>11/15/2024</v>
      </c>
      <c r="E2349" t="s">
        <v>202</v>
      </c>
      <c r="F2349" t="s">
        <v>203</v>
      </c>
      <c r="G2349" t="s">
        <v>260</v>
      </c>
      <c r="I2349">
        <v>43</v>
      </c>
      <c r="J2349">
        <v>1720</v>
      </c>
      <c r="K2349">
        <v>40</v>
      </c>
      <c r="M2349" t="s">
        <v>289</v>
      </c>
    </row>
    <row r="2350" spans="1:13" hidden="1">
      <c r="A2350" t="s">
        <v>159</v>
      </c>
      <c r="B2350" t="s">
        <v>8</v>
      </c>
      <c r="C2350" t="s">
        <v>158</v>
      </c>
      <c r="D2350" t="str">
        <f>LEFT(M2350,10)</f>
        <v>11/15/2024</v>
      </c>
      <c r="E2350" t="s">
        <v>202</v>
      </c>
      <c r="F2350" t="s">
        <v>203</v>
      </c>
      <c r="G2350" t="s">
        <v>261</v>
      </c>
      <c r="I2350">
        <v>59</v>
      </c>
      <c r="J2350">
        <v>590</v>
      </c>
      <c r="K2350">
        <v>10</v>
      </c>
      <c r="M2350" t="s">
        <v>289</v>
      </c>
    </row>
    <row r="2351" spans="1:13" hidden="1">
      <c r="A2351" t="s">
        <v>159</v>
      </c>
      <c r="B2351" t="s">
        <v>8</v>
      </c>
      <c r="C2351" t="s">
        <v>158</v>
      </c>
      <c r="D2351" t="str">
        <f>LEFT(M2351,10)</f>
        <v>11/15/2024</v>
      </c>
      <c r="E2351" t="s">
        <v>202</v>
      </c>
      <c r="F2351" t="s">
        <v>203</v>
      </c>
      <c r="G2351" t="s">
        <v>206</v>
      </c>
      <c r="I2351">
        <v>69</v>
      </c>
      <c r="J2351">
        <v>41.4</v>
      </c>
      <c r="K2351">
        <v>0.6</v>
      </c>
      <c r="M2351" t="s">
        <v>289</v>
      </c>
    </row>
    <row r="2352" spans="1:13" hidden="1">
      <c r="A2352" t="s">
        <v>159</v>
      </c>
      <c r="B2352" t="s">
        <v>8</v>
      </c>
      <c r="C2352" t="s">
        <v>158</v>
      </c>
      <c r="D2352" t="str">
        <f>LEFT(M2352,10)</f>
        <v>11/15/2024</v>
      </c>
      <c r="E2352" t="s">
        <v>202</v>
      </c>
      <c r="F2352" t="s">
        <v>203</v>
      </c>
      <c r="G2352" t="s">
        <v>259</v>
      </c>
      <c r="I2352">
        <v>40.4</v>
      </c>
      <c r="J2352">
        <v>969.6</v>
      </c>
      <c r="K2352">
        <v>24</v>
      </c>
      <c r="M2352" t="s">
        <v>289</v>
      </c>
    </row>
    <row r="2353" spans="1:13" hidden="1">
      <c r="A2353" t="s">
        <v>159</v>
      </c>
      <c r="B2353" t="s">
        <v>8</v>
      </c>
      <c r="C2353" t="s">
        <v>158</v>
      </c>
      <c r="D2353" t="str">
        <f>LEFT(M2353,10)</f>
        <v>11/15/2024</v>
      </c>
      <c r="E2353" t="s">
        <v>202</v>
      </c>
      <c r="F2353" t="s">
        <v>209</v>
      </c>
      <c r="G2353" t="s">
        <v>210</v>
      </c>
      <c r="I2353">
        <v>50</v>
      </c>
      <c r="J2353">
        <v>175</v>
      </c>
      <c r="K2353">
        <v>3.5</v>
      </c>
      <c r="M2353" t="s">
        <v>289</v>
      </c>
    </row>
    <row r="2354" spans="1:13" hidden="1">
      <c r="A2354" t="s">
        <v>159</v>
      </c>
      <c r="B2354" t="s">
        <v>8</v>
      </c>
      <c r="C2354" t="s">
        <v>158</v>
      </c>
      <c r="D2354" t="str">
        <f>LEFT(M2354,10)</f>
        <v>11/15/2024</v>
      </c>
      <c r="E2354" t="s">
        <v>202</v>
      </c>
      <c r="F2354" t="s">
        <v>209</v>
      </c>
      <c r="G2354" t="s">
        <v>214</v>
      </c>
      <c r="I2354">
        <v>1300</v>
      </c>
      <c r="J2354">
        <v>1300</v>
      </c>
      <c r="K2354">
        <v>1</v>
      </c>
      <c r="M2354" t="s">
        <v>289</v>
      </c>
    </row>
    <row r="2355" spans="1:13" hidden="1">
      <c r="A2355" t="s">
        <v>159</v>
      </c>
      <c r="B2355" t="s">
        <v>8</v>
      </c>
      <c r="C2355" t="s">
        <v>158</v>
      </c>
      <c r="D2355" t="str">
        <f>LEFT(M2355,10)</f>
        <v>11/15/2024</v>
      </c>
      <c r="E2355" t="s">
        <v>202</v>
      </c>
      <c r="F2355" t="s">
        <v>203</v>
      </c>
      <c r="G2355" t="s">
        <v>215</v>
      </c>
      <c r="I2355">
        <v>9802</v>
      </c>
      <c r="J2355">
        <v>4901.0200000000004</v>
      </c>
      <c r="K2355">
        <v>0.5</v>
      </c>
      <c r="M2355" t="s">
        <v>289</v>
      </c>
    </row>
    <row r="2356" spans="1:13" hidden="1">
      <c r="A2356" t="s">
        <v>159</v>
      </c>
      <c r="B2356" t="s">
        <v>8</v>
      </c>
      <c r="C2356" t="s">
        <v>158</v>
      </c>
      <c r="D2356" t="str">
        <f>LEFT(M2356,10)</f>
        <v>11/15/2024</v>
      </c>
      <c r="E2356" t="s">
        <v>202</v>
      </c>
      <c r="F2356" t="s">
        <v>227</v>
      </c>
      <c r="G2356" t="s">
        <v>238</v>
      </c>
      <c r="I2356">
        <v>3039</v>
      </c>
      <c r="J2356">
        <v>1215.5999999999999</v>
      </c>
      <c r="K2356">
        <v>0.4</v>
      </c>
      <c r="M2356" t="s">
        <v>289</v>
      </c>
    </row>
    <row r="2357" spans="1:13" hidden="1">
      <c r="A2357" t="s">
        <v>159</v>
      </c>
      <c r="B2357" t="s">
        <v>8</v>
      </c>
      <c r="C2357" t="s">
        <v>158</v>
      </c>
      <c r="D2357" t="str">
        <f>LEFT(M2357,10)</f>
        <v>11/15/2024</v>
      </c>
      <c r="E2357" t="s">
        <v>202</v>
      </c>
      <c r="F2357" t="s">
        <v>227</v>
      </c>
      <c r="G2357" t="s">
        <v>237</v>
      </c>
      <c r="I2357">
        <v>5885</v>
      </c>
      <c r="J2357">
        <v>4119.5</v>
      </c>
      <c r="K2357">
        <v>0.7</v>
      </c>
      <c r="M2357" t="s">
        <v>289</v>
      </c>
    </row>
    <row r="2358" spans="1:13" hidden="1">
      <c r="A2358" t="s">
        <v>159</v>
      </c>
      <c r="B2358" t="s">
        <v>8</v>
      </c>
      <c r="C2358" t="s">
        <v>158</v>
      </c>
      <c r="D2358" t="str">
        <f>LEFT(M2358,10)</f>
        <v>11/15/2024</v>
      </c>
      <c r="E2358" t="s">
        <v>202</v>
      </c>
      <c r="F2358" t="s">
        <v>227</v>
      </c>
      <c r="G2358" t="s">
        <v>228</v>
      </c>
      <c r="I2358">
        <v>10528</v>
      </c>
      <c r="J2358">
        <v>4211.2</v>
      </c>
      <c r="K2358">
        <v>0.4</v>
      </c>
      <c r="M2358" t="s">
        <v>289</v>
      </c>
    </row>
    <row r="2359" spans="1:13" hidden="1">
      <c r="A2359" t="s">
        <v>159</v>
      </c>
      <c r="B2359" t="s">
        <v>8</v>
      </c>
      <c r="C2359" t="s">
        <v>158</v>
      </c>
      <c r="D2359" t="str">
        <f>LEFT(M2359,10)</f>
        <v>11/15/2024</v>
      </c>
      <c r="E2359" t="s">
        <v>202</v>
      </c>
      <c r="F2359" t="s">
        <v>227</v>
      </c>
      <c r="G2359" t="s">
        <v>229</v>
      </c>
      <c r="I2359">
        <v>46142</v>
      </c>
      <c r="J2359">
        <v>36913.599999999999</v>
      </c>
      <c r="K2359">
        <v>0.8</v>
      </c>
      <c r="M2359" t="s">
        <v>289</v>
      </c>
    </row>
    <row r="2360" spans="1:13" hidden="1">
      <c r="A2360" t="s">
        <v>159</v>
      </c>
      <c r="B2360" t="s">
        <v>8</v>
      </c>
      <c r="C2360" t="s">
        <v>158</v>
      </c>
      <c r="D2360" t="str">
        <f>LEFT(M2360,10)</f>
        <v>11/15/2024</v>
      </c>
      <c r="E2360" t="s">
        <v>202</v>
      </c>
      <c r="F2360" t="s">
        <v>218</v>
      </c>
      <c r="G2360" t="s">
        <v>247</v>
      </c>
      <c r="I2360">
        <v>44</v>
      </c>
      <c r="J2360">
        <v>176</v>
      </c>
      <c r="K2360">
        <v>4</v>
      </c>
      <c r="M2360" t="s">
        <v>289</v>
      </c>
    </row>
    <row r="2361" spans="1:13" hidden="1">
      <c r="A2361" t="s">
        <v>159</v>
      </c>
      <c r="B2361" t="s">
        <v>8</v>
      </c>
      <c r="C2361" t="s">
        <v>158</v>
      </c>
      <c r="D2361" t="str">
        <f>LEFT(M2361,10)</f>
        <v>11/15/2024</v>
      </c>
      <c r="E2361" t="s">
        <v>202</v>
      </c>
      <c r="F2361" t="s">
        <v>218</v>
      </c>
      <c r="G2361" t="s">
        <v>225</v>
      </c>
      <c r="I2361">
        <v>3990</v>
      </c>
      <c r="J2361">
        <v>5985</v>
      </c>
      <c r="K2361">
        <v>1.5</v>
      </c>
      <c r="M2361" t="s">
        <v>289</v>
      </c>
    </row>
    <row r="2362" spans="1:13" hidden="1">
      <c r="A2362" t="s">
        <v>159</v>
      </c>
      <c r="B2362" t="s">
        <v>8</v>
      </c>
      <c r="C2362" t="s">
        <v>158</v>
      </c>
      <c r="D2362" t="str">
        <f>LEFT(M2362,10)</f>
        <v>11/15/2024</v>
      </c>
      <c r="E2362" t="s">
        <v>202</v>
      </c>
      <c r="F2362" t="s">
        <v>218</v>
      </c>
      <c r="G2362" t="s">
        <v>221</v>
      </c>
      <c r="I2362">
        <v>4197</v>
      </c>
      <c r="J2362">
        <v>10492.5</v>
      </c>
      <c r="K2362">
        <v>2.5</v>
      </c>
      <c r="M2362" t="s">
        <v>289</v>
      </c>
    </row>
    <row r="2363" spans="1:13" hidden="1">
      <c r="A2363" t="s">
        <v>159</v>
      </c>
      <c r="B2363" t="s">
        <v>8</v>
      </c>
      <c r="C2363" t="s">
        <v>158</v>
      </c>
      <c r="D2363" t="str">
        <f>LEFT(M2363,10)</f>
        <v>11/15/2024</v>
      </c>
      <c r="E2363" t="s">
        <v>202</v>
      </c>
      <c r="F2363" t="s">
        <v>218</v>
      </c>
      <c r="G2363" t="s">
        <v>240</v>
      </c>
      <c r="I2363">
        <v>7665</v>
      </c>
      <c r="J2363">
        <v>31426.5</v>
      </c>
      <c r="K2363">
        <v>4.0999999999999996</v>
      </c>
      <c r="M2363" t="s">
        <v>289</v>
      </c>
    </row>
    <row r="2364" spans="1:13" hidden="1">
      <c r="A2364" t="s">
        <v>159</v>
      </c>
      <c r="B2364" t="s">
        <v>8</v>
      </c>
      <c r="C2364" t="s">
        <v>158</v>
      </c>
      <c r="D2364" t="str">
        <f>LEFT(M2364,10)</f>
        <v>11/15/2024</v>
      </c>
      <c r="E2364" t="s">
        <v>202</v>
      </c>
      <c r="F2364" t="s">
        <v>218</v>
      </c>
      <c r="G2364" t="s">
        <v>219</v>
      </c>
      <c r="I2364">
        <v>756</v>
      </c>
      <c r="J2364">
        <v>302.39999999999998</v>
      </c>
      <c r="K2364">
        <v>0.4</v>
      </c>
      <c r="M2364" t="s">
        <v>289</v>
      </c>
    </row>
    <row r="2365" spans="1:13" hidden="1">
      <c r="A2365" t="s">
        <v>159</v>
      </c>
      <c r="B2365" t="s">
        <v>8</v>
      </c>
      <c r="C2365" t="s">
        <v>158</v>
      </c>
      <c r="D2365" t="str">
        <f>LEFT(M2365,10)</f>
        <v>11/15/2024</v>
      </c>
      <c r="E2365" t="s">
        <v>202</v>
      </c>
      <c r="F2365" t="s">
        <v>218</v>
      </c>
      <c r="G2365" t="s">
        <v>242</v>
      </c>
      <c r="I2365">
        <v>427</v>
      </c>
      <c r="J2365">
        <v>512.4</v>
      </c>
      <c r="K2365">
        <v>1.2</v>
      </c>
      <c r="M2365" t="s">
        <v>289</v>
      </c>
    </row>
    <row r="2366" spans="1:13" hidden="1">
      <c r="A2366" t="s">
        <v>159</v>
      </c>
      <c r="B2366" t="s">
        <v>8</v>
      </c>
      <c r="C2366" t="s">
        <v>158</v>
      </c>
      <c r="D2366" t="str">
        <f>LEFT(M2366,10)</f>
        <v>11/15/2024</v>
      </c>
      <c r="E2366" t="s">
        <v>202</v>
      </c>
      <c r="F2366" t="s">
        <v>218</v>
      </c>
      <c r="G2366" t="s">
        <v>222</v>
      </c>
      <c r="I2366">
        <v>1472</v>
      </c>
      <c r="J2366">
        <v>1766.4</v>
      </c>
      <c r="K2366">
        <v>1.2</v>
      </c>
      <c r="M2366" t="s">
        <v>289</v>
      </c>
    </row>
    <row r="2367" spans="1:13" hidden="1">
      <c r="A2367" t="s">
        <v>159</v>
      </c>
      <c r="B2367" t="s">
        <v>8</v>
      </c>
      <c r="C2367" t="s">
        <v>158</v>
      </c>
      <c r="D2367" t="str">
        <f>LEFT(M2367,10)</f>
        <v>11/15/2024</v>
      </c>
      <c r="E2367" t="s">
        <v>202</v>
      </c>
      <c r="F2367" t="s">
        <v>218</v>
      </c>
      <c r="G2367" t="s">
        <v>224</v>
      </c>
      <c r="I2367">
        <v>1235</v>
      </c>
      <c r="J2367">
        <v>1482</v>
      </c>
      <c r="K2367">
        <v>1.2</v>
      </c>
      <c r="M2367" t="s">
        <v>289</v>
      </c>
    </row>
    <row r="2368" spans="1:13" hidden="1">
      <c r="A2368" t="s">
        <v>159</v>
      </c>
      <c r="B2368" t="s">
        <v>8</v>
      </c>
      <c r="C2368" t="s">
        <v>158</v>
      </c>
      <c r="D2368" t="str">
        <f>LEFT(M2368,10)</f>
        <v>11/15/2024</v>
      </c>
      <c r="E2368" t="s">
        <v>202</v>
      </c>
      <c r="F2368" t="s">
        <v>218</v>
      </c>
      <c r="G2368" t="s">
        <v>226</v>
      </c>
      <c r="I2368">
        <v>1130</v>
      </c>
      <c r="J2368">
        <v>565</v>
      </c>
      <c r="K2368">
        <v>0.5</v>
      </c>
      <c r="M2368" t="s">
        <v>289</v>
      </c>
    </row>
    <row r="2369" spans="1:13" hidden="1">
      <c r="A2369" t="s">
        <v>159</v>
      </c>
      <c r="B2369" t="s">
        <v>8</v>
      </c>
      <c r="C2369" t="s">
        <v>158</v>
      </c>
      <c r="D2369" t="str">
        <f>LEFT(M2369,10)</f>
        <v>11/15/2024</v>
      </c>
      <c r="E2369" t="s">
        <v>202</v>
      </c>
      <c r="F2369" t="s">
        <v>218</v>
      </c>
      <c r="G2369" t="s">
        <v>223</v>
      </c>
      <c r="I2369">
        <v>6574</v>
      </c>
      <c r="J2369">
        <v>5259.2</v>
      </c>
      <c r="K2369">
        <v>0.8</v>
      </c>
      <c r="M2369" t="s">
        <v>289</v>
      </c>
    </row>
    <row r="2370" spans="1:13" hidden="1">
      <c r="A2370" t="s">
        <v>159</v>
      </c>
      <c r="B2370" t="s">
        <v>8</v>
      </c>
      <c r="C2370" t="s">
        <v>158</v>
      </c>
      <c r="D2370" t="str">
        <f>LEFT(M2370,10)</f>
        <v>11/15/2024</v>
      </c>
      <c r="E2370" t="s">
        <v>202</v>
      </c>
      <c r="F2370" t="s">
        <v>218</v>
      </c>
      <c r="G2370" t="s">
        <v>222</v>
      </c>
      <c r="I2370">
        <v>2124</v>
      </c>
      <c r="J2370">
        <v>3610.8</v>
      </c>
      <c r="K2370">
        <v>1.7</v>
      </c>
      <c r="M2370" t="s">
        <v>289</v>
      </c>
    </row>
    <row r="2371" spans="1:13" hidden="1">
      <c r="A2371" t="s">
        <v>159</v>
      </c>
      <c r="B2371" t="s">
        <v>8</v>
      </c>
      <c r="C2371" t="s">
        <v>158</v>
      </c>
      <c r="D2371" t="str">
        <f>LEFT(M2371,10)</f>
        <v>11/15/2024</v>
      </c>
      <c r="E2371" t="s">
        <v>202</v>
      </c>
      <c r="F2371" t="s">
        <v>218</v>
      </c>
      <c r="G2371" t="s">
        <v>222</v>
      </c>
      <c r="I2371">
        <v>1710</v>
      </c>
      <c r="J2371">
        <v>3249</v>
      </c>
      <c r="K2371">
        <v>1.9</v>
      </c>
      <c r="M2371" t="s">
        <v>289</v>
      </c>
    </row>
    <row r="2372" spans="1:13" hidden="1">
      <c r="A2372" t="s">
        <v>159</v>
      </c>
      <c r="B2372" t="s">
        <v>8</v>
      </c>
      <c r="C2372" t="s">
        <v>158</v>
      </c>
      <c r="D2372" t="str">
        <f>LEFT(M2372,10)</f>
        <v>11/15/2024</v>
      </c>
      <c r="E2372" t="s">
        <v>202</v>
      </c>
      <c r="F2372" t="s">
        <v>218</v>
      </c>
      <c r="G2372" t="s">
        <v>267</v>
      </c>
      <c r="I2372">
        <v>957</v>
      </c>
      <c r="J2372">
        <v>191.4</v>
      </c>
      <c r="K2372">
        <v>0.2</v>
      </c>
      <c r="M2372" t="s">
        <v>289</v>
      </c>
    </row>
    <row r="2373" spans="1:13" hidden="1">
      <c r="A2373" t="s">
        <v>159</v>
      </c>
      <c r="B2373" t="s">
        <v>8</v>
      </c>
      <c r="C2373" t="s">
        <v>158</v>
      </c>
      <c r="D2373" t="str">
        <f>LEFT(M2373,10)</f>
        <v>11/15/2024</v>
      </c>
      <c r="E2373" t="s">
        <v>234</v>
      </c>
      <c r="F2373" t="s">
        <v>234</v>
      </c>
      <c r="G2373" t="s">
        <v>249</v>
      </c>
      <c r="I2373">
        <v>34375.4</v>
      </c>
      <c r="M2373" t="s">
        <v>289</v>
      </c>
    </row>
    <row r="2374" spans="1:13" hidden="1">
      <c r="A2374" t="s">
        <v>159</v>
      </c>
      <c r="B2374" t="s">
        <v>8</v>
      </c>
      <c r="C2374" t="s">
        <v>158</v>
      </c>
      <c r="D2374" t="str">
        <f>LEFT(M2374,10)</f>
        <v>11/15/2024</v>
      </c>
      <c r="E2374" t="s">
        <v>202</v>
      </c>
      <c r="F2374" t="s">
        <v>227</v>
      </c>
      <c r="G2374" t="s">
        <v>252</v>
      </c>
      <c r="I2374">
        <v>2678</v>
      </c>
      <c r="J2374">
        <v>1071.2</v>
      </c>
      <c r="K2374">
        <v>0.4</v>
      </c>
      <c r="M2374" t="s">
        <v>289</v>
      </c>
    </row>
    <row r="2375" spans="1:13" hidden="1">
      <c r="A2375" t="s">
        <v>159</v>
      </c>
      <c r="B2375" t="s">
        <v>8</v>
      </c>
      <c r="C2375" t="s">
        <v>158</v>
      </c>
      <c r="D2375" t="str">
        <f>LEFT(M2375,10)</f>
        <v>11/15/2024</v>
      </c>
      <c r="E2375" t="s">
        <v>202</v>
      </c>
      <c r="F2375" t="s">
        <v>216</v>
      </c>
      <c r="G2375" t="s">
        <v>253</v>
      </c>
      <c r="I2375">
        <v>15870</v>
      </c>
      <c r="J2375">
        <v>1904.4</v>
      </c>
      <c r="K2375">
        <v>0.12</v>
      </c>
      <c r="M2375" t="s">
        <v>289</v>
      </c>
    </row>
    <row r="2376" spans="1:13" hidden="1">
      <c r="A2376" t="s">
        <v>159</v>
      </c>
      <c r="B2376" t="s">
        <v>8</v>
      </c>
      <c r="C2376" t="s">
        <v>158</v>
      </c>
      <c r="D2376" t="str">
        <f>LEFT(M2376,10)</f>
        <v>11/15/2024</v>
      </c>
      <c r="E2376" t="s">
        <v>202</v>
      </c>
      <c r="F2376" t="s">
        <v>216</v>
      </c>
      <c r="G2376" t="s">
        <v>217</v>
      </c>
      <c r="I2376">
        <v>1582.7</v>
      </c>
      <c r="J2376">
        <v>1909.6</v>
      </c>
      <c r="K2376">
        <v>1.21</v>
      </c>
      <c r="M2376" t="s">
        <v>289</v>
      </c>
    </row>
    <row r="2377" spans="1:13" hidden="1">
      <c r="A2377" t="s">
        <v>159</v>
      </c>
      <c r="B2377" t="s">
        <v>8</v>
      </c>
      <c r="C2377" t="s">
        <v>158</v>
      </c>
      <c r="D2377" t="str">
        <f>LEFT(M2377,10)</f>
        <v>11/15/2024</v>
      </c>
      <c r="E2377" t="s">
        <v>202</v>
      </c>
      <c r="F2377" t="s">
        <v>218</v>
      </c>
      <c r="G2377" t="s">
        <v>225</v>
      </c>
      <c r="I2377">
        <v>468</v>
      </c>
      <c r="J2377">
        <v>468</v>
      </c>
      <c r="K2377">
        <v>1</v>
      </c>
      <c r="M2377" t="s">
        <v>289</v>
      </c>
    </row>
    <row r="2378" spans="1:13" hidden="1">
      <c r="A2378" t="s">
        <v>159</v>
      </c>
      <c r="B2378" t="s">
        <v>8</v>
      </c>
      <c r="C2378" t="s">
        <v>158</v>
      </c>
      <c r="D2378" t="str">
        <f>LEFT(M2378,10)</f>
        <v>11/15/2024</v>
      </c>
      <c r="E2378" t="s">
        <v>230</v>
      </c>
      <c r="F2378" t="s">
        <v>231</v>
      </c>
      <c r="G2378" t="s">
        <v>249</v>
      </c>
      <c r="I2378">
        <v>0</v>
      </c>
      <c r="J2378">
        <v>14415.25</v>
      </c>
      <c r="M2378" t="s">
        <v>289</v>
      </c>
    </row>
    <row r="2379" spans="1:13" hidden="1">
      <c r="A2379" t="s">
        <v>159</v>
      </c>
      <c r="B2379" t="s">
        <v>8</v>
      </c>
      <c r="C2379" t="s">
        <v>158</v>
      </c>
      <c r="D2379" t="str">
        <f>LEFT(M2379,10)</f>
        <v>11/15/2024</v>
      </c>
      <c r="E2379" t="s">
        <v>230</v>
      </c>
      <c r="F2379" t="s">
        <v>248</v>
      </c>
      <c r="G2379" t="s">
        <v>249</v>
      </c>
      <c r="I2379">
        <v>0</v>
      </c>
      <c r="J2379">
        <v>51812.25</v>
      </c>
      <c r="M2379" t="s">
        <v>289</v>
      </c>
    </row>
    <row r="2380" spans="1:13" hidden="1">
      <c r="A2380" t="s">
        <v>159</v>
      </c>
      <c r="B2380" t="s">
        <v>8</v>
      </c>
      <c r="C2380" t="s">
        <v>158</v>
      </c>
      <c r="D2380" t="str">
        <f>LEFT(M2380,10)</f>
        <v>11/15/2024</v>
      </c>
      <c r="E2380" t="s">
        <v>232</v>
      </c>
      <c r="F2380" t="s">
        <v>233</v>
      </c>
      <c r="G2380" t="s">
        <v>249</v>
      </c>
      <c r="I2380">
        <v>0</v>
      </c>
      <c r="J2380">
        <v>2072.4899999999998</v>
      </c>
      <c r="M2380" t="s">
        <v>289</v>
      </c>
    </row>
    <row r="2381" spans="1:13" hidden="1">
      <c r="A2381" t="s">
        <v>159</v>
      </c>
      <c r="B2381" t="s">
        <v>8</v>
      </c>
      <c r="C2381" t="s">
        <v>158</v>
      </c>
      <c r="D2381" t="str">
        <f>LEFT(M2381,10)</f>
        <v>11/15/2024</v>
      </c>
      <c r="E2381" t="s">
        <v>232</v>
      </c>
      <c r="F2381" t="s">
        <v>255</v>
      </c>
      <c r="G2381" t="s">
        <v>249</v>
      </c>
      <c r="I2381">
        <v>0</v>
      </c>
      <c r="J2381">
        <v>86.99</v>
      </c>
      <c r="L2381" t="s">
        <v>443</v>
      </c>
      <c r="M2381" t="s">
        <v>289</v>
      </c>
    </row>
    <row r="2382" spans="1:13" hidden="1">
      <c r="A2382" t="s">
        <v>159</v>
      </c>
      <c r="B2382" t="s">
        <v>8</v>
      </c>
      <c r="C2382" t="s">
        <v>158</v>
      </c>
      <c r="D2382" t="str">
        <f>LEFT(M2382,10)</f>
        <v>11/15/2024</v>
      </c>
      <c r="E2382" t="s">
        <v>232</v>
      </c>
      <c r="F2382" t="s">
        <v>276</v>
      </c>
      <c r="G2382" t="s">
        <v>249</v>
      </c>
      <c r="I2382">
        <v>0</v>
      </c>
      <c r="J2382">
        <v>959.57</v>
      </c>
      <c r="M2382" t="s">
        <v>289</v>
      </c>
    </row>
    <row r="2383" spans="1:13" hidden="1">
      <c r="A2383" t="s">
        <v>159</v>
      </c>
      <c r="B2383" t="s">
        <v>8</v>
      </c>
      <c r="C2383" t="s">
        <v>158</v>
      </c>
      <c r="D2383" t="str">
        <f>LEFT(M2383,10)</f>
        <v>11/15/2024</v>
      </c>
      <c r="E2383" t="s">
        <v>232</v>
      </c>
      <c r="F2383" t="s">
        <v>275</v>
      </c>
      <c r="G2383" t="s">
        <v>249</v>
      </c>
      <c r="I2383">
        <v>0</v>
      </c>
      <c r="J2383">
        <v>91.53</v>
      </c>
      <c r="M2383" t="s">
        <v>289</v>
      </c>
    </row>
    <row r="2384" spans="1:13" hidden="1">
      <c r="A2384" t="s">
        <v>159</v>
      </c>
      <c r="B2384" t="s">
        <v>8</v>
      </c>
      <c r="C2384" t="s">
        <v>158</v>
      </c>
      <c r="D2384" t="str">
        <f>LEFT(M2384,10)</f>
        <v>11/15/2024</v>
      </c>
      <c r="E2384" t="s">
        <v>232</v>
      </c>
      <c r="F2384" t="s">
        <v>275</v>
      </c>
      <c r="G2384" t="s">
        <v>249</v>
      </c>
      <c r="I2384">
        <v>0</v>
      </c>
      <c r="J2384">
        <v>1154.27</v>
      </c>
      <c r="M2384" t="s">
        <v>289</v>
      </c>
    </row>
    <row r="2385" spans="1:13" hidden="1">
      <c r="A2385" t="s">
        <v>159</v>
      </c>
      <c r="B2385" t="s">
        <v>8</v>
      </c>
      <c r="C2385" t="s">
        <v>158</v>
      </c>
      <c r="D2385" t="str">
        <f>LEFT(M2385,10)</f>
        <v>11/15/2024</v>
      </c>
      <c r="E2385" t="s">
        <v>232</v>
      </c>
      <c r="F2385" t="s">
        <v>296</v>
      </c>
      <c r="G2385" t="s">
        <v>249</v>
      </c>
      <c r="I2385">
        <v>0</v>
      </c>
      <c r="J2385">
        <v>3010</v>
      </c>
      <c r="M2385" t="s">
        <v>289</v>
      </c>
    </row>
    <row r="2386" spans="1:13" hidden="1">
      <c r="A2386" t="s">
        <v>48</v>
      </c>
      <c r="B2386" t="s">
        <v>8</v>
      </c>
      <c r="C2386" t="s">
        <v>47</v>
      </c>
      <c r="D2386" t="str">
        <f>LEFT(M2386,10)</f>
        <v>12/15/2024</v>
      </c>
      <c r="E2386" t="s">
        <v>234</v>
      </c>
      <c r="F2386" t="s">
        <v>234</v>
      </c>
      <c r="I2386">
        <v>14302.4</v>
      </c>
      <c r="M2386" t="s">
        <v>205</v>
      </c>
    </row>
    <row r="2387" spans="1:13" hidden="1">
      <c r="A2387" t="s">
        <v>83</v>
      </c>
      <c r="B2387" t="s">
        <v>8</v>
      </c>
      <c r="C2387" t="s">
        <v>82</v>
      </c>
      <c r="D2387" t="str">
        <f>LEFT(M2387,10)</f>
        <v>12/15/2024</v>
      </c>
      <c r="E2387" t="s">
        <v>234</v>
      </c>
      <c r="F2387" t="s">
        <v>234</v>
      </c>
      <c r="I2387">
        <v>8980</v>
      </c>
      <c r="M2387" t="s">
        <v>205</v>
      </c>
    </row>
    <row r="2388" spans="1:13" hidden="1">
      <c r="A2388" t="s">
        <v>83</v>
      </c>
      <c r="B2388" t="s">
        <v>8</v>
      </c>
      <c r="C2388" t="s">
        <v>82</v>
      </c>
      <c r="D2388" t="str">
        <f>LEFT(M2388,10)</f>
        <v>12/15/2024</v>
      </c>
      <c r="E2388" t="s">
        <v>232</v>
      </c>
      <c r="F2388" t="s">
        <v>275</v>
      </c>
      <c r="I2388">
        <v>0</v>
      </c>
      <c r="J2388">
        <v>469.41</v>
      </c>
      <c r="M2388" t="s">
        <v>205</v>
      </c>
    </row>
    <row r="2389" spans="1:13" hidden="1">
      <c r="A2389" t="s">
        <v>83</v>
      </c>
      <c r="B2389" t="s">
        <v>8</v>
      </c>
      <c r="C2389" t="s">
        <v>82</v>
      </c>
      <c r="D2389" t="str">
        <f>LEFT(M2389,10)</f>
        <v>12/15/2024</v>
      </c>
      <c r="E2389" t="s">
        <v>232</v>
      </c>
      <c r="F2389" t="s">
        <v>276</v>
      </c>
      <c r="I2389">
        <v>0</v>
      </c>
      <c r="J2389">
        <v>134.46</v>
      </c>
      <c r="M2389" t="s">
        <v>205</v>
      </c>
    </row>
    <row r="2390" spans="1:13" hidden="1">
      <c r="A2390" t="s">
        <v>83</v>
      </c>
      <c r="B2390" t="s">
        <v>8</v>
      </c>
      <c r="C2390" t="s">
        <v>82</v>
      </c>
      <c r="D2390" t="str">
        <f>LEFT(M2390,10)</f>
        <v>12/15/2024</v>
      </c>
      <c r="E2390" t="s">
        <v>232</v>
      </c>
      <c r="F2390" t="s">
        <v>287</v>
      </c>
      <c r="I2390">
        <v>0</v>
      </c>
      <c r="J2390">
        <v>382.6</v>
      </c>
      <c r="M2390" t="s">
        <v>205</v>
      </c>
    </row>
    <row r="2391" spans="1:13" hidden="1">
      <c r="A2391" t="s">
        <v>83</v>
      </c>
      <c r="B2391" t="s">
        <v>8</v>
      </c>
      <c r="C2391" t="s">
        <v>82</v>
      </c>
      <c r="D2391" t="str">
        <f>LEFT(M2391,10)</f>
        <v>12/15/2024</v>
      </c>
      <c r="E2391" t="s">
        <v>232</v>
      </c>
      <c r="F2391" t="s">
        <v>250</v>
      </c>
      <c r="I2391">
        <v>0</v>
      </c>
      <c r="J2391">
        <v>2122.6799999999998</v>
      </c>
      <c r="M2391" t="s">
        <v>205</v>
      </c>
    </row>
    <row r="2392" spans="1:13" hidden="1">
      <c r="A2392" t="s">
        <v>83</v>
      </c>
      <c r="B2392" t="s">
        <v>8</v>
      </c>
      <c r="C2392" t="s">
        <v>82</v>
      </c>
      <c r="D2392" t="str">
        <f>LEFT(M2392,10)</f>
        <v>12/15/2024</v>
      </c>
      <c r="E2392" t="s">
        <v>232</v>
      </c>
      <c r="F2392" t="s">
        <v>251</v>
      </c>
      <c r="I2392">
        <v>0</v>
      </c>
      <c r="J2392">
        <v>200</v>
      </c>
      <c r="M2392" t="s">
        <v>205</v>
      </c>
    </row>
    <row r="2393" spans="1:13" hidden="1">
      <c r="A2393" t="s">
        <v>83</v>
      </c>
      <c r="B2393" t="s">
        <v>8</v>
      </c>
      <c r="C2393" t="s">
        <v>82</v>
      </c>
      <c r="D2393" t="str">
        <f>LEFT(M2393,10)</f>
        <v>12/15/2024</v>
      </c>
      <c r="E2393" t="s">
        <v>232</v>
      </c>
      <c r="F2393" t="s">
        <v>233</v>
      </c>
      <c r="I2393">
        <v>0</v>
      </c>
      <c r="J2393">
        <v>1863.84</v>
      </c>
      <c r="M2393" t="s">
        <v>205</v>
      </c>
    </row>
    <row r="2394" spans="1:13" hidden="1">
      <c r="A2394" t="s">
        <v>83</v>
      </c>
      <c r="B2394" t="s">
        <v>8</v>
      </c>
      <c r="C2394" t="s">
        <v>82</v>
      </c>
      <c r="D2394" t="str">
        <f>LEFT(M2394,10)</f>
        <v>12/15/2024</v>
      </c>
      <c r="E2394" t="s">
        <v>232</v>
      </c>
      <c r="F2394" t="s">
        <v>255</v>
      </c>
      <c r="I2394">
        <v>0</v>
      </c>
      <c r="J2394">
        <v>1000</v>
      </c>
      <c r="L2394" t="s">
        <v>264</v>
      </c>
      <c r="M2394" t="s">
        <v>205</v>
      </c>
    </row>
    <row r="2395" spans="1:13" hidden="1">
      <c r="A2395" t="s">
        <v>83</v>
      </c>
      <c r="B2395" t="s">
        <v>8</v>
      </c>
      <c r="C2395" t="s">
        <v>82</v>
      </c>
      <c r="D2395" t="str">
        <f>LEFT(M2395,10)</f>
        <v>12/15/2024</v>
      </c>
      <c r="E2395" t="s">
        <v>232</v>
      </c>
      <c r="F2395" t="s">
        <v>255</v>
      </c>
      <c r="I2395">
        <v>0</v>
      </c>
      <c r="J2395">
        <v>180</v>
      </c>
      <c r="L2395" t="s">
        <v>444</v>
      </c>
      <c r="M2395" t="s">
        <v>205</v>
      </c>
    </row>
    <row r="2396" spans="1:13" hidden="1">
      <c r="A2396" t="s">
        <v>83</v>
      </c>
      <c r="B2396" t="s">
        <v>8</v>
      </c>
      <c r="C2396" t="s">
        <v>82</v>
      </c>
      <c r="D2396" t="str">
        <f>LEFT(M2396,10)</f>
        <v>12/15/2024</v>
      </c>
      <c r="E2396" t="s">
        <v>230</v>
      </c>
      <c r="F2396" t="s">
        <v>248</v>
      </c>
      <c r="I2396">
        <v>0</v>
      </c>
      <c r="J2396">
        <v>10320.51</v>
      </c>
      <c r="M2396" t="s">
        <v>205</v>
      </c>
    </row>
    <row r="2397" spans="1:13" hidden="1">
      <c r="A2397" t="s">
        <v>83</v>
      </c>
      <c r="B2397" t="s">
        <v>8</v>
      </c>
      <c r="C2397" t="s">
        <v>82</v>
      </c>
      <c r="D2397" t="str">
        <f>LEFT(M2397,10)</f>
        <v>12/15/2024</v>
      </c>
      <c r="E2397" t="s">
        <v>202</v>
      </c>
      <c r="F2397" t="s">
        <v>203</v>
      </c>
      <c r="G2397" t="s">
        <v>204</v>
      </c>
      <c r="I2397">
        <v>188</v>
      </c>
      <c r="J2397">
        <v>1551</v>
      </c>
      <c r="K2397">
        <v>8.25</v>
      </c>
      <c r="M2397" t="s">
        <v>205</v>
      </c>
    </row>
    <row r="2398" spans="1:13" hidden="1">
      <c r="A2398" t="s">
        <v>83</v>
      </c>
      <c r="B2398" t="s">
        <v>8</v>
      </c>
      <c r="C2398" t="s">
        <v>82</v>
      </c>
      <c r="D2398" t="str">
        <f>LEFT(M2398,10)</f>
        <v>12/15/2024</v>
      </c>
      <c r="E2398" t="s">
        <v>202</v>
      </c>
      <c r="F2398" t="s">
        <v>203</v>
      </c>
      <c r="G2398" t="s">
        <v>208</v>
      </c>
      <c r="I2398">
        <v>84</v>
      </c>
      <c r="J2398">
        <v>735</v>
      </c>
      <c r="K2398">
        <v>8.75</v>
      </c>
      <c r="M2398" t="s">
        <v>205</v>
      </c>
    </row>
    <row r="2399" spans="1:13" hidden="1">
      <c r="A2399" t="s">
        <v>83</v>
      </c>
      <c r="B2399" t="s">
        <v>8</v>
      </c>
      <c r="C2399" t="s">
        <v>82</v>
      </c>
      <c r="D2399" t="str">
        <f>LEFT(M2399,10)</f>
        <v>12/15/2024</v>
      </c>
      <c r="E2399" t="s">
        <v>202</v>
      </c>
      <c r="F2399" t="s">
        <v>203</v>
      </c>
      <c r="G2399" t="s">
        <v>260</v>
      </c>
      <c r="I2399">
        <v>38</v>
      </c>
      <c r="J2399">
        <v>1482</v>
      </c>
      <c r="K2399">
        <v>39</v>
      </c>
      <c r="M2399" t="s">
        <v>205</v>
      </c>
    </row>
    <row r="2400" spans="1:13" hidden="1">
      <c r="A2400" t="s">
        <v>83</v>
      </c>
      <c r="B2400" t="s">
        <v>8</v>
      </c>
      <c r="C2400" t="s">
        <v>82</v>
      </c>
      <c r="D2400" t="str">
        <f>LEFT(M2400,10)</f>
        <v>12/15/2024</v>
      </c>
      <c r="E2400" t="s">
        <v>202</v>
      </c>
      <c r="F2400" t="s">
        <v>203</v>
      </c>
      <c r="G2400" t="s">
        <v>236</v>
      </c>
      <c r="I2400">
        <v>3650</v>
      </c>
      <c r="J2400">
        <v>2190</v>
      </c>
      <c r="K2400">
        <v>0.6</v>
      </c>
      <c r="M2400" t="s">
        <v>205</v>
      </c>
    </row>
    <row r="2401" spans="1:13" hidden="1">
      <c r="A2401" t="s">
        <v>83</v>
      </c>
      <c r="B2401" t="s">
        <v>8</v>
      </c>
      <c r="C2401" t="s">
        <v>82</v>
      </c>
      <c r="D2401" t="str">
        <f>LEFT(M2401,10)</f>
        <v>12/15/2024</v>
      </c>
      <c r="E2401" t="s">
        <v>202</v>
      </c>
      <c r="F2401" t="s">
        <v>203</v>
      </c>
      <c r="G2401" t="s">
        <v>259</v>
      </c>
      <c r="I2401">
        <v>5.5</v>
      </c>
      <c r="J2401">
        <v>110</v>
      </c>
      <c r="K2401">
        <v>20</v>
      </c>
      <c r="M2401" t="s">
        <v>205</v>
      </c>
    </row>
    <row r="2402" spans="1:13" hidden="1">
      <c r="A2402" t="s">
        <v>83</v>
      </c>
      <c r="B2402" t="s">
        <v>8</v>
      </c>
      <c r="C2402" t="s">
        <v>82</v>
      </c>
      <c r="D2402" t="str">
        <f>LEFT(M2402,10)</f>
        <v>12/15/2024</v>
      </c>
      <c r="E2402" t="s">
        <v>202</v>
      </c>
      <c r="F2402" t="s">
        <v>218</v>
      </c>
      <c r="G2402" t="s">
        <v>224</v>
      </c>
      <c r="I2402">
        <v>555</v>
      </c>
      <c r="J2402">
        <v>444</v>
      </c>
      <c r="K2402">
        <v>0.8</v>
      </c>
      <c r="M2402" t="s">
        <v>205</v>
      </c>
    </row>
    <row r="2403" spans="1:13" hidden="1">
      <c r="A2403" t="s">
        <v>83</v>
      </c>
      <c r="B2403" t="s">
        <v>8</v>
      </c>
      <c r="C2403" t="s">
        <v>82</v>
      </c>
      <c r="D2403" t="str">
        <f>LEFT(M2403,10)</f>
        <v>12/15/2024</v>
      </c>
      <c r="E2403" t="s">
        <v>202</v>
      </c>
      <c r="F2403" t="s">
        <v>218</v>
      </c>
      <c r="G2403" t="s">
        <v>221</v>
      </c>
      <c r="I2403">
        <v>1226</v>
      </c>
      <c r="J2403">
        <v>2942.4</v>
      </c>
      <c r="K2403">
        <v>2.4</v>
      </c>
      <c r="M2403" t="s">
        <v>205</v>
      </c>
    </row>
    <row r="2404" spans="1:13" hidden="1">
      <c r="A2404" t="s">
        <v>83</v>
      </c>
      <c r="B2404" t="s">
        <v>8</v>
      </c>
      <c r="C2404" t="s">
        <v>82</v>
      </c>
      <c r="D2404" t="str">
        <f>LEFT(M2404,10)</f>
        <v>12/15/2024</v>
      </c>
      <c r="E2404" t="s">
        <v>202</v>
      </c>
      <c r="F2404" t="s">
        <v>218</v>
      </c>
      <c r="G2404" t="s">
        <v>220</v>
      </c>
      <c r="I2404">
        <v>1033</v>
      </c>
      <c r="J2404">
        <v>1549.5</v>
      </c>
      <c r="K2404">
        <v>1.5</v>
      </c>
      <c r="M2404" t="s">
        <v>205</v>
      </c>
    </row>
    <row r="2405" spans="1:13" hidden="1">
      <c r="A2405" t="s">
        <v>83</v>
      </c>
      <c r="B2405" t="s">
        <v>8</v>
      </c>
      <c r="C2405" t="s">
        <v>82</v>
      </c>
      <c r="D2405" t="str">
        <f>LEFT(M2405,10)</f>
        <v>12/15/2024</v>
      </c>
      <c r="E2405" t="s">
        <v>202</v>
      </c>
      <c r="F2405" t="s">
        <v>218</v>
      </c>
      <c r="G2405" t="s">
        <v>223</v>
      </c>
      <c r="I2405">
        <v>330</v>
      </c>
      <c r="J2405">
        <v>247.5</v>
      </c>
      <c r="K2405">
        <v>0.75</v>
      </c>
      <c r="M2405" t="s">
        <v>205</v>
      </c>
    </row>
    <row r="2406" spans="1:13" hidden="1">
      <c r="A2406" t="s">
        <v>83</v>
      </c>
      <c r="B2406" t="s">
        <v>8</v>
      </c>
      <c r="C2406" t="s">
        <v>82</v>
      </c>
      <c r="D2406" t="str">
        <f>LEFT(M2406,10)</f>
        <v>12/15/2024</v>
      </c>
      <c r="E2406" t="s">
        <v>202</v>
      </c>
      <c r="F2406" t="s">
        <v>218</v>
      </c>
      <c r="G2406" t="s">
        <v>241</v>
      </c>
      <c r="I2406">
        <v>190</v>
      </c>
      <c r="J2406">
        <v>798</v>
      </c>
      <c r="K2406">
        <v>4.2</v>
      </c>
      <c r="M2406" t="s">
        <v>205</v>
      </c>
    </row>
    <row r="2407" spans="1:13" hidden="1">
      <c r="A2407" t="s">
        <v>83</v>
      </c>
      <c r="B2407" t="s">
        <v>8</v>
      </c>
      <c r="C2407" t="s">
        <v>82</v>
      </c>
      <c r="D2407" t="str">
        <f>LEFT(M2407,10)</f>
        <v>12/15/2024</v>
      </c>
      <c r="E2407" t="s">
        <v>202</v>
      </c>
      <c r="F2407" t="s">
        <v>218</v>
      </c>
      <c r="G2407" t="s">
        <v>240</v>
      </c>
      <c r="I2407">
        <v>1158</v>
      </c>
      <c r="J2407">
        <v>4863.6000000000004</v>
      </c>
      <c r="K2407">
        <v>4.2</v>
      </c>
      <c r="M2407" t="s">
        <v>205</v>
      </c>
    </row>
    <row r="2408" spans="1:13" hidden="1">
      <c r="A2408" t="s">
        <v>83</v>
      </c>
      <c r="B2408" t="s">
        <v>8</v>
      </c>
      <c r="C2408" t="s">
        <v>82</v>
      </c>
      <c r="D2408" t="str">
        <f>LEFT(M2408,10)</f>
        <v>12/15/2024</v>
      </c>
      <c r="E2408" t="s">
        <v>202</v>
      </c>
      <c r="F2408" t="s">
        <v>218</v>
      </c>
      <c r="G2408" t="s">
        <v>242</v>
      </c>
      <c r="I2408">
        <v>169</v>
      </c>
      <c r="J2408">
        <v>321.10000000000002</v>
      </c>
      <c r="K2408">
        <v>1.9</v>
      </c>
      <c r="M2408" t="s">
        <v>205</v>
      </c>
    </row>
    <row r="2409" spans="1:13" hidden="1">
      <c r="A2409" t="s">
        <v>83</v>
      </c>
      <c r="B2409" t="s">
        <v>8</v>
      </c>
      <c r="C2409" t="s">
        <v>82</v>
      </c>
      <c r="D2409" t="str">
        <f>LEFT(M2409,10)</f>
        <v>12/15/2024</v>
      </c>
      <c r="E2409" t="s">
        <v>202</v>
      </c>
      <c r="F2409" t="s">
        <v>218</v>
      </c>
      <c r="G2409" t="s">
        <v>219</v>
      </c>
      <c r="I2409">
        <v>127</v>
      </c>
      <c r="J2409">
        <v>63.5</v>
      </c>
      <c r="K2409">
        <v>0.5</v>
      </c>
      <c r="M2409" t="s">
        <v>205</v>
      </c>
    </row>
    <row r="2410" spans="1:13" hidden="1">
      <c r="A2410" t="s">
        <v>83</v>
      </c>
      <c r="B2410" t="s">
        <v>8</v>
      </c>
      <c r="C2410" t="s">
        <v>82</v>
      </c>
      <c r="D2410" t="str">
        <f>LEFT(M2410,10)</f>
        <v>12/15/2024</v>
      </c>
      <c r="E2410" t="s">
        <v>202</v>
      </c>
      <c r="F2410" t="s">
        <v>218</v>
      </c>
      <c r="G2410" t="s">
        <v>225</v>
      </c>
      <c r="I2410">
        <v>172</v>
      </c>
      <c r="J2410">
        <v>189.2</v>
      </c>
      <c r="K2410">
        <v>1.1000000000000001</v>
      </c>
      <c r="M2410" t="s">
        <v>205</v>
      </c>
    </row>
    <row r="2411" spans="1:13" hidden="1">
      <c r="A2411" t="s">
        <v>83</v>
      </c>
      <c r="B2411" t="s">
        <v>8</v>
      </c>
      <c r="C2411" t="s">
        <v>82</v>
      </c>
      <c r="D2411" t="str">
        <f>LEFT(M2411,10)</f>
        <v>12/15/2024</v>
      </c>
      <c r="E2411" t="s">
        <v>202</v>
      </c>
      <c r="F2411" t="s">
        <v>218</v>
      </c>
      <c r="G2411" t="s">
        <v>239</v>
      </c>
      <c r="I2411">
        <v>280</v>
      </c>
      <c r="J2411">
        <v>56</v>
      </c>
      <c r="K2411">
        <v>0.2</v>
      </c>
      <c r="M2411" t="s">
        <v>205</v>
      </c>
    </row>
    <row r="2412" spans="1:13" hidden="1">
      <c r="A2412" t="s">
        <v>83</v>
      </c>
      <c r="B2412" t="s">
        <v>8</v>
      </c>
      <c r="C2412" t="s">
        <v>82</v>
      </c>
      <c r="D2412" t="str">
        <f>LEFT(M2412,10)</f>
        <v>12/15/2024</v>
      </c>
      <c r="E2412" t="s">
        <v>202</v>
      </c>
      <c r="F2412" t="s">
        <v>218</v>
      </c>
      <c r="G2412" t="s">
        <v>222</v>
      </c>
      <c r="I2412">
        <v>180</v>
      </c>
      <c r="J2412">
        <v>288</v>
      </c>
      <c r="K2412">
        <v>1.6</v>
      </c>
      <c r="M2412" t="s">
        <v>205</v>
      </c>
    </row>
    <row r="2413" spans="1:13" hidden="1">
      <c r="A2413" t="s">
        <v>83</v>
      </c>
      <c r="B2413" t="s">
        <v>8</v>
      </c>
      <c r="C2413" t="s">
        <v>82</v>
      </c>
      <c r="D2413" t="str">
        <f>LEFT(M2413,10)</f>
        <v>12/15/2024</v>
      </c>
      <c r="E2413" t="s">
        <v>202</v>
      </c>
      <c r="F2413" t="s">
        <v>218</v>
      </c>
      <c r="G2413" t="s">
        <v>226</v>
      </c>
      <c r="I2413">
        <v>1127</v>
      </c>
      <c r="J2413">
        <v>563.5</v>
      </c>
      <c r="K2413">
        <v>0.5</v>
      </c>
      <c r="M2413" t="s">
        <v>205</v>
      </c>
    </row>
    <row r="2414" spans="1:13" hidden="1">
      <c r="A2414" t="s">
        <v>83</v>
      </c>
      <c r="B2414" t="s">
        <v>8</v>
      </c>
      <c r="C2414" t="s">
        <v>82</v>
      </c>
      <c r="D2414" t="str">
        <f>LEFT(M2414,10)</f>
        <v>12/15/2024</v>
      </c>
      <c r="E2414" t="s">
        <v>202</v>
      </c>
      <c r="F2414" t="s">
        <v>218</v>
      </c>
      <c r="G2414" t="s">
        <v>243</v>
      </c>
      <c r="H2414" t="s">
        <v>445</v>
      </c>
      <c r="I2414">
        <v>911</v>
      </c>
      <c r="J2414">
        <v>1457.6</v>
      </c>
      <c r="K2414">
        <v>1.6</v>
      </c>
      <c r="M2414" t="s">
        <v>205</v>
      </c>
    </row>
    <row r="2415" spans="1:13" hidden="1">
      <c r="A2415" t="s">
        <v>83</v>
      </c>
      <c r="B2415" t="s">
        <v>8</v>
      </c>
      <c r="C2415" t="s">
        <v>82</v>
      </c>
      <c r="D2415" t="str">
        <f>LEFT(M2415,10)</f>
        <v>12/15/2024</v>
      </c>
      <c r="E2415" t="s">
        <v>202</v>
      </c>
      <c r="F2415" t="s">
        <v>218</v>
      </c>
      <c r="G2415" t="s">
        <v>243</v>
      </c>
      <c r="H2415" t="s">
        <v>446</v>
      </c>
      <c r="I2415">
        <v>504</v>
      </c>
      <c r="J2415">
        <v>957.6</v>
      </c>
      <c r="K2415">
        <v>1.9</v>
      </c>
      <c r="M2415" t="s">
        <v>205</v>
      </c>
    </row>
    <row r="2416" spans="1:13" hidden="1">
      <c r="A2416" t="s">
        <v>83</v>
      </c>
      <c r="B2416" t="s">
        <v>8</v>
      </c>
      <c r="C2416" t="s">
        <v>82</v>
      </c>
      <c r="D2416" t="str">
        <f>LEFT(M2416,10)</f>
        <v>12/15/2024</v>
      </c>
      <c r="E2416" t="s">
        <v>202</v>
      </c>
      <c r="F2416" t="s">
        <v>218</v>
      </c>
      <c r="G2416" t="s">
        <v>243</v>
      </c>
      <c r="H2416" t="s">
        <v>412</v>
      </c>
      <c r="I2416">
        <v>1233</v>
      </c>
      <c r="J2416">
        <v>1048.05</v>
      </c>
      <c r="K2416">
        <v>0.85</v>
      </c>
      <c r="M2416" t="s">
        <v>205</v>
      </c>
    </row>
    <row r="2417" spans="1:13" hidden="1">
      <c r="A2417" t="s">
        <v>83</v>
      </c>
      <c r="B2417" t="s">
        <v>8</v>
      </c>
      <c r="C2417" t="s">
        <v>82</v>
      </c>
      <c r="D2417" t="str">
        <f>LEFT(M2417,10)</f>
        <v>12/15/2024</v>
      </c>
      <c r="E2417" t="s">
        <v>202</v>
      </c>
      <c r="F2417" t="s">
        <v>218</v>
      </c>
      <c r="G2417" t="s">
        <v>243</v>
      </c>
      <c r="H2417" t="s">
        <v>447</v>
      </c>
      <c r="I2417">
        <v>98</v>
      </c>
      <c r="J2417">
        <v>68.599999999999994</v>
      </c>
      <c r="K2417">
        <v>0.7</v>
      </c>
      <c r="M2417" t="s">
        <v>205</v>
      </c>
    </row>
    <row r="2418" spans="1:13" hidden="1">
      <c r="A2418" t="s">
        <v>83</v>
      </c>
      <c r="B2418" t="s">
        <v>8</v>
      </c>
      <c r="C2418" t="s">
        <v>82</v>
      </c>
      <c r="D2418" t="str">
        <f>LEFT(M2418,10)</f>
        <v>12/15/2024</v>
      </c>
      <c r="E2418" t="s">
        <v>202</v>
      </c>
      <c r="F2418" t="s">
        <v>218</v>
      </c>
      <c r="G2418" t="s">
        <v>243</v>
      </c>
      <c r="H2418" t="s">
        <v>389</v>
      </c>
      <c r="I2418">
        <v>23</v>
      </c>
      <c r="J2418">
        <v>11.5</v>
      </c>
      <c r="K2418">
        <v>0.5</v>
      </c>
      <c r="M2418" t="s">
        <v>205</v>
      </c>
    </row>
    <row r="2419" spans="1:13" hidden="1">
      <c r="A2419" t="s">
        <v>83</v>
      </c>
      <c r="B2419" t="s">
        <v>8</v>
      </c>
      <c r="C2419" t="s">
        <v>82</v>
      </c>
      <c r="D2419" t="str">
        <f>LEFT(M2419,10)</f>
        <v>12/15/2024</v>
      </c>
      <c r="E2419" t="s">
        <v>202</v>
      </c>
      <c r="F2419" t="s">
        <v>218</v>
      </c>
      <c r="G2419" t="s">
        <v>243</v>
      </c>
      <c r="H2419" t="s">
        <v>448</v>
      </c>
      <c r="I2419">
        <v>38</v>
      </c>
      <c r="J2419">
        <v>19</v>
      </c>
      <c r="K2419">
        <v>0.5</v>
      </c>
      <c r="M2419" t="s">
        <v>205</v>
      </c>
    </row>
    <row r="2420" spans="1:13" hidden="1">
      <c r="A2420" t="s">
        <v>83</v>
      </c>
      <c r="B2420" t="s">
        <v>8</v>
      </c>
      <c r="C2420" t="s">
        <v>82</v>
      </c>
      <c r="D2420" t="str">
        <f>LEFT(M2420,10)</f>
        <v>12/15/2024</v>
      </c>
      <c r="E2420" t="s">
        <v>202</v>
      </c>
      <c r="F2420" t="s">
        <v>218</v>
      </c>
      <c r="G2420" t="s">
        <v>243</v>
      </c>
      <c r="H2420" t="s">
        <v>449</v>
      </c>
      <c r="I2420">
        <v>22</v>
      </c>
      <c r="J2420">
        <v>2.2000000000000002</v>
      </c>
      <c r="K2420">
        <v>0.1</v>
      </c>
      <c r="M2420" t="s">
        <v>205</v>
      </c>
    </row>
    <row r="2421" spans="1:13" hidden="1">
      <c r="A2421" t="s">
        <v>83</v>
      </c>
      <c r="B2421" t="s">
        <v>8</v>
      </c>
      <c r="C2421" t="s">
        <v>82</v>
      </c>
      <c r="D2421" t="str">
        <f>LEFT(M2421,10)</f>
        <v>12/15/2024</v>
      </c>
      <c r="E2421" t="s">
        <v>202</v>
      </c>
      <c r="F2421" t="s">
        <v>218</v>
      </c>
      <c r="G2421" t="s">
        <v>243</v>
      </c>
      <c r="H2421" t="s">
        <v>371</v>
      </c>
      <c r="I2421">
        <v>134</v>
      </c>
      <c r="J2421">
        <v>93.8</v>
      </c>
      <c r="K2421">
        <v>0.7</v>
      </c>
      <c r="M2421" t="s">
        <v>205</v>
      </c>
    </row>
    <row r="2422" spans="1:13" hidden="1">
      <c r="A2422" t="s">
        <v>83</v>
      </c>
      <c r="B2422" t="s">
        <v>8</v>
      </c>
      <c r="C2422" t="s">
        <v>82</v>
      </c>
      <c r="D2422" t="str">
        <f>LEFT(M2422,10)</f>
        <v>12/15/2024</v>
      </c>
      <c r="E2422" t="s">
        <v>202</v>
      </c>
      <c r="F2422" t="s">
        <v>227</v>
      </c>
      <c r="G2422" t="s">
        <v>237</v>
      </c>
      <c r="I2422">
        <v>1834</v>
      </c>
      <c r="J2422">
        <v>1283.8</v>
      </c>
      <c r="K2422">
        <v>0.7</v>
      </c>
      <c r="M2422" t="s">
        <v>205</v>
      </c>
    </row>
    <row r="2423" spans="1:13" hidden="1">
      <c r="A2423" t="s">
        <v>83</v>
      </c>
      <c r="B2423" t="s">
        <v>8</v>
      </c>
      <c r="C2423" t="s">
        <v>82</v>
      </c>
      <c r="D2423" t="str">
        <f>LEFT(M2423,10)</f>
        <v>12/15/2024</v>
      </c>
      <c r="E2423" t="s">
        <v>202</v>
      </c>
      <c r="F2423" t="s">
        <v>227</v>
      </c>
      <c r="G2423" t="s">
        <v>238</v>
      </c>
      <c r="I2423">
        <v>520</v>
      </c>
      <c r="J2423">
        <v>145.6</v>
      </c>
      <c r="K2423">
        <v>0.28000000000000003</v>
      </c>
      <c r="M2423" t="s">
        <v>205</v>
      </c>
    </row>
    <row r="2424" spans="1:13" hidden="1">
      <c r="A2424" t="s">
        <v>83</v>
      </c>
      <c r="B2424" t="s">
        <v>8</v>
      </c>
      <c r="C2424" t="s">
        <v>82</v>
      </c>
      <c r="D2424" t="str">
        <f>LEFT(M2424,10)</f>
        <v>12/15/2024</v>
      </c>
      <c r="E2424" t="s">
        <v>202</v>
      </c>
      <c r="F2424" t="s">
        <v>227</v>
      </c>
      <c r="G2424" t="s">
        <v>252</v>
      </c>
      <c r="I2424">
        <v>419</v>
      </c>
      <c r="J2424">
        <v>117.32</v>
      </c>
      <c r="K2424">
        <v>0.28000000000000003</v>
      </c>
      <c r="M2424" t="s">
        <v>205</v>
      </c>
    </row>
    <row r="2425" spans="1:13" hidden="1">
      <c r="A2425" t="s">
        <v>83</v>
      </c>
      <c r="B2425" t="s">
        <v>8</v>
      </c>
      <c r="C2425" t="s">
        <v>82</v>
      </c>
      <c r="D2425" t="str">
        <f>LEFT(M2425,10)</f>
        <v>12/15/2024</v>
      </c>
      <c r="E2425" t="s">
        <v>202</v>
      </c>
      <c r="F2425" t="s">
        <v>209</v>
      </c>
      <c r="G2425" t="s">
        <v>214</v>
      </c>
      <c r="I2425">
        <v>25</v>
      </c>
      <c r="J2425">
        <v>10</v>
      </c>
      <c r="K2425">
        <v>0.4</v>
      </c>
      <c r="M2425" t="s">
        <v>205</v>
      </c>
    </row>
    <row r="2426" spans="1:13" hidden="1">
      <c r="A2426" t="s">
        <v>83</v>
      </c>
      <c r="B2426" t="s">
        <v>8</v>
      </c>
      <c r="C2426" t="s">
        <v>82</v>
      </c>
      <c r="D2426" t="str">
        <f>LEFT(M2426,10)</f>
        <v>12/15/2024</v>
      </c>
      <c r="E2426" t="s">
        <v>202</v>
      </c>
      <c r="F2426" t="s">
        <v>216</v>
      </c>
      <c r="G2426" t="s">
        <v>217</v>
      </c>
      <c r="I2426">
        <v>3650</v>
      </c>
      <c r="J2426">
        <v>2190</v>
      </c>
      <c r="K2426">
        <v>0.6</v>
      </c>
      <c r="M2426" t="s">
        <v>205</v>
      </c>
    </row>
    <row r="2427" spans="1:13" hidden="1">
      <c r="A2427" t="s">
        <v>83</v>
      </c>
      <c r="B2427" t="s">
        <v>8</v>
      </c>
      <c r="C2427" t="s">
        <v>82</v>
      </c>
      <c r="D2427" t="str">
        <f>LEFT(M2427,10)</f>
        <v>12/15/2024</v>
      </c>
      <c r="E2427" t="s">
        <v>202</v>
      </c>
      <c r="F2427" t="s">
        <v>216</v>
      </c>
      <c r="G2427" t="s">
        <v>253</v>
      </c>
      <c r="I2427">
        <v>380</v>
      </c>
      <c r="J2427">
        <v>228</v>
      </c>
      <c r="K2427">
        <v>0.6</v>
      </c>
      <c r="M2427" t="s">
        <v>205</v>
      </c>
    </row>
    <row r="2428" spans="1:13" hidden="1">
      <c r="A2428" t="s">
        <v>83</v>
      </c>
      <c r="B2428" t="s">
        <v>8</v>
      </c>
      <c r="C2428" t="s">
        <v>82</v>
      </c>
      <c r="D2428" t="str">
        <f>LEFT(M2428,10)</f>
        <v>12/15/2024</v>
      </c>
      <c r="E2428" t="s">
        <v>202</v>
      </c>
      <c r="F2428" t="s">
        <v>227</v>
      </c>
      <c r="G2428" t="s">
        <v>229</v>
      </c>
      <c r="I2428">
        <v>1195</v>
      </c>
      <c r="J2428">
        <v>836.5</v>
      </c>
      <c r="K2428">
        <v>0.7</v>
      </c>
      <c r="M2428" t="s">
        <v>205</v>
      </c>
    </row>
    <row r="2429" spans="1:13" hidden="1">
      <c r="A2429" t="s">
        <v>83</v>
      </c>
      <c r="B2429" t="s">
        <v>8</v>
      </c>
      <c r="C2429" t="s">
        <v>82</v>
      </c>
      <c r="D2429" t="str">
        <f>LEFT(M2429,10)</f>
        <v>12/15/2024</v>
      </c>
      <c r="E2429" t="s">
        <v>202</v>
      </c>
      <c r="F2429" t="s">
        <v>227</v>
      </c>
      <c r="G2429" t="s">
        <v>228</v>
      </c>
      <c r="I2429">
        <v>2820</v>
      </c>
      <c r="J2429">
        <v>789.6</v>
      </c>
      <c r="K2429">
        <v>0.28000000000000003</v>
      </c>
      <c r="M2429" t="s">
        <v>205</v>
      </c>
    </row>
    <row r="2430" spans="1:13" hidden="1">
      <c r="A2430" t="s">
        <v>49</v>
      </c>
      <c r="B2430" t="s">
        <v>8</v>
      </c>
      <c r="C2430" t="s">
        <v>25</v>
      </c>
      <c r="D2430" t="str">
        <f>LEFT(M2430,10)</f>
        <v>12/15/2024</v>
      </c>
      <c r="E2430" t="s">
        <v>202</v>
      </c>
      <c r="F2430" t="s">
        <v>227</v>
      </c>
      <c r="G2430" t="s">
        <v>229</v>
      </c>
      <c r="I2430">
        <v>33514</v>
      </c>
      <c r="J2430">
        <v>25135.5</v>
      </c>
      <c r="K2430">
        <v>0.75</v>
      </c>
      <c r="M2430" t="s">
        <v>205</v>
      </c>
    </row>
    <row r="2431" spans="1:13" hidden="1">
      <c r="A2431" t="s">
        <v>49</v>
      </c>
      <c r="B2431" t="s">
        <v>8</v>
      </c>
      <c r="C2431" t="s">
        <v>25</v>
      </c>
      <c r="D2431" t="str">
        <f>LEFT(M2431,10)</f>
        <v>12/15/2024</v>
      </c>
      <c r="E2431" t="s">
        <v>232</v>
      </c>
      <c r="F2431" t="s">
        <v>287</v>
      </c>
      <c r="I2431">
        <v>0</v>
      </c>
      <c r="J2431">
        <v>4220.76</v>
      </c>
      <c r="M2431" t="s">
        <v>205</v>
      </c>
    </row>
    <row r="2432" spans="1:13" hidden="1">
      <c r="A2432" t="s">
        <v>129</v>
      </c>
      <c r="B2432" t="s">
        <v>8</v>
      </c>
      <c r="C2432" t="s">
        <v>128</v>
      </c>
      <c r="D2432" t="str">
        <f>LEFT(M2432,10)</f>
        <v>12/15/2024</v>
      </c>
      <c r="E2432" t="s">
        <v>230</v>
      </c>
      <c r="F2432" t="s">
        <v>248</v>
      </c>
      <c r="I2432">
        <v>0</v>
      </c>
      <c r="J2432">
        <v>5225</v>
      </c>
      <c r="M2432" t="s">
        <v>205</v>
      </c>
    </row>
    <row r="2433" spans="1:13" hidden="1">
      <c r="A2433" t="s">
        <v>129</v>
      </c>
      <c r="B2433" t="s">
        <v>8</v>
      </c>
      <c r="C2433" t="s">
        <v>128</v>
      </c>
      <c r="D2433" t="str">
        <f>LEFT(M2433,10)</f>
        <v>12/15/2024</v>
      </c>
      <c r="E2433" t="s">
        <v>232</v>
      </c>
      <c r="F2433" t="s">
        <v>254</v>
      </c>
      <c r="I2433">
        <v>0</v>
      </c>
      <c r="J2433">
        <v>218</v>
      </c>
      <c r="M2433" t="s">
        <v>205</v>
      </c>
    </row>
    <row r="2434" spans="1:13" hidden="1">
      <c r="A2434" t="s">
        <v>129</v>
      </c>
      <c r="B2434" t="s">
        <v>8</v>
      </c>
      <c r="C2434" t="s">
        <v>128</v>
      </c>
      <c r="D2434" t="str">
        <f>LEFT(M2434,10)</f>
        <v>12/15/2024</v>
      </c>
      <c r="E2434" t="s">
        <v>234</v>
      </c>
      <c r="F2434" t="s">
        <v>234</v>
      </c>
      <c r="I2434">
        <v>1750</v>
      </c>
      <c r="M2434" t="s">
        <v>205</v>
      </c>
    </row>
    <row r="2435" spans="1:13" hidden="1">
      <c r="A2435" t="s">
        <v>129</v>
      </c>
      <c r="B2435" t="s">
        <v>8</v>
      </c>
      <c r="C2435" t="s">
        <v>128</v>
      </c>
      <c r="D2435" t="str">
        <f>LEFT(M2435,10)</f>
        <v>12/15/2024</v>
      </c>
      <c r="E2435" t="s">
        <v>202</v>
      </c>
      <c r="F2435" t="s">
        <v>227</v>
      </c>
      <c r="G2435" t="s">
        <v>237</v>
      </c>
      <c r="I2435">
        <v>921</v>
      </c>
      <c r="J2435">
        <v>552.6</v>
      </c>
      <c r="K2435">
        <v>0.6</v>
      </c>
      <c r="M2435" t="s">
        <v>205</v>
      </c>
    </row>
    <row r="2436" spans="1:13" hidden="1">
      <c r="A2436" t="s">
        <v>129</v>
      </c>
      <c r="B2436" t="s">
        <v>8</v>
      </c>
      <c r="C2436" t="s">
        <v>128</v>
      </c>
      <c r="D2436" t="str">
        <f>LEFT(M2436,10)</f>
        <v>12/15/2024</v>
      </c>
      <c r="E2436" t="s">
        <v>202</v>
      </c>
      <c r="F2436" t="s">
        <v>227</v>
      </c>
      <c r="G2436" t="s">
        <v>228</v>
      </c>
      <c r="I2436">
        <v>438</v>
      </c>
      <c r="J2436">
        <v>153.30000000000001</v>
      </c>
      <c r="K2436">
        <v>0.35</v>
      </c>
      <c r="M2436" t="s">
        <v>205</v>
      </c>
    </row>
    <row r="2437" spans="1:13" hidden="1">
      <c r="A2437" t="s">
        <v>129</v>
      </c>
      <c r="B2437" t="s">
        <v>8</v>
      </c>
      <c r="C2437" t="s">
        <v>128</v>
      </c>
      <c r="D2437" t="str">
        <f>LEFT(M2437,10)</f>
        <v>12/15/2024</v>
      </c>
      <c r="E2437" t="s">
        <v>202</v>
      </c>
      <c r="F2437" t="s">
        <v>227</v>
      </c>
      <c r="G2437" t="s">
        <v>229</v>
      </c>
      <c r="I2437">
        <v>1592</v>
      </c>
      <c r="J2437">
        <v>1273.5999999999999</v>
      </c>
      <c r="K2437">
        <v>0.8</v>
      </c>
      <c r="M2437" t="s">
        <v>205</v>
      </c>
    </row>
    <row r="2438" spans="1:13" hidden="1">
      <c r="A2438" t="s">
        <v>129</v>
      </c>
      <c r="B2438" t="s">
        <v>8</v>
      </c>
      <c r="C2438" t="s">
        <v>128</v>
      </c>
      <c r="D2438" t="str">
        <f>LEFT(M2438,10)</f>
        <v>12/15/2024</v>
      </c>
      <c r="E2438" t="s">
        <v>202</v>
      </c>
      <c r="F2438" t="s">
        <v>218</v>
      </c>
      <c r="G2438" t="s">
        <v>221</v>
      </c>
      <c r="I2438">
        <v>76</v>
      </c>
      <c r="J2438">
        <v>193.8</v>
      </c>
      <c r="K2438">
        <v>2.5499999999999998</v>
      </c>
      <c r="M2438" t="s">
        <v>205</v>
      </c>
    </row>
    <row r="2439" spans="1:13" hidden="1">
      <c r="A2439" t="s">
        <v>129</v>
      </c>
      <c r="B2439" t="s">
        <v>8</v>
      </c>
      <c r="C2439" t="s">
        <v>128</v>
      </c>
      <c r="D2439" t="str">
        <f>LEFT(M2439,10)</f>
        <v>12/15/2024</v>
      </c>
      <c r="E2439" t="s">
        <v>202</v>
      </c>
      <c r="F2439" t="s">
        <v>218</v>
      </c>
      <c r="G2439" t="s">
        <v>221</v>
      </c>
      <c r="I2439">
        <v>114</v>
      </c>
      <c r="J2439">
        <v>285</v>
      </c>
      <c r="K2439">
        <v>2.5</v>
      </c>
      <c r="M2439" t="s">
        <v>205</v>
      </c>
    </row>
    <row r="2440" spans="1:13" hidden="1">
      <c r="A2440" t="s">
        <v>129</v>
      </c>
      <c r="B2440" t="s">
        <v>8</v>
      </c>
      <c r="C2440" t="s">
        <v>128</v>
      </c>
      <c r="D2440" t="str">
        <f>LEFT(M2440,10)</f>
        <v>12/15/2024</v>
      </c>
      <c r="E2440" t="s">
        <v>202</v>
      </c>
      <c r="F2440" t="s">
        <v>218</v>
      </c>
      <c r="G2440" t="s">
        <v>220</v>
      </c>
      <c r="I2440">
        <v>205</v>
      </c>
      <c r="J2440">
        <v>307.5</v>
      </c>
      <c r="K2440">
        <v>1.5</v>
      </c>
      <c r="M2440" t="s">
        <v>205</v>
      </c>
    </row>
    <row r="2441" spans="1:13" hidden="1">
      <c r="A2441" t="s">
        <v>129</v>
      </c>
      <c r="B2441" t="s">
        <v>8</v>
      </c>
      <c r="C2441" t="s">
        <v>128</v>
      </c>
      <c r="D2441" t="str">
        <f>LEFT(M2441,10)</f>
        <v>12/15/2024</v>
      </c>
      <c r="E2441" t="s">
        <v>202</v>
      </c>
      <c r="F2441" t="s">
        <v>218</v>
      </c>
      <c r="G2441" t="s">
        <v>223</v>
      </c>
      <c r="I2441">
        <v>340</v>
      </c>
      <c r="J2441">
        <v>306</v>
      </c>
      <c r="K2441">
        <v>0.9</v>
      </c>
      <c r="M2441" t="s">
        <v>205</v>
      </c>
    </row>
    <row r="2442" spans="1:13" hidden="1">
      <c r="A2442" t="s">
        <v>129</v>
      </c>
      <c r="B2442" t="s">
        <v>8</v>
      </c>
      <c r="C2442" t="s">
        <v>128</v>
      </c>
      <c r="D2442" t="str">
        <f>LEFT(M2442,10)</f>
        <v>12/15/2024</v>
      </c>
      <c r="E2442" t="s">
        <v>202</v>
      </c>
      <c r="F2442" t="s">
        <v>218</v>
      </c>
      <c r="G2442" t="s">
        <v>223</v>
      </c>
      <c r="I2442">
        <v>165</v>
      </c>
      <c r="J2442">
        <v>115.5</v>
      </c>
      <c r="K2442">
        <v>0.7</v>
      </c>
      <c r="M2442" t="s">
        <v>205</v>
      </c>
    </row>
    <row r="2443" spans="1:13" hidden="1">
      <c r="A2443" t="s">
        <v>129</v>
      </c>
      <c r="B2443" t="s">
        <v>8</v>
      </c>
      <c r="C2443" t="s">
        <v>128</v>
      </c>
      <c r="D2443" t="str">
        <f>LEFT(M2443,10)</f>
        <v>12/15/2024</v>
      </c>
      <c r="E2443" t="s">
        <v>202</v>
      </c>
      <c r="F2443" t="s">
        <v>218</v>
      </c>
      <c r="G2443" t="s">
        <v>240</v>
      </c>
      <c r="I2443">
        <v>235</v>
      </c>
      <c r="J2443">
        <v>940</v>
      </c>
      <c r="K2443">
        <v>4</v>
      </c>
      <c r="M2443" t="s">
        <v>205</v>
      </c>
    </row>
    <row r="2444" spans="1:13" hidden="1">
      <c r="A2444" t="s">
        <v>129</v>
      </c>
      <c r="B2444" t="s">
        <v>8</v>
      </c>
      <c r="C2444" t="s">
        <v>128</v>
      </c>
      <c r="D2444" t="str">
        <f>LEFT(M2444,10)</f>
        <v>12/15/2024</v>
      </c>
      <c r="E2444" t="s">
        <v>202</v>
      </c>
      <c r="F2444" t="s">
        <v>218</v>
      </c>
      <c r="G2444" t="s">
        <v>245</v>
      </c>
      <c r="I2444">
        <v>83</v>
      </c>
      <c r="J2444">
        <v>16.600000000000001</v>
      </c>
      <c r="K2444">
        <v>0.2</v>
      </c>
      <c r="M2444" t="s">
        <v>205</v>
      </c>
    </row>
    <row r="2445" spans="1:13" hidden="1">
      <c r="A2445" t="s">
        <v>129</v>
      </c>
      <c r="B2445" t="s">
        <v>8</v>
      </c>
      <c r="C2445" t="s">
        <v>128</v>
      </c>
      <c r="D2445" t="str">
        <f>LEFT(M2445,10)</f>
        <v>12/15/2024</v>
      </c>
      <c r="E2445" t="s">
        <v>202</v>
      </c>
      <c r="F2445" t="s">
        <v>218</v>
      </c>
      <c r="G2445" t="s">
        <v>222</v>
      </c>
      <c r="I2445">
        <v>74</v>
      </c>
      <c r="J2445">
        <v>96.2</v>
      </c>
      <c r="K2445">
        <v>1.3</v>
      </c>
      <c r="M2445" t="s">
        <v>205</v>
      </c>
    </row>
    <row r="2446" spans="1:13" hidden="1">
      <c r="A2446" t="s">
        <v>129</v>
      </c>
      <c r="B2446" t="s">
        <v>8</v>
      </c>
      <c r="C2446" t="s">
        <v>128</v>
      </c>
      <c r="D2446" t="str">
        <f>LEFT(M2446,10)</f>
        <v>12/15/2024</v>
      </c>
      <c r="E2446" t="s">
        <v>202</v>
      </c>
      <c r="F2446" t="s">
        <v>218</v>
      </c>
      <c r="G2446" t="s">
        <v>226</v>
      </c>
      <c r="I2446">
        <v>237</v>
      </c>
      <c r="J2446">
        <v>71.099999999999994</v>
      </c>
      <c r="K2446">
        <v>0.3</v>
      </c>
      <c r="M2446" t="s">
        <v>205</v>
      </c>
    </row>
    <row r="2447" spans="1:13" hidden="1">
      <c r="A2447" t="s">
        <v>129</v>
      </c>
      <c r="B2447" t="s">
        <v>8</v>
      </c>
      <c r="C2447" t="s">
        <v>128</v>
      </c>
      <c r="D2447" t="str">
        <f>LEFT(M2447,10)</f>
        <v>12/15/2024</v>
      </c>
      <c r="E2447" t="s">
        <v>202</v>
      </c>
      <c r="F2447" t="s">
        <v>216</v>
      </c>
      <c r="G2447" t="s">
        <v>217</v>
      </c>
      <c r="I2447">
        <v>50</v>
      </c>
      <c r="J2447">
        <v>50</v>
      </c>
      <c r="K2447">
        <v>1</v>
      </c>
      <c r="M2447" t="s">
        <v>205</v>
      </c>
    </row>
    <row r="2448" spans="1:13" hidden="1">
      <c r="A2448" t="s">
        <v>163</v>
      </c>
      <c r="B2448" t="s">
        <v>164</v>
      </c>
      <c r="C2448" t="s">
        <v>19</v>
      </c>
      <c r="D2448" t="str">
        <f>LEFT(M2448,10)</f>
        <v>11/15/2024</v>
      </c>
      <c r="E2448" t="s">
        <v>202</v>
      </c>
      <c r="F2448" t="s">
        <v>227</v>
      </c>
      <c r="G2448" t="s">
        <v>237</v>
      </c>
      <c r="I2448">
        <v>1040</v>
      </c>
      <c r="J2448">
        <v>728</v>
      </c>
      <c r="K2448">
        <v>0.7</v>
      </c>
      <c r="M2448" t="s">
        <v>289</v>
      </c>
    </row>
    <row r="2449" spans="1:13" hidden="1">
      <c r="A2449" t="s">
        <v>163</v>
      </c>
      <c r="B2449" t="s">
        <v>164</v>
      </c>
      <c r="C2449" t="s">
        <v>19</v>
      </c>
      <c r="D2449" t="str">
        <f>LEFT(M2449,10)</f>
        <v>11/15/2024</v>
      </c>
      <c r="E2449" t="s">
        <v>202</v>
      </c>
      <c r="F2449" t="s">
        <v>227</v>
      </c>
      <c r="G2449" t="s">
        <v>228</v>
      </c>
      <c r="I2449">
        <v>1800</v>
      </c>
      <c r="J2449">
        <v>810</v>
      </c>
      <c r="K2449">
        <v>0.45</v>
      </c>
      <c r="M2449" t="s">
        <v>289</v>
      </c>
    </row>
    <row r="2450" spans="1:13" hidden="1">
      <c r="A2450" t="s">
        <v>163</v>
      </c>
      <c r="B2450" t="s">
        <v>164</v>
      </c>
      <c r="C2450" t="s">
        <v>19</v>
      </c>
      <c r="D2450" t="str">
        <f>LEFT(M2450,10)</f>
        <v>11/15/2024</v>
      </c>
      <c r="E2450" t="s">
        <v>202</v>
      </c>
      <c r="F2450" t="s">
        <v>227</v>
      </c>
      <c r="G2450" t="s">
        <v>229</v>
      </c>
      <c r="I2450">
        <v>10580</v>
      </c>
      <c r="J2450">
        <v>6348</v>
      </c>
      <c r="K2450">
        <v>0.6</v>
      </c>
      <c r="M2450" t="s">
        <v>289</v>
      </c>
    </row>
    <row r="2451" spans="1:13" hidden="1">
      <c r="A2451" t="s">
        <v>163</v>
      </c>
      <c r="B2451" t="s">
        <v>164</v>
      </c>
      <c r="C2451" t="s">
        <v>19</v>
      </c>
      <c r="D2451" t="str">
        <f>LEFT(M2451,10)</f>
        <v>11/15/2024</v>
      </c>
      <c r="E2451" t="s">
        <v>202</v>
      </c>
      <c r="F2451" t="s">
        <v>227</v>
      </c>
      <c r="G2451" t="s">
        <v>238</v>
      </c>
      <c r="I2451">
        <v>130</v>
      </c>
      <c r="J2451">
        <v>45.5</v>
      </c>
      <c r="K2451">
        <v>0.35</v>
      </c>
      <c r="M2451" t="s">
        <v>289</v>
      </c>
    </row>
    <row r="2452" spans="1:13" hidden="1">
      <c r="A2452" t="s">
        <v>163</v>
      </c>
      <c r="B2452" t="s">
        <v>164</v>
      </c>
      <c r="C2452" t="s">
        <v>19</v>
      </c>
      <c r="D2452" t="str">
        <f>LEFT(M2452,10)</f>
        <v>11/15/2024</v>
      </c>
      <c r="E2452" t="s">
        <v>202</v>
      </c>
      <c r="F2452" t="s">
        <v>227</v>
      </c>
      <c r="G2452" t="s">
        <v>252</v>
      </c>
      <c r="I2452">
        <v>530</v>
      </c>
      <c r="J2452">
        <v>212</v>
      </c>
      <c r="K2452">
        <v>0.4</v>
      </c>
      <c r="M2452" t="s">
        <v>289</v>
      </c>
    </row>
    <row r="2453" spans="1:13" hidden="1">
      <c r="A2453" t="s">
        <v>163</v>
      </c>
      <c r="B2453" t="s">
        <v>164</v>
      </c>
      <c r="C2453" t="s">
        <v>19</v>
      </c>
      <c r="D2453" t="str">
        <f>LEFT(M2453,10)</f>
        <v>11/15/2024</v>
      </c>
      <c r="E2453" t="s">
        <v>202</v>
      </c>
      <c r="F2453" t="s">
        <v>218</v>
      </c>
      <c r="G2453" t="s">
        <v>224</v>
      </c>
      <c r="I2453">
        <v>95</v>
      </c>
      <c r="J2453">
        <v>85.5</v>
      </c>
      <c r="K2453">
        <v>0.9</v>
      </c>
      <c r="M2453" t="s">
        <v>289</v>
      </c>
    </row>
    <row r="2454" spans="1:13" hidden="1">
      <c r="A2454" t="s">
        <v>163</v>
      </c>
      <c r="B2454" t="s">
        <v>164</v>
      </c>
      <c r="C2454" t="s">
        <v>19</v>
      </c>
      <c r="D2454" t="str">
        <f>LEFT(M2454,10)</f>
        <v>11/15/2024</v>
      </c>
      <c r="E2454" t="s">
        <v>202</v>
      </c>
      <c r="F2454" t="s">
        <v>218</v>
      </c>
      <c r="G2454" t="s">
        <v>221</v>
      </c>
      <c r="I2454">
        <v>861</v>
      </c>
      <c r="J2454">
        <v>1980</v>
      </c>
      <c r="K2454">
        <v>2.2999999999999998</v>
      </c>
      <c r="M2454" t="s">
        <v>289</v>
      </c>
    </row>
    <row r="2455" spans="1:13" hidden="1">
      <c r="A2455" t="s">
        <v>163</v>
      </c>
      <c r="B2455" t="s">
        <v>164</v>
      </c>
      <c r="C2455" t="s">
        <v>19</v>
      </c>
      <c r="D2455" t="str">
        <f>LEFT(M2455,10)</f>
        <v>11/15/2024</v>
      </c>
      <c r="E2455" t="s">
        <v>202</v>
      </c>
      <c r="F2455" t="s">
        <v>218</v>
      </c>
      <c r="G2455" t="s">
        <v>222</v>
      </c>
      <c r="I2455">
        <v>59</v>
      </c>
      <c r="J2455">
        <v>100.3</v>
      </c>
      <c r="K2455">
        <v>1.7</v>
      </c>
      <c r="M2455" t="s">
        <v>289</v>
      </c>
    </row>
    <row r="2456" spans="1:13" hidden="1">
      <c r="A2456" t="s">
        <v>163</v>
      </c>
      <c r="B2456" t="s">
        <v>164</v>
      </c>
      <c r="C2456" t="s">
        <v>19</v>
      </c>
      <c r="D2456" t="str">
        <f>LEFT(M2456,10)</f>
        <v>11/15/2024</v>
      </c>
      <c r="E2456" t="s">
        <v>202</v>
      </c>
      <c r="F2456" t="s">
        <v>218</v>
      </c>
      <c r="G2456" t="s">
        <v>220</v>
      </c>
      <c r="I2456">
        <v>885</v>
      </c>
      <c r="J2456">
        <v>1239</v>
      </c>
      <c r="K2456">
        <v>1.4</v>
      </c>
      <c r="M2456" t="s">
        <v>289</v>
      </c>
    </row>
    <row r="2457" spans="1:13" hidden="1">
      <c r="A2457" t="s">
        <v>163</v>
      </c>
      <c r="B2457" t="s">
        <v>164</v>
      </c>
      <c r="C2457" t="s">
        <v>19</v>
      </c>
      <c r="D2457" t="str">
        <f>LEFT(M2457,10)</f>
        <v>11/15/2024</v>
      </c>
      <c r="E2457" t="s">
        <v>202</v>
      </c>
      <c r="F2457" t="s">
        <v>218</v>
      </c>
      <c r="G2457" t="s">
        <v>223</v>
      </c>
      <c r="I2457">
        <v>236</v>
      </c>
      <c r="J2457">
        <v>153.4</v>
      </c>
      <c r="K2457">
        <v>0.65</v>
      </c>
      <c r="M2457" t="s">
        <v>289</v>
      </c>
    </row>
    <row r="2458" spans="1:13" hidden="1">
      <c r="A2458" t="s">
        <v>163</v>
      </c>
      <c r="B2458" t="s">
        <v>164</v>
      </c>
      <c r="C2458" t="s">
        <v>19</v>
      </c>
      <c r="D2458" t="str">
        <f>LEFT(M2458,10)</f>
        <v>11/15/2024</v>
      </c>
      <c r="E2458" t="s">
        <v>202</v>
      </c>
      <c r="F2458" t="s">
        <v>218</v>
      </c>
      <c r="G2458" t="s">
        <v>241</v>
      </c>
      <c r="I2458">
        <v>122</v>
      </c>
      <c r="J2458">
        <v>488</v>
      </c>
      <c r="K2458">
        <v>4</v>
      </c>
      <c r="M2458" t="s">
        <v>289</v>
      </c>
    </row>
    <row r="2459" spans="1:13" hidden="1">
      <c r="A2459" t="s">
        <v>163</v>
      </c>
      <c r="B2459" t="s">
        <v>164</v>
      </c>
      <c r="C2459" t="s">
        <v>19</v>
      </c>
      <c r="D2459" t="str">
        <f>LEFT(M2459,10)</f>
        <v>11/15/2024</v>
      </c>
      <c r="E2459" t="s">
        <v>202</v>
      </c>
      <c r="F2459" t="s">
        <v>218</v>
      </c>
      <c r="G2459" t="s">
        <v>219</v>
      </c>
      <c r="I2459">
        <v>100</v>
      </c>
      <c r="J2459">
        <v>40</v>
      </c>
      <c r="K2459">
        <v>0.4</v>
      </c>
      <c r="M2459" t="s">
        <v>289</v>
      </c>
    </row>
    <row r="2460" spans="1:13" hidden="1">
      <c r="A2460" t="s">
        <v>163</v>
      </c>
      <c r="B2460" t="s">
        <v>164</v>
      </c>
      <c r="C2460" t="s">
        <v>19</v>
      </c>
      <c r="D2460" t="str">
        <f>LEFT(M2460,10)</f>
        <v>11/15/2024</v>
      </c>
      <c r="E2460" t="s">
        <v>202</v>
      </c>
      <c r="F2460" t="s">
        <v>218</v>
      </c>
      <c r="G2460" t="s">
        <v>240</v>
      </c>
      <c r="I2460">
        <v>1942</v>
      </c>
      <c r="J2460">
        <v>7962.2</v>
      </c>
      <c r="K2460">
        <v>4.0999999999999996</v>
      </c>
      <c r="M2460" t="s">
        <v>289</v>
      </c>
    </row>
    <row r="2461" spans="1:13" hidden="1">
      <c r="A2461" t="s">
        <v>163</v>
      </c>
      <c r="B2461" t="s">
        <v>164</v>
      </c>
      <c r="C2461" t="s">
        <v>19</v>
      </c>
      <c r="D2461" t="str">
        <f>LEFT(M2461,10)</f>
        <v>11/15/2024</v>
      </c>
      <c r="E2461" t="s">
        <v>202</v>
      </c>
      <c r="F2461" t="s">
        <v>218</v>
      </c>
      <c r="G2461" t="s">
        <v>242</v>
      </c>
      <c r="I2461">
        <v>98</v>
      </c>
      <c r="J2461">
        <v>176.4</v>
      </c>
      <c r="K2461">
        <v>1.8</v>
      </c>
      <c r="M2461" t="s">
        <v>289</v>
      </c>
    </row>
    <row r="2462" spans="1:13" hidden="1">
      <c r="A2462" t="s">
        <v>163</v>
      </c>
      <c r="B2462" t="s">
        <v>164</v>
      </c>
      <c r="C2462" t="s">
        <v>19</v>
      </c>
      <c r="D2462" t="str">
        <f>LEFT(M2462,10)</f>
        <v>11/15/2024</v>
      </c>
      <c r="E2462" t="s">
        <v>202</v>
      </c>
      <c r="F2462" t="s">
        <v>218</v>
      </c>
      <c r="G2462" t="s">
        <v>222</v>
      </c>
      <c r="I2462">
        <v>876</v>
      </c>
      <c r="J2462">
        <v>1138.8</v>
      </c>
      <c r="K2462">
        <v>1.3</v>
      </c>
      <c r="M2462" t="s">
        <v>289</v>
      </c>
    </row>
    <row r="2463" spans="1:13" hidden="1">
      <c r="A2463" t="s">
        <v>163</v>
      </c>
      <c r="B2463" t="s">
        <v>164</v>
      </c>
      <c r="C2463" t="s">
        <v>19</v>
      </c>
      <c r="D2463" t="str">
        <f>LEFT(M2463,10)</f>
        <v>11/15/2024</v>
      </c>
      <c r="E2463" t="s">
        <v>202</v>
      </c>
      <c r="F2463" t="s">
        <v>218</v>
      </c>
      <c r="G2463" t="s">
        <v>222</v>
      </c>
      <c r="I2463">
        <v>537</v>
      </c>
      <c r="J2463">
        <v>912.9</v>
      </c>
      <c r="K2463">
        <v>1.7</v>
      </c>
      <c r="M2463" t="s">
        <v>289</v>
      </c>
    </row>
    <row r="2464" spans="1:13" hidden="1">
      <c r="A2464" t="s">
        <v>163</v>
      </c>
      <c r="B2464" t="s">
        <v>164</v>
      </c>
      <c r="C2464" t="s">
        <v>19</v>
      </c>
      <c r="D2464" t="str">
        <f>LEFT(M2464,10)</f>
        <v>11/15/2024</v>
      </c>
      <c r="E2464" t="s">
        <v>202</v>
      </c>
      <c r="F2464" t="s">
        <v>218</v>
      </c>
      <c r="G2464" t="s">
        <v>222</v>
      </c>
      <c r="I2464">
        <v>838</v>
      </c>
      <c r="J2464">
        <v>1340.8</v>
      </c>
      <c r="K2464">
        <v>1.6</v>
      </c>
      <c r="M2464" t="s">
        <v>289</v>
      </c>
    </row>
    <row r="2465" spans="1:13" hidden="1">
      <c r="A2465" t="s">
        <v>163</v>
      </c>
      <c r="B2465" t="s">
        <v>164</v>
      </c>
      <c r="C2465" t="s">
        <v>19</v>
      </c>
      <c r="D2465" t="str">
        <f>LEFT(M2465,10)</f>
        <v>11/15/2024</v>
      </c>
      <c r="E2465" t="s">
        <v>202</v>
      </c>
      <c r="F2465" t="s">
        <v>218</v>
      </c>
      <c r="G2465" t="s">
        <v>223</v>
      </c>
      <c r="I2465">
        <v>758</v>
      </c>
      <c r="J2465">
        <v>568.5</v>
      </c>
      <c r="K2465">
        <v>0.75</v>
      </c>
      <c r="M2465" t="s">
        <v>289</v>
      </c>
    </row>
    <row r="2466" spans="1:13" hidden="1">
      <c r="A2466" t="s">
        <v>163</v>
      </c>
      <c r="B2466" t="s">
        <v>164</v>
      </c>
      <c r="C2466" t="s">
        <v>19</v>
      </c>
      <c r="D2466" t="str">
        <f>LEFT(M2466,10)</f>
        <v>11/15/2024</v>
      </c>
      <c r="E2466" t="s">
        <v>202</v>
      </c>
      <c r="F2466" t="s">
        <v>218</v>
      </c>
      <c r="G2466" t="s">
        <v>245</v>
      </c>
      <c r="I2466">
        <v>137</v>
      </c>
      <c r="J2466">
        <v>6.85</v>
      </c>
      <c r="K2466">
        <v>0.05</v>
      </c>
      <c r="M2466" t="s">
        <v>289</v>
      </c>
    </row>
    <row r="2467" spans="1:13" hidden="1">
      <c r="A2467" t="s">
        <v>163</v>
      </c>
      <c r="B2467" t="s">
        <v>164</v>
      </c>
      <c r="C2467" t="s">
        <v>19</v>
      </c>
      <c r="D2467" t="str">
        <f>LEFT(M2467,10)</f>
        <v>11/15/2024</v>
      </c>
      <c r="E2467" t="s">
        <v>202</v>
      </c>
      <c r="F2467" t="s">
        <v>218</v>
      </c>
      <c r="G2467" t="s">
        <v>243</v>
      </c>
      <c r="H2467" t="s">
        <v>450</v>
      </c>
      <c r="I2467">
        <v>514</v>
      </c>
      <c r="J2467">
        <v>411.2</v>
      </c>
      <c r="K2467">
        <v>0.8</v>
      </c>
      <c r="M2467" t="s">
        <v>289</v>
      </c>
    </row>
    <row r="2468" spans="1:13" hidden="1">
      <c r="A2468" t="s">
        <v>163</v>
      </c>
      <c r="B2468" t="s">
        <v>164</v>
      </c>
      <c r="C2468" t="s">
        <v>19</v>
      </c>
      <c r="D2468" t="str">
        <f>LEFT(M2468,10)</f>
        <v>11/15/2024</v>
      </c>
      <c r="E2468" t="s">
        <v>202</v>
      </c>
      <c r="F2468" t="s">
        <v>218</v>
      </c>
      <c r="G2468" t="s">
        <v>268</v>
      </c>
      <c r="I2468">
        <v>82</v>
      </c>
      <c r="J2468">
        <v>82</v>
      </c>
      <c r="K2468">
        <v>1</v>
      </c>
      <c r="M2468" t="s">
        <v>289</v>
      </c>
    </row>
    <row r="2469" spans="1:13" hidden="1">
      <c r="A2469" t="s">
        <v>163</v>
      </c>
      <c r="B2469" t="s">
        <v>164</v>
      </c>
      <c r="C2469" t="s">
        <v>19</v>
      </c>
      <c r="D2469" t="str">
        <f>LEFT(M2469,10)</f>
        <v>11/15/2024</v>
      </c>
      <c r="E2469" t="s">
        <v>202</v>
      </c>
      <c r="F2469" t="s">
        <v>203</v>
      </c>
      <c r="G2469" t="s">
        <v>207</v>
      </c>
      <c r="I2469">
        <v>30</v>
      </c>
      <c r="J2469">
        <v>225</v>
      </c>
      <c r="K2469">
        <v>7.5</v>
      </c>
      <c r="M2469" t="s">
        <v>289</v>
      </c>
    </row>
    <row r="2470" spans="1:13" hidden="1">
      <c r="A2470" t="s">
        <v>163</v>
      </c>
      <c r="B2470" t="s">
        <v>164</v>
      </c>
      <c r="C2470" t="s">
        <v>19</v>
      </c>
      <c r="D2470" t="str">
        <f>LEFT(M2470,10)</f>
        <v>11/15/2024</v>
      </c>
      <c r="E2470" t="s">
        <v>202</v>
      </c>
      <c r="F2470" t="s">
        <v>203</v>
      </c>
      <c r="G2470" t="s">
        <v>259</v>
      </c>
      <c r="I2470">
        <v>30</v>
      </c>
      <c r="J2470">
        <v>300</v>
      </c>
      <c r="K2470">
        <v>10</v>
      </c>
      <c r="M2470" t="s">
        <v>289</v>
      </c>
    </row>
    <row r="2471" spans="1:13" hidden="1">
      <c r="A2471" t="s">
        <v>163</v>
      </c>
      <c r="B2471" t="s">
        <v>164</v>
      </c>
      <c r="C2471" t="s">
        <v>19</v>
      </c>
      <c r="D2471" t="str">
        <f>LEFT(M2471,10)</f>
        <v>11/15/2024</v>
      </c>
      <c r="E2471" t="s">
        <v>202</v>
      </c>
      <c r="F2471" t="s">
        <v>203</v>
      </c>
      <c r="G2471" t="s">
        <v>204</v>
      </c>
      <c r="I2471">
        <v>290</v>
      </c>
      <c r="J2471">
        <v>2610</v>
      </c>
      <c r="K2471">
        <v>9</v>
      </c>
      <c r="M2471" t="s">
        <v>289</v>
      </c>
    </row>
    <row r="2472" spans="1:13" hidden="1">
      <c r="A2472" t="s">
        <v>163</v>
      </c>
      <c r="B2472" t="s">
        <v>164</v>
      </c>
      <c r="C2472" t="s">
        <v>19</v>
      </c>
      <c r="D2472" t="str">
        <f>LEFT(M2472,10)</f>
        <v>11/15/2024</v>
      </c>
      <c r="E2472" t="s">
        <v>202</v>
      </c>
      <c r="F2472" t="s">
        <v>203</v>
      </c>
      <c r="G2472" t="s">
        <v>208</v>
      </c>
      <c r="I2472">
        <v>30</v>
      </c>
      <c r="J2472">
        <v>300</v>
      </c>
      <c r="K2472">
        <v>10</v>
      </c>
      <c r="M2472" t="s">
        <v>289</v>
      </c>
    </row>
    <row r="2473" spans="1:13" hidden="1">
      <c r="A2473" t="s">
        <v>163</v>
      </c>
      <c r="B2473" t="s">
        <v>164</v>
      </c>
      <c r="C2473" t="s">
        <v>19</v>
      </c>
      <c r="D2473" t="str">
        <f>LEFT(M2473,10)</f>
        <v>11/15/2024</v>
      </c>
      <c r="E2473" t="s">
        <v>202</v>
      </c>
      <c r="F2473" t="s">
        <v>203</v>
      </c>
      <c r="G2473" t="s">
        <v>235</v>
      </c>
      <c r="I2473">
        <v>55</v>
      </c>
      <c r="J2473">
        <v>412.5</v>
      </c>
      <c r="K2473">
        <v>7.5</v>
      </c>
      <c r="M2473" t="s">
        <v>289</v>
      </c>
    </row>
    <row r="2474" spans="1:13" hidden="1">
      <c r="A2474" t="s">
        <v>163</v>
      </c>
      <c r="B2474" t="s">
        <v>164</v>
      </c>
      <c r="C2474" t="s">
        <v>19</v>
      </c>
      <c r="D2474" t="str">
        <f>LEFT(M2474,10)</f>
        <v>11/15/2024</v>
      </c>
      <c r="E2474" t="s">
        <v>202</v>
      </c>
      <c r="F2474" t="s">
        <v>203</v>
      </c>
      <c r="G2474" t="s">
        <v>259</v>
      </c>
      <c r="I2474">
        <v>11</v>
      </c>
      <c r="J2474">
        <v>27.5</v>
      </c>
      <c r="K2474">
        <v>2.5</v>
      </c>
      <c r="M2474" t="s">
        <v>289</v>
      </c>
    </row>
    <row r="2475" spans="1:13" hidden="1">
      <c r="A2475" t="s">
        <v>163</v>
      </c>
      <c r="B2475" t="s">
        <v>164</v>
      </c>
      <c r="C2475" t="s">
        <v>19</v>
      </c>
      <c r="D2475" t="str">
        <f>LEFT(M2475,10)</f>
        <v>11/15/2024</v>
      </c>
      <c r="E2475" t="s">
        <v>202</v>
      </c>
      <c r="F2475" t="s">
        <v>203</v>
      </c>
      <c r="G2475" t="s">
        <v>206</v>
      </c>
      <c r="I2475">
        <v>10</v>
      </c>
      <c r="J2475">
        <v>30</v>
      </c>
      <c r="K2475">
        <v>3</v>
      </c>
      <c r="M2475" t="s">
        <v>289</v>
      </c>
    </row>
    <row r="2476" spans="1:13" hidden="1">
      <c r="A2476" t="s">
        <v>163</v>
      </c>
      <c r="B2476" t="s">
        <v>164</v>
      </c>
      <c r="C2476" t="s">
        <v>19</v>
      </c>
      <c r="D2476" t="str">
        <f>LEFT(M2476,10)</f>
        <v>11/15/2024</v>
      </c>
      <c r="E2476" t="s">
        <v>202</v>
      </c>
      <c r="F2476" t="s">
        <v>203</v>
      </c>
      <c r="G2476" t="s">
        <v>261</v>
      </c>
      <c r="I2476">
        <v>45</v>
      </c>
      <c r="J2476">
        <v>540</v>
      </c>
      <c r="K2476">
        <v>12</v>
      </c>
      <c r="M2476" t="s">
        <v>289</v>
      </c>
    </row>
    <row r="2477" spans="1:13" hidden="1">
      <c r="A2477" t="s">
        <v>163</v>
      </c>
      <c r="B2477" t="s">
        <v>164</v>
      </c>
      <c r="C2477" t="s">
        <v>19</v>
      </c>
      <c r="D2477" t="str">
        <f>LEFT(M2477,10)</f>
        <v>11/15/2024</v>
      </c>
      <c r="E2477" t="s">
        <v>202</v>
      </c>
      <c r="F2477" t="s">
        <v>203</v>
      </c>
      <c r="G2477" t="s">
        <v>236</v>
      </c>
      <c r="I2477">
        <v>20</v>
      </c>
      <c r="J2477">
        <v>8</v>
      </c>
      <c r="K2477">
        <v>0.4</v>
      </c>
      <c r="M2477" t="s">
        <v>289</v>
      </c>
    </row>
    <row r="2478" spans="1:13" hidden="1">
      <c r="A2478" t="s">
        <v>163</v>
      </c>
      <c r="B2478" t="s">
        <v>164</v>
      </c>
      <c r="C2478" t="s">
        <v>19</v>
      </c>
      <c r="D2478" t="str">
        <f>LEFT(M2478,10)</f>
        <v>11/15/2024</v>
      </c>
      <c r="E2478" t="s">
        <v>202</v>
      </c>
      <c r="F2478" t="s">
        <v>203</v>
      </c>
      <c r="G2478" t="s">
        <v>236</v>
      </c>
      <c r="I2478">
        <v>1450</v>
      </c>
      <c r="J2478">
        <v>725</v>
      </c>
      <c r="K2478">
        <v>0.5</v>
      </c>
      <c r="M2478" t="s">
        <v>289</v>
      </c>
    </row>
    <row r="2479" spans="1:13" hidden="1">
      <c r="A2479" t="s">
        <v>163</v>
      </c>
      <c r="B2479" t="s">
        <v>164</v>
      </c>
      <c r="C2479" t="s">
        <v>19</v>
      </c>
      <c r="D2479" t="str">
        <f>LEFT(M2479,10)</f>
        <v>11/15/2024</v>
      </c>
      <c r="E2479" t="s">
        <v>202</v>
      </c>
      <c r="F2479" t="s">
        <v>203</v>
      </c>
      <c r="G2479" t="s">
        <v>259</v>
      </c>
      <c r="I2479">
        <v>2</v>
      </c>
      <c r="J2479">
        <v>16</v>
      </c>
      <c r="K2479">
        <v>8</v>
      </c>
      <c r="M2479" t="s">
        <v>289</v>
      </c>
    </row>
    <row r="2480" spans="1:13" hidden="1">
      <c r="A2480" t="s">
        <v>163</v>
      </c>
      <c r="B2480" t="s">
        <v>164</v>
      </c>
      <c r="C2480" t="s">
        <v>19</v>
      </c>
      <c r="D2480" t="str">
        <f>LEFT(M2480,10)</f>
        <v>11/15/2024</v>
      </c>
      <c r="E2480" t="s">
        <v>202</v>
      </c>
      <c r="F2480" t="s">
        <v>203</v>
      </c>
      <c r="G2480" t="s">
        <v>259</v>
      </c>
      <c r="I2480">
        <v>8</v>
      </c>
      <c r="J2480">
        <v>192</v>
      </c>
      <c r="K2480">
        <v>24</v>
      </c>
      <c r="M2480" t="s">
        <v>289</v>
      </c>
    </row>
    <row r="2481" spans="1:13" hidden="1">
      <c r="A2481" t="s">
        <v>163</v>
      </c>
      <c r="B2481" t="s">
        <v>164</v>
      </c>
      <c r="C2481" t="s">
        <v>19</v>
      </c>
      <c r="D2481" t="str">
        <f>LEFT(M2481,10)</f>
        <v>11/15/2024</v>
      </c>
      <c r="E2481" t="s">
        <v>202</v>
      </c>
      <c r="F2481" t="s">
        <v>216</v>
      </c>
      <c r="G2481" t="s">
        <v>253</v>
      </c>
      <c r="I2481">
        <v>10800</v>
      </c>
      <c r="J2481">
        <v>1080</v>
      </c>
      <c r="K2481">
        <v>0.1</v>
      </c>
      <c r="M2481" t="s">
        <v>289</v>
      </c>
    </row>
    <row r="2482" spans="1:13" hidden="1">
      <c r="A2482" t="s">
        <v>163</v>
      </c>
      <c r="B2482" t="s">
        <v>164</v>
      </c>
      <c r="C2482" t="s">
        <v>19</v>
      </c>
      <c r="D2482" t="str">
        <f>LEFT(M2482,10)</f>
        <v>11/15/2024</v>
      </c>
      <c r="E2482" t="s">
        <v>202</v>
      </c>
      <c r="F2482" t="s">
        <v>218</v>
      </c>
      <c r="G2482" t="s">
        <v>239</v>
      </c>
      <c r="I2482">
        <v>120</v>
      </c>
      <c r="J2482">
        <v>144</v>
      </c>
      <c r="K2482">
        <v>1.2</v>
      </c>
      <c r="M2482" t="s">
        <v>289</v>
      </c>
    </row>
    <row r="2483" spans="1:13" hidden="1">
      <c r="A2483" t="s">
        <v>163</v>
      </c>
      <c r="B2483" t="s">
        <v>164</v>
      </c>
      <c r="C2483" t="s">
        <v>19</v>
      </c>
      <c r="D2483" t="str">
        <f>LEFT(M2483,10)</f>
        <v>11/15/2024</v>
      </c>
      <c r="E2483" t="s">
        <v>230</v>
      </c>
      <c r="F2483" t="s">
        <v>248</v>
      </c>
      <c r="I2483">
        <v>0</v>
      </c>
      <c r="J2483">
        <v>35978.31</v>
      </c>
      <c r="M2483" t="s">
        <v>289</v>
      </c>
    </row>
    <row r="2484" spans="1:13" hidden="1">
      <c r="A2484" t="s">
        <v>163</v>
      </c>
      <c r="B2484" t="s">
        <v>164</v>
      </c>
      <c r="C2484" t="s">
        <v>19</v>
      </c>
      <c r="D2484" t="str">
        <f>LEFT(M2484,10)</f>
        <v>11/15/2024</v>
      </c>
      <c r="E2484" t="s">
        <v>232</v>
      </c>
      <c r="F2484" t="s">
        <v>262</v>
      </c>
      <c r="I2484">
        <v>0</v>
      </c>
      <c r="J2484">
        <v>4500</v>
      </c>
      <c r="M2484" t="s">
        <v>289</v>
      </c>
    </row>
    <row r="2485" spans="1:13" hidden="1">
      <c r="A2485" t="s">
        <v>163</v>
      </c>
      <c r="B2485" t="s">
        <v>164</v>
      </c>
      <c r="C2485" t="s">
        <v>19</v>
      </c>
      <c r="D2485" t="str">
        <f>LEFT(M2485,10)</f>
        <v>11/15/2024</v>
      </c>
      <c r="E2485" t="s">
        <v>232</v>
      </c>
      <c r="F2485" t="s">
        <v>255</v>
      </c>
      <c r="I2485">
        <v>0</v>
      </c>
      <c r="J2485">
        <v>5091.3900000000003</v>
      </c>
      <c r="L2485" t="s">
        <v>263</v>
      </c>
      <c r="M2485" t="s">
        <v>289</v>
      </c>
    </row>
    <row r="2486" spans="1:13" hidden="1">
      <c r="A2486" t="s">
        <v>163</v>
      </c>
      <c r="B2486" t="s">
        <v>164</v>
      </c>
      <c r="C2486" t="s">
        <v>19</v>
      </c>
      <c r="D2486" t="str">
        <f>LEFT(M2486,10)</f>
        <v>11/15/2024</v>
      </c>
      <c r="E2486" t="s">
        <v>232</v>
      </c>
      <c r="F2486" t="s">
        <v>255</v>
      </c>
      <c r="I2486">
        <v>0</v>
      </c>
      <c r="J2486">
        <v>9591.77</v>
      </c>
      <c r="L2486" t="s">
        <v>451</v>
      </c>
      <c r="M2486" t="s">
        <v>289</v>
      </c>
    </row>
    <row r="2487" spans="1:13" hidden="1">
      <c r="A2487" t="s">
        <v>163</v>
      </c>
      <c r="B2487" t="s">
        <v>164</v>
      </c>
      <c r="C2487" t="s">
        <v>19</v>
      </c>
      <c r="D2487" t="str">
        <f>LEFT(M2487,10)</f>
        <v>11/15/2024</v>
      </c>
      <c r="E2487" t="s">
        <v>232</v>
      </c>
      <c r="F2487" t="s">
        <v>255</v>
      </c>
      <c r="I2487">
        <v>0</v>
      </c>
      <c r="J2487">
        <v>765</v>
      </c>
      <c r="L2487" t="s">
        <v>452</v>
      </c>
      <c r="M2487" t="s">
        <v>289</v>
      </c>
    </row>
    <row r="2488" spans="1:13" hidden="1">
      <c r="A2488" t="s">
        <v>163</v>
      </c>
      <c r="B2488" t="s">
        <v>164</v>
      </c>
      <c r="C2488" t="s">
        <v>19</v>
      </c>
      <c r="D2488" t="str">
        <f>LEFT(M2488,10)</f>
        <v>11/15/2024</v>
      </c>
      <c r="E2488" t="s">
        <v>234</v>
      </c>
      <c r="F2488" t="s">
        <v>234</v>
      </c>
      <c r="I2488">
        <v>4715.9399999999996</v>
      </c>
      <c r="M2488" t="s">
        <v>289</v>
      </c>
    </row>
    <row r="2489" spans="1:13" hidden="1">
      <c r="A2489" t="s">
        <v>163</v>
      </c>
      <c r="B2489" t="s">
        <v>164</v>
      </c>
      <c r="C2489" t="s">
        <v>19</v>
      </c>
      <c r="D2489" t="str">
        <f>LEFT(M2489,10)</f>
        <v>12/15/2024</v>
      </c>
      <c r="E2489" t="s">
        <v>202</v>
      </c>
      <c r="F2489" t="s">
        <v>227</v>
      </c>
      <c r="G2489" t="s">
        <v>237</v>
      </c>
      <c r="I2489">
        <v>1020</v>
      </c>
      <c r="J2489">
        <v>714</v>
      </c>
      <c r="K2489">
        <v>0.7</v>
      </c>
      <c r="M2489" t="s">
        <v>205</v>
      </c>
    </row>
    <row r="2490" spans="1:13" hidden="1">
      <c r="A2490" t="s">
        <v>163</v>
      </c>
      <c r="B2490" t="s">
        <v>164</v>
      </c>
      <c r="C2490" t="s">
        <v>19</v>
      </c>
      <c r="D2490" t="str">
        <f>LEFT(M2490,10)</f>
        <v>12/15/2024</v>
      </c>
      <c r="E2490" t="s">
        <v>202</v>
      </c>
      <c r="F2490" t="s">
        <v>227</v>
      </c>
      <c r="G2490" t="s">
        <v>228</v>
      </c>
      <c r="I2490">
        <v>2750</v>
      </c>
      <c r="J2490">
        <v>1237.5</v>
      </c>
      <c r="K2490">
        <v>0.45</v>
      </c>
      <c r="M2490" t="s">
        <v>205</v>
      </c>
    </row>
    <row r="2491" spans="1:13" hidden="1">
      <c r="A2491" t="s">
        <v>163</v>
      </c>
      <c r="B2491" t="s">
        <v>164</v>
      </c>
      <c r="C2491" t="s">
        <v>19</v>
      </c>
      <c r="D2491" t="str">
        <f>LEFT(M2491,10)</f>
        <v>12/15/2024</v>
      </c>
      <c r="E2491" t="s">
        <v>202</v>
      </c>
      <c r="F2491" t="s">
        <v>227</v>
      </c>
      <c r="G2491" t="s">
        <v>229</v>
      </c>
      <c r="I2491">
        <v>10900</v>
      </c>
      <c r="J2491">
        <v>6540</v>
      </c>
      <c r="K2491">
        <v>0.6</v>
      </c>
      <c r="M2491" t="s">
        <v>205</v>
      </c>
    </row>
    <row r="2492" spans="1:13" hidden="1">
      <c r="A2492" t="s">
        <v>163</v>
      </c>
      <c r="B2492" t="s">
        <v>164</v>
      </c>
      <c r="C2492" t="s">
        <v>19</v>
      </c>
      <c r="D2492" t="str">
        <f>LEFT(M2492,10)</f>
        <v>12/15/2024</v>
      </c>
      <c r="E2492" t="s">
        <v>202</v>
      </c>
      <c r="F2492" t="s">
        <v>227</v>
      </c>
      <c r="G2492" t="s">
        <v>238</v>
      </c>
      <c r="I2492">
        <v>270</v>
      </c>
      <c r="J2492">
        <v>94.5</v>
      </c>
      <c r="K2492">
        <v>0.35</v>
      </c>
      <c r="M2492" t="s">
        <v>205</v>
      </c>
    </row>
    <row r="2493" spans="1:13" hidden="1">
      <c r="A2493" t="s">
        <v>163</v>
      </c>
      <c r="B2493" t="s">
        <v>164</v>
      </c>
      <c r="C2493" t="s">
        <v>19</v>
      </c>
      <c r="D2493" t="str">
        <f>LEFT(M2493,10)</f>
        <v>12/15/2024</v>
      </c>
      <c r="E2493" t="s">
        <v>202</v>
      </c>
      <c r="F2493" t="s">
        <v>227</v>
      </c>
      <c r="G2493" t="s">
        <v>252</v>
      </c>
      <c r="I2493">
        <v>920</v>
      </c>
      <c r="J2493">
        <v>368</v>
      </c>
      <c r="K2493">
        <v>0.4</v>
      </c>
      <c r="M2493" t="s">
        <v>205</v>
      </c>
    </row>
    <row r="2494" spans="1:13" hidden="1">
      <c r="A2494" t="s">
        <v>163</v>
      </c>
      <c r="B2494" t="s">
        <v>164</v>
      </c>
      <c r="C2494" t="s">
        <v>19</v>
      </c>
      <c r="D2494" t="str">
        <f>LEFT(M2494,10)</f>
        <v>12/15/2024</v>
      </c>
      <c r="E2494" t="s">
        <v>202</v>
      </c>
      <c r="F2494" t="s">
        <v>218</v>
      </c>
      <c r="G2494" t="s">
        <v>224</v>
      </c>
      <c r="I2494">
        <v>248</v>
      </c>
      <c r="J2494">
        <v>223.2</v>
      </c>
      <c r="K2494">
        <v>0.9</v>
      </c>
      <c r="M2494" t="s">
        <v>205</v>
      </c>
    </row>
    <row r="2495" spans="1:13" hidden="1">
      <c r="A2495" t="s">
        <v>163</v>
      </c>
      <c r="B2495" t="s">
        <v>164</v>
      </c>
      <c r="C2495" t="s">
        <v>19</v>
      </c>
      <c r="D2495" t="str">
        <f>LEFT(M2495,10)</f>
        <v>12/15/2024</v>
      </c>
      <c r="E2495" t="s">
        <v>202</v>
      </c>
      <c r="F2495" t="s">
        <v>218</v>
      </c>
      <c r="G2495" t="s">
        <v>221</v>
      </c>
      <c r="I2495">
        <v>534</v>
      </c>
      <c r="J2495">
        <v>1228.3</v>
      </c>
      <c r="K2495">
        <v>2.2999999999999998</v>
      </c>
      <c r="M2495" t="s">
        <v>205</v>
      </c>
    </row>
    <row r="2496" spans="1:13" hidden="1">
      <c r="A2496" t="s">
        <v>163</v>
      </c>
      <c r="B2496" t="s">
        <v>164</v>
      </c>
      <c r="C2496" t="s">
        <v>19</v>
      </c>
      <c r="D2496" t="str">
        <f>LEFT(M2496,10)</f>
        <v>12/15/2024</v>
      </c>
      <c r="E2496" t="s">
        <v>202</v>
      </c>
      <c r="F2496" t="s">
        <v>218</v>
      </c>
      <c r="G2496" t="s">
        <v>220</v>
      </c>
      <c r="I2496">
        <v>597</v>
      </c>
      <c r="J2496">
        <v>835.8</v>
      </c>
      <c r="K2496">
        <v>1.4</v>
      </c>
      <c r="M2496" t="s">
        <v>205</v>
      </c>
    </row>
    <row r="2497" spans="1:13" hidden="1">
      <c r="A2497" t="s">
        <v>163</v>
      </c>
      <c r="B2497" t="s">
        <v>164</v>
      </c>
      <c r="C2497" t="s">
        <v>19</v>
      </c>
      <c r="D2497" t="str">
        <f>LEFT(M2497,10)</f>
        <v>12/15/2024</v>
      </c>
      <c r="E2497" t="s">
        <v>202</v>
      </c>
      <c r="F2497" t="s">
        <v>218</v>
      </c>
      <c r="G2497" t="s">
        <v>223</v>
      </c>
      <c r="I2497">
        <v>130</v>
      </c>
      <c r="J2497">
        <v>84.5</v>
      </c>
      <c r="K2497">
        <v>0.65</v>
      </c>
      <c r="M2497" t="s">
        <v>205</v>
      </c>
    </row>
    <row r="2498" spans="1:13" hidden="1">
      <c r="A2498" t="s">
        <v>163</v>
      </c>
      <c r="B2498" t="s">
        <v>164</v>
      </c>
      <c r="C2498" t="s">
        <v>19</v>
      </c>
      <c r="D2498" t="str">
        <f>LEFT(M2498,10)</f>
        <v>12/15/2024</v>
      </c>
      <c r="E2498" t="s">
        <v>202</v>
      </c>
      <c r="F2498" t="s">
        <v>218</v>
      </c>
      <c r="G2498" t="s">
        <v>241</v>
      </c>
      <c r="I2498">
        <v>110</v>
      </c>
      <c r="J2498">
        <v>484</v>
      </c>
      <c r="K2498">
        <v>4.4000000000000004</v>
      </c>
      <c r="M2498" t="s">
        <v>205</v>
      </c>
    </row>
    <row r="2499" spans="1:13" hidden="1">
      <c r="A2499" t="s">
        <v>163</v>
      </c>
      <c r="B2499" t="s">
        <v>164</v>
      </c>
      <c r="C2499" t="s">
        <v>19</v>
      </c>
      <c r="D2499" t="str">
        <f>LEFT(M2499,10)</f>
        <v>12/15/2024</v>
      </c>
      <c r="E2499" t="s">
        <v>202</v>
      </c>
      <c r="F2499" t="s">
        <v>218</v>
      </c>
      <c r="G2499" t="s">
        <v>219</v>
      </c>
      <c r="I2499">
        <v>52</v>
      </c>
      <c r="J2499">
        <v>20.8</v>
      </c>
      <c r="K2499">
        <v>0.4</v>
      </c>
      <c r="M2499" t="s">
        <v>205</v>
      </c>
    </row>
    <row r="2500" spans="1:13" hidden="1">
      <c r="A2500" t="s">
        <v>163</v>
      </c>
      <c r="B2500" t="s">
        <v>164</v>
      </c>
      <c r="C2500" t="s">
        <v>19</v>
      </c>
      <c r="D2500" t="str">
        <f>LEFT(M2500,10)</f>
        <v>12/15/2024</v>
      </c>
      <c r="E2500" t="s">
        <v>202</v>
      </c>
      <c r="F2500" t="s">
        <v>218</v>
      </c>
      <c r="G2500" t="s">
        <v>240</v>
      </c>
      <c r="I2500">
        <v>1267</v>
      </c>
      <c r="J2500">
        <v>5701.5</v>
      </c>
      <c r="K2500">
        <v>4.5</v>
      </c>
      <c r="M2500" t="s">
        <v>205</v>
      </c>
    </row>
    <row r="2501" spans="1:13" hidden="1">
      <c r="A2501" t="s">
        <v>163</v>
      </c>
      <c r="B2501" t="s">
        <v>164</v>
      </c>
      <c r="C2501" t="s">
        <v>19</v>
      </c>
      <c r="D2501" t="str">
        <f>LEFT(M2501,10)</f>
        <v>12/15/2024</v>
      </c>
      <c r="E2501" t="s">
        <v>202</v>
      </c>
      <c r="F2501" t="s">
        <v>218</v>
      </c>
      <c r="G2501" t="s">
        <v>242</v>
      </c>
      <c r="I2501">
        <v>66</v>
      </c>
      <c r="J2501">
        <v>132</v>
      </c>
      <c r="K2501">
        <v>2</v>
      </c>
      <c r="M2501" t="s">
        <v>205</v>
      </c>
    </row>
    <row r="2502" spans="1:13" hidden="1">
      <c r="A2502" t="s">
        <v>163</v>
      </c>
      <c r="B2502" t="s">
        <v>164</v>
      </c>
      <c r="C2502" t="s">
        <v>19</v>
      </c>
      <c r="D2502" t="str">
        <f>LEFT(M2502,10)</f>
        <v>12/15/2024</v>
      </c>
      <c r="E2502" t="s">
        <v>202</v>
      </c>
      <c r="F2502" t="s">
        <v>218</v>
      </c>
      <c r="G2502" t="s">
        <v>222</v>
      </c>
      <c r="I2502">
        <v>284</v>
      </c>
      <c r="J2502">
        <v>369.2</v>
      </c>
      <c r="K2502">
        <v>1.3</v>
      </c>
      <c r="M2502" t="s">
        <v>205</v>
      </c>
    </row>
    <row r="2503" spans="1:13" hidden="1">
      <c r="A2503" t="s">
        <v>163</v>
      </c>
      <c r="B2503" t="s">
        <v>164</v>
      </c>
      <c r="C2503" t="s">
        <v>19</v>
      </c>
      <c r="D2503" t="str">
        <f>LEFT(M2503,10)</f>
        <v>12/15/2024</v>
      </c>
      <c r="E2503" t="s">
        <v>202</v>
      </c>
      <c r="F2503" t="s">
        <v>218</v>
      </c>
      <c r="G2503" t="s">
        <v>222</v>
      </c>
      <c r="I2503">
        <v>617</v>
      </c>
      <c r="J2503">
        <v>1048.9000000000001</v>
      </c>
      <c r="K2503">
        <v>1.7</v>
      </c>
      <c r="M2503" t="s">
        <v>205</v>
      </c>
    </row>
    <row r="2504" spans="1:13" hidden="1">
      <c r="A2504" t="s">
        <v>163</v>
      </c>
      <c r="B2504" t="s">
        <v>164</v>
      </c>
      <c r="C2504" t="s">
        <v>19</v>
      </c>
      <c r="D2504" t="str">
        <f>LEFT(M2504,10)</f>
        <v>12/15/2024</v>
      </c>
      <c r="E2504" t="s">
        <v>202</v>
      </c>
      <c r="F2504" t="s">
        <v>218</v>
      </c>
      <c r="G2504" t="s">
        <v>222</v>
      </c>
      <c r="I2504">
        <v>593</v>
      </c>
      <c r="J2504">
        <v>948.8</v>
      </c>
      <c r="K2504">
        <v>1.6</v>
      </c>
      <c r="M2504" t="s">
        <v>205</v>
      </c>
    </row>
    <row r="2505" spans="1:13" hidden="1">
      <c r="A2505" t="s">
        <v>163</v>
      </c>
      <c r="B2505" t="s">
        <v>164</v>
      </c>
      <c r="C2505" t="s">
        <v>19</v>
      </c>
      <c r="D2505" t="str">
        <f>LEFT(M2505,10)</f>
        <v>12/15/2024</v>
      </c>
      <c r="E2505" t="s">
        <v>202</v>
      </c>
      <c r="F2505" t="s">
        <v>218</v>
      </c>
      <c r="G2505" t="s">
        <v>223</v>
      </c>
      <c r="I2505">
        <v>401</v>
      </c>
      <c r="J2505">
        <v>300.75</v>
      </c>
      <c r="K2505">
        <v>0.75</v>
      </c>
      <c r="M2505" t="s">
        <v>205</v>
      </c>
    </row>
    <row r="2506" spans="1:13" hidden="1">
      <c r="A2506" t="s">
        <v>163</v>
      </c>
      <c r="B2506" t="s">
        <v>164</v>
      </c>
      <c r="C2506" t="s">
        <v>19</v>
      </c>
      <c r="D2506" t="str">
        <f>LEFT(M2506,10)</f>
        <v>12/15/2024</v>
      </c>
      <c r="E2506" t="s">
        <v>202</v>
      </c>
      <c r="F2506" t="s">
        <v>218</v>
      </c>
      <c r="G2506" t="s">
        <v>245</v>
      </c>
      <c r="I2506">
        <v>172</v>
      </c>
      <c r="J2506">
        <v>8.6</v>
      </c>
      <c r="K2506">
        <v>0.05</v>
      </c>
      <c r="M2506" t="s">
        <v>205</v>
      </c>
    </row>
    <row r="2507" spans="1:13" hidden="1">
      <c r="A2507" t="s">
        <v>163</v>
      </c>
      <c r="B2507" t="s">
        <v>164</v>
      </c>
      <c r="C2507" t="s">
        <v>19</v>
      </c>
      <c r="D2507" t="str">
        <f>LEFT(M2507,10)</f>
        <v>12/15/2024</v>
      </c>
      <c r="E2507" t="s">
        <v>202</v>
      </c>
      <c r="F2507" t="s">
        <v>218</v>
      </c>
      <c r="G2507" t="s">
        <v>226</v>
      </c>
      <c r="I2507">
        <v>69</v>
      </c>
      <c r="J2507">
        <v>20.7</v>
      </c>
      <c r="K2507">
        <v>0.3</v>
      </c>
      <c r="M2507" t="s">
        <v>205</v>
      </c>
    </row>
    <row r="2508" spans="1:13" hidden="1">
      <c r="A2508" t="s">
        <v>163</v>
      </c>
      <c r="B2508" t="s">
        <v>164</v>
      </c>
      <c r="C2508" t="s">
        <v>19</v>
      </c>
      <c r="D2508" t="str">
        <f>LEFT(M2508,10)</f>
        <v>12/15/2024</v>
      </c>
      <c r="E2508" t="s">
        <v>202</v>
      </c>
      <c r="F2508" t="s">
        <v>203</v>
      </c>
      <c r="G2508" t="s">
        <v>207</v>
      </c>
      <c r="I2508">
        <v>3</v>
      </c>
      <c r="J2508">
        <v>22.5</v>
      </c>
      <c r="K2508">
        <v>7.5</v>
      </c>
      <c r="M2508" t="s">
        <v>205</v>
      </c>
    </row>
    <row r="2509" spans="1:13" hidden="1">
      <c r="A2509" t="s">
        <v>163</v>
      </c>
      <c r="B2509" t="s">
        <v>164</v>
      </c>
      <c r="C2509" t="s">
        <v>19</v>
      </c>
      <c r="D2509" t="str">
        <f>LEFT(M2509,10)</f>
        <v>12/15/2024</v>
      </c>
      <c r="E2509" t="s">
        <v>202</v>
      </c>
      <c r="F2509" t="s">
        <v>203</v>
      </c>
      <c r="G2509" t="s">
        <v>259</v>
      </c>
      <c r="I2509">
        <v>8</v>
      </c>
      <c r="J2509">
        <v>80</v>
      </c>
      <c r="K2509">
        <v>10</v>
      </c>
      <c r="M2509" t="s">
        <v>205</v>
      </c>
    </row>
    <row r="2510" spans="1:13" hidden="1">
      <c r="A2510" t="s">
        <v>163</v>
      </c>
      <c r="B2510" t="s">
        <v>164</v>
      </c>
      <c r="C2510" t="s">
        <v>19</v>
      </c>
      <c r="D2510" t="str">
        <f>LEFT(M2510,10)</f>
        <v>12/15/2024</v>
      </c>
      <c r="E2510" t="s">
        <v>202</v>
      </c>
      <c r="F2510" t="s">
        <v>203</v>
      </c>
      <c r="G2510" t="s">
        <v>208</v>
      </c>
      <c r="I2510">
        <v>11</v>
      </c>
      <c r="J2510">
        <v>110</v>
      </c>
      <c r="K2510">
        <v>10</v>
      </c>
      <c r="M2510" t="s">
        <v>205</v>
      </c>
    </row>
    <row r="2511" spans="1:13" hidden="1">
      <c r="A2511" t="s">
        <v>163</v>
      </c>
      <c r="B2511" t="s">
        <v>164</v>
      </c>
      <c r="C2511" t="s">
        <v>19</v>
      </c>
      <c r="D2511" t="str">
        <f>LEFT(M2511,10)</f>
        <v>12/15/2024</v>
      </c>
      <c r="E2511" t="s">
        <v>202</v>
      </c>
      <c r="F2511" t="s">
        <v>203</v>
      </c>
      <c r="G2511" t="s">
        <v>235</v>
      </c>
      <c r="I2511">
        <v>15</v>
      </c>
      <c r="J2511">
        <v>112.5</v>
      </c>
      <c r="K2511">
        <v>7.5</v>
      </c>
      <c r="M2511" t="s">
        <v>205</v>
      </c>
    </row>
    <row r="2512" spans="1:13" hidden="1">
      <c r="A2512" t="s">
        <v>163</v>
      </c>
      <c r="B2512" t="s">
        <v>164</v>
      </c>
      <c r="C2512" t="s">
        <v>19</v>
      </c>
      <c r="D2512" t="str">
        <f>LEFT(M2512,10)</f>
        <v>12/15/2024</v>
      </c>
      <c r="E2512" t="s">
        <v>202</v>
      </c>
      <c r="F2512" t="s">
        <v>203</v>
      </c>
      <c r="G2512" t="s">
        <v>236</v>
      </c>
      <c r="I2512">
        <v>1140</v>
      </c>
      <c r="J2512">
        <v>456</v>
      </c>
      <c r="K2512">
        <v>0.4</v>
      </c>
      <c r="M2512" t="s">
        <v>205</v>
      </c>
    </row>
    <row r="2513" spans="1:13" hidden="1">
      <c r="A2513" t="s">
        <v>163</v>
      </c>
      <c r="B2513" t="s">
        <v>164</v>
      </c>
      <c r="C2513" t="s">
        <v>19</v>
      </c>
      <c r="D2513" t="str">
        <f>LEFT(M2513,10)</f>
        <v>12/15/2024</v>
      </c>
      <c r="E2513" t="s">
        <v>202</v>
      </c>
      <c r="F2513" t="s">
        <v>203</v>
      </c>
      <c r="G2513" t="s">
        <v>204</v>
      </c>
      <c r="I2513">
        <v>88</v>
      </c>
      <c r="J2513">
        <v>792</v>
      </c>
      <c r="K2513">
        <v>9</v>
      </c>
      <c r="M2513" t="s">
        <v>205</v>
      </c>
    </row>
    <row r="2514" spans="1:13" hidden="1">
      <c r="A2514" t="s">
        <v>163</v>
      </c>
      <c r="B2514" t="s">
        <v>164</v>
      </c>
      <c r="C2514" t="s">
        <v>19</v>
      </c>
      <c r="D2514" t="str">
        <f>LEFT(M2514,10)</f>
        <v>12/15/2024</v>
      </c>
      <c r="E2514" t="s">
        <v>202</v>
      </c>
      <c r="F2514" t="s">
        <v>203</v>
      </c>
      <c r="G2514" t="s">
        <v>261</v>
      </c>
      <c r="I2514">
        <v>28</v>
      </c>
      <c r="J2514">
        <v>336</v>
      </c>
      <c r="K2514">
        <v>12</v>
      </c>
      <c r="M2514" t="s">
        <v>205</v>
      </c>
    </row>
    <row r="2515" spans="1:13" hidden="1">
      <c r="A2515" t="s">
        <v>163</v>
      </c>
      <c r="B2515" t="s">
        <v>164</v>
      </c>
      <c r="C2515" t="s">
        <v>19</v>
      </c>
      <c r="D2515" t="str">
        <f>LEFT(M2515,10)</f>
        <v>12/15/2024</v>
      </c>
      <c r="E2515" t="s">
        <v>202</v>
      </c>
      <c r="F2515" t="s">
        <v>203</v>
      </c>
      <c r="G2515" t="s">
        <v>259</v>
      </c>
      <c r="I2515">
        <v>0.8</v>
      </c>
      <c r="J2515">
        <v>19.2</v>
      </c>
      <c r="K2515">
        <v>24</v>
      </c>
      <c r="M2515" t="s">
        <v>205</v>
      </c>
    </row>
    <row r="2516" spans="1:13" hidden="1">
      <c r="A2516" t="s">
        <v>163</v>
      </c>
      <c r="B2516" t="s">
        <v>164</v>
      </c>
      <c r="C2516" t="s">
        <v>19</v>
      </c>
      <c r="D2516" t="str">
        <f>LEFT(M2516,10)</f>
        <v>12/15/2024</v>
      </c>
      <c r="E2516" t="s">
        <v>202</v>
      </c>
      <c r="F2516" t="s">
        <v>218</v>
      </c>
      <c r="G2516" t="s">
        <v>239</v>
      </c>
      <c r="I2516">
        <v>235</v>
      </c>
      <c r="J2516">
        <v>117.5</v>
      </c>
      <c r="K2516">
        <v>0.5</v>
      </c>
      <c r="M2516" t="s">
        <v>205</v>
      </c>
    </row>
    <row r="2517" spans="1:13" hidden="1">
      <c r="A2517" t="s">
        <v>163</v>
      </c>
      <c r="B2517" t="s">
        <v>164</v>
      </c>
      <c r="C2517" t="s">
        <v>19</v>
      </c>
      <c r="D2517" t="str">
        <f>LEFT(M2517,10)</f>
        <v>12/15/2024</v>
      </c>
      <c r="E2517" t="s">
        <v>202</v>
      </c>
      <c r="F2517" t="s">
        <v>216</v>
      </c>
      <c r="G2517" t="s">
        <v>253</v>
      </c>
      <c r="I2517">
        <v>7150</v>
      </c>
      <c r="J2517">
        <v>715</v>
      </c>
      <c r="K2517">
        <v>0.1</v>
      </c>
      <c r="M2517" t="s">
        <v>205</v>
      </c>
    </row>
    <row r="2518" spans="1:13" hidden="1">
      <c r="A2518" t="s">
        <v>163</v>
      </c>
      <c r="B2518" t="s">
        <v>164</v>
      </c>
      <c r="C2518" t="s">
        <v>19</v>
      </c>
      <c r="D2518" t="str">
        <f>LEFT(M2518,10)</f>
        <v>12/15/2024</v>
      </c>
      <c r="E2518" t="s">
        <v>230</v>
      </c>
      <c r="F2518" t="s">
        <v>248</v>
      </c>
      <c r="I2518">
        <v>0</v>
      </c>
      <c r="J2518">
        <v>34389.49</v>
      </c>
      <c r="M2518" t="s">
        <v>205</v>
      </c>
    </row>
    <row r="2519" spans="1:13" hidden="1">
      <c r="A2519" t="s">
        <v>163</v>
      </c>
      <c r="B2519" t="s">
        <v>164</v>
      </c>
      <c r="C2519" t="s">
        <v>19</v>
      </c>
      <c r="D2519" t="str">
        <f>LEFT(M2519,10)</f>
        <v>12/15/2024</v>
      </c>
      <c r="E2519" t="s">
        <v>232</v>
      </c>
      <c r="F2519" t="s">
        <v>262</v>
      </c>
      <c r="I2519">
        <v>0</v>
      </c>
      <c r="J2519">
        <v>4705.09</v>
      </c>
      <c r="M2519" t="s">
        <v>205</v>
      </c>
    </row>
    <row r="2520" spans="1:13" hidden="1">
      <c r="A2520" t="s">
        <v>163</v>
      </c>
      <c r="B2520" t="s">
        <v>164</v>
      </c>
      <c r="C2520" t="s">
        <v>19</v>
      </c>
      <c r="D2520" t="str">
        <f>LEFT(M2520,10)</f>
        <v>12/15/2024</v>
      </c>
      <c r="E2520" t="s">
        <v>232</v>
      </c>
      <c r="F2520" t="s">
        <v>255</v>
      </c>
      <c r="I2520">
        <v>0</v>
      </c>
      <c r="J2520">
        <v>5244.09</v>
      </c>
      <c r="L2520" t="s">
        <v>263</v>
      </c>
      <c r="M2520" t="s">
        <v>205</v>
      </c>
    </row>
    <row r="2521" spans="1:13" hidden="1">
      <c r="A2521" t="s">
        <v>163</v>
      </c>
      <c r="B2521" t="s">
        <v>164</v>
      </c>
      <c r="C2521" t="s">
        <v>19</v>
      </c>
      <c r="D2521" t="str">
        <f>LEFT(M2521,10)</f>
        <v>12/15/2024</v>
      </c>
      <c r="E2521" t="s">
        <v>232</v>
      </c>
      <c r="F2521" t="s">
        <v>255</v>
      </c>
      <c r="I2521">
        <v>0</v>
      </c>
      <c r="J2521">
        <v>765</v>
      </c>
      <c r="L2521" t="s">
        <v>277</v>
      </c>
      <c r="M2521" t="s">
        <v>205</v>
      </c>
    </row>
    <row r="2522" spans="1:13" hidden="1">
      <c r="A2522" t="s">
        <v>163</v>
      </c>
      <c r="B2522" t="s">
        <v>164</v>
      </c>
      <c r="C2522" t="s">
        <v>19</v>
      </c>
      <c r="D2522" t="str">
        <f>LEFT(M2522,10)</f>
        <v>12/15/2024</v>
      </c>
      <c r="E2522" t="s">
        <v>232</v>
      </c>
      <c r="F2522" t="s">
        <v>255</v>
      </c>
      <c r="I2522">
        <v>0</v>
      </c>
      <c r="J2522">
        <v>10018.44</v>
      </c>
      <c r="L2522" t="s">
        <v>453</v>
      </c>
      <c r="M2522" t="s">
        <v>205</v>
      </c>
    </row>
    <row r="2523" spans="1:13" hidden="1">
      <c r="A2523" t="s">
        <v>163</v>
      </c>
      <c r="B2523" t="s">
        <v>164</v>
      </c>
      <c r="C2523" t="s">
        <v>19</v>
      </c>
      <c r="D2523" t="str">
        <f>LEFT(M2523,10)</f>
        <v>12/15/2024</v>
      </c>
      <c r="E2523" t="s">
        <v>232</v>
      </c>
      <c r="F2523" t="s">
        <v>255</v>
      </c>
      <c r="I2523">
        <v>0</v>
      </c>
      <c r="J2523">
        <v>440</v>
      </c>
      <c r="L2523" t="s">
        <v>454</v>
      </c>
      <c r="M2523" t="s">
        <v>205</v>
      </c>
    </row>
    <row r="2524" spans="1:13" hidden="1">
      <c r="A2524" t="s">
        <v>163</v>
      </c>
      <c r="B2524" t="s">
        <v>164</v>
      </c>
      <c r="C2524" t="s">
        <v>19</v>
      </c>
      <c r="D2524" t="str">
        <f>LEFT(M2524,10)</f>
        <v>12/15/2024</v>
      </c>
      <c r="E2524" t="s">
        <v>234</v>
      </c>
      <c r="F2524" t="s">
        <v>234</v>
      </c>
      <c r="I2524">
        <v>4451.82</v>
      </c>
      <c r="M2524" t="s">
        <v>205</v>
      </c>
    </row>
    <row r="2525" spans="1:13" hidden="1">
      <c r="A2525" t="s">
        <v>131</v>
      </c>
      <c r="B2525" t="s">
        <v>8</v>
      </c>
      <c r="C2525" t="s">
        <v>28</v>
      </c>
      <c r="D2525" t="str">
        <f>LEFT(M2525,10)</f>
        <v>12/15/2024</v>
      </c>
      <c r="E2525" t="s">
        <v>202</v>
      </c>
      <c r="F2525" t="s">
        <v>227</v>
      </c>
      <c r="G2525" t="s">
        <v>229</v>
      </c>
      <c r="I2525">
        <v>3505</v>
      </c>
      <c r="J2525">
        <v>2453.5</v>
      </c>
      <c r="K2525">
        <v>0.7</v>
      </c>
      <c r="M2525" t="s">
        <v>205</v>
      </c>
    </row>
    <row r="2526" spans="1:13" hidden="1">
      <c r="A2526" t="s">
        <v>131</v>
      </c>
      <c r="B2526" t="s">
        <v>8</v>
      </c>
      <c r="C2526" t="s">
        <v>28</v>
      </c>
      <c r="D2526" t="str">
        <f>LEFT(M2526,10)</f>
        <v>12/15/2024</v>
      </c>
      <c r="E2526" t="s">
        <v>202</v>
      </c>
      <c r="F2526" t="s">
        <v>218</v>
      </c>
      <c r="G2526" t="s">
        <v>225</v>
      </c>
      <c r="I2526">
        <v>66</v>
      </c>
      <c r="J2526">
        <v>13.2</v>
      </c>
      <c r="K2526">
        <v>0.2</v>
      </c>
      <c r="M2526" t="s">
        <v>205</v>
      </c>
    </row>
    <row r="2527" spans="1:13" hidden="1">
      <c r="A2527" t="s">
        <v>131</v>
      </c>
      <c r="B2527" t="s">
        <v>8</v>
      </c>
      <c r="C2527" t="s">
        <v>28</v>
      </c>
      <c r="D2527" t="str">
        <f>LEFT(M2527,10)</f>
        <v>12/15/2024</v>
      </c>
      <c r="E2527" t="s">
        <v>202</v>
      </c>
      <c r="F2527" t="s">
        <v>218</v>
      </c>
      <c r="G2527" t="s">
        <v>222</v>
      </c>
      <c r="I2527">
        <v>230</v>
      </c>
      <c r="J2527">
        <v>138</v>
      </c>
      <c r="K2527">
        <v>0.6</v>
      </c>
      <c r="M2527" t="s">
        <v>205</v>
      </c>
    </row>
    <row r="2528" spans="1:13" hidden="1">
      <c r="A2528" t="s">
        <v>131</v>
      </c>
      <c r="B2528" t="s">
        <v>8</v>
      </c>
      <c r="C2528" t="s">
        <v>28</v>
      </c>
      <c r="D2528" t="str">
        <f>LEFT(M2528,10)</f>
        <v>12/15/2024</v>
      </c>
      <c r="E2528" t="s">
        <v>202</v>
      </c>
      <c r="F2528" t="s">
        <v>218</v>
      </c>
      <c r="G2528" t="s">
        <v>240</v>
      </c>
      <c r="I2528">
        <v>326</v>
      </c>
      <c r="J2528">
        <v>1141</v>
      </c>
      <c r="K2528">
        <v>3.5</v>
      </c>
      <c r="M2528" t="s">
        <v>205</v>
      </c>
    </row>
    <row r="2529" spans="1:13" hidden="1">
      <c r="A2529" t="s">
        <v>131</v>
      </c>
      <c r="B2529" t="s">
        <v>8</v>
      </c>
      <c r="C2529" t="s">
        <v>28</v>
      </c>
      <c r="D2529" t="str">
        <f>LEFT(M2529,10)</f>
        <v>12/15/2024</v>
      </c>
      <c r="E2529" t="s">
        <v>202</v>
      </c>
      <c r="F2529" t="s">
        <v>227</v>
      </c>
      <c r="G2529" t="s">
        <v>228</v>
      </c>
      <c r="I2529">
        <v>1004</v>
      </c>
      <c r="J2529">
        <v>301.2</v>
      </c>
      <c r="K2529">
        <v>0.3</v>
      </c>
      <c r="M2529" t="s">
        <v>205</v>
      </c>
    </row>
    <row r="2530" spans="1:13" hidden="1">
      <c r="A2530" t="s">
        <v>131</v>
      </c>
      <c r="B2530" t="s">
        <v>8</v>
      </c>
      <c r="C2530" t="s">
        <v>28</v>
      </c>
      <c r="D2530" t="str">
        <f>LEFT(M2530,10)</f>
        <v>12/15/2024</v>
      </c>
      <c r="E2530" t="s">
        <v>202</v>
      </c>
      <c r="F2530" t="s">
        <v>218</v>
      </c>
      <c r="G2530" t="s">
        <v>240</v>
      </c>
      <c r="I2530">
        <v>462</v>
      </c>
      <c r="J2530">
        <v>600.6</v>
      </c>
      <c r="K2530">
        <v>1.3</v>
      </c>
      <c r="M2530" t="s">
        <v>205</v>
      </c>
    </row>
    <row r="2531" spans="1:13" hidden="1">
      <c r="A2531" t="s">
        <v>131</v>
      </c>
      <c r="B2531" t="s">
        <v>8</v>
      </c>
      <c r="C2531" t="s">
        <v>28</v>
      </c>
      <c r="D2531" t="str">
        <f>LEFT(M2531,10)</f>
        <v>12/15/2024</v>
      </c>
      <c r="E2531" t="s">
        <v>202</v>
      </c>
      <c r="F2531" t="s">
        <v>218</v>
      </c>
      <c r="G2531" t="s">
        <v>241</v>
      </c>
      <c r="I2531">
        <v>43</v>
      </c>
      <c r="J2531">
        <v>150.5</v>
      </c>
      <c r="K2531">
        <v>3.5</v>
      </c>
      <c r="M2531" t="s">
        <v>205</v>
      </c>
    </row>
    <row r="2532" spans="1:13" hidden="1">
      <c r="A2532" t="s">
        <v>131</v>
      </c>
      <c r="B2532" t="s">
        <v>8</v>
      </c>
      <c r="C2532" t="s">
        <v>28</v>
      </c>
      <c r="D2532" t="str">
        <f>LEFT(M2532,10)</f>
        <v>12/15/2024</v>
      </c>
      <c r="E2532" t="s">
        <v>202</v>
      </c>
      <c r="F2532" t="s">
        <v>218</v>
      </c>
      <c r="G2532" t="s">
        <v>222</v>
      </c>
      <c r="I2532">
        <v>166</v>
      </c>
      <c r="J2532">
        <v>348.6</v>
      </c>
      <c r="K2532">
        <v>2.1</v>
      </c>
      <c r="M2532" t="s">
        <v>205</v>
      </c>
    </row>
    <row r="2533" spans="1:13" hidden="1">
      <c r="A2533" t="s">
        <v>131</v>
      </c>
      <c r="B2533" t="s">
        <v>8</v>
      </c>
      <c r="C2533" t="s">
        <v>28</v>
      </c>
      <c r="D2533" t="str">
        <f>LEFT(M2533,10)</f>
        <v>12/15/2024</v>
      </c>
      <c r="E2533" t="s">
        <v>202</v>
      </c>
      <c r="F2533" t="s">
        <v>218</v>
      </c>
      <c r="G2533" t="s">
        <v>222</v>
      </c>
      <c r="I2533">
        <v>130</v>
      </c>
      <c r="J2533">
        <v>26</v>
      </c>
      <c r="K2533">
        <v>0.2</v>
      </c>
      <c r="M2533" t="s">
        <v>205</v>
      </c>
    </row>
    <row r="2534" spans="1:13" hidden="1">
      <c r="A2534" t="s">
        <v>131</v>
      </c>
      <c r="B2534" t="s">
        <v>8</v>
      </c>
      <c r="C2534" t="s">
        <v>28</v>
      </c>
      <c r="D2534" t="str">
        <f>LEFT(M2534,10)</f>
        <v>12/15/2024</v>
      </c>
      <c r="E2534" t="s">
        <v>202</v>
      </c>
      <c r="F2534" t="s">
        <v>227</v>
      </c>
      <c r="G2534" t="s">
        <v>237</v>
      </c>
      <c r="I2534">
        <v>237</v>
      </c>
      <c r="J2534">
        <v>94.8</v>
      </c>
      <c r="K2534">
        <v>0.4</v>
      </c>
      <c r="M2534" t="s">
        <v>205</v>
      </c>
    </row>
    <row r="2535" spans="1:13" hidden="1">
      <c r="A2535" t="s">
        <v>131</v>
      </c>
      <c r="B2535" t="s">
        <v>8</v>
      </c>
      <c r="C2535" t="s">
        <v>28</v>
      </c>
      <c r="D2535" t="str">
        <f>LEFT(M2535,10)</f>
        <v>12/15/2024</v>
      </c>
      <c r="E2535" t="s">
        <v>202</v>
      </c>
      <c r="F2535" t="s">
        <v>218</v>
      </c>
      <c r="G2535" t="s">
        <v>223</v>
      </c>
      <c r="I2535">
        <v>172</v>
      </c>
      <c r="J2535">
        <v>68.8</v>
      </c>
      <c r="K2535">
        <v>0.4</v>
      </c>
      <c r="M2535" t="s">
        <v>205</v>
      </c>
    </row>
    <row r="2536" spans="1:13" hidden="1">
      <c r="A2536" t="s">
        <v>131</v>
      </c>
      <c r="B2536" t="s">
        <v>8</v>
      </c>
      <c r="C2536" t="s">
        <v>28</v>
      </c>
      <c r="D2536" t="str">
        <f>LEFT(M2536,10)</f>
        <v>12/15/2024</v>
      </c>
      <c r="E2536" t="s">
        <v>202</v>
      </c>
      <c r="F2536" t="s">
        <v>227</v>
      </c>
      <c r="G2536" t="s">
        <v>252</v>
      </c>
      <c r="I2536">
        <v>143</v>
      </c>
      <c r="J2536">
        <v>14.3</v>
      </c>
      <c r="K2536">
        <v>0.1</v>
      </c>
      <c r="M2536" t="s">
        <v>205</v>
      </c>
    </row>
    <row r="2537" spans="1:13" hidden="1">
      <c r="A2537" t="s">
        <v>131</v>
      </c>
      <c r="B2537" t="s">
        <v>8</v>
      </c>
      <c r="C2537" t="s">
        <v>28</v>
      </c>
      <c r="D2537" t="str">
        <f>LEFT(M2537,10)</f>
        <v>12/15/2024</v>
      </c>
      <c r="E2537" t="s">
        <v>202</v>
      </c>
      <c r="F2537" t="s">
        <v>218</v>
      </c>
      <c r="G2537" t="s">
        <v>266</v>
      </c>
      <c r="I2537">
        <v>126</v>
      </c>
      <c r="J2537">
        <v>6.3</v>
      </c>
      <c r="K2537">
        <v>0.05</v>
      </c>
      <c r="M2537" t="s">
        <v>205</v>
      </c>
    </row>
    <row r="2538" spans="1:13" hidden="1">
      <c r="A2538" t="s">
        <v>131</v>
      </c>
      <c r="B2538" t="s">
        <v>8</v>
      </c>
      <c r="C2538" t="s">
        <v>28</v>
      </c>
      <c r="D2538" t="str">
        <f>LEFT(M2538,10)</f>
        <v>12/15/2024</v>
      </c>
      <c r="E2538" t="s">
        <v>202</v>
      </c>
      <c r="F2538" t="s">
        <v>203</v>
      </c>
      <c r="G2538" t="s">
        <v>204</v>
      </c>
      <c r="I2538">
        <v>58</v>
      </c>
      <c r="J2538">
        <v>290</v>
      </c>
      <c r="K2538">
        <v>5</v>
      </c>
      <c r="M2538" t="s">
        <v>205</v>
      </c>
    </row>
    <row r="2539" spans="1:13" hidden="1">
      <c r="A2539" t="s">
        <v>131</v>
      </c>
      <c r="B2539" t="s">
        <v>8</v>
      </c>
      <c r="C2539" t="s">
        <v>28</v>
      </c>
      <c r="D2539" t="str">
        <f>LEFT(M2539,10)</f>
        <v>12/15/2024</v>
      </c>
      <c r="E2539" t="s">
        <v>202</v>
      </c>
      <c r="F2539" t="s">
        <v>203</v>
      </c>
      <c r="G2539" t="s">
        <v>208</v>
      </c>
      <c r="I2539">
        <v>11</v>
      </c>
      <c r="J2539">
        <v>77</v>
      </c>
      <c r="K2539">
        <v>7</v>
      </c>
      <c r="M2539" t="s">
        <v>205</v>
      </c>
    </row>
    <row r="2540" spans="1:13" hidden="1">
      <c r="A2540" t="s">
        <v>131</v>
      </c>
      <c r="B2540" t="s">
        <v>8</v>
      </c>
      <c r="C2540" t="s">
        <v>28</v>
      </c>
      <c r="D2540" t="str">
        <f>LEFT(M2540,10)</f>
        <v>12/15/2024</v>
      </c>
      <c r="E2540" t="s">
        <v>234</v>
      </c>
      <c r="F2540" t="s">
        <v>234</v>
      </c>
      <c r="I2540">
        <v>1729</v>
      </c>
      <c r="M2540" t="s">
        <v>205</v>
      </c>
    </row>
    <row r="2541" spans="1:13" hidden="1">
      <c r="A2541" t="s">
        <v>131</v>
      </c>
      <c r="B2541" t="s">
        <v>8</v>
      </c>
      <c r="C2541" t="s">
        <v>28</v>
      </c>
      <c r="D2541" t="str">
        <f>LEFT(M2541,10)</f>
        <v>12/15/2024</v>
      </c>
      <c r="E2541" t="s">
        <v>230</v>
      </c>
      <c r="F2541" t="s">
        <v>248</v>
      </c>
      <c r="I2541">
        <v>0</v>
      </c>
      <c r="J2541">
        <v>3955.6</v>
      </c>
      <c r="M2541" t="s">
        <v>205</v>
      </c>
    </row>
    <row r="2542" spans="1:13" hidden="1">
      <c r="A2542" t="s">
        <v>131</v>
      </c>
      <c r="B2542" t="s">
        <v>8</v>
      </c>
      <c r="C2542" t="s">
        <v>28</v>
      </c>
      <c r="D2542" t="str">
        <f>LEFT(M2542,10)</f>
        <v>12/15/2024</v>
      </c>
      <c r="E2542" t="s">
        <v>202</v>
      </c>
      <c r="F2542" t="s">
        <v>218</v>
      </c>
      <c r="G2542" t="s">
        <v>223</v>
      </c>
      <c r="I2542">
        <v>513</v>
      </c>
      <c r="J2542">
        <v>256.5</v>
      </c>
      <c r="K2542">
        <v>0.5</v>
      </c>
      <c r="M2542" t="s">
        <v>205</v>
      </c>
    </row>
    <row r="2543" spans="1:13" hidden="1">
      <c r="A2543" t="s">
        <v>59</v>
      </c>
      <c r="B2543" t="s">
        <v>8</v>
      </c>
      <c r="C2543" t="s">
        <v>58</v>
      </c>
      <c r="D2543" t="str">
        <f>LEFT(M2543,10)</f>
        <v>12/15/2024</v>
      </c>
      <c r="E2543" t="s">
        <v>202</v>
      </c>
      <c r="F2543" t="s">
        <v>218</v>
      </c>
      <c r="G2543" t="s">
        <v>247</v>
      </c>
      <c r="I2543">
        <v>119</v>
      </c>
      <c r="J2543">
        <v>476</v>
      </c>
      <c r="K2543">
        <v>4</v>
      </c>
      <c r="M2543" t="s">
        <v>205</v>
      </c>
    </row>
    <row r="2544" spans="1:13" hidden="1">
      <c r="A2544" t="s">
        <v>59</v>
      </c>
      <c r="B2544" t="s">
        <v>8</v>
      </c>
      <c r="C2544" t="s">
        <v>58</v>
      </c>
      <c r="D2544" t="str">
        <f>LEFT(M2544,10)</f>
        <v>12/15/2024</v>
      </c>
      <c r="E2544" t="s">
        <v>202</v>
      </c>
      <c r="F2544" t="s">
        <v>218</v>
      </c>
      <c r="G2544" t="s">
        <v>226</v>
      </c>
      <c r="I2544">
        <v>777</v>
      </c>
      <c r="J2544">
        <v>240.4</v>
      </c>
      <c r="K2544">
        <v>0.31</v>
      </c>
      <c r="M2544" t="s">
        <v>205</v>
      </c>
    </row>
    <row r="2545" spans="1:13" hidden="1">
      <c r="A2545" t="s">
        <v>59</v>
      </c>
      <c r="B2545" t="s">
        <v>8</v>
      </c>
      <c r="C2545" t="s">
        <v>58</v>
      </c>
      <c r="D2545" t="str">
        <f>LEFT(M2545,10)</f>
        <v>12/15/2024</v>
      </c>
      <c r="E2545" t="s">
        <v>202</v>
      </c>
      <c r="F2545" t="s">
        <v>218</v>
      </c>
      <c r="G2545" t="s">
        <v>224</v>
      </c>
      <c r="I2545">
        <v>426</v>
      </c>
      <c r="J2545">
        <v>446.9</v>
      </c>
      <c r="K2545">
        <v>1.05</v>
      </c>
      <c r="M2545" t="s">
        <v>205</v>
      </c>
    </row>
    <row r="2546" spans="1:13" hidden="1">
      <c r="A2546" t="s">
        <v>59</v>
      </c>
      <c r="B2546" t="s">
        <v>8</v>
      </c>
      <c r="C2546" t="s">
        <v>58</v>
      </c>
      <c r="D2546" t="str">
        <f>LEFT(M2546,10)</f>
        <v>12/15/2024</v>
      </c>
      <c r="E2546" t="s">
        <v>202</v>
      </c>
      <c r="F2546" t="s">
        <v>218</v>
      </c>
      <c r="G2546" t="s">
        <v>220</v>
      </c>
      <c r="I2546">
        <v>1603</v>
      </c>
      <c r="J2546">
        <v>2404.5</v>
      </c>
      <c r="K2546">
        <v>1.5</v>
      </c>
      <c r="M2546" t="s">
        <v>205</v>
      </c>
    </row>
    <row r="2547" spans="1:13" hidden="1">
      <c r="A2547" t="s">
        <v>59</v>
      </c>
      <c r="B2547" t="s">
        <v>8</v>
      </c>
      <c r="C2547" t="s">
        <v>58</v>
      </c>
      <c r="D2547" t="str">
        <f>LEFT(M2547,10)</f>
        <v>12/15/2024</v>
      </c>
      <c r="E2547" t="s">
        <v>202</v>
      </c>
      <c r="F2547" t="s">
        <v>218</v>
      </c>
      <c r="G2547" t="s">
        <v>225</v>
      </c>
      <c r="I2547">
        <v>300</v>
      </c>
      <c r="J2547">
        <v>300</v>
      </c>
      <c r="K2547">
        <v>1</v>
      </c>
      <c r="M2547" t="s">
        <v>205</v>
      </c>
    </row>
    <row r="2548" spans="1:13" hidden="1">
      <c r="A2548" t="s">
        <v>59</v>
      </c>
      <c r="B2548" t="s">
        <v>8</v>
      </c>
      <c r="C2548" t="s">
        <v>58</v>
      </c>
      <c r="D2548" t="str">
        <f>LEFT(M2548,10)</f>
        <v>12/15/2024</v>
      </c>
      <c r="E2548" t="s">
        <v>202</v>
      </c>
      <c r="F2548" t="s">
        <v>218</v>
      </c>
      <c r="G2548" t="s">
        <v>222</v>
      </c>
      <c r="I2548">
        <v>2676</v>
      </c>
      <c r="J2548">
        <v>4701.8500000000004</v>
      </c>
      <c r="K2548">
        <v>1.76</v>
      </c>
      <c r="M2548" t="s">
        <v>205</v>
      </c>
    </row>
    <row r="2549" spans="1:13" hidden="1">
      <c r="A2549" t="s">
        <v>59</v>
      </c>
      <c r="B2549" t="s">
        <v>8</v>
      </c>
      <c r="C2549" t="s">
        <v>58</v>
      </c>
      <c r="D2549" t="str">
        <f>LEFT(M2549,10)</f>
        <v>12/15/2024</v>
      </c>
      <c r="E2549" t="s">
        <v>202</v>
      </c>
      <c r="F2549" t="s">
        <v>218</v>
      </c>
      <c r="G2549" t="s">
        <v>378</v>
      </c>
      <c r="I2549">
        <v>996</v>
      </c>
      <c r="J2549">
        <v>9.9600000000000009</v>
      </c>
      <c r="K2549">
        <v>0.01</v>
      </c>
      <c r="M2549" t="s">
        <v>205</v>
      </c>
    </row>
    <row r="2550" spans="1:13" hidden="1">
      <c r="A2550" t="s">
        <v>59</v>
      </c>
      <c r="B2550" t="s">
        <v>8</v>
      </c>
      <c r="C2550" t="s">
        <v>58</v>
      </c>
      <c r="D2550" t="str">
        <f>LEFT(M2550,10)</f>
        <v>12/15/2024</v>
      </c>
      <c r="E2550" t="s">
        <v>202</v>
      </c>
      <c r="F2550" t="s">
        <v>218</v>
      </c>
      <c r="G2550" t="s">
        <v>267</v>
      </c>
      <c r="I2550">
        <v>106</v>
      </c>
      <c r="J2550">
        <v>15.6</v>
      </c>
      <c r="K2550">
        <v>0.15</v>
      </c>
      <c r="M2550" t="s">
        <v>205</v>
      </c>
    </row>
    <row r="2551" spans="1:13" hidden="1">
      <c r="A2551" t="s">
        <v>59</v>
      </c>
      <c r="B2551" t="s">
        <v>8</v>
      </c>
      <c r="C2551" t="s">
        <v>58</v>
      </c>
      <c r="D2551" t="str">
        <f>LEFT(M2551,10)</f>
        <v>12/15/2024</v>
      </c>
      <c r="E2551" t="s">
        <v>202</v>
      </c>
      <c r="F2551" t="s">
        <v>218</v>
      </c>
      <c r="G2551" t="s">
        <v>243</v>
      </c>
      <c r="H2551" t="s">
        <v>320</v>
      </c>
      <c r="I2551">
        <v>556</v>
      </c>
      <c r="J2551">
        <v>5.56</v>
      </c>
      <c r="K2551">
        <v>0.01</v>
      </c>
      <c r="M2551" t="s">
        <v>205</v>
      </c>
    </row>
    <row r="2552" spans="1:13" hidden="1">
      <c r="A2552" t="s">
        <v>59</v>
      </c>
      <c r="B2552" t="s">
        <v>8</v>
      </c>
      <c r="C2552" t="s">
        <v>58</v>
      </c>
      <c r="D2552" t="str">
        <f>LEFT(M2552,10)</f>
        <v>12/15/2024</v>
      </c>
      <c r="E2552" t="s">
        <v>202</v>
      </c>
      <c r="F2552" t="s">
        <v>218</v>
      </c>
      <c r="G2552" t="s">
        <v>223</v>
      </c>
      <c r="I2552">
        <v>2841</v>
      </c>
      <c r="J2552">
        <v>2343</v>
      </c>
      <c r="K2552">
        <v>0.82</v>
      </c>
      <c r="M2552" t="s">
        <v>205</v>
      </c>
    </row>
    <row r="2553" spans="1:13" hidden="1">
      <c r="A2553" t="s">
        <v>59</v>
      </c>
      <c r="B2553" t="s">
        <v>8</v>
      </c>
      <c r="C2553" t="s">
        <v>58</v>
      </c>
      <c r="D2553" t="str">
        <f>LEFT(M2553,10)</f>
        <v>12/15/2024</v>
      </c>
      <c r="E2553" t="s">
        <v>202</v>
      </c>
      <c r="F2553" t="s">
        <v>227</v>
      </c>
      <c r="G2553" t="s">
        <v>252</v>
      </c>
      <c r="I2553">
        <v>768</v>
      </c>
      <c r="J2553">
        <v>287.39999999999998</v>
      </c>
      <c r="K2553">
        <v>0.37</v>
      </c>
      <c r="M2553" t="s">
        <v>205</v>
      </c>
    </row>
    <row r="2554" spans="1:13" hidden="1">
      <c r="A2554" t="s">
        <v>59</v>
      </c>
      <c r="B2554" t="s">
        <v>8</v>
      </c>
      <c r="C2554" t="s">
        <v>58</v>
      </c>
      <c r="D2554" t="str">
        <f>LEFT(M2554,10)</f>
        <v>12/15/2024</v>
      </c>
      <c r="E2554" t="s">
        <v>202</v>
      </c>
      <c r="F2554" t="s">
        <v>227</v>
      </c>
      <c r="G2554" t="s">
        <v>238</v>
      </c>
      <c r="I2554">
        <v>863</v>
      </c>
      <c r="J2554">
        <v>317</v>
      </c>
      <c r="K2554">
        <v>0.37</v>
      </c>
      <c r="M2554" t="s">
        <v>205</v>
      </c>
    </row>
    <row r="2555" spans="1:13" hidden="1">
      <c r="A2555" t="s">
        <v>59</v>
      </c>
      <c r="B2555" t="s">
        <v>8</v>
      </c>
      <c r="C2555" t="s">
        <v>58</v>
      </c>
      <c r="D2555" t="str">
        <f>LEFT(M2555,10)</f>
        <v>12/15/2024</v>
      </c>
      <c r="E2555" t="s">
        <v>202</v>
      </c>
      <c r="F2555" t="s">
        <v>218</v>
      </c>
      <c r="G2555" t="s">
        <v>243</v>
      </c>
      <c r="H2555" t="s">
        <v>344</v>
      </c>
      <c r="I2555">
        <v>148</v>
      </c>
      <c r="J2555">
        <v>44.4</v>
      </c>
      <c r="K2555">
        <v>0.3</v>
      </c>
      <c r="M2555" t="s">
        <v>205</v>
      </c>
    </row>
    <row r="2556" spans="1:13" hidden="1">
      <c r="A2556" t="s">
        <v>59</v>
      </c>
      <c r="B2556" t="s">
        <v>8</v>
      </c>
      <c r="C2556" t="s">
        <v>58</v>
      </c>
      <c r="D2556" t="str">
        <f>LEFT(M2556,10)</f>
        <v>12/15/2024</v>
      </c>
      <c r="E2556" t="s">
        <v>202</v>
      </c>
      <c r="F2556" t="s">
        <v>218</v>
      </c>
      <c r="G2556" t="s">
        <v>242</v>
      </c>
      <c r="I2556">
        <v>172</v>
      </c>
      <c r="J2556">
        <v>157.5</v>
      </c>
      <c r="K2556">
        <v>0.92</v>
      </c>
      <c r="M2556" t="s">
        <v>205</v>
      </c>
    </row>
    <row r="2557" spans="1:13" hidden="1">
      <c r="A2557" t="s">
        <v>59</v>
      </c>
      <c r="B2557" t="s">
        <v>8</v>
      </c>
      <c r="C2557" t="s">
        <v>58</v>
      </c>
      <c r="D2557" t="str">
        <f>LEFT(M2557,10)</f>
        <v>12/15/2024</v>
      </c>
      <c r="E2557" t="s">
        <v>202</v>
      </c>
      <c r="F2557" t="s">
        <v>218</v>
      </c>
      <c r="G2557" t="s">
        <v>221</v>
      </c>
      <c r="I2557">
        <v>997</v>
      </c>
      <c r="J2557">
        <v>2592.1999999999998</v>
      </c>
      <c r="K2557">
        <v>2.6</v>
      </c>
      <c r="M2557" t="s">
        <v>205</v>
      </c>
    </row>
    <row r="2558" spans="1:13" hidden="1">
      <c r="A2558" t="s">
        <v>59</v>
      </c>
      <c r="B2558" t="s">
        <v>8</v>
      </c>
      <c r="C2558" t="s">
        <v>58</v>
      </c>
      <c r="D2558" t="str">
        <f>LEFT(M2558,10)</f>
        <v>12/15/2024</v>
      </c>
      <c r="E2558" t="s">
        <v>202</v>
      </c>
      <c r="F2558" t="s">
        <v>218</v>
      </c>
      <c r="G2558" t="s">
        <v>219</v>
      </c>
      <c r="I2558">
        <v>126</v>
      </c>
      <c r="J2558">
        <v>12.6</v>
      </c>
      <c r="K2558">
        <v>0.1</v>
      </c>
      <c r="M2558" t="s">
        <v>205</v>
      </c>
    </row>
    <row r="2559" spans="1:13" hidden="1">
      <c r="A2559" t="s">
        <v>59</v>
      </c>
      <c r="B2559" t="s">
        <v>8</v>
      </c>
      <c r="C2559" t="s">
        <v>58</v>
      </c>
      <c r="D2559" t="str">
        <f>LEFT(M2559,10)</f>
        <v>12/15/2024</v>
      </c>
      <c r="E2559" t="s">
        <v>202</v>
      </c>
      <c r="F2559" t="s">
        <v>218</v>
      </c>
      <c r="G2559" t="s">
        <v>219</v>
      </c>
      <c r="I2559">
        <v>439</v>
      </c>
      <c r="J2559">
        <v>872.6</v>
      </c>
      <c r="K2559">
        <v>1.99</v>
      </c>
      <c r="M2559" t="s">
        <v>205</v>
      </c>
    </row>
    <row r="2560" spans="1:13" hidden="1">
      <c r="A2560" t="s">
        <v>59</v>
      </c>
      <c r="B2560" t="s">
        <v>8</v>
      </c>
      <c r="C2560" t="s">
        <v>58</v>
      </c>
      <c r="D2560" t="str">
        <f>LEFT(M2560,10)</f>
        <v>12/15/2024</v>
      </c>
      <c r="E2560" t="s">
        <v>202</v>
      </c>
      <c r="F2560" t="s">
        <v>227</v>
      </c>
      <c r="G2560" t="s">
        <v>228</v>
      </c>
      <c r="I2560">
        <v>4423</v>
      </c>
      <c r="J2560">
        <v>1601.05</v>
      </c>
      <c r="K2560">
        <v>0.36</v>
      </c>
      <c r="M2560" t="s">
        <v>205</v>
      </c>
    </row>
    <row r="2561" spans="1:13" hidden="1">
      <c r="A2561" t="s">
        <v>59</v>
      </c>
      <c r="B2561" t="s">
        <v>8</v>
      </c>
      <c r="C2561" t="s">
        <v>58</v>
      </c>
      <c r="D2561" t="str">
        <f>LEFT(M2561,10)</f>
        <v>12/15/2024</v>
      </c>
      <c r="E2561" t="s">
        <v>202</v>
      </c>
      <c r="F2561" t="s">
        <v>227</v>
      </c>
      <c r="G2561" t="s">
        <v>237</v>
      </c>
      <c r="I2561">
        <v>1809</v>
      </c>
      <c r="J2561">
        <v>1142</v>
      </c>
      <c r="K2561">
        <v>0.63</v>
      </c>
      <c r="M2561" t="s">
        <v>205</v>
      </c>
    </row>
    <row r="2562" spans="1:13" hidden="1">
      <c r="A2562" t="s">
        <v>59</v>
      </c>
      <c r="B2562" t="s">
        <v>8</v>
      </c>
      <c r="C2562" t="s">
        <v>58</v>
      </c>
      <c r="D2562" t="str">
        <f>LEFT(M2562,10)</f>
        <v>12/15/2024</v>
      </c>
      <c r="E2562" t="s">
        <v>202</v>
      </c>
      <c r="F2562" t="s">
        <v>218</v>
      </c>
      <c r="G2562" t="s">
        <v>240</v>
      </c>
      <c r="I2562">
        <v>2027</v>
      </c>
      <c r="J2562">
        <v>8897.7000000000007</v>
      </c>
      <c r="K2562">
        <v>4.3899999999999997</v>
      </c>
      <c r="M2562" t="s">
        <v>205</v>
      </c>
    </row>
    <row r="2563" spans="1:13" hidden="1">
      <c r="A2563" t="s">
        <v>59</v>
      </c>
      <c r="B2563" t="s">
        <v>8</v>
      </c>
      <c r="C2563" t="s">
        <v>58</v>
      </c>
      <c r="D2563" t="str">
        <f>LEFT(M2563,10)</f>
        <v>12/15/2024</v>
      </c>
      <c r="E2563" t="s">
        <v>202</v>
      </c>
      <c r="F2563" t="s">
        <v>306</v>
      </c>
      <c r="G2563" t="s">
        <v>307</v>
      </c>
      <c r="I2563">
        <v>450</v>
      </c>
      <c r="J2563">
        <v>600</v>
      </c>
      <c r="K2563">
        <v>1.33</v>
      </c>
      <c r="M2563" t="s">
        <v>205</v>
      </c>
    </row>
    <row r="2564" spans="1:13" hidden="1">
      <c r="A2564" t="s">
        <v>59</v>
      </c>
      <c r="B2564" t="s">
        <v>8</v>
      </c>
      <c r="C2564" t="s">
        <v>58</v>
      </c>
      <c r="D2564" t="str">
        <f>LEFT(M2564,10)</f>
        <v>12/15/2024</v>
      </c>
      <c r="E2564" t="s">
        <v>202</v>
      </c>
      <c r="F2564" t="s">
        <v>203</v>
      </c>
      <c r="G2564" t="s">
        <v>204</v>
      </c>
      <c r="I2564">
        <v>283</v>
      </c>
      <c r="J2564">
        <v>2547</v>
      </c>
      <c r="K2564">
        <v>9</v>
      </c>
      <c r="M2564" t="s">
        <v>205</v>
      </c>
    </row>
    <row r="2565" spans="1:13" hidden="1">
      <c r="A2565" t="s">
        <v>59</v>
      </c>
      <c r="B2565" t="s">
        <v>8</v>
      </c>
      <c r="C2565" t="s">
        <v>58</v>
      </c>
      <c r="D2565" t="str">
        <f>LEFT(M2565,10)</f>
        <v>12/15/2024</v>
      </c>
      <c r="E2565" t="s">
        <v>202</v>
      </c>
      <c r="F2565" t="s">
        <v>203</v>
      </c>
      <c r="G2565" t="s">
        <v>208</v>
      </c>
      <c r="I2565">
        <v>158</v>
      </c>
      <c r="J2565">
        <v>1501</v>
      </c>
      <c r="K2565">
        <v>9.5</v>
      </c>
      <c r="M2565" t="s">
        <v>205</v>
      </c>
    </row>
    <row r="2566" spans="1:13" hidden="1">
      <c r="A2566" t="s">
        <v>59</v>
      </c>
      <c r="B2566" t="s">
        <v>8</v>
      </c>
      <c r="C2566" t="s">
        <v>58</v>
      </c>
      <c r="D2566" t="str">
        <f>LEFT(M2566,10)</f>
        <v>12/15/2024</v>
      </c>
      <c r="E2566" t="s">
        <v>202</v>
      </c>
      <c r="F2566" t="s">
        <v>203</v>
      </c>
      <c r="G2566" t="s">
        <v>207</v>
      </c>
      <c r="I2566">
        <v>82</v>
      </c>
      <c r="J2566">
        <v>328</v>
      </c>
      <c r="K2566">
        <v>4</v>
      </c>
      <c r="M2566" t="s">
        <v>205</v>
      </c>
    </row>
    <row r="2567" spans="1:13" hidden="1">
      <c r="A2567" t="s">
        <v>59</v>
      </c>
      <c r="B2567" t="s">
        <v>8</v>
      </c>
      <c r="C2567" t="s">
        <v>58</v>
      </c>
      <c r="D2567" t="str">
        <f>LEFT(M2567,10)</f>
        <v>12/15/2024</v>
      </c>
      <c r="E2567" t="s">
        <v>202</v>
      </c>
      <c r="F2567" t="s">
        <v>203</v>
      </c>
      <c r="G2567" t="s">
        <v>260</v>
      </c>
      <c r="I2567">
        <v>50.6</v>
      </c>
      <c r="J2567">
        <v>1872.2</v>
      </c>
      <c r="K2567">
        <v>37</v>
      </c>
      <c r="M2567" t="s">
        <v>205</v>
      </c>
    </row>
    <row r="2568" spans="1:13" hidden="1">
      <c r="A2568" t="s">
        <v>59</v>
      </c>
      <c r="B2568" t="s">
        <v>8</v>
      </c>
      <c r="C2568" t="s">
        <v>58</v>
      </c>
      <c r="D2568" t="str">
        <f>LEFT(M2568,10)</f>
        <v>12/15/2024</v>
      </c>
      <c r="E2568" t="s">
        <v>202</v>
      </c>
      <c r="F2568" t="s">
        <v>209</v>
      </c>
      <c r="G2568" t="s">
        <v>310</v>
      </c>
      <c r="I2568">
        <v>57</v>
      </c>
      <c r="J2568">
        <v>65</v>
      </c>
      <c r="K2568">
        <v>1.1399999999999999</v>
      </c>
      <c r="M2568" t="s">
        <v>205</v>
      </c>
    </row>
    <row r="2569" spans="1:13" hidden="1">
      <c r="A2569" t="s">
        <v>59</v>
      </c>
      <c r="B2569" t="s">
        <v>8</v>
      </c>
      <c r="C2569" t="s">
        <v>58</v>
      </c>
      <c r="D2569" t="str">
        <f>LEFT(M2569,10)</f>
        <v>12/15/2024</v>
      </c>
      <c r="E2569" t="s">
        <v>202</v>
      </c>
      <c r="F2569" t="s">
        <v>209</v>
      </c>
      <c r="G2569" t="s">
        <v>210</v>
      </c>
      <c r="I2569">
        <v>10.199999999999999</v>
      </c>
      <c r="J2569">
        <v>28.56</v>
      </c>
      <c r="K2569">
        <v>2.8</v>
      </c>
      <c r="M2569" t="s">
        <v>205</v>
      </c>
    </row>
    <row r="2570" spans="1:13" hidden="1">
      <c r="A2570" t="s">
        <v>59</v>
      </c>
      <c r="B2570" t="s">
        <v>8</v>
      </c>
      <c r="C2570" t="s">
        <v>58</v>
      </c>
      <c r="D2570" t="str">
        <f>LEFT(M2570,10)</f>
        <v>12/15/2024</v>
      </c>
      <c r="E2570" t="s">
        <v>202</v>
      </c>
      <c r="F2570" t="s">
        <v>203</v>
      </c>
      <c r="G2570" t="s">
        <v>259</v>
      </c>
      <c r="I2570">
        <v>7</v>
      </c>
      <c r="J2570">
        <v>140</v>
      </c>
      <c r="K2570">
        <v>20</v>
      </c>
      <c r="M2570" t="s">
        <v>205</v>
      </c>
    </row>
    <row r="2571" spans="1:13" hidden="1">
      <c r="A2571" t="s">
        <v>59</v>
      </c>
      <c r="B2571" t="s">
        <v>8</v>
      </c>
      <c r="C2571" t="s">
        <v>58</v>
      </c>
      <c r="D2571" t="str">
        <f>LEFT(M2571,10)</f>
        <v>12/15/2024</v>
      </c>
      <c r="E2571" t="s">
        <v>202</v>
      </c>
      <c r="F2571" t="s">
        <v>203</v>
      </c>
      <c r="G2571" t="s">
        <v>236</v>
      </c>
      <c r="I2571">
        <v>3270</v>
      </c>
      <c r="J2571">
        <v>2616</v>
      </c>
      <c r="K2571">
        <v>0.8</v>
      </c>
      <c r="M2571" t="s">
        <v>205</v>
      </c>
    </row>
    <row r="2572" spans="1:13" hidden="1">
      <c r="A2572" t="s">
        <v>59</v>
      </c>
      <c r="B2572" t="s">
        <v>8</v>
      </c>
      <c r="C2572" t="s">
        <v>58</v>
      </c>
      <c r="D2572" t="str">
        <f>LEFT(M2572,10)</f>
        <v>12/15/2024</v>
      </c>
      <c r="E2572" t="s">
        <v>202</v>
      </c>
      <c r="F2572" t="s">
        <v>218</v>
      </c>
      <c r="G2572" t="s">
        <v>240</v>
      </c>
      <c r="I2572">
        <v>117</v>
      </c>
      <c r="J2572">
        <v>491.4</v>
      </c>
      <c r="K2572">
        <v>4.2</v>
      </c>
      <c r="M2572" t="s">
        <v>205</v>
      </c>
    </row>
    <row r="2573" spans="1:13" hidden="1">
      <c r="A2573" t="s">
        <v>59</v>
      </c>
      <c r="B2573" t="s">
        <v>8</v>
      </c>
      <c r="C2573" t="s">
        <v>58</v>
      </c>
      <c r="D2573" t="str">
        <f>LEFT(M2573,10)</f>
        <v>12/15/2024</v>
      </c>
      <c r="E2573" t="s">
        <v>202</v>
      </c>
      <c r="F2573" t="s">
        <v>218</v>
      </c>
      <c r="G2573" t="s">
        <v>224</v>
      </c>
      <c r="I2573">
        <v>84</v>
      </c>
      <c r="J2573">
        <v>25.2</v>
      </c>
      <c r="K2573">
        <v>0.3</v>
      </c>
      <c r="M2573" t="s">
        <v>205</v>
      </c>
    </row>
    <row r="2574" spans="1:13" hidden="1">
      <c r="A2574" t="s">
        <v>59</v>
      </c>
      <c r="B2574" t="s">
        <v>8</v>
      </c>
      <c r="C2574" t="s">
        <v>58</v>
      </c>
      <c r="D2574" t="str">
        <f>LEFT(M2574,10)</f>
        <v>12/15/2024</v>
      </c>
      <c r="E2574" t="s">
        <v>202</v>
      </c>
      <c r="F2574" t="s">
        <v>218</v>
      </c>
      <c r="G2574" t="s">
        <v>241</v>
      </c>
      <c r="I2574">
        <v>52</v>
      </c>
      <c r="J2574">
        <v>218.4</v>
      </c>
      <c r="K2574">
        <v>4.2</v>
      </c>
      <c r="M2574" t="s">
        <v>205</v>
      </c>
    </row>
    <row r="2575" spans="1:13" hidden="1">
      <c r="A2575" t="s">
        <v>59</v>
      </c>
      <c r="B2575" t="s">
        <v>8</v>
      </c>
      <c r="C2575" t="s">
        <v>58</v>
      </c>
      <c r="D2575" t="str">
        <f>LEFT(M2575,10)</f>
        <v>12/15/2024</v>
      </c>
      <c r="E2575" t="s">
        <v>202</v>
      </c>
      <c r="F2575" t="s">
        <v>227</v>
      </c>
      <c r="G2575" t="s">
        <v>229</v>
      </c>
      <c r="I2575">
        <v>12661</v>
      </c>
      <c r="J2575">
        <v>9940.4500000000007</v>
      </c>
      <c r="K2575">
        <v>0.79</v>
      </c>
      <c r="M2575" t="s">
        <v>205</v>
      </c>
    </row>
    <row r="2576" spans="1:13" hidden="1">
      <c r="A2576" t="s">
        <v>59</v>
      </c>
      <c r="B2576" t="s">
        <v>8</v>
      </c>
      <c r="C2576" t="s">
        <v>58</v>
      </c>
      <c r="D2576" t="str">
        <f>LEFT(M2576,10)</f>
        <v>12/15/2024</v>
      </c>
      <c r="E2576" t="s">
        <v>202</v>
      </c>
      <c r="F2576" t="s">
        <v>216</v>
      </c>
      <c r="G2576" t="s">
        <v>217</v>
      </c>
      <c r="I2576">
        <v>1307</v>
      </c>
      <c r="J2576">
        <v>957.3</v>
      </c>
      <c r="K2576">
        <v>0.73</v>
      </c>
      <c r="M2576" t="s">
        <v>205</v>
      </c>
    </row>
    <row r="2577" spans="1:13" hidden="1">
      <c r="A2577" t="s">
        <v>59</v>
      </c>
      <c r="B2577" t="s">
        <v>8</v>
      </c>
      <c r="C2577" t="s">
        <v>58</v>
      </c>
      <c r="D2577" t="str">
        <f>LEFT(M2577,10)</f>
        <v>12/15/2024</v>
      </c>
      <c r="E2577" t="s">
        <v>202</v>
      </c>
      <c r="F2577" t="s">
        <v>216</v>
      </c>
      <c r="G2577" t="s">
        <v>253</v>
      </c>
      <c r="I2577">
        <v>9778</v>
      </c>
      <c r="J2577">
        <v>948.3</v>
      </c>
      <c r="K2577">
        <v>0.1</v>
      </c>
      <c r="M2577" t="s">
        <v>205</v>
      </c>
    </row>
    <row r="2578" spans="1:13" hidden="1">
      <c r="A2578" t="s">
        <v>59</v>
      </c>
      <c r="B2578" t="s">
        <v>8</v>
      </c>
      <c r="C2578" t="s">
        <v>58</v>
      </c>
      <c r="D2578" t="str">
        <f>LEFT(M2578,10)</f>
        <v>12/15/2024</v>
      </c>
      <c r="E2578" t="s">
        <v>202</v>
      </c>
      <c r="F2578" t="s">
        <v>227</v>
      </c>
      <c r="G2578" t="s">
        <v>237</v>
      </c>
      <c r="I2578">
        <v>1162</v>
      </c>
      <c r="J2578">
        <v>482.92</v>
      </c>
      <c r="K2578">
        <v>0.42</v>
      </c>
      <c r="M2578" t="s">
        <v>205</v>
      </c>
    </row>
    <row r="2579" spans="1:13" hidden="1">
      <c r="A2579" t="s">
        <v>59</v>
      </c>
      <c r="B2579" t="s">
        <v>8</v>
      </c>
      <c r="C2579" t="s">
        <v>58</v>
      </c>
      <c r="D2579" t="str">
        <f>LEFT(M2579,10)</f>
        <v>12/15/2024</v>
      </c>
      <c r="E2579" t="s">
        <v>202</v>
      </c>
      <c r="F2579" t="s">
        <v>218</v>
      </c>
      <c r="G2579" t="s">
        <v>221</v>
      </c>
      <c r="I2579">
        <v>167</v>
      </c>
      <c r="J2579">
        <v>417.5</v>
      </c>
      <c r="K2579">
        <v>2.5</v>
      </c>
      <c r="M2579" t="s">
        <v>205</v>
      </c>
    </row>
    <row r="2580" spans="1:13" hidden="1">
      <c r="A2580" t="s">
        <v>59</v>
      </c>
      <c r="B2580" t="s">
        <v>8</v>
      </c>
      <c r="C2580" t="s">
        <v>58</v>
      </c>
      <c r="D2580" t="str">
        <f>LEFT(M2580,10)</f>
        <v>12/15/2024</v>
      </c>
      <c r="E2580" t="s">
        <v>232</v>
      </c>
      <c r="F2580" t="s">
        <v>255</v>
      </c>
      <c r="I2580">
        <v>0</v>
      </c>
      <c r="J2580">
        <v>4196</v>
      </c>
      <c r="L2580" t="s">
        <v>455</v>
      </c>
      <c r="M2580" t="s">
        <v>205</v>
      </c>
    </row>
    <row r="2581" spans="1:13" hidden="1">
      <c r="A2581" t="s">
        <v>59</v>
      </c>
      <c r="B2581" t="s">
        <v>8</v>
      </c>
      <c r="C2581" t="s">
        <v>58</v>
      </c>
      <c r="D2581" t="str">
        <f>LEFT(M2581,10)</f>
        <v>12/15/2024</v>
      </c>
      <c r="E2581" t="s">
        <v>234</v>
      </c>
      <c r="F2581" t="s">
        <v>234</v>
      </c>
      <c r="I2581">
        <v>11.071</v>
      </c>
      <c r="M2581" t="s">
        <v>205</v>
      </c>
    </row>
    <row r="2582" spans="1:13" hidden="1">
      <c r="A2582" t="s">
        <v>51</v>
      </c>
      <c r="B2582" t="s">
        <v>52</v>
      </c>
      <c r="C2582" t="s">
        <v>19</v>
      </c>
      <c r="D2582" t="str">
        <f>LEFT(M2582,10)</f>
        <v>12/15/2024</v>
      </c>
      <c r="E2582" t="s">
        <v>202</v>
      </c>
      <c r="F2582" t="s">
        <v>227</v>
      </c>
      <c r="G2582" t="s">
        <v>229</v>
      </c>
      <c r="I2582">
        <v>13460</v>
      </c>
      <c r="J2582">
        <v>8076</v>
      </c>
      <c r="K2582">
        <v>0.6</v>
      </c>
      <c r="M2582" t="s">
        <v>205</v>
      </c>
    </row>
    <row r="2583" spans="1:13" hidden="1">
      <c r="A2583" t="s">
        <v>51</v>
      </c>
      <c r="B2583" t="s">
        <v>52</v>
      </c>
      <c r="C2583" t="s">
        <v>19</v>
      </c>
      <c r="D2583" t="str">
        <f>LEFT(M2583,10)</f>
        <v>12/15/2024</v>
      </c>
      <c r="E2583" t="s">
        <v>202</v>
      </c>
      <c r="F2583" t="s">
        <v>227</v>
      </c>
      <c r="G2583" t="s">
        <v>237</v>
      </c>
      <c r="I2583">
        <v>3550</v>
      </c>
      <c r="J2583">
        <v>2469.38</v>
      </c>
      <c r="K2583">
        <v>0.7</v>
      </c>
      <c r="M2583" t="s">
        <v>205</v>
      </c>
    </row>
    <row r="2584" spans="1:13" hidden="1">
      <c r="A2584" t="s">
        <v>51</v>
      </c>
      <c r="B2584" t="s">
        <v>52</v>
      </c>
      <c r="C2584" t="s">
        <v>19</v>
      </c>
      <c r="D2584" t="str">
        <f>LEFT(M2584,10)</f>
        <v>12/15/2024</v>
      </c>
      <c r="E2584" t="s">
        <v>202</v>
      </c>
      <c r="F2584" t="s">
        <v>227</v>
      </c>
      <c r="G2584" t="s">
        <v>238</v>
      </c>
      <c r="I2584">
        <v>250</v>
      </c>
      <c r="J2584">
        <v>88</v>
      </c>
      <c r="K2584">
        <v>0.35</v>
      </c>
      <c r="M2584" t="s">
        <v>205</v>
      </c>
    </row>
    <row r="2585" spans="1:13" hidden="1">
      <c r="A2585" t="s">
        <v>51</v>
      </c>
      <c r="B2585" t="s">
        <v>52</v>
      </c>
      <c r="C2585" t="s">
        <v>19</v>
      </c>
      <c r="D2585" t="str">
        <f>LEFT(M2585,10)</f>
        <v>12/15/2024</v>
      </c>
      <c r="E2585" t="s">
        <v>202</v>
      </c>
      <c r="F2585" t="s">
        <v>227</v>
      </c>
      <c r="G2585" t="s">
        <v>228</v>
      </c>
      <c r="I2585">
        <v>3910</v>
      </c>
      <c r="J2585">
        <v>1760.28</v>
      </c>
      <c r="K2585">
        <v>0.45</v>
      </c>
      <c r="M2585" t="s">
        <v>205</v>
      </c>
    </row>
    <row r="2586" spans="1:13" hidden="1">
      <c r="A2586" t="s">
        <v>51</v>
      </c>
      <c r="B2586" t="s">
        <v>52</v>
      </c>
      <c r="C2586" t="s">
        <v>19</v>
      </c>
      <c r="D2586" t="str">
        <f>LEFT(M2586,10)</f>
        <v>12/15/2024</v>
      </c>
      <c r="E2586" t="s">
        <v>202</v>
      </c>
      <c r="F2586" t="s">
        <v>227</v>
      </c>
      <c r="G2586" t="s">
        <v>252</v>
      </c>
      <c r="I2586">
        <v>850</v>
      </c>
      <c r="J2586">
        <v>340.34</v>
      </c>
      <c r="K2586">
        <v>0.4</v>
      </c>
      <c r="M2586" t="s">
        <v>205</v>
      </c>
    </row>
    <row r="2587" spans="1:13" hidden="1">
      <c r="A2587" t="s">
        <v>51</v>
      </c>
      <c r="B2587" t="s">
        <v>52</v>
      </c>
      <c r="C2587" t="s">
        <v>19</v>
      </c>
      <c r="D2587" t="str">
        <f>LEFT(M2587,10)</f>
        <v>12/15/2024</v>
      </c>
      <c r="E2587" t="s">
        <v>202</v>
      </c>
      <c r="F2587" t="s">
        <v>218</v>
      </c>
      <c r="G2587" t="s">
        <v>240</v>
      </c>
      <c r="I2587">
        <v>2295</v>
      </c>
      <c r="J2587">
        <v>10327.5</v>
      </c>
      <c r="K2587">
        <v>4.5</v>
      </c>
      <c r="M2587" t="s">
        <v>205</v>
      </c>
    </row>
    <row r="2588" spans="1:13" hidden="1">
      <c r="A2588" t="s">
        <v>51</v>
      </c>
      <c r="B2588" t="s">
        <v>52</v>
      </c>
      <c r="C2588" t="s">
        <v>19</v>
      </c>
      <c r="D2588" t="str">
        <f>LEFT(M2588,10)</f>
        <v>12/15/2024</v>
      </c>
      <c r="E2588" t="s">
        <v>202</v>
      </c>
      <c r="F2588" t="s">
        <v>218</v>
      </c>
      <c r="G2588" t="s">
        <v>221</v>
      </c>
      <c r="I2588">
        <v>1236</v>
      </c>
      <c r="J2588">
        <v>2842.8</v>
      </c>
      <c r="K2588">
        <v>2.2999999999999998</v>
      </c>
      <c r="M2588" t="s">
        <v>205</v>
      </c>
    </row>
    <row r="2589" spans="1:13" hidden="1">
      <c r="A2589" t="s">
        <v>51</v>
      </c>
      <c r="B2589" t="s">
        <v>52</v>
      </c>
      <c r="C2589" t="s">
        <v>19</v>
      </c>
      <c r="D2589" t="str">
        <f>LEFT(M2589,10)</f>
        <v>12/15/2024</v>
      </c>
      <c r="E2589" t="s">
        <v>202</v>
      </c>
      <c r="F2589" t="s">
        <v>218</v>
      </c>
      <c r="G2589" t="s">
        <v>268</v>
      </c>
      <c r="I2589">
        <v>134</v>
      </c>
      <c r="J2589">
        <v>147.4</v>
      </c>
      <c r="K2589">
        <v>1.1000000000000001</v>
      </c>
      <c r="M2589" t="s">
        <v>205</v>
      </c>
    </row>
    <row r="2590" spans="1:13" hidden="1">
      <c r="A2590" t="s">
        <v>51</v>
      </c>
      <c r="B2590" t="s">
        <v>52</v>
      </c>
      <c r="C2590" t="s">
        <v>19</v>
      </c>
      <c r="D2590" t="str">
        <f>LEFT(M2590,10)</f>
        <v>12/15/2024</v>
      </c>
      <c r="E2590" t="s">
        <v>202</v>
      </c>
      <c r="F2590" t="s">
        <v>218</v>
      </c>
      <c r="G2590" t="s">
        <v>241</v>
      </c>
      <c r="I2590">
        <v>560</v>
      </c>
      <c r="J2590">
        <v>2464</v>
      </c>
      <c r="K2590">
        <v>4.4000000000000004</v>
      </c>
      <c r="M2590" t="s">
        <v>205</v>
      </c>
    </row>
    <row r="2591" spans="1:13" hidden="1">
      <c r="A2591" t="s">
        <v>51</v>
      </c>
      <c r="B2591" t="s">
        <v>52</v>
      </c>
      <c r="C2591" t="s">
        <v>19</v>
      </c>
      <c r="D2591" t="str">
        <f>LEFT(M2591,10)</f>
        <v>12/15/2024</v>
      </c>
      <c r="E2591" t="s">
        <v>202</v>
      </c>
      <c r="F2591" t="s">
        <v>218</v>
      </c>
      <c r="G2591" t="s">
        <v>220</v>
      </c>
      <c r="I2591">
        <v>1101</v>
      </c>
      <c r="J2591">
        <v>1431.3</v>
      </c>
      <c r="K2591">
        <v>1.3</v>
      </c>
      <c r="M2591" t="s">
        <v>205</v>
      </c>
    </row>
    <row r="2592" spans="1:13" hidden="1">
      <c r="A2592" t="s">
        <v>51</v>
      </c>
      <c r="B2592" t="s">
        <v>52</v>
      </c>
      <c r="C2592" t="s">
        <v>19</v>
      </c>
      <c r="D2592" t="str">
        <f>LEFT(M2592,10)</f>
        <v>12/15/2024</v>
      </c>
      <c r="E2592" t="s">
        <v>202</v>
      </c>
      <c r="F2592" t="s">
        <v>218</v>
      </c>
      <c r="G2592" t="s">
        <v>222</v>
      </c>
      <c r="I2592">
        <v>859</v>
      </c>
      <c r="J2592">
        <v>1374.57</v>
      </c>
      <c r="K2592">
        <v>1.6</v>
      </c>
      <c r="M2592" t="s">
        <v>205</v>
      </c>
    </row>
    <row r="2593" spans="1:13" hidden="1">
      <c r="A2593" t="s">
        <v>51</v>
      </c>
      <c r="B2593" t="s">
        <v>52</v>
      </c>
      <c r="C2593" t="s">
        <v>19</v>
      </c>
      <c r="D2593" t="str">
        <f>LEFT(M2593,10)</f>
        <v>12/15/2024</v>
      </c>
      <c r="E2593" t="s">
        <v>202</v>
      </c>
      <c r="F2593" t="s">
        <v>218</v>
      </c>
      <c r="G2593" t="s">
        <v>222</v>
      </c>
      <c r="I2593">
        <v>602</v>
      </c>
      <c r="J2593">
        <v>1021.85</v>
      </c>
      <c r="K2593">
        <v>1.7</v>
      </c>
      <c r="M2593" t="s">
        <v>205</v>
      </c>
    </row>
    <row r="2594" spans="1:13" hidden="1">
      <c r="A2594" t="s">
        <v>51</v>
      </c>
      <c r="B2594" t="s">
        <v>52</v>
      </c>
      <c r="C2594" t="s">
        <v>19</v>
      </c>
      <c r="D2594" t="str">
        <f>LEFT(M2594,10)</f>
        <v>12/15/2024</v>
      </c>
      <c r="E2594" t="s">
        <v>202</v>
      </c>
      <c r="F2594" t="s">
        <v>218</v>
      </c>
      <c r="G2594" t="s">
        <v>223</v>
      </c>
      <c r="I2594">
        <v>280</v>
      </c>
      <c r="J2594">
        <v>180.6</v>
      </c>
      <c r="K2594">
        <v>0.65</v>
      </c>
      <c r="M2594" t="s">
        <v>205</v>
      </c>
    </row>
    <row r="2595" spans="1:13" hidden="1">
      <c r="A2595" t="s">
        <v>51</v>
      </c>
      <c r="B2595" t="s">
        <v>52</v>
      </c>
      <c r="C2595" t="s">
        <v>19</v>
      </c>
      <c r="D2595" t="str">
        <f>LEFT(M2595,10)</f>
        <v>12/15/2024</v>
      </c>
      <c r="E2595" t="s">
        <v>202</v>
      </c>
      <c r="F2595" t="s">
        <v>218</v>
      </c>
      <c r="G2595" t="s">
        <v>223</v>
      </c>
      <c r="I2595">
        <v>875</v>
      </c>
      <c r="J2595">
        <v>651.88</v>
      </c>
      <c r="K2595">
        <v>0.75</v>
      </c>
      <c r="M2595" t="s">
        <v>205</v>
      </c>
    </row>
    <row r="2596" spans="1:13" hidden="1">
      <c r="A2596" t="s">
        <v>51</v>
      </c>
      <c r="B2596" t="s">
        <v>52</v>
      </c>
      <c r="C2596" t="s">
        <v>19</v>
      </c>
      <c r="D2596" t="str">
        <f>LEFT(M2596,10)</f>
        <v>12/15/2024</v>
      </c>
      <c r="E2596" t="s">
        <v>202</v>
      </c>
      <c r="F2596" t="s">
        <v>218</v>
      </c>
      <c r="G2596" t="s">
        <v>242</v>
      </c>
      <c r="I2596">
        <v>248</v>
      </c>
      <c r="J2596">
        <v>496</v>
      </c>
      <c r="K2596">
        <v>2</v>
      </c>
      <c r="M2596" t="s">
        <v>205</v>
      </c>
    </row>
    <row r="2597" spans="1:13" hidden="1">
      <c r="A2597" t="s">
        <v>51</v>
      </c>
      <c r="B2597" t="s">
        <v>52</v>
      </c>
      <c r="C2597" t="s">
        <v>19</v>
      </c>
      <c r="D2597" t="str">
        <f>LEFT(M2597,10)</f>
        <v>12/15/2024</v>
      </c>
      <c r="E2597" t="s">
        <v>202</v>
      </c>
      <c r="F2597" t="s">
        <v>218</v>
      </c>
      <c r="G2597" t="s">
        <v>222</v>
      </c>
      <c r="I2597">
        <v>702</v>
      </c>
      <c r="J2597">
        <v>912.6</v>
      </c>
      <c r="K2597">
        <v>1.3</v>
      </c>
      <c r="M2597" t="s">
        <v>205</v>
      </c>
    </row>
    <row r="2598" spans="1:13" hidden="1">
      <c r="A2598" t="s">
        <v>51</v>
      </c>
      <c r="B2598" t="s">
        <v>52</v>
      </c>
      <c r="C2598" t="s">
        <v>19</v>
      </c>
      <c r="D2598" t="str">
        <f>LEFT(M2598,10)</f>
        <v>12/15/2024</v>
      </c>
      <c r="E2598" t="s">
        <v>202</v>
      </c>
      <c r="F2598" t="s">
        <v>218</v>
      </c>
      <c r="G2598" t="s">
        <v>226</v>
      </c>
      <c r="I2598">
        <v>258</v>
      </c>
      <c r="J2598">
        <v>76.11</v>
      </c>
      <c r="K2598">
        <v>0.3</v>
      </c>
      <c r="M2598" t="s">
        <v>205</v>
      </c>
    </row>
    <row r="2599" spans="1:13" hidden="1">
      <c r="A2599" t="s">
        <v>51</v>
      </c>
      <c r="B2599" t="s">
        <v>52</v>
      </c>
      <c r="C2599" t="s">
        <v>19</v>
      </c>
      <c r="D2599" t="str">
        <f>LEFT(M2599,10)</f>
        <v>12/15/2024</v>
      </c>
      <c r="E2599" t="s">
        <v>202</v>
      </c>
      <c r="F2599" t="s">
        <v>218</v>
      </c>
      <c r="G2599" t="s">
        <v>219</v>
      </c>
      <c r="I2599">
        <v>90</v>
      </c>
      <c r="J2599">
        <v>35.549999999999997</v>
      </c>
      <c r="K2599">
        <v>0.39</v>
      </c>
      <c r="M2599" t="s">
        <v>205</v>
      </c>
    </row>
    <row r="2600" spans="1:13" hidden="1">
      <c r="A2600" t="s">
        <v>51</v>
      </c>
      <c r="B2600" t="s">
        <v>52</v>
      </c>
      <c r="C2600" t="s">
        <v>19</v>
      </c>
      <c r="D2600" t="str">
        <f>LEFT(M2600,10)</f>
        <v>12/15/2024</v>
      </c>
      <c r="E2600" t="s">
        <v>202</v>
      </c>
      <c r="F2600" t="s">
        <v>203</v>
      </c>
      <c r="G2600" t="s">
        <v>208</v>
      </c>
      <c r="I2600">
        <v>57.8</v>
      </c>
      <c r="J2600">
        <v>520.20000000000005</v>
      </c>
      <c r="K2600">
        <v>9</v>
      </c>
      <c r="M2600" t="s">
        <v>205</v>
      </c>
    </row>
    <row r="2601" spans="1:13" hidden="1">
      <c r="A2601" t="s">
        <v>51</v>
      </c>
      <c r="B2601" t="s">
        <v>52</v>
      </c>
      <c r="C2601" t="s">
        <v>19</v>
      </c>
      <c r="D2601" t="str">
        <f>LEFT(M2601,10)</f>
        <v>12/15/2024</v>
      </c>
      <c r="E2601" t="s">
        <v>202</v>
      </c>
      <c r="F2601" t="s">
        <v>203</v>
      </c>
      <c r="G2601" t="s">
        <v>259</v>
      </c>
      <c r="I2601">
        <v>32.4</v>
      </c>
      <c r="J2601">
        <v>194.4</v>
      </c>
      <c r="K2601">
        <v>6</v>
      </c>
      <c r="M2601" t="s">
        <v>205</v>
      </c>
    </row>
    <row r="2602" spans="1:13" hidden="1">
      <c r="A2602" t="s">
        <v>51</v>
      </c>
      <c r="B2602" t="s">
        <v>52</v>
      </c>
      <c r="C2602" t="s">
        <v>19</v>
      </c>
      <c r="D2602" t="str">
        <f>LEFT(M2602,10)</f>
        <v>12/15/2024</v>
      </c>
      <c r="E2602" t="s">
        <v>202</v>
      </c>
      <c r="F2602" t="s">
        <v>203</v>
      </c>
      <c r="G2602" t="s">
        <v>207</v>
      </c>
      <c r="I2602">
        <v>33.799999999999997</v>
      </c>
      <c r="J2602">
        <v>202.8</v>
      </c>
      <c r="K2602">
        <v>6</v>
      </c>
      <c r="M2602" t="s">
        <v>205</v>
      </c>
    </row>
    <row r="2603" spans="1:13" hidden="1">
      <c r="A2603" t="s">
        <v>51</v>
      </c>
      <c r="B2603" t="s">
        <v>52</v>
      </c>
      <c r="C2603" t="s">
        <v>19</v>
      </c>
      <c r="D2603" t="str">
        <f>LEFT(M2603,10)</f>
        <v>12/15/2024</v>
      </c>
      <c r="E2603" t="s">
        <v>202</v>
      </c>
      <c r="F2603" t="s">
        <v>203</v>
      </c>
      <c r="G2603" t="s">
        <v>259</v>
      </c>
      <c r="I2603">
        <v>14.6</v>
      </c>
      <c r="J2603">
        <v>350.4</v>
      </c>
      <c r="K2603">
        <v>24</v>
      </c>
      <c r="M2603" t="s">
        <v>205</v>
      </c>
    </row>
    <row r="2604" spans="1:13" hidden="1">
      <c r="A2604" t="s">
        <v>51</v>
      </c>
      <c r="B2604" t="s">
        <v>52</v>
      </c>
      <c r="C2604" t="s">
        <v>19</v>
      </c>
      <c r="D2604" t="str">
        <f>LEFT(M2604,10)</f>
        <v>12/15/2024</v>
      </c>
      <c r="E2604" t="s">
        <v>202</v>
      </c>
      <c r="F2604" t="s">
        <v>203</v>
      </c>
      <c r="G2604" t="s">
        <v>206</v>
      </c>
      <c r="I2604">
        <v>13.4</v>
      </c>
      <c r="J2604">
        <v>8.0399999999999991</v>
      </c>
      <c r="K2604">
        <v>0.6</v>
      </c>
      <c r="M2604" t="s">
        <v>205</v>
      </c>
    </row>
    <row r="2605" spans="1:13" hidden="1">
      <c r="A2605" t="s">
        <v>51</v>
      </c>
      <c r="B2605" t="s">
        <v>52</v>
      </c>
      <c r="C2605" t="s">
        <v>19</v>
      </c>
      <c r="D2605" t="str">
        <f>LEFT(M2605,10)</f>
        <v>12/15/2024</v>
      </c>
      <c r="E2605" t="s">
        <v>202</v>
      </c>
      <c r="F2605" t="s">
        <v>203</v>
      </c>
      <c r="G2605" t="s">
        <v>260</v>
      </c>
      <c r="I2605">
        <v>15.8</v>
      </c>
      <c r="J2605">
        <v>632</v>
      </c>
      <c r="K2605">
        <v>40</v>
      </c>
      <c r="M2605" t="s">
        <v>205</v>
      </c>
    </row>
    <row r="2606" spans="1:13" hidden="1">
      <c r="A2606" t="s">
        <v>51</v>
      </c>
      <c r="B2606" t="s">
        <v>52</v>
      </c>
      <c r="C2606" t="s">
        <v>19</v>
      </c>
      <c r="D2606" t="str">
        <f>LEFT(M2606,10)</f>
        <v>12/15/2024</v>
      </c>
      <c r="E2606" t="s">
        <v>202</v>
      </c>
      <c r="F2606" t="s">
        <v>203</v>
      </c>
      <c r="G2606" t="s">
        <v>236</v>
      </c>
      <c r="I2606">
        <v>6.6</v>
      </c>
      <c r="J2606">
        <v>23.1</v>
      </c>
      <c r="K2606">
        <v>3.5</v>
      </c>
      <c r="M2606" t="s">
        <v>205</v>
      </c>
    </row>
    <row r="2607" spans="1:13" hidden="1">
      <c r="A2607" t="s">
        <v>51</v>
      </c>
      <c r="B2607" t="s">
        <v>52</v>
      </c>
      <c r="C2607" t="s">
        <v>19</v>
      </c>
      <c r="D2607" t="str">
        <f>LEFT(M2607,10)</f>
        <v>12/15/2024</v>
      </c>
      <c r="E2607" t="s">
        <v>202</v>
      </c>
      <c r="F2607" t="s">
        <v>203</v>
      </c>
      <c r="G2607" t="s">
        <v>204</v>
      </c>
      <c r="I2607">
        <v>305.5</v>
      </c>
      <c r="J2607">
        <v>2749.5</v>
      </c>
      <c r="K2607">
        <v>9</v>
      </c>
      <c r="M2607" t="s">
        <v>205</v>
      </c>
    </row>
    <row r="2608" spans="1:13" hidden="1">
      <c r="A2608" t="s">
        <v>51</v>
      </c>
      <c r="B2608" t="s">
        <v>52</v>
      </c>
      <c r="C2608" t="s">
        <v>19</v>
      </c>
      <c r="D2608" t="str">
        <f>LEFT(M2608,10)</f>
        <v>12/15/2024</v>
      </c>
      <c r="E2608" t="s">
        <v>202</v>
      </c>
      <c r="F2608" t="s">
        <v>203</v>
      </c>
      <c r="G2608" t="s">
        <v>236</v>
      </c>
      <c r="I2608">
        <v>7.5</v>
      </c>
      <c r="J2608">
        <v>112.5</v>
      </c>
      <c r="K2608">
        <v>15</v>
      </c>
      <c r="M2608" t="s">
        <v>205</v>
      </c>
    </row>
    <row r="2609" spans="1:13" hidden="1">
      <c r="A2609" t="s">
        <v>51</v>
      </c>
      <c r="B2609" t="s">
        <v>52</v>
      </c>
      <c r="C2609" t="s">
        <v>19</v>
      </c>
      <c r="D2609" t="str">
        <f>LEFT(M2609,10)</f>
        <v>12/15/2024</v>
      </c>
      <c r="E2609" t="s">
        <v>202</v>
      </c>
      <c r="F2609" t="s">
        <v>203</v>
      </c>
      <c r="G2609" t="s">
        <v>236</v>
      </c>
      <c r="I2609">
        <v>8</v>
      </c>
      <c r="J2609">
        <v>22.35</v>
      </c>
      <c r="K2609">
        <v>2.79</v>
      </c>
      <c r="M2609" t="s">
        <v>205</v>
      </c>
    </row>
    <row r="2610" spans="1:13" hidden="1">
      <c r="A2610" t="s">
        <v>51</v>
      </c>
      <c r="B2610" t="s">
        <v>52</v>
      </c>
      <c r="C2610" t="s">
        <v>19</v>
      </c>
      <c r="D2610" t="str">
        <f>LEFT(M2610,10)</f>
        <v>12/15/2024</v>
      </c>
      <c r="E2610" t="s">
        <v>202</v>
      </c>
      <c r="F2610" t="s">
        <v>218</v>
      </c>
      <c r="G2610" t="s">
        <v>239</v>
      </c>
      <c r="I2610">
        <v>784</v>
      </c>
      <c r="J2610">
        <v>392</v>
      </c>
      <c r="K2610">
        <v>0.5</v>
      </c>
      <c r="M2610" t="s">
        <v>205</v>
      </c>
    </row>
    <row r="2611" spans="1:13" hidden="1">
      <c r="A2611" t="s">
        <v>51</v>
      </c>
      <c r="B2611" t="s">
        <v>52</v>
      </c>
      <c r="C2611" t="s">
        <v>19</v>
      </c>
      <c r="D2611" t="str">
        <f>LEFT(M2611,10)</f>
        <v>12/15/2024</v>
      </c>
      <c r="E2611" t="s">
        <v>202</v>
      </c>
      <c r="F2611" t="s">
        <v>306</v>
      </c>
      <c r="G2611" t="s">
        <v>307</v>
      </c>
      <c r="I2611">
        <v>110</v>
      </c>
      <c r="J2611">
        <v>220</v>
      </c>
      <c r="K2611">
        <v>2</v>
      </c>
      <c r="M2611" t="s">
        <v>205</v>
      </c>
    </row>
    <row r="2612" spans="1:13" hidden="1">
      <c r="A2612" t="s">
        <v>51</v>
      </c>
      <c r="B2612" t="s">
        <v>52</v>
      </c>
      <c r="C2612" t="s">
        <v>19</v>
      </c>
      <c r="D2612" t="str">
        <f>LEFT(M2612,10)</f>
        <v>12/15/2024</v>
      </c>
      <c r="E2612" t="s">
        <v>202</v>
      </c>
      <c r="F2612" t="s">
        <v>203</v>
      </c>
      <c r="G2612" t="s">
        <v>236</v>
      </c>
      <c r="I2612">
        <v>2430</v>
      </c>
      <c r="J2612">
        <v>972</v>
      </c>
      <c r="K2612">
        <v>0.4</v>
      </c>
      <c r="M2612" t="s">
        <v>205</v>
      </c>
    </row>
    <row r="2613" spans="1:13" hidden="1">
      <c r="A2613" t="s">
        <v>51</v>
      </c>
      <c r="B2613" t="s">
        <v>52</v>
      </c>
      <c r="C2613" t="s">
        <v>19</v>
      </c>
      <c r="D2613" t="str">
        <f>LEFT(M2613,10)</f>
        <v>12/15/2024</v>
      </c>
      <c r="E2613" t="s">
        <v>202</v>
      </c>
      <c r="F2613" t="s">
        <v>203</v>
      </c>
      <c r="G2613" t="s">
        <v>215</v>
      </c>
      <c r="I2613">
        <v>40</v>
      </c>
      <c r="J2613">
        <v>48</v>
      </c>
      <c r="K2613">
        <v>1.2</v>
      </c>
      <c r="M2613" t="s">
        <v>205</v>
      </c>
    </row>
    <row r="2614" spans="1:13" hidden="1">
      <c r="A2614" t="s">
        <v>51</v>
      </c>
      <c r="B2614" t="s">
        <v>52</v>
      </c>
      <c r="C2614" t="s">
        <v>19</v>
      </c>
      <c r="D2614" t="str">
        <f>LEFT(M2614,10)</f>
        <v>12/15/2024</v>
      </c>
      <c r="E2614" t="s">
        <v>202</v>
      </c>
      <c r="F2614" t="s">
        <v>216</v>
      </c>
      <c r="G2614" t="s">
        <v>253</v>
      </c>
      <c r="I2614">
        <v>10849</v>
      </c>
      <c r="J2614">
        <v>1844.33</v>
      </c>
      <c r="K2614">
        <v>0.17</v>
      </c>
      <c r="M2614" t="s">
        <v>205</v>
      </c>
    </row>
    <row r="2615" spans="1:13" hidden="1">
      <c r="A2615" t="s">
        <v>51</v>
      </c>
      <c r="B2615" t="s">
        <v>52</v>
      </c>
      <c r="C2615" t="s">
        <v>19</v>
      </c>
      <c r="D2615" t="str">
        <f>LEFT(M2615,10)</f>
        <v>12/15/2024</v>
      </c>
      <c r="E2615" t="s">
        <v>230</v>
      </c>
      <c r="F2615" t="s">
        <v>248</v>
      </c>
      <c r="I2615">
        <v>0</v>
      </c>
      <c r="J2615">
        <v>37127.85</v>
      </c>
      <c r="M2615" t="s">
        <v>205</v>
      </c>
    </row>
    <row r="2616" spans="1:13" hidden="1">
      <c r="A2616" t="s">
        <v>51</v>
      </c>
      <c r="B2616" t="s">
        <v>52</v>
      </c>
      <c r="C2616" t="s">
        <v>19</v>
      </c>
      <c r="D2616" t="str">
        <f>LEFT(M2616,10)</f>
        <v>12/15/2024</v>
      </c>
      <c r="E2616" t="s">
        <v>232</v>
      </c>
      <c r="F2616" t="s">
        <v>262</v>
      </c>
      <c r="I2616">
        <v>0</v>
      </c>
      <c r="J2616">
        <v>9189.4</v>
      </c>
      <c r="M2616" t="s">
        <v>205</v>
      </c>
    </row>
    <row r="2617" spans="1:13" hidden="1">
      <c r="A2617" t="s">
        <v>51</v>
      </c>
      <c r="B2617" t="s">
        <v>52</v>
      </c>
      <c r="C2617" t="s">
        <v>19</v>
      </c>
      <c r="D2617" t="str">
        <f>LEFT(M2617,10)</f>
        <v>12/15/2024</v>
      </c>
      <c r="E2617" t="s">
        <v>232</v>
      </c>
      <c r="F2617" t="s">
        <v>287</v>
      </c>
      <c r="I2617">
        <v>0</v>
      </c>
      <c r="J2617">
        <v>7560.79</v>
      </c>
      <c r="M2617" t="s">
        <v>205</v>
      </c>
    </row>
    <row r="2618" spans="1:13" hidden="1">
      <c r="A2618" t="s">
        <v>51</v>
      </c>
      <c r="B2618" t="s">
        <v>52</v>
      </c>
      <c r="C2618" t="s">
        <v>19</v>
      </c>
      <c r="D2618" t="str">
        <f>LEFT(M2618,10)</f>
        <v>12/15/2024</v>
      </c>
      <c r="E2618" t="s">
        <v>232</v>
      </c>
      <c r="F2618" t="s">
        <v>292</v>
      </c>
      <c r="I2618">
        <v>0</v>
      </c>
      <c r="J2618">
        <v>2800</v>
      </c>
      <c r="M2618" t="s">
        <v>205</v>
      </c>
    </row>
    <row r="2619" spans="1:13" hidden="1">
      <c r="A2619" t="s">
        <v>51</v>
      </c>
      <c r="B2619" t="s">
        <v>52</v>
      </c>
      <c r="C2619" t="s">
        <v>19</v>
      </c>
      <c r="D2619" t="str">
        <f>LEFT(M2619,10)</f>
        <v>12/15/2024</v>
      </c>
      <c r="E2619" t="s">
        <v>232</v>
      </c>
      <c r="F2619" t="s">
        <v>290</v>
      </c>
      <c r="I2619">
        <v>0</v>
      </c>
      <c r="J2619">
        <v>800</v>
      </c>
      <c r="M2619" t="s">
        <v>205</v>
      </c>
    </row>
    <row r="2620" spans="1:13" hidden="1">
      <c r="A2620" t="s">
        <v>51</v>
      </c>
      <c r="B2620" t="s">
        <v>52</v>
      </c>
      <c r="C2620" t="s">
        <v>19</v>
      </c>
      <c r="D2620" t="str">
        <f>LEFT(M2620,10)</f>
        <v>12/15/2024</v>
      </c>
      <c r="E2620" t="s">
        <v>232</v>
      </c>
      <c r="F2620" t="s">
        <v>255</v>
      </c>
      <c r="I2620">
        <v>0</v>
      </c>
      <c r="J2620">
        <v>16777.66</v>
      </c>
      <c r="L2620" t="s">
        <v>456</v>
      </c>
      <c r="M2620" t="s">
        <v>205</v>
      </c>
    </row>
    <row r="2621" spans="1:13" hidden="1">
      <c r="A2621" t="s">
        <v>51</v>
      </c>
      <c r="B2621" t="s">
        <v>52</v>
      </c>
      <c r="C2621" t="s">
        <v>19</v>
      </c>
      <c r="D2621" t="str">
        <f>LEFT(M2621,10)</f>
        <v>12/15/2024</v>
      </c>
      <c r="E2621" t="s">
        <v>234</v>
      </c>
      <c r="F2621" t="s">
        <v>234</v>
      </c>
      <c r="I2621">
        <v>6800</v>
      </c>
      <c r="M2621" t="s">
        <v>205</v>
      </c>
    </row>
    <row r="2622" spans="1:13" hidden="1">
      <c r="A2622" t="s">
        <v>167</v>
      </c>
      <c r="B2622" t="s">
        <v>24</v>
      </c>
      <c r="C2622" t="s">
        <v>23</v>
      </c>
      <c r="D2622" t="str">
        <f>LEFT(M2622,10)</f>
        <v>11/15/2024</v>
      </c>
      <c r="E2622" t="s">
        <v>230</v>
      </c>
      <c r="F2622" t="s">
        <v>248</v>
      </c>
      <c r="I2622">
        <v>0</v>
      </c>
      <c r="J2622">
        <v>76402.67</v>
      </c>
      <c r="M2622" t="s">
        <v>289</v>
      </c>
    </row>
    <row r="2623" spans="1:13" hidden="1">
      <c r="A2623" t="s">
        <v>167</v>
      </c>
      <c r="B2623" t="s">
        <v>24</v>
      </c>
      <c r="C2623" t="s">
        <v>23</v>
      </c>
      <c r="D2623" t="str">
        <f>LEFT(M2623,10)</f>
        <v>11/15/2024</v>
      </c>
      <c r="E2623" t="s">
        <v>202</v>
      </c>
      <c r="F2623" t="s">
        <v>218</v>
      </c>
      <c r="G2623" t="s">
        <v>266</v>
      </c>
      <c r="I2623">
        <v>5850</v>
      </c>
      <c r="J2623">
        <v>1170</v>
      </c>
      <c r="K2623">
        <v>0.2</v>
      </c>
      <c r="M2623" t="s">
        <v>289</v>
      </c>
    </row>
    <row r="2624" spans="1:13" hidden="1">
      <c r="A2624" t="s">
        <v>168</v>
      </c>
      <c r="B2624" t="s">
        <v>8</v>
      </c>
      <c r="C2624" t="s">
        <v>23</v>
      </c>
      <c r="D2624" t="str">
        <f>LEFT(M2624,10)</f>
        <v>11/15/2024</v>
      </c>
      <c r="E2624" t="s">
        <v>230</v>
      </c>
      <c r="F2624" t="s">
        <v>248</v>
      </c>
      <c r="I2624">
        <v>0</v>
      </c>
      <c r="J2624">
        <v>76402.320000000007</v>
      </c>
      <c r="M2624" t="s">
        <v>289</v>
      </c>
    </row>
    <row r="2625" spans="1:13" hidden="1">
      <c r="A2625" t="s">
        <v>168</v>
      </c>
      <c r="B2625" t="s">
        <v>8</v>
      </c>
      <c r="C2625" t="s">
        <v>23</v>
      </c>
      <c r="D2625" t="str">
        <f>LEFT(M2625,10)</f>
        <v>11/15/2024</v>
      </c>
      <c r="E2625" t="s">
        <v>202</v>
      </c>
      <c r="F2625" t="s">
        <v>216</v>
      </c>
      <c r="G2625" t="s">
        <v>253</v>
      </c>
      <c r="I2625">
        <v>13900</v>
      </c>
      <c r="J2625">
        <v>2780</v>
      </c>
      <c r="K2625">
        <v>0.2</v>
      </c>
      <c r="M2625" t="s">
        <v>289</v>
      </c>
    </row>
    <row r="2626" spans="1:13" hidden="1">
      <c r="A2626" t="s">
        <v>55</v>
      </c>
      <c r="B2626" t="s">
        <v>8</v>
      </c>
      <c r="C2626" t="s">
        <v>54</v>
      </c>
      <c r="D2626" t="str">
        <f>LEFT(M2626,10)</f>
        <v>12/15/2024</v>
      </c>
      <c r="E2626" t="s">
        <v>202</v>
      </c>
      <c r="F2626" t="s">
        <v>227</v>
      </c>
      <c r="G2626" t="s">
        <v>229</v>
      </c>
      <c r="I2626">
        <v>22047.5</v>
      </c>
      <c r="J2626">
        <v>19401.8</v>
      </c>
      <c r="K2626">
        <v>0.88</v>
      </c>
      <c r="M2626" t="s">
        <v>205</v>
      </c>
    </row>
    <row r="2627" spans="1:13" hidden="1">
      <c r="A2627" t="s">
        <v>55</v>
      </c>
      <c r="B2627" t="s">
        <v>8</v>
      </c>
      <c r="C2627" t="s">
        <v>54</v>
      </c>
      <c r="D2627" t="str">
        <f>LEFT(M2627,10)</f>
        <v>12/15/2024</v>
      </c>
      <c r="E2627" t="s">
        <v>202</v>
      </c>
      <c r="F2627" t="s">
        <v>227</v>
      </c>
      <c r="G2627" t="s">
        <v>228</v>
      </c>
      <c r="I2627">
        <v>8933</v>
      </c>
      <c r="J2627">
        <v>2679.9</v>
      </c>
      <c r="K2627">
        <v>0.3</v>
      </c>
      <c r="M2627" t="s">
        <v>205</v>
      </c>
    </row>
    <row r="2628" spans="1:13" hidden="1">
      <c r="A2628" t="s">
        <v>55</v>
      </c>
      <c r="B2628" t="s">
        <v>8</v>
      </c>
      <c r="C2628" t="s">
        <v>54</v>
      </c>
      <c r="D2628" t="str">
        <f>LEFT(M2628,10)</f>
        <v>12/15/2024</v>
      </c>
      <c r="E2628" t="s">
        <v>202</v>
      </c>
      <c r="F2628" t="s">
        <v>227</v>
      </c>
      <c r="G2628" t="s">
        <v>252</v>
      </c>
      <c r="I2628">
        <v>927</v>
      </c>
      <c r="J2628">
        <v>278.10000000000002</v>
      </c>
      <c r="K2628">
        <v>0.3</v>
      </c>
      <c r="M2628" t="s">
        <v>205</v>
      </c>
    </row>
    <row r="2629" spans="1:13" hidden="1">
      <c r="A2629" t="s">
        <v>55</v>
      </c>
      <c r="B2629" t="s">
        <v>8</v>
      </c>
      <c r="C2629" t="s">
        <v>54</v>
      </c>
      <c r="D2629" t="str">
        <f>LEFT(M2629,10)</f>
        <v>12/15/2024</v>
      </c>
      <c r="E2629" t="s">
        <v>202</v>
      </c>
      <c r="F2629" t="s">
        <v>218</v>
      </c>
      <c r="G2629" t="s">
        <v>220</v>
      </c>
      <c r="I2629">
        <v>3081</v>
      </c>
      <c r="J2629">
        <v>5083.6499999999996</v>
      </c>
      <c r="K2629">
        <v>1.65</v>
      </c>
      <c r="M2629" t="s">
        <v>205</v>
      </c>
    </row>
    <row r="2630" spans="1:13" hidden="1">
      <c r="A2630" t="s">
        <v>55</v>
      </c>
      <c r="B2630" t="s">
        <v>8</v>
      </c>
      <c r="C2630" t="s">
        <v>54</v>
      </c>
      <c r="D2630" t="str">
        <f>LEFT(M2630,10)</f>
        <v>12/15/2024</v>
      </c>
      <c r="E2630" t="s">
        <v>202</v>
      </c>
      <c r="F2630" t="s">
        <v>218</v>
      </c>
      <c r="G2630" t="s">
        <v>222</v>
      </c>
      <c r="I2630">
        <v>2652</v>
      </c>
      <c r="J2630">
        <v>3447.6</v>
      </c>
      <c r="K2630">
        <v>1.3</v>
      </c>
      <c r="M2630" t="s">
        <v>205</v>
      </c>
    </row>
    <row r="2631" spans="1:13" hidden="1">
      <c r="A2631" t="s">
        <v>55</v>
      </c>
      <c r="B2631" t="s">
        <v>8</v>
      </c>
      <c r="C2631" t="s">
        <v>54</v>
      </c>
      <c r="D2631" t="str">
        <f>LEFT(M2631,10)</f>
        <v>12/15/2024</v>
      </c>
      <c r="E2631" t="s">
        <v>202</v>
      </c>
      <c r="F2631" t="s">
        <v>218</v>
      </c>
      <c r="G2631" t="s">
        <v>223</v>
      </c>
      <c r="I2631">
        <v>3105</v>
      </c>
      <c r="J2631">
        <v>2173.5</v>
      </c>
      <c r="K2631">
        <v>0.7</v>
      </c>
      <c r="M2631" t="s">
        <v>205</v>
      </c>
    </row>
    <row r="2632" spans="1:13" hidden="1">
      <c r="A2632" t="s">
        <v>55</v>
      </c>
      <c r="B2632" t="s">
        <v>8</v>
      </c>
      <c r="C2632" t="s">
        <v>54</v>
      </c>
      <c r="D2632" t="str">
        <f>LEFT(M2632,10)</f>
        <v>12/15/2024</v>
      </c>
      <c r="E2632" t="s">
        <v>202</v>
      </c>
      <c r="F2632" t="s">
        <v>218</v>
      </c>
      <c r="G2632" t="s">
        <v>221</v>
      </c>
      <c r="I2632">
        <v>721.5</v>
      </c>
      <c r="J2632">
        <v>1803.75</v>
      </c>
      <c r="K2632">
        <v>2.5</v>
      </c>
      <c r="M2632" t="s">
        <v>205</v>
      </c>
    </row>
    <row r="2633" spans="1:13" hidden="1">
      <c r="A2633" t="s">
        <v>55</v>
      </c>
      <c r="B2633" t="s">
        <v>8</v>
      </c>
      <c r="C2633" t="s">
        <v>54</v>
      </c>
      <c r="D2633" t="str">
        <f>LEFT(M2633,10)</f>
        <v>12/15/2024</v>
      </c>
      <c r="E2633" t="s">
        <v>202</v>
      </c>
      <c r="F2633" t="s">
        <v>218</v>
      </c>
      <c r="G2633" t="s">
        <v>221</v>
      </c>
      <c r="I2633">
        <v>933.5</v>
      </c>
      <c r="J2633">
        <v>2333.75</v>
      </c>
      <c r="K2633">
        <v>2.5</v>
      </c>
      <c r="M2633" t="s">
        <v>205</v>
      </c>
    </row>
    <row r="2634" spans="1:13" hidden="1">
      <c r="A2634" t="s">
        <v>55</v>
      </c>
      <c r="B2634" t="s">
        <v>8</v>
      </c>
      <c r="C2634" t="s">
        <v>54</v>
      </c>
      <c r="D2634" t="str">
        <f>LEFT(M2634,10)</f>
        <v>12/15/2024</v>
      </c>
      <c r="E2634" t="s">
        <v>202</v>
      </c>
      <c r="F2634" t="s">
        <v>218</v>
      </c>
      <c r="G2634" t="s">
        <v>240</v>
      </c>
      <c r="I2634">
        <v>2747</v>
      </c>
      <c r="J2634">
        <v>11537.4</v>
      </c>
      <c r="K2634">
        <v>4.2</v>
      </c>
      <c r="M2634" t="s">
        <v>205</v>
      </c>
    </row>
    <row r="2635" spans="1:13" hidden="1">
      <c r="A2635" t="s">
        <v>55</v>
      </c>
      <c r="B2635" t="s">
        <v>8</v>
      </c>
      <c r="C2635" t="s">
        <v>54</v>
      </c>
      <c r="D2635" t="str">
        <f>LEFT(M2635,10)</f>
        <v>12/15/2024</v>
      </c>
      <c r="E2635" t="s">
        <v>202</v>
      </c>
      <c r="F2635" t="s">
        <v>218</v>
      </c>
      <c r="G2635" t="s">
        <v>243</v>
      </c>
      <c r="H2635" t="s">
        <v>364</v>
      </c>
      <c r="I2635">
        <v>119.5</v>
      </c>
      <c r="J2635">
        <v>59.75</v>
      </c>
      <c r="K2635">
        <v>0.5</v>
      </c>
      <c r="M2635" t="s">
        <v>205</v>
      </c>
    </row>
    <row r="2636" spans="1:13" hidden="1">
      <c r="A2636" t="s">
        <v>55</v>
      </c>
      <c r="B2636" t="s">
        <v>8</v>
      </c>
      <c r="C2636" t="s">
        <v>54</v>
      </c>
      <c r="D2636" t="str">
        <f>LEFT(M2636,10)</f>
        <v>12/15/2024</v>
      </c>
      <c r="E2636" t="s">
        <v>202</v>
      </c>
      <c r="F2636" t="s">
        <v>218</v>
      </c>
      <c r="G2636" t="s">
        <v>224</v>
      </c>
      <c r="I2636">
        <v>452.5</v>
      </c>
      <c r="J2636">
        <v>407.25</v>
      </c>
      <c r="K2636">
        <v>0.9</v>
      </c>
      <c r="M2636" t="s">
        <v>205</v>
      </c>
    </row>
    <row r="2637" spans="1:13" hidden="1">
      <c r="A2637" t="s">
        <v>55</v>
      </c>
      <c r="B2637" t="s">
        <v>8</v>
      </c>
      <c r="C2637" t="s">
        <v>54</v>
      </c>
      <c r="D2637" t="str">
        <f>LEFT(M2637,10)</f>
        <v>12/15/2024</v>
      </c>
      <c r="E2637" t="s">
        <v>202</v>
      </c>
      <c r="F2637" t="s">
        <v>218</v>
      </c>
      <c r="G2637" t="s">
        <v>225</v>
      </c>
      <c r="I2637">
        <v>373.5</v>
      </c>
      <c r="J2637">
        <v>280.13</v>
      </c>
      <c r="K2637">
        <v>0.75</v>
      </c>
      <c r="M2637" t="s">
        <v>205</v>
      </c>
    </row>
    <row r="2638" spans="1:13" hidden="1">
      <c r="A2638" t="s">
        <v>55</v>
      </c>
      <c r="B2638" t="s">
        <v>8</v>
      </c>
      <c r="C2638" t="s">
        <v>54</v>
      </c>
      <c r="D2638" t="str">
        <f>LEFT(M2638,10)</f>
        <v>12/15/2024</v>
      </c>
      <c r="E2638" t="s">
        <v>202</v>
      </c>
      <c r="F2638" t="s">
        <v>218</v>
      </c>
      <c r="G2638" t="s">
        <v>226</v>
      </c>
      <c r="I2638">
        <v>725.5</v>
      </c>
      <c r="J2638">
        <v>145.1</v>
      </c>
      <c r="K2638">
        <v>0.2</v>
      </c>
      <c r="M2638" t="s">
        <v>205</v>
      </c>
    </row>
    <row r="2639" spans="1:13" hidden="1">
      <c r="A2639" t="s">
        <v>55</v>
      </c>
      <c r="B2639" t="s">
        <v>8</v>
      </c>
      <c r="C2639" t="s">
        <v>54</v>
      </c>
      <c r="D2639" t="str">
        <f>LEFT(M2639,10)</f>
        <v>12/15/2024</v>
      </c>
      <c r="E2639" t="s">
        <v>202</v>
      </c>
      <c r="F2639" t="s">
        <v>218</v>
      </c>
      <c r="G2639" t="s">
        <v>242</v>
      </c>
      <c r="I2639">
        <v>172</v>
      </c>
      <c r="J2639">
        <v>172</v>
      </c>
      <c r="K2639">
        <v>1</v>
      </c>
      <c r="M2639" t="s">
        <v>205</v>
      </c>
    </row>
    <row r="2640" spans="1:13" hidden="1">
      <c r="A2640" t="s">
        <v>55</v>
      </c>
      <c r="B2640" t="s">
        <v>8</v>
      </c>
      <c r="C2640" t="s">
        <v>54</v>
      </c>
      <c r="D2640" t="str">
        <f>LEFT(M2640,10)</f>
        <v>12/15/2024</v>
      </c>
      <c r="E2640" t="s">
        <v>202</v>
      </c>
      <c r="F2640" t="s">
        <v>203</v>
      </c>
      <c r="G2640" t="s">
        <v>204</v>
      </c>
      <c r="I2640">
        <v>619.5</v>
      </c>
      <c r="J2640">
        <v>5389.65</v>
      </c>
      <c r="K2640">
        <v>8.6999999999999993</v>
      </c>
      <c r="M2640" t="s">
        <v>205</v>
      </c>
    </row>
    <row r="2641" spans="1:13" hidden="1">
      <c r="A2641" t="s">
        <v>55</v>
      </c>
      <c r="B2641" t="s">
        <v>8</v>
      </c>
      <c r="C2641" t="s">
        <v>54</v>
      </c>
      <c r="D2641" t="str">
        <f>LEFT(M2641,10)</f>
        <v>12/15/2024</v>
      </c>
      <c r="E2641" t="s">
        <v>202</v>
      </c>
      <c r="F2641" t="s">
        <v>203</v>
      </c>
      <c r="G2641" t="s">
        <v>259</v>
      </c>
      <c r="I2641">
        <v>44.5</v>
      </c>
      <c r="J2641">
        <v>356</v>
      </c>
      <c r="K2641">
        <v>8</v>
      </c>
      <c r="M2641" t="s">
        <v>205</v>
      </c>
    </row>
    <row r="2642" spans="1:13" hidden="1">
      <c r="A2642" t="s">
        <v>55</v>
      </c>
      <c r="B2642" t="s">
        <v>8</v>
      </c>
      <c r="C2642" t="s">
        <v>54</v>
      </c>
      <c r="D2642" t="str">
        <f>LEFT(M2642,10)</f>
        <v>12/15/2024</v>
      </c>
      <c r="E2642" t="s">
        <v>202</v>
      </c>
      <c r="F2642" t="s">
        <v>203</v>
      </c>
      <c r="G2642" t="s">
        <v>236</v>
      </c>
      <c r="I2642">
        <v>3360</v>
      </c>
      <c r="J2642">
        <v>2352</v>
      </c>
      <c r="K2642">
        <v>0.7</v>
      </c>
      <c r="M2642" t="s">
        <v>205</v>
      </c>
    </row>
    <row r="2643" spans="1:13" hidden="1">
      <c r="A2643" t="s">
        <v>55</v>
      </c>
      <c r="B2643" t="s">
        <v>8</v>
      </c>
      <c r="C2643" t="s">
        <v>54</v>
      </c>
      <c r="D2643" t="str">
        <f>LEFT(M2643,10)</f>
        <v>12/15/2024</v>
      </c>
      <c r="E2643" t="s">
        <v>202</v>
      </c>
      <c r="F2643" t="s">
        <v>203</v>
      </c>
      <c r="G2643" t="s">
        <v>208</v>
      </c>
      <c r="I2643">
        <v>175</v>
      </c>
      <c r="J2643">
        <v>1750</v>
      </c>
      <c r="K2643">
        <v>10</v>
      </c>
      <c r="M2643" t="s">
        <v>205</v>
      </c>
    </row>
    <row r="2644" spans="1:13" hidden="1">
      <c r="A2644" t="s">
        <v>55</v>
      </c>
      <c r="B2644" t="s">
        <v>8</v>
      </c>
      <c r="C2644" t="s">
        <v>54</v>
      </c>
      <c r="D2644" t="str">
        <f>LEFT(M2644,10)</f>
        <v>12/15/2024</v>
      </c>
      <c r="E2644" t="s">
        <v>202</v>
      </c>
      <c r="F2644" t="s">
        <v>203</v>
      </c>
      <c r="G2644" t="s">
        <v>206</v>
      </c>
      <c r="I2644">
        <v>30</v>
      </c>
      <c r="J2644">
        <v>120</v>
      </c>
      <c r="K2644">
        <v>4</v>
      </c>
      <c r="M2644" t="s">
        <v>205</v>
      </c>
    </row>
    <row r="2645" spans="1:13" hidden="1">
      <c r="A2645" t="s">
        <v>55</v>
      </c>
      <c r="B2645" t="s">
        <v>8</v>
      </c>
      <c r="C2645" t="s">
        <v>54</v>
      </c>
      <c r="D2645" t="str">
        <f>LEFT(M2645,10)</f>
        <v>12/15/2024</v>
      </c>
      <c r="E2645" t="s">
        <v>202</v>
      </c>
      <c r="F2645" t="s">
        <v>203</v>
      </c>
      <c r="G2645" t="s">
        <v>259</v>
      </c>
      <c r="I2645">
        <v>1</v>
      </c>
      <c r="J2645">
        <v>5</v>
      </c>
      <c r="K2645">
        <v>5</v>
      </c>
      <c r="M2645" t="s">
        <v>205</v>
      </c>
    </row>
    <row r="2646" spans="1:13" hidden="1">
      <c r="A2646" t="s">
        <v>55</v>
      </c>
      <c r="B2646" t="s">
        <v>8</v>
      </c>
      <c r="C2646" t="s">
        <v>54</v>
      </c>
      <c r="D2646" t="str">
        <f>LEFT(M2646,10)</f>
        <v>12/15/2024</v>
      </c>
      <c r="E2646" t="s">
        <v>202</v>
      </c>
      <c r="F2646" t="s">
        <v>203</v>
      </c>
      <c r="G2646" t="s">
        <v>215</v>
      </c>
      <c r="I2646">
        <v>150</v>
      </c>
      <c r="J2646">
        <v>50</v>
      </c>
      <c r="K2646">
        <v>0.33</v>
      </c>
      <c r="M2646" t="s">
        <v>205</v>
      </c>
    </row>
    <row r="2647" spans="1:13" hidden="1">
      <c r="A2647" t="s">
        <v>55</v>
      </c>
      <c r="B2647" t="s">
        <v>8</v>
      </c>
      <c r="C2647" t="s">
        <v>54</v>
      </c>
      <c r="D2647" t="str">
        <f>LEFT(M2647,10)</f>
        <v>12/15/2024</v>
      </c>
      <c r="E2647" t="s">
        <v>202</v>
      </c>
      <c r="F2647" t="s">
        <v>203</v>
      </c>
      <c r="G2647" t="s">
        <v>215</v>
      </c>
      <c r="I2647">
        <v>350</v>
      </c>
      <c r="J2647">
        <v>177</v>
      </c>
      <c r="K2647">
        <v>0.51</v>
      </c>
      <c r="M2647" t="s">
        <v>205</v>
      </c>
    </row>
    <row r="2648" spans="1:13" hidden="1">
      <c r="A2648" t="s">
        <v>55</v>
      </c>
      <c r="B2648" t="s">
        <v>8</v>
      </c>
      <c r="C2648" t="s">
        <v>54</v>
      </c>
      <c r="D2648" t="str">
        <f>LEFT(M2648,10)</f>
        <v>12/15/2024</v>
      </c>
      <c r="E2648" t="s">
        <v>202</v>
      </c>
      <c r="F2648" t="s">
        <v>203</v>
      </c>
      <c r="G2648" t="s">
        <v>215</v>
      </c>
      <c r="I2648">
        <v>48.5</v>
      </c>
      <c r="J2648">
        <v>58.2</v>
      </c>
      <c r="K2648">
        <v>1.2</v>
      </c>
      <c r="M2648" t="s">
        <v>205</v>
      </c>
    </row>
    <row r="2649" spans="1:13" hidden="1">
      <c r="A2649" t="s">
        <v>55</v>
      </c>
      <c r="B2649" t="s">
        <v>8</v>
      </c>
      <c r="C2649" t="s">
        <v>54</v>
      </c>
      <c r="D2649" t="str">
        <f>LEFT(M2649,10)</f>
        <v>12/15/2024</v>
      </c>
      <c r="E2649" t="s">
        <v>202</v>
      </c>
      <c r="F2649" t="s">
        <v>203</v>
      </c>
      <c r="G2649" t="s">
        <v>215</v>
      </c>
      <c r="I2649">
        <v>200</v>
      </c>
      <c r="J2649">
        <v>80</v>
      </c>
      <c r="K2649">
        <v>0.4</v>
      </c>
      <c r="M2649" t="s">
        <v>205</v>
      </c>
    </row>
    <row r="2650" spans="1:13" hidden="1">
      <c r="A2650" t="s">
        <v>55</v>
      </c>
      <c r="B2650" t="s">
        <v>8</v>
      </c>
      <c r="C2650" t="s">
        <v>54</v>
      </c>
      <c r="D2650" t="str">
        <f>LEFT(M2650,10)</f>
        <v>12/15/2024</v>
      </c>
      <c r="E2650" t="s">
        <v>202</v>
      </c>
      <c r="F2650" t="s">
        <v>203</v>
      </c>
      <c r="G2650" t="s">
        <v>259</v>
      </c>
      <c r="I2650">
        <v>28</v>
      </c>
      <c r="J2650">
        <v>588</v>
      </c>
      <c r="K2650">
        <v>21</v>
      </c>
      <c r="M2650" t="s">
        <v>205</v>
      </c>
    </row>
    <row r="2651" spans="1:13" hidden="1">
      <c r="A2651" t="s">
        <v>55</v>
      </c>
      <c r="B2651" t="s">
        <v>8</v>
      </c>
      <c r="C2651" t="s">
        <v>54</v>
      </c>
      <c r="D2651" t="str">
        <f>LEFT(M2651,10)</f>
        <v>12/15/2024</v>
      </c>
      <c r="E2651" t="s">
        <v>202</v>
      </c>
      <c r="F2651" t="s">
        <v>203</v>
      </c>
      <c r="G2651" t="s">
        <v>259</v>
      </c>
      <c r="I2651">
        <v>8.5</v>
      </c>
      <c r="J2651">
        <v>51</v>
      </c>
      <c r="K2651">
        <v>6</v>
      </c>
      <c r="M2651" t="s">
        <v>205</v>
      </c>
    </row>
    <row r="2652" spans="1:13" hidden="1">
      <c r="A2652" t="s">
        <v>55</v>
      </c>
      <c r="B2652" t="s">
        <v>8</v>
      </c>
      <c r="C2652" t="s">
        <v>54</v>
      </c>
      <c r="D2652" t="str">
        <f>LEFT(M2652,10)</f>
        <v>12/15/2024</v>
      </c>
      <c r="E2652" t="s">
        <v>202</v>
      </c>
      <c r="F2652" t="s">
        <v>203</v>
      </c>
      <c r="G2652" t="s">
        <v>207</v>
      </c>
      <c r="I2652">
        <v>93.5</v>
      </c>
      <c r="J2652">
        <v>561</v>
      </c>
      <c r="K2652">
        <v>6</v>
      </c>
      <c r="M2652" t="s">
        <v>205</v>
      </c>
    </row>
    <row r="2653" spans="1:13" hidden="1">
      <c r="A2653" t="s">
        <v>55</v>
      </c>
      <c r="B2653" t="s">
        <v>8</v>
      </c>
      <c r="C2653" t="s">
        <v>54</v>
      </c>
      <c r="D2653" t="str">
        <f>LEFT(M2653,10)</f>
        <v>12/15/2024</v>
      </c>
      <c r="E2653" t="s">
        <v>202</v>
      </c>
      <c r="F2653" t="s">
        <v>203</v>
      </c>
      <c r="G2653" t="s">
        <v>260</v>
      </c>
      <c r="I2653">
        <v>62</v>
      </c>
      <c r="J2653">
        <v>2418</v>
      </c>
      <c r="K2653">
        <v>39</v>
      </c>
      <c r="M2653" t="s">
        <v>205</v>
      </c>
    </row>
    <row r="2654" spans="1:13" hidden="1">
      <c r="A2654" t="s">
        <v>55</v>
      </c>
      <c r="B2654" t="s">
        <v>8</v>
      </c>
      <c r="C2654" t="s">
        <v>54</v>
      </c>
      <c r="D2654" t="str">
        <f>LEFT(M2654,10)</f>
        <v>12/15/2024</v>
      </c>
      <c r="E2654" t="s">
        <v>202</v>
      </c>
      <c r="F2654" t="s">
        <v>216</v>
      </c>
      <c r="G2654" t="s">
        <v>253</v>
      </c>
      <c r="I2654">
        <v>9440</v>
      </c>
      <c r="J2654">
        <v>944</v>
      </c>
      <c r="K2654">
        <v>0.1</v>
      </c>
      <c r="M2654" t="s">
        <v>205</v>
      </c>
    </row>
    <row r="2655" spans="1:13" hidden="1">
      <c r="A2655" t="s">
        <v>55</v>
      </c>
      <c r="B2655" t="s">
        <v>8</v>
      </c>
      <c r="C2655" t="s">
        <v>54</v>
      </c>
      <c r="D2655" t="str">
        <f>LEFT(M2655,10)</f>
        <v>12/15/2024</v>
      </c>
      <c r="E2655" t="s">
        <v>202</v>
      </c>
      <c r="F2655" t="s">
        <v>216</v>
      </c>
      <c r="G2655" t="s">
        <v>217</v>
      </c>
      <c r="I2655">
        <v>200</v>
      </c>
      <c r="J2655">
        <v>27</v>
      </c>
      <c r="K2655">
        <v>0.14000000000000001</v>
      </c>
      <c r="M2655" t="s">
        <v>205</v>
      </c>
    </row>
    <row r="2656" spans="1:13" hidden="1">
      <c r="A2656" t="s">
        <v>55</v>
      </c>
      <c r="B2656" t="s">
        <v>8</v>
      </c>
      <c r="C2656" t="s">
        <v>54</v>
      </c>
      <c r="D2656" t="str">
        <f>LEFT(M2656,10)</f>
        <v>12/15/2024</v>
      </c>
      <c r="E2656" t="s">
        <v>202</v>
      </c>
      <c r="F2656" t="s">
        <v>306</v>
      </c>
      <c r="G2656" t="s">
        <v>307</v>
      </c>
      <c r="I2656">
        <v>40</v>
      </c>
      <c r="J2656">
        <v>80</v>
      </c>
      <c r="K2656">
        <v>2</v>
      </c>
      <c r="M2656" t="s">
        <v>205</v>
      </c>
    </row>
    <row r="2657" spans="1:13" hidden="1">
      <c r="A2657" t="s">
        <v>55</v>
      </c>
      <c r="B2657" t="s">
        <v>8</v>
      </c>
      <c r="C2657" t="s">
        <v>54</v>
      </c>
      <c r="D2657" t="str">
        <f>LEFT(M2657,10)</f>
        <v>12/15/2024</v>
      </c>
      <c r="E2657" t="s">
        <v>202</v>
      </c>
      <c r="F2657" t="s">
        <v>209</v>
      </c>
      <c r="G2657" t="s">
        <v>310</v>
      </c>
      <c r="I2657">
        <v>3</v>
      </c>
      <c r="J2657">
        <v>45</v>
      </c>
      <c r="K2657">
        <v>15</v>
      </c>
      <c r="M2657" t="s">
        <v>205</v>
      </c>
    </row>
    <row r="2658" spans="1:13" hidden="1">
      <c r="A2658" t="s">
        <v>55</v>
      </c>
      <c r="B2658" t="s">
        <v>8</v>
      </c>
      <c r="C2658" t="s">
        <v>54</v>
      </c>
      <c r="D2658" t="str">
        <f>LEFT(M2658,10)</f>
        <v>12/15/2024</v>
      </c>
      <c r="E2658" t="s">
        <v>202</v>
      </c>
      <c r="F2658" t="s">
        <v>209</v>
      </c>
      <c r="G2658" t="s">
        <v>214</v>
      </c>
      <c r="I2658">
        <v>146.80000000000001</v>
      </c>
      <c r="J2658">
        <v>1463.9</v>
      </c>
      <c r="K2658">
        <v>9.9700000000000006</v>
      </c>
      <c r="M2658" t="s">
        <v>205</v>
      </c>
    </row>
    <row r="2659" spans="1:13" hidden="1">
      <c r="A2659" t="s">
        <v>55</v>
      </c>
      <c r="B2659" t="s">
        <v>8</v>
      </c>
      <c r="C2659" t="s">
        <v>54</v>
      </c>
      <c r="D2659" t="str">
        <f>LEFT(M2659,10)</f>
        <v>12/15/2024</v>
      </c>
      <c r="E2659" t="s">
        <v>202</v>
      </c>
      <c r="F2659" t="s">
        <v>209</v>
      </c>
      <c r="G2659" t="s">
        <v>210</v>
      </c>
      <c r="I2659">
        <v>37.5</v>
      </c>
      <c r="J2659">
        <v>93.75</v>
      </c>
      <c r="K2659">
        <v>2.5</v>
      </c>
      <c r="M2659" t="s">
        <v>205</v>
      </c>
    </row>
    <row r="2660" spans="1:13" hidden="1">
      <c r="A2660" t="s">
        <v>55</v>
      </c>
      <c r="B2660" t="s">
        <v>8</v>
      </c>
      <c r="C2660" t="s">
        <v>54</v>
      </c>
      <c r="D2660" t="str">
        <f>LEFT(M2660,10)</f>
        <v>12/15/2024</v>
      </c>
      <c r="E2660" t="s">
        <v>234</v>
      </c>
      <c r="F2660" t="s">
        <v>234</v>
      </c>
      <c r="G2660" t="s">
        <v>249</v>
      </c>
      <c r="I2660">
        <v>0</v>
      </c>
      <c r="M2660" t="s">
        <v>205</v>
      </c>
    </row>
    <row r="2661" spans="1:13" hidden="1">
      <c r="A2661" t="s">
        <v>55</v>
      </c>
      <c r="B2661" t="s">
        <v>8</v>
      </c>
      <c r="C2661" t="s">
        <v>54</v>
      </c>
      <c r="D2661" t="str">
        <f>LEFT(M2661,10)</f>
        <v>12/15/2024</v>
      </c>
      <c r="E2661" t="s">
        <v>234</v>
      </c>
      <c r="F2661" t="s">
        <v>234</v>
      </c>
      <c r="G2661" t="s">
        <v>249</v>
      </c>
      <c r="I2661">
        <v>9300</v>
      </c>
      <c r="M2661" t="s">
        <v>205</v>
      </c>
    </row>
    <row r="2662" spans="1:13" hidden="1">
      <c r="A2662" t="s">
        <v>55</v>
      </c>
      <c r="B2662" t="s">
        <v>8</v>
      </c>
      <c r="C2662" t="s">
        <v>54</v>
      </c>
      <c r="D2662" t="str">
        <f>LEFT(M2662,10)</f>
        <v>12/15/2024</v>
      </c>
      <c r="E2662" t="s">
        <v>230</v>
      </c>
      <c r="F2662" t="s">
        <v>248</v>
      </c>
      <c r="G2662" t="s">
        <v>249</v>
      </c>
      <c r="I2662">
        <v>0</v>
      </c>
      <c r="J2662">
        <v>22516.69</v>
      </c>
      <c r="M2662" t="s">
        <v>205</v>
      </c>
    </row>
    <row r="2663" spans="1:13" hidden="1">
      <c r="A2663" t="s">
        <v>55</v>
      </c>
      <c r="B2663" t="s">
        <v>8</v>
      </c>
      <c r="C2663" t="s">
        <v>54</v>
      </c>
      <c r="D2663" t="str">
        <f>LEFT(M2663,10)</f>
        <v>12/15/2024</v>
      </c>
      <c r="E2663" t="s">
        <v>232</v>
      </c>
      <c r="F2663" t="s">
        <v>251</v>
      </c>
      <c r="G2663" t="s">
        <v>249</v>
      </c>
      <c r="I2663">
        <v>0</v>
      </c>
      <c r="J2663">
        <v>442.8</v>
      </c>
      <c r="M2663" t="s">
        <v>205</v>
      </c>
    </row>
    <row r="2664" spans="1:13" hidden="1">
      <c r="A2664" t="s">
        <v>55</v>
      </c>
      <c r="B2664" t="s">
        <v>8</v>
      </c>
      <c r="C2664" t="s">
        <v>54</v>
      </c>
      <c r="D2664" t="str">
        <f>LEFT(M2664,10)</f>
        <v>12/15/2024</v>
      </c>
      <c r="E2664" t="s">
        <v>232</v>
      </c>
      <c r="F2664" t="s">
        <v>291</v>
      </c>
      <c r="G2664" t="s">
        <v>249</v>
      </c>
      <c r="I2664">
        <v>0</v>
      </c>
      <c r="J2664">
        <v>340</v>
      </c>
      <c r="M2664" t="s">
        <v>205</v>
      </c>
    </row>
    <row r="2665" spans="1:13" hidden="1">
      <c r="A2665" t="s">
        <v>55</v>
      </c>
      <c r="B2665" t="s">
        <v>8</v>
      </c>
      <c r="C2665" t="s">
        <v>54</v>
      </c>
      <c r="D2665" t="str">
        <f>LEFT(M2665,10)</f>
        <v>12/15/2024</v>
      </c>
      <c r="E2665" t="s">
        <v>232</v>
      </c>
      <c r="F2665" t="s">
        <v>255</v>
      </c>
      <c r="G2665" t="s">
        <v>249</v>
      </c>
      <c r="I2665">
        <v>0</v>
      </c>
      <c r="J2665">
        <v>1790</v>
      </c>
      <c r="L2665" t="s">
        <v>457</v>
      </c>
      <c r="M2665" t="s">
        <v>205</v>
      </c>
    </row>
    <row r="2666" spans="1:13" hidden="1">
      <c r="A2666" t="s">
        <v>55</v>
      </c>
      <c r="B2666" t="s">
        <v>8</v>
      </c>
      <c r="C2666" t="s">
        <v>54</v>
      </c>
      <c r="D2666" t="str">
        <f>LEFT(M2666,10)</f>
        <v>12/15/2024</v>
      </c>
      <c r="E2666" t="s">
        <v>232</v>
      </c>
      <c r="F2666" t="s">
        <v>250</v>
      </c>
      <c r="G2666" t="s">
        <v>249</v>
      </c>
      <c r="I2666">
        <v>0</v>
      </c>
      <c r="J2666">
        <v>150</v>
      </c>
      <c r="M2666" t="s">
        <v>205</v>
      </c>
    </row>
    <row r="2667" spans="1:13" hidden="1">
      <c r="A2667" t="s">
        <v>55</v>
      </c>
      <c r="B2667" t="s">
        <v>8</v>
      </c>
      <c r="C2667" t="s">
        <v>54</v>
      </c>
      <c r="D2667" t="str">
        <f>LEFT(M2667,10)</f>
        <v>12/15/2024</v>
      </c>
      <c r="E2667" t="s">
        <v>232</v>
      </c>
      <c r="F2667" t="s">
        <v>296</v>
      </c>
      <c r="G2667" t="s">
        <v>249</v>
      </c>
      <c r="I2667">
        <v>0</v>
      </c>
      <c r="J2667">
        <v>1000</v>
      </c>
      <c r="M2667" t="s">
        <v>205</v>
      </c>
    </row>
    <row r="2668" spans="1:13" hidden="1">
      <c r="A2668" t="s">
        <v>55</v>
      </c>
      <c r="B2668" t="s">
        <v>8</v>
      </c>
      <c r="C2668" t="s">
        <v>54</v>
      </c>
      <c r="D2668" t="str">
        <f>LEFT(M2668,10)</f>
        <v>12/15/2024</v>
      </c>
      <c r="E2668" t="s">
        <v>232</v>
      </c>
      <c r="F2668" t="s">
        <v>255</v>
      </c>
      <c r="G2668" t="s">
        <v>249</v>
      </c>
      <c r="I2668">
        <v>0</v>
      </c>
      <c r="J2668">
        <v>1870</v>
      </c>
      <c r="L2668" t="s">
        <v>277</v>
      </c>
      <c r="M2668" t="s">
        <v>205</v>
      </c>
    </row>
    <row r="2669" spans="1:13" hidden="1">
      <c r="A2669" t="s">
        <v>55</v>
      </c>
      <c r="B2669" t="s">
        <v>8</v>
      </c>
      <c r="C2669" t="s">
        <v>54</v>
      </c>
      <c r="D2669" t="str">
        <f>LEFT(M2669,10)</f>
        <v>12/15/2024</v>
      </c>
      <c r="E2669" t="s">
        <v>232</v>
      </c>
      <c r="F2669" t="s">
        <v>255</v>
      </c>
      <c r="G2669" t="s">
        <v>249</v>
      </c>
      <c r="I2669">
        <v>0</v>
      </c>
      <c r="J2669">
        <v>89</v>
      </c>
      <c r="L2669" t="s">
        <v>312</v>
      </c>
      <c r="M2669" t="s">
        <v>205</v>
      </c>
    </row>
    <row r="2670" spans="1:13" hidden="1">
      <c r="A2670" t="s">
        <v>55</v>
      </c>
      <c r="B2670" t="s">
        <v>8</v>
      </c>
      <c r="C2670" t="s">
        <v>54</v>
      </c>
      <c r="D2670" t="str">
        <f>LEFT(M2670,10)</f>
        <v>12/15/2024</v>
      </c>
      <c r="E2670" t="s">
        <v>232</v>
      </c>
      <c r="F2670" t="s">
        <v>255</v>
      </c>
      <c r="G2670" t="s">
        <v>249</v>
      </c>
      <c r="I2670">
        <v>0</v>
      </c>
      <c r="J2670">
        <v>130</v>
      </c>
      <c r="L2670" t="s">
        <v>458</v>
      </c>
      <c r="M2670" t="s">
        <v>205</v>
      </c>
    </row>
    <row r="2671" spans="1:13" hidden="1">
      <c r="A2671" t="s">
        <v>55</v>
      </c>
      <c r="B2671" t="s">
        <v>8</v>
      </c>
      <c r="C2671" t="s">
        <v>54</v>
      </c>
      <c r="D2671" t="str">
        <f>LEFT(M2671,10)</f>
        <v>12/15/2024</v>
      </c>
      <c r="E2671" t="s">
        <v>232</v>
      </c>
      <c r="F2671" t="s">
        <v>255</v>
      </c>
      <c r="G2671" t="s">
        <v>249</v>
      </c>
      <c r="I2671">
        <v>0</v>
      </c>
      <c r="J2671">
        <v>250</v>
      </c>
      <c r="L2671" t="s">
        <v>459</v>
      </c>
      <c r="M2671" t="s">
        <v>205</v>
      </c>
    </row>
    <row r="2672" spans="1:13" hidden="1">
      <c r="A2672" t="s">
        <v>55</v>
      </c>
      <c r="B2672" t="s">
        <v>8</v>
      </c>
      <c r="C2672" t="s">
        <v>54</v>
      </c>
      <c r="D2672" t="str">
        <f>LEFT(M2672,10)</f>
        <v>12/15/2024</v>
      </c>
      <c r="E2672" t="s">
        <v>232</v>
      </c>
      <c r="F2672" t="s">
        <v>255</v>
      </c>
      <c r="G2672" t="s">
        <v>249</v>
      </c>
      <c r="I2672">
        <v>0</v>
      </c>
      <c r="J2672">
        <v>2071.6</v>
      </c>
      <c r="L2672" t="s">
        <v>460</v>
      </c>
      <c r="M2672" t="s">
        <v>205</v>
      </c>
    </row>
    <row r="2673" spans="1:13" hidden="1">
      <c r="A2673" t="s">
        <v>55</v>
      </c>
      <c r="B2673" t="s">
        <v>8</v>
      </c>
      <c r="C2673" t="s">
        <v>54</v>
      </c>
      <c r="D2673" t="str">
        <f>LEFT(M2673,10)</f>
        <v>12/15/2024</v>
      </c>
      <c r="E2673" t="s">
        <v>232</v>
      </c>
      <c r="F2673" t="s">
        <v>255</v>
      </c>
      <c r="G2673" t="s">
        <v>249</v>
      </c>
      <c r="I2673">
        <v>0</v>
      </c>
      <c r="J2673">
        <v>250</v>
      </c>
      <c r="L2673" t="s">
        <v>461</v>
      </c>
      <c r="M2673" t="s">
        <v>205</v>
      </c>
    </row>
    <row r="2674" spans="1:13" hidden="1">
      <c r="A2674" t="s">
        <v>55</v>
      </c>
      <c r="B2674" t="s">
        <v>8</v>
      </c>
      <c r="C2674" t="s">
        <v>54</v>
      </c>
      <c r="D2674" t="str">
        <f>LEFT(M2674,10)</f>
        <v>12/15/2024</v>
      </c>
      <c r="E2674" t="s">
        <v>232</v>
      </c>
      <c r="F2674" t="s">
        <v>254</v>
      </c>
      <c r="G2674" t="s">
        <v>249</v>
      </c>
      <c r="I2674">
        <v>0</v>
      </c>
      <c r="J2674">
        <v>8079.64</v>
      </c>
      <c r="M2674" t="s">
        <v>205</v>
      </c>
    </row>
    <row r="2675" spans="1:13" hidden="1">
      <c r="A2675" t="s">
        <v>55</v>
      </c>
      <c r="B2675" t="s">
        <v>8</v>
      </c>
      <c r="C2675" t="s">
        <v>54</v>
      </c>
      <c r="D2675" t="str">
        <f>LEFT(M2675,10)</f>
        <v>12/15/2024</v>
      </c>
      <c r="E2675" t="s">
        <v>232</v>
      </c>
      <c r="F2675" t="s">
        <v>255</v>
      </c>
      <c r="G2675" t="s">
        <v>249</v>
      </c>
      <c r="I2675">
        <v>0</v>
      </c>
      <c r="J2675">
        <v>14543.36</v>
      </c>
      <c r="L2675" t="s">
        <v>316</v>
      </c>
      <c r="M2675" t="s">
        <v>205</v>
      </c>
    </row>
    <row r="2676" spans="1:13" hidden="1">
      <c r="A2676" t="s">
        <v>55</v>
      </c>
      <c r="B2676" t="s">
        <v>8</v>
      </c>
      <c r="C2676" t="s">
        <v>54</v>
      </c>
      <c r="D2676" t="str">
        <f>LEFT(M2676,10)</f>
        <v>12/15/2024</v>
      </c>
      <c r="E2676" t="s">
        <v>232</v>
      </c>
      <c r="F2676" t="s">
        <v>255</v>
      </c>
      <c r="G2676" t="s">
        <v>249</v>
      </c>
      <c r="I2676">
        <v>0</v>
      </c>
      <c r="J2676">
        <v>1782.32</v>
      </c>
      <c r="L2676" t="s">
        <v>462</v>
      </c>
      <c r="M2676" t="s">
        <v>205</v>
      </c>
    </row>
    <row r="2677" spans="1:13" hidden="1">
      <c r="A2677" t="s">
        <v>102</v>
      </c>
      <c r="B2677" t="s">
        <v>8</v>
      </c>
      <c r="C2677" t="s">
        <v>17</v>
      </c>
      <c r="D2677" t="str">
        <f>LEFT(M2677,10)</f>
        <v>12/15/2024</v>
      </c>
      <c r="E2677" t="s">
        <v>202</v>
      </c>
      <c r="F2677" t="s">
        <v>218</v>
      </c>
      <c r="G2677" t="s">
        <v>222</v>
      </c>
      <c r="I2677">
        <v>845</v>
      </c>
      <c r="J2677">
        <v>1098.05</v>
      </c>
      <c r="K2677">
        <v>1.3</v>
      </c>
      <c r="M2677" t="s">
        <v>205</v>
      </c>
    </row>
    <row r="2678" spans="1:13" hidden="1">
      <c r="A2678" t="s">
        <v>102</v>
      </c>
      <c r="B2678" t="s">
        <v>8</v>
      </c>
      <c r="C2678" t="s">
        <v>17</v>
      </c>
      <c r="D2678" t="str">
        <f>LEFT(M2678,10)</f>
        <v>12/15/2024</v>
      </c>
      <c r="E2678" t="s">
        <v>202</v>
      </c>
      <c r="F2678" t="s">
        <v>218</v>
      </c>
      <c r="G2678" t="s">
        <v>240</v>
      </c>
      <c r="I2678">
        <v>1417</v>
      </c>
      <c r="J2678">
        <v>5384.6</v>
      </c>
      <c r="K2678">
        <v>3.8</v>
      </c>
      <c r="M2678" t="s">
        <v>205</v>
      </c>
    </row>
    <row r="2679" spans="1:13" hidden="1">
      <c r="A2679" t="s">
        <v>102</v>
      </c>
      <c r="B2679" t="s">
        <v>8</v>
      </c>
      <c r="C2679" t="s">
        <v>17</v>
      </c>
      <c r="D2679" t="str">
        <f>LEFT(M2679,10)</f>
        <v>12/15/2024</v>
      </c>
      <c r="E2679" t="s">
        <v>202</v>
      </c>
      <c r="F2679" t="s">
        <v>218</v>
      </c>
      <c r="G2679" t="s">
        <v>242</v>
      </c>
      <c r="I2679">
        <v>163</v>
      </c>
      <c r="J2679">
        <v>130.4</v>
      </c>
      <c r="K2679">
        <v>0.8</v>
      </c>
      <c r="M2679" t="s">
        <v>205</v>
      </c>
    </row>
    <row r="2680" spans="1:13" hidden="1">
      <c r="A2680" t="s">
        <v>102</v>
      </c>
      <c r="B2680" t="s">
        <v>8</v>
      </c>
      <c r="C2680" t="s">
        <v>17</v>
      </c>
      <c r="D2680" t="str">
        <f>LEFT(M2680,10)</f>
        <v>12/15/2024</v>
      </c>
      <c r="E2680" t="s">
        <v>202</v>
      </c>
      <c r="F2680" t="s">
        <v>218</v>
      </c>
      <c r="G2680" t="s">
        <v>220</v>
      </c>
      <c r="I2680">
        <v>2117</v>
      </c>
      <c r="J2680">
        <v>3069.65</v>
      </c>
      <c r="K2680">
        <v>1.45</v>
      </c>
      <c r="M2680" t="s">
        <v>205</v>
      </c>
    </row>
    <row r="2681" spans="1:13" hidden="1">
      <c r="A2681" t="s">
        <v>102</v>
      </c>
      <c r="B2681" t="s">
        <v>8</v>
      </c>
      <c r="C2681" t="s">
        <v>17</v>
      </c>
      <c r="D2681" t="str">
        <f>LEFT(M2681,10)</f>
        <v>12/15/2024</v>
      </c>
      <c r="E2681" t="s">
        <v>202</v>
      </c>
      <c r="F2681" t="s">
        <v>218</v>
      </c>
      <c r="G2681" t="s">
        <v>221</v>
      </c>
      <c r="I2681">
        <v>631</v>
      </c>
      <c r="J2681">
        <v>1451.3</v>
      </c>
      <c r="K2681">
        <v>2.2999999999999998</v>
      </c>
      <c r="M2681" t="s">
        <v>205</v>
      </c>
    </row>
    <row r="2682" spans="1:13" hidden="1">
      <c r="A2682" t="s">
        <v>102</v>
      </c>
      <c r="B2682" t="s">
        <v>8</v>
      </c>
      <c r="C2682" t="s">
        <v>17</v>
      </c>
      <c r="D2682" t="str">
        <f>LEFT(M2682,10)</f>
        <v>12/15/2024</v>
      </c>
      <c r="E2682" t="s">
        <v>202</v>
      </c>
      <c r="F2682" t="s">
        <v>218</v>
      </c>
      <c r="G2682" t="s">
        <v>221</v>
      </c>
      <c r="I2682">
        <v>1271</v>
      </c>
      <c r="J2682">
        <v>2796.2</v>
      </c>
      <c r="K2682">
        <v>2.2000000000000002</v>
      </c>
      <c r="M2682" t="s">
        <v>205</v>
      </c>
    </row>
    <row r="2683" spans="1:13" hidden="1">
      <c r="A2683" t="s">
        <v>102</v>
      </c>
      <c r="B2683" t="s">
        <v>8</v>
      </c>
      <c r="C2683" t="s">
        <v>17</v>
      </c>
      <c r="D2683" t="str">
        <f>LEFT(M2683,10)</f>
        <v>12/15/2024</v>
      </c>
      <c r="E2683" t="s">
        <v>202</v>
      </c>
      <c r="F2683" t="s">
        <v>218</v>
      </c>
      <c r="G2683" t="s">
        <v>222</v>
      </c>
      <c r="I2683">
        <v>252</v>
      </c>
      <c r="J2683">
        <v>201.6</v>
      </c>
      <c r="K2683">
        <v>0.8</v>
      </c>
      <c r="M2683" t="s">
        <v>205</v>
      </c>
    </row>
    <row r="2684" spans="1:13" hidden="1">
      <c r="A2684" t="s">
        <v>102</v>
      </c>
      <c r="B2684" t="s">
        <v>8</v>
      </c>
      <c r="C2684" t="s">
        <v>17</v>
      </c>
      <c r="D2684" t="str">
        <f>LEFT(M2684,10)</f>
        <v>12/15/2024</v>
      </c>
      <c r="E2684" t="s">
        <v>202</v>
      </c>
      <c r="F2684" t="s">
        <v>218</v>
      </c>
      <c r="G2684" t="s">
        <v>226</v>
      </c>
      <c r="I2684">
        <v>2263</v>
      </c>
      <c r="J2684">
        <v>678.9</v>
      </c>
      <c r="K2684">
        <v>0.3</v>
      </c>
      <c r="M2684" t="s">
        <v>205</v>
      </c>
    </row>
    <row r="2685" spans="1:13" hidden="1">
      <c r="A2685" t="s">
        <v>102</v>
      </c>
      <c r="B2685" t="s">
        <v>8</v>
      </c>
      <c r="C2685" t="s">
        <v>17</v>
      </c>
      <c r="D2685" t="str">
        <f>LEFT(M2685,10)</f>
        <v>12/15/2024</v>
      </c>
      <c r="E2685" t="s">
        <v>202</v>
      </c>
      <c r="F2685" t="s">
        <v>218</v>
      </c>
      <c r="G2685" t="s">
        <v>223</v>
      </c>
      <c r="I2685">
        <v>1141</v>
      </c>
      <c r="J2685">
        <v>798.7</v>
      </c>
      <c r="K2685">
        <v>0.7</v>
      </c>
      <c r="M2685" t="s">
        <v>205</v>
      </c>
    </row>
    <row r="2686" spans="1:13" hidden="1">
      <c r="A2686" t="s">
        <v>102</v>
      </c>
      <c r="B2686" t="s">
        <v>8</v>
      </c>
      <c r="C2686" t="s">
        <v>17</v>
      </c>
      <c r="D2686" t="str">
        <f>LEFT(M2686,10)</f>
        <v>12/15/2024</v>
      </c>
      <c r="E2686" t="s">
        <v>202</v>
      </c>
      <c r="F2686" t="s">
        <v>218</v>
      </c>
      <c r="G2686" t="s">
        <v>222</v>
      </c>
      <c r="I2686">
        <v>1322</v>
      </c>
      <c r="J2686">
        <v>1718.6</v>
      </c>
      <c r="K2686">
        <v>1.3</v>
      </c>
      <c r="M2686" t="s">
        <v>205</v>
      </c>
    </row>
    <row r="2687" spans="1:13" hidden="1">
      <c r="A2687" t="s">
        <v>102</v>
      </c>
      <c r="B2687" t="s">
        <v>8</v>
      </c>
      <c r="C2687" t="s">
        <v>17</v>
      </c>
      <c r="D2687" t="str">
        <f>LEFT(M2687,10)</f>
        <v>12/15/2024</v>
      </c>
      <c r="E2687" t="s">
        <v>202</v>
      </c>
      <c r="F2687" t="s">
        <v>218</v>
      </c>
      <c r="G2687" t="s">
        <v>222</v>
      </c>
      <c r="I2687">
        <v>609</v>
      </c>
      <c r="J2687">
        <v>974.4</v>
      </c>
      <c r="K2687">
        <v>1.6</v>
      </c>
      <c r="M2687" t="s">
        <v>205</v>
      </c>
    </row>
    <row r="2688" spans="1:13" hidden="1">
      <c r="A2688" t="s">
        <v>102</v>
      </c>
      <c r="B2688" t="s">
        <v>8</v>
      </c>
      <c r="C2688" t="s">
        <v>17</v>
      </c>
      <c r="D2688" t="str">
        <f>LEFT(M2688,10)</f>
        <v>12/15/2024</v>
      </c>
      <c r="E2688" t="s">
        <v>202</v>
      </c>
      <c r="F2688" t="s">
        <v>218</v>
      </c>
      <c r="G2688" t="s">
        <v>223</v>
      </c>
      <c r="I2688">
        <v>2498</v>
      </c>
      <c r="J2688">
        <v>2006.6</v>
      </c>
      <c r="K2688">
        <v>0.8</v>
      </c>
      <c r="M2688" t="s">
        <v>205</v>
      </c>
    </row>
    <row r="2689" spans="1:13" hidden="1">
      <c r="A2689" t="s">
        <v>102</v>
      </c>
      <c r="B2689" t="s">
        <v>8</v>
      </c>
      <c r="C2689" t="s">
        <v>17</v>
      </c>
      <c r="D2689" t="str">
        <f>LEFT(M2689,10)</f>
        <v>12/15/2024</v>
      </c>
      <c r="E2689" t="s">
        <v>202</v>
      </c>
      <c r="F2689" t="s">
        <v>218</v>
      </c>
      <c r="G2689" t="s">
        <v>241</v>
      </c>
      <c r="I2689">
        <v>1515</v>
      </c>
      <c r="J2689">
        <v>5757</v>
      </c>
      <c r="K2689">
        <v>3.8</v>
      </c>
      <c r="M2689" t="s">
        <v>205</v>
      </c>
    </row>
    <row r="2690" spans="1:13" hidden="1">
      <c r="A2690" t="s">
        <v>102</v>
      </c>
      <c r="B2690" t="s">
        <v>8</v>
      </c>
      <c r="C2690" t="s">
        <v>17</v>
      </c>
      <c r="D2690" t="str">
        <f>LEFT(M2690,10)</f>
        <v>12/15/2024</v>
      </c>
      <c r="E2690" t="s">
        <v>202</v>
      </c>
      <c r="F2690" t="s">
        <v>218</v>
      </c>
      <c r="G2690" t="s">
        <v>266</v>
      </c>
      <c r="I2690">
        <v>1313</v>
      </c>
      <c r="J2690">
        <v>35.090000000000003</v>
      </c>
      <c r="K2690">
        <v>0.03</v>
      </c>
      <c r="M2690" t="s">
        <v>205</v>
      </c>
    </row>
    <row r="2691" spans="1:13" hidden="1">
      <c r="A2691" t="s">
        <v>102</v>
      </c>
      <c r="B2691" t="s">
        <v>8</v>
      </c>
      <c r="C2691" t="s">
        <v>17</v>
      </c>
      <c r="D2691" t="str">
        <f>LEFT(M2691,10)</f>
        <v>12/15/2024</v>
      </c>
      <c r="E2691" t="s">
        <v>202</v>
      </c>
      <c r="F2691" t="s">
        <v>218</v>
      </c>
      <c r="G2691" t="s">
        <v>224</v>
      </c>
      <c r="I2691">
        <v>734</v>
      </c>
      <c r="J2691">
        <v>660.6</v>
      </c>
      <c r="K2691">
        <v>0.9</v>
      </c>
      <c r="M2691" t="s">
        <v>205</v>
      </c>
    </row>
    <row r="2692" spans="1:13" hidden="1">
      <c r="A2692" t="s">
        <v>102</v>
      </c>
      <c r="B2692" t="s">
        <v>8</v>
      </c>
      <c r="C2692" t="s">
        <v>17</v>
      </c>
      <c r="D2692" t="str">
        <f>LEFT(M2692,10)</f>
        <v>12/15/2024</v>
      </c>
      <c r="E2692" t="s">
        <v>202</v>
      </c>
      <c r="F2692" t="s">
        <v>218</v>
      </c>
      <c r="G2692" t="s">
        <v>222</v>
      </c>
      <c r="I2692">
        <v>553</v>
      </c>
      <c r="J2692">
        <v>5.53</v>
      </c>
      <c r="K2692">
        <v>0.01</v>
      </c>
      <c r="M2692" t="s">
        <v>205</v>
      </c>
    </row>
    <row r="2693" spans="1:13" hidden="1">
      <c r="A2693" t="s">
        <v>102</v>
      </c>
      <c r="B2693" t="s">
        <v>8</v>
      </c>
      <c r="C2693" t="s">
        <v>17</v>
      </c>
      <c r="D2693" t="str">
        <f>LEFT(M2693,10)</f>
        <v>12/15/2024</v>
      </c>
      <c r="E2693" t="s">
        <v>202</v>
      </c>
      <c r="F2693" t="s">
        <v>218</v>
      </c>
      <c r="G2693" t="s">
        <v>219</v>
      </c>
      <c r="I2693">
        <v>95</v>
      </c>
      <c r="J2693">
        <v>9.5</v>
      </c>
      <c r="K2693">
        <v>0.1</v>
      </c>
      <c r="M2693" t="s">
        <v>205</v>
      </c>
    </row>
    <row r="2694" spans="1:13" hidden="1">
      <c r="A2694" t="s">
        <v>102</v>
      </c>
      <c r="B2694" t="s">
        <v>8</v>
      </c>
      <c r="C2694" t="s">
        <v>17</v>
      </c>
      <c r="D2694" t="str">
        <f>LEFT(M2694,10)</f>
        <v>12/15/2024</v>
      </c>
      <c r="E2694" t="s">
        <v>202</v>
      </c>
      <c r="F2694" t="s">
        <v>218</v>
      </c>
      <c r="G2694" t="s">
        <v>222</v>
      </c>
      <c r="I2694">
        <v>96</v>
      </c>
      <c r="J2694">
        <v>28.8</v>
      </c>
      <c r="K2694">
        <v>0.3</v>
      </c>
      <c r="M2694" t="s">
        <v>205</v>
      </c>
    </row>
    <row r="2695" spans="1:13" hidden="1">
      <c r="A2695" t="s">
        <v>102</v>
      </c>
      <c r="B2695" t="s">
        <v>8</v>
      </c>
      <c r="C2695" t="s">
        <v>17</v>
      </c>
      <c r="D2695" t="str">
        <f>LEFT(M2695,10)</f>
        <v>12/15/2024</v>
      </c>
      <c r="E2695" t="s">
        <v>202</v>
      </c>
      <c r="F2695" t="s">
        <v>227</v>
      </c>
      <c r="G2695" t="s">
        <v>228</v>
      </c>
      <c r="I2695">
        <v>8791</v>
      </c>
      <c r="J2695">
        <v>1758.2</v>
      </c>
      <c r="K2695">
        <v>0.2</v>
      </c>
      <c r="M2695" t="s">
        <v>205</v>
      </c>
    </row>
    <row r="2696" spans="1:13" hidden="1">
      <c r="A2696" t="s">
        <v>102</v>
      </c>
      <c r="B2696" t="s">
        <v>8</v>
      </c>
      <c r="C2696" t="s">
        <v>17</v>
      </c>
      <c r="D2696" t="str">
        <f>LEFT(M2696,10)</f>
        <v>12/15/2024</v>
      </c>
      <c r="E2696" t="s">
        <v>202</v>
      </c>
      <c r="F2696" t="s">
        <v>227</v>
      </c>
      <c r="G2696" t="s">
        <v>238</v>
      </c>
      <c r="I2696">
        <v>1192</v>
      </c>
      <c r="J2696">
        <v>298</v>
      </c>
      <c r="K2696">
        <v>0.25</v>
      </c>
      <c r="M2696" t="s">
        <v>205</v>
      </c>
    </row>
    <row r="2697" spans="1:13" hidden="1">
      <c r="A2697" t="s">
        <v>102</v>
      </c>
      <c r="B2697" t="s">
        <v>8</v>
      </c>
      <c r="C2697" t="s">
        <v>17</v>
      </c>
      <c r="D2697" t="str">
        <f>LEFT(M2697,10)</f>
        <v>12/15/2024</v>
      </c>
      <c r="E2697" t="s">
        <v>202</v>
      </c>
      <c r="F2697" t="s">
        <v>227</v>
      </c>
      <c r="G2697" t="s">
        <v>252</v>
      </c>
      <c r="I2697">
        <v>1370</v>
      </c>
      <c r="J2697">
        <v>205.5</v>
      </c>
      <c r="K2697">
        <v>0.15</v>
      </c>
      <c r="M2697" t="s">
        <v>205</v>
      </c>
    </row>
    <row r="2698" spans="1:13" hidden="1">
      <c r="A2698" t="s">
        <v>102</v>
      </c>
      <c r="B2698" t="s">
        <v>8</v>
      </c>
      <c r="C2698" t="s">
        <v>17</v>
      </c>
      <c r="D2698" t="str">
        <f>LEFT(M2698,10)</f>
        <v>12/15/2024</v>
      </c>
      <c r="E2698" t="s">
        <v>202</v>
      </c>
      <c r="F2698" t="s">
        <v>227</v>
      </c>
      <c r="G2698" t="s">
        <v>229</v>
      </c>
      <c r="I2698">
        <v>16377</v>
      </c>
      <c r="J2698">
        <v>11955</v>
      </c>
      <c r="K2698">
        <v>0.73</v>
      </c>
      <c r="M2698" t="s">
        <v>205</v>
      </c>
    </row>
    <row r="2699" spans="1:13" hidden="1">
      <c r="A2699" t="s">
        <v>102</v>
      </c>
      <c r="B2699" t="s">
        <v>8</v>
      </c>
      <c r="C2699" t="s">
        <v>17</v>
      </c>
      <c r="D2699" t="str">
        <f>LEFT(M2699,10)</f>
        <v>12/15/2024</v>
      </c>
      <c r="E2699" t="s">
        <v>202</v>
      </c>
      <c r="F2699" t="s">
        <v>227</v>
      </c>
      <c r="G2699" t="s">
        <v>237</v>
      </c>
      <c r="I2699">
        <v>573</v>
      </c>
      <c r="J2699">
        <v>286.5</v>
      </c>
      <c r="K2699">
        <v>0.5</v>
      </c>
      <c r="M2699" t="s">
        <v>205</v>
      </c>
    </row>
    <row r="2700" spans="1:13" hidden="1">
      <c r="A2700" t="s">
        <v>102</v>
      </c>
      <c r="B2700" t="s">
        <v>8</v>
      </c>
      <c r="C2700" t="s">
        <v>17</v>
      </c>
      <c r="D2700" t="str">
        <f>LEFT(M2700,10)</f>
        <v>12/15/2024</v>
      </c>
      <c r="E2700" t="s">
        <v>202</v>
      </c>
      <c r="F2700" t="s">
        <v>227</v>
      </c>
      <c r="G2700" t="s">
        <v>237</v>
      </c>
      <c r="I2700">
        <v>805</v>
      </c>
      <c r="J2700">
        <v>483</v>
      </c>
      <c r="K2700">
        <v>0.6</v>
      </c>
      <c r="M2700" t="s">
        <v>205</v>
      </c>
    </row>
    <row r="2701" spans="1:13" hidden="1">
      <c r="A2701" t="s">
        <v>102</v>
      </c>
      <c r="B2701" t="s">
        <v>8</v>
      </c>
      <c r="C2701" t="s">
        <v>17</v>
      </c>
      <c r="D2701" t="str">
        <f>LEFT(M2701,10)</f>
        <v>12/15/2024</v>
      </c>
      <c r="E2701" t="s">
        <v>202</v>
      </c>
      <c r="F2701" t="s">
        <v>216</v>
      </c>
      <c r="G2701" t="s">
        <v>253</v>
      </c>
      <c r="I2701">
        <v>8710</v>
      </c>
      <c r="J2701">
        <v>1306.5</v>
      </c>
      <c r="K2701">
        <v>0.15</v>
      </c>
      <c r="M2701" t="s">
        <v>205</v>
      </c>
    </row>
    <row r="2702" spans="1:13" hidden="1">
      <c r="A2702" t="s">
        <v>102</v>
      </c>
      <c r="B2702" t="s">
        <v>8</v>
      </c>
      <c r="C2702" t="s">
        <v>17</v>
      </c>
      <c r="D2702" t="str">
        <f>LEFT(M2702,10)</f>
        <v>12/15/2024</v>
      </c>
      <c r="E2702" t="s">
        <v>202</v>
      </c>
      <c r="F2702" t="s">
        <v>203</v>
      </c>
      <c r="G2702" t="s">
        <v>215</v>
      </c>
      <c r="I2702">
        <v>10270</v>
      </c>
      <c r="J2702">
        <v>5915.4</v>
      </c>
      <c r="K2702">
        <v>0.57999999999999996</v>
      </c>
      <c r="M2702" t="s">
        <v>205</v>
      </c>
    </row>
    <row r="2703" spans="1:13" hidden="1">
      <c r="A2703" t="s">
        <v>102</v>
      </c>
      <c r="B2703" t="s">
        <v>8</v>
      </c>
      <c r="C2703" t="s">
        <v>17</v>
      </c>
      <c r="D2703" t="str">
        <f>LEFT(M2703,10)</f>
        <v>12/15/2024</v>
      </c>
      <c r="E2703" t="s">
        <v>202</v>
      </c>
      <c r="F2703" t="s">
        <v>203</v>
      </c>
      <c r="G2703" t="s">
        <v>236</v>
      </c>
      <c r="I2703">
        <v>2992</v>
      </c>
      <c r="J2703">
        <v>10472</v>
      </c>
      <c r="K2703">
        <v>3.5</v>
      </c>
      <c r="M2703" t="s">
        <v>205</v>
      </c>
    </row>
    <row r="2704" spans="1:13" hidden="1">
      <c r="A2704" t="s">
        <v>102</v>
      </c>
      <c r="B2704" t="s">
        <v>8</v>
      </c>
      <c r="C2704" t="s">
        <v>17</v>
      </c>
      <c r="D2704" t="str">
        <f>LEFT(M2704,10)</f>
        <v>12/15/2024</v>
      </c>
      <c r="E2704" t="s">
        <v>202</v>
      </c>
      <c r="F2704" t="s">
        <v>203</v>
      </c>
      <c r="G2704" t="s">
        <v>260</v>
      </c>
      <c r="I2704">
        <v>168</v>
      </c>
      <c r="J2704">
        <v>3528</v>
      </c>
      <c r="K2704">
        <v>21</v>
      </c>
      <c r="M2704" t="s">
        <v>205</v>
      </c>
    </row>
    <row r="2705" spans="1:13" hidden="1">
      <c r="A2705" t="s">
        <v>102</v>
      </c>
      <c r="B2705" t="s">
        <v>8</v>
      </c>
      <c r="C2705" t="s">
        <v>17</v>
      </c>
      <c r="D2705" t="str">
        <f>LEFT(M2705,10)</f>
        <v>12/15/2024</v>
      </c>
      <c r="E2705" t="s">
        <v>202</v>
      </c>
      <c r="F2705" t="s">
        <v>203</v>
      </c>
      <c r="G2705" t="s">
        <v>259</v>
      </c>
      <c r="I2705">
        <v>181</v>
      </c>
      <c r="J2705">
        <v>1337</v>
      </c>
      <c r="K2705">
        <v>7.39</v>
      </c>
      <c r="M2705" t="s">
        <v>205</v>
      </c>
    </row>
    <row r="2706" spans="1:13" hidden="1">
      <c r="A2706" t="s">
        <v>102</v>
      </c>
      <c r="B2706" t="s">
        <v>8</v>
      </c>
      <c r="C2706" t="s">
        <v>17</v>
      </c>
      <c r="D2706" t="str">
        <f>LEFT(M2706,10)</f>
        <v>12/15/2024</v>
      </c>
      <c r="E2706" t="s">
        <v>230</v>
      </c>
      <c r="F2706" t="s">
        <v>248</v>
      </c>
      <c r="I2706">
        <v>0</v>
      </c>
      <c r="J2706">
        <v>20918.32</v>
      </c>
      <c r="M2706" t="s">
        <v>205</v>
      </c>
    </row>
    <row r="2707" spans="1:13" hidden="1">
      <c r="A2707" t="s">
        <v>102</v>
      </c>
      <c r="B2707" t="s">
        <v>8</v>
      </c>
      <c r="C2707" t="s">
        <v>17</v>
      </c>
      <c r="D2707" t="str">
        <f>LEFT(M2707,10)</f>
        <v>12/15/2024</v>
      </c>
      <c r="E2707" t="s">
        <v>232</v>
      </c>
      <c r="F2707" t="s">
        <v>255</v>
      </c>
      <c r="I2707">
        <v>0</v>
      </c>
      <c r="J2707">
        <v>16068.48</v>
      </c>
      <c r="L2707" t="s">
        <v>463</v>
      </c>
      <c r="M2707" t="s">
        <v>205</v>
      </c>
    </row>
    <row r="2708" spans="1:13" hidden="1">
      <c r="A2708" t="s">
        <v>102</v>
      </c>
      <c r="B2708" t="s">
        <v>8</v>
      </c>
      <c r="C2708" t="s">
        <v>17</v>
      </c>
      <c r="D2708" t="str">
        <f>LEFT(M2708,10)</f>
        <v>12/15/2024</v>
      </c>
      <c r="E2708" t="s">
        <v>234</v>
      </c>
      <c r="F2708" t="s">
        <v>234</v>
      </c>
      <c r="I2708">
        <v>0</v>
      </c>
      <c r="M2708" t="s">
        <v>205</v>
      </c>
    </row>
    <row r="2709" spans="1:13" hidden="1">
      <c r="A2709" t="s">
        <v>102</v>
      </c>
      <c r="B2709" t="s">
        <v>8</v>
      </c>
      <c r="C2709" t="s">
        <v>17</v>
      </c>
      <c r="D2709" t="str">
        <f>LEFT(M2709,10)</f>
        <v>12/15/2024</v>
      </c>
      <c r="E2709" t="s">
        <v>234</v>
      </c>
      <c r="F2709" t="s">
        <v>234</v>
      </c>
      <c r="I2709">
        <v>1230</v>
      </c>
      <c r="M2709" t="s">
        <v>205</v>
      </c>
    </row>
    <row r="2710" spans="1:13" hidden="1">
      <c r="A2710" t="s">
        <v>78</v>
      </c>
      <c r="B2710" t="s">
        <v>8</v>
      </c>
      <c r="C2710" t="s">
        <v>77</v>
      </c>
      <c r="D2710" t="str">
        <f>LEFT(M2710,10)</f>
        <v>12/15/2024</v>
      </c>
      <c r="E2710" t="s">
        <v>202</v>
      </c>
      <c r="F2710" t="s">
        <v>209</v>
      </c>
      <c r="G2710" t="s">
        <v>211</v>
      </c>
      <c r="I2710">
        <v>13</v>
      </c>
      <c r="J2710">
        <v>32.5</v>
      </c>
      <c r="K2710">
        <v>2.5</v>
      </c>
      <c r="M2710" t="s">
        <v>205</v>
      </c>
    </row>
    <row r="2711" spans="1:13" hidden="1">
      <c r="A2711" t="s">
        <v>115</v>
      </c>
      <c r="B2711" t="s">
        <v>8</v>
      </c>
      <c r="C2711" t="s">
        <v>30</v>
      </c>
      <c r="D2711" t="str">
        <f>LEFT(M2711,10)</f>
        <v>12/15/2024</v>
      </c>
      <c r="E2711" t="s">
        <v>202</v>
      </c>
      <c r="F2711" t="s">
        <v>209</v>
      </c>
      <c r="G2711" t="s">
        <v>214</v>
      </c>
      <c r="I2711">
        <v>1972</v>
      </c>
      <c r="J2711">
        <v>1493.8</v>
      </c>
      <c r="K2711">
        <v>0.76</v>
      </c>
      <c r="M2711" t="s">
        <v>205</v>
      </c>
    </row>
    <row r="2712" spans="1:13" hidden="1">
      <c r="A2712" t="s">
        <v>115</v>
      </c>
      <c r="B2712" t="s">
        <v>8</v>
      </c>
      <c r="C2712" t="s">
        <v>30</v>
      </c>
      <c r="D2712" t="str">
        <f>LEFT(M2712,10)</f>
        <v>12/15/2024</v>
      </c>
      <c r="E2712" t="s">
        <v>202</v>
      </c>
      <c r="F2712" t="s">
        <v>203</v>
      </c>
      <c r="G2712" t="s">
        <v>215</v>
      </c>
      <c r="I2712">
        <v>6000</v>
      </c>
      <c r="J2712">
        <v>4200</v>
      </c>
      <c r="K2712">
        <v>0.7</v>
      </c>
      <c r="M2712" t="s">
        <v>205</v>
      </c>
    </row>
    <row r="2713" spans="1:13" hidden="1">
      <c r="A2713" t="s">
        <v>115</v>
      </c>
      <c r="B2713" t="s">
        <v>8</v>
      </c>
      <c r="C2713" t="s">
        <v>30</v>
      </c>
      <c r="D2713" t="str">
        <f>LEFT(M2713,10)</f>
        <v>12/15/2024</v>
      </c>
      <c r="E2713" t="s">
        <v>202</v>
      </c>
      <c r="F2713" t="s">
        <v>216</v>
      </c>
      <c r="G2713" t="s">
        <v>217</v>
      </c>
      <c r="I2713">
        <v>4000</v>
      </c>
      <c r="J2713">
        <v>600</v>
      </c>
      <c r="K2713">
        <v>0.15</v>
      </c>
      <c r="M2713" t="s">
        <v>205</v>
      </c>
    </row>
    <row r="2714" spans="1:13" hidden="1">
      <c r="A2714" t="s">
        <v>115</v>
      </c>
      <c r="B2714" t="s">
        <v>8</v>
      </c>
      <c r="C2714" t="s">
        <v>30</v>
      </c>
      <c r="D2714" t="str">
        <f>LEFT(M2714,10)</f>
        <v>12/15/2024</v>
      </c>
      <c r="E2714" t="s">
        <v>202</v>
      </c>
      <c r="F2714" t="s">
        <v>218</v>
      </c>
      <c r="G2714" t="s">
        <v>219</v>
      </c>
      <c r="I2714">
        <v>854</v>
      </c>
      <c r="J2714">
        <v>305.8</v>
      </c>
      <c r="K2714">
        <v>0.36</v>
      </c>
      <c r="M2714" t="s">
        <v>205</v>
      </c>
    </row>
    <row r="2715" spans="1:13" hidden="1">
      <c r="A2715" t="s">
        <v>115</v>
      </c>
      <c r="B2715" t="s">
        <v>8</v>
      </c>
      <c r="C2715" t="s">
        <v>30</v>
      </c>
      <c r="D2715" t="str">
        <f>LEFT(M2715,10)</f>
        <v>12/15/2024</v>
      </c>
      <c r="E2715" t="s">
        <v>202</v>
      </c>
      <c r="F2715" t="s">
        <v>218</v>
      </c>
      <c r="G2715" t="s">
        <v>221</v>
      </c>
      <c r="I2715">
        <v>1028</v>
      </c>
      <c r="J2715">
        <v>2261.6799999999998</v>
      </c>
      <c r="K2715">
        <v>2.2000000000000002</v>
      </c>
      <c r="M2715" t="s">
        <v>205</v>
      </c>
    </row>
    <row r="2716" spans="1:13" hidden="1">
      <c r="A2716" t="s">
        <v>115</v>
      </c>
      <c r="B2716" t="s">
        <v>8</v>
      </c>
      <c r="C2716" t="s">
        <v>30</v>
      </c>
      <c r="D2716" t="str">
        <f>LEFT(M2716,10)</f>
        <v>12/15/2024</v>
      </c>
      <c r="E2716" t="s">
        <v>202</v>
      </c>
      <c r="F2716" t="s">
        <v>218</v>
      </c>
      <c r="G2716" t="s">
        <v>222</v>
      </c>
      <c r="I2716">
        <v>445</v>
      </c>
      <c r="J2716">
        <v>356</v>
      </c>
      <c r="K2716">
        <v>0.8</v>
      </c>
      <c r="M2716" t="s">
        <v>205</v>
      </c>
    </row>
    <row r="2717" spans="1:13" hidden="1">
      <c r="A2717" t="s">
        <v>115</v>
      </c>
      <c r="B2717" t="s">
        <v>8</v>
      </c>
      <c r="C2717" t="s">
        <v>30</v>
      </c>
      <c r="D2717" t="str">
        <f>LEFT(M2717,10)</f>
        <v>12/15/2024</v>
      </c>
      <c r="E2717" t="s">
        <v>202</v>
      </c>
      <c r="F2717" t="s">
        <v>218</v>
      </c>
      <c r="G2717" t="s">
        <v>222</v>
      </c>
      <c r="I2717">
        <v>245</v>
      </c>
      <c r="J2717">
        <v>318.5</v>
      </c>
      <c r="K2717">
        <v>1.3</v>
      </c>
      <c r="M2717" t="s">
        <v>205</v>
      </c>
    </row>
    <row r="2718" spans="1:13" hidden="1">
      <c r="A2718" t="s">
        <v>115</v>
      </c>
      <c r="B2718" t="s">
        <v>8</v>
      </c>
      <c r="C2718" t="s">
        <v>30</v>
      </c>
      <c r="D2718" t="str">
        <f>LEFT(M2718,10)</f>
        <v>12/15/2024</v>
      </c>
      <c r="E2718" t="s">
        <v>202</v>
      </c>
      <c r="F2718" t="s">
        <v>218</v>
      </c>
      <c r="G2718" t="s">
        <v>240</v>
      </c>
      <c r="I2718">
        <v>989</v>
      </c>
      <c r="J2718">
        <v>1137.3499999999999</v>
      </c>
      <c r="K2718">
        <v>1.1499999999999999</v>
      </c>
      <c r="M2718" t="s">
        <v>205</v>
      </c>
    </row>
    <row r="2719" spans="1:13" hidden="1">
      <c r="A2719" t="s">
        <v>115</v>
      </c>
      <c r="B2719" t="s">
        <v>8</v>
      </c>
      <c r="C2719" t="s">
        <v>30</v>
      </c>
      <c r="D2719" t="str">
        <f>LEFT(M2719,10)</f>
        <v>12/15/2024</v>
      </c>
      <c r="E2719" t="s">
        <v>202</v>
      </c>
      <c r="F2719" t="s">
        <v>218</v>
      </c>
      <c r="G2719" t="s">
        <v>223</v>
      </c>
      <c r="I2719">
        <v>1029</v>
      </c>
      <c r="J2719">
        <v>668.85</v>
      </c>
      <c r="K2719">
        <v>0.65</v>
      </c>
      <c r="M2719" t="s">
        <v>205</v>
      </c>
    </row>
    <row r="2720" spans="1:13" hidden="1">
      <c r="A2720" t="s">
        <v>115</v>
      </c>
      <c r="B2720" t="s">
        <v>8</v>
      </c>
      <c r="C2720" t="s">
        <v>30</v>
      </c>
      <c r="D2720" t="str">
        <f>LEFT(M2720,10)</f>
        <v>12/15/2024</v>
      </c>
      <c r="E2720" t="s">
        <v>202</v>
      </c>
      <c r="F2720" t="s">
        <v>218</v>
      </c>
      <c r="G2720" t="s">
        <v>225</v>
      </c>
      <c r="I2720">
        <v>71</v>
      </c>
      <c r="J2720">
        <v>28.4</v>
      </c>
      <c r="K2720">
        <v>0.4</v>
      </c>
      <c r="M2720" t="s">
        <v>205</v>
      </c>
    </row>
    <row r="2721" spans="1:13" hidden="1">
      <c r="A2721" t="s">
        <v>115</v>
      </c>
      <c r="B2721" t="s">
        <v>8</v>
      </c>
      <c r="C2721" t="s">
        <v>30</v>
      </c>
      <c r="D2721" t="str">
        <f>LEFT(M2721,10)</f>
        <v>12/15/2024</v>
      </c>
      <c r="E2721" t="s">
        <v>202</v>
      </c>
      <c r="F2721" t="s">
        <v>218</v>
      </c>
      <c r="G2721" t="s">
        <v>226</v>
      </c>
      <c r="I2721">
        <v>610</v>
      </c>
      <c r="J2721">
        <v>152.5</v>
      </c>
      <c r="K2721">
        <v>0.25</v>
      </c>
      <c r="M2721" t="s">
        <v>205</v>
      </c>
    </row>
    <row r="2722" spans="1:13" hidden="1">
      <c r="A2722" t="s">
        <v>115</v>
      </c>
      <c r="B2722" t="s">
        <v>8</v>
      </c>
      <c r="C2722" t="s">
        <v>30</v>
      </c>
      <c r="D2722" t="str">
        <f>LEFT(M2722,10)</f>
        <v>12/15/2024</v>
      </c>
      <c r="E2722" t="s">
        <v>202</v>
      </c>
      <c r="F2722" t="s">
        <v>218</v>
      </c>
      <c r="G2722" t="s">
        <v>223</v>
      </c>
      <c r="I2722">
        <v>419</v>
      </c>
      <c r="J2722">
        <v>251.4</v>
      </c>
      <c r="K2722">
        <v>0.6</v>
      </c>
      <c r="M2722" t="s">
        <v>205</v>
      </c>
    </row>
    <row r="2723" spans="1:13" hidden="1">
      <c r="A2723" t="s">
        <v>115</v>
      </c>
      <c r="B2723" t="s">
        <v>8</v>
      </c>
      <c r="C2723" t="s">
        <v>30</v>
      </c>
      <c r="D2723" t="str">
        <f>LEFT(M2723,10)</f>
        <v>12/15/2024</v>
      </c>
      <c r="E2723" t="s">
        <v>202</v>
      </c>
      <c r="F2723" t="s">
        <v>218</v>
      </c>
      <c r="G2723" t="s">
        <v>224</v>
      </c>
      <c r="I2723">
        <v>200</v>
      </c>
      <c r="J2723">
        <v>140</v>
      </c>
      <c r="K2723">
        <v>0.7</v>
      </c>
      <c r="M2723" t="s">
        <v>205</v>
      </c>
    </row>
    <row r="2724" spans="1:13" hidden="1">
      <c r="A2724" t="s">
        <v>115</v>
      </c>
      <c r="B2724" t="s">
        <v>8</v>
      </c>
      <c r="C2724" t="s">
        <v>30</v>
      </c>
      <c r="D2724" t="str">
        <f>LEFT(M2724,10)</f>
        <v>12/15/2024</v>
      </c>
      <c r="E2724" t="s">
        <v>202</v>
      </c>
      <c r="F2724" t="s">
        <v>227</v>
      </c>
      <c r="G2724" t="s">
        <v>229</v>
      </c>
      <c r="I2724">
        <v>8508</v>
      </c>
      <c r="J2724">
        <v>5530.2</v>
      </c>
      <c r="K2724">
        <v>0.65</v>
      </c>
      <c r="M2724" t="s">
        <v>205</v>
      </c>
    </row>
    <row r="2725" spans="1:13" hidden="1">
      <c r="A2725" t="s">
        <v>115</v>
      </c>
      <c r="B2725" t="s">
        <v>8</v>
      </c>
      <c r="C2725" t="s">
        <v>30</v>
      </c>
      <c r="D2725" t="str">
        <f>LEFT(M2725,10)</f>
        <v>12/15/2024</v>
      </c>
      <c r="E2725" t="s">
        <v>202</v>
      </c>
      <c r="F2725" t="s">
        <v>227</v>
      </c>
      <c r="G2725" t="s">
        <v>228</v>
      </c>
      <c r="I2725">
        <v>1994</v>
      </c>
      <c r="J2725">
        <v>299.10000000000002</v>
      </c>
      <c r="K2725">
        <v>0.15</v>
      </c>
      <c r="M2725" t="s">
        <v>205</v>
      </c>
    </row>
    <row r="2726" spans="1:13" hidden="1">
      <c r="A2726" t="s">
        <v>115</v>
      </c>
      <c r="B2726" t="s">
        <v>8</v>
      </c>
      <c r="C2726" t="s">
        <v>30</v>
      </c>
      <c r="D2726" t="str">
        <f>LEFT(M2726,10)</f>
        <v>12/15/2024</v>
      </c>
      <c r="E2726" t="s">
        <v>202</v>
      </c>
      <c r="F2726" t="s">
        <v>227</v>
      </c>
      <c r="G2726" t="s">
        <v>237</v>
      </c>
      <c r="I2726">
        <v>1640</v>
      </c>
      <c r="J2726">
        <v>1066</v>
      </c>
      <c r="K2726">
        <v>0.65</v>
      </c>
      <c r="M2726" t="s">
        <v>205</v>
      </c>
    </row>
    <row r="2727" spans="1:13" hidden="1">
      <c r="A2727" t="s">
        <v>115</v>
      </c>
      <c r="B2727" t="s">
        <v>8</v>
      </c>
      <c r="C2727" t="s">
        <v>30</v>
      </c>
      <c r="D2727" t="str">
        <f>LEFT(M2727,10)</f>
        <v>12/15/2024</v>
      </c>
      <c r="E2727" t="s">
        <v>230</v>
      </c>
      <c r="F2727" t="s">
        <v>248</v>
      </c>
      <c r="I2727">
        <v>0</v>
      </c>
      <c r="J2727">
        <v>10517.85</v>
      </c>
      <c r="M2727" t="s">
        <v>205</v>
      </c>
    </row>
    <row r="2728" spans="1:13" hidden="1">
      <c r="A2728" t="s">
        <v>115</v>
      </c>
      <c r="B2728" t="s">
        <v>8</v>
      </c>
      <c r="C2728" t="s">
        <v>30</v>
      </c>
      <c r="D2728" t="str">
        <f>LEFT(M2728,10)</f>
        <v>12/15/2024</v>
      </c>
      <c r="E2728" t="s">
        <v>234</v>
      </c>
      <c r="F2728" t="s">
        <v>234</v>
      </c>
      <c r="I2728">
        <v>4000</v>
      </c>
      <c r="M2728" t="s">
        <v>205</v>
      </c>
    </row>
    <row r="2729" spans="1:13" hidden="1">
      <c r="A2729" t="s">
        <v>115</v>
      </c>
      <c r="B2729" t="s">
        <v>8</v>
      </c>
      <c r="C2729" t="s">
        <v>30</v>
      </c>
      <c r="D2729" t="str">
        <f>LEFT(M2729,10)</f>
        <v>12/15/2024</v>
      </c>
      <c r="E2729" t="s">
        <v>202</v>
      </c>
      <c r="F2729" t="s">
        <v>203</v>
      </c>
      <c r="G2729" t="s">
        <v>235</v>
      </c>
      <c r="I2729">
        <v>15</v>
      </c>
      <c r="J2729">
        <v>65</v>
      </c>
      <c r="K2729">
        <v>4.33</v>
      </c>
      <c r="M2729" t="s">
        <v>205</v>
      </c>
    </row>
    <row r="2730" spans="1:13" hidden="1">
      <c r="A2730" t="s">
        <v>97</v>
      </c>
      <c r="B2730" t="s">
        <v>8</v>
      </c>
      <c r="C2730" t="s">
        <v>96</v>
      </c>
      <c r="D2730" t="str">
        <f>LEFT(M2730,10)</f>
        <v>12/15/2024</v>
      </c>
      <c r="E2730" t="s">
        <v>202</v>
      </c>
      <c r="F2730" t="s">
        <v>227</v>
      </c>
      <c r="G2730" t="s">
        <v>229</v>
      </c>
      <c r="I2730">
        <v>12631.5</v>
      </c>
      <c r="J2730">
        <v>10484.15</v>
      </c>
      <c r="K2730">
        <v>0.83</v>
      </c>
      <c r="M2730" t="s">
        <v>205</v>
      </c>
    </row>
    <row r="2731" spans="1:13" hidden="1">
      <c r="A2731" t="s">
        <v>97</v>
      </c>
      <c r="B2731" t="s">
        <v>8</v>
      </c>
      <c r="C2731" t="s">
        <v>96</v>
      </c>
      <c r="D2731" t="str">
        <f>LEFT(M2731,10)</f>
        <v>12/15/2024</v>
      </c>
      <c r="E2731" t="s">
        <v>202</v>
      </c>
      <c r="F2731" t="s">
        <v>227</v>
      </c>
      <c r="G2731" t="s">
        <v>228</v>
      </c>
      <c r="I2731">
        <v>5211.5</v>
      </c>
      <c r="J2731">
        <v>1563.45</v>
      </c>
      <c r="K2731">
        <v>0.3</v>
      </c>
      <c r="M2731" t="s">
        <v>205</v>
      </c>
    </row>
    <row r="2732" spans="1:13" hidden="1">
      <c r="A2732" t="s">
        <v>97</v>
      </c>
      <c r="B2732" t="s">
        <v>8</v>
      </c>
      <c r="C2732" t="s">
        <v>96</v>
      </c>
      <c r="D2732" t="str">
        <f>LEFT(M2732,10)</f>
        <v>12/15/2024</v>
      </c>
      <c r="E2732" t="s">
        <v>202</v>
      </c>
      <c r="F2732" t="s">
        <v>227</v>
      </c>
      <c r="G2732" t="s">
        <v>237</v>
      </c>
      <c r="I2732">
        <v>4426</v>
      </c>
      <c r="J2732">
        <v>2655.6</v>
      </c>
      <c r="K2732">
        <v>0.6</v>
      </c>
      <c r="M2732" t="s">
        <v>205</v>
      </c>
    </row>
    <row r="2733" spans="1:13" hidden="1">
      <c r="A2733" t="s">
        <v>97</v>
      </c>
      <c r="B2733" t="s">
        <v>8</v>
      </c>
      <c r="C2733" t="s">
        <v>96</v>
      </c>
      <c r="D2733" t="str">
        <f>LEFT(M2733,10)</f>
        <v>12/15/2024</v>
      </c>
      <c r="E2733" t="s">
        <v>202</v>
      </c>
      <c r="F2733" t="s">
        <v>227</v>
      </c>
      <c r="G2733" t="s">
        <v>252</v>
      </c>
      <c r="I2733">
        <v>1539</v>
      </c>
      <c r="J2733">
        <v>565.03</v>
      </c>
      <c r="K2733">
        <v>0.37</v>
      </c>
      <c r="M2733" t="s">
        <v>205</v>
      </c>
    </row>
    <row r="2734" spans="1:13" hidden="1">
      <c r="A2734" t="s">
        <v>97</v>
      </c>
      <c r="B2734" t="s">
        <v>8</v>
      </c>
      <c r="C2734" t="s">
        <v>96</v>
      </c>
      <c r="D2734" t="str">
        <f>LEFT(M2734,10)</f>
        <v>12/15/2024</v>
      </c>
      <c r="E2734" t="s">
        <v>202</v>
      </c>
      <c r="F2734" t="s">
        <v>218</v>
      </c>
      <c r="G2734" t="s">
        <v>240</v>
      </c>
      <c r="I2734">
        <v>2816.5</v>
      </c>
      <c r="J2734">
        <v>14082.5</v>
      </c>
      <c r="K2734">
        <v>5</v>
      </c>
      <c r="M2734" t="s">
        <v>205</v>
      </c>
    </row>
    <row r="2735" spans="1:13" hidden="1">
      <c r="A2735" t="s">
        <v>97</v>
      </c>
      <c r="B2735" t="s">
        <v>8</v>
      </c>
      <c r="C2735" t="s">
        <v>96</v>
      </c>
      <c r="D2735" t="str">
        <f>LEFT(M2735,10)</f>
        <v>12/15/2024</v>
      </c>
      <c r="E2735" t="s">
        <v>202</v>
      </c>
      <c r="F2735" t="s">
        <v>218</v>
      </c>
      <c r="G2735" t="s">
        <v>221</v>
      </c>
      <c r="I2735">
        <v>1157</v>
      </c>
      <c r="J2735">
        <v>3008.2</v>
      </c>
      <c r="K2735">
        <v>2.6</v>
      </c>
      <c r="M2735" t="s">
        <v>205</v>
      </c>
    </row>
    <row r="2736" spans="1:13" hidden="1">
      <c r="A2736" t="s">
        <v>97</v>
      </c>
      <c r="B2736" t="s">
        <v>8</v>
      </c>
      <c r="C2736" t="s">
        <v>96</v>
      </c>
      <c r="D2736" t="str">
        <f>LEFT(M2736,10)</f>
        <v>12/15/2024</v>
      </c>
      <c r="E2736" t="s">
        <v>202</v>
      </c>
      <c r="F2736" t="s">
        <v>218</v>
      </c>
      <c r="G2736" t="s">
        <v>219</v>
      </c>
      <c r="I2736">
        <v>253.5</v>
      </c>
      <c r="J2736">
        <v>88.73</v>
      </c>
      <c r="K2736">
        <v>0.35</v>
      </c>
      <c r="M2736" t="s">
        <v>205</v>
      </c>
    </row>
    <row r="2737" spans="1:13" hidden="1">
      <c r="A2737" t="s">
        <v>97</v>
      </c>
      <c r="B2737" t="s">
        <v>8</v>
      </c>
      <c r="C2737" t="s">
        <v>96</v>
      </c>
      <c r="D2737" t="str">
        <f>LEFT(M2737,10)</f>
        <v>12/15/2024</v>
      </c>
      <c r="E2737" t="s">
        <v>202</v>
      </c>
      <c r="F2737" t="s">
        <v>218</v>
      </c>
      <c r="G2737" t="s">
        <v>242</v>
      </c>
      <c r="I2737">
        <v>241</v>
      </c>
      <c r="J2737">
        <v>457.9</v>
      </c>
      <c r="K2737">
        <v>1.9</v>
      </c>
      <c r="M2737" t="s">
        <v>205</v>
      </c>
    </row>
    <row r="2738" spans="1:13" hidden="1">
      <c r="A2738" t="s">
        <v>97</v>
      </c>
      <c r="B2738" t="s">
        <v>8</v>
      </c>
      <c r="C2738" t="s">
        <v>96</v>
      </c>
      <c r="D2738" t="str">
        <f>LEFT(M2738,10)</f>
        <v>12/15/2024</v>
      </c>
      <c r="E2738" t="s">
        <v>202</v>
      </c>
      <c r="F2738" t="s">
        <v>218</v>
      </c>
      <c r="G2738" t="s">
        <v>219</v>
      </c>
      <c r="I2738">
        <v>1056</v>
      </c>
      <c r="J2738">
        <v>2692.8</v>
      </c>
      <c r="K2738">
        <v>2.5499999999999998</v>
      </c>
      <c r="M2738" t="s">
        <v>205</v>
      </c>
    </row>
    <row r="2739" spans="1:13" hidden="1">
      <c r="A2739" t="s">
        <v>97</v>
      </c>
      <c r="B2739" t="s">
        <v>8</v>
      </c>
      <c r="C2739" t="s">
        <v>96</v>
      </c>
      <c r="D2739" t="str">
        <f>LEFT(M2739,10)</f>
        <v>12/15/2024</v>
      </c>
      <c r="E2739" t="s">
        <v>202</v>
      </c>
      <c r="F2739" t="s">
        <v>218</v>
      </c>
      <c r="G2739" t="s">
        <v>220</v>
      </c>
      <c r="I2739">
        <v>2629</v>
      </c>
      <c r="J2739">
        <v>3943.5</v>
      </c>
      <c r="K2739">
        <v>1.5</v>
      </c>
      <c r="M2739" t="s">
        <v>205</v>
      </c>
    </row>
    <row r="2740" spans="1:13" hidden="1">
      <c r="A2740" t="s">
        <v>97</v>
      </c>
      <c r="B2740" t="s">
        <v>8</v>
      </c>
      <c r="C2740" t="s">
        <v>96</v>
      </c>
      <c r="D2740" t="str">
        <f>LEFT(M2740,10)</f>
        <v>12/15/2024</v>
      </c>
      <c r="E2740" t="s">
        <v>202</v>
      </c>
      <c r="F2740" t="s">
        <v>218</v>
      </c>
      <c r="G2740" t="s">
        <v>223</v>
      </c>
      <c r="I2740">
        <v>2433</v>
      </c>
      <c r="J2740">
        <v>1946.4</v>
      </c>
      <c r="K2740">
        <v>0.8</v>
      </c>
      <c r="M2740" t="s">
        <v>205</v>
      </c>
    </row>
    <row r="2741" spans="1:13" hidden="1">
      <c r="A2741" t="s">
        <v>97</v>
      </c>
      <c r="B2741" t="s">
        <v>8</v>
      </c>
      <c r="C2741" t="s">
        <v>96</v>
      </c>
      <c r="D2741" t="str">
        <f>LEFT(M2741,10)</f>
        <v>12/15/2024</v>
      </c>
      <c r="E2741" t="s">
        <v>202</v>
      </c>
      <c r="F2741" t="s">
        <v>218</v>
      </c>
      <c r="G2741" t="s">
        <v>223</v>
      </c>
      <c r="I2741">
        <v>822.5</v>
      </c>
      <c r="J2741">
        <v>411.25</v>
      </c>
      <c r="K2741">
        <v>0.5</v>
      </c>
      <c r="M2741" t="s">
        <v>205</v>
      </c>
    </row>
    <row r="2742" spans="1:13" hidden="1">
      <c r="A2742" t="s">
        <v>97</v>
      </c>
      <c r="B2742" t="s">
        <v>8</v>
      </c>
      <c r="C2742" t="s">
        <v>96</v>
      </c>
      <c r="D2742" t="str">
        <f>LEFT(M2742,10)</f>
        <v>12/15/2024</v>
      </c>
      <c r="E2742" t="s">
        <v>202</v>
      </c>
      <c r="F2742" t="s">
        <v>227</v>
      </c>
      <c r="G2742" t="s">
        <v>238</v>
      </c>
      <c r="I2742">
        <v>666</v>
      </c>
      <c r="J2742">
        <v>266.39999999999998</v>
      </c>
      <c r="K2742">
        <v>0.4</v>
      </c>
      <c r="M2742" t="s">
        <v>205</v>
      </c>
    </row>
    <row r="2743" spans="1:13" hidden="1">
      <c r="A2743" t="s">
        <v>97</v>
      </c>
      <c r="B2743" t="s">
        <v>8</v>
      </c>
      <c r="C2743" t="s">
        <v>96</v>
      </c>
      <c r="D2743" t="str">
        <f>LEFT(M2743,10)</f>
        <v>12/15/2024</v>
      </c>
      <c r="E2743" t="s">
        <v>202</v>
      </c>
      <c r="F2743" t="s">
        <v>218</v>
      </c>
      <c r="G2743" t="s">
        <v>222</v>
      </c>
      <c r="I2743">
        <v>1270.5</v>
      </c>
      <c r="J2743">
        <v>2163</v>
      </c>
      <c r="K2743">
        <v>1.7</v>
      </c>
      <c r="M2743" t="s">
        <v>205</v>
      </c>
    </row>
    <row r="2744" spans="1:13" hidden="1">
      <c r="A2744" t="s">
        <v>97</v>
      </c>
      <c r="B2744" t="s">
        <v>8</v>
      </c>
      <c r="C2744" t="s">
        <v>96</v>
      </c>
      <c r="D2744" t="str">
        <f>LEFT(M2744,10)</f>
        <v>12/15/2024</v>
      </c>
      <c r="E2744" t="s">
        <v>202</v>
      </c>
      <c r="F2744" t="s">
        <v>218</v>
      </c>
      <c r="G2744" t="s">
        <v>222</v>
      </c>
      <c r="I2744">
        <v>734.5</v>
      </c>
      <c r="J2744">
        <v>1364.4</v>
      </c>
      <c r="K2744">
        <v>1.86</v>
      </c>
      <c r="M2744" t="s">
        <v>205</v>
      </c>
    </row>
    <row r="2745" spans="1:13" hidden="1">
      <c r="A2745" t="s">
        <v>97</v>
      </c>
      <c r="B2745" t="s">
        <v>8</v>
      </c>
      <c r="C2745" t="s">
        <v>96</v>
      </c>
      <c r="D2745" t="str">
        <f>LEFT(M2745,10)</f>
        <v>12/15/2024</v>
      </c>
      <c r="E2745" t="s">
        <v>202</v>
      </c>
      <c r="F2745" t="s">
        <v>218</v>
      </c>
      <c r="G2745" t="s">
        <v>222</v>
      </c>
      <c r="I2745">
        <v>802.5</v>
      </c>
      <c r="J2745">
        <v>1351.25</v>
      </c>
      <c r="K2745">
        <v>1.68</v>
      </c>
      <c r="M2745" t="s">
        <v>205</v>
      </c>
    </row>
    <row r="2746" spans="1:13" hidden="1">
      <c r="A2746" t="s">
        <v>97</v>
      </c>
      <c r="B2746" t="s">
        <v>8</v>
      </c>
      <c r="C2746" t="s">
        <v>96</v>
      </c>
      <c r="D2746" t="str">
        <f>LEFT(M2746,10)</f>
        <v>12/15/2024</v>
      </c>
      <c r="E2746" t="s">
        <v>202</v>
      </c>
      <c r="F2746" t="s">
        <v>218</v>
      </c>
      <c r="G2746" t="s">
        <v>226</v>
      </c>
      <c r="I2746">
        <v>3053.5</v>
      </c>
      <c r="J2746">
        <v>1374.08</v>
      </c>
      <c r="K2746">
        <v>0.45</v>
      </c>
      <c r="M2746" t="s">
        <v>205</v>
      </c>
    </row>
    <row r="2747" spans="1:13" hidden="1">
      <c r="A2747" t="s">
        <v>97</v>
      </c>
      <c r="B2747" t="s">
        <v>8</v>
      </c>
      <c r="C2747" t="s">
        <v>96</v>
      </c>
      <c r="D2747" t="str">
        <f>LEFT(M2747,10)</f>
        <v>12/15/2024</v>
      </c>
      <c r="E2747" t="s">
        <v>202</v>
      </c>
      <c r="F2747" t="s">
        <v>218</v>
      </c>
      <c r="G2747" t="s">
        <v>225</v>
      </c>
      <c r="I2747">
        <v>232</v>
      </c>
      <c r="J2747">
        <v>215.7</v>
      </c>
      <c r="K2747">
        <v>0.93</v>
      </c>
      <c r="M2747" t="s">
        <v>205</v>
      </c>
    </row>
    <row r="2748" spans="1:13" hidden="1">
      <c r="A2748" t="s">
        <v>97</v>
      </c>
      <c r="B2748" t="s">
        <v>8</v>
      </c>
      <c r="C2748" t="s">
        <v>96</v>
      </c>
      <c r="D2748" t="str">
        <f>LEFT(M2748,10)</f>
        <v>12/15/2024</v>
      </c>
      <c r="E2748" t="s">
        <v>202</v>
      </c>
      <c r="F2748" t="s">
        <v>218</v>
      </c>
      <c r="G2748" t="s">
        <v>239</v>
      </c>
      <c r="I2748">
        <v>330</v>
      </c>
      <c r="J2748">
        <v>396</v>
      </c>
      <c r="K2748">
        <v>1.2</v>
      </c>
      <c r="M2748" t="s">
        <v>205</v>
      </c>
    </row>
    <row r="2749" spans="1:13" hidden="1">
      <c r="A2749" t="s">
        <v>97</v>
      </c>
      <c r="B2749" t="s">
        <v>8</v>
      </c>
      <c r="C2749" t="s">
        <v>96</v>
      </c>
      <c r="D2749" t="str">
        <f>LEFT(M2749,10)</f>
        <v>12/15/2024</v>
      </c>
      <c r="E2749" t="s">
        <v>202</v>
      </c>
      <c r="F2749" t="s">
        <v>218</v>
      </c>
      <c r="G2749" t="s">
        <v>224</v>
      </c>
      <c r="I2749">
        <v>311</v>
      </c>
      <c r="J2749">
        <v>342.1</v>
      </c>
      <c r="K2749">
        <v>1.1000000000000001</v>
      </c>
      <c r="M2749" t="s">
        <v>205</v>
      </c>
    </row>
    <row r="2750" spans="1:13" hidden="1">
      <c r="A2750" t="s">
        <v>97</v>
      </c>
      <c r="B2750" t="s">
        <v>8</v>
      </c>
      <c r="C2750" t="s">
        <v>96</v>
      </c>
      <c r="D2750" t="str">
        <f>LEFT(M2750,10)</f>
        <v>12/15/2024</v>
      </c>
      <c r="E2750" t="s">
        <v>202</v>
      </c>
      <c r="F2750" t="s">
        <v>218</v>
      </c>
      <c r="G2750" t="s">
        <v>243</v>
      </c>
      <c r="H2750" t="s">
        <v>388</v>
      </c>
      <c r="I2750">
        <v>56</v>
      </c>
      <c r="J2750">
        <v>89.6</v>
      </c>
      <c r="K2750">
        <v>1.6</v>
      </c>
      <c r="M2750" t="s">
        <v>205</v>
      </c>
    </row>
    <row r="2751" spans="1:13" hidden="1">
      <c r="A2751" t="s">
        <v>97</v>
      </c>
      <c r="B2751" t="s">
        <v>8</v>
      </c>
      <c r="C2751" t="s">
        <v>96</v>
      </c>
      <c r="D2751" t="str">
        <f>LEFT(M2751,10)</f>
        <v>12/15/2024</v>
      </c>
      <c r="E2751" t="s">
        <v>202</v>
      </c>
      <c r="F2751" t="s">
        <v>218</v>
      </c>
      <c r="G2751" t="s">
        <v>243</v>
      </c>
      <c r="H2751" t="s">
        <v>389</v>
      </c>
      <c r="I2751">
        <v>102.5</v>
      </c>
      <c r="J2751">
        <v>41</v>
      </c>
      <c r="K2751">
        <v>0.4</v>
      </c>
      <c r="M2751" t="s">
        <v>205</v>
      </c>
    </row>
    <row r="2752" spans="1:13" hidden="1">
      <c r="A2752" t="s">
        <v>97</v>
      </c>
      <c r="B2752" t="s">
        <v>8</v>
      </c>
      <c r="C2752" t="s">
        <v>96</v>
      </c>
      <c r="D2752" t="str">
        <f>LEFT(M2752,10)</f>
        <v>12/15/2024</v>
      </c>
      <c r="E2752" t="s">
        <v>202</v>
      </c>
      <c r="F2752" t="s">
        <v>209</v>
      </c>
      <c r="G2752" t="s">
        <v>310</v>
      </c>
      <c r="I2752">
        <v>200</v>
      </c>
      <c r="J2752">
        <v>300</v>
      </c>
      <c r="K2752">
        <v>1.5</v>
      </c>
      <c r="M2752" t="s">
        <v>205</v>
      </c>
    </row>
    <row r="2753" spans="1:13" hidden="1">
      <c r="A2753" t="s">
        <v>97</v>
      </c>
      <c r="B2753" t="s">
        <v>8</v>
      </c>
      <c r="C2753" t="s">
        <v>96</v>
      </c>
      <c r="D2753" t="str">
        <f>LEFT(M2753,10)</f>
        <v>12/15/2024</v>
      </c>
      <c r="E2753" t="s">
        <v>202</v>
      </c>
      <c r="F2753" t="s">
        <v>218</v>
      </c>
      <c r="G2753" t="s">
        <v>266</v>
      </c>
      <c r="I2753">
        <v>53.5</v>
      </c>
      <c r="J2753">
        <v>2.68</v>
      </c>
      <c r="K2753">
        <v>0.05</v>
      </c>
      <c r="M2753" t="s">
        <v>205</v>
      </c>
    </row>
    <row r="2754" spans="1:13" hidden="1">
      <c r="A2754" t="s">
        <v>97</v>
      </c>
      <c r="B2754" t="s">
        <v>8</v>
      </c>
      <c r="C2754" t="s">
        <v>96</v>
      </c>
      <c r="D2754" t="str">
        <f>LEFT(M2754,10)</f>
        <v>12/15/2024</v>
      </c>
      <c r="E2754" t="s">
        <v>202</v>
      </c>
      <c r="F2754" t="s">
        <v>218</v>
      </c>
      <c r="G2754" t="s">
        <v>223</v>
      </c>
      <c r="I2754">
        <v>308.5</v>
      </c>
      <c r="J2754">
        <v>154.25</v>
      </c>
      <c r="K2754">
        <v>0.5</v>
      </c>
      <c r="M2754" t="s">
        <v>205</v>
      </c>
    </row>
    <row r="2755" spans="1:13" hidden="1">
      <c r="A2755" t="s">
        <v>97</v>
      </c>
      <c r="B2755" t="s">
        <v>8</v>
      </c>
      <c r="C2755" t="s">
        <v>96</v>
      </c>
      <c r="D2755" t="str">
        <f>LEFT(M2755,10)</f>
        <v>12/15/2024</v>
      </c>
      <c r="E2755" t="s">
        <v>202</v>
      </c>
      <c r="F2755" t="s">
        <v>209</v>
      </c>
      <c r="G2755" t="s">
        <v>214</v>
      </c>
      <c r="I2755">
        <v>2100</v>
      </c>
      <c r="J2755">
        <v>2142</v>
      </c>
      <c r="K2755">
        <v>1.1499999999999999</v>
      </c>
      <c r="M2755" t="s">
        <v>205</v>
      </c>
    </row>
    <row r="2756" spans="1:13" hidden="1">
      <c r="A2756" t="s">
        <v>97</v>
      </c>
      <c r="B2756" t="s">
        <v>8</v>
      </c>
      <c r="C2756" t="s">
        <v>96</v>
      </c>
      <c r="D2756" t="str">
        <f>LEFT(M2756,10)</f>
        <v>12/15/2024</v>
      </c>
      <c r="E2756" t="s">
        <v>202</v>
      </c>
      <c r="F2756" t="s">
        <v>203</v>
      </c>
      <c r="G2756" t="s">
        <v>204</v>
      </c>
      <c r="I2756">
        <v>333</v>
      </c>
      <c r="J2756">
        <v>2863.8</v>
      </c>
      <c r="K2756">
        <v>8.6</v>
      </c>
      <c r="M2756" t="s">
        <v>205</v>
      </c>
    </row>
    <row r="2757" spans="1:13" hidden="1">
      <c r="A2757" t="s">
        <v>97</v>
      </c>
      <c r="B2757" t="s">
        <v>8</v>
      </c>
      <c r="C2757" t="s">
        <v>96</v>
      </c>
      <c r="D2757" t="str">
        <f>LEFT(M2757,10)</f>
        <v>12/15/2024</v>
      </c>
      <c r="E2757" t="s">
        <v>202</v>
      </c>
      <c r="F2757" t="s">
        <v>203</v>
      </c>
      <c r="G2757" t="s">
        <v>208</v>
      </c>
      <c r="I2757">
        <v>115.5</v>
      </c>
      <c r="J2757">
        <v>912.45</v>
      </c>
      <c r="K2757">
        <v>7.9</v>
      </c>
      <c r="M2757" t="s">
        <v>205</v>
      </c>
    </row>
    <row r="2758" spans="1:13" hidden="1">
      <c r="A2758" t="s">
        <v>97</v>
      </c>
      <c r="B2758" t="s">
        <v>8</v>
      </c>
      <c r="C2758" t="s">
        <v>96</v>
      </c>
      <c r="D2758" t="str">
        <f>LEFT(M2758,10)</f>
        <v>12/15/2024</v>
      </c>
      <c r="E2758" t="s">
        <v>202</v>
      </c>
      <c r="F2758" t="s">
        <v>203</v>
      </c>
      <c r="G2758" t="s">
        <v>207</v>
      </c>
      <c r="I2758">
        <v>45.5</v>
      </c>
      <c r="J2758">
        <v>236.6</v>
      </c>
      <c r="K2758">
        <v>5.2</v>
      </c>
      <c r="M2758" t="s">
        <v>205</v>
      </c>
    </row>
    <row r="2759" spans="1:13" hidden="1">
      <c r="A2759" t="s">
        <v>97</v>
      </c>
      <c r="B2759" t="s">
        <v>8</v>
      </c>
      <c r="C2759" t="s">
        <v>96</v>
      </c>
      <c r="D2759" t="str">
        <f>LEFT(M2759,10)</f>
        <v>12/15/2024</v>
      </c>
      <c r="E2759" t="s">
        <v>202</v>
      </c>
      <c r="F2759" t="s">
        <v>203</v>
      </c>
      <c r="G2759" t="s">
        <v>259</v>
      </c>
      <c r="I2759">
        <v>57</v>
      </c>
      <c r="J2759">
        <v>296.39999999999998</v>
      </c>
      <c r="K2759">
        <v>5.2</v>
      </c>
      <c r="M2759" t="s">
        <v>205</v>
      </c>
    </row>
    <row r="2760" spans="1:13" hidden="1">
      <c r="A2760" t="s">
        <v>97</v>
      </c>
      <c r="B2760" t="s">
        <v>8</v>
      </c>
      <c r="C2760" t="s">
        <v>96</v>
      </c>
      <c r="D2760" t="str">
        <f>LEFT(M2760,10)</f>
        <v>12/15/2024</v>
      </c>
      <c r="E2760" t="s">
        <v>202</v>
      </c>
      <c r="F2760" t="s">
        <v>203</v>
      </c>
      <c r="G2760" t="s">
        <v>236</v>
      </c>
      <c r="I2760">
        <v>35</v>
      </c>
      <c r="J2760">
        <v>752.5</v>
      </c>
      <c r="K2760">
        <v>21.5</v>
      </c>
      <c r="M2760" t="s">
        <v>205</v>
      </c>
    </row>
    <row r="2761" spans="1:13" hidden="1">
      <c r="A2761" t="s">
        <v>97</v>
      </c>
      <c r="B2761" t="s">
        <v>8</v>
      </c>
      <c r="C2761" t="s">
        <v>96</v>
      </c>
      <c r="D2761" t="str">
        <f>LEFT(M2761,10)</f>
        <v>12/15/2024</v>
      </c>
      <c r="E2761" t="s">
        <v>202</v>
      </c>
      <c r="F2761" t="s">
        <v>203</v>
      </c>
      <c r="G2761" t="s">
        <v>215</v>
      </c>
      <c r="I2761">
        <v>7700</v>
      </c>
      <c r="J2761">
        <v>5775</v>
      </c>
      <c r="K2761">
        <v>0.75</v>
      </c>
      <c r="M2761" t="s">
        <v>205</v>
      </c>
    </row>
    <row r="2762" spans="1:13" hidden="1">
      <c r="A2762" t="s">
        <v>97</v>
      </c>
      <c r="B2762" t="s">
        <v>8</v>
      </c>
      <c r="C2762" t="s">
        <v>96</v>
      </c>
      <c r="D2762" t="str">
        <f>LEFT(M2762,10)</f>
        <v>12/15/2024</v>
      </c>
      <c r="E2762" t="s">
        <v>202</v>
      </c>
      <c r="F2762" t="s">
        <v>218</v>
      </c>
      <c r="G2762" t="s">
        <v>247</v>
      </c>
      <c r="I2762">
        <v>71</v>
      </c>
      <c r="J2762">
        <v>284</v>
      </c>
      <c r="K2762">
        <v>4</v>
      </c>
      <c r="M2762" t="s">
        <v>205</v>
      </c>
    </row>
    <row r="2763" spans="1:13" hidden="1">
      <c r="A2763" t="s">
        <v>97</v>
      </c>
      <c r="B2763" t="s">
        <v>8</v>
      </c>
      <c r="C2763" t="s">
        <v>96</v>
      </c>
      <c r="D2763" t="str">
        <f>LEFT(M2763,10)</f>
        <v>12/15/2024</v>
      </c>
      <c r="E2763" t="s">
        <v>202</v>
      </c>
      <c r="F2763" t="s">
        <v>216</v>
      </c>
      <c r="G2763" t="s">
        <v>217</v>
      </c>
      <c r="I2763">
        <v>2884</v>
      </c>
      <c r="J2763">
        <v>576.79999999999995</v>
      </c>
      <c r="K2763">
        <v>0.2</v>
      </c>
      <c r="M2763" t="s">
        <v>205</v>
      </c>
    </row>
    <row r="2764" spans="1:13" hidden="1">
      <c r="A2764" t="s">
        <v>97</v>
      </c>
      <c r="B2764" t="s">
        <v>8</v>
      </c>
      <c r="C2764" t="s">
        <v>96</v>
      </c>
      <c r="D2764" t="str">
        <f>LEFT(M2764,10)</f>
        <v>12/15/2024</v>
      </c>
      <c r="E2764" t="s">
        <v>202</v>
      </c>
      <c r="F2764" t="s">
        <v>216</v>
      </c>
      <c r="G2764" t="s">
        <v>253</v>
      </c>
      <c r="I2764">
        <v>3290</v>
      </c>
      <c r="J2764">
        <v>658</v>
      </c>
      <c r="K2764">
        <v>0.2</v>
      </c>
      <c r="M2764" t="s">
        <v>205</v>
      </c>
    </row>
    <row r="2765" spans="1:13" hidden="1">
      <c r="A2765" t="s">
        <v>97</v>
      </c>
      <c r="B2765" t="s">
        <v>8</v>
      </c>
      <c r="C2765" t="s">
        <v>96</v>
      </c>
      <c r="D2765" t="str">
        <f>LEFT(M2765,10)</f>
        <v>12/15/2024</v>
      </c>
      <c r="E2765" t="s">
        <v>202</v>
      </c>
      <c r="F2765" t="s">
        <v>209</v>
      </c>
      <c r="G2765" t="s">
        <v>214</v>
      </c>
      <c r="I2765">
        <v>2005.5</v>
      </c>
      <c r="J2765">
        <v>1982.35</v>
      </c>
      <c r="K2765">
        <v>0.99</v>
      </c>
      <c r="M2765" t="s">
        <v>205</v>
      </c>
    </row>
    <row r="2766" spans="1:13" hidden="1">
      <c r="A2766" t="s">
        <v>97</v>
      </c>
      <c r="B2766" t="s">
        <v>8</v>
      </c>
      <c r="C2766" t="s">
        <v>96</v>
      </c>
      <c r="D2766" t="str">
        <f>LEFT(M2766,10)</f>
        <v>12/15/2024</v>
      </c>
      <c r="E2766" t="s">
        <v>202</v>
      </c>
      <c r="F2766" t="s">
        <v>216</v>
      </c>
      <c r="G2766" t="s">
        <v>217</v>
      </c>
      <c r="I2766">
        <v>100</v>
      </c>
      <c r="J2766">
        <v>150</v>
      </c>
      <c r="K2766">
        <v>1.5</v>
      </c>
      <c r="M2766" t="s">
        <v>205</v>
      </c>
    </row>
    <row r="2767" spans="1:13" hidden="1">
      <c r="A2767" t="s">
        <v>97</v>
      </c>
      <c r="B2767" t="s">
        <v>8</v>
      </c>
      <c r="C2767" t="s">
        <v>96</v>
      </c>
      <c r="D2767" t="str">
        <f>LEFT(M2767,10)</f>
        <v>12/15/2024</v>
      </c>
      <c r="E2767" t="s">
        <v>234</v>
      </c>
      <c r="F2767" t="s">
        <v>234</v>
      </c>
      <c r="I2767">
        <v>26340</v>
      </c>
      <c r="M2767" t="s">
        <v>205</v>
      </c>
    </row>
    <row r="2768" spans="1:13" hidden="1">
      <c r="A2768" t="s">
        <v>97</v>
      </c>
      <c r="B2768" t="s">
        <v>8</v>
      </c>
      <c r="C2768" t="s">
        <v>96</v>
      </c>
      <c r="D2768" t="str">
        <f>LEFT(M2768,10)</f>
        <v>12/15/2024</v>
      </c>
      <c r="E2768" t="s">
        <v>232</v>
      </c>
      <c r="F2768" t="s">
        <v>287</v>
      </c>
      <c r="I2768">
        <v>0</v>
      </c>
      <c r="J2768">
        <v>6449.25</v>
      </c>
      <c r="M2768" t="s">
        <v>205</v>
      </c>
    </row>
    <row r="2769" spans="1:13" hidden="1">
      <c r="A2769" t="s">
        <v>97</v>
      </c>
      <c r="B2769" t="s">
        <v>8</v>
      </c>
      <c r="C2769" t="s">
        <v>96</v>
      </c>
      <c r="D2769" t="str">
        <f>LEFT(M2769,10)</f>
        <v>12/15/2024</v>
      </c>
      <c r="E2769" t="s">
        <v>232</v>
      </c>
      <c r="F2769" t="s">
        <v>296</v>
      </c>
      <c r="I2769">
        <v>0</v>
      </c>
      <c r="J2769">
        <v>973.9</v>
      </c>
      <c r="M2769" t="s">
        <v>205</v>
      </c>
    </row>
    <row r="2770" spans="1:13" hidden="1">
      <c r="A2770" t="s">
        <v>97</v>
      </c>
      <c r="B2770" t="s">
        <v>8</v>
      </c>
      <c r="C2770" t="s">
        <v>96</v>
      </c>
      <c r="D2770" t="str">
        <f>LEFT(M2770,10)</f>
        <v>12/15/2024</v>
      </c>
      <c r="E2770" t="s">
        <v>232</v>
      </c>
      <c r="F2770" t="s">
        <v>286</v>
      </c>
      <c r="I2770">
        <v>0</v>
      </c>
      <c r="J2770">
        <v>79</v>
      </c>
      <c r="M2770" t="s">
        <v>205</v>
      </c>
    </row>
    <row r="2771" spans="1:13" hidden="1">
      <c r="A2771" t="s">
        <v>97</v>
      </c>
      <c r="B2771" t="s">
        <v>8</v>
      </c>
      <c r="C2771" t="s">
        <v>96</v>
      </c>
      <c r="D2771" t="str">
        <f>LEFT(M2771,10)</f>
        <v>12/15/2024</v>
      </c>
      <c r="E2771" t="s">
        <v>232</v>
      </c>
      <c r="F2771" t="s">
        <v>255</v>
      </c>
      <c r="I2771">
        <v>0</v>
      </c>
      <c r="J2771">
        <v>800</v>
      </c>
      <c r="L2771" t="s">
        <v>464</v>
      </c>
      <c r="M2771" t="s">
        <v>205</v>
      </c>
    </row>
    <row r="2772" spans="1:13" hidden="1">
      <c r="A2772" t="s">
        <v>97</v>
      </c>
      <c r="B2772" t="s">
        <v>8</v>
      </c>
      <c r="C2772" t="s">
        <v>96</v>
      </c>
      <c r="D2772" t="str">
        <f>LEFT(M2772,10)</f>
        <v>12/15/2024</v>
      </c>
      <c r="E2772" t="s">
        <v>232</v>
      </c>
      <c r="F2772" t="s">
        <v>255</v>
      </c>
      <c r="I2772">
        <v>0</v>
      </c>
      <c r="J2772">
        <v>214</v>
      </c>
      <c r="L2772" t="s">
        <v>465</v>
      </c>
      <c r="M2772" t="s">
        <v>205</v>
      </c>
    </row>
    <row r="2773" spans="1:13" hidden="1">
      <c r="A2773" t="s">
        <v>97</v>
      </c>
      <c r="B2773" t="s">
        <v>8</v>
      </c>
      <c r="C2773" t="s">
        <v>96</v>
      </c>
      <c r="D2773" t="str">
        <f>LEFT(M2773,10)</f>
        <v>12/15/2024</v>
      </c>
      <c r="E2773" t="s">
        <v>232</v>
      </c>
      <c r="F2773" t="s">
        <v>272</v>
      </c>
      <c r="I2773">
        <v>0</v>
      </c>
      <c r="J2773">
        <v>2410</v>
      </c>
      <c r="M2773" t="s">
        <v>205</v>
      </c>
    </row>
    <row r="2774" spans="1:13" hidden="1">
      <c r="A2774" t="s">
        <v>97</v>
      </c>
      <c r="B2774" t="s">
        <v>8</v>
      </c>
      <c r="C2774" t="s">
        <v>96</v>
      </c>
      <c r="D2774" t="str">
        <f>LEFT(M2774,10)</f>
        <v>12/15/2024</v>
      </c>
      <c r="E2774" t="s">
        <v>232</v>
      </c>
      <c r="F2774" t="s">
        <v>290</v>
      </c>
      <c r="I2774">
        <v>0</v>
      </c>
      <c r="J2774">
        <v>167.17</v>
      </c>
      <c r="M2774" t="s">
        <v>205</v>
      </c>
    </row>
    <row r="2775" spans="1:13" hidden="1">
      <c r="A2775" t="s">
        <v>97</v>
      </c>
      <c r="B2775" t="s">
        <v>8</v>
      </c>
      <c r="C2775" t="s">
        <v>96</v>
      </c>
      <c r="D2775" t="str">
        <f>LEFT(M2775,10)</f>
        <v>12/15/2024</v>
      </c>
      <c r="E2775" t="s">
        <v>232</v>
      </c>
      <c r="F2775" t="s">
        <v>251</v>
      </c>
      <c r="I2775">
        <v>0</v>
      </c>
      <c r="J2775">
        <v>1177</v>
      </c>
      <c r="M2775" t="s">
        <v>205</v>
      </c>
    </row>
    <row r="2776" spans="1:13" hidden="1">
      <c r="A2776" t="s">
        <v>97</v>
      </c>
      <c r="B2776" t="s">
        <v>8</v>
      </c>
      <c r="C2776" t="s">
        <v>96</v>
      </c>
      <c r="D2776" t="str">
        <f>LEFT(M2776,10)</f>
        <v>12/15/2024</v>
      </c>
      <c r="E2776" t="s">
        <v>232</v>
      </c>
      <c r="F2776" t="s">
        <v>254</v>
      </c>
      <c r="I2776">
        <v>0</v>
      </c>
      <c r="J2776">
        <v>1449.59</v>
      </c>
      <c r="M2776" t="s">
        <v>205</v>
      </c>
    </row>
    <row r="2777" spans="1:13" hidden="1">
      <c r="A2777" t="s">
        <v>97</v>
      </c>
      <c r="B2777" t="s">
        <v>8</v>
      </c>
      <c r="C2777" t="s">
        <v>96</v>
      </c>
      <c r="D2777" t="str">
        <f>LEFT(M2777,10)</f>
        <v>12/15/2024</v>
      </c>
      <c r="E2777" t="s">
        <v>232</v>
      </c>
      <c r="F2777" t="s">
        <v>255</v>
      </c>
      <c r="I2777">
        <v>0</v>
      </c>
      <c r="J2777">
        <v>86.15</v>
      </c>
      <c r="L2777" t="s">
        <v>390</v>
      </c>
      <c r="M2777" t="s">
        <v>205</v>
      </c>
    </row>
    <row r="2778" spans="1:13" hidden="1">
      <c r="A2778" t="s">
        <v>97</v>
      </c>
      <c r="B2778" t="s">
        <v>8</v>
      </c>
      <c r="C2778" t="s">
        <v>96</v>
      </c>
      <c r="D2778" t="str">
        <f>LEFT(M2778,10)</f>
        <v>12/15/2024</v>
      </c>
      <c r="E2778" t="s">
        <v>230</v>
      </c>
      <c r="F2778" t="s">
        <v>248</v>
      </c>
      <c r="I2778">
        <v>0</v>
      </c>
      <c r="J2778">
        <v>39750</v>
      </c>
      <c r="M2778" t="s">
        <v>205</v>
      </c>
    </row>
    <row r="2779" spans="1:13" hidden="1">
      <c r="A2779" t="s">
        <v>56</v>
      </c>
      <c r="B2779" t="s">
        <v>57</v>
      </c>
      <c r="C2779" t="s">
        <v>19</v>
      </c>
      <c r="D2779" t="str">
        <f>LEFT(M2779,10)</f>
        <v>12/15/2024</v>
      </c>
      <c r="E2779" t="s">
        <v>202</v>
      </c>
      <c r="F2779" t="s">
        <v>227</v>
      </c>
      <c r="G2779" t="s">
        <v>229</v>
      </c>
      <c r="I2779">
        <v>3140</v>
      </c>
      <c r="J2779">
        <v>1884</v>
      </c>
      <c r="K2779">
        <v>0.6</v>
      </c>
      <c r="M2779" t="s">
        <v>205</v>
      </c>
    </row>
    <row r="2780" spans="1:13" hidden="1">
      <c r="A2780" t="s">
        <v>56</v>
      </c>
      <c r="B2780" t="s">
        <v>57</v>
      </c>
      <c r="C2780" t="s">
        <v>19</v>
      </c>
      <c r="D2780" t="str">
        <f>LEFT(M2780,10)</f>
        <v>12/15/2024</v>
      </c>
      <c r="E2780" t="s">
        <v>202</v>
      </c>
      <c r="F2780" t="s">
        <v>227</v>
      </c>
      <c r="G2780" t="s">
        <v>237</v>
      </c>
      <c r="I2780">
        <v>400</v>
      </c>
      <c r="J2780">
        <v>280</v>
      </c>
      <c r="K2780">
        <v>0.7</v>
      </c>
      <c r="M2780" t="s">
        <v>205</v>
      </c>
    </row>
    <row r="2781" spans="1:13" hidden="1">
      <c r="A2781" t="s">
        <v>56</v>
      </c>
      <c r="B2781" t="s">
        <v>57</v>
      </c>
      <c r="C2781" t="s">
        <v>19</v>
      </c>
      <c r="D2781" t="str">
        <f>LEFT(M2781,10)</f>
        <v>12/15/2024</v>
      </c>
      <c r="E2781" t="s">
        <v>202</v>
      </c>
      <c r="F2781" t="s">
        <v>227</v>
      </c>
      <c r="G2781" t="s">
        <v>238</v>
      </c>
      <c r="I2781">
        <v>130</v>
      </c>
      <c r="J2781">
        <v>45.5</v>
      </c>
      <c r="K2781">
        <v>0.35</v>
      </c>
      <c r="M2781" t="s">
        <v>205</v>
      </c>
    </row>
    <row r="2782" spans="1:13" hidden="1">
      <c r="A2782" t="s">
        <v>56</v>
      </c>
      <c r="B2782" t="s">
        <v>57</v>
      </c>
      <c r="C2782" t="s">
        <v>19</v>
      </c>
      <c r="D2782" t="str">
        <f>LEFT(M2782,10)</f>
        <v>12/15/2024</v>
      </c>
      <c r="E2782" t="s">
        <v>202</v>
      </c>
      <c r="F2782" t="s">
        <v>227</v>
      </c>
      <c r="G2782" t="s">
        <v>228</v>
      </c>
      <c r="I2782">
        <v>2680</v>
      </c>
      <c r="J2782">
        <v>1206</v>
      </c>
      <c r="K2782">
        <v>0.45</v>
      </c>
      <c r="M2782" t="s">
        <v>205</v>
      </c>
    </row>
    <row r="2783" spans="1:13" hidden="1">
      <c r="A2783" t="s">
        <v>56</v>
      </c>
      <c r="B2783" t="s">
        <v>57</v>
      </c>
      <c r="C2783" t="s">
        <v>19</v>
      </c>
      <c r="D2783" t="str">
        <f>LEFT(M2783,10)</f>
        <v>12/15/2024</v>
      </c>
      <c r="E2783" t="s">
        <v>202</v>
      </c>
      <c r="F2783" t="s">
        <v>227</v>
      </c>
      <c r="G2783" t="s">
        <v>252</v>
      </c>
      <c r="I2783">
        <v>430</v>
      </c>
      <c r="J2783">
        <v>172</v>
      </c>
      <c r="K2783">
        <v>0.4</v>
      </c>
      <c r="M2783" t="s">
        <v>205</v>
      </c>
    </row>
    <row r="2784" spans="1:13" hidden="1">
      <c r="A2784" t="s">
        <v>56</v>
      </c>
      <c r="B2784" t="s">
        <v>57</v>
      </c>
      <c r="C2784" t="s">
        <v>19</v>
      </c>
      <c r="D2784" t="str">
        <f>LEFT(M2784,10)</f>
        <v>12/15/2024</v>
      </c>
      <c r="E2784" t="s">
        <v>202</v>
      </c>
      <c r="F2784" t="s">
        <v>218</v>
      </c>
      <c r="G2784" t="s">
        <v>222</v>
      </c>
      <c r="I2784">
        <v>690</v>
      </c>
      <c r="J2784">
        <v>1173</v>
      </c>
      <c r="K2784">
        <v>1.7</v>
      </c>
      <c r="M2784" t="s">
        <v>205</v>
      </c>
    </row>
    <row r="2785" spans="1:13" hidden="1">
      <c r="A2785" t="s">
        <v>56</v>
      </c>
      <c r="B2785" t="s">
        <v>57</v>
      </c>
      <c r="C2785" t="s">
        <v>19</v>
      </c>
      <c r="D2785" t="str">
        <f>LEFT(M2785,10)</f>
        <v>12/15/2024</v>
      </c>
      <c r="E2785" t="s">
        <v>202</v>
      </c>
      <c r="F2785" t="s">
        <v>218</v>
      </c>
      <c r="G2785" t="s">
        <v>222</v>
      </c>
      <c r="I2785">
        <v>347</v>
      </c>
      <c r="J2785">
        <v>451.1</v>
      </c>
      <c r="K2785">
        <v>1.3</v>
      </c>
      <c r="M2785" t="s">
        <v>205</v>
      </c>
    </row>
    <row r="2786" spans="1:13" hidden="1">
      <c r="A2786" t="s">
        <v>56</v>
      </c>
      <c r="B2786" t="s">
        <v>57</v>
      </c>
      <c r="C2786" t="s">
        <v>19</v>
      </c>
      <c r="D2786" t="str">
        <f>LEFT(M2786,10)</f>
        <v>12/15/2024</v>
      </c>
      <c r="E2786" t="s">
        <v>202</v>
      </c>
      <c r="F2786" t="s">
        <v>218</v>
      </c>
      <c r="G2786" t="s">
        <v>224</v>
      </c>
      <c r="I2786">
        <v>106</v>
      </c>
      <c r="J2786">
        <v>95.4</v>
      </c>
      <c r="K2786">
        <v>0.9</v>
      </c>
      <c r="M2786" t="s">
        <v>205</v>
      </c>
    </row>
    <row r="2787" spans="1:13" hidden="1">
      <c r="A2787" t="s">
        <v>56</v>
      </c>
      <c r="B2787" t="s">
        <v>57</v>
      </c>
      <c r="C2787" t="s">
        <v>19</v>
      </c>
      <c r="D2787" t="str">
        <f>LEFT(M2787,10)</f>
        <v>12/15/2024</v>
      </c>
      <c r="E2787" t="s">
        <v>202</v>
      </c>
      <c r="F2787" t="s">
        <v>218</v>
      </c>
      <c r="G2787" t="s">
        <v>222</v>
      </c>
      <c r="I2787">
        <v>277</v>
      </c>
      <c r="J2787">
        <v>443.2</v>
      </c>
      <c r="K2787">
        <v>1.6</v>
      </c>
      <c r="M2787" t="s">
        <v>205</v>
      </c>
    </row>
    <row r="2788" spans="1:13" hidden="1">
      <c r="A2788" t="s">
        <v>56</v>
      </c>
      <c r="B2788" t="s">
        <v>57</v>
      </c>
      <c r="C2788" t="s">
        <v>19</v>
      </c>
      <c r="D2788" t="str">
        <f>LEFT(M2788,10)</f>
        <v>12/15/2024</v>
      </c>
      <c r="E2788" t="s">
        <v>202</v>
      </c>
      <c r="F2788" t="s">
        <v>218</v>
      </c>
      <c r="G2788" t="s">
        <v>221</v>
      </c>
      <c r="I2788">
        <v>57</v>
      </c>
      <c r="J2788">
        <v>131.1</v>
      </c>
      <c r="K2788">
        <v>2.2999999999999998</v>
      </c>
      <c r="M2788" t="s">
        <v>205</v>
      </c>
    </row>
    <row r="2789" spans="1:13" hidden="1">
      <c r="A2789" t="s">
        <v>56</v>
      </c>
      <c r="B2789" t="s">
        <v>57</v>
      </c>
      <c r="C2789" t="s">
        <v>19</v>
      </c>
      <c r="D2789" t="str">
        <f>LEFT(M2789,10)</f>
        <v>12/15/2024</v>
      </c>
      <c r="E2789" t="s">
        <v>202</v>
      </c>
      <c r="F2789" t="s">
        <v>218</v>
      </c>
      <c r="G2789" t="s">
        <v>219</v>
      </c>
      <c r="I2789">
        <v>57</v>
      </c>
      <c r="J2789">
        <v>22.8</v>
      </c>
      <c r="K2789">
        <v>0.4</v>
      </c>
      <c r="M2789" t="s">
        <v>205</v>
      </c>
    </row>
    <row r="2790" spans="1:13" hidden="1">
      <c r="A2790" t="s">
        <v>56</v>
      </c>
      <c r="B2790" t="s">
        <v>57</v>
      </c>
      <c r="C2790" t="s">
        <v>19</v>
      </c>
      <c r="D2790" t="str">
        <f>LEFT(M2790,10)</f>
        <v>12/15/2024</v>
      </c>
      <c r="E2790" t="s">
        <v>202</v>
      </c>
      <c r="F2790" t="s">
        <v>218</v>
      </c>
      <c r="G2790" t="s">
        <v>240</v>
      </c>
      <c r="I2790">
        <v>950</v>
      </c>
      <c r="J2790">
        <v>4275</v>
      </c>
      <c r="K2790">
        <v>4.5</v>
      </c>
      <c r="M2790" t="s">
        <v>205</v>
      </c>
    </row>
    <row r="2791" spans="1:13" hidden="1">
      <c r="A2791" t="s">
        <v>56</v>
      </c>
      <c r="B2791" t="s">
        <v>57</v>
      </c>
      <c r="C2791" t="s">
        <v>19</v>
      </c>
      <c r="D2791" t="str">
        <f>LEFT(M2791,10)</f>
        <v>12/15/2024</v>
      </c>
      <c r="E2791" t="s">
        <v>202</v>
      </c>
      <c r="F2791" t="s">
        <v>218</v>
      </c>
      <c r="G2791" t="s">
        <v>241</v>
      </c>
      <c r="I2791">
        <v>180</v>
      </c>
      <c r="J2791">
        <v>792</v>
      </c>
      <c r="K2791">
        <v>4.4000000000000004</v>
      </c>
      <c r="M2791" t="s">
        <v>205</v>
      </c>
    </row>
    <row r="2792" spans="1:13" hidden="1">
      <c r="A2792" t="s">
        <v>56</v>
      </c>
      <c r="B2792" t="s">
        <v>57</v>
      </c>
      <c r="C2792" t="s">
        <v>19</v>
      </c>
      <c r="D2792" t="str">
        <f>LEFT(M2792,10)</f>
        <v>12/15/2024</v>
      </c>
      <c r="E2792" t="s">
        <v>202</v>
      </c>
      <c r="F2792" t="s">
        <v>218</v>
      </c>
      <c r="G2792" t="s">
        <v>220</v>
      </c>
      <c r="I2792">
        <v>495</v>
      </c>
      <c r="J2792">
        <v>693</v>
      </c>
      <c r="K2792">
        <v>1.4</v>
      </c>
      <c r="M2792" t="s">
        <v>205</v>
      </c>
    </row>
    <row r="2793" spans="1:13" hidden="1">
      <c r="A2793" t="s">
        <v>56</v>
      </c>
      <c r="B2793" t="s">
        <v>57</v>
      </c>
      <c r="C2793" t="s">
        <v>19</v>
      </c>
      <c r="D2793" t="str">
        <f>LEFT(M2793,10)</f>
        <v>12/15/2024</v>
      </c>
      <c r="E2793" t="s">
        <v>202</v>
      </c>
      <c r="F2793" t="s">
        <v>218</v>
      </c>
      <c r="G2793" t="s">
        <v>221</v>
      </c>
      <c r="I2793">
        <v>406</v>
      </c>
      <c r="J2793">
        <v>933.8</v>
      </c>
      <c r="K2793">
        <v>2.2999999999999998</v>
      </c>
      <c r="M2793" t="s">
        <v>205</v>
      </c>
    </row>
    <row r="2794" spans="1:13" hidden="1">
      <c r="A2794" t="s">
        <v>56</v>
      </c>
      <c r="B2794" t="s">
        <v>57</v>
      </c>
      <c r="C2794" t="s">
        <v>19</v>
      </c>
      <c r="D2794" t="str">
        <f>LEFT(M2794,10)</f>
        <v>12/15/2024</v>
      </c>
      <c r="E2794" t="s">
        <v>202</v>
      </c>
      <c r="F2794" t="s">
        <v>218</v>
      </c>
      <c r="G2794" t="s">
        <v>223</v>
      </c>
      <c r="I2794">
        <v>612</v>
      </c>
      <c r="J2794">
        <v>459</v>
      </c>
      <c r="K2794">
        <v>0.75</v>
      </c>
      <c r="M2794" t="s">
        <v>205</v>
      </c>
    </row>
    <row r="2795" spans="1:13" hidden="1">
      <c r="A2795" t="s">
        <v>56</v>
      </c>
      <c r="B2795" t="s">
        <v>57</v>
      </c>
      <c r="C2795" t="s">
        <v>19</v>
      </c>
      <c r="D2795" t="str">
        <f>LEFT(M2795,10)</f>
        <v>12/15/2024</v>
      </c>
      <c r="E2795" t="s">
        <v>202</v>
      </c>
      <c r="F2795" t="s">
        <v>218</v>
      </c>
      <c r="G2795" t="s">
        <v>223</v>
      </c>
      <c r="I2795">
        <v>140</v>
      </c>
      <c r="J2795">
        <v>280</v>
      </c>
      <c r="K2795">
        <v>2</v>
      </c>
      <c r="M2795" t="s">
        <v>205</v>
      </c>
    </row>
    <row r="2796" spans="1:13" hidden="1">
      <c r="A2796" t="s">
        <v>56</v>
      </c>
      <c r="B2796" t="s">
        <v>57</v>
      </c>
      <c r="C2796" t="s">
        <v>19</v>
      </c>
      <c r="D2796" t="str">
        <f>LEFT(M2796,10)</f>
        <v>12/15/2024</v>
      </c>
      <c r="E2796" t="s">
        <v>202</v>
      </c>
      <c r="F2796" t="s">
        <v>218</v>
      </c>
      <c r="G2796" t="s">
        <v>242</v>
      </c>
      <c r="I2796">
        <v>47</v>
      </c>
      <c r="J2796">
        <v>84.6</v>
      </c>
      <c r="K2796">
        <v>1.8</v>
      </c>
      <c r="M2796" t="s">
        <v>205</v>
      </c>
    </row>
    <row r="2797" spans="1:13" hidden="1">
      <c r="A2797" t="s">
        <v>56</v>
      </c>
      <c r="B2797" t="s">
        <v>57</v>
      </c>
      <c r="C2797" t="s">
        <v>19</v>
      </c>
      <c r="D2797" t="str">
        <f>LEFT(M2797,10)</f>
        <v>12/15/2024</v>
      </c>
      <c r="E2797" t="s">
        <v>202</v>
      </c>
      <c r="F2797" t="s">
        <v>216</v>
      </c>
      <c r="G2797" t="s">
        <v>253</v>
      </c>
      <c r="I2797">
        <v>9000</v>
      </c>
      <c r="J2797">
        <v>720</v>
      </c>
      <c r="K2797">
        <v>0.08</v>
      </c>
      <c r="M2797" t="s">
        <v>205</v>
      </c>
    </row>
    <row r="2798" spans="1:13" hidden="1">
      <c r="A2798" t="s">
        <v>56</v>
      </c>
      <c r="B2798" t="s">
        <v>57</v>
      </c>
      <c r="C2798" t="s">
        <v>19</v>
      </c>
      <c r="D2798" t="str">
        <f>LEFT(M2798,10)</f>
        <v>12/15/2024</v>
      </c>
      <c r="E2798" t="s">
        <v>202</v>
      </c>
      <c r="F2798" t="s">
        <v>203</v>
      </c>
      <c r="G2798" t="s">
        <v>260</v>
      </c>
      <c r="I2798">
        <v>8</v>
      </c>
      <c r="J2798">
        <v>336</v>
      </c>
      <c r="K2798">
        <v>42</v>
      </c>
      <c r="M2798" t="s">
        <v>205</v>
      </c>
    </row>
    <row r="2799" spans="1:13" hidden="1">
      <c r="A2799" t="s">
        <v>56</v>
      </c>
      <c r="B2799" t="s">
        <v>57</v>
      </c>
      <c r="C2799" t="s">
        <v>19</v>
      </c>
      <c r="D2799" t="str">
        <f>LEFT(M2799,10)</f>
        <v>12/15/2024</v>
      </c>
      <c r="E2799" t="s">
        <v>202</v>
      </c>
      <c r="F2799" t="s">
        <v>203</v>
      </c>
      <c r="G2799" t="s">
        <v>235</v>
      </c>
      <c r="I2799">
        <v>10.5</v>
      </c>
      <c r="J2799">
        <v>78.75</v>
      </c>
      <c r="K2799">
        <v>7.5</v>
      </c>
      <c r="M2799" t="s">
        <v>205</v>
      </c>
    </row>
    <row r="2800" spans="1:13" hidden="1">
      <c r="A2800" t="s">
        <v>56</v>
      </c>
      <c r="B2800" t="s">
        <v>57</v>
      </c>
      <c r="C2800" t="s">
        <v>19</v>
      </c>
      <c r="D2800" t="str">
        <f>LEFT(M2800,10)</f>
        <v>12/15/2024</v>
      </c>
      <c r="E2800" t="s">
        <v>202</v>
      </c>
      <c r="F2800" t="s">
        <v>203</v>
      </c>
      <c r="G2800" t="s">
        <v>235</v>
      </c>
      <c r="I2800">
        <v>23</v>
      </c>
      <c r="J2800">
        <v>172.5</v>
      </c>
      <c r="K2800">
        <v>7.5</v>
      </c>
      <c r="M2800" t="s">
        <v>205</v>
      </c>
    </row>
    <row r="2801" spans="1:13" hidden="1">
      <c r="A2801" t="s">
        <v>56</v>
      </c>
      <c r="B2801" t="s">
        <v>57</v>
      </c>
      <c r="C2801" t="s">
        <v>19</v>
      </c>
      <c r="D2801" t="str">
        <f>LEFT(M2801,10)</f>
        <v>12/15/2024</v>
      </c>
      <c r="E2801" t="s">
        <v>202</v>
      </c>
      <c r="F2801" t="s">
        <v>203</v>
      </c>
      <c r="G2801" t="s">
        <v>204</v>
      </c>
      <c r="I2801">
        <v>206</v>
      </c>
      <c r="J2801">
        <v>1854</v>
      </c>
      <c r="K2801">
        <v>9</v>
      </c>
      <c r="M2801" t="s">
        <v>205</v>
      </c>
    </row>
    <row r="2802" spans="1:13" hidden="1">
      <c r="A2802" t="s">
        <v>56</v>
      </c>
      <c r="B2802" t="s">
        <v>57</v>
      </c>
      <c r="C2802" t="s">
        <v>19</v>
      </c>
      <c r="D2802" t="str">
        <f>LEFT(M2802,10)</f>
        <v>12/15/2024</v>
      </c>
      <c r="E2802" t="s">
        <v>202</v>
      </c>
      <c r="F2802" t="s">
        <v>203</v>
      </c>
      <c r="G2802" t="s">
        <v>207</v>
      </c>
      <c r="I2802">
        <v>20</v>
      </c>
      <c r="J2802">
        <v>150</v>
      </c>
      <c r="K2802">
        <v>7.5</v>
      </c>
      <c r="M2802" t="s">
        <v>205</v>
      </c>
    </row>
    <row r="2803" spans="1:13" hidden="1">
      <c r="A2803" t="s">
        <v>56</v>
      </c>
      <c r="B2803" t="s">
        <v>57</v>
      </c>
      <c r="C2803" t="s">
        <v>19</v>
      </c>
      <c r="D2803" t="str">
        <f>LEFT(M2803,10)</f>
        <v>12/15/2024</v>
      </c>
      <c r="E2803" t="s">
        <v>202</v>
      </c>
      <c r="F2803" t="s">
        <v>203</v>
      </c>
      <c r="G2803" t="s">
        <v>259</v>
      </c>
      <c r="I2803">
        <v>7.5</v>
      </c>
      <c r="J2803">
        <v>180</v>
      </c>
      <c r="K2803">
        <v>24</v>
      </c>
      <c r="M2803" t="s">
        <v>205</v>
      </c>
    </row>
    <row r="2804" spans="1:13" hidden="1">
      <c r="A2804" t="s">
        <v>56</v>
      </c>
      <c r="B2804" t="s">
        <v>57</v>
      </c>
      <c r="C2804" t="s">
        <v>19</v>
      </c>
      <c r="D2804" t="str">
        <f>LEFT(M2804,10)</f>
        <v>12/15/2024</v>
      </c>
      <c r="E2804" t="s">
        <v>202</v>
      </c>
      <c r="F2804" t="s">
        <v>203</v>
      </c>
      <c r="G2804" t="s">
        <v>259</v>
      </c>
      <c r="I2804">
        <v>1</v>
      </c>
      <c r="J2804">
        <v>21</v>
      </c>
      <c r="K2804">
        <v>21</v>
      </c>
      <c r="M2804" t="s">
        <v>205</v>
      </c>
    </row>
    <row r="2805" spans="1:13" hidden="1">
      <c r="A2805" t="s">
        <v>56</v>
      </c>
      <c r="B2805" t="s">
        <v>57</v>
      </c>
      <c r="C2805" t="s">
        <v>19</v>
      </c>
      <c r="D2805" t="str">
        <f>LEFT(M2805,10)</f>
        <v>12/15/2024</v>
      </c>
      <c r="E2805" t="s">
        <v>202</v>
      </c>
      <c r="F2805" t="s">
        <v>203</v>
      </c>
      <c r="G2805" t="s">
        <v>206</v>
      </c>
      <c r="I2805">
        <v>4</v>
      </c>
      <c r="J2805">
        <v>12</v>
      </c>
      <c r="K2805">
        <v>3</v>
      </c>
      <c r="M2805" t="s">
        <v>205</v>
      </c>
    </row>
    <row r="2806" spans="1:13" hidden="1">
      <c r="A2806" t="s">
        <v>56</v>
      </c>
      <c r="B2806" t="s">
        <v>57</v>
      </c>
      <c r="C2806" t="s">
        <v>19</v>
      </c>
      <c r="D2806" t="str">
        <f>LEFT(M2806,10)</f>
        <v>12/15/2024</v>
      </c>
      <c r="E2806" t="s">
        <v>202</v>
      </c>
      <c r="F2806" t="s">
        <v>203</v>
      </c>
      <c r="G2806" t="s">
        <v>215</v>
      </c>
      <c r="I2806">
        <v>26</v>
      </c>
      <c r="J2806">
        <v>15.6</v>
      </c>
      <c r="K2806">
        <v>0.6</v>
      </c>
      <c r="M2806" t="s">
        <v>205</v>
      </c>
    </row>
    <row r="2807" spans="1:13" hidden="1">
      <c r="A2807" t="s">
        <v>56</v>
      </c>
      <c r="B2807" t="s">
        <v>57</v>
      </c>
      <c r="C2807" t="s">
        <v>19</v>
      </c>
      <c r="D2807" t="str">
        <f>LEFT(M2807,10)</f>
        <v>12/15/2024</v>
      </c>
      <c r="E2807" t="s">
        <v>202</v>
      </c>
      <c r="F2807" t="s">
        <v>203</v>
      </c>
      <c r="G2807" t="s">
        <v>208</v>
      </c>
      <c r="I2807">
        <v>40</v>
      </c>
      <c r="J2807">
        <v>400</v>
      </c>
      <c r="K2807">
        <v>10</v>
      </c>
      <c r="M2807" t="s">
        <v>205</v>
      </c>
    </row>
    <row r="2808" spans="1:13" hidden="1">
      <c r="A2808" t="s">
        <v>56</v>
      </c>
      <c r="B2808" t="s">
        <v>57</v>
      </c>
      <c r="C2808" t="s">
        <v>19</v>
      </c>
      <c r="D2808" t="str">
        <f>LEFT(M2808,10)</f>
        <v>12/15/2024</v>
      </c>
      <c r="E2808" t="s">
        <v>202</v>
      </c>
      <c r="F2808" t="s">
        <v>203</v>
      </c>
      <c r="G2808" t="s">
        <v>261</v>
      </c>
      <c r="I2808">
        <v>61</v>
      </c>
      <c r="J2808">
        <v>610</v>
      </c>
      <c r="K2808">
        <v>10</v>
      </c>
      <c r="M2808" t="s">
        <v>205</v>
      </c>
    </row>
    <row r="2809" spans="1:13" hidden="1">
      <c r="A2809" t="s">
        <v>56</v>
      </c>
      <c r="B2809" t="s">
        <v>57</v>
      </c>
      <c r="C2809" t="s">
        <v>19</v>
      </c>
      <c r="D2809" t="str">
        <f>LEFT(M2809,10)</f>
        <v>12/15/2024</v>
      </c>
      <c r="E2809" t="s">
        <v>202</v>
      </c>
      <c r="F2809" t="s">
        <v>203</v>
      </c>
      <c r="G2809" t="s">
        <v>259</v>
      </c>
      <c r="I2809">
        <v>14.5</v>
      </c>
      <c r="J2809">
        <v>145</v>
      </c>
      <c r="K2809">
        <v>10</v>
      </c>
      <c r="M2809" t="s">
        <v>205</v>
      </c>
    </row>
    <row r="2810" spans="1:13" hidden="1">
      <c r="A2810" t="s">
        <v>56</v>
      </c>
      <c r="B2810" t="s">
        <v>57</v>
      </c>
      <c r="C2810" t="s">
        <v>19</v>
      </c>
      <c r="D2810" t="str">
        <f>LEFT(M2810,10)</f>
        <v>12/15/2024</v>
      </c>
      <c r="E2810" t="s">
        <v>234</v>
      </c>
      <c r="F2810" t="s">
        <v>234</v>
      </c>
      <c r="I2810">
        <v>3084.82</v>
      </c>
      <c r="M2810" t="s">
        <v>205</v>
      </c>
    </row>
    <row r="2811" spans="1:13" hidden="1">
      <c r="A2811" t="s">
        <v>56</v>
      </c>
      <c r="B2811" t="s">
        <v>57</v>
      </c>
      <c r="C2811" t="s">
        <v>19</v>
      </c>
      <c r="D2811" t="str">
        <f>LEFT(M2811,10)</f>
        <v>12/15/2024</v>
      </c>
      <c r="E2811" t="s">
        <v>232</v>
      </c>
      <c r="F2811" t="s">
        <v>262</v>
      </c>
      <c r="I2811">
        <v>0</v>
      </c>
      <c r="J2811">
        <v>5098.12</v>
      </c>
      <c r="M2811" t="s">
        <v>205</v>
      </c>
    </row>
    <row r="2812" spans="1:13" hidden="1">
      <c r="A2812" t="s">
        <v>56</v>
      </c>
      <c r="B2812" t="s">
        <v>57</v>
      </c>
      <c r="C2812" t="s">
        <v>19</v>
      </c>
      <c r="D2812" t="str">
        <f>LEFT(M2812,10)</f>
        <v>12/15/2024</v>
      </c>
      <c r="E2812" t="s">
        <v>232</v>
      </c>
      <c r="F2812" t="s">
        <v>262</v>
      </c>
      <c r="I2812">
        <v>0</v>
      </c>
      <c r="J2812">
        <v>4573.78</v>
      </c>
      <c r="M2812" t="s">
        <v>205</v>
      </c>
    </row>
    <row r="2813" spans="1:13" hidden="1">
      <c r="A2813" t="s">
        <v>56</v>
      </c>
      <c r="B2813" t="s">
        <v>57</v>
      </c>
      <c r="C2813" t="s">
        <v>19</v>
      </c>
      <c r="D2813" t="str">
        <f>LEFT(M2813,10)</f>
        <v>12/15/2024</v>
      </c>
      <c r="E2813" t="s">
        <v>232</v>
      </c>
      <c r="F2813" t="s">
        <v>255</v>
      </c>
      <c r="I2813">
        <v>0</v>
      </c>
      <c r="J2813">
        <v>9096.57</v>
      </c>
      <c r="L2813" t="s">
        <v>466</v>
      </c>
      <c r="M2813" t="s">
        <v>205</v>
      </c>
    </row>
    <row r="2814" spans="1:13" hidden="1">
      <c r="A2814" t="s">
        <v>56</v>
      </c>
      <c r="B2814" t="s">
        <v>57</v>
      </c>
      <c r="C2814" t="s">
        <v>19</v>
      </c>
      <c r="D2814" t="str">
        <f>LEFT(M2814,10)</f>
        <v>12/15/2024</v>
      </c>
      <c r="E2814" t="s">
        <v>232</v>
      </c>
      <c r="F2814" t="s">
        <v>290</v>
      </c>
      <c r="I2814">
        <v>0</v>
      </c>
      <c r="J2814">
        <v>684</v>
      </c>
      <c r="M2814" t="s">
        <v>205</v>
      </c>
    </row>
    <row r="2815" spans="1:13" hidden="1">
      <c r="A2815" t="s">
        <v>56</v>
      </c>
      <c r="B2815" t="s">
        <v>57</v>
      </c>
      <c r="C2815" t="s">
        <v>19</v>
      </c>
      <c r="D2815" t="str">
        <f>LEFT(M2815,10)</f>
        <v>12/15/2024</v>
      </c>
      <c r="E2815" t="s">
        <v>232</v>
      </c>
      <c r="F2815" t="s">
        <v>291</v>
      </c>
      <c r="I2815">
        <v>0</v>
      </c>
      <c r="J2815">
        <v>290.77999999999997</v>
      </c>
      <c r="M2815" t="s">
        <v>205</v>
      </c>
    </row>
    <row r="2816" spans="1:13" hidden="1">
      <c r="A2816" t="s">
        <v>56</v>
      </c>
      <c r="B2816" t="s">
        <v>57</v>
      </c>
      <c r="C2816" t="s">
        <v>19</v>
      </c>
      <c r="D2816" t="str">
        <f>LEFT(M2816,10)</f>
        <v>12/15/2024</v>
      </c>
      <c r="E2816" t="s">
        <v>232</v>
      </c>
      <c r="F2816" t="s">
        <v>255</v>
      </c>
      <c r="I2816">
        <v>0</v>
      </c>
      <c r="J2816">
        <v>765</v>
      </c>
      <c r="L2816" t="s">
        <v>264</v>
      </c>
      <c r="M2816" t="s">
        <v>205</v>
      </c>
    </row>
    <row r="2817" spans="1:13" hidden="1">
      <c r="A2817" t="s">
        <v>56</v>
      </c>
      <c r="B2817" t="s">
        <v>57</v>
      </c>
      <c r="C2817" t="s">
        <v>19</v>
      </c>
      <c r="D2817" t="str">
        <f>LEFT(M2817,10)</f>
        <v>12/15/2024</v>
      </c>
      <c r="E2817" t="s">
        <v>232</v>
      </c>
      <c r="F2817" t="s">
        <v>255</v>
      </c>
      <c r="I2817">
        <v>0</v>
      </c>
      <c r="J2817">
        <v>2193.4</v>
      </c>
      <c r="L2817" t="s">
        <v>467</v>
      </c>
      <c r="M2817" t="s">
        <v>205</v>
      </c>
    </row>
    <row r="2818" spans="1:13" hidden="1">
      <c r="A2818" t="s">
        <v>56</v>
      </c>
      <c r="B2818" t="s">
        <v>57</v>
      </c>
      <c r="C2818" t="s">
        <v>19</v>
      </c>
      <c r="D2818" t="str">
        <f>LEFT(M2818,10)</f>
        <v>12/15/2024</v>
      </c>
      <c r="E2818" t="s">
        <v>230</v>
      </c>
      <c r="F2818" t="s">
        <v>248</v>
      </c>
      <c r="I2818">
        <v>0</v>
      </c>
      <c r="J2818">
        <v>26614.29</v>
      </c>
      <c r="M2818" t="s">
        <v>205</v>
      </c>
    </row>
    <row r="2819" spans="1:13" hidden="1">
      <c r="A2819" t="s">
        <v>88</v>
      </c>
      <c r="B2819" t="s">
        <v>8</v>
      </c>
      <c r="C2819" t="s">
        <v>87</v>
      </c>
      <c r="D2819" t="str">
        <f>LEFT(M2819,10)</f>
        <v>12/15/2024</v>
      </c>
      <c r="E2819" t="s">
        <v>230</v>
      </c>
      <c r="F2819" t="s">
        <v>468</v>
      </c>
      <c r="I2819">
        <v>0</v>
      </c>
      <c r="J2819">
        <v>3045.87</v>
      </c>
      <c r="M2819" t="s">
        <v>205</v>
      </c>
    </row>
    <row r="2820" spans="1:13" hidden="1">
      <c r="A2820" t="s">
        <v>88</v>
      </c>
      <c r="B2820" t="s">
        <v>8</v>
      </c>
      <c r="C2820" t="s">
        <v>87</v>
      </c>
      <c r="D2820" t="str">
        <f>LEFT(M2820,10)</f>
        <v>12/15/2024</v>
      </c>
      <c r="E2820" t="s">
        <v>230</v>
      </c>
      <c r="F2820" t="s">
        <v>468</v>
      </c>
      <c r="I2820">
        <v>0</v>
      </c>
      <c r="J2820">
        <v>26625</v>
      </c>
      <c r="M2820" t="s">
        <v>205</v>
      </c>
    </row>
    <row r="2821" spans="1:13" hidden="1">
      <c r="A2821" t="s">
        <v>88</v>
      </c>
      <c r="B2821" t="s">
        <v>8</v>
      </c>
      <c r="C2821" t="s">
        <v>87</v>
      </c>
      <c r="D2821" t="str">
        <f>LEFT(M2821,10)</f>
        <v>12/15/2024</v>
      </c>
      <c r="E2821" t="s">
        <v>234</v>
      </c>
      <c r="F2821" t="s">
        <v>234</v>
      </c>
      <c r="I2821">
        <v>1030</v>
      </c>
      <c r="M2821" t="s">
        <v>205</v>
      </c>
    </row>
    <row r="2822" spans="1:13" hidden="1">
      <c r="A2822" t="s">
        <v>88</v>
      </c>
      <c r="B2822" t="s">
        <v>8</v>
      </c>
      <c r="C2822" t="s">
        <v>87</v>
      </c>
      <c r="D2822" t="str">
        <f>LEFT(M2822,10)</f>
        <v>12/15/2024</v>
      </c>
      <c r="E2822" t="s">
        <v>232</v>
      </c>
      <c r="F2822" t="s">
        <v>255</v>
      </c>
      <c r="I2822">
        <v>0</v>
      </c>
      <c r="J2822">
        <v>740</v>
      </c>
      <c r="L2822" t="s">
        <v>469</v>
      </c>
      <c r="M2822" t="s">
        <v>205</v>
      </c>
    </row>
    <row r="2823" spans="1:13" hidden="1">
      <c r="A2823" t="s">
        <v>88</v>
      </c>
      <c r="B2823" t="s">
        <v>8</v>
      </c>
      <c r="C2823" t="s">
        <v>87</v>
      </c>
      <c r="D2823" t="str">
        <f>LEFT(M2823,10)</f>
        <v>12/15/2024</v>
      </c>
      <c r="E2823" t="s">
        <v>232</v>
      </c>
      <c r="F2823" t="s">
        <v>287</v>
      </c>
      <c r="I2823">
        <v>0</v>
      </c>
      <c r="J2823">
        <v>297</v>
      </c>
      <c r="M2823" t="s">
        <v>205</v>
      </c>
    </row>
    <row r="2824" spans="1:13" hidden="1">
      <c r="A2824" t="s">
        <v>88</v>
      </c>
      <c r="B2824" t="s">
        <v>8</v>
      </c>
      <c r="C2824" t="s">
        <v>87</v>
      </c>
      <c r="D2824" t="str">
        <f>LEFT(M2824,10)</f>
        <v>12/15/2024</v>
      </c>
      <c r="E2824" t="s">
        <v>232</v>
      </c>
      <c r="F2824" t="s">
        <v>286</v>
      </c>
      <c r="I2824">
        <v>0</v>
      </c>
      <c r="J2824">
        <v>804.4</v>
      </c>
      <c r="M2824" t="s">
        <v>205</v>
      </c>
    </row>
    <row r="2825" spans="1:13" hidden="1">
      <c r="A2825" t="s">
        <v>88</v>
      </c>
      <c r="B2825" t="s">
        <v>8</v>
      </c>
      <c r="C2825" t="s">
        <v>87</v>
      </c>
      <c r="D2825" t="str">
        <f>LEFT(M2825,10)</f>
        <v>12/15/2024</v>
      </c>
      <c r="E2825" t="s">
        <v>202</v>
      </c>
      <c r="F2825" t="s">
        <v>203</v>
      </c>
      <c r="G2825" t="s">
        <v>204</v>
      </c>
      <c r="I2825">
        <v>168.4</v>
      </c>
      <c r="J2825">
        <v>1212.48</v>
      </c>
      <c r="K2825">
        <v>7.2</v>
      </c>
      <c r="M2825" t="s">
        <v>205</v>
      </c>
    </row>
    <row r="2826" spans="1:13" hidden="1">
      <c r="A2826" t="s">
        <v>88</v>
      </c>
      <c r="B2826" t="s">
        <v>8</v>
      </c>
      <c r="C2826" t="s">
        <v>87</v>
      </c>
      <c r="D2826" t="str">
        <f>LEFT(M2826,10)</f>
        <v>12/15/2024</v>
      </c>
      <c r="E2826" t="s">
        <v>202</v>
      </c>
      <c r="F2826" t="s">
        <v>203</v>
      </c>
      <c r="G2826" t="s">
        <v>261</v>
      </c>
      <c r="I2826">
        <v>10.6</v>
      </c>
      <c r="J2826">
        <v>371</v>
      </c>
      <c r="K2826">
        <v>35</v>
      </c>
      <c r="M2826" t="s">
        <v>205</v>
      </c>
    </row>
    <row r="2827" spans="1:13" hidden="1">
      <c r="A2827" t="s">
        <v>88</v>
      </c>
      <c r="B2827" t="s">
        <v>8</v>
      </c>
      <c r="C2827" t="s">
        <v>87</v>
      </c>
      <c r="D2827" t="str">
        <f>LEFT(M2827,10)</f>
        <v>12/15/2024</v>
      </c>
      <c r="E2827" t="s">
        <v>202</v>
      </c>
      <c r="F2827" t="s">
        <v>203</v>
      </c>
      <c r="G2827" t="s">
        <v>207</v>
      </c>
      <c r="I2827">
        <v>30</v>
      </c>
      <c r="J2827">
        <v>120</v>
      </c>
      <c r="K2827">
        <v>4</v>
      </c>
      <c r="M2827" t="s">
        <v>205</v>
      </c>
    </row>
    <row r="2828" spans="1:13" hidden="1">
      <c r="A2828" t="s">
        <v>88</v>
      </c>
      <c r="B2828" t="s">
        <v>8</v>
      </c>
      <c r="C2828" t="s">
        <v>87</v>
      </c>
      <c r="D2828" t="str">
        <f>LEFT(M2828,10)</f>
        <v>12/15/2024</v>
      </c>
      <c r="E2828" t="s">
        <v>202</v>
      </c>
      <c r="F2828" t="s">
        <v>203</v>
      </c>
      <c r="G2828" t="s">
        <v>208</v>
      </c>
      <c r="I2828">
        <v>54.3</v>
      </c>
      <c r="J2828">
        <v>488.7</v>
      </c>
      <c r="K2828">
        <v>9</v>
      </c>
      <c r="M2828" t="s">
        <v>205</v>
      </c>
    </row>
    <row r="2829" spans="1:13" hidden="1">
      <c r="A2829" t="s">
        <v>88</v>
      </c>
      <c r="B2829" t="s">
        <v>8</v>
      </c>
      <c r="C2829" t="s">
        <v>87</v>
      </c>
      <c r="D2829" t="str">
        <f>LEFT(M2829,10)</f>
        <v>12/15/2024</v>
      </c>
      <c r="E2829" t="s">
        <v>202</v>
      </c>
      <c r="F2829" t="s">
        <v>227</v>
      </c>
      <c r="G2829" t="s">
        <v>228</v>
      </c>
      <c r="I2829">
        <v>632.79999999999995</v>
      </c>
      <c r="J2829">
        <v>189.84</v>
      </c>
      <c r="K2829">
        <v>0.3</v>
      </c>
      <c r="M2829" t="s">
        <v>205</v>
      </c>
    </row>
    <row r="2830" spans="1:13" hidden="1">
      <c r="A2830" t="s">
        <v>88</v>
      </c>
      <c r="B2830" t="s">
        <v>8</v>
      </c>
      <c r="C2830" t="s">
        <v>87</v>
      </c>
      <c r="D2830" t="str">
        <f>LEFT(M2830,10)</f>
        <v>12/15/2024</v>
      </c>
      <c r="E2830" t="s">
        <v>202</v>
      </c>
      <c r="F2830" t="s">
        <v>227</v>
      </c>
      <c r="G2830" t="s">
        <v>229</v>
      </c>
      <c r="I2830">
        <v>2918</v>
      </c>
      <c r="J2830">
        <v>1750.8</v>
      </c>
      <c r="K2830">
        <v>0.6</v>
      </c>
      <c r="M2830" t="s">
        <v>205</v>
      </c>
    </row>
    <row r="2831" spans="1:13" hidden="1">
      <c r="A2831" t="s">
        <v>88</v>
      </c>
      <c r="B2831" t="s">
        <v>8</v>
      </c>
      <c r="C2831" t="s">
        <v>87</v>
      </c>
      <c r="D2831" t="str">
        <f>LEFT(M2831,10)</f>
        <v>12/15/2024</v>
      </c>
      <c r="E2831" t="s">
        <v>202</v>
      </c>
      <c r="F2831" t="s">
        <v>218</v>
      </c>
      <c r="G2831" t="s">
        <v>221</v>
      </c>
      <c r="I2831">
        <v>186</v>
      </c>
      <c r="J2831">
        <v>465</v>
      </c>
      <c r="K2831">
        <v>2.5</v>
      </c>
      <c r="M2831" t="s">
        <v>205</v>
      </c>
    </row>
    <row r="2832" spans="1:13" hidden="1">
      <c r="A2832" t="s">
        <v>88</v>
      </c>
      <c r="B2832" t="s">
        <v>8</v>
      </c>
      <c r="C2832" t="s">
        <v>87</v>
      </c>
      <c r="D2832" t="str">
        <f>LEFT(M2832,10)</f>
        <v>12/15/2024</v>
      </c>
      <c r="E2832" t="s">
        <v>202</v>
      </c>
      <c r="F2832" t="s">
        <v>218</v>
      </c>
      <c r="G2832" t="s">
        <v>240</v>
      </c>
      <c r="I2832">
        <v>180</v>
      </c>
      <c r="J2832">
        <v>612</v>
      </c>
      <c r="K2832">
        <v>3.4</v>
      </c>
      <c r="M2832" t="s">
        <v>205</v>
      </c>
    </row>
    <row r="2833" spans="1:13" hidden="1">
      <c r="A2833" t="s">
        <v>88</v>
      </c>
      <c r="B2833" t="s">
        <v>8</v>
      </c>
      <c r="C2833" t="s">
        <v>87</v>
      </c>
      <c r="D2833" t="str">
        <f>LEFT(M2833,10)</f>
        <v>12/15/2024</v>
      </c>
      <c r="E2833" t="s">
        <v>202</v>
      </c>
      <c r="F2833" t="s">
        <v>218</v>
      </c>
      <c r="G2833" t="s">
        <v>219</v>
      </c>
      <c r="I2833">
        <v>71</v>
      </c>
      <c r="J2833">
        <v>3.55</v>
      </c>
      <c r="K2833">
        <v>0.05</v>
      </c>
      <c r="M2833" t="s">
        <v>205</v>
      </c>
    </row>
    <row r="2834" spans="1:13" hidden="1">
      <c r="A2834" t="s">
        <v>88</v>
      </c>
      <c r="B2834" t="s">
        <v>8</v>
      </c>
      <c r="C2834" t="s">
        <v>87</v>
      </c>
      <c r="D2834" t="str">
        <f>LEFT(M2834,10)</f>
        <v>12/15/2024</v>
      </c>
      <c r="E2834" t="s">
        <v>202</v>
      </c>
      <c r="F2834" t="s">
        <v>218</v>
      </c>
      <c r="G2834" t="s">
        <v>242</v>
      </c>
      <c r="I2834">
        <v>70</v>
      </c>
      <c r="J2834">
        <v>63</v>
      </c>
      <c r="K2834">
        <v>0.9</v>
      </c>
      <c r="M2834" t="s">
        <v>205</v>
      </c>
    </row>
    <row r="2835" spans="1:13" hidden="1">
      <c r="A2835" t="s">
        <v>88</v>
      </c>
      <c r="B2835" t="s">
        <v>8</v>
      </c>
      <c r="C2835" t="s">
        <v>87</v>
      </c>
      <c r="D2835" t="str">
        <f>LEFT(M2835,10)</f>
        <v>12/15/2024</v>
      </c>
      <c r="E2835" t="s">
        <v>202</v>
      </c>
      <c r="F2835" t="s">
        <v>218</v>
      </c>
      <c r="G2835" t="s">
        <v>241</v>
      </c>
      <c r="I2835">
        <v>48</v>
      </c>
      <c r="J2835">
        <v>163.19999999999999</v>
      </c>
      <c r="K2835">
        <v>3.4</v>
      </c>
      <c r="M2835" t="s">
        <v>205</v>
      </c>
    </row>
    <row r="2836" spans="1:13" hidden="1">
      <c r="A2836" t="s">
        <v>88</v>
      </c>
      <c r="B2836" t="s">
        <v>8</v>
      </c>
      <c r="C2836" t="s">
        <v>87</v>
      </c>
      <c r="D2836" t="str">
        <f>LEFT(M2836,10)</f>
        <v>12/15/2024</v>
      </c>
      <c r="E2836" t="s">
        <v>202</v>
      </c>
      <c r="F2836" t="s">
        <v>218</v>
      </c>
      <c r="G2836" t="s">
        <v>220</v>
      </c>
      <c r="I2836">
        <v>193</v>
      </c>
      <c r="J2836">
        <v>270.2</v>
      </c>
      <c r="K2836">
        <v>1.4</v>
      </c>
      <c r="M2836" t="s">
        <v>205</v>
      </c>
    </row>
    <row r="2837" spans="1:13" hidden="1">
      <c r="A2837" t="s">
        <v>88</v>
      </c>
      <c r="B2837" t="s">
        <v>8</v>
      </c>
      <c r="C2837" t="s">
        <v>87</v>
      </c>
      <c r="D2837" t="str">
        <f>LEFT(M2837,10)</f>
        <v>12/15/2024</v>
      </c>
      <c r="E2837" t="s">
        <v>202</v>
      </c>
      <c r="F2837" t="s">
        <v>218</v>
      </c>
      <c r="G2837" t="s">
        <v>226</v>
      </c>
      <c r="I2837">
        <v>692</v>
      </c>
      <c r="J2837">
        <v>207.6</v>
      </c>
      <c r="K2837">
        <v>0.3</v>
      </c>
      <c r="M2837" t="s">
        <v>205</v>
      </c>
    </row>
    <row r="2838" spans="1:13" hidden="1">
      <c r="A2838" t="s">
        <v>88</v>
      </c>
      <c r="B2838" t="s">
        <v>8</v>
      </c>
      <c r="C2838" t="s">
        <v>87</v>
      </c>
      <c r="D2838" t="str">
        <f>LEFT(M2838,10)</f>
        <v>12/15/2024</v>
      </c>
      <c r="E2838" t="s">
        <v>202</v>
      </c>
      <c r="F2838" t="s">
        <v>218</v>
      </c>
      <c r="G2838" t="s">
        <v>223</v>
      </c>
      <c r="I2838">
        <v>349</v>
      </c>
      <c r="J2838">
        <v>279.2</v>
      </c>
      <c r="K2838">
        <v>0.8</v>
      </c>
      <c r="M2838" t="s">
        <v>205</v>
      </c>
    </row>
    <row r="2839" spans="1:13" hidden="1">
      <c r="A2839" t="s">
        <v>88</v>
      </c>
      <c r="B2839" t="s">
        <v>8</v>
      </c>
      <c r="C2839" t="s">
        <v>87</v>
      </c>
      <c r="D2839" t="str">
        <f>LEFT(M2839,10)</f>
        <v>12/15/2024</v>
      </c>
      <c r="E2839" t="s">
        <v>202</v>
      </c>
      <c r="F2839" t="s">
        <v>218</v>
      </c>
      <c r="G2839" t="s">
        <v>224</v>
      </c>
      <c r="I2839">
        <v>161.6</v>
      </c>
      <c r="J2839">
        <v>145.44</v>
      </c>
      <c r="K2839">
        <v>0.9</v>
      </c>
      <c r="M2839" t="s">
        <v>205</v>
      </c>
    </row>
    <row r="2840" spans="1:13" hidden="1">
      <c r="A2840" t="s">
        <v>88</v>
      </c>
      <c r="B2840" t="s">
        <v>8</v>
      </c>
      <c r="C2840" t="s">
        <v>87</v>
      </c>
      <c r="D2840" t="str">
        <f>LEFT(M2840,10)</f>
        <v>12/15/2024</v>
      </c>
      <c r="E2840" t="s">
        <v>202</v>
      </c>
      <c r="F2840" t="s">
        <v>218</v>
      </c>
      <c r="G2840" t="s">
        <v>222</v>
      </c>
      <c r="I2840">
        <v>80.599999999999994</v>
      </c>
      <c r="J2840">
        <v>96.72</v>
      </c>
      <c r="K2840">
        <v>1.2</v>
      </c>
      <c r="M2840" t="s">
        <v>205</v>
      </c>
    </row>
    <row r="2841" spans="1:13" hidden="1">
      <c r="A2841" t="s">
        <v>88</v>
      </c>
      <c r="B2841" t="s">
        <v>8</v>
      </c>
      <c r="C2841" t="s">
        <v>87</v>
      </c>
      <c r="D2841" t="str">
        <f>LEFT(M2841,10)</f>
        <v>12/15/2024</v>
      </c>
      <c r="E2841" t="s">
        <v>202</v>
      </c>
      <c r="F2841" t="s">
        <v>218</v>
      </c>
      <c r="G2841" t="s">
        <v>222</v>
      </c>
      <c r="I2841">
        <v>239.2</v>
      </c>
      <c r="J2841">
        <v>239.2</v>
      </c>
      <c r="K2841">
        <v>1</v>
      </c>
      <c r="M2841" t="s">
        <v>205</v>
      </c>
    </row>
    <row r="2842" spans="1:13" hidden="1">
      <c r="A2842" t="s">
        <v>88</v>
      </c>
      <c r="B2842" t="s">
        <v>8</v>
      </c>
      <c r="C2842" t="s">
        <v>87</v>
      </c>
      <c r="D2842" t="str">
        <f>LEFT(M2842,10)</f>
        <v>12/15/2024</v>
      </c>
      <c r="E2842" t="s">
        <v>202</v>
      </c>
      <c r="F2842" t="s">
        <v>216</v>
      </c>
      <c r="G2842" t="s">
        <v>253</v>
      </c>
      <c r="I2842">
        <v>1942</v>
      </c>
      <c r="J2842">
        <v>291.3</v>
      </c>
      <c r="K2842">
        <v>0.15</v>
      </c>
      <c r="M2842" t="s">
        <v>205</v>
      </c>
    </row>
    <row r="2843" spans="1:13" hidden="1">
      <c r="A2843" t="s">
        <v>88</v>
      </c>
      <c r="B2843" t="s">
        <v>8</v>
      </c>
      <c r="C2843" t="s">
        <v>87</v>
      </c>
      <c r="D2843" t="str">
        <f>LEFT(M2843,10)</f>
        <v>12/15/2024</v>
      </c>
      <c r="E2843" t="s">
        <v>202</v>
      </c>
      <c r="F2843" t="s">
        <v>227</v>
      </c>
      <c r="G2843" t="s">
        <v>252</v>
      </c>
      <c r="I2843">
        <v>86</v>
      </c>
      <c r="J2843">
        <v>17.2</v>
      </c>
      <c r="K2843">
        <v>0.2</v>
      </c>
      <c r="M2843" t="s">
        <v>205</v>
      </c>
    </row>
    <row r="2844" spans="1:13" hidden="1">
      <c r="A2844" t="s">
        <v>88</v>
      </c>
      <c r="B2844" t="s">
        <v>8</v>
      </c>
      <c r="C2844" t="s">
        <v>87</v>
      </c>
      <c r="D2844" t="str">
        <f>LEFT(M2844,10)</f>
        <v>12/15/2024</v>
      </c>
      <c r="E2844" t="s">
        <v>202</v>
      </c>
      <c r="F2844" t="s">
        <v>203</v>
      </c>
      <c r="G2844" t="s">
        <v>236</v>
      </c>
      <c r="I2844">
        <v>590</v>
      </c>
      <c r="J2844">
        <v>413</v>
      </c>
      <c r="K2844">
        <v>0.7</v>
      </c>
      <c r="M2844" t="s">
        <v>205</v>
      </c>
    </row>
    <row r="2845" spans="1:13" hidden="1">
      <c r="A2845" t="s">
        <v>45</v>
      </c>
      <c r="B2845" t="s">
        <v>8</v>
      </c>
      <c r="C2845" t="s">
        <v>44</v>
      </c>
      <c r="D2845" t="str">
        <f>LEFT(M2845,10)</f>
        <v>12/15/2024</v>
      </c>
      <c r="E2845" t="s">
        <v>202</v>
      </c>
      <c r="F2845" t="s">
        <v>218</v>
      </c>
      <c r="G2845" t="s">
        <v>240</v>
      </c>
      <c r="I2845">
        <v>3294</v>
      </c>
      <c r="J2845">
        <v>15811.2</v>
      </c>
      <c r="K2845">
        <v>4.8</v>
      </c>
      <c r="M2845" t="s">
        <v>205</v>
      </c>
    </row>
    <row r="2846" spans="1:13" hidden="1">
      <c r="A2846" t="s">
        <v>45</v>
      </c>
      <c r="B2846" t="s">
        <v>8</v>
      </c>
      <c r="C2846" t="s">
        <v>44</v>
      </c>
      <c r="D2846" t="str">
        <f>LEFT(M2846,10)</f>
        <v>12/15/2024</v>
      </c>
      <c r="E2846" t="s">
        <v>202</v>
      </c>
      <c r="F2846" t="s">
        <v>218</v>
      </c>
      <c r="G2846" t="s">
        <v>241</v>
      </c>
      <c r="I2846">
        <v>512</v>
      </c>
      <c r="J2846">
        <v>2406.4</v>
      </c>
      <c r="K2846">
        <v>4.7</v>
      </c>
      <c r="M2846" t="s">
        <v>205</v>
      </c>
    </row>
    <row r="2847" spans="1:13" hidden="1">
      <c r="A2847" t="s">
        <v>45</v>
      </c>
      <c r="B2847" t="s">
        <v>8</v>
      </c>
      <c r="C2847" t="s">
        <v>44</v>
      </c>
      <c r="D2847" t="str">
        <f>LEFT(M2847,10)</f>
        <v>12/15/2024</v>
      </c>
      <c r="E2847" t="s">
        <v>202</v>
      </c>
      <c r="F2847" t="s">
        <v>218</v>
      </c>
      <c r="G2847" t="s">
        <v>242</v>
      </c>
      <c r="I2847">
        <v>100</v>
      </c>
      <c r="J2847">
        <v>200</v>
      </c>
      <c r="K2847">
        <v>2</v>
      </c>
      <c r="M2847" t="s">
        <v>205</v>
      </c>
    </row>
    <row r="2848" spans="1:13" hidden="1">
      <c r="A2848" t="s">
        <v>45</v>
      </c>
      <c r="B2848" t="s">
        <v>8</v>
      </c>
      <c r="C2848" t="s">
        <v>44</v>
      </c>
      <c r="D2848" t="str">
        <f>LEFT(M2848,10)</f>
        <v>12/15/2024</v>
      </c>
      <c r="E2848" t="s">
        <v>202</v>
      </c>
      <c r="F2848" t="s">
        <v>218</v>
      </c>
      <c r="G2848" t="s">
        <v>224</v>
      </c>
      <c r="I2848">
        <v>667</v>
      </c>
      <c r="J2848">
        <v>667</v>
      </c>
      <c r="K2848">
        <v>1</v>
      </c>
      <c r="M2848" t="s">
        <v>205</v>
      </c>
    </row>
    <row r="2849" spans="1:13" hidden="1">
      <c r="A2849" t="s">
        <v>45</v>
      </c>
      <c r="B2849" t="s">
        <v>8</v>
      </c>
      <c r="C2849" t="s">
        <v>44</v>
      </c>
      <c r="D2849" t="str">
        <f>LEFT(M2849,10)</f>
        <v>12/15/2024</v>
      </c>
      <c r="E2849" t="s">
        <v>202</v>
      </c>
      <c r="F2849" t="s">
        <v>218</v>
      </c>
      <c r="G2849" t="s">
        <v>222</v>
      </c>
      <c r="I2849">
        <v>2315</v>
      </c>
      <c r="J2849">
        <v>3588.25</v>
      </c>
      <c r="K2849">
        <v>1.55</v>
      </c>
      <c r="M2849" t="s">
        <v>205</v>
      </c>
    </row>
    <row r="2850" spans="1:13" hidden="1">
      <c r="A2850" t="s">
        <v>45</v>
      </c>
      <c r="B2850" t="s">
        <v>8</v>
      </c>
      <c r="C2850" t="s">
        <v>44</v>
      </c>
      <c r="D2850" t="str">
        <f>LEFT(M2850,10)</f>
        <v>12/15/2024</v>
      </c>
      <c r="E2850" t="s">
        <v>202</v>
      </c>
      <c r="F2850" t="s">
        <v>218</v>
      </c>
      <c r="G2850" t="s">
        <v>222</v>
      </c>
      <c r="I2850">
        <v>1277</v>
      </c>
      <c r="J2850">
        <v>2426.3000000000002</v>
      </c>
      <c r="K2850">
        <v>1.9</v>
      </c>
      <c r="M2850" t="s">
        <v>205</v>
      </c>
    </row>
    <row r="2851" spans="1:13" hidden="1">
      <c r="A2851" t="s">
        <v>45</v>
      </c>
      <c r="B2851" t="s">
        <v>8</v>
      </c>
      <c r="C2851" t="s">
        <v>44</v>
      </c>
      <c r="D2851" t="str">
        <f>LEFT(M2851,10)</f>
        <v>12/15/2024</v>
      </c>
      <c r="E2851" t="s">
        <v>202</v>
      </c>
      <c r="F2851" t="s">
        <v>218</v>
      </c>
      <c r="G2851" t="s">
        <v>245</v>
      </c>
      <c r="I2851">
        <v>119</v>
      </c>
      <c r="J2851">
        <v>5.95</v>
      </c>
      <c r="K2851">
        <v>0.05</v>
      </c>
      <c r="M2851" t="s">
        <v>205</v>
      </c>
    </row>
    <row r="2852" spans="1:13" hidden="1">
      <c r="A2852" t="s">
        <v>45</v>
      </c>
      <c r="B2852" t="s">
        <v>8</v>
      </c>
      <c r="C2852" t="s">
        <v>44</v>
      </c>
      <c r="D2852" t="str">
        <f>LEFT(M2852,10)</f>
        <v>12/15/2024</v>
      </c>
      <c r="E2852" t="s">
        <v>202</v>
      </c>
      <c r="F2852" t="s">
        <v>218</v>
      </c>
      <c r="G2852" t="s">
        <v>225</v>
      </c>
      <c r="I2852">
        <v>197</v>
      </c>
      <c r="J2852">
        <v>216.7</v>
      </c>
      <c r="K2852">
        <v>1.1000000000000001</v>
      </c>
      <c r="M2852" t="s">
        <v>205</v>
      </c>
    </row>
    <row r="2853" spans="1:13" hidden="1">
      <c r="A2853" t="s">
        <v>45</v>
      </c>
      <c r="B2853" t="s">
        <v>8</v>
      </c>
      <c r="C2853" t="s">
        <v>44</v>
      </c>
      <c r="D2853" t="str">
        <f>LEFT(M2853,10)</f>
        <v>12/15/2024</v>
      </c>
      <c r="E2853" t="s">
        <v>202</v>
      </c>
      <c r="F2853" t="s">
        <v>218</v>
      </c>
      <c r="G2853" t="s">
        <v>220</v>
      </c>
      <c r="I2853">
        <v>2220</v>
      </c>
      <c r="J2853">
        <v>3108</v>
      </c>
      <c r="K2853">
        <v>1.4</v>
      </c>
      <c r="M2853" t="s">
        <v>205</v>
      </c>
    </row>
    <row r="2854" spans="1:13" hidden="1">
      <c r="A2854" t="s">
        <v>45</v>
      </c>
      <c r="B2854" t="s">
        <v>8</v>
      </c>
      <c r="C2854" t="s">
        <v>44</v>
      </c>
      <c r="D2854" t="str">
        <f>LEFT(M2854,10)</f>
        <v>12/15/2024</v>
      </c>
      <c r="E2854" t="s">
        <v>202</v>
      </c>
      <c r="F2854" t="s">
        <v>218</v>
      </c>
      <c r="G2854" t="s">
        <v>221</v>
      </c>
      <c r="I2854">
        <v>1994</v>
      </c>
      <c r="J2854">
        <v>4885.3</v>
      </c>
      <c r="K2854">
        <v>2.4500000000000002</v>
      </c>
      <c r="M2854" t="s">
        <v>205</v>
      </c>
    </row>
    <row r="2855" spans="1:13" hidden="1">
      <c r="A2855" t="s">
        <v>45</v>
      </c>
      <c r="B2855" t="s">
        <v>8</v>
      </c>
      <c r="C2855" t="s">
        <v>44</v>
      </c>
      <c r="D2855" t="str">
        <f>LEFT(M2855,10)</f>
        <v>12/15/2024</v>
      </c>
      <c r="E2855" t="s">
        <v>202</v>
      </c>
      <c r="F2855" t="s">
        <v>218</v>
      </c>
      <c r="G2855" t="s">
        <v>223</v>
      </c>
      <c r="I2855">
        <v>2632</v>
      </c>
      <c r="J2855">
        <v>2105.6</v>
      </c>
      <c r="K2855">
        <v>0.8</v>
      </c>
      <c r="M2855" t="s">
        <v>205</v>
      </c>
    </row>
    <row r="2856" spans="1:13" hidden="1">
      <c r="A2856" t="s">
        <v>45</v>
      </c>
      <c r="B2856" t="s">
        <v>8</v>
      </c>
      <c r="C2856" t="s">
        <v>44</v>
      </c>
      <c r="D2856" t="str">
        <f>LEFT(M2856,10)</f>
        <v>12/15/2024</v>
      </c>
      <c r="E2856" t="s">
        <v>202</v>
      </c>
      <c r="F2856" t="s">
        <v>218</v>
      </c>
      <c r="G2856" t="s">
        <v>223</v>
      </c>
      <c r="I2856">
        <v>1028</v>
      </c>
      <c r="J2856">
        <v>719.6</v>
      </c>
      <c r="K2856">
        <v>0.7</v>
      </c>
      <c r="M2856" t="s">
        <v>205</v>
      </c>
    </row>
    <row r="2857" spans="1:13" hidden="1">
      <c r="A2857" t="s">
        <v>45</v>
      </c>
      <c r="B2857" t="s">
        <v>8</v>
      </c>
      <c r="C2857" t="s">
        <v>44</v>
      </c>
      <c r="D2857" t="str">
        <f>LEFT(M2857,10)</f>
        <v>12/15/2024</v>
      </c>
      <c r="E2857" t="s">
        <v>202</v>
      </c>
      <c r="F2857" t="s">
        <v>218</v>
      </c>
      <c r="G2857" t="s">
        <v>226</v>
      </c>
      <c r="I2857">
        <v>542</v>
      </c>
      <c r="J2857">
        <v>216.8</v>
      </c>
      <c r="K2857">
        <v>0.4</v>
      </c>
      <c r="M2857" t="s">
        <v>205</v>
      </c>
    </row>
    <row r="2858" spans="1:13" hidden="1">
      <c r="A2858" t="s">
        <v>45</v>
      </c>
      <c r="B2858" t="s">
        <v>8</v>
      </c>
      <c r="C2858" t="s">
        <v>44</v>
      </c>
      <c r="D2858" t="str">
        <f>LEFT(M2858,10)</f>
        <v>12/15/2024</v>
      </c>
      <c r="E2858" t="s">
        <v>202</v>
      </c>
      <c r="F2858" t="s">
        <v>218</v>
      </c>
      <c r="G2858" t="s">
        <v>247</v>
      </c>
      <c r="I2858">
        <v>96</v>
      </c>
      <c r="J2858">
        <v>384</v>
      </c>
      <c r="K2858">
        <v>4</v>
      </c>
      <c r="M2858" t="s">
        <v>205</v>
      </c>
    </row>
    <row r="2859" spans="1:13" hidden="1">
      <c r="A2859" t="s">
        <v>45</v>
      </c>
      <c r="B2859" t="s">
        <v>8</v>
      </c>
      <c r="C2859" t="s">
        <v>44</v>
      </c>
      <c r="D2859" t="str">
        <f>LEFT(M2859,10)</f>
        <v>12/15/2024</v>
      </c>
      <c r="E2859" t="s">
        <v>202</v>
      </c>
      <c r="F2859" t="s">
        <v>218</v>
      </c>
      <c r="G2859" t="s">
        <v>239</v>
      </c>
      <c r="I2859">
        <v>272</v>
      </c>
      <c r="J2859">
        <v>54.4</v>
      </c>
      <c r="K2859">
        <v>0.2</v>
      </c>
      <c r="M2859" t="s">
        <v>205</v>
      </c>
    </row>
    <row r="2860" spans="1:13" hidden="1">
      <c r="A2860" t="s">
        <v>45</v>
      </c>
      <c r="B2860" t="s">
        <v>8</v>
      </c>
      <c r="C2860" t="s">
        <v>44</v>
      </c>
      <c r="D2860" t="str">
        <f>LEFT(M2860,10)</f>
        <v>12/15/2024</v>
      </c>
      <c r="E2860" t="s">
        <v>202</v>
      </c>
      <c r="F2860" t="s">
        <v>218</v>
      </c>
      <c r="G2860" t="s">
        <v>243</v>
      </c>
      <c r="H2860" t="s">
        <v>470</v>
      </c>
      <c r="I2860">
        <v>240</v>
      </c>
      <c r="J2860">
        <v>372</v>
      </c>
      <c r="K2860">
        <v>1.55</v>
      </c>
      <c r="M2860" t="s">
        <v>205</v>
      </c>
    </row>
    <row r="2861" spans="1:13" hidden="1">
      <c r="A2861" t="s">
        <v>45</v>
      </c>
      <c r="B2861" t="s">
        <v>8</v>
      </c>
      <c r="C2861" t="s">
        <v>44</v>
      </c>
      <c r="D2861" t="str">
        <f>LEFT(M2861,10)</f>
        <v>12/15/2024</v>
      </c>
      <c r="E2861" t="s">
        <v>202</v>
      </c>
      <c r="F2861" t="s">
        <v>227</v>
      </c>
      <c r="G2861" t="s">
        <v>229</v>
      </c>
      <c r="I2861">
        <v>21351</v>
      </c>
      <c r="J2861">
        <v>16013.25</v>
      </c>
      <c r="K2861">
        <v>0.75</v>
      </c>
      <c r="M2861" t="s">
        <v>205</v>
      </c>
    </row>
    <row r="2862" spans="1:13" hidden="1">
      <c r="A2862" t="s">
        <v>45</v>
      </c>
      <c r="B2862" t="s">
        <v>8</v>
      </c>
      <c r="C2862" t="s">
        <v>44</v>
      </c>
      <c r="D2862" t="str">
        <f>LEFT(M2862,10)</f>
        <v>12/15/2024</v>
      </c>
      <c r="E2862" t="s">
        <v>202</v>
      </c>
      <c r="F2862" t="s">
        <v>227</v>
      </c>
      <c r="G2862" t="s">
        <v>237</v>
      </c>
      <c r="I2862">
        <v>4034</v>
      </c>
      <c r="J2862">
        <v>2823.8</v>
      </c>
      <c r="K2862">
        <v>0.7</v>
      </c>
      <c r="M2862" t="s">
        <v>205</v>
      </c>
    </row>
    <row r="2863" spans="1:13" hidden="1">
      <c r="A2863" t="s">
        <v>45</v>
      </c>
      <c r="B2863" t="s">
        <v>8</v>
      </c>
      <c r="C2863" t="s">
        <v>44</v>
      </c>
      <c r="D2863" t="str">
        <f>LEFT(M2863,10)</f>
        <v>12/15/2024</v>
      </c>
      <c r="E2863" t="s">
        <v>202</v>
      </c>
      <c r="F2863" t="s">
        <v>227</v>
      </c>
      <c r="G2863" t="s">
        <v>228</v>
      </c>
      <c r="I2863">
        <v>6829</v>
      </c>
      <c r="J2863">
        <v>1707.25</v>
      </c>
      <c r="K2863">
        <v>0.25</v>
      </c>
      <c r="M2863" t="s">
        <v>205</v>
      </c>
    </row>
    <row r="2864" spans="1:13" hidden="1">
      <c r="A2864" t="s">
        <v>45</v>
      </c>
      <c r="B2864" t="s">
        <v>8</v>
      </c>
      <c r="C2864" t="s">
        <v>44</v>
      </c>
      <c r="D2864" t="str">
        <f>LEFT(M2864,10)</f>
        <v>12/15/2024</v>
      </c>
      <c r="E2864" t="s">
        <v>202</v>
      </c>
      <c r="F2864" t="s">
        <v>227</v>
      </c>
      <c r="G2864" t="s">
        <v>238</v>
      </c>
      <c r="I2864">
        <v>871</v>
      </c>
      <c r="J2864">
        <v>214.75</v>
      </c>
      <c r="K2864">
        <v>0.25</v>
      </c>
      <c r="M2864" t="s">
        <v>205</v>
      </c>
    </row>
    <row r="2865" spans="1:13" hidden="1">
      <c r="A2865" t="s">
        <v>45</v>
      </c>
      <c r="B2865" t="s">
        <v>8</v>
      </c>
      <c r="C2865" t="s">
        <v>44</v>
      </c>
      <c r="D2865" t="str">
        <f>LEFT(M2865,10)</f>
        <v>12/15/2024</v>
      </c>
      <c r="E2865" t="s">
        <v>202</v>
      </c>
      <c r="F2865" t="s">
        <v>209</v>
      </c>
      <c r="G2865" t="s">
        <v>214</v>
      </c>
      <c r="I2865">
        <v>211</v>
      </c>
      <c r="J2865">
        <v>1250.49</v>
      </c>
      <c r="K2865">
        <v>5.93</v>
      </c>
      <c r="M2865" t="s">
        <v>205</v>
      </c>
    </row>
    <row r="2866" spans="1:13" hidden="1">
      <c r="A2866" t="s">
        <v>45</v>
      </c>
      <c r="B2866" t="s">
        <v>8</v>
      </c>
      <c r="C2866" t="s">
        <v>44</v>
      </c>
      <c r="D2866" t="str">
        <f>LEFT(M2866,10)</f>
        <v>12/15/2024</v>
      </c>
      <c r="E2866" t="s">
        <v>202</v>
      </c>
      <c r="F2866" t="s">
        <v>203</v>
      </c>
      <c r="G2866" t="s">
        <v>236</v>
      </c>
      <c r="I2866">
        <v>777.9</v>
      </c>
      <c r="J2866">
        <v>7051.3</v>
      </c>
      <c r="K2866">
        <v>9.06</v>
      </c>
      <c r="M2866" t="s">
        <v>205</v>
      </c>
    </row>
    <row r="2867" spans="1:13" hidden="1">
      <c r="A2867" t="s">
        <v>45</v>
      </c>
      <c r="B2867" t="s">
        <v>8</v>
      </c>
      <c r="C2867" t="s">
        <v>44</v>
      </c>
      <c r="D2867" t="str">
        <f>LEFT(M2867,10)</f>
        <v>12/15/2024</v>
      </c>
      <c r="E2867" t="s">
        <v>202</v>
      </c>
      <c r="F2867" t="s">
        <v>203</v>
      </c>
      <c r="G2867" t="s">
        <v>236</v>
      </c>
      <c r="I2867">
        <v>8041.3</v>
      </c>
      <c r="J2867">
        <v>7835.2</v>
      </c>
      <c r="K2867">
        <v>0.97</v>
      </c>
      <c r="M2867" t="s">
        <v>205</v>
      </c>
    </row>
    <row r="2868" spans="1:13" hidden="1">
      <c r="A2868" t="s">
        <v>45</v>
      </c>
      <c r="B2868" t="s">
        <v>8</v>
      </c>
      <c r="C2868" t="s">
        <v>44</v>
      </c>
      <c r="D2868" t="str">
        <f>LEFT(M2868,10)</f>
        <v>12/15/2024</v>
      </c>
      <c r="E2868" t="s">
        <v>202</v>
      </c>
      <c r="F2868" t="s">
        <v>216</v>
      </c>
      <c r="G2868" t="s">
        <v>253</v>
      </c>
      <c r="I2868">
        <v>8026</v>
      </c>
      <c r="J2868">
        <v>1985</v>
      </c>
      <c r="K2868">
        <v>0.25</v>
      </c>
      <c r="M2868" t="s">
        <v>205</v>
      </c>
    </row>
    <row r="2869" spans="1:13" hidden="1">
      <c r="A2869" t="s">
        <v>45</v>
      </c>
      <c r="B2869" t="s">
        <v>8</v>
      </c>
      <c r="C2869" t="s">
        <v>44</v>
      </c>
      <c r="D2869" t="str">
        <f>LEFT(M2869,10)</f>
        <v>12/15/2024</v>
      </c>
      <c r="E2869" t="s">
        <v>202</v>
      </c>
      <c r="F2869" t="s">
        <v>306</v>
      </c>
      <c r="G2869" t="s">
        <v>307</v>
      </c>
      <c r="I2869">
        <v>80</v>
      </c>
      <c r="J2869">
        <v>160</v>
      </c>
      <c r="K2869">
        <v>2</v>
      </c>
      <c r="M2869" t="s">
        <v>205</v>
      </c>
    </row>
    <row r="2870" spans="1:13" hidden="1">
      <c r="A2870" t="s">
        <v>45</v>
      </c>
      <c r="B2870" t="s">
        <v>8</v>
      </c>
      <c r="C2870" t="s">
        <v>44</v>
      </c>
      <c r="D2870" t="str">
        <f>LEFT(M2870,10)</f>
        <v>12/15/2024</v>
      </c>
      <c r="E2870" t="s">
        <v>230</v>
      </c>
      <c r="F2870" t="s">
        <v>248</v>
      </c>
      <c r="I2870">
        <v>0</v>
      </c>
      <c r="J2870">
        <v>30474</v>
      </c>
      <c r="M2870" t="s">
        <v>205</v>
      </c>
    </row>
    <row r="2871" spans="1:13" hidden="1">
      <c r="A2871" t="s">
        <v>45</v>
      </c>
      <c r="B2871" t="s">
        <v>8</v>
      </c>
      <c r="C2871" t="s">
        <v>44</v>
      </c>
      <c r="D2871" t="str">
        <f>LEFT(M2871,10)</f>
        <v>12/15/2024</v>
      </c>
      <c r="E2871" t="s">
        <v>232</v>
      </c>
      <c r="F2871" t="s">
        <v>233</v>
      </c>
      <c r="G2871" t="s">
        <v>249</v>
      </c>
      <c r="I2871">
        <v>0</v>
      </c>
      <c r="J2871">
        <v>4266.3599999999997</v>
      </c>
      <c r="M2871" t="s">
        <v>205</v>
      </c>
    </row>
    <row r="2872" spans="1:13" hidden="1">
      <c r="A2872" t="s">
        <v>45</v>
      </c>
      <c r="B2872" t="s">
        <v>8</v>
      </c>
      <c r="C2872" t="s">
        <v>44</v>
      </c>
      <c r="D2872" t="str">
        <f>LEFT(M2872,10)</f>
        <v>12/15/2024</v>
      </c>
      <c r="E2872" t="s">
        <v>232</v>
      </c>
      <c r="F2872" t="s">
        <v>291</v>
      </c>
      <c r="G2872" t="s">
        <v>249</v>
      </c>
      <c r="I2872">
        <v>0</v>
      </c>
      <c r="J2872">
        <v>47.97</v>
      </c>
      <c r="M2872" t="s">
        <v>205</v>
      </c>
    </row>
    <row r="2873" spans="1:13" hidden="1">
      <c r="A2873" t="s">
        <v>45</v>
      </c>
      <c r="B2873" t="s">
        <v>8</v>
      </c>
      <c r="C2873" t="s">
        <v>44</v>
      </c>
      <c r="D2873" t="str">
        <f>LEFT(M2873,10)</f>
        <v>12/15/2024</v>
      </c>
      <c r="E2873" t="s">
        <v>232</v>
      </c>
      <c r="F2873" t="s">
        <v>290</v>
      </c>
      <c r="G2873" t="s">
        <v>249</v>
      </c>
      <c r="I2873">
        <v>0</v>
      </c>
      <c r="J2873">
        <v>260</v>
      </c>
      <c r="M2873" t="s">
        <v>205</v>
      </c>
    </row>
    <row r="2874" spans="1:13" hidden="1">
      <c r="A2874" t="s">
        <v>45</v>
      </c>
      <c r="B2874" t="s">
        <v>8</v>
      </c>
      <c r="C2874" t="s">
        <v>44</v>
      </c>
      <c r="D2874" t="str">
        <f>LEFT(M2874,10)</f>
        <v>12/15/2024</v>
      </c>
      <c r="E2874" t="s">
        <v>232</v>
      </c>
      <c r="F2874" t="s">
        <v>290</v>
      </c>
      <c r="G2874" t="s">
        <v>249</v>
      </c>
      <c r="I2874">
        <v>0</v>
      </c>
      <c r="J2874">
        <v>157.52000000000001</v>
      </c>
      <c r="M2874" t="s">
        <v>205</v>
      </c>
    </row>
    <row r="2875" spans="1:13" hidden="1">
      <c r="A2875" t="s">
        <v>45</v>
      </c>
      <c r="B2875" t="s">
        <v>8</v>
      </c>
      <c r="C2875" t="s">
        <v>44</v>
      </c>
      <c r="D2875" t="str">
        <f>LEFT(M2875,10)</f>
        <v>12/15/2024</v>
      </c>
      <c r="E2875" t="s">
        <v>232</v>
      </c>
      <c r="F2875" t="s">
        <v>250</v>
      </c>
      <c r="G2875" t="s">
        <v>249</v>
      </c>
      <c r="I2875">
        <v>0</v>
      </c>
      <c r="J2875">
        <v>360</v>
      </c>
      <c r="M2875" t="s">
        <v>205</v>
      </c>
    </row>
    <row r="2876" spans="1:13" hidden="1">
      <c r="A2876" t="s">
        <v>45</v>
      </c>
      <c r="B2876" t="s">
        <v>8</v>
      </c>
      <c r="C2876" t="s">
        <v>44</v>
      </c>
      <c r="D2876" t="str">
        <f>LEFT(M2876,10)</f>
        <v>12/15/2024</v>
      </c>
      <c r="E2876" t="s">
        <v>232</v>
      </c>
      <c r="F2876" t="s">
        <v>262</v>
      </c>
      <c r="G2876" t="s">
        <v>249</v>
      </c>
      <c r="I2876">
        <v>0</v>
      </c>
      <c r="J2876">
        <v>500</v>
      </c>
      <c r="M2876" t="s">
        <v>205</v>
      </c>
    </row>
    <row r="2877" spans="1:13" hidden="1">
      <c r="A2877" t="s">
        <v>45</v>
      </c>
      <c r="B2877" t="s">
        <v>8</v>
      </c>
      <c r="C2877" t="s">
        <v>44</v>
      </c>
      <c r="D2877" t="str">
        <f>LEFT(M2877,10)</f>
        <v>12/15/2024</v>
      </c>
      <c r="E2877" t="s">
        <v>232</v>
      </c>
      <c r="F2877" t="s">
        <v>296</v>
      </c>
      <c r="G2877" t="s">
        <v>249</v>
      </c>
      <c r="I2877">
        <v>0</v>
      </c>
      <c r="J2877">
        <v>1175</v>
      </c>
      <c r="M2877" t="s">
        <v>205</v>
      </c>
    </row>
    <row r="2878" spans="1:13" hidden="1">
      <c r="A2878" t="s">
        <v>45</v>
      </c>
      <c r="B2878" t="s">
        <v>8</v>
      </c>
      <c r="C2878" t="s">
        <v>44</v>
      </c>
      <c r="D2878" t="str">
        <f>LEFT(M2878,10)</f>
        <v>12/15/2024</v>
      </c>
      <c r="E2878" t="s">
        <v>232</v>
      </c>
      <c r="F2878" t="s">
        <v>255</v>
      </c>
      <c r="G2878" t="s">
        <v>249</v>
      </c>
      <c r="I2878">
        <v>0</v>
      </c>
      <c r="J2878">
        <v>212.5</v>
      </c>
      <c r="L2878" t="s">
        <v>471</v>
      </c>
      <c r="M2878" t="s">
        <v>205</v>
      </c>
    </row>
    <row r="2879" spans="1:13" hidden="1">
      <c r="A2879" t="s">
        <v>45</v>
      </c>
      <c r="B2879" t="s">
        <v>8</v>
      </c>
      <c r="C2879" t="s">
        <v>44</v>
      </c>
      <c r="D2879" t="str">
        <f>LEFT(M2879,10)</f>
        <v>12/15/2024</v>
      </c>
      <c r="E2879" t="s">
        <v>232</v>
      </c>
      <c r="F2879" t="s">
        <v>272</v>
      </c>
      <c r="G2879" t="s">
        <v>249</v>
      </c>
      <c r="I2879">
        <v>0</v>
      </c>
      <c r="J2879">
        <v>1364.1</v>
      </c>
      <c r="M2879" t="s">
        <v>205</v>
      </c>
    </row>
    <row r="2880" spans="1:13" hidden="1">
      <c r="A2880" t="s">
        <v>45</v>
      </c>
      <c r="B2880" t="s">
        <v>8</v>
      </c>
      <c r="C2880" t="s">
        <v>44</v>
      </c>
      <c r="D2880" t="str">
        <f>LEFT(M2880,10)</f>
        <v>12/15/2024</v>
      </c>
      <c r="E2880" t="s">
        <v>232</v>
      </c>
      <c r="F2880" t="s">
        <v>255</v>
      </c>
      <c r="G2880" t="s">
        <v>249</v>
      </c>
      <c r="I2880">
        <v>0</v>
      </c>
      <c r="J2880">
        <v>103.6</v>
      </c>
      <c r="L2880" t="s">
        <v>472</v>
      </c>
      <c r="M2880" t="s">
        <v>205</v>
      </c>
    </row>
    <row r="2881" spans="1:13" hidden="1">
      <c r="A2881" t="s">
        <v>45</v>
      </c>
      <c r="B2881" t="s">
        <v>8</v>
      </c>
      <c r="C2881" t="s">
        <v>44</v>
      </c>
      <c r="D2881" t="str">
        <f>LEFT(M2881,10)</f>
        <v>12/15/2024</v>
      </c>
      <c r="E2881" t="s">
        <v>232</v>
      </c>
      <c r="F2881" t="s">
        <v>262</v>
      </c>
      <c r="G2881" t="s">
        <v>249</v>
      </c>
      <c r="I2881">
        <v>0</v>
      </c>
      <c r="J2881">
        <v>300</v>
      </c>
      <c r="M2881" t="s">
        <v>205</v>
      </c>
    </row>
    <row r="2882" spans="1:13" hidden="1">
      <c r="A2882" t="s">
        <v>45</v>
      </c>
      <c r="B2882" t="s">
        <v>8</v>
      </c>
      <c r="C2882" t="s">
        <v>44</v>
      </c>
      <c r="D2882" t="str">
        <f>LEFT(M2882,10)</f>
        <v>12/15/2024</v>
      </c>
      <c r="E2882" t="s">
        <v>234</v>
      </c>
      <c r="F2882" t="s">
        <v>234</v>
      </c>
      <c r="G2882" t="s">
        <v>249</v>
      </c>
      <c r="I2882">
        <v>26736</v>
      </c>
      <c r="M2882" t="s">
        <v>205</v>
      </c>
    </row>
    <row r="2883" spans="1:13" hidden="1">
      <c r="A2883" t="s">
        <v>84</v>
      </c>
      <c r="B2883" t="s">
        <v>8</v>
      </c>
      <c r="C2883" t="s">
        <v>21</v>
      </c>
      <c r="D2883" t="str">
        <f>LEFT(M2883,10)</f>
        <v>12/15/2024</v>
      </c>
      <c r="E2883" t="s">
        <v>230</v>
      </c>
      <c r="F2883" t="s">
        <v>248</v>
      </c>
      <c r="G2883" t="s">
        <v>249</v>
      </c>
      <c r="I2883">
        <v>0</v>
      </c>
      <c r="J2883">
        <v>14549.25</v>
      </c>
      <c r="M2883" t="s">
        <v>205</v>
      </c>
    </row>
    <row r="2884" spans="1:13" hidden="1">
      <c r="A2884" t="s">
        <v>84</v>
      </c>
      <c r="B2884" t="s">
        <v>8</v>
      </c>
      <c r="C2884" t="s">
        <v>21</v>
      </c>
      <c r="D2884" t="str">
        <f>LEFT(M2884,10)</f>
        <v>12/15/2024</v>
      </c>
      <c r="E2884" t="s">
        <v>234</v>
      </c>
      <c r="F2884" t="s">
        <v>234</v>
      </c>
      <c r="G2884" t="s">
        <v>249</v>
      </c>
      <c r="I2884">
        <v>0</v>
      </c>
      <c r="M2884" t="s">
        <v>205</v>
      </c>
    </row>
    <row r="2885" spans="1:13" hidden="1">
      <c r="A2885" t="s">
        <v>84</v>
      </c>
      <c r="B2885" t="s">
        <v>8</v>
      </c>
      <c r="C2885" t="s">
        <v>21</v>
      </c>
      <c r="D2885" t="str">
        <f>LEFT(M2885,10)</f>
        <v>12/15/2024</v>
      </c>
      <c r="E2885" t="s">
        <v>202</v>
      </c>
      <c r="F2885" t="s">
        <v>227</v>
      </c>
      <c r="G2885" t="s">
        <v>229</v>
      </c>
      <c r="I2885">
        <v>9241</v>
      </c>
      <c r="J2885">
        <v>6468.7</v>
      </c>
      <c r="K2885">
        <v>0.7</v>
      </c>
      <c r="M2885" t="s">
        <v>205</v>
      </c>
    </row>
    <row r="2886" spans="1:13" hidden="1">
      <c r="A2886" t="s">
        <v>84</v>
      </c>
      <c r="B2886" t="s">
        <v>8</v>
      </c>
      <c r="C2886" t="s">
        <v>21</v>
      </c>
      <c r="D2886" t="str">
        <f>LEFT(M2886,10)</f>
        <v>12/15/2024</v>
      </c>
      <c r="E2886" t="s">
        <v>202</v>
      </c>
      <c r="F2886" t="s">
        <v>218</v>
      </c>
      <c r="G2886" t="s">
        <v>223</v>
      </c>
      <c r="I2886">
        <v>2103</v>
      </c>
      <c r="J2886">
        <v>2103</v>
      </c>
      <c r="K2886">
        <v>1</v>
      </c>
      <c r="M2886" t="s">
        <v>205</v>
      </c>
    </row>
    <row r="2887" spans="1:13" hidden="1">
      <c r="A2887" t="s">
        <v>84</v>
      </c>
      <c r="B2887" t="s">
        <v>8</v>
      </c>
      <c r="C2887" t="s">
        <v>21</v>
      </c>
      <c r="D2887" t="str">
        <f>LEFT(M2887,10)</f>
        <v>12/15/2024</v>
      </c>
      <c r="E2887" t="s">
        <v>202</v>
      </c>
      <c r="F2887" t="s">
        <v>218</v>
      </c>
      <c r="G2887" t="s">
        <v>220</v>
      </c>
      <c r="I2887">
        <v>1815</v>
      </c>
      <c r="J2887">
        <v>2722.5</v>
      </c>
      <c r="K2887">
        <v>1.5</v>
      </c>
      <c r="M2887" t="s">
        <v>205</v>
      </c>
    </row>
    <row r="2888" spans="1:13" hidden="1">
      <c r="A2888" t="s">
        <v>84</v>
      </c>
      <c r="B2888" t="s">
        <v>8</v>
      </c>
      <c r="C2888" t="s">
        <v>21</v>
      </c>
      <c r="D2888" t="str">
        <f>LEFT(M2888,10)</f>
        <v>12/15/2024</v>
      </c>
      <c r="E2888" t="s">
        <v>202</v>
      </c>
      <c r="F2888" t="s">
        <v>218</v>
      </c>
      <c r="G2888" t="s">
        <v>240</v>
      </c>
      <c r="I2888">
        <v>2110</v>
      </c>
      <c r="J2888">
        <v>8440</v>
      </c>
      <c r="K2888">
        <v>4</v>
      </c>
      <c r="M2888" t="s">
        <v>205</v>
      </c>
    </row>
    <row r="2889" spans="1:13" hidden="1">
      <c r="A2889" t="s">
        <v>84</v>
      </c>
      <c r="B2889" t="s">
        <v>8</v>
      </c>
      <c r="C2889" t="s">
        <v>21</v>
      </c>
      <c r="D2889" t="str">
        <f>LEFT(M2889,10)</f>
        <v>12/15/2024</v>
      </c>
      <c r="E2889" t="s">
        <v>202</v>
      </c>
      <c r="F2889" t="s">
        <v>227</v>
      </c>
      <c r="G2889" t="s">
        <v>252</v>
      </c>
      <c r="I2889">
        <v>840</v>
      </c>
      <c r="J2889">
        <v>336</v>
      </c>
      <c r="K2889">
        <v>0.4</v>
      </c>
      <c r="M2889" t="s">
        <v>205</v>
      </c>
    </row>
    <row r="2890" spans="1:13" hidden="1">
      <c r="A2890" t="s">
        <v>84</v>
      </c>
      <c r="B2890" t="s">
        <v>8</v>
      </c>
      <c r="C2890" t="s">
        <v>21</v>
      </c>
      <c r="D2890" t="str">
        <f>LEFT(M2890,10)</f>
        <v>12/15/2024</v>
      </c>
      <c r="E2890" t="s">
        <v>202</v>
      </c>
      <c r="F2890" t="s">
        <v>218</v>
      </c>
      <c r="G2890" t="s">
        <v>219</v>
      </c>
      <c r="I2890">
        <v>1043</v>
      </c>
      <c r="J2890">
        <v>2607.5</v>
      </c>
      <c r="K2890">
        <v>2.5</v>
      </c>
      <c r="M2890" t="s">
        <v>205</v>
      </c>
    </row>
    <row r="2891" spans="1:13" hidden="1">
      <c r="A2891" t="s">
        <v>84</v>
      </c>
      <c r="B2891" t="s">
        <v>8</v>
      </c>
      <c r="C2891" t="s">
        <v>21</v>
      </c>
      <c r="D2891" t="str">
        <f>LEFT(M2891,10)</f>
        <v>12/15/2024</v>
      </c>
      <c r="E2891" t="s">
        <v>202</v>
      </c>
      <c r="F2891" t="s">
        <v>218</v>
      </c>
      <c r="G2891" t="s">
        <v>222</v>
      </c>
      <c r="I2891">
        <v>913</v>
      </c>
      <c r="J2891">
        <v>1643.4</v>
      </c>
      <c r="K2891">
        <v>1.8</v>
      </c>
      <c r="M2891" t="s">
        <v>205</v>
      </c>
    </row>
    <row r="2892" spans="1:13" hidden="1">
      <c r="A2892" t="s">
        <v>84</v>
      </c>
      <c r="B2892" t="s">
        <v>8</v>
      </c>
      <c r="C2892" t="s">
        <v>21</v>
      </c>
      <c r="D2892" t="str">
        <f>LEFT(M2892,10)</f>
        <v>12/15/2024</v>
      </c>
      <c r="E2892" t="s">
        <v>202</v>
      </c>
      <c r="F2892" t="s">
        <v>218</v>
      </c>
      <c r="G2892" t="s">
        <v>222</v>
      </c>
      <c r="I2892">
        <v>1317</v>
      </c>
      <c r="J2892">
        <v>1843.8</v>
      </c>
      <c r="K2892">
        <v>1.4</v>
      </c>
      <c r="M2892" t="s">
        <v>205</v>
      </c>
    </row>
    <row r="2893" spans="1:13" hidden="1">
      <c r="A2893" t="s">
        <v>84</v>
      </c>
      <c r="B2893" t="s">
        <v>8</v>
      </c>
      <c r="C2893" t="s">
        <v>21</v>
      </c>
      <c r="D2893" t="str">
        <f>LEFT(M2893,10)</f>
        <v>12/15/2024</v>
      </c>
      <c r="E2893" t="s">
        <v>202</v>
      </c>
      <c r="F2893" t="s">
        <v>227</v>
      </c>
      <c r="G2893" t="s">
        <v>237</v>
      </c>
      <c r="I2893">
        <v>1024</v>
      </c>
      <c r="J2893">
        <v>614.4</v>
      </c>
      <c r="K2893">
        <v>0.6</v>
      </c>
      <c r="M2893" t="s">
        <v>205</v>
      </c>
    </row>
    <row r="2894" spans="1:13" hidden="1">
      <c r="A2894" t="s">
        <v>84</v>
      </c>
      <c r="B2894" t="s">
        <v>8</v>
      </c>
      <c r="C2894" t="s">
        <v>21</v>
      </c>
      <c r="D2894" t="str">
        <f>LEFT(M2894,10)</f>
        <v>12/15/2024</v>
      </c>
      <c r="E2894" t="s">
        <v>202</v>
      </c>
      <c r="F2894" t="s">
        <v>218</v>
      </c>
      <c r="G2894" t="s">
        <v>223</v>
      </c>
      <c r="I2894">
        <v>654</v>
      </c>
      <c r="J2894">
        <v>457.8</v>
      </c>
      <c r="K2894">
        <v>0.7</v>
      </c>
      <c r="M2894" t="s">
        <v>205</v>
      </c>
    </row>
    <row r="2895" spans="1:13" hidden="1">
      <c r="A2895" t="s">
        <v>84</v>
      </c>
      <c r="B2895" t="s">
        <v>8</v>
      </c>
      <c r="C2895" t="s">
        <v>21</v>
      </c>
      <c r="D2895" t="str">
        <f>LEFT(M2895,10)</f>
        <v>12/15/2024</v>
      </c>
      <c r="E2895" t="s">
        <v>202</v>
      </c>
      <c r="F2895" t="s">
        <v>218</v>
      </c>
      <c r="G2895" t="s">
        <v>267</v>
      </c>
      <c r="I2895">
        <v>675</v>
      </c>
      <c r="J2895">
        <v>675</v>
      </c>
      <c r="K2895">
        <v>1</v>
      </c>
      <c r="M2895" t="s">
        <v>205</v>
      </c>
    </row>
    <row r="2896" spans="1:13" hidden="1">
      <c r="A2896" t="s">
        <v>84</v>
      </c>
      <c r="B2896" t="s">
        <v>8</v>
      </c>
      <c r="C2896" t="s">
        <v>21</v>
      </c>
      <c r="D2896" t="str">
        <f>LEFT(M2896,10)</f>
        <v>12/15/2024</v>
      </c>
      <c r="E2896" t="s">
        <v>202</v>
      </c>
      <c r="F2896" t="s">
        <v>203</v>
      </c>
      <c r="G2896" t="s">
        <v>204</v>
      </c>
      <c r="I2896">
        <v>185</v>
      </c>
      <c r="J2896">
        <v>1572.5</v>
      </c>
      <c r="K2896">
        <v>8.5</v>
      </c>
      <c r="M2896" t="s">
        <v>205</v>
      </c>
    </row>
    <row r="2897" spans="1:13" hidden="1">
      <c r="A2897" t="s">
        <v>84</v>
      </c>
      <c r="B2897" t="s">
        <v>8</v>
      </c>
      <c r="C2897" t="s">
        <v>21</v>
      </c>
      <c r="D2897" t="str">
        <f>LEFT(M2897,10)</f>
        <v>12/15/2024</v>
      </c>
      <c r="E2897" t="s">
        <v>202</v>
      </c>
      <c r="F2897" t="s">
        <v>218</v>
      </c>
      <c r="G2897" t="s">
        <v>221</v>
      </c>
      <c r="I2897">
        <v>8674</v>
      </c>
      <c r="J2897">
        <v>3469.6</v>
      </c>
      <c r="K2897">
        <v>0.4</v>
      </c>
      <c r="M2897" t="s">
        <v>205</v>
      </c>
    </row>
    <row r="2898" spans="1:13" hidden="1">
      <c r="A2898" t="s">
        <v>107</v>
      </c>
      <c r="B2898" t="s">
        <v>8</v>
      </c>
      <c r="C2898" t="s">
        <v>106</v>
      </c>
      <c r="D2898" t="str">
        <f>LEFT(M2898,10)</f>
        <v>12/15/2024</v>
      </c>
      <c r="E2898" t="s">
        <v>202</v>
      </c>
      <c r="F2898" t="s">
        <v>218</v>
      </c>
      <c r="G2898" t="s">
        <v>240</v>
      </c>
      <c r="I2898">
        <v>409</v>
      </c>
      <c r="J2898">
        <v>1390.6</v>
      </c>
      <c r="K2898">
        <v>3.4</v>
      </c>
      <c r="M2898" t="s">
        <v>205</v>
      </c>
    </row>
    <row r="2899" spans="1:13" hidden="1">
      <c r="A2899" t="s">
        <v>107</v>
      </c>
      <c r="B2899" t="s">
        <v>8</v>
      </c>
      <c r="C2899" t="s">
        <v>106</v>
      </c>
      <c r="D2899" t="str">
        <f>LEFT(M2899,10)</f>
        <v>12/15/2024</v>
      </c>
      <c r="E2899" t="s">
        <v>202</v>
      </c>
      <c r="F2899" t="s">
        <v>227</v>
      </c>
      <c r="G2899" t="s">
        <v>229</v>
      </c>
      <c r="I2899">
        <v>1481</v>
      </c>
      <c r="J2899">
        <v>1007.08</v>
      </c>
      <c r="K2899">
        <v>0.68</v>
      </c>
      <c r="M2899" t="s">
        <v>205</v>
      </c>
    </row>
    <row r="2900" spans="1:13" hidden="1">
      <c r="A2900" t="s">
        <v>107</v>
      </c>
      <c r="B2900" t="s">
        <v>8</v>
      </c>
      <c r="C2900" t="s">
        <v>106</v>
      </c>
      <c r="D2900" t="str">
        <f>LEFT(M2900,10)</f>
        <v>12/15/2024</v>
      </c>
      <c r="E2900" t="s">
        <v>202</v>
      </c>
      <c r="F2900" t="s">
        <v>218</v>
      </c>
      <c r="G2900" t="s">
        <v>219</v>
      </c>
      <c r="I2900">
        <v>490</v>
      </c>
      <c r="J2900">
        <v>1176</v>
      </c>
      <c r="K2900">
        <v>2.4</v>
      </c>
      <c r="M2900" t="s">
        <v>205</v>
      </c>
    </row>
    <row r="2901" spans="1:13" hidden="1">
      <c r="A2901" t="s">
        <v>107</v>
      </c>
      <c r="B2901" t="s">
        <v>8</v>
      </c>
      <c r="C2901" t="s">
        <v>106</v>
      </c>
      <c r="D2901" t="str">
        <f>LEFT(M2901,10)</f>
        <v>12/15/2024</v>
      </c>
      <c r="E2901" t="s">
        <v>202</v>
      </c>
      <c r="F2901" t="s">
        <v>227</v>
      </c>
      <c r="G2901" t="s">
        <v>228</v>
      </c>
      <c r="I2901">
        <v>564</v>
      </c>
      <c r="J2901">
        <v>169</v>
      </c>
      <c r="K2901">
        <v>0.3</v>
      </c>
      <c r="M2901" t="s">
        <v>205</v>
      </c>
    </row>
    <row r="2902" spans="1:13" hidden="1">
      <c r="A2902" t="s">
        <v>107</v>
      </c>
      <c r="B2902" t="s">
        <v>8</v>
      </c>
      <c r="C2902" t="s">
        <v>106</v>
      </c>
      <c r="D2902" t="str">
        <f>LEFT(M2902,10)</f>
        <v>12/15/2024</v>
      </c>
      <c r="E2902" t="s">
        <v>202</v>
      </c>
      <c r="F2902" t="s">
        <v>218</v>
      </c>
      <c r="G2902" t="s">
        <v>223</v>
      </c>
      <c r="I2902">
        <v>288</v>
      </c>
      <c r="J2902">
        <v>259.2</v>
      </c>
      <c r="K2902">
        <v>0.9</v>
      </c>
      <c r="M2902" t="s">
        <v>205</v>
      </c>
    </row>
    <row r="2903" spans="1:13" hidden="1">
      <c r="A2903" t="s">
        <v>107</v>
      </c>
      <c r="B2903" t="s">
        <v>8</v>
      </c>
      <c r="C2903" t="s">
        <v>106</v>
      </c>
      <c r="D2903" t="str">
        <f>LEFT(M2903,10)</f>
        <v>12/15/2024</v>
      </c>
      <c r="E2903" t="s">
        <v>202</v>
      </c>
      <c r="F2903" t="s">
        <v>218</v>
      </c>
      <c r="G2903" t="s">
        <v>240</v>
      </c>
      <c r="I2903">
        <v>254</v>
      </c>
      <c r="J2903">
        <v>355.6</v>
      </c>
      <c r="K2903">
        <v>1.4</v>
      </c>
      <c r="M2903" t="s">
        <v>205</v>
      </c>
    </row>
    <row r="2904" spans="1:13" hidden="1">
      <c r="A2904" t="s">
        <v>107</v>
      </c>
      <c r="B2904" t="s">
        <v>8</v>
      </c>
      <c r="C2904" t="s">
        <v>106</v>
      </c>
      <c r="D2904" t="str">
        <f>LEFT(M2904,10)</f>
        <v>12/15/2024</v>
      </c>
      <c r="E2904" t="s">
        <v>202</v>
      </c>
      <c r="F2904" t="s">
        <v>218</v>
      </c>
      <c r="G2904" t="s">
        <v>226</v>
      </c>
      <c r="I2904">
        <v>108</v>
      </c>
      <c r="J2904">
        <v>32.4</v>
      </c>
      <c r="K2904">
        <v>0.3</v>
      </c>
      <c r="M2904" t="s">
        <v>205</v>
      </c>
    </row>
    <row r="2905" spans="1:13" hidden="1">
      <c r="A2905" t="s">
        <v>107</v>
      </c>
      <c r="B2905" t="s">
        <v>8</v>
      </c>
      <c r="C2905" t="s">
        <v>106</v>
      </c>
      <c r="D2905" t="str">
        <f>LEFT(M2905,10)</f>
        <v>12/15/2024</v>
      </c>
      <c r="E2905" t="s">
        <v>202</v>
      </c>
      <c r="F2905" t="s">
        <v>218</v>
      </c>
      <c r="G2905" t="s">
        <v>222</v>
      </c>
      <c r="I2905">
        <v>319</v>
      </c>
      <c r="J2905">
        <v>382.8</v>
      </c>
      <c r="K2905">
        <v>1.2</v>
      </c>
      <c r="M2905" t="s">
        <v>205</v>
      </c>
    </row>
    <row r="2906" spans="1:13" hidden="1">
      <c r="A2906" t="s">
        <v>107</v>
      </c>
      <c r="B2906" t="s">
        <v>8</v>
      </c>
      <c r="C2906" t="s">
        <v>106</v>
      </c>
      <c r="D2906" t="str">
        <f>LEFT(M2906,10)</f>
        <v>12/15/2024</v>
      </c>
      <c r="E2906" t="s">
        <v>202</v>
      </c>
      <c r="F2906" t="s">
        <v>227</v>
      </c>
      <c r="G2906" t="s">
        <v>237</v>
      </c>
      <c r="I2906">
        <v>560</v>
      </c>
      <c r="J2906">
        <v>336</v>
      </c>
      <c r="K2906">
        <v>0.6</v>
      </c>
      <c r="M2906" t="s">
        <v>205</v>
      </c>
    </row>
    <row r="2907" spans="1:13" hidden="1">
      <c r="A2907" t="s">
        <v>107</v>
      </c>
      <c r="B2907" t="s">
        <v>8</v>
      </c>
      <c r="C2907" t="s">
        <v>106</v>
      </c>
      <c r="D2907" t="str">
        <f>LEFT(M2907,10)</f>
        <v>12/15/2024</v>
      </c>
      <c r="E2907" t="s">
        <v>202</v>
      </c>
      <c r="F2907" t="s">
        <v>227</v>
      </c>
      <c r="G2907" t="s">
        <v>252</v>
      </c>
      <c r="I2907">
        <v>98</v>
      </c>
      <c r="J2907">
        <v>19.600000000000001</v>
      </c>
      <c r="K2907">
        <v>0.2</v>
      </c>
      <c r="M2907" t="s">
        <v>205</v>
      </c>
    </row>
    <row r="2908" spans="1:13" hidden="1">
      <c r="A2908" t="s">
        <v>107</v>
      </c>
      <c r="B2908" t="s">
        <v>8</v>
      </c>
      <c r="C2908" t="s">
        <v>106</v>
      </c>
      <c r="D2908" t="str">
        <f>LEFT(M2908,10)</f>
        <v>12/15/2024</v>
      </c>
      <c r="E2908" t="s">
        <v>202</v>
      </c>
      <c r="F2908" t="s">
        <v>218</v>
      </c>
      <c r="G2908" t="s">
        <v>267</v>
      </c>
      <c r="I2908">
        <v>91</v>
      </c>
      <c r="J2908">
        <v>9.1</v>
      </c>
      <c r="K2908">
        <v>0.1</v>
      </c>
      <c r="M2908" t="s">
        <v>205</v>
      </c>
    </row>
    <row r="2909" spans="1:13" hidden="1">
      <c r="A2909" t="s">
        <v>107</v>
      </c>
      <c r="B2909" t="s">
        <v>8</v>
      </c>
      <c r="C2909" t="s">
        <v>106</v>
      </c>
      <c r="D2909" t="str">
        <f>LEFT(M2909,10)</f>
        <v>12/15/2024</v>
      </c>
      <c r="E2909" t="s">
        <v>202</v>
      </c>
      <c r="F2909" t="s">
        <v>218</v>
      </c>
      <c r="G2909" t="s">
        <v>268</v>
      </c>
      <c r="I2909">
        <v>63</v>
      </c>
      <c r="J2909">
        <v>94.5</v>
      </c>
      <c r="K2909">
        <v>1.5</v>
      </c>
      <c r="M2909" t="s">
        <v>205</v>
      </c>
    </row>
    <row r="2910" spans="1:13" hidden="1">
      <c r="A2910" t="s">
        <v>107</v>
      </c>
      <c r="B2910" t="s">
        <v>8</v>
      </c>
      <c r="C2910" t="s">
        <v>106</v>
      </c>
      <c r="D2910" t="str">
        <f>LEFT(M2910,10)</f>
        <v>12/15/2024</v>
      </c>
      <c r="E2910" t="s">
        <v>202</v>
      </c>
      <c r="F2910" t="s">
        <v>218</v>
      </c>
      <c r="G2910" t="s">
        <v>266</v>
      </c>
      <c r="I2910">
        <v>53</v>
      </c>
      <c r="J2910">
        <v>0.53</v>
      </c>
      <c r="K2910">
        <v>0.01</v>
      </c>
      <c r="M2910" t="s">
        <v>205</v>
      </c>
    </row>
    <row r="2911" spans="1:13" hidden="1">
      <c r="A2911" t="s">
        <v>107</v>
      </c>
      <c r="B2911" t="s">
        <v>8</v>
      </c>
      <c r="C2911" t="s">
        <v>106</v>
      </c>
      <c r="D2911" t="str">
        <f>LEFT(M2911,10)</f>
        <v>12/15/2024</v>
      </c>
      <c r="E2911" t="s">
        <v>202</v>
      </c>
      <c r="F2911" t="s">
        <v>218</v>
      </c>
      <c r="G2911" t="s">
        <v>239</v>
      </c>
      <c r="I2911">
        <v>63</v>
      </c>
      <c r="J2911">
        <v>0.63</v>
      </c>
      <c r="K2911">
        <v>0.01</v>
      </c>
      <c r="M2911" t="s">
        <v>205</v>
      </c>
    </row>
    <row r="2912" spans="1:13" hidden="1">
      <c r="A2912" t="s">
        <v>107</v>
      </c>
      <c r="B2912" t="s">
        <v>8</v>
      </c>
      <c r="C2912" t="s">
        <v>106</v>
      </c>
      <c r="D2912" t="str">
        <f>LEFT(M2912,10)</f>
        <v>12/15/2024</v>
      </c>
      <c r="E2912" t="s">
        <v>202</v>
      </c>
      <c r="F2912" t="s">
        <v>218</v>
      </c>
      <c r="G2912" t="s">
        <v>223</v>
      </c>
      <c r="I2912">
        <v>217</v>
      </c>
      <c r="J2912">
        <v>173.6</v>
      </c>
      <c r="K2912">
        <v>0.8</v>
      </c>
      <c r="M2912" t="s">
        <v>205</v>
      </c>
    </row>
    <row r="2913" spans="1:13" hidden="1">
      <c r="A2913" t="s">
        <v>107</v>
      </c>
      <c r="B2913" t="s">
        <v>8</v>
      </c>
      <c r="C2913" t="s">
        <v>106</v>
      </c>
      <c r="D2913" t="str">
        <f>LEFT(M2913,10)</f>
        <v>12/15/2024</v>
      </c>
      <c r="E2913" t="s">
        <v>202</v>
      </c>
      <c r="F2913" t="s">
        <v>216</v>
      </c>
      <c r="G2913" t="s">
        <v>253</v>
      </c>
      <c r="I2913">
        <v>1260</v>
      </c>
      <c r="J2913">
        <v>189</v>
      </c>
      <c r="K2913">
        <v>0.15</v>
      </c>
      <c r="M2913" t="s">
        <v>205</v>
      </c>
    </row>
    <row r="2914" spans="1:13" hidden="1">
      <c r="A2914" t="s">
        <v>107</v>
      </c>
      <c r="B2914" t="s">
        <v>8</v>
      </c>
      <c r="C2914" t="s">
        <v>106</v>
      </c>
      <c r="D2914" t="str">
        <f>LEFT(M2914,10)</f>
        <v>12/15/2024</v>
      </c>
      <c r="E2914" t="s">
        <v>202</v>
      </c>
      <c r="F2914" t="s">
        <v>203</v>
      </c>
      <c r="G2914" t="s">
        <v>236</v>
      </c>
      <c r="I2914">
        <v>840</v>
      </c>
      <c r="J2914">
        <v>504</v>
      </c>
      <c r="K2914">
        <v>0.6</v>
      </c>
      <c r="M2914" t="s">
        <v>205</v>
      </c>
    </row>
    <row r="2915" spans="1:13" hidden="1">
      <c r="A2915" t="s">
        <v>107</v>
      </c>
      <c r="B2915" t="s">
        <v>8</v>
      </c>
      <c r="C2915" t="s">
        <v>106</v>
      </c>
      <c r="D2915" t="str">
        <f>LEFT(M2915,10)</f>
        <v>12/15/2024</v>
      </c>
      <c r="E2915" t="s">
        <v>230</v>
      </c>
      <c r="F2915" t="s">
        <v>248</v>
      </c>
      <c r="I2915">
        <v>0</v>
      </c>
      <c r="J2915">
        <v>1932.66</v>
      </c>
      <c r="M2915" t="s">
        <v>205</v>
      </c>
    </row>
    <row r="2916" spans="1:13" hidden="1">
      <c r="A2916" t="s">
        <v>107</v>
      </c>
      <c r="B2916" t="s">
        <v>8</v>
      </c>
      <c r="C2916" t="s">
        <v>106</v>
      </c>
      <c r="D2916" t="str">
        <f>LEFT(M2916,10)</f>
        <v>12/15/2024</v>
      </c>
      <c r="E2916" t="s">
        <v>232</v>
      </c>
      <c r="F2916" t="s">
        <v>272</v>
      </c>
      <c r="I2916">
        <v>0</v>
      </c>
      <c r="J2916">
        <v>128</v>
      </c>
      <c r="M2916" t="s">
        <v>205</v>
      </c>
    </row>
    <row r="2917" spans="1:13" hidden="1">
      <c r="A2917" t="s">
        <v>107</v>
      </c>
      <c r="B2917" t="s">
        <v>8</v>
      </c>
      <c r="C2917" t="s">
        <v>106</v>
      </c>
      <c r="D2917" t="str">
        <f>LEFT(M2917,10)</f>
        <v>12/15/2024</v>
      </c>
      <c r="E2917" t="s">
        <v>232</v>
      </c>
      <c r="F2917" t="s">
        <v>291</v>
      </c>
      <c r="I2917">
        <v>0</v>
      </c>
      <c r="J2917">
        <v>186.76</v>
      </c>
      <c r="M2917" t="s">
        <v>205</v>
      </c>
    </row>
    <row r="2918" spans="1:13" hidden="1">
      <c r="A2918" t="s">
        <v>107</v>
      </c>
      <c r="B2918" t="s">
        <v>8</v>
      </c>
      <c r="C2918" t="s">
        <v>106</v>
      </c>
      <c r="D2918" t="str">
        <f>LEFT(M2918,10)</f>
        <v>12/15/2024</v>
      </c>
      <c r="E2918" t="s">
        <v>234</v>
      </c>
      <c r="F2918" t="s">
        <v>234</v>
      </c>
      <c r="I2918">
        <v>0</v>
      </c>
      <c r="M2918" t="s">
        <v>205</v>
      </c>
    </row>
    <row r="2919" spans="1:13" hidden="1">
      <c r="A2919" t="s">
        <v>107</v>
      </c>
      <c r="B2919" t="s">
        <v>8</v>
      </c>
      <c r="C2919" t="s">
        <v>106</v>
      </c>
      <c r="D2919" t="str">
        <f>LEFT(M2919,10)</f>
        <v>12/15/2024</v>
      </c>
      <c r="E2919" t="s">
        <v>234</v>
      </c>
      <c r="F2919" t="s">
        <v>234</v>
      </c>
      <c r="I2919">
        <v>3500</v>
      </c>
      <c r="M2919" t="s">
        <v>205</v>
      </c>
    </row>
    <row r="2920" spans="1:13" hidden="1">
      <c r="A2920" t="s">
        <v>168</v>
      </c>
      <c r="B2920" t="s">
        <v>8</v>
      </c>
      <c r="C2920" t="s">
        <v>23</v>
      </c>
      <c r="D2920" t="str">
        <f>LEFT(M2920,10)</f>
        <v>12/15/2024</v>
      </c>
      <c r="E2920" t="s">
        <v>230</v>
      </c>
      <c r="F2920" t="s">
        <v>248</v>
      </c>
      <c r="I2920">
        <v>0</v>
      </c>
      <c r="J2920">
        <v>76402.320000000007</v>
      </c>
      <c r="M2920" t="s">
        <v>205</v>
      </c>
    </row>
    <row r="2921" spans="1:13" hidden="1">
      <c r="A2921" t="s">
        <v>168</v>
      </c>
      <c r="B2921" t="s">
        <v>8</v>
      </c>
      <c r="C2921" t="s">
        <v>23</v>
      </c>
      <c r="D2921" t="str">
        <f>LEFT(M2921,10)</f>
        <v>12/15/2024</v>
      </c>
      <c r="E2921" t="s">
        <v>234</v>
      </c>
      <c r="F2921" t="s">
        <v>234</v>
      </c>
      <c r="I2921">
        <v>29740</v>
      </c>
      <c r="M2921" t="s">
        <v>205</v>
      </c>
    </row>
    <row r="2922" spans="1:13" hidden="1">
      <c r="A2922" t="s">
        <v>168</v>
      </c>
      <c r="B2922" t="s">
        <v>8</v>
      </c>
      <c r="C2922" t="s">
        <v>23</v>
      </c>
      <c r="D2922" t="str">
        <f>LEFT(M2922,10)</f>
        <v>12/15/2024</v>
      </c>
      <c r="E2922" t="s">
        <v>202</v>
      </c>
      <c r="F2922" t="s">
        <v>203</v>
      </c>
      <c r="G2922" t="s">
        <v>204</v>
      </c>
      <c r="I2922">
        <v>221</v>
      </c>
      <c r="J2922">
        <v>2013</v>
      </c>
      <c r="K2922">
        <v>9.11</v>
      </c>
      <c r="M2922" t="s">
        <v>205</v>
      </c>
    </row>
    <row r="2923" spans="1:13" hidden="1">
      <c r="A2923" t="s">
        <v>168</v>
      </c>
      <c r="B2923" t="s">
        <v>8</v>
      </c>
      <c r="C2923" t="s">
        <v>23</v>
      </c>
      <c r="D2923" t="str">
        <f>LEFT(M2923,10)</f>
        <v>12/15/2024</v>
      </c>
      <c r="E2923" t="s">
        <v>202</v>
      </c>
      <c r="F2923" t="s">
        <v>203</v>
      </c>
      <c r="G2923" t="s">
        <v>208</v>
      </c>
      <c r="I2923">
        <v>91.2</v>
      </c>
      <c r="J2923">
        <v>866.4</v>
      </c>
      <c r="K2923">
        <v>9.5</v>
      </c>
      <c r="M2923" t="s">
        <v>205</v>
      </c>
    </row>
    <row r="2924" spans="1:13" hidden="1">
      <c r="A2924" t="s">
        <v>168</v>
      </c>
      <c r="B2924" t="s">
        <v>8</v>
      </c>
      <c r="C2924" t="s">
        <v>23</v>
      </c>
      <c r="D2924" t="str">
        <f>LEFT(M2924,10)</f>
        <v>12/15/2024</v>
      </c>
      <c r="E2924" t="s">
        <v>202</v>
      </c>
      <c r="F2924" t="s">
        <v>203</v>
      </c>
      <c r="G2924" t="s">
        <v>260</v>
      </c>
      <c r="I2924">
        <v>161.1</v>
      </c>
      <c r="J2924">
        <v>2257</v>
      </c>
      <c r="K2924">
        <v>14.01</v>
      </c>
      <c r="M2924" t="s">
        <v>205</v>
      </c>
    </row>
    <row r="2925" spans="1:13" hidden="1">
      <c r="A2925" t="s">
        <v>168</v>
      </c>
      <c r="B2925" t="s">
        <v>8</v>
      </c>
      <c r="C2925" t="s">
        <v>23</v>
      </c>
      <c r="D2925" t="str">
        <f>LEFT(M2925,10)</f>
        <v>12/15/2024</v>
      </c>
      <c r="E2925" t="s">
        <v>202</v>
      </c>
      <c r="F2925" t="s">
        <v>218</v>
      </c>
      <c r="G2925" t="s">
        <v>220</v>
      </c>
      <c r="I2925">
        <v>1851</v>
      </c>
      <c r="J2925">
        <v>2776.5</v>
      </c>
      <c r="K2925">
        <v>1.5</v>
      </c>
      <c r="M2925" t="s">
        <v>205</v>
      </c>
    </row>
    <row r="2926" spans="1:13" hidden="1">
      <c r="A2926" t="s">
        <v>168</v>
      </c>
      <c r="B2926" t="s">
        <v>8</v>
      </c>
      <c r="C2926" t="s">
        <v>23</v>
      </c>
      <c r="D2926" t="str">
        <f>LEFT(M2926,10)</f>
        <v>12/15/2024</v>
      </c>
      <c r="E2926" t="s">
        <v>202</v>
      </c>
      <c r="F2926" t="s">
        <v>218</v>
      </c>
      <c r="G2926" t="s">
        <v>219</v>
      </c>
      <c r="I2926">
        <v>139</v>
      </c>
      <c r="J2926">
        <v>27.8</v>
      </c>
      <c r="K2926">
        <v>0.2</v>
      </c>
      <c r="M2926" t="s">
        <v>205</v>
      </c>
    </row>
    <row r="2927" spans="1:13" hidden="1">
      <c r="A2927" t="s">
        <v>168</v>
      </c>
      <c r="B2927" t="s">
        <v>8</v>
      </c>
      <c r="C2927" t="s">
        <v>23</v>
      </c>
      <c r="D2927" t="str">
        <f>LEFT(M2927,10)</f>
        <v>12/15/2024</v>
      </c>
      <c r="E2927" t="s">
        <v>202</v>
      </c>
      <c r="F2927" t="s">
        <v>227</v>
      </c>
      <c r="G2927" t="s">
        <v>237</v>
      </c>
      <c r="I2927">
        <v>13295</v>
      </c>
      <c r="J2927">
        <v>6887.7</v>
      </c>
      <c r="K2927">
        <v>0.52</v>
      </c>
      <c r="M2927" t="s">
        <v>205</v>
      </c>
    </row>
    <row r="2928" spans="1:13" hidden="1">
      <c r="A2928" t="s">
        <v>168</v>
      </c>
      <c r="B2928" t="s">
        <v>8</v>
      </c>
      <c r="C2928" t="s">
        <v>23</v>
      </c>
      <c r="D2928" t="str">
        <f>LEFT(M2928,10)</f>
        <v>12/15/2024</v>
      </c>
      <c r="E2928" t="s">
        <v>202</v>
      </c>
      <c r="F2928" t="s">
        <v>227</v>
      </c>
      <c r="G2928" t="s">
        <v>238</v>
      </c>
      <c r="I2928">
        <v>8834</v>
      </c>
      <c r="J2928">
        <v>2269.75</v>
      </c>
      <c r="K2928">
        <v>0.26</v>
      </c>
      <c r="M2928" t="s">
        <v>205</v>
      </c>
    </row>
    <row r="2929" spans="1:13" hidden="1">
      <c r="A2929" t="s">
        <v>168</v>
      </c>
      <c r="B2929" t="s">
        <v>8</v>
      </c>
      <c r="C2929" t="s">
        <v>23</v>
      </c>
      <c r="D2929" t="str">
        <f>LEFT(M2929,10)</f>
        <v>12/15/2024</v>
      </c>
      <c r="E2929" t="s">
        <v>202</v>
      </c>
      <c r="F2929" t="s">
        <v>227</v>
      </c>
      <c r="G2929" t="s">
        <v>228</v>
      </c>
      <c r="I2929">
        <v>13130.8</v>
      </c>
      <c r="J2929">
        <v>3248.82</v>
      </c>
      <c r="K2929">
        <v>0.25</v>
      </c>
      <c r="M2929" t="s">
        <v>205</v>
      </c>
    </row>
    <row r="2930" spans="1:13" hidden="1">
      <c r="A2930" t="s">
        <v>168</v>
      </c>
      <c r="B2930" t="s">
        <v>8</v>
      </c>
      <c r="C2930" t="s">
        <v>23</v>
      </c>
      <c r="D2930" t="str">
        <f>LEFT(M2930,10)</f>
        <v>12/15/2024</v>
      </c>
      <c r="E2930" t="s">
        <v>202</v>
      </c>
      <c r="F2930" t="s">
        <v>227</v>
      </c>
      <c r="G2930" t="s">
        <v>229</v>
      </c>
      <c r="I2930">
        <v>43562</v>
      </c>
      <c r="J2930">
        <v>20185.52</v>
      </c>
      <c r="K2930">
        <v>0.46</v>
      </c>
      <c r="M2930" t="s">
        <v>205</v>
      </c>
    </row>
    <row r="2931" spans="1:13" hidden="1">
      <c r="A2931" t="s">
        <v>168</v>
      </c>
      <c r="B2931" t="s">
        <v>8</v>
      </c>
      <c r="C2931" t="s">
        <v>23</v>
      </c>
      <c r="D2931" t="str">
        <f>LEFT(M2931,10)</f>
        <v>12/15/2024</v>
      </c>
      <c r="E2931" t="s">
        <v>202</v>
      </c>
      <c r="F2931" t="s">
        <v>218</v>
      </c>
      <c r="G2931" t="s">
        <v>221</v>
      </c>
      <c r="I2931">
        <v>1200</v>
      </c>
      <c r="J2931">
        <v>3031</v>
      </c>
      <c r="K2931">
        <v>2.5299999999999998</v>
      </c>
      <c r="M2931" t="s">
        <v>205</v>
      </c>
    </row>
    <row r="2932" spans="1:13" hidden="1">
      <c r="A2932" t="s">
        <v>168</v>
      </c>
      <c r="B2932" t="s">
        <v>8</v>
      </c>
      <c r="C2932" t="s">
        <v>23</v>
      </c>
      <c r="D2932" t="str">
        <f>LEFT(M2932,10)</f>
        <v>12/15/2024</v>
      </c>
      <c r="E2932" t="s">
        <v>202</v>
      </c>
      <c r="F2932" t="s">
        <v>218</v>
      </c>
      <c r="G2932" t="s">
        <v>240</v>
      </c>
      <c r="I2932">
        <v>3024</v>
      </c>
      <c r="J2932">
        <v>12096</v>
      </c>
      <c r="K2932">
        <v>4</v>
      </c>
      <c r="M2932" t="s">
        <v>205</v>
      </c>
    </row>
    <row r="2933" spans="1:13" hidden="1">
      <c r="A2933" t="s">
        <v>168</v>
      </c>
      <c r="B2933" t="s">
        <v>8</v>
      </c>
      <c r="C2933" t="s">
        <v>23</v>
      </c>
      <c r="D2933" t="str">
        <f>LEFT(M2933,10)</f>
        <v>12/15/2024</v>
      </c>
      <c r="E2933" t="s">
        <v>202</v>
      </c>
      <c r="F2933" t="s">
        <v>218</v>
      </c>
      <c r="G2933" t="s">
        <v>222</v>
      </c>
      <c r="I2933">
        <v>2028</v>
      </c>
      <c r="J2933">
        <v>2863.8</v>
      </c>
      <c r="K2933">
        <v>1.41</v>
      </c>
      <c r="M2933" t="s">
        <v>205</v>
      </c>
    </row>
    <row r="2934" spans="1:13" hidden="1">
      <c r="A2934" t="s">
        <v>168</v>
      </c>
      <c r="B2934" t="s">
        <v>8</v>
      </c>
      <c r="C2934" t="s">
        <v>23</v>
      </c>
      <c r="D2934" t="str">
        <f>LEFT(M2934,10)</f>
        <v>12/15/2024</v>
      </c>
      <c r="E2934" t="s">
        <v>202</v>
      </c>
      <c r="F2934" t="s">
        <v>218</v>
      </c>
      <c r="G2934" t="s">
        <v>268</v>
      </c>
      <c r="I2934">
        <v>392</v>
      </c>
      <c r="J2934">
        <v>392</v>
      </c>
      <c r="K2934">
        <v>1</v>
      </c>
      <c r="M2934" t="s">
        <v>205</v>
      </c>
    </row>
    <row r="2935" spans="1:13" hidden="1">
      <c r="A2935" t="s">
        <v>168</v>
      </c>
      <c r="B2935" t="s">
        <v>8</v>
      </c>
      <c r="C2935" t="s">
        <v>23</v>
      </c>
      <c r="D2935" t="str">
        <f>LEFT(M2935,10)</f>
        <v>12/15/2024</v>
      </c>
      <c r="E2935" t="s">
        <v>202</v>
      </c>
      <c r="F2935" t="s">
        <v>218</v>
      </c>
      <c r="G2935" t="s">
        <v>226</v>
      </c>
      <c r="I2935">
        <v>383</v>
      </c>
      <c r="J2935">
        <v>114.9</v>
      </c>
      <c r="K2935">
        <v>0.3</v>
      </c>
      <c r="M2935" t="s">
        <v>205</v>
      </c>
    </row>
    <row r="2936" spans="1:13" hidden="1">
      <c r="A2936" t="s">
        <v>168</v>
      </c>
      <c r="B2936" t="s">
        <v>8</v>
      </c>
      <c r="C2936" t="s">
        <v>23</v>
      </c>
      <c r="D2936" t="str">
        <f>LEFT(M2936,10)</f>
        <v>12/15/2024</v>
      </c>
      <c r="E2936" t="s">
        <v>202</v>
      </c>
      <c r="F2936" t="s">
        <v>218</v>
      </c>
      <c r="G2936" t="s">
        <v>223</v>
      </c>
      <c r="I2936">
        <v>5473</v>
      </c>
      <c r="J2936">
        <v>4288.8</v>
      </c>
      <c r="K2936">
        <v>0.78</v>
      </c>
      <c r="M2936" t="s">
        <v>205</v>
      </c>
    </row>
    <row r="2937" spans="1:13" hidden="1">
      <c r="A2937" t="s">
        <v>168</v>
      </c>
      <c r="B2937" t="s">
        <v>8</v>
      </c>
      <c r="C2937" t="s">
        <v>23</v>
      </c>
      <c r="D2937" t="str">
        <f>LEFT(M2937,10)</f>
        <v>12/15/2024</v>
      </c>
      <c r="E2937" t="s">
        <v>202</v>
      </c>
      <c r="F2937" t="s">
        <v>203</v>
      </c>
      <c r="G2937" t="s">
        <v>236</v>
      </c>
      <c r="I2937">
        <v>28474</v>
      </c>
      <c r="J2937">
        <v>8829.2000000000007</v>
      </c>
      <c r="K2937">
        <v>0.31</v>
      </c>
      <c r="M2937" t="s">
        <v>205</v>
      </c>
    </row>
    <row r="2938" spans="1:13" hidden="1">
      <c r="A2938" t="s">
        <v>168</v>
      </c>
      <c r="B2938" t="s">
        <v>8</v>
      </c>
      <c r="C2938" t="s">
        <v>23</v>
      </c>
      <c r="D2938" t="str">
        <f>LEFT(M2938,10)</f>
        <v>12/15/2024</v>
      </c>
      <c r="E2938" t="s">
        <v>202</v>
      </c>
      <c r="F2938" t="s">
        <v>227</v>
      </c>
      <c r="G2938" t="s">
        <v>252</v>
      </c>
      <c r="I2938">
        <v>999</v>
      </c>
      <c r="J2938">
        <v>299.7</v>
      </c>
      <c r="K2938">
        <v>0.3</v>
      </c>
      <c r="M2938" t="s">
        <v>205</v>
      </c>
    </row>
    <row r="2939" spans="1:13" hidden="1">
      <c r="A2939" t="s">
        <v>168</v>
      </c>
      <c r="B2939" t="s">
        <v>8</v>
      </c>
      <c r="C2939" t="s">
        <v>23</v>
      </c>
      <c r="D2939" t="str">
        <f>LEFT(M2939,10)</f>
        <v>12/15/2024</v>
      </c>
      <c r="E2939" t="s">
        <v>202</v>
      </c>
      <c r="F2939" t="s">
        <v>216</v>
      </c>
      <c r="G2939" t="s">
        <v>217</v>
      </c>
      <c r="I2939">
        <v>1932</v>
      </c>
      <c r="J2939">
        <v>942</v>
      </c>
      <c r="K2939">
        <v>0.49</v>
      </c>
      <c r="M2939" t="s">
        <v>205</v>
      </c>
    </row>
    <row r="2940" spans="1:13" hidden="1">
      <c r="A2940" t="s">
        <v>168</v>
      </c>
      <c r="B2940" t="s">
        <v>8</v>
      </c>
      <c r="C2940" t="s">
        <v>23</v>
      </c>
      <c r="D2940" t="str">
        <f>LEFT(M2940,10)</f>
        <v>12/15/2024</v>
      </c>
      <c r="E2940" t="s">
        <v>202</v>
      </c>
      <c r="F2940" t="s">
        <v>216</v>
      </c>
      <c r="G2940" t="s">
        <v>253</v>
      </c>
      <c r="I2940">
        <v>19732</v>
      </c>
      <c r="J2940">
        <v>3946.4</v>
      </c>
      <c r="K2940">
        <v>0.2</v>
      </c>
      <c r="M2940" t="s">
        <v>205</v>
      </c>
    </row>
    <row r="2941" spans="1:13" hidden="1">
      <c r="A2941" t="s">
        <v>168</v>
      </c>
      <c r="B2941" t="s">
        <v>8</v>
      </c>
      <c r="C2941" t="s">
        <v>23</v>
      </c>
      <c r="D2941" t="str">
        <f>LEFT(M2941,10)</f>
        <v>12/15/2024</v>
      </c>
      <c r="E2941" t="s">
        <v>202</v>
      </c>
      <c r="F2941" t="s">
        <v>203</v>
      </c>
      <c r="G2941" t="s">
        <v>207</v>
      </c>
      <c r="I2941">
        <v>102.8</v>
      </c>
      <c r="J2941">
        <v>462.6</v>
      </c>
      <c r="K2941">
        <v>4.5</v>
      </c>
      <c r="M2941" t="s">
        <v>205</v>
      </c>
    </row>
    <row r="2942" spans="1:13" hidden="1">
      <c r="A2942" t="s">
        <v>168</v>
      </c>
      <c r="B2942" t="s">
        <v>8</v>
      </c>
      <c r="C2942" t="s">
        <v>23</v>
      </c>
      <c r="D2942" t="str">
        <f>LEFT(M2942,10)</f>
        <v>12/15/2024</v>
      </c>
      <c r="E2942" t="s">
        <v>202</v>
      </c>
      <c r="F2942" t="s">
        <v>209</v>
      </c>
      <c r="G2942" t="s">
        <v>210</v>
      </c>
      <c r="I2942">
        <v>85.8</v>
      </c>
      <c r="J2942">
        <v>137.80000000000001</v>
      </c>
      <c r="K2942">
        <v>1.61</v>
      </c>
      <c r="M2942" t="s">
        <v>205</v>
      </c>
    </row>
    <row r="2943" spans="1:13" hidden="1">
      <c r="A2943" t="s">
        <v>168</v>
      </c>
      <c r="B2943" t="s">
        <v>8</v>
      </c>
      <c r="C2943" t="s">
        <v>23</v>
      </c>
      <c r="D2943" t="str">
        <f>LEFT(M2943,10)</f>
        <v>12/15/2024</v>
      </c>
      <c r="E2943" t="s">
        <v>202</v>
      </c>
      <c r="F2943" t="s">
        <v>209</v>
      </c>
      <c r="G2943" t="s">
        <v>214</v>
      </c>
      <c r="I2943">
        <v>73.400000000000006</v>
      </c>
      <c r="J2943">
        <v>484.95</v>
      </c>
      <c r="K2943">
        <v>6.61</v>
      </c>
      <c r="M2943" t="s">
        <v>205</v>
      </c>
    </row>
    <row r="2944" spans="1:13" hidden="1">
      <c r="A2944" t="s">
        <v>168</v>
      </c>
      <c r="B2944" t="s">
        <v>8</v>
      </c>
      <c r="C2944" t="s">
        <v>23</v>
      </c>
      <c r="D2944" t="str">
        <f>LEFT(M2944,10)</f>
        <v>12/15/2024</v>
      </c>
      <c r="E2944" t="s">
        <v>202</v>
      </c>
      <c r="F2944" t="s">
        <v>203</v>
      </c>
      <c r="G2944" t="s">
        <v>215</v>
      </c>
      <c r="I2944">
        <v>4870</v>
      </c>
      <c r="J2944">
        <v>3409</v>
      </c>
      <c r="K2944">
        <v>0.7</v>
      </c>
      <c r="M2944" t="s">
        <v>205</v>
      </c>
    </row>
    <row r="2945" spans="1:13" hidden="1">
      <c r="A2945" t="s">
        <v>90</v>
      </c>
      <c r="B2945" t="s">
        <v>8</v>
      </c>
      <c r="C2945" t="s">
        <v>89</v>
      </c>
      <c r="D2945" t="str">
        <f>LEFT(M2945,10)</f>
        <v>12/15/2024</v>
      </c>
      <c r="E2945" t="s">
        <v>234</v>
      </c>
      <c r="F2945" t="s">
        <v>234</v>
      </c>
      <c r="I2945">
        <v>0</v>
      </c>
      <c r="M2945" t="s">
        <v>205</v>
      </c>
    </row>
    <row r="2946" spans="1:13" hidden="1">
      <c r="A2946" t="s">
        <v>90</v>
      </c>
      <c r="B2946" t="s">
        <v>8</v>
      </c>
      <c r="C2946" t="s">
        <v>89</v>
      </c>
      <c r="D2946" t="str">
        <f>LEFT(M2946,10)</f>
        <v>12/15/2024</v>
      </c>
      <c r="E2946" t="s">
        <v>230</v>
      </c>
      <c r="F2946" t="s">
        <v>248</v>
      </c>
      <c r="I2946">
        <v>0</v>
      </c>
      <c r="J2946">
        <v>4878.74</v>
      </c>
      <c r="M2946" t="s">
        <v>205</v>
      </c>
    </row>
    <row r="2947" spans="1:13" hidden="1">
      <c r="A2947" t="s">
        <v>90</v>
      </c>
      <c r="B2947" t="s">
        <v>8</v>
      </c>
      <c r="C2947" t="s">
        <v>89</v>
      </c>
      <c r="D2947" t="str">
        <f>LEFT(M2947,10)</f>
        <v>12/15/2024</v>
      </c>
      <c r="E2947" t="s">
        <v>202</v>
      </c>
      <c r="F2947" t="s">
        <v>218</v>
      </c>
      <c r="G2947" t="s">
        <v>223</v>
      </c>
      <c r="I2947">
        <v>163</v>
      </c>
      <c r="J2947">
        <v>114.1</v>
      </c>
      <c r="K2947">
        <v>0.7</v>
      </c>
      <c r="M2947" t="s">
        <v>205</v>
      </c>
    </row>
    <row r="2948" spans="1:13" hidden="1">
      <c r="A2948" t="s">
        <v>90</v>
      </c>
      <c r="B2948" t="s">
        <v>8</v>
      </c>
      <c r="C2948" t="s">
        <v>89</v>
      </c>
      <c r="D2948" t="str">
        <f>LEFT(M2948,10)</f>
        <v>12/15/2024</v>
      </c>
      <c r="E2948" t="s">
        <v>202</v>
      </c>
      <c r="F2948" t="s">
        <v>227</v>
      </c>
      <c r="G2948" t="s">
        <v>238</v>
      </c>
      <c r="I2948">
        <v>283</v>
      </c>
      <c r="J2948">
        <v>84.9</v>
      </c>
      <c r="K2948">
        <v>0.3</v>
      </c>
      <c r="M2948" t="s">
        <v>205</v>
      </c>
    </row>
    <row r="2949" spans="1:13" hidden="1">
      <c r="A2949" t="s">
        <v>90</v>
      </c>
      <c r="B2949" t="s">
        <v>8</v>
      </c>
      <c r="C2949" t="s">
        <v>89</v>
      </c>
      <c r="D2949" t="str">
        <f>LEFT(M2949,10)</f>
        <v>12/15/2024</v>
      </c>
      <c r="E2949" t="s">
        <v>202</v>
      </c>
      <c r="F2949" t="s">
        <v>227</v>
      </c>
      <c r="G2949" t="s">
        <v>228</v>
      </c>
      <c r="I2949">
        <v>1227</v>
      </c>
      <c r="J2949">
        <v>368.1</v>
      </c>
      <c r="K2949">
        <v>0.3</v>
      </c>
      <c r="M2949" t="s">
        <v>205</v>
      </c>
    </row>
    <row r="2950" spans="1:13" hidden="1">
      <c r="A2950" t="s">
        <v>90</v>
      </c>
      <c r="B2950" t="s">
        <v>8</v>
      </c>
      <c r="C2950" t="s">
        <v>89</v>
      </c>
      <c r="D2950" t="str">
        <f>LEFT(M2950,10)</f>
        <v>12/15/2024</v>
      </c>
      <c r="E2950" t="s">
        <v>202</v>
      </c>
      <c r="F2950" t="s">
        <v>218</v>
      </c>
      <c r="G2950" t="s">
        <v>243</v>
      </c>
      <c r="H2950" t="s">
        <v>279</v>
      </c>
      <c r="I2950">
        <v>210</v>
      </c>
      <c r="J2950">
        <v>273</v>
      </c>
      <c r="K2950">
        <v>1.3</v>
      </c>
      <c r="M2950" t="s">
        <v>205</v>
      </c>
    </row>
    <row r="2951" spans="1:13" hidden="1">
      <c r="A2951" t="s">
        <v>90</v>
      </c>
      <c r="B2951" t="s">
        <v>8</v>
      </c>
      <c r="C2951" t="s">
        <v>89</v>
      </c>
      <c r="D2951" t="str">
        <f>LEFT(M2951,10)</f>
        <v>12/15/2024</v>
      </c>
      <c r="E2951" t="s">
        <v>202</v>
      </c>
      <c r="F2951" t="s">
        <v>218</v>
      </c>
      <c r="G2951" t="s">
        <v>240</v>
      </c>
      <c r="I2951">
        <v>486</v>
      </c>
      <c r="J2951">
        <v>1458</v>
      </c>
      <c r="K2951">
        <v>3</v>
      </c>
      <c r="M2951" t="s">
        <v>205</v>
      </c>
    </row>
    <row r="2952" spans="1:13" hidden="1">
      <c r="A2952" t="s">
        <v>90</v>
      </c>
      <c r="B2952" t="s">
        <v>8</v>
      </c>
      <c r="C2952" t="s">
        <v>89</v>
      </c>
      <c r="D2952" t="str">
        <f>LEFT(M2952,10)</f>
        <v>12/15/2024</v>
      </c>
      <c r="E2952" t="s">
        <v>202</v>
      </c>
      <c r="F2952" t="s">
        <v>218</v>
      </c>
      <c r="G2952" t="s">
        <v>243</v>
      </c>
      <c r="H2952" t="s">
        <v>473</v>
      </c>
      <c r="I2952">
        <v>362</v>
      </c>
      <c r="J2952">
        <v>289.60000000000002</v>
      </c>
      <c r="K2952">
        <v>0.8</v>
      </c>
      <c r="M2952" t="s">
        <v>205</v>
      </c>
    </row>
    <row r="2953" spans="1:13" hidden="1">
      <c r="A2953" t="s">
        <v>90</v>
      </c>
      <c r="B2953" t="s">
        <v>8</v>
      </c>
      <c r="C2953" t="s">
        <v>89</v>
      </c>
      <c r="D2953" t="str">
        <f>LEFT(M2953,10)</f>
        <v>12/15/2024</v>
      </c>
      <c r="E2953" t="s">
        <v>202</v>
      </c>
      <c r="F2953" t="s">
        <v>218</v>
      </c>
      <c r="G2953" t="s">
        <v>243</v>
      </c>
      <c r="H2953" t="s">
        <v>474</v>
      </c>
      <c r="I2953">
        <v>217</v>
      </c>
      <c r="J2953">
        <v>477.4</v>
      </c>
      <c r="K2953">
        <v>2.2000000000000002</v>
      </c>
      <c r="M2953" t="s">
        <v>205</v>
      </c>
    </row>
    <row r="2954" spans="1:13" hidden="1">
      <c r="A2954" t="s">
        <v>90</v>
      </c>
      <c r="B2954" t="s">
        <v>8</v>
      </c>
      <c r="C2954" t="s">
        <v>89</v>
      </c>
      <c r="D2954" t="str">
        <f>LEFT(M2954,10)</f>
        <v>12/15/2024</v>
      </c>
      <c r="E2954" t="s">
        <v>202</v>
      </c>
      <c r="F2954" t="s">
        <v>218</v>
      </c>
      <c r="G2954" t="s">
        <v>241</v>
      </c>
      <c r="I2954">
        <v>89</v>
      </c>
      <c r="J2954">
        <v>267</v>
      </c>
      <c r="K2954">
        <v>3</v>
      </c>
      <c r="M2954" t="s">
        <v>205</v>
      </c>
    </row>
    <row r="2955" spans="1:13" hidden="1">
      <c r="A2955" t="s">
        <v>90</v>
      </c>
      <c r="B2955" t="s">
        <v>8</v>
      </c>
      <c r="C2955" t="s">
        <v>89</v>
      </c>
      <c r="D2955" t="str">
        <f>LEFT(M2955,10)</f>
        <v>12/15/2024</v>
      </c>
      <c r="E2955" t="s">
        <v>202</v>
      </c>
      <c r="F2955" t="s">
        <v>218</v>
      </c>
      <c r="G2955" t="s">
        <v>226</v>
      </c>
      <c r="I2955">
        <v>208</v>
      </c>
      <c r="J2955">
        <v>41.6</v>
      </c>
      <c r="K2955">
        <v>0.2</v>
      </c>
      <c r="M2955" t="s">
        <v>205</v>
      </c>
    </row>
    <row r="2956" spans="1:13" hidden="1">
      <c r="A2956" t="s">
        <v>90</v>
      </c>
      <c r="B2956" t="s">
        <v>8</v>
      </c>
      <c r="C2956" t="s">
        <v>89</v>
      </c>
      <c r="D2956" t="str">
        <f>LEFT(M2956,10)</f>
        <v>12/15/2024</v>
      </c>
      <c r="E2956" t="s">
        <v>202</v>
      </c>
      <c r="F2956" t="s">
        <v>218</v>
      </c>
      <c r="G2956" t="s">
        <v>220</v>
      </c>
      <c r="I2956">
        <v>467</v>
      </c>
      <c r="J2956">
        <v>653.79999999999995</v>
      </c>
      <c r="K2956">
        <v>1.4</v>
      </c>
      <c r="M2956" t="s">
        <v>205</v>
      </c>
    </row>
    <row r="2957" spans="1:13" hidden="1">
      <c r="A2957" t="s">
        <v>90</v>
      </c>
      <c r="B2957" t="s">
        <v>8</v>
      </c>
      <c r="C2957" t="s">
        <v>89</v>
      </c>
      <c r="D2957" t="str">
        <f>LEFT(M2957,10)</f>
        <v>12/15/2024</v>
      </c>
      <c r="E2957" t="s">
        <v>202</v>
      </c>
      <c r="F2957" t="s">
        <v>218</v>
      </c>
      <c r="G2957" t="s">
        <v>268</v>
      </c>
      <c r="I2957">
        <v>64</v>
      </c>
      <c r="J2957">
        <v>64</v>
      </c>
      <c r="K2957">
        <v>1</v>
      </c>
      <c r="M2957" t="s">
        <v>205</v>
      </c>
    </row>
    <row r="2958" spans="1:13" hidden="1">
      <c r="A2958" t="s">
        <v>90</v>
      </c>
      <c r="B2958" t="s">
        <v>8</v>
      </c>
      <c r="C2958" t="s">
        <v>89</v>
      </c>
      <c r="D2958" t="str">
        <f>LEFT(M2958,10)</f>
        <v>12/15/2024</v>
      </c>
      <c r="E2958" t="s">
        <v>202</v>
      </c>
      <c r="F2958" t="s">
        <v>218</v>
      </c>
      <c r="G2958" t="s">
        <v>243</v>
      </c>
      <c r="H2958" t="s">
        <v>278</v>
      </c>
      <c r="I2958">
        <v>118</v>
      </c>
      <c r="J2958">
        <v>118</v>
      </c>
      <c r="K2958">
        <v>1</v>
      </c>
      <c r="M2958" t="s">
        <v>205</v>
      </c>
    </row>
    <row r="2959" spans="1:13" hidden="1">
      <c r="A2959" t="s">
        <v>90</v>
      </c>
      <c r="B2959" t="s">
        <v>8</v>
      </c>
      <c r="C2959" t="s">
        <v>89</v>
      </c>
      <c r="D2959" t="str">
        <f>LEFT(M2959,10)</f>
        <v>12/15/2024</v>
      </c>
      <c r="E2959" t="s">
        <v>202</v>
      </c>
      <c r="F2959" t="s">
        <v>227</v>
      </c>
      <c r="G2959" t="s">
        <v>229</v>
      </c>
      <c r="I2959">
        <v>2676</v>
      </c>
      <c r="J2959">
        <v>1685.88</v>
      </c>
      <c r="K2959">
        <v>0.63</v>
      </c>
      <c r="M2959" t="s">
        <v>205</v>
      </c>
    </row>
    <row r="2960" spans="1:13" hidden="1">
      <c r="A2960" t="s">
        <v>90</v>
      </c>
      <c r="B2960" t="s">
        <v>8</v>
      </c>
      <c r="C2960" t="s">
        <v>89</v>
      </c>
      <c r="D2960" t="str">
        <f>LEFT(M2960,10)</f>
        <v>12/15/2024</v>
      </c>
      <c r="E2960" t="s">
        <v>202</v>
      </c>
      <c r="F2960" t="s">
        <v>216</v>
      </c>
      <c r="G2960" t="s">
        <v>253</v>
      </c>
      <c r="I2960">
        <v>2310</v>
      </c>
      <c r="J2960">
        <v>3646.5</v>
      </c>
      <c r="K2960">
        <v>1.58</v>
      </c>
      <c r="M2960" t="s">
        <v>205</v>
      </c>
    </row>
    <row r="2961" spans="1:13" hidden="1">
      <c r="A2961" t="s">
        <v>90</v>
      </c>
      <c r="B2961" t="s">
        <v>8</v>
      </c>
      <c r="C2961" t="s">
        <v>89</v>
      </c>
      <c r="D2961" t="str">
        <f>LEFT(M2961,10)</f>
        <v>12/15/2024</v>
      </c>
      <c r="E2961" t="s">
        <v>202</v>
      </c>
      <c r="F2961" t="s">
        <v>203</v>
      </c>
      <c r="G2961" t="s">
        <v>236</v>
      </c>
      <c r="I2961">
        <v>900</v>
      </c>
      <c r="J2961">
        <v>540</v>
      </c>
      <c r="K2961">
        <v>0.6</v>
      </c>
      <c r="M2961" t="s">
        <v>205</v>
      </c>
    </row>
    <row r="2962" spans="1:13" hidden="1">
      <c r="A2962" t="s">
        <v>167</v>
      </c>
      <c r="B2962" t="s">
        <v>24</v>
      </c>
      <c r="C2962" t="s">
        <v>23</v>
      </c>
      <c r="D2962" t="str">
        <f>LEFT(M2962,10)</f>
        <v>12/15/2024</v>
      </c>
      <c r="E2962" t="s">
        <v>230</v>
      </c>
      <c r="F2962" t="s">
        <v>248</v>
      </c>
      <c r="I2962">
        <v>0</v>
      </c>
      <c r="J2962">
        <v>76402.67</v>
      </c>
      <c r="M2962" t="s">
        <v>205</v>
      </c>
    </row>
    <row r="2963" spans="1:13" hidden="1">
      <c r="A2963" t="s">
        <v>167</v>
      </c>
      <c r="B2963" t="s">
        <v>24</v>
      </c>
      <c r="C2963" t="s">
        <v>23</v>
      </c>
      <c r="D2963" t="str">
        <f>LEFT(M2963,10)</f>
        <v>12/15/2024</v>
      </c>
      <c r="E2963" t="s">
        <v>234</v>
      </c>
      <c r="F2963" t="s">
        <v>234</v>
      </c>
      <c r="I2963">
        <v>25980</v>
      </c>
      <c r="M2963" t="s">
        <v>205</v>
      </c>
    </row>
    <row r="2964" spans="1:13" hidden="1">
      <c r="A2964" t="s">
        <v>167</v>
      </c>
      <c r="B2964" t="s">
        <v>24</v>
      </c>
      <c r="C2964" t="s">
        <v>23</v>
      </c>
      <c r="D2964" t="str">
        <f>LEFT(M2964,10)</f>
        <v>12/15/2024</v>
      </c>
      <c r="E2964" t="s">
        <v>202</v>
      </c>
      <c r="F2964" t="s">
        <v>203</v>
      </c>
      <c r="G2964" t="s">
        <v>204</v>
      </c>
      <c r="I2964">
        <v>385.7</v>
      </c>
      <c r="J2964">
        <v>2699.9</v>
      </c>
      <c r="K2964">
        <v>7</v>
      </c>
      <c r="M2964" t="s">
        <v>205</v>
      </c>
    </row>
    <row r="2965" spans="1:13" hidden="1">
      <c r="A2965" t="s">
        <v>167</v>
      </c>
      <c r="B2965" t="s">
        <v>24</v>
      </c>
      <c r="C2965" t="s">
        <v>23</v>
      </c>
      <c r="D2965" t="str">
        <f>LEFT(M2965,10)</f>
        <v>12/15/2024</v>
      </c>
      <c r="E2965" t="s">
        <v>202</v>
      </c>
      <c r="F2965" t="s">
        <v>218</v>
      </c>
      <c r="G2965" t="s">
        <v>220</v>
      </c>
      <c r="I2965">
        <v>12166</v>
      </c>
      <c r="J2965">
        <v>23958.959999999999</v>
      </c>
      <c r="K2965">
        <v>1.97</v>
      </c>
      <c r="M2965" t="s">
        <v>205</v>
      </c>
    </row>
    <row r="2966" spans="1:13" hidden="1">
      <c r="A2966" t="s">
        <v>167</v>
      </c>
      <c r="B2966" t="s">
        <v>24</v>
      </c>
      <c r="C2966" t="s">
        <v>23</v>
      </c>
      <c r="D2966" t="str">
        <f>LEFT(M2966,10)</f>
        <v>12/15/2024</v>
      </c>
      <c r="E2966" t="s">
        <v>202</v>
      </c>
      <c r="F2966" t="s">
        <v>218</v>
      </c>
      <c r="G2966" t="s">
        <v>219</v>
      </c>
      <c r="I2966">
        <v>184</v>
      </c>
      <c r="J2966">
        <v>18.399999999999999</v>
      </c>
      <c r="K2966">
        <v>0.1</v>
      </c>
      <c r="M2966" t="s">
        <v>205</v>
      </c>
    </row>
    <row r="2967" spans="1:13" hidden="1">
      <c r="A2967" t="s">
        <v>167</v>
      </c>
      <c r="B2967" t="s">
        <v>24</v>
      </c>
      <c r="C2967" t="s">
        <v>23</v>
      </c>
      <c r="D2967" t="str">
        <f>LEFT(M2967,10)</f>
        <v>12/15/2024</v>
      </c>
      <c r="E2967" t="s">
        <v>202</v>
      </c>
      <c r="F2967" t="s">
        <v>227</v>
      </c>
      <c r="G2967" t="s">
        <v>237</v>
      </c>
      <c r="I2967">
        <v>2648</v>
      </c>
      <c r="J2967">
        <v>1721.2</v>
      </c>
      <c r="K2967">
        <v>0.65</v>
      </c>
      <c r="M2967" t="s">
        <v>205</v>
      </c>
    </row>
    <row r="2968" spans="1:13" hidden="1">
      <c r="A2968" t="s">
        <v>167</v>
      </c>
      <c r="B2968" t="s">
        <v>24</v>
      </c>
      <c r="C2968" t="s">
        <v>23</v>
      </c>
      <c r="D2968" t="str">
        <f>LEFT(M2968,10)</f>
        <v>12/15/2024</v>
      </c>
      <c r="E2968" t="s">
        <v>202</v>
      </c>
      <c r="F2968" t="s">
        <v>227</v>
      </c>
      <c r="G2968" t="s">
        <v>238</v>
      </c>
      <c r="I2968">
        <v>715</v>
      </c>
      <c r="J2968">
        <v>250.25</v>
      </c>
      <c r="K2968">
        <v>0.35</v>
      </c>
      <c r="M2968" t="s">
        <v>205</v>
      </c>
    </row>
    <row r="2969" spans="1:13" hidden="1">
      <c r="A2969" t="s">
        <v>167</v>
      </c>
      <c r="B2969" t="s">
        <v>24</v>
      </c>
      <c r="C2969" t="s">
        <v>23</v>
      </c>
      <c r="D2969" t="str">
        <f>LEFT(M2969,10)</f>
        <v>12/15/2024</v>
      </c>
      <c r="E2969" t="s">
        <v>202</v>
      </c>
      <c r="F2969" t="s">
        <v>227</v>
      </c>
      <c r="G2969" t="s">
        <v>228</v>
      </c>
      <c r="I2969">
        <v>2821</v>
      </c>
      <c r="J2969">
        <v>827.75</v>
      </c>
      <c r="K2969">
        <v>0.28999999999999998</v>
      </c>
      <c r="M2969" t="s">
        <v>205</v>
      </c>
    </row>
    <row r="2970" spans="1:13" hidden="1">
      <c r="A2970" t="s">
        <v>167</v>
      </c>
      <c r="B2970" t="s">
        <v>24</v>
      </c>
      <c r="C2970" t="s">
        <v>23</v>
      </c>
      <c r="D2970" t="str">
        <f>LEFT(M2970,10)</f>
        <v>12/15/2024</v>
      </c>
      <c r="E2970" t="s">
        <v>202</v>
      </c>
      <c r="F2970" t="s">
        <v>227</v>
      </c>
      <c r="G2970" t="s">
        <v>229</v>
      </c>
      <c r="I2970">
        <v>49432</v>
      </c>
      <c r="J2970">
        <v>35811.61</v>
      </c>
      <c r="K2970">
        <v>0.72</v>
      </c>
      <c r="M2970" t="s">
        <v>205</v>
      </c>
    </row>
    <row r="2971" spans="1:13" hidden="1">
      <c r="A2971" t="s">
        <v>167</v>
      </c>
      <c r="B2971" t="s">
        <v>24</v>
      </c>
      <c r="C2971" t="s">
        <v>23</v>
      </c>
      <c r="D2971" t="str">
        <f>LEFT(M2971,10)</f>
        <v>12/15/2024</v>
      </c>
      <c r="E2971" t="s">
        <v>202</v>
      </c>
      <c r="F2971" t="s">
        <v>218</v>
      </c>
      <c r="G2971" t="s">
        <v>221</v>
      </c>
      <c r="I2971">
        <v>3161.4</v>
      </c>
      <c r="J2971">
        <v>8085.71</v>
      </c>
      <c r="K2971">
        <v>2.56</v>
      </c>
      <c r="M2971" t="s">
        <v>205</v>
      </c>
    </row>
    <row r="2972" spans="1:13" hidden="1">
      <c r="A2972" t="s">
        <v>167</v>
      </c>
      <c r="B2972" t="s">
        <v>24</v>
      </c>
      <c r="C2972" t="s">
        <v>23</v>
      </c>
      <c r="D2972" t="str">
        <f>LEFT(M2972,10)</f>
        <v>12/15/2024</v>
      </c>
      <c r="E2972" t="s">
        <v>202</v>
      </c>
      <c r="F2972" t="s">
        <v>218</v>
      </c>
      <c r="G2972" t="s">
        <v>240</v>
      </c>
      <c r="I2972">
        <v>3348.2</v>
      </c>
      <c r="J2972">
        <v>14845.78</v>
      </c>
      <c r="K2972">
        <v>4.43</v>
      </c>
      <c r="M2972" t="s">
        <v>205</v>
      </c>
    </row>
    <row r="2973" spans="1:13" hidden="1">
      <c r="A2973" t="s">
        <v>167</v>
      </c>
      <c r="B2973" t="s">
        <v>24</v>
      </c>
      <c r="C2973" t="s">
        <v>23</v>
      </c>
      <c r="D2973" t="str">
        <f>LEFT(M2973,10)</f>
        <v>12/15/2024</v>
      </c>
      <c r="E2973" t="s">
        <v>202</v>
      </c>
      <c r="F2973" t="s">
        <v>218</v>
      </c>
      <c r="G2973" t="s">
        <v>242</v>
      </c>
      <c r="I2973">
        <v>214</v>
      </c>
      <c r="J2973">
        <v>225.4</v>
      </c>
      <c r="K2973">
        <v>1.05</v>
      </c>
      <c r="M2973" t="s">
        <v>205</v>
      </c>
    </row>
    <row r="2974" spans="1:13" hidden="1">
      <c r="A2974" t="s">
        <v>167</v>
      </c>
      <c r="B2974" t="s">
        <v>24</v>
      </c>
      <c r="C2974" t="s">
        <v>23</v>
      </c>
      <c r="D2974" t="str">
        <f>LEFT(M2974,10)</f>
        <v>12/15/2024</v>
      </c>
      <c r="E2974" t="s">
        <v>202</v>
      </c>
      <c r="F2974" t="s">
        <v>218</v>
      </c>
      <c r="G2974" t="s">
        <v>222</v>
      </c>
      <c r="I2974">
        <v>11827.6</v>
      </c>
      <c r="J2974">
        <v>15478.89</v>
      </c>
      <c r="K2974">
        <v>1.31</v>
      </c>
      <c r="M2974" t="s">
        <v>205</v>
      </c>
    </row>
    <row r="2975" spans="1:13" hidden="1">
      <c r="A2975" t="s">
        <v>167</v>
      </c>
      <c r="B2975" t="s">
        <v>24</v>
      </c>
      <c r="C2975" t="s">
        <v>23</v>
      </c>
      <c r="D2975" t="str">
        <f>LEFT(M2975,10)</f>
        <v>12/15/2024</v>
      </c>
      <c r="E2975" t="s">
        <v>202</v>
      </c>
      <c r="F2975" t="s">
        <v>218</v>
      </c>
      <c r="G2975" t="s">
        <v>266</v>
      </c>
      <c r="I2975">
        <v>6509.5</v>
      </c>
      <c r="J2975">
        <v>650.95000000000005</v>
      </c>
      <c r="K2975">
        <v>0.1</v>
      </c>
      <c r="M2975" t="s">
        <v>205</v>
      </c>
    </row>
    <row r="2976" spans="1:13" hidden="1">
      <c r="A2976" t="s">
        <v>167</v>
      </c>
      <c r="B2976" t="s">
        <v>24</v>
      </c>
      <c r="C2976" t="s">
        <v>23</v>
      </c>
      <c r="D2976" t="str">
        <f>LEFT(M2976,10)</f>
        <v>12/15/2024</v>
      </c>
      <c r="E2976" t="s">
        <v>202</v>
      </c>
      <c r="F2976" t="s">
        <v>218</v>
      </c>
      <c r="G2976" t="s">
        <v>224</v>
      </c>
      <c r="I2976">
        <v>2884.6</v>
      </c>
      <c r="J2976">
        <v>2957.7</v>
      </c>
      <c r="K2976">
        <v>1.03</v>
      </c>
      <c r="M2976" t="s">
        <v>205</v>
      </c>
    </row>
    <row r="2977" spans="1:13" hidden="1">
      <c r="A2977" t="s">
        <v>167</v>
      </c>
      <c r="B2977" t="s">
        <v>24</v>
      </c>
      <c r="C2977" t="s">
        <v>23</v>
      </c>
      <c r="D2977" t="str">
        <f>LEFT(M2977,10)</f>
        <v>12/15/2024</v>
      </c>
      <c r="E2977" t="s">
        <v>202</v>
      </c>
      <c r="F2977" t="s">
        <v>218</v>
      </c>
      <c r="G2977" t="s">
        <v>226</v>
      </c>
      <c r="I2977">
        <v>1211.8</v>
      </c>
      <c r="J2977">
        <v>323.56</v>
      </c>
      <c r="K2977">
        <v>0.27</v>
      </c>
      <c r="M2977" t="s">
        <v>205</v>
      </c>
    </row>
    <row r="2978" spans="1:13" hidden="1">
      <c r="A2978" t="s">
        <v>167</v>
      </c>
      <c r="B2978" t="s">
        <v>24</v>
      </c>
      <c r="C2978" t="s">
        <v>23</v>
      </c>
      <c r="D2978" t="str">
        <f>LEFT(M2978,10)</f>
        <v>12/15/2024</v>
      </c>
      <c r="E2978" t="s">
        <v>202</v>
      </c>
      <c r="F2978" t="s">
        <v>218</v>
      </c>
      <c r="G2978" t="s">
        <v>223</v>
      </c>
      <c r="I2978">
        <v>13167.4</v>
      </c>
      <c r="J2978">
        <v>9850.7000000000007</v>
      </c>
      <c r="K2978">
        <v>0.75</v>
      </c>
      <c r="M2978" t="s">
        <v>205</v>
      </c>
    </row>
    <row r="2979" spans="1:13" hidden="1">
      <c r="A2979" t="s">
        <v>167</v>
      </c>
      <c r="B2979" t="s">
        <v>24</v>
      </c>
      <c r="C2979" t="s">
        <v>23</v>
      </c>
      <c r="D2979" t="str">
        <f>LEFT(M2979,10)</f>
        <v>12/15/2024</v>
      </c>
      <c r="E2979" t="s">
        <v>202</v>
      </c>
      <c r="F2979" t="s">
        <v>203</v>
      </c>
      <c r="G2979" t="s">
        <v>236</v>
      </c>
      <c r="I2979">
        <v>23780</v>
      </c>
      <c r="J2979">
        <v>17344</v>
      </c>
      <c r="K2979">
        <v>0.73</v>
      </c>
      <c r="M2979" t="s">
        <v>205</v>
      </c>
    </row>
    <row r="2980" spans="1:13" hidden="1">
      <c r="A2980" t="s">
        <v>167</v>
      </c>
      <c r="B2980" t="s">
        <v>24</v>
      </c>
      <c r="C2980" t="s">
        <v>23</v>
      </c>
      <c r="D2980" t="str">
        <f>LEFT(M2980,10)</f>
        <v>12/15/2024</v>
      </c>
      <c r="E2980" t="s">
        <v>202</v>
      </c>
      <c r="F2980" t="s">
        <v>216</v>
      </c>
      <c r="G2980" t="s">
        <v>253</v>
      </c>
      <c r="I2980">
        <v>19840</v>
      </c>
      <c r="J2980">
        <v>3968</v>
      </c>
      <c r="K2980">
        <v>0.2</v>
      </c>
      <c r="M2980" t="s">
        <v>205</v>
      </c>
    </row>
    <row r="2981" spans="1:13" hidden="1">
      <c r="A2981" t="s">
        <v>101</v>
      </c>
      <c r="B2981" t="s">
        <v>8</v>
      </c>
      <c r="C2981" t="s">
        <v>100</v>
      </c>
      <c r="D2981" t="str">
        <f>LEFT(M2981,10)</f>
        <v>12/15/2024</v>
      </c>
      <c r="E2981" t="s">
        <v>202</v>
      </c>
      <c r="F2981" t="s">
        <v>203</v>
      </c>
      <c r="G2981" t="s">
        <v>236</v>
      </c>
      <c r="I2981">
        <v>4960</v>
      </c>
      <c r="J2981">
        <v>3472</v>
      </c>
      <c r="K2981">
        <v>0.7</v>
      </c>
      <c r="M2981" t="s">
        <v>205</v>
      </c>
    </row>
    <row r="2982" spans="1:13" hidden="1">
      <c r="A2982" t="s">
        <v>101</v>
      </c>
      <c r="B2982" t="s">
        <v>8</v>
      </c>
      <c r="C2982" t="s">
        <v>100</v>
      </c>
      <c r="D2982" t="str">
        <f>LEFT(M2982,10)</f>
        <v>12/15/2024</v>
      </c>
      <c r="E2982" t="s">
        <v>202</v>
      </c>
      <c r="F2982" t="s">
        <v>216</v>
      </c>
      <c r="G2982" t="s">
        <v>253</v>
      </c>
      <c r="I2982">
        <v>6660</v>
      </c>
      <c r="J2982">
        <v>1139</v>
      </c>
      <c r="K2982">
        <v>0.17</v>
      </c>
      <c r="M2982" t="s">
        <v>205</v>
      </c>
    </row>
    <row r="2983" spans="1:13" hidden="1">
      <c r="A2983" t="s">
        <v>101</v>
      </c>
      <c r="B2983" t="s">
        <v>8</v>
      </c>
      <c r="C2983" t="s">
        <v>100</v>
      </c>
      <c r="D2983" t="str">
        <f>LEFT(M2983,10)</f>
        <v>12/15/2024</v>
      </c>
      <c r="E2983" t="s">
        <v>202</v>
      </c>
      <c r="F2983" t="s">
        <v>227</v>
      </c>
      <c r="G2983" t="s">
        <v>228</v>
      </c>
      <c r="I2983">
        <v>652</v>
      </c>
      <c r="J2983">
        <v>228.2</v>
      </c>
      <c r="K2983">
        <v>0.35</v>
      </c>
      <c r="M2983" t="s">
        <v>205</v>
      </c>
    </row>
    <row r="2984" spans="1:13" hidden="1">
      <c r="A2984" t="s">
        <v>101</v>
      </c>
      <c r="B2984" t="s">
        <v>8</v>
      </c>
      <c r="C2984" t="s">
        <v>100</v>
      </c>
      <c r="D2984" t="str">
        <f>LEFT(M2984,10)</f>
        <v>12/15/2024</v>
      </c>
      <c r="E2984" t="s">
        <v>202</v>
      </c>
      <c r="F2984" t="s">
        <v>227</v>
      </c>
      <c r="G2984" t="s">
        <v>238</v>
      </c>
      <c r="I2984">
        <v>177</v>
      </c>
      <c r="J2984">
        <v>79.650000000000006</v>
      </c>
      <c r="K2984">
        <v>0.45</v>
      </c>
      <c r="M2984" t="s">
        <v>205</v>
      </c>
    </row>
    <row r="2985" spans="1:13" hidden="1">
      <c r="A2985" t="s">
        <v>101</v>
      </c>
      <c r="B2985" t="s">
        <v>8</v>
      </c>
      <c r="C2985" t="s">
        <v>100</v>
      </c>
      <c r="D2985" t="str">
        <f>LEFT(M2985,10)</f>
        <v>12/15/2024</v>
      </c>
      <c r="E2985" t="s">
        <v>202</v>
      </c>
      <c r="F2985" t="s">
        <v>227</v>
      </c>
      <c r="G2985" t="s">
        <v>252</v>
      </c>
      <c r="I2985">
        <v>343</v>
      </c>
      <c r="J2985">
        <v>154.35</v>
      </c>
      <c r="K2985">
        <v>0.45</v>
      </c>
      <c r="M2985" t="s">
        <v>205</v>
      </c>
    </row>
    <row r="2986" spans="1:13" hidden="1">
      <c r="A2986" t="s">
        <v>101</v>
      </c>
      <c r="B2986" t="s">
        <v>8</v>
      </c>
      <c r="C2986" t="s">
        <v>100</v>
      </c>
      <c r="D2986" t="str">
        <f>LEFT(M2986,10)</f>
        <v>12/15/2024</v>
      </c>
      <c r="E2986" t="s">
        <v>202</v>
      </c>
      <c r="F2986" t="s">
        <v>227</v>
      </c>
      <c r="G2986" t="s">
        <v>229</v>
      </c>
      <c r="I2986">
        <v>13136</v>
      </c>
      <c r="J2986">
        <v>10579</v>
      </c>
      <c r="K2986">
        <v>0.81</v>
      </c>
      <c r="M2986" t="s">
        <v>205</v>
      </c>
    </row>
    <row r="2987" spans="1:13" hidden="1">
      <c r="A2987" t="s">
        <v>101</v>
      </c>
      <c r="B2987" t="s">
        <v>8</v>
      </c>
      <c r="C2987" t="s">
        <v>100</v>
      </c>
      <c r="D2987" t="str">
        <f>LEFT(M2987,10)</f>
        <v>12/15/2024</v>
      </c>
      <c r="E2987" t="s">
        <v>202</v>
      </c>
      <c r="F2987" t="s">
        <v>218</v>
      </c>
      <c r="G2987" t="s">
        <v>247</v>
      </c>
      <c r="I2987">
        <v>66</v>
      </c>
      <c r="J2987">
        <v>290.39999999999998</v>
      </c>
      <c r="K2987">
        <v>4.4000000000000004</v>
      </c>
      <c r="M2987" t="s">
        <v>205</v>
      </c>
    </row>
    <row r="2988" spans="1:13" hidden="1">
      <c r="A2988" t="s">
        <v>101</v>
      </c>
      <c r="B2988" t="s">
        <v>8</v>
      </c>
      <c r="C2988" t="s">
        <v>100</v>
      </c>
      <c r="D2988" t="str">
        <f>LEFT(M2988,10)</f>
        <v>12/15/2024</v>
      </c>
      <c r="E2988" t="s">
        <v>202</v>
      </c>
      <c r="F2988" t="s">
        <v>218</v>
      </c>
      <c r="G2988" t="s">
        <v>225</v>
      </c>
      <c r="I2988">
        <v>80</v>
      </c>
      <c r="J2988">
        <v>80</v>
      </c>
      <c r="K2988">
        <v>1</v>
      </c>
      <c r="M2988" t="s">
        <v>205</v>
      </c>
    </row>
    <row r="2989" spans="1:13" hidden="1">
      <c r="A2989" t="s">
        <v>101</v>
      </c>
      <c r="B2989" t="s">
        <v>8</v>
      </c>
      <c r="C2989" t="s">
        <v>100</v>
      </c>
      <c r="D2989" t="str">
        <f>LEFT(M2989,10)</f>
        <v>12/15/2024</v>
      </c>
      <c r="E2989" t="s">
        <v>202</v>
      </c>
      <c r="F2989" t="s">
        <v>218</v>
      </c>
      <c r="G2989" t="s">
        <v>220</v>
      </c>
      <c r="I2989">
        <v>1072</v>
      </c>
      <c r="J2989">
        <v>1554.4</v>
      </c>
      <c r="K2989">
        <v>1.45</v>
      </c>
      <c r="M2989" t="s">
        <v>205</v>
      </c>
    </row>
    <row r="2990" spans="1:13" hidden="1">
      <c r="A2990" t="s">
        <v>101</v>
      </c>
      <c r="B2990" t="s">
        <v>8</v>
      </c>
      <c r="C2990" t="s">
        <v>100</v>
      </c>
      <c r="D2990" t="str">
        <f>LEFT(M2990,10)</f>
        <v>12/15/2024</v>
      </c>
      <c r="E2990" t="s">
        <v>202</v>
      </c>
      <c r="F2990" t="s">
        <v>218</v>
      </c>
      <c r="G2990" t="s">
        <v>226</v>
      </c>
      <c r="I2990">
        <v>1154</v>
      </c>
      <c r="J2990">
        <v>461.6</v>
      </c>
      <c r="K2990">
        <v>0.4</v>
      </c>
      <c r="M2990" t="s">
        <v>205</v>
      </c>
    </row>
    <row r="2991" spans="1:13" hidden="1">
      <c r="A2991" t="s">
        <v>101</v>
      </c>
      <c r="B2991" t="s">
        <v>8</v>
      </c>
      <c r="C2991" t="s">
        <v>100</v>
      </c>
      <c r="D2991" t="str">
        <f>LEFT(M2991,10)</f>
        <v>12/15/2024</v>
      </c>
      <c r="E2991" t="s">
        <v>202</v>
      </c>
      <c r="F2991" t="s">
        <v>218</v>
      </c>
      <c r="G2991" t="s">
        <v>223</v>
      </c>
      <c r="I2991">
        <v>840</v>
      </c>
      <c r="J2991">
        <v>721.4</v>
      </c>
      <c r="K2991">
        <v>0.86</v>
      </c>
      <c r="M2991" t="s">
        <v>205</v>
      </c>
    </row>
    <row r="2992" spans="1:13" hidden="1">
      <c r="A2992" t="s">
        <v>101</v>
      </c>
      <c r="B2992" t="s">
        <v>8</v>
      </c>
      <c r="C2992" t="s">
        <v>100</v>
      </c>
      <c r="D2992" t="str">
        <f>LEFT(M2992,10)</f>
        <v>12/15/2024</v>
      </c>
      <c r="E2992" t="s">
        <v>202</v>
      </c>
      <c r="F2992" t="s">
        <v>218</v>
      </c>
      <c r="G2992" t="s">
        <v>240</v>
      </c>
      <c r="I2992">
        <v>1068</v>
      </c>
      <c r="J2992">
        <v>4613.3999999999996</v>
      </c>
      <c r="K2992">
        <v>4.32</v>
      </c>
      <c r="M2992" t="s">
        <v>205</v>
      </c>
    </row>
    <row r="2993" spans="1:13" hidden="1">
      <c r="A2993" t="s">
        <v>101</v>
      </c>
      <c r="B2993" t="s">
        <v>8</v>
      </c>
      <c r="C2993" t="s">
        <v>100</v>
      </c>
      <c r="D2993" t="str">
        <f>LEFT(M2993,10)</f>
        <v>12/15/2024</v>
      </c>
      <c r="E2993" t="s">
        <v>202</v>
      </c>
      <c r="F2993" t="s">
        <v>218</v>
      </c>
      <c r="G2993" t="s">
        <v>242</v>
      </c>
      <c r="I2993">
        <v>71</v>
      </c>
      <c r="J2993">
        <v>85.2</v>
      </c>
      <c r="K2993">
        <v>1.2</v>
      </c>
      <c r="M2993" t="s">
        <v>205</v>
      </c>
    </row>
    <row r="2994" spans="1:13" hidden="1">
      <c r="A2994" t="s">
        <v>101</v>
      </c>
      <c r="B2994" t="s">
        <v>8</v>
      </c>
      <c r="C2994" t="s">
        <v>100</v>
      </c>
      <c r="D2994" t="str">
        <f>LEFT(M2994,10)</f>
        <v>12/15/2024</v>
      </c>
      <c r="E2994" t="s">
        <v>202</v>
      </c>
      <c r="F2994" t="s">
        <v>218</v>
      </c>
      <c r="G2994" t="s">
        <v>224</v>
      </c>
      <c r="I2994">
        <v>127</v>
      </c>
      <c r="J2994">
        <v>152.4</v>
      </c>
      <c r="K2994">
        <v>1.2</v>
      </c>
      <c r="M2994" t="s">
        <v>205</v>
      </c>
    </row>
    <row r="2995" spans="1:13" hidden="1">
      <c r="A2995" t="s">
        <v>101</v>
      </c>
      <c r="B2995" t="s">
        <v>8</v>
      </c>
      <c r="C2995" t="s">
        <v>100</v>
      </c>
      <c r="D2995" t="str">
        <f>LEFT(M2995,10)</f>
        <v>12/15/2024</v>
      </c>
      <c r="E2995" t="s">
        <v>202</v>
      </c>
      <c r="F2995" t="s">
        <v>218</v>
      </c>
      <c r="G2995" t="s">
        <v>222</v>
      </c>
      <c r="I2995">
        <v>503</v>
      </c>
      <c r="J2995">
        <v>704.2</v>
      </c>
      <c r="K2995">
        <v>1.4</v>
      </c>
      <c r="M2995" t="s">
        <v>205</v>
      </c>
    </row>
    <row r="2996" spans="1:13" hidden="1">
      <c r="A2996" t="s">
        <v>101</v>
      </c>
      <c r="B2996" t="s">
        <v>8</v>
      </c>
      <c r="C2996" t="s">
        <v>100</v>
      </c>
      <c r="D2996" t="str">
        <f>LEFT(M2996,10)</f>
        <v>12/15/2024</v>
      </c>
      <c r="E2996" t="s">
        <v>202</v>
      </c>
      <c r="F2996" t="s">
        <v>218</v>
      </c>
      <c r="G2996" t="s">
        <v>243</v>
      </c>
      <c r="H2996" t="s">
        <v>393</v>
      </c>
      <c r="I2996">
        <v>429</v>
      </c>
      <c r="J2996">
        <v>900.9</v>
      </c>
      <c r="K2996">
        <v>2.1</v>
      </c>
      <c r="M2996" t="s">
        <v>205</v>
      </c>
    </row>
    <row r="2997" spans="1:13" hidden="1">
      <c r="A2997" t="s">
        <v>101</v>
      </c>
      <c r="B2997" t="s">
        <v>8</v>
      </c>
      <c r="C2997" t="s">
        <v>100</v>
      </c>
      <c r="D2997" t="str">
        <f>LEFT(M2997,10)</f>
        <v>12/15/2024</v>
      </c>
      <c r="E2997" t="s">
        <v>202</v>
      </c>
      <c r="F2997" t="s">
        <v>218</v>
      </c>
      <c r="G2997" t="s">
        <v>243</v>
      </c>
      <c r="H2997" t="s">
        <v>394</v>
      </c>
      <c r="I2997">
        <v>714</v>
      </c>
      <c r="J2997">
        <v>1927.8</v>
      </c>
      <c r="K2997">
        <v>2.7</v>
      </c>
      <c r="M2997" t="s">
        <v>205</v>
      </c>
    </row>
    <row r="2998" spans="1:13" hidden="1">
      <c r="A2998" t="s">
        <v>101</v>
      </c>
      <c r="B2998" t="s">
        <v>8</v>
      </c>
      <c r="C2998" t="s">
        <v>100</v>
      </c>
      <c r="D2998" t="str">
        <f>LEFT(M2998,10)</f>
        <v>12/15/2024</v>
      </c>
      <c r="E2998" t="s">
        <v>202</v>
      </c>
      <c r="F2998" t="s">
        <v>218</v>
      </c>
      <c r="G2998" t="s">
        <v>243</v>
      </c>
      <c r="H2998" t="s">
        <v>475</v>
      </c>
      <c r="I2998">
        <v>93</v>
      </c>
      <c r="J2998">
        <v>27.9</v>
      </c>
      <c r="K2998">
        <v>0.3</v>
      </c>
      <c r="M2998" t="s">
        <v>205</v>
      </c>
    </row>
    <row r="2999" spans="1:13" hidden="1">
      <c r="A2999" t="s">
        <v>101</v>
      </c>
      <c r="B2999" t="s">
        <v>8</v>
      </c>
      <c r="C2999" t="s">
        <v>100</v>
      </c>
      <c r="D2999" t="str">
        <f>LEFT(M2999,10)</f>
        <v>12/15/2024</v>
      </c>
      <c r="E2999" t="s">
        <v>232</v>
      </c>
      <c r="F2999" t="s">
        <v>255</v>
      </c>
      <c r="I2999">
        <v>0</v>
      </c>
      <c r="J2999">
        <v>50</v>
      </c>
      <c r="L2999" t="s">
        <v>396</v>
      </c>
      <c r="M2999" t="s">
        <v>205</v>
      </c>
    </row>
    <row r="3000" spans="1:13" hidden="1">
      <c r="A3000" t="s">
        <v>101</v>
      </c>
      <c r="B3000" t="s">
        <v>8</v>
      </c>
      <c r="C3000" t="s">
        <v>100</v>
      </c>
      <c r="D3000" t="str">
        <f>LEFT(M3000,10)</f>
        <v>12/15/2024</v>
      </c>
      <c r="E3000" t="s">
        <v>232</v>
      </c>
      <c r="F3000" t="s">
        <v>287</v>
      </c>
      <c r="I3000">
        <v>0</v>
      </c>
      <c r="J3000">
        <v>546.12</v>
      </c>
      <c r="M3000" t="s">
        <v>205</v>
      </c>
    </row>
    <row r="3001" spans="1:13" hidden="1">
      <c r="A3001" t="s">
        <v>101</v>
      </c>
      <c r="B3001" t="s">
        <v>8</v>
      </c>
      <c r="C3001" t="s">
        <v>100</v>
      </c>
      <c r="D3001" t="str">
        <f>LEFT(M3001,10)</f>
        <v>12/15/2024</v>
      </c>
      <c r="E3001" t="s">
        <v>232</v>
      </c>
      <c r="F3001" t="s">
        <v>254</v>
      </c>
      <c r="I3001">
        <v>0</v>
      </c>
      <c r="J3001">
        <v>657.4</v>
      </c>
      <c r="M3001" t="s">
        <v>205</v>
      </c>
    </row>
    <row r="3002" spans="1:13" hidden="1">
      <c r="A3002" t="s">
        <v>101</v>
      </c>
      <c r="B3002" t="s">
        <v>8</v>
      </c>
      <c r="C3002" t="s">
        <v>100</v>
      </c>
      <c r="D3002" t="str">
        <f>LEFT(M3002,10)</f>
        <v>12/15/2024</v>
      </c>
      <c r="E3002" t="s">
        <v>230</v>
      </c>
      <c r="F3002" t="s">
        <v>248</v>
      </c>
      <c r="I3002">
        <v>0</v>
      </c>
      <c r="J3002">
        <v>13148</v>
      </c>
      <c r="M3002" t="s">
        <v>205</v>
      </c>
    </row>
    <row r="3003" spans="1:13" hidden="1">
      <c r="A3003" t="s">
        <v>101</v>
      </c>
      <c r="B3003" t="s">
        <v>8</v>
      </c>
      <c r="C3003" t="s">
        <v>100</v>
      </c>
      <c r="D3003" t="str">
        <f>LEFT(M3003,10)</f>
        <v>12/15/2024</v>
      </c>
      <c r="E3003" t="s">
        <v>234</v>
      </c>
      <c r="F3003" t="s">
        <v>234</v>
      </c>
      <c r="I3003">
        <v>4032</v>
      </c>
      <c r="M3003" t="s">
        <v>205</v>
      </c>
    </row>
    <row r="3004" spans="1:13" hidden="1">
      <c r="A3004" t="s">
        <v>101</v>
      </c>
      <c r="B3004" t="s">
        <v>8</v>
      </c>
      <c r="C3004" t="s">
        <v>100</v>
      </c>
      <c r="D3004" t="str">
        <f>LEFT(M3004,10)</f>
        <v>12/15/2024</v>
      </c>
      <c r="E3004" t="s">
        <v>202</v>
      </c>
      <c r="F3004" t="s">
        <v>227</v>
      </c>
      <c r="G3004" t="s">
        <v>237</v>
      </c>
      <c r="I3004">
        <v>1135</v>
      </c>
      <c r="J3004">
        <v>737.75</v>
      </c>
      <c r="K3004">
        <v>0.65</v>
      </c>
      <c r="M3004" t="s">
        <v>205</v>
      </c>
    </row>
    <row r="3005" spans="1:13" hidden="1">
      <c r="A3005" t="s">
        <v>62</v>
      </c>
      <c r="B3005" t="s">
        <v>63</v>
      </c>
      <c r="C3005" t="s">
        <v>19</v>
      </c>
      <c r="D3005" t="str">
        <f>LEFT(M3005,10)</f>
        <v>12/15/2024</v>
      </c>
      <c r="E3005" t="s">
        <v>202</v>
      </c>
      <c r="F3005" t="s">
        <v>227</v>
      </c>
      <c r="G3005" t="s">
        <v>237</v>
      </c>
      <c r="I3005">
        <v>555</v>
      </c>
      <c r="J3005">
        <v>388.5</v>
      </c>
      <c r="K3005">
        <v>0.7</v>
      </c>
      <c r="M3005" t="s">
        <v>205</v>
      </c>
    </row>
    <row r="3006" spans="1:13" hidden="1">
      <c r="A3006" t="s">
        <v>62</v>
      </c>
      <c r="B3006" t="s">
        <v>63</v>
      </c>
      <c r="C3006" t="s">
        <v>19</v>
      </c>
      <c r="D3006" t="str">
        <f>LEFT(M3006,10)</f>
        <v>12/15/2024</v>
      </c>
      <c r="E3006" t="s">
        <v>202</v>
      </c>
      <c r="F3006" t="s">
        <v>227</v>
      </c>
      <c r="G3006" t="s">
        <v>229</v>
      </c>
      <c r="I3006">
        <v>6320</v>
      </c>
      <c r="J3006">
        <v>3792</v>
      </c>
      <c r="K3006">
        <v>0.6</v>
      </c>
      <c r="M3006" t="s">
        <v>205</v>
      </c>
    </row>
    <row r="3007" spans="1:13" hidden="1">
      <c r="A3007" t="s">
        <v>62</v>
      </c>
      <c r="B3007" t="s">
        <v>63</v>
      </c>
      <c r="C3007" t="s">
        <v>19</v>
      </c>
      <c r="D3007" t="str">
        <f>LEFT(M3007,10)</f>
        <v>12/15/2024</v>
      </c>
      <c r="E3007" t="s">
        <v>202</v>
      </c>
      <c r="F3007" t="s">
        <v>227</v>
      </c>
      <c r="G3007" t="s">
        <v>238</v>
      </c>
      <c r="I3007">
        <v>1022</v>
      </c>
      <c r="J3007">
        <v>357.7</v>
      </c>
      <c r="K3007">
        <v>0.35</v>
      </c>
      <c r="M3007" t="s">
        <v>205</v>
      </c>
    </row>
    <row r="3008" spans="1:13" hidden="1">
      <c r="A3008" t="s">
        <v>62</v>
      </c>
      <c r="B3008" t="s">
        <v>63</v>
      </c>
      <c r="C3008" t="s">
        <v>19</v>
      </c>
      <c r="D3008" t="str">
        <f>LEFT(M3008,10)</f>
        <v>12/15/2024</v>
      </c>
      <c r="E3008" t="s">
        <v>202</v>
      </c>
      <c r="F3008" t="s">
        <v>227</v>
      </c>
      <c r="G3008" t="s">
        <v>252</v>
      </c>
      <c r="I3008">
        <v>2221</v>
      </c>
      <c r="J3008">
        <v>555.25</v>
      </c>
      <c r="K3008">
        <v>0.25</v>
      </c>
      <c r="M3008" t="s">
        <v>205</v>
      </c>
    </row>
    <row r="3009" spans="1:13" hidden="1">
      <c r="A3009" t="s">
        <v>62</v>
      </c>
      <c r="B3009" t="s">
        <v>63</v>
      </c>
      <c r="C3009" t="s">
        <v>19</v>
      </c>
      <c r="D3009" t="str">
        <f>LEFT(M3009,10)</f>
        <v>12/15/2024</v>
      </c>
      <c r="E3009" t="s">
        <v>202</v>
      </c>
      <c r="F3009" t="s">
        <v>227</v>
      </c>
      <c r="G3009" t="s">
        <v>228</v>
      </c>
      <c r="I3009">
        <v>3900</v>
      </c>
      <c r="J3009">
        <v>1560</v>
      </c>
      <c r="K3009">
        <v>0.4</v>
      </c>
      <c r="M3009" t="s">
        <v>205</v>
      </c>
    </row>
    <row r="3010" spans="1:13" hidden="1">
      <c r="A3010" t="s">
        <v>62</v>
      </c>
      <c r="B3010" t="s">
        <v>63</v>
      </c>
      <c r="C3010" t="s">
        <v>19</v>
      </c>
      <c r="D3010" t="str">
        <f>LEFT(M3010,10)</f>
        <v>12/15/2024</v>
      </c>
      <c r="E3010" t="s">
        <v>202</v>
      </c>
      <c r="F3010" t="s">
        <v>218</v>
      </c>
      <c r="G3010" t="s">
        <v>224</v>
      </c>
      <c r="I3010">
        <v>1030</v>
      </c>
      <c r="J3010">
        <v>927</v>
      </c>
      <c r="K3010">
        <v>0.9</v>
      </c>
      <c r="M3010" t="s">
        <v>205</v>
      </c>
    </row>
    <row r="3011" spans="1:13" hidden="1">
      <c r="A3011" t="s">
        <v>62</v>
      </c>
      <c r="B3011" t="s">
        <v>63</v>
      </c>
      <c r="C3011" t="s">
        <v>19</v>
      </c>
      <c r="D3011" t="str">
        <f>LEFT(M3011,10)</f>
        <v>12/15/2024</v>
      </c>
      <c r="E3011" t="s">
        <v>202</v>
      </c>
      <c r="F3011" t="s">
        <v>218</v>
      </c>
      <c r="G3011" t="s">
        <v>221</v>
      </c>
      <c r="I3011">
        <v>980</v>
      </c>
      <c r="J3011">
        <v>2254</v>
      </c>
      <c r="K3011">
        <v>2.2999999999999998</v>
      </c>
      <c r="M3011" t="s">
        <v>205</v>
      </c>
    </row>
    <row r="3012" spans="1:13" hidden="1">
      <c r="A3012" t="s">
        <v>62</v>
      </c>
      <c r="B3012" t="s">
        <v>63</v>
      </c>
      <c r="C3012" t="s">
        <v>19</v>
      </c>
      <c r="D3012" t="str">
        <f>LEFT(M3012,10)</f>
        <v>12/15/2024</v>
      </c>
      <c r="E3012" t="s">
        <v>202</v>
      </c>
      <c r="F3012" t="s">
        <v>218</v>
      </c>
      <c r="G3012" t="s">
        <v>223</v>
      </c>
      <c r="I3012">
        <v>1255</v>
      </c>
      <c r="J3012">
        <v>941.25</v>
      </c>
      <c r="K3012">
        <v>0.75</v>
      </c>
      <c r="M3012" t="s">
        <v>205</v>
      </c>
    </row>
    <row r="3013" spans="1:13" hidden="1">
      <c r="A3013" t="s">
        <v>62</v>
      </c>
      <c r="B3013" t="s">
        <v>63</v>
      </c>
      <c r="C3013" t="s">
        <v>19</v>
      </c>
      <c r="D3013" t="str">
        <f>LEFT(M3013,10)</f>
        <v>12/15/2024</v>
      </c>
      <c r="E3013" t="s">
        <v>202</v>
      </c>
      <c r="F3013" t="s">
        <v>218</v>
      </c>
      <c r="G3013" t="s">
        <v>241</v>
      </c>
      <c r="I3013">
        <v>195</v>
      </c>
      <c r="J3013">
        <v>877.5</v>
      </c>
      <c r="K3013">
        <v>4.5</v>
      </c>
      <c r="M3013" t="s">
        <v>205</v>
      </c>
    </row>
    <row r="3014" spans="1:13" hidden="1">
      <c r="A3014" t="s">
        <v>62</v>
      </c>
      <c r="B3014" t="s">
        <v>63</v>
      </c>
      <c r="C3014" t="s">
        <v>19</v>
      </c>
      <c r="D3014" t="str">
        <f>LEFT(M3014,10)</f>
        <v>12/15/2024</v>
      </c>
      <c r="E3014" t="s">
        <v>202</v>
      </c>
      <c r="F3014" t="s">
        <v>218</v>
      </c>
      <c r="G3014" t="s">
        <v>240</v>
      </c>
      <c r="I3014">
        <v>1555</v>
      </c>
      <c r="J3014">
        <v>622</v>
      </c>
      <c r="K3014">
        <v>0.4</v>
      </c>
      <c r="M3014" t="s">
        <v>205</v>
      </c>
    </row>
    <row r="3015" spans="1:13" hidden="1">
      <c r="A3015" t="s">
        <v>62</v>
      </c>
      <c r="B3015" t="s">
        <v>63</v>
      </c>
      <c r="C3015" t="s">
        <v>19</v>
      </c>
      <c r="D3015" t="str">
        <f>LEFT(M3015,10)</f>
        <v>12/15/2024</v>
      </c>
      <c r="E3015" t="s">
        <v>202</v>
      </c>
      <c r="F3015" t="s">
        <v>218</v>
      </c>
      <c r="G3015" t="s">
        <v>222</v>
      </c>
      <c r="I3015">
        <v>1322</v>
      </c>
      <c r="J3015">
        <v>2379.8000000000002</v>
      </c>
      <c r="K3015">
        <v>1.8</v>
      </c>
      <c r="M3015" t="s">
        <v>205</v>
      </c>
    </row>
    <row r="3016" spans="1:13" hidden="1">
      <c r="A3016" t="s">
        <v>62</v>
      </c>
      <c r="B3016" t="s">
        <v>63</v>
      </c>
      <c r="C3016" t="s">
        <v>19</v>
      </c>
      <c r="D3016" t="str">
        <f>LEFT(M3016,10)</f>
        <v>12/15/2024</v>
      </c>
      <c r="E3016" t="s">
        <v>202</v>
      </c>
      <c r="F3016" t="s">
        <v>218</v>
      </c>
      <c r="G3016" t="s">
        <v>247</v>
      </c>
      <c r="I3016">
        <v>45</v>
      </c>
      <c r="J3016">
        <v>166.5</v>
      </c>
      <c r="K3016">
        <v>3.7</v>
      </c>
      <c r="M3016" t="s">
        <v>205</v>
      </c>
    </row>
    <row r="3017" spans="1:13" hidden="1">
      <c r="A3017" t="s">
        <v>62</v>
      </c>
      <c r="B3017" t="s">
        <v>63</v>
      </c>
      <c r="C3017" t="s">
        <v>19</v>
      </c>
      <c r="D3017" t="str">
        <f>LEFT(M3017,10)</f>
        <v>12/15/2024</v>
      </c>
      <c r="E3017" t="s">
        <v>202</v>
      </c>
      <c r="F3017" t="s">
        <v>218</v>
      </c>
      <c r="G3017" t="s">
        <v>222</v>
      </c>
      <c r="I3017">
        <v>235</v>
      </c>
      <c r="J3017">
        <v>399.5</v>
      </c>
      <c r="K3017">
        <v>1.7</v>
      </c>
      <c r="M3017" t="s">
        <v>205</v>
      </c>
    </row>
    <row r="3018" spans="1:13" hidden="1">
      <c r="A3018" t="s">
        <v>62</v>
      </c>
      <c r="B3018" t="s">
        <v>63</v>
      </c>
      <c r="C3018" t="s">
        <v>19</v>
      </c>
      <c r="D3018" t="str">
        <f>LEFT(M3018,10)</f>
        <v>12/15/2024</v>
      </c>
      <c r="E3018" t="s">
        <v>202</v>
      </c>
      <c r="F3018" t="s">
        <v>218</v>
      </c>
      <c r="G3018" t="s">
        <v>226</v>
      </c>
      <c r="I3018">
        <v>1020</v>
      </c>
      <c r="J3018">
        <v>408</v>
      </c>
      <c r="K3018">
        <v>0.4</v>
      </c>
      <c r="M3018" t="s">
        <v>205</v>
      </c>
    </row>
    <row r="3019" spans="1:13" hidden="1">
      <c r="A3019" t="s">
        <v>62</v>
      </c>
      <c r="B3019" t="s">
        <v>63</v>
      </c>
      <c r="C3019" t="s">
        <v>19</v>
      </c>
      <c r="D3019" t="str">
        <f>LEFT(M3019,10)</f>
        <v>12/15/2024</v>
      </c>
      <c r="E3019" t="s">
        <v>202</v>
      </c>
      <c r="F3019" t="s">
        <v>216</v>
      </c>
      <c r="G3019" t="s">
        <v>253</v>
      </c>
      <c r="I3019">
        <v>15610</v>
      </c>
      <c r="J3019">
        <v>1404.9</v>
      </c>
      <c r="K3019">
        <v>0.09</v>
      </c>
      <c r="M3019" t="s">
        <v>205</v>
      </c>
    </row>
    <row r="3020" spans="1:13" hidden="1">
      <c r="A3020" t="s">
        <v>62</v>
      </c>
      <c r="B3020" t="s">
        <v>63</v>
      </c>
      <c r="C3020" t="s">
        <v>19</v>
      </c>
      <c r="D3020" t="str">
        <f>LEFT(M3020,10)</f>
        <v>12/15/2024</v>
      </c>
      <c r="E3020" t="s">
        <v>202</v>
      </c>
      <c r="F3020" t="s">
        <v>218</v>
      </c>
      <c r="G3020" t="s">
        <v>222</v>
      </c>
      <c r="I3020">
        <v>1310</v>
      </c>
      <c r="J3020">
        <v>1703</v>
      </c>
      <c r="K3020">
        <v>1.3</v>
      </c>
      <c r="M3020" t="s">
        <v>205</v>
      </c>
    </row>
    <row r="3021" spans="1:13" hidden="1">
      <c r="A3021" t="s">
        <v>62</v>
      </c>
      <c r="B3021" t="s">
        <v>63</v>
      </c>
      <c r="C3021" t="s">
        <v>19</v>
      </c>
      <c r="D3021" t="str">
        <f>LEFT(M3021,10)</f>
        <v>12/15/2024</v>
      </c>
      <c r="E3021" t="s">
        <v>202</v>
      </c>
      <c r="F3021" t="s">
        <v>203</v>
      </c>
      <c r="G3021" t="s">
        <v>215</v>
      </c>
      <c r="I3021">
        <v>3130</v>
      </c>
      <c r="J3021">
        <v>1252</v>
      </c>
      <c r="K3021">
        <v>0.4</v>
      </c>
      <c r="M3021" t="s">
        <v>205</v>
      </c>
    </row>
    <row r="3022" spans="1:13" hidden="1">
      <c r="A3022" t="s">
        <v>62</v>
      </c>
      <c r="B3022" t="s">
        <v>63</v>
      </c>
      <c r="C3022" t="s">
        <v>19</v>
      </c>
      <c r="D3022" t="str">
        <f>LEFT(M3022,10)</f>
        <v>12/15/2024</v>
      </c>
      <c r="E3022" t="s">
        <v>202</v>
      </c>
      <c r="F3022" t="s">
        <v>203</v>
      </c>
      <c r="G3022" t="s">
        <v>204</v>
      </c>
      <c r="I3022">
        <v>76</v>
      </c>
      <c r="J3022">
        <v>684</v>
      </c>
      <c r="K3022">
        <v>9</v>
      </c>
      <c r="M3022" t="s">
        <v>205</v>
      </c>
    </row>
    <row r="3023" spans="1:13" hidden="1">
      <c r="A3023" t="s">
        <v>62</v>
      </c>
      <c r="B3023" t="s">
        <v>63</v>
      </c>
      <c r="C3023" t="s">
        <v>19</v>
      </c>
      <c r="D3023" t="str">
        <f>LEFT(M3023,10)</f>
        <v>12/15/2024</v>
      </c>
      <c r="E3023" t="s">
        <v>202</v>
      </c>
      <c r="F3023" t="s">
        <v>218</v>
      </c>
      <c r="G3023" t="s">
        <v>239</v>
      </c>
      <c r="I3023">
        <v>14547</v>
      </c>
      <c r="J3023">
        <v>727.35</v>
      </c>
      <c r="K3023">
        <v>0.05</v>
      </c>
      <c r="M3023" t="s">
        <v>205</v>
      </c>
    </row>
    <row r="3024" spans="1:13" hidden="1">
      <c r="A3024" t="s">
        <v>62</v>
      </c>
      <c r="B3024" t="s">
        <v>63</v>
      </c>
      <c r="C3024" t="s">
        <v>19</v>
      </c>
      <c r="D3024" t="str">
        <f>LEFT(M3024,10)</f>
        <v>12/15/2024</v>
      </c>
      <c r="E3024" t="s">
        <v>202</v>
      </c>
      <c r="F3024" t="s">
        <v>218</v>
      </c>
      <c r="G3024" t="s">
        <v>241</v>
      </c>
      <c r="I3024">
        <v>1100</v>
      </c>
      <c r="J3024">
        <v>4950</v>
      </c>
      <c r="K3024">
        <v>4.5</v>
      </c>
      <c r="M3024" t="s">
        <v>205</v>
      </c>
    </row>
    <row r="3025" spans="1:13" hidden="1">
      <c r="A3025" t="s">
        <v>62</v>
      </c>
      <c r="B3025" t="s">
        <v>63</v>
      </c>
      <c r="C3025" t="s">
        <v>19</v>
      </c>
      <c r="D3025" t="str">
        <f>LEFT(M3025,10)</f>
        <v>12/15/2024</v>
      </c>
      <c r="E3025" t="s">
        <v>202</v>
      </c>
      <c r="F3025" t="s">
        <v>218</v>
      </c>
      <c r="G3025" t="s">
        <v>220</v>
      </c>
      <c r="I3025">
        <v>820</v>
      </c>
      <c r="J3025">
        <v>1148</v>
      </c>
      <c r="K3025">
        <v>1.4</v>
      </c>
      <c r="M3025" t="s">
        <v>205</v>
      </c>
    </row>
    <row r="3026" spans="1:13" hidden="1">
      <c r="A3026" t="s">
        <v>62</v>
      </c>
      <c r="B3026" t="s">
        <v>63</v>
      </c>
      <c r="C3026" t="s">
        <v>19</v>
      </c>
      <c r="D3026" t="str">
        <f>LEFT(M3026,10)</f>
        <v>12/15/2024</v>
      </c>
      <c r="E3026" t="s">
        <v>234</v>
      </c>
      <c r="F3026" t="s">
        <v>234</v>
      </c>
      <c r="I3026">
        <v>6773</v>
      </c>
      <c r="M3026" t="s">
        <v>205</v>
      </c>
    </row>
    <row r="3027" spans="1:13" hidden="1">
      <c r="A3027" t="s">
        <v>62</v>
      </c>
      <c r="B3027" t="s">
        <v>63</v>
      </c>
      <c r="C3027" t="s">
        <v>19</v>
      </c>
      <c r="D3027" t="str">
        <f>LEFT(M3027,10)</f>
        <v>12/15/2024</v>
      </c>
      <c r="E3027" t="s">
        <v>232</v>
      </c>
      <c r="F3027" t="s">
        <v>255</v>
      </c>
      <c r="I3027">
        <v>0</v>
      </c>
      <c r="J3027">
        <v>5693.66</v>
      </c>
      <c r="L3027" t="s">
        <v>476</v>
      </c>
      <c r="M3027" t="s">
        <v>205</v>
      </c>
    </row>
    <row r="3028" spans="1:13" hidden="1">
      <c r="A3028" t="s">
        <v>62</v>
      </c>
      <c r="B3028" t="s">
        <v>63</v>
      </c>
      <c r="C3028" t="s">
        <v>19</v>
      </c>
      <c r="D3028" t="str">
        <f>LEFT(M3028,10)</f>
        <v>12/15/2024</v>
      </c>
      <c r="E3028" t="s">
        <v>232</v>
      </c>
      <c r="F3028" t="s">
        <v>262</v>
      </c>
      <c r="I3028">
        <v>0</v>
      </c>
      <c r="J3028">
        <v>5098.12</v>
      </c>
      <c r="M3028" t="s">
        <v>205</v>
      </c>
    </row>
    <row r="3029" spans="1:13" hidden="1">
      <c r="A3029" t="s">
        <v>62</v>
      </c>
      <c r="B3029" t="s">
        <v>63</v>
      </c>
      <c r="C3029" t="s">
        <v>19</v>
      </c>
      <c r="D3029" t="str">
        <f>LEFT(M3029,10)</f>
        <v>12/15/2024</v>
      </c>
      <c r="E3029" t="s">
        <v>232</v>
      </c>
      <c r="F3029" t="s">
        <v>262</v>
      </c>
      <c r="I3029">
        <v>0</v>
      </c>
      <c r="J3029">
        <v>4576.9799999999996</v>
      </c>
      <c r="M3029" t="s">
        <v>205</v>
      </c>
    </row>
    <row r="3030" spans="1:13" hidden="1">
      <c r="A3030" t="s">
        <v>62</v>
      </c>
      <c r="B3030" t="s">
        <v>63</v>
      </c>
      <c r="C3030" t="s">
        <v>19</v>
      </c>
      <c r="D3030" t="str">
        <f>LEFT(M3030,10)</f>
        <v>12/15/2024</v>
      </c>
      <c r="E3030" t="s">
        <v>232</v>
      </c>
      <c r="F3030" t="s">
        <v>255</v>
      </c>
      <c r="I3030">
        <v>0</v>
      </c>
      <c r="J3030">
        <v>765</v>
      </c>
      <c r="L3030" t="s">
        <v>264</v>
      </c>
      <c r="M3030" t="s">
        <v>205</v>
      </c>
    </row>
    <row r="3031" spans="1:13" hidden="1">
      <c r="A3031" t="s">
        <v>62</v>
      </c>
      <c r="B3031" t="s">
        <v>63</v>
      </c>
      <c r="C3031" t="s">
        <v>19</v>
      </c>
      <c r="D3031" t="str">
        <f>LEFT(M3031,10)</f>
        <v>12/15/2024</v>
      </c>
      <c r="E3031" t="s">
        <v>232</v>
      </c>
      <c r="F3031" t="s">
        <v>255</v>
      </c>
      <c r="I3031">
        <v>0</v>
      </c>
      <c r="J3031">
        <v>9650.4</v>
      </c>
      <c r="L3031" t="s">
        <v>477</v>
      </c>
      <c r="M3031" t="s">
        <v>205</v>
      </c>
    </row>
    <row r="3032" spans="1:13" hidden="1">
      <c r="A3032" t="s">
        <v>62</v>
      </c>
      <c r="B3032" t="s">
        <v>63</v>
      </c>
      <c r="C3032" t="s">
        <v>19</v>
      </c>
      <c r="D3032" t="str">
        <f>LEFT(M3032,10)</f>
        <v>12/15/2024</v>
      </c>
      <c r="E3032" t="s">
        <v>232</v>
      </c>
      <c r="F3032" t="s">
        <v>291</v>
      </c>
      <c r="I3032">
        <v>0</v>
      </c>
      <c r="J3032">
        <v>424.92</v>
      </c>
      <c r="M3032" t="s">
        <v>205</v>
      </c>
    </row>
    <row r="3033" spans="1:13" hidden="1">
      <c r="A3033" t="s">
        <v>62</v>
      </c>
      <c r="B3033" t="s">
        <v>63</v>
      </c>
      <c r="C3033" t="s">
        <v>19</v>
      </c>
      <c r="D3033" t="str">
        <f>LEFT(M3033,10)</f>
        <v>12/15/2024</v>
      </c>
      <c r="E3033" t="s">
        <v>230</v>
      </c>
      <c r="F3033" t="s">
        <v>248</v>
      </c>
      <c r="I3033">
        <v>0</v>
      </c>
      <c r="J3033">
        <v>39448.17</v>
      </c>
      <c r="M3033" t="s">
        <v>205</v>
      </c>
    </row>
    <row r="3034" spans="1:13" hidden="1">
      <c r="A3034" t="s">
        <v>74</v>
      </c>
      <c r="B3034" t="s">
        <v>75</v>
      </c>
      <c r="C3034" t="s">
        <v>19</v>
      </c>
      <c r="D3034" t="str">
        <f>LEFT(M3034,10)</f>
        <v>12/15/2024</v>
      </c>
      <c r="E3034" t="s">
        <v>202</v>
      </c>
      <c r="F3034" t="s">
        <v>227</v>
      </c>
      <c r="G3034" t="s">
        <v>229</v>
      </c>
      <c r="I3034">
        <v>15170</v>
      </c>
      <c r="J3034">
        <v>9102</v>
      </c>
      <c r="K3034">
        <v>0.6</v>
      </c>
      <c r="M3034" t="s">
        <v>205</v>
      </c>
    </row>
    <row r="3035" spans="1:13" hidden="1">
      <c r="A3035" t="s">
        <v>74</v>
      </c>
      <c r="B3035" t="s">
        <v>75</v>
      </c>
      <c r="C3035" t="s">
        <v>19</v>
      </c>
      <c r="D3035" t="str">
        <f>LEFT(M3035,10)</f>
        <v>12/15/2024</v>
      </c>
      <c r="E3035" t="s">
        <v>230</v>
      </c>
      <c r="F3035" t="s">
        <v>248</v>
      </c>
      <c r="I3035">
        <v>0</v>
      </c>
      <c r="J3035">
        <v>39748.629999999997</v>
      </c>
      <c r="M3035" t="s">
        <v>205</v>
      </c>
    </row>
    <row r="3036" spans="1:13" hidden="1">
      <c r="A3036" t="s">
        <v>68</v>
      </c>
      <c r="B3036" t="s">
        <v>8</v>
      </c>
      <c r="C3036" t="s">
        <v>67</v>
      </c>
      <c r="D3036" t="str">
        <f>LEFT(M3036,10)</f>
        <v>12/15/2024</v>
      </c>
      <c r="E3036" t="s">
        <v>202</v>
      </c>
      <c r="F3036" t="s">
        <v>227</v>
      </c>
      <c r="G3036" t="s">
        <v>237</v>
      </c>
      <c r="I3036">
        <v>370</v>
      </c>
      <c r="J3036">
        <v>240.5</v>
      </c>
      <c r="K3036">
        <v>0.65</v>
      </c>
      <c r="M3036" t="s">
        <v>205</v>
      </c>
    </row>
    <row r="3037" spans="1:13" hidden="1">
      <c r="A3037" t="s">
        <v>68</v>
      </c>
      <c r="B3037" t="s">
        <v>8</v>
      </c>
      <c r="C3037" t="s">
        <v>67</v>
      </c>
      <c r="D3037" t="str">
        <f>LEFT(M3037,10)</f>
        <v>12/15/2024</v>
      </c>
      <c r="E3037" t="s">
        <v>202</v>
      </c>
      <c r="F3037" t="s">
        <v>227</v>
      </c>
      <c r="G3037" t="s">
        <v>228</v>
      </c>
      <c r="I3037">
        <v>795</v>
      </c>
      <c r="J3037">
        <v>198.75</v>
      </c>
      <c r="K3037">
        <v>0.25</v>
      </c>
      <c r="M3037" t="s">
        <v>205</v>
      </c>
    </row>
    <row r="3038" spans="1:13" hidden="1">
      <c r="A3038" t="s">
        <v>68</v>
      </c>
      <c r="B3038" t="s">
        <v>8</v>
      </c>
      <c r="C3038" t="s">
        <v>67</v>
      </c>
      <c r="D3038" t="str">
        <f>LEFT(M3038,10)</f>
        <v>12/15/2024</v>
      </c>
      <c r="E3038" t="s">
        <v>202</v>
      </c>
      <c r="F3038" t="s">
        <v>227</v>
      </c>
      <c r="G3038" t="s">
        <v>229</v>
      </c>
      <c r="I3038">
        <v>3751</v>
      </c>
      <c r="J3038">
        <v>2813.25</v>
      </c>
      <c r="K3038">
        <v>0.75</v>
      </c>
      <c r="M3038" t="s">
        <v>205</v>
      </c>
    </row>
    <row r="3039" spans="1:13" hidden="1">
      <c r="A3039" t="s">
        <v>68</v>
      </c>
      <c r="B3039" t="s">
        <v>8</v>
      </c>
      <c r="C3039" t="s">
        <v>67</v>
      </c>
      <c r="D3039" t="str">
        <f>LEFT(M3039,10)</f>
        <v>12/15/2024</v>
      </c>
      <c r="E3039" t="s">
        <v>202</v>
      </c>
      <c r="F3039" t="s">
        <v>227</v>
      </c>
      <c r="G3039" t="s">
        <v>238</v>
      </c>
      <c r="I3039">
        <v>364</v>
      </c>
      <c r="J3039">
        <v>163.80000000000001</v>
      </c>
      <c r="K3039">
        <v>0.45</v>
      </c>
      <c r="M3039" t="s">
        <v>205</v>
      </c>
    </row>
    <row r="3040" spans="1:13" hidden="1">
      <c r="A3040" t="s">
        <v>68</v>
      </c>
      <c r="B3040" t="s">
        <v>8</v>
      </c>
      <c r="C3040" t="s">
        <v>67</v>
      </c>
      <c r="D3040" t="str">
        <f>LEFT(M3040,10)</f>
        <v>12/15/2024</v>
      </c>
      <c r="E3040" t="s">
        <v>202</v>
      </c>
      <c r="F3040" t="s">
        <v>227</v>
      </c>
      <c r="G3040" t="s">
        <v>252</v>
      </c>
      <c r="I3040">
        <v>241</v>
      </c>
      <c r="J3040">
        <v>72.3</v>
      </c>
      <c r="K3040">
        <v>0.3</v>
      </c>
      <c r="M3040" t="s">
        <v>205</v>
      </c>
    </row>
    <row r="3041" spans="1:13" hidden="1">
      <c r="A3041" t="s">
        <v>68</v>
      </c>
      <c r="B3041" t="s">
        <v>8</v>
      </c>
      <c r="C3041" t="s">
        <v>67</v>
      </c>
      <c r="D3041" t="str">
        <f>LEFT(M3041,10)</f>
        <v>12/15/2024</v>
      </c>
      <c r="E3041" t="s">
        <v>202</v>
      </c>
      <c r="F3041" t="s">
        <v>218</v>
      </c>
      <c r="G3041" t="s">
        <v>224</v>
      </c>
      <c r="I3041">
        <v>118</v>
      </c>
      <c r="J3041">
        <v>100.3</v>
      </c>
      <c r="K3041">
        <v>0.85</v>
      </c>
      <c r="M3041" t="s">
        <v>205</v>
      </c>
    </row>
    <row r="3042" spans="1:13" hidden="1">
      <c r="A3042" t="s">
        <v>68</v>
      </c>
      <c r="B3042" t="s">
        <v>8</v>
      </c>
      <c r="C3042" t="s">
        <v>67</v>
      </c>
      <c r="D3042" t="str">
        <f>LEFT(M3042,10)</f>
        <v>12/15/2024</v>
      </c>
      <c r="E3042" t="s">
        <v>202</v>
      </c>
      <c r="F3042" t="s">
        <v>218</v>
      </c>
      <c r="G3042" t="s">
        <v>221</v>
      </c>
      <c r="I3042">
        <v>174</v>
      </c>
      <c r="J3042">
        <v>391.5</v>
      </c>
      <c r="K3042">
        <v>2.25</v>
      </c>
      <c r="M3042" t="s">
        <v>205</v>
      </c>
    </row>
    <row r="3043" spans="1:13" hidden="1">
      <c r="A3043" t="s">
        <v>68</v>
      </c>
      <c r="B3043" t="s">
        <v>8</v>
      </c>
      <c r="C3043" t="s">
        <v>67</v>
      </c>
      <c r="D3043" t="str">
        <f>LEFT(M3043,10)</f>
        <v>12/15/2024</v>
      </c>
      <c r="E3043" t="s">
        <v>202</v>
      </c>
      <c r="F3043" t="s">
        <v>218</v>
      </c>
      <c r="G3043" t="s">
        <v>221</v>
      </c>
      <c r="I3043">
        <v>233</v>
      </c>
      <c r="J3043">
        <v>547.54999999999995</v>
      </c>
      <c r="K3043">
        <v>2.35</v>
      </c>
      <c r="M3043" t="s">
        <v>205</v>
      </c>
    </row>
    <row r="3044" spans="1:13" hidden="1">
      <c r="A3044" t="s">
        <v>68</v>
      </c>
      <c r="B3044" t="s">
        <v>8</v>
      </c>
      <c r="C3044" t="s">
        <v>67</v>
      </c>
      <c r="D3044" t="str">
        <f>LEFT(M3044,10)</f>
        <v>12/15/2024</v>
      </c>
      <c r="E3044" t="s">
        <v>202</v>
      </c>
      <c r="F3044" t="s">
        <v>218</v>
      </c>
      <c r="G3044" t="s">
        <v>220</v>
      </c>
      <c r="I3044">
        <v>454</v>
      </c>
      <c r="J3044">
        <v>590.20000000000005</v>
      </c>
      <c r="K3044">
        <v>1.3</v>
      </c>
      <c r="M3044" t="s">
        <v>205</v>
      </c>
    </row>
    <row r="3045" spans="1:13" hidden="1">
      <c r="A3045" t="s">
        <v>68</v>
      </c>
      <c r="B3045" t="s">
        <v>8</v>
      </c>
      <c r="C3045" t="s">
        <v>67</v>
      </c>
      <c r="D3045" t="str">
        <f>LEFT(M3045,10)</f>
        <v>12/15/2024</v>
      </c>
      <c r="E3045" t="s">
        <v>202</v>
      </c>
      <c r="F3045" t="s">
        <v>218</v>
      </c>
      <c r="G3045" t="s">
        <v>223</v>
      </c>
      <c r="I3045">
        <v>523</v>
      </c>
      <c r="J3045">
        <v>418.4</v>
      </c>
      <c r="K3045">
        <v>0.8</v>
      </c>
      <c r="M3045" t="s">
        <v>205</v>
      </c>
    </row>
    <row r="3046" spans="1:13" hidden="1">
      <c r="A3046" t="s">
        <v>68</v>
      </c>
      <c r="B3046" t="s">
        <v>8</v>
      </c>
      <c r="C3046" t="s">
        <v>67</v>
      </c>
      <c r="D3046" t="str">
        <f>LEFT(M3046,10)</f>
        <v>12/15/2024</v>
      </c>
      <c r="E3046" t="s">
        <v>202</v>
      </c>
      <c r="F3046" t="s">
        <v>218</v>
      </c>
      <c r="G3046" t="s">
        <v>223</v>
      </c>
      <c r="I3046">
        <v>194</v>
      </c>
      <c r="J3046">
        <v>145.5</v>
      </c>
      <c r="K3046">
        <v>0.75</v>
      </c>
      <c r="M3046" t="s">
        <v>205</v>
      </c>
    </row>
    <row r="3047" spans="1:13" hidden="1">
      <c r="A3047" t="s">
        <v>68</v>
      </c>
      <c r="B3047" t="s">
        <v>8</v>
      </c>
      <c r="C3047" t="s">
        <v>67</v>
      </c>
      <c r="D3047" t="str">
        <f>LEFT(M3047,10)</f>
        <v>12/15/2024</v>
      </c>
      <c r="E3047" t="s">
        <v>202</v>
      </c>
      <c r="F3047" t="s">
        <v>218</v>
      </c>
      <c r="G3047" t="s">
        <v>241</v>
      </c>
      <c r="I3047">
        <v>568</v>
      </c>
      <c r="J3047">
        <v>2272</v>
      </c>
      <c r="K3047">
        <v>4</v>
      </c>
      <c r="M3047" t="s">
        <v>205</v>
      </c>
    </row>
    <row r="3048" spans="1:13" hidden="1">
      <c r="A3048" t="s">
        <v>68</v>
      </c>
      <c r="B3048" t="s">
        <v>8</v>
      </c>
      <c r="C3048" t="s">
        <v>67</v>
      </c>
      <c r="D3048" t="str">
        <f>LEFT(M3048,10)</f>
        <v>12/15/2024</v>
      </c>
      <c r="E3048" t="s">
        <v>202</v>
      </c>
      <c r="F3048" t="s">
        <v>218</v>
      </c>
      <c r="G3048" t="s">
        <v>242</v>
      </c>
      <c r="I3048">
        <v>85</v>
      </c>
      <c r="J3048">
        <v>153</v>
      </c>
      <c r="K3048">
        <v>1.8</v>
      </c>
      <c r="M3048" t="s">
        <v>205</v>
      </c>
    </row>
    <row r="3049" spans="1:13" hidden="1">
      <c r="A3049" t="s">
        <v>68</v>
      </c>
      <c r="B3049" t="s">
        <v>8</v>
      </c>
      <c r="C3049" t="s">
        <v>67</v>
      </c>
      <c r="D3049" t="str">
        <f>LEFT(M3049,10)</f>
        <v>12/15/2024</v>
      </c>
      <c r="E3049" t="s">
        <v>202</v>
      </c>
      <c r="F3049" t="s">
        <v>218</v>
      </c>
      <c r="G3049" t="s">
        <v>219</v>
      </c>
      <c r="I3049">
        <v>65</v>
      </c>
      <c r="J3049">
        <v>13</v>
      </c>
      <c r="K3049">
        <v>0.2</v>
      </c>
      <c r="M3049" t="s">
        <v>205</v>
      </c>
    </row>
    <row r="3050" spans="1:13" hidden="1">
      <c r="A3050" t="s">
        <v>68</v>
      </c>
      <c r="B3050" t="s">
        <v>8</v>
      </c>
      <c r="C3050" t="s">
        <v>67</v>
      </c>
      <c r="D3050" t="str">
        <f>LEFT(M3050,10)</f>
        <v>12/15/2024</v>
      </c>
      <c r="E3050" t="s">
        <v>202</v>
      </c>
      <c r="F3050" t="s">
        <v>218</v>
      </c>
      <c r="G3050" t="s">
        <v>225</v>
      </c>
      <c r="I3050">
        <v>75</v>
      </c>
      <c r="J3050">
        <v>90</v>
      </c>
      <c r="K3050">
        <v>1.2</v>
      </c>
      <c r="M3050" t="s">
        <v>205</v>
      </c>
    </row>
    <row r="3051" spans="1:13" hidden="1">
      <c r="A3051" t="s">
        <v>68</v>
      </c>
      <c r="B3051" t="s">
        <v>8</v>
      </c>
      <c r="C3051" t="s">
        <v>67</v>
      </c>
      <c r="D3051" t="str">
        <f>LEFT(M3051,10)</f>
        <v>12/15/2024</v>
      </c>
      <c r="E3051" t="s">
        <v>202</v>
      </c>
      <c r="F3051" t="s">
        <v>218</v>
      </c>
      <c r="G3051" t="s">
        <v>222</v>
      </c>
      <c r="I3051">
        <v>459</v>
      </c>
      <c r="J3051">
        <v>642.6</v>
      </c>
      <c r="K3051">
        <v>1.4</v>
      </c>
      <c r="M3051" t="s">
        <v>205</v>
      </c>
    </row>
    <row r="3052" spans="1:13" hidden="1">
      <c r="A3052" t="s">
        <v>68</v>
      </c>
      <c r="B3052" t="s">
        <v>8</v>
      </c>
      <c r="C3052" t="s">
        <v>67</v>
      </c>
      <c r="D3052" t="str">
        <f>LEFT(M3052,10)</f>
        <v>12/15/2024</v>
      </c>
      <c r="E3052" t="s">
        <v>202</v>
      </c>
      <c r="F3052" t="s">
        <v>218</v>
      </c>
      <c r="G3052" t="s">
        <v>222</v>
      </c>
      <c r="I3052">
        <v>616</v>
      </c>
      <c r="J3052">
        <v>1108.8</v>
      </c>
      <c r="K3052">
        <v>1.8</v>
      </c>
      <c r="M3052" t="s">
        <v>205</v>
      </c>
    </row>
    <row r="3053" spans="1:13" hidden="1">
      <c r="A3053" t="s">
        <v>68</v>
      </c>
      <c r="B3053" t="s">
        <v>8</v>
      </c>
      <c r="C3053" t="s">
        <v>67</v>
      </c>
      <c r="D3053" t="str">
        <f>LEFT(M3053,10)</f>
        <v>12/15/2024</v>
      </c>
      <c r="E3053" t="s">
        <v>202</v>
      </c>
      <c r="F3053" t="s">
        <v>218</v>
      </c>
      <c r="G3053" t="s">
        <v>266</v>
      </c>
      <c r="I3053">
        <v>142</v>
      </c>
      <c r="J3053">
        <v>7.1</v>
      </c>
      <c r="K3053">
        <v>0.05</v>
      </c>
      <c r="M3053" t="s">
        <v>205</v>
      </c>
    </row>
    <row r="3054" spans="1:13" hidden="1">
      <c r="A3054" t="s">
        <v>68</v>
      </c>
      <c r="B3054" t="s">
        <v>8</v>
      </c>
      <c r="C3054" t="s">
        <v>67</v>
      </c>
      <c r="D3054" t="str">
        <f>LEFT(M3054,10)</f>
        <v>12/15/2024</v>
      </c>
      <c r="E3054" t="s">
        <v>202</v>
      </c>
      <c r="F3054" t="s">
        <v>218</v>
      </c>
      <c r="G3054" t="s">
        <v>226</v>
      </c>
      <c r="I3054">
        <v>400</v>
      </c>
      <c r="J3054">
        <v>100</v>
      </c>
      <c r="K3054">
        <v>0.25</v>
      </c>
      <c r="M3054" t="s">
        <v>205</v>
      </c>
    </row>
    <row r="3055" spans="1:13" hidden="1">
      <c r="A3055" t="s">
        <v>68</v>
      </c>
      <c r="B3055" t="s">
        <v>8</v>
      </c>
      <c r="C3055" t="s">
        <v>67</v>
      </c>
      <c r="D3055" t="str">
        <f>LEFT(M3055,10)</f>
        <v>12/15/2024</v>
      </c>
      <c r="E3055" t="s">
        <v>202</v>
      </c>
      <c r="F3055" t="s">
        <v>218</v>
      </c>
      <c r="G3055" t="s">
        <v>267</v>
      </c>
      <c r="I3055">
        <v>164</v>
      </c>
      <c r="J3055">
        <v>8.1999999999999993</v>
      </c>
      <c r="K3055">
        <v>0.05</v>
      </c>
      <c r="M3055" t="s">
        <v>205</v>
      </c>
    </row>
    <row r="3056" spans="1:13" hidden="1">
      <c r="A3056" t="s">
        <v>68</v>
      </c>
      <c r="B3056" t="s">
        <v>8</v>
      </c>
      <c r="C3056" t="s">
        <v>67</v>
      </c>
      <c r="D3056" t="str">
        <f>LEFT(M3056,10)</f>
        <v>12/15/2024</v>
      </c>
      <c r="E3056" t="s">
        <v>202</v>
      </c>
      <c r="F3056" t="s">
        <v>203</v>
      </c>
      <c r="G3056" t="s">
        <v>207</v>
      </c>
      <c r="I3056">
        <v>16</v>
      </c>
      <c r="J3056">
        <v>64</v>
      </c>
      <c r="K3056">
        <v>4</v>
      </c>
      <c r="M3056" t="s">
        <v>205</v>
      </c>
    </row>
    <row r="3057" spans="1:13" hidden="1">
      <c r="A3057" t="s">
        <v>68</v>
      </c>
      <c r="B3057" t="s">
        <v>8</v>
      </c>
      <c r="C3057" t="s">
        <v>67</v>
      </c>
      <c r="D3057" t="str">
        <f>LEFT(M3057,10)</f>
        <v>12/15/2024</v>
      </c>
      <c r="E3057" t="s">
        <v>202</v>
      </c>
      <c r="F3057" t="s">
        <v>203</v>
      </c>
      <c r="G3057" t="s">
        <v>204</v>
      </c>
      <c r="I3057">
        <v>93</v>
      </c>
      <c r="J3057">
        <v>651</v>
      </c>
      <c r="K3057">
        <v>7</v>
      </c>
      <c r="M3057" t="s">
        <v>205</v>
      </c>
    </row>
    <row r="3058" spans="1:13" hidden="1">
      <c r="A3058" t="s">
        <v>68</v>
      </c>
      <c r="B3058" t="s">
        <v>8</v>
      </c>
      <c r="C3058" t="s">
        <v>67</v>
      </c>
      <c r="D3058" t="str">
        <f>LEFT(M3058,10)</f>
        <v>12/15/2024</v>
      </c>
      <c r="E3058" t="s">
        <v>202</v>
      </c>
      <c r="F3058" t="s">
        <v>203</v>
      </c>
      <c r="G3058" t="s">
        <v>208</v>
      </c>
      <c r="I3058">
        <v>44</v>
      </c>
      <c r="J3058">
        <v>308</v>
      </c>
      <c r="K3058">
        <v>7</v>
      </c>
      <c r="M3058" t="s">
        <v>205</v>
      </c>
    </row>
    <row r="3059" spans="1:13" hidden="1">
      <c r="A3059" t="s">
        <v>68</v>
      </c>
      <c r="B3059" t="s">
        <v>8</v>
      </c>
      <c r="C3059" t="s">
        <v>67</v>
      </c>
      <c r="D3059" t="str">
        <f>LEFT(M3059,10)</f>
        <v>12/15/2024</v>
      </c>
      <c r="E3059" t="s">
        <v>202</v>
      </c>
      <c r="F3059" t="s">
        <v>203</v>
      </c>
      <c r="G3059" t="s">
        <v>215</v>
      </c>
      <c r="I3059">
        <v>1444</v>
      </c>
      <c r="J3059">
        <v>722</v>
      </c>
      <c r="K3059">
        <v>0.5</v>
      </c>
      <c r="M3059" t="s">
        <v>205</v>
      </c>
    </row>
    <row r="3060" spans="1:13" hidden="1">
      <c r="A3060" t="s">
        <v>68</v>
      </c>
      <c r="B3060" t="s">
        <v>8</v>
      </c>
      <c r="C3060" t="s">
        <v>67</v>
      </c>
      <c r="D3060" t="str">
        <f>LEFT(M3060,10)</f>
        <v>12/15/2024</v>
      </c>
      <c r="E3060" t="s">
        <v>202</v>
      </c>
      <c r="F3060" t="s">
        <v>216</v>
      </c>
      <c r="G3060" t="s">
        <v>217</v>
      </c>
      <c r="I3060">
        <v>4971</v>
      </c>
      <c r="J3060">
        <v>497.1</v>
      </c>
      <c r="K3060">
        <v>0.1</v>
      </c>
      <c r="M3060" t="s">
        <v>205</v>
      </c>
    </row>
    <row r="3061" spans="1:13" hidden="1">
      <c r="A3061" t="s">
        <v>68</v>
      </c>
      <c r="B3061" t="s">
        <v>8</v>
      </c>
      <c r="C3061" t="s">
        <v>67</v>
      </c>
      <c r="D3061" t="str">
        <f>LEFT(M3061,10)</f>
        <v>12/15/2024</v>
      </c>
      <c r="E3061" t="s">
        <v>202</v>
      </c>
      <c r="F3061" t="s">
        <v>209</v>
      </c>
      <c r="G3061" t="s">
        <v>210</v>
      </c>
      <c r="I3061">
        <v>13</v>
      </c>
      <c r="J3061">
        <v>13</v>
      </c>
      <c r="K3061">
        <v>1</v>
      </c>
      <c r="M3061" t="s">
        <v>205</v>
      </c>
    </row>
    <row r="3062" spans="1:13" hidden="1">
      <c r="A3062" t="s">
        <v>68</v>
      </c>
      <c r="B3062" t="s">
        <v>8</v>
      </c>
      <c r="C3062" t="s">
        <v>67</v>
      </c>
      <c r="D3062" t="str">
        <f>LEFT(M3062,10)</f>
        <v>12/15/2024</v>
      </c>
      <c r="E3062" t="s">
        <v>202</v>
      </c>
      <c r="F3062" t="s">
        <v>209</v>
      </c>
      <c r="G3062" t="s">
        <v>310</v>
      </c>
      <c r="I3062">
        <v>11</v>
      </c>
      <c r="J3062">
        <v>11</v>
      </c>
      <c r="K3062">
        <v>1</v>
      </c>
      <c r="M3062" t="s">
        <v>205</v>
      </c>
    </row>
    <row r="3063" spans="1:13" hidden="1">
      <c r="A3063" t="s">
        <v>68</v>
      </c>
      <c r="B3063" t="s">
        <v>8</v>
      </c>
      <c r="C3063" t="s">
        <v>67</v>
      </c>
      <c r="D3063" t="str">
        <f>LEFT(M3063,10)</f>
        <v>12/15/2024</v>
      </c>
      <c r="E3063" t="s">
        <v>202</v>
      </c>
      <c r="F3063" t="s">
        <v>218</v>
      </c>
      <c r="G3063" t="s">
        <v>243</v>
      </c>
      <c r="H3063" t="s">
        <v>478</v>
      </c>
      <c r="I3063">
        <v>29</v>
      </c>
      <c r="J3063">
        <v>17.399999999999999</v>
      </c>
      <c r="K3063">
        <v>0.6</v>
      </c>
      <c r="M3063" t="s">
        <v>205</v>
      </c>
    </row>
    <row r="3064" spans="1:13" hidden="1">
      <c r="A3064" t="s">
        <v>68</v>
      </c>
      <c r="B3064" t="s">
        <v>8</v>
      </c>
      <c r="C3064" t="s">
        <v>67</v>
      </c>
      <c r="D3064" t="str">
        <f>LEFT(M3064,10)</f>
        <v>12/15/2024</v>
      </c>
      <c r="E3064" t="s">
        <v>234</v>
      </c>
      <c r="F3064" t="s">
        <v>234</v>
      </c>
      <c r="I3064">
        <v>1300</v>
      </c>
      <c r="M3064" t="s">
        <v>205</v>
      </c>
    </row>
    <row r="3065" spans="1:13" hidden="1">
      <c r="A3065" t="s">
        <v>79</v>
      </c>
      <c r="B3065" t="s">
        <v>8</v>
      </c>
      <c r="C3065" t="s">
        <v>13</v>
      </c>
      <c r="D3065" t="str">
        <f>LEFT(M3065,10)</f>
        <v>12/15/2024</v>
      </c>
      <c r="E3065" t="s">
        <v>202</v>
      </c>
      <c r="F3065" t="s">
        <v>209</v>
      </c>
      <c r="G3065" t="s">
        <v>214</v>
      </c>
      <c r="I3065">
        <v>2470</v>
      </c>
      <c r="J3065">
        <v>2223</v>
      </c>
      <c r="K3065">
        <v>0.9</v>
      </c>
      <c r="M3065" t="s">
        <v>205</v>
      </c>
    </row>
    <row r="3066" spans="1:13" hidden="1">
      <c r="A3066" t="s">
        <v>79</v>
      </c>
      <c r="B3066" t="s">
        <v>8</v>
      </c>
      <c r="C3066" t="s">
        <v>13</v>
      </c>
      <c r="D3066" t="str">
        <f>LEFT(M3066,10)</f>
        <v>12/15/2024</v>
      </c>
      <c r="E3066" t="s">
        <v>202</v>
      </c>
      <c r="F3066" t="s">
        <v>227</v>
      </c>
      <c r="G3066" t="s">
        <v>229</v>
      </c>
      <c r="I3066">
        <v>16188</v>
      </c>
      <c r="J3066">
        <v>12950.4</v>
      </c>
      <c r="K3066">
        <v>0.8</v>
      </c>
      <c r="M3066" t="s">
        <v>205</v>
      </c>
    </row>
    <row r="3067" spans="1:13" hidden="1">
      <c r="A3067" t="s">
        <v>79</v>
      </c>
      <c r="B3067" t="s">
        <v>8</v>
      </c>
      <c r="C3067" t="s">
        <v>13</v>
      </c>
      <c r="D3067" t="str">
        <f>LEFT(M3067,10)</f>
        <v>12/15/2024</v>
      </c>
      <c r="E3067" t="s">
        <v>202</v>
      </c>
      <c r="F3067" t="s">
        <v>227</v>
      </c>
      <c r="G3067" t="s">
        <v>228</v>
      </c>
      <c r="I3067">
        <v>583</v>
      </c>
      <c r="J3067">
        <v>233.2</v>
      </c>
      <c r="K3067">
        <v>0.4</v>
      </c>
      <c r="M3067" t="s">
        <v>205</v>
      </c>
    </row>
    <row r="3068" spans="1:13" hidden="1">
      <c r="A3068" t="s">
        <v>79</v>
      </c>
      <c r="B3068" t="s">
        <v>8</v>
      </c>
      <c r="C3068" t="s">
        <v>13</v>
      </c>
      <c r="D3068" t="str">
        <f>LEFT(M3068,10)</f>
        <v>12/15/2024</v>
      </c>
      <c r="E3068" t="s">
        <v>202</v>
      </c>
      <c r="F3068" t="s">
        <v>227</v>
      </c>
      <c r="G3068" t="s">
        <v>237</v>
      </c>
      <c r="I3068">
        <v>236</v>
      </c>
      <c r="J3068">
        <v>141.6</v>
      </c>
      <c r="K3068">
        <v>0.6</v>
      </c>
      <c r="M3068" t="s">
        <v>205</v>
      </c>
    </row>
    <row r="3069" spans="1:13" hidden="1">
      <c r="A3069" t="s">
        <v>79</v>
      </c>
      <c r="B3069" t="s">
        <v>8</v>
      </c>
      <c r="C3069" t="s">
        <v>13</v>
      </c>
      <c r="D3069" t="str">
        <f>LEFT(M3069,10)</f>
        <v>12/15/2024</v>
      </c>
      <c r="E3069" t="s">
        <v>202</v>
      </c>
      <c r="F3069" t="s">
        <v>227</v>
      </c>
      <c r="G3069" t="s">
        <v>238</v>
      </c>
      <c r="I3069">
        <v>164</v>
      </c>
      <c r="J3069">
        <v>65.599999999999994</v>
      </c>
      <c r="K3069">
        <v>0.4</v>
      </c>
      <c r="M3069" t="s">
        <v>205</v>
      </c>
    </row>
    <row r="3070" spans="1:13" hidden="1">
      <c r="A3070" t="s">
        <v>79</v>
      </c>
      <c r="B3070" t="s">
        <v>8</v>
      </c>
      <c r="C3070" t="s">
        <v>13</v>
      </c>
      <c r="D3070" t="str">
        <f>LEFT(M3070,10)</f>
        <v>12/15/2024</v>
      </c>
      <c r="E3070" t="s">
        <v>202</v>
      </c>
      <c r="F3070" t="s">
        <v>227</v>
      </c>
      <c r="G3070" t="s">
        <v>237</v>
      </c>
      <c r="I3070">
        <v>958</v>
      </c>
      <c r="J3070">
        <v>574.79999999999995</v>
      </c>
      <c r="K3070">
        <v>0.6</v>
      </c>
      <c r="M3070" t="s">
        <v>205</v>
      </c>
    </row>
    <row r="3071" spans="1:13" hidden="1">
      <c r="A3071" t="s">
        <v>79</v>
      </c>
      <c r="B3071" t="s">
        <v>8</v>
      </c>
      <c r="C3071" t="s">
        <v>13</v>
      </c>
      <c r="D3071" t="str">
        <f>LEFT(M3071,10)</f>
        <v>12/15/2024</v>
      </c>
      <c r="E3071" t="s">
        <v>202</v>
      </c>
      <c r="F3071" t="s">
        <v>218</v>
      </c>
      <c r="G3071" t="s">
        <v>240</v>
      </c>
      <c r="I3071">
        <v>521</v>
      </c>
      <c r="J3071">
        <v>2344.5</v>
      </c>
      <c r="K3071">
        <v>4.5</v>
      </c>
      <c r="M3071" t="s">
        <v>205</v>
      </c>
    </row>
    <row r="3072" spans="1:13" hidden="1">
      <c r="A3072" t="s">
        <v>79</v>
      </c>
      <c r="B3072" t="s">
        <v>8</v>
      </c>
      <c r="C3072" t="s">
        <v>13</v>
      </c>
      <c r="D3072" t="str">
        <f>LEFT(M3072,10)</f>
        <v>12/15/2024</v>
      </c>
      <c r="E3072" t="s">
        <v>202</v>
      </c>
      <c r="F3072" t="s">
        <v>218</v>
      </c>
      <c r="G3072" t="s">
        <v>242</v>
      </c>
      <c r="I3072">
        <v>98</v>
      </c>
      <c r="J3072">
        <v>107.8</v>
      </c>
      <c r="K3072">
        <v>1.1000000000000001</v>
      </c>
      <c r="M3072" t="s">
        <v>205</v>
      </c>
    </row>
    <row r="3073" spans="1:13" hidden="1">
      <c r="A3073" t="s">
        <v>79</v>
      </c>
      <c r="B3073" t="s">
        <v>8</v>
      </c>
      <c r="C3073" t="s">
        <v>13</v>
      </c>
      <c r="D3073" t="str">
        <f>LEFT(M3073,10)</f>
        <v>12/15/2024</v>
      </c>
      <c r="E3073" t="s">
        <v>202</v>
      </c>
      <c r="F3073" t="s">
        <v>218</v>
      </c>
      <c r="G3073" t="s">
        <v>221</v>
      </c>
      <c r="I3073">
        <v>527</v>
      </c>
      <c r="J3073">
        <v>1185.75</v>
      </c>
      <c r="K3073">
        <v>2.25</v>
      </c>
      <c r="M3073" t="s">
        <v>205</v>
      </c>
    </row>
    <row r="3074" spans="1:13" hidden="1">
      <c r="A3074" t="s">
        <v>79</v>
      </c>
      <c r="B3074" t="s">
        <v>8</v>
      </c>
      <c r="C3074" t="s">
        <v>13</v>
      </c>
      <c r="D3074" t="str">
        <f>LEFT(M3074,10)</f>
        <v>12/15/2024</v>
      </c>
      <c r="E3074" t="s">
        <v>202</v>
      </c>
      <c r="F3074" t="s">
        <v>218</v>
      </c>
      <c r="G3074" t="s">
        <v>220</v>
      </c>
      <c r="I3074">
        <v>1056</v>
      </c>
      <c r="J3074">
        <v>1478.4</v>
      </c>
      <c r="K3074">
        <v>1.4</v>
      </c>
      <c r="M3074" t="s">
        <v>205</v>
      </c>
    </row>
    <row r="3075" spans="1:13" hidden="1">
      <c r="A3075" t="s">
        <v>79</v>
      </c>
      <c r="B3075" t="s">
        <v>8</v>
      </c>
      <c r="C3075" t="s">
        <v>13</v>
      </c>
      <c r="D3075" t="str">
        <f>LEFT(M3075,10)</f>
        <v>12/15/2024</v>
      </c>
      <c r="E3075" t="s">
        <v>202</v>
      </c>
      <c r="F3075" t="s">
        <v>218</v>
      </c>
      <c r="G3075" t="s">
        <v>223</v>
      </c>
      <c r="I3075">
        <v>687</v>
      </c>
      <c r="J3075">
        <v>549.6</v>
      </c>
      <c r="K3075">
        <v>0.8</v>
      </c>
      <c r="M3075" t="s">
        <v>205</v>
      </c>
    </row>
    <row r="3076" spans="1:13" hidden="1">
      <c r="A3076" t="s">
        <v>79</v>
      </c>
      <c r="B3076" t="s">
        <v>8</v>
      </c>
      <c r="C3076" t="s">
        <v>13</v>
      </c>
      <c r="D3076" t="str">
        <f>LEFT(M3076,10)</f>
        <v>12/15/2024</v>
      </c>
      <c r="E3076" t="s">
        <v>202</v>
      </c>
      <c r="F3076" t="s">
        <v>218</v>
      </c>
      <c r="G3076" t="s">
        <v>222</v>
      </c>
      <c r="I3076">
        <v>150</v>
      </c>
      <c r="J3076">
        <v>225</v>
      </c>
      <c r="K3076">
        <v>1.5</v>
      </c>
      <c r="M3076" t="s">
        <v>205</v>
      </c>
    </row>
    <row r="3077" spans="1:13" hidden="1">
      <c r="A3077" t="s">
        <v>79</v>
      </c>
      <c r="B3077" t="s">
        <v>8</v>
      </c>
      <c r="C3077" t="s">
        <v>13</v>
      </c>
      <c r="D3077" t="str">
        <f>LEFT(M3077,10)</f>
        <v>12/15/2024</v>
      </c>
      <c r="E3077" t="s">
        <v>202</v>
      </c>
      <c r="F3077" t="s">
        <v>218</v>
      </c>
      <c r="G3077" t="s">
        <v>223</v>
      </c>
      <c r="I3077">
        <v>401</v>
      </c>
      <c r="J3077">
        <v>401</v>
      </c>
      <c r="K3077">
        <v>1</v>
      </c>
      <c r="M3077" t="s">
        <v>205</v>
      </c>
    </row>
    <row r="3078" spans="1:13" hidden="1">
      <c r="A3078" t="s">
        <v>79</v>
      </c>
      <c r="B3078" t="s">
        <v>8</v>
      </c>
      <c r="C3078" t="s">
        <v>13</v>
      </c>
      <c r="D3078" t="str">
        <f>LEFT(M3078,10)</f>
        <v>12/15/2024</v>
      </c>
      <c r="E3078" t="s">
        <v>202</v>
      </c>
      <c r="F3078" t="s">
        <v>218</v>
      </c>
      <c r="G3078" t="s">
        <v>225</v>
      </c>
      <c r="I3078">
        <v>138</v>
      </c>
      <c r="J3078">
        <v>6.9</v>
      </c>
      <c r="K3078">
        <v>0.05</v>
      </c>
      <c r="M3078" t="s">
        <v>205</v>
      </c>
    </row>
    <row r="3079" spans="1:13" hidden="1">
      <c r="A3079" t="s">
        <v>79</v>
      </c>
      <c r="B3079" t="s">
        <v>8</v>
      </c>
      <c r="C3079" t="s">
        <v>13</v>
      </c>
      <c r="D3079" t="str">
        <f>LEFT(M3079,10)</f>
        <v>12/15/2024</v>
      </c>
      <c r="E3079" t="s">
        <v>202</v>
      </c>
      <c r="F3079" t="s">
        <v>218</v>
      </c>
      <c r="G3079" t="s">
        <v>226</v>
      </c>
      <c r="I3079">
        <v>208</v>
      </c>
      <c r="J3079">
        <v>41.6</v>
      </c>
      <c r="K3079">
        <v>0.2</v>
      </c>
      <c r="M3079" t="s">
        <v>205</v>
      </c>
    </row>
    <row r="3080" spans="1:13" hidden="1">
      <c r="A3080" t="s">
        <v>79</v>
      </c>
      <c r="B3080" t="s">
        <v>8</v>
      </c>
      <c r="C3080" t="s">
        <v>13</v>
      </c>
      <c r="D3080" t="str">
        <f>LEFT(M3080,10)</f>
        <v>12/15/2024</v>
      </c>
      <c r="E3080" t="s">
        <v>202</v>
      </c>
      <c r="F3080" t="s">
        <v>203</v>
      </c>
      <c r="G3080" t="s">
        <v>204</v>
      </c>
      <c r="I3080">
        <v>98</v>
      </c>
      <c r="J3080">
        <v>744.8</v>
      </c>
      <c r="K3080">
        <v>7.6</v>
      </c>
      <c r="M3080" t="s">
        <v>205</v>
      </c>
    </row>
    <row r="3081" spans="1:13" hidden="1">
      <c r="A3081" t="s">
        <v>79</v>
      </c>
      <c r="B3081" t="s">
        <v>8</v>
      </c>
      <c r="C3081" t="s">
        <v>13</v>
      </c>
      <c r="D3081" t="str">
        <f>LEFT(M3081,10)</f>
        <v>12/15/2024</v>
      </c>
      <c r="E3081" t="s">
        <v>202</v>
      </c>
      <c r="F3081" t="s">
        <v>203</v>
      </c>
      <c r="G3081" t="s">
        <v>236</v>
      </c>
      <c r="I3081">
        <v>1476</v>
      </c>
      <c r="J3081">
        <v>590.4</v>
      </c>
      <c r="K3081">
        <v>0.4</v>
      </c>
      <c r="M3081" t="s">
        <v>205</v>
      </c>
    </row>
    <row r="3082" spans="1:13" hidden="1">
      <c r="A3082" t="s">
        <v>79</v>
      </c>
      <c r="B3082" t="s">
        <v>8</v>
      </c>
      <c r="C3082" t="s">
        <v>13</v>
      </c>
      <c r="D3082" t="str">
        <f>LEFT(M3082,10)</f>
        <v>12/15/2024</v>
      </c>
      <c r="E3082" t="s">
        <v>202</v>
      </c>
      <c r="F3082" t="s">
        <v>227</v>
      </c>
      <c r="G3082" t="s">
        <v>229</v>
      </c>
      <c r="I3082">
        <v>6397</v>
      </c>
      <c r="J3082">
        <v>5117.6000000000004</v>
      </c>
      <c r="K3082">
        <v>0.8</v>
      </c>
      <c r="M3082" t="s">
        <v>205</v>
      </c>
    </row>
    <row r="3083" spans="1:13" hidden="1">
      <c r="A3083" t="s">
        <v>79</v>
      </c>
      <c r="B3083" t="s">
        <v>8</v>
      </c>
      <c r="C3083" t="s">
        <v>13</v>
      </c>
      <c r="D3083" t="str">
        <f>LEFT(M3083,10)</f>
        <v>12/15/2024</v>
      </c>
      <c r="E3083" t="s">
        <v>202</v>
      </c>
      <c r="F3083" t="s">
        <v>218</v>
      </c>
      <c r="G3083" t="s">
        <v>222</v>
      </c>
      <c r="I3083">
        <v>246</v>
      </c>
      <c r="J3083">
        <v>209.1</v>
      </c>
      <c r="K3083">
        <v>0.85</v>
      </c>
      <c r="M3083" t="s">
        <v>205</v>
      </c>
    </row>
    <row r="3084" spans="1:13" hidden="1">
      <c r="A3084" t="s">
        <v>79</v>
      </c>
      <c r="B3084" t="s">
        <v>8</v>
      </c>
      <c r="C3084" t="s">
        <v>13</v>
      </c>
      <c r="D3084" t="str">
        <f>LEFT(M3084,10)</f>
        <v>12/15/2024</v>
      </c>
      <c r="E3084" t="s">
        <v>202</v>
      </c>
      <c r="F3084" t="s">
        <v>218</v>
      </c>
      <c r="G3084" t="s">
        <v>222</v>
      </c>
      <c r="I3084">
        <v>388</v>
      </c>
      <c r="J3084">
        <v>523.79999999999995</v>
      </c>
      <c r="K3084">
        <v>1.35</v>
      </c>
      <c r="M3084" t="s">
        <v>205</v>
      </c>
    </row>
    <row r="3085" spans="1:13" hidden="1">
      <c r="A3085" t="s">
        <v>79</v>
      </c>
      <c r="B3085" t="s">
        <v>8</v>
      </c>
      <c r="C3085" t="s">
        <v>13</v>
      </c>
      <c r="D3085" t="str">
        <f>LEFT(M3085,10)</f>
        <v>12/15/2024</v>
      </c>
      <c r="E3085" t="s">
        <v>202</v>
      </c>
      <c r="F3085" t="s">
        <v>218</v>
      </c>
      <c r="G3085" t="s">
        <v>221</v>
      </c>
      <c r="I3085">
        <v>55</v>
      </c>
      <c r="J3085">
        <v>101.75</v>
      </c>
      <c r="K3085">
        <v>1.85</v>
      </c>
      <c r="M3085" t="s">
        <v>205</v>
      </c>
    </row>
    <row r="3086" spans="1:13" hidden="1">
      <c r="A3086" t="s">
        <v>79</v>
      </c>
      <c r="B3086" t="s">
        <v>8</v>
      </c>
      <c r="C3086" t="s">
        <v>13</v>
      </c>
      <c r="D3086" t="str">
        <f>LEFT(M3086,10)</f>
        <v>12/15/2024</v>
      </c>
      <c r="E3086" t="s">
        <v>202</v>
      </c>
      <c r="F3086" t="s">
        <v>218</v>
      </c>
      <c r="G3086" t="s">
        <v>243</v>
      </c>
      <c r="H3086" t="s">
        <v>364</v>
      </c>
      <c r="I3086">
        <v>129</v>
      </c>
      <c r="J3086">
        <v>51.6</v>
      </c>
      <c r="K3086">
        <v>0.4</v>
      </c>
      <c r="M3086" t="s">
        <v>205</v>
      </c>
    </row>
    <row r="3087" spans="1:13" hidden="1">
      <c r="A3087" t="s">
        <v>79</v>
      </c>
      <c r="B3087" t="s">
        <v>8</v>
      </c>
      <c r="C3087" t="s">
        <v>13</v>
      </c>
      <c r="D3087" t="str">
        <f>LEFT(M3087,10)</f>
        <v>12/15/2024</v>
      </c>
      <c r="E3087" t="s">
        <v>202</v>
      </c>
      <c r="F3087" t="s">
        <v>218</v>
      </c>
      <c r="G3087" t="s">
        <v>247</v>
      </c>
      <c r="I3087">
        <v>56</v>
      </c>
      <c r="J3087">
        <v>212.8</v>
      </c>
      <c r="K3087">
        <v>3.8</v>
      </c>
      <c r="M3087" t="s">
        <v>205</v>
      </c>
    </row>
    <row r="3088" spans="1:13" hidden="1">
      <c r="A3088" t="s">
        <v>79</v>
      </c>
      <c r="B3088" t="s">
        <v>8</v>
      </c>
      <c r="C3088" t="s">
        <v>13</v>
      </c>
      <c r="D3088" t="str">
        <f>LEFT(M3088,10)</f>
        <v>12/15/2024</v>
      </c>
      <c r="E3088" t="s">
        <v>202</v>
      </c>
      <c r="F3088" t="s">
        <v>218</v>
      </c>
      <c r="G3088" t="s">
        <v>241</v>
      </c>
      <c r="I3088">
        <v>75</v>
      </c>
      <c r="J3088">
        <v>300</v>
      </c>
      <c r="K3088">
        <v>4</v>
      </c>
      <c r="M3088" t="s">
        <v>205</v>
      </c>
    </row>
    <row r="3089" spans="1:13" hidden="1">
      <c r="A3089" t="s">
        <v>79</v>
      </c>
      <c r="B3089" t="s">
        <v>8</v>
      </c>
      <c r="C3089" t="s">
        <v>13</v>
      </c>
      <c r="D3089" t="str">
        <f>LEFT(M3089,10)</f>
        <v>12/15/2024</v>
      </c>
      <c r="E3089" t="s">
        <v>202</v>
      </c>
      <c r="F3089" t="s">
        <v>218</v>
      </c>
      <c r="G3089" t="s">
        <v>223</v>
      </c>
      <c r="I3089">
        <v>1009</v>
      </c>
      <c r="J3089">
        <v>807.2</v>
      </c>
      <c r="K3089">
        <v>0.8</v>
      </c>
      <c r="M3089" t="s">
        <v>205</v>
      </c>
    </row>
    <row r="3090" spans="1:13" hidden="1">
      <c r="A3090" t="s">
        <v>79</v>
      </c>
      <c r="B3090" t="s">
        <v>8</v>
      </c>
      <c r="C3090" t="s">
        <v>13</v>
      </c>
      <c r="D3090" t="str">
        <f>LEFT(M3090,10)</f>
        <v>12/15/2024</v>
      </c>
      <c r="E3090" t="s">
        <v>202</v>
      </c>
      <c r="F3090" t="s">
        <v>218</v>
      </c>
      <c r="G3090" t="s">
        <v>223</v>
      </c>
      <c r="I3090">
        <v>288</v>
      </c>
      <c r="J3090">
        <v>172.8</v>
      </c>
      <c r="K3090">
        <v>0.6</v>
      </c>
      <c r="M3090" t="s">
        <v>205</v>
      </c>
    </row>
    <row r="3091" spans="1:13" hidden="1">
      <c r="A3091" t="s">
        <v>79</v>
      </c>
      <c r="B3091" t="s">
        <v>8</v>
      </c>
      <c r="C3091" t="s">
        <v>13</v>
      </c>
      <c r="D3091" t="str">
        <f>LEFT(M3091,10)</f>
        <v>12/15/2024</v>
      </c>
      <c r="E3091" t="s">
        <v>202</v>
      </c>
      <c r="F3091" t="s">
        <v>218</v>
      </c>
      <c r="G3091" t="s">
        <v>220</v>
      </c>
      <c r="I3091">
        <v>829</v>
      </c>
      <c r="J3091">
        <v>1160</v>
      </c>
      <c r="K3091">
        <v>1.4</v>
      </c>
      <c r="M3091" t="s">
        <v>205</v>
      </c>
    </row>
    <row r="3092" spans="1:13" hidden="1">
      <c r="A3092" t="s">
        <v>79</v>
      </c>
      <c r="B3092" t="s">
        <v>8</v>
      </c>
      <c r="C3092" t="s">
        <v>13</v>
      </c>
      <c r="D3092" t="str">
        <f>LEFT(M3092,10)</f>
        <v>12/15/2024</v>
      </c>
      <c r="E3092" t="s">
        <v>202</v>
      </c>
      <c r="F3092" t="s">
        <v>218</v>
      </c>
      <c r="G3092" t="s">
        <v>221</v>
      </c>
      <c r="I3092">
        <v>518</v>
      </c>
      <c r="J3092">
        <v>1165.5</v>
      </c>
      <c r="K3092">
        <v>2.25</v>
      </c>
      <c r="M3092" t="s">
        <v>205</v>
      </c>
    </row>
    <row r="3093" spans="1:13" hidden="1">
      <c r="A3093" t="s">
        <v>79</v>
      </c>
      <c r="B3093" t="s">
        <v>8</v>
      </c>
      <c r="C3093" t="s">
        <v>13</v>
      </c>
      <c r="D3093" t="str">
        <f>LEFT(M3093,10)</f>
        <v>12/15/2024</v>
      </c>
      <c r="E3093" t="s">
        <v>202</v>
      </c>
      <c r="F3093" t="s">
        <v>227</v>
      </c>
      <c r="G3093" t="s">
        <v>237</v>
      </c>
      <c r="I3093">
        <v>835</v>
      </c>
      <c r="J3093">
        <v>501</v>
      </c>
      <c r="K3093">
        <v>0.6</v>
      </c>
      <c r="M3093" t="s">
        <v>205</v>
      </c>
    </row>
    <row r="3094" spans="1:13" hidden="1">
      <c r="A3094" t="s">
        <v>79</v>
      </c>
      <c r="B3094" t="s">
        <v>8</v>
      </c>
      <c r="C3094" t="s">
        <v>13</v>
      </c>
      <c r="D3094" t="str">
        <f>LEFT(M3094,10)</f>
        <v>12/15/2024</v>
      </c>
      <c r="E3094" t="s">
        <v>202</v>
      </c>
      <c r="F3094" t="s">
        <v>227</v>
      </c>
      <c r="G3094" t="s">
        <v>228</v>
      </c>
      <c r="I3094">
        <v>974</v>
      </c>
      <c r="J3094">
        <v>389.6</v>
      </c>
      <c r="K3094">
        <v>0.4</v>
      </c>
      <c r="M3094" t="s">
        <v>205</v>
      </c>
    </row>
    <row r="3095" spans="1:13" hidden="1">
      <c r="A3095" t="s">
        <v>79</v>
      </c>
      <c r="B3095" t="s">
        <v>8</v>
      </c>
      <c r="C3095" t="s">
        <v>13</v>
      </c>
      <c r="D3095" t="str">
        <f>LEFT(M3095,10)</f>
        <v>12/15/2024</v>
      </c>
      <c r="E3095" t="s">
        <v>202</v>
      </c>
      <c r="F3095" t="s">
        <v>227</v>
      </c>
      <c r="G3095" t="s">
        <v>238</v>
      </c>
      <c r="I3095">
        <v>211</v>
      </c>
      <c r="J3095">
        <v>84.4</v>
      </c>
      <c r="K3095">
        <v>0.4</v>
      </c>
      <c r="M3095" t="s">
        <v>205</v>
      </c>
    </row>
    <row r="3096" spans="1:13" hidden="1">
      <c r="A3096" t="s">
        <v>79</v>
      </c>
      <c r="B3096" t="s">
        <v>8</v>
      </c>
      <c r="C3096" t="s">
        <v>13</v>
      </c>
      <c r="D3096" t="str">
        <f>LEFT(M3096,10)</f>
        <v>12/15/2024</v>
      </c>
      <c r="E3096" t="s">
        <v>202</v>
      </c>
      <c r="F3096" t="s">
        <v>227</v>
      </c>
      <c r="G3096" t="s">
        <v>252</v>
      </c>
      <c r="I3096">
        <v>147</v>
      </c>
      <c r="J3096">
        <v>51.45</v>
      </c>
      <c r="K3096">
        <v>0.35</v>
      </c>
      <c r="M3096" t="s">
        <v>205</v>
      </c>
    </row>
    <row r="3097" spans="1:13" hidden="1">
      <c r="A3097" t="s">
        <v>79</v>
      </c>
      <c r="B3097" t="s">
        <v>8</v>
      </c>
      <c r="C3097" t="s">
        <v>13</v>
      </c>
      <c r="D3097" t="str">
        <f>LEFT(M3097,10)</f>
        <v>12/15/2024</v>
      </c>
      <c r="E3097" t="s">
        <v>202</v>
      </c>
      <c r="F3097" t="s">
        <v>203</v>
      </c>
      <c r="G3097" t="s">
        <v>204</v>
      </c>
      <c r="I3097">
        <v>110</v>
      </c>
      <c r="J3097">
        <v>836</v>
      </c>
      <c r="K3097">
        <v>7.6</v>
      </c>
      <c r="M3097" t="s">
        <v>205</v>
      </c>
    </row>
    <row r="3098" spans="1:13" hidden="1">
      <c r="A3098" t="s">
        <v>79</v>
      </c>
      <c r="B3098" t="s">
        <v>8</v>
      </c>
      <c r="C3098" t="s">
        <v>13</v>
      </c>
      <c r="D3098" t="str">
        <f>LEFT(M3098,10)</f>
        <v>12/15/2024</v>
      </c>
      <c r="E3098" t="s">
        <v>202</v>
      </c>
      <c r="F3098" t="s">
        <v>218</v>
      </c>
      <c r="G3098" t="s">
        <v>240</v>
      </c>
      <c r="I3098">
        <v>712</v>
      </c>
      <c r="J3098">
        <v>2848</v>
      </c>
      <c r="K3098">
        <v>4</v>
      </c>
      <c r="M3098" t="s">
        <v>205</v>
      </c>
    </row>
    <row r="3099" spans="1:13" hidden="1">
      <c r="A3099" t="s">
        <v>79</v>
      </c>
      <c r="B3099" t="s">
        <v>8</v>
      </c>
      <c r="C3099" t="s">
        <v>13</v>
      </c>
      <c r="D3099" t="str">
        <f>LEFT(M3099,10)</f>
        <v>12/15/2024</v>
      </c>
      <c r="E3099" t="s">
        <v>234</v>
      </c>
      <c r="F3099" t="s">
        <v>234</v>
      </c>
      <c r="I3099">
        <v>7612</v>
      </c>
      <c r="M3099" t="s">
        <v>205</v>
      </c>
    </row>
    <row r="3100" spans="1:13" hidden="1">
      <c r="A3100" t="s">
        <v>79</v>
      </c>
      <c r="B3100" t="s">
        <v>8</v>
      </c>
      <c r="C3100" t="s">
        <v>13</v>
      </c>
      <c r="D3100" t="str">
        <f>LEFT(M3100,10)</f>
        <v>12/15/2024</v>
      </c>
      <c r="E3100" t="s">
        <v>232</v>
      </c>
      <c r="F3100" t="s">
        <v>272</v>
      </c>
      <c r="I3100">
        <v>0</v>
      </c>
      <c r="J3100">
        <v>715.36</v>
      </c>
      <c r="M3100" t="s">
        <v>205</v>
      </c>
    </row>
    <row r="3101" spans="1:13" hidden="1">
      <c r="A3101" t="s">
        <v>146</v>
      </c>
      <c r="B3101" t="s">
        <v>24</v>
      </c>
      <c r="C3101" t="s">
        <v>19</v>
      </c>
      <c r="D3101" t="str">
        <f>LEFT(M3101,10)</f>
        <v>12/15/2024</v>
      </c>
      <c r="E3101" t="s">
        <v>202</v>
      </c>
      <c r="F3101" t="s">
        <v>227</v>
      </c>
      <c r="G3101" t="s">
        <v>229</v>
      </c>
      <c r="I3101">
        <v>6730</v>
      </c>
      <c r="J3101">
        <v>4038</v>
      </c>
      <c r="K3101">
        <v>0.6</v>
      </c>
      <c r="M3101" t="s">
        <v>205</v>
      </c>
    </row>
    <row r="3102" spans="1:13" hidden="1">
      <c r="A3102" t="s">
        <v>146</v>
      </c>
      <c r="B3102" t="s">
        <v>24</v>
      </c>
      <c r="C3102" t="s">
        <v>19</v>
      </c>
      <c r="D3102" t="str">
        <f>LEFT(M3102,10)</f>
        <v>12/15/2024</v>
      </c>
      <c r="E3102" t="s">
        <v>202</v>
      </c>
      <c r="F3102" t="s">
        <v>227</v>
      </c>
      <c r="G3102" t="s">
        <v>237</v>
      </c>
      <c r="I3102">
        <v>920</v>
      </c>
      <c r="J3102">
        <v>638.79999999999995</v>
      </c>
      <c r="K3102">
        <v>0.69</v>
      </c>
      <c r="M3102" t="s">
        <v>205</v>
      </c>
    </row>
    <row r="3103" spans="1:13" hidden="1">
      <c r="A3103" t="s">
        <v>146</v>
      </c>
      <c r="B3103" t="s">
        <v>24</v>
      </c>
      <c r="C3103" t="s">
        <v>19</v>
      </c>
      <c r="D3103" t="str">
        <f>LEFT(M3103,10)</f>
        <v>12/15/2024</v>
      </c>
      <c r="E3103" t="s">
        <v>202</v>
      </c>
      <c r="F3103" t="s">
        <v>227</v>
      </c>
      <c r="G3103" t="s">
        <v>252</v>
      </c>
      <c r="I3103">
        <v>640</v>
      </c>
      <c r="J3103">
        <v>256</v>
      </c>
      <c r="K3103">
        <v>0.4</v>
      </c>
      <c r="M3103" t="s">
        <v>205</v>
      </c>
    </row>
    <row r="3104" spans="1:13" hidden="1">
      <c r="A3104" t="s">
        <v>146</v>
      </c>
      <c r="B3104" t="s">
        <v>24</v>
      </c>
      <c r="C3104" t="s">
        <v>19</v>
      </c>
      <c r="D3104" t="str">
        <f>LEFT(M3104,10)</f>
        <v>12/15/2024</v>
      </c>
      <c r="E3104" t="s">
        <v>202</v>
      </c>
      <c r="F3104" t="s">
        <v>227</v>
      </c>
      <c r="G3104" t="s">
        <v>238</v>
      </c>
      <c r="I3104">
        <v>95</v>
      </c>
      <c r="J3104">
        <v>33.25</v>
      </c>
      <c r="K3104">
        <v>0.35</v>
      </c>
      <c r="M3104" t="s">
        <v>205</v>
      </c>
    </row>
    <row r="3105" spans="1:13" hidden="1">
      <c r="A3105" t="s">
        <v>146</v>
      </c>
      <c r="B3105" t="s">
        <v>24</v>
      </c>
      <c r="C3105" t="s">
        <v>19</v>
      </c>
      <c r="D3105" t="str">
        <f>LEFT(M3105,10)</f>
        <v>12/15/2024</v>
      </c>
      <c r="E3105" t="s">
        <v>202</v>
      </c>
      <c r="F3105" t="s">
        <v>227</v>
      </c>
      <c r="G3105" t="s">
        <v>228</v>
      </c>
      <c r="I3105">
        <v>1400</v>
      </c>
      <c r="J3105">
        <v>630</v>
      </c>
      <c r="K3105">
        <v>0.45</v>
      </c>
      <c r="M3105" t="s">
        <v>205</v>
      </c>
    </row>
    <row r="3106" spans="1:13" hidden="1">
      <c r="A3106" t="s">
        <v>146</v>
      </c>
      <c r="B3106" t="s">
        <v>24</v>
      </c>
      <c r="C3106" t="s">
        <v>19</v>
      </c>
      <c r="D3106" t="str">
        <f>LEFT(M3106,10)</f>
        <v>12/15/2024</v>
      </c>
      <c r="E3106" t="s">
        <v>202</v>
      </c>
      <c r="F3106" t="s">
        <v>218</v>
      </c>
      <c r="G3106" t="s">
        <v>240</v>
      </c>
      <c r="I3106">
        <v>1084</v>
      </c>
      <c r="J3106">
        <v>3143.61</v>
      </c>
      <c r="K3106">
        <v>2.9</v>
      </c>
      <c r="M3106" t="s">
        <v>205</v>
      </c>
    </row>
    <row r="3107" spans="1:13" hidden="1">
      <c r="A3107" t="s">
        <v>146</v>
      </c>
      <c r="B3107" t="s">
        <v>24</v>
      </c>
      <c r="C3107" t="s">
        <v>19</v>
      </c>
      <c r="D3107" t="str">
        <f>LEFT(M3107,10)</f>
        <v>12/15/2024</v>
      </c>
      <c r="E3107" t="s">
        <v>202</v>
      </c>
      <c r="F3107" t="s">
        <v>218</v>
      </c>
      <c r="G3107" t="s">
        <v>223</v>
      </c>
      <c r="I3107">
        <v>713</v>
      </c>
      <c r="J3107">
        <v>427.8</v>
      </c>
      <c r="K3107">
        <v>0.6</v>
      </c>
      <c r="M3107" t="s">
        <v>205</v>
      </c>
    </row>
    <row r="3108" spans="1:13" hidden="1">
      <c r="A3108" t="s">
        <v>146</v>
      </c>
      <c r="B3108" t="s">
        <v>24</v>
      </c>
      <c r="C3108" t="s">
        <v>19</v>
      </c>
      <c r="D3108" t="str">
        <f>LEFT(M3108,10)</f>
        <v>12/15/2024</v>
      </c>
      <c r="E3108" t="s">
        <v>202</v>
      </c>
      <c r="F3108" t="s">
        <v>218</v>
      </c>
      <c r="G3108" t="s">
        <v>223</v>
      </c>
      <c r="I3108">
        <v>160</v>
      </c>
      <c r="J3108">
        <v>80</v>
      </c>
      <c r="K3108">
        <v>0.5</v>
      </c>
      <c r="M3108" t="s">
        <v>205</v>
      </c>
    </row>
    <row r="3109" spans="1:13" hidden="1">
      <c r="A3109" t="s">
        <v>146</v>
      </c>
      <c r="B3109" t="s">
        <v>24</v>
      </c>
      <c r="C3109" t="s">
        <v>19</v>
      </c>
      <c r="D3109" t="str">
        <f>LEFT(M3109,10)</f>
        <v>12/15/2024</v>
      </c>
      <c r="E3109" t="s">
        <v>202</v>
      </c>
      <c r="F3109" t="s">
        <v>218</v>
      </c>
      <c r="G3109" t="s">
        <v>224</v>
      </c>
      <c r="I3109">
        <v>639</v>
      </c>
      <c r="J3109">
        <v>383.4</v>
      </c>
      <c r="K3109">
        <v>0.6</v>
      </c>
      <c r="M3109" t="s">
        <v>205</v>
      </c>
    </row>
    <row r="3110" spans="1:13" hidden="1">
      <c r="A3110" t="s">
        <v>146</v>
      </c>
      <c r="B3110" t="s">
        <v>24</v>
      </c>
      <c r="C3110" t="s">
        <v>19</v>
      </c>
      <c r="D3110" t="str">
        <f>LEFT(M3110,10)</f>
        <v>12/15/2024</v>
      </c>
      <c r="E3110" t="s">
        <v>202</v>
      </c>
      <c r="F3110" t="s">
        <v>218</v>
      </c>
      <c r="G3110" t="s">
        <v>240</v>
      </c>
      <c r="I3110">
        <v>1037</v>
      </c>
      <c r="J3110">
        <v>3214.7</v>
      </c>
      <c r="K3110">
        <v>3.1</v>
      </c>
      <c r="M3110" t="s">
        <v>205</v>
      </c>
    </row>
    <row r="3111" spans="1:13" hidden="1">
      <c r="A3111" t="s">
        <v>146</v>
      </c>
      <c r="B3111" t="s">
        <v>24</v>
      </c>
      <c r="C3111" t="s">
        <v>19</v>
      </c>
      <c r="D3111" t="str">
        <f>LEFT(M3111,10)</f>
        <v>12/15/2024</v>
      </c>
      <c r="E3111" t="s">
        <v>202</v>
      </c>
      <c r="F3111" t="s">
        <v>218</v>
      </c>
      <c r="G3111" t="s">
        <v>222</v>
      </c>
      <c r="I3111">
        <v>2467</v>
      </c>
      <c r="J3111">
        <v>2713.7</v>
      </c>
      <c r="K3111">
        <v>1.1000000000000001</v>
      </c>
      <c r="M3111" t="s">
        <v>205</v>
      </c>
    </row>
    <row r="3112" spans="1:13" hidden="1">
      <c r="A3112" t="s">
        <v>146</v>
      </c>
      <c r="B3112" t="s">
        <v>24</v>
      </c>
      <c r="C3112" t="s">
        <v>19</v>
      </c>
      <c r="D3112" t="str">
        <f>LEFT(M3112,10)</f>
        <v>12/15/2024</v>
      </c>
      <c r="E3112" t="s">
        <v>202</v>
      </c>
      <c r="F3112" t="s">
        <v>218</v>
      </c>
      <c r="G3112" t="s">
        <v>226</v>
      </c>
      <c r="I3112">
        <v>86</v>
      </c>
      <c r="J3112">
        <v>25.8</v>
      </c>
      <c r="K3112">
        <v>0.3</v>
      </c>
      <c r="M3112" t="s">
        <v>205</v>
      </c>
    </row>
    <row r="3113" spans="1:13" hidden="1">
      <c r="A3113" t="s">
        <v>146</v>
      </c>
      <c r="B3113" t="s">
        <v>24</v>
      </c>
      <c r="C3113" t="s">
        <v>19</v>
      </c>
      <c r="D3113" t="str">
        <f>LEFT(M3113,10)</f>
        <v>12/15/2024</v>
      </c>
      <c r="E3113" t="s">
        <v>202</v>
      </c>
      <c r="F3113" t="s">
        <v>218</v>
      </c>
      <c r="G3113" t="s">
        <v>222</v>
      </c>
      <c r="I3113">
        <v>35</v>
      </c>
      <c r="J3113">
        <v>49</v>
      </c>
      <c r="K3113">
        <v>1.4</v>
      </c>
      <c r="M3113" t="s">
        <v>205</v>
      </c>
    </row>
    <row r="3114" spans="1:13" hidden="1">
      <c r="A3114" t="s">
        <v>146</v>
      </c>
      <c r="B3114" t="s">
        <v>24</v>
      </c>
      <c r="C3114" t="s">
        <v>19</v>
      </c>
      <c r="D3114" t="str">
        <f>LEFT(M3114,10)</f>
        <v>12/15/2024</v>
      </c>
      <c r="E3114" t="s">
        <v>202</v>
      </c>
      <c r="F3114" t="s">
        <v>218</v>
      </c>
      <c r="G3114" t="s">
        <v>247</v>
      </c>
      <c r="I3114">
        <v>52</v>
      </c>
      <c r="J3114">
        <v>171.6</v>
      </c>
      <c r="K3114">
        <v>3.3</v>
      </c>
      <c r="M3114" t="s">
        <v>205</v>
      </c>
    </row>
    <row r="3115" spans="1:13" hidden="1">
      <c r="A3115" t="s">
        <v>146</v>
      </c>
      <c r="B3115" t="s">
        <v>24</v>
      </c>
      <c r="C3115" t="s">
        <v>19</v>
      </c>
      <c r="D3115" t="str">
        <f>LEFT(M3115,10)</f>
        <v>12/15/2024</v>
      </c>
      <c r="E3115" t="s">
        <v>202</v>
      </c>
      <c r="F3115" t="s">
        <v>218</v>
      </c>
      <c r="G3115" t="s">
        <v>242</v>
      </c>
      <c r="I3115">
        <v>147</v>
      </c>
      <c r="J3115">
        <v>169.05</v>
      </c>
      <c r="K3115">
        <v>1.1499999999999999</v>
      </c>
      <c r="M3115" t="s">
        <v>205</v>
      </c>
    </row>
    <row r="3116" spans="1:13" hidden="1">
      <c r="A3116" t="s">
        <v>146</v>
      </c>
      <c r="B3116" t="s">
        <v>24</v>
      </c>
      <c r="C3116" t="s">
        <v>19</v>
      </c>
      <c r="D3116" t="str">
        <f>LEFT(M3116,10)</f>
        <v>12/15/2024</v>
      </c>
      <c r="E3116" t="s">
        <v>202</v>
      </c>
      <c r="F3116" t="s">
        <v>218</v>
      </c>
      <c r="G3116" t="s">
        <v>220</v>
      </c>
      <c r="I3116">
        <v>550</v>
      </c>
      <c r="J3116">
        <v>550</v>
      </c>
      <c r="K3116">
        <v>1</v>
      </c>
      <c r="M3116" t="s">
        <v>205</v>
      </c>
    </row>
    <row r="3117" spans="1:13" hidden="1">
      <c r="A3117" t="s">
        <v>146</v>
      </c>
      <c r="B3117" t="s">
        <v>24</v>
      </c>
      <c r="C3117" t="s">
        <v>19</v>
      </c>
      <c r="D3117" t="str">
        <f>LEFT(M3117,10)</f>
        <v>12/15/2024</v>
      </c>
      <c r="E3117" t="s">
        <v>202</v>
      </c>
      <c r="F3117" t="s">
        <v>218</v>
      </c>
      <c r="G3117" t="s">
        <v>219</v>
      </c>
      <c r="I3117">
        <v>164</v>
      </c>
      <c r="J3117">
        <v>65.599999999999994</v>
      </c>
      <c r="K3117">
        <v>0.4</v>
      </c>
      <c r="M3117" t="s">
        <v>205</v>
      </c>
    </row>
    <row r="3118" spans="1:13" hidden="1">
      <c r="A3118" t="s">
        <v>146</v>
      </c>
      <c r="B3118" t="s">
        <v>24</v>
      </c>
      <c r="C3118" t="s">
        <v>19</v>
      </c>
      <c r="D3118" t="str">
        <f>LEFT(M3118,10)</f>
        <v>12/15/2024</v>
      </c>
      <c r="E3118" t="s">
        <v>202</v>
      </c>
      <c r="F3118" t="s">
        <v>218</v>
      </c>
      <c r="G3118" t="s">
        <v>241</v>
      </c>
      <c r="I3118">
        <v>553</v>
      </c>
      <c r="J3118">
        <v>1659</v>
      </c>
      <c r="K3118">
        <v>3</v>
      </c>
      <c r="M3118" t="s">
        <v>205</v>
      </c>
    </row>
    <row r="3119" spans="1:13" hidden="1">
      <c r="A3119" t="s">
        <v>146</v>
      </c>
      <c r="B3119" t="s">
        <v>24</v>
      </c>
      <c r="C3119" t="s">
        <v>19</v>
      </c>
      <c r="D3119" t="str">
        <f>LEFT(M3119,10)</f>
        <v>12/15/2024</v>
      </c>
      <c r="E3119" t="s">
        <v>202</v>
      </c>
      <c r="F3119" t="s">
        <v>218</v>
      </c>
      <c r="G3119" t="s">
        <v>221</v>
      </c>
      <c r="I3119">
        <v>1216</v>
      </c>
      <c r="J3119">
        <v>2492.8000000000002</v>
      </c>
      <c r="K3119">
        <v>2.0499999999999998</v>
      </c>
      <c r="M3119" t="s">
        <v>205</v>
      </c>
    </row>
    <row r="3120" spans="1:13" hidden="1">
      <c r="A3120" t="s">
        <v>146</v>
      </c>
      <c r="B3120" t="s">
        <v>24</v>
      </c>
      <c r="C3120" t="s">
        <v>19</v>
      </c>
      <c r="D3120" t="str">
        <f>LEFT(M3120,10)</f>
        <v>12/15/2024</v>
      </c>
      <c r="E3120" t="s">
        <v>202</v>
      </c>
      <c r="F3120" t="s">
        <v>218</v>
      </c>
      <c r="G3120" t="s">
        <v>239</v>
      </c>
      <c r="I3120">
        <v>532</v>
      </c>
      <c r="J3120">
        <v>53.2</v>
      </c>
      <c r="K3120">
        <v>0.1</v>
      </c>
      <c r="M3120" t="s">
        <v>205</v>
      </c>
    </row>
    <row r="3121" spans="1:13" hidden="1">
      <c r="A3121" t="s">
        <v>146</v>
      </c>
      <c r="B3121" t="s">
        <v>24</v>
      </c>
      <c r="C3121" t="s">
        <v>19</v>
      </c>
      <c r="D3121" t="str">
        <f>LEFT(M3121,10)</f>
        <v>12/15/2024</v>
      </c>
      <c r="E3121" t="s">
        <v>202</v>
      </c>
      <c r="F3121" t="s">
        <v>218</v>
      </c>
      <c r="G3121" t="s">
        <v>219</v>
      </c>
      <c r="I3121">
        <v>6257</v>
      </c>
      <c r="J3121">
        <v>3072.39</v>
      </c>
      <c r="K3121">
        <v>0.49</v>
      </c>
      <c r="M3121" t="s">
        <v>205</v>
      </c>
    </row>
    <row r="3122" spans="1:13" hidden="1">
      <c r="A3122" t="s">
        <v>146</v>
      </c>
      <c r="B3122" t="s">
        <v>24</v>
      </c>
      <c r="C3122" t="s">
        <v>19</v>
      </c>
      <c r="D3122" t="str">
        <f>LEFT(M3122,10)</f>
        <v>12/15/2024</v>
      </c>
      <c r="E3122" t="s">
        <v>202</v>
      </c>
      <c r="F3122" t="s">
        <v>203</v>
      </c>
      <c r="G3122" t="s">
        <v>235</v>
      </c>
      <c r="I3122">
        <v>73.5</v>
      </c>
      <c r="J3122">
        <v>551.25</v>
      </c>
      <c r="K3122">
        <v>7.5</v>
      </c>
      <c r="M3122" t="s">
        <v>205</v>
      </c>
    </row>
    <row r="3123" spans="1:13" hidden="1">
      <c r="A3123" t="s">
        <v>146</v>
      </c>
      <c r="B3123" t="s">
        <v>24</v>
      </c>
      <c r="C3123" t="s">
        <v>19</v>
      </c>
      <c r="D3123" t="str">
        <f>LEFT(M3123,10)</f>
        <v>12/15/2024</v>
      </c>
      <c r="E3123" t="s">
        <v>202</v>
      </c>
      <c r="F3123" t="s">
        <v>203</v>
      </c>
      <c r="G3123" t="s">
        <v>207</v>
      </c>
      <c r="I3123">
        <v>48</v>
      </c>
      <c r="J3123">
        <v>192</v>
      </c>
      <c r="K3123">
        <v>4</v>
      </c>
      <c r="M3123" t="s">
        <v>205</v>
      </c>
    </row>
    <row r="3124" spans="1:13" hidden="1">
      <c r="A3124" t="s">
        <v>146</v>
      </c>
      <c r="B3124" t="s">
        <v>24</v>
      </c>
      <c r="C3124" t="s">
        <v>19</v>
      </c>
      <c r="D3124" t="str">
        <f>LEFT(M3124,10)</f>
        <v>12/15/2024</v>
      </c>
      <c r="E3124" t="s">
        <v>202</v>
      </c>
      <c r="F3124" t="s">
        <v>203</v>
      </c>
      <c r="G3124" t="s">
        <v>206</v>
      </c>
      <c r="I3124">
        <v>8.5</v>
      </c>
      <c r="J3124">
        <v>17</v>
      </c>
      <c r="K3124">
        <v>2</v>
      </c>
      <c r="M3124" t="s">
        <v>205</v>
      </c>
    </row>
    <row r="3125" spans="1:13" hidden="1">
      <c r="A3125" t="s">
        <v>146</v>
      </c>
      <c r="B3125" t="s">
        <v>24</v>
      </c>
      <c r="C3125" t="s">
        <v>19</v>
      </c>
      <c r="D3125" t="str">
        <f>LEFT(M3125,10)</f>
        <v>12/15/2024</v>
      </c>
      <c r="E3125" t="s">
        <v>202</v>
      </c>
      <c r="F3125" t="s">
        <v>203</v>
      </c>
      <c r="G3125" t="s">
        <v>204</v>
      </c>
      <c r="I3125">
        <v>227.5</v>
      </c>
      <c r="J3125">
        <v>1592.5</v>
      </c>
      <c r="K3125">
        <v>7</v>
      </c>
      <c r="M3125" t="s">
        <v>205</v>
      </c>
    </row>
    <row r="3126" spans="1:13" hidden="1">
      <c r="A3126" t="s">
        <v>146</v>
      </c>
      <c r="B3126" t="s">
        <v>24</v>
      </c>
      <c r="C3126" t="s">
        <v>19</v>
      </c>
      <c r="D3126" t="str">
        <f>LEFT(M3126,10)</f>
        <v>12/15/2024</v>
      </c>
      <c r="E3126" t="s">
        <v>202</v>
      </c>
      <c r="F3126" t="s">
        <v>203</v>
      </c>
      <c r="G3126" t="s">
        <v>215</v>
      </c>
      <c r="I3126">
        <v>4420</v>
      </c>
      <c r="J3126">
        <v>1995.88</v>
      </c>
      <c r="K3126">
        <v>0.45</v>
      </c>
      <c r="M3126" t="s">
        <v>205</v>
      </c>
    </row>
    <row r="3127" spans="1:13" hidden="1">
      <c r="A3127" t="s">
        <v>146</v>
      </c>
      <c r="B3127" t="s">
        <v>24</v>
      </c>
      <c r="C3127" t="s">
        <v>19</v>
      </c>
      <c r="D3127" t="str">
        <f>LEFT(M3127,10)</f>
        <v>12/15/2024</v>
      </c>
      <c r="E3127" t="s">
        <v>202</v>
      </c>
      <c r="F3127" t="s">
        <v>203</v>
      </c>
      <c r="G3127" t="s">
        <v>259</v>
      </c>
      <c r="I3127">
        <v>24.5</v>
      </c>
      <c r="J3127">
        <v>73.5</v>
      </c>
      <c r="K3127">
        <v>3</v>
      </c>
      <c r="M3127" t="s">
        <v>205</v>
      </c>
    </row>
    <row r="3128" spans="1:13" hidden="1">
      <c r="A3128" t="s">
        <v>146</v>
      </c>
      <c r="B3128" t="s">
        <v>24</v>
      </c>
      <c r="C3128" t="s">
        <v>19</v>
      </c>
      <c r="D3128" t="str">
        <f>LEFT(M3128,10)</f>
        <v>12/15/2024</v>
      </c>
      <c r="E3128" t="s">
        <v>202</v>
      </c>
      <c r="F3128" t="s">
        <v>203</v>
      </c>
      <c r="G3128" t="s">
        <v>259</v>
      </c>
      <c r="I3128">
        <v>82</v>
      </c>
      <c r="J3128">
        <v>57.4</v>
      </c>
      <c r="K3128">
        <v>0.7</v>
      </c>
      <c r="M3128" t="s">
        <v>205</v>
      </c>
    </row>
    <row r="3129" spans="1:13" hidden="1">
      <c r="A3129" t="s">
        <v>146</v>
      </c>
      <c r="B3129" t="s">
        <v>24</v>
      </c>
      <c r="C3129" t="s">
        <v>19</v>
      </c>
      <c r="D3129" t="str">
        <f>LEFT(M3129,10)</f>
        <v>12/15/2024</v>
      </c>
      <c r="E3129" t="s">
        <v>202</v>
      </c>
      <c r="F3129" t="s">
        <v>216</v>
      </c>
      <c r="G3129" t="s">
        <v>253</v>
      </c>
      <c r="I3129">
        <v>13210</v>
      </c>
      <c r="J3129">
        <v>1321</v>
      </c>
      <c r="K3129">
        <v>0.1</v>
      </c>
      <c r="M3129" t="s">
        <v>205</v>
      </c>
    </row>
    <row r="3130" spans="1:13" hidden="1">
      <c r="A3130" t="s">
        <v>146</v>
      </c>
      <c r="B3130" t="s">
        <v>24</v>
      </c>
      <c r="C3130" t="s">
        <v>19</v>
      </c>
      <c r="D3130" t="str">
        <f>LEFT(M3130,10)</f>
        <v>12/15/2024</v>
      </c>
      <c r="E3130" t="s">
        <v>230</v>
      </c>
      <c r="F3130" t="s">
        <v>248</v>
      </c>
      <c r="I3130">
        <v>0</v>
      </c>
      <c r="J3130">
        <v>39639.870000000003</v>
      </c>
      <c r="M3130" t="s">
        <v>205</v>
      </c>
    </row>
    <row r="3131" spans="1:13" hidden="1">
      <c r="A3131" t="s">
        <v>146</v>
      </c>
      <c r="B3131" t="s">
        <v>24</v>
      </c>
      <c r="C3131" t="s">
        <v>19</v>
      </c>
      <c r="D3131" t="str">
        <f>LEFT(M3131,10)</f>
        <v>12/15/2024</v>
      </c>
      <c r="E3131" t="s">
        <v>232</v>
      </c>
      <c r="F3131" t="s">
        <v>262</v>
      </c>
      <c r="I3131">
        <v>0</v>
      </c>
      <c r="J3131">
        <v>10235.41</v>
      </c>
      <c r="M3131" t="s">
        <v>205</v>
      </c>
    </row>
    <row r="3132" spans="1:13" hidden="1">
      <c r="A3132" t="s">
        <v>146</v>
      </c>
      <c r="B3132" t="s">
        <v>24</v>
      </c>
      <c r="C3132" t="s">
        <v>19</v>
      </c>
      <c r="D3132" t="str">
        <f>LEFT(M3132,10)</f>
        <v>12/15/2024</v>
      </c>
      <c r="E3132" t="s">
        <v>232</v>
      </c>
      <c r="F3132" t="s">
        <v>287</v>
      </c>
      <c r="I3132">
        <v>0</v>
      </c>
      <c r="J3132">
        <v>8413.56</v>
      </c>
      <c r="M3132" t="s">
        <v>205</v>
      </c>
    </row>
    <row r="3133" spans="1:13" hidden="1">
      <c r="A3133" t="s">
        <v>146</v>
      </c>
      <c r="B3133" t="s">
        <v>24</v>
      </c>
      <c r="C3133" t="s">
        <v>19</v>
      </c>
      <c r="D3133" t="str">
        <f>LEFT(M3133,10)</f>
        <v>12/15/2024</v>
      </c>
      <c r="E3133" t="s">
        <v>232</v>
      </c>
      <c r="F3133" t="s">
        <v>290</v>
      </c>
      <c r="I3133">
        <v>0</v>
      </c>
      <c r="J3133">
        <v>2000</v>
      </c>
      <c r="M3133" t="s">
        <v>205</v>
      </c>
    </row>
    <row r="3134" spans="1:13" hidden="1">
      <c r="A3134" t="s">
        <v>146</v>
      </c>
      <c r="B3134" t="s">
        <v>24</v>
      </c>
      <c r="C3134" t="s">
        <v>19</v>
      </c>
      <c r="D3134" t="str">
        <f>LEFT(M3134,10)</f>
        <v>12/15/2024</v>
      </c>
      <c r="E3134" t="s">
        <v>232</v>
      </c>
      <c r="F3134" t="s">
        <v>292</v>
      </c>
      <c r="I3134">
        <v>0</v>
      </c>
      <c r="J3134">
        <v>700</v>
      </c>
      <c r="M3134" t="s">
        <v>205</v>
      </c>
    </row>
    <row r="3135" spans="1:13" hidden="1">
      <c r="A3135" t="s">
        <v>146</v>
      </c>
      <c r="B3135" t="s">
        <v>24</v>
      </c>
      <c r="C3135" t="s">
        <v>19</v>
      </c>
      <c r="D3135" t="str">
        <f>LEFT(M3135,10)</f>
        <v>12/15/2024</v>
      </c>
      <c r="E3135" t="s">
        <v>232</v>
      </c>
      <c r="F3135" t="s">
        <v>255</v>
      </c>
      <c r="I3135">
        <v>0</v>
      </c>
      <c r="J3135">
        <v>18290.900000000001</v>
      </c>
      <c r="L3135" t="s">
        <v>479</v>
      </c>
      <c r="M3135" t="s">
        <v>205</v>
      </c>
    </row>
    <row r="3136" spans="1:13" hidden="1">
      <c r="A3136" t="s">
        <v>146</v>
      </c>
      <c r="B3136" t="s">
        <v>24</v>
      </c>
      <c r="C3136" t="s">
        <v>19</v>
      </c>
      <c r="D3136" t="str">
        <f>LEFT(M3136,10)</f>
        <v>12/15/2024</v>
      </c>
      <c r="E3136" t="s">
        <v>234</v>
      </c>
      <c r="F3136" t="s">
        <v>234</v>
      </c>
      <c r="I3136">
        <v>6500</v>
      </c>
      <c r="M3136" t="s">
        <v>205</v>
      </c>
    </row>
    <row r="3137" spans="1:13">
      <c r="A3137" t="s">
        <v>173</v>
      </c>
      <c r="B3137" t="s">
        <v>20</v>
      </c>
      <c r="C3137" t="s">
        <v>19</v>
      </c>
      <c r="D3137" t="str">
        <f>LEFT(M3137,10)</f>
        <v>11/15/2024</v>
      </c>
      <c r="E3137" t="s">
        <v>202</v>
      </c>
      <c r="F3137" t="s">
        <v>227</v>
      </c>
      <c r="G3137" t="s">
        <v>229</v>
      </c>
      <c r="I3137">
        <v>12570</v>
      </c>
      <c r="J3137">
        <v>7542</v>
      </c>
      <c r="K3137">
        <v>0.6</v>
      </c>
      <c r="M3137" t="s">
        <v>289</v>
      </c>
    </row>
    <row r="3138" spans="1:13">
      <c r="A3138" t="s">
        <v>173</v>
      </c>
      <c r="B3138" t="s">
        <v>20</v>
      </c>
      <c r="C3138" t="s">
        <v>19</v>
      </c>
      <c r="D3138" t="str">
        <f>LEFT(M3138,10)</f>
        <v>11/15/2024</v>
      </c>
      <c r="E3138" t="s">
        <v>202</v>
      </c>
      <c r="F3138" t="s">
        <v>227</v>
      </c>
      <c r="G3138" t="s">
        <v>237</v>
      </c>
      <c r="I3138">
        <v>5250</v>
      </c>
      <c r="J3138">
        <v>3675</v>
      </c>
      <c r="K3138">
        <v>0.7</v>
      </c>
      <c r="M3138" t="s">
        <v>289</v>
      </c>
    </row>
    <row r="3139" spans="1:13">
      <c r="A3139" t="s">
        <v>173</v>
      </c>
      <c r="B3139" t="s">
        <v>20</v>
      </c>
      <c r="C3139" t="s">
        <v>19</v>
      </c>
      <c r="D3139" t="str">
        <f>LEFT(M3139,10)</f>
        <v>11/15/2024</v>
      </c>
      <c r="E3139" t="s">
        <v>202</v>
      </c>
      <c r="F3139" t="s">
        <v>227</v>
      </c>
      <c r="G3139" t="s">
        <v>238</v>
      </c>
      <c r="I3139">
        <v>790</v>
      </c>
      <c r="J3139">
        <v>276.5</v>
      </c>
      <c r="K3139">
        <v>0.35</v>
      </c>
      <c r="M3139" t="s">
        <v>289</v>
      </c>
    </row>
    <row r="3140" spans="1:13">
      <c r="A3140" t="s">
        <v>173</v>
      </c>
      <c r="B3140" t="s">
        <v>20</v>
      </c>
      <c r="C3140" t="s">
        <v>19</v>
      </c>
      <c r="D3140" t="str">
        <f>LEFT(M3140,10)</f>
        <v>11/15/2024</v>
      </c>
      <c r="E3140" t="s">
        <v>202</v>
      </c>
      <c r="F3140" t="s">
        <v>227</v>
      </c>
      <c r="G3140" t="s">
        <v>252</v>
      </c>
      <c r="I3140">
        <v>960</v>
      </c>
      <c r="J3140">
        <v>384</v>
      </c>
      <c r="K3140">
        <v>0.4</v>
      </c>
      <c r="M3140" t="s">
        <v>289</v>
      </c>
    </row>
    <row r="3141" spans="1:13">
      <c r="A3141" t="s">
        <v>173</v>
      </c>
      <c r="B3141" t="s">
        <v>20</v>
      </c>
      <c r="C3141" t="s">
        <v>19</v>
      </c>
      <c r="D3141" t="str">
        <f>LEFT(M3141,10)</f>
        <v>11/15/2024</v>
      </c>
      <c r="E3141" t="s">
        <v>202</v>
      </c>
      <c r="F3141" t="s">
        <v>227</v>
      </c>
      <c r="G3141" t="s">
        <v>228</v>
      </c>
      <c r="I3141">
        <v>4100</v>
      </c>
      <c r="J3141">
        <v>1845</v>
      </c>
      <c r="K3141">
        <v>0.45</v>
      </c>
      <c r="M3141" t="s">
        <v>289</v>
      </c>
    </row>
    <row r="3142" spans="1:13">
      <c r="A3142" t="s">
        <v>173</v>
      </c>
      <c r="B3142" t="s">
        <v>20</v>
      </c>
      <c r="C3142" t="s">
        <v>19</v>
      </c>
      <c r="D3142" t="str">
        <f>LEFT(M3142,10)</f>
        <v>11/15/2024</v>
      </c>
      <c r="E3142" t="s">
        <v>202</v>
      </c>
      <c r="F3142" t="s">
        <v>218</v>
      </c>
      <c r="G3142" t="s">
        <v>224</v>
      </c>
      <c r="I3142">
        <v>380</v>
      </c>
      <c r="J3142">
        <v>342</v>
      </c>
      <c r="K3142">
        <v>0.9</v>
      </c>
      <c r="M3142" t="s">
        <v>289</v>
      </c>
    </row>
    <row r="3143" spans="1:13">
      <c r="A3143" t="s">
        <v>173</v>
      </c>
      <c r="B3143" t="s">
        <v>20</v>
      </c>
      <c r="C3143" t="s">
        <v>19</v>
      </c>
      <c r="D3143" t="str">
        <f>LEFT(M3143,10)</f>
        <v>11/15/2024</v>
      </c>
      <c r="E3143" t="s">
        <v>202</v>
      </c>
      <c r="F3143" t="s">
        <v>218</v>
      </c>
      <c r="G3143" t="s">
        <v>221</v>
      </c>
      <c r="I3143">
        <v>1363</v>
      </c>
      <c r="J3143">
        <v>3134.9</v>
      </c>
      <c r="K3143">
        <v>2.2999999999999998</v>
      </c>
      <c r="M3143" t="s">
        <v>289</v>
      </c>
    </row>
    <row r="3144" spans="1:13">
      <c r="A3144" t="s">
        <v>173</v>
      </c>
      <c r="B3144" t="s">
        <v>20</v>
      </c>
      <c r="C3144" t="s">
        <v>19</v>
      </c>
      <c r="D3144" t="str">
        <f>LEFT(M3144,10)</f>
        <v>11/15/2024</v>
      </c>
      <c r="E3144" t="s">
        <v>202</v>
      </c>
      <c r="F3144" t="s">
        <v>218</v>
      </c>
      <c r="G3144" t="s">
        <v>266</v>
      </c>
      <c r="I3144">
        <v>56</v>
      </c>
      <c r="J3144">
        <v>2.8</v>
      </c>
      <c r="K3144">
        <v>0.05</v>
      </c>
      <c r="M3144" t="s">
        <v>289</v>
      </c>
    </row>
    <row r="3145" spans="1:13">
      <c r="A3145" t="s">
        <v>173</v>
      </c>
      <c r="B3145" t="s">
        <v>20</v>
      </c>
      <c r="C3145" t="s">
        <v>19</v>
      </c>
      <c r="D3145" t="str">
        <f>LEFT(M3145,10)</f>
        <v>11/15/2024</v>
      </c>
      <c r="E3145" t="s">
        <v>202</v>
      </c>
      <c r="F3145" t="s">
        <v>218</v>
      </c>
      <c r="G3145" t="s">
        <v>220</v>
      </c>
      <c r="I3145">
        <v>1379</v>
      </c>
      <c r="J3145">
        <v>1930.6</v>
      </c>
      <c r="K3145">
        <v>1.4</v>
      </c>
      <c r="M3145" t="s">
        <v>289</v>
      </c>
    </row>
    <row r="3146" spans="1:13">
      <c r="A3146" t="s">
        <v>173</v>
      </c>
      <c r="B3146" t="s">
        <v>20</v>
      </c>
      <c r="C3146" t="s">
        <v>19</v>
      </c>
      <c r="D3146" t="str">
        <f>LEFT(M3146,10)</f>
        <v>11/15/2024</v>
      </c>
      <c r="E3146" t="s">
        <v>202</v>
      </c>
      <c r="F3146" t="s">
        <v>218</v>
      </c>
      <c r="G3146" t="s">
        <v>247</v>
      </c>
      <c r="I3146">
        <v>23</v>
      </c>
      <c r="J3146">
        <v>85.1</v>
      </c>
      <c r="K3146">
        <v>3.7</v>
      </c>
      <c r="M3146" t="s">
        <v>289</v>
      </c>
    </row>
    <row r="3147" spans="1:13">
      <c r="A3147" t="s">
        <v>173</v>
      </c>
      <c r="B3147" t="s">
        <v>20</v>
      </c>
      <c r="C3147" t="s">
        <v>19</v>
      </c>
      <c r="D3147" t="str">
        <f>LEFT(M3147,10)</f>
        <v>11/15/2024</v>
      </c>
      <c r="E3147" t="s">
        <v>202</v>
      </c>
      <c r="F3147" t="s">
        <v>218</v>
      </c>
      <c r="G3147" t="s">
        <v>223</v>
      </c>
      <c r="I3147">
        <v>2157.23</v>
      </c>
      <c r="J3147">
        <v>1542.49</v>
      </c>
      <c r="K3147">
        <v>0.72</v>
      </c>
      <c r="M3147" t="s">
        <v>289</v>
      </c>
    </row>
    <row r="3148" spans="1:13">
      <c r="A3148" t="s">
        <v>173</v>
      </c>
      <c r="B3148" t="s">
        <v>20</v>
      </c>
      <c r="C3148" t="s">
        <v>19</v>
      </c>
      <c r="D3148" t="str">
        <f>LEFT(M3148,10)</f>
        <v>11/15/2024</v>
      </c>
      <c r="E3148" t="s">
        <v>202</v>
      </c>
      <c r="F3148" t="s">
        <v>218</v>
      </c>
      <c r="G3148" t="s">
        <v>240</v>
      </c>
      <c r="I3148">
        <v>101</v>
      </c>
      <c r="J3148">
        <v>404</v>
      </c>
      <c r="K3148">
        <v>4</v>
      </c>
      <c r="M3148" t="s">
        <v>289</v>
      </c>
    </row>
    <row r="3149" spans="1:13">
      <c r="A3149" t="s">
        <v>173</v>
      </c>
      <c r="B3149" t="s">
        <v>20</v>
      </c>
      <c r="C3149" t="s">
        <v>19</v>
      </c>
      <c r="D3149" t="str">
        <f>LEFT(M3149,10)</f>
        <v>11/15/2024</v>
      </c>
      <c r="E3149" t="s">
        <v>202</v>
      </c>
      <c r="F3149" t="s">
        <v>218</v>
      </c>
      <c r="G3149" t="s">
        <v>240</v>
      </c>
      <c r="I3149">
        <v>1440</v>
      </c>
      <c r="J3149">
        <v>5904</v>
      </c>
      <c r="K3149">
        <v>4.0999999999999996</v>
      </c>
      <c r="M3149" t="s">
        <v>289</v>
      </c>
    </row>
    <row r="3150" spans="1:13">
      <c r="A3150" t="s">
        <v>173</v>
      </c>
      <c r="B3150" t="s">
        <v>20</v>
      </c>
      <c r="C3150" t="s">
        <v>19</v>
      </c>
      <c r="D3150" t="str">
        <f>LEFT(M3150,10)</f>
        <v>11/15/2024</v>
      </c>
      <c r="E3150" t="s">
        <v>202</v>
      </c>
      <c r="F3150" t="s">
        <v>218</v>
      </c>
      <c r="G3150" t="s">
        <v>240</v>
      </c>
      <c r="I3150">
        <v>1260</v>
      </c>
      <c r="J3150">
        <v>5166</v>
      </c>
      <c r="K3150">
        <v>4.0999999999999996</v>
      </c>
      <c r="M3150" t="s">
        <v>289</v>
      </c>
    </row>
    <row r="3151" spans="1:13">
      <c r="A3151" t="s">
        <v>173</v>
      </c>
      <c r="B3151" t="s">
        <v>20</v>
      </c>
      <c r="C3151" t="s">
        <v>19</v>
      </c>
      <c r="D3151" t="str">
        <f>LEFT(M3151,10)</f>
        <v>11/15/2024</v>
      </c>
      <c r="E3151" t="s">
        <v>202</v>
      </c>
      <c r="F3151" t="s">
        <v>218</v>
      </c>
      <c r="G3151" t="s">
        <v>240</v>
      </c>
      <c r="I3151">
        <v>110</v>
      </c>
      <c r="J3151">
        <v>440</v>
      </c>
      <c r="K3151">
        <v>4</v>
      </c>
      <c r="M3151" t="s">
        <v>289</v>
      </c>
    </row>
    <row r="3152" spans="1:13">
      <c r="A3152" t="s">
        <v>173</v>
      </c>
      <c r="B3152" t="s">
        <v>20</v>
      </c>
      <c r="C3152" t="s">
        <v>19</v>
      </c>
      <c r="D3152" t="str">
        <f>LEFT(M3152,10)</f>
        <v>11/15/2024</v>
      </c>
      <c r="E3152" t="s">
        <v>202</v>
      </c>
      <c r="F3152" t="s">
        <v>218</v>
      </c>
      <c r="G3152" t="s">
        <v>242</v>
      </c>
      <c r="I3152">
        <v>156</v>
      </c>
      <c r="J3152">
        <v>280.8</v>
      </c>
      <c r="K3152">
        <v>1.8</v>
      </c>
      <c r="M3152" t="s">
        <v>289</v>
      </c>
    </row>
    <row r="3153" spans="1:13">
      <c r="A3153" t="s">
        <v>173</v>
      </c>
      <c r="B3153" t="s">
        <v>20</v>
      </c>
      <c r="C3153" t="s">
        <v>19</v>
      </c>
      <c r="D3153" t="str">
        <f>LEFT(M3153,10)</f>
        <v>11/15/2024</v>
      </c>
      <c r="E3153" t="s">
        <v>202</v>
      </c>
      <c r="F3153" t="s">
        <v>218</v>
      </c>
      <c r="G3153" t="s">
        <v>219</v>
      </c>
      <c r="I3153">
        <v>179</v>
      </c>
      <c r="J3153">
        <v>71.599999999999994</v>
      </c>
      <c r="K3153">
        <v>0.4</v>
      </c>
      <c r="M3153" t="s">
        <v>289</v>
      </c>
    </row>
    <row r="3154" spans="1:13">
      <c r="A3154" t="s">
        <v>173</v>
      </c>
      <c r="B3154" t="s">
        <v>20</v>
      </c>
      <c r="C3154" t="s">
        <v>19</v>
      </c>
      <c r="D3154" t="str">
        <f>LEFT(M3154,10)</f>
        <v>11/15/2024</v>
      </c>
      <c r="E3154" t="s">
        <v>202</v>
      </c>
      <c r="F3154" t="s">
        <v>218</v>
      </c>
      <c r="G3154" t="s">
        <v>225</v>
      </c>
      <c r="I3154">
        <v>69</v>
      </c>
      <c r="J3154">
        <v>69</v>
      </c>
      <c r="K3154">
        <v>1</v>
      </c>
      <c r="M3154" t="s">
        <v>289</v>
      </c>
    </row>
    <row r="3155" spans="1:13">
      <c r="A3155" t="s">
        <v>173</v>
      </c>
      <c r="B3155" t="s">
        <v>20</v>
      </c>
      <c r="C3155" t="s">
        <v>19</v>
      </c>
      <c r="D3155" t="str">
        <f>LEFT(M3155,10)</f>
        <v>11/15/2024</v>
      </c>
      <c r="E3155" t="s">
        <v>202</v>
      </c>
      <c r="F3155" t="s">
        <v>218</v>
      </c>
      <c r="G3155" t="s">
        <v>240</v>
      </c>
      <c r="I3155">
        <v>12</v>
      </c>
      <c r="J3155">
        <v>18</v>
      </c>
      <c r="K3155">
        <v>1.5</v>
      </c>
      <c r="M3155" t="s">
        <v>289</v>
      </c>
    </row>
    <row r="3156" spans="1:13">
      <c r="A3156" t="s">
        <v>173</v>
      </c>
      <c r="B3156" t="s">
        <v>20</v>
      </c>
      <c r="C3156" t="s">
        <v>19</v>
      </c>
      <c r="D3156" t="str">
        <f>LEFT(M3156,10)</f>
        <v>11/15/2024</v>
      </c>
      <c r="E3156" t="s">
        <v>202</v>
      </c>
      <c r="F3156" t="s">
        <v>218</v>
      </c>
      <c r="G3156" t="s">
        <v>268</v>
      </c>
      <c r="I3156">
        <v>31</v>
      </c>
      <c r="J3156">
        <v>24.8</v>
      </c>
      <c r="K3156">
        <v>0.8</v>
      </c>
      <c r="M3156" t="s">
        <v>289</v>
      </c>
    </row>
    <row r="3157" spans="1:13">
      <c r="A3157" t="s">
        <v>173</v>
      </c>
      <c r="B3157" t="s">
        <v>20</v>
      </c>
      <c r="C3157" t="s">
        <v>19</v>
      </c>
      <c r="D3157" t="str">
        <f>LEFT(M3157,10)</f>
        <v>11/15/2024</v>
      </c>
      <c r="E3157" t="s">
        <v>202</v>
      </c>
      <c r="F3157" t="s">
        <v>218</v>
      </c>
      <c r="G3157" t="s">
        <v>243</v>
      </c>
      <c r="H3157" t="s">
        <v>279</v>
      </c>
      <c r="I3157">
        <v>1095</v>
      </c>
      <c r="J3157">
        <v>1752</v>
      </c>
      <c r="K3157">
        <v>1.6</v>
      </c>
      <c r="M3157" t="s">
        <v>289</v>
      </c>
    </row>
    <row r="3158" spans="1:13">
      <c r="A3158" t="s">
        <v>173</v>
      </c>
      <c r="B3158" t="s">
        <v>20</v>
      </c>
      <c r="C3158" t="s">
        <v>19</v>
      </c>
      <c r="D3158" t="str">
        <f>LEFT(M3158,10)</f>
        <v>11/15/2024</v>
      </c>
      <c r="E3158" t="s">
        <v>202</v>
      </c>
      <c r="F3158" t="s">
        <v>218</v>
      </c>
      <c r="G3158" t="s">
        <v>243</v>
      </c>
      <c r="H3158" t="s">
        <v>283</v>
      </c>
      <c r="I3158">
        <v>878</v>
      </c>
      <c r="J3158">
        <v>1482.4</v>
      </c>
      <c r="K3158">
        <v>1.69</v>
      </c>
      <c r="M3158" t="s">
        <v>289</v>
      </c>
    </row>
    <row r="3159" spans="1:13">
      <c r="A3159" t="s">
        <v>173</v>
      </c>
      <c r="B3159" t="s">
        <v>20</v>
      </c>
      <c r="C3159" t="s">
        <v>19</v>
      </c>
      <c r="D3159" t="str">
        <f>LEFT(M3159,10)</f>
        <v>11/15/2024</v>
      </c>
      <c r="E3159" t="s">
        <v>202</v>
      </c>
      <c r="F3159" t="s">
        <v>218</v>
      </c>
      <c r="G3159" t="s">
        <v>243</v>
      </c>
      <c r="H3159" t="s">
        <v>278</v>
      </c>
      <c r="I3159">
        <v>781</v>
      </c>
      <c r="J3159">
        <v>1015.3</v>
      </c>
      <c r="K3159">
        <v>1.3</v>
      </c>
      <c r="M3159" t="s">
        <v>289</v>
      </c>
    </row>
    <row r="3160" spans="1:13">
      <c r="A3160" t="s">
        <v>173</v>
      </c>
      <c r="B3160" t="s">
        <v>20</v>
      </c>
      <c r="C3160" t="s">
        <v>19</v>
      </c>
      <c r="D3160" t="str">
        <f>LEFT(M3160,10)</f>
        <v>11/15/2024</v>
      </c>
      <c r="E3160" t="s">
        <v>202</v>
      </c>
      <c r="F3160" t="s">
        <v>216</v>
      </c>
      <c r="G3160" t="s">
        <v>253</v>
      </c>
      <c r="I3160">
        <v>15520</v>
      </c>
      <c r="J3160">
        <v>1520</v>
      </c>
      <c r="K3160">
        <v>0.1</v>
      </c>
      <c r="M3160" t="s">
        <v>289</v>
      </c>
    </row>
    <row r="3161" spans="1:13">
      <c r="A3161" t="s">
        <v>173</v>
      </c>
      <c r="B3161" t="s">
        <v>20</v>
      </c>
      <c r="C3161" t="s">
        <v>19</v>
      </c>
      <c r="D3161" t="str">
        <f>LEFT(M3161,10)</f>
        <v>11/15/2024</v>
      </c>
      <c r="E3161" t="s">
        <v>230</v>
      </c>
      <c r="F3161" t="s">
        <v>248</v>
      </c>
      <c r="I3161">
        <v>0</v>
      </c>
      <c r="J3161">
        <v>39030.879999999997</v>
      </c>
      <c r="M3161" t="s">
        <v>289</v>
      </c>
    </row>
    <row r="3162" spans="1:13">
      <c r="A3162" t="s">
        <v>173</v>
      </c>
      <c r="B3162" t="s">
        <v>20</v>
      </c>
      <c r="C3162" t="s">
        <v>19</v>
      </c>
      <c r="D3162" t="str">
        <f>LEFT(M3162,10)</f>
        <v>11/15/2024</v>
      </c>
      <c r="E3162" t="s">
        <v>232</v>
      </c>
      <c r="F3162" t="s">
        <v>287</v>
      </c>
      <c r="I3162">
        <v>0</v>
      </c>
      <c r="J3162">
        <v>7957.77</v>
      </c>
      <c r="M3162" t="s">
        <v>289</v>
      </c>
    </row>
    <row r="3163" spans="1:13">
      <c r="A3163" t="s">
        <v>173</v>
      </c>
      <c r="B3163" t="s">
        <v>20</v>
      </c>
      <c r="C3163" t="s">
        <v>19</v>
      </c>
      <c r="D3163" t="str">
        <f>LEFT(M3163,10)</f>
        <v>11/15/2024</v>
      </c>
      <c r="E3163" t="s">
        <v>232</v>
      </c>
      <c r="F3163" t="s">
        <v>255</v>
      </c>
      <c r="I3163">
        <v>0</v>
      </c>
      <c r="J3163">
        <v>765</v>
      </c>
      <c r="L3163" t="s">
        <v>264</v>
      </c>
      <c r="M3163" t="s">
        <v>289</v>
      </c>
    </row>
    <row r="3164" spans="1:13">
      <c r="A3164" t="s">
        <v>173</v>
      </c>
      <c r="B3164" t="s">
        <v>20</v>
      </c>
      <c r="C3164" t="s">
        <v>19</v>
      </c>
      <c r="D3164" t="str">
        <f>LEFT(M3164,10)</f>
        <v>11/15/2024</v>
      </c>
      <c r="E3164" t="s">
        <v>232</v>
      </c>
      <c r="F3164" t="s">
        <v>255</v>
      </c>
      <c r="I3164">
        <v>0</v>
      </c>
      <c r="J3164">
        <v>1150</v>
      </c>
      <c r="L3164" t="s">
        <v>480</v>
      </c>
      <c r="M3164" t="s">
        <v>289</v>
      </c>
    </row>
    <row r="3165" spans="1:13">
      <c r="A3165" t="s">
        <v>173</v>
      </c>
      <c r="B3165" t="s">
        <v>20</v>
      </c>
      <c r="C3165" t="s">
        <v>19</v>
      </c>
      <c r="D3165" t="str">
        <f>LEFT(M3165,10)</f>
        <v>11/15/2024</v>
      </c>
      <c r="E3165" t="s">
        <v>232</v>
      </c>
      <c r="F3165" t="s">
        <v>262</v>
      </c>
      <c r="I3165">
        <v>0</v>
      </c>
      <c r="J3165">
        <v>4508.13</v>
      </c>
      <c r="M3165" t="s">
        <v>289</v>
      </c>
    </row>
    <row r="3166" spans="1:13">
      <c r="A3166" t="s">
        <v>173</v>
      </c>
      <c r="B3166" t="s">
        <v>20</v>
      </c>
      <c r="C3166" t="s">
        <v>19</v>
      </c>
      <c r="D3166" t="str">
        <f>LEFT(M3166,10)</f>
        <v>11/15/2024</v>
      </c>
      <c r="E3166" t="s">
        <v>232</v>
      </c>
      <c r="F3166" t="s">
        <v>262</v>
      </c>
      <c r="I3166">
        <v>0</v>
      </c>
      <c r="J3166">
        <v>5024.9399999999996</v>
      </c>
      <c r="M3166" t="s">
        <v>289</v>
      </c>
    </row>
    <row r="3167" spans="1:13">
      <c r="A3167" t="s">
        <v>173</v>
      </c>
      <c r="B3167" t="s">
        <v>20</v>
      </c>
      <c r="C3167" t="s">
        <v>19</v>
      </c>
      <c r="D3167" t="str">
        <f>LEFT(M3167,10)</f>
        <v>11/15/2024</v>
      </c>
      <c r="E3167" t="s">
        <v>232</v>
      </c>
      <c r="F3167" t="s">
        <v>291</v>
      </c>
      <c r="I3167">
        <v>0</v>
      </c>
      <c r="J3167">
        <v>1124</v>
      </c>
      <c r="M3167" t="s">
        <v>289</v>
      </c>
    </row>
    <row r="3168" spans="1:13">
      <c r="A3168" t="s">
        <v>173</v>
      </c>
      <c r="B3168" t="s">
        <v>20</v>
      </c>
      <c r="C3168" t="s">
        <v>19</v>
      </c>
      <c r="D3168" t="str">
        <f>LEFT(M3168,10)</f>
        <v>11/15/2024</v>
      </c>
      <c r="E3168" t="s">
        <v>234</v>
      </c>
      <c r="F3168" t="s">
        <v>234</v>
      </c>
      <c r="I3168">
        <v>7600</v>
      </c>
      <c r="M3168" t="s">
        <v>289</v>
      </c>
    </row>
    <row r="3169" spans="1:13" hidden="1">
      <c r="A3169" t="s">
        <v>112</v>
      </c>
      <c r="B3169" t="s">
        <v>8</v>
      </c>
      <c r="C3169" t="s">
        <v>111</v>
      </c>
      <c r="D3169" t="str">
        <f>LEFT(M3169,10)</f>
        <v>12/15/2024</v>
      </c>
      <c r="E3169" t="s">
        <v>202</v>
      </c>
      <c r="F3169" t="s">
        <v>227</v>
      </c>
      <c r="G3169" t="s">
        <v>229</v>
      </c>
      <c r="I3169">
        <v>2603</v>
      </c>
      <c r="J3169">
        <v>1952.25</v>
      </c>
      <c r="K3169">
        <v>0.75</v>
      </c>
      <c r="M3169" t="s">
        <v>205</v>
      </c>
    </row>
    <row r="3170" spans="1:13" hidden="1">
      <c r="A3170" t="s">
        <v>112</v>
      </c>
      <c r="B3170" t="s">
        <v>8</v>
      </c>
      <c r="C3170" t="s">
        <v>111</v>
      </c>
      <c r="D3170" t="str">
        <f>LEFT(M3170,10)</f>
        <v>12/15/2024</v>
      </c>
      <c r="E3170" t="s">
        <v>202</v>
      </c>
      <c r="F3170" t="s">
        <v>218</v>
      </c>
      <c r="G3170" t="s">
        <v>221</v>
      </c>
      <c r="I3170">
        <v>129</v>
      </c>
      <c r="J3170">
        <v>296.7</v>
      </c>
      <c r="K3170">
        <v>2.2999999999999998</v>
      </c>
      <c r="M3170" t="s">
        <v>205</v>
      </c>
    </row>
    <row r="3171" spans="1:13" hidden="1">
      <c r="A3171" t="s">
        <v>112</v>
      </c>
      <c r="B3171" t="s">
        <v>8</v>
      </c>
      <c r="C3171" t="s">
        <v>111</v>
      </c>
      <c r="D3171" t="str">
        <f>LEFT(M3171,10)</f>
        <v>12/15/2024</v>
      </c>
      <c r="E3171" t="s">
        <v>202</v>
      </c>
      <c r="F3171" t="s">
        <v>218</v>
      </c>
      <c r="G3171" t="s">
        <v>240</v>
      </c>
      <c r="I3171">
        <v>285</v>
      </c>
      <c r="J3171">
        <v>1254</v>
      </c>
      <c r="K3171">
        <v>4.4000000000000004</v>
      </c>
      <c r="M3171" t="s">
        <v>205</v>
      </c>
    </row>
    <row r="3172" spans="1:13" hidden="1">
      <c r="A3172" t="s">
        <v>112</v>
      </c>
      <c r="B3172" t="s">
        <v>8</v>
      </c>
      <c r="C3172" t="s">
        <v>111</v>
      </c>
      <c r="D3172" t="str">
        <f>LEFT(M3172,10)</f>
        <v>12/15/2024</v>
      </c>
      <c r="E3172" t="s">
        <v>202</v>
      </c>
      <c r="F3172" t="s">
        <v>218</v>
      </c>
      <c r="G3172" t="s">
        <v>242</v>
      </c>
      <c r="I3172">
        <v>26</v>
      </c>
      <c r="J3172">
        <v>52</v>
      </c>
      <c r="K3172">
        <v>2</v>
      </c>
      <c r="M3172" t="s">
        <v>205</v>
      </c>
    </row>
    <row r="3173" spans="1:13" hidden="1">
      <c r="A3173" t="s">
        <v>112</v>
      </c>
      <c r="B3173" t="s">
        <v>8</v>
      </c>
      <c r="C3173" t="s">
        <v>111</v>
      </c>
      <c r="D3173" t="str">
        <f>LEFT(M3173,10)</f>
        <v>12/15/2024</v>
      </c>
      <c r="E3173" t="s">
        <v>202</v>
      </c>
      <c r="F3173" t="s">
        <v>218</v>
      </c>
      <c r="G3173" t="s">
        <v>241</v>
      </c>
      <c r="I3173">
        <v>76</v>
      </c>
      <c r="J3173">
        <v>326.8</v>
      </c>
      <c r="K3173">
        <v>4.3</v>
      </c>
      <c r="M3173" t="s">
        <v>205</v>
      </c>
    </row>
    <row r="3174" spans="1:13" hidden="1">
      <c r="A3174" t="s">
        <v>112</v>
      </c>
      <c r="B3174" t="s">
        <v>8</v>
      </c>
      <c r="C3174" t="s">
        <v>111</v>
      </c>
      <c r="D3174" t="str">
        <f>LEFT(M3174,10)</f>
        <v>12/15/2024</v>
      </c>
      <c r="E3174" t="s">
        <v>202</v>
      </c>
      <c r="F3174" t="s">
        <v>218</v>
      </c>
      <c r="G3174" t="s">
        <v>222</v>
      </c>
      <c r="I3174">
        <v>155</v>
      </c>
      <c r="J3174">
        <v>294.5</v>
      </c>
      <c r="K3174">
        <v>1.9</v>
      </c>
      <c r="M3174" t="s">
        <v>205</v>
      </c>
    </row>
    <row r="3175" spans="1:13" hidden="1">
      <c r="A3175" t="s">
        <v>112</v>
      </c>
      <c r="B3175" t="s">
        <v>8</v>
      </c>
      <c r="C3175" t="s">
        <v>111</v>
      </c>
      <c r="D3175" t="str">
        <f>LEFT(M3175,10)</f>
        <v>12/15/2024</v>
      </c>
      <c r="E3175" t="s">
        <v>202</v>
      </c>
      <c r="F3175" t="s">
        <v>218</v>
      </c>
      <c r="G3175" t="s">
        <v>225</v>
      </c>
      <c r="I3175">
        <v>32</v>
      </c>
      <c r="J3175">
        <v>32</v>
      </c>
      <c r="K3175">
        <v>1</v>
      </c>
      <c r="M3175" t="s">
        <v>205</v>
      </c>
    </row>
    <row r="3176" spans="1:13" hidden="1">
      <c r="A3176" t="s">
        <v>112</v>
      </c>
      <c r="B3176" t="s">
        <v>8</v>
      </c>
      <c r="C3176" t="s">
        <v>111</v>
      </c>
      <c r="D3176" t="str">
        <f>LEFT(M3176,10)</f>
        <v>12/15/2024</v>
      </c>
      <c r="E3176" t="s">
        <v>202</v>
      </c>
      <c r="F3176" t="s">
        <v>218</v>
      </c>
      <c r="G3176" t="s">
        <v>224</v>
      </c>
      <c r="I3176">
        <v>106</v>
      </c>
      <c r="J3176">
        <v>100.7</v>
      </c>
      <c r="K3176">
        <v>0.95</v>
      </c>
      <c r="M3176" t="s">
        <v>205</v>
      </c>
    </row>
    <row r="3177" spans="1:13" hidden="1">
      <c r="A3177" t="s">
        <v>112</v>
      </c>
      <c r="B3177" t="s">
        <v>8</v>
      </c>
      <c r="C3177" t="s">
        <v>111</v>
      </c>
      <c r="D3177" t="str">
        <f>LEFT(M3177,10)</f>
        <v>12/15/2024</v>
      </c>
      <c r="E3177" t="s">
        <v>202</v>
      </c>
      <c r="F3177" t="s">
        <v>218</v>
      </c>
      <c r="G3177" t="s">
        <v>222</v>
      </c>
      <c r="I3177">
        <v>364</v>
      </c>
      <c r="J3177">
        <v>582.4</v>
      </c>
      <c r="K3177">
        <v>1.6</v>
      </c>
      <c r="M3177" t="s">
        <v>205</v>
      </c>
    </row>
    <row r="3178" spans="1:13" hidden="1">
      <c r="A3178" t="s">
        <v>112</v>
      </c>
      <c r="B3178" t="s">
        <v>8</v>
      </c>
      <c r="C3178" t="s">
        <v>111</v>
      </c>
      <c r="D3178" t="str">
        <f>LEFT(M3178,10)</f>
        <v>12/15/2024</v>
      </c>
      <c r="E3178" t="s">
        <v>202</v>
      </c>
      <c r="F3178" t="s">
        <v>218</v>
      </c>
      <c r="G3178" t="s">
        <v>239</v>
      </c>
      <c r="I3178">
        <v>40</v>
      </c>
      <c r="J3178">
        <v>8</v>
      </c>
      <c r="K3178">
        <v>0.2</v>
      </c>
      <c r="M3178" t="s">
        <v>205</v>
      </c>
    </row>
    <row r="3179" spans="1:13" hidden="1">
      <c r="A3179" t="s">
        <v>112</v>
      </c>
      <c r="B3179" t="s">
        <v>8</v>
      </c>
      <c r="C3179" t="s">
        <v>111</v>
      </c>
      <c r="D3179" t="str">
        <f>LEFT(M3179,10)</f>
        <v>12/15/2024</v>
      </c>
      <c r="E3179" t="s">
        <v>202</v>
      </c>
      <c r="F3179" t="s">
        <v>218</v>
      </c>
      <c r="G3179" t="s">
        <v>219</v>
      </c>
      <c r="I3179">
        <v>35</v>
      </c>
      <c r="J3179">
        <v>14</v>
      </c>
      <c r="K3179">
        <v>0.4</v>
      </c>
      <c r="M3179" t="s">
        <v>205</v>
      </c>
    </row>
    <row r="3180" spans="1:13" hidden="1">
      <c r="A3180" t="s">
        <v>112</v>
      </c>
      <c r="B3180" t="s">
        <v>8</v>
      </c>
      <c r="C3180" t="s">
        <v>111</v>
      </c>
      <c r="D3180" t="str">
        <f>LEFT(M3180,10)</f>
        <v>12/15/2024</v>
      </c>
      <c r="E3180" t="s">
        <v>202</v>
      </c>
      <c r="F3180" t="s">
        <v>218</v>
      </c>
      <c r="G3180" t="s">
        <v>240</v>
      </c>
      <c r="I3180">
        <v>251</v>
      </c>
      <c r="J3180">
        <v>326.3</v>
      </c>
      <c r="K3180">
        <v>1.3</v>
      </c>
      <c r="M3180" t="s">
        <v>205</v>
      </c>
    </row>
    <row r="3181" spans="1:13" hidden="1">
      <c r="A3181" t="s">
        <v>112</v>
      </c>
      <c r="B3181" t="s">
        <v>8</v>
      </c>
      <c r="C3181" t="s">
        <v>111</v>
      </c>
      <c r="D3181" t="str">
        <f>LEFT(M3181,10)</f>
        <v>12/15/2024</v>
      </c>
      <c r="E3181" t="s">
        <v>202</v>
      </c>
      <c r="F3181" t="s">
        <v>218</v>
      </c>
      <c r="G3181" t="s">
        <v>223</v>
      </c>
      <c r="I3181">
        <v>302</v>
      </c>
      <c r="J3181">
        <v>241.6</v>
      </c>
      <c r="K3181">
        <v>0.8</v>
      </c>
      <c r="M3181" t="s">
        <v>205</v>
      </c>
    </row>
    <row r="3182" spans="1:13" hidden="1">
      <c r="A3182" t="s">
        <v>112</v>
      </c>
      <c r="B3182" t="s">
        <v>8</v>
      </c>
      <c r="C3182" t="s">
        <v>111</v>
      </c>
      <c r="D3182" t="str">
        <f>LEFT(M3182,10)</f>
        <v>12/15/2024</v>
      </c>
      <c r="E3182" t="s">
        <v>202</v>
      </c>
      <c r="F3182" t="s">
        <v>218</v>
      </c>
      <c r="G3182" t="s">
        <v>226</v>
      </c>
      <c r="I3182">
        <v>132</v>
      </c>
      <c r="J3182">
        <v>39.6</v>
      </c>
      <c r="K3182">
        <v>0.3</v>
      </c>
      <c r="M3182" t="s">
        <v>205</v>
      </c>
    </row>
    <row r="3183" spans="1:13" hidden="1">
      <c r="A3183" t="s">
        <v>112</v>
      </c>
      <c r="B3183" t="s">
        <v>8</v>
      </c>
      <c r="C3183" t="s">
        <v>111</v>
      </c>
      <c r="D3183" t="str">
        <f>LEFT(M3183,10)</f>
        <v>12/15/2024</v>
      </c>
      <c r="E3183" t="s">
        <v>202</v>
      </c>
      <c r="F3183" t="s">
        <v>218</v>
      </c>
      <c r="G3183" t="s">
        <v>245</v>
      </c>
      <c r="I3183">
        <v>101</v>
      </c>
      <c r="J3183">
        <v>10.1</v>
      </c>
      <c r="K3183">
        <v>0.1</v>
      </c>
      <c r="M3183" t="s">
        <v>205</v>
      </c>
    </row>
    <row r="3184" spans="1:13" hidden="1">
      <c r="A3184" t="s">
        <v>112</v>
      </c>
      <c r="B3184" t="s">
        <v>8</v>
      </c>
      <c r="C3184" t="s">
        <v>111</v>
      </c>
      <c r="D3184" t="str">
        <f>LEFT(M3184,10)</f>
        <v>12/15/2024</v>
      </c>
      <c r="E3184" t="s">
        <v>202</v>
      </c>
      <c r="F3184" t="s">
        <v>227</v>
      </c>
      <c r="G3184" t="s">
        <v>228</v>
      </c>
      <c r="I3184">
        <v>734</v>
      </c>
      <c r="J3184">
        <v>220.2</v>
      </c>
      <c r="K3184">
        <v>0.3</v>
      </c>
      <c r="M3184" t="s">
        <v>205</v>
      </c>
    </row>
    <row r="3185" spans="1:13" hidden="1">
      <c r="A3185" t="s">
        <v>112</v>
      </c>
      <c r="B3185" t="s">
        <v>8</v>
      </c>
      <c r="C3185" t="s">
        <v>111</v>
      </c>
      <c r="D3185" t="str">
        <f>LEFT(M3185,10)</f>
        <v>12/15/2024</v>
      </c>
      <c r="E3185" t="s">
        <v>202</v>
      </c>
      <c r="F3185" t="s">
        <v>227</v>
      </c>
      <c r="G3185" t="s">
        <v>237</v>
      </c>
      <c r="I3185">
        <v>106</v>
      </c>
      <c r="J3185">
        <v>74.2</v>
      </c>
      <c r="K3185">
        <v>0.7</v>
      </c>
      <c r="M3185" t="s">
        <v>205</v>
      </c>
    </row>
    <row r="3186" spans="1:13" hidden="1">
      <c r="A3186" t="s">
        <v>112</v>
      </c>
      <c r="B3186" t="s">
        <v>8</v>
      </c>
      <c r="C3186" t="s">
        <v>111</v>
      </c>
      <c r="D3186" t="str">
        <f>LEFT(M3186,10)</f>
        <v>12/15/2024</v>
      </c>
      <c r="E3186" t="s">
        <v>202</v>
      </c>
      <c r="F3186" t="s">
        <v>227</v>
      </c>
      <c r="G3186" t="s">
        <v>252</v>
      </c>
      <c r="I3186">
        <v>102</v>
      </c>
      <c r="J3186">
        <v>30.6</v>
      </c>
      <c r="K3186">
        <v>0.3</v>
      </c>
      <c r="M3186" t="s">
        <v>205</v>
      </c>
    </row>
    <row r="3187" spans="1:13" hidden="1">
      <c r="A3187" t="s">
        <v>112</v>
      </c>
      <c r="B3187" t="s">
        <v>8</v>
      </c>
      <c r="C3187" t="s">
        <v>111</v>
      </c>
      <c r="D3187" t="str">
        <f>LEFT(M3187,10)</f>
        <v>12/15/2024</v>
      </c>
      <c r="E3187" t="s">
        <v>202</v>
      </c>
      <c r="F3187" t="s">
        <v>227</v>
      </c>
      <c r="G3187" t="s">
        <v>238</v>
      </c>
      <c r="I3187">
        <v>111</v>
      </c>
      <c r="J3187">
        <v>33.299999999999997</v>
      </c>
      <c r="K3187">
        <v>0.3</v>
      </c>
      <c r="M3187" t="s">
        <v>205</v>
      </c>
    </row>
    <row r="3188" spans="1:13" hidden="1">
      <c r="A3188" t="s">
        <v>112</v>
      </c>
      <c r="B3188" t="s">
        <v>8</v>
      </c>
      <c r="C3188" t="s">
        <v>111</v>
      </c>
      <c r="D3188" t="str">
        <f>LEFT(M3188,10)</f>
        <v>12/15/2024</v>
      </c>
      <c r="E3188" t="s">
        <v>202</v>
      </c>
      <c r="F3188" t="s">
        <v>203</v>
      </c>
      <c r="G3188" t="s">
        <v>236</v>
      </c>
      <c r="I3188">
        <v>1877.5</v>
      </c>
      <c r="J3188">
        <v>1032.6199999999999</v>
      </c>
      <c r="K3188">
        <v>0.55000000000000004</v>
      </c>
      <c r="M3188" t="s">
        <v>205</v>
      </c>
    </row>
    <row r="3189" spans="1:13" hidden="1">
      <c r="A3189" t="s">
        <v>112</v>
      </c>
      <c r="B3189" t="s">
        <v>8</v>
      </c>
      <c r="C3189" t="s">
        <v>111</v>
      </c>
      <c r="D3189" t="str">
        <f>LEFT(M3189,10)</f>
        <v>12/15/2024</v>
      </c>
      <c r="E3189" t="s">
        <v>202</v>
      </c>
      <c r="F3189" t="s">
        <v>203</v>
      </c>
      <c r="G3189" t="s">
        <v>208</v>
      </c>
      <c r="I3189">
        <v>39</v>
      </c>
      <c r="J3189">
        <v>312</v>
      </c>
      <c r="K3189">
        <v>8</v>
      </c>
      <c r="M3189" t="s">
        <v>205</v>
      </c>
    </row>
    <row r="3190" spans="1:13" hidden="1">
      <c r="A3190" t="s">
        <v>112</v>
      </c>
      <c r="B3190" t="s">
        <v>8</v>
      </c>
      <c r="C3190" t="s">
        <v>111</v>
      </c>
      <c r="D3190" t="str">
        <f>LEFT(M3190,10)</f>
        <v>12/15/2024</v>
      </c>
      <c r="E3190" t="s">
        <v>202</v>
      </c>
      <c r="F3190" t="s">
        <v>203</v>
      </c>
      <c r="G3190" t="s">
        <v>260</v>
      </c>
      <c r="I3190">
        <v>9.5</v>
      </c>
      <c r="J3190">
        <v>332.5</v>
      </c>
      <c r="K3190">
        <v>35</v>
      </c>
      <c r="M3190" t="s">
        <v>205</v>
      </c>
    </row>
    <row r="3191" spans="1:13" hidden="1">
      <c r="A3191" t="s">
        <v>112</v>
      </c>
      <c r="B3191" t="s">
        <v>8</v>
      </c>
      <c r="C3191" t="s">
        <v>111</v>
      </c>
      <c r="D3191" t="str">
        <f>LEFT(M3191,10)</f>
        <v>12/15/2024</v>
      </c>
      <c r="E3191" t="s">
        <v>202</v>
      </c>
      <c r="F3191" t="s">
        <v>203</v>
      </c>
      <c r="G3191" t="s">
        <v>259</v>
      </c>
      <c r="I3191">
        <v>10.5</v>
      </c>
      <c r="J3191">
        <v>42</v>
      </c>
      <c r="K3191">
        <v>4</v>
      </c>
      <c r="M3191" t="s">
        <v>205</v>
      </c>
    </row>
    <row r="3192" spans="1:13" hidden="1">
      <c r="A3192" t="s">
        <v>112</v>
      </c>
      <c r="B3192" t="s">
        <v>8</v>
      </c>
      <c r="C3192" t="s">
        <v>111</v>
      </c>
      <c r="D3192" t="str">
        <f>LEFT(M3192,10)</f>
        <v>12/15/2024</v>
      </c>
      <c r="E3192" t="s">
        <v>202</v>
      </c>
      <c r="F3192" t="s">
        <v>203</v>
      </c>
      <c r="G3192" t="s">
        <v>204</v>
      </c>
      <c r="I3192">
        <v>65</v>
      </c>
      <c r="J3192">
        <v>487.5</v>
      </c>
      <c r="K3192">
        <v>7.5</v>
      </c>
      <c r="M3192" t="s">
        <v>205</v>
      </c>
    </row>
    <row r="3193" spans="1:13" hidden="1">
      <c r="A3193" t="s">
        <v>112</v>
      </c>
      <c r="B3193" t="s">
        <v>8</v>
      </c>
      <c r="C3193" t="s">
        <v>111</v>
      </c>
      <c r="D3193" t="str">
        <f>LEFT(M3193,10)</f>
        <v>12/15/2024</v>
      </c>
      <c r="E3193" t="s">
        <v>202</v>
      </c>
      <c r="F3193" t="s">
        <v>203</v>
      </c>
      <c r="G3193" t="s">
        <v>259</v>
      </c>
      <c r="I3193">
        <v>21</v>
      </c>
      <c r="J3193">
        <v>21</v>
      </c>
      <c r="K3193">
        <v>1</v>
      </c>
      <c r="M3193" t="s">
        <v>205</v>
      </c>
    </row>
    <row r="3194" spans="1:13" hidden="1">
      <c r="A3194" t="s">
        <v>112</v>
      </c>
      <c r="B3194" t="s">
        <v>8</v>
      </c>
      <c r="C3194" t="s">
        <v>111</v>
      </c>
      <c r="D3194" t="str">
        <f>LEFT(M3194,10)</f>
        <v>12/15/2024</v>
      </c>
      <c r="E3194" t="s">
        <v>202</v>
      </c>
      <c r="F3194" t="s">
        <v>209</v>
      </c>
      <c r="G3194" t="s">
        <v>310</v>
      </c>
      <c r="I3194">
        <v>2</v>
      </c>
      <c r="J3194">
        <v>30</v>
      </c>
      <c r="K3194">
        <v>15</v>
      </c>
      <c r="M3194" t="s">
        <v>205</v>
      </c>
    </row>
    <row r="3195" spans="1:13" hidden="1">
      <c r="A3195" t="s">
        <v>112</v>
      </c>
      <c r="B3195" t="s">
        <v>8</v>
      </c>
      <c r="C3195" t="s">
        <v>111</v>
      </c>
      <c r="D3195" t="str">
        <f>LEFT(M3195,10)</f>
        <v>12/15/2024</v>
      </c>
      <c r="E3195" t="s">
        <v>202</v>
      </c>
      <c r="F3195" t="s">
        <v>209</v>
      </c>
      <c r="G3195" t="s">
        <v>214</v>
      </c>
      <c r="I3195">
        <v>7</v>
      </c>
      <c r="J3195">
        <v>35</v>
      </c>
      <c r="K3195">
        <v>5</v>
      </c>
      <c r="M3195" t="s">
        <v>205</v>
      </c>
    </row>
    <row r="3196" spans="1:13" hidden="1">
      <c r="A3196" t="s">
        <v>112</v>
      </c>
      <c r="B3196" t="s">
        <v>8</v>
      </c>
      <c r="C3196" t="s">
        <v>111</v>
      </c>
      <c r="D3196" t="str">
        <f>LEFT(M3196,10)</f>
        <v>12/15/2024</v>
      </c>
      <c r="E3196" t="s">
        <v>202</v>
      </c>
      <c r="F3196" t="s">
        <v>203</v>
      </c>
      <c r="G3196" t="s">
        <v>207</v>
      </c>
      <c r="I3196">
        <v>11</v>
      </c>
      <c r="J3196">
        <v>44</v>
      </c>
      <c r="K3196">
        <v>4</v>
      </c>
      <c r="M3196" t="s">
        <v>205</v>
      </c>
    </row>
    <row r="3197" spans="1:13" hidden="1">
      <c r="A3197" t="s">
        <v>112</v>
      </c>
      <c r="B3197" t="s">
        <v>8</v>
      </c>
      <c r="C3197" t="s">
        <v>111</v>
      </c>
      <c r="D3197" t="str">
        <f>LEFT(M3197,10)</f>
        <v>12/15/2024</v>
      </c>
      <c r="E3197" t="s">
        <v>202</v>
      </c>
      <c r="F3197" t="s">
        <v>209</v>
      </c>
      <c r="G3197" t="s">
        <v>210</v>
      </c>
      <c r="I3197">
        <v>2</v>
      </c>
      <c r="J3197">
        <v>6</v>
      </c>
      <c r="K3197">
        <v>3</v>
      </c>
      <c r="M3197" t="s">
        <v>205</v>
      </c>
    </row>
    <row r="3198" spans="1:13" hidden="1">
      <c r="A3198" t="s">
        <v>112</v>
      </c>
      <c r="B3198" t="s">
        <v>8</v>
      </c>
      <c r="C3198" t="s">
        <v>111</v>
      </c>
      <c r="D3198" t="str">
        <f>LEFT(M3198,10)</f>
        <v>12/15/2024</v>
      </c>
      <c r="E3198" t="s">
        <v>202</v>
      </c>
      <c r="F3198" t="s">
        <v>203</v>
      </c>
      <c r="G3198" t="s">
        <v>206</v>
      </c>
      <c r="I3198">
        <v>2.5</v>
      </c>
      <c r="J3198">
        <v>50</v>
      </c>
      <c r="K3198">
        <v>20</v>
      </c>
      <c r="M3198" t="s">
        <v>205</v>
      </c>
    </row>
    <row r="3199" spans="1:13" hidden="1">
      <c r="A3199" t="s">
        <v>112</v>
      </c>
      <c r="B3199" t="s">
        <v>8</v>
      </c>
      <c r="C3199" t="s">
        <v>111</v>
      </c>
      <c r="D3199" t="str">
        <f>LEFT(M3199,10)</f>
        <v>12/15/2024</v>
      </c>
      <c r="E3199" t="s">
        <v>230</v>
      </c>
      <c r="F3199" t="s">
        <v>248</v>
      </c>
      <c r="G3199" t="s">
        <v>249</v>
      </c>
      <c r="I3199">
        <v>0</v>
      </c>
      <c r="J3199">
        <v>16512</v>
      </c>
      <c r="M3199" t="s">
        <v>205</v>
      </c>
    </row>
    <row r="3200" spans="1:13" hidden="1">
      <c r="A3200" t="s">
        <v>112</v>
      </c>
      <c r="B3200" t="s">
        <v>8</v>
      </c>
      <c r="C3200" t="s">
        <v>111</v>
      </c>
      <c r="D3200" t="str">
        <f>LEFT(M3200,10)</f>
        <v>12/15/2024</v>
      </c>
      <c r="E3200" t="s">
        <v>234</v>
      </c>
      <c r="F3200" t="s">
        <v>234</v>
      </c>
      <c r="G3200" t="s">
        <v>249</v>
      </c>
      <c r="I3200">
        <v>1333</v>
      </c>
      <c r="M3200" t="s">
        <v>205</v>
      </c>
    </row>
    <row r="3201" spans="1:13" hidden="1">
      <c r="A3201" t="s">
        <v>112</v>
      </c>
      <c r="B3201" t="s">
        <v>8</v>
      </c>
      <c r="C3201" t="s">
        <v>111</v>
      </c>
      <c r="D3201" t="str">
        <f>LEFT(M3201,10)</f>
        <v>12/15/2024</v>
      </c>
      <c r="E3201" t="s">
        <v>232</v>
      </c>
      <c r="F3201" t="s">
        <v>250</v>
      </c>
      <c r="G3201" t="s">
        <v>249</v>
      </c>
      <c r="I3201">
        <v>0</v>
      </c>
      <c r="J3201">
        <v>365</v>
      </c>
      <c r="M3201" t="s">
        <v>205</v>
      </c>
    </row>
    <row r="3202" spans="1:13" hidden="1">
      <c r="A3202" t="s">
        <v>112</v>
      </c>
      <c r="B3202" t="s">
        <v>8</v>
      </c>
      <c r="C3202" t="s">
        <v>111</v>
      </c>
      <c r="D3202" t="str">
        <f>LEFT(M3202,10)</f>
        <v>12/15/2024</v>
      </c>
      <c r="E3202" t="s">
        <v>232</v>
      </c>
      <c r="F3202" t="s">
        <v>287</v>
      </c>
      <c r="G3202" t="s">
        <v>249</v>
      </c>
      <c r="I3202">
        <v>0</v>
      </c>
      <c r="J3202">
        <v>280</v>
      </c>
      <c r="M3202" t="s">
        <v>205</v>
      </c>
    </row>
    <row r="3203" spans="1:13" hidden="1">
      <c r="A3203" t="s">
        <v>112</v>
      </c>
      <c r="B3203" t="s">
        <v>8</v>
      </c>
      <c r="C3203" t="s">
        <v>111</v>
      </c>
      <c r="D3203" t="str">
        <f>LEFT(M3203,10)</f>
        <v>12/15/2024</v>
      </c>
      <c r="E3203" t="s">
        <v>232</v>
      </c>
      <c r="F3203" t="s">
        <v>290</v>
      </c>
      <c r="G3203" t="s">
        <v>249</v>
      </c>
      <c r="I3203">
        <v>0</v>
      </c>
      <c r="J3203">
        <v>63.8</v>
      </c>
      <c r="M3203" t="s">
        <v>205</v>
      </c>
    </row>
    <row r="3204" spans="1:13" hidden="1">
      <c r="A3204" t="s">
        <v>112</v>
      </c>
      <c r="B3204" t="s">
        <v>8</v>
      </c>
      <c r="C3204" t="s">
        <v>111</v>
      </c>
      <c r="D3204" t="str">
        <f>LEFT(M3204,10)</f>
        <v>12/15/2024</v>
      </c>
      <c r="E3204" t="s">
        <v>232</v>
      </c>
      <c r="F3204" t="s">
        <v>233</v>
      </c>
      <c r="G3204" t="s">
        <v>249</v>
      </c>
      <c r="I3204">
        <v>0</v>
      </c>
      <c r="J3204">
        <v>1087.24</v>
      </c>
      <c r="M3204" t="s">
        <v>205</v>
      </c>
    </row>
    <row r="3205" spans="1:13" hidden="1">
      <c r="A3205" t="s">
        <v>94</v>
      </c>
      <c r="B3205" t="s">
        <v>8</v>
      </c>
      <c r="C3205" t="s">
        <v>93</v>
      </c>
      <c r="D3205" t="str">
        <f>LEFT(M3205,10)</f>
        <v>12/15/2024</v>
      </c>
      <c r="E3205" t="s">
        <v>202</v>
      </c>
      <c r="F3205" t="s">
        <v>227</v>
      </c>
      <c r="G3205" t="s">
        <v>229</v>
      </c>
      <c r="I3205">
        <v>13898</v>
      </c>
      <c r="J3205">
        <v>10948.71</v>
      </c>
      <c r="K3205">
        <v>0.79</v>
      </c>
      <c r="M3205" t="s">
        <v>205</v>
      </c>
    </row>
    <row r="3206" spans="1:13" hidden="1">
      <c r="A3206" t="s">
        <v>94</v>
      </c>
      <c r="B3206" t="s">
        <v>8</v>
      </c>
      <c r="C3206" t="s">
        <v>93</v>
      </c>
      <c r="D3206" t="str">
        <f>LEFT(M3206,10)</f>
        <v>12/15/2024</v>
      </c>
      <c r="E3206" t="s">
        <v>202</v>
      </c>
      <c r="F3206" t="s">
        <v>227</v>
      </c>
      <c r="G3206" t="s">
        <v>237</v>
      </c>
      <c r="I3206">
        <v>1830.6</v>
      </c>
      <c r="J3206">
        <v>1098.3599999999999</v>
      </c>
      <c r="K3206">
        <v>0.6</v>
      </c>
      <c r="M3206" t="s">
        <v>205</v>
      </c>
    </row>
    <row r="3207" spans="1:13" hidden="1">
      <c r="A3207" t="s">
        <v>94</v>
      </c>
      <c r="B3207" t="s">
        <v>8</v>
      </c>
      <c r="C3207" t="s">
        <v>93</v>
      </c>
      <c r="D3207" t="str">
        <f>LEFT(M3207,10)</f>
        <v>12/15/2024</v>
      </c>
      <c r="E3207" t="s">
        <v>202</v>
      </c>
      <c r="F3207" t="s">
        <v>227</v>
      </c>
      <c r="G3207" t="s">
        <v>228</v>
      </c>
      <c r="I3207">
        <v>9908.6</v>
      </c>
      <c r="J3207">
        <v>2972.58</v>
      </c>
      <c r="K3207">
        <v>0.3</v>
      </c>
      <c r="M3207" t="s">
        <v>205</v>
      </c>
    </row>
    <row r="3208" spans="1:13" hidden="1">
      <c r="A3208" t="s">
        <v>94</v>
      </c>
      <c r="B3208" t="s">
        <v>8</v>
      </c>
      <c r="C3208" t="s">
        <v>93</v>
      </c>
      <c r="D3208" t="str">
        <f>LEFT(M3208,10)</f>
        <v>12/15/2024</v>
      </c>
      <c r="E3208" t="s">
        <v>202</v>
      </c>
      <c r="F3208" t="s">
        <v>227</v>
      </c>
      <c r="G3208" t="s">
        <v>238</v>
      </c>
      <c r="I3208">
        <v>922.2</v>
      </c>
      <c r="J3208">
        <v>368.88</v>
      </c>
      <c r="K3208">
        <v>0.4</v>
      </c>
      <c r="M3208" t="s">
        <v>205</v>
      </c>
    </row>
    <row r="3209" spans="1:13" hidden="1">
      <c r="A3209" t="s">
        <v>94</v>
      </c>
      <c r="B3209" t="s">
        <v>8</v>
      </c>
      <c r="C3209" t="s">
        <v>93</v>
      </c>
      <c r="D3209" t="str">
        <f>LEFT(M3209,10)</f>
        <v>12/15/2024</v>
      </c>
      <c r="E3209" t="s">
        <v>202</v>
      </c>
      <c r="F3209" t="s">
        <v>227</v>
      </c>
      <c r="G3209" t="s">
        <v>252</v>
      </c>
      <c r="I3209">
        <v>1873</v>
      </c>
      <c r="J3209">
        <v>721.94</v>
      </c>
      <c r="K3209">
        <v>0.39</v>
      </c>
      <c r="M3209" t="s">
        <v>205</v>
      </c>
    </row>
    <row r="3210" spans="1:13" hidden="1">
      <c r="A3210" t="s">
        <v>94</v>
      </c>
      <c r="B3210" t="s">
        <v>8</v>
      </c>
      <c r="C3210" t="s">
        <v>93</v>
      </c>
      <c r="D3210" t="str">
        <f>LEFT(M3210,10)</f>
        <v>12/15/2024</v>
      </c>
      <c r="E3210" t="s">
        <v>202</v>
      </c>
      <c r="F3210" t="s">
        <v>218</v>
      </c>
      <c r="G3210" t="s">
        <v>240</v>
      </c>
      <c r="I3210">
        <v>3724.6</v>
      </c>
      <c r="J3210">
        <v>18766.22</v>
      </c>
      <c r="K3210">
        <v>5.04</v>
      </c>
      <c r="M3210" t="s">
        <v>205</v>
      </c>
    </row>
    <row r="3211" spans="1:13" hidden="1">
      <c r="A3211" t="s">
        <v>94</v>
      </c>
      <c r="B3211" t="s">
        <v>8</v>
      </c>
      <c r="C3211" t="s">
        <v>93</v>
      </c>
      <c r="D3211" t="str">
        <f>LEFT(M3211,10)</f>
        <v>12/15/2024</v>
      </c>
      <c r="E3211" t="s">
        <v>202</v>
      </c>
      <c r="F3211" t="s">
        <v>218</v>
      </c>
      <c r="G3211" t="s">
        <v>242</v>
      </c>
      <c r="I3211">
        <v>479.3</v>
      </c>
      <c r="J3211">
        <v>768.73</v>
      </c>
      <c r="K3211">
        <v>1.6</v>
      </c>
      <c r="M3211" t="s">
        <v>205</v>
      </c>
    </row>
    <row r="3212" spans="1:13" hidden="1">
      <c r="A3212" t="s">
        <v>94</v>
      </c>
      <c r="B3212" t="s">
        <v>8</v>
      </c>
      <c r="C3212" t="s">
        <v>93</v>
      </c>
      <c r="D3212" t="str">
        <f>LEFT(M3212,10)</f>
        <v>12/15/2024</v>
      </c>
      <c r="E3212" t="s">
        <v>202</v>
      </c>
      <c r="F3212" t="s">
        <v>218</v>
      </c>
      <c r="G3212" t="s">
        <v>220</v>
      </c>
      <c r="I3212">
        <v>2933.1</v>
      </c>
      <c r="J3212">
        <v>4399.6499999999996</v>
      </c>
      <c r="K3212">
        <v>1.5</v>
      </c>
      <c r="M3212" t="s">
        <v>205</v>
      </c>
    </row>
    <row r="3213" spans="1:13" hidden="1">
      <c r="A3213" t="s">
        <v>94</v>
      </c>
      <c r="B3213" t="s">
        <v>8</v>
      </c>
      <c r="C3213" t="s">
        <v>93</v>
      </c>
      <c r="D3213" t="str">
        <f>LEFT(M3213,10)</f>
        <v>12/15/2024</v>
      </c>
      <c r="E3213" t="s">
        <v>202</v>
      </c>
      <c r="F3213" t="s">
        <v>218</v>
      </c>
      <c r="G3213" t="s">
        <v>223</v>
      </c>
      <c r="I3213">
        <v>7718.8</v>
      </c>
      <c r="J3213">
        <v>6175.04</v>
      </c>
      <c r="K3213">
        <v>0.8</v>
      </c>
      <c r="M3213" t="s">
        <v>205</v>
      </c>
    </row>
    <row r="3214" spans="1:13" hidden="1">
      <c r="A3214" t="s">
        <v>94</v>
      </c>
      <c r="B3214" t="s">
        <v>8</v>
      </c>
      <c r="C3214" t="s">
        <v>93</v>
      </c>
      <c r="D3214" t="str">
        <f>LEFT(M3214,10)</f>
        <v>12/15/2024</v>
      </c>
      <c r="E3214" t="s">
        <v>202</v>
      </c>
      <c r="F3214" t="s">
        <v>218</v>
      </c>
      <c r="G3214" t="s">
        <v>223</v>
      </c>
      <c r="I3214">
        <v>2418.8000000000002</v>
      </c>
      <c r="J3214">
        <v>1209.4000000000001</v>
      </c>
      <c r="K3214">
        <v>0.5</v>
      </c>
      <c r="M3214" t="s">
        <v>205</v>
      </c>
    </row>
    <row r="3215" spans="1:13" hidden="1">
      <c r="A3215" t="s">
        <v>94</v>
      </c>
      <c r="B3215" t="s">
        <v>8</v>
      </c>
      <c r="C3215" t="s">
        <v>93</v>
      </c>
      <c r="D3215" t="str">
        <f>LEFT(M3215,10)</f>
        <v>12/15/2024</v>
      </c>
      <c r="E3215" t="s">
        <v>202</v>
      </c>
      <c r="F3215" t="s">
        <v>218</v>
      </c>
      <c r="G3215" t="s">
        <v>221</v>
      </c>
      <c r="I3215">
        <v>827.8</v>
      </c>
      <c r="J3215">
        <v>2115.77</v>
      </c>
      <c r="K3215">
        <v>2.56</v>
      </c>
      <c r="M3215" t="s">
        <v>205</v>
      </c>
    </row>
    <row r="3216" spans="1:13" hidden="1">
      <c r="A3216" t="s">
        <v>94</v>
      </c>
      <c r="B3216" t="s">
        <v>8</v>
      </c>
      <c r="C3216" t="s">
        <v>93</v>
      </c>
      <c r="D3216" t="str">
        <f>LEFT(M3216,10)</f>
        <v>12/15/2024</v>
      </c>
      <c r="E3216" t="s">
        <v>202</v>
      </c>
      <c r="F3216" t="s">
        <v>218</v>
      </c>
      <c r="G3216" t="s">
        <v>222</v>
      </c>
      <c r="I3216">
        <v>1264.9000000000001</v>
      </c>
      <c r="J3216">
        <v>2836.94</v>
      </c>
      <c r="K3216">
        <v>2.2400000000000002</v>
      </c>
      <c r="M3216" t="s">
        <v>205</v>
      </c>
    </row>
    <row r="3217" spans="1:13" hidden="1">
      <c r="A3217" t="s">
        <v>94</v>
      </c>
      <c r="B3217" t="s">
        <v>8</v>
      </c>
      <c r="C3217" t="s">
        <v>93</v>
      </c>
      <c r="D3217" t="str">
        <f>LEFT(M3217,10)</f>
        <v>12/15/2024</v>
      </c>
      <c r="E3217" t="s">
        <v>202</v>
      </c>
      <c r="F3217" t="s">
        <v>218</v>
      </c>
      <c r="G3217" t="s">
        <v>222</v>
      </c>
      <c r="I3217">
        <v>787.8</v>
      </c>
      <c r="J3217">
        <v>1518.84</v>
      </c>
      <c r="K3217">
        <v>1.93</v>
      </c>
      <c r="M3217" t="s">
        <v>205</v>
      </c>
    </row>
    <row r="3218" spans="1:13" hidden="1">
      <c r="A3218" t="s">
        <v>94</v>
      </c>
      <c r="B3218" t="s">
        <v>8</v>
      </c>
      <c r="C3218" t="s">
        <v>93</v>
      </c>
      <c r="D3218" t="str">
        <f>LEFT(M3218,10)</f>
        <v>12/15/2024</v>
      </c>
      <c r="E3218" t="s">
        <v>202</v>
      </c>
      <c r="F3218" t="s">
        <v>218</v>
      </c>
      <c r="G3218" t="s">
        <v>222</v>
      </c>
      <c r="I3218">
        <v>1027.8</v>
      </c>
      <c r="J3218">
        <v>1628.84</v>
      </c>
      <c r="K3218">
        <v>1.58</v>
      </c>
      <c r="M3218" t="s">
        <v>205</v>
      </c>
    </row>
    <row r="3219" spans="1:13" hidden="1">
      <c r="A3219" t="s">
        <v>94</v>
      </c>
      <c r="B3219" t="s">
        <v>8</v>
      </c>
      <c r="C3219" t="s">
        <v>93</v>
      </c>
      <c r="D3219" t="str">
        <f>LEFT(M3219,10)</f>
        <v>12/15/2024</v>
      </c>
      <c r="E3219" t="s">
        <v>202</v>
      </c>
      <c r="F3219" t="s">
        <v>218</v>
      </c>
      <c r="G3219" t="s">
        <v>224</v>
      </c>
      <c r="I3219">
        <v>189.4</v>
      </c>
      <c r="J3219">
        <v>189.4</v>
      </c>
      <c r="K3219">
        <v>1</v>
      </c>
      <c r="M3219" t="s">
        <v>205</v>
      </c>
    </row>
    <row r="3220" spans="1:13" hidden="1">
      <c r="A3220" t="s">
        <v>94</v>
      </c>
      <c r="B3220" t="s">
        <v>8</v>
      </c>
      <c r="C3220" t="s">
        <v>93</v>
      </c>
      <c r="D3220" t="str">
        <f>LEFT(M3220,10)</f>
        <v>12/15/2024</v>
      </c>
      <c r="E3220" t="s">
        <v>202</v>
      </c>
      <c r="F3220" t="s">
        <v>218</v>
      </c>
      <c r="G3220" t="s">
        <v>247</v>
      </c>
      <c r="I3220">
        <v>131.30000000000001</v>
      </c>
      <c r="J3220">
        <v>551.46</v>
      </c>
      <c r="K3220">
        <v>4.2</v>
      </c>
      <c r="M3220" t="s">
        <v>205</v>
      </c>
    </row>
    <row r="3221" spans="1:13" hidden="1">
      <c r="A3221" t="s">
        <v>94</v>
      </c>
      <c r="B3221" t="s">
        <v>8</v>
      </c>
      <c r="C3221" t="s">
        <v>93</v>
      </c>
      <c r="D3221" t="str">
        <f>LEFT(M3221,10)</f>
        <v>12/15/2024</v>
      </c>
      <c r="E3221" t="s">
        <v>202</v>
      </c>
      <c r="F3221" t="s">
        <v>218</v>
      </c>
      <c r="G3221" t="s">
        <v>225</v>
      </c>
      <c r="I3221">
        <v>879.8</v>
      </c>
      <c r="J3221">
        <v>703.84</v>
      </c>
      <c r="K3221">
        <v>0.8</v>
      </c>
      <c r="M3221" t="s">
        <v>205</v>
      </c>
    </row>
    <row r="3222" spans="1:13" hidden="1">
      <c r="A3222" t="s">
        <v>94</v>
      </c>
      <c r="B3222" t="s">
        <v>8</v>
      </c>
      <c r="C3222" t="s">
        <v>93</v>
      </c>
      <c r="D3222" t="str">
        <f>LEFT(M3222,10)</f>
        <v>12/15/2024</v>
      </c>
      <c r="E3222" t="s">
        <v>202</v>
      </c>
      <c r="F3222" t="s">
        <v>218</v>
      </c>
      <c r="G3222" t="s">
        <v>226</v>
      </c>
      <c r="I3222">
        <v>654.5</v>
      </c>
      <c r="J3222">
        <v>229.08</v>
      </c>
      <c r="K3222">
        <v>0.35</v>
      </c>
      <c r="M3222" t="s">
        <v>205</v>
      </c>
    </row>
    <row r="3223" spans="1:13" hidden="1">
      <c r="A3223" t="s">
        <v>94</v>
      </c>
      <c r="B3223" t="s">
        <v>8</v>
      </c>
      <c r="C3223" t="s">
        <v>93</v>
      </c>
      <c r="D3223" t="str">
        <f>LEFT(M3223,10)</f>
        <v>12/15/2024</v>
      </c>
      <c r="E3223" t="s">
        <v>202</v>
      </c>
      <c r="F3223" t="s">
        <v>218</v>
      </c>
      <c r="G3223" t="s">
        <v>243</v>
      </c>
      <c r="H3223" t="s">
        <v>481</v>
      </c>
      <c r="I3223">
        <v>727.2</v>
      </c>
      <c r="J3223">
        <v>72.72</v>
      </c>
      <c r="K3223">
        <v>0.1</v>
      </c>
      <c r="M3223" t="s">
        <v>205</v>
      </c>
    </row>
    <row r="3224" spans="1:13" hidden="1">
      <c r="A3224" t="s">
        <v>94</v>
      </c>
      <c r="B3224" t="s">
        <v>8</v>
      </c>
      <c r="C3224" t="s">
        <v>93</v>
      </c>
      <c r="D3224" t="str">
        <f>LEFT(M3224,10)</f>
        <v>12/15/2024</v>
      </c>
      <c r="E3224" t="s">
        <v>202</v>
      </c>
      <c r="F3224" t="s">
        <v>218</v>
      </c>
      <c r="G3224" t="s">
        <v>222</v>
      </c>
      <c r="I3224">
        <v>74.400000000000006</v>
      </c>
      <c r="J3224">
        <v>133.91999999999999</v>
      </c>
      <c r="K3224">
        <v>1.8</v>
      </c>
      <c r="M3224" t="s">
        <v>205</v>
      </c>
    </row>
    <row r="3225" spans="1:13" hidden="1">
      <c r="A3225" t="s">
        <v>94</v>
      </c>
      <c r="B3225" t="s">
        <v>8</v>
      </c>
      <c r="C3225" t="s">
        <v>93</v>
      </c>
      <c r="D3225" t="str">
        <f>LEFT(M3225,10)</f>
        <v>12/15/2024</v>
      </c>
      <c r="E3225" t="s">
        <v>202</v>
      </c>
      <c r="F3225" t="s">
        <v>218</v>
      </c>
      <c r="G3225" t="s">
        <v>239</v>
      </c>
      <c r="I3225">
        <v>117.2</v>
      </c>
      <c r="J3225">
        <v>23.44</v>
      </c>
      <c r="K3225">
        <v>0.2</v>
      </c>
      <c r="M3225" t="s">
        <v>205</v>
      </c>
    </row>
    <row r="3226" spans="1:13" hidden="1">
      <c r="A3226" t="s">
        <v>94</v>
      </c>
      <c r="B3226" t="s">
        <v>8</v>
      </c>
      <c r="C3226" t="s">
        <v>93</v>
      </c>
      <c r="D3226" t="str">
        <f>LEFT(M3226,10)</f>
        <v>12/15/2024</v>
      </c>
      <c r="E3226" t="s">
        <v>202</v>
      </c>
      <c r="F3226" t="s">
        <v>218</v>
      </c>
      <c r="G3226" t="s">
        <v>266</v>
      </c>
      <c r="I3226">
        <v>80</v>
      </c>
      <c r="J3226">
        <v>4</v>
      </c>
      <c r="K3226">
        <v>0.05</v>
      </c>
      <c r="M3226" t="s">
        <v>205</v>
      </c>
    </row>
    <row r="3227" spans="1:13" hidden="1">
      <c r="A3227" t="s">
        <v>94</v>
      </c>
      <c r="B3227" t="s">
        <v>8</v>
      </c>
      <c r="C3227" t="s">
        <v>93</v>
      </c>
      <c r="D3227" t="str">
        <f>LEFT(M3227,10)</f>
        <v>12/15/2024</v>
      </c>
      <c r="E3227" t="s">
        <v>202</v>
      </c>
      <c r="F3227" t="s">
        <v>218</v>
      </c>
      <c r="G3227" t="s">
        <v>221</v>
      </c>
      <c r="I3227">
        <v>1397.2</v>
      </c>
      <c r="J3227">
        <v>3571.03</v>
      </c>
      <c r="K3227">
        <v>2.56</v>
      </c>
      <c r="M3227" t="s">
        <v>205</v>
      </c>
    </row>
    <row r="3228" spans="1:13" hidden="1">
      <c r="A3228" t="s">
        <v>94</v>
      </c>
      <c r="B3228" t="s">
        <v>8</v>
      </c>
      <c r="C3228" t="s">
        <v>93</v>
      </c>
      <c r="D3228" t="str">
        <f>LEFT(M3228,10)</f>
        <v>12/15/2024</v>
      </c>
      <c r="E3228" t="s">
        <v>202</v>
      </c>
      <c r="F3228" t="s">
        <v>218</v>
      </c>
      <c r="G3228" t="s">
        <v>219</v>
      </c>
      <c r="I3228">
        <v>268.8</v>
      </c>
      <c r="J3228">
        <v>53.76</v>
      </c>
      <c r="K3228">
        <v>0.2</v>
      </c>
      <c r="M3228" t="s">
        <v>205</v>
      </c>
    </row>
    <row r="3229" spans="1:13" hidden="1">
      <c r="A3229" t="s">
        <v>94</v>
      </c>
      <c r="B3229" t="s">
        <v>8</v>
      </c>
      <c r="C3229" t="s">
        <v>93</v>
      </c>
      <c r="D3229" t="str">
        <f>LEFT(M3229,10)</f>
        <v>12/15/2024</v>
      </c>
      <c r="E3229" t="s">
        <v>202</v>
      </c>
      <c r="F3229" t="s">
        <v>216</v>
      </c>
      <c r="G3229" t="s">
        <v>253</v>
      </c>
      <c r="I3229">
        <v>17900</v>
      </c>
      <c r="J3229">
        <v>2685</v>
      </c>
      <c r="K3229">
        <v>0.15</v>
      </c>
      <c r="M3229" t="s">
        <v>205</v>
      </c>
    </row>
    <row r="3230" spans="1:13" hidden="1">
      <c r="A3230" t="s">
        <v>94</v>
      </c>
      <c r="B3230" t="s">
        <v>8</v>
      </c>
      <c r="C3230" t="s">
        <v>93</v>
      </c>
      <c r="D3230" t="str">
        <f>LEFT(M3230,10)</f>
        <v>12/15/2024</v>
      </c>
      <c r="E3230" t="s">
        <v>202</v>
      </c>
      <c r="F3230" t="s">
        <v>203</v>
      </c>
      <c r="G3230" t="s">
        <v>236</v>
      </c>
      <c r="I3230">
        <v>13780</v>
      </c>
      <c r="J3230">
        <v>6890</v>
      </c>
      <c r="K3230">
        <v>0.5</v>
      </c>
      <c r="M3230" t="s">
        <v>205</v>
      </c>
    </row>
    <row r="3231" spans="1:13" hidden="1">
      <c r="A3231" t="s">
        <v>94</v>
      </c>
      <c r="B3231" t="s">
        <v>8</v>
      </c>
      <c r="C3231" t="s">
        <v>93</v>
      </c>
      <c r="D3231" t="str">
        <f>LEFT(M3231,10)</f>
        <v>12/15/2024</v>
      </c>
      <c r="E3231" t="s">
        <v>202</v>
      </c>
      <c r="F3231" t="s">
        <v>203</v>
      </c>
      <c r="G3231" t="s">
        <v>204</v>
      </c>
      <c r="I3231">
        <v>332.4</v>
      </c>
      <c r="J3231">
        <v>3191.04</v>
      </c>
      <c r="K3231">
        <v>9.6</v>
      </c>
      <c r="M3231" t="s">
        <v>205</v>
      </c>
    </row>
    <row r="3232" spans="1:13" hidden="1">
      <c r="A3232" t="s">
        <v>94</v>
      </c>
      <c r="B3232" t="s">
        <v>8</v>
      </c>
      <c r="C3232" t="s">
        <v>93</v>
      </c>
      <c r="D3232" t="str">
        <f>LEFT(M3232,10)</f>
        <v>12/15/2024</v>
      </c>
      <c r="E3232" t="s">
        <v>202</v>
      </c>
      <c r="F3232" t="s">
        <v>203</v>
      </c>
      <c r="G3232" t="s">
        <v>206</v>
      </c>
      <c r="I3232">
        <v>22</v>
      </c>
      <c r="J3232">
        <v>22</v>
      </c>
      <c r="K3232">
        <v>1</v>
      </c>
      <c r="M3232" t="s">
        <v>205</v>
      </c>
    </row>
    <row r="3233" spans="1:13" hidden="1">
      <c r="A3233" t="s">
        <v>94</v>
      </c>
      <c r="B3233" t="s">
        <v>8</v>
      </c>
      <c r="C3233" t="s">
        <v>93</v>
      </c>
      <c r="D3233" t="str">
        <f>LEFT(M3233,10)</f>
        <v>12/15/2024</v>
      </c>
      <c r="E3233" t="s">
        <v>202</v>
      </c>
      <c r="F3233" t="s">
        <v>203</v>
      </c>
      <c r="G3233" t="s">
        <v>259</v>
      </c>
      <c r="I3233">
        <v>34.299999999999997</v>
      </c>
      <c r="J3233">
        <v>274.39999999999998</v>
      </c>
      <c r="K3233">
        <v>8</v>
      </c>
      <c r="M3233" t="s">
        <v>205</v>
      </c>
    </row>
    <row r="3234" spans="1:13" hidden="1">
      <c r="A3234" t="s">
        <v>94</v>
      </c>
      <c r="B3234" t="s">
        <v>8</v>
      </c>
      <c r="C3234" t="s">
        <v>93</v>
      </c>
      <c r="D3234" t="str">
        <f>LEFT(M3234,10)</f>
        <v>12/15/2024</v>
      </c>
      <c r="E3234" t="s">
        <v>202</v>
      </c>
      <c r="F3234" t="s">
        <v>203</v>
      </c>
      <c r="G3234" t="s">
        <v>259</v>
      </c>
      <c r="I3234">
        <v>8.9</v>
      </c>
      <c r="J3234">
        <v>93.45</v>
      </c>
      <c r="K3234">
        <v>10.5</v>
      </c>
      <c r="M3234" t="s">
        <v>205</v>
      </c>
    </row>
    <row r="3235" spans="1:13" hidden="1">
      <c r="A3235" t="s">
        <v>94</v>
      </c>
      <c r="B3235" t="s">
        <v>8</v>
      </c>
      <c r="C3235" t="s">
        <v>93</v>
      </c>
      <c r="D3235" t="str">
        <f>LEFT(M3235,10)</f>
        <v>12/15/2024</v>
      </c>
      <c r="E3235" t="s">
        <v>202</v>
      </c>
      <c r="F3235" t="s">
        <v>203</v>
      </c>
      <c r="G3235" t="s">
        <v>207</v>
      </c>
      <c r="I3235">
        <v>10.8</v>
      </c>
      <c r="J3235">
        <v>64.8</v>
      </c>
      <c r="K3235">
        <v>6</v>
      </c>
      <c r="M3235" t="s">
        <v>205</v>
      </c>
    </row>
    <row r="3236" spans="1:13" hidden="1">
      <c r="A3236" t="s">
        <v>94</v>
      </c>
      <c r="B3236" t="s">
        <v>8</v>
      </c>
      <c r="C3236" t="s">
        <v>93</v>
      </c>
      <c r="D3236" t="str">
        <f>LEFT(M3236,10)</f>
        <v>12/15/2024</v>
      </c>
      <c r="E3236" t="s">
        <v>202</v>
      </c>
      <c r="F3236" t="s">
        <v>203</v>
      </c>
      <c r="G3236" t="s">
        <v>259</v>
      </c>
      <c r="I3236">
        <v>16</v>
      </c>
      <c r="J3236">
        <v>432</v>
      </c>
      <c r="K3236">
        <v>27</v>
      </c>
      <c r="M3236" t="s">
        <v>205</v>
      </c>
    </row>
    <row r="3237" spans="1:13" hidden="1">
      <c r="A3237" t="s">
        <v>94</v>
      </c>
      <c r="B3237" t="s">
        <v>8</v>
      </c>
      <c r="C3237" t="s">
        <v>93</v>
      </c>
      <c r="D3237" t="str">
        <f>LEFT(M3237,10)</f>
        <v>12/15/2024</v>
      </c>
      <c r="E3237" t="s">
        <v>202</v>
      </c>
      <c r="F3237" t="s">
        <v>203</v>
      </c>
      <c r="G3237" t="s">
        <v>208</v>
      </c>
      <c r="I3237">
        <v>27.4</v>
      </c>
      <c r="J3237">
        <v>274</v>
      </c>
      <c r="K3237">
        <v>10</v>
      </c>
      <c r="M3237" t="s">
        <v>205</v>
      </c>
    </row>
    <row r="3238" spans="1:13" hidden="1">
      <c r="A3238" t="s">
        <v>94</v>
      </c>
      <c r="B3238" t="s">
        <v>8</v>
      </c>
      <c r="C3238" t="s">
        <v>93</v>
      </c>
      <c r="D3238" t="str">
        <f>LEFT(M3238,10)</f>
        <v>12/15/2024</v>
      </c>
      <c r="E3238" t="s">
        <v>202</v>
      </c>
      <c r="F3238" t="s">
        <v>203</v>
      </c>
      <c r="G3238" t="s">
        <v>259</v>
      </c>
      <c r="I3238">
        <v>6.9</v>
      </c>
      <c r="J3238">
        <v>48.3</v>
      </c>
      <c r="K3238">
        <v>7</v>
      </c>
      <c r="M3238" t="s">
        <v>205</v>
      </c>
    </row>
    <row r="3239" spans="1:13" hidden="1">
      <c r="A3239" t="s">
        <v>94</v>
      </c>
      <c r="B3239" t="s">
        <v>8</v>
      </c>
      <c r="C3239" t="s">
        <v>93</v>
      </c>
      <c r="D3239" t="str">
        <f>LEFT(M3239,10)</f>
        <v>12/15/2024</v>
      </c>
      <c r="E3239" t="s">
        <v>202</v>
      </c>
      <c r="F3239" t="s">
        <v>203</v>
      </c>
      <c r="G3239" t="s">
        <v>259</v>
      </c>
      <c r="I3239">
        <v>2</v>
      </c>
      <c r="J3239">
        <v>6</v>
      </c>
      <c r="K3239">
        <v>3</v>
      </c>
      <c r="M3239" t="s">
        <v>205</v>
      </c>
    </row>
    <row r="3240" spans="1:13" hidden="1">
      <c r="A3240" t="s">
        <v>94</v>
      </c>
      <c r="B3240" t="s">
        <v>8</v>
      </c>
      <c r="C3240" t="s">
        <v>93</v>
      </c>
      <c r="D3240" t="str">
        <f>LEFT(M3240,10)</f>
        <v>12/15/2024</v>
      </c>
      <c r="E3240" t="s">
        <v>230</v>
      </c>
      <c r="F3240" t="s">
        <v>248</v>
      </c>
      <c r="I3240">
        <v>0</v>
      </c>
      <c r="J3240">
        <v>32570</v>
      </c>
      <c r="M3240" t="s">
        <v>205</v>
      </c>
    </row>
    <row r="3241" spans="1:13" hidden="1">
      <c r="A3241" t="s">
        <v>94</v>
      </c>
      <c r="B3241" t="s">
        <v>8</v>
      </c>
      <c r="C3241" t="s">
        <v>93</v>
      </c>
      <c r="D3241" t="str">
        <f>LEFT(M3241,10)</f>
        <v>12/15/2024</v>
      </c>
      <c r="E3241" t="s">
        <v>232</v>
      </c>
      <c r="F3241" t="s">
        <v>275</v>
      </c>
      <c r="I3241">
        <v>0</v>
      </c>
      <c r="J3241">
        <v>2562.7399999999998</v>
      </c>
      <c r="M3241" t="s">
        <v>205</v>
      </c>
    </row>
    <row r="3242" spans="1:13" hidden="1">
      <c r="A3242" t="s">
        <v>94</v>
      </c>
      <c r="B3242" t="s">
        <v>8</v>
      </c>
      <c r="C3242" t="s">
        <v>93</v>
      </c>
      <c r="D3242" t="str">
        <f>LEFT(M3242,10)</f>
        <v>12/15/2024</v>
      </c>
      <c r="E3242" t="s">
        <v>232</v>
      </c>
      <c r="F3242" t="s">
        <v>233</v>
      </c>
      <c r="I3242">
        <v>0</v>
      </c>
      <c r="J3242">
        <v>5746.84</v>
      </c>
      <c r="M3242" t="s">
        <v>205</v>
      </c>
    </row>
    <row r="3243" spans="1:13" hidden="1">
      <c r="A3243" t="s">
        <v>94</v>
      </c>
      <c r="B3243" t="s">
        <v>8</v>
      </c>
      <c r="C3243" t="s">
        <v>93</v>
      </c>
      <c r="D3243" t="str">
        <f>LEFT(M3243,10)</f>
        <v>12/15/2024</v>
      </c>
      <c r="E3243" t="s">
        <v>232</v>
      </c>
      <c r="F3243" t="s">
        <v>233</v>
      </c>
      <c r="I3243">
        <v>0</v>
      </c>
      <c r="J3243">
        <v>152.9</v>
      </c>
      <c r="M3243" t="s">
        <v>205</v>
      </c>
    </row>
    <row r="3244" spans="1:13" hidden="1">
      <c r="A3244" t="s">
        <v>94</v>
      </c>
      <c r="B3244" t="s">
        <v>8</v>
      </c>
      <c r="C3244" t="s">
        <v>93</v>
      </c>
      <c r="D3244" t="str">
        <f>LEFT(M3244,10)</f>
        <v>12/15/2024</v>
      </c>
      <c r="E3244" t="s">
        <v>232</v>
      </c>
      <c r="F3244" t="s">
        <v>233</v>
      </c>
      <c r="I3244">
        <v>0</v>
      </c>
      <c r="J3244">
        <v>1090</v>
      </c>
      <c r="M3244" t="s">
        <v>205</v>
      </c>
    </row>
    <row r="3245" spans="1:13" hidden="1">
      <c r="A3245" t="s">
        <v>94</v>
      </c>
      <c r="B3245" t="s">
        <v>8</v>
      </c>
      <c r="C3245" t="s">
        <v>93</v>
      </c>
      <c r="D3245" t="str">
        <f>LEFT(M3245,10)</f>
        <v>12/15/2024</v>
      </c>
      <c r="E3245" t="s">
        <v>232</v>
      </c>
      <c r="F3245" t="s">
        <v>255</v>
      </c>
      <c r="I3245">
        <v>0</v>
      </c>
      <c r="J3245">
        <v>140</v>
      </c>
      <c r="L3245" t="s">
        <v>387</v>
      </c>
      <c r="M3245" t="s">
        <v>205</v>
      </c>
    </row>
    <row r="3246" spans="1:13" hidden="1">
      <c r="A3246" t="s">
        <v>94</v>
      </c>
      <c r="B3246" t="s">
        <v>8</v>
      </c>
      <c r="C3246" t="s">
        <v>93</v>
      </c>
      <c r="D3246" t="str">
        <f>LEFT(M3246,10)</f>
        <v>12/15/2024</v>
      </c>
      <c r="E3246" t="s">
        <v>232</v>
      </c>
      <c r="F3246" t="s">
        <v>250</v>
      </c>
      <c r="I3246">
        <v>0</v>
      </c>
      <c r="J3246">
        <v>150</v>
      </c>
      <c r="M3246" t="s">
        <v>205</v>
      </c>
    </row>
    <row r="3247" spans="1:13" hidden="1">
      <c r="A3247" t="s">
        <v>94</v>
      </c>
      <c r="B3247" t="s">
        <v>8</v>
      </c>
      <c r="C3247" t="s">
        <v>93</v>
      </c>
      <c r="D3247" t="str">
        <f>LEFT(M3247,10)</f>
        <v>12/15/2024</v>
      </c>
      <c r="E3247" t="s">
        <v>232</v>
      </c>
      <c r="F3247" t="s">
        <v>290</v>
      </c>
      <c r="I3247">
        <v>0</v>
      </c>
      <c r="J3247">
        <v>2013.59</v>
      </c>
      <c r="M3247" t="s">
        <v>205</v>
      </c>
    </row>
    <row r="3248" spans="1:13" hidden="1">
      <c r="A3248" t="s">
        <v>94</v>
      </c>
      <c r="B3248" t="s">
        <v>8</v>
      </c>
      <c r="C3248" t="s">
        <v>93</v>
      </c>
      <c r="D3248" t="str">
        <f>LEFT(M3248,10)</f>
        <v>12/15/2024</v>
      </c>
      <c r="E3248" t="s">
        <v>232</v>
      </c>
      <c r="F3248" t="s">
        <v>255</v>
      </c>
      <c r="I3248">
        <v>0</v>
      </c>
      <c r="J3248">
        <v>110</v>
      </c>
      <c r="L3248" t="s">
        <v>396</v>
      </c>
      <c r="M3248" t="s">
        <v>205</v>
      </c>
    </row>
    <row r="3249" spans="1:13" hidden="1">
      <c r="A3249" t="s">
        <v>94</v>
      </c>
      <c r="B3249" t="s">
        <v>8</v>
      </c>
      <c r="C3249" t="s">
        <v>93</v>
      </c>
      <c r="D3249" t="str">
        <f>LEFT(M3249,10)</f>
        <v>12/15/2024</v>
      </c>
      <c r="E3249" t="s">
        <v>234</v>
      </c>
      <c r="F3249" t="s">
        <v>234</v>
      </c>
      <c r="I3249">
        <v>44000</v>
      </c>
      <c r="M3249" t="s">
        <v>205</v>
      </c>
    </row>
    <row r="3250" spans="1:13" hidden="1">
      <c r="A3250" t="s">
        <v>94</v>
      </c>
      <c r="B3250" t="s">
        <v>8</v>
      </c>
      <c r="C3250" t="s">
        <v>93</v>
      </c>
      <c r="D3250" t="str">
        <f>LEFT(M3250,10)</f>
        <v>12/15/2024</v>
      </c>
      <c r="F3250" t="s">
        <v>249</v>
      </c>
      <c r="I3250">
        <v>0</v>
      </c>
      <c r="M3250" t="s">
        <v>205</v>
      </c>
    </row>
    <row r="3251" spans="1:13" hidden="1">
      <c r="A3251" t="s">
        <v>85</v>
      </c>
      <c r="B3251" t="s">
        <v>8</v>
      </c>
      <c r="C3251" t="s">
        <v>14</v>
      </c>
      <c r="D3251" t="str">
        <f>LEFT(M3251,10)</f>
        <v>12/15/2024</v>
      </c>
      <c r="E3251" t="s">
        <v>232</v>
      </c>
      <c r="F3251" t="s">
        <v>255</v>
      </c>
      <c r="G3251" t="s">
        <v>249</v>
      </c>
      <c r="I3251">
        <v>0</v>
      </c>
      <c r="J3251">
        <v>500</v>
      </c>
      <c r="L3251" t="s">
        <v>482</v>
      </c>
      <c r="M3251" t="s">
        <v>205</v>
      </c>
    </row>
    <row r="3252" spans="1:13" hidden="1">
      <c r="A3252" t="s">
        <v>85</v>
      </c>
      <c r="B3252" t="s">
        <v>8</v>
      </c>
      <c r="C3252" t="s">
        <v>14</v>
      </c>
      <c r="D3252" t="str">
        <f>LEFT(M3252,10)</f>
        <v>12/15/2024</v>
      </c>
      <c r="E3252" t="s">
        <v>232</v>
      </c>
      <c r="F3252" t="s">
        <v>255</v>
      </c>
      <c r="G3252" t="s">
        <v>249</v>
      </c>
      <c r="I3252">
        <v>0</v>
      </c>
      <c r="J3252">
        <v>1000</v>
      </c>
      <c r="L3252" t="s">
        <v>264</v>
      </c>
      <c r="M3252" t="s">
        <v>205</v>
      </c>
    </row>
    <row r="3253" spans="1:13" hidden="1">
      <c r="A3253" t="s">
        <v>85</v>
      </c>
      <c r="B3253" t="s">
        <v>8</v>
      </c>
      <c r="C3253" t="s">
        <v>14</v>
      </c>
      <c r="D3253" t="str">
        <f>LEFT(M3253,10)</f>
        <v>12/15/2024</v>
      </c>
      <c r="E3253" t="s">
        <v>232</v>
      </c>
      <c r="F3253" t="s">
        <v>251</v>
      </c>
      <c r="G3253" t="s">
        <v>249</v>
      </c>
      <c r="I3253">
        <v>0</v>
      </c>
      <c r="J3253">
        <v>3417</v>
      </c>
      <c r="M3253" t="s">
        <v>205</v>
      </c>
    </row>
    <row r="3254" spans="1:13" hidden="1">
      <c r="A3254" t="s">
        <v>85</v>
      </c>
      <c r="B3254" t="s">
        <v>8</v>
      </c>
      <c r="C3254" t="s">
        <v>14</v>
      </c>
      <c r="D3254" t="str">
        <f>LEFT(M3254,10)</f>
        <v>12/15/2024</v>
      </c>
      <c r="E3254" t="s">
        <v>232</v>
      </c>
      <c r="F3254" t="s">
        <v>290</v>
      </c>
      <c r="G3254" t="s">
        <v>249</v>
      </c>
      <c r="I3254">
        <v>0</v>
      </c>
      <c r="J3254">
        <v>11</v>
      </c>
      <c r="M3254" t="s">
        <v>205</v>
      </c>
    </row>
    <row r="3255" spans="1:13" hidden="1">
      <c r="A3255" t="s">
        <v>85</v>
      </c>
      <c r="B3255" t="s">
        <v>8</v>
      </c>
      <c r="C3255" t="s">
        <v>14</v>
      </c>
      <c r="D3255" t="str">
        <f>LEFT(M3255,10)</f>
        <v>12/15/2024</v>
      </c>
      <c r="E3255" t="s">
        <v>232</v>
      </c>
      <c r="F3255" t="s">
        <v>291</v>
      </c>
      <c r="G3255" t="s">
        <v>249</v>
      </c>
      <c r="I3255">
        <v>0</v>
      </c>
      <c r="J3255">
        <v>537</v>
      </c>
      <c r="M3255" t="s">
        <v>205</v>
      </c>
    </row>
    <row r="3256" spans="1:13" hidden="1">
      <c r="A3256" t="s">
        <v>85</v>
      </c>
      <c r="B3256" t="s">
        <v>8</v>
      </c>
      <c r="C3256" t="s">
        <v>14</v>
      </c>
      <c r="D3256" t="str">
        <f>LEFT(M3256,10)</f>
        <v>12/15/2024</v>
      </c>
      <c r="E3256" t="s">
        <v>232</v>
      </c>
      <c r="F3256" t="s">
        <v>255</v>
      </c>
      <c r="G3256" t="s">
        <v>249</v>
      </c>
      <c r="I3256">
        <v>0</v>
      </c>
      <c r="J3256">
        <v>281</v>
      </c>
      <c r="L3256" t="s">
        <v>373</v>
      </c>
      <c r="M3256" t="s">
        <v>205</v>
      </c>
    </row>
    <row r="3257" spans="1:13" hidden="1">
      <c r="A3257" t="s">
        <v>85</v>
      </c>
      <c r="B3257" t="s">
        <v>8</v>
      </c>
      <c r="C3257" t="s">
        <v>14</v>
      </c>
      <c r="D3257" t="str">
        <f>LEFT(M3257,10)</f>
        <v>12/15/2024</v>
      </c>
      <c r="E3257" t="s">
        <v>232</v>
      </c>
      <c r="F3257" t="s">
        <v>255</v>
      </c>
      <c r="G3257" t="s">
        <v>249</v>
      </c>
      <c r="I3257">
        <v>0</v>
      </c>
      <c r="J3257">
        <v>46</v>
      </c>
      <c r="L3257" t="s">
        <v>483</v>
      </c>
      <c r="M3257" t="s">
        <v>205</v>
      </c>
    </row>
    <row r="3258" spans="1:13" hidden="1">
      <c r="A3258" t="s">
        <v>85</v>
      </c>
      <c r="B3258" t="s">
        <v>8</v>
      </c>
      <c r="C3258" t="s">
        <v>14</v>
      </c>
      <c r="D3258" t="str">
        <f>LEFT(M3258,10)</f>
        <v>12/15/2024</v>
      </c>
      <c r="E3258" t="s">
        <v>232</v>
      </c>
      <c r="F3258" t="s">
        <v>272</v>
      </c>
      <c r="G3258" t="s">
        <v>249</v>
      </c>
      <c r="I3258">
        <v>0</v>
      </c>
      <c r="J3258">
        <v>1278</v>
      </c>
      <c r="M3258" t="s">
        <v>205</v>
      </c>
    </row>
    <row r="3259" spans="1:13" hidden="1">
      <c r="A3259" t="s">
        <v>85</v>
      </c>
      <c r="B3259" t="s">
        <v>8</v>
      </c>
      <c r="C3259" t="s">
        <v>14</v>
      </c>
      <c r="D3259" t="str">
        <f>LEFT(M3259,10)</f>
        <v>12/15/2024</v>
      </c>
      <c r="E3259" t="s">
        <v>232</v>
      </c>
      <c r="F3259" t="s">
        <v>287</v>
      </c>
      <c r="G3259" t="s">
        <v>249</v>
      </c>
      <c r="I3259">
        <v>0</v>
      </c>
      <c r="J3259">
        <v>251</v>
      </c>
      <c r="M3259" t="s">
        <v>205</v>
      </c>
    </row>
    <row r="3260" spans="1:13" hidden="1">
      <c r="A3260" t="s">
        <v>85</v>
      </c>
      <c r="B3260" t="s">
        <v>8</v>
      </c>
      <c r="C3260" t="s">
        <v>14</v>
      </c>
      <c r="D3260" t="str">
        <f>LEFT(M3260,10)</f>
        <v>12/15/2024</v>
      </c>
      <c r="E3260" t="s">
        <v>232</v>
      </c>
      <c r="F3260" t="s">
        <v>290</v>
      </c>
      <c r="G3260" t="s">
        <v>249</v>
      </c>
      <c r="I3260">
        <v>0</v>
      </c>
      <c r="J3260">
        <v>150</v>
      </c>
      <c r="M3260" t="s">
        <v>205</v>
      </c>
    </row>
    <row r="3261" spans="1:13" hidden="1">
      <c r="A3261" t="s">
        <v>85</v>
      </c>
      <c r="B3261" t="s">
        <v>8</v>
      </c>
      <c r="C3261" t="s">
        <v>14</v>
      </c>
      <c r="D3261" t="str">
        <f>LEFT(M3261,10)</f>
        <v>12/15/2024</v>
      </c>
      <c r="E3261" t="s">
        <v>232</v>
      </c>
      <c r="F3261" t="s">
        <v>255</v>
      </c>
      <c r="G3261" t="s">
        <v>249</v>
      </c>
      <c r="I3261">
        <v>0</v>
      </c>
      <c r="J3261">
        <v>153</v>
      </c>
      <c r="L3261" t="s">
        <v>396</v>
      </c>
      <c r="M3261" t="s">
        <v>205</v>
      </c>
    </row>
    <row r="3262" spans="1:13" hidden="1">
      <c r="A3262" t="s">
        <v>85</v>
      </c>
      <c r="B3262" t="s">
        <v>8</v>
      </c>
      <c r="C3262" t="s">
        <v>14</v>
      </c>
      <c r="D3262" t="str">
        <f>LEFT(M3262,10)</f>
        <v>12/15/2024</v>
      </c>
      <c r="E3262" t="s">
        <v>232</v>
      </c>
      <c r="F3262" t="s">
        <v>255</v>
      </c>
      <c r="G3262" t="s">
        <v>249</v>
      </c>
      <c r="I3262">
        <v>0</v>
      </c>
      <c r="J3262">
        <v>1000</v>
      </c>
      <c r="L3262" t="s">
        <v>264</v>
      </c>
      <c r="M3262" t="s">
        <v>205</v>
      </c>
    </row>
    <row r="3263" spans="1:13" hidden="1">
      <c r="A3263" t="s">
        <v>85</v>
      </c>
      <c r="B3263" t="s">
        <v>8</v>
      </c>
      <c r="C3263" t="s">
        <v>14</v>
      </c>
      <c r="D3263" t="str">
        <f>LEFT(M3263,10)</f>
        <v>12/15/2024</v>
      </c>
      <c r="E3263" t="s">
        <v>232</v>
      </c>
      <c r="F3263" t="s">
        <v>290</v>
      </c>
      <c r="G3263" t="s">
        <v>249</v>
      </c>
      <c r="I3263">
        <v>0</v>
      </c>
      <c r="J3263">
        <v>120</v>
      </c>
      <c r="M3263" t="s">
        <v>205</v>
      </c>
    </row>
    <row r="3264" spans="1:13" hidden="1">
      <c r="A3264" t="s">
        <v>85</v>
      </c>
      <c r="B3264" t="s">
        <v>8</v>
      </c>
      <c r="C3264" t="s">
        <v>14</v>
      </c>
      <c r="D3264" t="str">
        <f>LEFT(M3264,10)</f>
        <v>12/15/2024</v>
      </c>
      <c r="E3264" t="s">
        <v>234</v>
      </c>
      <c r="F3264" t="s">
        <v>234</v>
      </c>
      <c r="G3264" t="s">
        <v>249</v>
      </c>
      <c r="I3264">
        <v>15606</v>
      </c>
      <c r="M3264" t="s">
        <v>205</v>
      </c>
    </row>
    <row r="3265" spans="1:13" hidden="1">
      <c r="A3265" t="s">
        <v>85</v>
      </c>
      <c r="B3265" t="s">
        <v>8</v>
      </c>
      <c r="C3265" t="s">
        <v>14</v>
      </c>
      <c r="D3265" t="str">
        <f>LEFT(M3265,10)</f>
        <v>12/15/2024</v>
      </c>
      <c r="E3265" t="s">
        <v>230</v>
      </c>
      <c r="F3265" t="s">
        <v>248</v>
      </c>
      <c r="G3265" t="s">
        <v>249</v>
      </c>
      <c r="I3265">
        <v>0</v>
      </c>
      <c r="J3265">
        <v>30460.27</v>
      </c>
      <c r="M3265" t="s">
        <v>205</v>
      </c>
    </row>
    <row r="3266" spans="1:13" hidden="1">
      <c r="A3266" t="s">
        <v>85</v>
      </c>
      <c r="B3266" t="s">
        <v>8</v>
      </c>
      <c r="C3266" t="s">
        <v>14</v>
      </c>
      <c r="D3266" t="str">
        <f>LEFT(M3266,10)</f>
        <v>12/15/2024</v>
      </c>
      <c r="E3266" t="s">
        <v>202</v>
      </c>
      <c r="F3266" t="s">
        <v>216</v>
      </c>
      <c r="G3266" t="s">
        <v>253</v>
      </c>
      <c r="I3266">
        <v>17470</v>
      </c>
      <c r="J3266">
        <v>2795.2</v>
      </c>
      <c r="K3266">
        <v>0.16</v>
      </c>
      <c r="M3266" t="s">
        <v>205</v>
      </c>
    </row>
    <row r="3267" spans="1:13" hidden="1">
      <c r="A3267" t="s">
        <v>85</v>
      </c>
      <c r="B3267" t="s">
        <v>8</v>
      </c>
      <c r="C3267" t="s">
        <v>14</v>
      </c>
      <c r="D3267" t="str">
        <f>LEFT(M3267,10)</f>
        <v>12/15/2024</v>
      </c>
      <c r="E3267" t="s">
        <v>202</v>
      </c>
      <c r="F3267" t="s">
        <v>227</v>
      </c>
      <c r="G3267" t="s">
        <v>238</v>
      </c>
      <c r="I3267">
        <v>3361</v>
      </c>
      <c r="J3267">
        <v>1344.4</v>
      </c>
      <c r="K3267">
        <v>0.4</v>
      </c>
      <c r="M3267" t="s">
        <v>205</v>
      </c>
    </row>
    <row r="3268" spans="1:13" hidden="1">
      <c r="A3268" t="s">
        <v>85</v>
      </c>
      <c r="B3268" t="s">
        <v>8</v>
      </c>
      <c r="C3268" t="s">
        <v>14</v>
      </c>
      <c r="D3268" t="str">
        <f>LEFT(M3268,10)</f>
        <v>12/15/2024</v>
      </c>
      <c r="E3268" t="s">
        <v>202</v>
      </c>
      <c r="F3268" t="s">
        <v>227</v>
      </c>
      <c r="G3268" t="s">
        <v>229</v>
      </c>
      <c r="I3268">
        <v>23315</v>
      </c>
      <c r="J3268">
        <v>17486.25</v>
      </c>
      <c r="K3268">
        <v>0.75</v>
      </c>
      <c r="M3268" t="s">
        <v>205</v>
      </c>
    </row>
    <row r="3269" spans="1:13" hidden="1">
      <c r="A3269" t="s">
        <v>85</v>
      </c>
      <c r="B3269" t="s">
        <v>8</v>
      </c>
      <c r="C3269" t="s">
        <v>14</v>
      </c>
      <c r="D3269" t="str">
        <f>LEFT(M3269,10)</f>
        <v>12/15/2024</v>
      </c>
      <c r="E3269" t="s">
        <v>202</v>
      </c>
      <c r="F3269" t="s">
        <v>227</v>
      </c>
      <c r="G3269" t="s">
        <v>228</v>
      </c>
      <c r="I3269">
        <v>9462</v>
      </c>
      <c r="J3269">
        <v>2838.6</v>
      </c>
      <c r="K3269">
        <v>0.3</v>
      </c>
      <c r="M3269" t="s">
        <v>205</v>
      </c>
    </row>
    <row r="3270" spans="1:13" hidden="1">
      <c r="A3270" t="s">
        <v>85</v>
      </c>
      <c r="B3270" t="s">
        <v>8</v>
      </c>
      <c r="C3270" t="s">
        <v>14</v>
      </c>
      <c r="D3270" t="str">
        <f>LEFT(M3270,10)</f>
        <v>12/15/2024</v>
      </c>
      <c r="E3270" t="s">
        <v>202</v>
      </c>
      <c r="F3270" t="s">
        <v>227</v>
      </c>
      <c r="G3270" t="s">
        <v>237</v>
      </c>
      <c r="I3270">
        <v>2525</v>
      </c>
      <c r="J3270">
        <v>1641.57</v>
      </c>
      <c r="K3270">
        <v>0.65</v>
      </c>
      <c r="M3270" t="s">
        <v>205</v>
      </c>
    </row>
    <row r="3271" spans="1:13" hidden="1">
      <c r="A3271" t="s">
        <v>85</v>
      </c>
      <c r="B3271" t="s">
        <v>8</v>
      </c>
      <c r="C3271" t="s">
        <v>14</v>
      </c>
      <c r="D3271" t="str">
        <f>LEFT(M3271,10)</f>
        <v>12/15/2024</v>
      </c>
      <c r="E3271" t="s">
        <v>202</v>
      </c>
      <c r="F3271" t="s">
        <v>227</v>
      </c>
      <c r="G3271" t="s">
        <v>252</v>
      </c>
      <c r="I3271">
        <v>1763.5</v>
      </c>
      <c r="J3271">
        <v>617.22</v>
      </c>
      <c r="K3271">
        <v>0.35</v>
      </c>
      <c r="M3271" t="s">
        <v>205</v>
      </c>
    </row>
    <row r="3272" spans="1:13" hidden="1">
      <c r="A3272" t="s">
        <v>85</v>
      </c>
      <c r="B3272" t="s">
        <v>8</v>
      </c>
      <c r="C3272" t="s">
        <v>14</v>
      </c>
      <c r="D3272" t="str">
        <f>LEFT(M3272,10)</f>
        <v>12/15/2024</v>
      </c>
      <c r="E3272" t="s">
        <v>202</v>
      </c>
      <c r="F3272" t="s">
        <v>218</v>
      </c>
      <c r="G3272" t="s">
        <v>224</v>
      </c>
      <c r="I3272">
        <v>287</v>
      </c>
      <c r="J3272">
        <v>287</v>
      </c>
      <c r="K3272">
        <v>1</v>
      </c>
      <c r="M3272" t="s">
        <v>205</v>
      </c>
    </row>
    <row r="3273" spans="1:13" hidden="1">
      <c r="A3273" t="s">
        <v>85</v>
      </c>
      <c r="B3273" t="s">
        <v>8</v>
      </c>
      <c r="C3273" t="s">
        <v>14</v>
      </c>
      <c r="D3273" t="str">
        <f>LEFT(M3273,10)</f>
        <v>12/15/2024</v>
      </c>
      <c r="E3273" t="s">
        <v>202</v>
      </c>
      <c r="F3273" t="s">
        <v>218</v>
      </c>
      <c r="G3273" t="s">
        <v>221</v>
      </c>
      <c r="I3273">
        <v>1521.5</v>
      </c>
      <c r="J3273">
        <v>3499.45</v>
      </c>
      <c r="K3273">
        <v>2.2999999999999998</v>
      </c>
      <c r="M3273" t="s">
        <v>205</v>
      </c>
    </row>
    <row r="3274" spans="1:13" hidden="1">
      <c r="A3274" t="s">
        <v>85</v>
      </c>
      <c r="B3274" t="s">
        <v>8</v>
      </c>
      <c r="C3274" t="s">
        <v>14</v>
      </c>
      <c r="D3274" t="str">
        <f>LEFT(M3274,10)</f>
        <v>12/15/2024</v>
      </c>
      <c r="E3274" t="s">
        <v>202</v>
      </c>
      <c r="F3274" t="s">
        <v>218</v>
      </c>
      <c r="G3274" t="s">
        <v>222</v>
      </c>
      <c r="I3274">
        <v>4699</v>
      </c>
      <c r="J3274">
        <v>5873.75</v>
      </c>
      <c r="K3274">
        <v>1.25</v>
      </c>
      <c r="M3274" t="s">
        <v>205</v>
      </c>
    </row>
    <row r="3275" spans="1:13" hidden="1">
      <c r="A3275" t="s">
        <v>85</v>
      </c>
      <c r="B3275" t="s">
        <v>8</v>
      </c>
      <c r="C3275" t="s">
        <v>14</v>
      </c>
      <c r="D3275" t="str">
        <f>LEFT(M3275,10)</f>
        <v>12/15/2024</v>
      </c>
      <c r="E3275" t="s">
        <v>202</v>
      </c>
      <c r="F3275" t="s">
        <v>218</v>
      </c>
      <c r="G3275" t="s">
        <v>223</v>
      </c>
      <c r="I3275">
        <v>5617</v>
      </c>
      <c r="J3275">
        <v>5055.3</v>
      </c>
      <c r="K3275">
        <v>0.9</v>
      </c>
      <c r="M3275" t="s">
        <v>205</v>
      </c>
    </row>
    <row r="3276" spans="1:13" hidden="1">
      <c r="A3276" t="s">
        <v>85</v>
      </c>
      <c r="B3276" t="s">
        <v>8</v>
      </c>
      <c r="C3276" t="s">
        <v>14</v>
      </c>
      <c r="D3276" t="str">
        <f>LEFT(M3276,10)</f>
        <v>12/15/2024</v>
      </c>
      <c r="E3276" t="s">
        <v>202</v>
      </c>
      <c r="F3276" t="s">
        <v>218</v>
      </c>
      <c r="G3276" t="s">
        <v>242</v>
      </c>
      <c r="I3276">
        <v>123</v>
      </c>
      <c r="J3276">
        <v>147.6</v>
      </c>
      <c r="K3276">
        <v>1.2</v>
      </c>
      <c r="M3276" t="s">
        <v>205</v>
      </c>
    </row>
    <row r="3277" spans="1:13" hidden="1">
      <c r="A3277" t="s">
        <v>85</v>
      </c>
      <c r="B3277" t="s">
        <v>8</v>
      </c>
      <c r="C3277" t="s">
        <v>14</v>
      </c>
      <c r="D3277" t="str">
        <f>LEFT(M3277,10)</f>
        <v>12/15/2024</v>
      </c>
      <c r="E3277" t="s">
        <v>202</v>
      </c>
      <c r="F3277" t="s">
        <v>218</v>
      </c>
      <c r="G3277" t="s">
        <v>241</v>
      </c>
      <c r="I3277">
        <v>2168.5</v>
      </c>
      <c r="J3277">
        <v>8782.42</v>
      </c>
      <c r="K3277">
        <v>4.05</v>
      </c>
      <c r="M3277" t="s">
        <v>205</v>
      </c>
    </row>
    <row r="3278" spans="1:13" hidden="1">
      <c r="A3278" t="s">
        <v>85</v>
      </c>
      <c r="B3278" t="s">
        <v>8</v>
      </c>
      <c r="C3278" t="s">
        <v>14</v>
      </c>
      <c r="D3278" t="str">
        <f>LEFT(M3278,10)</f>
        <v>12/15/2024</v>
      </c>
      <c r="E3278" t="s">
        <v>202</v>
      </c>
      <c r="F3278" t="s">
        <v>218</v>
      </c>
      <c r="G3278" t="s">
        <v>226</v>
      </c>
      <c r="I3278">
        <v>1458</v>
      </c>
      <c r="J3278">
        <v>437.4</v>
      </c>
      <c r="K3278">
        <v>0.3</v>
      </c>
      <c r="M3278" t="s">
        <v>205</v>
      </c>
    </row>
    <row r="3279" spans="1:13" hidden="1">
      <c r="A3279" t="s">
        <v>85</v>
      </c>
      <c r="B3279" t="s">
        <v>8</v>
      </c>
      <c r="C3279" t="s">
        <v>14</v>
      </c>
      <c r="D3279" t="str">
        <f>LEFT(M3279,10)</f>
        <v>12/15/2024</v>
      </c>
      <c r="E3279" t="s">
        <v>202</v>
      </c>
      <c r="F3279" t="s">
        <v>218</v>
      </c>
      <c r="G3279" t="s">
        <v>266</v>
      </c>
      <c r="I3279">
        <v>344</v>
      </c>
      <c r="J3279">
        <v>17.2</v>
      </c>
      <c r="K3279">
        <v>0.05</v>
      </c>
      <c r="M3279" t="s">
        <v>205</v>
      </c>
    </row>
    <row r="3280" spans="1:13" hidden="1">
      <c r="A3280" t="s">
        <v>85</v>
      </c>
      <c r="B3280" t="s">
        <v>8</v>
      </c>
      <c r="C3280" t="s">
        <v>14</v>
      </c>
      <c r="D3280" t="str">
        <f>LEFT(M3280,10)</f>
        <v>12/15/2024</v>
      </c>
      <c r="E3280" t="s">
        <v>202</v>
      </c>
      <c r="F3280" t="s">
        <v>218</v>
      </c>
      <c r="G3280" t="s">
        <v>221</v>
      </c>
      <c r="I3280">
        <v>1592</v>
      </c>
      <c r="J3280">
        <v>3741.2</v>
      </c>
      <c r="K3280">
        <v>2.35</v>
      </c>
      <c r="M3280" t="s">
        <v>205</v>
      </c>
    </row>
    <row r="3281" spans="1:13" hidden="1">
      <c r="A3281" t="s">
        <v>85</v>
      </c>
      <c r="B3281" t="s">
        <v>8</v>
      </c>
      <c r="C3281" t="s">
        <v>14</v>
      </c>
      <c r="D3281" t="str">
        <f>LEFT(M3281,10)</f>
        <v>12/15/2024</v>
      </c>
      <c r="E3281" t="s">
        <v>202</v>
      </c>
      <c r="F3281" t="s">
        <v>218</v>
      </c>
      <c r="G3281" t="s">
        <v>223</v>
      </c>
      <c r="I3281">
        <v>1038.5</v>
      </c>
      <c r="J3281">
        <v>1453.9</v>
      </c>
      <c r="K3281">
        <v>1.4</v>
      </c>
      <c r="M3281" t="s">
        <v>205</v>
      </c>
    </row>
    <row r="3282" spans="1:13" hidden="1">
      <c r="A3282" t="s">
        <v>85</v>
      </c>
      <c r="B3282" t="s">
        <v>8</v>
      </c>
      <c r="C3282" t="s">
        <v>14</v>
      </c>
      <c r="D3282" t="str">
        <f>LEFT(M3282,10)</f>
        <v>12/15/2024</v>
      </c>
      <c r="E3282" t="s">
        <v>202</v>
      </c>
      <c r="F3282" t="s">
        <v>209</v>
      </c>
      <c r="G3282" t="s">
        <v>211</v>
      </c>
      <c r="I3282">
        <v>39.5</v>
      </c>
      <c r="J3282">
        <v>118.5</v>
      </c>
      <c r="K3282">
        <v>3</v>
      </c>
      <c r="M3282" t="s">
        <v>205</v>
      </c>
    </row>
    <row r="3283" spans="1:13" hidden="1">
      <c r="A3283" t="s">
        <v>85</v>
      </c>
      <c r="B3283" t="s">
        <v>8</v>
      </c>
      <c r="C3283" t="s">
        <v>14</v>
      </c>
      <c r="D3283" t="str">
        <f>LEFT(M3283,10)</f>
        <v>12/15/2024</v>
      </c>
      <c r="E3283" t="s">
        <v>202</v>
      </c>
      <c r="F3283" t="s">
        <v>218</v>
      </c>
      <c r="G3283" t="s">
        <v>219</v>
      </c>
      <c r="I3283">
        <v>554</v>
      </c>
      <c r="J3283">
        <v>110.8</v>
      </c>
      <c r="K3283">
        <v>0.2</v>
      </c>
      <c r="M3283" t="s">
        <v>205</v>
      </c>
    </row>
    <row r="3284" spans="1:13" hidden="1">
      <c r="A3284" t="s">
        <v>85</v>
      </c>
      <c r="B3284" t="s">
        <v>8</v>
      </c>
      <c r="C3284" t="s">
        <v>14</v>
      </c>
      <c r="D3284" t="str">
        <f>LEFT(M3284,10)</f>
        <v>12/15/2024</v>
      </c>
      <c r="E3284" t="s">
        <v>202</v>
      </c>
      <c r="F3284" t="s">
        <v>218</v>
      </c>
      <c r="G3284" t="s">
        <v>239</v>
      </c>
      <c r="I3284">
        <v>1610</v>
      </c>
      <c r="J3284">
        <v>483</v>
      </c>
      <c r="K3284">
        <v>0.3</v>
      </c>
      <c r="M3284" t="s">
        <v>205</v>
      </c>
    </row>
    <row r="3285" spans="1:13" hidden="1">
      <c r="A3285" t="s">
        <v>85</v>
      </c>
      <c r="B3285" t="s">
        <v>8</v>
      </c>
      <c r="C3285" t="s">
        <v>14</v>
      </c>
      <c r="D3285" t="str">
        <f>LEFT(M3285,10)</f>
        <v>12/15/2024</v>
      </c>
      <c r="E3285" t="s">
        <v>202</v>
      </c>
      <c r="F3285" t="s">
        <v>203</v>
      </c>
      <c r="G3285" t="s">
        <v>208</v>
      </c>
      <c r="I3285">
        <v>16</v>
      </c>
      <c r="J3285">
        <v>288</v>
      </c>
      <c r="K3285">
        <v>18</v>
      </c>
      <c r="M3285" t="s">
        <v>205</v>
      </c>
    </row>
    <row r="3286" spans="1:13" hidden="1">
      <c r="A3286" t="s">
        <v>85</v>
      </c>
      <c r="B3286" t="s">
        <v>8</v>
      </c>
      <c r="C3286" t="s">
        <v>14</v>
      </c>
      <c r="D3286" t="str">
        <f>LEFT(M3286,10)</f>
        <v>12/15/2024</v>
      </c>
      <c r="E3286" t="s">
        <v>202</v>
      </c>
      <c r="F3286" t="s">
        <v>203</v>
      </c>
      <c r="G3286" t="s">
        <v>204</v>
      </c>
      <c r="I3286">
        <v>470</v>
      </c>
      <c r="J3286">
        <v>3760</v>
      </c>
      <c r="K3286">
        <v>8</v>
      </c>
      <c r="M3286" t="s">
        <v>205</v>
      </c>
    </row>
    <row r="3287" spans="1:13" hidden="1">
      <c r="A3287" t="s">
        <v>85</v>
      </c>
      <c r="B3287" t="s">
        <v>8</v>
      </c>
      <c r="C3287" t="s">
        <v>14</v>
      </c>
      <c r="D3287" t="str">
        <f>LEFT(M3287,10)</f>
        <v>12/15/2024</v>
      </c>
      <c r="E3287" t="s">
        <v>202</v>
      </c>
      <c r="F3287" t="s">
        <v>203</v>
      </c>
      <c r="G3287" t="s">
        <v>208</v>
      </c>
      <c r="I3287">
        <v>173</v>
      </c>
      <c r="J3287">
        <v>1557</v>
      </c>
      <c r="K3287">
        <v>9</v>
      </c>
      <c r="M3287" t="s">
        <v>205</v>
      </c>
    </row>
    <row r="3288" spans="1:13" hidden="1">
      <c r="A3288" t="s">
        <v>85</v>
      </c>
      <c r="B3288" t="s">
        <v>8</v>
      </c>
      <c r="C3288" t="s">
        <v>14</v>
      </c>
      <c r="D3288" t="str">
        <f>LEFT(M3288,10)</f>
        <v>12/15/2024</v>
      </c>
      <c r="E3288" t="s">
        <v>202</v>
      </c>
      <c r="F3288" t="s">
        <v>203</v>
      </c>
      <c r="G3288" t="s">
        <v>259</v>
      </c>
      <c r="I3288">
        <v>120.5</v>
      </c>
      <c r="J3288">
        <v>301.25</v>
      </c>
      <c r="K3288">
        <v>2.5</v>
      </c>
      <c r="M3288" t="s">
        <v>205</v>
      </c>
    </row>
    <row r="3289" spans="1:13" hidden="1">
      <c r="A3289" t="s">
        <v>85</v>
      </c>
      <c r="B3289" t="s">
        <v>8</v>
      </c>
      <c r="C3289" t="s">
        <v>14</v>
      </c>
      <c r="D3289" t="str">
        <f>LEFT(M3289,10)</f>
        <v>12/15/2024</v>
      </c>
      <c r="E3289" t="s">
        <v>202</v>
      </c>
      <c r="F3289" t="s">
        <v>203</v>
      </c>
      <c r="G3289" t="s">
        <v>215</v>
      </c>
      <c r="I3289">
        <v>7160</v>
      </c>
      <c r="J3289">
        <v>5012</v>
      </c>
      <c r="K3289">
        <v>0.7</v>
      </c>
      <c r="M3289" t="s">
        <v>205</v>
      </c>
    </row>
    <row r="3290" spans="1:13" hidden="1">
      <c r="A3290" t="s">
        <v>85</v>
      </c>
      <c r="B3290" t="s">
        <v>8</v>
      </c>
      <c r="C3290" t="s">
        <v>14</v>
      </c>
      <c r="D3290" t="str">
        <f>LEFT(M3290,10)</f>
        <v>12/15/2024</v>
      </c>
      <c r="E3290" t="s">
        <v>202</v>
      </c>
      <c r="F3290" t="s">
        <v>209</v>
      </c>
      <c r="G3290" t="s">
        <v>310</v>
      </c>
      <c r="I3290">
        <v>106.5</v>
      </c>
      <c r="J3290">
        <v>127.8</v>
      </c>
      <c r="K3290">
        <v>1.2</v>
      </c>
      <c r="M3290" t="s">
        <v>205</v>
      </c>
    </row>
    <row r="3291" spans="1:13" hidden="1">
      <c r="A3291" t="s">
        <v>85</v>
      </c>
      <c r="B3291" t="s">
        <v>8</v>
      </c>
      <c r="C3291" t="s">
        <v>14</v>
      </c>
      <c r="D3291" t="str">
        <f>LEFT(M3291,10)</f>
        <v>12/15/2024</v>
      </c>
      <c r="E3291" t="s">
        <v>202</v>
      </c>
      <c r="F3291" t="s">
        <v>203</v>
      </c>
      <c r="G3291" t="s">
        <v>261</v>
      </c>
      <c r="I3291">
        <v>32</v>
      </c>
      <c r="J3291">
        <v>384</v>
      </c>
      <c r="K3291">
        <v>12</v>
      </c>
      <c r="M3291" t="s">
        <v>205</v>
      </c>
    </row>
    <row r="3292" spans="1:13" hidden="1">
      <c r="A3292" t="s">
        <v>85</v>
      </c>
      <c r="B3292" t="s">
        <v>8</v>
      </c>
      <c r="C3292" t="s">
        <v>14</v>
      </c>
      <c r="D3292" t="str">
        <f>LEFT(M3292,10)</f>
        <v>12/15/2024</v>
      </c>
      <c r="E3292" t="s">
        <v>202</v>
      </c>
      <c r="F3292" t="s">
        <v>203</v>
      </c>
      <c r="G3292" t="s">
        <v>259</v>
      </c>
      <c r="I3292">
        <v>2.36</v>
      </c>
      <c r="J3292">
        <v>896.8</v>
      </c>
      <c r="K3292">
        <v>380</v>
      </c>
      <c r="M3292" t="s">
        <v>205</v>
      </c>
    </row>
    <row r="3293" spans="1:13" hidden="1">
      <c r="A3293" t="s">
        <v>72</v>
      </c>
      <c r="B3293" t="s">
        <v>8</v>
      </c>
      <c r="C3293" t="s">
        <v>71</v>
      </c>
      <c r="D3293" t="str">
        <f>LEFT(M3293,10)</f>
        <v>12/15/2024</v>
      </c>
      <c r="E3293" t="s">
        <v>232</v>
      </c>
      <c r="F3293" t="s">
        <v>292</v>
      </c>
      <c r="I3293">
        <v>0</v>
      </c>
      <c r="J3293">
        <v>700</v>
      </c>
      <c r="M3293" t="s">
        <v>205</v>
      </c>
    </row>
    <row r="3294" spans="1:13" hidden="1">
      <c r="A3294" t="s">
        <v>72</v>
      </c>
      <c r="B3294" t="s">
        <v>8</v>
      </c>
      <c r="C3294" t="s">
        <v>71</v>
      </c>
      <c r="D3294" t="str">
        <f>LEFT(M3294,10)</f>
        <v>12/15/2024</v>
      </c>
      <c r="E3294" t="s">
        <v>202</v>
      </c>
      <c r="F3294" t="s">
        <v>203</v>
      </c>
      <c r="G3294" t="s">
        <v>215</v>
      </c>
      <c r="I3294">
        <v>4070</v>
      </c>
      <c r="J3294">
        <v>2442</v>
      </c>
      <c r="K3294">
        <v>0.6</v>
      </c>
      <c r="M3294" t="s">
        <v>205</v>
      </c>
    </row>
    <row r="3295" spans="1:13" hidden="1">
      <c r="A3295" t="s">
        <v>72</v>
      </c>
      <c r="B3295" t="s">
        <v>8</v>
      </c>
      <c r="C3295" t="s">
        <v>71</v>
      </c>
      <c r="D3295" t="str">
        <f>LEFT(M3295,10)</f>
        <v>12/15/2024</v>
      </c>
      <c r="E3295" t="s">
        <v>202</v>
      </c>
      <c r="F3295" t="s">
        <v>203</v>
      </c>
      <c r="G3295" t="s">
        <v>259</v>
      </c>
      <c r="I3295">
        <v>93.5</v>
      </c>
      <c r="J3295">
        <v>811.58</v>
      </c>
      <c r="K3295">
        <v>8.68</v>
      </c>
      <c r="M3295" t="s">
        <v>205</v>
      </c>
    </row>
    <row r="3296" spans="1:13" hidden="1">
      <c r="A3296" t="s">
        <v>72</v>
      </c>
      <c r="B3296" t="s">
        <v>8</v>
      </c>
      <c r="C3296" t="s">
        <v>71</v>
      </c>
      <c r="D3296" t="str">
        <f>LEFT(M3296,10)</f>
        <v>12/15/2024</v>
      </c>
      <c r="E3296" t="s">
        <v>202</v>
      </c>
      <c r="F3296" t="s">
        <v>203</v>
      </c>
      <c r="G3296" t="s">
        <v>259</v>
      </c>
      <c r="I3296">
        <v>11.5</v>
      </c>
      <c r="J3296">
        <v>253</v>
      </c>
      <c r="K3296">
        <v>22</v>
      </c>
      <c r="M3296" t="s">
        <v>205</v>
      </c>
    </row>
    <row r="3297" spans="1:13" hidden="1">
      <c r="A3297" t="s">
        <v>72</v>
      </c>
      <c r="B3297" t="s">
        <v>8</v>
      </c>
      <c r="C3297" t="s">
        <v>71</v>
      </c>
      <c r="D3297" t="str">
        <f>LEFT(M3297,10)</f>
        <v>12/15/2024</v>
      </c>
      <c r="E3297" t="s">
        <v>202</v>
      </c>
      <c r="F3297" t="s">
        <v>203</v>
      </c>
      <c r="G3297" t="s">
        <v>207</v>
      </c>
      <c r="I3297">
        <v>6</v>
      </c>
      <c r="J3297">
        <v>36</v>
      </c>
      <c r="K3297">
        <v>6</v>
      </c>
      <c r="M3297" t="s">
        <v>205</v>
      </c>
    </row>
    <row r="3298" spans="1:13" hidden="1">
      <c r="A3298" t="s">
        <v>72</v>
      </c>
      <c r="B3298" t="s">
        <v>8</v>
      </c>
      <c r="C3298" t="s">
        <v>71</v>
      </c>
      <c r="D3298" t="str">
        <f>LEFT(M3298,10)</f>
        <v>12/15/2024</v>
      </c>
      <c r="E3298" t="s">
        <v>202</v>
      </c>
      <c r="F3298" t="s">
        <v>203</v>
      </c>
      <c r="G3298" t="s">
        <v>235</v>
      </c>
      <c r="I3298">
        <v>37.5</v>
      </c>
      <c r="J3298">
        <v>225</v>
      </c>
      <c r="K3298">
        <v>6</v>
      </c>
      <c r="M3298" t="s">
        <v>205</v>
      </c>
    </row>
    <row r="3299" spans="1:13" hidden="1">
      <c r="A3299" t="s">
        <v>72</v>
      </c>
      <c r="B3299" t="s">
        <v>8</v>
      </c>
      <c r="C3299" t="s">
        <v>71</v>
      </c>
      <c r="D3299" t="str">
        <f>LEFT(M3299,10)</f>
        <v>12/15/2024</v>
      </c>
      <c r="E3299" t="s">
        <v>202</v>
      </c>
      <c r="F3299" t="s">
        <v>203</v>
      </c>
      <c r="G3299" t="s">
        <v>208</v>
      </c>
      <c r="I3299">
        <v>27.5</v>
      </c>
      <c r="J3299">
        <v>247.5</v>
      </c>
      <c r="K3299">
        <v>9</v>
      </c>
      <c r="M3299" t="s">
        <v>205</v>
      </c>
    </row>
    <row r="3300" spans="1:13" hidden="1">
      <c r="A3300" t="s">
        <v>72</v>
      </c>
      <c r="B3300" t="s">
        <v>8</v>
      </c>
      <c r="C3300" t="s">
        <v>71</v>
      </c>
      <c r="D3300" t="str">
        <f>LEFT(M3300,10)</f>
        <v>12/15/2024</v>
      </c>
      <c r="E3300" t="s">
        <v>202</v>
      </c>
      <c r="F3300" t="s">
        <v>203</v>
      </c>
      <c r="G3300" t="s">
        <v>260</v>
      </c>
      <c r="I3300">
        <v>13.5</v>
      </c>
      <c r="J3300">
        <v>513</v>
      </c>
      <c r="K3300">
        <v>38</v>
      </c>
      <c r="M3300" t="s">
        <v>205</v>
      </c>
    </row>
    <row r="3301" spans="1:13" hidden="1">
      <c r="A3301" t="s">
        <v>72</v>
      </c>
      <c r="B3301" t="s">
        <v>8</v>
      </c>
      <c r="C3301" t="s">
        <v>71</v>
      </c>
      <c r="D3301" t="str">
        <f>LEFT(M3301,10)</f>
        <v>12/15/2024</v>
      </c>
      <c r="E3301" t="s">
        <v>202</v>
      </c>
      <c r="F3301" t="s">
        <v>203</v>
      </c>
      <c r="G3301" t="s">
        <v>260</v>
      </c>
      <c r="I3301">
        <v>7</v>
      </c>
      <c r="J3301">
        <v>252</v>
      </c>
      <c r="K3301">
        <v>36</v>
      </c>
      <c r="M3301" t="s">
        <v>205</v>
      </c>
    </row>
    <row r="3302" spans="1:13" hidden="1">
      <c r="A3302" t="s">
        <v>72</v>
      </c>
      <c r="B3302" t="s">
        <v>8</v>
      </c>
      <c r="C3302" t="s">
        <v>71</v>
      </c>
      <c r="D3302" t="str">
        <f>LEFT(M3302,10)</f>
        <v>12/15/2024</v>
      </c>
      <c r="E3302" t="s">
        <v>202</v>
      </c>
      <c r="F3302" t="s">
        <v>203</v>
      </c>
      <c r="G3302" t="s">
        <v>259</v>
      </c>
      <c r="I3302">
        <v>21.7</v>
      </c>
      <c r="J3302">
        <v>151.9</v>
      </c>
      <c r="K3302">
        <v>7</v>
      </c>
      <c r="M3302" t="s">
        <v>205</v>
      </c>
    </row>
    <row r="3303" spans="1:13" hidden="1">
      <c r="A3303" t="s">
        <v>72</v>
      </c>
      <c r="B3303" t="s">
        <v>8</v>
      </c>
      <c r="C3303" t="s">
        <v>71</v>
      </c>
      <c r="D3303" t="str">
        <f>LEFT(M3303,10)</f>
        <v>12/15/2024</v>
      </c>
      <c r="E3303" t="s">
        <v>202</v>
      </c>
      <c r="F3303" t="s">
        <v>203</v>
      </c>
      <c r="G3303" t="s">
        <v>204</v>
      </c>
      <c r="I3303">
        <v>249.4</v>
      </c>
      <c r="J3303">
        <v>2244.6</v>
      </c>
      <c r="K3303">
        <v>9</v>
      </c>
      <c r="M3303" t="s">
        <v>205</v>
      </c>
    </row>
    <row r="3304" spans="1:13" hidden="1">
      <c r="A3304" t="s">
        <v>72</v>
      </c>
      <c r="B3304" t="s">
        <v>8</v>
      </c>
      <c r="C3304" t="s">
        <v>71</v>
      </c>
      <c r="D3304" t="str">
        <f>LEFT(M3304,10)</f>
        <v>12/15/2024</v>
      </c>
      <c r="E3304" t="s">
        <v>202</v>
      </c>
      <c r="F3304" t="s">
        <v>203</v>
      </c>
      <c r="G3304" t="s">
        <v>207</v>
      </c>
      <c r="I3304">
        <v>188</v>
      </c>
      <c r="J3304">
        <v>846</v>
      </c>
      <c r="K3304">
        <v>4.5</v>
      </c>
      <c r="M3304" t="s">
        <v>205</v>
      </c>
    </row>
    <row r="3305" spans="1:13" hidden="1">
      <c r="A3305" t="s">
        <v>72</v>
      </c>
      <c r="B3305" t="s">
        <v>8</v>
      </c>
      <c r="C3305" t="s">
        <v>71</v>
      </c>
      <c r="D3305" t="str">
        <f>LEFT(M3305,10)</f>
        <v>12/15/2024</v>
      </c>
      <c r="E3305" t="s">
        <v>202</v>
      </c>
      <c r="F3305" t="s">
        <v>203</v>
      </c>
      <c r="G3305" t="s">
        <v>204</v>
      </c>
      <c r="I3305">
        <v>305.5</v>
      </c>
      <c r="J3305">
        <v>2902.25</v>
      </c>
      <c r="K3305">
        <v>9.5</v>
      </c>
      <c r="M3305" t="s">
        <v>205</v>
      </c>
    </row>
    <row r="3306" spans="1:13" hidden="1">
      <c r="A3306" t="s">
        <v>72</v>
      </c>
      <c r="B3306" t="s">
        <v>8</v>
      </c>
      <c r="C3306" t="s">
        <v>71</v>
      </c>
      <c r="D3306" t="str">
        <f>LEFT(M3306,10)</f>
        <v>12/15/2024</v>
      </c>
      <c r="E3306" t="s">
        <v>202</v>
      </c>
      <c r="F3306" t="s">
        <v>203</v>
      </c>
      <c r="G3306" t="s">
        <v>208</v>
      </c>
      <c r="I3306">
        <v>63</v>
      </c>
      <c r="J3306">
        <v>598.5</v>
      </c>
      <c r="K3306">
        <v>9.5</v>
      </c>
      <c r="M3306" t="s">
        <v>205</v>
      </c>
    </row>
    <row r="3307" spans="1:13" hidden="1">
      <c r="A3307" t="s">
        <v>72</v>
      </c>
      <c r="B3307" t="s">
        <v>8</v>
      </c>
      <c r="C3307" t="s">
        <v>71</v>
      </c>
      <c r="D3307" t="str">
        <f>LEFT(M3307,10)</f>
        <v>12/15/2024</v>
      </c>
      <c r="E3307" t="s">
        <v>202</v>
      </c>
      <c r="F3307" t="s">
        <v>203</v>
      </c>
      <c r="G3307" t="s">
        <v>236</v>
      </c>
      <c r="I3307">
        <v>66.5</v>
      </c>
      <c r="J3307">
        <v>665</v>
      </c>
      <c r="K3307">
        <v>10</v>
      </c>
      <c r="M3307" t="s">
        <v>205</v>
      </c>
    </row>
    <row r="3308" spans="1:13" hidden="1">
      <c r="A3308" t="s">
        <v>72</v>
      </c>
      <c r="B3308" t="s">
        <v>8</v>
      </c>
      <c r="C3308" t="s">
        <v>71</v>
      </c>
      <c r="D3308" t="str">
        <f>LEFT(M3308,10)</f>
        <v>12/15/2024</v>
      </c>
      <c r="E3308" t="s">
        <v>202</v>
      </c>
      <c r="F3308" t="s">
        <v>203</v>
      </c>
      <c r="G3308" t="s">
        <v>206</v>
      </c>
      <c r="I3308">
        <v>28.5</v>
      </c>
      <c r="J3308">
        <v>99.75</v>
      </c>
      <c r="K3308">
        <v>3.5</v>
      </c>
      <c r="M3308" t="s">
        <v>205</v>
      </c>
    </row>
    <row r="3309" spans="1:13" hidden="1">
      <c r="A3309" t="s">
        <v>72</v>
      </c>
      <c r="B3309" t="s">
        <v>8</v>
      </c>
      <c r="C3309" t="s">
        <v>71</v>
      </c>
      <c r="D3309" t="str">
        <f>LEFT(M3309,10)</f>
        <v>12/15/2024</v>
      </c>
      <c r="E3309" t="s">
        <v>202</v>
      </c>
      <c r="F3309" t="s">
        <v>203</v>
      </c>
      <c r="G3309" t="s">
        <v>236</v>
      </c>
      <c r="I3309">
        <v>61.5</v>
      </c>
      <c r="J3309">
        <v>172.2</v>
      </c>
      <c r="K3309">
        <v>2.8</v>
      </c>
      <c r="M3309" t="s">
        <v>205</v>
      </c>
    </row>
    <row r="3310" spans="1:13" hidden="1">
      <c r="A3310" t="s">
        <v>72</v>
      </c>
      <c r="B3310" t="s">
        <v>8</v>
      </c>
      <c r="C3310" t="s">
        <v>71</v>
      </c>
      <c r="D3310" t="str">
        <f>LEFT(M3310,10)</f>
        <v>12/15/2024</v>
      </c>
      <c r="E3310" t="s">
        <v>202</v>
      </c>
      <c r="F3310" t="s">
        <v>203</v>
      </c>
      <c r="G3310" t="s">
        <v>260</v>
      </c>
      <c r="I3310">
        <v>9</v>
      </c>
      <c r="J3310">
        <v>351</v>
      </c>
      <c r="K3310">
        <v>39</v>
      </c>
      <c r="M3310" t="s">
        <v>205</v>
      </c>
    </row>
    <row r="3311" spans="1:13" hidden="1">
      <c r="A3311" t="s">
        <v>72</v>
      </c>
      <c r="B3311" t="s">
        <v>8</v>
      </c>
      <c r="C3311" t="s">
        <v>71</v>
      </c>
      <c r="D3311" t="str">
        <f>LEFT(M3311,10)</f>
        <v>12/15/2024</v>
      </c>
      <c r="E3311" t="s">
        <v>202</v>
      </c>
      <c r="F3311" t="s">
        <v>203</v>
      </c>
      <c r="G3311" t="s">
        <v>259</v>
      </c>
      <c r="I3311">
        <v>12.5</v>
      </c>
      <c r="J3311">
        <v>262.5</v>
      </c>
      <c r="K3311">
        <v>21</v>
      </c>
      <c r="M3311" t="s">
        <v>205</v>
      </c>
    </row>
    <row r="3312" spans="1:13" hidden="1">
      <c r="A3312" t="s">
        <v>72</v>
      </c>
      <c r="B3312" t="s">
        <v>8</v>
      </c>
      <c r="C3312" t="s">
        <v>71</v>
      </c>
      <c r="D3312" t="str">
        <f>LEFT(M3312,10)</f>
        <v>12/15/2024</v>
      </c>
      <c r="E3312" t="s">
        <v>202</v>
      </c>
      <c r="F3312" t="s">
        <v>227</v>
      </c>
      <c r="G3312" t="s">
        <v>229</v>
      </c>
      <c r="I3312">
        <v>12860.5</v>
      </c>
      <c r="J3312">
        <v>10031.19</v>
      </c>
      <c r="K3312">
        <v>0.78</v>
      </c>
      <c r="M3312" t="s">
        <v>205</v>
      </c>
    </row>
    <row r="3313" spans="1:13" hidden="1">
      <c r="A3313" t="s">
        <v>72</v>
      </c>
      <c r="B3313" t="s">
        <v>8</v>
      </c>
      <c r="C3313" t="s">
        <v>71</v>
      </c>
      <c r="D3313" t="str">
        <f>LEFT(M3313,10)</f>
        <v>12/15/2024</v>
      </c>
      <c r="E3313" t="s">
        <v>249</v>
      </c>
      <c r="F3313" t="s">
        <v>249</v>
      </c>
      <c r="G3313" t="s">
        <v>249</v>
      </c>
      <c r="I3313">
        <v>0</v>
      </c>
      <c r="M3313" t="s">
        <v>205</v>
      </c>
    </row>
    <row r="3314" spans="1:13" hidden="1">
      <c r="A3314" t="s">
        <v>72</v>
      </c>
      <c r="B3314" t="s">
        <v>8</v>
      </c>
      <c r="C3314" t="s">
        <v>71</v>
      </c>
      <c r="D3314" t="str">
        <f>LEFT(M3314,10)</f>
        <v>12/15/2024</v>
      </c>
      <c r="E3314" t="s">
        <v>202</v>
      </c>
      <c r="F3314" t="s">
        <v>227</v>
      </c>
      <c r="G3314" t="s">
        <v>228</v>
      </c>
      <c r="I3314">
        <v>3867.5</v>
      </c>
      <c r="J3314">
        <v>1353.63</v>
      </c>
      <c r="K3314">
        <v>0.35</v>
      </c>
      <c r="M3314" t="s">
        <v>205</v>
      </c>
    </row>
    <row r="3315" spans="1:13" hidden="1">
      <c r="A3315" t="s">
        <v>72</v>
      </c>
      <c r="B3315" t="s">
        <v>8</v>
      </c>
      <c r="C3315" t="s">
        <v>71</v>
      </c>
      <c r="D3315" t="str">
        <f>LEFT(M3315,10)</f>
        <v>12/15/2024</v>
      </c>
      <c r="E3315" t="s">
        <v>202</v>
      </c>
      <c r="F3315" t="s">
        <v>227</v>
      </c>
      <c r="G3315" t="s">
        <v>238</v>
      </c>
      <c r="I3315">
        <v>1807</v>
      </c>
      <c r="J3315">
        <v>722.8</v>
      </c>
      <c r="K3315">
        <v>0.4</v>
      </c>
      <c r="M3315" t="s">
        <v>205</v>
      </c>
    </row>
    <row r="3316" spans="1:13" hidden="1">
      <c r="A3316" t="s">
        <v>72</v>
      </c>
      <c r="B3316" t="s">
        <v>8</v>
      </c>
      <c r="C3316" t="s">
        <v>71</v>
      </c>
      <c r="D3316" t="str">
        <f>LEFT(M3316,10)</f>
        <v>12/15/2024</v>
      </c>
      <c r="E3316" t="s">
        <v>202</v>
      </c>
      <c r="F3316" t="s">
        <v>227</v>
      </c>
      <c r="G3316" t="s">
        <v>237</v>
      </c>
      <c r="I3316">
        <v>1323.5</v>
      </c>
      <c r="J3316">
        <v>860.28</v>
      </c>
      <c r="K3316">
        <v>0.65</v>
      </c>
      <c r="M3316" t="s">
        <v>205</v>
      </c>
    </row>
    <row r="3317" spans="1:13" hidden="1">
      <c r="A3317" t="s">
        <v>72</v>
      </c>
      <c r="B3317" t="s">
        <v>8</v>
      </c>
      <c r="C3317" t="s">
        <v>71</v>
      </c>
      <c r="D3317" t="str">
        <f>LEFT(M3317,10)</f>
        <v>12/15/2024</v>
      </c>
      <c r="E3317" t="s">
        <v>202</v>
      </c>
      <c r="F3317" t="s">
        <v>218</v>
      </c>
      <c r="G3317" t="s">
        <v>223</v>
      </c>
      <c r="I3317">
        <v>662</v>
      </c>
      <c r="J3317">
        <v>463.4</v>
      </c>
      <c r="K3317">
        <v>0.7</v>
      </c>
      <c r="M3317" t="s">
        <v>205</v>
      </c>
    </row>
    <row r="3318" spans="1:13" hidden="1">
      <c r="A3318" t="s">
        <v>72</v>
      </c>
      <c r="B3318" t="s">
        <v>8</v>
      </c>
      <c r="C3318" t="s">
        <v>71</v>
      </c>
      <c r="D3318" t="str">
        <f>LEFT(M3318,10)</f>
        <v>12/15/2024</v>
      </c>
      <c r="E3318" t="s">
        <v>202</v>
      </c>
      <c r="F3318" t="s">
        <v>218</v>
      </c>
      <c r="G3318" t="s">
        <v>226</v>
      </c>
      <c r="I3318">
        <v>691.5</v>
      </c>
      <c r="J3318">
        <v>207.45</v>
      </c>
      <c r="K3318">
        <v>0.3</v>
      </c>
      <c r="M3318" t="s">
        <v>205</v>
      </c>
    </row>
    <row r="3319" spans="1:13" hidden="1">
      <c r="A3319" t="s">
        <v>72</v>
      </c>
      <c r="B3319" t="s">
        <v>8</v>
      </c>
      <c r="C3319" t="s">
        <v>71</v>
      </c>
      <c r="D3319" t="str">
        <f>LEFT(M3319,10)</f>
        <v>12/15/2024</v>
      </c>
      <c r="E3319" t="s">
        <v>202</v>
      </c>
      <c r="F3319" t="s">
        <v>218</v>
      </c>
      <c r="G3319" t="s">
        <v>225</v>
      </c>
      <c r="I3319">
        <v>191.5</v>
      </c>
      <c r="J3319">
        <v>191.5</v>
      </c>
      <c r="K3319">
        <v>1</v>
      </c>
      <c r="M3319" t="s">
        <v>205</v>
      </c>
    </row>
    <row r="3320" spans="1:13" hidden="1">
      <c r="A3320" t="s">
        <v>72</v>
      </c>
      <c r="B3320" t="s">
        <v>8</v>
      </c>
      <c r="C3320" t="s">
        <v>71</v>
      </c>
      <c r="D3320" t="str">
        <f>LEFT(M3320,10)</f>
        <v>12/15/2024</v>
      </c>
      <c r="E3320" t="s">
        <v>202</v>
      </c>
      <c r="F3320" t="s">
        <v>218</v>
      </c>
      <c r="G3320" t="s">
        <v>242</v>
      </c>
      <c r="I3320">
        <v>154.5</v>
      </c>
      <c r="J3320">
        <v>200.85</v>
      </c>
      <c r="K3320">
        <v>1.3</v>
      </c>
      <c r="M3320" t="s">
        <v>205</v>
      </c>
    </row>
    <row r="3321" spans="1:13" hidden="1">
      <c r="A3321" t="s">
        <v>72</v>
      </c>
      <c r="B3321" t="s">
        <v>8</v>
      </c>
      <c r="C3321" t="s">
        <v>71</v>
      </c>
      <c r="D3321" t="str">
        <f>LEFT(M3321,10)</f>
        <v>12/15/2024</v>
      </c>
      <c r="E3321" t="s">
        <v>202</v>
      </c>
      <c r="F3321" t="s">
        <v>218</v>
      </c>
      <c r="G3321" t="s">
        <v>240</v>
      </c>
      <c r="I3321">
        <v>1472.5</v>
      </c>
      <c r="J3321">
        <v>6773.5</v>
      </c>
      <c r="K3321">
        <v>4.5999999999999996</v>
      </c>
      <c r="M3321" t="s">
        <v>205</v>
      </c>
    </row>
    <row r="3322" spans="1:13" hidden="1">
      <c r="A3322" t="s">
        <v>72</v>
      </c>
      <c r="B3322" t="s">
        <v>8</v>
      </c>
      <c r="C3322" t="s">
        <v>71</v>
      </c>
      <c r="D3322" t="str">
        <f>LEFT(M3322,10)</f>
        <v>12/15/2024</v>
      </c>
      <c r="E3322" t="s">
        <v>202</v>
      </c>
      <c r="F3322" t="s">
        <v>218</v>
      </c>
      <c r="G3322" t="s">
        <v>221</v>
      </c>
      <c r="I3322">
        <v>499</v>
      </c>
      <c r="J3322">
        <v>1347.3</v>
      </c>
      <c r="K3322">
        <v>2.7</v>
      </c>
      <c r="M3322" t="s">
        <v>205</v>
      </c>
    </row>
    <row r="3323" spans="1:13" hidden="1">
      <c r="A3323" t="s">
        <v>72</v>
      </c>
      <c r="B3323" t="s">
        <v>8</v>
      </c>
      <c r="C3323" t="s">
        <v>71</v>
      </c>
      <c r="D3323" t="str">
        <f>LEFT(M3323,10)</f>
        <v>12/15/2024</v>
      </c>
      <c r="E3323" t="s">
        <v>202</v>
      </c>
      <c r="F3323" t="s">
        <v>218</v>
      </c>
      <c r="G3323" t="s">
        <v>220</v>
      </c>
      <c r="I3323">
        <v>334</v>
      </c>
      <c r="J3323">
        <v>901.8</v>
      </c>
      <c r="K3323">
        <v>2.7</v>
      </c>
      <c r="M3323" t="s">
        <v>205</v>
      </c>
    </row>
    <row r="3324" spans="1:13" hidden="1">
      <c r="A3324" t="s">
        <v>72</v>
      </c>
      <c r="B3324" t="s">
        <v>8</v>
      </c>
      <c r="C3324" t="s">
        <v>71</v>
      </c>
      <c r="D3324" t="str">
        <f>LEFT(M3324,10)</f>
        <v>12/15/2024</v>
      </c>
      <c r="E3324" t="s">
        <v>202</v>
      </c>
      <c r="F3324" t="s">
        <v>227</v>
      </c>
      <c r="G3324" t="s">
        <v>252</v>
      </c>
      <c r="I3324">
        <v>608</v>
      </c>
      <c r="J3324">
        <v>243.2</v>
      </c>
      <c r="K3324">
        <v>0.4</v>
      </c>
      <c r="M3324" t="s">
        <v>205</v>
      </c>
    </row>
    <row r="3325" spans="1:13" hidden="1">
      <c r="A3325" t="s">
        <v>72</v>
      </c>
      <c r="B3325" t="s">
        <v>8</v>
      </c>
      <c r="C3325" t="s">
        <v>71</v>
      </c>
      <c r="D3325" t="str">
        <f>LEFT(M3325,10)</f>
        <v>12/15/2024</v>
      </c>
      <c r="E3325" t="s">
        <v>202</v>
      </c>
      <c r="F3325" t="s">
        <v>218</v>
      </c>
      <c r="G3325" t="s">
        <v>223</v>
      </c>
      <c r="I3325">
        <v>1032.5</v>
      </c>
      <c r="J3325">
        <v>1548.75</v>
      </c>
      <c r="K3325">
        <v>1.5</v>
      </c>
      <c r="M3325" t="s">
        <v>205</v>
      </c>
    </row>
    <row r="3326" spans="1:13" hidden="1">
      <c r="A3326" t="s">
        <v>72</v>
      </c>
      <c r="B3326" t="s">
        <v>8</v>
      </c>
      <c r="C3326" t="s">
        <v>71</v>
      </c>
      <c r="D3326" t="str">
        <f>LEFT(M3326,10)</f>
        <v>12/15/2024</v>
      </c>
      <c r="E3326" t="s">
        <v>202</v>
      </c>
      <c r="F3326" t="s">
        <v>218</v>
      </c>
      <c r="G3326" t="s">
        <v>219</v>
      </c>
      <c r="I3326">
        <v>191</v>
      </c>
      <c r="J3326">
        <v>38.200000000000003</v>
      </c>
      <c r="K3326">
        <v>0.2</v>
      </c>
      <c r="M3326" t="s">
        <v>205</v>
      </c>
    </row>
    <row r="3327" spans="1:13" hidden="1">
      <c r="A3327" t="s">
        <v>72</v>
      </c>
      <c r="B3327" t="s">
        <v>8</v>
      </c>
      <c r="C3327" t="s">
        <v>71</v>
      </c>
      <c r="D3327" t="str">
        <f>LEFT(M3327,10)</f>
        <v>12/15/2024</v>
      </c>
      <c r="E3327" t="s">
        <v>202</v>
      </c>
      <c r="F3327" t="s">
        <v>218</v>
      </c>
      <c r="G3327" t="s">
        <v>219</v>
      </c>
      <c r="I3327">
        <v>814</v>
      </c>
      <c r="J3327">
        <v>1302.4000000000001</v>
      </c>
      <c r="K3327">
        <v>1.6</v>
      </c>
      <c r="M3327" t="s">
        <v>205</v>
      </c>
    </row>
    <row r="3328" spans="1:13" hidden="1">
      <c r="A3328" t="s">
        <v>72</v>
      </c>
      <c r="B3328" t="s">
        <v>8</v>
      </c>
      <c r="C3328" t="s">
        <v>71</v>
      </c>
      <c r="D3328" t="str">
        <f>LEFT(M3328,10)</f>
        <v>12/15/2024</v>
      </c>
      <c r="E3328" t="s">
        <v>202</v>
      </c>
      <c r="F3328" t="s">
        <v>218</v>
      </c>
      <c r="G3328" t="s">
        <v>223</v>
      </c>
      <c r="I3328">
        <v>368.5</v>
      </c>
      <c r="J3328">
        <v>589.6</v>
      </c>
      <c r="K3328">
        <v>1.6</v>
      </c>
      <c r="M3328" t="s">
        <v>205</v>
      </c>
    </row>
    <row r="3329" spans="1:13" hidden="1">
      <c r="A3329" t="s">
        <v>72</v>
      </c>
      <c r="B3329" t="s">
        <v>8</v>
      </c>
      <c r="C3329" t="s">
        <v>71</v>
      </c>
      <c r="D3329" t="str">
        <f>LEFT(M3329,10)</f>
        <v>12/15/2024</v>
      </c>
      <c r="E3329" t="s">
        <v>202</v>
      </c>
      <c r="F3329" t="s">
        <v>218</v>
      </c>
      <c r="G3329" t="s">
        <v>223</v>
      </c>
      <c r="I3329">
        <v>1934</v>
      </c>
      <c r="J3329">
        <v>1547.2</v>
      </c>
      <c r="K3329">
        <v>0.8</v>
      </c>
      <c r="M3329" t="s">
        <v>205</v>
      </c>
    </row>
    <row r="3330" spans="1:13" hidden="1">
      <c r="A3330" t="s">
        <v>72</v>
      </c>
      <c r="B3330" t="s">
        <v>8</v>
      </c>
      <c r="C3330" t="s">
        <v>71</v>
      </c>
      <c r="D3330" t="str">
        <f>LEFT(M3330,10)</f>
        <v>12/15/2024</v>
      </c>
      <c r="E3330" t="s">
        <v>202</v>
      </c>
      <c r="F3330" t="s">
        <v>218</v>
      </c>
      <c r="G3330" t="s">
        <v>243</v>
      </c>
      <c r="H3330" t="s">
        <v>418</v>
      </c>
      <c r="I3330">
        <v>1211.5</v>
      </c>
      <c r="J3330">
        <v>2665.3</v>
      </c>
      <c r="K3330">
        <v>2.2000000000000002</v>
      </c>
      <c r="M3330" t="s">
        <v>205</v>
      </c>
    </row>
    <row r="3331" spans="1:13" hidden="1">
      <c r="A3331" t="s">
        <v>72</v>
      </c>
      <c r="B3331" t="s">
        <v>8</v>
      </c>
      <c r="C3331" t="s">
        <v>71</v>
      </c>
      <c r="D3331" t="str">
        <f>LEFT(M3331,10)</f>
        <v>12/15/2024</v>
      </c>
      <c r="E3331" t="s">
        <v>202</v>
      </c>
      <c r="F3331" t="s">
        <v>218</v>
      </c>
      <c r="G3331" t="s">
        <v>266</v>
      </c>
      <c r="I3331">
        <v>1652</v>
      </c>
      <c r="J3331">
        <v>82.6</v>
      </c>
      <c r="K3331">
        <v>0.05</v>
      </c>
      <c r="M3331" t="s">
        <v>205</v>
      </c>
    </row>
    <row r="3332" spans="1:13" hidden="1">
      <c r="A3332" t="s">
        <v>72</v>
      </c>
      <c r="B3332" t="s">
        <v>8</v>
      </c>
      <c r="C3332" t="s">
        <v>71</v>
      </c>
      <c r="D3332" t="str">
        <f>LEFT(M3332,10)</f>
        <v>12/15/2024</v>
      </c>
      <c r="E3332" t="s">
        <v>202</v>
      </c>
      <c r="F3332" t="s">
        <v>218</v>
      </c>
      <c r="G3332" t="s">
        <v>266</v>
      </c>
      <c r="I3332">
        <v>793</v>
      </c>
      <c r="J3332">
        <v>39.65</v>
      </c>
      <c r="K3332">
        <v>0.05</v>
      </c>
      <c r="M3332" t="s">
        <v>205</v>
      </c>
    </row>
    <row r="3333" spans="1:13" hidden="1">
      <c r="A3333" t="s">
        <v>72</v>
      </c>
      <c r="B3333" t="s">
        <v>8</v>
      </c>
      <c r="C3333" t="s">
        <v>71</v>
      </c>
      <c r="D3333" t="str">
        <f>LEFT(M3333,10)</f>
        <v>12/15/2024</v>
      </c>
      <c r="E3333" t="s">
        <v>202</v>
      </c>
      <c r="F3333" t="s">
        <v>218</v>
      </c>
      <c r="G3333" t="s">
        <v>222</v>
      </c>
      <c r="I3333">
        <v>333.5</v>
      </c>
      <c r="J3333">
        <v>600.29999999999995</v>
      </c>
      <c r="K3333">
        <v>1.8</v>
      </c>
      <c r="M3333" t="s">
        <v>205</v>
      </c>
    </row>
    <row r="3334" spans="1:13" hidden="1">
      <c r="A3334" t="s">
        <v>72</v>
      </c>
      <c r="B3334" t="s">
        <v>8</v>
      </c>
      <c r="C3334" t="s">
        <v>71</v>
      </c>
      <c r="D3334" t="str">
        <f>LEFT(M3334,10)</f>
        <v>12/15/2024</v>
      </c>
      <c r="E3334" t="s">
        <v>202</v>
      </c>
      <c r="F3334" t="s">
        <v>218</v>
      </c>
      <c r="G3334" t="s">
        <v>224</v>
      </c>
      <c r="I3334">
        <v>561.5</v>
      </c>
      <c r="J3334">
        <v>617.65</v>
      </c>
      <c r="K3334">
        <v>1.1000000000000001</v>
      </c>
      <c r="M3334" t="s">
        <v>205</v>
      </c>
    </row>
    <row r="3335" spans="1:13" hidden="1">
      <c r="A3335" t="s">
        <v>72</v>
      </c>
      <c r="B3335" t="s">
        <v>8</v>
      </c>
      <c r="C3335" t="s">
        <v>71</v>
      </c>
      <c r="D3335" t="str">
        <f>LEFT(M3335,10)</f>
        <v>12/15/2024</v>
      </c>
      <c r="E3335" t="s">
        <v>202</v>
      </c>
      <c r="F3335" t="s">
        <v>218</v>
      </c>
      <c r="G3335" t="s">
        <v>268</v>
      </c>
      <c r="I3335">
        <v>202.5</v>
      </c>
      <c r="J3335">
        <v>303.75</v>
      </c>
      <c r="K3335">
        <v>1.5</v>
      </c>
      <c r="M3335" t="s">
        <v>205</v>
      </c>
    </row>
    <row r="3336" spans="1:13" hidden="1">
      <c r="A3336" t="s">
        <v>72</v>
      </c>
      <c r="B3336" t="s">
        <v>8</v>
      </c>
      <c r="C3336" t="s">
        <v>71</v>
      </c>
      <c r="D3336" t="str">
        <f>LEFT(M3336,10)</f>
        <v>12/15/2024</v>
      </c>
      <c r="E3336" t="s">
        <v>202</v>
      </c>
      <c r="F3336" t="s">
        <v>227</v>
      </c>
      <c r="G3336" t="s">
        <v>229</v>
      </c>
      <c r="I3336">
        <v>12139</v>
      </c>
      <c r="J3336">
        <v>9104.25</v>
      </c>
      <c r="K3336">
        <v>0.75</v>
      </c>
      <c r="M3336" t="s">
        <v>205</v>
      </c>
    </row>
    <row r="3337" spans="1:13" hidden="1">
      <c r="A3337" t="s">
        <v>72</v>
      </c>
      <c r="B3337" t="s">
        <v>8</v>
      </c>
      <c r="C3337" t="s">
        <v>71</v>
      </c>
      <c r="D3337" t="str">
        <f>LEFT(M3337,10)</f>
        <v>12/15/2024</v>
      </c>
      <c r="E3337" t="s">
        <v>202</v>
      </c>
      <c r="F3337" t="s">
        <v>227</v>
      </c>
      <c r="G3337" t="s">
        <v>237</v>
      </c>
      <c r="I3337">
        <v>453.5</v>
      </c>
      <c r="J3337">
        <v>272.10000000000002</v>
      </c>
      <c r="K3337">
        <v>0.6</v>
      </c>
      <c r="M3337" t="s">
        <v>205</v>
      </c>
    </row>
    <row r="3338" spans="1:13" hidden="1">
      <c r="A3338" t="s">
        <v>72</v>
      </c>
      <c r="B3338" t="s">
        <v>8</v>
      </c>
      <c r="C3338" t="s">
        <v>71</v>
      </c>
      <c r="D3338" t="str">
        <f>LEFT(M3338,10)</f>
        <v>12/15/2024</v>
      </c>
      <c r="E3338" t="s">
        <v>202</v>
      </c>
      <c r="F3338" t="s">
        <v>227</v>
      </c>
      <c r="G3338" t="s">
        <v>228</v>
      </c>
      <c r="I3338">
        <v>975.5</v>
      </c>
      <c r="J3338">
        <v>97.55</v>
      </c>
      <c r="K3338">
        <v>0.1</v>
      </c>
      <c r="M3338" t="s">
        <v>205</v>
      </c>
    </row>
    <row r="3339" spans="1:13" hidden="1">
      <c r="A3339" t="s">
        <v>72</v>
      </c>
      <c r="B3339" t="s">
        <v>8</v>
      </c>
      <c r="C3339" t="s">
        <v>71</v>
      </c>
      <c r="D3339" t="str">
        <f>LEFT(M3339,10)</f>
        <v>12/15/2024</v>
      </c>
      <c r="E3339" t="s">
        <v>202</v>
      </c>
      <c r="F3339" t="s">
        <v>227</v>
      </c>
      <c r="G3339" t="s">
        <v>228</v>
      </c>
      <c r="I3339">
        <v>2993</v>
      </c>
      <c r="J3339">
        <v>897.9</v>
      </c>
      <c r="K3339">
        <v>0.3</v>
      </c>
      <c r="M3339" t="s">
        <v>205</v>
      </c>
    </row>
    <row r="3340" spans="1:13" hidden="1">
      <c r="A3340" t="s">
        <v>72</v>
      </c>
      <c r="B3340" t="s">
        <v>8</v>
      </c>
      <c r="C3340" t="s">
        <v>71</v>
      </c>
      <c r="D3340" t="str">
        <f>LEFT(M3340,10)</f>
        <v>12/15/2024</v>
      </c>
      <c r="E3340" t="s">
        <v>202</v>
      </c>
      <c r="F3340" t="s">
        <v>227</v>
      </c>
      <c r="G3340" t="s">
        <v>238</v>
      </c>
      <c r="I3340">
        <v>696</v>
      </c>
      <c r="J3340">
        <v>278.39999999999998</v>
      </c>
      <c r="K3340">
        <v>0.4</v>
      </c>
      <c r="M3340" t="s">
        <v>205</v>
      </c>
    </row>
    <row r="3341" spans="1:13" hidden="1">
      <c r="A3341" t="s">
        <v>72</v>
      </c>
      <c r="B3341" t="s">
        <v>8</v>
      </c>
      <c r="C3341" t="s">
        <v>71</v>
      </c>
      <c r="D3341" t="str">
        <f>LEFT(M3341,10)</f>
        <v>12/15/2024</v>
      </c>
      <c r="E3341" t="s">
        <v>202</v>
      </c>
      <c r="F3341" t="s">
        <v>227</v>
      </c>
      <c r="G3341" t="s">
        <v>252</v>
      </c>
      <c r="I3341">
        <v>801</v>
      </c>
      <c r="J3341">
        <v>320.39999999999998</v>
      </c>
      <c r="K3341">
        <v>0.4</v>
      </c>
      <c r="M3341" t="s">
        <v>205</v>
      </c>
    </row>
    <row r="3342" spans="1:13" hidden="1">
      <c r="A3342" t="s">
        <v>72</v>
      </c>
      <c r="B3342" t="s">
        <v>8</v>
      </c>
      <c r="C3342" t="s">
        <v>71</v>
      </c>
      <c r="D3342" t="str">
        <f>LEFT(M3342,10)</f>
        <v>12/15/2024</v>
      </c>
      <c r="E3342" t="s">
        <v>202</v>
      </c>
      <c r="F3342" t="s">
        <v>218</v>
      </c>
      <c r="G3342" t="s">
        <v>241</v>
      </c>
      <c r="I3342">
        <v>1655</v>
      </c>
      <c r="J3342">
        <v>7861.25</v>
      </c>
      <c r="K3342">
        <v>4.75</v>
      </c>
      <c r="M3342" t="s">
        <v>205</v>
      </c>
    </row>
    <row r="3343" spans="1:13" hidden="1">
      <c r="A3343" t="s">
        <v>72</v>
      </c>
      <c r="B3343" t="s">
        <v>8</v>
      </c>
      <c r="C3343" t="s">
        <v>71</v>
      </c>
      <c r="D3343" t="str">
        <f>LEFT(M3343,10)</f>
        <v>12/15/2024</v>
      </c>
      <c r="E3343" t="s">
        <v>202</v>
      </c>
      <c r="F3343" t="s">
        <v>218</v>
      </c>
      <c r="G3343" t="s">
        <v>242</v>
      </c>
      <c r="I3343">
        <v>149</v>
      </c>
      <c r="J3343">
        <v>163.9</v>
      </c>
      <c r="K3343">
        <v>1.1000000000000001</v>
      </c>
      <c r="M3343" t="s">
        <v>205</v>
      </c>
    </row>
    <row r="3344" spans="1:13" hidden="1">
      <c r="A3344" t="s">
        <v>72</v>
      </c>
      <c r="B3344" t="s">
        <v>8</v>
      </c>
      <c r="C3344" t="s">
        <v>71</v>
      </c>
      <c r="D3344" t="str">
        <f>LEFT(M3344,10)</f>
        <v>12/15/2024</v>
      </c>
      <c r="E3344" t="s">
        <v>202</v>
      </c>
      <c r="F3344" t="s">
        <v>218</v>
      </c>
      <c r="G3344" t="s">
        <v>220</v>
      </c>
      <c r="I3344">
        <v>1127</v>
      </c>
      <c r="J3344">
        <v>1690.5</v>
      </c>
      <c r="K3344">
        <v>1.5</v>
      </c>
      <c r="M3344" t="s">
        <v>205</v>
      </c>
    </row>
    <row r="3345" spans="1:13" hidden="1">
      <c r="A3345" t="s">
        <v>72</v>
      </c>
      <c r="B3345" t="s">
        <v>8</v>
      </c>
      <c r="C3345" t="s">
        <v>71</v>
      </c>
      <c r="D3345" t="str">
        <f>LEFT(M3345,10)</f>
        <v>12/15/2024</v>
      </c>
      <c r="E3345" t="s">
        <v>202</v>
      </c>
      <c r="F3345" t="s">
        <v>218</v>
      </c>
      <c r="G3345" t="s">
        <v>243</v>
      </c>
      <c r="H3345" t="s">
        <v>418</v>
      </c>
      <c r="I3345">
        <v>985.5</v>
      </c>
      <c r="J3345">
        <v>2168.1</v>
      </c>
      <c r="K3345">
        <v>2.2000000000000002</v>
      </c>
      <c r="M3345" t="s">
        <v>205</v>
      </c>
    </row>
    <row r="3346" spans="1:13" hidden="1">
      <c r="A3346" t="s">
        <v>72</v>
      </c>
      <c r="B3346" t="s">
        <v>8</v>
      </c>
      <c r="C3346" t="s">
        <v>71</v>
      </c>
      <c r="D3346" t="str">
        <f>LEFT(M3346,10)</f>
        <v>12/15/2024</v>
      </c>
      <c r="E3346" t="s">
        <v>202</v>
      </c>
      <c r="F3346" t="s">
        <v>218</v>
      </c>
      <c r="G3346" t="s">
        <v>223</v>
      </c>
      <c r="I3346">
        <v>500.5</v>
      </c>
      <c r="J3346">
        <v>250.25</v>
      </c>
      <c r="K3346">
        <v>0</v>
      </c>
      <c r="M3346" t="s">
        <v>205</v>
      </c>
    </row>
    <row r="3347" spans="1:13" hidden="1">
      <c r="A3347" t="s">
        <v>72</v>
      </c>
      <c r="B3347" t="s">
        <v>8</v>
      </c>
      <c r="C3347" t="s">
        <v>71</v>
      </c>
      <c r="D3347" t="str">
        <f>LEFT(M3347,10)</f>
        <v>12/15/2024</v>
      </c>
      <c r="E3347" t="s">
        <v>202</v>
      </c>
      <c r="F3347" t="s">
        <v>218</v>
      </c>
      <c r="G3347" t="s">
        <v>240</v>
      </c>
      <c r="I3347">
        <v>473.5</v>
      </c>
      <c r="J3347">
        <v>1231.0999999999999</v>
      </c>
      <c r="K3347">
        <v>2.6</v>
      </c>
      <c r="M3347" t="s">
        <v>205</v>
      </c>
    </row>
    <row r="3348" spans="1:13" hidden="1">
      <c r="A3348" t="s">
        <v>72</v>
      </c>
      <c r="B3348" t="s">
        <v>8</v>
      </c>
      <c r="C3348" t="s">
        <v>71</v>
      </c>
      <c r="D3348" t="str">
        <f>LEFT(M3348,10)</f>
        <v>12/15/2024</v>
      </c>
      <c r="E3348" t="s">
        <v>202</v>
      </c>
      <c r="F3348" t="s">
        <v>218</v>
      </c>
      <c r="G3348" t="s">
        <v>219</v>
      </c>
      <c r="I3348">
        <v>405</v>
      </c>
      <c r="J3348">
        <v>1053</v>
      </c>
      <c r="K3348">
        <v>2.6</v>
      </c>
      <c r="M3348" t="s">
        <v>205</v>
      </c>
    </row>
    <row r="3349" spans="1:13" hidden="1">
      <c r="A3349" t="s">
        <v>72</v>
      </c>
      <c r="B3349" t="s">
        <v>8</v>
      </c>
      <c r="C3349" t="s">
        <v>71</v>
      </c>
      <c r="D3349" t="str">
        <f>LEFT(M3349,10)</f>
        <v>12/15/2024</v>
      </c>
      <c r="E3349" t="s">
        <v>202</v>
      </c>
      <c r="F3349" t="s">
        <v>218</v>
      </c>
      <c r="G3349" t="s">
        <v>243</v>
      </c>
      <c r="H3349" t="s">
        <v>484</v>
      </c>
      <c r="I3349">
        <v>184.5</v>
      </c>
      <c r="J3349">
        <v>461.25</v>
      </c>
      <c r="K3349">
        <v>2.5</v>
      </c>
      <c r="M3349" t="s">
        <v>205</v>
      </c>
    </row>
    <row r="3350" spans="1:13" hidden="1">
      <c r="A3350" t="s">
        <v>72</v>
      </c>
      <c r="B3350" t="s">
        <v>8</v>
      </c>
      <c r="C3350" t="s">
        <v>71</v>
      </c>
      <c r="D3350" t="str">
        <f>LEFT(M3350,10)</f>
        <v>12/15/2024</v>
      </c>
      <c r="E3350" t="s">
        <v>202</v>
      </c>
      <c r="F3350" t="s">
        <v>218</v>
      </c>
      <c r="G3350" t="s">
        <v>222</v>
      </c>
      <c r="I3350">
        <v>423</v>
      </c>
      <c r="J3350">
        <v>930.6</v>
      </c>
      <c r="K3350">
        <v>2.2000000000000002</v>
      </c>
      <c r="M3350" t="s">
        <v>205</v>
      </c>
    </row>
    <row r="3351" spans="1:13" hidden="1">
      <c r="A3351" t="s">
        <v>72</v>
      </c>
      <c r="B3351" t="s">
        <v>8</v>
      </c>
      <c r="C3351" t="s">
        <v>71</v>
      </c>
      <c r="D3351" t="str">
        <f>LEFT(M3351,10)</f>
        <v>12/15/2024</v>
      </c>
      <c r="E3351" t="s">
        <v>202</v>
      </c>
      <c r="F3351" t="s">
        <v>218</v>
      </c>
      <c r="G3351" t="s">
        <v>222</v>
      </c>
      <c r="I3351">
        <v>383.5</v>
      </c>
      <c r="J3351">
        <v>594.42999999999995</v>
      </c>
      <c r="K3351">
        <v>1.55</v>
      </c>
      <c r="M3351" t="s">
        <v>205</v>
      </c>
    </row>
    <row r="3352" spans="1:13" hidden="1">
      <c r="A3352" t="s">
        <v>72</v>
      </c>
      <c r="B3352" t="s">
        <v>8</v>
      </c>
      <c r="C3352" t="s">
        <v>71</v>
      </c>
      <c r="D3352" t="str">
        <f>LEFT(M3352,10)</f>
        <v>12/15/2024</v>
      </c>
      <c r="E3352" t="s">
        <v>202</v>
      </c>
      <c r="F3352" t="s">
        <v>218</v>
      </c>
      <c r="G3352" t="s">
        <v>219</v>
      </c>
      <c r="I3352">
        <v>806</v>
      </c>
      <c r="J3352">
        <v>1531.4</v>
      </c>
      <c r="K3352">
        <v>1.9</v>
      </c>
      <c r="M3352" t="s">
        <v>205</v>
      </c>
    </row>
    <row r="3353" spans="1:13" hidden="1">
      <c r="A3353" t="s">
        <v>72</v>
      </c>
      <c r="B3353" t="s">
        <v>8</v>
      </c>
      <c r="C3353" t="s">
        <v>71</v>
      </c>
      <c r="D3353" t="str">
        <f>LEFT(M3353,10)</f>
        <v>12/15/2024</v>
      </c>
      <c r="E3353" t="s">
        <v>202</v>
      </c>
      <c r="F3353" t="s">
        <v>218</v>
      </c>
      <c r="G3353" t="s">
        <v>224</v>
      </c>
      <c r="I3353">
        <v>122</v>
      </c>
      <c r="J3353">
        <v>134.19999999999999</v>
      </c>
      <c r="K3353">
        <v>1.1000000000000001</v>
      </c>
      <c r="M3353" t="s">
        <v>205</v>
      </c>
    </row>
    <row r="3354" spans="1:13" hidden="1">
      <c r="A3354" t="s">
        <v>72</v>
      </c>
      <c r="B3354" t="s">
        <v>8</v>
      </c>
      <c r="C3354" t="s">
        <v>71</v>
      </c>
      <c r="D3354" t="str">
        <f>LEFT(M3354,10)</f>
        <v>12/15/2024</v>
      </c>
      <c r="E3354" t="s">
        <v>202</v>
      </c>
      <c r="F3354" t="s">
        <v>218</v>
      </c>
      <c r="G3354" t="s">
        <v>247</v>
      </c>
      <c r="I3354">
        <v>76.5</v>
      </c>
      <c r="J3354">
        <v>328.95</v>
      </c>
      <c r="K3354">
        <v>4.3</v>
      </c>
      <c r="M3354" t="s">
        <v>205</v>
      </c>
    </row>
    <row r="3355" spans="1:13" hidden="1">
      <c r="A3355" t="s">
        <v>72</v>
      </c>
      <c r="B3355" t="s">
        <v>8</v>
      </c>
      <c r="C3355" t="s">
        <v>71</v>
      </c>
      <c r="D3355" t="str">
        <f>LEFT(M3355,10)</f>
        <v>12/15/2024</v>
      </c>
      <c r="E3355" t="s">
        <v>202</v>
      </c>
      <c r="F3355" t="s">
        <v>218</v>
      </c>
      <c r="G3355" t="s">
        <v>225</v>
      </c>
      <c r="I3355">
        <v>112</v>
      </c>
      <c r="J3355">
        <v>89.6</v>
      </c>
      <c r="K3355">
        <v>0.8</v>
      </c>
      <c r="M3355" t="s">
        <v>205</v>
      </c>
    </row>
    <row r="3356" spans="1:13" hidden="1">
      <c r="A3356" t="s">
        <v>72</v>
      </c>
      <c r="B3356" t="s">
        <v>8</v>
      </c>
      <c r="C3356" t="s">
        <v>71</v>
      </c>
      <c r="D3356" t="str">
        <f>LEFT(M3356,10)</f>
        <v>12/15/2024</v>
      </c>
      <c r="E3356" t="s">
        <v>202</v>
      </c>
      <c r="F3356" t="s">
        <v>218</v>
      </c>
      <c r="G3356" t="s">
        <v>243</v>
      </c>
      <c r="H3356" t="s">
        <v>485</v>
      </c>
      <c r="I3356">
        <v>143.5</v>
      </c>
      <c r="J3356">
        <v>114.8</v>
      </c>
      <c r="K3356">
        <v>0.8</v>
      </c>
      <c r="M3356" t="s">
        <v>205</v>
      </c>
    </row>
    <row r="3357" spans="1:13" hidden="1">
      <c r="A3357" t="s">
        <v>72</v>
      </c>
      <c r="B3357" t="s">
        <v>8</v>
      </c>
      <c r="C3357" t="s">
        <v>71</v>
      </c>
      <c r="D3357" t="str">
        <f>LEFT(M3357,10)</f>
        <v>12/15/2024</v>
      </c>
      <c r="E3357" t="s">
        <v>202</v>
      </c>
      <c r="F3357" t="s">
        <v>218</v>
      </c>
      <c r="G3357" t="s">
        <v>226</v>
      </c>
      <c r="I3357">
        <v>369</v>
      </c>
      <c r="J3357">
        <v>129.15</v>
      </c>
      <c r="K3357">
        <v>0.35</v>
      </c>
      <c r="M3357" t="s">
        <v>205</v>
      </c>
    </row>
    <row r="3358" spans="1:13" hidden="1">
      <c r="A3358" t="s">
        <v>72</v>
      </c>
      <c r="B3358" t="s">
        <v>8</v>
      </c>
      <c r="C3358" t="s">
        <v>71</v>
      </c>
      <c r="D3358" t="str">
        <f>LEFT(M3358,10)</f>
        <v>12/15/2024</v>
      </c>
      <c r="E3358" t="s">
        <v>202</v>
      </c>
      <c r="F3358" t="s">
        <v>218</v>
      </c>
      <c r="G3358" t="s">
        <v>243</v>
      </c>
      <c r="H3358" t="s">
        <v>344</v>
      </c>
      <c r="I3358">
        <v>86</v>
      </c>
      <c r="J3358">
        <v>25.8</v>
      </c>
      <c r="K3358">
        <v>0.3</v>
      </c>
      <c r="M3358" t="s">
        <v>205</v>
      </c>
    </row>
    <row r="3359" spans="1:13" hidden="1">
      <c r="A3359" t="s">
        <v>72</v>
      </c>
      <c r="B3359" t="s">
        <v>8</v>
      </c>
      <c r="C3359" t="s">
        <v>71</v>
      </c>
      <c r="D3359" t="str">
        <f>LEFT(M3359,10)</f>
        <v>12/15/2024</v>
      </c>
      <c r="E3359" t="s">
        <v>202</v>
      </c>
      <c r="F3359" t="s">
        <v>218</v>
      </c>
      <c r="G3359" t="s">
        <v>243</v>
      </c>
      <c r="H3359" t="s">
        <v>344</v>
      </c>
      <c r="I3359">
        <v>128</v>
      </c>
      <c r="J3359">
        <v>19.2</v>
      </c>
      <c r="K3359">
        <v>0.15</v>
      </c>
      <c r="M3359" t="s">
        <v>205</v>
      </c>
    </row>
    <row r="3360" spans="1:13" hidden="1">
      <c r="A3360" t="s">
        <v>72</v>
      </c>
      <c r="B3360" t="s">
        <v>8</v>
      </c>
      <c r="C3360" t="s">
        <v>71</v>
      </c>
      <c r="D3360" t="str">
        <f>LEFT(M3360,10)</f>
        <v>12/15/2024</v>
      </c>
      <c r="E3360" t="s">
        <v>202</v>
      </c>
      <c r="F3360" t="s">
        <v>218</v>
      </c>
      <c r="G3360" t="s">
        <v>268</v>
      </c>
      <c r="I3360">
        <v>244</v>
      </c>
      <c r="J3360">
        <v>536.79999999999995</v>
      </c>
      <c r="K3360">
        <v>2.2000000000000002</v>
      </c>
      <c r="M3360" t="s">
        <v>205</v>
      </c>
    </row>
    <row r="3361" spans="1:13" hidden="1">
      <c r="A3361" t="s">
        <v>72</v>
      </c>
      <c r="B3361" t="s">
        <v>8</v>
      </c>
      <c r="C3361" t="s">
        <v>71</v>
      </c>
      <c r="D3361" t="str">
        <f>LEFT(M3361,10)</f>
        <v>12/15/2024</v>
      </c>
      <c r="E3361" t="s">
        <v>202</v>
      </c>
      <c r="F3361" t="s">
        <v>218</v>
      </c>
      <c r="G3361" t="s">
        <v>219</v>
      </c>
      <c r="I3361">
        <v>185</v>
      </c>
      <c r="J3361">
        <v>46.25</v>
      </c>
      <c r="K3361">
        <v>0.25</v>
      </c>
      <c r="M3361" t="s">
        <v>205</v>
      </c>
    </row>
    <row r="3362" spans="1:13" hidden="1">
      <c r="A3362" t="s">
        <v>72</v>
      </c>
      <c r="B3362" t="s">
        <v>8</v>
      </c>
      <c r="C3362" t="s">
        <v>71</v>
      </c>
      <c r="D3362" t="str">
        <f>LEFT(M3362,10)</f>
        <v>12/15/2024</v>
      </c>
      <c r="E3362" t="s">
        <v>202</v>
      </c>
      <c r="F3362" t="s">
        <v>216</v>
      </c>
      <c r="G3362" t="s">
        <v>253</v>
      </c>
      <c r="I3362">
        <v>15000</v>
      </c>
      <c r="J3362">
        <v>5550</v>
      </c>
      <c r="K3362">
        <v>0.37</v>
      </c>
      <c r="M3362" t="s">
        <v>205</v>
      </c>
    </row>
    <row r="3363" spans="1:13" hidden="1">
      <c r="A3363" t="s">
        <v>72</v>
      </c>
      <c r="B3363" t="s">
        <v>8</v>
      </c>
      <c r="C3363" t="s">
        <v>71</v>
      </c>
      <c r="D3363" t="str">
        <f>LEFT(M3363,10)</f>
        <v>12/15/2024</v>
      </c>
      <c r="E3363" t="s">
        <v>230</v>
      </c>
      <c r="F3363" t="s">
        <v>323</v>
      </c>
      <c r="G3363" t="s">
        <v>249</v>
      </c>
      <c r="I3363">
        <v>0</v>
      </c>
      <c r="J3363">
        <v>2271.54</v>
      </c>
      <c r="L3363" t="s">
        <v>486</v>
      </c>
      <c r="M3363" t="s">
        <v>205</v>
      </c>
    </row>
    <row r="3364" spans="1:13" hidden="1">
      <c r="A3364" t="s">
        <v>72</v>
      </c>
      <c r="B3364" t="s">
        <v>8</v>
      </c>
      <c r="C3364" t="s">
        <v>71</v>
      </c>
      <c r="D3364" t="str">
        <f>LEFT(M3364,10)</f>
        <v>12/15/2024</v>
      </c>
      <c r="E3364" t="s">
        <v>202</v>
      </c>
      <c r="F3364" t="s">
        <v>306</v>
      </c>
      <c r="G3364" t="s">
        <v>307</v>
      </c>
      <c r="I3364">
        <v>80</v>
      </c>
      <c r="J3364">
        <v>160</v>
      </c>
      <c r="K3364">
        <v>2</v>
      </c>
      <c r="M3364" t="s">
        <v>205</v>
      </c>
    </row>
    <row r="3365" spans="1:13" hidden="1">
      <c r="A3365" t="s">
        <v>72</v>
      </c>
      <c r="B3365" t="s">
        <v>8</v>
      </c>
      <c r="C3365" t="s">
        <v>71</v>
      </c>
      <c r="D3365" t="str">
        <f>LEFT(M3365,10)</f>
        <v>12/15/2024</v>
      </c>
      <c r="E3365" t="s">
        <v>249</v>
      </c>
      <c r="F3365" t="s">
        <v>249</v>
      </c>
      <c r="G3365" t="s">
        <v>249</v>
      </c>
      <c r="I3365">
        <v>0</v>
      </c>
      <c r="M3365" t="s">
        <v>205</v>
      </c>
    </row>
    <row r="3366" spans="1:13" hidden="1">
      <c r="A3366" t="s">
        <v>72</v>
      </c>
      <c r="B3366" t="s">
        <v>8</v>
      </c>
      <c r="C3366" t="s">
        <v>71</v>
      </c>
      <c r="D3366" t="str">
        <f>LEFT(M3366,10)</f>
        <v>12/15/2024</v>
      </c>
      <c r="E3366" t="s">
        <v>202</v>
      </c>
      <c r="F3366" t="s">
        <v>218</v>
      </c>
      <c r="G3366" t="s">
        <v>223</v>
      </c>
      <c r="I3366">
        <v>2496.5</v>
      </c>
      <c r="J3366">
        <v>1997.2</v>
      </c>
      <c r="K3366">
        <v>0.8</v>
      </c>
      <c r="M3366" t="s">
        <v>205</v>
      </c>
    </row>
    <row r="3367" spans="1:13" hidden="1">
      <c r="A3367" t="s">
        <v>72</v>
      </c>
      <c r="B3367" t="s">
        <v>8</v>
      </c>
      <c r="C3367" t="s">
        <v>71</v>
      </c>
      <c r="D3367" t="str">
        <f>LEFT(M3367,10)</f>
        <v>12/15/2024</v>
      </c>
      <c r="E3367" t="s">
        <v>232</v>
      </c>
      <c r="F3367" t="s">
        <v>255</v>
      </c>
      <c r="G3367" t="s">
        <v>249</v>
      </c>
      <c r="I3367">
        <v>0</v>
      </c>
      <c r="J3367">
        <v>258.3</v>
      </c>
      <c r="L3367" t="s">
        <v>487</v>
      </c>
      <c r="M3367" t="s">
        <v>205</v>
      </c>
    </row>
    <row r="3368" spans="1:13" hidden="1">
      <c r="A3368" t="s">
        <v>72</v>
      </c>
      <c r="B3368" t="s">
        <v>8</v>
      </c>
      <c r="C3368" t="s">
        <v>71</v>
      </c>
      <c r="D3368" t="str">
        <f>LEFT(M3368,10)</f>
        <v>12/15/2024</v>
      </c>
      <c r="E3368" t="s">
        <v>232</v>
      </c>
      <c r="F3368" t="s">
        <v>255</v>
      </c>
      <c r="G3368" t="s">
        <v>249</v>
      </c>
      <c r="I3368">
        <v>0</v>
      </c>
      <c r="J3368">
        <v>35</v>
      </c>
      <c r="L3368" t="s">
        <v>488</v>
      </c>
      <c r="M3368" t="s">
        <v>205</v>
      </c>
    </row>
    <row r="3369" spans="1:13" hidden="1">
      <c r="A3369" t="s">
        <v>72</v>
      </c>
      <c r="B3369" t="s">
        <v>8</v>
      </c>
      <c r="C3369" t="s">
        <v>71</v>
      </c>
      <c r="D3369" t="str">
        <f>LEFT(M3369,10)</f>
        <v>12/15/2024</v>
      </c>
      <c r="E3369" t="s">
        <v>232</v>
      </c>
      <c r="F3369" t="s">
        <v>287</v>
      </c>
      <c r="G3369" t="s">
        <v>249</v>
      </c>
      <c r="I3369">
        <v>0</v>
      </c>
      <c r="J3369">
        <v>333.75</v>
      </c>
      <c r="M3369" t="s">
        <v>205</v>
      </c>
    </row>
    <row r="3370" spans="1:13" hidden="1">
      <c r="A3370" t="s">
        <v>72</v>
      </c>
      <c r="B3370" t="s">
        <v>8</v>
      </c>
      <c r="C3370" t="s">
        <v>71</v>
      </c>
      <c r="D3370" t="str">
        <f>LEFT(M3370,10)</f>
        <v>12/15/2024</v>
      </c>
      <c r="E3370" t="s">
        <v>232</v>
      </c>
      <c r="F3370" t="s">
        <v>255</v>
      </c>
      <c r="G3370" t="s">
        <v>249</v>
      </c>
      <c r="I3370">
        <v>0</v>
      </c>
      <c r="J3370">
        <v>112.3</v>
      </c>
      <c r="L3370" t="s">
        <v>489</v>
      </c>
      <c r="M3370" t="s">
        <v>205</v>
      </c>
    </row>
    <row r="3371" spans="1:13" hidden="1">
      <c r="A3371" t="s">
        <v>72</v>
      </c>
      <c r="B3371" t="s">
        <v>8</v>
      </c>
      <c r="C3371" t="s">
        <v>71</v>
      </c>
      <c r="D3371" t="str">
        <f>LEFT(M3371,10)</f>
        <v>12/15/2024</v>
      </c>
      <c r="E3371" t="s">
        <v>232</v>
      </c>
      <c r="F3371" t="s">
        <v>255</v>
      </c>
      <c r="G3371" t="s">
        <v>249</v>
      </c>
      <c r="I3371">
        <v>0</v>
      </c>
      <c r="J3371">
        <v>92.5</v>
      </c>
      <c r="L3371" t="s">
        <v>351</v>
      </c>
      <c r="M3371" t="s">
        <v>205</v>
      </c>
    </row>
    <row r="3372" spans="1:13" hidden="1">
      <c r="A3372" t="s">
        <v>72</v>
      </c>
      <c r="B3372" t="s">
        <v>8</v>
      </c>
      <c r="C3372" t="s">
        <v>71</v>
      </c>
      <c r="D3372" t="str">
        <f>LEFT(M3372,10)</f>
        <v>12/15/2024</v>
      </c>
      <c r="E3372" t="s">
        <v>232</v>
      </c>
      <c r="F3372" t="s">
        <v>255</v>
      </c>
      <c r="G3372" t="s">
        <v>249</v>
      </c>
      <c r="I3372">
        <v>0</v>
      </c>
      <c r="J3372">
        <v>1292.9000000000001</v>
      </c>
      <c r="L3372" t="s">
        <v>490</v>
      </c>
      <c r="M3372" t="s">
        <v>205</v>
      </c>
    </row>
    <row r="3373" spans="1:13" hidden="1">
      <c r="A3373" t="s">
        <v>72</v>
      </c>
      <c r="B3373" t="s">
        <v>8</v>
      </c>
      <c r="C3373" t="s">
        <v>71</v>
      </c>
      <c r="D3373" t="str">
        <f>LEFT(M3373,10)</f>
        <v>12/15/2024</v>
      </c>
      <c r="E3373" t="s">
        <v>232</v>
      </c>
      <c r="F3373" t="s">
        <v>255</v>
      </c>
      <c r="G3373" t="s">
        <v>249</v>
      </c>
      <c r="I3373">
        <v>0</v>
      </c>
      <c r="J3373">
        <v>590</v>
      </c>
      <c r="L3373" t="s">
        <v>491</v>
      </c>
      <c r="M3373" t="s">
        <v>205</v>
      </c>
    </row>
    <row r="3374" spans="1:13" hidden="1">
      <c r="A3374" t="s">
        <v>72</v>
      </c>
      <c r="B3374" t="s">
        <v>8</v>
      </c>
      <c r="C3374" t="s">
        <v>71</v>
      </c>
      <c r="D3374" t="str">
        <f>LEFT(M3374,10)</f>
        <v>12/15/2024</v>
      </c>
      <c r="E3374" t="s">
        <v>232</v>
      </c>
      <c r="F3374" t="s">
        <v>287</v>
      </c>
      <c r="G3374" t="s">
        <v>249</v>
      </c>
      <c r="I3374">
        <v>0</v>
      </c>
      <c r="J3374">
        <v>352</v>
      </c>
      <c r="M3374" t="s">
        <v>205</v>
      </c>
    </row>
    <row r="3375" spans="1:13" hidden="1">
      <c r="A3375" t="s">
        <v>72</v>
      </c>
      <c r="B3375" t="s">
        <v>8</v>
      </c>
      <c r="C3375" t="s">
        <v>71</v>
      </c>
      <c r="D3375" t="str">
        <f>LEFT(M3375,10)</f>
        <v>12/15/2024</v>
      </c>
      <c r="E3375" t="s">
        <v>232</v>
      </c>
      <c r="F3375" t="s">
        <v>255</v>
      </c>
      <c r="G3375" t="s">
        <v>249</v>
      </c>
      <c r="I3375">
        <v>0</v>
      </c>
      <c r="J3375">
        <v>2087.9699999999998</v>
      </c>
      <c r="L3375" t="s">
        <v>492</v>
      </c>
      <c r="M3375" t="s">
        <v>205</v>
      </c>
    </row>
    <row r="3376" spans="1:13" hidden="1">
      <c r="A3376" t="s">
        <v>72</v>
      </c>
      <c r="B3376" t="s">
        <v>8</v>
      </c>
      <c r="C3376" t="s">
        <v>71</v>
      </c>
      <c r="D3376" t="str">
        <f>LEFT(M3376,10)</f>
        <v>12/15/2024</v>
      </c>
      <c r="E3376" t="s">
        <v>232</v>
      </c>
      <c r="F3376" t="s">
        <v>287</v>
      </c>
      <c r="G3376" t="s">
        <v>249</v>
      </c>
      <c r="I3376">
        <v>0</v>
      </c>
      <c r="J3376">
        <v>4514</v>
      </c>
      <c r="M3376" t="s">
        <v>205</v>
      </c>
    </row>
    <row r="3377" spans="1:13" hidden="1">
      <c r="A3377" t="s">
        <v>72</v>
      </c>
      <c r="B3377" t="s">
        <v>8</v>
      </c>
      <c r="C3377" t="s">
        <v>71</v>
      </c>
      <c r="D3377" t="str">
        <f>LEFT(M3377,10)</f>
        <v>12/15/2024</v>
      </c>
      <c r="E3377" t="s">
        <v>232</v>
      </c>
      <c r="F3377" t="s">
        <v>251</v>
      </c>
      <c r="G3377" t="s">
        <v>249</v>
      </c>
      <c r="I3377">
        <v>0</v>
      </c>
      <c r="J3377">
        <v>40</v>
      </c>
      <c r="M3377" t="s">
        <v>205</v>
      </c>
    </row>
    <row r="3378" spans="1:13" hidden="1">
      <c r="A3378" t="s">
        <v>72</v>
      </c>
      <c r="B3378" t="s">
        <v>8</v>
      </c>
      <c r="C3378" t="s">
        <v>71</v>
      </c>
      <c r="D3378" t="str">
        <f>LEFT(M3378,10)</f>
        <v>12/15/2024</v>
      </c>
      <c r="E3378" t="s">
        <v>232</v>
      </c>
      <c r="F3378" t="s">
        <v>251</v>
      </c>
      <c r="G3378" t="s">
        <v>249</v>
      </c>
      <c r="I3378">
        <v>0</v>
      </c>
      <c r="J3378">
        <v>1256</v>
      </c>
      <c r="M3378" t="s">
        <v>205</v>
      </c>
    </row>
    <row r="3379" spans="1:13" hidden="1">
      <c r="A3379" t="s">
        <v>72</v>
      </c>
      <c r="B3379" t="s">
        <v>8</v>
      </c>
      <c r="C3379" t="s">
        <v>71</v>
      </c>
      <c r="D3379" t="str">
        <f>LEFT(M3379,10)</f>
        <v>12/15/2024</v>
      </c>
      <c r="E3379" t="s">
        <v>232</v>
      </c>
      <c r="F3379" t="s">
        <v>255</v>
      </c>
      <c r="G3379" t="s">
        <v>249</v>
      </c>
      <c r="I3379">
        <v>0</v>
      </c>
      <c r="J3379">
        <v>102.04</v>
      </c>
      <c r="L3379" t="s">
        <v>493</v>
      </c>
      <c r="M3379" t="s">
        <v>205</v>
      </c>
    </row>
    <row r="3380" spans="1:13" hidden="1">
      <c r="A3380" t="s">
        <v>72</v>
      </c>
      <c r="B3380" t="s">
        <v>8</v>
      </c>
      <c r="C3380" t="s">
        <v>71</v>
      </c>
      <c r="D3380" t="str">
        <f>LEFT(M3380,10)</f>
        <v>12/15/2024</v>
      </c>
      <c r="E3380" t="s">
        <v>232</v>
      </c>
      <c r="F3380" t="s">
        <v>255</v>
      </c>
      <c r="G3380" t="s">
        <v>249</v>
      </c>
      <c r="I3380">
        <v>0</v>
      </c>
      <c r="J3380">
        <v>203.96</v>
      </c>
      <c r="L3380" t="s">
        <v>494</v>
      </c>
      <c r="M3380" t="s">
        <v>205</v>
      </c>
    </row>
    <row r="3381" spans="1:13" hidden="1">
      <c r="A3381" t="s">
        <v>72</v>
      </c>
      <c r="B3381" t="s">
        <v>8</v>
      </c>
      <c r="C3381" t="s">
        <v>71</v>
      </c>
      <c r="D3381" t="str">
        <f>LEFT(M3381,10)</f>
        <v>12/15/2024</v>
      </c>
      <c r="E3381" t="s">
        <v>232</v>
      </c>
      <c r="F3381" t="s">
        <v>255</v>
      </c>
      <c r="G3381" t="s">
        <v>249</v>
      </c>
      <c r="I3381">
        <v>0</v>
      </c>
      <c r="J3381">
        <v>2000</v>
      </c>
      <c r="L3381" t="s">
        <v>271</v>
      </c>
      <c r="M3381" t="s">
        <v>205</v>
      </c>
    </row>
    <row r="3382" spans="1:13" hidden="1">
      <c r="A3382" t="s">
        <v>72</v>
      </c>
      <c r="B3382" t="s">
        <v>8</v>
      </c>
      <c r="C3382" t="s">
        <v>71</v>
      </c>
      <c r="D3382" t="str">
        <f>LEFT(M3382,10)</f>
        <v>12/15/2024</v>
      </c>
      <c r="E3382" t="s">
        <v>232</v>
      </c>
      <c r="F3382" t="s">
        <v>286</v>
      </c>
      <c r="G3382" t="s">
        <v>249</v>
      </c>
      <c r="I3382">
        <v>0</v>
      </c>
      <c r="J3382">
        <v>63.95</v>
      </c>
      <c r="M3382" t="s">
        <v>205</v>
      </c>
    </row>
    <row r="3383" spans="1:13" hidden="1">
      <c r="A3383" t="s">
        <v>72</v>
      </c>
      <c r="B3383" t="s">
        <v>8</v>
      </c>
      <c r="C3383" t="s">
        <v>71</v>
      </c>
      <c r="D3383" t="str">
        <f>LEFT(M3383,10)</f>
        <v>12/15/2024</v>
      </c>
      <c r="E3383" t="s">
        <v>232</v>
      </c>
      <c r="F3383" t="s">
        <v>291</v>
      </c>
      <c r="G3383" t="s">
        <v>249</v>
      </c>
      <c r="I3383">
        <v>0</v>
      </c>
      <c r="J3383">
        <v>1765</v>
      </c>
      <c r="M3383" t="s">
        <v>205</v>
      </c>
    </row>
    <row r="3384" spans="1:13" hidden="1">
      <c r="A3384" t="s">
        <v>72</v>
      </c>
      <c r="B3384" t="s">
        <v>8</v>
      </c>
      <c r="C3384" t="s">
        <v>71</v>
      </c>
      <c r="D3384" t="str">
        <f>LEFT(M3384,10)</f>
        <v>12/15/2024</v>
      </c>
      <c r="E3384" t="s">
        <v>232</v>
      </c>
      <c r="F3384" t="s">
        <v>255</v>
      </c>
      <c r="G3384" t="s">
        <v>249</v>
      </c>
      <c r="I3384">
        <v>0</v>
      </c>
      <c r="J3384">
        <v>60</v>
      </c>
      <c r="L3384" t="s">
        <v>495</v>
      </c>
      <c r="M3384" t="s">
        <v>205</v>
      </c>
    </row>
    <row r="3385" spans="1:13" hidden="1">
      <c r="A3385" t="s">
        <v>72</v>
      </c>
      <c r="B3385" t="s">
        <v>8</v>
      </c>
      <c r="C3385" t="s">
        <v>71</v>
      </c>
      <c r="D3385" t="str">
        <f>LEFT(M3385,10)</f>
        <v>12/15/2024</v>
      </c>
      <c r="E3385" t="s">
        <v>232</v>
      </c>
      <c r="F3385" t="s">
        <v>250</v>
      </c>
      <c r="G3385" t="s">
        <v>249</v>
      </c>
      <c r="I3385">
        <v>0</v>
      </c>
      <c r="J3385">
        <v>300</v>
      </c>
      <c r="M3385" t="s">
        <v>205</v>
      </c>
    </row>
    <row r="3386" spans="1:13" hidden="1">
      <c r="A3386" t="s">
        <v>72</v>
      </c>
      <c r="B3386" t="s">
        <v>8</v>
      </c>
      <c r="C3386" t="s">
        <v>71</v>
      </c>
      <c r="D3386" t="str">
        <f>LEFT(M3386,10)</f>
        <v>12/15/2024</v>
      </c>
      <c r="E3386" t="s">
        <v>232</v>
      </c>
      <c r="F3386" t="s">
        <v>296</v>
      </c>
      <c r="G3386" t="s">
        <v>249</v>
      </c>
      <c r="I3386">
        <v>0</v>
      </c>
      <c r="J3386">
        <v>2210</v>
      </c>
      <c r="M3386" t="s">
        <v>205</v>
      </c>
    </row>
    <row r="3387" spans="1:13" hidden="1">
      <c r="A3387" t="s">
        <v>72</v>
      </c>
      <c r="B3387" t="s">
        <v>8</v>
      </c>
      <c r="C3387" t="s">
        <v>71</v>
      </c>
      <c r="D3387" t="str">
        <f>LEFT(M3387,10)</f>
        <v>12/15/2024</v>
      </c>
      <c r="E3387" t="s">
        <v>232</v>
      </c>
      <c r="F3387" t="s">
        <v>276</v>
      </c>
      <c r="G3387" t="s">
        <v>249</v>
      </c>
      <c r="I3387">
        <v>0</v>
      </c>
      <c r="J3387">
        <v>185</v>
      </c>
      <c r="M3387" t="s">
        <v>205</v>
      </c>
    </row>
    <row r="3388" spans="1:13" hidden="1">
      <c r="A3388" t="s">
        <v>72</v>
      </c>
      <c r="B3388" t="s">
        <v>8</v>
      </c>
      <c r="C3388" t="s">
        <v>71</v>
      </c>
      <c r="D3388" t="str">
        <f>LEFT(M3388,10)</f>
        <v>12/15/2024</v>
      </c>
      <c r="E3388" t="s">
        <v>230</v>
      </c>
      <c r="F3388" t="s">
        <v>231</v>
      </c>
      <c r="G3388" t="s">
        <v>249</v>
      </c>
      <c r="I3388">
        <v>0</v>
      </c>
      <c r="J3388">
        <v>81972</v>
      </c>
      <c r="M3388" t="s">
        <v>205</v>
      </c>
    </row>
    <row r="3389" spans="1:13" hidden="1">
      <c r="A3389" t="s">
        <v>72</v>
      </c>
      <c r="B3389" t="s">
        <v>8</v>
      </c>
      <c r="C3389" t="s">
        <v>71</v>
      </c>
      <c r="D3389" t="str">
        <f>LEFT(M3389,10)</f>
        <v>12/15/2024</v>
      </c>
      <c r="E3389" t="s">
        <v>234</v>
      </c>
      <c r="F3389" t="s">
        <v>234</v>
      </c>
      <c r="G3389" t="s">
        <v>249</v>
      </c>
      <c r="I3389">
        <v>20010</v>
      </c>
      <c r="M3389" t="s">
        <v>205</v>
      </c>
    </row>
    <row r="3390" spans="1:13" hidden="1">
      <c r="A3390" t="s">
        <v>72</v>
      </c>
      <c r="B3390" t="s">
        <v>8</v>
      </c>
      <c r="C3390" t="s">
        <v>71</v>
      </c>
      <c r="D3390" t="str">
        <f>LEFT(M3390,10)</f>
        <v>12/15/2024</v>
      </c>
      <c r="E3390" t="s">
        <v>230</v>
      </c>
      <c r="F3390" t="s">
        <v>248</v>
      </c>
      <c r="I3390">
        <v>0</v>
      </c>
      <c r="J3390">
        <v>15258.81</v>
      </c>
      <c r="M3390" t="s">
        <v>205</v>
      </c>
    </row>
    <row r="3391" spans="1:13" hidden="1">
      <c r="A3391" t="s">
        <v>72</v>
      </c>
      <c r="B3391" t="s">
        <v>8</v>
      </c>
      <c r="C3391" t="s">
        <v>71</v>
      </c>
      <c r="D3391" t="str">
        <f>LEFT(M3391,10)</f>
        <v>12/15/2024</v>
      </c>
      <c r="E3391" t="s">
        <v>230</v>
      </c>
      <c r="F3391" t="s">
        <v>248</v>
      </c>
      <c r="G3391" t="s">
        <v>249</v>
      </c>
      <c r="I3391">
        <v>0</v>
      </c>
      <c r="J3391">
        <v>75308.160000000003</v>
      </c>
      <c r="M3391" t="s">
        <v>205</v>
      </c>
    </row>
    <row r="3392" spans="1:13" hidden="1">
      <c r="A3392" t="s">
        <v>70</v>
      </c>
      <c r="B3392" t="s">
        <v>8</v>
      </c>
      <c r="C3392" t="s">
        <v>69</v>
      </c>
      <c r="D3392" t="str">
        <f>LEFT(M3392,10)</f>
        <v>12/15/2024</v>
      </c>
      <c r="E3392" t="s">
        <v>202</v>
      </c>
      <c r="F3392" t="s">
        <v>227</v>
      </c>
      <c r="G3392" t="s">
        <v>229</v>
      </c>
      <c r="I3392">
        <v>6141.5</v>
      </c>
      <c r="J3392">
        <v>4606.12</v>
      </c>
      <c r="K3392">
        <v>0.75</v>
      </c>
      <c r="M3392" t="s">
        <v>205</v>
      </c>
    </row>
    <row r="3393" spans="1:13" hidden="1">
      <c r="A3393" t="s">
        <v>70</v>
      </c>
      <c r="B3393" t="s">
        <v>8</v>
      </c>
      <c r="C3393" t="s">
        <v>69</v>
      </c>
      <c r="D3393" t="str">
        <f>LEFT(M3393,10)</f>
        <v>12/15/2024</v>
      </c>
      <c r="E3393" t="s">
        <v>202</v>
      </c>
      <c r="F3393" t="s">
        <v>227</v>
      </c>
      <c r="G3393" t="s">
        <v>252</v>
      </c>
      <c r="I3393">
        <v>574</v>
      </c>
      <c r="J3393">
        <v>229.6</v>
      </c>
      <c r="K3393">
        <v>0.4</v>
      </c>
      <c r="M3393" t="s">
        <v>205</v>
      </c>
    </row>
    <row r="3394" spans="1:13" hidden="1">
      <c r="A3394" t="s">
        <v>70</v>
      </c>
      <c r="B3394" t="s">
        <v>8</v>
      </c>
      <c r="C3394" t="s">
        <v>69</v>
      </c>
      <c r="D3394" t="str">
        <f>LEFT(M3394,10)</f>
        <v>12/15/2024</v>
      </c>
      <c r="E3394" t="s">
        <v>202</v>
      </c>
      <c r="F3394" t="s">
        <v>227</v>
      </c>
      <c r="G3394" t="s">
        <v>228</v>
      </c>
      <c r="I3394">
        <v>2485.5</v>
      </c>
      <c r="J3394">
        <v>745.65</v>
      </c>
      <c r="K3394">
        <v>0.3</v>
      </c>
      <c r="M3394" t="s">
        <v>205</v>
      </c>
    </row>
    <row r="3395" spans="1:13" hidden="1">
      <c r="A3395" t="s">
        <v>70</v>
      </c>
      <c r="B3395" t="s">
        <v>8</v>
      </c>
      <c r="C3395" t="s">
        <v>69</v>
      </c>
      <c r="D3395" t="str">
        <f>LEFT(M3395,10)</f>
        <v>12/15/2024</v>
      </c>
      <c r="E3395" t="s">
        <v>202</v>
      </c>
      <c r="F3395" t="s">
        <v>227</v>
      </c>
      <c r="G3395" t="s">
        <v>237</v>
      </c>
      <c r="I3395">
        <v>1038.5</v>
      </c>
      <c r="J3395">
        <v>623.1</v>
      </c>
      <c r="K3395">
        <v>0.6</v>
      </c>
      <c r="M3395" t="s">
        <v>205</v>
      </c>
    </row>
    <row r="3396" spans="1:13" hidden="1">
      <c r="A3396" t="s">
        <v>70</v>
      </c>
      <c r="B3396" t="s">
        <v>8</v>
      </c>
      <c r="C3396" t="s">
        <v>69</v>
      </c>
      <c r="D3396" t="str">
        <f>LEFT(M3396,10)</f>
        <v>12/15/2024</v>
      </c>
      <c r="E3396" t="s">
        <v>202</v>
      </c>
      <c r="F3396" t="s">
        <v>227</v>
      </c>
      <c r="G3396" t="s">
        <v>238</v>
      </c>
      <c r="I3396">
        <v>390.5</v>
      </c>
      <c r="J3396">
        <v>156.19999999999999</v>
      </c>
      <c r="K3396">
        <v>0.4</v>
      </c>
      <c r="M3396" t="s">
        <v>205</v>
      </c>
    </row>
    <row r="3397" spans="1:13" hidden="1">
      <c r="A3397" t="s">
        <v>70</v>
      </c>
      <c r="B3397" t="s">
        <v>8</v>
      </c>
      <c r="C3397" t="s">
        <v>69</v>
      </c>
      <c r="D3397" t="str">
        <f>LEFT(M3397,10)</f>
        <v>12/15/2024</v>
      </c>
      <c r="E3397" t="s">
        <v>202</v>
      </c>
      <c r="F3397" t="s">
        <v>218</v>
      </c>
      <c r="G3397" t="s">
        <v>223</v>
      </c>
      <c r="I3397">
        <v>2169.5</v>
      </c>
      <c r="J3397">
        <v>1735.6</v>
      </c>
      <c r="K3397">
        <v>0.8</v>
      </c>
      <c r="M3397" t="s">
        <v>205</v>
      </c>
    </row>
    <row r="3398" spans="1:13" hidden="1">
      <c r="A3398" t="s">
        <v>70</v>
      </c>
      <c r="B3398" t="s">
        <v>8</v>
      </c>
      <c r="C3398" t="s">
        <v>69</v>
      </c>
      <c r="D3398" t="str">
        <f>LEFT(M3398,10)</f>
        <v>12/15/2024</v>
      </c>
      <c r="E3398" t="s">
        <v>202</v>
      </c>
      <c r="F3398" t="s">
        <v>218</v>
      </c>
      <c r="G3398" t="s">
        <v>266</v>
      </c>
      <c r="I3398">
        <v>124</v>
      </c>
      <c r="J3398">
        <v>6.2</v>
      </c>
      <c r="K3398">
        <v>0.05</v>
      </c>
      <c r="M3398" t="s">
        <v>205</v>
      </c>
    </row>
    <row r="3399" spans="1:13" hidden="1">
      <c r="A3399" t="s">
        <v>70</v>
      </c>
      <c r="B3399" t="s">
        <v>8</v>
      </c>
      <c r="C3399" t="s">
        <v>69</v>
      </c>
      <c r="D3399" t="str">
        <f>LEFT(M3399,10)</f>
        <v>12/15/2024</v>
      </c>
      <c r="E3399" t="s">
        <v>202</v>
      </c>
      <c r="F3399" t="s">
        <v>218</v>
      </c>
      <c r="G3399" t="s">
        <v>240</v>
      </c>
      <c r="I3399">
        <v>1388.5</v>
      </c>
      <c r="J3399">
        <v>6387.1</v>
      </c>
      <c r="K3399">
        <v>4.5999999999999996</v>
      </c>
      <c r="M3399" t="s">
        <v>205</v>
      </c>
    </row>
    <row r="3400" spans="1:13" hidden="1">
      <c r="A3400" t="s">
        <v>70</v>
      </c>
      <c r="B3400" t="s">
        <v>8</v>
      </c>
      <c r="C3400" t="s">
        <v>69</v>
      </c>
      <c r="D3400" t="str">
        <f>LEFT(M3400,10)</f>
        <v>12/15/2024</v>
      </c>
      <c r="E3400" t="s">
        <v>202</v>
      </c>
      <c r="F3400" t="s">
        <v>218</v>
      </c>
      <c r="G3400" t="s">
        <v>220</v>
      </c>
      <c r="I3400">
        <v>1063.5</v>
      </c>
      <c r="J3400">
        <v>1488.9</v>
      </c>
      <c r="K3400">
        <v>1.4</v>
      </c>
      <c r="M3400" t="s">
        <v>205</v>
      </c>
    </row>
    <row r="3401" spans="1:13" hidden="1">
      <c r="A3401" t="s">
        <v>70</v>
      </c>
      <c r="B3401" t="s">
        <v>8</v>
      </c>
      <c r="C3401" t="s">
        <v>69</v>
      </c>
      <c r="D3401" t="str">
        <f>LEFT(M3401,10)</f>
        <v>12/15/2024</v>
      </c>
      <c r="E3401" t="s">
        <v>202</v>
      </c>
      <c r="F3401" t="s">
        <v>218</v>
      </c>
      <c r="G3401" t="s">
        <v>223</v>
      </c>
      <c r="I3401">
        <v>665.5</v>
      </c>
      <c r="J3401">
        <v>332.75</v>
      </c>
      <c r="K3401">
        <v>0.5</v>
      </c>
      <c r="M3401" t="s">
        <v>205</v>
      </c>
    </row>
    <row r="3402" spans="1:13" hidden="1">
      <c r="A3402" t="s">
        <v>70</v>
      </c>
      <c r="B3402" t="s">
        <v>8</v>
      </c>
      <c r="C3402" t="s">
        <v>69</v>
      </c>
      <c r="D3402" t="str">
        <f>LEFT(M3402,10)</f>
        <v>12/15/2024</v>
      </c>
      <c r="E3402" t="s">
        <v>202</v>
      </c>
      <c r="F3402" t="s">
        <v>218</v>
      </c>
      <c r="G3402" t="s">
        <v>243</v>
      </c>
      <c r="H3402" t="s">
        <v>496</v>
      </c>
      <c r="I3402">
        <v>293.5</v>
      </c>
      <c r="J3402">
        <v>645.70000000000005</v>
      </c>
      <c r="K3402">
        <v>2.2000000000000002</v>
      </c>
      <c r="M3402" t="s">
        <v>205</v>
      </c>
    </row>
    <row r="3403" spans="1:13" hidden="1">
      <c r="A3403" t="s">
        <v>70</v>
      </c>
      <c r="B3403" t="s">
        <v>8</v>
      </c>
      <c r="C3403" t="s">
        <v>69</v>
      </c>
      <c r="D3403" t="str">
        <f>LEFT(M3403,10)</f>
        <v>12/15/2024</v>
      </c>
      <c r="E3403" t="s">
        <v>202</v>
      </c>
      <c r="F3403" t="s">
        <v>340</v>
      </c>
      <c r="G3403" t="s">
        <v>340</v>
      </c>
      <c r="I3403">
        <v>340</v>
      </c>
      <c r="J3403">
        <v>170</v>
      </c>
      <c r="K3403">
        <v>0.5</v>
      </c>
      <c r="M3403" t="s">
        <v>205</v>
      </c>
    </row>
    <row r="3404" spans="1:13" hidden="1">
      <c r="A3404" t="s">
        <v>70</v>
      </c>
      <c r="B3404" t="s">
        <v>8</v>
      </c>
      <c r="C3404" t="s">
        <v>69</v>
      </c>
      <c r="D3404" t="str">
        <f>LEFT(M3404,10)</f>
        <v>12/15/2024</v>
      </c>
      <c r="E3404" t="s">
        <v>202</v>
      </c>
      <c r="F3404" t="s">
        <v>218</v>
      </c>
      <c r="G3404" t="s">
        <v>226</v>
      </c>
      <c r="I3404">
        <v>472.5</v>
      </c>
      <c r="J3404">
        <v>165.38</v>
      </c>
      <c r="K3404">
        <v>0.35</v>
      </c>
      <c r="M3404" t="s">
        <v>205</v>
      </c>
    </row>
    <row r="3405" spans="1:13" hidden="1">
      <c r="A3405" t="s">
        <v>70</v>
      </c>
      <c r="B3405" t="s">
        <v>8</v>
      </c>
      <c r="C3405" t="s">
        <v>69</v>
      </c>
      <c r="D3405" t="str">
        <f>LEFT(M3405,10)</f>
        <v>12/15/2024</v>
      </c>
      <c r="E3405" t="s">
        <v>202</v>
      </c>
      <c r="F3405" t="s">
        <v>218</v>
      </c>
      <c r="G3405" t="s">
        <v>221</v>
      </c>
      <c r="I3405">
        <v>492.5</v>
      </c>
      <c r="J3405">
        <v>1231.25</v>
      </c>
      <c r="K3405">
        <v>2.5</v>
      </c>
      <c r="M3405" t="s">
        <v>205</v>
      </c>
    </row>
    <row r="3406" spans="1:13" hidden="1">
      <c r="A3406" t="s">
        <v>70</v>
      </c>
      <c r="B3406" t="s">
        <v>8</v>
      </c>
      <c r="C3406" t="s">
        <v>69</v>
      </c>
      <c r="D3406" t="str">
        <f>LEFT(M3406,10)</f>
        <v>12/15/2024</v>
      </c>
      <c r="E3406" t="s">
        <v>202</v>
      </c>
      <c r="F3406" t="s">
        <v>218</v>
      </c>
      <c r="G3406" t="s">
        <v>221</v>
      </c>
      <c r="I3406">
        <v>303</v>
      </c>
      <c r="J3406">
        <v>757.5</v>
      </c>
      <c r="K3406">
        <v>2.5</v>
      </c>
      <c r="M3406" t="s">
        <v>205</v>
      </c>
    </row>
    <row r="3407" spans="1:13" hidden="1">
      <c r="A3407" t="s">
        <v>70</v>
      </c>
      <c r="B3407" t="s">
        <v>8</v>
      </c>
      <c r="C3407" t="s">
        <v>69</v>
      </c>
      <c r="D3407" t="str">
        <f>LEFT(M3407,10)</f>
        <v>12/15/2024</v>
      </c>
      <c r="E3407" t="s">
        <v>202</v>
      </c>
      <c r="F3407" t="s">
        <v>218</v>
      </c>
      <c r="G3407" t="s">
        <v>222</v>
      </c>
      <c r="I3407">
        <v>489</v>
      </c>
      <c r="J3407">
        <v>757.95</v>
      </c>
      <c r="K3407">
        <v>1.55</v>
      </c>
      <c r="M3407" t="s">
        <v>205</v>
      </c>
    </row>
    <row r="3408" spans="1:13" hidden="1">
      <c r="A3408" t="s">
        <v>70</v>
      </c>
      <c r="B3408" t="s">
        <v>8</v>
      </c>
      <c r="C3408" t="s">
        <v>69</v>
      </c>
      <c r="D3408" t="str">
        <f>LEFT(M3408,10)</f>
        <v>12/15/2024</v>
      </c>
      <c r="E3408" t="s">
        <v>202</v>
      </c>
      <c r="F3408" t="s">
        <v>218</v>
      </c>
      <c r="G3408" t="s">
        <v>222</v>
      </c>
      <c r="I3408">
        <v>329</v>
      </c>
      <c r="J3408">
        <v>658</v>
      </c>
      <c r="K3408">
        <v>2</v>
      </c>
      <c r="M3408" t="s">
        <v>205</v>
      </c>
    </row>
    <row r="3409" spans="1:13" hidden="1">
      <c r="A3409" t="s">
        <v>70</v>
      </c>
      <c r="B3409" t="s">
        <v>8</v>
      </c>
      <c r="C3409" t="s">
        <v>69</v>
      </c>
      <c r="D3409" t="str">
        <f>LEFT(M3409,10)</f>
        <v>12/15/2024</v>
      </c>
      <c r="E3409" t="s">
        <v>202</v>
      </c>
      <c r="F3409" t="s">
        <v>218</v>
      </c>
      <c r="G3409" t="s">
        <v>245</v>
      </c>
      <c r="I3409">
        <v>152</v>
      </c>
      <c r="J3409">
        <v>380</v>
      </c>
      <c r="K3409">
        <v>2.5</v>
      </c>
      <c r="M3409" t="s">
        <v>205</v>
      </c>
    </row>
    <row r="3410" spans="1:13" hidden="1">
      <c r="A3410" t="s">
        <v>70</v>
      </c>
      <c r="B3410" t="s">
        <v>8</v>
      </c>
      <c r="C3410" t="s">
        <v>69</v>
      </c>
      <c r="D3410" t="str">
        <f>LEFT(M3410,10)</f>
        <v>12/15/2024</v>
      </c>
      <c r="E3410" t="s">
        <v>202</v>
      </c>
      <c r="F3410" t="s">
        <v>218</v>
      </c>
      <c r="G3410" t="s">
        <v>224</v>
      </c>
      <c r="I3410">
        <v>381.5</v>
      </c>
      <c r="J3410">
        <v>419.65</v>
      </c>
      <c r="K3410">
        <v>1.1000000000000001</v>
      </c>
      <c r="M3410" t="s">
        <v>205</v>
      </c>
    </row>
    <row r="3411" spans="1:13" hidden="1">
      <c r="A3411" t="s">
        <v>70</v>
      </c>
      <c r="B3411" t="s">
        <v>8</v>
      </c>
      <c r="C3411" t="s">
        <v>69</v>
      </c>
      <c r="D3411" t="str">
        <f>LEFT(M3411,10)</f>
        <v>12/15/2024</v>
      </c>
      <c r="E3411" t="s">
        <v>202</v>
      </c>
      <c r="F3411" t="s">
        <v>218</v>
      </c>
      <c r="G3411" t="s">
        <v>268</v>
      </c>
      <c r="I3411">
        <v>288.5</v>
      </c>
      <c r="J3411">
        <v>230.8</v>
      </c>
      <c r="K3411">
        <v>0.8</v>
      </c>
      <c r="M3411" t="s">
        <v>205</v>
      </c>
    </row>
    <row r="3412" spans="1:13" hidden="1">
      <c r="A3412" t="s">
        <v>70</v>
      </c>
      <c r="B3412" t="s">
        <v>8</v>
      </c>
      <c r="C3412" t="s">
        <v>69</v>
      </c>
      <c r="D3412" t="str">
        <f>LEFT(M3412,10)</f>
        <v>12/15/2024</v>
      </c>
      <c r="E3412" t="s">
        <v>202</v>
      </c>
      <c r="F3412" t="s">
        <v>218</v>
      </c>
      <c r="G3412" t="s">
        <v>222</v>
      </c>
      <c r="I3412">
        <v>83.5</v>
      </c>
      <c r="J3412">
        <v>167</v>
      </c>
      <c r="K3412">
        <v>2</v>
      </c>
      <c r="M3412" t="s">
        <v>205</v>
      </c>
    </row>
    <row r="3413" spans="1:13" hidden="1">
      <c r="A3413" t="s">
        <v>70</v>
      </c>
      <c r="B3413" t="s">
        <v>8</v>
      </c>
      <c r="C3413" t="s">
        <v>69</v>
      </c>
      <c r="D3413" t="str">
        <f>LEFT(M3413,10)</f>
        <v>12/15/2024</v>
      </c>
      <c r="E3413" t="s">
        <v>202</v>
      </c>
      <c r="F3413" t="s">
        <v>218</v>
      </c>
      <c r="G3413" t="s">
        <v>242</v>
      </c>
      <c r="I3413">
        <v>143.5</v>
      </c>
      <c r="J3413">
        <v>157.85</v>
      </c>
      <c r="K3413">
        <v>1.1000000000000001</v>
      </c>
      <c r="M3413" t="s">
        <v>205</v>
      </c>
    </row>
    <row r="3414" spans="1:13" hidden="1">
      <c r="A3414" t="s">
        <v>70</v>
      </c>
      <c r="B3414" t="s">
        <v>8</v>
      </c>
      <c r="C3414" t="s">
        <v>69</v>
      </c>
      <c r="D3414" t="str">
        <f>LEFT(M3414,10)</f>
        <v>12/15/2024</v>
      </c>
      <c r="E3414" t="s">
        <v>202</v>
      </c>
      <c r="F3414" t="s">
        <v>218</v>
      </c>
      <c r="G3414" t="s">
        <v>219</v>
      </c>
      <c r="I3414">
        <v>115.5</v>
      </c>
      <c r="J3414">
        <v>28.88</v>
      </c>
      <c r="K3414">
        <v>0.25</v>
      </c>
      <c r="M3414" t="s">
        <v>205</v>
      </c>
    </row>
    <row r="3415" spans="1:13" hidden="1">
      <c r="A3415" t="s">
        <v>70</v>
      </c>
      <c r="B3415" t="s">
        <v>8</v>
      </c>
      <c r="C3415" t="s">
        <v>69</v>
      </c>
      <c r="D3415" t="str">
        <f>LEFT(M3415,10)</f>
        <v>12/15/2024</v>
      </c>
      <c r="E3415" t="s">
        <v>202</v>
      </c>
      <c r="F3415" t="s">
        <v>218</v>
      </c>
      <c r="G3415" t="s">
        <v>222</v>
      </c>
      <c r="I3415">
        <v>612.5</v>
      </c>
      <c r="J3415">
        <v>980</v>
      </c>
      <c r="K3415">
        <v>1.6</v>
      </c>
      <c r="M3415" t="s">
        <v>205</v>
      </c>
    </row>
    <row r="3416" spans="1:13" hidden="1">
      <c r="A3416" t="s">
        <v>70</v>
      </c>
      <c r="B3416" t="s">
        <v>8</v>
      </c>
      <c r="C3416" t="s">
        <v>69</v>
      </c>
      <c r="D3416" t="str">
        <f>LEFT(M3416,10)</f>
        <v>12/15/2024</v>
      </c>
      <c r="E3416" t="s">
        <v>202</v>
      </c>
      <c r="F3416" t="s">
        <v>218</v>
      </c>
      <c r="G3416" t="s">
        <v>267</v>
      </c>
      <c r="I3416">
        <v>123.5</v>
      </c>
      <c r="J3416">
        <v>191.42</v>
      </c>
      <c r="K3416">
        <v>1.55</v>
      </c>
      <c r="M3416" t="s">
        <v>205</v>
      </c>
    </row>
    <row r="3417" spans="1:13" hidden="1">
      <c r="A3417" t="s">
        <v>70</v>
      </c>
      <c r="B3417" t="s">
        <v>8</v>
      </c>
      <c r="C3417" t="s">
        <v>69</v>
      </c>
      <c r="D3417" t="str">
        <f>LEFT(M3417,10)</f>
        <v>12/15/2024</v>
      </c>
      <c r="E3417" t="s">
        <v>202</v>
      </c>
      <c r="F3417" t="s">
        <v>216</v>
      </c>
      <c r="G3417" t="s">
        <v>253</v>
      </c>
      <c r="I3417">
        <v>3802.5</v>
      </c>
      <c r="J3417">
        <v>570.38</v>
      </c>
      <c r="K3417">
        <v>0.15</v>
      </c>
      <c r="M3417" t="s">
        <v>205</v>
      </c>
    </row>
    <row r="3418" spans="1:13" hidden="1">
      <c r="A3418" t="s">
        <v>70</v>
      </c>
      <c r="B3418" t="s">
        <v>8</v>
      </c>
      <c r="C3418" t="s">
        <v>69</v>
      </c>
      <c r="D3418" t="str">
        <f>LEFT(M3418,10)</f>
        <v>12/15/2024</v>
      </c>
      <c r="E3418" t="s">
        <v>202</v>
      </c>
      <c r="F3418" t="s">
        <v>203</v>
      </c>
      <c r="G3418" t="s">
        <v>204</v>
      </c>
      <c r="I3418">
        <v>338</v>
      </c>
      <c r="J3418">
        <v>2366</v>
      </c>
      <c r="K3418">
        <v>7</v>
      </c>
      <c r="M3418" t="s">
        <v>205</v>
      </c>
    </row>
    <row r="3419" spans="1:13" hidden="1">
      <c r="A3419" t="s">
        <v>70</v>
      </c>
      <c r="B3419" t="s">
        <v>8</v>
      </c>
      <c r="C3419" t="s">
        <v>69</v>
      </c>
      <c r="D3419" t="str">
        <f>LEFT(M3419,10)</f>
        <v>12/15/2024</v>
      </c>
      <c r="E3419" t="s">
        <v>202</v>
      </c>
      <c r="F3419" t="s">
        <v>209</v>
      </c>
      <c r="G3419" t="s">
        <v>341</v>
      </c>
      <c r="I3419">
        <v>4</v>
      </c>
      <c r="J3419">
        <v>100</v>
      </c>
      <c r="K3419">
        <v>25</v>
      </c>
      <c r="M3419" t="s">
        <v>205</v>
      </c>
    </row>
    <row r="3420" spans="1:13" hidden="1">
      <c r="A3420" t="s">
        <v>70</v>
      </c>
      <c r="B3420" t="s">
        <v>8</v>
      </c>
      <c r="C3420" t="s">
        <v>69</v>
      </c>
      <c r="D3420" t="str">
        <f>LEFT(M3420,10)</f>
        <v>12/15/2024</v>
      </c>
      <c r="E3420" t="s">
        <v>202</v>
      </c>
      <c r="F3420" t="s">
        <v>203</v>
      </c>
      <c r="G3420" t="s">
        <v>206</v>
      </c>
      <c r="I3420">
        <v>11</v>
      </c>
      <c r="J3420">
        <v>25.3</v>
      </c>
      <c r="K3420">
        <v>2.2999999999999998</v>
      </c>
      <c r="M3420" t="s">
        <v>205</v>
      </c>
    </row>
    <row r="3421" spans="1:13" hidden="1">
      <c r="A3421" t="s">
        <v>70</v>
      </c>
      <c r="B3421" t="s">
        <v>8</v>
      </c>
      <c r="C3421" t="s">
        <v>69</v>
      </c>
      <c r="D3421" t="str">
        <f>LEFT(M3421,10)</f>
        <v>12/15/2024</v>
      </c>
      <c r="E3421" t="s">
        <v>202</v>
      </c>
      <c r="F3421" t="s">
        <v>209</v>
      </c>
      <c r="G3421" t="s">
        <v>310</v>
      </c>
      <c r="I3421">
        <v>10</v>
      </c>
      <c r="J3421">
        <v>15</v>
      </c>
      <c r="K3421">
        <v>1.5</v>
      </c>
      <c r="M3421" t="s">
        <v>205</v>
      </c>
    </row>
    <row r="3422" spans="1:13" hidden="1">
      <c r="A3422" t="s">
        <v>70</v>
      </c>
      <c r="B3422" t="s">
        <v>8</v>
      </c>
      <c r="C3422" t="s">
        <v>69</v>
      </c>
      <c r="D3422" t="str">
        <f>LEFT(M3422,10)</f>
        <v>12/15/2024</v>
      </c>
      <c r="E3422" t="s">
        <v>202</v>
      </c>
      <c r="F3422" t="s">
        <v>218</v>
      </c>
      <c r="G3422" t="s">
        <v>243</v>
      </c>
      <c r="H3422" t="s">
        <v>392</v>
      </c>
      <c r="I3422">
        <v>50</v>
      </c>
      <c r="J3422">
        <v>80</v>
      </c>
      <c r="K3422">
        <v>1.6</v>
      </c>
      <c r="M3422" t="s">
        <v>205</v>
      </c>
    </row>
    <row r="3423" spans="1:13" hidden="1">
      <c r="A3423" t="s">
        <v>70</v>
      </c>
      <c r="B3423" t="s">
        <v>8</v>
      </c>
      <c r="C3423" t="s">
        <v>69</v>
      </c>
      <c r="D3423" t="str">
        <f>LEFT(M3423,10)</f>
        <v>12/15/2024</v>
      </c>
      <c r="E3423" t="s">
        <v>202</v>
      </c>
      <c r="F3423" t="s">
        <v>203</v>
      </c>
      <c r="G3423" t="s">
        <v>207</v>
      </c>
      <c r="I3423">
        <v>22.5</v>
      </c>
      <c r="J3423">
        <v>56.25</v>
      </c>
      <c r="K3423">
        <v>2.5</v>
      </c>
      <c r="M3423" t="s">
        <v>205</v>
      </c>
    </row>
    <row r="3424" spans="1:13" hidden="1">
      <c r="A3424" t="s">
        <v>70</v>
      </c>
      <c r="B3424" t="s">
        <v>8</v>
      </c>
      <c r="C3424" t="s">
        <v>69</v>
      </c>
      <c r="D3424" t="str">
        <f>LEFT(M3424,10)</f>
        <v>12/15/2024</v>
      </c>
      <c r="E3424" t="s">
        <v>202</v>
      </c>
      <c r="F3424" t="s">
        <v>209</v>
      </c>
      <c r="G3424" t="s">
        <v>212</v>
      </c>
      <c r="I3424">
        <v>1</v>
      </c>
      <c r="J3424">
        <v>7</v>
      </c>
      <c r="K3424">
        <v>7</v>
      </c>
      <c r="M3424" t="s">
        <v>205</v>
      </c>
    </row>
    <row r="3425" spans="1:13" hidden="1">
      <c r="A3425" t="s">
        <v>70</v>
      </c>
      <c r="B3425" t="s">
        <v>8</v>
      </c>
      <c r="C3425" t="s">
        <v>69</v>
      </c>
      <c r="D3425" t="str">
        <f>LEFT(M3425,10)</f>
        <v>12/15/2024</v>
      </c>
      <c r="E3425" t="s">
        <v>202</v>
      </c>
      <c r="F3425" t="s">
        <v>203</v>
      </c>
      <c r="G3425" t="s">
        <v>259</v>
      </c>
      <c r="I3425">
        <v>8.5</v>
      </c>
      <c r="J3425">
        <v>131.75</v>
      </c>
      <c r="K3425">
        <v>15.5</v>
      </c>
      <c r="M3425" t="s">
        <v>205</v>
      </c>
    </row>
    <row r="3426" spans="1:13" hidden="1">
      <c r="A3426" t="s">
        <v>70</v>
      </c>
      <c r="B3426" t="s">
        <v>8</v>
      </c>
      <c r="C3426" t="s">
        <v>69</v>
      </c>
      <c r="D3426" t="str">
        <f>LEFT(M3426,10)</f>
        <v>12/15/2024</v>
      </c>
      <c r="E3426" t="s">
        <v>202</v>
      </c>
      <c r="F3426" t="s">
        <v>203</v>
      </c>
      <c r="G3426" t="s">
        <v>260</v>
      </c>
      <c r="I3426">
        <v>28.5</v>
      </c>
      <c r="J3426">
        <v>798</v>
      </c>
      <c r="K3426">
        <v>28</v>
      </c>
      <c r="M3426" t="s">
        <v>205</v>
      </c>
    </row>
    <row r="3427" spans="1:13" hidden="1">
      <c r="A3427" t="s">
        <v>70</v>
      </c>
      <c r="B3427" t="s">
        <v>8</v>
      </c>
      <c r="C3427" t="s">
        <v>69</v>
      </c>
      <c r="D3427" t="str">
        <f>LEFT(M3427,10)</f>
        <v>12/15/2024</v>
      </c>
      <c r="E3427" t="s">
        <v>202</v>
      </c>
      <c r="F3427" t="s">
        <v>203</v>
      </c>
      <c r="G3427" t="s">
        <v>235</v>
      </c>
      <c r="I3427">
        <v>40</v>
      </c>
      <c r="J3427">
        <v>120</v>
      </c>
      <c r="K3427">
        <v>3</v>
      </c>
      <c r="M3427" t="s">
        <v>205</v>
      </c>
    </row>
    <row r="3428" spans="1:13" hidden="1">
      <c r="A3428" t="s">
        <v>70</v>
      </c>
      <c r="B3428" t="s">
        <v>8</v>
      </c>
      <c r="C3428" t="s">
        <v>69</v>
      </c>
      <c r="D3428" t="str">
        <f>LEFT(M3428,10)</f>
        <v>12/15/2024</v>
      </c>
      <c r="E3428" t="s">
        <v>202</v>
      </c>
      <c r="F3428" t="s">
        <v>203</v>
      </c>
      <c r="G3428" t="s">
        <v>208</v>
      </c>
      <c r="I3428">
        <v>44</v>
      </c>
      <c r="J3428">
        <v>264</v>
      </c>
      <c r="K3428">
        <v>6</v>
      </c>
      <c r="M3428" t="s">
        <v>205</v>
      </c>
    </row>
    <row r="3429" spans="1:13" hidden="1">
      <c r="A3429" t="s">
        <v>70</v>
      </c>
      <c r="B3429" t="s">
        <v>8</v>
      </c>
      <c r="C3429" t="s">
        <v>69</v>
      </c>
      <c r="D3429" t="str">
        <f>LEFT(M3429,10)</f>
        <v>12/15/2024</v>
      </c>
      <c r="E3429" t="s">
        <v>202</v>
      </c>
      <c r="F3429" t="s">
        <v>203</v>
      </c>
      <c r="G3429" t="s">
        <v>259</v>
      </c>
      <c r="I3429">
        <v>48.5</v>
      </c>
      <c r="J3429">
        <v>121.25</v>
      </c>
      <c r="K3429">
        <v>2.5</v>
      </c>
      <c r="M3429" t="s">
        <v>205</v>
      </c>
    </row>
    <row r="3430" spans="1:13" hidden="1">
      <c r="A3430" t="s">
        <v>70</v>
      </c>
      <c r="B3430" t="s">
        <v>8</v>
      </c>
      <c r="C3430" t="s">
        <v>69</v>
      </c>
      <c r="D3430" t="str">
        <f>LEFT(M3430,10)</f>
        <v>12/15/2024</v>
      </c>
      <c r="E3430" t="s">
        <v>202</v>
      </c>
      <c r="F3430" t="s">
        <v>216</v>
      </c>
      <c r="G3430" t="s">
        <v>217</v>
      </c>
      <c r="I3430">
        <v>80</v>
      </c>
      <c r="J3430">
        <v>11.2</v>
      </c>
      <c r="K3430">
        <v>0.14000000000000001</v>
      </c>
      <c r="M3430" t="s">
        <v>205</v>
      </c>
    </row>
    <row r="3431" spans="1:13" hidden="1">
      <c r="A3431" t="s">
        <v>70</v>
      </c>
      <c r="B3431" t="s">
        <v>8</v>
      </c>
      <c r="C3431" t="s">
        <v>69</v>
      </c>
      <c r="D3431" t="str">
        <f>LEFT(M3431,10)</f>
        <v>12/15/2024</v>
      </c>
      <c r="E3431" t="s">
        <v>202</v>
      </c>
      <c r="F3431" t="s">
        <v>216</v>
      </c>
      <c r="G3431" t="s">
        <v>217</v>
      </c>
      <c r="I3431">
        <v>45</v>
      </c>
      <c r="J3431">
        <v>6.3</v>
      </c>
      <c r="K3431">
        <v>0.14000000000000001</v>
      </c>
      <c r="M3431" t="s">
        <v>205</v>
      </c>
    </row>
    <row r="3432" spans="1:13" hidden="1">
      <c r="A3432" t="s">
        <v>70</v>
      </c>
      <c r="B3432" t="s">
        <v>8</v>
      </c>
      <c r="C3432" t="s">
        <v>69</v>
      </c>
      <c r="D3432" t="str">
        <f>LEFT(M3432,10)</f>
        <v>12/15/2024</v>
      </c>
      <c r="E3432" t="s">
        <v>202</v>
      </c>
      <c r="F3432" t="s">
        <v>216</v>
      </c>
      <c r="G3432" t="s">
        <v>217</v>
      </c>
      <c r="I3432">
        <v>34</v>
      </c>
      <c r="J3432">
        <v>4.76</v>
      </c>
      <c r="K3432">
        <v>0.14000000000000001</v>
      </c>
      <c r="M3432" t="s">
        <v>205</v>
      </c>
    </row>
    <row r="3433" spans="1:13" hidden="1">
      <c r="A3433" t="s">
        <v>70</v>
      </c>
      <c r="B3433" t="s">
        <v>8</v>
      </c>
      <c r="C3433" t="s">
        <v>69</v>
      </c>
      <c r="D3433" t="str">
        <f>LEFT(M3433,10)</f>
        <v>12/15/2024</v>
      </c>
      <c r="E3433" t="s">
        <v>202</v>
      </c>
      <c r="F3433" t="s">
        <v>216</v>
      </c>
      <c r="G3433" t="s">
        <v>217</v>
      </c>
      <c r="I3433">
        <v>800</v>
      </c>
      <c r="J3433">
        <v>216</v>
      </c>
      <c r="K3433">
        <v>0.27</v>
      </c>
      <c r="M3433" t="s">
        <v>205</v>
      </c>
    </row>
    <row r="3434" spans="1:13" hidden="1">
      <c r="A3434" t="s">
        <v>70</v>
      </c>
      <c r="B3434" t="s">
        <v>8</v>
      </c>
      <c r="C3434" t="s">
        <v>69</v>
      </c>
      <c r="D3434" t="str">
        <f>LEFT(M3434,10)</f>
        <v>12/15/2024</v>
      </c>
      <c r="E3434" t="s">
        <v>202</v>
      </c>
      <c r="F3434" t="s">
        <v>216</v>
      </c>
      <c r="G3434" t="s">
        <v>217</v>
      </c>
      <c r="I3434">
        <v>120</v>
      </c>
      <c r="J3434">
        <v>30</v>
      </c>
      <c r="K3434">
        <v>0.25</v>
      </c>
      <c r="M3434" t="s">
        <v>205</v>
      </c>
    </row>
    <row r="3435" spans="1:13" hidden="1">
      <c r="A3435" t="s">
        <v>70</v>
      </c>
      <c r="B3435" t="s">
        <v>8</v>
      </c>
      <c r="C3435" t="s">
        <v>69</v>
      </c>
      <c r="D3435" t="str">
        <f>LEFT(M3435,10)</f>
        <v>12/15/2024</v>
      </c>
      <c r="E3435" t="s">
        <v>202</v>
      </c>
      <c r="F3435" t="s">
        <v>216</v>
      </c>
      <c r="G3435" t="s">
        <v>217</v>
      </c>
      <c r="I3435">
        <v>60</v>
      </c>
      <c r="J3435">
        <v>9</v>
      </c>
      <c r="K3435">
        <v>0.15</v>
      </c>
      <c r="M3435" t="s">
        <v>205</v>
      </c>
    </row>
    <row r="3436" spans="1:13" hidden="1">
      <c r="A3436" t="s">
        <v>70</v>
      </c>
      <c r="B3436" t="s">
        <v>8</v>
      </c>
      <c r="C3436" t="s">
        <v>69</v>
      </c>
      <c r="D3436" t="str">
        <f>LEFT(M3436,10)</f>
        <v>12/15/2024</v>
      </c>
      <c r="E3436" t="s">
        <v>202</v>
      </c>
      <c r="F3436" t="s">
        <v>216</v>
      </c>
      <c r="G3436" t="s">
        <v>217</v>
      </c>
      <c r="I3436">
        <v>180</v>
      </c>
      <c r="J3436">
        <v>45</v>
      </c>
      <c r="K3436">
        <v>0.25</v>
      </c>
      <c r="M3436" t="s">
        <v>205</v>
      </c>
    </row>
    <row r="3437" spans="1:13" hidden="1">
      <c r="A3437" t="s">
        <v>70</v>
      </c>
      <c r="B3437" t="s">
        <v>8</v>
      </c>
      <c r="C3437" t="s">
        <v>69</v>
      </c>
      <c r="D3437" t="str">
        <f>LEFT(M3437,10)</f>
        <v>12/15/2024</v>
      </c>
      <c r="E3437" t="s">
        <v>202</v>
      </c>
      <c r="F3437" t="s">
        <v>216</v>
      </c>
      <c r="G3437" t="s">
        <v>217</v>
      </c>
      <c r="I3437">
        <v>140</v>
      </c>
      <c r="J3437">
        <v>35</v>
      </c>
      <c r="K3437">
        <v>0.25</v>
      </c>
      <c r="M3437" t="s">
        <v>205</v>
      </c>
    </row>
    <row r="3438" spans="1:13" hidden="1">
      <c r="A3438" t="s">
        <v>70</v>
      </c>
      <c r="B3438" t="s">
        <v>8</v>
      </c>
      <c r="C3438" t="s">
        <v>69</v>
      </c>
      <c r="D3438" t="str">
        <f>LEFT(M3438,10)</f>
        <v>12/15/2024</v>
      </c>
      <c r="E3438" t="s">
        <v>202</v>
      </c>
      <c r="F3438" t="s">
        <v>216</v>
      </c>
      <c r="G3438" t="s">
        <v>217</v>
      </c>
      <c r="I3438">
        <v>150</v>
      </c>
      <c r="J3438">
        <v>22.5</v>
      </c>
      <c r="K3438">
        <v>0.15</v>
      </c>
      <c r="M3438" t="s">
        <v>205</v>
      </c>
    </row>
    <row r="3439" spans="1:13" hidden="1">
      <c r="A3439" t="s">
        <v>70</v>
      </c>
      <c r="B3439" t="s">
        <v>8</v>
      </c>
      <c r="C3439" t="s">
        <v>69</v>
      </c>
      <c r="D3439" t="str">
        <f>LEFT(M3439,10)</f>
        <v>12/15/2024</v>
      </c>
      <c r="E3439" t="s">
        <v>202</v>
      </c>
      <c r="F3439" t="s">
        <v>216</v>
      </c>
      <c r="G3439" t="s">
        <v>217</v>
      </c>
      <c r="I3439">
        <v>10</v>
      </c>
      <c r="J3439">
        <v>22</v>
      </c>
      <c r="K3439">
        <v>2.2000000000000002</v>
      </c>
      <c r="M3439" t="s">
        <v>205</v>
      </c>
    </row>
    <row r="3440" spans="1:13" hidden="1">
      <c r="A3440" t="s">
        <v>70</v>
      </c>
      <c r="B3440" t="s">
        <v>8</v>
      </c>
      <c r="C3440" t="s">
        <v>69</v>
      </c>
      <c r="D3440" t="str">
        <f>LEFT(M3440,10)</f>
        <v>12/15/2024</v>
      </c>
      <c r="E3440" t="s">
        <v>202</v>
      </c>
      <c r="F3440" t="s">
        <v>216</v>
      </c>
      <c r="G3440" t="s">
        <v>217</v>
      </c>
      <c r="I3440">
        <v>3</v>
      </c>
      <c r="J3440">
        <v>1.2</v>
      </c>
      <c r="K3440">
        <v>0.4</v>
      </c>
      <c r="M3440" t="s">
        <v>205</v>
      </c>
    </row>
    <row r="3441" spans="1:13" hidden="1">
      <c r="A3441" t="s">
        <v>70</v>
      </c>
      <c r="B3441" t="s">
        <v>8</v>
      </c>
      <c r="C3441" t="s">
        <v>69</v>
      </c>
      <c r="D3441" t="str">
        <f>LEFT(M3441,10)</f>
        <v>12/15/2024</v>
      </c>
      <c r="E3441" t="s">
        <v>202</v>
      </c>
      <c r="F3441" t="s">
        <v>216</v>
      </c>
      <c r="G3441" t="s">
        <v>217</v>
      </c>
      <c r="I3441">
        <v>8</v>
      </c>
      <c r="J3441">
        <v>19.2</v>
      </c>
      <c r="K3441">
        <v>2.4</v>
      </c>
      <c r="M3441" t="s">
        <v>205</v>
      </c>
    </row>
    <row r="3442" spans="1:13" hidden="1">
      <c r="A3442" t="s">
        <v>70</v>
      </c>
      <c r="B3442" t="s">
        <v>8</v>
      </c>
      <c r="C3442" t="s">
        <v>69</v>
      </c>
      <c r="D3442" t="str">
        <f>LEFT(M3442,10)</f>
        <v>12/15/2024</v>
      </c>
      <c r="E3442" t="s">
        <v>202</v>
      </c>
      <c r="F3442" t="s">
        <v>216</v>
      </c>
      <c r="G3442" t="s">
        <v>217</v>
      </c>
      <c r="I3442">
        <v>8</v>
      </c>
      <c r="J3442">
        <v>9.6</v>
      </c>
      <c r="K3442">
        <v>1.2</v>
      </c>
      <c r="M3442" t="s">
        <v>205</v>
      </c>
    </row>
    <row r="3443" spans="1:13" hidden="1">
      <c r="A3443" t="s">
        <v>70</v>
      </c>
      <c r="B3443" t="s">
        <v>8</v>
      </c>
      <c r="C3443" t="s">
        <v>69</v>
      </c>
      <c r="D3443" t="str">
        <f>LEFT(M3443,10)</f>
        <v>12/15/2024</v>
      </c>
      <c r="E3443" t="s">
        <v>202</v>
      </c>
      <c r="F3443" t="s">
        <v>216</v>
      </c>
      <c r="G3443" t="s">
        <v>217</v>
      </c>
      <c r="I3443">
        <v>30</v>
      </c>
      <c r="J3443">
        <v>16.5</v>
      </c>
      <c r="K3443">
        <v>0.55000000000000004</v>
      </c>
      <c r="M3443" t="s">
        <v>205</v>
      </c>
    </row>
    <row r="3444" spans="1:13" hidden="1">
      <c r="A3444" t="s">
        <v>70</v>
      </c>
      <c r="B3444" t="s">
        <v>8</v>
      </c>
      <c r="C3444" t="s">
        <v>69</v>
      </c>
      <c r="D3444" t="str">
        <f>LEFT(M3444,10)</f>
        <v>12/15/2024</v>
      </c>
      <c r="E3444" t="s">
        <v>202</v>
      </c>
      <c r="F3444" t="s">
        <v>216</v>
      </c>
      <c r="G3444" t="s">
        <v>217</v>
      </c>
      <c r="I3444">
        <v>90</v>
      </c>
      <c r="J3444">
        <v>58.5</v>
      </c>
      <c r="K3444">
        <v>0.65</v>
      </c>
      <c r="M3444" t="s">
        <v>205</v>
      </c>
    </row>
    <row r="3445" spans="1:13" hidden="1">
      <c r="A3445" t="s">
        <v>70</v>
      </c>
      <c r="B3445" t="s">
        <v>8</v>
      </c>
      <c r="C3445" t="s">
        <v>69</v>
      </c>
      <c r="D3445" t="str">
        <f>LEFT(M3445,10)</f>
        <v>12/15/2024</v>
      </c>
      <c r="E3445" t="s">
        <v>202</v>
      </c>
      <c r="F3445" t="s">
        <v>216</v>
      </c>
      <c r="G3445" t="s">
        <v>217</v>
      </c>
      <c r="I3445">
        <v>30</v>
      </c>
      <c r="J3445">
        <v>4.5</v>
      </c>
      <c r="K3445">
        <v>0.15</v>
      </c>
      <c r="M3445" t="s">
        <v>205</v>
      </c>
    </row>
    <row r="3446" spans="1:13" hidden="1">
      <c r="A3446" t="s">
        <v>70</v>
      </c>
      <c r="B3446" t="s">
        <v>8</v>
      </c>
      <c r="C3446" t="s">
        <v>69</v>
      </c>
      <c r="D3446" t="str">
        <f>LEFT(M3446,10)</f>
        <v>12/15/2024</v>
      </c>
      <c r="E3446" t="s">
        <v>202</v>
      </c>
      <c r="F3446" t="s">
        <v>216</v>
      </c>
      <c r="G3446" t="s">
        <v>217</v>
      </c>
      <c r="I3446">
        <v>30</v>
      </c>
      <c r="J3446">
        <v>4.5</v>
      </c>
      <c r="K3446">
        <v>0.15</v>
      </c>
      <c r="M3446" t="s">
        <v>205</v>
      </c>
    </row>
    <row r="3447" spans="1:13" hidden="1">
      <c r="A3447" t="s">
        <v>70</v>
      </c>
      <c r="B3447" t="s">
        <v>8</v>
      </c>
      <c r="C3447" t="s">
        <v>69</v>
      </c>
      <c r="D3447" t="str">
        <f>LEFT(M3447,10)</f>
        <v>12/15/2024</v>
      </c>
      <c r="E3447" t="s">
        <v>202</v>
      </c>
      <c r="F3447" t="s">
        <v>216</v>
      </c>
      <c r="G3447" t="s">
        <v>217</v>
      </c>
      <c r="I3447">
        <v>180</v>
      </c>
      <c r="J3447">
        <v>90</v>
      </c>
      <c r="K3447">
        <v>0.5</v>
      </c>
      <c r="M3447" t="s">
        <v>205</v>
      </c>
    </row>
    <row r="3448" spans="1:13" hidden="1">
      <c r="A3448" t="s">
        <v>70</v>
      </c>
      <c r="B3448" t="s">
        <v>8</v>
      </c>
      <c r="C3448" t="s">
        <v>69</v>
      </c>
      <c r="D3448" t="str">
        <f>LEFT(M3448,10)</f>
        <v>12/15/2024</v>
      </c>
      <c r="E3448" t="s">
        <v>202</v>
      </c>
      <c r="F3448" t="s">
        <v>203</v>
      </c>
      <c r="G3448" t="s">
        <v>236</v>
      </c>
      <c r="I3448">
        <v>4110</v>
      </c>
      <c r="J3448">
        <v>2055</v>
      </c>
      <c r="K3448">
        <v>0.5</v>
      </c>
      <c r="M3448" t="s">
        <v>205</v>
      </c>
    </row>
    <row r="3449" spans="1:13" hidden="1">
      <c r="A3449" t="s">
        <v>70</v>
      </c>
      <c r="B3449" t="s">
        <v>8</v>
      </c>
      <c r="C3449" t="s">
        <v>69</v>
      </c>
      <c r="D3449" t="str">
        <f>LEFT(M3449,10)</f>
        <v>12/15/2024</v>
      </c>
      <c r="E3449" t="s">
        <v>202</v>
      </c>
      <c r="F3449" t="s">
        <v>209</v>
      </c>
      <c r="G3449" t="s">
        <v>214</v>
      </c>
      <c r="I3449">
        <v>774.5</v>
      </c>
      <c r="J3449">
        <v>464.7</v>
      </c>
      <c r="K3449">
        <v>0.6</v>
      </c>
      <c r="M3449" t="s">
        <v>205</v>
      </c>
    </row>
    <row r="3450" spans="1:13" hidden="1">
      <c r="A3450" t="s">
        <v>70</v>
      </c>
      <c r="B3450" t="s">
        <v>8</v>
      </c>
      <c r="C3450" t="s">
        <v>69</v>
      </c>
      <c r="D3450" t="str">
        <f>LEFT(M3450,10)</f>
        <v>12/15/2024</v>
      </c>
      <c r="E3450" t="s">
        <v>230</v>
      </c>
      <c r="F3450" t="s">
        <v>248</v>
      </c>
      <c r="I3450">
        <v>0</v>
      </c>
      <c r="J3450">
        <v>14742</v>
      </c>
      <c r="M3450" t="s">
        <v>205</v>
      </c>
    </row>
    <row r="3451" spans="1:13" hidden="1">
      <c r="A3451" t="s">
        <v>70</v>
      </c>
      <c r="B3451" t="s">
        <v>8</v>
      </c>
      <c r="C3451" t="s">
        <v>69</v>
      </c>
      <c r="D3451" t="str">
        <f>LEFT(M3451,10)</f>
        <v>12/15/2024</v>
      </c>
      <c r="E3451" t="s">
        <v>232</v>
      </c>
      <c r="F3451" t="s">
        <v>287</v>
      </c>
      <c r="I3451">
        <v>0</v>
      </c>
      <c r="J3451">
        <v>2031.29</v>
      </c>
      <c r="M3451" t="s">
        <v>205</v>
      </c>
    </row>
    <row r="3452" spans="1:13" hidden="1">
      <c r="A3452" t="s">
        <v>70</v>
      </c>
      <c r="B3452" t="s">
        <v>8</v>
      </c>
      <c r="C3452" t="s">
        <v>69</v>
      </c>
      <c r="D3452" t="str">
        <f>LEFT(M3452,10)</f>
        <v>12/15/2024</v>
      </c>
      <c r="E3452" t="s">
        <v>232</v>
      </c>
      <c r="F3452" t="s">
        <v>251</v>
      </c>
      <c r="I3452">
        <v>0</v>
      </c>
      <c r="J3452">
        <v>313</v>
      </c>
      <c r="M3452" t="s">
        <v>205</v>
      </c>
    </row>
    <row r="3453" spans="1:13" hidden="1">
      <c r="A3453" t="s">
        <v>70</v>
      </c>
      <c r="B3453" t="s">
        <v>8</v>
      </c>
      <c r="C3453" t="s">
        <v>69</v>
      </c>
      <c r="D3453" t="str">
        <f>LEFT(M3453,10)</f>
        <v>12/15/2024</v>
      </c>
      <c r="E3453" t="s">
        <v>232</v>
      </c>
      <c r="F3453" t="s">
        <v>251</v>
      </c>
      <c r="I3453">
        <v>0</v>
      </c>
      <c r="J3453">
        <v>1504.43</v>
      </c>
      <c r="M3453" t="s">
        <v>205</v>
      </c>
    </row>
    <row r="3454" spans="1:13" hidden="1">
      <c r="A3454" t="s">
        <v>70</v>
      </c>
      <c r="B3454" t="s">
        <v>8</v>
      </c>
      <c r="C3454" t="s">
        <v>69</v>
      </c>
      <c r="D3454" t="str">
        <f>LEFT(M3454,10)</f>
        <v>12/15/2024</v>
      </c>
      <c r="E3454" t="s">
        <v>232</v>
      </c>
      <c r="F3454" t="s">
        <v>255</v>
      </c>
      <c r="I3454">
        <v>0</v>
      </c>
      <c r="J3454">
        <v>66</v>
      </c>
      <c r="L3454" t="s">
        <v>497</v>
      </c>
      <c r="M3454" t="s">
        <v>205</v>
      </c>
    </row>
    <row r="3455" spans="1:13" hidden="1">
      <c r="A3455" t="s">
        <v>70</v>
      </c>
      <c r="B3455" t="s">
        <v>8</v>
      </c>
      <c r="C3455" t="s">
        <v>69</v>
      </c>
      <c r="D3455" t="str">
        <f>LEFT(M3455,10)</f>
        <v>12/15/2024</v>
      </c>
      <c r="E3455" t="s">
        <v>232</v>
      </c>
      <c r="F3455" t="s">
        <v>254</v>
      </c>
      <c r="I3455">
        <v>0</v>
      </c>
      <c r="J3455">
        <v>2000</v>
      </c>
      <c r="M3455" t="s">
        <v>205</v>
      </c>
    </row>
    <row r="3456" spans="1:13" hidden="1">
      <c r="A3456" t="s">
        <v>70</v>
      </c>
      <c r="B3456" t="s">
        <v>8</v>
      </c>
      <c r="C3456" t="s">
        <v>69</v>
      </c>
      <c r="D3456" t="str">
        <f>LEFT(M3456,10)</f>
        <v>12/15/2024</v>
      </c>
      <c r="E3456" t="s">
        <v>232</v>
      </c>
      <c r="F3456" t="s">
        <v>255</v>
      </c>
      <c r="I3456">
        <v>0</v>
      </c>
      <c r="J3456">
        <v>800</v>
      </c>
      <c r="L3456" t="s">
        <v>277</v>
      </c>
      <c r="M3456" t="s">
        <v>205</v>
      </c>
    </row>
    <row r="3457" spans="1:13" hidden="1">
      <c r="A3457" t="s">
        <v>70</v>
      </c>
      <c r="B3457" t="s">
        <v>8</v>
      </c>
      <c r="C3457" t="s">
        <v>69</v>
      </c>
      <c r="D3457" t="str">
        <f>LEFT(M3457,10)</f>
        <v>12/15/2024</v>
      </c>
      <c r="E3457" t="s">
        <v>232</v>
      </c>
      <c r="F3457" t="s">
        <v>296</v>
      </c>
      <c r="I3457">
        <v>0</v>
      </c>
      <c r="J3457">
        <v>660</v>
      </c>
      <c r="M3457" t="s">
        <v>205</v>
      </c>
    </row>
    <row r="3458" spans="1:13" hidden="1">
      <c r="A3458" t="s">
        <v>70</v>
      </c>
      <c r="B3458" t="s">
        <v>8</v>
      </c>
      <c r="C3458" t="s">
        <v>69</v>
      </c>
      <c r="D3458" t="str">
        <f>LEFT(M3458,10)</f>
        <v>12/15/2024</v>
      </c>
      <c r="E3458" t="s">
        <v>232</v>
      </c>
      <c r="F3458" t="s">
        <v>272</v>
      </c>
      <c r="I3458">
        <v>0</v>
      </c>
      <c r="J3458">
        <v>1200</v>
      </c>
      <c r="M3458" t="s">
        <v>205</v>
      </c>
    </row>
    <row r="3459" spans="1:13" hidden="1">
      <c r="A3459" t="s">
        <v>70</v>
      </c>
      <c r="B3459" t="s">
        <v>8</v>
      </c>
      <c r="C3459" t="s">
        <v>69</v>
      </c>
      <c r="D3459" t="str">
        <f>LEFT(M3459,10)</f>
        <v>12/15/2024</v>
      </c>
      <c r="E3459" t="s">
        <v>234</v>
      </c>
      <c r="F3459" t="s">
        <v>234</v>
      </c>
      <c r="I3459">
        <v>7595</v>
      </c>
      <c r="M3459" t="s">
        <v>205</v>
      </c>
    </row>
    <row r="3460" spans="1:13" hidden="1">
      <c r="A3460" t="s">
        <v>140</v>
      </c>
      <c r="B3460" t="s">
        <v>8</v>
      </c>
      <c r="C3460" t="s">
        <v>139</v>
      </c>
      <c r="D3460" t="str">
        <f>LEFT(M3460,10)</f>
        <v>12/15/2024</v>
      </c>
      <c r="E3460" t="s">
        <v>202</v>
      </c>
      <c r="F3460" t="s">
        <v>227</v>
      </c>
      <c r="G3460" t="s">
        <v>237</v>
      </c>
      <c r="I3460">
        <v>437.2</v>
      </c>
      <c r="J3460">
        <v>262.32</v>
      </c>
      <c r="K3460">
        <v>0.6</v>
      </c>
      <c r="M3460" t="s">
        <v>205</v>
      </c>
    </row>
    <row r="3461" spans="1:13" hidden="1">
      <c r="A3461" t="s">
        <v>140</v>
      </c>
      <c r="B3461" t="s">
        <v>8</v>
      </c>
      <c r="C3461" t="s">
        <v>139</v>
      </c>
      <c r="D3461" t="str">
        <f>LEFT(M3461,10)</f>
        <v>12/15/2024</v>
      </c>
      <c r="E3461" t="s">
        <v>202</v>
      </c>
      <c r="F3461" t="s">
        <v>227</v>
      </c>
      <c r="G3461" t="s">
        <v>228</v>
      </c>
      <c r="I3461">
        <v>1702.3</v>
      </c>
      <c r="J3461">
        <v>510.69</v>
      </c>
      <c r="K3461">
        <v>0.3</v>
      </c>
      <c r="M3461" t="s">
        <v>205</v>
      </c>
    </row>
    <row r="3462" spans="1:13" hidden="1">
      <c r="A3462" t="s">
        <v>140</v>
      </c>
      <c r="B3462" t="s">
        <v>8</v>
      </c>
      <c r="C3462" t="s">
        <v>139</v>
      </c>
      <c r="D3462" t="str">
        <f>LEFT(M3462,10)</f>
        <v>12/15/2024</v>
      </c>
      <c r="E3462" t="s">
        <v>202</v>
      </c>
      <c r="F3462" t="s">
        <v>227</v>
      </c>
      <c r="G3462" t="s">
        <v>229</v>
      </c>
      <c r="I3462">
        <v>2675.3</v>
      </c>
      <c r="J3462">
        <v>1952.96</v>
      </c>
      <c r="K3462">
        <v>0.73</v>
      </c>
      <c r="M3462" t="s">
        <v>205</v>
      </c>
    </row>
    <row r="3463" spans="1:13" hidden="1">
      <c r="A3463" t="s">
        <v>140</v>
      </c>
      <c r="B3463" t="s">
        <v>8</v>
      </c>
      <c r="C3463" t="s">
        <v>139</v>
      </c>
      <c r="D3463" t="str">
        <f>LEFT(M3463,10)</f>
        <v>12/15/2024</v>
      </c>
      <c r="E3463" t="s">
        <v>202</v>
      </c>
      <c r="F3463" t="s">
        <v>227</v>
      </c>
      <c r="G3463" t="s">
        <v>252</v>
      </c>
      <c r="I3463">
        <v>104.6</v>
      </c>
      <c r="J3463">
        <v>41.84</v>
      </c>
      <c r="K3463">
        <v>0.4</v>
      </c>
      <c r="M3463" t="s">
        <v>205</v>
      </c>
    </row>
    <row r="3464" spans="1:13" hidden="1">
      <c r="A3464" t="s">
        <v>140</v>
      </c>
      <c r="B3464" t="s">
        <v>8</v>
      </c>
      <c r="C3464" t="s">
        <v>139</v>
      </c>
      <c r="D3464" t="str">
        <f>LEFT(M3464,10)</f>
        <v>12/15/2024</v>
      </c>
      <c r="E3464" t="s">
        <v>202</v>
      </c>
      <c r="F3464" t="s">
        <v>218</v>
      </c>
      <c r="G3464" t="s">
        <v>224</v>
      </c>
      <c r="I3464">
        <v>76</v>
      </c>
      <c r="J3464">
        <v>76</v>
      </c>
      <c r="K3464">
        <v>1</v>
      </c>
      <c r="M3464" t="s">
        <v>205</v>
      </c>
    </row>
    <row r="3465" spans="1:13" hidden="1">
      <c r="A3465" t="s">
        <v>140</v>
      </c>
      <c r="B3465" t="s">
        <v>8</v>
      </c>
      <c r="C3465" t="s">
        <v>139</v>
      </c>
      <c r="D3465" t="str">
        <f>LEFT(M3465,10)</f>
        <v>12/15/2024</v>
      </c>
      <c r="E3465" t="s">
        <v>202</v>
      </c>
      <c r="F3465" t="s">
        <v>218</v>
      </c>
      <c r="G3465" t="s">
        <v>221</v>
      </c>
      <c r="I3465">
        <v>102.6</v>
      </c>
      <c r="J3465">
        <v>251.37</v>
      </c>
      <c r="K3465">
        <v>2.4500000000000002</v>
      </c>
      <c r="M3465" t="s">
        <v>205</v>
      </c>
    </row>
    <row r="3466" spans="1:13" hidden="1">
      <c r="A3466" t="s">
        <v>140</v>
      </c>
      <c r="B3466" t="s">
        <v>8</v>
      </c>
      <c r="C3466" t="s">
        <v>139</v>
      </c>
      <c r="D3466" t="str">
        <f>LEFT(M3466,10)</f>
        <v>12/15/2024</v>
      </c>
      <c r="E3466" t="s">
        <v>202</v>
      </c>
      <c r="F3466" t="s">
        <v>218</v>
      </c>
      <c r="G3466" t="s">
        <v>221</v>
      </c>
      <c r="I3466">
        <v>155.80000000000001</v>
      </c>
      <c r="J3466">
        <v>389.5</v>
      </c>
      <c r="K3466">
        <v>2.5</v>
      </c>
      <c r="M3466" t="s">
        <v>205</v>
      </c>
    </row>
    <row r="3467" spans="1:13" hidden="1">
      <c r="A3467" t="s">
        <v>140</v>
      </c>
      <c r="B3467" t="s">
        <v>8</v>
      </c>
      <c r="C3467" t="s">
        <v>139</v>
      </c>
      <c r="D3467" t="str">
        <f>LEFT(M3467,10)</f>
        <v>12/15/2024</v>
      </c>
      <c r="E3467" t="s">
        <v>202</v>
      </c>
      <c r="F3467" t="s">
        <v>218</v>
      </c>
      <c r="G3467" t="s">
        <v>223</v>
      </c>
      <c r="I3467">
        <v>356</v>
      </c>
      <c r="J3467">
        <v>284.8</v>
      </c>
      <c r="K3467">
        <v>0.8</v>
      </c>
      <c r="M3467" t="s">
        <v>205</v>
      </c>
    </row>
    <row r="3468" spans="1:13" hidden="1">
      <c r="A3468" t="s">
        <v>140</v>
      </c>
      <c r="B3468" t="s">
        <v>8</v>
      </c>
      <c r="C3468" t="s">
        <v>139</v>
      </c>
      <c r="D3468" t="str">
        <f>LEFT(M3468,10)</f>
        <v>12/15/2024</v>
      </c>
      <c r="E3468" t="s">
        <v>202</v>
      </c>
      <c r="F3468" t="s">
        <v>218</v>
      </c>
      <c r="G3468" t="s">
        <v>223</v>
      </c>
      <c r="I3468">
        <v>140</v>
      </c>
      <c r="J3468">
        <v>70</v>
      </c>
      <c r="K3468">
        <v>0.5</v>
      </c>
      <c r="M3468" t="s">
        <v>205</v>
      </c>
    </row>
    <row r="3469" spans="1:13" hidden="1">
      <c r="A3469" t="s">
        <v>140</v>
      </c>
      <c r="B3469" t="s">
        <v>8</v>
      </c>
      <c r="C3469" t="s">
        <v>139</v>
      </c>
      <c r="D3469" t="str">
        <f>LEFT(M3469,10)</f>
        <v>12/15/2024</v>
      </c>
      <c r="E3469" t="s">
        <v>202</v>
      </c>
      <c r="F3469" t="s">
        <v>218</v>
      </c>
      <c r="G3469" t="s">
        <v>240</v>
      </c>
      <c r="I3469">
        <v>389</v>
      </c>
      <c r="J3469">
        <v>1750.5</v>
      </c>
      <c r="K3469">
        <v>4.5</v>
      </c>
      <c r="M3469" t="s">
        <v>205</v>
      </c>
    </row>
    <row r="3470" spans="1:13" hidden="1">
      <c r="A3470" t="s">
        <v>140</v>
      </c>
      <c r="B3470" t="s">
        <v>8</v>
      </c>
      <c r="C3470" t="s">
        <v>139</v>
      </c>
      <c r="D3470" t="str">
        <f>LEFT(M3470,10)</f>
        <v>12/15/2024</v>
      </c>
      <c r="E3470" t="s">
        <v>202</v>
      </c>
      <c r="F3470" t="s">
        <v>218</v>
      </c>
      <c r="G3470" t="s">
        <v>242</v>
      </c>
      <c r="I3470">
        <v>46.4</v>
      </c>
      <c r="J3470">
        <v>51.04</v>
      </c>
      <c r="K3470">
        <v>1.1000000000000001</v>
      </c>
      <c r="M3470" t="s">
        <v>205</v>
      </c>
    </row>
    <row r="3471" spans="1:13" hidden="1">
      <c r="A3471" t="s">
        <v>140</v>
      </c>
      <c r="B3471" t="s">
        <v>8</v>
      </c>
      <c r="C3471" t="s">
        <v>139</v>
      </c>
      <c r="D3471" t="str">
        <f>LEFT(M3471,10)</f>
        <v>12/15/2024</v>
      </c>
      <c r="E3471" t="s">
        <v>202</v>
      </c>
      <c r="F3471" t="s">
        <v>218</v>
      </c>
      <c r="G3471" t="s">
        <v>219</v>
      </c>
      <c r="I3471">
        <v>44.2</v>
      </c>
      <c r="J3471">
        <v>8.84</v>
      </c>
      <c r="K3471">
        <v>0.2</v>
      </c>
      <c r="M3471" t="s">
        <v>205</v>
      </c>
    </row>
    <row r="3472" spans="1:13" hidden="1">
      <c r="A3472" t="s">
        <v>140</v>
      </c>
      <c r="B3472" t="s">
        <v>8</v>
      </c>
      <c r="C3472" t="s">
        <v>139</v>
      </c>
      <c r="D3472" t="str">
        <f>LEFT(M3472,10)</f>
        <v>12/15/2024</v>
      </c>
      <c r="E3472" t="s">
        <v>202</v>
      </c>
      <c r="F3472" t="s">
        <v>218</v>
      </c>
      <c r="G3472" t="s">
        <v>243</v>
      </c>
      <c r="H3472" t="s">
        <v>498</v>
      </c>
      <c r="I3472">
        <v>62</v>
      </c>
      <c r="J3472">
        <v>96.1</v>
      </c>
      <c r="K3472">
        <v>1.55</v>
      </c>
      <c r="M3472" t="s">
        <v>205</v>
      </c>
    </row>
    <row r="3473" spans="1:13" hidden="1">
      <c r="A3473" t="s">
        <v>140</v>
      </c>
      <c r="B3473" t="s">
        <v>8</v>
      </c>
      <c r="C3473" t="s">
        <v>139</v>
      </c>
      <c r="D3473" t="str">
        <f>LEFT(M3473,10)</f>
        <v>12/15/2024</v>
      </c>
      <c r="E3473" t="s">
        <v>202</v>
      </c>
      <c r="F3473" t="s">
        <v>218</v>
      </c>
      <c r="G3473" t="s">
        <v>222</v>
      </c>
      <c r="I3473">
        <v>210.8</v>
      </c>
      <c r="J3473">
        <v>379.44</v>
      </c>
      <c r="K3473">
        <v>1.8</v>
      </c>
      <c r="M3473" t="s">
        <v>205</v>
      </c>
    </row>
    <row r="3474" spans="1:13" hidden="1">
      <c r="A3474" t="s">
        <v>140</v>
      </c>
      <c r="B3474" t="s">
        <v>8</v>
      </c>
      <c r="C3474" t="s">
        <v>139</v>
      </c>
      <c r="D3474" t="str">
        <f>LEFT(M3474,10)</f>
        <v>12/15/2024</v>
      </c>
      <c r="E3474" t="s">
        <v>202</v>
      </c>
      <c r="F3474" t="s">
        <v>218</v>
      </c>
      <c r="G3474" t="s">
        <v>222</v>
      </c>
      <c r="I3474">
        <v>33</v>
      </c>
      <c r="J3474">
        <v>49.5</v>
      </c>
      <c r="K3474">
        <v>1.5</v>
      </c>
      <c r="M3474" t="s">
        <v>205</v>
      </c>
    </row>
    <row r="3475" spans="1:13" hidden="1">
      <c r="A3475" t="s">
        <v>140</v>
      </c>
      <c r="B3475" t="s">
        <v>8</v>
      </c>
      <c r="C3475" t="s">
        <v>139</v>
      </c>
      <c r="D3475" t="str">
        <f>LEFT(M3475,10)</f>
        <v>12/15/2024</v>
      </c>
      <c r="E3475" t="s">
        <v>202</v>
      </c>
      <c r="F3475" t="s">
        <v>218</v>
      </c>
      <c r="G3475" t="s">
        <v>243</v>
      </c>
      <c r="H3475" t="s">
        <v>429</v>
      </c>
      <c r="I3475">
        <v>304.8</v>
      </c>
      <c r="J3475">
        <v>426.71</v>
      </c>
      <c r="K3475">
        <v>1.4</v>
      </c>
      <c r="M3475" t="s">
        <v>205</v>
      </c>
    </row>
    <row r="3476" spans="1:13" hidden="1">
      <c r="A3476" t="s">
        <v>140</v>
      </c>
      <c r="B3476" t="s">
        <v>8</v>
      </c>
      <c r="C3476" t="s">
        <v>139</v>
      </c>
      <c r="D3476" t="str">
        <f>LEFT(M3476,10)</f>
        <v>12/15/2024</v>
      </c>
      <c r="E3476" t="s">
        <v>202</v>
      </c>
      <c r="F3476" t="s">
        <v>218</v>
      </c>
      <c r="G3476" t="s">
        <v>243</v>
      </c>
      <c r="H3476" t="s">
        <v>278</v>
      </c>
      <c r="I3476">
        <v>279.8</v>
      </c>
      <c r="J3476">
        <v>405.71</v>
      </c>
      <c r="K3476">
        <v>1.45</v>
      </c>
      <c r="M3476" t="s">
        <v>205</v>
      </c>
    </row>
    <row r="3477" spans="1:13" hidden="1">
      <c r="A3477" t="s">
        <v>140</v>
      </c>
      <c r="B3477" t="s">
        <v>8</v>
      </c>
      <c r="C3477" t="s">
        <v>139</v>
      </c>
      <c r="D3477" t="str">
        <f>LEFT(M3477,10)</f>
        <v>12/15/2024</v>
      </c>
      <c r="E3477" t="s">
        <v>202</v>
      </c>
      <c r="F3477" t="s">
        <v>218</v>
      </c>
      <c r="G3477" t="s">
        <v>243</v>
      </c>
      <c r="H3477" t="s">
        <v>499</v>
      </c>
      <c r="I3477">
        <v>91.6</v>
      </c>
      <c r="J3477">
        <v>132.82</v>
      </c>
      <c r="K3477">
        <v>1.45</v>
      </c>
      <c r="M3477" t="s">
        <v>205</v>
      </c>
    </row>
    <row r="3478" spans="1:13" hidden="1">
      <c r="A3478" t="s">
        <v>140</v>
      </c>
      <c r="B3478" t="s">
        <v>8</v>
      </c>
      <c r="C3478" t="s">
        <v>139</v>
      </c>
      <c r="D3478" t="str">
        <f>LEFT(M3478,10)</f>
        <v>12/15/2024</v>
      </c>
      <c r="E3478" t="s">
        <v>202</v>
      </c>
      <c r="F3478" t="s">
        <v>218</v>
      </c>
      <c r="G3478" t="s">
        <v>226</v>
      </c>
      <c r="I3478">
        <v>145.6</v>
      </c>
      <c r="J3478">
        <v>29.12</v>
      </c>
      <c r="K3478">
        <v>0.2</v>
      </c>
      <c r="M3478" t="s">
        <v>205</v>
      </c>
    </row>
    <row r="3479" spans="1:13" hidden="1">
      <c r="A3479" t="s">
        <v>140</v>
      </c>
      <c r="B3479" t="s">
        <v>8</v>
      </c>
      <c r="C3479" t="s">
        <v>139</v>
      </c>
      <c r="D3479" t="str">
        <f>LEFT(M3479,10)</f>
        <v>12/15/2024</v>
      </c>
      <c r="E3479" t="s">
        <v>202</v>
      </c>
      <c r="F3479" t="s">
        <v>218</v>
      </c>
      <c r="G3479" t="s">
        <v>247</v>
      </c>
      <c r="I3479">
        <v>67.2</v>
      </c>
      <c r="J3479">
        <v>168</v>
      </c>
      <c r="K3479">
        <v>2.5</v>
      </c>
      <c r="M3479" t="s">
        <v>205</v>
      </c>
    </row>
    <row r="3480" spans="1:13" hidden="1">
      <c r="A3480" t="s">
        <v>140</v>
      </c>
      <c r="B3480" t="s">
        <v>8</v>
      </c>
      <c r="C3480" t="s">
        <v>139</v>
      </c>
      <c r="D3480" t="str">
        <f>LEFT(M3480,10)</f>
        <v>12/15/2024</v>
      </c>
      <c r="E3480" t="s">
        <v>202</v>
      </c>
      <c r="F3480" t="s">
        <v>218</v>
      </c>
      <c r="G3480" t="s">
        <v>225</v>
      </c>
      <c r="I3480">
        <v>69.8</v>
      </c>
      <c r="J3480">
        <v>55.84</v>
      </c>
      <c r="K3480">
        <v>0.8</v>
      </c>
      <c r="M3480" t="s">
        <v>205</v>
      </c>
    </row>
    <row r="3481" spans="1:13" hidden="1">
      <c r="A3481" t="s">
        <v>140</v>
      </c>
      <c r="B3481" t="s">
        <v>8</v>
      </c>
      <c r="C3481" t="s">
        <v>139</v>
      </c>
      <c r="D3481" t="str">
        <f>LEFT(M3481,10)</f>
        <v>12/15/2024</v>
      </c>
      <c r="E3481" t="s">
        <v>202</v>
      </c>
      <c r="F3481" t="s">
        <v>203</v>
      </c>
      <c r="G3481" t="s">
        <v>236</v>
      </c>
      <c r="I3481">
        <v>10391</v>
      </c>
      <c r="J3481">
        <v>1558.65</v>
      </c>
      <c r="K3481">
        <v>0.15</v>
      </c>
      <c r="M3481" t="s">
        <v>205</v>
      </c>
    </row>
    <row r="3482" spans="1:13" hidden="1">
      <c r="A3482" t="s">
        <v>140</v>
      </c>
      <c r="B3482" t="s">
        <v>8</v>
      </c>
      <c r="C3482" t="s">
        <v>139</v>
      </c>
      <c r="D3482" t="str">
        <f>LEFT(M3482,10)</f>
        <v>12/15/2024</v>
      </c>
      <c r="E3482" t="s">
        <v>202</v>
      </c>
      <c r="F3482" t="s">
        <v>203</v>
      </c>
      <c r="G3482" t="s">
        <v>204</v>
      </c>
      <c r="I3482">
        <v>164.8</v>
      </c>
      <c r="J3482">
        <v>1236</v>
      </c>
      <c r="K3482">
        <v>7.5</v>
      </c>
      <c r="M3482" t="s">
        <v>205</v>
      </c>
    </row>
    <row r="3483" spans="1:13" hidden="1">
      <c r="A3483" t="s">
        <v>140</v>
      </c>
      <c r="B3483" t="s">
        <v>8</v>
      </c>
      <c r="C3483" t="s">
        <v>139</v>
      </c>
      <c r="D3483" t="str">
        <f>LEFT(M3483,10)</f>
        <v>12/15/2024</v>
      </c>
      <c r="E3483" t="s">
        <v>202</v>
      </c>
      <c r="F3483" t="s">
        <v>216</v>
      </c>
      <c r="G3483" t="s">
        <v>253</v>
      </c>
      <c r="I3483">
        <v>1496</v>
      </c>
      <c r="J3483">
        <v>224.4</v>
      </c>
      <c r="K3483">
        <v>0.15</v>
      </c>
      <c r="M3483" t="s">
        <v>205</v>
      </c>
    </row>
    <row r="3484" spans="1:13" hidden="1">
      <c r="A3484" t="s">
        <v>140</v>
      </c>
      <c r="B3484" t="s">
        <v>8</v>
      </c>
      <c r="C3484" t="s">
        <v>139</v>
      </c>
      <c r="D3484" t="str">
        <f>LEFT(M3484,10)</f>
        <v>12/15/2024</v>
      </c>
      <c r="E3484" t="s">
        <v>202</v>
      </c>
      <c r="F3484" t="s">
        <v>216</v>
      </c>
      <c r="G3484" t="s">
        <v>217</v>
      </c>
      <c r="I3484">
        <v>451</v>
      </c>
      <c r="J3484">
        <v>157.85</v>
      </c>
      <c r="K3484">
        <v>0.35</v>
      </c>
      <c r="M3484" t="s">
        <v>205</v>
      </c>
    </row>
    <row r="3485" spans="1:13" hidden="1">
      <c r="A3485" t="s">
        <v>140</v>
      </c>
      <c r="B3485" t="s">
        <v>8</v>
      </c>
      <c r="C3485" t="s">
        <v>139</v>
      </c>
      <c r="D3485" t="str">
        <f>LEFT(M3485,10)</f>
        <v>12/15/2024</v>
      </c>
      <c r="E3485" t="s">
        <v>202</v>
      </c>
      <c r="F3485" t="s">
        <v>216</v>
      </c>
      <c r="G3485" t="s">
        <v>217</v>
      </c>
      <c r="I3485">
        <v>9</v>
      </c>
      <c r="J3485">
        <v>21.6</v>
      </c>
      <c r="K3485">
        <v>2.4</v>
      </c>
      <c r="M3485" t="s">
        <v>205</v>
      </c>
    </row>
    <row r="3486" spans="1:13" hidden="1">
      <c r="A3486" t="s">
        <v>140</v>
      </c>
      <c r="B3486" t="s">
        <v>8</v>
      </c>
      <c r="C3486" t="s">
        <v>139</v>
      </c>
      <c r="D3486" t="str">
        <f>LEFT(M3486,10)</f>
        <v>12/15/2024</v>
      </c>
      <c r="E3486" t="s">
        <v>202</v>
      </c>
      <c r="F3486" t="s">
        <v>216</v>
      </c>
      <c r="G3486" t="s">
        <v>217</v>
      </c>
      <c r="I3486">
        <v>20</v>
      </c>
      <c r="J3486">
        <v>24</v>
      </c>
      <c r="K3486">
        <v>1.2</v>
      </c>
      <c r="M3486" t="s">
        <v>205</v>
      </c>
    </row>
    <row r="3487" spans="1:13" hidden="1">
      <c r="A3487" t="s">
        <v>140</v>
      </c>
      <c r="B3487" t="s">
        <v>8</v>
      </c>
      <c r="C3487" t="s">
        <v>139</v>
      </c>
      <c r="D3487" t="str">
        <f>LEFT(M3487,10)</f>
        <v>12/15/2024</v>
      </c>
      <c r="E3487" t="s">
        <v>202</v>
      </c>
      <c r="F3487" t="s">
        <v>209</v>
      </c>
      <c r="G3487" t="s">
        <v>214</v>
      </c>
      <c r="I3487">
        <v>1200</v>
      </c>
      <c r="J3487">
        <v>0</v>
      </c>
      <c r="K3487">
        <v>0</v>
      </c>
      <c r="M3487" t="s">
        <v>205</v>
      </c>
    </row>
    <row r="3488" spans="1:13" hidden="1">
      <c r="A3488" t="s">
        <v>140</v>
      </c>
      <c r="B3488" t="s">
        <v>8</v>
      </c>
      <c r="C3488" t="s">
        <v>139</v>
      </c>
      <c r="D3488" t="str">
        <f>LEFT(M3488,10)</f>
        <v>12/15/2024</v>
      </c>
      <c r="E3488" t="s">
        <v>230</v>
      </c>
      <c r="F3488" t="s">
        <v>248</v>
      </c>
      <c r="I3488">
        <v>0</v>
      </c>
      <c r="J3488">
        <v>14191.56</v>
      </c>
      <c r="M3488" t="s">
        <v>205</v>
      </c>
    </row>
    <row r="3489" spans="1:13" hidden="1">
      <c r="A3489" t="s">
        <v>140</v>
      </c>
      <c r="B3489" t="s">
        <v>8</v>
      </c>
      <c r="C3489" t="s">
        <v>139</v>
      </c>
      <c r="D3489" t="str">
        <f>LEFT(M3489,10)</f>
        <v>12/15/2024</v>
      </c>
      <c r="E3489" t="s">
        <v>232</v>
      </c>
      <c r="F3489" t="s">
        <v>287</v>
      </c>
      <c r="I3489">
        <v>0</v>
      </c>
      <c r="J3489">
        <v>1179.82</v>
      </c>
      <c r="M3489" t="s">
        <v>205</v>
      </c>
    </row>
    <row r="3490" spans="1:13" hidden="1">
      <c r="A3490" t="s">
        <v>140</v>
      </c>
      <c r="B3490" t="s">
        <v>8</v>
      </c>
      <c r="C3490" t="s">
        <v>139</v>
      </c>
      <c r="D3490" t="str">
        <f>LEFT(M3490,10)</f>
        <v>12/15/2024</v>
      </c>
      <c r="E3490" t="s">
        <v>232</v>
      </c>
      <c r="F3490" t="s">
        <v>286</v>
      </c>
      <c r="I3490">
        <v>0</v>
      </c>
      <c r="J3490">
        <v>500</v>
      </c>
      <c r="M3490" t="s">
        <v>205</v>
      </c>
    </row>
    <row r="3491" spans="1:13" hidden="1">
      <c r="A3491" t="s">
        <v>140</v>
      </c>
      <c r="B3491" t="s">
        <v>8</v>
      </c>
      <c r="C3491" t="s">
        <v>139</v>
      </c>
      <c r="D3491" t="str">
        <f>LEFT(M3491,10)</f>
        <v>12/15/2024</v>
      </c>
      <c r="E3491" t="s">
        <v>232</v>
      </c>
      <c r="F3491" t="s">
        <v>233</v>
      </c>
      <c r="I3491">
        <v>0</v>
      </c>
      <c r="J3491">
        <v>1087.24</v>
      </c>
      <c r="M3491" t="s">
        <v>205</v>
      </c>
    </row>
    <row r="3492" spans="1:13" hidden="1">
      <c r="A3492" t="s">
        <v>140</v>
      </c>
      <c r="B3492" t="s">
        <v>8</v>
      </c>
      <c r="C3492" t="s">
        <v>139</v>
      </c>
      <c r="D3492" t="str">
        <f>LEFT(M3492,10)</f>
        <v>12/15/2024</v>
      </c>
      <c r="E3492" t="s">
        <v>232</v>
      </c>
      <c r="F3492" t="s">
        <v>254</v>
      </c>
      <c r="I3492">
        <v>0</v>
      </c>
      <c r="J3492">
        <v>1520.38</v>
      </c>
      <c r="M3492" t="s">
        <v>205</v>
      </c>
    </row>
    <row r="3493" spans="1:13" hidden="1">
      <c r="A3493" t="s">
        <v>140</v>
      </c>
      <c r="B3493" t="s">
        <v>8</v>
      </c>
      <c r="C3493" t="s">
        <v>139</v>
      </c>
      <c r="D3493" t="str">
        <f>LEFT(M3493,10)</f>
        <v>12/15/2024</v>
      </c>
      <c r="E3493" t="s">
        <v>232</v>
      </c>
      <c r="F3493" t="s">
        <v>255</v>
      </c>
      <c r="I3493">
        <v>0</v>
      </c>
      <c r="J3493">
        <v>5000</v>
      </c>
      <c r="L3493" t="s">
        <v>500</v>
      </c>
      <c r="M3493" t="s">
        <v>205</v>
      </c>
    </row>
    <row r="3494" spans="1:13" hidden="1">
      <c r="A3494" t="s">
        <v>140</v>
      </c>
      <c r="B3494" t="s">
        <v>8</v>
      </c>
      <c r="C3494" t="s">
        <v>139</v>
      </c>
      <c r="D3494" t="str">
        <f>LEFT(M3494,10)</f>
        <v>12/15/2024</v>
      </c>
      <c r="E3494" t="s">
        <v>232</v>
      </c>
      <c r="F3494" t="s">
        <v>255</v>
      </c>
      <c r="I3494">
        <v>0</v>
      </c>
      <c r="J3494">
        <v>180</v>
      </c>
      <c r="L3494" t="s">
        <v>256</v>
      </c>
      <c r="M3494" t="s">
        <v>205</v>
      </c>
    </row>
    <row r="3495" spans="1:13" hidden="1">
      <c r="A3495" t="s">
        <v>140</v>
      </c>
      <c r="B3495" t="s">
        <v>8</v>
      </c>
      <c r="C3495" t="s">
        <v>139</v>
      </c>
      <c r="D3495" t="str">
        <f>LEFT(M3495,10)</f>
        <v>12/15/2024</v>
      </c>
      <c r="E3495" t="s">
        <v>232</v>
      </c>
      <c r="F3495" t="s">
        <v>255</v>
      </c>
      <c r="I3495">
        <v>0</v>
      </c>
      <c r="J3495">
        <v>156.94999999999999</v>
      </c>
      <c r="L3495" t="s">
        <v>501</v>
      </c>
      <c r="M3495" t="s">
        <v>205</v>
      </c>
    </row>
    <row r="3496" spans="1:13" hidden="1">
      <c r="A3496" t="s">
        <v>140</v>
      </c>
      <c r="B3496" t="s">
        <v>8</v>
      </c>
      <c r="C3496" t="s">
        <v>139</v>
      </c>
      <c r="D3496" t="str">
        <f>LEFT(M3496,10)</f>
        <v>12/15/2024</v>
      </c>
      <c r="E3496" t="s">
        <v>232</v>
      </c>
      <c r="F3496" t="s">
        <v>296</v>
      </c>
      <c r="I3496">
        <v>0</v>
      </c>
      <c r="J3496">
        <v>130</v>
      </c>
      <c r="M3496" t="s">
        <v>205</v>
      </c>
    </row>
    <row r="3497" spans="1:13" hidden="1">
      <c r="A3497" t="s">
        <v>140</v>
      </c>
      <c r="B3497" t="s">
        <v>8</v>
      </c>
      <c r="C3497" t="s">
        <v>139</v>
      </c>
      <c r="D3497" t="str">
        <f>LEFT(M3497,10)</f>
        <v>12/15/2024</v>
      </c>
      <c r="E3497" t="s">
        <v>232</v>
      </c>
      <c r="F3497" t="s">
        <v>255</v>
      </c>
      <c r="I3497">
        <v>0</v>
      </c>
      <c r="J3497">
        <v>79</v>
      </c>
      <c r="L3497" t="s">
        <v>502</v>
      </c>
      <c r="M3497" t="s">
        <v>205</v>
      </c>
    </row>
    <row r="3498" spans="1:13" hidden="1">
      <c r="A3498" t="s">
        <v>140</v>
      </c>
      <c r="B3498" t="s">
        <v>8</v>
      </c>
      <c r="C3498" t="s">
        <v>139</v>
      </c>
      <c r="D3498" t="str">
        <f>LEFT(M3498,10)</f>
        <v>12/15/2024</v>
      </c>
      <c r="E3498" t="s">
        <v>232</v>
      </c>
      <c r="F3498" t="s">
        <v>233</v>
      </c>
      <c r="I3498">
        <v>0</v>
      </c>
      <c r="J3498">
        <v>868.98</v>
      </c>
      <c r="M3498" t="s">
        <v>205</v>
      </c>
    </row>
    <row r="3499" spans="1:13" hidden="1">
      <c r="A3499" t="s">
        <v>140</v>
      </c>
      <c r="B3499" t="s">
        <v>8</v>
      </c>
      <c r="C3499" t="s">
        <v>139</v>
      </c>
      <c r="D3499" t="str">
        <f>LEFT(M3499,10)</f>
        <v>12/15/2024</v>
      </c>
      <c r="E3499" t="s">
        <v>234</v>
      </c>
      <c r="F3499" t="s">
        <v>234</v>
      </c>
      <c r="I3499">
        <v>4152.6000000000004</v>
      </c>
      <c r="M3499" t="s">
        <v>205</v>
      </c>
    </row>
    <row r="3500" spans="1:13" hidden="1">
      <c r="A3500" t="s">
        <v>124</v>
      </c>
      <c r="B3500" t="s">
        <v>8</v>
      </c>
      <c r="C3500" t="s">
        <v>123</v>
      </c>
      <c r="D3500" t="str">
        <f>LEFT(M3500,10)</f>
        <v>12/15/2024</v>
      </c>
      <c r="E3500" t="s">
        <v>202</v>
      </c>
      <c r="F3500" t="s">
        <v>227</v>
      </c>
      <c r="G3500" t="s">
        <v>228</v>
      </c>
      <c r="I3500">
        <v>800</v>
      </c>
      <c r="J3500">
        <v>320</v>
      </c>
      <c r="K3500">
        <v>0.4</v>
      </c>
      <c r="M3500" t="s">
        <v>205</v>
      </c>
    </row>
    <row r="3501" spans="1:13" hidden="1">
      <c r="A3501" t="s">
        <v>124</v>
      </c>
      <c r="B3501" t="s">
        <v>8</v>
      </c>
      <c r="C3501" t="s">
        <v>123</v>
      </c>
      <c r="D3501" t="str">
        <f>LEFT(M3501,10)</f>
        <v>12/15/2024</v>
      </c>
      <c r="E3501" t="s">
        <v>202</v>
      </c>
      <c r="F3501" t="s">
        <v>227</v>
      </c>
      <c r="G3501" t="s">
        <v>229</v>
      </c>
      <c r="I3501">
        <v>4800</v>
      </c>
      <c r="J3501">
        <v>3600</v>
      </c>
      <c r="K3501">
        <v>0.75</v>
      </c>
      <c r="M3501" t="s">
        <v>205</v>
      </c>
    </row>
    <row r="3502" spans="1:13" hidden="1">
      <c r="A3502" t="s">
        <v>124</v>
      </c>
      <c r="B3502" t="s">
        <v>8</v>
      </c>
      <c r="C3502" t="s">
        <v>123</v>
      </c>
      <c r="D3502" t="str">
        <f>LEFT(M3502,10)</f>
        <v>12/15/2024</v>
      </c>
      <c r="E3502" t="s">
        <v>202</v>
      </c>
      <c r="F3502" t="s">
        <v>227</v>
      </c>
      <c r="G3502" t="s">
        <v>238</v>
      </c>
      <c r="I3502">
        <v>500</v>
      </c>
      <c r="J3502">
        <v>200</v>
      </c>
      <c r="K3502">
        <v>0.4</v>
      </c>
      <c r="M3502" t="s">
        <v>205</v>
      </c>
    </row>
    <row r="3503" spans="1:13" hidden="1">
      <c r="A3503" t="s">
        <v>124</v>
      </c>
      <c r="B3503" t="s">
        <v>8</v>
      </c>
      <c r="C3503" t="s">
        <v>123</v>
      </c>
      <c r="D3503" t="str">
        <f>LEFT(M3503,10)</f>
        <v>12/15/2024</v>
      </c>
      <c r="E3503" t="s">
        <v>202</v>
      </c>
      <c r="F3503" t="s">
        <v>227</v>
      </c>
      <c r="G3503" t="s">
        <v>252</v>
      </c>
      <c r="I3503">
        <v>300</v>
      </c>
      <c r="J3503">
        <v>120</v>
      </c>
      <c r="K3503">
        <v>0.4</v>
      </c>
      <c r="M3503" t="s">
        <v>205</v>
      </c>
    </row>
    <row r="3504" spans="1:13" hidden="1">
      <c r="A3504" t="s">
        <v>124</v>
      </c>
      <c r="B3504" t="s">
        <v>8</v>
      </c>
      <c r="C3504" t="s">
        <v>123</v>
      </c>
      <c r="D3504" t="str">
        <f>LEFT(M3504,10)</f>
        <v>12/15/2024</v>
      </c>
      <c r="E3504" t="s">
        <v>202</v>
      </c>
      <c r="F3504" t="s">
        <v>218</v>
      </c>
      <c r="G3504" t="s">
        <v>224</v>
      </c>
      <c r="I3504">
        <v>200</v>
      </c>
      <c r="J3504">
        <v>200</v>
      </c>
      <c r="K3504">
        <v>1</v>
      </c>
      <c r="M3504" t="s">
        <v>205</v>
      </c>
    </row>
    <row r="3505" spans="1:13" hidden="1">
      <c r="A3505" t="s">
        <v>124</v>
      </c>
      <c r="B3505" t="s">
        <v>8</v>
      </c>
      <c r="C3505" t="s">
        <v>123</v>
      </c>
      <c r="D3505" t="str">
        <f>LEFT(M3505,10)</f>
        <v>12/15/2024</v>
      </c>
      <c r="E3505" t="s">
        <v>202</v>
      </c>
      <c r="F3505" t="s">
        <v>218</v>
      </c>
      <c r="G3505" t="s">
        <v>221</v>
      </c>
      <c r="I3505">
        <v>200</v>
      </c>
      <c r="J3505">
        <v>510</v>
      </c>
      <c r="K3505">
        <v>2.5499999999999998</v>
      </c>
      <c r="M3505" t="s">
        <v>205</v>
      </c>
    </row>
    <row r="3506" spans="1:13" hidden="1">
      <c r="A3506" t="s">
        <v>124</v>
      </c>
      <c r="B3506" t="s">
        <v>8</v>
      </c>
      <c r="C3506" t="s">
        <v>123</v>
      </c>
      <c r="D3506" t="str">
        <f>LEFT(M3506,10)</f>
        <v>12/15/2024</v>
      </c>
      <c r="E3506" t="s">
        <v>202</v>
      </c>
      <c r="F3506" t="s">
        <v>218</v>
      </c>
      <c r="G3506" t="s">
        <v>220</v>
      </c>
      <c r="I3506">
        <v>300</v>
      </c>
      <c r="J3506">
        <v>450</v>
      </c>
      <c r="K3506">
        <v>1.5</v>
      </c>
      <c r="M3506" t="s">
        <v>205</v>
      </c>
    </row>
    <row r="3507" spans="1:13" hidden="1">
      <c r="A3507" t="s">
        <v>124</v>
      </c>
      <c r="B3507" t="s">
        <v>8</v>
      </c>
      <c r="C3507" t="s">
        <v>123</v>
      </c>
      <c r="D3507" t="str">
        <f>LEFT(M3507,10)</f>
        <v>12/15/2024</v>
      </c>
      <c r="E3507" t="s">
        <v>202</v>
      </c>
      <c r="F3507" t="s">
        <v>218</v>
      </c>
      <c r="G3507" t="s">
        <v>223</v>
      </c>
      <c r="I3507">
        <v>1300</v>
      </c>
      <c r="J3507">
        <v>1040</v>
      </c>
      <c r="K3507">
        <v>0.8</v>
      </c>
      <c r="M3507" t="s">
        <v>205</v>
      </c>
    </row>
    <row r="3508" spans="1:13" hidden="1">
      <c r="A3508" t="s">
        <v>124</v>
      </c>
      <c r="B3508" t="s">
        <v>8</v>
      </c>
      <c r="C3508" t="s">
        <v>123</v>
      </c>
      <c r="D3508" t="str">
        <f>LEFT(M3508,10)</f>
        <v>12/15/2024</v>
      </c>
      <c r="E3508" t="s">
        <v>202</v>
      </c>
      <c r="F3508" t="s">
        <v>218</v>
      </c>
      <c r="G3508" t="s">
        <v>240</v>
      </c>
      <c r="I3508">
        <v>750</v>
      </c>
      <c r="J3508">
        <v>3412.5</v>
      </c>
      <c r="K3508">
        <v>4.55</v>
      </c>
      <c r="M3508" t="s">
        <v>205</v>
      </c>
    </row>
    <row r="3509" spans="1:13" hidden="1">
      <c r="A3509" t="s">
        <v>124</v>
      </c>
      <c r="B3509" t="s">
        <v>8</v>
      </c>
      <c r="C3509" t="s">
        <v>123</v>
      </c>
      <c r="D3509" t="str">
        <f>LEFT(M3509,10)</f>
        <v>12/15/2024</v>
      </c>
      <c r="E3509" t="s">
        <v>202</v>
      </c>
      <c r="F3509" t="s">
        <v>218</v>
      </c>
      <c r="G3509" t="s">
        <v>242</v>
      </c>
      <c r="I3509">
        <v>100</v>
      </c>
      <c r="J3509">
        <v>110</v>
      </c>
      <c r="K3509">
        <v>1.1000000000000001</v>
      </c>
      <c r="M3509" t="s">
        <v>205</v>
      </c>
    </row>
    <row r="3510" spans="1:13" hidden="1">
      <c r="A3510" t="s">
        <v>124</v>
      </c>
      <c r="B3510" t="s">
        <v>8</v>
      </c>
      <c r="C3510" t="s">
        <v>123</v>
      </c>
      <c r="D3510" t="str">
        <f>LEFT(M3510,10)</f>
        <v>12/15/2024</v>
      </c>
      <c r="E3510" t="s">
        <v>202</v>
      </c>
      <c r="F3510" t="s">
        <v>218</v>
      </c>
      <c r="G3510" t="s">
        <v>219</v>
      </c>
      <c r="I3510">
        <v>120</v>
      </c>
      <c r="J3510">
        <v>24</v>
      </c>
      <c r="K3510">
        <v>0.2</v>
      </c>
      <c r="M3510" t="s">
        <v>205</v>
      </c>
    </row>
    <row r="3511" spans="1:13" hidden="1">
      <c r="A3511" t="s">
        <v>124</v>
      </c>
      <c r="B3511" t="s">
        <v>8</v>
      </c>
      <c r="C3511" t="s">
        <v>123</v>
      </c>
      <c r="D3511" t="str">
        <f>LEFT(M3511,10)</f>
        <v>12/15/2024</v>
      </c>
      <c r="E3511" t="s">
        <v>202</v>
      </c>
      <c r="F3511" t="s">
        <v>218</v>
      </c>
      <c r="G3511" t="s">
        <v>222</v>
      </c>
      <c r="I3511">
        <v>850</v>
      </c>
      <c r="J3511">
        <v>1317.5</v>
      </c>
      <c r="K3511">
        <v>1.55</v>
      </c>
      <c r="M3511" t="s">
        <v>205</v>
      </c>
    </row>
    <row r="3512" spans="1:13" hidden="1">
      <c r="A3512" t="s">
        <v>124</v>
      </c>
      <c r="B3512" t="s">
        <v>8</v>
      </c>
      <c r="C3512" t="s">
        <v>123</v>
      </c>
      <c r="D3512" t="str">
        <f>LEFT(M3512,10)</f>
        <v>12/15/2024</v>
      </c>
      <c r="E3512" t="s">
        <v>202</v>
      </c>
      <c r="F3512" t="s">
        <v>218</v>
      </c>
      <c r="G3512" t="s">
        <v>268</v>
      </c>
      <c r="I3512">
        <v>60</v>
      </c>
      <c r="J3512">
        <v>48</v>
      </c>
      <c r="K3512">
        <v>0.8</v>
      </c>
      <c r="M3512" t="s">
        <v>205</v>
      </c>
    </row>
    <row r="3513" spans="1:13" hidden="1">
      <c r="A3513" t="s">
        <v>124</v>
      </c>
      <c r="B3513" t="s">
        <v>8</v>
      </c>
      <c r="C3513" t="s">
        <v>123</v>
      </c>
      <c r="D3513" t="str">
        <f>LEFT(M3513,10)</f>
        <v>12/15/2024</v>
      </c>
      <c r="E3513" t="s">
        <v>202</v>
      </c>
      <c r="F3513" t="s">
        <v>218</v>
      </c>
      <c r="G3513" t="s">
        <v>243</v>
      </c>
      <c r="H3513" t="s">
        <v>503</v>
      </c>
      <c r="I3513">
        <v>600</v>
      </c>
      <c r="J3513">
        <v>300</v>
      </c>
      <c r="K3513">
        <v>0.5</v>
      </c>
      <c r="M3513" t="s">
        <v>205</v>
      </c>
    </row>
    <row r="3514" spans="1:13" hidden="1">
      <c r="A3514" t="s">
        <v>124</v>
      </c>
      <c r="B3514" t="s">
        <v>8</v>
      </c>
      <c r="C3514" t="s">
        <v>123</v>
      </c>
      <c r="D3514" t="str">
        <f>LEFT(M3514,10)</f>
        <v>12/15/2024</v>
      </c>
      <c r="E3514" t="s">
        <v>202</v>
      </c>
      <c r="F3514" t="s">
        <v>218</v>
      </c>
      <c r="G3514" t="s">
        <v>243</v>
      </c>
      <c r="H3514" t="s">
        <v>305</v>
      </c>
      <c r="I3514">
        <v>500</v>
      </c>
      <c r="J3514">
        <v>900</v>
      </c>
      <c r="K3514">
        <v>1.8</v>
      </c>
      <c r="M3514" t="s">
        <v>205</v>
      </c>
    </row>
    <row r="3515" spans="1:13" hidden="1">
      <c r="A3515" t="s">
        <v>124</v>
      </c>
      <c r="B3515" t="s">
        <v>8</v>
      </c>
      <c r="C3515" t="s">
        <v>123</v>
      </c>
      <c r="D3515" t="str">
        <f>LEFT(M3515,10)</f>
        <v>12/15/2024</v>
      </c>
      <c r="E3515" t="s">
        <v>202</v>
      </c>
      <c r="F3515" t="s">
        <v>218</v>
      </c>
      <c r="G3515" t="s">
        <v>243</v>
      </c>
      <c r="H3515" t="s">
        <v>418</v>
      </c>
      <c r="I3515">
        <v>150</v>
      </c>
      <c r="J3515">
        <v>300</v>
      </c>
      <c r="K3515">
        <v>2</v>
      </c>
      <c r="M3515" t="s">
        <v>205</v>
      </c>
    </row>
    <row r="3516" spans="1:13" hidden="1">
      <c r="A3516" t="s">
        <v>124</v>
      </c>
      <c r="B3516" t="s">
        <v>8</v>
      </c>
      <c r="C3516" t="s">
        <v>123</v>
      </c>
      <c r="D3516" t="str">
        <f>LEFT(M3516,10)</f>
        <v>12/15/2024</v>
      </c>
      <c r="E3516" t="s">
        <v>202</v>
      </c>
      <c r="F3516" t="s">
        <v>218</v>
      </c>
      <c r="G3516" t="s">
        <v>243</v>
      </c>
      <c r="H3516" t="s">
        <v>504</v>
      </c>
      <c r="I3516">
        <v>50</v>
      </c>
      <c r="J3516">
        <v>200</v>
      </c>
      <c r="K3516">
        <v>4</v>
      </c>
      <c r="M3516" t="s">
        <v>205</v>
      </c>
    </row>
    <row r="3517" spans="1:13" hidden="1">
      <c r="A3517" t="s">
        <v>124</v>
      </c>
      <c r="B3517" t="s">
        <v>8</v>
      </c>
      <c r="C3517" t="s">
        <v>123</v>
      </c>
      <c r="D3517" t="str">
        <f>LEFT(M3517,10)</f>
        <v>12/15/2024</v>
      </c>
      <c r="E3517" t="s">
        <v>202</v>
      </c>
      <c r="F3517" t="s">
        <v>218</v>
      </c>
      <c r="G3517" t="s">
        <v>243</v>
      </c>
      <c r="H3517" t="s">
        <v>420</v>
      </c>
      <c r="I3517">
        <v>300</v>
      </c>
      <c r="J3517">
        <v>765</v>
      </c>
      <c r="K3517">
        <v>2.5499999999999998</v>
      </c>
      <c r="M3517" t="s">
        <v>205</v>
      </c>
    </row>
    <row r="3518" spans="1:13" hidden="1">
      <c r="A3518" t="s">
        <v>124</v>
      </c>
      <c r="B3518" t="s">
        <v>8</v>
      </c>
      <c r="C3518" t="s">
        <v>123</v>
      </c>
      <c r="D3518" t="str">
        <f>LEFT(M3518,10)</f>
        <v>12/15/2024</v>
      </c>
      <c r="E3518" t="s">
        <v>202</v>
      </c>
      <c r="F3518" t="s">
        <v>218</v>
      </c>
      <c r="G3518" t="s">
        <v>243</v>
      </c>
      <c r="H3518" t="s">
        <v>415</v>
      </c>
      <c r="I3518">
        <v>60</v>
      </c>
      <c r="J3518">
        <v>150</v>
      </c>
      <c r="K3518">
        <v>2.5</v>
      </c>
      <c r="M3518" t="s">
        <v>205</v>
      </c>
    </row>
    <row r="3519" spans="1:13" hidden="1">
      <c r="A3519" t="s">
        <v>124</v>
      </c>
      <c r="B3519" t="s">
        <v>8</v>
      </c>
      <c r="C3519" t="s">
        <v>123</v>
      </c>
      <c r="D3519" t="str">
        <f>LEFT(M3519,10)</f>
        <v>12/15/2024</v>
      </c>
      <c r="E3519" t="s">
        <v>202</v>
      </c>
      <c r="F3519" t="s">
        <v>218</v>
      </c>
      <c r="G3519" t="s">
        <v>243</v>
      </c>
      <c r="H3519" t="s">
        <v>421</v>
      </c>
      <c r="I3519">
        <v>50</v>
      </c>
      <c r="J3519">
        <v>72.5</v>
      </c>
      <c r="K3519">
        <v>1.45</v>
      </c>
      <c r="M3519" t="s">
        <v>205</v>
      </c>
    </row>
    <row r="3520" spans="1:13" hidden="1">
      <c r="A3520" t="s">
        <v>124</v>
      </c>
      <c r="B3520" t="s">
        <v>8</v>
      </c>
      <c r="C3520" t="s">
        <v>123</v>
      </c>
      <c r="D3520" t="str">
        <f>LEFT(M3520,10)</f>
        <v>12/15/2024</v>
      </c>
      <c r="E3520" t="s">
        <v>202</v>
      </c>
      <c r="F3520" t="s">
        <v>218</v>
      </c>
      <c r="G3520" t="s">
        <v>243</v>
      </c>
      <c r="H3520" t="s">
        <v>505</v>
      </c>
      <c r="I3520">
        <v>400</v>
      </c>
      <c r="J3520">
        <v>80</v>
      </c>
      <c r="K3520">
        <v>0.2</v>
      </c>
      <c r="M3520" t="s">
        <v>205</v>
      </c>
    </row>
    <row r="3521" spans="1:13" hidden="1">
      <c r="A3521" t="s">
        <v>124</v>
      </c>
      <c r="B3521" t="s">
        <v>8</v>
      </c>
      <c r="C3521" t="s">
        <v>123</v>
      </c>
      <c r="D3521" t="str">
        <f>LEFT(M3521,10)</f>
        <v>12/15/2024</v>
      </c>
      <c r="E3521" t="s">
        <v>234</v>
      </c>
      <c r="F3521" t="s">
        <v>234</v>
      </c>
      <c r="I3521">
        <v>4451</v>
      </c>
      <c r="M3521" t="s">
        <v>205</v>
      </c>
    </row>
    <row r="3522" spans="1:13" hidden="1">
      <c r="A3522" t="s">
        <v>124</v>
      </c>
      <c r="B3522" t="s">
        <v>8</v>
      </c>
      <c r="C3522" t="s">
        <v>123</v>
      </c>
      <c r="D3522" t="str">
        <f>LEFT(M3522,10)</f>
        <v>12/15/2024</v>
      </c>
      <c r="E3522" t="s">
        <v>230</v>
      </c>
      <c r="F3522" t="s">
        <v>248</v>
      </c>
      <c r="I3522">
        <v>0</v>
      </c>
      <c r="J3522">
        <v>8478.4500000000007</v>
      </c>
      <c r="M3522" t="s">
        <v>205</v>
      </c>
    </row>
    <row r="3523" spans="1:13" hidden="1">
      <c r="A3523" t="s">
        <v>124</v>
      </c>
      <c r="B3523" t="s">
        <v>8</v>
      </c>
      <c r="C3523" t="s">
        <v>123</v>
      </c>
      <c r="D3523" t="str">
        <f>LEFT(M3523,10)</f>
        <v>12/15/2024</v>
      </c>
      <c r="E3523" t="s">
        <v>232</v>
      </c>
      <c r="F3523" t="s">
        <v>255</v>
      </c>
      <c r="I3523">
        <v>0</v>
      </c>
      <c r="J3523">
        <v>90000</v>
      </c>
      <c r="L3523" t="s">
        <v>506</v>
      </c>
      <c r="M3523" t="s">
        <v>205</v>
      </c>
    </row>
    <row r="3524" spans="1:13" hidden="1">
      <c r="A3524" t="s">
        <v>149</v>
      </c>
      <c r="B3524" t="s">
        <v>8</v>
      </c>
      <c r="C3524" t="s">
        <v>148</v>
      </c>
      <c r="D3524" t="str">
        <f>LEFT(M3524,10)</f>
        <v>12/15/2024</v>
      </c>
      <c r="E3524" t="s">
        <v>234</v>
      </c>
      <c r="F3524" t="s">
        <v>234</v>
      </c>
      <c r="G3524" t="s">
        <v>249</v>
      </c>
      <c r="I3524">
        <v>9800</v>
      </c>
      <c r="M3524" t="s">
        <v>205</v>
      </c>
    </row>
    <row r="3525" spans="1:13" hidden="1">
      <c r="A3525" t="s">
        <v>149</v>
      </c>
      <c r="B3525" t="s">
        <v>8</v>
      </c>
      <c r="C3525" t="s">
        <v>148</v>
      </c>
      <c r="D3525" t="str">
        <f>LEFT(M3525,10)</f>
        <v>12/15/2024</v>
      </c>
      <c r="E3525" t="s">
        <v>232</v>
      </c>
      <c r="F3525" t="s">
        <v>255</v>
      </c>
      <c r="G3525" t="s">
        <v>249</v>
      </c>
      <c r="I3525">
        <v>0</v>
      </c>
      <c r="J3525">
        <v>3473.83</v>
      </c>
      <c r="L3525" t="s">
        <v>507</v>
      </c>
      <c r="M3525" t="s">
        <v>205</v>
      </c>
    </row>
    <row r="3526" spans="1:13" hidden="1">
      <c r="A3526" t="s">
        <v>149</v>
      </c>
      <c r="B3526" t="s">
        <v>8</v>
      </c>
      <c r="C3526" t="s">
        <v>148</v>
      </c>
      <c r="D3526" t="str">
        <f>LEFT(M3526,10)</f>
        <v>12/15/2024</v>
      </c>
      <c r="E3526" t="s">
        <v>230</v>
      </c>
      <c r="F3526" t="s">
        <v>248</v>
      </c>
      <c r="G3526" t="s">
        <v>249</v>
      </c>
      <c r="I3526">
        <v>0</v>
      </c>
      <c r="J3526">
        <v>11465.3</v>
      </c>
      <c r="M3526" t="s">
        <v>205</v>
      </c>
    </row>
    <row r="3527" spans="1:13" hidden="1">
      <c r="A3527" t="s">
        <v>149</v>
      </c>
      <c r="B3527" t="s">
        <v>8</v>
      </c>
      <c r="C3527" t="s">
        <v>148</v>
      </c>
      <c r="D3527" t="str">
        <f>LEFT(M3527,10)</f>
        <v>12/15/2024</v>
      </c>
      <c r="E3527" t="s">
        <v>202</v>
      </c>
      <c r="F3527" t="s">
        <v>218</v>
      </c>
      <c r="G3527" t="s">
        <v>225</v>
      </c>
      <c r="I3527">
        <v>113</v>
      </c>
      <c r="J3527">
        <v>135.6</v>
      </c>
      <c r="K3527">
        <v>1.2</v>
      </c>
      <c r="M3527" t="s">
        <v>205</v>
      </c>
    </row>
    <row r="3528" spans="1:13" hidden="1">
      <c r="A3528" t="s">
        <v>149</v>
      </c>
      <c r="B3528" t="s">
        <v>8</v>
      </c>
      <c r="C3528" t="s">
        <v>148</v>
      </c>
      <c r="D3528" t="str">
        <f>LEFT(M3528,10)</f>
        <v>12/15/2024</v>
      </c>
      <c r="E3528" t="s">
        <v>202</v>
      </c>
      <c r="F3528" t="s">
        <v>218</v>
      </c>
      <c r="G3528" t="s">
        <v>240</v>
      </c>
      <c r="I3528">
        <v>518</v>
      </c>
      <c r="J3528">
        <v>1398.6</v>
      </c>
      <c r="K3528">
        <v>2.7</v>
      </c>
      <c r="M3528" t="s">
        <v>205</v>
      </c>
    </row>
    <row r="3529" spans="1:13" hidden="1">
      <c r="A3529" t="s">
        <v>149</v>
      </c>
      <c r="B3529" t="s">
        <v>8</v>
      </c>
      <c r="C3529" t="s">
        <v>148</v>
      </c>
      <c r="D3529" t="str">
        <f>LEFT(M3529,10)</f>
        <v>12/15/2024</v>
      </c>
      <c r="E3529" t="s">
        <v>202</v>
      </c>
      <c r="F3529" t="s">
        <v>218</v>
      </c>
      <c r="G3529" t="s">
        <v>219</v>
      </c>
      <c r="I3529">
        <v>335</v>
      </c>
      <c r="J3529">
        <v>871</v>
      </c>
      <c r="K3529">
        <v>2.6</v>
      </c>
      <c r="M3529" t="s">
        <v>205</v>
      </c>
    </row>
    <row r="3530" spans="1:13" hidden="1">
      <c r="A3530" t="s">
        <v>149</v>
      </c>
      <c r="B3530" t="s">
        <v>8</v>
      </c>
      <c r="C3530" t="s">
        <v>148</v>
      </c>
      <c r="D3530" t="str">
        <f>LEFT(M3530,10)</f>
        <v>12/15/2024</v>
      </c>
      <c r="E3530" t="s">
        <v>202</v>
      </c>
      <c r="F3530" t="s">
        <v>218</v>
      </c>
      <c r="G3530" t="s">
        <v>219</v>
      </c>
      <c r="I3530">
        <v>433</v>
      </c>
      <c r="J3530">
        <v>606.20000000000005</v>
      </c>
      <c r="K3530">
        <v>1.4</v>
      </c>
      <c r="M3530" t="s">
        <v>205</v>
      </c>
    </row>
    <row r="3531" spans="1:13" hidden="1">
      <c r="A3531" t="s">
        <v>149</v>
      </c>
      <c r="B3531" t="s">
        <v>8</v>
      </c>
      <c r="C3531" t="s">
        <v>148</v>
      </c>
      <c r="D3531" t="str">
        <f>LEFT(M3531,10)</f>
        <v>12/15/2024</v>
      </c>
      <c r="E3531" t="s">
        <v>202</v>
      </c>
      <c r="F3531" t="s">
        <v>218</v>
      </c>
      <c r="G3531" t="s">
        <v>219</v>
      </c>
      <c r="I3531">
        <v>303</v>
      </c>
      <c r="J3531">
        <v>424.2</v>
      </c>
      <c r="K3531">
        <v>1.4</v>
      </c>
      <c r="M3531" t="s">
        <v>205</v>
      </c>
    </row>
    <row r="3532" spans="1:13" hidden="1">
      <c r="A3532" t="s">
        <v>149</v>
      </c>
      <c r="B3532" t="s">
        <v>8</v>
      </c>
      <c r="C3532" t="s">
        <v>148</v>
      </c>
      <c r="D3532" t="str">
        <f>LEFT(M3532,10)</f>
        <v>12/15/2024</v>
      </c>
      <c r="E3532" t="s">
        <v>202</v>
      </c>
      <c r="F3532" t="s">
        <v>218</v>
      </c>
      <c r="G3532" t="s">
        <v>242</v>
      </c>
      <c r="I3532">
        <v>75</v>
      </c>
      <c r="J3532">
        <v>75</v>
      </c>
      <c r="K3532">
        <v>1</v>
      </c>
      <c r="M3532" t="s">
        <v>205</v>
      </c>
    </row>
    <row r="3533" spans="1:13" hidden="1">
      <c r="A3533" t="s">
        <v>149</v>
      </c>
      <c r="B3533" t="s">
        <v>8</v>
      </c>
      <c r="C3533" t="s">
        <v>148</v>
      </c>
      <c r="D3533" t="str">
        <f>LEFT(M3533,10)</f>
        <v>12/15/2024</v>
      </c>
      <c r="E3533" t="s">
        <v>202</v>
      </c>
      <c r="F3533" t="s">
        <v>218</v>
      </c>
      <c r="G3533" t="s">
        <v>241</v>
      </c>
      <c r="I3533">
        <v>366</v>
      </c>
      <c r="J3533">
        <v>1573.8</v>
      </c>
      <c r="K3533">
        <v>4.3</v>
      </c>
      <c r="M3533" t="s">
        <v>205</v>
      </c>
    </row>
    <row r="3534" spans="1:13" hidden="1">
      <c r="A3534" t="s">
        <v>149</v>
      </c>
      <c r="B3534" t="s">
        <v>8</v>
      </c>
      <c r="C3534" t="s">
        <v>148</v>
      </c>
      <c r="D3534" t="str">
        <f>LEFT(M3534,10)</f>
        <v>12/15/2024</v>
      </c>
      <c r="E3534" t="s">
        <v>202</v>
      </c>
      <c r="F3534" t="s">
        <v>218</v>
      </c>
      <c r="G3534" t="s">
        <v>222</v>
      </c>
      <c r="I3534">
        <v>298</v>
      </c>
      <c r="J3534">
        <v>447</v>
      </c>
      <c r="K3534">
        <v>1.5</v>
      </c>
      <c r="M3534" t="s">
        <v>205</v>
      </c>
    </row>
    <row r="3535" spans="1:13" hidden="1">
      <c r="A3535" t="s">
        <v>149</v>
      </c>
      <c r="B3535" t="s">
        <v>8</v>
      </c>
      <c r="C3535" t="s">
        <v>148</v>
      </c>
      <c r="D3535" t="str">
        <f>LEFT(M3535,10)</f>
        <v>12/15/2024</v>
      </c>
      <c r="E3535" t="s">
        <v>202</v>
      </c>
      <c r="F3535" t="s">
        <v>218</v>
      </c>
      <c r="G3535" t="s">
        <v>219</v>
      </c>
      <c r="I3535">
        <v>437</v>
      </c>
      <c r="J3535">
        <v>305.89999999999998</v>
      </c>
      <c r="K3535">
        <v>0.7</v>
      </c>
      <c r="M3535" t="s">
        <v>205</v>
      </c>
    </row>
    <row r="3536" spans="1:13" hidden="1">
      <c r="A3536" t="s">
        <v>149</v>
      </c>
      <c r="B3536" t="s">
        <v>8</v>
      </c>
      <c r="C3536" t="s">
        <v>148</v>
      </c>
      <c r="D3536" t="str">
        <f>LEFT(M3536,10)</f>
        <v>12/15/2024</v>
      </c>
      <c r="E3536" t="s">
        <v>202</v>
      </c>
      <c r="F3536" t="s">
        <v>218</v>
      </c>
      <c r="G3536" t="s">
        <v>219</v>
      </c>
      <c r="I3536">
        <v>1350</v>
      </c>
      <c r="J3536">
        <v>1215</v>
      </c>
      <c r="K3536">
        <v>0.9</v>
      </c>
      <c r="M3536" t="s">
        <v>205</v>
      </c>
    </row>
    <row r="3537" spans="1:13" hidden="1">
      <c r="A3537" t="s">
        <v>149</v>
      </c>
      <c r="B3537" t="s">
        <v>8</v>
      </c>
      <c r="C3537" t="s">
        <v>148</v>
      </c>
      <c r="D3537" t="str">
        <f>LEFT(M3537,10)</f>
        <v>12/15/2024</v>
      </c>
      <c r="E3537" t="s">
        <v>202</v>
      </c>
      <c r="F3537" t="s">
        <v>218</v>
      </c>
      <c r="G3537" t="s">
        <v>219</v>
      </c>
      <c r="I3537">
        <v>311</v>
      </c>
      <c r="J3537">
        <v>559.79999999999995</v>
      </c>
      <c r="K3537">
        <v>1.8</v>
      </c>
      <c r="M3537" t="s">
        <v>205</v>
      </c>
    </row>
    <row r="3538" spans="1:13" hidden="1">
      <c r="A3538" t="s">
        <v>149</v>
      </c>
      <c r="B3538" t="s">
        <v>8</v>
      </c>
      <c r="C3538" t="s">
        <v>148</v>
      </c>
      <c r="D3538" t="str">
        <f>LEFT(M3538,10)</f>
        <v>12/15/2024</v>
      </c>
      <c r="E3538" t="s">
        <v>202</v>
      </c>
      <c r="F3538" t="s">
        <v>218</v>
      </c>
      <c r="G3538" t="s">
        <v>240</v>
      </c>
      <c r="I3538">
        <v>1519</v>
      </c>
      <c r="J3538">
        <v>6531.7</v>
      </c>
      <c r="K3538">
        <v>4.3</v>
      </c>
      <c r="M3538" t="s">
        <v>205</v>
      </c>
    </row>
    <row r="3539" spans="1:13" hidden="1">
      <c r="A3539" t="s">
        <v>149</v>
      </c>
      <c r="B3539" t="s">
        <v>8</v>
      </c>
      <c r="C3539" t="s">
        <v>148</v>
      </c>
      <c r="D3539" t="str">
        <f>LEFT(M3539,10)</f>
        <v>12/15/2024</v>
      </c>
      <c r="E3539" t="s">
        <v>202</v>
      </c>
      <c r="F3539" t="s">
        <v>218</v>
      </c>
      <c r="G3539" t="s">
        <v>240</v>
      </c>
      <c r="I3539">
        <v>679</v>
      </c>
      <c r="J3539">
        <v>1018.5</v>
      </c>
      <c r="K3539">
        <v>1.5</v>
      </c>
      <c r="M3539" t="s">
        <v>205</v>
      </c>
    </row>
    <row r="3540" spans="1:13" hidden="1">
      <c r="A3540" t="s">
        <v>149</v>
      </c>
      <c r="B3540" t="s">
        <v>8</v>
      </c>
      <c r="C3540" t="s">
        <v>148</v>
      </c>
      <c r="D3540" t="str">
        <f>LEFT(M3540,10)</f>
        <v>12/15/2024</v>
      </c>
      <c r="E3540" t="s">
        <v>202</v>
      </c>
      <c r="F3540" t="s">
        <v>218</v>
      </c>
      <c r="G3540" t="s">
        <v>224</v>
      </c>
      <c r="I3540">
        <v>120</v>
      </c>
      <c r="J3540">
        <v>144</v>
      </c>
      <c r="K3540">
        <v>1.2</v>
      </c>
      <c r="M3540" t="s">
        <v>205</v>
      </c>
    </row>
    <row r="3541" spans="1:13" hidden="1">
      <c r="A3541" t="s">
        <v>149</v>
      </c>
      <c r="B3541" t="s">
        <v>8</v>
      </c>
      <c r="C3541" t="s">
        <v>148</v>
      </c>
      <c r="D3541" t="str">
        <f>LEFT(M3541,10)</f>
        <v>12/15/2024</v>
      </c>
      <c r="E3541" t="s">
        <v>202</v>
      </c>
      <c r="F3541" t="s">
        <v>218</v>
      </c>
      <c r="G3541" t="s">
        <v>240</v>
      </c>
      <c r="I3541">
        <v>232</v>
      </c>
      <c r="J3541">
        <v>997.6</v>
      </c>
      <c r="K3541">
        <v>4.3</v>
      </c>
      <c r="M3541" t="s">
        <v>205</v>
      </c>
    </row>
    <row r="3542" spans="1:13" hidden="1">
      <c r="A3542" t="s">
        <v>149</v>
      </c>
      <c r="B3542" t="s">
        <v>8</v>
      </c>
      <c r="C3542" t="s">
        <v>148</v>
      </c>
      <c r="D3542" t="str">
        <f>LEFT(M3542,10)</f>
        <v>12/15/2024</v>
      </c>
      <c r="E3542" t="s">
        <v>202</v>
      </c>
      <c r="F3542" t="s">
        <v>216</v>
      </c>
      <c r="G3542" t="s">
        <v>253</v>
      </c>
      <c r="I3542">
        <v>2800</v>
      </c>
      <c r="J3542">
        <v>560</v>
      </c>
      <c r="K3542">
        <v>0.2</v>
      </c>
      <c r="M3542" t="s">
        <v>205</v>
      </c>
    </row>
    <row r="3543" spans="1:13" hidden="1">
      <c r="A3543" t="s">
        <v>149</v>
      </c>
      <c r="B3543" t="s">
        <v>8</v>
      </c>
      <c r="C3543" t="s">
        <v>148</v>
      </c>
      <c r="D3543" t="str">
        <f>LEFT(M3543,10)</f>
        <v>12/15/2024</v>
      </c>
      <c r="E3543" t="s">
        <v>202</v>
      </c>
      <c r="F3543" t="s">
        <v>216</v>
      </c>
      <c r="G3543" t="s">
        <v>253</v>
      </c>
      <c r="I3543">
        <v>11666.6666</v>
      </c>
      <c r="J3543">
        <v>1399.99</v>
      </c>
      <c r="K3543">
        <v>0.12</v>
      </c>
      <c r="M3543" t="s">
        <v>205</v>
      </c>
    </row>
    <row r="3544" spans="1:13" hidden="1">
      <c r="A3544" t="s">
        <v>149</v>
      </c>
      <c r="B3544" t="s">
        <v>8</v>
      </c>
      <c r="C3544" t="s">
        <v>148</v>
      </c>
      <c r="D3544" t="str">
        <f>LEFT(M3544,10)</f>
        <v>12/15/2024</v>
      </c>
      <c r="E3544" t="s">
        <v>202</v>
      </c>
      <c r="F3544" t="s">
        <v>227</v>
      </c>
      <c r="G3544" t="s">
        <v>228</v>
      </c>
      <c r="I3544">
        <v>268</v>
      </c>
      <c r="J3544">
        <v>227.8</v>
      </c>
      <c r="K3544">
        <v>0.85</v>
      </c>
      <c r="M3544" t="s">
        <v>205</v>
      </c>
    </row>
    <row r="3545" spans="1:13" hidden="1">
      <c r="A3545" t="s">
        <v>149</v>
      </c>
      <c r="B3545" t="s">
        <v>8</v>
      </c>
      <c r="C3545" t="s">
        <v>148</v>
      </c>
      <c r="D3545" t="str">
        <f>LEFT(M3545,10)</f>
        <v>12/15/2024</v>
      </c>
      <c r="E3545" t="s">
        <v>202</v>
      </c>
      <c r="F3545" t="s">
        <v>227</v>
      </c>
      <c r="G3545" t="s">
        <v>228</v>
      </c>
      <c r="I3545">
        <v>1582</v>
      </c>
      <c r="J3545">
        <v>1107.4000000000001</v>
      </c>
      <c r="K3545">
        <v>0.7</v>
      </c>
      <c r="M3545" t="s">
        <v>205</v>
      </c>
    </row>
    <row r="3546" spans="1:13" hidden="1">
      <c r="A3546" t="s">
        <v>149</v>
      </c>
      <c r="B3546" t="s">
        <v>8</v>
      </c>
      <c r="C3546" t="s">
        <v>148</v>
      </c>
      <c r="D3546" t="str">
        <f>LEFT(M3546,10)</f>
        <v>12/15/2024</v>
      </c>
      <c r="E3546" t="s">
        <v>202</v>
      </c>
      <c r="F3546" t="s">
        <v>227</v>
      </c>
      <c r="G3546" t="s">
        <v>238</v>
      </c>
      <c r="I3546">
        <v>572</v>
      </c>
      <c r="J3546">
        <v>228.8</v>
      </c>
      <c r="K3546">
        <v>0.4</v>
      </c>
      <c r="M3546" t="s">
        <v>205</v>
      </c>
    </row>
    <row r="3547" spans="1:13" hidden="1">
      <c r="A3547" t="s">
        <v>149</v>
      </c>
      <c r="B3547" t="s">
        <v>8</v>
      </c>
      <c r="C3547" t="s">
        <v>148</v>
      </c>
      <c r="D3547" t="str">
        <f>LEFT(M3547,10)</f>
        <v>12/15/2024</v>
      </c>
      <c r="E3547" t="s">
        <v>202</v>
      </c>
      <c r="F3547" t="s">
        <v>227</v>
      </c>
      <c r="G3547" t="s">
        <v>228</v>
      </c>
      <c r="I3547">
        <v>3801</v>
      </c>
      <c r="J3547">
        <v>1140.3</v>
      </c>
      <c r="K3547">
        <v>0.3</v>
      </c>
      <c r="M3547" t="s">
        <v>205</v>
      </c>
    </row>
    <row r="3548" spans="1:13" hidden="1">
      <c r="A3548" t="s">
        <v>149</v>
      </c>
      <c r="B3548" t="s">
        <v>8</v>
      </c>
      <c r="C3548" t="s">
        <v>148</v>
      </c>
      <c r="D3548" t="str">
        <f>LEFT(M3548,10)</f>
        <v>12/15/2024</v>
      </c>
      <c r="E3548" t="s">
        <v>202</v>
      </c>
      <c r="F3548" t="s">
        <v>227</v>
      </c>
      <c r="G3548" t="s">
        <v>229</v>
      </c>
      <c r="I3548">
        <v>7334</v>
      </c>
      <c r="J3548">
        <v>6233.9</v>
      </c>
      <c r="K3548">
        <v>0.85</v>
      </c>
      <c r="M3548" t="s">
        <v>205</v>
      </c>
    </row>
    <row r="3549" spans="1:13" hidden="1">
      <c r="A3549" t="s">
        <v>149</v>
      </c>
      <c r="B3549" t="s">
        <v>8</v>
      </c>
      <c r="C3549" t="s">
        <v>148</v>
      </c>
      <c r="D3549" t="str">
        <f>LEFT(M3549,10)</f>
        <v>12/15/2024</v>
      </c>
      <c r="E3549" t="s">
        <v>202</v>
      </c>
      <c r="F3549" t="s">
        <v>227</v>
      </c>
      <c r="G3549" t="s">
        <v>252</v>
      </c>
      <c r="I3549">
        <v>594</v>
      </c>
      <c r="J3549">
        <v>237.6</v>
      </c>
      <c r="K3549">
        <v>0.4</v>
      </c>
      <c r="M3549" t="s">
        <v>205</v>
      </c>
    </row>
    <row r="3550" spans="1:13" hidden="1">
      <c r="A3550" t="s">
        <v>149</v>
      </c>
      <c r="B3550" t="s">
        <v>8</v>
      </c>
      <c r="C3550" t="s">
        <v>148</v>
      </c>
      <c r="D3550" t="str">
        <f>LEFT(M3550,10)</f>
        <v>12/15/2024</v>
      </c>
      <c r="E3550" t="s">
        <v>202</v>
      </c>
      <c r="F3550" t="s">
        <v>203</v>
      </c>
      <c r="G3550" t="s">
        <v>236</v>
      </c>
      <c r="I3550">
        <v>1650</v>
      </c>
      <c r="J3550">
        <v>1155</v>
      </c>
      <c r="K3550">
        <v>0.7</v>
      </c>
      <c r="M3550" t="s">
        <v>205</v>
      </c>
    </row>
    <row r="3551" spans="1:13" hidden="1">
      <c r="A3551" t="s">
        <v>149</v>
      </c>
      <c r="B3551" t="s">
        <v>8</v>
      </c>
      <c r="C3551" t="s">
        <v>148</v>
      </c>
      <c r="D3551" t="str">
        <f>LEFT(M3551,10)</f>
        <v>12/15/2024</v>
      </c>
      <c r="E3551" t="s">
        <v>202</v>
      </c>
      <c r="F3551" t="s">
        <v>203</v>
      </c>
      <c r="G3551" t="s">
        <v>204</v>
      </c>
      <c r="I3551">
        <v>165.4</v>
      </c>
      <c r="J3551">
        <v>1356.28</v>
      </c>
      <c r="K3551">
        <v>8.1999999999999993</v>
      </c>
      <c r="M3551" t="s">
        <v>205</v>
      </c>
    </row>
    <row r="3552" spans="1:13" hidden="1">
      <c r="A3552" t="s">
        <v>149</v>
      </c>
      <c r="B3552" t="s">
        <v>8</v>
      </c>
      <c r="C3552" t="s">
        <v>148</v>
      </c>
      <c r="D3552" t="str">
        <f>LEFT(M3552,10)</f>
        <v>12/15/2024</v>
      </c>
      <c r="E3552" t="s">
        <v>202</v>
      </c>
      <c r="F3552" t="s">
        <v>203</v>
      </c>
      <c r="G3552" t="s">
        <v>206</v>
      </c>
      <c r="I3552">
        <v>30</v>
      </c>
      <c r="J3552">
        <v>270</v>
      </c>
      <c r="K3552">
        <v>9</v>
      </c>
      <c r="M3552" t="s">
        <v>205</v>
      </c>
    </row>
    <row r="3553" spans="1:13" hidden="1">
      <c r="A3553" t="s">
        <v>149</v>
      </c>
      <c r="B3553" t="s">
        <v>8</v>
      </c>
      <c r="C3553" t="s">
        <v>148</v>
      </c>
      <c r="D3553" t="str">
        <f>LEFT(M3553,10)</f>
        <v>12/15/2024</v>
      </c>
      <c r="E3553" t="s">
        <v>202</v>
      </c>
      <c r="F3553" t="s">
        <v>203</v>
      </c>
      <c r="G3553" t="s">
        <v>207</v>
      </c>
      <c r="I3553">
        <v>44.1</v>
      </c>
      <c r="J3553">
        <v>198.45</v>
      </c>
      <c r="K3553">
        <v>4.5</v>
      </c>
      <c r="M3553" t="s">
        <v>205</v>
      </c>
    </row>
    <row r="3554" spans="1:13" hidden="1">
      <c r="A3554" t="s">
        <v>149</v>
      </c>
      <c r="B3554" t="s">
        <v>8</v>
      </c>
      <c r="C3554" t="s">
        <v>148</v>
      </c>
      <c r="D3554" t="str">
        <f>LEFT(M3554,10)</f>
        <v>12/15/2024</v>
      </c>
      <c r="E3554" t="s">
        <v>202</v>
      </c>
      <c r="F3554" t="s">
        <v>203</v>
      </c>
      <c r="G3554" t="s">
        <v>260</v>
      </c>
      <c r="I3554">
        <v>15.2</v>
      </c>
      <c r="J3554">
        <v>623.20000000000005</v>
      </c>
      <c r="K3554">
        <v>41</v>
      </c>
      <c r="M3554" t="s">
        <v>205</v>
      </c>
    </row>
    <row r="3555" spans="1:13" hidden="1">
      <c r="A3555" t="s">
        <v>149</v>
      </c>
      <c r="B3555" t="s">
        <v>8</v>
      </c>
      <c r="C3555" t="s">
        <v>148</v>
      </c>
      <c r="D3555" t="str">
        <f>LEFT(M3555,10)</f>
        <v>12/15/2024</v>
      </c>
      <c r="E3555" t="s">
        <v>202</v>
      </c>
      <c r="F3555" t="s">
        <v>203</v>
      </c>
      <c r="G3555" t="s">
        <v>236</v>
      </c>
      <c r="I3555">
        <v>3.5</v>
      </c>
      <c r="J3555">
        <v>70</v>
      </c>
      <c r="K3555">
        <v>20</v>
      </c>
      <c r="M3555" t="s">
        <v>205</v>
      </c>
    </row>
    <row r="3556" spans="1:13" hidden="1">
      <c r="A3556" t="s">
        <v>137</v>
      </c>
      <c r="B3556" t="s">
        <v>8</v>
      </c>
      <c r="C3556" t="s">
        <v>12</v>
      </c>
      <c r="D3556" t="str">
        <f>LEFT(M3556,10)</f>
        <v>12/15/2024</v>
      </c>
      <c r="E3556" t="s">
        <v>202</v>
      </c>
      <c r="F3556" t="s">
        <v>227</v>
      </c>
      <c r="G3556" t="s">
        <v>237</v>
      </c>
      <c r="I3556">
        <v>700</v>
      </c>
      <c r="J3556">
        <v>490</v>
      </c>
      <c r="K3556">
        <v>0.7</v>
      </c>
      <c r="M3556" t="s">
        <v>205</v>
      </c>
    </row>
    <row r="3557" spans="1:13" hidden="1">
      <c r="A3557" t="s">
        <v>137</v>
      </c>
      <c r="B3557" t="s">
        <v>8</v>
      </c>
      <c r="C3557" t="s">
        <v>12</v>
      </c>
      <c r="D3557" t="str">
        <f>LEFT(M3557,10)</f>
        <v>12/15/2024</v>
      </c>
      <c r="E3557" t="s">
        <v>202</v>
      </c>
      <c r="F3557" t="s">
        <v>227</v>
      </c>
      <c r="G3557" t="s">
        <v>228</v>
      </c>
      <c r="I3557">
        <v>1200</v>
      </c>
      <c r="J3557">
        <v>300</v>
      </c>
      <c r="K3557">
        <v>0.25</v>
      </c>
      <c r="M3557" t="s">
        <v>205</v>
      </c>
    </row>
    <row r="3558" spans="1:13" hidden="1">
      <c r="A3558" t="s">
        <v>137</v>
      </c>
      <c r="B3558" t="s">
        <v>8</v>
      </c>
      <c r="C3558" t="s">
        <v>12</v>
      </c>
      <c r="D3558" t="str">
        <f>LEFT(M3558,10)</f>
        <v>12/15/2024</v>
      </c>
      <c r="E3558" t="s">
        <v>202</v>
      </c>
      <c r="F3558" t="s">
        <v>227</v>
      </c>
      <c r="G3558" t="s">
        <v>229</v>
      </c>
      <c r="I3558">
        <v>8050</v>
      </c>
      <c r="J3558">
        <v>6037.5</v>
      </c>
      <c r="K3558">
        <v>0.75</v>
      </c>
      <c r="M3558" t="s">
        <v>205</v>
      </c>
    </row>
    <row r="3559" spans="1:13" hidden="1">
      <c r="A3559" t="s">
        <v>137</v>
      </c>
      <c r="B3559" t="s">
        <v>8</v>
      </c>
      <c r="C3559" t="s">
        <v>12</v>
      </c>
      <c r="D3559" t="str">
        <f>LEFT(M3559,10)</f>
        <v>12/15/2024</v>
      </c>
      <c r="E3559" t="s">
        <v>202</v>
      </c>
      <c r="F3559" t="s">
        <v>227</v>
      </c>
      <c r="G3559" t="s">
        <v>252</v>
      </c>
      <c r="I3559">
        <v>600</v>
      </c>
      <c r="J3559">
        <v>180</v>
      </c>
      <c r="K3559">
        <v>0.3</v>
      </c>
      <c r="M3559" t="s">
        <v>205</v>
      </c>
    </row>
    <row r="3560" spans="1:13" hidden="1">
      <c r="A3560" t="s">
        <v>137</v>
      </c>
      <c r="B3560" t="s">
        <v>8</v>
      </c>
      <c r="C3560" t="s">
        <v>12</v>
      </c>
      <c r="D3560" t="str">
        <f>LEFT(M3560,10)</f>
        <v>12/15/2024</v>
      </c>
      <c r="E3560" t="s">
        <v>202</v>
      </c>
      <c r="F3560" t="s">
        <v>218</v>
      </c>
      <c r="G3560" t="s">
        <v>224</v>
      </c>
      <c r="I3560">
        <v>100</v>
      </c>
      <c r="J3560">
        <v>80</v>
      </c>
      <c r="K3560">
        <v>0.8</v>
      </c>
      <c r="M3560" t="s">
        <v>205</v>
      </c>
    </row>
    <row r="3561" spans="1:13" hidden="1">
      <c r="A3561" t="s">
        <v>137</v>
      </c>
      <c r="B3561" t="s">
        <v>8</v>
      </c>
      <c r="C3561" t="s">
        <v>12</v>
      </c>
      <c r="D3561" t="str">
        <f>LEFT(M3561,10)</f>
        <v>12/15/2024</v>
      </c>
      <c r="E3561" t="s">
        <v>202</v>
      </c>
      <c r="F3561" t="s">
        <v>218</v>
      </c>
      <c r="G3561" t="s">
        <v>221</v>
      </c>
      <c r="I3561">
        <v>800</v>
      </c>
      <c r="J3561">
        <v>1840</v>
      </c>
      <c r="K3561">
        <v>2.2999999999999998</v>
      </c>
      <c r="M3561" t="s">
        <v>205</v>
      </c>
    </row>
    <row r="3562" spans="1:13" hidden="1">
      <c r="A3562" t="s">
        <v>137</v>
      </c>
      <c r="B3562" t="s">
        <v>8</v>
      </c>
      <c r="C3562" t="s">
        <v>12</v>
      </c>
      <c r="D3562" t="str">
        <f>LEFT(M3562,10)</f>
        <v>12/15/2024</v>
      </c>
      <c r="E3562" t="s">
        <v>202</v>
      </c>
      <c r="F3562" t="s">
        <v>218</v>
      </c>
      <c r="G3562" t="s">
        <v>220</v>
      </c>
      <c r="I3562">
        <v>1300</v>
      </c>
      <c r="J3562">
        <v>1690</v>
      </c>
      <c r="K3562">
        <v>1.3</v>
      </c>
      <c r="M3562" t="s">
        <v>205</v>
      </c>
    </row>
    <row r="3563" spans="1:13" hidden="1">
      <c r="A3563" t="s">
        <v>137</v>
      </c>
      <c r="B3563" t="s">
        <v>8</v>
      </c>
      <c r="C3563" t="s">
        <v>12</v>
      </c>
      <c r="D3563" t="str">
        <f>LEFT(M3563,10)</f>
        <v>12/15/2024</v>
      </c>
      <c r="E3563" t="s">
        <v>202</v>
      </c>
      <c r="F3563" t="s">
        <v>218</v>
      </c>
      <c r="G3563" t="s">
        <v>247</v>
      </c>
      <c r="I3563">
        <v>150</v>
      </c>
      <c r="J3563">
        <v>495</v>
      </c>
      <c r="K3563">
        <v>3.3</v>
      </c>
      <c r="M3563" t="s">
        <v>205</v>
      </c>
    </row>
    <row r="3564" spans="1:13" hidden="1">
      <c r="A3564" t="s">
        <v>137</v>
      </c>
      <c r="B3564" t="s">
        <v>8</v>
      </c>
      <c r="C3564" t="s">
        <v>12</v>
      </c>
      <c r="D3564" t="str">
        <f>LEFT(M3564,10)</f>
        <v>12/15/2024</v>
      </c>
      <c r="E3564" t="s">
        <v>202</v>
      </c>
      <c r="F3564" t="s">
        <v>218</v>
      </c>
      <c r="G3564" t="s">
        <v>223</v>
      </c>
      <c r="I3564">
        <v>2100</v>
      </c>
      <c r="J3564">
        <v>1575</v>
      </c>
      <c r="K3564">
        <v>0.75</v>
      </c>
      <c r="M3564" t="s">
        <v>205</v>
      </c>
    </row>
    <row r="3565" spans="1:13" hidden="1">
      <c r="A3565" t="s">
        <v>137</v>
      </c>
      <c r="B3565" t="s">
        <v>8</v>
      </c>
      <c r="C3565" t="s">
        <v>12</v>
      </c>
      <c r="D3565" t="str">
        <f>LEFT(M3565,10)</f>
        <v>12/15/2024</v>
      </c>
      <c r="E3565" t="s">
        <v>202</v>
      </c>
      <c r="F3565" t="s">
        <v>218</v>
      </c>
      <c r="G3565" t="s">
        <v>241</v>
      </c>
      <c r="I3565">
        <v>600</v>
      </c>
      <c r="J3565">
        <v>2400</v>
      </c>
      <c r="K3565">
        <v>4</v>
      </c>
      <c r="M3565" t="s">
        <v>205</v>
      </c>
    </row>
    <row r="3566" spans="1:13" hidden="1">
      <c r="A3566" t="s">
        <v>137</v>
      </c>
      <c r="B3566" t="s">
        <v>8</v>
      </c>
      <c r="C3566" t="s">
        <v>12</v>
      </c>
      <c r="D3566" t="str">
        <f>LEFT(M3566,10)</f>
        <v>12/15/2024</v>
      </c>
      <c r="E3566" t="s">
        <v>202</v>
      </c>
      <c r="F3566" t="s">
        <v>218</v>
      </c>
      <c r="G3566" t="s">
        <v>240</v>
      </c>
      <c r="I3566">
        <v>600</v>
      </c>
      <c r="J3566">
        <v>2400</v>
      </c>
      <c r="K3566">
        <v>4</v>
      </c>
      <c r="M3566" t="s">
        <v>205</v>
      </c>
    </row>
    <row r="3567" spans="1:13" hidden="1">
      <c r="A3567" t="s">
        <v>137</v>
      </c>
      <c r="B3567" t="s">
        <v>8</v>
      </c>
      <c r="C3567" t="s">
        <v>12</v>
      </c>
      <c r="D3567" t="str">
        <f>LEFT(M3567,10)</f>
        <v>12/15/2024</v>
      </c>
      <c r="E3567" t="s">
        <v>202</v>
      </c>
      <c r="F3567" t="s">
        <v>218</v>
      </c>
      <c r="G3567" t="s">
        <v>242</v>
      </c>
      <c r="I3567">
        <v>100</v>
      </c>
      <c r="J3567">
        <v>120</v>
      </c>
      <c r="K3567">
        <v>1.2</v>
      </c>
      <c r="M3567" t="s">
        <v>205</v>
      </c>
    </row>
    <row r="3568" spans="1:13" hidden="1">
      <c r="A3568" t="s">
        <v>137</v>
      </c>
      <c r="B3568" t="s">
        <v>8</v>
      </c>
      <c r="C3568" t="s">
        <v>12</v>
      </c>
      <c r="D3568" t="str">
        <f>LEFT(M3568,10)</f>
        <v>12/15/2024</v>
      </c>
      <c r="E3568" t="s">
        <v>202</v>
      </c>
      <c r="F3568" t="s">
        <v>218</v>
      </c>
      <c r="G3568" t="s">
        <v>225</v>
      </c>
      <c r="I3568">
        <v>200</v>
      </c>
      <c r="J3568">
        <v>200</v>
      </c>
      <c r="K3568">
        <v>1</v>
      </c>
      <c r="M3568" t="s">
        <v>205</v>
      </c>
    </row>
    <row r="3569" spans="1:13" hidden="1">
      <c r="A3569" t="s">
        <v>137</v>
      </c>
      <c r="B3569" t="s">
        <v>8</v>
      </c>
      <c r="C3569" t="s">
        <v>12</v>
      </c>
      <c r="D3569" t="str">
        <f>LEFT(M3569,10)</f>
        <v>12/15/2024</v>
      </c>
      <c r="E3569" t="s">
        <v>202</v>
      </c>
      <c r="F3569" t="s">
        <v>218</v>
      </c>
      <c r="G3569" t="s">
        <v>222</v>
      </c>
      <c r="I3569">
        <v>1500</v>
      </c>
      <c r="J3569">
        <v>1950</v>
      </c>
      <c r="K3569">
        <v>1.3</v>
      </c>
      <c r="M3569" t="s">
        <v>205</v>
      </c>
    </row>
    <row r="3570" spans="1:13" hidden="1">
      <c r="A3570" t="s">
        <v>137</v>
      </c>
      <c r="B3570" t="s">
        <v>8</v>
      </c>
      <c r="C3570" t="s">
        <v>12</v>
      </c>
      <c r="D3570" t="str">
        <f>LEFT(M3570,10)</f>
        <v>12/15/2024</v>
      </c>
      <c r="E3570" t="s">
        <v>202</v>
      </c>
      <c r="F3570" t="s">
        <v>218</v>
      </c>
      <c r="G3570" t="s">
        <v>266</v>
      </c>
      <c r="I3570">
        <v>150</v>
      </c>
      <c r="J3570">
        <v>7.5</v>
      </c>
      <c r="K3570">
        <v>0.05</v>
      </c>
      <c r="M3570" t="s">
        <v>205</v>
      </c>
    </row>
    <row r="3571" spans="1:13" hidden="1">
      <c r="A3571" t="s">
        <v>137</v>
      </c>
      <c r="B3571" t="s">
        <v>8</v>
      </c>
      <c r="C3571" t="s">
        <v>12</v>
      </c>
      <c r="D3571" t="str">
        <f>LEFT(M3571,10)</f>
        <v>12/15/2024</v>
      </c>
      <c r="E3571" t="s">
        <v>202</v>
      </c>
      <c r="F3571" t="s">
        <v>218</v>
      </c>
      <c r="G3571" t="s">
        <v>226</v>
      </c>
      <c r="I3571">
        <v>2000</v>
      </c>
      <c r="J3571">
        <v>500</v>
      </c>
      <c r="K3571">
        <v>0.25</v>
      </c>
      <c r="M3571" t="s">
        <v>205</v>
      </c>
    </row>
    <row r="3572" spans="1:13" hidden="1">
      <c r="A3572" t="s">
        <v>137</v>
      </c>
      <c r="B3572" t="s">
        <v>8</v>
      </c>
      <c r="C3572" t="s">
        <v>12</v>
      </c>
      <c r="D3572" t="str">
        <f>LEFT(M3572,10)</f>
        <v>12/15/2024</v>
      </c>
      <c r="E3572" t="s">
        <v>202</v>
      </c>
      <c r="F3572" t="s">
        <v>203</v>
      </c>
      <c r="G3572" t="s">
        <v>207</v>
      </c>
      <c r="I3572">
        <v>32</v>
      </c>
      <c r="J3572">
        <v>128</v>
      </c>
      <c r="K3572">
        <v>4</v>
      </c>
      <c r="M3572" t="s">
        <v>205</v>
      </c>
    </row>
    <row r="3573" spans="1:13" hidden="1">
      <c r="A3573" t="s">
        <v>137</v>
      </c>
      <c r="B3573" t="s">
        <v>8</v>
      </c>
      <c r="C3573" t="s">
        <v>12</v>
      </c>
      <c r="D3573" t="str">
        <f>LEFT(M3573,10)</f>
        <v>12/15/2024</v>
      </c>
      <c r="E3573" t="s">
        <v>202</v>
      </c>
      <c r="F3573" t="s">
        <v>203</v>
      </c>
      <c r="G3573" t="s">
        <v>204</v>
      </c>
      <c r="I3573">
        <v>150</v>
      </c>
      <c r="J3573">
        <v>1275</v>
      </c>
      <c r="K3573">
        <v>8.5</v>
      </c>
      <c r="M3573" t="s">
        <v>205</v>
      </c>
    </row>
    <row r="3574" spans="1:13" hidden="1">
      <c r="A3574" t="s">
        <v>137</v>
      </c>
      <c r="B3574" t="s">
        <v>8</v>
      </c>
      <c r="C3574" t="s">
        <v>12</v>
      </c>
      <c r="D3574" t="str">
        <f>LEFT(M3574,10)</f>
        <v>12/15/2024</v>
      </c>
      <c r="E3574" t="s">
        <v>202</v>
      </c>
      <c r="F3574" t="s">
        <v>203</v>
      </c>
      <c r="G3574" t="s">
        <v>208</v>
      </c>
      <c r="I3574">
        <v>6</v>
      </c>
      <c r="J3574">
        <v>54</v>
      </c>
      <c r="K3574">
        <v>9</v>
      </c>
      <c r="M3574" t="s">
        <v>205</v>
      </c>
    </row>
    <row r="3575" spans="1:13" hidden="1">
      <c r="A3575" t="s">
        <v>137</v>
      </c>
      <c r="B3575" t="s">
        <v>8</v>
      </c>
      <c r="C3575" t="s">
        <v>12</v>
      </c>
      <c r="D3575" t="str">
        <f>LEFT(M3575,10)</f>
        <v>12/15/2024</v>
      </c>
      <c r="E3575" t="s">
        <v>202</v>
      </c>
      <c r="F3575" t="s">
        <v>203</v>
      </c>
      <c r="G3575" t="s">
        <v>260</v>
      </c>
      <c r="I3575">
        <v>20</v>
      </c>
      <c r="J3575">
        <v>740</v>
      </c>
      <c r="K3575">
        <v>37</v>
      </c>
      <c r="M3575" t="s">
        <v>205</v>
      </c>
    </row>
    <row r="3576" spans="1:13" hidden="1">
      <c r="A3576" t="s">
        <v>137</v>
      </c>
      <c r="B3576" t="s">
        <v>8</v>
      </c>
      <c r="C3576" t="s">
        <v>12</v>
      </c>
      <c r="D3576" t="str">
        <f>LEFT(M3576,10)</f>
        <v>12/15/2024</v>
      </c>
      <c r="E3576" t="s">
        <v>202</v>
      </c>
      <c r="F3576" t="s">
        <v>203</v>
      </c>
      <c r="G3576" t="s">
        <v>235</v>
      </c>
      <c r="I3576">
        <v>40</v>
      </c>
      <c r="J3576">
        <v>360</v>
      </c>
      <c r="K3576">
        <v>9</v>
      </c>
      <c r="M3576" t="s">
        <v>205</v>
      </c>
    </row>
    <row r="3577" spans="1:13" hidden="1">
      <c r="A3577" t="s">
        <v>137</v>
      </c>
      <c r="B3577" t="s">
        <v>8</v>
      </c>
      <c r="C3577" t="s">
        <v>12</v>
      </c>
      <c r="D3577" t="str">
        <f>LEFT(M3577,10)</f>
        <v>12/15/2024</v>
      </c>
      <c r="E3577" t="s">
        <v>230</v>
      </c>
      <c r="F3577" t="s">
        <v>248</v>
      </c>
      <c r="I3577">
        <v>0</v>
      </c>
      <c r="J3577">
        <v>29503.37</v>
      </c>
      <c r="M3577" t="s">
        <v>205</v>
      </c>
    </row>
    <row r="3578" spans="1:13" hidden="1">
      <c r="A3578" t="s">
        <v>133</v>
      </c>
      <c r="B3578" t="s">
        <v>8</v>
      </c>
      <c r="C3578" t="s">
        <v>132</v>
      </c>
      <c r="D3578" t="str">
        <f>LEFT(M3578,10)</f>
        <v>12/15/2024</v>
      </c>
      <c r="E3578" t="s">
        <v>202</v>
      </c>
      <c r="F3578" t="s">
        <v>227</v>
      </c>
      <c r="G3578" t="s">
        <v>229</v>
      </c>
      <c r="I3578">
        <v>5127.3999999999996</v>
      </c>
      <c r="J3578">
        <v>3845.55</v>
      </c>
      <c r="K3578">
        <v>0.75</v>
      </c>
      <c r="M3578" t="s">
        <v>205</v>
      </c>
    </row>
    <row r="3579" spans="1:13" hidden="1">
      <c r="A3579" t="s">
        <v>133</v>
      </c>
      <c r="B3579" t="s">
        <v>8</v>
      </c>
      <c r="C3579" t="s">
        <v>132</v>
      </c>
      <c r="D3579" t="str">
        <f>LEFT(M3579,10)</f>
        <v>12/15/2024</v>
      </c>
      <c r="E3579" t="s">
        <v>202</v>
      </c>
      <c r="F3579" t="s">
        <v>227</v>
      </c>
      <c r="G3579" t="s">
        <v>237</v>
      </c>
      <c r="I3579">
        <v>782</v>
      </c>
      <c r="J3579">
        <v>469.2</v>
      </c>
      <c r="K3579">
        <v>0.6</v>
      </c>
      <c r="M3579" t="s">
        <v>205</v>
      </c>
    </row>
    <row r="3580" spans="1:13" hidden="1">
      <c r="A3580" t="s">
        <v>133</v>
      </c>
      <c r="B3580" t="s">
        <v>8</v>
      </c>
      <c r="C3580" t="s">
        <v>132</v>
      </c>
      <c r="D3580" t="str">
        <f>LEFT(M3580,10)</f>
        <v>12/15/2024</v>
      </c>
      <c r="E3580" t="s">
        <v>202</v>
      </c>
      <c r="F3580" t="s">
        <v>227</v>
      </c>
      <c r="G3580" t="s">
        <v>228</v>
      </c>
      <c r="I3580">
        <v>1535</v>
      </c>
      <c r="J3580">
        <v>460.5</v>
      </c>
      <c r="K3580">
        <v>0.3</v>
      </c>
      <c r="M3580" t="s">
        <v>205</v>
      </c>
    </row>
    <row r="3581" spans="1:13" hidden="1">
      <c r="A3581" t="s">
        <v>133</v>
      </c>
      <c r="B3581" t="s">
        <v>8</v>
      </c>
      <c r="C3581" t="s">
        <v>132</v>
      </c>
      <c r="D3581" t="str">
        <f>LEFT(M3581,10)</f>
        <v>12/15/2024</v>
      </c>
      <c r="E3581" t="s">
        <v>202</v>
      </c>
      <c r="F3581" t="s">
        <v>227</v>
      </c>
      <c r="G3581" t="s">
        <v>238</v>
      </c>
      <c r="I3581">
        <v>165.4</v>
      </c>
      <c r="J3581">
        <v>66.16</v>
      </c>
      <c r="K3581">
        <v>0.4</v>
      </c>
      <c r="M3581" t="s">
        <v>205</v>
      </c>
    </row>
    <row r="3582" spans="1:13" hidden="1">
      <c r="A3582" t="s">
        <v>133</v>
      </c>
      <c r="B3582" t="s">
        <v>8</v>
      </c>
      <c r="C3582" t="s">
        <v>132</v>
      </c>
      <c r="D3582" t="str">
        <f>LEFT(M3582,10)</f>
        <v>12/15/2024</v>
      </c>
      <c r="E3582" t="s">
        <v>202</v>
      </c>
      <c r="F3582" t="s">
        <v>227</v>
      </c>
      <c r="G3582" t="s">
        <v>252</v>
      </c>
      <c r="I3582">
        <v>324</v>
      </c>
      <c r="J3582">
        <v>129.6</v>
      </c>
      <c r="K3582">
        <v>0.4</v>
      </c>
      <c r="M3582" t="s">
        <v>205</v>
      </c>
    </row>
    <row r="3583" spans="1:13" hidden="1">
      <c r="A3583" t="s">
        <v>133</v>
      </c>
      <c r="B3583" t="s">
        <v>8</v>
      </c>
      <c r="C3583" t="s">
        <v>132</v>
      </c>
      <c r="D3583" t="str">
        <f>LEFT(M3583,10)</f>
        <v>12/15/2024</v>
      </c>
      <c r="E3583" t="s">
        <v>202</v>
      </c>
      <c r="F3583" t="s">
        <v>218</v>
      </c>
      <c r="G3583" t="s">
        <v>243</v>
      </c>
      <c r="H3583" t="s">
        <v>508</v>
      </c>
      <c r="I3583">
        <v>237.6</v>
      </c>
      <c r="J3583">
        <v>261.36</v>
      </c>
      <c r="K3583">
        <v>1.1000000000000001</v>
      </c>
      <c r="M3583" t="s">
        <v>205</v>
      </c>
    </row>
    <row r="3584" spans="1:13" hidden="1">
      <c r="A3584" t="s">
        <v>133</v>
      </c>
      <c r="B3584" t="s">
        <v>8</v>
      </c>
      <c r="C3584" t="s">
        <v>132</v>
      </c>
      <c r="D3584" t="str">
        <f>LEFT(M3584,10)</f>
        <v>12/15/2024</v>
      </c>
      <c r="E3584" t="s">
        <v>202</v>
      </c>
      <c r="F3584" t="s">
        <v>218</v>
      </c>
      <c r="G3584" t="s">
        <v>240</v>
      </c>
      <c r="I3584">
        <v>986.6</v>
      </c>
      <c r="J3584">
        <v>4538.3599999999997</v>
      </c>
      <c r="K3584">
        <v>4.5999999999999996</v>
      </c>
      <c r="M3584" t="s">
        <v>205</v>
      </c>
    </row>
    <row r="3585" spans="1:13" hidden="1">
      <c r="A3585" t="s">
        <v>133</v>
      </c>
      <c r="B3585" t="s">
        <v>8</v>
      </c>
      <c r="C3585" t="s">
        <v>132</v>
      </c>
      <c r="D3585" t="str">
        <f>LEFT(M3585,10)</f>
        <v>12/15/2024</v>
      </c>
      <c r="E3585" t="s">
        <v>202</v>
      </c>
      <c r="F3585" t="s">
        <v>218</v>
      </c>
      <c r="G3585" t="s">
        <v>219</v>
      </c>
      <c r="I3585">
        <v>92</v>
      </c>
      <c r="J3585">
        <v>23</v>
      </c>
      <c r="K3585">
        <v>0.25</v>
      </c>
      <c r="M3585" t="s">
        <v>205</v>
      </c>
    </row>
    <row r="3586" spans="1:13" hidden="1">
      <c r="A3586" t="s">
        <v>133</v>
      </c>
      <c r="B3586" t="s">
        <v>8</v>
      </c>
      <c r="C3586" t="s">
        <v>132</v>
      </c>
      <c r="D3586" t="str">
        <f>LEFT(M3586,10)</f>
        <v>12/15/2024</v>
      </c>
      <c r="E3586" t="s">
        <v>202</v>
      </c>
      <c r="F3586" t="s">
        <v>218</v>
      </c>
      <c r="G3586" t="s">
        <v>242</v>
      </c>
      <c r="I3586">
        <v>74.599999999999994</v>
      </c>
      <c r="J3586">
        <v>82.06</v>
      </c>
      <c r="K3586">
        <v>1.1000000000000001</v>
      </c>
      <c r="M3586" t="s">
        <v>205</v>
      </c>
    </row>
    <row r="3587" spans="1:13" hidden="1">
      <c r="A3587" t="s">
        <v>133</v>
      </c>
      <c r="B3587" t="s">
        <v>8</v>
      </c>
      <c r="C3587" t="s">
        <v>132</v>
      </c>
      <c r="D3587" t="str">
        <f>LEFT(M3587,10)</f>
        <v>12/15/2024</v>
      </c>
      <c r="E3587" t="s">
        <v>202</v>
      </c>
      <c r="F3587" t="s">
        <v>218</v>
      </c>
      <c r="G3587" t="s">
        <v>220</v>
      </c>
      <c r="I3587">
        <v>682</v>
      </c>
      <c r="J3587">
        <v>1023</v>
      </c>
      <c r="K3587">
        <v>1.5</v>
      </c>
      <c r="M3587" t="s">
        <v>205</v>
      </c>
    </row>
    <row r="3588" spans="1:13" hidden="1">
      <c r="A3588" t="s">
        <v>133</v>
      </c>
      <c r="B3588" t="s">
        <v>8</v>
      </c>
      <c r="C3588" t="s">
        <v>132</v>
      </c>
      <c r="D3588" t="str">
        <f>LEFT(M3588,10)</f>
        <v>12/15/2024</v>
      </c>
      <c r="E3588" t="s">
        <v>202</v>
      </c>
      <c r="F3588" t="s">
        <v>218</v>
      </c>
      <c r="G3588" t="s">
        <v>223</v>
      </c>
      <c r="I3588">
        <v>632.4</v>
      </c>
      <c r="J3588">
        <v>505.92</v>
      </c>
      <c r="K3588">
        <v>0.8</v>
      </c>
      <c r="M3588" t="s">
        <v>205</v>
      </c>
    </row>
    <row r="3589" spans="1:13" hidden="1">
      <c r="A3589" t="s">
        <v>133</v>
      </c>
      <c r="B3589" t="s">
        <v>8</v>
      </c>
      <c r="C3589" t="s">
        <v>132</v>
      </c>
      <c r="D3589" t="str">
        <f>LEFT(M3589,10)</f>
        <v>12/15/2024</v>
      </c>
      <c r="E3589" t="s">
        <v>202</v>
      </c>
      <c r="F3589" t="s">
        <v>218</v>
      </c>
      <c r="G3589" t="s">
        <v>223</v>
      </c>
      <c r="I3589">
        <v>124</v>
      </c>
      <c r="J3589">
        <v>62</v>
      </c>
      <c r="K3589">
        <v>0.5</v>
      </c>
      <c r="M3589" t="s">
        <v>205</v>
      </c>
    </row>
    <row r="3590" spans="1:13" hidden="1">
      <c r="A3590" t="s">
        <v>133</v>
      </c>
      <c r="B3590" t="s">
        <v>8</v>
      </c>
      <c r="C3590" t="s">
        <v>132</v>
      </c>
      <c r="D3590" t="str">
        <f>LEFT(M3590,10)</f>
        <v>12/15/2024</v>
      </c>
      <c r="E3590" t="s">
        <v>202</v>
      </c>
      <c r="F3590" t="s">
        <v>218</v>
      </c>
      <c r="G3590" t="s">
        <v>221</v>
      </c>
      <c r="I3590">
        <v>158</v>
      </c>
      <c r="J3590">
        <v>402.9</v>
      </c>
      <c r="K3590">
        <v>2.5499999999999998</v>
      </c>
      <c r="M3590" t="s">
        <v>205</v>
      </c>
    </row>
    <row r="3591" spans="1:13" hidden="1">
      <c r="A3591" t="s">
        <v>133</v>
      </c>
      <c r="B3591" t="s">
        <v>8</v>
      </c>
      <c r="C3591" t="s">
        <v>132</v>
      </c>
      <c r="D3591" t="str">
        <f>LEFT(M3591,10)</f>
        <v>12/15/2024</v>
      </c>
      <c r="E3591" t="s">
        <v>202</v>
      </c>
      <c r="F3591" t="s">
        <v>218</v>
      </c>
      <c r="G3591" t="s">
        <v>221</v>
      </c>
      <c r="I3591">
        <v>155.19999999999999</v>
      </c>
      <c r="J3591">
        <v>395.76</v>
      </c>
      <c r="K3591">
        <v>2.5499999999999998</v>
      </c>
      <c r="M3591" t="s">
        <v>205</v>
      </c>
    </row>
    <row r="3592" spans="1:13" hidden="1">
      <c r="A3592" t="s">
        <v>133</v>
      </c>
      <c r="B3592" t="s">
        <v>8</v>
      </c>
      <c r="C3592" t="s">
        <v>132</v>
      </c>
      <c r="D3592" t="str">
        <f>LEFT(M3592,10)</f>
        <v>12/15/2024</v>
      </c>
      <c r="E3592" t="s">
        <v>202</v>
      </c>
      <c r="F3592" t="s">
        <v>218</v>
      </c>
      <c r="G3592" t="s">
        <v>222</v>
      </c>
      <c r="I3592">
        <v>335.8</v>
      </c>
      <c r="J3592">
        <v>705.18</v>
      </c>
      <c r="K3592">
        <v>2.1</v>
      </c>
      <c r="M3592" t="s">
        <v>205</v>
      </c>
    </row>
    <row r="3593" spans="1:13" hidden="1">
      <c r="A3593" t="s">
        <v>133</v>
      </c>
      <c r="B3593" t="s">
        <v>8</v>
      </c>
      <c r="C3593" t="s">
        <v>132</v>
      </c>
      <c r="D3593" t="str">
        <f>LEFT(M3593,10)</f>
        <v>12/15/2024</v>
      </c>
      <c r="E3593" t="s">
        <v>202</v>
      </c>
      <c r="F3593" t="s">
        <v>218</v>
      </c>
      <c r="G3593" t="s">
        <v>222</v>
      </c>
      <c r="I3593">
        <v>283.60000000000002</v>
      </c>
      <c r="J3593">
        <v>538.84</v>
      </c>
      <c r="K3593">
        <v>1.9</v>
      </c>
      <c r="M3593" t="s">
        <v>205</v>
      </c>
    </row>
    <row r="3594" spans="1:13" hidden="1">
      <c r="A3594" t="s">
        <v>133</v>
      </c>
      <c r="B3594" t="s">
        <v>8</v>
      </c>
      <c r="C3594" t="s">
        <v>132</v>
      </c>
      <c r="D3594" t="str">
        <f>LEFT(M3594,10)</f>
        <v>12/15/2024</v>
      </c>
      <c r="E3594" t="s">
        <v>202</v>
      </c>
      <c r="F3594" t="s">
        <v>218</v>
      </c>
      <c r="G3594" t="s">
        <v>222</v>
      </c>
      <c r="I3594">
        <v>173.4</v>
      </c>
      <c r="J3594">
        <v>268.77</v>
      </c>
      <c r="K3594">
        <v>1.55</v>
      </c>
      <c r="M3594" t="s">
        <v>205</v>
      </c>
    </row>
    <row r="3595" spans="1:13" hidden="1">
      <c r="A3595" t="s">
        <v>133</v>
      </c>
      <c r="B3595" t="s">
        <v>8</v>
      </c>
      <c r="C3595" t="s">
        <v>132</v>
      </c>
      <c r="D3595" t="str">
        <f>LEFT(M3595,10)</f>
        <v>12/15/2024</v>
      </c>
      <c r="E3595" t="s">
        <v>202</v>
      </c>
      <c r="F3595" t="s">
        <v>218</v>
      </c>
      <c r="G3595" t="s">
        <v>224</v>
      </c>
      <c r="I3595">
        <v>259.2</v>
      </c>
      <c r="J3595">
        <v>285.12</v>
      </c>
      <c r="K3595">
        <v>1.1000000000000001</v>
      </c>
      <c r="M3595" t="s">
        <v>205</v>
      </c>
    </row>
    <row r="3596" spans="1:13" hidden="1">
      <c r="A3596" t="s">
        <v>133</v>
      </c>
      <c r="B3596" t="s">
        <v>8</v>
      </c>
      <c r="C3596" t="s">
        <v>132</v>
      </c>
      <c r="D3596" t="str">
        <f>LEFT(M3596,10)</f>
        <v>12/15/2024</v>
      </c>
      <c r="E3596" t="s">
        <v>202</v>
      </c>
      <c r="F3596" t="s">
        <v>218</v>
      </c>
      <c r="G3596" t="s">
        <v>225</v>
      </c>
      <c r="I3596">
        <v>89.6</v>
      </c>
      <c r="J3596">
        <v>71.680000000000007</v>
      </c>
      <c r="K3596">
        <v>0.8</v>
      </c>
      <c r="M3596" t="s">
        <v>205</v>
      </c>
    </row>
    <row r="3597" spans="1:13" hidden="1">
      <c r="A3597" t="s">
        <v>133</v>
      </c>
      <c r="B3597" t="s">
        <v>8</v>
      </c>
      <c r="C3597" t="s">
        <v>132</v>
      </c>
      <c r="D3597" t="str">
        <f>LEFT(M3597,10)</f>
        <v>12/15/2024</v>
      </c>
      <c r="E3597" t="s">
        <v>202</v>
      </c>
      <c r="F3597" t="s">
        <v>218</v>
      </c>
      <c r="G3597" t="s">
        <v>243</v>
      </c>
      <c r="H3597" t="s">
        <v>509</v>
      </c>
      <c r="I3597">
        <v>50.8</v>
      </c>
      <c r="J3597">
        <v>127</v>
      </c>
      <c r="K3597">
        <v>2.5</v>
      </c>
      <c r="M3597" t="s">
        <v>205</v>
      </c>
    </row>
    <row r="3598" spans="1:13" hidden="1">
      <c r="A3598" t="s">
        <v>133</v>
      </c>
      <c r="B3598" t="s">
        <v>8</v>
      </c>
      <c r="C3598" t="s">
        <v>132</v>
      </c>
      <c r="D3598" t="str">
        <f>LEFT(M3598,10)</f>
        <v>12/15/2024</v>
      </c>
      <c r="E3598" t="s">
        <v>202</v>
      </c>
      <c r="F3598" t="s">
        <v>218</v>
      </c>
      <c r="G3598" t="s">
        <v>243</v>
      </c>
      <c r="H3598" t="s">
        <v>510</v>
      </c>
      <c r="I3598">
        <v>80</v>
      </c>
      <c r="J3598">
        <v>344</v>
      </c>
      <c r="K3598">
        <v>4.3</v>
      </c>
      <c r="M3598" t="s">
        <v>205</v>
      </c>
    </row>
    <row r="3599" spans="1:13" hidden="1">
      <c r="A3599" t="s">
        <v>133</v>
      </c>
      <c r="B3599" t="s">
        <v>8</v>
      </c>
      <c r="C3599" t="s">
        <v>132</v>
      </c>
      <c r="D3599" t="str">
        <f>LEFT(M3599,10)</f>
        <v>12/15/2024</v>
      </c>
      <c r="E3599" t="s">
        <v>202</v>
      </c>
      <c r="F3599" t="s">
        <v>218</v>
      </c>
      <c r="G3599" t="s">
        <v>239</v>
      </c>
      <c r="I3599">
        <v>30.2</v>
      </c>
      <c r="J3599">
        <v>6.04</v>
      </c>
      <c r="K3599">
        <v>0.2</v>
      </c>
      <c r="M3599" t="s">
        <v>205</v>
      </c>
    </row>
    <row r="3600" spans="1:13" hidden="1">
      <c r="A3600" t="s">
        <v>133</v>
      </c>
      <c r="B3600" t="s">
        <v>8</v>
      </c>
      <c r="C3600" t="s">
        <v>132</v>
      </c>
      <c r="D3600" t="str">
        <f>LEFT(M3600,10)</f>
        <v>12/15/2024</v>
      </c>
      <c r="E3600" t="s">
        <v>202</v>
      </c>
      <c r="F3600" t="s">
        <v>218</v>
      </c>
      <c r="G3600" t="s">
        <v>226</v>
      </c>
      <c r="I3600">
        <v>267.2</v>
      </c>
      <c r="J3600">
        <v>93.52</v>
      </c>
      <c r="K3600">
        <v>0.35</v>
      </c>
      <c r="M3600" t="s">
        <v>205</v>
      </c>
    </row>
    <row r="3601" spans="1:13" hidden="1">
      <c r="A3601" t="s">
        <v>133</v>
      </c>
      <c r="B3601" t="s">
        <v>8</v>
      </c>
      <c r="C3601" t="s">
        <v>132</v>
      </c>
      <c r="D3601" t="str">
        <f>LEFT(M3601,10)</f>
        <v>12/15/2024</v>
      </c>
      <c r="E3601" t="s">
        <v>202</v>
      </c>
      <c r="F3601" t="s">
        <v>203</v>
      </c>
      <c r="G3601" t="s">
        <v>204</v>
      </c>
      <c r="I3601">
        <v>123.8</v>
      </c>
      <c r="J3601">
        <v>866.6</v>
      </c>
      <c r="K3601">
        <v>7</v>
      </c>
      <c r="M3601" t="s">
        <v>205</v>
      </c>
    </row>
    <row r="3602" spans="1:13" hidden="1">
      <c r="A3602" t="s">
        <v>133</v>
      </c>
      <c r="B3602" t="s">
        <v>8</v>
      </c>
      <c r="C3602" t="s">
        <v>132</v>
      </c>
      <c r="D3602" t="str">
        <f>LEFT(M3602,10)</f>
        <v>12/15/2024</v>
      </c>
      <c r="E3602" t="s">
        <v>202</v>
      </c>
      <c r="F3602" t="s">
        <v>203</v>
      </c>
      <c r="G3602" t="s">
        <v>236</v>
      </c>
      <c r="I3602">
        <v>6240</v>
      </c>
      <c r="J3602">
        <v>3120</v>
      </c>
      <c r="K3602">
        <v>0.5</v>
      </c>
      <c r="M3602" t="s">
        <v>205</v>
      </c>
    </row>
    <row r="3603" spans="1:13" hidden="1">
      <c r="A3603" t="s">
        <v>133</v>
      </c>
      <c r="B3603" t="s">
        <v>8</v>
      </c>
      <c r="C3603" t="s">
        <v>132</v>
      </c>
      <c r="D3603" t="str">
        <f>LEFT(M3603,10)</f>
        <v>12/15/2024</v>
      </c>
      <c r="E3603" t="s">
        <v>202</v>
      </c>
      <c r="F3603" t="s">
        <v>216</v>
      </c>
      <c r="G3603" t="s">
        <v>253</v>
      </c>
      <c r="I3603">
        <v>2161</v>
      </c>
      <c r="J3603">
        <v>388.98</v>
      </c>
      <c r="K3603">
        <v>0.18</v>
      </c>
      <c r="M3603" t="s">
        <v>205</v>
      </c>
    </row>
    <row r="3604" spans="1:13" hidden="1">
      <c r="A3604" t="s">
        <v>133</v>
      </c>
      <c r="B3604" t="s">
        <v>8</v>
      </c>
      <c r="C3604" t="s">
        <v>132</v>
      </c>
      <c r="D3604" t="str">
        <f>LEFT(M3604,10)</f>
        <v>12/15/2024</v>
      </c>
      <c r="E3604" t="s">
        <v>202</v>
      </c>
      <c r="F3604" t="s">
        <v>216</v>
      </c>
      <c r="G3604" t="s">
        <v>217</v>
      </c>
      <c r="I3604">
        <v>542</v>
      </c>
      <c r="J3604">
        <v>216.8</v>
      </c>
      <c r="K3604">
        <v>0.4</v>
      </c>
      <c r="M3604" t="s">
        <v>205</v>
      </c>
    </row>
    <row r="3605" spans="1:13" hidden="1">
      <c r="A3605" t="s">
        <v>133</v>
      </c>
      <c r="B3605" t="s">
        <v>8</v>
      </c>
      <c r="C3605" t="s">
        <v>132</v>
      </c>
      <c r="D3605" t="str">
        <f>LEFT(M3605,10)</f>
        <v>12/15/2024</v>
      </c>
      <c r="E3605" t="s">
        <v>230</v>
      </c>
      <c r="F3605" t="s">
        <v>248</v>
      </c>
      <c r="I3605">
        <v>0</v>
      </c>
      <c r="J3605">
        <v>16138.04</v>
      </c>
      <c r="M3605" t="s">
        <v>205</v>
      </c>
    </row>
    <row r="3606" spans="1:13" hidden="1">
      <c r="A3606" t="s">
        <v>133</v>
      </c>
      <c r="B3606" t="s">
        <v>8</v>
      </c>
      <c r="C3606" t="s">
        <v>132</v>
      </c>
      <c r="D3606" t="str">
        <f>LEFT(M3606,10)</f>
        <v>12/15/2024</v>
      </c>
      <c r="E3606" t="s">
        <v>232</v>
      </c>
      <c r="F3606" t="s">
        <v>250</v>
      </c>
      <c r="I3606">
        <v>0</v>
      </c>
      <c r="J3606">
        <v>350</v>
      </c>
      <c r="M3606" t="s">
        <v>205</v>
      </c>
    </row>
    <row r="3607" spans="1:13" hidden="1">
      <c r="A3607" t="s">
        <v>133</v>
      </c>
      <c r="B3607" t="s">
        <v>8</v>
      </c>
      <c r="C3607" t="s">
        <v>132</v>
      </c>
      <c r="D3607" t="str">
        <f>LEFT(M3607,10)</f>
        <v>12/15/2024</v>
      </c>
      <c r="E3607" t="s">
        <v>232</v>
      </c>
      <c r="F3607" t="s">
        <v>254</v>
      </c>
      <c r="I3607">
        <v>0</v>
      </c>
      <c r="J3607">
        <v>180</v>
      </c>
      <c r="M3607" t="s">
        <v>205</v>
      </c>
    </row>
    <row r="3608" spans="1:13" hidden="1">
      <c r="A3608" t="s">
        <v>133</v>
      </c>
      <c r="B3608" t="s">
        <v>8</v>
      </c>
      <c r="C3608" t="s">
        <v>132</v>
      </c>
      <c r="D3608" t="str">
        <f>LEFT(M3608,10)</f>
        <v>12/15/2024</v>
      </c>
      <c r="E3608" t="s">
        <v>232</v>
      </c>
      <c r="F3608" t="s">
        <v>255</v>
      </c>
      <c r="I3608">
        <v>0</v>
      </c>
      <c r="J3608">
        <v>430</v>
      </c>
      <c r="L3608" t="s">
        <v>511</v>
      </c>
      <c r="M3608" t="s">
        <v>205</v>
      </c>
    </row>
    <row r="3609" spans="1:13" hidden="1">
      <c r="A3609" t="s">
        <v>133</v>
      </c>
      <c r="B3609" t="s">
        <v>8</v>
      </c>
      <c r="C3609" t="s">
        <v>132</v>
      </c>
      <c r="D3609" t="str">
        <f>LEFT(M3609,10)</f>
        <v>12/15/2024</v>
      </c>
      <c r="E3609" t="s">
        <v>232</v>
      </c>
      <c r="F3609" t="s">
        <v>255</v>
      </c>
      <c r="I3609">
        <v>0</v>
      </c>
      <c r="J3609">
        <v>90</v>
      </c>
      <c r="L3609" t="s">
        <v>357</v>
      </c>
      <c r="M3609" t="s">
        <v>205</v>
      </c>
    </row>
    <row r="3610" spans="1:13" hidden="1">
      <c r="A3610" t="s">
        <v>133</v>
      </c>
      <c r="B3610" t="s">
        <v>8</v>
      </c>
      <c r="C3610" t="s">
        <v>132</v>
      </c>
      <c r="D3610" t="str">
        <f>LEFT(M3610,10)</f>
        <v>12/15/2024</v>
      </c>
      <c r="E3610" t="s">
        <v>232</v>
      </c>
      <c r="F3610" t="s">
        <v>255</v>
      </c>
      <c r="I3610">
        <v>0</v>
      </c>
      <c r="J3610">
        <v>400</v>
      </c>
      <c r="L3610" t="s">
        <v>512</v>
      </c>
      <c r="M3610" t="s">
        <v>205</v>
      </c>
    </row>
    <row r="3611" spans="1:13" hidden="1">
      <c r="A3611" t="s">
        <v>133</v>
      </c>
      <c r="B3611" t="s">
        <v>8</v>
      </c>
      <c r="C3611" t="s">
        <v>132</v>
      </c>
      <c r="D3611" t="str">
        <f>LEFT(M3611,10)</f>
        <v>12/15/2024</v>
      </c>
      <c r="E3611" t="s">
        <v>234</v>
      </c>
      <c r="F3611" t="s">
        <v>234</v>
      </c>
      <c r="I3611">
        <v>3540</v>
      </c>
      <c r="M3611" t="s">
        <v>205</v>
      </c>
    </row>
    <row r="3612" spans="1:13" hidden="1">
      <c r="A3612" t="s">
        <v>105</v>
      </c>
      <c r="B3612" t="s">
        <v>8</v>
      </c>
      <c r="C3612" t="s">
        <v>104</v>
      </c>
      <c r="D3612" t="str">
        <f>LEFT(M3612,10)</f>
        <v>12/15/2024</v>
      </c>
      <c r="E3612" t="s">
        <v>202</v>
      </c>
      <c r="F3612" t="s">
        <v>227</v>
      </c>
      <c r="G3612" t="s">
        <v>229</v>
      </c>
      <c r="I3612">
        <v>13044</v>
      </c>
      <c r="J3612">
        <v>10435.200000000001</v>
      </c>
      <c r="K3612">
        <v>0.8</v>
      </c>
      <c r="M3612" t="s">
        <v>205</v>
      </c>
    </row>
    <row r="3613" spans="1:13" hidden="1">
      <c r="A3613" t="s">
        <v>105</v>
      </c>
      <c r="B3613" t="s">
        <v>8</v>
      </c>
      <c r="C3613" t="s">
        <v>104</v>
      </c>
      <c r="D3613" t="str">
        <f>LEFT(M3613,10)</f>
        <v>12/15/2024</v>
      </c>
      <c r="E3613" t="s">
        <v>202</v>
      </c>
      <c r="F3613" t="s">
        <v>227</v>
      </c>
      <c r="G3613" t="s">
        <v>237</v>
      </c>
      <c r="I3613">
        <v>2039.5</v>
      </c>
      <c r="J3613">
        <v>1223.7</v>
      </c>
      <c r="K3613">
        <v>0.6</v>
      </c>
      <c r="M3613" t="s">
        <v>205</v>
      </c>
    </row>
    <row r="3614" spans="1:13" hidden="1">
      <c r="A3614" t="s">
        <v>105</v>
      </c>
      <c r="B3614" t="s">
        <v>8</v>
      </c>
      <c r="C3614" t="s">
        <v>104</v>
      </c>
      <c r="D3614" t="str">
        <f>LEFT(M3614,10)</f>
        <v>12/15/2024</v>
      </c>
      <c r="E3614" t="s">
        <v>202</v>
      </c>
      <c r="F3614" t="s">
        <v>227</v>
      </c>
      <c r="G3614" t="s">
        <v>238</v>
      </c>
      <c r="I3614">
        <v>1514</v>
      </c>
      <c r="J3614">
        <v>529.9</v>
      </c>
      <c r="K3614">
        <v>0.35</v>
      </c>
      <c r="M3614" t="s">
        <v>205</v>
      </c>
    </row>
    <row r="3615" spans="1:13" hidden="1">
      <c r="A3615" t="s">
        <v>105</v>
      </c>
      <c r="B3615" t="s">
        <v>8</v>
      </c>
      <c r="C3615" t="s">
        <v>104</v>
      </c>
      <c r="D3615" t="str">
        <f>LEFT(M3615,10)</f>
        <v>12/15/2024</v>
      </c>
      <c r="E3615" t="s">
        <v>202</v>
      </c>
      <c r="F3615" t="s">
        <v>227</v>
      </c>
      <c r="G3615" t="s">
        <v>228</v>
      </c>
      <c r="I3615">
        <v>3067</v>
      </c>
      <c r="J3615">
        <v>1073.45</v>
      </c>
      <c r="K3615">
        <v>0.35</v>
      </c>
      <c r="M3615" t="s">
        <v>205</v>
      </c>
    </row>
    <row r="3616" spans="1:13" hidden="1">
      <c r="A3616" t="s">
        <v>105</v>
      </c>
      <c r="B3616" t="s">
        <v>8</v>
      </c>
      <c r="C3616" t="s">
        <v>104</v>
      </c>
      <c r="D3616" t="str">
        <f>LEFT(M3616,10)</f>
        <v>12/15/2024</v>
      </c>
      <c r="E3616" t="s">
        <v>202</v>
      </c>
      <c r="F3616" t="s">
        <v>227</v>
      </c>
      <c r="G3616" t="s">
        <v>252</v>
      </c>
      <c r="I3616">
        <v>471</v>
      </c>
      <c r="J3616">
        <v>141.30000000000001</v>
      </c>
      <c r="K3616">
        <v>0.3</v>
      </c>
      <c r="M3616" t="s">
        <v>205</v>
      </c>
    </row>
    <row r="3617" spans="1:13" hidden="1">
      <c r="A3617" t="s">
        <v>105</v>
      </c>
      <c r="B3617" t="s">
        <v>8</v>
      </c>
      <c r="C3617" t="s">
        <v>104</v>
      </c>
      <c r="D3617" t="str">
        <f>LEFT(M3617,10)</f>
        <v>12/15/2024</v>
      </c>
      <c r="E3617" t="s">
        <v>202</v>
      </c>
      <c r="F3617" t="s">
        <v>218</v>
      </c>
      <c r="G3617" t="s">
        <v>221</v>
      </c>
      <c r="I3617">
        <v>925</v>
      </c>
      <c r="J3617">
        <v>2266.25</v>
      </c>
      <c r="K3617">
        <v>2.4500000000000002</v>
      </c>
      <c r="M3617" t="s">
        <v>205</v>
      </c>
    </row>
    <row r="3618" spans="1:13" hidden="1">
      <c r="A3618" t="s">
        <v>105</v>
      </c>
      <c r="B3618" t="s">
        <v>8</v>
      </c>
      <c r="C3618" t="s">
        <v>104</v>
      </c>
      <c r="D3618" t="str">
        <f>LEFT(M3618,10)</f>
        <v>12/15/2024</v>
      </c>
      <c r="E3618" t="s">
        <v>202</v>
      </c>
      <c r="F3618" t="s">
        <v>218</v>
      </c>
      <c r="G3618" t="s">
        <v>220</v>
      </c>
      <c r="I3618">
        <v>1933</v>
      </c>
      <c r="J3618">
        <v>2899.5</v>
      </c>
      <c r="K3618">
        <v>1.5</v>
      </c>
      <c r="M3618" t="s">
        <v>205</v>
      </c>
    </row>
    <row r="3619" spans="1:13" hidden="1">
      <c r="A3619" t="s">
        <v>105</v>
      </c>
      <c r="B3619" t="s">
        <v>8</v>
      </c>
      <c r="C3619" t="s">
        <v>104</v>
      </c>
      <c r="D3619" t="str">
        <f>LEFT(M3619,10)</f>
        <v>12/15/2024</v>
      </c>
      <c r="E3619" t="s">
        <v>202</v>
      </c>
      <c r="F3619" t="s">
        <v>218</v>
      </c>
      <c r="G3619" t="s">
        <v>223</v>
      </c>
      <c r="I3619">
        <v>2675</v>
      </c>
      <c r="J3619">
        <v>2334.6</v>
      </c>
      <c r="K3619">
        <v>0.87</v>
      </c>
      <c r="M3619" t="s">
        <v>205</v>
      </c>
    </row>
    <row r="3620" spans="1:13" hidden="1">
      <c r="A3620" t="s">
        <v>105</v>
      </c>
      <c r="B3620" t="s">
        <v>8</v>
      </c>
      <c r="C3620" t="s">
        <v>104</v>
      </c>
      <c r="D3620" t="str">
        <f>LEFT(M3620,10)</f>
        <v>12/15/2024</v>
      </c>
      <c r="E3620" t="s">
        <v>202</v>
      </c>
      <c r="F3620" t="s">
        <v>218</v>
      </c>
      <c r="G3620" t="s">
        <v>240</v>
      </c>
      <c r="I3620">
        <v>1256</v>
      </c>
      <c r="J3620">
        <v>4396</v>
      </c>
      <c r="K3620">
        <v>3.5</v>
      </c>
      <c r="M3620" t="s">
        <v>205</v>
      </c>
    </row>
    <row r="3621" spans="1:13" hidden="1">
      <c r="A3621" t="s">
        <v>105</v>
      </c>
      <c r="B3621" t="s">
        <v>8</v>
      </c>
      <c r="C3621" t="s">
        <v>104</v>
      </c>
      <c r="D3621" t="str">
        <f>LEFT(M3621,10)</f>
        <v>12/15/2024</v>
      </c>
      <c r="E3621" t="s">
        <v>202</v>
      </c>
      <c r="F3621" t="s">
        <v>218</v>
      </c>
      <c r="G3621" t="s">
        <v>241</v>
      </c>
      <c r="I3621">
        <v>165</v>
      </c>
      <c r="J3621">
        <v>577.5</v>
      </c>
      <c r="K3621">
        <v>3.5</v>
      </c>
      <c r="M3621" t="s">
        <v>205</v>
      </c>
    </row>
    <row r="3622" spans="1:13" hidden="1">
      <c r="A3622" t="s">
        <v>105</v>
      </c>
      <c r="B3622" t="s">
        <v>8</v>
      </c>
      <c r="C3622" t="s">
        <v>104</v>
      </c>
      <c r="D3622" t="str">
        <f>LEFT(M3622,10)</f>
        <v>12/15/2024</v>
      </c>
      <c r="E3622" t="s">
        <v>202</v>
      </c>
      <c r="F3622" t="s">
        <v>218</v>
      </c>
      <c r="G3622" t="s">
        <v>242</v>
      </c>
      <c r="I3622">
        <v>70</v>
      </c>
      <c r="J3622">
        <v>70</v>
      </c>
      <c r="K3622">
        <v>1</v>
      </c>
      <c r="M3622" t="s">
        <v>205</v>
      </c>
    </row>
    <row r="3623" spans="1:13" hidden="1">
      <c r="A3623" t="s">
        <v>105</v>
      </c>
      <c r="B3623" t="s">
        <v>8</v>
      </c>
      <c r="C3623" t="s">
        <v>104</v>
      </c>
      <c r="D3623" t="str">
        <f>LEFT(M3623,10)</f>
        <v>12/15/2024</v>
      </c>
      <c r="E3623" t="s">
        <v>202</v>
      </c>
      <c r="F3623" t="s">
        <v>218</v>
      </c>
      <c r="G3623" t="s">
        <v>219</v>
      </c>
      <c r="I3623">
        <v>109</v>
      </c>
      <c r="J3623">
        <v>10.9</v>
      </c>
      <c r="K3623">
        <v>0.1</v>
      </c>
      <c r="M3623" t="s">
        <v>205</v>
      </c>
    </row>
    <row r="3624" spans="1:13" hidden="1">
      <c r="A3624" t="s">
        <v>105</v>
      </c>
      <c r="B3624" t="s">
        <v>8</v>
      </c>
      <c r="C3624" t="s">
        <v>104</v>
      </c>
      <c r="D3624" t="str">
        <f>LEFT(M3624,10)</f>
        <v>12/15/2024</v>
      </c>
      <c r="E3624" t="s">
        <v>202</v>
      </c>
      <c r="F3624" t="s">
        <v>218</v>
      </c>
      <c r="G3624" t="s">
        <v>243</v>
      </c>
      <c r="H3624" t="s">
        <v>364</v>
      </c>
      <c r="I3624">
        <v>105</v>
      </c>
      <c r="J3624">
        <v>31.5</v>
      </c>
      <c r="K3624">
        <v>0.3</v>
      </c>
      <c r="M3624" t="s">
        <v>205</v>
      </c>
    </row>
    <row r="3625" spans="1:13" hidden="1">
      <c r="A3625" t="s">
        <v>105</v>
      </c>
      <c r="B3625" t="s">
        <v>8</v>
      </c>
      <c r="C3625" t="s">
        <v>104</v>
      </c>
      <c r="D3625" t="str">
        <f>LEFT(M3625,10)</f>
        <v>12/15/2024</v>
      </c>
      <c r="E3625" t="s">
        <v>202</v>
      </c>
      <c r="F3625" t="s">
        <v>218</v>
      </c>
      <c r="G3625" t="s">
        <v>222</v>
      </c>
      <c r="I3625">
        <v>1847</v>
      </c>
      <c r="J3625">
        <v>2773.4</v>
      </c>
      <c r="K3625">
        <v>1.5</v>
      </c>
      <c r="M3625" t="s">
        <v>205</v>
      </c>
    </row>
    <row r="3626" spans="1:13" hidden="1">
      <c r="A3626" t="s">
        <v>105</v>
      </c>
      <c r="B3626" t="s">
        <v>8</v>
      </c>
      <c r="C3626" t="s">
        <v>104</v>
      </c>
      <c r="D3626" t="str">
        <f>LEFT(M3626,10)</f>
        <v>12/15/2024</v>
      </c>
      <c r="E3626" t="s">
        <v>202</v>
      </c>
      <c r="F3626" t="s">
        <v>218</v>
      </c>
      <c r="G3626" t="s">
        <v>226</v>
      </c>
      <c r="I3626">
        <v>886</v>
      </c>
      <c r="J3626">
        <v>265.8</v>
      </c>
      <c r="K3626">
        <v>0.3</v>
      </c>
      <c r="M3626" t="s">
        <v>205</v>
      </c>
    </row>
    <row r="3627" spans="1:13" hidden="1">
      <c r="A3627" t="s">
        <v>105</v>
      </c>
      <c r="B3627" t="s">
        <v>8</v>
      </c>
      <c r="C3627" t="s">
        <v>104</v>
      </c>
      <c r="D3627" t="str">
        <f>LEFT(M3627,10)</f>
        <v>12/15/2024</v>
      </c>
      <c r="E3627" t="s">
        <v>202</v>
      </c>
      <c r="F3627" t="s">
        <v>218</v>
      </c>
      <c r="G3627" t="s">
        <v>266</v>
      </c>
      <c r="I3627">
        <v>326</v>
      </c>
      <c r="J3627">
        <v>12.8</v>
      </c>
      <c r="K3627">
        <v>0.04</v>
      </c>
      <c r="M3627" t="s">
        <v>205</v>
      </c>
    </row>
    <row r="3628" spans="1:13" hidden="1">
      <c r="A3628" t="s">
        <v>105</v>
      </c>
      <c r="B3628" t="s">
        <v>8</v>
      </c>
      <c r="C3628" t="s">
        <v>104</v>
      </c>
      <c r="D3628" t="str">
        <f>LEFT(M3628,10)</f>
        <v>12/15/2024</v>
      </c>
      <c r="E3628" t="s">
        <v>202</v>
      </c>
      <c r="F3628" t="s">
        <v>218</v>
      </c>
      <c r="G3628" t="s">
        <v>224</v>
      </c>
      <c r="I3628">
        <v>110</v>
      </c>
      <c r="J3628">
        <v>110</v>
      </c>
      <c r="K3628">
        <v>1</v>
      </c>
      <c r="M3628" t="s">
        <v>205</v>
      </c>
    </row>
    <row r="3629" spans="1:13" hidden="1">
      <c r="A3629" t="s">
        <v>105</v>
      </c>
      <c r="B3629" t="s">
        <v>8</v>
      </c>
      <c r="C3629" t="s">
        <v>104</v>
      </c>
      <c r="D3629" t="str">
        <f>LEFT(M3629,10)</f>
        <v>12/15/2024</v>
      </c>
      <c r="E3629" t="s">
        <v>202</v>
      </c>
      <c r="F3629" t="s">
        <v>218</v>
      </c>
      <c r="G3629" t="s">
        <v>267</v>
      </c>
      <c r="I3629">
        <v>293</v>
      </c>
      <c r="J3629">
        <v>58.6</v>
      </c>
      <c r="K3629">
        <v>0.2</v>
      </c>
      <c r="M3629" t="s">
        <v>205</v>
      </c>
    </row>
    <row r="3630" spans="1:13" hidden="1">
      <c r="A3630" t="s">
        <v>105</v>
      </c>
      <c r="B3630" t="s">
        <v>8</v>
      </c>
      <c r="C3630" t="s">
        <v>104</v>
      </c>
      <c r="D3630" t="str">
        <f>LEFT(M3630,10)</f>
        <v>12/15/2024</v>
      </c>
      <c r="E3630" t="s">
        <v>202</v>
      </c>
      <c r="F3630" t="s">
        <v>209</v>
      </c>
      <c r="G3630" t="s">
        <v>214</v>
      </c>
      <c r="I3630">
        <v>33</v>
      </c>
      <c r="J3630">
        <v>55</v>
      </c>
      <c r="K3630">
        <v>1.67</v>
      </c>
      <c r="M3630" t="s">
        <v>205</v>
      </c>
    </row>
    <row r="3631" spans="1:13" hidden="1">
      <c r="A3631" t="s">
        <v>105</v>
      </c>
      <c r="B3631" t="s">
        <v>8</v>
      </c>
      <c r="C3631" t="s">
        <v>104</v>
      </c>
      <c r="D3631" t="str">
        <f>LEFT(M3631,10)</f>
        <v>12/15/2024</v>
      </c>
      <c r="E3631" t="s">
        <v>202</v>
      </c>
      <c r="F3631" t="s">
        <v>216</v>
      </c>
      <c r="G3631" t="s">
        <v>217</v>
      </c>
      <c r="I3631">
        <v>110</v>
      </c>
      <c r="J3631">
        <v>135</v>
      </c>
      <c r="K3631">
        <v>1.23</v>
      </c>
      <c r="M3631" t="s">
        <v>205</v>
      </c>
    </row>
    <row r="3632" spans="1:13" hidden="1">
      <c r="A3632" t="s">
        <v>105</v>
      </c>
      <c r="B3632" t="s">
        <v>8</v>
      </c>
      <c r="C3632" t="s">
        <v>104</v>
      </c>
      <c r="D3632" t="str">
        <f>LEFT(M3632,10)</f>
        <v>12/15/2024</v>
      </c>
      <c r="E3632" t="s">
        <v>202</v>
      </c>
      <c r="F3632" t="s">
        <v>203</v>
      </c>
      <c r="G3632" t="s">
        <v>236</v>
      </c>
      <c r="I3632">
        <v>5050</v>
      </c>
      <c r="J3632">
        <v>3535</v>
      </c>
      <c r="K3632">
        <v>0.7</v>
      </c>
      <c r="M3632" t="s">
        <v>205</v>
      </c>
    </row>
    <row r="3633" spans="1:13" hidden="1">
      <c r="A3633" t="s">
        <v>105</v>
      </c>
      <c r="B3633" t="s">
        <v>8</v>
      </c>
      <c r="C3633" t="s">
        <v>104</v>
      </c>
      <c r="D3633" t="str">
        <f>LEFT(M3633,10)</f>
        <v>12/15/2024</v>
      </c>
      <c r="E3633" t="s">
        <v>230</v>
      </c>
      <c r="F3633" t="s">
        <v>248</v>
      </c>
      <c r="I3633">
        <v>0</v>
      </c>
      <c r="J3633">
        <v>7004.88</v>
      </c>
      <c r="M3633" t="s">
        <v>205</v>
      </c>
    </row>
    <row r="3634" spans="1:13" hidden="1">
      <c r="A3634" t="s">
        <v>105</v>
      </c>
      <c r="B3634" t="s">
        <v>8</v>
      </c>
      <c r="C3634" t="s">
        <v>104</v>
      </c>
      <c r="D3634" t="str">
        <f>LEFT(M3634,10)</f>
        <v>12/15/2024</v>
      </c>
      <c r="E3634" t="s">
        <v>232</v>
      </c>
      <c r="F3634" t="s">
        <v>233</v>
      </c>
      <c r="I3634">
        <v>0</v>
      </c>
      <c r="J3634">
        <v>621.28</v>
      </c>
      <c r="M3634" t="s">
        <v>205</v>
      </c>
    </row>
    <row r="3635" spans="1:13" hidden="1">
      <c r="A3635" t="s">
        <v>105</v>
      </c>
      <c r="B3635" t="s">
        <v>8</v>
      </c>
      <c r="C3635" t="s">
        <v>104</v>
      </c>
      <c r="D3635" t="str">
        <f>LEFT(M3635,10)</f>
        <v>12/15/2024</v>
      </c>
      <c r="E3635" t="s">
        <v>232</v>
      </c>
      <c r="F3635" t="s">
        <v>287</v>
      </c>
      <c r="I3635">
        <v>0</v>
      </c>
      <c r="J3635">
        <v>980.84</v>
      </c>
      <c r="M3635" t="s">
        <v>205</v>
      </c>
    </row>
    <row r="3636" spans="1:13" hidden="1">
      <c r="A3636" t="s">
        <v>105</v>
      </c>
      <c r="B3636" t="s">
        <v>8</v>
      </c>
      <c r="C3636" t="s">
        <v>104</v>
      </c>
      <c r="D3636" t="str">
        <f>LEFT(M3636,10)</f>
        <v>12/15/2024</v>
      </c>
      <c r="E3636" t="s">
        <v>232</v>
      </c>
      <c r="F3636" t="s">
        <v>291</v>
      </c>
      <c r="I3636">
        <v>0</v>
      </c>
      <c r="J3636">
        <v>15.99</v>
      </c>
      <c r="M3636" t="s">
        <v>205</v>
      </c>
    </row>
    <row r="3637" spans="1:13" hidden="1">
      <c r="A3637" t="s">
        <v>105</v>
      </c>
      <c r="B3637" t="s">
        <v>8</v>
      </c>
      <c r="C3637" t="s">
        <v>104</v>
      </c>
      <c r="D3637" t="str">
        <f>LEFT(M3637,10)</f>
        <v>12/15/2024</v>
      </c>
      <c r="E3637" t="s">
        <v>232</v>
      </c>
      <c r="F3637" t="s">
        <v>255</v>
      </c>
      <c r="I3637">
        <v>0</v>
      </c>
      <c r="J3637">
        <v>340</v>
      </c>
      <c r="L3637" t="s">
        <v>513</v>
      </c>
      <c r="M3637" t="s">
        <v>205</v>
      </c>
    </row>
    <row r="3638" spans="1:13" hidden="1">
      <c r="A3638" t="s">
        <v>105</v>
      </c>
      <c r="B3638" t="s">
        <v>8</v>
      </c>
      <c r="C3638" t="s">
        <v>104</v>
      </c>
      <c r="D3638" t="str">
        <f>LEFT(M3638,10)</f>
        <v>12/15/2024</v>
      </c>
      <c r="E3638" t="s">
        <v>232</v>
      </c>
      <c r="F3638" t="s">
        <v>250</v>
      </c>
      <c r="I3638">
        <v>0</v>
      </c>
      <c r="J3638">
        <v>100</v>
      </c>
      <c r="M3638" t="s">
        <v>205</v>
      </c>
    </row>
    <row r="3639" spans="1:13" hidden="1">
      <c r="A3639" t="s">
        <v>105</v>
      </c>
      <c r="B3639" t="s">
        <v>8</v>
      </c>
      <c r="C3639" t="s">
        <v>104</v>
      </c>
      <c r="D3639" t="str">
        <f>LEFT(M3639,10)</f>
        <v>12/15/2024</v>
      </c>
      <c r="E3639" t="s">
        <v>232</v>
      </c>
      <c r="F3639" t="s">
        <v>251</v>
      </c>
      <c r="I3639">
        <v>0</v>
      </c>
      <c r="J3639">
        <v>475.5</v>
      </c>
      <c r="M3639" t="s">
        <v>205</v>
      </c>
    </row>
    <row r="3640" spans="1:13" hidden="1">
      <c r="A3640" t="s">
        <v>105</v>
      </c>
      <c r="B3640" t="s">
        <v>8</v>
      </c>
      <c r="C3640" t="s">
        <v>104</v>
      </c>
      <c r="D3640" t="str">
        <f>LEFT(M3640,10)</f>
        <v>12/15/2024</v>
      </c>
      <c r="E3640" t="s">
        <v>232</v>
      </c>
      <c r="F3640" t="s">
        <v>272</v>
      </c>
      <c r="I3640">
        <v>0</v>
      </c>
      <c r="J3640">
        <v>350</v>
      </c>
      <c r="M3640" t="s">
        <v>205</v>
      </c>
    </row>
    <row r="3641" spans="1:13" hidden="1">
      <c r="A3641" t="s">
        <v>105</v>
      </c>
      <c r="B3641" t="s">
        <v>8</v>
      </c>
      <c r="C3641" t="s">
        <v>104</v>
      </c>
      <c r="D3641" t="str">
        <f>LEFT(M3641,10)</f>
        <v>12/15/2024</v>
      </c>
      <c r="E3641" t="s">
        <v>232</v>
      </c>
      <c r="F3641" t="s">
        <v>255</v>
      </c>
      <c r="I3641">
        <v>0</v>
      </c>
      <c r="J3641">
        <v>200</v>
      </c>
      <c r="L3641" t="s">
        <v>514</v>
      </c>
      <c r="M3641" t="s">
        <v>205</v>
      </c>
    </row>
    <row r="3642" spans="1:13" hidden="1">
      <c r="A3642" t="s">
        <v>105</v>
      </c>
      <c r="B3642" t="s">
        <v>8</v>
      </c>
      <c r="C3642" t="s">
        <v>104</v>
      </c>
      <c r="D3642" t="str">
        <f>LEFT(M3642,10)</f>
        <v>12/15/2024</v>
      </c>
      <c r="E3642" t="s">
        <v>232</v>
      </c>
      <c r="F3642" t="s">
        <v>286</v>
      </c>
      <c r="I3642">
        <v>0</v>
      </c>
      <c r="J3642">
        <v>350</v>
      </c>
      <c r="M3642" t="s">
        <v>205</v>
      </c>
    </row>
    <row r="3643" spans="1:13" hidden="1">
      <c r="A3643" t="s">
        <v>105</v>
      </c>
      <c r="B3643" t="s">
        <v>8</v>
      </c>
      <c r="C3643" t="s">
        <v>104</v>
      </c>
      <c r="D3643" t="str">
        <f>LEFT(M3643,10)</f>
        <v>12/15/2024</v>
      </c>
      <c r="E3643" t="s">
        <v>234</v>
      </c>
      <c r="F3643" t="s">
        <v>234</v>
      </c>
      <c r="I3643">
        <v>3690</v>
      </c>
      <c r="M3643" t="s">
        <v>205</v>
      </c>
    </row>
    <row r="3644" spans="1:13" hidden="1">
      <c r="A3644" t="s">
        <v>127</v>
      </c>
      <c r="B3644" t="s">
        <v>8</v>
      </c>
      <c r="C3644" t="s">
        <v>126</v>
      </c>
      <c r="D3644" t="str">
        <f>LEFT(M3644,10)</f>
        <v>12/15/2024</v>
      </c>
      <c r="E3644" t="s">
        <v>202</v>
      </c>
      <c r="F3644" t="s">
        <v>218</v>
      </c>
      <c r="G3644" t="s">
        <v>220</v>
      </c>
      <c r="I3644">
        <v>666</v>
      </c>
      <c r="J3644">
        <v>1065.5999999999999</v>
      </c>
      <c r="K3644">
        <v>1.6</v>
      </c>
      <c r="M3644" t="s">
        <v>205</v>
      </c>
    </row>
    <row r="3645" spans="1:13" hidden="1">
      <c r="A3645" t="s">
        <v>127</v>
      </c>
      <c r="B3645" t="s">
        <v>8</v>
      </c>
      <c r="C3645" t="s">
        <v>126</v>
      </c>
      <c r="D3645" t="str">
        <f>LEFT(M3645,10)</f>
        <v>12/15/2024</v>
      </c>
      <c r="E3645" t="s">
        <v>202</v>
      </c>
      <c r="F3645" t="s">
        <v>218</v>
      </c>
      <c r="G3645" t="s">
        <v>225</v>
      </c>
      <c r="I3645">
        <v>46</v>
      </c>
      <c r="J3645">
        <v>41.4</v>
      </c>
      <c r="K3645">
        <v>0.9</v>
      </c>
      <c r="M3645" t="s">
        <v>205</v>
      </c>
    </row>
    <row r="3646" spans="1:13" hidden="1">
      <c r="A3646" t="s">
        <v>127</v>
      </c>
      <c r="B3646" t="s">
        <v>8</v>
      </c>
      <c r="C3646" t="s">
        <v>126</v>
      </c>
      <c r="D3646" t="str">
        <f>LEFT(M3646,10)</f>
        <v>12/15/2024</v>
      </c>
      <c r="E3646" t="s">
        <v>202</v>
      </c>
      <c r="F3646" t="s">
        <v>218</v>
      </c>
      <c r="G3646" t="s">
        <v>224</v>
      </c>
      <c r="I3646">
        <v>58</v>
      </c>
      <c r="J3646">
        <v>58</v>
      </c>
      <c r="K3646">
        <v>1</v>
      </c>
      <c r="M3646" t="s">
        <v>205</v>
      </c>
    </row>
    <row r="3647" spans="1:13" hidden="1">
      <c r="A3647" t="s">
        <v>127</v>
      </c>
      <c r="B3647" t="s">
        <v>8</v>
      </c>
      <c r="C3647" t="s">
        <v>126</v>
      </c>
      <c r="D3647" t="str">
        <f>LEFT(M3647,10)</f>
        <v>12/15/2024</v>
      </c>
      <c r="E3647" t="s">
        <v>202</v>
      </c>
      <c r="F3647" t="s">
        <v>218</v>
      </c>
      <c r="G3647" t="s">
        <v>226</v>
      </c>
      <c r="I3647">
        <v>60</v>
      </c>
      <c r="J3647">
        <v>18</v>
      </c>
      <c r="K3647">
        <v>0.3</v>
      </c>
      <c r="M3647" t="s">
        <v>205</v>
      </c>
    </row>
    <row r="3648" spans="1:13" hidden="1">
      <c r="A3648" t="s">
        <v>127</v>
      </c>
      <c r="B3648" t="s">
        <v>8</v>
      </c>
      <c r="C3648" t="s">
        <v>126</v>
      </c>
      <c r="D3648" t="str">
        <f>LEFT(M3648,10)</f>
        <v>12/15/2024</v>
      </c>
      <c r="E3648" t="s">
        <v>202</v>
      </c>
      <c r="F3648" t="s">
        <v>218</v>
      </c>
      <c r="G3648" t="s">
        <v>241</v>
      </c>
      <c r="I3648">
        <v>41</v>
      </c>
      <c r="J3648">
        <v>155.80000000000001</v>
      </c>
      <c r="K3648">
        <v>3.8</v>
      </c>
      <c r="M3648" t="s">
        <v>205</v>
      </c>
    </row>
    <row r="3649" spans="1:13" hidden="1">
      <c r="A3649" t="s">
        <v>127</v>
      </c>
      <c r="B3649" t="s">
        <v>8</v>
      </c>
      <c r="C3649" t="s">
        <v>126</v>
      </c>
      <c r="D3649" t="str">
        <f>LEFT(M3649,10)</f>
        <v>12/15/2024</v>
      </c>
      <c r="E3649" t="s">
        <v>202</v>
      </c>
      <c r="F3649" t="s">
        <v>218</v>
      </c>
      <c r="G3649" t="s">
        <v>219</v>
      </c>
      <c r="I3649">
        <v>70</v>
      </c>
      <c r="J3649">
        <v>7</v>
      </c>
      <c r="K3649">
        <v>0.1</v>
      </c>
      <c r="M3649" t="s">
        <v>205</v>
      </c>
    </row>
    <row r="3650" spans="1:13" hidden="1">
      <c r="A3650" t="s">
        <v>127</v>
      </c>
      <c r="B3650" t="s">
        <v>8</v>
      </c>
      <c r="C3650" t="s">
        <v>126</v>
      </c>
      <c r="D3650" t="str">
        <f>LEFT(M3650,10)</f>
        <v>12/15/2024</v>
      </c>
      <c r="E3650" t="s">
        <v>202</v>
      </c>
      <c r="F3650" t="s">
        <v>218</v>
      </c>
      <c r="G3650" t="s">
        <v>223</v>
      </c>
      <c r="I3650">
        <v>179</v>
      </c>
      <c r="J3650">
        <v>161.1</v>
      </c>
      <c r="K3650">
        <v>0.9</v>
      </c>
      <c r="M3650" t="s">
        <v>205</v>
      </c>
    </row>
    <row r="3651" spans="1:13" hidden="1">
      <c r="A3651" t="s">
        <v>127</v>
      </c>
      <c r="B3651" t="s">
        <v>8</v>
      </c>
      <c r="C3651" t="s">
        <v>126</v>
      </c>
      <c r="D3651" t="str">
        <f>LEFT(M3651,10)</f>
        <v>12/15/2024</v>
      </c>
      <c r="E3651" t="s">
        <v>202</v>
      </c>
      <c r="F3651" t="s">
        <v>218</v>
      </c>
      <c r="G3651" t="s">
        <v>243</v>
      </c>
      <c r="H3651" t="s">
        <v>300</v>
      </c>
      <c r="I3651">
        <v>299</v>
      </c>
      <c r="J3651">
        <v>717.6</v>
      </c>
      <c r="K3651">
        <v>2.4</v>
      </c>
      <c r="M3651" t="s">
        <v>205</v>
      </c>
    </row>
    <row r="3652" spans="1:13" hidden="1">
      <c r="A3652" t="s">
        <v>127</v>
      </c>
      <c r="B3652" t="s">
        <v>8</v>
      </c>
      <c r="C3652" t="s">
        <v>126</v>
      </c>
      <c r="D3652" t="str">
        <f>LEFT(M3652,10)</f>
        <v>12/15/2024</v>
      </c>
      <c r="E3652" t="s">
        <v>202</v>
      </c>
      <c r="F3652" t="s">
        <v>218</v>
      </c>
      <c r="G3652" t="s">
        <v>240</v>
      </c>
      <c r="I3652">
        <v>398</v>
      </c>
      <c r="J3652">
        <v>1512.4</v>
      </c>
      <c r="K3652">
        <v>3.8</v>
      </c>
      <c r="M3652" t="s">
        <v>205</v>
      </c>
    </row>
    <row r="3653" spans="1:13" hidden="1">
      <c r="A3653" t="s">
        <v>127</v>
      </c>
      <c r="B3653" t="s">
        <v>8</v>
      </c>
      <c r="C3653" t="s">
        <v>126</v>
      </c>
      <c r="D3653" t="str">
        <f>LEFT(M3653,10)</f>
        <v>12/15/2024</v>
      </c>
      <c r="E3653" t="s">
        <v>202</v>
      </c>
      <c r="F3653" t="s">
        <v>227</v>
      </c>
      <c r="G3653" t="s">
        <v>237</v>
      </c>
      <c r="I3653">
        <v>199</v>
      </c>
      <c r="J3653">
        <v>99.5</v>
      </c>
      <c r="K3653">
        <v>0.5</v>
      </c>
      <c r="M3653" t="s">
        <v>205</v>
      </c>
    </row>
    <row r="3654" spans="1:13" hidden="1">
      <c r="A3654" t="s">
        <v>127</v>
      </c>
      <c r="B3654" t="s">
        <v>8</v>
      </c>
      <c r="C3654" t="s">
        <v>126</v>
      </c>
      <c r="D3654" t="str">
        <f>LEFT(M3654,10)</f>
        <v>12/15/2024</v>
      </c>
      <c r="E3654" t="s">
        <v>202</v>
      </c>
      <c r="F3654" t="s">
        <v>227</v>
      </c>
      <c r="G3654" t="s">
        <v>237</v>
      </c>
      <c r="I3654">
        <v>760</v>
      </c>
      <c r="J3654">
        <v>266</v>
      </c>
      <c r="K3654">
        <v>0.35</v>
      </c>
      <c r="M3654" t="s">
        <v>205</v>
      </c>
    </row>
    <row r="3655" spans="1:13" hidden="1">
      <c r="A3655" t="s">
        <v>127</v>
      </c>
      <c r="B3655" t="s">
        <v>8</v>
      </c>
      <c r="C3655" t="s">
        <v>126</v>
      </c>
      <c r="D3655" t="str">
        <f>LEFT(M3655,10)</f>
        <v>12/15/2024</v>
      </c>
      <c r="E3655" t="s">
        <v>202</v>
      </c>
      <c r="F3655" t="s">
        <v>218</v>
      </c>
      <c r="G3655" t="s">
        <v>223</v>
      </c>
      <c r="I3655">
        <v>546</v>
      </c>
      <c r="J3655">
        <v>382.2</v>
      </c>
      <c r="K3655">
        <v>0.7</v>
      </c>
      <c r="M3655" t="s">
        <v>205</v>
      </c>
    </row>
    <row r="3656" spans="1:13" hidden="1">
      <c r="A3656" t="s">
        <v>127</v>
      </c>
      <c r="B3656" t="s">
        <v>8</v>
      </c>
      <c r="C3656" t="s">
        <v>126</v>
      </c>
      <c r="D3656" t="str">
        <f>LEFT(M3656,10)</f>
        <v>12/15/2024</v>
      </c>
      <c r="E3656" t="s">
        <v>202</v>
      </c>
      <c r="F3656" t="s">
        <v>218</v>
      </c>
      <c r="G3656" t="s">
        <v>222</v>
      </c>
      <c r="I3656">
        <v>74</v>
      </c>
      <c r="J3656">
        <v>51.8</v>
      </c>
      <c r="K3656">
        <v>0.7</v>
      </c>
      <c r="M3656" t="s">
        <v>205</v>
      </c>
    </row>
    <row r="3657" spans="1:13" hidden="1">
      <c r="A3657" t="s">
        <v>127</v>
      </c>
      <c r="B3657" t="s">
        <v>8</v>
      </c>
      <c r="C3657" t="s">
        <v>126</v>
      </c>
      <c r="D3657" t="str">
        <f>LEFT(M3657,10)</f>
        <v>12/15/2024</v>
      </c>
      <c r="E3657" t="s">
        <v>202</v>
      </c>
      <c r="F3657" t="s">
        <v>227</v>
      </c>
      <c r="G3657" t="s">
        <v>252</v>
      </c>
      <c r="I3657">
        <v>179</v>
      </c>
      <c r="J3657">
        <v>62.65</v>
      </c>
      <c r="K3657">
        <v>0.35</v>
      </c>
      <c r="M3657" t="s">
        <v>205</v>
      </c>
    </row>
    <row r="3658" spans="1:13" hidden="1">
      <c r="A3658" t="s">
        <v>127</v>
      </c>
      <c r="B3658" t="s">
        <v>8</v>
      </c>
      <c r="C3658" t="s">
        <v>126</v>
      </c>
      <c r="D3658" t="str">
        <f>LEFT(M3658,10)</f>
        <v>12/15/2024</v>
      </c>
      <c r="E3658" t="s">
        <v>202</v>
      </c>
      <c r="F3658" t="s">
        <v>218</v>
      </c>
      <c r="G3658" t="s">
        <v>222</v>
      </c>
      <c r="I3658">
        <v>467</v>
      </c>
      <c r="J3658">
        <v>653.79999999999995</v>
      </c>
      <c r="K3658">
        <v>1.4</v>
      </c>
      <c r="M3658" t="s">
        <v>205</v>
      </c>
    </row>
    <row r="3659" spans="1:13" hidden="1">
      <c r="A3659" t="s">
        <v>127</v>
      </c>
      <c r="B3659" t="s">
        <v>8</v>
      </c>
      <c r="C3659" t="s">
        <v>126</v>
      </c>
      <c r="D3659" t="str">
        <f>LEFT(M3659,10)</f>
        <v>12/15/2024</v>
      </c>
      <c r="E3659" t="s">
        <v>202</v>
      </c>
      <c r="F3659" t="s">
        <v>227</v>
      </c>
      <c r="G3659" t="s">
        <v>229</v>
      </c>
      <c r="I3659">
        <v>4388</v>
      </c>
      <c r="J3659">
        <v>3510.4</v>
      </c>
      <c r="K3659">
        <v>0.8</v>
      </c>
      <c r="M3659" t="s">
        <v>205</v>
      </c>
    </row>
    <row r="3660" spans="1:13" hidden="1">
      <c r="A3660" t="s">
        <v>127</v>
      </c>
      <c r="B3660" t="s">
        <v>8</v>
      </c>
      <c r="C3660" t="s">
        <v>126</v>
      </c>
      <c r="D3660" t="str">
        <f>LEFT(M3660,10)</f>
        <v>12/15/2024</v>
      </c>
      <c r="E3660" t="s">
        <v>202</v>
      </c>
      <c r="F3660" t="s">
        <v>216</v>
      </c>
      <c r="G3660" t="s">
        <v>253</v>
      </c>
      <c r="I3660">
        <v>580</v>
      </c>
      <c r="J3660">
        <v>87</v>
      </c>
      <c r="K3660">
        <v>0.15</v>
      </c>
      <c r="M3660" t="s">
        <v>205</v>
      </c>
    </row>
    <row r="3661" spans="1:13" hidden="1">
      <c r="A3661" t="s">
        <v>127</v>
      </c>
      <c r="B3661" t="s">
        <v>8</v>
      </c>
      <c r="C3661" t="s">
        <v>126</v>
      </c>
      <c r="D3661" t="str">
        <f>LEFT(M3661,10)</f>
        <v>12/15/2024</v>
      </c>
      <c r="E3661" t="s">
        <v>202</v>
      </c>
      <c r="F3661" t="s">
        <v>203</v>
      </c>
      <c r="G3661" t="s">
        <v>236</v>
      </c>
      <c r="I3661">
        <v>530</v>
      </c>
      <c r="J3661">
        <v>424</v>
      </c>
      <c r="K3661">
        <v>0.8</v>
      </c>
      <c r="M3661" t="s">
        <v>205</v>
      </c>
    </row>
    <row r="3662" spans="1:13" hidden="1">
      <c r="A3662" t="s">
        <v>127</v>
      </c>
      <c r="B3662" t="s">
        <v>8</v>
      </c>
      <c r="C3662" t="s">
        <v>126</v>
      </c>
      <c r="D3662" t="str">
        <f>LEFT(M3662,10)</f>
        <v>12/15/2024</v>
      </c>
      <c r="E3662" t="s">
        <v>230</v>
      </c>
      <c r="F3662" t="s">
        <v>248</v>
      </c>
      <c r="G3662" t="s">
        <v>249</v>
      </c>
      <c r="I3662">
        <v>0</v>
      </c>
      <c r="J3662">
        <v>6511.68</v>
      </c>
      <c r="M3662" t="s">
        <v>205</v>
      </c>
    </row>
    <row r="3663" spans="1:13" hidden="1">
      <c r="A3663" t="s">
        <v>127</v>
      </c>
      <c r="B3663" t="s">
        <v>8</v>
      </c>
      <c r="C3663" t="s">
        <v>126</v>
      </c>
      <c r="D3663" t="str">
        <f>LEFT(M3663,10)</f>
        <v>12/15/2024</v>
      </c>
      <c r="E3663" t="s">
        <v>232</v>
      </c>
      <c r="F3663" t="s">
        <v>255</v>
      </c>
      <c r="G3663" t="s">
        <v>249</v>
      </c>
      <c r="I3663">
        <v>0</v>
      </c>
      <c r="J3663">
        <v>2145.27</v>
      </c>
      <c r="L3663" t="s">
        <v>515</v>
      </c>
      <c r="M3663" t="s">
        <v>205</v>
      </c>
    </row>
    <row r="3664" spans="1:13" hidden="1">
      <c r="A3664" t="s">
        <v>180</v>
      </c>
      <c r="B3664" t="s">
        <v>8</v>
      </c>
      <c r="C3664" t="s">
        <v>179</v>
      </c>
      <c r="D3664" t="str">
        <f>LEFT(M3664,10)</f>
        <v>11/15/2024</v>
      </c>
      <c r="E3664" t="s">
        <v>202</v>
      </c>
      <c r="F3664" t="s">
        <v>209</v>
      </c>
      <c r="G3664" t="s">
        <v>211</v>
      </c>
      <c r="I3664">
        <v>121.6</v>
      </c>
      <c r="J3664">
        <v>57.04</v>
      </c>
      <c r="K3664">
        <v>0.47</v>
      </c>
      <c r="M3664" t="s">
        <v>289</v>
      </c>
    </row>
    <row r="3665" spans="1:13" hidden="1">
      <c r="A3665" t="s">
        <v>180</v>
      </c>
      <c r="B3665" t="s">
        <v>8</v>
      </c>
      <c r="C3665" t="s">
        <v>179</v>
      </c>
      <c r="D3665" t="str">
        <f>LEFT(M3665,10)</f>
        <v>11/15/2024</v>
      </c>
      <c r="E3665" t="s">
        <v>202</v>
      </c>
      <c r="F3665" t="s">
        <v>209</v>
      </c>
      <c r="G3665" t="s">
        <v>214</v>
      </c>
      <c r="I3665">
        <v>1789.4</v>
      </c>
      <c r="J3665">
        <v>1207.31</v>
      </c>
      <c r="K3665">
        <v>0.67</v>
      </c>
      <c r="M3665" t="s">
        <v>289</v>
      </c>
    </row>
    <row r="3666" spans="1:13" hidden="1">
      <c r="A3666" t="s">
        <v>180</v>
      </c>
      <c r="B3666" t="s">
        <v>8</v>
      </c>
      <c r="C3666" t="s">
        <v>179</v>
      </c>
      <c r="D3666" t="str">
        <f>LEFT(M3666,10)</f>
        <v>11/15/2024</v>
      </c>
      <c r="E3666" t="s">
        <v>202</v>
      </c>
      <c r="F3666" t="s">
        <v>203</v>
      </c>
      <c r="G3666" t="s">
        <v>204</v>
      </c>
      <c r="I3666">
        <v>610.70000000000005</v>
      </c>
      <c r="J3666">
        <v>5332</v>
      </c>
      <c r="K3666">
        <v>8.73</v>
      </c>
      <c r="M3666" t="s">
        <v>289</v>
      </c>
    </row>
    <row r="3667" spans="1:13" hidden="1">
      <c r="A3667" t="s">
        <v>180</v>
      </c>
      <c r="B3667" t="s">
        <v>8</v>
      </c>
      <c r="C3667" t="s">
        <v>179</v>
      </c>
      <c r="D3667" t="str">
        <f>LEFT(M3667,10)</f>
        <v>11/15/2024</v>
      </c>
      <c r="E3667" t="s">
        <v>202</v>
      </c>
      <c r="F3667" t="s">
        <v>216</v>
      </c>
      <c r="G3667" t="s">
        <v>253</v>
      </c>
      <c r="I3667">
        <v>4530</v>
      </c>
      <c r="J3667">
        <v>679.5</v>
      </c>
      <c r="K3667">
        <v>0.15</v>
      </c>
      <c r="M3667" t="s">
        <v>289</v>
      </c>
    </row>
    <row r="3668" spans="1:13" hidden="1">
      <c r="A3668" t="s">
        <v>180</v>
      </c>
      <c r="B3668" t="s">
        <v>8</v>
      </c>
      <c r="C3668" t="s">
        <v>179</v>
      </c>
      <c r="D3668" t="str">
        <f>LEFT(M3668,10)</f>
        <v>11/15/2024</v>
      </c>
      <c r="E3668" t="s">
        <v>202</v>
      </c>
      <c r="F3668" t="s">
        <v>203</v>
      </c>
      <c r="G3668" t="s">
        <v>215</v>
      </c>
      <c r="I3668">
        <v>3190</v>
      </c>
      <c r="J3668">
        <v>1914</v>
      </c>
      <c r="K3668">
        <v>0.6</v>
      </c>
      <c r="M3668" t="s">
        <v>289</v>
      </c>
    </row>
    <row r="3669" spans="1:13" hidden="1">
      <c r="A3669" t="s">
        <v>180</v>
      </c>
      <c r="B3669" t="s">
        <v>8</v>
      </c>
      <c r="C3669" t="s">
        <v>179</v>
      </c>
      <c r="D3669" t="str">
        <f>LEFT(M3669,10)</f>
        <v>11/15/2024</v>
      </c>
      <c r="E3669" t="s">
        <v>202</v>
      </c>
      <c r="F3669" t="s">
        <v>227</v>
      </c>
      <c r="G3669" t="s">
        <v>252</v>
      </c>
      <c r="I3669">
        <v>755</v>
      </c>
      <c r="J3669">
        <v>151</v>
      </c>
      <c r="K3669">
        <v>0.2</v>
      </c>
      <c r="M3669" t="s">
        <v>289</v>
      </c>
    </row>
    <row r="3670" spans="1:13" hidden="1">
      <c r="A3670" t="s">
        <v>180</v>
      </c>
      <c r="B3670" t="s">
        <v>8</v>
      </c>
      <c r="C3670" t="s">
        <v>179</v>
      </c>
      <c r="D3670" t="str">
        <f>LEFT(M3670,10)</f>
        <v>11/15/2024</v>
      </c>
      <c r="E3670" t="s">
        <v>202</v>
      </c>
      <c r="F3670" t="s">
        <v>227</v>
      </c>
      <c r="G3670" t="s">
        <v>228</v>
      </c>
      <c r="I3670">
        <v>3268</v>
      </c>
      <c r="J3670">
        <v>751.64</v>
      </c>
      <c r="K3670">
        <v>0.23</v>
      </c>
      <c r="M3670" t="s">
        <v>289</v>
      </c>
    </row>
    <row r="3671" spans="1:13" hidden="1">
      <c r="A3671" t="s">
        <v>180</v>
      </c>
      <c r="B3671" t="s">
        <v>8</v>
      </c>
      <c r="C3671" t="s">
        <v>179</v>
      </c>
      <c r="D3671" t="str">
        <f>LEFT(M3671,10)</f>
        <v>11/15/2024</v>
      </c>
      <c r="E3671" t="s">
        <v>202</v>
      </c>
      <c r="F3671" t="s">
        <v>227</v>
      </c>
      <c r="G3671" t="s">
        <v>229</v>
      </c>
      <c r="I3671">
        <v>9869</v>
      </c>
      <c r="J3671">
        <v>6414.85</v>
      </c>
      <c r="K3671">
        <v>0.65</v>
      </c>
      <c r="M3671" t="s">
        <v>289</v>
      </c>
    </row>
    <row r="3672" spans="1:13" hidden="1">
      <c r="A3672" t="s">
        <v>180</v>
      </c>
      <c r="B3672" t="s">
        <v>8</v>
      </c>
      <c r="C3672" t="s">
        <v>179</v>
      </c>
      <c r="D3672" t="str">
        <f>LEFT(M3672,10)</f>
        <v>11/15/2024</v>
      </c>
      <c r="E3672" t="s">
        <v>202</v>
      </c>
      <c r="F3672" t="s">
        <v>227</v>
      </c>
      <c r="G3672" t="s">
        <v>238</v>
      </c>
      <c r="I3672">
        <v>464</v>
      </c>
      <c r="J3672">
        <v>92.8</v>
      </c>
      <c r="K3672">
        <v>0.2</v>
      </c>
      <c r="M3672" t="s">
        <v>289</v>
      </c>
    </row>
    <row r="3673" spans="1:13" hidden="1">
      <c r="A3673" t="s">
        <v>180</v>
      </c>
      <c r="B3673" t="s">
        <v>8</v>
      </c>
      <c r="C3673" t="s">
        <v>179</v>
      </c>
      <c r="D3673" t="str">
        <f>LEFT(M3673,10)</f>
        <v>11/15/2024</v>
      </c>
      <c r="E3673" t="s">
        <v>202</v>
      </c>
      <c r="F3673" t="s">
        <v>227</v>
      </c>
      <c r="G3673" t="s">
        <v>237</v>
      </c>
      <c r="I3673">
        <v>521</v>
      </c>
      <c r="J3673">
        <v>312.60000000000002</v>
      </c>
      <c r="K3673">
        <v>0.6</v>
      </c>
      <c r="M3673" t="s">
        <v>289</v>
      </c>
    </row>
    <row r="3674" spans="1:13" hidden="1">
      <c r="A3674" t="s">
        <v>180</v>
      </c>
      <c r="B3674" t="s">
        <v>8</v>
      </c>
      <c r="C3674" t="s">
        <v>179</v>
      </c>
      <c r="D3674" t="str">
        <f>LEFT(M3674,10)</f>
        <v>11/15/2024</v>
      </c>
      <c r="E3674" t="s">
        <v>202</v>
      </c>
      <c r="F3674" t="s">
        <v>218</v>
      </c>
      <c r="G3674" t="s">
        <v>223</v>
      </c>
      <c r="I3674">
        <v>2184</v>
      </c>
      <c r="J3674">
        <v>1892.2</v>
      </c>
      <c r="K3674">
        <v>0.87</v>
      </c>
      <c r="M3674" t="s">
        <v>289</v>
      </c>
    </row>
    <row r="3675" spans="1:13" hidden="1">
      <c r="A3675" t="s">
        <v>180</v>
      </c>
      <c r="B3675" t="s">
        <v>8</v>
      </c>
      <c r="C3675" t="s">
        <v>179</v>
      </c>
      <c r="D3675" t="str">
        <f>LEFT(M3675,10)</f>
        <v>11/15/2024</v>
      </c>
      <c r="E3675" t="s">
        <v>202</v>
      </c>
      <c r="F3675" t="s">
        <v>218</v>
      </c>
      <c r="G3675" t="s">
        <v>220</v>
      </c>
      <c r="I3675">
        <v>1210</v>
      </c>
      <c r="J3675">
        <v>1694</v>
      </c>
      <c r="K3675">
        <v>1.4</v>
      </c>
      <c r="M3675" t="s">
        <v>289</v>
      </c>
    </row>
    <row r="3676" spans="1:13" hidden="1">
      <c r="A3676" t="s">
        <v>180</v>
      </c>
      <c r="B3676" t="s">
        <v>8</v>
      </c>
      <c r="C3676" t="s">
        <v>179</v>
      </c>
      <c r="D3676" t="str">
        <f>LEFT(M3676,10)</f>
        <v>11/15/2024</v>
      </c>
      <c r="E3676" t="s">
        <v>202</v>
      </c>
      <c r="F3676" t="s">
        <v>218</v>
      </c>
      <c r="G3676" t="s">
        <v>219</v>
      </c>
      <c r="I3676">
        <v>398</v>
      </c>
      <c r="J3676">
        <v>935.3</v>
      </c>
      <c r="K3676">
        <v>2.35</v>
      </c>
      <c r="M3676" t="s">
        <v>289</v>
      </c>
    </row>
    <row r="3677" spans="1:13" hidden="1">
      <c r="A3677" t="s">
        <v>180</v>
      </c>
      <c r="B3677" t="s">
        <v>8</v>
      </c>
      <c r="C3677" t="s">
        <v>179</v>
      </c>
      <c r="D3677" t="str">
        <f>LEFT(M3677,10)</f>
        <v>11/15/2024</v>
      </c>
      <c r="E3677" t="s">
        <v>202</v>
      </c>
      <c r="F3677" t="s">
        <v>218</v>
      </c>
      <c r="G3677" t="s">
        <v>222</v>
      </c>
      <c r="I3677">
        <v>1015</v>
      </c>
      <c r="J3677">
        <v>1039.4000000000001</v>
      </c>
      <c r="K3677">
        <v>1.02</v>
      </c>
      <c r="M3677" t="s">
        <v>289</v>
      </c>
    </row>
    <row r="3678" spans="1:13" hidden="1">
      <c r="A3678" t="s">
        <v>180</v>
      </c>
      <c r="B3678" t="s">
        <v>8</v>
      </c>
      <c r="C3678" t="s">
        <v>179</v>
      </c>
      <c r="D3678" t="str">
        <f>LEFT(M3678,10)</f>
        <v>11/15/2024</v>
      </c>
      <c r="E3678" t="s">
        <v>202</v>
      </c>
      <c r="F3678" t="s">
        <v>218</v>
      </c>
      <c r="G3678" t="s">
        <v>240</v>
      </c>
      <c r="I3678">
        <v>1700</v>
      </c>
      <c r="J3678">
        <v>5100</v>
      </c>
      <c r="K3678">
        <v>3</v>
      </c>
      <c r="M3678" t="s">
        <v>289</v>
      </c>
    </row>
    <row r="3679" spans="1:13" hidden="1">
      <c r="A3679" t="s">
        <v>180</v>
      </c>
      <c r="B3679" t="s">
        <v>8</v>
      </c>
      <c r="C3679" t="s">
        <v>179</v>
      </c>
      <c r="D3679" t="str">
        <f>LEFT(M3679,10)</f>
        <v>11/15/2024</v>
      </c>
      <c r="E3679" t="s">
        <v>202</v>
      </c>
      <c r="F3679" t="s">
        <v>218</v>
      </c>
      <c r="G3679" t="s">
        <v>222</v>
      </c>
      <c r="I3679">
        <v>560</v>
      </c>
      <c r="J3679">
        <v>1372</v>
      </c>
      <c r="K3679">
        <v>2.4500000000000002</v>
      </c>
      <c r="M3679" t="s">
        <v>289</v>
      </c>
    </row>
    <row r="3680" spans="1:13" hidden="1">
      <c r="A3680" t="s">
        <v>180</v>
      </c>
      <c r="B3680" t="s">
        <v>8</v>
      </c>
      <c r="C3680" t="s">
        <v>179</v>
      </c>
      <c r="D3680" t="str">
        <f>LEFT(M3680,10)</f>
        <v>11/15/2024</v>
      </c>
      <c r="E3680" t="s">
        <v>202</v>
      </c>
      <c r="F3680" t="s">
        <v>218</v>
      </c>
      <c r="G3680" t="s">
        <v>224</v>
      </c>
      <c r="I3680">
        <v>281</v>
      </c>
      <c r="J3680">
        <v>224.8</v>
      </c>
      <c r="K3680">
        <v>0.8</v>
      </c>
      <c r="M3680" t="s">
        <v>289</v>
      </c>
    </row>
    <row r="3681" spans="1:13" hidden="1">
      <c r="A3681" t="s">
        <v>180</v>
      </c>
      <c r="B3681" t="s">
        <v>8</v>
      </c>
      <c r="C3681" t="s">
        <v>179</v>
      </c>
      <c r="D3681" t="str">
        <f>LEFT(M3681,10)</f>
        <v>11/15/2024</v>
      </c>
      <c r="E3681" t="s">
        <v>202</v>
      </c>
      <c r="F3681" t="s">
        <v>218</v>
      </c>
      <c r="G3681" t="s">
        <v>241</v>
      </c>
      <c r="I3681">
        <v>136</v>
      </c>
      <c r="J3681">
        <v>408</v>
      </c>
      <c r="K3681">
        <v>3</v>
      </c>
      <c r="M3681" t="s">
        <v>289</v>
      </c>
    </row>
    <row r="3682" spans="1:13" hidden="1">
      <c r="A3682" t="s">
        <v>180</v>
      </c>
      <c r="B3682" t="s">
        <v>8</v>
      </c>
      <c r="C3682" t="s">
        <v>179</v>
      </c>
      <c r="D3682" t="str">
        <f>LEFT(M3682,10)</f>
        <v>11/15/2024</v>
      </c>
      <c r="E3682" t="s">
        <v>202</v>
      </c>
      <c r="F3682" t="s">
        <v>218</v>
      </c>
      <c r="G3682" t="s">
        <v>247</v>
      </c>
      <c r="I3682">
        <v>81</v>
      </c>
      <c r="J3682">
        <v>324</v>
      </c>
      <c r="K3682">
        <v>4</v>
      </c>
      <c r="M3682" t="s">
        <v>289</v>
      </c>
    </row>
    <row r="3683" spans="1:13" hidden="1">
      <c r="A3683" t="s">
        <v>180</v>
      </c>
      <c r="B3683" t="s">
        <v>8</v>
      </c>
      <c r="C3683" t="s">
        <v>179</v>
      </c>
      <c r="D3683" t="str">
        <f>LEFT(M3683,10)</f>
        <v>11/15/2024</v>
      </c>
      <c r="E3683" t="s">
        <v>202</v>
      </c>
      <c r="F3683" t="s">
        <v>218</v>
      </c>
      <c r="G3683" t="s">
        <v>267</v>
      </c>
      <c r="I3683">
        <v>155</v>
      </c>
      <c r="J3683">
        <v>31</v>
      </c>
      <c r="K3683">
        <v>0.2</v>
      </c>
      <c r="M3683" t="s">
        <v>289</v>
      </c>
    </row>
    <row r="3684" spans="1:13" hidden="1">
      <c r="A3684" t="s">
        <v>180</v>
      </c>
      <c r="B3684" t="s">
        <v>8</v>
      </c>
      <c r="C3684" t="s">
        <v>179</v>
      </c>
      <c r="D3684" t="str">
        <f>LEFT(M3684,10)</f>
        <v>11/15/2024</v>
      </c>
      <c r="E3684" t="s">
        <v>202</v>
      </c>
      <c r="F3684" t="s">
        <v>218</v>
      </c>
      <c r="G3684" t="s">
        <v>226</v>
      </c>
      <c r="I3684">
        <v>583</v>
      </c>
      <c r="J3684">
        <v>174.9</v>
      </c>
      <c r="K3684">
        <v>0.3</v>
      </c>
      <c r="M3684" t="s">
        <v>289</v>
      </c>
    </row>
    <row r="3685" spans="1:13" hidden="1">
      <c r="A3685" t="s">
        <v>180</v>
      </c>
      <c r="B3685" t="s">
        <v>8</v>
      </c>
      <c r="C3685" t="s">
        <v>179</v>
      </c>
      <c r="D3685" t="str">
        <f>LEFT(M3685,10)</f>
        <v>11/15/2024</v>
      </c>
      <c r="E3685" t="s">
        <v>230</v>
      </c>
      <c r="F3685" t="s">
        <v>248</v>
      </c>
      <c r="I3685">
        <v>0</v>
      </c>
      <c r="J3685">
        <v>11875.8</v>
      </c>
      <c r="M3685" t="s">
        <v>289</v>
      </c>
    </row>
    <row r="3686" spans="1:13" hidden="1">
      <c r="A3686" t="s">
        <v>180</v>
      </c>
      <c r="B3686" t="s">
        <v>8</v>
      </c>
      <c r="C3686" t="s">
        <v>179</v>
      </c>
      <c r="D3686" t="str">
        <f>LEFT(M3686,10)</f>
        <v>11/15/2024</v>
      </c>
      <c r="E3686" t="s">
        <v>230</v>
      </c>
      <c r="F3686" t="s">
        <v>231</v>
      </c>
      <c r="I3686">
        <v>0</v>
      </c>
      <c r="J3686">
        <v>1514.23</v>
      </c>
      <c r="M3686" t="s">
        <v>289</v>
      </c>
    </row>
    <row r="3687" spans="1:13" hidden="1">
      <c r="A3687" t="s">
        <v>180</v>
      </c>
      <c r="B3687" t="s">
        <v>8</v>
      </c>
      <c r="C3687" t="s">
        <v>179</v>
      </c>
      <c r="D3687" t="str">
        <f>LEFT(M3687,10)</f>
        <v>11/15/2024</v>
      </c>
      <c r="E3687" t="s">
        <v>232</v>
      </c>
      <c r="F3687" t="s">
        <v>262</v>
      </c>
      <c r="I3687">
        <v>0</v>
      </c>
      <c r="J3687">
        <v>1434.64</v>
      </c>
      <c r="M3687" t="s">
        <v>289</v>
      </c>
    </row>
    <row r="3688" spans="1:13" hidden="1">
      <c r="A3688" t="s">
        <v>180</v>
      </c>
      <c r="B3688" t="s">
        <v>8</v>
      </c>
      <c r="C3688" t="s">
        <v>179</v>
      </c>
      <c r="D3688" t="str">
        <f>LEFT(M3688,10)</f>
        <v>11/15/2024</v>
      </c>
      <c r="E3688" t="s">
        <v>232</v>
      </c>
      <c r="F3688" t="s">
        <v>290</v>
      </c>
      <c r="I3688">
        <v>0</v>
      </c>
      <c r="J3688">
        <v>43.5</v>
      </c>
      <c r="M3688" t="s">
        <v>289</v>
      </c>
    </row>
    <row r="3689" spans="1:13" hidden="1">
      <c r="A3689" t="s">
        <v>180</v>
      </c>
      <c r="B3689" t="s">
        <v>8</v>
      </c>
      <c r="C3689" t="s">
        <v>179</v>
      </c>
      <c r="D3689" t="str">
        <f>LEFT(M3689,10)</f>
        <v>11/15/2024</v>
      </c>
      <c r="E3689" t="s">
        <v>232</v>
      </c>
      <c r="F3689" t="s">
        <v>286</v>
      </c>
      <c r="I3689">
        <v>0</v>
      </c>
      <c r="J3689">
        <v>140</v>
      </c>
      <c r="M3689" t="s">
        <v>289</v>
      </c>
    </row>
    <row r="3690" spans="1:13" hidden="1">
      <c r="A3690" t="s">
        <v>180</v>
      </c>
      <c r="B3690" t="s">
        <v>8</v>
      </c>
      <c r="C3690" t="s">
        <v>179</v>
      </c>
      <c r="D3690" t="str">
        <f>LEFT(M3690,10)</f>
        <v>11/15/2024</v>
      </c>
      <c r="E3690" t="s">
        <v>232</v>
      </c>
      <c r="F3690" t="s">
        <v>251</v>
      </c>
      <c r="I3690">
        <v>0</v>
      </c>
      <c r="J3690">
        <v>1514.23</v>
      </c>
      <c r="M3690" t="s">
        <v>289</v>
      </c>
    </row>
    <row r="3691" spans="1:13" hidden="1">
      <c r="A3691" t="s">
        <v>180</v>
      </c>
      <c r="B3691" t="s">
        <v>8</v>
      </c>
      <c r="C3691" t="s">
        <v>179</v>
      </c>
      <c r="D3691" t="str">
        <f>LEFT(M3691,10)</f>
        <v>11/15/2024</v>
      </c>
      <c r="E3691" t="s">
        <v>232</v>
      </c>
      <c r="F3691" t="s">
        <v>272</v>
      </c>
      <c r="I3691">
        <v>0</v>
      </c>
      <c r="J3691">
        <v>780</v>
      </c>
      <c r="M3691" t="s">
        <v>289</v>
      </c>
    </row>
    <row r="3692" spans="1:13" hidden="1">
      <c r="A3692" t="s">
        <v>157</v>
      </c>
      <c r="B3692" t="s">
        <v>8</v>
      </c>
      <c r="C3692" t="s">
        <v>156</v>
      </c>
      <c r="D3692" t="str">
        <f>LEFT(M3692,10)</f>
        <v>12/15/2024</v>
      </c>
      <c r="E3692" t="s">
        <v>202</v>
      </c>
      <c r="F3692" t="s">
        <v>218</v>
      </c>
      <c r="G3692" t="s">
        <v>220</v>
      </c>
      <c r="I3692">
        <v>558</v>
      </c>
      <c r="J3692">
        <v>892.8</v>
      </c>
      <c r="K3692">
        <v>1.6</v>
      </c>
      <c r="M3692" t="s">
        <v>205</v>
      </c>
    </row>
    <row r="3693" spans="1:13" hidden="1">
      <c r="A3693" t="s">
        <v>157</v>
      </c>
      <c r="B3693" t="s">
        <v>8</v>
      </c>
      <c r="C3693" t="s">
        <v>156</v>
      </c>
      <c r="D3693" t="str">
        <f>LEFT(M3693,10)</f>
        <v>12/15/2024</v>
      </c>
      <c r="E3693" t="s">
        <v>202</v>
      </c>
      <c r="F3693" t="s">
        <v>227</v>
      </c>
      <c r="G3693" t="s">
        <v>228</v>
      </c>
      <c r="I3693">
        <v>315</v>
      </c>
      <c r="J3693">
        <v>110.25</v>
      </c>
      <c r="K3693">
        <v>0.35</v>
      </c>
      <c r="M3693" t="s">
        <v>205</v>
      </c>
    </row>
    <row r="3694" spans="1:13" hidden="1">
      <c r="A3694" t="s">
        <v>157</v>
      </c>
      <c r="B3694" t="s">
        <v>8</v>
      </c>
      <c r="C3694" t="s">
        <v>156</v>
      </c>
      <c r="D3694" t="str">
        <f>LEFT(M3694,10)</f>
        <v>12/15/2024</v>
      </c>
      <c r="E3694" t="s">
        <v>202</v>
      </c>
      <c r="F3694" t="s">
        <v>218</v>
      </c>
      <c r="G3694" t="s">
        <v>219</v>
      </c>
      <c r="I3694">
        <v>62</v>
      </c>
      <c r="J3694">
        <v>6.2</v>
      </c>
      <c r="K3694">
        <v>0.1</v>
      </c>
      <c r="M3694" t="s">
        <v>205</v>
      </c>
    </row>
    <row r="3695" spans="1:13" hidden="1">
      <c r="A3695" t="s">
        <v>157</v>
      </c>
      <c r="B3695" t="s">
        <v>8</v>
      </c>
      <c r="C3695" t="s">
        <v>156</v>
      </c>
      <c r="D3695" t="str">
        <f>LEFT(M3695,10)</f>
        <v>12/15/2024</v>
      </c>
      <c r="E3695" t="s">
        <v>202</v>
      </c>
      <c r="F3695" t="s">
        <v>218</v>
      </c>
      <c r="G3695" t="s">
        <v>243</v>
      </c>
      <c r="H3695" t="s">
        <v>283</v>
      </c>
      <c r="I3695">
        <v>73</v>
      </c>
      <c r="J3695">
        <v>131.4</v>
      </c>
      <c r="K3695">
        <v>1.8</v>
      </c>
      <c r="M3695" t="s">
        <v>205</v>
      </c>
    </row>
    <row r="3696" spans="1:13" hidden="1">
      <c r="A3696" t="s">
        <v>157</v>
      </c>
      <c r="B3696" t="s">
        <v>8</v>
      </c>
      <c r="C3696" t="s">
        <v>156</v>
      </c>
      <c r="D3696" t="str">
        <f>LEFT(M3696,10)</f>
        <v>12/15/2024</v>
      </c>
      <c r="E3696" t="s">
        <v>202</v>
      </c>
      <c r="F3696" t="s">
        <v>218</v>
      </c>
      <c r="G3696" t="s">
        <v>243</v>
      </c>
      <c r="H3696" t="s">
        <v>279</v>
      </c>
      <c r="I3696">
        <v>142</v>
      </c>
      <c r="J3696">
        <v>198.8</v>
      </c>
      <c r="K3696">
        <v>1.4</v>
      </c>
      <c r="M3696" t="s">
        <v>205</v>
      </c>
    </row>
    <row r="3697" spans="1:13" hidden="1">
      <c r="A3697" t="s">
        <v>157</v>
      </c>
      <c r="B3697" t="s">
        <v>8</v>
      </c>
      <c r="C3697" t="s">
        <v>156</v>
      </c>
      <c r="D3697" t="str">
        <f>LEFT(M3697,10)</f>
        <v>12/15/2024</v>
      </c>
      <c r="E3697" t="s">
        <v>202</v>
      </c>
      <c r="F3697" t="s">
        <v>218</v>
      </c>
      <c r="G3697" t="s">
        <v>243</v>
      </c>
      <c r="H3697" t="s">
        <v>278</v>
      </c>
      <c r="I3697">
        <v>146</v>
      </c>
      <c r="J3697">
        <v>175.2</v>
      </c>
      <c r="K3697">
        <v>1.2</v>
      </c>
      <c r="M3697" t="s">
        <v>205</v>
      </c>
    </row>
    <row r="3698" spans="1:13" hidden="1">
      <c r="A3698" t="s">
        <v>157</v>
      </c>
      <c r="B3698" t="s">
        <v>8</v>
      </c>
      <c r="C3698" t="s">
        <v>156</v>
      </c>
      <c r="D3698" t="str">
        <f>LEFT(M3698,10)</f>
        <v>12/15/2024</v>
      </c>
      <c r="E3698" t="s">
        <v>202</v>
      </c>
      <c r="F3698" t="s">
        <v>218</v>
      </c>
      <c r="G3698" t="s">
        <v>224</v>
      </c>
      <c r="I3698">
        <v>144</v>
      </c>
      <c r="J3698">
        <v>158.4</v>
      </c>
      <c r="K3698">
        <v>1.1000000000000001</v>
      </c>
      <c r="M3698" t="s">
        <v>205</v>
      </c>
    </row>
    <row r="3699" spans="1:13" hidden="1">
      <c r="A3699" t="s">
        <v>157</v>
      </c>
      <c r="B3699" t="s">
        <v>8</v>
      </c>
      <c r="C3699" t="s">
        <v>156</v>
      </c>
      <c r="D3699" t="str">
        <f>LEFT(M3699,10)</f>
        <v>12/15/2024</v>
      </c>
      <c r="E3699" t="s">
        <v>202</v>
      </c>
      <c r="F3699" t="s">
        <v>218</v>
      </c>
      <c r="G3699" t="s">
        <v>226</v>
      </c>
      <c r="I3699">
        <v>212</v>
      </c>
      <c r="J3699">
        <v>63.6</v>
      </c>
      <c r="K3699">
        <v>0.3</v>
      </c>
      <c r="M3699" t="s">
        <v>205</v>
      </c>
    </row>
    <row r="3700" spans="1:13" hidden="1">
      <c r="A3700" t="s">
        <v>157</v>
      </c>
      <c r="B3700" t="s">
        <v>8</v>
      </c>
      <c r="C3700" t="s">
        <v>156</v>
      </c>
      <c r="D3700" t="str">
        <f>LEFT(M3700,10)</f>
        <v>12/15/2024</v>
      </c>
      <c r="E3700" t="s">
        <v>202</v>
      </c>
      <c r="F3700" t="s">
        <v>218</v>
      </c>
      <c r="G3700" t="s">
        <v>223</v>
      </c>
      <c r="I3700">
        <v>869</v>
      </c>
      <c r="J3700">
        <v>733.5</v>
      </c>
      <c r="K3700">
        <v>0.84</v>
      </c>
      <c r="M3700" t="s">
        <v>205</v>
      </c>
    </row>
    <row r="3701" spans="1:13" hidden="1">
      <c r="A3701" t="s">
        <v>157</v>
      </c>
      <c r="B3701" t="s">
        <v>8</v>
      </c>
      <c r="C3701" t="s">
        <v>156</v>
      </c>
      <c r="D3701" t="str">
        <f>LEFT(M3701,10)</f>
        <v>12/15/2024</v>
      </c>
      <c r="E3701" t="s">
        <v>202</v>
      </c>
      <c r="F3701" t="s">
        <v>227</v>
      </c>
      <c r="G3701" t="s">
        <v>252</v>
      </c>
      <c r="I3701">
        <v>127</v>
      </c>
      <c r="J3701">
        <v>44.45</v>
      </c>
      <c r="K3701">
        <v>0.35</v>
      </c>
      <c r="M3701" t="s">
        <v>205</v>
      </c>
    </row>
    <row r="3702" spans="1:13" hidden="1">
      <c r="A3702" t="s">
        <v>157</v>
      </c>
      <c r="B3702" t="s">
        <v>8</v>
      </c>
      <c r="C3702" t="s">
        <v>156</v>
      </c>
      <c r="D3702" t="str">
        <f>LEFT(M3702,10)</f>
        <v>12/15/2024</v>
      </c>
      <c r="E3702" t="s">
        <v>202</v>
      </c>
      <c r="F3702" t="s">
        <v>218</v>
      </c>
      <c r="G3702" t="s">
        <v>241</v>
      </c>
      <c r="I3702">
        <v>51</v>
      </c>
      <c r="J3702">
        <v>229.5</v>
      </c>
      <c r="K3702">
        <v>4.5</v>
      </c>
      <c r="M3702" t="s">
        <v>205</v>
      </c>
    </row>
    <row r="3703" spans="1:13" hidden="1">
      <c r="A3703" t="s">
        <v>157</v>
      </c>
      <c r="B3703" t="s">
        <v>8</v>
      </c>
      <c r="C3703" t="s">
        <v>156</v>
      </c>
      <c r="D3703" t="str">
        <f>LEFT(M3703,10)</f>
        <v>12/15/2024</v>
      </c>
      <c r="E3703" t="s">
        <v>202</v>
      </c>
      <c r="F3703" t="s">
        <v>218</v>
      </c>
      <c r="G3703" t="s">
        <v>240</v>
      </c>
      <c r="I3703">
        <v>406</v>
      </c>
      <c r="J3703">
        <v>1827</v>
      </c>
      <c r="K3703">
        <v>4.5</v>
      </c>
      <c r="M3703" t="s">
        <v>205</v>
      </c>
    </row>
    <row r="3704" spans="1:13" hidden="1">
      <c r="A3704" t="s">
        <v>157</v>
      </c>
      <c r="B3704" t="s">
        <v>8</v>
      </c>
      <c r="C3704" t="s">
        <v>156</v>
      </c>
      <c r="D3704" t="str">
        <f>LEFT(M3704,10)</f>
        <v>12/15/2024</v>
      </c>
      <c r="E3704" t="s">
        <v>202</v>
      </c>
      <c r="F3704" t="s">
        <v>227</v>
      </c>
      <c r="G3704" t="s">
        <v>229</v>
      </c>
      <c r="I3704">
        <v>1885</v>
      </c>
      <c r="J3704">
        <v>1508</v>
      </c>
      <c r="K3704">
        <v>0.8</v>
      </c>
      <c r="M3704" t="s">
        <v>205</v>
      </c>
    </row>
    <row r="3705" spans="1:13" hidden="1">
      <c r="A3705" t="s">
        <v>157</v>
      </c>
      <c r="B3705" t="s">
        <v>8</v>
      </c>
      <c r="C3705" t="s">
        <v>156</v>
      </c>
      <c r="D3705" t="str">
        <f>LEFT(M3705,10)</f>
        <v>12/15/2024</v>
      </c>
      <c r="E3705" t="s">
        <v>202</v>
      </c>
      <c r="F3705" t="s">
        <v>218</v>
      </c>
      <c r="G3705" t="s">
        <v>243</v>
      </c>
      <c r="H3705" t="s">
        <v>442</v>
      </c>
      <c r="I3705">
        <v>428</v>
      </c>
      <c r="J3705">
        <v>1005.8</v>
      </c>
      <c r="K3705">
        <v>2.35</v>
      </c>
      <c r="M3705" t="s">
        <v>205</v>
      </c>
    </row>
    <row r="3706" spans="1:13" hidden="1">
      <c r="A3706" t="s">
        <v>157</v>
      </c>
      <c r="B3706" t="s">
        <v>8</v>
      </c>
      <c r="C3706" t="s">
        <v>156</v>
      </c>
      <c r="D3706" t="str">
        <f>LEFT(M3706,10)</f>
        <v>12/15/2024</v>
      </c>
      <c r="E3706" t="s">
        <v>202</v>
      </c>
      <c r="F3706" t="s">
        <v>203</v>
      </c>
      <c r="G3706" t="s">
        <v>204</v>
      </c>
      <c r="I3706">
        <v>225.9</v>
      </c>
      <c r="J3706">
        <v>1920.15</v>
      </c>
      <c r="K3706">
        <v>8.5</v>
      </c>
      <c r="M3706" t="s">
        <v>205</v>
      </c>
    </row>
    <row r="3707" spans="1:13" hidden="1">
      <c r="A3707" t="s">
        <v>157</v>
      </c>
      <c r="B3707" t="s">
        <v>8</v>
      </c>
      <c r="C3707" t="s">
        <v>156</v>
      </c>
      <c r="D3707" t="str">
        <f>LEFT(M3707,10)</f>
        <v>12/15/2024</v>
      </c>
      <c r="E3707" t="s">
        <v>202</v>
      </c>
      <c r="F3707" t="s">
        <v>203</v>
      </c>
      <c r="G3707" t="s">
        <v>259</v>
      </c>
      <c r="I3707">
        <v>44.6</v>
      </c>
      <c r="J3707">
        <v>401.4</v>
      </c>
      <c r="K3707">
        <v>9</v>
      </c>
      <c r="M3707" t="s">
        <v>205</v>
      </c>
    </row>
    <row r="3708" spans="1:13" hidden="1">
      <c r="A3708" t="s">
        <v>157</v>
      </c>
      <c r="B3708" t="s">
        <v>8</v>
      </c>
      <c r="C3708" t="s">
        <v>156</v>
      </c>
      <c r="D3708" t="str">
        <f>LEFT(M3708,10)</f>
        <v>12/15/2024</v>
      </c>
      <c r="E3708" t="s">
        <v>202</v>
      </c>
      <c r="F3708" t="s">
        <v>203</v>
      </c>
      <c r="G3708" t="s">
        <v>259</v>
      </c>
      <c r="I3708">
        <v>13.8</v>
      </c>
      <c r="J3708">
        <v>124.2</v>
      </c>
      <c r="K3708">
        <v>9</v>
      </c>
      <c r="M3708" t="s">
        <v>205</v>
      </c>
    </row>
    <row r="3709" spans="1:13" hidden="1">
      <c r="A3709" t="s">
        <v>157</v>
      </c>
      <c r="B3709" t="s">
        <v>8</v>
      </c>
      <c r="C3709" t="s">
        <v>156</v>
      </c>
      <c r="D3709" t="str">
        <f>LEFT(M3709,10)</f>
        <v>12/15/2024</v>
      </c>
      <c r="E3709" t="s">
        <v>202</v>
      </c>
      <c r="F3709" t="s">
        <v>203</v>
      </c>
      <c r="G3709" t="s">
        <v>261</v>
      </c>
      <c r="I3709">
        <v>8.6</v>
      </c>
      <c r="J3709">
        <v>395.6</v>
      </c>
      <c r="K3709">
        <v>46</v>
      </c>
      <c r="M3709" t="s">
        <v>205</v>
      </c>
    </row>
    <row r="3710" spans="1:13" hidden="1">
      <c r="A3710" t="s">
        <v>157</v>
      </c>
      <c r="B3710" t="s">
        <v>8</v>
      </c>
      <c r="C3710" t="s">
        <v>156</v>
      </c>
      <c r="D3710" t="str">
        <f>LEFT(M3710,10)</f>
        <v>12/15/2024</v>
      </c>
      <c r="E3710" t="s">
        <v>202</v>
      </c>
      <c r="F3710" t="s">
        <v>218</v>
      </c>
      <c r="G3710" t="s">
        <v>243</v>
      </c>
      <c r="H3710" t="s">
        <v>442</v>
      </c>
      <c r="I3710">
        <v>901</v>
      </c>
      <c r="J3710">
        <v>2117.35</v>
      </c>
      <c r="K3710">
        <v>2.35</v>
      </c>
      <c r="M3710" t="s">
        <v>205</v>
      </c>
    </row>
    <row r="3711" spans="1:13" hidden="1">
      <c r="A3711" t="s">
        <v>157</v>
      </c>
      <c r="B3711" t="s">
        <v>8</v>
      </c>
      <c r="C3711" t="s">
        <v>156</v>
      </c>
      <c r="D3711" t="str">
        <f>LEFT(M3711,10)</f>
        <v>12/15/2024</v>
      </c>
      <c r="E3711" t="s">
        <v>234</v>
      </c>
      <c r="F3711" t="s">
        <v>234</v>
      </c>
      <c r="I3711">
        <v>4870</v>
      </c>
      <c r="M3711" t="s">
        <v>205</v>
      </c>
    </row>
    <row r="3712" spans="1:13" hidden="1">
      <c r="A3712" t="s">
        <v>157</v>
      </c>
      <c r="B3712" t="s">
        <v>8</v>
      </c>
      <c r="C3712" t="s">
        <v>156</v>
      </c>
      <c r="D3712" t="str">
        <f>LEFT(M3712,10)</f>
        <v>12/15/2024</v>
      </c>
      <c r="E3712" t="s">
        <v>232</v>
      </c>
      <c r="F3712" t="s">
        <v>296</v>
      </c>
      <c r="I3712">
        <v>0</v>
      </c>
      <c r="J3712">
        <v>500</v>
      </c>
      <c r="M3712" t="s">
        <v>205</v>
      </c>
    </row>
    <row r="3713" spans="1:13" hidden="1">
      <c r="A3713" t="s">
        <v>157</v>
      </c>
      <c r="B3713" t="s">
        <v>8</v>
      </c>
      <c r="C3713" t="s">
        <v>156</v>
      </c>
      <c r="D3713" t="str">
        <f>LEFT(M3713,10)</f>
        <v>12/15/2024</v>
      </c>
      <c r="E3713" t="s">
        <v>232</v>
      </c>
      <c r="F3713" t="s">
        <v>290</v>
      </c>
      <c r="I3713">
        <v>0</v>
      </c>
      <c r="J3713">
        <v>350</v>
      </c>
      <c r="M3713" t="s">
        <v>205</v>
      </c>
    </row>
    <row r="3714" spans="1:13" hidden="1">
      <c r="A3714" t="s">
        <v>157</v>
      </c>
      <c r="B3714" t="s">
        <v>8</v>
      </c>
      <c r="C3714" t="s">
        <v>156</v>
      </c>
      <c r="D3714" t="str">
        <f>LEFT(M3714,10)</f>
        <v>12/15/2024</v>
      </c>
      <c r="E3714" t="s">
        <v>232</v>
      </c>
      <c r="F3714" t="s">
        <v>287</v>
      </c>
      <c r="I3714">
        <v>0</v>
      </c>
      <c r="J3714">
        <v>1500</v>
      </c>
      <c r="M3714" t="s">
        <v>205</v>
      </c>
    </row>
    <row r="3715" spans="1:13" hidden="1">
      <c r="A3715" t="s">
        <v>157</v>
      </c>
      <c r="B3715" t="s">
        <v>8</v>
      </c>
      <c r="C3715" t="s">
        <v>156</v>
      </c>
      <c r="D3715" t="str">
        <f>LEFT(M3715,10)</f>
        <v>12/15/2024</v>
      </c>
      <c r="E3715" t="s">
        <v>230</v>
      </c>
      <c r="F3715" t="s">
        <v>248</v>
      </c>
      <c r="I3715">
        <v>0</v>
      </c>
      <c r="J3715">
        <v>5350</v>
      </c>
      <c r="M3715" t="s">
        <v>205</v>
      </c>
    </row>
    <row r="3716" spans="1:13" hidden="1">
      <c r="A3716" t="s">
        <v>157</v>
      </c>
      <c r="B3716" t="s">
        <v>8</v>
      </c>
      <c r="C3716" t="s">
        <v>156</v>
      </c>
      <c r="D3716" t="str">
        <f>LEFT(M3716,10)</f>
        <v>12/15/2024</v>
      </c>
      <c r="E3716" t="s">
        <v>232</v>
      </c>
      <c r="F3716" t="s">
        <v>251</v>
      </c>
      <c r="I3716">
        <v>0</v>
      </c>
      <c r="J3716">
        <v>1475</v>
      </c>
      <c r="M3716" t="s">
        <v>205</v>
      </c>
    </row>
    <row r="3717" spans="1:13" hidden="1">
      <c r="A3717" t="s">
        <v>180</v>
      </c>
      <c r="B3717" t="s">
        <v>8</v>
      </c>
      <c r="C3717" t="s">
        <v>179</v>
      </c>
      <c r="D3717" t="str">
        <f>LEFT(M3717,10)</f>
        <v>12/15/2024</v>
      </c>
      <c r="E3717" t="s">
        <v>202</v>
      </c>
      <c r="F3717" t="s">
        <v>203</v>
      </c>
      <c r="G3717" t="s">
        <v>215</v>
      </c>
      <c r="I3717">
        <v>3970</v>
      </c>
      <c r="J3717">
        <v>2382</v>
      </c>
      <c r="K3717">
        <v>0.6</v>
      </c>
      <c r="M3717" t="s">
        <v>205</v>
      </c>
    </row>
    <row r="3718" spans="1:13" hidden="1">
      <c r="A3718" t="s">
        <v>180</v>
      </c>
      <c r="B3718" t="s">
        <v>8</v>
      </c>
      <c r="C3718" t="s">
        <v>179</v>
      </c>
      <c r="D3718" t="str">
        <f>LEFT(M3718,10)</f>
        <v>12/15/2024</v>
      </c>
      <c r="E3718" t="s">
        <v>202</v>
      </c>
      <c r="F3718" t="s">
        <v>227</v>
      </c>
      <c r="G3718" t="s">
        <v>252</v>
      </c>
      <c r="I3718">
        <v>543</v>
      </c>
      <c r="J3718">
        <v>108.6</v>
      </c>
      <c r="K3718">
        <v>0.2</v>
      </c>
      <c r="M3718" t="s">
        <v>205</v>
      </c>
    </row>
    <row r="3719" spans="1:13" hidden="1">
      <c r="A3719" t="s">
        <v>180</v>
      </c>
      <c r="B3719" t="s">
        <v>8</v>
      </c>
      <c r="C3719" t="s">
        <v>179</v>
      </c>
      <c r="D3719" t="str">
        <f>LEFT(M3719,10)</f>
        <v>12/15/2024</v>
      </c>
      <c r="E3719" t="s">
        <v>202</v>
      </c>
      <c r="F3719" t="s">
        <v>227</v>
      </c>
      <c r="G3719" t="s">
        <v>229</v>
      </c>
      <c r="I3719">
        <v>10103</v>
      </c>
      <c r="J3719">
        <v>6566.95</v>
      </c>
      <c r="K3719">
        <v>0.65</v>
      </c>
      <c r="M3719" t="s">
        <v>205</v>
      </c>
    </row>
    <row r="3720" spans="1:13" hidden="1">
      <c r="A3720" t="s">
        <v>180</v>
      </c>
      <c r="B3720" t="s">
        <v>8</v>
      </c>
      <c r="C3720" t="s">
        <v>179</v>
      </c>
      <c r="D3720" t="str">
        <f>LEFT(M3720,10)</f>
        <v>12/15/2024</v>
      </c>
      <c r="E3720" t="s">
        <v>202</v>
      </c>
      <c r="F3720" t="s">
        <v>227</v>
      </c>
      <c r="G3720" t="s">
        <v>238</v>
      </c>
      <c r="I3720">
        <v>170</v>
      </c>
      <c r="J3720">
        <v>34</v>
      </c>
      <c r="K3720">
        <v>0.2</v>
      </c>
      <c r="M3720" t="s">
        <v>205</v>
      </c>
    </row>
    <row r="3721" spans="1:13" hidden="1">
      <c r="A3721" t="s">
        <v>180</v>
      </c>
      <c r="B3721" t="s">
        <v>8</v>
      </c>
      <c r="C3721" t="s">
        <v>179</v>
      </c>
      <c r="D3721" t="str">
        <f>LEFT(M3721,10)</f>
        <v>12/15/2024</v>
      </c>
      <c r="E3721" t="s">
        <v>202</v>
      </c>
      <c r="F3721" t="s">
        <v>227</v>
      </c>
      <c r="G3721" t="s">
        <v>237</v>
      </c>
      <c r="I3721">
        <v>744</v>
      </c>
      <c r="J3721">
        <v>446.4</v>
      </c>
      <c r="K3721">
        <v>0.6</v>
      </c>
      <c r="M3721" t="s">
        <v>205</v>
      </c>
    </row>
    <row r="3722" spans="1:13" hidden="1">
      <c r="A3722" t="s">
        <v>180</v>
      </c>
      <c r="B3722" t="s">
        <v>8</v>
      </c>
      <c r="C3722" t="s">
        <v>179</v>
      </c>
      <c r="D3722" t="str">
        <f>LEFT(M3722,10)</f>
        <v>12/15/2024</v>
      </c>
      <c r="E3722" t="s">
        <v>202</v>
      </c>
      <c r="F3722" t="s">
        <v>203</v>
      </c>
      <c r="G3722" t="s">
        <v>204</v>
      </c>
      <c r="I3722">
        <v>747.9</v>
      </c>
      <c r="J3722">
        <v>5281</v>
      </c>
      <c r="K3722">
        <v>7.06</v>
      </c>
      <c r="M3722" t="s">
        <v>205</v>
      </c>
    </row>
    <row r="3723" spans="1:13" hidden="1">
      <c r="A3723" t="s">
        <v>180</v>
      </c>
      <c r="B3723" t="s">
        <v>8</v>
      </c>
      <c r="C3723" t="s">
        <v>179</v>
      </c>
      <c r="D3723" t="str">
        <f>LEFT(M3723,10)</f>
        <v>12/15/2024</v>
      </c>
      <c r="E3723" t="s">
        <v>202</v>
      </c>
      <c r="F3723" t="s">
        <v>218</v>
      </c>
      <c r="G3723" t="s">
        <v>223</v>
      </c>
      <c r="I3723">
        <v>903</v>
      </c>
      <c r="J3723">
        <v>748.3</v>
      </c>
      <c r="K3723">
        <v>0.83</v>
      </c>
      <c r="M3723" t="s">
        <v>205</v>
      </c>
    </row>
    <row r="3724" spans="1:13" hidden="1">
      <c r="A3724" t="s">
        <v>180</v>
      </c>
      <c r="B3724" t="s">
        <v>8</v>
      </c>
      <c r="C3724" t="s">
        <v>179</v>
      </c>
      <c r="D3724" t="str">
        <f>LEFT(M3724,10)</f>
        <v>12/15/2024</v>
      </c>
      <c r="E3724" t="s">
        <v>202</v>
      </c>
      <c r="F3724" t="s">
        <v>218</v>
      </c>
      <c r="G3724" t="s">
        <v>220</v>
      </c>
      <c r="I3724">
        <v>834</v>
      </c>
      <c r="J3724">
        <v>1167.5999999999999</v>
      </c>
      <c r="K3724">
        <v>1.4</v>
      </c>
      <c r="M3724" t="s">
        <v>205</v>
      </c>
    </row>
    <row r="3725" spans="1:13" hidden="1">
      <c r="A3725" t="s">
        <v>180</v>
      </c>
      <c r="B3725" t="s">
        <v>8</v>
      </c>
      <c r="C3725" t="s">
        <v>179</v>
      </c>
      <c r="D3725" t="str">
        <f>LEFT(M3725,10)</f>
        <v>12/15/2024</v>
      </c>
      <c r="E3725" t="s">
        <v>202</v>
      </c>
      <c r="F3725" t="s">
        <v>218</v>
      </c>
      <c r="G3725" t="s">
        <v>221</v>
      </c>
      <c r="I3725">
        <v>746</v>
      </c>
      <c r="J3725">
        <v>1797.8</v>
      </c>
      <c r="K3725">
        <v>2.41</v>
      </c>
      <c r="M3725" t="s">
        <v>205</v>
      </c>
    </row>
    <row r="3726" spans="1:13" hidden="1">
      <c r="A3726" t="s">
        <v>180</v>
      </c>
      <c r="B3726" t="s">
        <v>8</v>
      </c>
      <c r="C3726" t="s">
        <v>179</v>
      </c>
      <c r="D3726" t="str">
        <f>LEFT(M3726,10)</f>
        <v>12/15/2024</v>
      </c>
      <c r="E3726" t="s">
        <v>202</v>
      </c>
      <c r="F3726" t="s">
        <v>218</v>
      </c>
      <c r="G3726" t="s">
        <v>222</v>
      </c>
      <c r="I3726">
        <v>1189</v>
      </c>
      <c r="J3726">
        <v>1189.4000000000001</v>
      </c>
      <c r="K3726">
        <v>1</v>
      </c>
      <c r="M3726" t="s">
        <v>205</v>
      </c>
    </row>
    <row r="3727" spans="1:13" hidden="1">
      <c r="A3727" t="s">
        <v>180</v>
      </c>
      <c r="B3727" t="s">
        <v>8</v>
      </c>
      <c r="C3727" t="s">
        <v>179</v>
      </c>
      <c r="D3727" t="str">
        <f>LEFT(M3727,10)</f>
        <v>12/15/2024</v>
      </c>
      <c r="E3727" t="s">
        <v>202</v>
      </c>
      <c r="F3727" t="s">
        <v>218</v>
      </c>
      <c r="G3727" t="s">
        <v>240</v>
      </c>
      <c r="I3727">
        <v>1444</v>
      </c>
      <c r="J3727">
        <v>4332</v>
      </c>
      <c r="K3727">
        <v>3</v>
      </c>
      <c r="M3727" t="s">
        <v>205</v>
      </c>
    </row>
    <row r="3728" spans="1:13" hidden="1">
      <c r="A3728" t="s">
        <v>180</v>
      </c>
      <c r="B3728" t="s">
        <v>8</v>
      </c>
      <c r="C3728" t="s">
        <v>179</v>
      </c>
      <c r="D3728" t="str">
        <f>LEFT(M3728,10)</f>
        <v>12/15/2024</v>
      </c>
      <c r="E3728" t="s">
        <v>202</v>
      </c>
      <c r="F3728" t="s">
        <v>218</v>
      </c>
      <c r="G3728" t="s">
        <v>224</v>
      </c>
      <c r="I3728">
        <v>239</v>
      </c>
      <c r="J3728">
        <v>191.2</v>
      </c>
      <c r="K3728">
        <v>0.8</v>
      </c>
      <c r="M3728" t="s">
        <v>205</v>
      </c>
    </row>
    <row r="3729" spans="1:13" hidden="1">
      <c r="A3729" t="s">
        <v>180</v>
      </c>
      <c r="B3729" t="s">
        <v>8</v>
      </c>
      <c r="C3729" t="s">
        <v>179</v>
      </c>
      <c r="D3729" t="str">
        <f>LEFT(M3729,10)</f>
        <v>12/15/2024</v>
      </c>
      <c r="E3729" t="s">
        <v>202</v>
      </c>
      <c r="F3729" t="s">
        <v>218</v>
      </c>
      <c r="G3729" t="s">
        <v>241</v>
      </c>
      <c r="I3729">
        <v>178</v>
      </c>
      <c r="J3729">
        <v>534</v>
      </c>
      <c r="K3729">
        <v>3</v>
      </c>
      <c r="M3729" t="s">
        <v>205</v>
      </c>
    </row>
    <row r="3730" spans="1:13" hidden="1">
      <c r="A3730" t="s">
        <v>180</v>
      </c>
      <c r="B3730" t="s">
        <v>8</v>
      </c>
      <c r="C3730" t="s">
        <v>179</v>
      </c>
      <c r="D3730" t="str">
        <f>LEFT(M3730,10)</f>
        <v>12/15/2024</v>
      </c>
      <c r="E3730" t="s">
        <v>202</v>
      </c>
      <c r="F3730" t="s">
        <v>218</v>
      </c>
      <c r="G3730" t="s">
        <v>225</v>
      </c>
      <c r="I3730">
        <v>73</v>
      </c>
      <c r="J3730">
        <v>65.7</v>
      </c>
      <c r="K3730">
        <v>0.9</v>
      </c>
      <c r="M3730" t="s">
        <v>205</v>
      </c>
    </row>
    <row r="3731" spans="1:13" hidden="1">
      <c r="A3731" t="s">
        <v>180</v>
      </c>
      <c r="B3731" t="s">
        <v>8</v>
      </c>
      <c r="C3731" t="s">
        <v>179</v>
      </c>
      <c r="D3731" t="str">
        <f>LEFT(M3731,10)</f>
        <v>12/15/2024</v>
      </c>
      <c r="E3731" t="s">
        <v>202</v>
      </c>
      <c r="F3731" t="s">
        <v>218</v>
      </c>
      <c r="G3731" t="s">
        <v>267</v>
      </c>
      <c r="I3731">
        <v>285</v>
      </c>
      <c r="J3731">
        <v>57</v>
      </c>
      <c r="K3731">
        <v>0.2</v>
      </c>
      <c r="M3731" t="s">
        <v>205</v>
      </c>
    </row>
    <row r="3732" spans="1:13" hidden="1">
      <c r="A3732" t="s">
        <v>180</v>
      </c>
      <c r="B3732" t="s">
        <v>8</v>
      </c>
      <c r="C3732" t="s">
        <v>179</v>
      </c>
      <c r="D3732" t="str">
        <f>LEFT(M3732,10)</f>
        <v>12/15/2024</v>
      </c>
      <c r="E3732" t="s">
        <v>202</v>
      </c>
      <c r="F3732" t="s">
        <v>218</v>
      </c>
      <c r="G3732" t="s">
        <v>226</v>
      </c>
      <c r="I3732">
        <v>135</v>
      </c>
      <c r="J3732">
        <v>40.5</v>
      </c>
      <c r="K3732">
        <v>0.3</v>
      </c>
      <c r="M3732" t="s">
        <v>205</v>
      </c>
    </row>
    <row r="3733" spans="1:13" hidden="1">
      <c r="A3733" t="s">
        <v>180</v>
      </c>
      <c r="B3733" t="s">
        <v>8</v>
      </c>
      <c r="C3733" t="s">
        <v>179</v>
      </c>
      <c r="D3733" t="str">
        <f>LEFT(M3733,10)</f>
        <v>12/15/2024</v>
      </c>
      <c r="E3733" t="s">
        <v>232</v>
      </c>
      <c r="F3733" t="s">
        <v>262</v>
      </c>
      <c r="I3733">
        <v>0</v>
      </c>
      <c r="J3733">
        <v>1515.75</v>
      </c>
      <c r="M3733" t="s">
        <v>205</v>
      </c>
    </row>
    <row r="3734" spans="1:13" hidden="1">
      <c r="A3734" t="s">
        <v>180</v>
      </c>
      <c r="B3734" t="s">
        <v>8</v>
      </c>
      <c r="C3734" t="s">
        <v>179</v>
      </c>
      <c r="D3734" t="str">
        <f>LEFT(M3734,10)</f>
        <v>12/15/2024</v>
      </c>
      <c r="E3734" t="s">
        <v>232</v>
      </c>
      <c r="F3734" t="s">
        <v>286</v>
      </c>
      <c r="I3734">
        <v>0</v>
      </c>
      <c r="J3734">
        <v>95</v>
      </c>
      <c r="M3734" t="s">
        <v>205</v>
      </c>
    </row>
    <row r="3735" spans="1:13" hidden="1">
      <c r="A3735" t="s">
        <v>180</v>
      </c>
      <c r="B3735" t="s">
        <v>8</v>
      </c>
      <c r="C3735" t="s">
        <v>179</v>
      </c>
      <c r="D3735" t="str">
        <f>LEFT(M3735,10)</f>
        <v>12/15/2024</v>
      </c>
      <c r="E3735" t="s">
        <v>232</v>
      </c>
      <c r="F3735" t="s">
        <v>272</v>
      </c>
      <c r="I3735">
        <v>0</v>
      </c>
      <c r="J3735">
        <v>780</v>
      </c>
      <c r="M3735" t="s">
        <v>205</v>
      </c>
    </row>
    <row r="3736" spans="1:13" hidden="1">
      <c r="A3736" t="s">
        <v>180</v>
      </c>
      <c r="B3736" t="s">
        <v>8</v>
      </c>
      <c r="C3736" t="s">
        <v>179</v>
      </c>
      <c r="D3736" t="str">
        <f>LEFT(M3736,10)</f>
        <v>12/15/2024</v>
      </c>
      <c r="E3736" t="s">
        <v>230</v>
      </c>
      <c r="F3736" t="s">
        <v>248</v>
      </c>
      <c r="I3736">
        <v>0</v>
      </c>
      <c r="J3736">
        <v>10602.48</v>
      </c>
      <c r="M3736" t="s">
        <v>205</v>
      </c>
    </row>
    <row r="3737" spans="1:13" hidden="1">
      <c r="A3737" t="s">
        <v>180</v>
      </c>
      <c r="B3737" t="s">
        <v>8</v>
      </c>
      <c r="C3737" t="s">
        <v>179</v>
      </c>
      <c r="D3737" t="str">
        <f>LEFT(M3737,10)</f>
        <v>12/15/2024</v>
      </c>
      <c r="E3737" t="s">
        <v>234</v>
      </c>
      <c r="F3737" t="s">
        <v>234</v>
      </c>
      <c r="I3737">
        <v>6890</v>
      </c>
      <c r="M3737" t="s">
        <v>205</v>
      </c>
    </row>
    <row r="3738" spans="1:13" hidden="1">
      <c r="A3738" t="s">
        <v>180</v>
      </c>
      <c r="B3738" t="s">
        <v>8</v>
      </c>
      <c r="C3738" t="s">
        <v>179</v>
      </c>
      <c r="D3738" t="str">
        <f>LEFT(M3738,10)</f>
        <v>12/15/2024</v>
      </c>
      <c r="E3738" t="s">
        <v>202</v>
      </c>
      <c r="F3738" t="s">
        <v>227</v>
      </c>
      <c r="G3738" t="s">
        <v>228</v>
      </c>
      <c r="I3738">
        <v>3374</v>
      </c>
      <c r="J3738">
        <v>776.02</v>
      </c>
      <c r="K3738">
        <v>0.23</v>
      </c>
      <c r="M3738" t="s">
        <v>205</v>
      </c>
    </row>
    <row r="3739" spans="1:13" hidden="1">
      <c r="A3739" t="s">
        <v>114</v>
      </c>
      <c r="B3739" t="s">
        <v>8</v>
      </c>
      <c r="C3739" t="s">
        <v>113</v>
      </c>
      <c r="D3739" t="str">
        <f>LEFT(M3739,10)</f>
        <v>12/15/2024</v>
      </c>
      <c r="E3739" t="s">
        <v>234</v>
      </c>
      <c r="F3739" t="s">
        <v>234</v>
      </c>
      <c r="I3739">
        <v>10000</v>
      </c>
      <c r="M3739" t="s">
        <v>205</v>
      </c>
    </row>
    <row r="3740" spans="1:13" hidden="1">
      <c r="A3740" t="s">
        <v>114</v>
      </c>
      <c r="B3740" t="s">
        <v>8</v>
      </c>
      <c r="C3740" t="s">
        <v>113</v>
      </c>
      <c r="D3740" t="str">
        <f>LEFT(M3740,10)</f>
        <v>12/15/2024</v>
      </c>
      <c r="E3740" t="s">
        <v>232</v>
      </c>
      <c r="F3740" t="s">
        <v>262</v>
      </c>
      <c r="I3740">
        <v>0</v>
      </c>
      <c r="J3740">
        <v>600</v>
      </c>
      <c r="M3740" t="s">
        <v>205</v>
      </c>
    </row>
    <row r="3741" spans="1:13" hidden="1">
      <c r="A3741" t="s">
        <v>114</v>
      </c>
      <c r="B3741" t="s">
        <v>8</v>
      </c>
      <c r="C3741" t="s">
        <v>113</v>
      </c>
      <c r="D3741" t="str">
        <f>LEFT(M3741,10)</f>
        <v>12/15/2024</v>
      </c>
      <c r="E3741" t="s">
        <v>232</v>
      </c>
      <c r="F3741" t="s">
        <v>251</v>
      </c>
      <c r="I3741">
        <v>0</v>
      </c>
      <c r="J3741">
        <v>947</v>
      </c>
      <c r="M3741" t="s">
        <v>205</v>
      </c>
    </row>
    <row r="3742" spans="1:13" hidden="1">
      <c r="A3742" t="s">
        <v>114</v>
      </c>
      <c r="B3742" t="s">
        <v>8</v>
      </c>
      <c r="C3742" t="s">
        <v>113</v>
      </c>
      <c r="D3742" t="str">
        <f>LEFT(M3742,10)</f>
        <v>12/15/2024</v>
      </c>
      <c r="E3742" t="s">
        <v>202</v>
      </c>
      <c r="F3742" t="s">
        <v>216</v>
      </c>
      <c r="G3742" t="s">
        <v>253</v>
      </c>
      <c r="I3742">
        <v>2340</v>
      </c>
      <c r="J3742">
        <v>1162.98</v>
      </c>
      <c r="K3742">
        <v>0.5</v>
      </c>
      <c r="M3742" t="s">
        <v>205</v>
      </c>
    </row>
    <row r="3743" spans="1:13" hidden="1">
      <c r="A3743" t="s">
        <v>114</v>
      </c>
      <c r="B3743" t="s">
        <v>8</v>
      </c>
      <c r="C3743" t="s">
        <v>113</v>
      </c>
      <c r="D3743" t="str">
        <f>LEFT(M3743,10)</f>
        <v>12/15/2024</v>
      </c>
      <c r="E3743" t="s">
        <v>202</v>
      </c>
      <c r="F3743" t="s">
        <v>209</v>
      </c>
      <c r="G3743" t="s">
        <v>214</v>
      </c>
      <c r="I3743">
        <v>2776.7</v>
      </c>
      <c r="J3743">
        <v>831.14</v>
      </c>
      <c r="K3743">
        <v>0.3</v>
      </c>
      <c r="M3743" t="s">
        <v>205</v>
      </c>
    </row>
    <row r="3744" spans="1:13" hidden="1">
      <c r="A3744" t="s">
        <v>114</v>
      </c>
      <c r="B3744" t="s">
        <v>8</v>
      </c>
      <c r="C3744" t="s">
        <v>113</v>
      </c>
      <c r="D3744" t="str">
        <f>LEFT(M3744,10)</f>
        <v>12/15/2024</v>
      </c>
      <c r="E3744" t="s">
        <v>202</v>
      </c>
      <c r="F3744" t="s">
        <v>203</v>
      </c>
      <c r="G3744" t="s">
        <v>204</v>
      </c>
      <c r="I3744">
        <v>307</v>
      </c>
      <c r="J3744">
        <v>2150</v>
      </c>
      <c r="K3744">
        <v>7</v>
      </c>
      <c r="M3744" t="s">
        <v>205</v>
      </c>
    </row>
    <row r="3745" spans="1:13" hidden="1">
      <c r="A3745" t="s">
        <v>114</v>
      </c>
      <c r="B3745" t="s">
        <v>8</v>
      </c>
      <c r="C3745" t="s">
        <v>113</v>
      </c>
      <c r="D3745" t="str">
        <f>LEFT(M3745,10)</f>
        <v>12/15/2024</v>
      </c>
      <c r="E3745" t="s">
        <v>202</v>
      </c>
      <c r="F3745" t="s">
        <v>227</v>
      </c>
      <c r="G3745" t="s">
        <v>229</v>
      </c>
      <c r="I3745">
        <v>209</v>
      </c>
      <c r="J3745">
        <v>146.30000000000001</v>
      </c>
      <c r="K3745">
        <v>0.7</v>
      </c>
      <c r="M3745" t="s">
        <v>205</v>
      </c>
    </row>
    <row r="3746" spans="1:13" hidden="1">
      <c r="A3746" t="s">
        <v>114</v>
      </c>
      <c r="B3746" t="s">
        <v>8</v>
      </c>
      <c r="C3746" t="s">
        <v>113</v>
      </c>
      <c r="D3746" t="str">
        <f>LEFT(M3746,10)</f>
        <v>12/15/2024</v>
      </c>
      <c r="E3746" t="s">
        <v>202</v>
      </c>
      <c r="F3746" t="s">
        <v>218</v>
      </c>
      <c r="G3746" t="s">
        <v>241</v>
      </c>
      <c r="I3746">
        <v>237</v>
      </c>
      <c r="J3746">
        <v>1019.1</v>
      </c>
      <c r="K3746">
        <v>4.3</v>
      </c>
      <c r="M3746" t="s">
        <v>205</v>
      </c>
    </row>
    <row r="3747" spans="1:13" hidden="1">
      <c r="A3747" t="s">
        <v>114</v>
      </c>
      <c r="B3747" t="s">
        <v>8</v>
      </c>
      <c r="C3747" t="s">
        <v>113</v>
      </c>
      <c r="D3747" t="str">
        <f>LEFT(M3747,10)</f>
        <v>12/15/2024</v>
      </c>
      <c r="E3747" t="s">
        <v>202</v>
      </c>
      <c r="F3747" t="s">
        <v>218</v>
      </c>
      <c r="G3747" t="s">
        <v>226</v>
      </c>
      <c r="I3747">
        <v>146</v>
      </c>
      <c r="J3747">
        <v>43.8</v>
      </c>
      <c r="K3747">
        <v>0.3</v>
      </c>
      <c r="M3747" t="s">
        <v>205</v>
      </c>
    </row>
    <row r="3748" spans="1:13" hidden="1">
      <c r="A3748" t="s">
        <v>114</v>
      </c>
      <c r="B3748" t="s">
        <v>8</v>
      </c>
      <c r="C3748" t="s">
        <v>113</v>
      </c>
      <c r="D3748" t="str">
        <f>LEFT(M3748,10)</f>
        <v>12/15/2024</v>
      </c>
      <c r="E3748" t="s">
        <v>202</v>
      </c>
      <c r="F3748" t="s">
        <v>218</v>
      </c>
      <c r="G3748" t="s">
        <v>224</v>
      </c>
      <c r="I3748">
        <v>180</v>
      </c>
      <c r="J3748">
        <v>144</v>
      </c>
      <c r="K3748">
        <v>0.8</v>
      </c>
      <c r="M3748" t="s">
        <v>205</v>
      </c>
    </row>
    <row r="3749" spans="1:13" hidden="1">
      <c r="A3749" t="s">
        <v>114</v>
      </c>
      <c r="B3749" t="s">
        <v>8</v>
      </c>
      <c r="C3749" t="s">
        <v>113</v>
      </c>
      <c r="D3749" t="str">
        <f>LEFT(M3749,10)</f>
        <v>12/15/2024</v>
      </c>
      <c r="E3749" t="s">
        <v>202</v>
      </c>
      <c r="F3749" t="s">
        <v>218</v>
      </c>
      <c r="G3749" t="s">
        <v>266</v>
      </c>
      <c r="I3749">
        <v>237</v>
      </c>
      <c r="J3749">
        <v>2.37</v>
      </c>
      <c r="K3749">
        <v>0.01</v>
      </c>
      <c r="M3749" t="s">
        <v>205</v>
      </c>
    </row>
    <row r="3750" spans="1:13" hidden="1">
      <c r="A3750" t="s">
        <v>114</v>
      </c>
      <c r="B3750" t="s">
        <v>8</v>
      </c>
      <c r="C3750" t="s">
        <v>113</v>
      </c>
      <c r="D3750" t="str">
        <f>LEFT(M3750,10)</f>
        <v>12/15/2024</v>
      </c>
      <c r="E3750" t="s">
        <v>202</v>
      </c>
      <c r="F3750" t="s">
        <v>218</v>
      </c>
      <c r="G3750" t="s">
        <v>267</v>
      </c>
      <c r="I3750">
        <v>119</v>
      </c>
      <c r="J3750">
        <v>23.8</v>
      </c>
      <c r="K3750">
        <v>0.2</v>
      </c>
      <c r="M3750" t="s">
        <v>205</v>
      </c>
    </row>
    <row r="3751" spans="1:13" hidden="1">
      <c r="A3751" t="s">
        <v>114</v>
      </c>
      <c r="B3751" t="s">
        <v>8</v>
      </c>
      <c r="C3751" t="s">
        <v>113</v>
      </c>
      <c r="D3751" t="str">
        <f>LEFT(M3751,10)</f>
        <v>12/15/2024</v>
      </c>
      <c r="E3751" t="s">
        <v>202</v>
      </c>
      <c r="F3751" t="s">
        <v>218</v>
      </c>
      <c r="G3751" t="s">
        <v>220</v>
      </c>
      <c r="I3751">
        <v>937</v>
      </c>
      <c r="J3751">
        <v>1358.65</v>
      </c>
      <c r="K3751">
        <v>1.45</v>
      </c>
      <c r="M3751" t="s">
        <v>205</v>
      </c>
    </row>
    <row r="3752" spans="1:13" hidden="1">
      <c r="A3752" t="s">
        <v>114</v>
      </c>
      <c r="B3752" t="s">
        <v>8</v>
      </c>
      <c r="C3752" t="s">
        <v>113</v>
      </c>
      <c r="D3752" t="str">
        <f>LEFT(M3752,10)</f>
        <v>12/15/2024</v>
      </c>
      <c r="E3752" t="s">
        <v>202</v>
      </c>
      <c r="F3752" t="s">
        <v>218</v>
      </c>
      <c r="G3752" t="s">
        <v>225</v>
      </c>
      <c r="I3752">
        <v>104</v>
      </c>
      <c r="J3752">
        <v>93.6</v>
      </c>
      <c r="K3752">
        <v>0.9</v>
      </c>
      <c r="M3752" t="s">
        <v>205</v>
      </c>
    </row>
    <row r="3753" spans="1:13" hidden="1">
      <c r="A3753" t="s">
        <v>114</v>
      </c>
      <c r="B3753" t="s">
        <v>8</v>
      </c>
      <c r="C3753" t="s">
        <v>113</v>
      </c>
      <c r="D3753" t="str">
        <f>LEFT(M3753,10)</f>
        <v>12/15/2024</v>
      </c>
      <c r="E3753" t="s">
        <v>202</v>
      </c>
      <c r="F3753" t="s">
        <v>218</v>
      </c>
      <c r="G3753" t="s">
        <v>222</v>
      </c>
      <c r="I3753">
        <v>1216</v>
      </c>
      <c r="J3753">
        <v>1459.2</v>
      </c>
      <c r="K3753">
        <v>1.2</v>
      </c>
      <c r="M3753" t="s">
        <v>205</v>
      </c>
    </row>
    <row r="3754" spans="1:13" hidden="1">
      <c r="A3754" t="s">
        <v>114</v>
      </c>
      <c r="B3754" t="s">
        <v>8</v>
      </c>
      <c r="C3754" t="s">
        <v>113</v>
      </c>
      <c r="D3754" t="str">
        <f>LEFT(M3754,10)</f>
        <v>12/15/2024</v>
      </c>
      <c r="E3754" t="s">
        <v>202</v>
      </c>
      <c r="F3754" t="s">
        <v>218</v>
      </c>
      <c r="G3754" t="s">
        <v>221</v>
      </c>
      <c r="I3754">
        <v>323</v>
      </c>
      <c r="J3754">
        <v>807.5</v>
      </c>
      <c r="K3754">
        <v>2.5</v>
      </c>
      <c r="M3754" t="s">
        <v>205</v>
      </c>
    </row>
    <row r="3755" spans="1:13" hidden="1">
      <c r="A3755" t="s">
        <v>114</v>
      </c>
      <c r="B3755" t="s">
        <v>8</v>
      </c>
      <c r="C3755" t="s">
        <v>113</v>
      </c>
      <c r="D3755" t="str">
        <f>LEFT(M3755,10)</f>
        <v>12/15/2024</v>
      </c>
      <c r="E3755" t="s">
        <v>202</v>
      </c>
      <c r="F3755" t="s">
        <v>218</v>
      </c>
      <c r="G3755" t="s">
        <v>222</v>
      </c>
      <c r="I3755">
        <v>341</v>
      </c>
      <c r="J3755">
        <v>545.6</v>
      </c>
      <c r="K3755">
        <v>1.6</v>
      </c>
      <c r="M3755" t="s">
        <v>205</v>
      </c>
    </row>
    <row r="3756" spans="1:13" hidden="1">
      <c r="A3756" t="s">
        <v>114</v>
      </c>
      <c r="B3756" t="s">
        <v>8</v>
      </c>
      <c r="C3756" t="s">
        <v>113</v>
      </c>
      <c r="D3756" t="str">
        <f>LEFT(M3756,10)</f>
        <v>12/15/2024</v>
      </c>
      <c r="E3756" t="s">
        <v>202</v>
      </c>
      <c r="F3756" t="s">
        <v>218</v>
      </c>
      <c r="G3756" t="s">
        <v>219</v>
      </c>
      <c r="I3756">
        <v>335</v>
      </c>
      <c r="J3756">
        <v>3.35</v>
      </c>
      <c r="K3756">
        <v>0.01</v>
      </c>
      <c r="M3756" t="s">
        <v>205</v>
      </c>
    </row>
    <row r="3757" spans="1:13" hidden="1">
      <c r="A3757" t="s">
        <v>114</v>
      </c>
      <c r="B3757" t="s">
        <v>8</v>
      </c>
      <c r="C3757" t="s">
        <v>113</v>
      </c>
      <c r="D3757" t="str">
        <f>LEFT(M3757,10)</f>
        <v>12/15/2024</v>
      </c>
      <c r="E3757" t="s">
        <v>202</v>
      </c>
      <c r="F3757" t="s">
        <v>218</v>
      </c>
      <c r="G3757" t="s">
        <v>223</v>
      </c>
      <c r="I3757">
        <v>1222</v>
      </c>
      <c r="J3757">
        <v>855.4</v>
      </c>
      <c r="K3757">
        <v>0.7</v>
      </c>
      <c r="M3757" t="s">
        <v>205</v>
      </c>
    </row>
    <row r="3758" spans="1:13" hidden="1">
      <c r="A3758" t="s">
        <v>114</v>
      </c>
      <c r="B3758" t="s">
        <v>8</v>
      </c>
      <c r="C3758" t="s">
        <v>113</v>
      </c>
      <c r="D3758" t="str">
        <f>LEFT(M3758,10)</f>
        <v>12/15/2024</v>
      </c>
      <c r="E3758" t="s">
        <v>202</v>
      </c>
      <c r="F3758" t="s">
        <v>218</v>
      </c>
      <c r="G3758" t="s">
        <v>219</v>
      </c>
      <c r="I3758">
        <v>67</v>
      </c>
      <c r="J3758">
        <v>6.7</v>
      </c>
      <c r="K3758">
        <v>0.1</v>
      </c>
      <c r="M3758" t="s">
        <v>205</v>
      </c>
    </row>
    <row r="3759" spans="1:13" hidden="1">
      <c r="A3759" t="s">
        <v>114</v>
      </c>
      <c r="B3759" t="s">
        <v>8</v>
      </c>
      <c r="C3759" t="s">
        <v>113</v>
      </c>
      <c r="D3759" t="str">
        <f>LEFT(M3759,10)</f>
        <v>12/15/2024</v>
      </c>
      <c r="E3759" t="s">
        <v>202</v>
      </c>
      <c r="F3759" t="s">
        <v>218</v>
      </c>
      <c r="G3759" t="s">
        <v>221</v>
      </c>
      <c r="I3759">
        <v>523</v>
      </c>
      <c r="J3759">
        <v>1255.2</v>
      </c>
      <c r="K3759">
        <v>2.4</v>
      </c>
      <c r="M3759" t="s">
        <v>205</v>
      </c>
    </row>
    <row r="3760" spans="1:13" hidden="1">
      <c r="A3760" t="s">
        <v>114</v>
      </c>
      <c r="B3760" t="s">
        <v>8</v>
      </c>
      <c r="C3760" t="s">
        <v>113</v>
      </c>
      <c r="D3760" t="str">
        <f>LEFT(M3760,10)</f>
        <v>12/15/2024</v>
      </c>
      <c r="E3760" t="s">
        <v>202</v>
      </c>
      <c r="F3760" t="s">
        <v>218</v>
      </c>
      <c r="G3760" t="s">
        <v>240</v>
      </c>
      <c r="I3760">
        <v>1074</v>
      </c>
      <c r="J3760">
        <v>4618.2</v>
      </c>
      <c r="K3760">
        <v>4.3</v>
      </c>
      <c r="M3760" t="s">
        <v>205</v>
      </c>
    </row>
    <row r="3761" spans="1:13" hidden="1">
      <c r="A3761" t="s">
        <v>114</v>
      </c>
      <c r="B3761" t="s">
        <v>8</v>
      </c>
      <c r="C3761" t="s">
        <v>113</v>
      </c>
      <c r="D3761" t="str">
        <f>LEFT(M3761,10)</f>
        <v>12/15/2024</v>
      </c>
      <c r="E3761" t="s">
        <v>202</v>
      </c>
      <c r="F3761" t="s">
        <v>218</v>
      </c>
      <c r="G3761" t="s">
        <v>241</v>
      </c>
      <c r="I3761">
        <v>56</v>
      </c>
      <c r="J3761">
        <v>240.8</v>
      </c>
      <c r="K3761">
        <v>4.3</v>
      </c>
      <c r="M3761" t="s">
        <v>205</v>
      </c>
    </row>
    <row r="3762" spans="1:13" hidden="1">
      <c r="A3762" t="s">
        <v>114</v>
      </c>
      <c r="B3762" t="s">
        <v>8</v>
      </c>
      <c r="C3762" t="s">
        <v>113</v>
      </c>
      <c r="D3762" t="str">
        <f>LEFT(M3762,10)</f>
        <v>12/15/2024</v>
      </c>
      <c r="E3762" t="s">
        <v>202</v>
      </c>
      <c r="F3762" t="s">
        <v>218</v>
      </c>
      <c r="G3762" t="s">
        <v>222</v>
      </c>
      <c r="I3762">
        <v>59</v>
      </c>
      <c r="J3762">
        <v>94.4</v>
      </c>
      <c r="K3762">
        <v>1.6</v>
      </c>
      <c r="M3762" t="s">
        <v>205</v>
      </c>
    </row>
    <row r="3763" spans="1:13" hidden="1">
      <c r="A3763" t="s">
        <v>114</v>
      </c>
      <c r="B3763" t="s">
        <v>8</v>
      </c>
      <c r="C3763" t="s">
        <v>113</v>
      </c>
      <c r="D3763" t="str">
        <f>LEFT(M3763,10)</f>
        <v>12/15/2024</v>
      </c>
      <c r="E3763" t="s">
        <v>202</v>
      </c>
      <c r="F3763" t="s">
        <v>227</v>
      </c>
      <c r="G3763" t="s">
        <v>252</v>
      </c>
      <c r="I3763">
        <v>172</v>
      </c>
      <c r="J3763">
        <v>43</v>
      </c>
      <c r="K3763">
        <v>0.25</v>
      </c>
      <c r="M3763" t="s">
        <v>205</v>
      </c>
    </row>
    <row r="3764" spans="1:13" hidden="1">
      <c r="A3764" t="s">
        <v>114</v>
      </c>
      <c r="B3764" t="s">
        <v>8</v>
      </c>
      <c r="C3764" t="s">
        <v>113</v>
      </c>
      <c r="D3764" t="str">
        <f>LEFT(M3764,10)</f>
        <v>12/15/2024</v>
      </c>
      <c r="E3764" t="s">
        <v>202</v>
      </c>
      <c r="F3764" t="s">
        <v>218</v>
      </c>
      <c r="G3764" t="s">
        <v>242</v>
      </c>
      <c r="I3764">
        <v>550</v>
      </c>
      <c r="J3764">
        <v>440</v>
      </c>
      <c r="K3764">
        <v>0.8</v>
      </c>
      <c r="M3764" t="s">
        <v>205</v>
      </c>
    </row>
    <row r="3765" spans="1:13" hidden="1">
      <c r="A3765" t="s">
        <v>114</v>
      </c>
      <c r="B3765" t="s">
        <v>8</v>
      </c>
      <c r="C3765" t="s">
        <v>113</v>
      </c>
      <c r="D3765" t="str">
        <f>LEFT(M3765,10)</f>
        <v>12/15/2024</v>
      </c>
      <c r="E3765" t="s">
        <v>202</v>
      </c>
      <c r="F3765" t="s">
        <v>218</v>
      </c>
      <c r="G3765" t="s">
        <v>222</v>
      </c>
      <c r="I3765">
        <v>628</v>
      </c>
      <c r="J3765">
        <v>753.6</v>
      </c>
      <c r="K3765">
        <v>1.2</v>
      </c>
      <c r="M3765" t="s">
        <v>205</v>
      </c>
    </row>
    <row r="3766" spans="1:13" hidden="1">
      <c r="A3766" t="s">
        <v>114</v>
      </c>
      <c r="B3766" t="s">
        <v>8</v>
      </c>
      <c r="C3766" t="s">
        <v>113</v>
      </c>
      <c r="D3766" t="str">
        <f>LEFT(M3766,10)</f>
        <v>12/15/2024</v>
      </c>
      <c r="E3766" t="s">
        <v>202</v>
      </c>
      <c r="F3766" t="s">
        <v>227</v>
      </c>
      <c r="G3766" t="s">
        <v>237</v>
      </c>
      <c r="I3766">
        <v>3693</v>
      </c>
      <c r="J3766">
        <v>2215.8000000000002</v>
      </c>
      <c r="K3766">
        <v>0.6</v>
      </c>
      <c r="M3766" t="s">
        <v>205</v>
      </c>
    </row>
    <row r="3767" spans="1:13" hidden="1">
      <c r="A3767" t="s">
        <v>114</v>
      </c>
      <c r="B3767" t="s">
        <v>8</v>
      </c>
      <c r="C3767" t="s">
        <v>113</v>
      </c>
      <c r="D3767" t="str">
        <f>LEFT(M3767,10)</f>
        <v>12/15/2024</v>
      </c>
      <c r="E3767" t="s">
        <v>202</v>
      </c>
      <c r="F3767" t="s">
        <v>227</v>
      </c>
      <c r="G3767" t="s">
        <v>228</v>
      </c>
      <c r="I3767">
        <v>1426</v>
      </c>
      <c r="J3767">
        <v>427.8</v>
      </c>
      <c r="K3767">
        <v>0.3</v>
      </c>
      <c r="M3767" t="s">
        <v>205</v>
      </c>
    </row>
    <row r="3768" spans="1:13" hidden="1">
      <c r="A3768" t="s">
        <v>114</v>
      </c>
      <c r="B3768" t="s">
        <v>8</v>
      </c>
      <c r="C3768" t="s">
        <v>113</v>
      </c>
      <c r="D3768" t="str">
        <f>LEFT(M3768,10)</f>
        <v>12/15/2024</v>
      </c>
      <c r="E3768" t="s">
        <v>202</v>
      </c>
      <c r="F3768" t="s">
        <v>218</v>
      </c>
      <c r="G3768" t="s">
        <v>240</v>
      </c>
      <c r="I3768">
        <v>400</v>
      </c>
      <c r="J3768">
        <v>1720</v>
      </c>
      <c r="K3768">
        <v>4.3</v>
      </c>
      <c r="M3768" t="s">
        <v>205</v>
      </c>
    </row>
    <row r="3769" spans="1:13" hidden="1">
      <c r="A3769" t="s">
        <v>114</v>
      </c>
      <c r="B3769" t="s">
        <v>8</v>
      </c>
      <c r="C3769" t="s">
        <v>113</v>
      </c>
      <c r="D3769" t="str">
        <f>LEFT(M3769,10)</f>
        <v>12/15/2024</v>
      </c>
      <c r="E3769" t="s">
        <v>202</v>
      </c>
      <c r="F3769" t="s">
        <v>227</v>
      </c>
      <c r="G3769" t="s">
        <v>229</v>
      </c>
      <c r="I3769">
        <v>6936</v>
      </c>
      <c r="J3769">
        <v>4855.2</v>
      </c>
      <c r="K3769">
        <v>0.7</v>
      </c>
      <c r="M3769" t="s">
        <v>205</v>
      </c>
    </row>
    <row r="3770" spans="1:13" hidden="1">
      <c r="A3770" t="s">
        <v>153</v>
      </c>
      <c r="B3770" t="s">
        <v>8</v>
      </c>
      <c r="C3770" t="s">
        <v>152</v>
      </c>
      <c r="D3770" t="str">
        <f>LEFT(M3770,10)</f>
        <v>12/15/2024</v>
      </c>
      <c r="E3770" t="s">
        <v>202</v>
      </c>
      <c r="F3770" t="s">
        <v>227</v>
      </c>
      <c r="G3770" t="s">
        <v>229</v>
      </c>
      <c r="I3770">
        <v>5069.5</v>
      </c>
      <c r="J3770">
        <v>3802.13</v>
      </c>
      <c r="K3770">
        <v>0.75</v>
      </c>
      <c r="M3770" t="s">
        <v>205</v>
      </c>
    </row>
    <row r="3771" spans="1:13" hidden="1">
      <c r="A3771" t="s">
        <v>153</v>
      </c>
      <c r="B3771" t="s">
        <v>8</v>
      </c>
      <c r="C3771" t="s">
        <v>152</v>
      </c>
      <c r="D3771" t="str">
        <f>LEFT(M3771,10)</f>
        <v>12/15/2024</v>
      </c>
      <c r="E3771" t="s">
        <v>202</v>
      </c>
      <c r="F3771" t="s">
        <v>227</v>
      </c>
      <c r="G3771" t="s">
        <v>237</v>
      </c>
      <c r="I3771">
        <v>586</v>
      </c>
      <c r="J3771">
        <v>351.6</v>
      </c>
      <c r="K3771">
        <v>0.6</v>
      </c>
      <c r="M3771" t="s">
        <v>205</v>
      </c>
    </row>
    <row r="3772" spans="1:13" hidden="1">
      <c r="A3772" t="s">
        <v>153</v>
      </c>
      <c r="B3772" t="s">
        <v>8</v>
      </c>
      <c r="C3772" t="s">
        <v>152</v>
      </c>
      <c r="D3772" t="str">
        <f>LEFT(M3772,10)</f>
        <v>12/15/2024</v>
      </c>
      <c r="E3772" t="s">
        <v>202</v>
      </c>
      <c r="F3772" t="s">
        <v>227</v>
      </c>
      <c r="G3772" t="s">
        <v>228</v>
      </c>
      <c r="I3772">
        <v>737.5</v>
      </c>
      <c r="J3772">
        <v>221.25</v>
      </c>
      <c r="K3772">
        <v>0.3</v>
      </c>
      <c r="M3772" t="s">
        <v>205</v>
      </c>
    </row>
    <row r="3773" spans="1:13" hidden="1">
      <c r="A3773" t="s">
        <v>153</v>
      </c>
      <c r="B3773" t="s">
        <v>8</v>
      </c>
      <c r="C3773" t="s">
        <v>152</v>
      </c>
      <c r="D3773" t="str">
        <f>LEFT(M3773,10)</f>
        <v>12/15/2024</v>
      </c>
      <c r="E3773" t="s">
        <v>202</v>
      </c>
      <c r="F3773" t="s">
        <v>218</v>
      </c>
      <c r="G3773" t="s">
        <v>221</v>
      </c>
      <c r="I3773">
        <v>160</v>
      </c>
      <c r="J3773">
        <v>408</v>
      </c>
      <c r="K3773">
        <v>2.5499999999999998</v>
      </c>
      <c r="M3773" t="s">
        <v>205</v>
      </c>
    </row>
    <row r="3774" spans="1:13" hidden="1">
      <c r="A3774" t="s">
        <v>153</v>
      </c>
      <c r="B3774" t="s">
        <v>8</v>
      </c>
      <c r="C3774" t="s">
        <v>152</v>
      </c>
      <c r="D3774" t="str">
        <f>LEFT(M3774,10)</f>
        <v>12/15/2024</v>
      </c>
      <c r="E3774" t="s">
        <v>202</v>
      </c>
      <c r="F3774" t="s">
        <v>227</v>
      </c>
      <c r="G3774" t="s">
        <v>252</v>
      </c>
      <c r="I3774">
        <v>129.5</v>
      </c>
      <c r="J3774">
        <v>45.33</v>
      </c>
      <c r="K3774">
        <v>0.35</v>
      </c>
      <c r="M3774" t="s">
        <v>205</v>
      </c>
    </row>
    <row r="3775" spans="1:13" hidden="1">
      <c r="A3775" t="s">
        <v>153</v>
      </c>
      <c r="B3775" t="s">
        <v>8</v>
      </c>
      <c r="C3775" t="s">
        <v>152</v>
      </c>
      <c r="D3775" t="str">
        <f>LEFT(M3775,10)</f>
        <v>12/15/2024</v>
      </c>
      <c r="E3775" t="s">
        <v>202</v>
      </c>
      <c r="F3775" t="s">
        <v>218</v>
      </c>
      <c r="G3775" t="s">
        <v>219</v>
      </c>
      <c r="I3775">
        <v>60</v>
      </c>
      <c r="J3775">
        <v>11.9</v>
      </c>
      <c r="K3775">
        <v>0.2</v>
      </c>
      <c r="M3775" t="s">
        <v>205</v>
      </c>
    </row>
    <row r="3776" spans="1:13" hidden="1">
      <c r="A3776" t="s">
        <v>153</v>
      </c>
      <c r="B3776" t="s">
        <v>8</v>
      </c>
      <c r="C3776" t="s">
        <v>152</v>
      </c>
      <c r="D3776" t="str">
        <f>LEFT(M3776,10)</f>
        <v>12/15/2024</v>
      </c>
      <c r="E3776" t="s">
        <v>202</v>
      </c>
      <c r="F3776" t="s">
        <v>218</v>
      </c>
      <c r="G3776" t="s">
        <v>247</v>
      </c>
      <c r="I3776">
        <v>60.5</v>
      </c>
      <c r="J3776">
        <v>254.1</v>
      </c>
      <c r="K3776">
        <v>4.2</v>
      </c>
      <c r="M3776" t="s">
        <v>205</v>
      </c>
    </row>
    <row r="3777" spans="1:13" hidden="1">
      <c r="A3777" t="s">
        <v>153</v>
      </c>
      <c r="B3777" t="s">
        <v>8</v>
      </c>
      <c r="C3777" t="s">
        <v>152</v>
      </c>
      <c r="D3777" t="str">
        <f>LEFT(M3777,10)</f>
        <v>12/15/2024</v>
      </c>
      <c r="E3777" t="s">
        <v>202</v>
      </c>
      <c r="F3777" t="s">
        <v>218</v>
      </c>
      <c r="G3777" t="s">
        <v>223</v>
      </c>
      <c r="I3777">
        <v>527.5</v>
      </c>
      <c r="J3777">
        <v>395.63</v>
      </c>
      <c r="K3777">
        <v>0.75</v>
      </c>
      <c r="M3777" t="s">
        <v>205</v>
      </c>
    </row>
    <row r="3778" spans="1:13" hidden="1">
      <c r="A3778" t="s">
        <v>153</v>
      </c>
      <c r="B3778" t="s">
        <v>8</v>
      </c>
      <c r="C3778" t="s">
        <v>152</v>
      </c>
      <c r="D3778" t="str">
        <f>LEFT(M3778,10)</f>
        <v>12/15/2024</v>
      </c>
      <c r="E3778" t="s">
        <v>202</v>
      </c>
      <c r="F3778" t="s">
        <v>218</v>
      </c>
      <c r="G3778" t="s">
        <v>221</v>
      </c>
      <c r="I3778">
        <v>70</v>
      </c>
      <c r="J3778">
        <v>178.5</v>
      </c>
      <c r="K3778">
        <v>2.5499999999999998</v>
      </c>
      <c r="M3778" t="s">
        <v>205</v>
      </c>
    </row>
    <row r="3779" spans="1:13" hidden="1">
      <c r="A3779" t="s">
        <v>153</v>
      </c>
      <c r="B3779" t="s">
        <v>8</v>
      </c>
      <c r="C3779" t="s">
        <v>152</v>
      </c>
      <c r="D3779" t="str">
        <f>LEFT(M3779,10)</f>
        <v>12/15/2024</v>
      </c>
      <c r="E3779" t="s">
        <v>202</v>
      </c>
      <c r="F3779" t="s">
        <v>218</v>
      </c>
      <c r="G3779" t="s">
        <v>226</v>
      </c>
      <c r="I3779">
        <v>105.5</v>
      </c>
      <c r="J3779">
        <v>26.38</v>
      </c>
      <c r="K3779">
        <v>0.25</v>
      </c>
      <c r="M3779" t="s">
        <v>205</v>
      </c>
    </row>
    <row r="3780" spans="1:13" hidden="1">
      <c r="A3780" t="s">
        <v>153</v>
      </c>
      <c r="B3780" t="s">
        <v>8</v>
      </c>
      <c r="C3780" t="s">
        <v>152</v>
      </c>
      <c r="D3780" t="str">
        <f>LEFT(M3780,10)</f>
        <v>12/15/2024</v>
      </c>
      <c r="E3780" t="s">
        <v>202</v>
      </c>
      <c r="F3780" t="s">
        <v>218</v>
      </c>
      <c r="G3780" t="s">
        <v>223</v>
      </c>
      <c r="I3780">
        <v>180.5</v>
      </c>
      <c r="J3780">
        <v>90.25</v>
      </c>
      <c r="K3780">
        <v>0.5</v>
      </c>
      <c r="M3780" t="s">
        <v>205</v>
      </c>
    </row>
    <row r="3781" spans="1:13" hidden="1">
      <c r="A3781" t="s">
        <v>153</v>
      </c>
      <c r="B3781" t="s">
        <v>8</v>
      </c>
      <c r="C3781" t="s">
        <v>152</v>
      </c>
      <c r="D3781" t="str">
        <f>LEFT(M3781,10)</f>
        <v>12/15/2024</v>
      </c>
      <c r="E3781" t="s">
        <v>202</v>
      </c>
      <c r="F3781" t="s">
        <v>218</v>
      </c>
      <c r="G3781" t="s">
        <v>220</v>
      </c>
      <c r="I3781">
        <v>295</v>
      </c>
      <c r="J3781">
        <v>413</v>
      </c>
      <c r="K3781">
        <v>1.4</v>
      </c>
      <c r="M3781" t="s">
        <v>205</v>
      </c>
    </row>
    <row r="3782" spans="1:13" hidden="1">
      <c r="A3782" t="s">
        <v>153</v>
      </c>
      <c r="B3782" t="s">
        <v>8</v>
      </c>
      <c r="C3782" t="s">
        <v>152</v>
      </c>
      <c r="D3782" t="str">
        <f>LEFT(M3782,10)</f>
        <v>12/15/2024</v>
      </c>
      <c r="E3782" t="s">
        <v>202</v>
      </c>
      <c r="F3782" t="s">
        <v>218</v>
      </c>
      <c r="G3782" t="s">
        <v>224</v>
      </c>
      <c r="I3782">
        <v>90</v>
      </c>
      <c r="J3782">
        <v>98.45</v>
      </c>
      <c r="K3782">
        <v>1.0900000000000001</v>
      </c>
      <c r="M3782" t="s">
        <v>205</v>
      </c>
    </row>
    <row r="3783" spans="1:13" hidden="1">
      <c r="A3783" t="s">
        <v>153</v>
      </c>
      <c r="B3783" t="s">
        <v>8</v>
      </c>
      <c r="C3783" t="s">
        <v>152</v>
      </c>
      <c r="D3783" t="str">
        <f>LEFT(M3783,10)</f>
        <v>12/15/2024</v>
      </c>
      <c r="E3783" t="s">
        <v>202</v>
      </c>
      <c r="F3783" t="s">
        <v>218</v>
      </c>
      <c r="G3783" t="s">
        <v>222</v>
      </c>
      <c r="I3783">
        <v>264</v>
      </c>
      <c r="J3783">
        <v>632.4</v>
      </c>
      <c r="K3783">
        <v>2.4</v>
      </c>
      <c r="M3783" t="s">
        <v>205</v>
      </c>
    </row>
    <row r="3784" spans="1:13" hidden="1">
      <c r="A3784" t="s">
        <v>153</v>
      </c>
      <c r="B3784" t="s">
        <v>8</v>
      </c>
      <c r="C3784" t="s">
        <v>152</v>
      </c>
      <c r="D3784" t="str">
        <f>LEFT(M3784,10)</f>
        <v>12/15/2024</v>
      </c>
      <c r="E3784" t="s">
        <v>202</v>
      </c>
      <c r="F3784" t="s">
        <v>218</v>
      </c>
      <c r="G3784" t="s">
        <v>268</v>
      </c>
      <c r="I3784">
        <v>539.5</v>
      </c>
      <c r="J3784">
        <v>836.23</v>
      </c>
      <c r="K3784">
        <v>1.55</v>
      </c>
      <c r="M3784" t="s">
        <v>205</v>
      </c>
    </row>
    <row r="3785" spans="1:13" hidden="1">
      <c r="A3785" t="s">
        <v>153</v>
      </c>
      <c r="B3785" t="s">
        <v>8</v>
      </c>
      <c r="C3785" t="s">
        <v>152</v>
      </c>
      <c r="D3785" t="str">
        <f>LEFT(M3785,10)</f>
        <v>12/15/2024</v>
      </c>
      <c r="E3785" t="s">
        <v>202</v>
      </c>
      <c r="F3785" t="s">
        <v>218</v>
      </c>
      <c r="G3785" t="s">
        <v>268</v>
      </c>
      <c r="I3785">
        <v>295</v>
      </c>
      <c r="J3785">
        <v>590</v>
      </c>
      <c r="K3785">
        <v>2</v>
      </c>
      <c r="M3785" t="s">
        <v>205</v>
      </c>
    </row>
    <row r="3786" spans="1:13" hidden="1">
      <c r="A3786" t="s">
        <v>153</v>
      </c>
      <c r="B3786" t="s">
        <v>8</v>
      </c>
      <c r="C3786" t="s">
        <v>152</v>
      </c>
      <c r="D3786" t="str">
        <f>LEFT(M3786,10)</f>
        <v>12/15/2024</v>
      </c>
      <c r="E3786" t="s">
        <v>202</v>
      </c>
      <c r="F3786" t="s">
        <v>218</v>
      </c>
      <c r="G3786" t="s">
        <v>221</v>
      </c>
      <c r="I3786">
        <v>131.6</v>
      </c>
      <c r="J3786">
        <v>203.98</v>
      </c>
      <c r="K3786">
        <v>1.55</v>
      </c>
      <c r="M3786" t="s">
        <v>205</v>
      </c>
    </row>
    <row r="3787" spans="1:13" hidden="1">
      <c r="A3787" t="s">
        <v>153</v>
      </c>
      <c r="B3787" t="s">
        <v>8</v>
      </c>
      <c r="C3787" t="s">
        <v>152</v>
      </c>
      <c r="D3787" t="str">
        <f>LEFT(M3787,10)</f>
        <v>12/15/2024</v>
      </c>
      <c r="E3787" t="s">
        <v>202</v>
      </c>
      <c r="F3787" t="s">
        <v>218</v>
      </c>
      <c r="G3787" t="s">
        <v>241</v>
      </c>
      <c r="I3787">
        <v>476</v>
      </c>
      <c r="J3787">
        <v>2092.1999999999998</v>
      </c>
      <c r="K3787">
        <v>4.4000000000000004</v>
      </c>
      <c r="M3787" t="s">
        <v>205</v>
      </c>
    </row>
    <row r="3788" spans="1:13" hidden="1">
      <c r="A3788" t="s">
        <v>153</v>
      </c>
      <c r="B3788" t="s">
        <v>8</v>
      </c>
      <c r="C3788" t="s">
        <v>152</v>
      </c>
      <c r="D3788" t="str">
        <f>LEFT(M3788,10)</f>
        <v>12/15/2024</v>
      </c>
      <c r="E3788" t="s">
        <v>202</v>
      </c>
      <c r="F3788" t="s">
        <v>203</v>
      </c>
      <c r="G3788" t="s">
        <v>204</v>
      </c>
      <c r="I3788">
        <v>138.5</v>
      </c>
      <c r="J3788">
        <v>1108</v>
      </c>
      <c r="K3788">
        <v>8</v>
      </c>
      <c r="M3788" t="s">
        <v>205</v>
      </c>
    </row>
    <row r="3789" spans="1:13" hidden="1">
      <c r="A3789" t="s">
        <v>153</v>
      </c>
      <c r="B3789" t="s">
        <v>8</v>
      </c>
      <c r="C3789" t="s">
        <v>152</v>
      </c>
      <c r="D3789" t="str">
        <f>LEFT(M3789,10)</f>
        <v>12/15/2024</v>
      </c>
      <c r="E3789" t="s">
        <v>202</v>
      </c>
      <c r="F3789" t="s">
        <v>203</v>
      </c>
      <c r="G3789" t="s">
        <v>207</v>
      </c>
      <c r="I3789">
        <v>31.5</v>
      </c>
      <c r="J3789">
        <v>236.25</v>
      </c>
      <c r="K3789">
        <v>7.5</v>
      </c>
      <c r="M3789" t="s">
        <v>205</v>
      </c>
    </row>
    <row r="3790" spans="1:13" hidden="1">
      <c r="A3790" t="s">
        <v>153</v>
      </c>
      <c r="B3790" t="s">
        <v>8</v>
      </c>
      <c r="C3790" t="s">
        <v>152</v>
      </c>
      <c r="D3790" t="str">
        <f>LEFT(M3790,10)</f>
        <v>12/15/2024</v>
      </c>
      <c r="E3790" t="s">
        <v>202</v>
      </c>
      <c r="F3790" t="s">
        <v>203</v>
      </c>
      <c r="G3790" t="s">
        <v>215</v>
      </c>
      <c r="I3790">
        <v>9</v>
      </c>
      <c r="J3790">
        <v>180</v>
      </c>
      <c r="K3790">
        <v>20</v>
      </c>
      <c r="M3790" t="s">
        <v>205</v>
      </c>
    </row>
    <row r="3791" spans="1:13" hidden="1">
      <c r="A3791" t="s">
        <v>153</v>
      </c>
      <c r="B3791" t="s">
        <v>8</v>
      </c>
      <c r="C3791" t="s">
        <v>152</v>
      </c>
      <c r="D3791" t="str">
        <f>LEFT(M3791,10)</f>
        <v>12/15/2024</v>
      </c>
      <c r="E3791" t="s">
        <v>202</v>
      </c>
      <c r="F3791" t="s">
        <v>203</v>
      </c>
      <c r="G3791" t="s">
        <v>261</v>
      </c>
      <c r="I3791">
        <v>9.6999999999999993</v>
      </c>
      <c r="J3791">
        <v>77.599999999999994</v>
      </c>
      <c r="K3791">
        <v>8</v>
      </c>
      <c r="M3791" t="s">
        <v>205</v>
      </c>
    </row>
    <row r="3792" spans="1:13" hidden="1">
      <c r="A3792" t="s">
        <v>153</v>
      </c>
      <c r="B3792" t="s">
        <v>8</v>
      </c>
      <c r="C3792" t="s">
        <v>152</v>
      </c>
      <c r="D3792" t="str">
        <f>LEFT(M3792,10)</f>
        <v>12/15/2024</v>
      </c>
      <c r="E3792" t="s">
        <v>202</v>
      </c>
      <c r="F3792" t="s">
        <v>203</v>
      </c>
      <c r="G3792" t="s">
        <v>236</v>
      </c>
      <c r="I3792">
        <v>3240</v>
      </c>
      <c r="J3792">
        <v>2592</v>
      </c>
      <c r="K3792">
        <v>0.8</v>
      </c>
      <c r="M3792" t="s">
        <v>205</v>
      </c>
    </row>
    <row r="3793" spans="1:13" hidden="1">
      <c r="A3793" t="s">
        <v>153</v>
      </c>
      <c r="B3793" t="s">
        <v>8</v>
      </c>
      <c r="C3793" t="s">
        <v>152</v>
      </c>
      <c r="D3793" t="str">
        <f>LEFT(M3793,10)</f>
        <v>12/15/2024</v>
      </c>
      <c r="E3793" t="s">
        <v>202</v>
      </c>
      <c r="F3793" t="s">
        <v>209</v>
      </c>
      <c r="G3793" t="s">
        <v>212</v>
      </c>
      <c r="I3793">
        <v>8</v>
      </c>
      <c r="J3793">
        <v>32</v>
      </c>
      <c r="K3793">
        <v>4</v>
      </c>
      <c r="M3793" t="s">
        <v>205</v>
      </c>
    </row>
    <row r="3794" spans="1:13" hidden="1">
      <c r="A3794" t="s">
        <v>153</v>
      </c>
      <c r="B3794" t="s">
        <v>8</v>
      </c>
      <c r="C3794" t="s">
        <v>152</v>
      </c>
      <c r="D3794" t="str">
        <f>LEFT(M3794,10)</f>
        <v>12/15/2024</v>
      </c>
      <c r="E3794" t="s">
        <v>202</v>
      </c>
      <c r="F3794" t="s">
        <v>209</v>
      </c>
      <c r="G3794" t="s">
        <v>212</v>
      </c>
      <c r="I3794">
        <v>4</v>
      </c>
      <c r="J3794">
        <v>28</v>
      </c>
      <c r="K3794">
        <v>7</v>
      </c>
      <c r="M3794" t="s">
        <v>205</v>
      </c>
    </row>
    <row r="3795" spans="1:13" hidden="1">
      <c r="A3795" t="s">
        <v>153</v>
      </c>
      <c r="B3795" t="s">
        <v>8</v>
      </c>
      <c r="C3795" t="s">
        <v>152</v>
      </c>
      <c r="D3795" t="str">
        <f>LEFT(M3795,10)</f>
        <v>12/15/2024</v>
      </c>
      <c r="E3795" t="s">
        <v>202</v>
      </c>
      <c r="F3795" t="s">
        <v>209</v>
      </c>
      <c r="G3795" t="s">
        <v>310</v>
      </c>
      <c r="I3795">
        <v>1</v>
      </c>
      <c r="J3795">
        <v>15</v>
      </c>
      <c r="K3795">
        <v>15</v>
      </c>
      <c r="M3795" t="s">
        <v>205</v>
      </c>
    </row>
    <row r="3796" spans="1:13" hidden="1">
      <c r="A3796" t="s">
        <v>153</v>
      </c>
      <c r="B3796" t="s">
        <v>8</v>
      </c>
      <c r="C3796" t="s">
        <v>152</v>
      </c>
      <c r="D3796" t="str">
        <f>LEFT(M3796,10)</f>
        <v>12/15/2024</v>
      </c>
      <c r="E3796" t="s">
        <v>202</v>
      </c>
      <c r="F3796" t="s">
        <v>209</v>
      </c>
      <c r="G3796" t="s">
        <v>210</v>
      </c>
      <c r="I3796">
        <v>68</v>
      </c>
      <c r="J3796">
        <v>190.4</v>
      </c>
      <c r="K3796">
        <v>2.8</v>
      </c>
      <c r="M3796" t="s">
        <v>205</v>
      </c>
    </row>
    <row r="3797" spans="1:13" hidden="1">
      <c r="A3797" t="s">
        <v>153</v>
      </c>
      <c r="B3797" t="s">
        <v>8</v>
      </c>
      <c r="C3797" t="s">
        <v>152</v>
      </c>
      <c r="D3797" t="str">
        <f>LEFT(M3797,10)</f>
        <v>12/15/2024</v>
      </c>
      <c r="E3797" t="s">
        <v>202</v>
      </c>
      <c r="F3797" t="s">
        <v>209</v>
      </c>
      <c r="G3797" t="s">
        <v>341</v>
      </c>
      <c r="I3797">
        <v>1.4</v>
      </c>
      <c r="J3797">
        <v>28</v>
      </c>
      <c r="K3797">
        <v>20</v>
      </c>
      <c r="M3797" t="s">
        <v>205</v>
      </c>
    </row>
    <row r="3798" spans="1:13" hidden="1">
      <c r="A3798" t="s">
        <v>153</v>
      </c>
      <c r="B3798" t="s">
        <v>8</v>
      </c>
      <c r="C3798" t="s">
        <v>152</v>
      </c>
      <c r="D3798" t="str">
        <f>LEFT(M3798,10)</f>
        <v>12/15/2024</v>
      </c>
      <c r="E3798" t="s">
        <v>202</v>
      </c>
      <c r="F3798" t="s">
        <v>203</v>
      </c>
      <c r="G3798" t="s">
        <v>207</v>
      </c>
      <c r="I3798">
        <v>44</v>
      </c>
      <c r="J3798">
        <v>176</v>
      </c>
      <c r="K3798">
        <v>4</v>
      </c>
      <c r="M3798" t="s">
        <v>205</v>
      </c>
    </row>
    <row r="3799" spans="1:13" hidden="1">
      <c r="A3799" t="s">
        <v>153</v>
      </c>
      <c r="B3799" t="s">
        <v>8</v>
      </c>
      <c r="C3799" t="s">
        <v>152</v>
      </c>
      <c r="D3799" t="str">
        <f>LEFT(M3799,10)</f>
        <v>12/15/2024</v>
      </c>
      <c r="E3799" t="s">
        <v>202</v>
      </c>
      <c r="F3799" t="s">
        <v>203</v>
      </c>
      <c r="G3799" t="s">
        <v>261</v>
      </c>
      <c r="I3799">
        <v>134.5</v>
      </c>
      <c r="J3799">
        <v>134.5</v>
      </c>
      <c r="K3799">
        <v>1</v>
      </c>
      <c r="M3799" t="s">
        <v>205</v>
      </c>
    </row>
    <row r="3800" spans="1:13" hidden="1">
      <c r="A3800" t="s">
        <v>153</v>
      </c>
      <c r="B3800" t="s">
        <v>8</v>
      </c>
      <c r="C3800" t="s">
        <v>152</v>
      </c>
      <c r="D3800" t="str">
        <f>LEFT(M3800,10)</f>
        <v>12/15/2024</v>
      </c>
      <c r="E3800" t="s">
        <v>202</v>
      </c>
      <c r="F3800" t="s">
        <v>216</v>
      </c>
      <c r="G3800" t="s">
        <v>217</v>
      </c>
      <c r="I3800">
        <v>2</v>
      </c>
      <c r="J3800">
        <v>4.8</v>
      </c>
      <c r="K3800">
        <v>2.4</v>
      </c>
      <c r="M3800" t="s">
        <v>205</v>
      </c>
    </row>
    <row r="3801" spans="1:13" hidden="1">
      <c r="A3801" t="s">
        <v>153</v>
      </c>
      <c r="B3801" t="s">
        <v>8</v>
      </c>
      <c r="C3801" t="s">
        <v>152</v>
      </c>
      <c r="D3801" t="str">
        <f>LEFT(M3801,10)</f>
        <v>12/15/2024</v>
      </c>
      <c r="E3801" t="s">
        <v>202</v>
      </c>
      <c r="F3801" t="s">
        <v>216</v>
      </c>
      <c r="G3801" t="s">
        <v>217</v>
      </c>
      <c r="I3801">
        <v>1</v>
      </c>
      <c r="J3801">
        <v>1.2</v>
      </c>
      <c r="K3801">
        <v>1.2</v>
      </c>
      <c r="M3801" t="s">
        <v>205</v>
      </c>
    </row>
    <row r="3802" spans="1:13" hidden="1">
      <c r="A3802" t="s">
        <v>153</v>
      </c>
      <c r="B3802" t="s">
        <v>8</v>
      </c>
      <c r="C3802" t="s">
        <v>152</v>
      </c>
      <c r="D3802" t="str">
        <f>LEFT(M3802,10)</f>
        <v>12/15/2024</v>
      </c>
      <c r="E3802" t="s">
        <v>202</v>
      </c>
      <c r="F3802" t="s">
        <v>216</v>
      </c>
      <c r="G3802" t="s">
        <v>217</v>
      </c>
      <c r="I3802">
        <v>30</v>
      </c>
      <c r="J3802">
        <v>7.5</v>
      </c>
      <c r="K3802">
        <v>0.25</v>
      </c>
      <c r="M3802" t="s">
        <v>205</v>
      </c>
    </row>
    <row r="3803" spans="1:13" hidden="1">
      <c r="A3803" t="s">
        <v>153</v>
      </c>
      <c r="B3803" t="s">
        <v>8</v>
      </c>
      <c r="C3803" t="s">
        <v>152</v>
      </c>
      <c r="D3803" t="str">
        <f>LEFT(M3803,10)</f>
        <v>12/15/2024</v>
      </c>
      <c r="E3803" t="s">
        <v>202</v>
      </c>
      <c r="F3803" t="s">
        <v>216</v>
      </c>
      <c r="G3803" t="s">
        <v>217</v>
      </c>
      <c r="I3803">
        <v>30</v>
      </c>
      <c r="J3803">
        <v>7.5</v>
      </c>
      <c r="K3803">
        <v>0.25</v>
      </c>
      <c r="M3803" t="s">
        <v>205</v>
      </c>
    </row>
    <row r="3804" spans="1:13" hidden="1">
      <c r="A3804" t="s">
        <v>153</v>
      </c>
      <c r="B3804" t="s">
        <v>8</v>
      </c>
      <c r="C3804" t="s">
        <v>152</v>
      </c>
      <c r="D3804" t="str">
        <f>LEFT(M3804,10)</f>
        <v>12/15/2024</v>
      </c>
      <c r="E3804" t="s">
        <v>202</v>
      </c>
      <c r="F3804" t="s">
        <v>216</v>
      </c>
      <c r="G3804" t="s">
        <v>217</v>
      </c>
      <c r="I3804">
        <v>60</v>
      </c>
      <c r="J3804">
        <v>15</v>
      </c>
      <c r="K3804">
        <v>0.25</v>
      </c>
      <c r="M3804" t="s">
        <v>205</v>
      </c>
    </row>
    <row r="3805" spans="1:13" hidden="1">
      <c r="A3805" t="s">
        <v>153</v>
      </c>
      <c r="B3805" t="s">
        <v>8</v>
      </c>
      <c r="C3805" t="s">
        <v>152</v>
      </c>
      <c r="D3805" t="str">
        <f>LEFT(M3805,10)</f>
        <v>12/15/2024</v>
      </c>
      <c r="E3805" t="s">
        <v>202</v>
      </c>
      <c r="F3805" t="s">
        <v>216</v>
      </c>
      <c r="G3805" t="s">
        <v>217</v>
      </c>
      <c r="I3805">
        <v>2</v>
      </c>
      <c r="J3805">
        <v>4.4000000000000004</v>
      </c>
      <c r="K3805">
        <v>2.2000000000000002</v>
      </c>
      <c r="M3805" t="s">
        <v>205</v>
      </c>
    </row>
    <row r="3806" spans="1:13" hidden="1">
      <c r="A3806" t="s">
        <v>153</v>
      </c>
      <c r="B3806" t="s">
        <v>8</v>
      </c>
      <c r="C3806" t="s">
        <v>152</v>
      </c>
      <c r="D3806" t="str">
        <f>LEFT(M3806,10)</f>
        <v>12/15/2024</v>
      </c>
      <c r="E3806" t="s">
        <v>202</v>
      </c>
      <c r="F3806" t="s">
        <v>216</v>
      </c>
      <c r="G3806" t="s">
        <v>217</v>
      </c>
      <c r="I3806">
        <v>180</v>
      </c>
      <c r="J3806">
        <v>27</v>
      </c>
      <c r="K3806">
        <v>0.15</v>
      </c>
      <c r="M3806" t="s">
        <v>205</v>
      </c>
    </row>
    <row r="3807" spans="1:13" hidden="1">
      <c r="A3807" t="s">
        <v>153</v>
      </c>
      <c r="B3807" t="s">
        <v>8</v>
      </c>
      <c r="C3807" t="s">
        <v>152</v>
      </c>
      <c r="D3807" t="str">
        <f>LEFT(M3807,10)</f>
        <v>12/15/2024</v>
      </c>
      <c r="E3807" t="s">
        <v>202</v>
      </c>
      <c r="F3807" t="s">
        <v>216</v>
      </c>
      <c r="G3807" t="s">
        <v>217</v>
      </c>
      <c r="I3807">
        <v>120</v>
      </c>
      <c r="J3807">
        <v>16.8</v>
      </c>
      <c r="K3807">
        <v>0.14000000000000001</v>
      </c>
      <c r="M3807" t="s">
        <v>205</v>
      </c>
    </row>
    <row r="3808" spans="1:13" hidden="1">
      <c r="A3808" t="s">
        <v>153</v>
      </c>
      <c r="B3808" t="s">
        <v>8</v>
      </c>
      <c r="C3808" t="s">
        <v>152</v>
      </c>
      <c r="D3808" t="str">
        <f>LEFT(M3808,10)</f>
        <v>12/15/2024</v>
      </c>
      <c r="E3808" t="s">
        <v>202</v>
      </c>
      <c r="F3808" t="s">
        <v>216</v>
      </c>
      <c r="G3808" t="s">
        <v>217</v>
      </c>
      <c r="I3808">
        <v>200</v>
      </c>
      <c r="J3808">
        <v>54</v>
      </c>
      <c r="K3808">
        <v>0.27</v>
      </c>
      <c r="M3808" t="s">
        <v>205</v>
      </c>
    </row>
    <row r="3809" spans="1:13" hidden="1">
      <c r="A3809" t="s">
        <v>153</v>
      </c>
      <c r="B3809" t="s">
        <v>8</v>
      </c>
      <c r="C3809" t="s">
        <v>152</v>
      </c>
      <c r="D3809" t="str">
        <f>LEFT(M3809,10)</f>
        <v>12/15/2024</v>
      </c>
      <c r="E3809" t="s">
        <v>202</v>
      </c>
      <c r="F3809" t="s">
        <v>216</v>
      </c>
      <c r="G3809" t="s">
        <v>217</v>
      </c>
      <c r="I3809">
        <v>60</v>
      </c>
      <c r="J3809">
        <v>15</v>
      </c>
      <c r="K3809">
        <v>0.25</v>
      </c>
      <c r="M3809" t="s">
        <v>205</v>
      </c>
    </row>
    <row r="3810" spans="1:13" hidden="1">
      <c r="A3810" t="s">
        <v>153</v>
      </c>
      <c r="B3810" t="s">
        <v>8</v>
      </c>
      <c r="C3810" t="s">
        <v>152</v>
      </c>
      <c r="D3810" t="str">
        <f>LEFT(M3810,10)</f>
        <v>12/15/2024</v>
      </c>
      <c r="E3810" t="s">
        <v>202</v>
      </c>
      <c r="F3810" t="s">
        <v>216</v>
      </c>
      <c r="G3810" t="s">
        <v>217</v>
      </c>
      <c r="I3810">
        <v>30</v>
      </c>
      <c r="J3810">
        <v>4.5</v>
      </c>
      <c r="K3810">
        <v>0.15</v>
      </c>
      <c r="M3810" t="s">
        <v>205</v>
      </c>
    </row>
    <row r="3811" spans="1:13" hidden="1">
      <c r="A3811" t="s">
        <v>153</v>
      </c>
      <c r="B3811" t="s">
        <v>8</v>
      </c>
      <c r="C3811" t="s">
        <v>152</v>
      </c>
      <c r="D3811" t="str">
        <f>LEFT(M3811,10)</f>
        <v>12/15/2024</v>
      </c>
      <c r="E3811" t="s">
        <v>234</v>
      </c>
      <c r="F3811" t="s">
        <v>234</v>
      </c>
      <c r="I3811">
        <v>113510</v>
      </c>
      <c r="M3811" t="s">
        <v>205</v>
      </c>
    </row>
    <row r="3812" spans="1:13" hidden="1">
      <c r="A3812" t="s">
        <v>43</v>
      </c>
      <c r="B3812" t="s">
        <v>8</v>
      </c>
      <c r="C3812" t="s">
        <v>42</v>
      </c>
      <c r="D3812" t="str">
        <f>LEFT(M3812,10)</f>
        <v>12/15/2024</v>
      </c>
      <c r="E3812" t="s">
        <v>202</v>
      </c>
      <c r="F3812" t="s">
        <v>227</v>
      </c>
      <c r="G3812" t="s">
        <v>228</v>
      </c>
      <c r="I3812">
        <v>1119</v>
      </c>
      <c r="J3812">
        <v>391.65</v>
      </c>
      <c r="K3812">
        <v>0.35</v>
      </c>
      <c r="M3812" t="s">
        <v>205</v>
      </c>
    </row>
    <row r="3813" spans="1:13" hidden="1">
      <c r="A3813" t="s">
        <v>43</v>
      </c>
      <c r="B3813" t="s">
        <v>8</v>
      </c>
      <c r="C3813" t="s">
        <v>42</v>
      </c>
      <c r="D3813" t="str">
        <f>LEFT(M3813,10)</f>
        <v>12/15/2024</v>
      </c>
      <c r="E3813" t="s">
        <v>202</v>
      </c>
      <c r="F3813" t="s">
        <v>227</v>
      </c>
      <c r="G3813" t="s">
        <v>237</v>
      </c>
      <c r="I3813">
        <v>293</v>
      </c>
      <c r="J3813">
        <v>175.8</v>
      </c>
      <c r="K3813">
        <v>0.6</v>
      </c>
      <c r="M3813" t="s">
        <v>205</v>
      </c>
    </row>
    <row r="3814" spans="1:13" hidden="1">
      <c r="A3814" t="s">
        <v>43</v>
      </c>
      <c r="B3814" t="s">
        <v>8</v>
      </c>
      <c r="C3814" t="s">
        <v>42</v>
      </c>
      <c r="D3814" t="str">
        <f>LEFT(M3814,10)</f>
        <v>12/15/2024</v>
      </c>
      <c r="E3814" t="s">
        <v>202</v>
      </c>
      <c r="F3814" t="s">
        <v>227</v>
      </c>
      <c r="G3814" t="s">
        <v>237</v>
      </c>
      <c r="I3814">
        <v>90</v>
      </c>
      <c r="J3814">
        <v>54</v>
      </c>
      <c r="K3814">
        <v>0.6</v>
      </c>
      <c r="M3814" t="s">
        <v>205</v>
      </c>
    </row>
    <row r="3815" spans="1:13" hidden="1">
      <c r="A3815" t="s">
        <v>43</v>
      </c>
      <c r="B3815" t="s">
        <v>8</v>
      </c>
      <c r="C3815" t="s">
        <v>42</v>
      </c>
      <c r="D3815" t="str">
        <f>LEFT(M3815,10)</f>
        <v>12/15/2024</v>
      </c>
      <c r="E3815" t="s">
        <v>202</v>
      </c>
      <c r="F3815" t="s">
        <v>218</v>
      </c>
      <c r="G3815" t="s">
        <v>240</v>
      </c>
      <c r="I3815">
        <v>708</v>
      </c>
      <c r="J3815">
        <v>2053.1999999999998</v>
      </c>
      <c r="K3815">
        <v>2.9</v>
      </c>
      <c r="M3815" t="s">
        <v>205</v>
      </c>
    </row>
    <row r="3816" spans="1:13" hidden="1">
      <c r="A3816" t="s">
        <v>43</v>
      </c>
      <c r="B3816" t="s">
        <v>8</v>
      </c>
      <c r="C3816" t="s">
        <v>42</v>
      </c>
      <c r="D3816" t="str">
        <f>LEFT(M3816,10)</f>
        <v>12/15/2024</v>
      </c>
      <c r="E3816" t="s">
        <v>202</v>
      </c>
      <c r="F3816" t="s">
        <v>218</v>
      </c>
      <c r="G3816" t="s">
        <v>223</v>
      </c>
      <c r="I3816">
        <v>219</v>
      </c>
      <c r="J3816">
        <v>306.60000000000002</v>
      </c>
      <c r="K3816">
        <v>1.4</v>
      </c>
      <c r="M3816" t="s">
        <v>205</v>
      </c>
    </row>
    <row r="3817" spans="1:13" hidden="1">
      <c r="A3817" t="s">
        <v>43</v>
      </c>
      <c r="B3817" t="s">
        <v>8</v>
      </c>
      <c r="C3817" t="s">
        <v>42</v>
      </c>
      <c r="D3817" t="str">
        <f>LEFT(M3817,10)</f>
        <v>12/15/2024</v>
      </c>
      <c r="E3817" t="s">
        <v>202</v>
      </c>
      <c r="F3817" t="s">
        <v>218</v>
      </c>
      <c r="G3817" t="s">
        <v>219</v>
      </c>
      <c r="I3817">
        <v>176</v>
      </c>
      <c r="J3817">
        <v>431.2</v>
      </c>
      <c r="K3817">
        <v>2.4500000000000002</v>
      </c>
      <c r="M3817" t="s">
        <v>205</v>
      </c>
    </row>
    <row r="3818" spans="1:13" hidden="1">
      <c r="A3818" t="s">
        <v>43</v>
      </c>
      <c r="B3818" t="s">
        <v>8</v>
      </c>
      <c r="C3818" t="s">
        <v>42</v>
      </c>
      <c r="D3818" t="str">
        <f>LEFT(M3818,10)</f>
        <v>12/15/2024</v>
      </c>
      <c r="E3818" t="s">
        <v>202</v>
      </c>
      <c r="F3818" t="s">
        <v>218</v>
      </c>
      <c r="G3818" t="s">
        <v>223</v>
      </c>
      <c r="I3818">
        <v>450</v>
      </c>
      <c r="J3818">
        <v>360</v>
      </c>
      <c r="K3818">
        <v>0.8</v>
      </c>
      <c r="M3818" t="s">
        <v>205</v>
      </c>
    </row>
    <row r="3819" spans="1:13" hidden="1">
      <c r="A3819" t="s">
        <v>43</v>
      </c>
      <c r="B3819" t="s">
        <v>8</v>
      </c>
      <c r="C3819" t="s">
        <v>42</v>
      </c>
      <c r="D3819" t="str">
        <f>LEFT(M3819,10)</f>
        <v>12/15/2024</v>
      </c>
      <c r="E3819" t="s">
        <v>202</v>
      </c>
      <c r="F3819" t="s">
        <v>218</v>
      </c>
      <c r="G3819" t="s">
        <v>219</v>
      </c>
      <c r="I3819">
        <v>228</v>
      </c>
      <c r="J3819">
        <v>558.6</v>
      </c>
      <c r="K3819">
        <v>2.4500000000000002</v>
      </c>
      <c r="M3819" t="s">
        <v>205</v>
      </c>
    </row>
    <row r="3820" spans="1:13" hidden="1">
      <c r="A3820" t="s">
        <v>43</v>
      </c>
      <c r="B3820" t="s">
        <v>8</v>
      </c>
      <c r="C3820" t="s">
        <v>42</v>
      </c>
      <c r="D3820" t="str">
        <f>LEFT(M3820,10)</f>
        <v>12/15/2024</v>
      </c>
      <c r="E3820" t="s">
        <v>202</v>
      </c>
      <c r="F3820" t="s">
        <v>227</v>
      </c>
      <c r="G3820" t="s">
        <v>238</v>
      </c>
      <c r="I3820">
        <v>316</v>
      </c>
      <c r="J3820">
        <v>94.8</v>
      </c>
      <c r="K3820">
        <v>0.3</v>
      </c>
      <c r="M3820" t="s">
        <v>205</v>
      </c>
    </row>
    <row r="3821" spans="1:13" hidden="1">
      <c r="A3821" t="s">
        <v>43</v>
      </c>
      <c r="B3821" t="s">
        <v>8</v>
      </c>
      <c r="C3821" t="s">
        <v>42</v>
      </c>
      <c r="D3821" t="str">
        <f>LEFT(M3821,10)</f>
        <v>12/15/2024</v>
      </c>
      <c r="E3821" t="s">
        <v>202</v>
      </c>
      <c r="F3821" t="s">
        <v>227</v>
      </c>
      <c r="G3821" t="s">
        <v>252</v>
      </c>
      <c r="I3821">
        <v>261</v>
      </c>
      <c r="J3821">
        <v>78.3</v>
      </c>
      <c r="K3821">
        <v>0.3</v>
      </c>
      <c r="M3821" t="s">
        <v>205</v>
      </c>
    </row>
    <row r="3822" spans="1:13" hidden="1">
      <c r="A3822" t="s">
        <v>43</v>
      </c>
      <c r="B3822" t="s">
        <v>8</v>
      </c>
      <c r="C3822" t="s">
        <v>42</v>
      </c>
      <c r="D3822" t="str">
        <f>LEFT(M3822,10)</f>
        <v>12/15/2024</v>
      </c>
      <c r="E3822" t="s">
        <v>202</v>
      </c>
      <c r="F3822" t="s">
        <v>218</v>
      </c>
      <c r="G3822" t="s">
        <v>222</v>
      </c>
      <c r="I3822">
        <v>85</v>
      </c>
      <c r="J3822">
        <v>136</v>
      </c>
      <c r="K3822">
        <v>1.6</v>
      </c>
      <c r="M3822" t="s">
        <v>205</v>
      </c>
    </row>
    <row r="3823" spans="1:13" hidden="1">
      <c r="A3823" t="s">
        <v>43</v>
      </c>
      <c r="B3823" t="s">
        <v>8</v>
      </c>
      <c r="C3823" t="s">
        <v>42</v>
      </c>
      <c r="D3823" t="str">
        <f>LEFT(M3823,10)</f>
        <v>12/15/2024</v>
      </c>
      <c r="E3823" t="s">
        <v>202</v>
      </c>
      <c r="F3823" t="s">
        <v>218</v>
      </c>
      <c r="G3823" t="s">
        <v>223</v>
      </c>
      <c r="I3823">
        <v>120</v>
      </c>
      <c r="J3823">
        <v>96</v>
      </c>
      <c r="K3823">
        <v>0.8</v>
      </c>
      <c r="M3823" t="s">
        <v>205</v>
      </c>
    </row>
    <row r="3824" spans="1:13" hidden="1">
      <c r="A3824" t="s">
        <v>43</v>
      </c>
      <c r="B3824" t="s">
        <v>8</v>
      </c>
      <c r="C3824" t="s">
        <v>42</v>
      </c>
      <c r="D3824" t="str">
        <f>LEFT(M3824,10)</f>
        <v>12/15/2024</v>
      </c>
      <c r="E3824" t="s">
        <v>202</v>
      </c>
      <c r="F3824" t="s">
        <v>218</v>
      </c>
      <c r="G3824" t="s">
        <v>222</v>
      </c>
      <c r="I3824">
        <v>70</v>
      </c>
      <c r="J3824">
        <v>105</v>
      </c>
      <c r="K3824">
        <v>1.5</v>
      </c>
      <c r="M3824" t="s">
        <v>205</v>
      </c>
    </row>
    <row r="3825" spans="1:13" hidden="1">
      <c r="A3825" t="s">
        <v>43</v>
      </c>
      <c r="B3825" t="s">
        <v>8</v>
      </c>
      <c r="C3825" t="s">
        <v>42</v>
      </c>
      <c r="D3825" t="str">
        <f>LEFT(M3825,10)</f>
        <v>12/15/2024</v>
      </c>
      <c r="E3825" t="s">
        <v>202</v>
      </c>
      <c r="F3825" t="s">
        <v>218</v>
      </c>
      <c r="G3825" t="s">
        <v>220</v>
      </c>
      <c r="I3825">
        <v>230</v>
      </c>
      <c r="J3825">
        <v>345</v>
      </c>
      <c r="K3825">
        <v>1.5</v>
      </c>
      <c r="M3825" t="s">
        <v>205</v>
      </c>
    </row>
    <row r="3826" spans="1:13" hidden="1">
      <c r="A3826" t="s">
        <v>43</v>
      </c>
      <c r="B3826" t="s">
        <v>8</v>
      </c>
      <c r="C3826" t="s">
        <v>42</v>
      </c>
      <c r="D3826" t="str">
        <f>LEFT(M3826,10)</f>
        <v>12/15/2024</v>
      </c>
      <c r="E3826" t="s">
        <v>202</v>
      </c>
      <c r="F3826" t="s">
        <v>218</v>
      </c>
      <c r="G3826" t="s">
        <v>266</v>
      </c>
      <c r="I3826">
        <v>152</v>
      </c>
      <c r="J3826">
        <v>197.6</v>
      </c>
      <c r="K3826">
        <v>1.3</v>
      </c>
      <c r="M3826" t="s">
        <v>205</v>
      </c>
    </row>
    <row r="3827" spans="1:13" hidden="1">
      <c r="A3827" t="s">
        <v>43</v>
      </c>
      <c r="B3827" t="s">
        <v>8</v>
      </c>
      <c r="C3827" t="s">
        <v>42</v>
      </c>
      <c r="D3827" t="str">
        <f>LEFT(M3827,10)</f>
        <v>12/15/2024</v>
      </c>
      <c r="E3827" t="s">
        <v>202</v>
      </c>
      <c r="F3827" t="s">
        <v>218</v>
      </c>
      <c r="G3827" t="s">
        <v>241</v>
      </c>
      <c r="I3827">
        <v>196</v>
      </c>
      <c r="J3827">
        <v>568.4</v>
      </c>
      <c r="K3827">
        <v>2.9</v>
      </c>
      <c r="M3827" t="s">
        <v>205</v>
      </c>
    </row>
    <row r="3828" spans="1:13" hidden="1">
      <c r="A3828" t="s">
        <v>43</v>
      </c>
      <c r="B3828" t="s">
        <v>8</v>
      </c>
      <c r="C3828" t="s">
        <v>42</v>
      </c>
      <c r="D3828" t="str">
        <f>LEFT(M3828,10)</f>
        <v>12/15/2024</v>
      </c>
      <c r="E3828" t="s">
        <v>202</v>
      </c>
      <c r="F3828" t="s">
        <v>218</v>
      </c>
      <c r="G3828" t="s">
        <v>226</v>
      </c>
      <c r="I3828">
        <v>95</v>
      </c>
      <c r="J3828">
        <v>28.5</v>
      </c>
      <c r="K3828">
        <v>0.3</v>
      </c>
      <c r="M3828" t="s">
        <v>205</v>
      </c>
    </row>
    <row r="3829" spans="1:13" hidden="1">
      <c r="A3829" t="s">
        <v>43</v>
      </c>
      <c r="B3829" t="s">
        <v>8</v>
      </c>
      <c r="C3829" t="s">
        <v>42</v>
      </c>
      <c r="D3829" t="str">
        <f>LEFT(M3829,10)</f>
        <v>12/15/2024</v>
      </c>
      <c r="E3829" t="s">
        <v>202</v>
      </c>
      <c r="F3829" t="s">
        <v>218</v>
      </c>
      <c r="G3829" t="s">
        <v>247</v>
      </c>
      <c r="I3829">
        <v>29</v>
      </c>
      <c r="J3829">
        <v>116</v>
      </c>
      <c r="K3829">
        <v>4</v>
      </c>
      <c r="M3829" t="s">
        <v>205</v>
      </c>
    </row>
    <row r="3830" spans="1:13" hidden="1">
      <c r="A3830" t="s">
        <v>43</v>
      </c>
      <c r="B3830" t="s">
        <v>8</v>
      </c>
      <c r="C3830" t="s">
        <v>42</v>
      </c>
      <c r="D3830" t="str">
        <f>LEFT(M3830,10)</f>
        <v>12/15/2024</v>
      </c>
      <c r="E3830" t="s">
        <v>202</v>
      </c>
      <c r="F3830" t="s">
        <v>218</v>
      </c>
      <c r="G3830" t="s">
        <v>224</v>
      </c>
      <c r="I3830">
        <v>78</v>
      </c>
      <c r="J3830">
        <v>78</v>
      </c>
      <c r="K3830">
        <v>1</v>
      </c>
      <c r="M3830" t="s">
        <v>205</v>
      </c>
    </row>
    <row r="3831" spans="1:13" hidden="1">
      <c r="A3831" t="s">
        <v>43</v>
      </c>
      <c r="B3831" t="s">
        <v>8</v>
      </c>
      <c r="C3831" t="s">
        <v>42</v>
      </c>
      <c r="D3831" t="str">
        <f>LEFT(M3831,10)</f>
        <v>12/15/2024</v>
      </c>
      <c r="E3831" t="s">
        <v>202</v>
      </c>
      <c r="F3831" t="s">
        <v>227</v>
      </c>
      <c r="G3831" t="s">
        <v>229</v>
      </c>
      <c r="I3831">
        <v>3885</v>
      </c>
      <c r="J3831">
        <v>2447.5500000000002</v>
      </c>
      <c r="K3831">
        <v>0.63</v>
      </c>
      <c r="M3831" t="s">
        <v>205</v>
      </c>
    </row>
    <row r="3832" spans="1:13" hidden="1">
      <c r="A3832" t="s">
        <v>43</v>
      </c>
      <c r="B3832" t="s">
        <v>8</v>
      </c>
      <c r="C3832" t="s">
        <v>42</v>
      </c>
      <c r="D3832" t="str">
        <f>LEFT(M3832,10)</f>
        <v>12/15/2024</v>
      </c>
      <c r="E3832" t="s">
        <v>202</v>
      </c>
      <c r="F3832" t="s">
        <v>203</v>
      </c>
      <c r="G3832" t="s">
        <v>215</v>
      </c>
      <c r="I3832">
        <v>1240</v>
      </c>
      <c r="J3832">
        <v>744</v>
      </c>
      <c r="K3832">
        <v>0.6</v>
      </c>
      <c r="M3832" t="s">
        <v>205</v>
      </c>
    </row>
    <row r="3833" spans="1:13" hidden="1">
      <c r="A3833" t="s">
        <v>43</v>
      </c>
      <c r="B3833" t="s">
        <v>8</v>
      </c>
      <c r="C3833" t="s">
        <v>42</v>
      </c>
      <c r="D3833" t="str">
        <f>LEFT(M3833,10)</f>
        <v>12/15/2024</v>
      </c>
      <c r="E3833" t="s">
        <v>202</v>
      </c>
      <c r="F3833" t="s">
        <v>216</v>
      </c>
      <c r="G3833" t="s">
        <v>253</v>
      </c>
      <c r="I3833">
        <v>8260</v>
      </c>
      <c r="J3833">
        <v>1652</v>
      </c>
      <c r="K3833">
        <v>0.2</v>
      </c>
      <c r="M3833" t="s">
        <v>205</v>
      </c>
    </row>
    <row r="3834" spans="1:13" hidden="1">
      <c r="A3834" t="s">
        <v>43</v>
      </c>
      <c r="B3834" t="s">
        <v>8</v>
      </c>
      <c r="C3834" t="s">
        <v>42</v>
      </c>
      <c r="D3834" t="str">
        <f>LEFT(M3834,9)</f>
        <v>1/15/2025</v>
      </c>
      <c r="E3834" t="s">
        <v>202</v>
      </c>
      <c r="F3834" t="s">
        <v>227</v>
      </c>
      <c r="G3834" t="s">
        <v>229</v>
      </c>
      <c r="I3834">
        <v>11104</v>
      </c>
      <c r="J3834">
        <v>6995.52</v>
      </c>
      <c r="K3834">
        <v>0.63</v>
      </c>
      <c r="M3834" t="s">
        <v>516</v>
      </c>
    </row>
    <row r="3835" spans="1:13" hidden="1">
      <c r="A3835" t="s">
        <v>83</v>
      </c>
      <c r="B3835" t="s">
        <v>8</v>
      </c>
      <c r="C3835" t="s">
        <v>82</v>
      </c>
      <c r="D3835" t="str">
        <f>LEFT(M3835,9)</f>
        <v>1/15/2025</v>
      </c>
      <c r="E3835" t="s">
        <v>230</v>
      </c>
      <c r="F3835" t="s">
        <v>248</v>
      </c>
      <c r="I3835">
        <v>0</v>
      </c>
      <c r="J3835">
        <v>2265.2800000000002</v>
      </c>
      <c r="M3835" t="s">
        <v>516</v>
      </c>
    </row>
    <row r="3836" spans="1:13" hidden="1">
      <c r="A3836" t="s">
        <v>65</v>
      </c>
      <c r="B3836" t="s">
        <v>8</v>
      </c>
      <c r="C3836" t="s">
        <v>64</v>
      </c>
      <c r="D3836" t="str">
        <f>LEFT(M3836,10)</f>
        <v>12/15/2024</v>
      </c>
      <c r="E3836" t="s">
        <v>232</v>
      </c>
      <c r="F3836" t="s">
        <v>262</v>
      </c>
      <c r="I3836">
        <v>0</v>
      </c>
      <c r="J3836">
        <v>480</v>
      </c>
      <c r="M3836" t="s">
        <v>205</v>
      </c>
    </row>
    <row r="3837" spans="1:13" hidden="1">
      <c r="A3837" t="s">
        <v>65</v>
      </c>
      <c r="B3837" t="s">
        <v>8</v>
      </c>
      <c r="C3837" t="s">
        <v>64</v>
      </c>
      <c r="D3837" t="str">
        <f>LEFT(M3837,10)</f>
        <v>12/15/2024</v>
      </c>
      <c r="E3837" t="s">
        <v>232</v>
      </c>
      <c r="F3837" t="s">
        <v>250</v>
      </c>
      <c r="I3837">
        <v>0</v>
      </c>
      <c r="J3837">
        <v>600</v>
      </c>
      <c r="M3837" t="s">
        <v>205</v>
      </c>
    </row>
    <row r="3838" spans="1:13" hidden="1">
      <c r="A3838" t="s">
        <v>81</v>
      </c>
      <c r="B3838" t="s">
        <v>8</v>
      </c>
      <c r="C3838" t="s">
        <v>80</v>
      </c>
      <c r="D3838" t="str">
        <f>LEFT(M3838,10)</f>
        <v>12/15/2024</v>
      </c>
      <c r="E3838" t="s">
        <v>202</v>
      </c>
      <c r="F3838" t="s">
        <v>203</v>
      </c>
      <c r="G3838" t="s">
        <v>215</v>
      </c>
      <c r="I3838">
        <v>5304</v>
      </c>
      <c r="J3838">
        <v>3447.6</v>
      </c>
      <c r="K3838">
        <v>0.65</v>
      </c>
      <c r="M3838" t="s">
        <v>205</v>
      </c>
    </row>
    <row r="3839" spans="1:13" hidden="1">
      <c r="A3839" t="s">
        <v>81</v>
      </c>
      <c r="B3839" t="s">
        <v>8</v>
      </c>
      <c r="C3839" t="s">
        <v>80</v>
      </c>
      <c r="D3839" t="str">
        <f>LEFT(M3839,10)</f>
        <v>12/15/2024</v>
      </c>
      <c r="E3839" t="s">
        <v>202</v>
      </c>
      <c r="F3839" t="s">
        <v>227</v>
      </c>
      <c r="G3839" t="s">
        <v>228</v>
      </c>
      <c r="I3839">
        <v>15462</v>
      </c>
      <c r="J3839">
        <v>5411.7</v>
      </c>
      <c r="K3839">
        <v>0.35</v>
      </c>
      <c r="M3839" t="s">
        <v>205</v>
      </c>
    </row>
    <row r="3840" spans="1:13" hidden="1">
      <c r="A3840" t="s">
        <v>81</v>
      </c>
      <c r="B3840" t="s">
        <v>8</v>
      </c>
      <c r="C3840" t="s">
        <v>80</v>
      </c>
      <c r="D3840" t="str">
        <f>LEFT(M3840,10)</f>
        <v>12/15/2024</v>
      </c>
      <c r="E3840" t="s">
        <v>202</v>
      </c>
      <c r="F3840" t="s">
        <v>218</v>
      </c>
      <c r="G3840" t="s">
        <v>219</v>
      </c>
      <c r="I3840">
        <v>815</v>
      </c>
      <c r="J3840">
        <v>81.5</v>
      </c>
      <c r="K3840">
        <v>0.1</v>
      </c>
      <c r="M3840" t="s">
        <v>205</v>
      </c>
    </row>
    <row r="3841" spans="1:13" hidden="1">
      <c r="A3841" t="s">
        <v>81</v>
      </c>
      <c r="B3841" t="s">
        <v>8</v>
      </c>
      <c r="C3841" t="s">
        <v>80</v>
      </c>
      <c r="D3841" t="str">
        <f>LEFT(M3841,10)</f>
        <v>12/15/2024</v>
      </c>
      <c r="E3841" t="s">
        <v>202</v>
      </c>
      <c r="F3841" t="s">
        <v>218</v>
      </c>
      <c r="G3841" t="s">
        <v>223</v>
      </c>
      <c r="I3841">
        <v>7519</v>
      </c>
      <c r="J3841">
        <v>6767.1</v>
      </c>
      <c r="K3841">
        <v>0.9</v>
      </c>
      <c r="M3841" t="s">
        <v>205</v>
      </c>
    </row>
    <row r="3842" spans="1:13" hidden="1">
      <c r="A3842" t="s">
        <v>81</v>
      </c>
      <c r="B3842" t="s">
        <v>8</v>
      </c>
      <c r="C3842" t="s">
        <v>80</v>
      </c>
      <c r="D3842" t="str">
        <f>LEFT(M3842,10)</f>
        <v>12/15/2024</v>
      </c>
      <c r="E3842" t="s">
        <v>202</v>
      </c>
      <c r="F3842" t="s">
        <v>218</v>
      </c>
      <c r="G3842" t="s">
        <v>221</v>
      </c>
      <c r="I3842">
        <v>2004</v>
      </c>
      <c r="J3842">
        <v>5010</v>
      </c>
      <c r="K3842">
        <v>2.5</v>
      </c>
      <c r="M3842" t="s">
        <v>205</v>
      </c>
    </row>
    <row r="3843" spans="1:13" hidden="1">
      <c r="A3843" t="s">
        <v>81</v>
      </c>
      <c r="B3843" t="s">
        <v>8</v>
      </c>
      <c r="C3843" t="s">
        <v>80</v>
      </c>
      <c r="D3843" t="str">
        <f>LEFT(M3843,10)</f>
        <v>12/15/2024</v>
      </c>
      <c r="E3843" t="s">
        <v>202</v>
      </c>
      <c r="F3843" t="s">
        <v>218</v>
      </c>
      <c r="G3843" t="s">
        <v>222</v>
      </c>
      <c r="I3843">
        <v>3950</v>
      </c>
      <c r="J3843">
        <v>4740</v>
      </c>
      <c r="K3843">
        <v>1.2</v>
      </c>
      <c r="M3843" t="s">
        <v>205</v>
      </c>
    </row>
    <row r="3844" spans="1:13" hidden="1">
      <c r="A3844" t="s">
        <v>81</v>
      </c>
      <c r="B3844" t="s">
        <v>8</v>
      </c>
      <c r="C3844" t="s">
        <v>80</v>
      </c>
      <c r="D3844" t="str">
        <f>LEFT(M3844,10)</f>
        <v>12/15/2024</v>
      </c>
      <c r="E3844" t="s">
        <v>202</v>
      </c>
      <c r="F3844" t="s">
        <v>227</v>
      </c>
      <c r="G3844" t="s">
        <v>252</v>
      </c>
      <c r="I3844">
        <v>2261</v>
      </c>
      <c r="J3844">
        <v>678.3</v>
      </c>
      <c r="K3844">
        <v>0.3</v>
      </c>
      <c r="M3844" t="s">
        <v>205</v>
      </c>
    </row>
    <row r="3845" spans="1:13" hidden="1">
      <c r="A3845" t="s">
        <v>81</v>
      </c>
      <c r="B3845" t="s">
        <v>8</v>
      </c>
      <c r="C3845" t="s">
        <v>80</v>
      </c>
      <c r="D3845" t="str">
        <f>LEFT(M3845,10)</f>
        <v>12/15/2024</v>
      </c>
      <c r="E3845" t="s">
        <v>202</v>
      </c>
      <c r="F3845" t="s">
        <v>218</v>
      </c>
      <c r="G3845" t="s">
        <v>223</v>
      </c>
      <c r="I3845">
        <v>1742</v>
      </c>
      <c r="J3845">
        <v>1219.4000000000001</v>
      </c>
      <c r="K3845">
        <v>0.7</v>
      </c>
      <c r="M3845" t="s">
        <v>205</v>
      </c>
    </row>
    <row r="3846" spans="1:13" hidden="1">
      <c r="A3846" t="s">
        <v>81</v>
      </c>
      <c r="B3846" t="s">
        <v>8</v>
      </c>
      <c r="C3846" t="s">
        <v>80</v>
      </c>
      <c r="D3846" t="str">
        <f>LEFT(M3846,10)</f>
        <v>12/15/2024</v>
      </c>
      <c r="E3846" t="s">
        <v>202</v>
      </c>
      <c r="F3846" t="s">
        <v>218</v>
      </c>
      <c r="G3846" t="s">
        <v>220</v>
      </c>
      <c r="I3846">
        <v>4357</v>
      </c>
      <c r="J3846">
        <v>6535.5</v>
      </c>
      <c r="K3846">
        <v>1.5</v>
      </c>
      <c r="M3846" t="s">
        <v>205</v>
      </c>
    </row>
    <row r="3847" spans="1:13" hidden="1">
      <c r="A3847" t="s">
        <v>81</v>
      </c>
      <c r="B3847" t="s">
        <v>8</v>
      </c>
      <c r="C3847" t="s">
        <v>80</v>
      </c>
      <c r="D3847" t="str">
        <f>LEFT(M3847,10)</f>
        <v>12/15/2024</v>
      </c>
      <c r="E3847" t="s">
        <v>202</v>
      </c>
      <c r="F3847" t="s">
        <v>218</v>
      </c>
      <c r="G3847" t="s">
        <v>241</v>
      </c>
      <c r="I3847">
        <v>677</v>
      </c>
      <c r="J3847">
        <v>2708</v>
      </c>
      <c r="K3847">
        <v>4</v>
      </c>
      <c r="M3847" t="s">
        <v>205</v>
      </c>
    </row>
    <row r="3848" spans="1:13" hidden="1">
      <c r="A3848" t="s">
        <v>81</v>
      </c>
      <c r="B3848" t="s">
        <v>8</v>
      </c>
      <c r="C3848" t="s">
        <v>80</v>
      </c>
      <c r="D3848" t="str">
        <f>LEFT(M3848,10)</f>
        <v>12/15/2024</v>
      </c>
      <c r="E3848" t="s">
        <v>202</v>
      </c>
      <c r="F3848" t="s">
        <v>227</v>
      </c>
      <c r="G3848" t="s">
        <v>229</v>
      </c>
      <c r="I3848">
        <v>41513</v>
      </c>
      <c r="J3848">
        <v>29474.23</v>
      </c>
      <c r="K3848">
        <v>0.71</v>
      </c>
      <c r="M3848" t="s">
        <v>205</v>
      </c>
    </row>
    <row r="3849" spans="1:13" hidden="1">
      <c r="A3849" t="s">
        <v>81</v>
      </c>
      <c r="B3849" t="s">
        <v>8</v>
      </c>
      <c r="C3849" t="s">
        <v>80</v>
      </c>
      <c r="D3849" t="str">
        <f>LEFT(M3849,10)</f>
        <v>12/15/2024</v>
      </c>
      <c r="E3849" t="s">
        <v>202</v>
      </c>
      <c r="F3849" t="s">
        <v>218</v>
      </c>
      <c r="G3849" t="s">
        <v>226</v>
      </c>
      <c r="I3849">
        <v>2074</v>
      </c>
      <c r="J3849">
        <v>622.20000000000005</v>
      </c>
      <c r="K3849">
        <v>0.3</v>
      </c>
      <c r="M3849" t="s">
        <v>205</v>
      </c>
    </row>
    <row r="3850" spans="1:13" hidden="1">
      <c r="A3850" t="s">
        <v>81</v>
      </c>
      <c r="B3850" t="s">
        <v>8</v>
      </c>
      <c r="C3850" t="s">
        <v>80</v>
      </c>
      <c r="D3850" t="str">
        <f>LEFT(M3850,10)</f>
        <v>12/15/2024</v>
      </c>
      <c r="E3850" t="s">
        <v>202</v>
      </c>
      <c r="F3850" t="s">
        <v>218</v>
      </c>
      <c r="G3850" t="s">
        <v>240</v>
      </c>
      <c r="I3850">
        <v>4257</v>
      </c>
      <c r="J3850">
        <v>17028</v>
      </c>
      <c r="K3850">
        <v>4</v>
      </c>
      <c r="M3850" t="s">
        <v>205</v>
      </c>
    </row>
    <row r="3851" spans="1:13" hidden="1">
      <c r="A3851" t="s">
        <v>81</v>
      </c>
      <c r="B3851" t="s">
        <v>8</v>
      </c>
      <c r="C3851" t="s">
        <v>80</v>
      </c>
      <c r="D3851" t="str">
        <f>LEFT(M3851,10)</f>
        <v>12/15/2024</v>
      </c>
      <c r="E3851" t="s">
        <v>202</v>
      </c>
      <c r="F3851" t="s">
        <v>218</v>
      </c>
      <c r="G3851" t="s">
        <v>221</v>
      </c>
      <c r="I3851">
        <v>1088</v>
      </c>
      <c r="J3851">
        <v>2502.4</v>
      </c>
      <c r="K3851">
        <v>2.2999999999999998</v>
      </c>
      <c r="M3851" t="s">
        <v>205</v>
      </c>
    </row>
    <row r="3852" spans="1:13" hidden="1">
      <c r="A3852" t="s">
        <v>81</v>
      </c>
      <c r="B3852" t="s">
        <v>8</v>
      </c>
      <c r="C3852" t="s">
        <v>80</v>
      </c>
      <c r="D3852" t="str">
        <f>LEFT(M3852,10)</f>
        <v>12/15/2024</v>
      </c>
      <c r="E3852" t="s">
        <v>202</v>
      </c>
      <c r="F3852" t="s">
        <v>218</v>
      </c>
      <c r="G3852" t="s">
        <v>266</v>
      </c>
      <c r="I3852">
        <v>2887</v>
      </c>
      <c r="J3852">
        <v>28.87</v>
      </c>
      <c r="K3852">
        <v>0.01</v>
      </c>
      <c r="M3852" t="s">
        <v>205</v>
      </c>
    </row>
    <row r="3853" spans="1:13" hidden="1">
      <c r="A3853" t="s">
        <v>81</v>
      </c>
      <c r="B3853" t="s">
        <v>8</v>
      </c>
      <c r="C3853" t="s">
        <v>80</v>
      </c>
      <c r="D3853" t="str">
        <f>LEFT(M3853,10)</f>
        <v>12/15/2024</v>
      </c>
      <c r="E3853" t="s">
        <v>202</v>
      </c>
      <c r="F3853" t="s">
        <v>218</v>
      </c>
      <c r="G3853" t="s">
        <v>242</v>
      </c>
      <c r="I3853">
        <v>501</v>
      </c>
      <c r="J3853">
        <v>501</v>
      </c>
      <c r="K3853">
        <v>1</v>
      </c>
      <c r="M3853" t="s">
        <v>205</v>
      </c>
    </row>
    <row r="3854" spans="1:13" hidden="1">
      <c r="A3854" t="s">
        <v>81</v>
      </c>
      <c r="B3854" t="s">
        <v>8</v>
      </c>
      <c r="C3854" t="s">
        <v>80</v>
      </c>
      <c r="D3854" t="str">
        <f>LEFT(M3854,10)</f>
        <v>12/15/2024</v>
      </c>
      <c r="E3854" t="s">
        <v>202</v>
      </c>
      <c r="F3854" t="s">
        <v>218</v>
      </c>
      <c r="G3854" t="s">
        <v>222</v>
      </c>
      <c r="I3854">
        <v>705</v>
      </c>
      <c r="J3854">
        <v>1057.5</v>
      </c>
      <c r="K3854">
        <v>1.5</v>
      </c>
      <c r="M3854" t="s">
        <v>205</v>
      </c>
    </row>
    <row r="3855" spans="1:13" hidden="1">
      <c r="A3855" t="s">
        <v>81</v>
      </c>
      <c r="B3855" t="s">
        <v>8</v>
      </c>
      <c r="C3855" t="s">
        <v>80</v>
      </c>
      <c r="D3855" t="str">
        <f>LEFT(M3855,10)</f>
        <v>12/15/2024</v>
      </c>
      <c r="E3855" t="s">
        <v>202</v>
      </c>
      <c r="F3855" t="s">
        <v>218</v>
      </c>
      <c r="G3855" t="s">
        <v>222</v>
      </c>
      <c r="I3855">
        <v>717</v>
      </c>
      <c r="J3855">
        <v>1147.2</v>
      </c>
      <c r="K3855">
        <v>1.6</v>
      </c>
      <c r="M3855" t="s">
        <v>205</v>
      </c>
    </row>
    <row r="3856" spans="1:13" hidden="1">
      <c r="A3856" t="s">
        <v>81</v>
      </c>
      <c r="B3856" t="s">
        <v>8</v>
      </c>
      <c r="C3856" t="s">
        <v>80</v>
      </c>
      <c r="D3856" t="str">
        <f>LEFT(M3856,10)</f>
        <v>12/15/2024</v>
      </c>
      <c r="E3856" t="s">
        <v>202</v>
      </c>
      <c r="F3856" t="s">
        <v>218</v>
      </c>
      <c r="G3856" t="s">
        <v>224</v>
      </c>
      <c r="I3856">
        <v>461</v>
      </c>
      <c r="J3856">
        <v>461</v>
      </c>
      <c r="K3856">
        <v>1</v>
      </c>
      <c r="M3856" t="s">
        <v>205</v>
      </c>
    </row>
    <row r="3857" spans="1:13" hidden="1">
      <c r="A3857" t="s">
        <v>81</v>
      </c>
      <c r="B3857" t="s">
        <v>8</v>
      </c>
      <c r="C3857" t="s">
        <v>80</v>
      </c>
      <c r="D3857" t="str">
        <f>LEFT(M3857,10)</f>
        <v>12/15/2024</v>
      </c>
      <c r="E3857" t="s">
        <v>202</v>
      </c>
      <c r="F3857" t="s">
        <v>227</v>
      </c>
      <c r="G3857" t="s">
        <v>237</v>
      </c>
      <c r="I3857">
        <v>2967</v>
      </c>
      <c r="J3857">
        <v>1780.2</v>
      </c>
      <c r="K3857">
        <v>0.6</v>
      </c>
      <c r="M3857" t="s">
        <v>205</v>
      </c>
    </row>
    <row r="3858" spans="1:13" hidden="1">
      <c r="A3858" t="s">
        <v>81</v>
      </c>
      <c r="B3858" t="s">
        <v>8</v>
      </c>
      <c r="C3858" t="s">
        <v>80</v>
      </c>
      <c r="D3858" t="str">
        <f>LEFT(M3858,10)</f>
        <v>12/15/2024</v>
      </c>
      <c r="E3858" t="s">
        <v>202</v>
      </c>
      <c r="F3858" t="s">
        <v>218</v>
      </c>
      <c r="G3858" t="s">
        <v>225</v>
      </c>
      <c r="I3858">
        <v>290</v>
      </c>
      <c r="J3858">
        <v>290</v>
      </c>
      <c r="K3858">
        <v>1</v>
      </c>
      <c r="M3858" t="s">
        <v>205</v>
      </c>
    </row>
    <row r="3859" spans="1:13" hidden="1">
      <c r="A3859" t="s">
        <v>81</v>
      </c>
      <c r="B3859" t="s">
        <v>8</v>
      </c>
      <c r="C3859" t="s">
        <v>80</v>
      </c>
      <c r="D3859" t="str">
        <f>LEFT(M3859,10)</f>
        <v>12/15/2024</v>
      </c>
      <c r="E3859" t="s">
        <v>202</v>
      </c>
      <c r="F3859" t="s">
        <v>216</v>
      </c>
      <c r="G3859" t="s">
        <v>253</v>
      </c>
      <c r="I3859">
        <v>11470</v>
      </c>
      <c r="J3859">
        <v>1720.5</v>
      </c>
      <c r="K3859">
        <v>0.15</v>
      </c>
      <c r="M3859" t="s">
        <v>205</v>
      </c>
    </row>
    <row r="3860" spans="1:13" hidden="1">
      <c r="A3860" t="s">
        <v>81</v>
      </c>
      <c r="B3860" t="s">
        <v>8</v>
      </c>
      <c r="C3860" t="s">
        <v>80</v>
      </c>
      <c r="D3860" t="str">
        <f>LEFT(M3860,10)</f>
        <v>12/15/2024</v>
      </c>
      <c r="E3860" t="s">
        <v>202</v>
      </c>
      <c r="F3860" t="s">
        <v>227</v>
      </c>
      <c r="G3860" t="s">
        <v>238</v>
      </c>
      <c r="I3860">
        <v>2780</v>
      </c>
      <c r="J3860">
        <v>973</v>
      </c>
      <c r="K3860">
        <v>0.35</v>
      </c>
      <c r="M3860" t="s">
        <v>205</v>
      </c>
    </row>
    <row r="3861" spans="1:13" hidden="1">
      <c r="A3861" t="s">
        <v>81</v>
      </c>
      <c r="B3861" t="s">
        <v>8</v>
      </c>
      <c r="C3861" t="s">
        <v>80</v>
      </c>
      <c r="D3861" t="str">
        <f>LEFT(M3861,10)</f>
        <v>12/15/2024</v>
      </c>
      <c r="E3861" t="s">
        <v>202</v>
      </c>
      <c r="F3861" t="s">
        <v>203</v>
      </c>
      <c r="G3861" t="s">
        <v>207</v>
      </c>
      <c r="I3861">
        <v>135</v>
      </c>
      <c r="J3861">
        <v>607.5</v>
      </c>
      <c r="K3861">
        <v>4.5</v>
      </c>
      <c r="M3861" t="s">
        <v>205</v>
      </c>
    </row>
    <row r="3862" spans="1:13" hidden="1">
      <c r="A3862" t="s">
        <v>81</v>
      </c>
      <c r="B3862" t="s">
        <v>8</v>
      </c>
      <c r="C3862" t="s">
        <v>80</v>
      </c>
      <c r="D3862" t="str">
        <f>LEFT(M3862,10)</f>
        <v>12/15/2024</v>
      </c>
      <c r="E3862" t="s">
        <v>202</v>
      </c>
      <c r="F3862" t="s">
        <v>203</v>
      </c>
      <c r="G3862" t="s">
        <v>204</v>
      </c>
      <c r="I3862">
        <v>423.1</v>
      </c>
      <c r="J3862">
        <v>3807.9</v>
      </c>
      <c r="K3862">
        <v>9</v>
      </c>
      <c r="M3862" t="s">
        <v>205</v>
      </c>
    </row>
    <row r="3863" spans="1:13" hidden="1">
      <c r="A3863" t="s">
        <v>81</v>
      </c>
      <c r="B3863" t="s">
        <v>8</v>
      </c>
      <c r="C3863" t="s">
        <v>80</v>
      </c>
      <c r="D3863" t="str">
        <f>LEFT(M3863,10)</f>
        <v>12/15/2024</v>
      </c>
      <c r="E3863" t="s">
        <v>202</v>
      </c>
      <c r="F3863" t="s">
        <v>203</v>
      </c>
      <c r="G3863" t="s">
        <v>259</v>
      </c>
      <c r="I3863">
        <v>106</v>
      </c>
      <c r="J3863">
        <v>1007</v>
      </c>
      <c r="K3863">
        <v>9.5</v>
      </c>
      <c r="M3863" t="s">
        <v>205</v>
      </c>
    </row>
    <row r="3864" spans="1:13" hidden="1">
      <c r="A3864" t="s">
        <v>81</v>
      </c>
      <c r="B3864" t="s">
        <v>8</v>
      </c>
      <c r="C3864" t="s">
        <v>80</v>
      </c>
      <c r="D3864" t="str">
        <f>LEFT(M3864,10)</f>
        <v>12/15/2024</v>
      </c>
      <c r="E3864" t="s">
        <v>202</v>
      </c>
      <c r="F3864" t="s">
        <v>203</v>
      </c>
      <c r="G3864" t="s">
        <v>259</v>
      </c>
      <c r="I3864">
        <v>14.8</v>
      </c>
      <c r="J3864">
        <v>296</v>
      </c>
      <c r="K3864">
        <v>20</v>
      </c>
      <c r="M3864" t="s">
        <v>205</v>
      </c>
    </row>
    <row r="3865" spans="1:13" hidden="1">
      <c r="A3865" t="s">
        <v>81</v>
      </c>
      <c r="B3865" t="s">
        <v>8</v>
      </c>
      <c r="C3865" t="s">
        <v>80</v>
      </c>
      <c r="D3865" t="str">
        <f>LEFT(M3865,10)</f>
        <v>12/15/2024</v>
      </c>
      <c r="E3865" t="s">
        <v>202</v>
      </c>
      <c r="F3865" t="s">
        <v>218</v>
      </c>
      <c r="G3865" t="s">
        <v>239</v>
      </c>
      <c r="I3865">
        <v>560</v>
      </c>
      <c r="J3865">
        <v>672</v>
      </c>
      <c r="K3865">
        <v>1.2</v>
      </c>
      <c r="M3865" t="s">
        <v>205</v>
      </c>
    </row>
    <row r="3866" spans="1:13" hidden="1">
      <c r="A3866" t="s">
        <v>81</v>
      </c>
      <c r="B3866" t="s">
        <v>8</v>
      </c>
      <c r="C3866" t="s">
        <v>80</v>
      </c>
      <c r="D3866" t="str">
        <f>LEFT(M3866,10)</f>
        <v>12/15/2024</v>
      </c>
      <c r="E3866" t="s">
        <v>202</v>
      </c>
      <c r="F3866" t="s">
        <v>209</v>
      </c>
      <c r="G3866" t="s">
        <v>214</v>
      </c>
      <c r="I3866">
        <v>5090</v>
      </c>
      <c r="J3866">
        <v>4581</v>
      </c>
      <c r="K3866">
        <v>0.9</v>
      </c>
      <c r="M3866" t="s">
        <v>205</v>
      </c>
    </row>
    <row r="3867" spans="1:13" hidden="1">
      <c r="A3867" t="s">
        <v>81</v>
      </c>
      <c r="B3867" t="s">
        <v>8</v>
      </c>
      <c r="C3867" t="s">
        <v>80</v>
      </c>
      <c r="D3867" t="str">
        <f>LEFT(M3867,10)</f>
        <v>12/15/2024</v>
      </c>
      <c r="E3867" t="s">
        <v>202</v>
      </c>
      <c r="F3867" t="s">
        <v>216</v>
      </c>
      <c r="G3867" t="s">
        <v>217</v>
      </c>
      <c r="I3867">
        <v>2520</v>
      </c>
      <c r="J3867">
        <v>1899.75</v>
      </c>
      <c r="K3867">
        <v>0.75</v>
      </c>
      <c r="M3867" t="s">
        <v>205</v>
      </c>
    </row>
    <row r="3868" spans="1:13" hidden="1">
      <c r="A3868" t="s">
        <v>81</v>
      </c>
      <c r="B3868" t="s">
        <v>8</v>
      </c>
      <c r="C3868" t="s">
        <v>80</v>
      </c>
      <c r="D3868" t="str">
        <f>LEFT(M3868,10)</f>
        <v>12/15/2024</v>
      </c>
      <c r="E3868" t="s">
        <v>202</v>
      </c>
      <c r="F3868" t="s">
        <v>218</v>
      </c>
      <c r="G3868" t="s">
        <v>222</v>
      </c>
      <c r="I3868">
        <v>255</v>
      </c>
      <c r="J3868">
        <v>306</v>
      </c>
      <c r="K3868">
        <v>1.2</v>
      </c>
      <c r="M3868" t="s">
        <v>205</v>
      </c>
    </row>
    <row r="3869" spans="1:13" hidden="1">
      <c r="A3869" t="s">
        <v>81</v>
      </c>
      <c r="B3869" t="s">
        <v>8</v>
      </c>
      <c r="C3869" t="s">
        <v>80</v>
      </c>
      <c r="D3869" t="str">
        <f>LEFT(M3869,10)</f>
        <v>12/15/2024</v>
      </c>
      <c r="E3869" t="s">
        <v>202</v>
      </c>
      <c r="F3869" t="s">
        <v>218</v>
      </c>
      <c r="G3869" t="s">
        <v>222</v>
      </c>
      <c r="I3869">
        <v>74.5</v>
      </c>
      <c r="J3869">
        <v>89.4</v>
      </c>
      <c r="K3869">
        <v>1.2</v>
      </c>
      <c r="M3869" t="s">
        <v>205</v>
      </c>
    </row>
    <row r="3870" spans="1:13" hidden="1">
      <c r="A3870" t="s">
        <v>81</v>
      </c>
      <c r="B3870" t="s">
        <v>8</v>
      </c>
      <c r="C3870" t="s">
        <v>80</v>
      </c>
      <c r="D3870" t="str">
        <f>LEFT(M3870,10)</f>
        <v>12/15/2024</v>
      </c>
      <c r="E3870" t="s">
        <v>230</v>
      </c>
      <c r="F3870" t="s">
        <v>248</v>
      </c>
      <c r="I3870">
        <v>0</v>
      </c>
      <c r="J3870">
        <v>89894.66</v>
      </c>
      <c r="M3870" t="s">
        <v>205</v>
      </c>
    </row>
    <row r="3871" spans="1:13" hidden="1">
      <c r="A3871" t="s">
        <v>81</v>
      </c>
      <c r="B3871" t="s">
        <v>8</v>
      </c>
      <c r="C3871" t="s">
        <v>80</v>
      </c>
      <c r="D3871" t="str">
        <f>LEFT(M3871,10)</f>
        <v>12/15/2024</v>
      </c>
      <c r="E3871" t="s">
        <v>232</v>
      </c>
      <c r="F3871" t="s">
        <v>233</v>
      </c>
      <c r="I3871">
        <v>0</v>
      </c>
      <c r="J3871">
        <v>6834.08</v>
      </c>
      <c r="M3871" t="s">
        <v>205</v>
      </c>
    </row>
    <row r="3872" spans="1:13" hidden="1">
      <c r="A3872" t="s">
        <v>81</v>
      </c>
      <c r="B3872" t="s">
        <v>8</v>
      </c>
      <c r="C3872" t="s">
        <v>80</v>
      </c>
      <c r="D3872" t="str">
        <f>LEFT(M3872,10)</f>
        <v>12/15/2024</v>
      </c>
      <c r="E3872" t="s">
        <v>232</v>
      </c>
      <c r="F3872" t="s">
        <v>262</v>
      </c>
      <c r="I3872">
        <v>0</v>
      </c>
      <c r="J3872">
        <v>2444.9</v>
      </c>
      <c r="M3872" t="s">
        <v>205</v>
      </c>
    </row>
    <row r="3873" spans="1:13" hidden="1">
      <c r="A3873" t="s">
        <v>81</v>
      </c>
      <c r="B3873" t="s">
        <v>8</v>
      </c>
      <c r="C3873" t="s">
        <v>80</v>
      </c>
      <c r="D3873" t="str">
        <f>LEFT(M3873,10)</f>
        <v>12/15/2024</v>
      </c>
      <c r="E3873" t="s">
        <v>232</v>
      </c>
      <c r="F3873" t="s">
        <v>287</v>
      </c>
      <c r="I3873">
        <v>0</v>
      </c>
      <c r="J3873">
        <v>428.82</v>
      </c>
      <c r="M3873" t="s">
        <v>205</v>
      </c>
    </row>
    <row r="3874" spans="1:13" hidden="1">
      <c r="A3874" t="s">
        <v>81</v>
      </c>
      <c r="B3874" t="s">
        <v>8</v>
      </c>
      <c r="C3874" t="s">
        <v>80</v>
      </c>
      <c r="D3874" t="str">
        <f>LEFT(M3874,10)</f>
        <v>12/15/2024</v>
      </c>
      <c r="E3874" t="s">
        <v>232</v>
      </c>
      <c r="F3874" t="s">
        <v>250</v>
      </c>
      <c r="I3874">
        <v>0</v>
      </c>
      <c r="J3874">
        <v>87.67</v>
      </c>
      <c r="M3874" t="s">
        <v>205</v>
      </c>
    </row>
    <row r="3875" spans="1:13" hidden="1">
      <c r="A3875" t="s">
        <v>81</v>
      </c>
      <c r="B3875" t="s">
        <v>8</v>
      </c>
      <c r="C3875" t="s">
        <v>80</v>
      </c>
      <c r="D3875" t="str">
        <f>LEFT(M3875,10)</f>
        <v>12/15/2024</v>
      </c>
      <c r="E3875" t="s">
        <v>232</v>
      </c>
      <c r="F3875" t="s">
        <v>251</v>
      </c>
      <c r="I3875">
        <v>0</v>
      </c>
      <c r="J3875">
        <v>4791.58</v>
      </c>
      <c r="M3875" t="s">
        <v>205</v>
      </c>
    </row>
    <row r="3876" spans="1:13" hidden="1">
      <c r="A3876" t="s">
        <v>81</v>
      </c>
      <c r="B3876" t="s">
        <v>8</v>
      </c>
      <c r="C3876" t="s">
        <v>80</v>
      </c>
      <c r="D3876" t="str">
        <f>LEFT(M3876,10)</f>
        <v>12/15/2024</v>
      </c>
      <c r="E3876" t="s">
        <v>232</v>
      </c>
      <c r="F3876" t="s">
        <v>286</v>
      </c>
      <c r="I3876">
        <v>0</v>
      </c>
      <c r="J3876">
        <v>670.06</v>
      </c>
      <c r="M3876" t="s">
        <v>205</v>
      </c>
    </row>
    <row r="3877" spans="1:13" hidden="1">
      <c r="A3877" t="s">
        <v>81</v>
      </c>
      <c r="B3877" t="s">
        <v>8</v>
      </c>
      <c r="C3877" t="s">
        <v>80</v>
      </c>
      <c r="D3877" t="str">
        <f>LEFT(M3877,10)</f>
        <v>12/15/2024</v>
      </c>
      <c r="E3877" t="s">
        <v>232</v>
      </c>
      <c r="F3877" t="s">
        <v>291</v>
      </c>
      <c r="I3877">
        <v>0</v>
      </c>
      <c r="J3877">
        <v>420</v>
      </c>
      <c r="M3877" t="s">
        <v>205</v>
      </c>
    </row>
    <row r="3878" spans="1:13" hidden="1">
      <c r="A3878" t="s">
        <v>81</v>
      </c>
      <c r="B3878" t="s">
        <v>8</v>
      </c>
      <c r="C3878" t="s">
        <v>80</v>
      </c>
      <c r="D3878" t="str">
        <f>LEFT(M3878,10)</f>
        <v>12/15/2024</v>
      </c>
      <c r="E3878" t="s">
        <v>232</v>
      </c>
      <c r="F3878" t="s">
        <v>262</v>
      </c>
      <c r="I3878">
        <v>0</v>
      </c>
      <c r="J3878">
        <v>3100</v>
      </c>
      <c r="M3878" t="s">
        <v>205</v>
      </c>
    </row>
    <row r="3879" spans="1:13" hidden="1">
      <c r="A3879" t="s">
        <v>81</v>
      </c>
      <c r="B3879" t="s">
        <v>8</v>
      </c>
      <c r="C3879" t="s">
        <v>80</v>
      </c>
      <c r="D3879" t="str">
        <f>LEFT(M3879,10)</f>
        <v>12/15/2024</v>
      </c>
      <c r="E3879" t="s">
        <v>232</v>
      </c>
      <c r="F3879" t="s">
        <v>272</v>
      </c>
      <c r="I3879">
        <v>0</v>
      </c>
      <c r="J3879">
        <v>5640</v>
      </c>
      <c r="M3879" t="s">
        <v>205</v>
      </c>
    </row>
    <row r="3880" spans="1:13" hidden="1">
      <c r="A3880" t="s">
        <v>81</v>
      </c>
      <c r="B3880" t="s">
        <v>8</v>
      </c>
      <c r="C3880" t="s">
        <v>80</v>
      </c>
      <c r="D3880" t="str">
        <f>LEFT(M3880,10)</f>
        <v>12/15/2024</v>
      </c>
      <c r="E3880" t="s">
        <v>234</v>
      </c>
      <c r="F3880" t="s">
        <v>234</v>
      </c>
      <c r="I3880">
        <v>40000</v>
      </c>
      <c r="M3880" t="s">
        <v>205</v>
      </c>
    </row>
    <row r="3881" spans="1:13" hidden="1">
      <c r="A3881" t="s">
        <v>159</v>
      </c>
      <c r="B3881" t="s">
        <v>8</v>
      </c>
      <c r="C3881" t="s">
        <v>158</v>
      </c>
      <c r="D3881" t="str">
        <f>LEFT(M3881,10)</f>
        <v>12/15/2024</v>
      </c>
      <c r="E3881" t="s">
        <v>202</v>
      </c>
      <c r="F3881" t="s">
        <v>209</v>
      </c>
      <c r="G3881" t="s">
        <v>214</v>
      </c>
      <c r="I3881">
        <v>1739.5</v>
      </c>
      <c r="J3881">
        <v>1739.5</v>
      </c>
      <c r="K3881">
        <v>1</v>
      </c>
      <c r="M3881" t="s">
        <v>205</v>
      </c>
    </row>
    <row r="3882" spans="1:13" hidden="1">
      <c r="A3882" t="s">
        <v>159</v>
      </c>
      <c r="B3882" t="s">
        <v>8</v>
      </c>
      <c r="C3882" t="s">
        <v>158</v>
      </c>
      <c r="D3882" t="str">
        <f>LEFT(M3882,10)</f>
        <v>12/15/2024</v>
      </c>
      <c r="E3882" t="s">
        <v>202</v>
      </c>
      <c r="F3882" t="s">
        <v>203</v>
      </c>
      <c r="G3882" t="s">
        <v>215</v>
      </c>
      <c r="I3882">
        <v>9948.5</v>
      </c>
      <c r="J3882">
        <v>4974.25</v>
      </c>
      <c r="K3882">
        <v>0.5</v>
      </c>
      <c r="M3882" t="s">
        <v>205</v>
      </c>
    </row>
    <row r="3883" spans="1:13" hidden="1">
      <c r="A3883" t="s">
        <v>159</v>
      </c>
      <c r="B3883" t="s">
        <v>8</v>
      </c>
      <c r="C3883" t="s">
        <v>158</v>
      </c>
      <c r="D3883" t="str">
        <f>LEFT(M3883,10)</f>
        <v>12/15/2024</v>
      </c>
      <c r="E3883" t="s">
        <v>202</v>
      </c>
      <c r="F3883" t="s">
        <v>306</v>
      </c>
      <c r="G3883" t="s">
        <v>307</v>
      </c>
      <c r="I3883">
        <v>67</v>
      </c>
      <c r="J3883">
        <v>134</v>
      </c>
      <c r="K3883">
        <v>2</v>
      </c>
      <c r="M3883" t="s">
        <v>205</v>
      </c>
    </row>
    <row r="3884" spans="1:13" hidden="1">
      <c r="A3884" t="s">
        <v>159</v>
      </c>
      <c r="B3884" t="s">
        <v>8</v>
      </c>
      <c r="C3884" t="s">
        <v>158</v>
      </c>
      <c r="D3884" t="str">
        <f>LEFT(M3884,10)</f>
        <v>12/15/2024</v>
      </c>
      <c r="E3884" t="s">
        <v>202</v>
      </c>
      <c r="F3884" t="s">
        <v>227</v>
      </c>
      <c r="G3884" t="s">
        <v>238</v>
      </c>
      <c r="I3884">
        <v>1687</v>
      </c>
      <c r="J3884">
        <v>674.8</v>
      </c>
      <c r="K3884">
        <v>0.4</v>
      </c>
      <c r="M3884" t="s">
        <v>205</v>
      </c>
    </row>
    <row r="3885" spans="1:13" hidden="1">
      <c r="A3885" t="s">
        <v>159</v>
      </c>
      <c r="B3885" t="s">
        <v>8</v>
      </c>
      <c r="C3885" t="s">
        <v>158</v>
      </c>
      <c r="D3885" t="str">
        <f>LEFT(M3885,10)</f>
        <v>12/15/2024</v>
      </c>
      <c r="E3885" t="s">
        <v>202</v>
      </c>
      <c r="F3885" t="s">
        <v>227</v>
      </c>
      <c r="G3885" t="s">
        <v>237</v>
      </c>
      <c r="I3885">
        <v>7982</v>
      </c>
      <c r="J3885">
        <v>5587.4</v>
      </c>
      <c r="K3885">
        <v>0.7</v>
      </c>
      <c r="M3885" t="s">
        <v>205</v>
      </c>
    </row>
    <row r="3886" spans="1:13" hidden="1">
      <c r="A3886" t="s">
        <v>159</v>
      </c>
      <c r="B3886" t="s">
        <v>8</v>
      </c>
      <c r="C3886" t="s">
        <v>158</v>
      </c>
      <c r="D3886" t="str">
        <f>LEFT(M3886,10)</f>
        <v>12/15/2024</v>
      </c>
      <c r="E3886" t="s">
        <v>202</v>
      </c>
      <c r="F3886" t="s">
        <v>227</v>
      </c>
      <c r="G3886" t="s">
        <v>229</v>
      </c>
      <c r="I3886">
        <v>45358</v>
      </c>
      <c r="J3886">
        <v>36286.400000000001</v>
      </c>
      <c r="K3886">
        <v>0.8</v>
      </c>
      <c r="M3886" t="s">
        <v>205</v>
      </c>
    </row>
    <row r="3887" spans="1:13" hidden="1">
      <c r="A3887" t="s">
        <v>159</v>
      </c>
      <c r="B3887" t="s">
        <v>8</v>
      </c>
      <c r="C3887" t="s">
        <v>158</v>
      </c>
      <c r="D3887" t="str">
        <f>LEFT(M3887,10)</f>
        <v>12/15/2024</v>
      </c>
      <c r="E3887" t="s">
        <v>202</v>
      </c>
      <c r="F3887" t="s">
        <v>218</v>
      </c>
      <c r="G3887" t="s">
        <v>247</v>
      </c>
      <c r="I3887">
        <v>67</v>
      </c>
      <c r="J3887">
        <v>268</v>
      </c>
      <c r="K3887">
        <v>4</v>
      </c>
      <c r="M3887" t="s">
        <v>205</v>
      </c>
    </row>
    <row r="3888" spans="1:13" hidden="1">
      <c r="A3888" t="s">
        <v>159</v>
      </c>
      <c r="B3888" t="s">
        <v>8</v>
      </c>
      <c r="C3888" t="s">
        <v>158</v>
      </c>
      <c r="D3888" t="str">
        <f>LEFT(M3888,10)</f>
        <v>12/15/2024</v>
      </c>
      <c r="E3888" t="s">
        <v>202</v>
      </c>
      <c r="F3888" t="s">
        <v>218</v>
      </c>
      <c r="G3888" t="s">
        <v>225</v>
      </c>
      <c r="I3888">
        <v>216</v>
      </c>
      <c r="J3888">
        <v>216</v>
      </c>
      <c r="K3888">
        <v>1</v>
      </c>
      <c r="M3888" t="s">
        <v>205</v>
      </c>
    </row>
    <row r="3889" spans="1:13" hidden="1">
      <c r="A3889" t="s">
        <v>159</v>
      </c>
      <c r="B3889" t="s">
        <v>8</v>
      </c>
      <c r="C3889" t="s">
        <v>158</v>
      </c>
      <c r="D3889" t="str">
        <f>LEFT(M3889,10)</f>
        <v>12/15/2024</v>
      </c>
      <c r="E3889" t="s">
        <v>202</v>
      </c>
      <c r="F3889" t="s">
        <v>218</v>
      </c>
      <c r="G3889" t="s">
        <v>220</v>
      </c>
      <c r="I3889">
        <v>3762</v>
      </c>
      <c r="J3889">
        <v>5643</v>
      </c>
      <c r="K3889">
        <v>1.5</v>
      </c>
      <c r="M3889" t="s">
        <v>205</v>
      </c>
    </row>
    <row r="3890" spans="1:13" hidden="1">
      <c r="A3890" t="s">
        <v>159</v>
      </c>
      <c r="B3890" t="s">
        <v>8</v>
      </c>
      <c r="C3890" t="s">
        <v>158</v>
      </c>
      <c r="D3890" t="str">
        <f>LEFT(M3890,10)</f>
        <v>12/15/2024</v>
      </c>
      <c r="E3890" t="s">
        <v>202</v>
      </c>
      <c r="F3890" t="s">
        <v>218</v>
      </c>
      <c r="G3890" t="s">
        <v>221</v>
      </c>
      <c r="I3890">
        <v>2900</v>
      </c>
      <c r="J3890">
        <v>7250</v>
      </c>
      <c r="K3890">
        <v>2.5</v>
      </c>
      <c r="M3890" t="s">
        <v>205</v>
      </c>
    </row>
    <row r="3891" spans="1:13" hidden="1">
      <c r="A3891" t="s">
        <v>159</v>
      </c>
      <c r="B3891" t="s">
        <v>8</v>
      </c>
      <c r="C3891" t="s">
        <v>158</v>
      </c>
      <c r="D3891" t="str">
        <f>LEFT(M3891,10)</f>
        <v>12/15/2024</v>
      </c>
      <c r="E3891" t="s">
        <v>202</v>
      </c>
      <c r="F3891" t="s">
        <v>218</v>
      </c>
      <c r="G3891" t="s">
        <v>240</v>
      </c>
      <c r="I3891">
        <v>6034</v>
      </c>
      <c r="J3891">
        <v>24739.4</v>
      </c>
      <c r="K3891">
        <v>4.0999999999999996</v>
      </c>
      <c r="M3891" t="s">
        <v>205</v>
      </c>
    </row>
    <row r="3892" spans="1:13" hidden="1">
      <c r="A3892" t="s">
        <v>159</v>
      </c>
      <c r="B3892" t="s">
        <v>8</v>
      </c>
      <c r="C3892" t="s">
        <v>158</v>
      </c>
      <c r="D3892" t="str">
        <f>LEFT(M3892,10)</f>
        <v>12/15/2024</v>
      </c>
      <c r="E3892" t="s">
        <v>202</v>
      </c>
      <c r="F3892" t="s">
        <v>218</v>
      </c>
      <c r="G3892" t="s">
        <v>219</v>
      </c>
      <c r="I3892">
        <v>463</v>
      </c>
      <c r="J3892">
        <v>185.2</v>
      </c>
      <c r="K3892">
        <v>0.4</v>
      </c>
      <c r="M3892" t="s">
        <v>205</v>
      </c>
    </row>
    <row r="3893" spans="1:13" hidden="1">
      <c r="A3893" t="s">
        <v>159</v>
      </c>
      <c r="B3893" t="s">
        <v>8</v>
      </c>
      <c r="C3893" t="s">
        <v>158</v>
      </c>
      <c r="D3893" t="str">
        <f>LEFT(M3893,10)</f>
        <v>12/15/2024</v>
      </c>
      <c r="E3893" t="s">
        <v>202</v>
      </c>
      <c r="F3893" t="s">
        <v>218</v>
      </c>
      <c r="G3893" t="s">
        <v>242</v>
      </c>
      <c r="I3893">
        <v>314</v>
      </c>
      <c r="J3893">
        <v>376.8</v>
      </c>
      <c r="K3893">
        <v>1.2</v>
      </c>
      <c r="M3893" t="s">
        <v>205</v>
      </c>
    </row>
    <row r="3894" spans="1:13" hidden="1">
      <c r="A3894" t="s">
        <v>159</v>
      </c>
      <c r="B3894" t="s">
        <v>8</v>
      </c>
      <c r="C3894" t="s">
        <v>158</v>
      </c>
      <c r="D3894" t="str">
        <f>LEFT(M3894,10)</f>
        <v>12/15/2024</v>
      </c>
      <c r="E3894" t="s">
        <v>202</v>
      </c>
      <c r="F3894" t="s">
        <v>218</v>
      </c>
      <c r="G3894" t="s">
        <v>222</v>
      </c>
      <c r="I3894">
        <v>2274</v>
      </c>
      <c r="J3894">
        <v>2728.8</v>
      </c>
      <c r="K3894">
        <v>1.2</v>
      </c>
      <c r="M3894" t="s">
        <v>205</v>
      </c>
    </row>
    <row r="3895" spans="1:13" hidden="1">
      <c r="A3895" t="s">
        <v>159</v>
      </c>
      <c r="B3895" t="s">
        <v>8</v>
      </c>
      <c r="C3895" t="s">
        <v>158</v>
      </c>
      <c r="D3895" t="str">
        <f>LEFT(M3895,10)</f>
        <v>12/15/2024</v>
      </c>
      <c r="E3895" t="s">
        <v>202</v>
      </c>
      <c r="F3895" t="s">
        <v>218</v>
      </c>
      <c r="G3895" t="s">
        <v>224</v>
      </c>
      <c r="I3895">
        <v>1017</v>
      </c>
      <c r="J3895">
        <v>1220.4000000000001</v>
      </c>
      <c r="K3895">
        <v>1.2</v>
      </c>
      <c r="M3895" t="s">
        <v>205</v>
      </c>
    </row>
    <row r="3896" spans="1:13" hidden="1">
      <c r="A3896" t="s">
        <v>159</v>
      </c>
      <c r="B3896" t="s">
        <v>8</v>
      </c>
      <c r="C3896" t="s">
        <v>158</v>
      </c>
      <c r="D3896" t="str">
        <f>LEFT(M3896,10)</f>
        <v>12/15/2024</v>
      </c>
      <c r="E3896" t="s">
        <v>202</v>
      </c>
      <c r="F3896" t="s">
        <v>218</v>
      </c>
      <c r="G3896" t="s">
        <v>226</v>
      </c>
      <c r="I3896">
        <v>1506</v>
      </c>
      <c r="J3896">
        <v>753</v>
      </c>
      <c r="K3896">
        <v>0.5</v>
      </c>
      <c r="M3896" t="s">
        <v>205</v>
      </c>
    </row>
    <row r="3897" spans="1:13" hidden="1">
      <c r="A3897" t="s">
        <v>159</v>
      </c>
      <c r="B3897" t="s">
        <v>8</v>
      </c>
      <c r="C3897" t="s">
        <v>158</v>
      </c>
      <c r="D3897" t="str">
        <f>LEFT(M3897,10)</f>
        <v>12/15/2024</v>
      </c>
      <c r="E3897" t="s">
        <v>202</v>
      </c>
      <c r="F3897" t="s">
        <v>218</v>
      </c>
      <c r="G3897" t="s">
        <v>223</v>
      </c>
      <c r="I3897">
        <v>4772</v>
      </c>
      <c r="J3897">
        <v>3817.6</v>
      </c>
      <c r="K3897">
        <v>0.8</v>
      </c>
      <c r="M3897" t="s">
        <v>205</v>
      </c>
    </row>
    <row r="3898" spans="1:13" hidden="1">
      <c r="A3898" t="s">
        <v>159</v>
      </c>
      <c r="B3898" t="s">
        <v>8</v>
      </c>
      <c r="C3898" t="s">
        <v>158</v>
      </c>
      <c r="D3898" t="str">
        <f>LEFT(M3898,10)</f>
        <v>12/15/2024</v>
      </c>
      <c r="E3898" t="s">
        <v>202</v>
      </c>
      <c r="F3898" t="s">
        <v>218</v>
      </c>
      <c r="G3898" t="s">
        <v>222</v>
      </c>
      <c r="I3898">
        <v>1967</v>
      </c>
      <c r="J3898">
        <v>3343.9</v>
      </c>
      <c r="K3898">
        <v>1.7</v>
      </c>
      <c r="M3898" t="s">
        <v>205</v>
      </c>
    </row>
    <row r="3899" spans="1:13" hidden="1">
      <c r="A3899" t="s">
        <v>159</v>
      </c>
      <c r="B3899" t="s">
        <v>8</v>
      </c>
      <c r="C3899" t="s">
        <v>158</v>
      </c>
      <c r="D3899" t="str">
        <f>LEFT(M3899,10)</f>
        <v>12/15/2024</v>
      </c>
      <c r="E3899" t="s">
        <v>202</v>
      </c>
      <c r="F3899" t="s">
        <v>218</v>
      </c>
      <c r="G3899" t="s">
        <v>222</v>
      </c>
      <c r="I3899">
        <v>1741</v>
      </c>
      <c r="J3899">
        <v>3307.9</v>
      </c>
      <c r="K3899">
        <v>1.9</v>
      </c>
      <c r="M3899" t="s">
        <v>205</v>
      </c>
    </row>
    <row r="3900" spans="1:13" hidden="1">
      <c r="A3900" t="s">
        <v>159</v>
      </c>
      <c r="B3900" t="s">
        <v>8</v>
      </c>
      <c r="C3900" t="s">
        <v>158</v>
      </c>
      <c r="D3900" t="str">
        <f>LEFT(M3900,10)</f>
        <v>12/15/2024</v>
      </c>
      <c r="E3900" t="s">
        <v>202</v>
      </c>
      <c r="F3900" t="s">
        <v>218</v>
      </c>
      <c r="G3900" t="s">
        <v>267</v>
      </c>
      <c r="I3900">
        <v>826</v>
      </c>
      <c r="J3900">
        <v>165</v>
      </c>
      <c r="K3900">
        <v>0.2</v>
      </c>
      <c r="M3900" t="s">
        <v>205</v>
      </c>
    </row>
    <row r="3901" spans="1:13" hidden="1">
      <c r="A3901" t="s">
        <v>159</v>
      </c>
      <c r="B3901" t="s">
        <v>8</v>
      </c>
      <c r="C3901" t="s">
        <v>158</v>
      </c>
      <c r="D3901" t="str">
        <f>LEFT(M3901,10)</f>
        <v>12/15/2024</v>
      </c>
      <c r="E3901" t="s">
        <v>202</v>
      </c>
      <c r="F3901" t="s">
        <v>227</v>
      </c>
      <c r="G3901" t="s">
        <v>252</v>
      </c>
      <c r="I3901">
        <v>1711</v>
      </c>
      <c r="J3901">
        <v>684.4</v>
      </c>
      <c r="K3901">
        <v>0.4</v>
      </c>
      <c r="M3901" t="s">
        <v>205</v>
      </c>
    </row>
    <row r="3902" spans="1:13" hidden="1">
      <c r="A3902" t="s">
        <v>159</v>
      </c>
      <c r="B3902" t="s">
        <v>8</v>
      </c>
      <c r="C3902" t="s">
        <v>158</v>
      </c>
      <c r="D3902" t="str">
        <f>LEFT(M3902,10)</f>
        <v>12/15/2024</v>
      </c>
      <c r="E3902" t="s">
        <v>202</v>
      </c>
      <c r="F3902" t="s">
        <v>216</v>
      </c>
      <c r="G3902" t="s">
        <v>253</v>
      </c>
      <c r="I3902">
        <v>11790</v>
      </c>
      <c r="J3902">
        <v>1414.8</v>
      </c>
      <c r="K3902">
        <v>0.12</v>
      </c>
      <c r="M3902" t="s">
        <v>205</v>
      </c>
    </row>
    <row r="3903" spans="1:13" hidden="1">
      <c r="A3903" t="s">
        <v>159</v>
      </c>
      <c r="B3903" t="s">
        <v>8</v>
      </c>
      <c r="C3903" t="s">
        <v>158</v>
      </c>
      <c r="D3903" t="str">
        <f>LEFT(M3903,10)</f>
        <v>12/15/2024</v>
      </c>
      <c r="E3903" t="s">
        <v>202</v>
      </c>
      <c r="F3903" t="s">
        <v>227</v>
      </c>
      <c r="G3903" t="s">
        <v>228</v>
      </c>
      <c r="I3903">
        <v>10075</v>
      </c>
      <c r="J3903">
        <v>4030</v>
      </c>
      <c r="K3903">
        <v>0.4</v>
      </c>
      <c r="M3903" t="s">
        <v>205</v>
      </c>
    </row>
    <row r="3904" spans="1:13" hidden="1">
      <c r="A3904" t="s">
        <v>159</v>
      </c>
      <c r="B3904" t="s">
        <v>8</v>
      </c>
      <c r="C3904" t="s">
        <v>158</v>
      </c>
      <c r="D3904" t="str">
        <f>LEFT(M3904,10)</f>
        <v>12/15/2024</v>
      </c>
      <c r="E3904" t="s">
        <v>234</v>
      </c>
      <c r="F3904" t="s">
        <v>234</v>
      </c>
      <c r="G3904" t="s">
        <v>249</v>
      </c>
      <c r="I3904">
        <v>48288.2</v>
      </c>
      <c r="M3904" t="s">
        <v>205</v>
      </c>
    </row>
    <row r="3905" spans="1:13" hidden="1">
      <c r="A3905" t="s">
        <v>159</v>
      </c>
      <c r="B3905" t="s">
        <v>8</v>
      </c>
      <c r="C3905" t="s">
        <v>158</v>
      </c>
      <c r="D3905" t="str">
        <f>LEFT(M3905,10)</f>
        <v>12/15/2024</v>
      </c>
      <c r="E3905" t="s">
        <v>232</v>
      </c>
      <c r="F3905" t="s">
        <v>255</v>
      </c>
      <c r="G3905" t="s">
        <v>249</v>
      </c>
      <c r="I3905">
        <v>0</v>
      </c>
      <c r="J3905">
        <v>86.99</v>
      </c>
      <c r="L3905" t="s">
        <v>517</v>
      </c>
      <c r="M3905" t="s">
        <v>205</v>
      </c>
    </row>
    <row r="3906" spans="1:13" hidden="1">
      <c r="A3906" t="s">
        <v>159</v>
      </c>
      <c r="B3906" t="s">
        <v>8</v>
      </c>
      <c r="C3906" t="s">
        <v>158</v>
      </c>
      <c r="D3906" t="str">
        <f>LEFT(M3906,10)</f>
        <v>12/15/2024</v>
      </c>
      <c r="E3906" t="s">
        <v>232</v>
      </c>
      <c r="F3906" t="s">
        <v>276</v>
      </c>
      <c r="G3906" t="s">
        <v>249</v>
      </c>
      <c r="I3906">
        <v>0</v>
      </c>
      <c r="J3906">
        <v>1103.08</v>
      </c>
      <c r="M3906" t="s">
        <v>205</v>
      </c>
    </row>
    <row r="3907" spans="1:13" hidden="1">
      <c r="A3907" t="s">
        <v>159</v>
      </c>
      <c r="B3907" t="s">
        <v>8</v>
      </c>
      <c r="C3907" t="s">
        <v>158</v>
      </c>
      <c r="D3907" t="str">
        <f>LEFT(M3907,10)</f>
        <v>12/15/2024</v>
      </c>
      <c r="E3907" t="s">
        <v>232</v>
      </c>
      <c r="F3907" t="s">
        <v>275</v>
      </c>
      <c r="G3907" t="s">
        <v>249</v>
      </c>
      <c r="I3907">
        <v>0</v>
      </c>
      <c r="J3907">
        <v>1300.6400000000001</v>
      </c>
      <c r="M3907" t="s">
        <v>205</v>
      </c>
    </row>
    <row r="3908" spans="1:13" hidden="1">
      <c r="A3908" t="s">
        <v>159</v>
      </c>
      <c r="B3908" t="s">
        <v>8</v>
      </c>
      <c r="C3908" t="s">
        <v>158</v>
      </c>
      <c r="D3908" t="str">
        <f>LEFT(M3908,10)</f>
        <v>12/15/2024</v>
      </c>
      <c r="E3908" t="s">
        <v>232</v>
      </c>
      <c r="F3908" t="s">
        <v>251</v>
      </c>
      <c r="G3908" t="s">
        <v>249</v>
      </c>
      <c r="I3908">
        <v>0</v>
      </c>
      <c r="J3908">
        <v>4122.47</v>
      </c>
      <c r="M3908" t="s">
        <v>205</v>
      </c>
    </row>
    <row r="3909" spans="1:13" hidden="1">
      <c r="A3909" t="s">
        <v>159</v>
      </c>
      <c r="B3909" t="s">
        <v>8</v>
      </c>
      <c r="C3909" t="s">
        <v>158</v>
      </c>
      <c r="D3909" t="str">
        <f>LEFT(M3909,10)</f>
        <v>12/15/2024</v>
      </c>
      <c r="E3909" t="s">
        <v>232</v>
      </c>
      <c r="F3909" t="s">
        <v>286</v>
      </c>
      <c r="G3909" t="s">
        <v>249</v>
      </c>
      <c r="I3909">
        <v>0</v>
      </c>
      <c r="J3909">
        <v>126</v>
      </c>
      <c r="M3909" t="s">
        <v>205</v>
      </c>
    </row>
    <row r="3910" spans="1:13" hidden="1">
      <c r="A3910" t="s">
        <v>159</v>
      </c>
      <c r="B3910" t="s">
        <v>8</v>
      </c>
      <c r="C3910" t="s">
        <v>158</v>
      </c>
      <c r="D3910" t="str">
        <f>LEFT(M3910,10)</f>
        <v>12/15/2024</v>
      </c>
      <c r="E3910" t="s">
        <v>232</v>
      </c>
      <c r="F3910" t="s">
        <v>255</v>
      </c>
      <c r="G3910" t="s">
        <v>249</v>
      </c>
      <c r="I3910">
        <v>0</v>
      </c>
      <c r="J3910">
        <v>1600</v>
      </c>
      <c r="L3910" t="s">
        <v>518</v>
      </c>
      <c r="M3910" t="s">
        <v>205</v>
      </c>
    </row>
    <row r="3911" spans="1:13" hidden="1">
      <c r="A3911" t="s">
        <v>159</v>
      </c>
      <c r="B3911" t="s">
        <v>8</v>
      </c>
      <c r="C3911" t="s">
        <v>158</v>
      </c>
      <c r="D3911" t="str">
        <f>LEFT(M3911,10)</f>
        <v>12/15/2024</v>
      </c>
      <c r="E3911" t="s">
        <v>232</v>
      </c>
      <c r="F3911" t="s">
        <v>296</v>
      </c>
      <c r="G3911" t="s">
        <v>249</v>
      </c>
      <c r="I3911">
        <v>0</v>
      </c>
      <c r="J3911">
        <v>3010</v>
      </c>
      <c r="M3911" t="s">
        <v>205</v>
      </c>
    </row>
    <row r="3912" spans="1:13" hidden="1">
      <c r="A3912" t="s">
        <v>48</v>
      </c>
      <c r="B3912" t="s">
        <v>8</v>
      </c>
      <c r="C3912" t="s">
        <v>47</v>
      </c>
      <c r="D3912" t="str">
        <f t="shared" ref="D3912:D3913" si="0">LEFT(M3912,9)</f>
        <v>1/15/2025</v>
      </c>
      <c r="E3912" t="s">
        <v>232</v>
      </c>
      <c r="F3912" t="s">
        <v>250</v>
      </c>
      <c r="I3912">
        <v>0</v>
      </c>
      <c r="J3912">
        <v>100</v>
      </c>
      <c r="M3912" t="s">
        <v>516</v>
      </c>
    </row>
    <row r="3913" spans="1:13" hidden="1">
      <c r="A3913" t="s">
        <v>74</v>
      </c>
      <c r="B3913" t="s">
        <v>75</v>
      </c>
      <c r="C3913" t="s">
        <v>19</v>
      </c>
      <c r="D3913" t="str">
        <f t="shared" si="0"/>
        <v>1/15/2025</v>
      </c>
      <c r="E3913" t="s">
        <v>202</v>
      </c>
      <c r="F3913" t="s">
        <v>227</v>
      </c>
      <c r="G3913" t="s">
        <v>229</v>
      </c>
      <c r="I3913">
        <v>12290</v>
      </c>
      <c r="J3913">
        <v>7374</v>
      </c>
      <c r="K3913">
        <v>0.6</v>
      </c>
      <c r="M3913" t="s">
        <v>516</v>
      </c>
    </row>
    <row r="3914" spans="1:13" hidden="1">
      <c r="A3914" t="s">
        <v>74</v>
      </c>
      <c r="B3914" t="s">
        <v>75</v>
      </c>
      <c r="C3914" t="s">
        <v>19</v>
      </c>
      <c r="D3914" t="str">
        <f>LEFT(M3914,10)</f>
        <v>12/15/2024</v>
      </c>
      <c r="E3914" t="s">
        <v>230</v>
      </c>
      <c r="F3914" t="s">
        <v>248</v>
      </c>
      <c r="I3914">
        <v>0</v>
      </c>
      <c r="J3914">
        <v>40845.61</v>
      </c>
      <c r="M3914" t="s">
        <v>205</v>
      </c>
    </row>
    <row r="3915" spans="1:13" hidden="1">
      <c r="A3915" t="s">
        <v>74</v>
      </c>
      <c r="B3915" t="s">
        <v>75</v>
      </c>
      <c r="C3915" t="s">
        <v>19</v>
      </c>
      <c r="D3915" t="str">
        <f t="shared" ref="D3915:D3973" si="1">LEFT(M3915,9)</f>
        <v>1/15/2025</v>
      </c>
      <c r="E3915" t="s">
        <v>232</v>
      </c>
      <c r="F3915" t="s">
        <v>255</v>
      </c>
      <c r="I3915">
        <v>0</v>
      </c>
      <c r="J3915">
        <v>19436.05</v>
      </c>
      <c r="L3915" t="s">
        <v>519</v>
      </c>
      <c r="M3915" t="s">
        <v>516</v>
      </c>
    </row>
    <row r="3916" spans="1:13" hidden="1">
      <c r="A3916" t="s">
        <v>74</v>
      </c>
      <c r="B3916" t="s">
        <v>75</v>
      </c>
      <c r="C3916" t="s">
        <v>19</v>
      </c>
      <c r="D3916" t="str">
        <f t="shared" si="1"/>
        <v>1/15/2025</v>
      </c>
      <c r="E3916" t="s">
        <v>202</v>
      </c>
      <c r="F3916" t="s">
        <v>203</v>
      </c>
      <c r="G3916" t="s">
        <v>236</v>
      </c>
      <c r="I3916">
        <v>5280</v>
      </c>
      <c r="J3916">
        <v>2640</v>
      </c>
      <c r="K3916">
        <v>0.5</v>
      </c>
      <c r="M3916" t="s">
        <v>516</v>
      </c>
    </row>
    <row r="3917" spans="1:13" hidden="1">
      <c r="A3917" t="s">
        <v>74</v>
      </c>
      <c r="B3917" t="s">
        <v>75</v>
      </c>
      <c r="C3917" t="s">
        <v>19</v>
      </c>
      <c r="D3917" t="str">
        <f t="shared" si="1"/>
        <v>1/15/2025</v>
      </c>
      <c r="E3917" t="s">
        <v>202</v>
      </c>
      <c r="F3917" t="s">
        <v>203</v>
      </c>
      <c r="G3917" t="s">
        <v>208</v>
      </c>
      <c r="I3917">
        <v>54</v>
      </c>
      <c r="J3917">
        <v>486</v>
      </c>
      <c r="K3917">
        <v>9</v>
      </c>
      <c r="M3917" t="s">
        <v>516</v>
      </c>
    </row>
    <row r="3918" spans="1:13" hidden="1">
      <c r="A3918" t="s">
        <v>74</v>
      </c>
      <c r="B3918" t="s">
        <v>75</v>
      </c>
      <c r="C3918" t="s">
        <v>19</v>
      </c>
      <c r="D3918" t="str">
        <f t="shared" si="1"/>
        <v>1/15/2025</v>
      </c>
      <c r="E3918" t="s">
        <v>202</v>
      </c>
      <c r="F3918" t="s">
        <v>203</v>
      </c>
      <c r="G3918" t="s">
        <v>207</v>
      </c>
      <c r="I3918">
        <v>76</v>
      </c>
      <c r="J3918">
        <v>456</v>
      </c>
      <c r="K3918">
        <v>6</v>
      </c>
      <c r="M3918" t="s">
        <v>516</v>
      </c>
    </row>
    <row r="3919" spans="1:13" hidden="1">
      <c r="A3919" t="s">
        <v>74</v>
      </c>
      <c r="B3919" t="s">
        <v>75</v>
      </c>
      <c r="C3919" t="s">
        <v>19</v>
      </c>
      <c r="D3919" t="str">
        <f t="shared" si="1"/>
        <v>1/15/2025</v>
      </c>
      <c r="E3919" t="s">
        <v>202</v>
      </c>
      <c r="F3919" t="s">
        <v>203</v>
      </c>
      <c r="G3919" t="s">
        <v>204</v>
      </c>
      <c r="I3919">
        <v>419.2</v>
      </c>
      <c r="J3919">
        <v>3688.96</v>
      </c>
      <c r="K3919">
        <v>8.8000000000000007</v>
      </c>
      <c r="M3919" t="s">
        <v>516</v>
      </c>
    </row>
    <row r="3920" spans="1:13" hidden="1">
      <c r="A3920" t="s">
        <v>74</v>
      </c>
      <c r="B3920" t="s">
        <v>75</v>
      </c>
      <c r="C3920" t="s">
        <v>19</v>
      </c>
      <c r="D3920" t="str">
        <f t="shared" si="1"/>
        <v>1/15/2025</v>
      </c>
      <c r="E3920" t="s">
        <v>202</v>
      </c>
      <c r="F3920" t="s">
        <v>203</v>
      </c>
      <c r="G3920" t="s">
        <v>260</v>
      </c>
      <c r="I3920">
        <v>12.5</v>
      </c>
      <c r="J3920">
        <v>500</v>
      </c>
      <c r="K3920">
        <v>40</v>
      </c>
      <c r="M3920" t="s">
        <v>516</v>
      </c>
    </row>
    <row r="3921" spans="1:13" hidden="1">
      <c r="A3921" t="s">
        <v>74</v>
      </c>
      <c r="B3921" t="s">
        <v>75</v>
      </c>
      <c r="C3921" t="s">
        <v>19</v>
      </c>
      <c r="D3921" t="str">
        <f t="shared" si="1"/>
        <v>1/15/2025</v>
      </c>
      <c r="E3921" t="s">
        <v>202</v>
      </c>
      <c r="F3921" t="s">
        <v>203</v>
      </c>
      <c r="G3921" t="s">
        <v>261</v>
      </c>
      <c r="I3921">
        <v>97.2</v>
      </c>
      <c r="J3921">
        <v>777.6</v>
      </c>
      <c r="K3921">
        <v>8</v>
      </c>
      <c r="M3921" t="s">
        <v>516</v>
      </c>
    </row>
    <row r="3922" spans="1:13" hidden="1">
      <c r="A3922" t="s">
        <v>74</v>
      </c>
      <c r="B3922" t="s">
        <v>75</v>
      </c>
      <c r="C3922" t="s">
        <v>19</v>
      </c>
      <c r="D3922" t="str">
        <f t="shared" si="1"/>
        <v>1/15/2025</v>
      </c>
      <c r="E3922" t="s">
        <v>202</v>
      </c>
      <c r="F3922" t="s">
        <v>203</v>
      </c>
      <c r="G3922" t="s">
        <v>206</v>
      </c>
      <c r="I3922">
        <v>44</v>
      </c>
      <c r="J3922">
        <v>132</v>
      </c>
      <c r="K3922">
        <v>3</v>
      </c>
      <c r="M3922" t="s">
        <v>516</v>
      </c>
    </row>
    <row r="3923" spans="1:13" hidden="1">
      <c r="A3923" t="s">
        <v>74</v>
      </c>
      <c r="B3923" t="s">
        <v>75</v>
      </c>
      <c r="C3923" t="s">
        <v>19</v>
      </c>
      <c r="D3923" t="str">
        <f t="shared" si="1"/>
        <v>1/15/2025</v>
      </c>
      <c r="E3923" t="s">
        <v>202</v>
      </c>
      <c r="F3923" t="s">
        <v>203</v>
      </c>
      <c r="G3923" t="s">
        <v>259</v>
      </c>
      <c r="I3923">
        <v>68</v>
      </c>
      <c r="J3923">
        <v>612</v>
      </c>
      <c r="K3923">
        <v>9</v>
      </c>
      <c r="M3923" t="s">
        <v>516</v>
      </c>
    </row>
    <row r="3924" spans="1:13" hidden="1">
      <c r="A3924" t="s">
        <v>74</v>
      </c>
      <c r="B3924" t="s">
        <v>75</v>
      </c>
      <c r="C3924" t="s">
        <v>19</v>
      </c>
      <c r="D3924" t="str">
        <f t="shared" si="1"/>
        <v>1/15/2025</v>
      </c>
      <c r="E3924" t="s">
        <v>202</v>
      </c>
      <c r="F3924" t="s">
        <v>203</v>
      </c>
      <c r="G3924" t="s">
        <v>259</v>
      </c>
      <c r="I3924">
        <v>80</v>
      </c>
      <c r="J3924">
        <v>904.8</v>
      </c>
      <c r="K3924">
        <v>11.31</v>
      </c>
      <c r="M3924" t="s">
        <v>516</v>
      </c>
    </row>
    <row r="3925" spans="1:13" hidden="1">
      <c r="A3925" t="s">
        <v>74</v>
      </c>
      <c r="B3925" t="s">
        <v>75</v>
      </c>
      <c r="C3925" t="s">
        <v>19</v>
      </c>
      <c r="D3925" t="str">
        <f t="shared" si="1"/>
        <v>1/15/2025</v>
      </c>
      <c r="E3925" t="s">
        <v>232</v>
      </c>
      <c r="F3925" t="s">
        <v>291</v>
      </c>
      <c r="I3925">
        <v>0</v>
      </c>
      <c r="J3925">
        <v>1334.45</v>
      </c>
      <c r="M3925" t="s">
        <v>516</v>
      </c>
    </row>
    <row r="3926" spans="1:13" hidden="1">
      <c r="A3926" t="s">
        <v>55</v>
      </c>
      <c r="B3926" t="s">
        <v>8</v>
      </c>
      <c r="C3926" t="s">
        <v>54</v>
      </c>
      <c r="D3926" t="str">
        <f t="shared" si="1"/>
        <v>1/15/2025</v>
      </c>
      <c r="E3926" t="s">
        <v>202</v>
      </c>
      <c r="F3926" t="s">
        <v>227</v>
      </c>
      <c r="G3926" t="s">
        <v>229</v>
      </c>
      <c r="I3926">
        <v>21212.5</v>
      </c>
      <c r="J3926">
        <v>18667</v>
      </c>
      <c r="K3926">
        <v>0.88</v>
      </c>
      <c r="M3926" t="s">
        <v>516</v>
      </c>
    </row>
    <row r="3927" spans="1:13" hidden="1">
      <c r="A3927" t="s">
        <v>55</v>
      </c>
      <c r="B3927" t="s">
        <v>8</v>
      </c>
      <c r="C3927" t="s">
        <v>54</v>
      </c>
      <c r="D3927" t="str">
        <f t="shared" si="1"/>
        <v>1/15/2025</v>
      </c>
      <c r="E3927" t="s">
        <v>202</v>
      </c>
      <c r="F3927" t="s">
        <v>227</v>
      </c>
      <c r="G3927" t="s">
        <v>228</v>
      </c>
      <c r="I3927">
        <v>10333.5</v>
      </c>
      <c r="J3927">
        <v>3100.05</v>
      </c>
      <c r="K3927">
        <v>0.3</v>
      </c>
      <c r="M3927" t="s">
        <v>516</v>
      </c>
    </row>
    <row r="3928" spans="1:13" hidden="1">
      <c r="A3928" t="s">
        <v>55</v>
      </c>
      <c r="B3928" t="s">
        <v>8</v>
      </c>
      <c r="C3928" t="s">
        <v>54</v>
      </c>
      <c r="D3928" t="str">
        <f t="shared" si="1"/>
        <v>1/15/2025</v>
      </c>
      <c r="E3928" t="s">
        <v>202</v>
      </c>
      <c r="F3928" t="s">
        <v>227</v>
      </c>
      <c r="G3928" t="s">
        <v>252</v>
      </c>
      <c r="I3928">
        <v>1014</v>
      </c>
      <c r="J3928">
        <v>304.2</v>
      </c>
      <c r="K3928">
        <v>0.3</v>
      </c>
      <c r="M3928" t="s">
        <v>516</v>
      </c>
    </row>
    <row r="3929" spans="1:13" hidden="1">
      <c r="A3929" t="s">
        <v>55</v>
      </c>
      <c r="B3929" t="s">
        <v>8</v>
      </c>
      <c r="C3929" t="s">
        <v>54</v>
      </c>
      <c r="D3929" t="str">
        <f t="shared" si="1"/>
        <v>1/15/2025</v>
      </c>
      <c r="E3929" t="s">
        <v>202</v>
      </c>
      <c r="F3929" t="s">
        <v>218</v>
      </c>
      <c r="G3929" t="s">
        <v>220</v>
      </c>
      <c r="I3929">
        <v>2482</v>
      </c>
      <c r="J3929">
        <v>4095.3</v>
      </c>
      <c r="K3929">
        <v>1.65</v>
      </c>
      <c r="M3929" t="s">
        <v>516</v>
      </c>
    </row>
    <row r="3930" spans="1:13" hidden="1">
      <c r="A3930" t="s">
        <v>55</v>
      </c>
      <c r="B3930" t="s">
        <v>8</v>
      </c>
      <c r="C3930" t="s">
        <v>54</v>
      </c>
      <c r="D3930" t="str">
        <f t="shared" si="1"/>
        <v>1/15/2025</v>
      </c>
      <c r="E3930" t="s">
        <v>202</v>
      </c>
      <c r="F3930" t="s">
        <v>218</v>
      </c>
      <c r="G3930" t="s">
        <v>223</v>
      </c>
      <c r="I3930">
        <v>3392</v>
      </c>
      <c r="J3930">
        <v>2374.4</v>
      </c>
      <c r="K3930">
        <v>0.7</v>
      </c>
      <c r="M3930" t="s">
        <v>516</v>
      </c>
    </row>
    <row r="3931" spans="1:13" hidden="1">
      <c r="A3931" t="s">
        <v>55</v>
      </c>
      <c r="B3931" t="s">
        <v>8</v>
      </c>
      <c r="C3931" t="s">
        <v>54</v>
      </c>
      <c r="D3931" t="str">
        <f t="shared" si="1"/>
        <v>1/15/2025</v>
      </c>
      <c r="E3931" t="s">
        <v>202</v>
      </c>
      <c r="F3931" t="s">
        <v>218</v>
      </c>
      <c r="G3931" t="s">
        <v>222</v>
      </c>
      <c r="I3931">
        <v>2658.5</v>
      </c>
      <c r="J3931">
        <v>3456.05</v>
      </c>
      <c r="K3931">
        <v>1.3</v>
      </c>
      <c r="M3931" t="s">
        <v>516</v>
      </c>
    </row>
    <row r="3932" spans="1:13" hidden="1">
      <c r="A3932" t="s">
        <v>55</v>
      </c>
      <c r="B3932" t="s">
        <v>8</v>
      </c>
      <c r="C3932" t="s">
        <v>54</v>
      </c>
      <c r="D3932" t="str">
        <f t="shared" si="1"/>
        <v>1/15/2025</v>
      </c>
      <c r="E3932" t="s">
        <v>202</v>
      </c>
      <c r="F3932" t="s">
        <v>218</v>
      </c>
      <c r="G3932" t="s">
        <v>221</v>
      </c>
      <c r="I3932">
        <v>902</v>
      </c>
      <c r="J3932">
        <v>2255</v>
      </c>
      <c r="K3932">
        <v>2.5</v>
      </c>
      <c r="M3932" t="s">
        <v>516</v>
      </c>
    </row>
    <row r="3933" spans="1:13" hidden="1">
      <c r="A3933" t="s">
        <v>55</v>
      </c>
      <c r="B3933" t="s">
        <v>8</v>
      </c>
      <c r="C3933" t="s">
        <v>54</v>
      </c>
      <c r="D3933" t="str">
        <f t="shared" si="1"/>
        <v>1/15/2025</v>
      </c>
      <c r="E3933" t="s">
        <v>202</v>
      </c>
      <c r="F3933" t="s">
        <v>218</v>
      </c>
      <c r="G3933" t="s">
        <v>221</v>
      </c>
      <c r="I3933">
        <v>1079</v>
      </c>
      <c r="J3933">
        <v>2697.5</v>
      </c>
      <c r="K3933">
        <v>2.5</v>
      </c>
      <c r="M3933" t="s">
        <v>516</v>
      </c>
    </row>
    <row r="3934" spans="1:13" hidden="1">
      <c r="A3934" t="s">
        <v>55</v>
      </c>
      <c r="B3934" t="s">
        <v>8</v>
      </c>
      <c r="C3934" t="s">
        <v>54</v>
      </c>
      <c r="D3934" t="str">
        <f t="shared" si="1"/>
        <v>1/15/2025</v>
      </c>
      <c r="E3934" t="s">
        <v>202</v>
      </c>
      <c r="F3934" t="s">
        <v>218</v>
      </c>
      <c r="G3934" t="s">
        <v>240</v>
      </c>
      <c r="I3934">
        <v>3896.5</v>
      </c>
      <c r="J3934">
        <v>16365.3</v>
      </c>
      <c r="K3934">
        <v>4.2</v>
      </c>
      <c r="M3934" t="s">
        <v>516</v>
      </c>
    </row>
    <row r="3935" spans="1:13" hidden="1">
      <c r="A3935" t="s">
        <v>55</v>
      </c>
      <c r="B3935" t="s">
        <v>8</v>
      </c>
      <c r="C3935" t="s">
        <v>54</v>
      </c>
      <c r="D3935" t="str">
        <f t="shared" si="1"/>
        <v>1/15/2025</v>
      </c>
      <c r="E3935" t="s">
        <v>202</v>
      </c>
      <c r="F3935" t="s">
        <v>218</v>
      </c>
      <c r="G3935" t="s">
        <v>226</v>
      </c>
      <c r="I3935">
        <v>403</v>
      </c>
      <c r="J3935">
        <v>80.599999999999994</v>
      </c>
      <c r="K3935">
        <v>0.2</v>
      </c>
      <c r="M3935" t="s">
        <v>516</v>
      </c>
    </row>
    <row r="3936" spans="1:13" hidden="1">
      <c r="A3936" t="s">
        <v>55</v>
      </c>
      <c r="B3936" t="s">
        <v>8</v>
      </c>
      <c r="C3936" t="s">
        <v>54</v>
      </c>
      <c r="D3936" t="str">
        <f t="shared" si="1"/>
        <v>1/15/2025</v>
      </c>
      <c r="E3936" t="s">
        <v>202</v>
      </c>
      <c r="F3936" t="s">
        <v>218</v>
      </c>
      <c r="G3936" t="s">
        <v>224</v>
      </c>
      <c r="I3936">
        <v>781</v>
      </c>
      <c r="J3936">
        <v>702.9</v>
      </c>
      <c r="K3936">
        <v>0.9</v>
      </c>
      <c r="M3936" t="s">
        <v>516</v>
      </c>
    </row>
    <row r="3937" spans="1:13" hidden="1">
      <c r="A3937" t="s">
        <v>55</v>
      </c>
      <c r="B3937" t="s">
        <v>8</v>
      </c>
      <c r="C3937" t="s">
        <v>54</v>
      </c>
      <c r="D3937" t="str">
        <f t="shared" si="1"/>
        <v>1/15/2025</v>
      </c>
      <c r="E3937" t="s">
        <v>202</v>
      </c>
      <c r="F3937" t="s">
        <v>218</v>
      </c>
      <c r="G3937" t="s">
        <v>225</v>
      </c>
      <c r="I3937">
        <v>471.5</v>
      </c>
      <c r="J3937">
        <v>353.63</v>
      </c>
      <c r="K3937">
        <v>0.75</v>
      </c>
      <c r="M3937" t="s">
        <v>516</v>
      </c>
    </row>
    <row r="3938" spans="1:13" hidden="1">
      <c r="A3938" t="s">
        <v>55</v>
      </c>
      <c r="B3938" t="s">
        <v>8</v>
      </c>
      <c r="C3938" t="s">
        <v>54</v>
      </c>
      <c r="D3938" t="str">
        <f t="shared" si="1"/>
        <v>1/15/2025</v>
      </c>
      <c r="E3938" t="s">
        <v>202</v>
      </c>
      <c r="F3938" t="s">
        <v>218</v>
      </c>
      <c r="G3938" t="s">
        <v>242</v>
      </c>
      <c r="I3938">
        <v>243.5</v>
      </c>
      <c r="J3938">
        <v>243.5</v>
      </c>
      <c r="K3938">
        <v>1</v>
      </c>
      <c r="M3938" t="s">
        <v>516</v>
      </c>
    </row>
    <row r="3939" spans="1:13" hidden="1">
      <c r="A3939" t="s">
        <v>55</v>
      </c>
      <c r="B3939" t="s">
        <v>8</v>
      </c>
      <c r="C3939" t="s">
        <v>54</v>
      </c>
      <c r="D3939" t="str">
        <f t="shared" si="1"/>
        <v>1/15/2025</v>
      </c>
      <c r="E3939" t="s">
        <v>202</v>
      </c>
      <c r="F3939" t="s">
        <v>218</v>
      </c>
      <c r="G3939" t="s">
        <v>239</v>
      </c>
      <c r="I3939">
        <v>370</v>
      </c>
      <c r="J3939">
        <v>555</v>
      </c>
      <c r="K3939">
        <v>1.5</v>
      </c>
      <c r="M3939" t="s">
        <v>516</v>
      </c>
    </row>
    <row r="3940" spans="1:13" hidden="1">
      <c r="A3940" t="s">
        <v>55</v>
      </c>
      <c r="B3940" t="s">
        <v>8</v>
      </c>
      <c r="C3940" t="s">
        <v>54</v>
      </c>
      <c r="D3940" t="str">
        <f t="shared" si="1"/>
        <v>1/15/2025</v>
      </c>
      <c r="E3940" t="s">
        <v>202</v>
      </c>
      <c r="F3940" t="s">
        <v>203</v>
      </c>
      <c r="G3940" t="s">
        <v>204</v>
      </c>
      <c r="I3940">
        <v>611.5</v>
      </c>
      <c r="J3940">
        <v>5320.05</v>
      </c>
      <c r="K3940">
        <v>8.6999999999999993</v>
      </c>
      <c r="M3940" t="s">
        <v>516</v>
      </c>
    </row>
    <row r="3941" spans="1:13" hidden="1">
      <c r="A3941" t="s">
        <v>55</v>
      </c>
      <c r="B3941" t="s">
        <v>8</v>
      </c>
      <c r="C3941" t="s">
        <v>54</v>
      </c>
      <c r="D3941" t="str">
        <f t="shared" si="1"/>
        <v>1/15/2025</v>
      </c>
      <c r="E3941" t="s">
        <v>202</v>
      </c>
      <c r="F3941" t="s">
        <v>203</v>
      </c>
      <c r="G3941" t="s">
        <v>235</v>
      </c>
      <c r="I3941">
        <v>6.5</v>
      </c>
      <c r="J3941">
        <v>39</v>
      </c>
      <c r="K3941">
        <v>6</v>
      </c>
      <c r="M3941" t="s">
        <v>516</v>
      </c>
    </row>
    <row r="3942" spans="1:13" hidden="1">
      <c r="A3942" t="s">
        <v>55</v>
      </c>
      <c r="B3942" t="s">
        <v>8</v>
      </c>
      <c r="C3942" t="s">
        <v>54</v>
      </c>
      <c r="D3942" t="str">
        <f t="shared" si="1"/>
        <v>1/15/2025</v>
      </c>
      <c r="E3942" t="s">
        <v>202</v>
      </c>
      <c r="F3942" t="s">
        <v>203</v>
      </c>
      <c r="G3942" t="s">
        <v>259</v>
      </c>
      <c r="I3942">
        <v>46.5</v>
      </c>
      <c r="J3942">
        <v>372</v>
      </c>
      <c r="K3942">
        <v>8</v>
      </c>
      <c r="M3942" t="s">
        <v>516</v>
      </c>
    </row>
    <row r="3943" spans="1:13" hidden="1">
      <c r="A3943" t="s">
        <v>55</v>
      </c>
      <c r="B3943" t="s">
        <v>8</v>
      </c>
      <c r="C3943" t="s">
        <v>54</v>
      </c>
      <c r="D3943" t="str">
        <f t="shared" si="1"/>
        <v>1/15/2025</v>
      </c>
      <c r="E3943" t="s">
        <v>202</v>
      </c>
      <c r="F3943" t="s">
        <v>203</v>
      </c>
      <c r="G3943" t="s">
        <v>215</v>
      </c>
      <c r="I3943">
        <v>200</v>
      </c>
      <c r="J3943">
        <v>60</v>
      </c>
      <c r="K3943">
        <v>0.3</v>
      </c>
      <c r="M3943" t="s">
        <v>516</v>
      </c>
    </row>
    <row r="3944" spans="1:13" hidden="1">
      <c r="A3944" t="s">
        <v>55</v>
      </c>
      <c r="B3944" t="s">
        <v>8</v>
      </c>
      <c r="C3944" t="s">
        <v>54</v>
      </c>
      <c r="D3944" t="str">
        <f t="shared" si="1"/>
        <v>1/15/2025</v>
      </c>
      <c r="E3944" t="s">
        <v>202</v>
      </c>
      <c r="F3944" t="s">
        <v>203</v>
      </c>
      <c r="G3944" t="s">
        <v>215</v>
      </c>
      <c r="I3944">
        <v>200</v>
      </c>
      <c r="J3944">
        <v>65</v>
      </c>
      <c r="K3944">
        <v>0.33</v>
      </c>
      <c r="M3944" t="s">
        <v>516</v>
      </c>
    </row>
    <row r="3945" spans="1:13" hidden="1">
      <c r="A3945" t="s">
        <v>55</v>
      </c>
      <c r="B3945" t="s">
        <v>8</v>
      </c>
      <c r="C3945" t="s">
        <v>54</v>
      </c>
      <c r="D3945" t="str">
        <f t="shared" si="1"/>
        <v>1/15/2025</v>
      </c>
      <c r="E3945" t="s">
        <v>202</v>
      </c>
      <c r="F3945" t="s">
        <v>203</v>
      </c>
      <c r="G3945" t="s">
        <v>215</v>
      </c>
      <c r="I3945">
        <v>180</v>
      </c>
      <c r="J3945">
        <v>50</v>
      </c>
      <c r="K3945">
        <v>0.28000000000000003</v>
      </c>
      <c r="M3945" t="s">
        <v>516</v>
      </c>
    </row>
    <row r="3946" spans="1:13" hidden="1">
      <c r="A3946" t="s">
        <v>55</v>
      </c>
      <c r="B3946" t="s">
        <v>8</v>
      </c>
      <c r="C3946" t="s">
        <v>54</v>
      </c>
      <c r="D3946" t="str">
        <f t="shared" si="1"/>
        <v>1/15/2025</v>
      </c>
      <c r="E3946" t="s">
        <v>202</v>
      </c>
      <c r="F3946" t="s">
        <v>203</v>
      </c>
      <c r="G3946" t="s">
        <v>206</v>
      </c>
      <c r="I3946">
        <v>5.5</v>
      </c>
      <c r="J3946">
        <v>5.5</v>
      </c>
      <c r="K3946">
        <v>1</v>
      </c>
      <c r="M3946" t="s">
        <v>516</v>
      </c>
    </row>
    <row r="3947" spans="1:13" hidden="1">
      <c r="A3947" t="s">
        <v>55</v>
      </c>
      <c r="B3947" t="s">
        <v>8</v>
      </c>
      <c r="C3947" t="s">
        <v>54</v>
      </c>
      <c r="D3947" t="str">
        <f t="shared" si="1"/>
        <v>1/15/2025</v>
      </c>
      <c r="E3947" t="s">
        <v>202</v>
      </c>
      <c r="F3947" t="s">
        <v>203</v>
      </c>
      <c r="G3947" t="s">
        <v>207</v>
      </c>
      <c r="I3947">
        <v>73</v>
      </c>
      <c r="J3947">
        <v>438</v>
      </c>
      <c r="K3947">
        <v>6</v>
      </c>
      <c r="M3947" t="s">
        <v>516</v>
      </c>
    </row>
    <row r="3948" spans="1:13" hidden="1">
      <c r="A3948" t="s">
        <v>55</v>
      </c>
      <c r="B3948" t="s">
        <v>8</v>
      </c>
      <c r="C3948" t="s">
        <v>54</v>
      </c>
      <c r="D3948" t="str">
        <f t="shared" si="1"/>
        <v>1/15/2025</v>
      </c>
      <c r="E3948" t="s">
        <v>202</v>
      </c>
      <c r="F3948" t="s">
        <v>203</v>
      </c>
      <c r="G3948" t="s">
        <v>236</v>
      </c>
      <c r="I3948">
        <v>7630</v>
      </c>
      <c r="J3948">
        <v>5341</v>
      </c>
      <c r="K3948">
        <v>0.7</v>
      </c>
      <c r="M3948" t="s">
        <v>516</v>
      </c>
    </row>
    <row r="3949" spans="1:13" hidden="1">
      <c r="A3949" t="s">
        <v>55</v>
      </c>
      <c r="B3949" t="s">
        <v>8</v>
      </c>
      <c r="C3949" t="s">
        <v>54</v>
      </c>
      <c r="D3949" t="str">
        <f t="shared" si="1"/>
        <v>1/15/2025</v>
      </c>
      <c r="E3949" t="s">
        <v>202</v>
      </c>
      <c r="F3949" t="s">
        <v>203</v>
      </c>
      <c r="G3949" t="s">
        <v>259</v>
      </c>
      <c r="I3949">
        <v>33</v>
      </c>
      <c r="J3949">
        <v>693</v>
      </c>
      <c r="K3949">
        <v>21</v>
      </c>
      <c r="M3949" t="s">
        <v>516</v>
      </c>
    </row>
    <row r="3950" spans="1:13" hidden="1">
      <c r="A3950" t="s">
        <v>55</v>
      </c>
      <c r="B3950" t="s">
        <v>8</v>
      </c>
      <c r="C3950" t="s">
        <v>54</v>
      </c>
      <c r="D3950" t="str">
        <f t="shared" si="1"/>
        <v>1/15/2025</v>
      </c>
      <c r="E3950" t="s">
        <v>202</v>
      </c>
      <c r="F3950" t="s">
        <v>203</v>
      </c>
      <c r="G3950" t="s">
        <v>208</v>
      </c>
      <c r="I3950">
        <v>125</v>
      </c>
      <c r="J3950">
        <v>1250</v>
      </c>
      <c r="K3950">
        <v>10</v>
      </c>
      <c r="M3950" t="s">
        <v>516</v>
      </c>
    </row>
    <row r="3951" spans="1:13" hidden="1">
      <c r="A3951" t="s">
        <v>55</v>
      </c>
      <c r="B3951" t="s">
        <v>8</v>
      </c>
      <c r="C3951" t="s">
        <v>54</v>
      </c>
      <c r="D3951" t="str">
        <f t="shared" si="1"/>
        <v>1/15/2025</v>
      </c>
      <c r="E3951" t="s">
        <v>202</v>
      </c>
      <c r="F3951" t="s">
        <v>203</v>
      </c>
      <c r="G3951" t="s">
        <v>206</v>
      </c>
      <c r="I3951">
        <v>7.5</v>
      </c>
      <c r="J3951">
        <v>30</v>
      </c>
      <c r="K3951">
        <v>4</v>
      </c>
      <c r="M3951" t="s">
        <v>516</v>
      </c>
    </row>
    <row r="3952" spans="1:13" hidden="1">
      <c r="A3952" t="s">
        <v>55</v>
      </c>
      <c r="B3952" t="s">
        <v>8</v>
      </c>
      <c r="C3952" t="s">
        <v>54</v>
      </c>
      <c r="D3952" t="str">
        <f t="shared" si="1"/>
        <v>1/15/2025</v>
      </c>
      <c r="E3952" t="s">
        <v>202</v>
      </c>
      <c r="F3952" t="s">
        <v>203</v>
      </c>
      <c r="G3952" t="s">
        <v>259</v>
      </c>
      <c r="I3952">
        <v>4.5</v>
      </c>
      <c r="J3952">
        <v>36</v>
      </c>
      <c r="K3952">
        <v>8</v>
      </c>
      <c r="M3952" t="s">
        <v>516</v>
      </c>
    </row>
    <row r="3953" spans="1:13" hidden="1">
      <c r="A3953" t="s">
        <v>55</v>
      </c>
      <c r="B3953" t="s">
        <v>8</v>
      </c>
      <c r="C3953" t="s">
        <v>54</v>
      </c>
      <c r="D3953" t="str">
        <f t="shared" si="1"/>
        <v>1/15/2025</v>
      </c>
      <c r="E3953" t="s">
        <v>202</v>
      </c>
      <c r="F3953" t="s">
        <v>203</v>
      </c>
      <c r="G3953" t="s">
        <v>215</v>
      </c>
      <c r="I3953">
        <v>106</v>
      </c>
      <c r="J3953">
        <v>127.2</v>
      </c>
      <c r="K3953">
        <v>1.2</v>
      </c>
      <c r="M3953" t="s">
        <v>516</v>
      </c>
    </row>
    <row r="3954" spans="1:13" hidden="1">
      <c r="A3954" t="s">
        <v>55</v>
      </c>
      <c r="B3954" t="s">
        <v>8</v>
      </c>
      <c r="C3954" t="s">
        <v>54</v>
      </c>
      <c r="D3954" t="str">
        <f t="shared" si="1"/>
        <v>1/15/2025</v>
      </c>
      <c r="E3954" t="s">
        <v>202</v>
      </c>
      <c r="F3954" t="s">
        <v>203</v>
      </c>
      <c r="G3954" t="s">
        <v>260</v>
      </c>
      <c r="I3954">
        <v>71.5</v>
      </c>
      <c r="J3954">
        <v>2788.5</v>
      </c>
      <c r="K3954">
        <v>39</v>
      </c>
      <c r="M3954" t="s">
        <v>516</v>
      </c>
    </row>
    <row r="3955" spans="1:13" hidden="1">
      <c r="A3955" t="s">
        <v>55</v>
      </c>
      <c r="B3955" t="s">
        <v>8</v>
      </c>
      <c r="C3955" t="s">
        <v>54</v>
      </c>
      <c r="D3955" t="str">
        <f t="shared" si="1"/>
        <v>1/15/2025</v>
      </c>
      <c r="E3955" t="s">
        <v>202</v>
      </c>
      <c r="F3955" t="s">
        <v>216</v>
      </c>
      <c r="G3955" t="s">
        <v>217</v>
      </c>
      <c r="I3955">
        <v>2020</v>
      </c>
      <c r="J3955">
        <v>1392</v>
      </c>
      <c r="K3955">
        <v>0.69</v>
      </c>
      <c r="M3955" t="s">
        <v>516</v>
      </c>
    </row>
    <row r="3956" spans="1:13" hidden="1">
      <c r="A3956" t="s">
        <v>55</v>
      </c>
      <c r="B3956" t="s">
        <v>8</v>
      </c>
      <c r="C3956" t="s">
        <v>54</v>
      </c>
      <c r="D3956" t="str">
        <f t="shared" si="1"/>
        <v>1/15/2025</v>
      </c>
      <c r="E3956" t="s">
        <v>202</v>
      </c>
      <c r="F3956" t="s">
        <v>306</v>
      </c>
      <c r="G3956" t="s">
        <v>307</v>
      </c>
      <c r="I3956">
        <v>61</v>
      </c>
      <c r="J3956">
        <v>122</v>
      </c>
      <c r="K3956">
        <v>2</v>
      </c>
      <c r="M3956" t="s">
        <v>516</v>
      </c>
    </row>
    <row r="3957" spans="1:13" hidden="1">
      <c r="A3957" t="s">
        <v>55</v>
      </c>
      <c r="B3957" t="s">
        <v>8</v>
      </c>
      <c r="C3957" t="s">
        <v>54</v>
      </c>
      <c r="D3957" t="str">
        <f t="shared" si="1"/>
        <v>1/15/2025</v>
      </c>
      <c r="E3957" t="s">
        <v>202</v>
      </c>
      <c r="F3957" t="s">
        <v>209</v>
      </c>
      <c r="G3957" t="s">
        <v>310</v>
      </c>
      <c r="I3957">
        <v>1</v>
      </c>
      <c r="J3957">
        <v>15</v>
      </c>
      <c r="K3957">
        <v>15</v>
      </c>
      <c r="M3957" t="s">
        <v>516</v>
      </c>
    </row>
    <row r="3958" spans="1:13" hidden="1">
      <c r="A3958" t="s">
        <v>55</v>
      </c>
      <c r="B3958" t="s">
        <v>8</v>
      </c>
      <c r="C3958" t="s">
        <v>54</v>
      </c>
      <c r="D3958" t="str">
        <f t="shared" si="1"/>
        <v>1/15/2025</v>
      </c>
      <c r="E3958" t="s">
        <v>202</v>
      </c>
      <c r="F3958" t="s">
        <v>209</v>
      </c>
      <c r="G3958" t="s">
        <v>210</v>
      </c>
      <c r="I3958">
        <v>17.5</v>
      </c>
      <c r="J3958">
        <v>43.75</v>
      </c>
      <c r="K3958">
        <v>2.5</v>
      </c>
      <c r="M3958" t="s">
        <v>516</v>
      </c>
    </row>
    <row r="3959" spans="1:13" hidden="1">
      <c r="A3959" t="s">
        <v>55</v>
      </c>
      <c r="B3959" t="s">
        <v>8</v>
      </c>
      <c r="C3959" t="s">
        <v>54</v>
      </c>
      <c r="D3959" t="str">
        <f t="shared" si="1"/>
        <v>1/15/2025</v>
      </c>
      <c r="E3959" t="s">
        <v>234</v>
      </c>
      <c r="F3959" t="s">
        <v>234</v>
      </c>
      <c r="G3959" t="s">
        <v>249</v>
      </c>
      <c r="I3959">
        <v>10770</v>
      </c>
      <c r="M3959" t="s">
        <v>516</v>
      </c>
    </row>
    <row r="3960" spans="1:13" hidden="1">
      <c r="A3960" t="s">
        <v>55</v>
      </c>
      <c r="B3960" t="s">
        <v>8</v>
      </c>
      <c r="C3960" t="s">
        <v>54</v>
      </c>
      <c r="D3960" t="str">
        <f t="shared" si="1"/>
        <v>1/15/2025</v>
      </c>
      <c r="E3960" t="s">
        <v>232</v>
      </c>
      <c r="F3960" t="s">
        <v>251</v>
      </c>
      <c r="G3960" t="s">
        <v>249</v>
      </c>
      <c r="I3960">
        <v>0</v>
      </c>
      <c r="J3960">
        <v>2820</v>
      </c>
      <c r="M3960" t="s">
        <v>516</v>
      </c>
    </row>
    <row r="3961" spans="1:13" hidden="1">
      <c r="A3961" t="s">
        <v>55</v>
      </c>
      <c r="B3961" t="s">
        <v>8</v>
      </c>
      <c r="C3961" t="s">
        <v>54</v>
      </c>
      <c r="D3961" t="str">
        <f t="shared" si="1"/>
        <v>1/15/2025</v>
      </c>
      <c r="E3961" t="s">
        <v>232</v>
      </c>
      <c r="F3961" t="s">
        <v>255</v>
      </c>
      <c r="G3961" t="s">
        <v>249</v>
      </c>
      <c r="I3961">
        <v>0</v>
      </c>
      <c r="J3961">
        <v>1698</v>
      </c>
      <c r="L3961" t="s">
        <v>520</v>
      </c>
      <c r="M3961" t="s">
        <v>516</v>
      </c>
    </row>
    <row r="3962" spans="1:13" hidden="1">
      <c r="A3962" t="s">
        <v>55</v>
      </c>
      <c r="B3962" t="s">
        <v>8</v>
      </c>
      <c r="C3962" t="s">
        <v>54</v>
      </c>
      <c r="D3962" t="str">
        <f t="shared" si="1"/>
        <v>1/15/2025</v>
      </c>
      <c r="E3962" t="s">
        <v>232</v>
      </c>
      <c r="F3962" t="s">
        <v>250</v>
      </c>
      <c r="G3962" t="s">
        <v>249</v>
      </c>
      <c r="I3962">
        <v>0</v>
      </c>
      <c r="J3962">
        <v>200</v>
      </c>
      <c r="M3962" t="s">
        <v>516</v>
      </c>
    </row>
    <row r="3963" spans="1:13" hidden="1">
      <c r="A3963" t="s">
        <v>55</v>
      </c>
      <c r="B3963" t="s">
        <v>8</v>
      </c>
      <c r="C3963" t="s">
        <v>54</v>
      </c>
      <c r="D3963" t="str">
        <f t="shared" si="1"/>
        <v>1/15/2025</v>
      </c>
      <c r="E3963" t="s">
        <v>232</v>
      </c>
      <c r="F3963" t="s">
        <v>296</v>
      </c>
      <c r="G3963" t="s">
        <v>249</v>
      </c>
      <c r="I3963">
        <v>0</v>
      </c>
      <c r="J3963">
        <v>800</v>
      </c>
      <c r="M3963" t="s">
        <v>516</v>
      </c>
    </row>
    <row r="3964" spans="1:13" hidden="1">
      <c r="A3964" t="s">
        <v>55</v>
      </c>
      <c r="B3964" t="s">
        <v>8</v>
      </c>
      <c r="C3964" t="s">
        <v>54</v>
      </c>
      <c r="D3964" t="str">
        <f t="shared" si="1"/>
        <v>1/15/2025</v>
      </c>
      <c r="E3964" t="s">
        <v>232</v>
      </c>
      <c r="F3964" t="s">
        <v>255</v>
      </c>
      <c r="G3964" t="s">
        <v>249</v>
      </c>
      <c r="I3964">
        <v>0</v>
      </c>
      <c r="J3964">
        <v>1870</v>
      </c>
      <c r="L3964" t="s">
        <v>277</v>
      </c>
      <c r="M3964" t="s">
        <v>516</v>
      </c>
    </row>
    <row r="3965" spans="1:13" hidden="1">
      <c r="A3965" t="s">
        <v>55</v>
      </c>
      <c r="B3965" t="s">
        <v>8</v>
      </c>
      <c r="C3965" t="s">
        <v>54</v>
      </c>
      <c r="D3965" t="str">
        <f t="shared" si="1"/>
        <v>1/15/2025</v>
      </c>
      <c r="E3965" t="s">
        <v>232</v>
      </c>
      <c r="F3965" t="s">
        <v>255</v>
      </c>
      <c r="G3965" t="s">
        <v>249</v>
      </c>
      <c r="I3965">
        <v>0</v>
      </c>
      <c r="J3965">
        <v>99</v>
      </c>
      <c r="L3965" t="s">
        <v>521</v>
      </c>
      <c r="M3965" t="s">
        <v>516</v>
      </c>
    </row>
    <row r="3966" spans="1:13" hidden="1">
      <c r="A3966" t="s">
        <v>55</v>
      </c>
      <c r="B3966" t="s">
        <v>8</v>
      </c>
      <c r="C3966" t="s">
        <v>54</v>
      </c>
      <c r="D3966" t="str">
        <f t="shared" si="1"/>
        <v>1/15/2025</v>
      </c>
      <c r="E3966" t="s">
        <v>232</v>
      </c>
      <c r="F3966" t="s">
        <v>272</v>
      </c>
      <c r="I3966">
        <v>0</v>
      </c>
      <c r="J3966">
        <v>60</v>
      </c>
      <c r="M3966" t="s">
        <v>516</v>
      </c>
    </row>
    <row r="3967" spans="1:13" hidden="1">
      <c r="A3967" t="s">
        <v>55</v>
      </c>
      <c r="B3967" t="s">
        <v>8</v>
      </c>
      <c r="C3967" t="s">
        <v>54</v>
      </c>
      <c r="D3967" t="str">
        <f t="shared" si="1"/>
        <v>1/15/2025</v>
      </c>
      <c r="E3967" t="s">
        <v>232</v>
      </c>
      <c r="F3967" t="s">
        <v>255</v>
      </c>
      <c r="G3967" t="s">
        <v>249</v>
      </c>
      <c r="I3967">
        <v>0</v>
      </c>
      <c r="J3967">
        <v>130</v>
      </c>
      <c r="L3967" t="s">
        <v>522</v>
      </c>
      <c r="M3967" t="s">
        <v>516</v>
      </c>
    </row>
    <row r="3968" spans="1:13" hidden="1">
      <c r="A3968" t="s">
        <v>55</v>
      </c>
      <c r="B3968" t="s">
        <v>8</v>
      </c>
      <c r="C3968" t="s">
        <v>54</v>
      </c>
      <c r="D3968" t="str">
        <f t="shared" si="1"/>
        <v>1/15/2025</v>
      </c>
      <c r="E3968" t="s">
        <v>232</v>
      </c>
      <c r="F3968" t="s">
        <v>255</v>
      </c>
      <c r="G3968" t="s">
        <v>249</v>
      </c>
      <c r="I3968">
        <v>0</v>
      </c>
      <c r="J3968">
        <v>250</v>
      </c>
      <c r="L3968" t="s">
        <v>523</v>
      </c>
      <c r="M3968" t="s">
        <v>516</v>
      </c>
    </row>
    <row r="3969" spans="1:13" hidden="1">
      <c r="A3969" t="s">
        <v>55</v>
      </c>
      <c r="B3969" t="s">
        <v>8</v>
      </c>
      <c r="C3969" t="s">
        <v>54</v>
      </c>
      <c r="D3969" t="str">
        <f t="shared" si="1"/>
        <v>1/15/2025</v>
      </c>
      <c r="E3969" t="s">
        <v>232</v>
      </c>
      <c r="F3969" t="s">
        <v>286</v>
      </c>
      <c r="G3969" t="s">
        <v>249</v>
      </c>
      <c r="I3969">
        <v>0</v>
      </c>
      <c r="J3969">
        <v>202</v>
      </c>
      <c r="M3969" t="s">
        <v>516</v>
      </c>
    </row>
    <row r="3970" spans="1:13" hidden="1">
      <c r="A3970" t="s">
        <v>55</v>
      </c>
      <c r="B3970" t="s">
        <v>8</v>
      </c>
      <c r="C3970" t="s">
        <v>54</v>
      </c>
      <c r="D3970" t="str">
        <f t="shared" si="1"/>
        <v>1/15/2025</v>
      </c>
      <c r="E3970" t="s">
        <v>230</v>
      </c>
      <c r="F3970" t="s">
        <v>248</v>
      </c>
      <c r="G3970" t="s">
        <v>249</v>
      </c>
      <c r="I3970">
        <v>0</v>
      </c>
      <c r="J3970">
        <v>22010.95</v>
      </c>
      <c r="M3970" t="s">
        <v>516</v>
      </c>
    </row>
    <row r="3971" spans="1:13" hidden="1">
      <c r="A3971" t="s">
        <v>55</v>
      </c>
      <c r="B3971" t="s">
        <v>8</v>
      </c>
      <c r="C3971" t="s">
        <v>54</v>
      </c>
      <c r="D3971" t="str">
        <f t="shared" si="1"/>
        <v>1/15/2025</v>
      </c>
      <c r="E3971" t="s">
        <v>232</v>
      </c>
      <c r="F3971" t="s">
        <v>254</v>
      </c>
      <c r="G3971" t="s">
        <v>249</v>
      </c>
      <c r="I3971">
        <v>0</v>
      </c>
      <c r="J3971">
        <v>8712.0400000000009</v>
      </c>
      <c r="M3971" t="s">
        <v>516</v>
      </c>
    </row>
    <row r="3972" spans="1:13" hidden="1">
      <c r="A3972" t="s">
        <v>55</v>
      </c>
      <c r="B3972" t="s">
        <v>8</v>
      </c>
      <c r="C3972" t="s">
        <v>54</v>
      </c>
      <c r="D3972" t="str">
        <f t="shared" si="1"/>
        <v>1/15/2025</v>
      </c>
      <c r="E3972" t="s">
        <v>232</v>
      </c>
      <c r="F3972" t="s">
        <v>255</v>
      </c>
      <c r="G3972" t="s">
        <v>249</v>
      </c>
      <c r="I3972">
        <v>0</v>
      </c>
      <c r="J3972">
        <v>15681.66</v>
      </c>
      <c r="L3972" t="s">
        <v>316</v>
      </c>
      <c r="M3972" t="s">
        <v>516</v>
      </c>
    </row>
    <row r="3973" spans="1:13" hidden="1">
      <c r="A3973" t="s">
        <v>55</v>
      </c>
      <c r="B3973" t="s">
        <v>8</v>
      </c>
      <c r="C3973" t="s">
        <v>54</v>
      </c>
      <c r="D3973" t="str">
        <f t="shared" si="1"/>
        <v>1/15/2025</v>
      </c>
      <c r="E3973" t="s">
        <v>232</v>
      </c>
      <c r="F3973" t="s">
        <v>255</v>
      </c>
      <c r="G3973" t="s">
        <v>249</v>
      </c>
      <c r="I3973">
        <v>0</v>
      </c>
      <c r="J3973">
        <v>2458</v>
      </c>
      <c r="L3973" t="s">
        <v>524</v>
      </c>
      <c r="M3973" t="s">
        <v>516</v>
      </c>
    </row>
    <row r="3974" spans="1:13" hidden="1">
      <c r="A3974" t="s">
        <v>183</v>
      </c>
      <c r="B3974" t="s">
        <v>8</v>
      </c>
      <c r="C3974" t="s">
        <v>182</v>
      </c>
      <c r="D3974" t="str">
        <f>LEFT(M3974,10)</f>
        <v>11/15/2024</v>
      </c>
      <c r="E3974" t="s">
        <v>202</v>
      </c>
      <c r="F3974" t="s">
        <v>203</v>
      </c>
      <c r="G3974" t="s">
        <v>207</v>
      </c>
      <c r="I3974">
        <v>85.4</v>
      </c>
      <c r="J3974">
        <v>341.6</v>
      </c>
      <c r="K3974">
        <v>4</v>
      </c>
      <c r="M3974" t="s">
        <v>289</v>
      </c>
    </row>
    <row r="3975" spans="1:13" hidden="1">
      <c r="A3975" t="s">
        <v>183</v>
      </c>
      <c r="B3975" t="s">
        <v>8</v>
      </c>
      <c r="C3975" t="s">
        <v>182</v>
      </c>
      <c r="D3975" t="str">
        <f>LEFT(M3975,10)</f>
        <v>11/15/2024</v>
      </c>
      <c r="E3975" t="s">
        <v>202</v>
      </c>
      <c r="F3975" t="s">
        <v>203</v>
      </c>
      <c r="G3975" t="s">
        <v>204</v>
      </c>
      <c r="I3975">
        <v>137</v>
      </c>
      <c r="J3975">
        <v>1156</v>
      </c>
      <c r="K3975">
        <v>8.44</v>
      </c>
      <c r="M3975" t="s">
        <v>289</v>
      </c>
    </row>
    <row r="3976" spans="1:13" hidden="1">
      <c r="A3976" t="s">
        <v>183</v>
      </c>
      <c r="B3976" t="s">
        <v>8</v>
      </c>
      <c r="C3976" t="s">
        <v>182</v>
      </c>
      <c r="D3976" t="str">
        <f>LEFT(M3976,10)</f>
        <v>11/15/2024</v>
      </c>
      <c r="E3976" t="s">
        <v>202</v>
      </c>
      <c r="F3976" t="s">
        <v>203</v>
      </c>
      <c r="G3976" t="s">
        <v>208</v>
      </c>
      <c r="I3976">
        <v>16.3</v>
      </c>
      <c r="J3976">
        <v>143.05000000000001</v>
      </c>
      <c r="K3976">
        <v>8.7799999999999994</v>
      </c>
      <c r="M3976" t="s">
        <v>289</v>
      </c>
    </row>
    <row r="3977" spans="1:13" hidden="1">
      <c r="A3977" t="s">
        <v>183</v>
      </c>
      <c r="B3977" t="s">
        <v>8</v>
      </c>
      <c r="C3977" t="s">
        <v>182</v>
      </c>
      <c r="D3977" t="str">
        <f>LEFT(M3977,10)</f>
        <v>11/15/2024</v>
      </c>
      <c r="E3977" t="s">
        <v>202</v>
      </c>
      <c r="F3977" t="s">
        <v>218</v>
      </c>
      <c r="G3977" t="s">
        <v>243</v>
      </c>
      <c r="H3977" t="s">
        <v>484</v>
      </c>
      <c r="I3977">
        <v>33</v>
      </c>
      <c r="J3977">
        <v>79.2</v>
      </c>
      <c r="K3977">
        <v>2.4</v>
      </c>
      <c r="M3977" t="s">
        <v>289</v>
      </c>
    </row>
    <row r="3978" spans="1:13" hidden="1">
      <c r="A3978" t="s">
        <v>183</v>
      </c>
      <c r="B3978" t="s">
        <v>8</v>
      </c>
      <c r="C3978" t="s">
        <v>182</v>
      </c>
      <c r="D3978" t="str">
        <f>LEFT(M3978,10)</f>
        <v>11/15/2024</v>
      </c>
      <c r="E3978" t="s">
        <v>202</v>
      </c>
      <c r="F3978" t="s">
        <v>203</v>
      </c>
      <c r="G3978" t="s">
        <v>261</v>
      </c>
      <c r="I3978">
        <v>11.9</v>
      </c>
      <c r="J3978">
        <v>452.2</v>
      </c>
      <c r="K3978">
        <v>38</v>
      </c>
      <c r="M3978" t="s">
        <v>289</v>
      </c>
    </row>
    <row r="3979" spans="1:13" hidden="1">
      <c r="A3979" t="s">
        <v>183</v>
      </c>
      <c r="B3979" t="s">
        <v>8</v>
      </c>
      <c r="C3979" t="s">
        <v>182</v>
      </c>
      <c r="D3979" t="str">
        <f>LEFT(M3979,10)</f>
        <v>11/15/2024</v>
      </c>
      <c r="E3979" t="s">
        <v>202</v>
      </c>
      <c r="F3979" t="s">
        <v>203</v>
      </c>
      <c r="G3979" t="s">
        <v>259</v>
      </c>
      <c r="I3979">
        <v>4.9000000000000004</v>
      </c>
      <c r="J3979">
        <v>93.1</v>
      </c>
      <c r="K3979">
        <v>19</v>
      </c>
      <c r="M3979" t="s">
        <v>289</v>
      </c>
    </row>
    <row r="3980" spans="1:13" hidden="1">
      <c r="A3980" t="s">
        <v>183</v>
      </c>
      <c r="B3980" t="s">
        <v>8</v>
      </c>
      <c r="C3980" t="s">
        <v>182</v>
      </c>
      <c r="D3980" t="str">
        <f>LEFT(M3980,10)</f>
        <v>11/15/2024</v>
      </c>
      <c r="E3980" t="s">
        <v>202</v>
      </c>
      <c r="F3980" t="s">
        <v>227</v>
      </c>
      <c r="G3980" t="s">
        <v>229</v>
      </c>
      <c r="I3980">
        <v>5039</v>
      </c>
      <c r="J3980">
        <v>4031.2</v>
      </c>
      <c r="K3980">
        <v>0.8</v>
      </c>
      <c r="M3980" t="s">
        <v>289</v>
      </c>
    </row>
    <row r="3981" spans="1:13" hidden="1">
      <c r="A3981" t="s">
        <v>183</v>
      </c>
      <c r="B3981" t="s">
        <v>8</v>
      </c>
      <c r="C3981" t="s">
        <v>182</v>
      </c>
      <c r="D3981" t="str">
        <f>LEFT(M3981,10)</f>
        <v>11/15/2024</v>
      </c>
      <c r="E3981" t="s">
        <v>202</v>
      </c>
      <c r="F3981" t="s">
        <v>227</v>
      </c>
      <c r="G3981" t="s">
        <v>237</v>
      </c>
      <c r="I3981">
        <v>340</v>
      </c>
      <c r="J3981">
        <v>221</v>
      </c>
      <c r="K3981">
        <v>0.65</v>
      </c>
      <c r="M3981" t="s">
        <v>289</v>
      </c>
    </row>
    <row r="3982" spans="1:13" hidden="1">
      <c r="A3982" t="s">
        <v>183</v>
      </c>
      <c r="B3982" t="s">
        <v>8</v>
      </c>
      <c r="C3982" t="s">
        <v>182</v>
      </c>
      <c r="D3982" t="str">
        <f>LEFT(M3982,10)</f>
        <v>11/15/2024</v>
      </c>
      <c r="E3982" t="s">
        <v>202</v>
      </c>
      <c r="F3982" t="s">
        <v>227</v>
      </c>
      <c r="G3982" t="s">
        <v>238</v>
      </c>
      <c r="I3982">
        <v>129</v>
      </c>
      <c r="J3982">
        <v>51.6</v>
      </c>
      <c r="K3982">
        <v>0.4</v>
      </c>
      <c r="M3982" t="s">
        <v>289</v>
      </c>
    </row>
    <row r="3983" spans="1:13" hidden="1">
      <c r="A3983" t="s">
        <v>183</v>
      </c>
      <c r="B3983" t="s">
        <v>8</v>
      </c>
      <c r="C3983" t="s">
        <v>182</v>
      </c>
      <c r="D3983" t="str">
        <f>LEFT(M3983,10)</f>
        <v>11/15/2024</v>
      </c>
      <c r="E3983" t="s">
        <v>202</v>
      </c>
      <c r="F3983" t="s">
        <v>227</v>
      </c>
      <c r="G3983" t="s">
        <v>228</v>
      </c>
      <c r="I3983">
        <v>4015</v>
      </c>
      <c r="J3983">
        <v>1405.25</v>
      </c>
      <c r="K3983">
        <v>0.35</v>
      </c>
      <c r="M3983" t="s">
        <v>289</v>
      </c>
    </row>
    <row r="3984" spans="1:13" hidden="1">
      <c r="A3984" t="s">
        <v>183</v>
      </c>
      <c r="B3984" t="s">
        <v>8</v>
      </c>
      <c r="C3984" t="s">
        <v>182</v>
      </c>
      <c r="D3984" t="str">
        <f>LEFT(M3984,10)</f>
        <v>11/15/2024</v>
      </c>
      <c r="E3984" t="s">
        <v>202</v>
      </c>
      <c r="F3984" t="s">
        <v>218</v>
      </c>
      <c r="G3984" t="s">
        <v>221</v>
      </c>
      <c r="I3984">
        <v>240</v>
      </c>
      <c r="J3984">
        <v>624</v>
      </c>
      <c r="K3984">
        <v>2.6</v>
      </c>
      <c r="M3984" t="s">
        <v>289</v>
      </c>
    </row>
    <row r="3985" spans="1:13" hidden="1">
      <c r="A3985" t="s">
        <v>183</v>
      </c>
      <c r="B3985" t="s">
        <v>8</v>
      </c>
      <c r="C3985" t="s">
        <v>182</v>
      </c>
      <c r="D3985" t="str">
        <f>LEFT(M3985,10)</f>
        <v>11/15/2024</v>
      </c>
      <c r="E3985" t="s">
        <v>202</v>
      </c>
      <c r="F3985" t="s">
        <v>218</v>
      </c>
      <c r="G3985" t="s">
        <v>221</v>
      </c>
      <c r="I3985">
        <v>367</v>
      </c>
      <c r="J3985">
        <v>954.2</v>
      </c>
      <c r="K3985">
        <v>2.6</v>
      </c>
      <c r="M3985" t="s">
        <v>289</v>
      </c>
    </row>
    <row r="3986" spans="1:13" hidden="1">
      <c r="A3986" t="s">
        <v>183</v>
      </c>
      <c r="B3986" t="s">
        <v>8</v>
      </c>
      <c r="C3986" t="s">
        <v>182</v>
      </c>
      <c r="D3986" t="str">
        <f>LEFT(M3986,10)</f>
        <v>11/15/2024</v>
      </c>
      <c r="E3986" t="s">
        <v>202</v>
      </c>
      <c r="F3986" t="s">
        <v>218</v>
      </c>
      <c r="G3986" t="s">
        <v>220</v>
      </c>
      <c r="I3986">
        <v>1037</v>
      </c>
      <c r="J3986">
        <v>1555.5</v>
      </c>
      <c r="K3986">
        <v>1.5</v>
      </c>
      <c r="M3986" t="s">
        <v>289</v>
      </c>
    </row>
    <row r="3987" spans="1:13" hidden="1">
      <c r="A3987" t="s">
        <v>183</v>
      </c>
      <c r="B3987" t="s">
        <v>8</v>
      </c>
      <c r="C3987" t="s">
        <v>182</v>
      </c>
      <c r="D3987" t="str">
        <f>LEFT(M3987,10)</f>
        <v>11/15/2024</v>
      </c>
      <c r="E3987" t="s">
        <v>202</v>
      </c>
      <c r="F3987" t="s">
        <v>218</v>
      </c>
      <c r="G3987" t="s">
        <v>223</v>
      </c>
      <c r="I3987">
        <v>1243</v>
      </c>
      <c r="J3987">
        <v>994.4</v>
      </c>
      <c r="K3987">
        <v>0.8</v>
      </c>
      <c r="M3987" t="s">
        <v>289</v>
      </c>
    </row>
    <row r="3988" spans="1:13" hidden="1">
      <c r="A3988" t="s">
        <v>183</v>
      </c>
      <c r="B3988" t="s">
        <v>8</v>
      </c>
      <c r="C3988" t="s">
        <v>182</v>
      </c>
      <c r="D3988" t="str">
        <f>LEFT(M3988,10)</f>
        <v>11/15/2024</v>
      </c>
      <c r="E3988" t="s">
        <v>202</v>
      </c>
      <c r="F3988" t="s">
        <v>218</v>
      </c>
      <c r="G3988" t="s">
        <v>223</v>
      </c>
      <c r="I3988">
        <v>233</v>
      </c>
      <c r="J3988">
        <v>163.1</v>
      </c>
      <c r="K3988">
        <v>0.7</v>
      </c>
      <c r="M3988" t="s">
        <v>289</v>
      </c>
    </row>
    <row r="3989" spans="1:13" hidden="1">
      <c r="A3989" t="s">
        <v>183</v>
      </c>
      <c r="B3989" t="s">
        <v>8</v>
      </c>
      <c r="C3989" t="s">
        <v>182</v>
      </c>
      <c r="D3989" t="str">
        <f>LEFT(M3989,10)</f>
        <v>11/15/2024</v>
      </c>
      <c r="E3989" t="s">
        <v>202</v>
      </c>
      <c r="F3989" t="s">
        <v>218</v>
      </c>
      <c r="G3989" t="s">
        <v>219</v>
      </c>
      <c r="I3989">
        <v>65</v>
      </c>
      <c r="J3989">
        <v>13</v>
      </c>
      <c r="K3989">
        <v>0.2</v>
      </c>
      <c r="M3989" t="s">
        <v>289</v>
      </c>
    </row>
    <row r="3990" spans="1:13" hidden="1">
      <c r="A3990" t="s">
        <v>183</v>
      </c>
      <c r="B3990" t="s">
        <v>8</v>
      </c>
      <c r="C3990" t="s">
        <v>182</v>
      </c>
      <c r="D3990" t="str">
        <f>LEFT(M3990,10)</f>
        <v>11/15/2024</v>
      </c>
      <c r="E3990" t="s">
        <v>202</v>
      </c>
      <c r="F3990" t="s">
        <v>218</v>
      </c>
      <c r="G3990" t="s">
        <v>240</v>
      </c>
      <c r="I3990">
        <v>802</v>
      </c>
      <c r="J3990">
        <v>3528.8</v>
      </c>
      <c r="K3990">
        <v>4.4000000000000004</v>
      </c>
      <c r="M3990" t="s">
        <v>289</v>
      </c>
    </row>
    <row r="3991" spans="1:13" hidden="1">
      <c r="A3991" t="s">
        <v>183</v>
      </c>
      <c r="B3991" t="s">
        <v>8</v>
      </c>
      <c r="C3991" t="s">
        <v>182</v>
      </c>
      <c r="D3991" t="str">
        <f>LEFT(M3991,10)</f>
        <v>11/15/2024</v>
      </c>
      <c r="E3991" t="s">
        <v>202</v>
      </c>
      <c r="F3991" t="s">
        <v>218</v>
      </c>
      <c r="G3991" t="s">
        <v>242</v>
      </c>
      <c r="I3991">
        <v>40</v>
      </c>
      <c r="J3991">
        <v>40</v>
      </c>
      <c r="K3991">
        <v>1</v>
      </c>
      <c r="M3991" t="s">
        <v>289</v>
      </c>
    </row>
    <row r="3992" spans="1:13" hidden="1">
      <c r="A3992" t="s">
        <v>183</v>
      </c>
      <c r="B3992" t="s">
        <v>8</v>
      </c>
      <c r="C3992" t="s">
        <v>182</v>
      </c>
      <c r="D3992" t="str">
        <f>LEFT(M3992,10)</f>
        <v>11/15/2024</v>
      </c>
      <c r="E3992" t="s">
        <v>202</v>
      </c>
      <c r="F3992" t="s">
        <v>218</v>
      </c>
      <c r="G3992" t="s">
        <v>241</v>
      </c>
      <c r="I3992">
        <v>78</v>
      </c>
      <c r="J3992">
        <v>343.2</v>
      </c>
      <c r="K3992">
        <v>4.4000000000000004</v>
      </c>
      <c r="M3992" t="s">
        <v>289</v>
      </c>
    </row>
    <row r="3993" spans="1:13" hidden="1">
      <c r="A3993" t="s">
        <v>183</v>
      </c>
      <c r="B3993" t="s">
        <v>8</v>
      </c>
      <c r="C3993" t="s">
        <v>182</v>
      </c>
      <c r="D3993" t="str">
        <f>LEFT(M3993,10)</f>
        <v>11/15/2024</v>
      </c>
      <c r="E3993" t="s">
        <v>202</v>
      </c>
      <c r="F3993" t="s">
        <v>218</v>
      </c>
      <c r="G3993" t="s">
        <v>226</v>
      </c>
      <c r="I3993">
        <v>3975</v>
      </c>
      <c r="J3993">
        <v>1192.5</v>
      </c>
      <c r="K3993">
        <v>0.3</v>
      </c>
      <c r="M3993" t="s">
        <v>289</v>
      </c>
    </row>
    <row r="3994" spans="1:13" hidden="1">
      <c r="A3994" t="s">
        <v>183</v>
      </c>
      <c r="B3994" t="s">
        <v>8</v>
      </c>
      <c r="C3994" t="s">
        <v>182</v>
      </c>
      <c r="D3994" t="str">
        <f>LEFT(M3994,10)</f>
        <v>11/15/2024</v>
      </c>
      <c r="E3994" t="s">
        <v>202</v>
      </c>
      <c r="F3994" t="s">
        <v>218</v>
      </c>
      <c r="G3994" t="s">
        <v>222</v>
      </c>
      <c r="I3994">
        <v>1440</v>
      </c>
      <c r="J3994">
        <v>1927.9</v>
      </c>
      <c r="K3994">
        <v>1.34</v>
      </c>
      <c r="M3994" t="s">
        <v>289</v>
      </c>
    </row>
    <row r="3995" spans="1:13" hidden="1">
      <c r="A3995" t="s">
        <v>183</v>
      </c>
      <c r="B3995" t="s">
        <v>8</v>
      </c>
      <c r="C3995" t="s">
        <v>182</v>
      </c>
      <c r="D3995" t="str">
        <f>LEFT(M3995,10)</f>
        <v>11/15/2024</v>
      </c>
      <c r="E3995" t="s">
        <v>202</v>
      </c>
      <c r="F3995" t="s">
        <v>218</v>
      </c>
      <c r="G3995" t="s">
        <v>222</v>
      </c>
      <c r="I3995">
        <v>208</v>
      </c>
      <c r="J3995">
        <v>374.4</v>
      </c>
      <c r="K3995">
        <v>1.8</v>
      </c>
      <c r="M3995" t="s">
        <v>289</v>
      </c>
    </row>
    <row r="3996" spans="1:13" hidden="1">
      <c r="A3996" t="s">
        <v>183</v>
      </c>
      <c r="B3996" t="s">
        <v>8</v>
      </c>
      <c r="C3996" t="s">
        <v>182</v>
      </c>
      <c r="D3996" t="str">
        <f>LEFT(M3996,10)</f>
        <v>11/15/2024</v>
      </c>
      <c r="E3996" t="s">
        <v>202</v>
      </c>
      <c r="F3996" t="s">
        <v>218</v>
      </c>
      <c r="G3996" t="s">
        <v>225</v>
      </c>
      <c r="I3996">
        <v>112</v>
      </c>
      <c r="J3996">
        <v>89.6</v>
      </c>
      <c r="K3996">
        <v>0.8</v>
      </c>
      <c r="M3996" t="s">
        <v>289</v>
      </c>
    </row>
    <row r="3997" spans="1:13" hidden="1">
      <c r="A3997" t="s">
        <v>183</v>
      </c>
      <c r="B3997" t="s">
        <v>8</v>
      </c>
      <c r="C3997" t="s">
        <v>182</v>
      </c>
      <c r="D3997" t="str">
        <f>LEFT(M3997,10)</f>
        <v>11/15/2024</v>
      </c>
      <c r="E3997" t="s">
        <v>202</v>
      </c>
      <c r="F3997" t="s">
        <v>218</v>
      </c>
      <c r="G3997" t="s">
        <v>224</v>
      </c>
      <c r="I3997">
        <v>179</v>
      </c>
      <c r="J3997">
        <v>196.9</v>
      </c>
      <c r="K3997">
        <v>1.1000000000000001</v>
      </c>
      <c r="M3997" t="s">
        <v>289</v>
      </c>
    </row>
    <row r="3998" spans="1:13" hidden="1">
      <c r="A3998" t="s">
        <v>183</v>
      </c>
      <c r="B3998" t="s">
        <v>8</v>
      </c>
      <c r="C3998" t="s">
        <v>182</v>
      </c>
      <c r="D3998" t="str">
        <f>LEFT(M3998,10)</f>
        <v>11/15/2024</v>
      </c>
      <c r="E3998" t="s">
        <v>202</v>
      </c>
      <c r="F3998" t="s">
        <v>227</v>
      </c>
      <c r="G3998" t="s">
        <v>252</v>
      </c>
      <c r="I3998">
        <v>405</v>
      </c>
      <c r="J3998">
        <v>162</v>
      </c>
      <c r="K3998">
        <v>0.4</v>
      </c>
      <c r="M3998" t="s">
        <v>289</v>
      </c>
    </row>
    <row r="3999" spans="1:13" hidden="1">
      <c r="A3999" t="s">
        <v>183</v>
      </c>
      <c r="B3999" t="s">
        <v>8</v>
      </c>
      <c r="C3999" t="s">
        <v>182</v>
      </c>
      <c r="D3999" t="str">
        <f>LEFT(M3999,10)</f>
        <v>11/15/2024</v>
      </c>
      <c r="E3999" t="s">
        <v>202</v>
      </c>
      <c r="F3999" t="s">
        <v>216</v>
      </c>
      <c r="G3999" t="s">
        <v>253</v>
      </c>
      <c r="I3999">
        <v>19060</v>
      </c>
      <c r="J3999">
        <v>3812</v>
      </c>
      <c r="K3999">
        <v>0.2</v>
      </c>
      <c r="M3999" t="s">
        <v>289</v>
      </c>
    </row>
    <row r="4000" spans="1:13" hidden="1">
      <c r="A4000" t="s">
        <v>183</v>
      </c>
      <c r="B4000" t="s">
        <v>8</v>
      </c>
      <c r="C4000" t="s">
        <v>182</v>
      </c>
      <c r="D4000" t="str">
        <f>LEFT(M4000,10)</f>
        <v>11/15/2024</v>
      </c>
      <c r="E4000" t="s">
        <v>230</v>
      </c>
      <c r="F4000" t="s">
        <v>248</v>
      </c>
      <c r="G4000" t="s">
        <v>249</v>
      </c>
      <c r="I4000">
        <v>0</v>
      </c>
      <c r="J4000">
        <v>14689.36</v>
      </c>
      <c r="M4000" t="s">
        <v>289</v>
      </c>
    </row>
    <row r="4001" spans="1:13" hidden="1">
      <c r="A4001" t="s">
        <v>183</v>
      </c>
      <c r="B4001" t="s">
        <v>8</v>
      </c>
      <c r="C4001" t="s">
        <v>182</v>
      </c>
      <c r="D4001" t="str">
        <f>LEFT(M4001,10)</f>
        <v>11/15/2024</v>
      </c>
      <c r="E4001" t="s">
        <v>232</v>
      </c>
      <c r="F4001" t="s">
        <v>255</v>
      </c>
      <c r="G4001" t="s">
        <v>249</v>
      </c>
      <c r="I4001">
        <v>0</v>
      </c>
      <c r="J4001">
        <v>776</v>
      </c>
      <c r="L4001" t="s">
        <v>316</v>
      </c>
      <c r="M4001" t="s">
        <v>289</v>
      </c>
    </row>
    <row r="4002" spans="1:13" hidden="1">
      <c r="A4002" t="s">
        <v>183</v>
      </c>
      <c r="B4002" t="s">
        <v>8</v>
      </c>
      <c r="C4002" t="s">
        <v>182</v>
      </c>
      <c r="D4002" t="str">
        <f>LEFT(M4002,10)</f>
        <v>11/15/2024</v>
      </c>
      <c r="E4002" t="s">
        <v>232</v>
      </c>
      <c r="F4002" t="s">
        <v>255</v>
      </c>
      <c r="G4002" t="s">
        <v>249</v>
      </c>
      <c r="I4002">
        <v>0</v>
      </c>
      <c r="J4002">
        <v>340</v>
      </c>
      <c r="L4002" t="s">
        <v>525</v>
      </c>
      <c r="M4002" t="s">
        <v>289</v>
      </c>
    </row>
    <row r="4003" spans="1:13" hidden="1">
      <c r="A4003" t="s">
        <v>183</v>
      </c>
      <c r="B4003" t="s">
        <v>8</v>
      </c>
      <c r="C4003" t="s">
        <v>182</v>
      </c>
      <c r="D4003" t="str">
        <f>LEFT(M4003,10)</f>
        <v>11/15/2024</v>
      </c>
      <c r="E4003" t="s">
        <v>232</v>
      </c>
      <c r="F4003" t="s">
        <v>262</v>
      </c>
      <c r="G4003" t="s">
        <v>249</v>
      </c>
      <c r="I4003">
        <v>0</v>
      </c>
      <c r="J4003">
        <v>300</v>
      </c>
      <c r="M4003" t="s">
        <v>289</v>
      </c>
    </row>
    <row r="4004" spans="1:13" hidden="1">
      <c r="A4004" t="s">
        <v>183</v>
      </c>
      <c r="B4004" t="s">
        <v>8</v>
      </c>
      <c r="C4004" t="s">
        <v>182</v>
      </c>
      <c r="D4004" t="str">
        <f>LEFT(M4004,10)</f>
        <v>11/15/2024</v>
      </c>
      <c r="E4004" t="s">
        <v>232</v>
      </c>
      <c r="F4004" t="s">
        <v>272</v>
      </c>
      <c r="G4004" t="s">
        <v>249</v>
      </c>
      <c r="I4004">
        <v>0</v>
      </c>
      <c r="J4004">
        <v>600</v>
      </c>
      <c r="M4004" t="s">
        <v>289</v>
      </c>
    </row>
    <row r="4005" spans="1:13" hidden="1">
      <c r="A4005" t="s">
        <v>183</v>
      </c>
      <c r="B4005" t="s">
        <v>8</v>
      </c>
      <c r="C4005" t="s">
        <v>182</v>
      </c>
      <c r="D4005" t="str">
        <f>LEFT(M4005,10)</f>
        <v>11/15/2024</v>
      </c>
      <c r="E4005" t="s">
        <v>234</v>
      </c>
      <c r="F4005" t="s">
        <v>234</v>
      </c>
      <c r="G4005" t="s">
        <v>249</v>
      </c>
      <c r="I4005">
        <v>3091</v>
      </c>
      <c r="M4005" t="s">
        <v>289</v>
      </c>
    </row>
    <row r="4006" spans="1:13" hidden="1">
      <c r="A4006" t="s">
        <v>183</v>
      </c>
      <c r="B4006" t="s">
        <v>8</v>
      </c>
      <c r="C4006" t="s">
        <v>182</v>
      </c>
      <c r="D4006" t="str">
        <f>LEFT(M4006,10)</f>
        <v>12/15/2024</v>
      </c>
      <c r="E4006" t="s">
        <v>202</v>
      </c>
      <c r="F4006" t="s">
        <v>209</v>
      </c>
      <c r="G4006" t="s">
        <v>214</v>
      </c>
      <c r="I4006">
        <v>75</v>
      </c>
      <c r="J4006">
        <v>15</v>
      </c>
      <c r="K4006">
        <v>0.2</v>
      </c>
      <c r="M4006" t="s">
        <v>205</v>
      </c>
    </row>
    <row r="4007" spans="1:13" hidden="1">
      <c r="A4007" t="s">
        <v>183</v>
      </c>
      <c r="B4007" t="s">
        <v>8</v>
      </c>
      <c r="C4007" t="s">
        <v>182</v>
      </c>
      <c r="D4007" t="str">
        <f>LEFT(M4007,10)</f>
        <v>12/15/2024</v>
      </c>
      <c r="E4007" t="s">
        <v>202</v>
      </c>
      <c r="F4007" t="s">
        <v>203</v>
      </c>
      <c r="G4007" t="s">
        <v>207</v>
      </c>
      <c r="I4007">
        <v>47</v>
      </c>
      <c r="J4007">
        <v>188</v>
      </c>
      <c r="K4007">
        <v>4</v>
      </c>
      <c r="M4007" t="s">
        <v>205</v>
      </c>
    </row>
    <row r="4008" spans="1:13" hidden="1">
      <c r="A4008" t="s">
        <v>183</v>
      </c>
      <c r="B4008" t="s">
        <v>8</v>
      </c>
      <c r="C4008" t="s">
        <v>182</v>
      </c>
      <c r="D4008" t="str">
        <f>LEFT(M4008,10)</f>
        <v>12/15/2024</v>
      </c>
      <c r="E4008" t="s">
        <v>202</v>
      </c>
      <c r="F4008" t="s">
        <v>203</v>
      </c>
      <c r="G4008" t="s">
        <v>204</v>
      </c>
      <c r="I4008">
        <v>85.5</v>
      </c>
      <c r="J4008">
        <v>760.95</v>
      </c>
      <c r="K4008">
        <v>8.9</v>
      </c>
      <c r="M4008" t="s">
        <v>205</v>
      </c>
    </row>
    <row r="4009" spans="1:13" hidden="1">
      <c r="A4009" t="s">
        <v>183</v>
      </c>
      <c r="B4009" t="s">
        <v>8</v>
      </c>
      <c r="C4009" t="s">
        <v>182</v>
      </c>
      <c r="D4009" t="str">
        <f>LEFT(M4009,10)</f>
        <v>12/15/2024</v>
      </c>
      <c r="E4009" t="s">
        <v>202</v>
      </c>
      <c r="F4009" t="s">
        <v>203</v>
      </c>
      <c r="G4009" t="s">
        <v>208</v>
      </c>
      <c r="I4009">
        <v>9</v>
      </c>
      <c r="J4009">
        <v>81</v>
      </c>
      <c r="K4009">
        <v>9</v>
      </c>
      <c r="M4009" t="s">
        <v>205</v>
      </c>
    </row>
    <row r="4010" spans="1:13" hidden="1">
      <c r="A4010" t="s">
        <v>183</v>
      </c>
      <c r="B4010" t="s">
        <v>8</v>
      </c>
      <c r="C4010" t="s">
        <v>182</v>
      </c>
      <c r="D4010" t="str">
        <f>LEFT(M4010,10)</f>
        <v>12/15/2024</v>
      </c>
      <c r="E4010" t="s">
        <v>202</v>
      </c>
      <c r="F4010" t="s">
        <v>227</v>
      </c>
      <c r="G4010" t="s">
        <v>229</v>
      </c>
      <c r="I4010">
        <v>42</v>
      </c>
      <c r="J4010">
        <v>100.8</v>
      </c>
      <c r="K4010">
        <v>2.4</v>
      </c>
      <c r="M4010" t="s">
        <v>205</v>
      </c>
    </row>
    <row r="4011" spans="1:13" hidden="1">
      <c r="A4011" t="s">
        <v>183</v>
      </c>
      <c r="B4011" t="s">
        <v>8</v>
      </c>
      <c r="C4011" t="s">
        <v>182</v>
      </c>
      <c r="D4011" t="str">
        <f>LEFT(M4011,10)</f>
        <v>12/15/2024</v>
      </c>
      <c r="E4011" t="s">
        <v>202</v>
      </c>
      <c r="F4011" t="s">
        <v>203</v>
      </c>
      <c r="G4011" t="s">
        <v>261</v>
      </c>
      <c r="I4011">
        <v>48.4</v>
      </c>
      <c r="J4011">
        <v>479.9</v>
      </c>
      <c r="K4011">
        <v>9.92</v>
      </c>
      <c r="M4011" t="s">
        <v>205</v>
      </c>
    </row>
    <row r="4012" spans="1:13" hidden="1">
      <c r="A4012" t="s">
        <v>183</v>
      </c>
      <c r="B4012" t="s">
        <v>8</v>
      </c>
      <c r="C4012" t="s">
        <v>182</v>
      </c>
      <c r="D4012" t="str">
        <f>LEFT(M4012,10)</f>
        <v>12/15/2024</v>
      </c>
      <c r="E4012" t="s">
        <v>202</v>
      </c>
      <c r="F4012" t="s">
        <v>227</v>
      </c>
      <c r="G4012" t="s">
        <v>229</v>
      </c>
      <c r="I4012">
        <v>7116</v>
      </c>
      <c r="J4012">
        <v>5692.8</v>
      </c>
      <c r="K4012">
        <v>0.8</v>
      </c>
      <c r="M4012" t="s">
        <v>205</v>
      </c>
    </row>
    <row r="4013" spans="1:13" hidden="1">
      <c r="A4013" t="s">
        <v>183</v>
      </c>
      <c r="B4013" t="s">
        <v>8</v>
      </c>
      <c r="C4013" t="s">
        <v>182</v>
      </c>
      <c r="D4013" t="str">
        <f>LEFT(M4013,10)</f>
        <v>12/15/2024</v>
      </c>
      <c r="E4013" t="s">
        <v>202</v>
      </c>
      <c r="F4013" t="s">
        <v>227</v>
      </c>
      <c r="G4013" t="s">
        <v>237</v>
      </c>
      <c r="I4013">
        <v>91</v>
      </c>
      <c r="J4013">
        <v>59.15</v>
      </c>
      <c r="K4013">
        <v>0.65</v>
      </c>
      <c r="M4013" t="s">
        <v>205</v>
      </c>
    </row>
    <row r="4014" spans="1:13" hidden="1">
      <c r="A4014" t="s">
        <v>183</v>
      </c>
      <c r="B4014" t="s">
        <v>8</v>
      </c>
      <c r="C4014" t="s">
        <v>182</v>
      </c>
      <c r="D4014" t="str">
        <f>LEFT(M4014,10)</f>
        <v>12/15/2024</v>
      </c>
      <c r="E4014" t="s">
        <v>202</v>
      </c>
      <c r="F4014" t="s">
        <v>227</v>
      </c>
      <c r="G4014" t="s">
        <v>228</v>
      </c>
      <c r="I4014">
        <v>7035</v>
      </c>
      <c r="J4014">
        <v>2462.25</v>
      </c>
      <c r="K4014">
        <v>0.35</v>
      </c>
      <c r="M4014" t="s">
        <v>205</v>
      </c>
    </row>
    <row r="4015" spans="1:13" hidden="1">
      <c r="A4015" t="s">
        <v>183</v>
      </c>
      <c r="B4015" t="s">
        <v>8</v>
      </c>
      <c r="C4015" t="s">
        <v>182</v>
      </c>
      <c r="D4015" t="str">
        <f>LEFT(M4015,10)</f>
        <v>12/15/2024</v>
      </c>
      <c r="E4015" t="s">
        <v>202</v>
      </c>
      <c r="F4015" t="s">
        <v>218</v>
      </c>
      <c r="G4015" t="s">
        <v>221</v>
      </c>
      <c r="I4015">
        <v>184</v>
      </c>
      <c r="J4015">
        <v>478.4</v>
      </c>
      <c r="K4015">
        <v>2.6</v>
      </c>
      <c r="M4015" t="s">
        <v>205</v>
      </c>
    </row>
    <row r="4016" spans="1:13" hidden="1">
      <c r="A4016" t="s">
        <v>183</v>
      </c>
      <c r="B4016" t="s">
        <v>8</v>
      </c>
      <c r="C4016" t="s">
        <v>182</v>
      </c>
      <c r="D4016" t="str">
        <f>LEFT(M4016,10)</f>
        <v>12/15/2024</v>
      </c>
      <c r="E4016" t="s">
        <v>202</v>
      </c>
      <c r="F4016" t="s">
        <v>218</v>
      </c>
      <c r="G4016" t="s">
        <v>221</v>
      </c>
      <c r="I4016">
        <v>431</v>
      </c>
      <c r="J4016">
        <v>1120.5999999999999</v>
      </c>
      <c r="K4016">
        <v>2.6</v>
      </c>
      <c r="M4016" t="s">
        <v>205</v>
      </c>
    </row>
    <row r="4017" spans="1:13" hidden="1">
      <c r="A4017" t="s">
        <v>183</v>
      </c>
      <c r="B4017" t="s">
        <v>8</v>
      </c>
      <c r="C4017" t="s">
        <v>182</v>
      </c>
      <c r="D4017" t="str">
        <f>LEFT(M4017,10)</f>
        <v>12/15/2024</v>
      </c>
      <c r="E4017" t="s">
        <v>202</v>
      </c>
      <c r="F4017" t="s">
        <v>218</v>
      </c>
      <c r="G4017" t="s">
        <v>220</v>
      </c>
      <c r="I4017">
        <v>1690</v>
      </c>
      <c r="J4017">
        <v>2535</v>
      </c>
      <c r="K4017">
        <v>1.5</v>
      </c>
      <c r="M4017" t="s">
        <v>205</v>
      </c>
    </row>
    <row r="4018" spans="1:13" hidden="1">
      <c r="A4018" t="s">
        <v>183</v>
      </c>
      <c r="B4018" t="s">
        <v>8</v>
      </c>
      <c r="C4018" t="s">
        <v>182</v>
      </c>
      <c r="D4018" t="str">
        <f>LEFT(M4018,10)</f>
        <v>12/15/2024</v>
      </c>
      <c r="E4018" t="s">
        <v>202</v>
      </c>
      <c r="F4018" t="s">
        <v>218</v>
      </c>
      <c r="G4018" t="s">
        <v>223</v>
      </c>
      <c r="I4018">
        <v>1501</v>
      </c>
      <c r="J4018">
        <v>1200.8</v>
      </c>
      <c r="K4018">
        <v>0.8</v>
      </c>
      <c r="M4018" t="s">
        <v>205</v>
      </c>
    </row>
    <row r="4019" spans="1:13" hidden="1">
      <c r="A4019" t="s">
        <v>183</v>
      </c>
      <c r="B4019" t="s">
        <v>8</v>
      </c>
      <c r="C4019" t="s">
        <v>182</v>
      </c>
      <c r="D4019" t="str">
        <f>LEFT(M4019,10)</f>
        <v>12/15/2024</v>
      </c>
      <c r="E4019" t="s">
        <v>202</v>
      </c>
      <c r="F4019" t="s">
        <v>218</v>
      </c>
      <c r="G4019" t="s">
        <v>223</v>
      </c>
      <c r="I4019">
        <v>310</v>
      </c>
      <c r="J4019">
        <v>217</v>
      </c>
      <c r="K4019">
        <v>0.7</v>
      </c>
      <c r="M4019" t="s">
        <v>205</v>
      </c>
    </row>
    <row r="4020" spans="1:13" hidden="1">
      <c r="A4020" t="s">
        <v>183</v>
      </c>
      <c r="B4020" t="s">
        <v>8</v>
      </c>
      <c r="C4020" t="s">
        <v>182</v>
      </c>
      <c r="D4020" t="str">
        <f>LEFT(M4020,10)</f>
        <v>12/15/2024</v>
      </c>
      <c r="E4020" t="s">
        <v>202</v>
      </c>
      <c r="F4020" t="s">
        <v>218</v>
      </c>
      <c r="G4020" t="s">
        <v>243</v>
      </c>
      <c r="H4020" t="s">
        <v>526</v>
      </c>
      <c r="I4020">
        <v>66</v>
      </c>
      <c r="J4020">
        <v>0.66</v>
      </c>
      <c r="K4020">
        <v>0.01</v>
      </c>
      <c r="M4020" t="s">
        <v>205</v>
      </c>
    </row>
    <row r="4021" spans="1:13" hidden="1">
      <c r="A4021" t="s">
        <v>183</v>
      </c>
      <c r="B4021" t="s">
        <v>8</v>
      </c>
      <c r="C4021" t="s">
        <v>182</v>
      </c>
      <c r="D4021" t="str">
        <f>LEFT(M4021,10)</f>
        <v>12/15/2024</v>
      </c>
      <c r="E4021" t="s">
        <v>202</v>
      </c>
      <c r="F4021" t="s">
        <v>218</v>
      </c>
      <c r="G4021" t="s">
        <v>219</v>
      </c>
      <c r="I4021">
        <v>71</v>
      </c>
      <c r="J4021">
        <v>14.2</v>
      </c>
      <c r="K4021">
        <v>0.2</v>
      </c>
      <c r="M4021" t="s">
        <v>205</v>
      </c>
    </row>
    <row r="4022" spans="1:13" hidden="1">
      <c r="A4022" t="s">
        <v>183</v>
      </c>
      <c r="B4022" t="s">
        <v>8</v>
      </c>
      <c r="C4022" t="s">
        <v>182</v>
      </c>
      <c r="D4022" t="str">
        <f>LEFT(M4022,10)</f>
        <v>12/15/2024</v>
      </c>
      <c r="E4022" t="s">
        <v>202</v>
      </c>
      <c r="F4022" t="s">
        <v>218</v>
      </c>
      <c r="G4022" t="s">
        <v>240</v>
      </c>
      <c r="I4022">
        <v>1118</v>
      </c>
      <c r="J4022">
        <v>4919.2</v>
      </c>
      <c r="K4022">
        <v>4.4000000000000004</v>
      </c>
      <c r="M4022" t="s">
        <v>205</v>
      </c>
    </row>
    <row r="4023" spans="1:13" hidden="1">
      <c r="A4023" t="s">
        <v>183</v>
      </c>
      <c r="B4023" t="s">
        <v>8</v>
      </c>
      <c r="C4023" t="s">
        <v>182</v>
      </c>
      <c r="D4023" t="str">
        <f>LEFT(M4023,10)</f>
        <v>12/15/2024</v>
      </c>
      <c r="E4023" t="s">
        <v>202</v>
      </c>
      <c r="F4023" t="s">
        <v>218</v>
      </c>
      <c r="G4023" t="s">
        <v>242</v>
      </c>
      <c r="I4023">
        <v>65</v>
      </c>
      <c r="J4023">
        <v>65</v>
      </c>
      <c r="K4023">
        <v>1</v>
      </c>
      <c r="M4023" t="s">
        <v>205</v>
      </c>
    </row>
    <row r="4024" spans="1:13" hidden="1">
      <c r="A4024" t="s">
        <v>183</v>
      </c>
      <c r="B4024" t="s">
        <v>8</v>
      </c>
      <c r="C4024" t="s">
        <v>182</v>
      </c>
      <c r="D4024" t="str">
        <f>LEFT(M4024,10)</f>
        <v>12/15/2024</v>
      </c>
      <c r="E4024" t="s">
        <v>202</v>
      </c>
      <c r="F4024" t="s">
        <v>218</v>
      </c>
      <c r="G4024" t="s">
        <v>241</v>
      </c>
      <c r="I4024">
        <v>70</v>
      </c>
      <c r="J4024">
        <v>308</v>
      </c>
      <c r="K4024">
        <v>4.4000000000000004</v>
      </c>
      <c r="M4024" t="s">
        <v>205</v>
      </c>
    </row>
    <row r="4025" spans="1:13" hidden="1">
      <c r="A4025" t="s">
        <v>183</v>
      </c>
      <c r="B4025" t="s">
        <v>8</v>
      </c>
      <c r="C4025" t="s">
        <v>182</v>
      </c>
      <c r="D4025" t="str">
        <f>LEFT(M4025,10)</f>
        <v>12/15/2024</v>
      </c>
      <c r="E4025" t="s">
        <v>202</v>
      </c>
      <c r="F4025" t="s">
        <v>218</v>
      </c>
      <c r="G4025" t="s">
        <v>226</v>
      </c>
      <c r="I4025">
        <v>5970</v>
      </c>
      <c r="J4025">
        <v>1791</v>
      </c>
      <c r="K4025">
        <v>0.3</v>
      </c>
      <c r="M4025" t="s">
        <v>205</v>
      </c>
    </row>
    <row r="4026" spans="1:13" hidden="1">
      <c r="A4026" t="s">
        <v>183</v>
      </c>
      <c r="B4026" t="s">
        <v>8</v>
      </c>
      <c r="C4026" t="s">
        <v>182</v>
      </c>
      <c r="D4026" t="str">
        <f>LEFT(M4026,10)</f>
        <v>12/15/2024</v>
      </c>
      <c r="E4026" t="s">
        <v>202</v>
      </c>
      <c r="F4026" t="s">
        <v>218</v>
      </c>
      <c r="G4026" t="s">
        <v>222</v>
      </c>
      <c r="I4026">
        <v>501</v>
      </c>
      <c r="J4026">
        <v>747.4</v>
      </c>
      <c r="K4026">
        <v>1.49</v>
      </c>
      <c r="M4026" t="s">
        <v>205</v>
      </c>
    </row>
    <row r="4027" spans="1:13" hidden="1">
      <c r="A4027" t="s">
        <v>183</v>
      </c>
      <c r="B4027" t="s">
        <v>8</v>
      </c>
      <c r="C4027" t="s">
        <v>182</v>
      </c>
      <c r="D4027" t="str">
        <f>LEFT(M4027,10)</f>
        <v>12/15/2024</v>
      </c>
      <c r="E4027" t="s">
        <v>202</v>
      </c>
      <c r="F4027" t="s">
        <v>218</v>
      </c>
      <c r="G4027" t="s">
        <v>222</v>
      </c>
      <c r="I4027">
        <v>394</v>
      </c>
      <c r="J4027">
        <v>512.20000000000005</v>
      </c>
      <c r="K4027">
        <v>1.3</v>
      </c>
      <c r="M4027" t="s">
        <v>205</v>
      </c>
    </row>
    <row r="4028" spans="1:13" hidden="1">
      <c r="A4028" t="s">
        <v>183</v>
      </c>
      <c r="B4028" t="s">
        <v>8</v>
      </c>
      <c r="C4028" t="s">
        <v>182</v>
      </c>
      <c r="D4028" t="str">
        <f>LEFT(M4028,10)</f>
        <v>12/15/2024</v>
      </c>
      <c r="E4028" t="s">
        <v>202</v>
      </c>
      <c r="F4028" t="s">
        <v>209</v>
      </c>
      <c r="G4028" t="s">
        <v>214</v>
      </c>
      <c r="I4028">
        <v>68</v>
      </c>
      <c r="J4028">
        <v>74.8</v>
      </c>
      <c r="K4028">
        <v>1.1000000000000001</v>
      </c>
      <c r="M4028" t="s">
        <v>205</v>
      </c>
    </row>
    <row r="4029" spans="1:13" hidden="1">
      <c r="A4029" t="s">
        <v>183</v>
      </c>
      <c r="B4029" t="s">
        <v>8</v>
      </c>
      <c r="C4029" t="s">
        <v>182</v>
      </c>
      <c r="D4029" t="str">
        <f>LEFT(M4029,10)</f>
        <v>12/15/2024</v>
      </c>
      <c r="E4029" t="s">
        <v>202</v>
      </c>
      <c r="F4029" t="s">
        <v>209</v>
      </c>
      <c r="G4029" t="s">
        <v>214</v>
      </c>
      <c r="I4029">
        <v>505</v>
      </c>
      <c r="J4029">
        <v>483.55</v>
      </c>
      <c r="K4029">
        <v>0.96</v>
      </c>
      <c r="M4029" t="s">
        <v>205</v>
      </c>
    </row>
    <row r="4030" spans="1:13" hidden="1">
      <c r="A4030" t="s">
        <v>183</v>
      </c>
      <c r="B4030" t="s">
        <v>8</v>
      </c>
      <c r="C4030" t="s">
        <v>182</v>
      </c>
      <c r="D4030" t="str">
        <f>LEFT(M4030,10)</f>
        <v>12/15/2024</v>
      </c>
      <c r="E4030" t="s">
        <v>202</v>
      </c>
      <c r="F4030" t="s">
        <v>209</v>
      </c>
      <c r="G4030" t="s">
        <v>214</v>
      </c>
      <c r="I4030">
        <v>3070</v>
      </c>
      <c r="J4030">
        <v>2456</v>
      </c>
      <c r="K4030">
        <v>0.8</v>
      </c>
      <c r="M4030" t="s">
        <v>205</v>
      </c>
    </row>
    <row r="4031" spans="1:13" hidden="1">
      <c r="A4031" t="s">
        <v>183</v>
      </c>
      <c r="B4031" t="s">
        <v>8</v>
      </c>
      <c r="C4031" t="s">
        <v>182</v>
      </c>
      <c r="D4031" t="str">
        <f>LEFT(M4031,10)</f>
        <v>12/15/2024</v>
      </c>
      <c r="E4031" t="s">
        <v>202</v>
      </c>
      <c r="F4031" t="s">
        <v>227</v>
      </c>
      <c r="G4031" t="s">
        <v>252</v>
      </c>
      <c r="I4031">
        <v>492</v>
      </c>
      <c r="J4031">
        <v>196.8</v>
      </c>
      <c r="K4031">
        <v>0.4</v>
      </c>
      <c r="M4031" t="s">
        <v>205</v>
      </c>
    </row>
    <row r="4032" spans="1:13" hidden="1">
      <c r="A4032" t="s">
        <v>183</v>
      </c>
      <c r="B4032" t="s">
        <v>8</v>
      </c>
      <c r="C4032" t="s">
        <v>182</v>
      </c>
      <c r="D4032" t="str">
        <f>LEFT(M4032,10)</f>
        <v>12/15/2024</v>
      </c>
      <c r="E4032" t="s">
        <v>232</v>
      </c>
      <c r="F4032" t="s">
        <v>255</v>
      </c>
      <c r="G4032" t="s">
        <v>249</v>
      </c>
      <c r="I4032">
        <v>0</v>
      </c>
      <c r="J4032">
        <v>776</v>
      </c>
      <c r="L4032" t="s">
        <v>316</v>
      </c>
      <c r="M4032" t="s">
        <v>205</v>
      </c>
    </row>
    <row r="4033" spans="1:13" hidden="1">
      <c r="A4033" t="s">
        <v>183</v>
      </c>
      <c r="B4033" t="s">
        <v>8</v>
      </c>
      <c r="C4033" t="s">
        <v>182</v>
      </c>
      <c r="D4033" t="str">
        <f>LEFT(M4033,10)</f>
        <v>12/15/2024</v>
      </c>
      <c r="E4033" t="s">
        <v>232</v>
      </c>
      <c r="F4033" t="s">
        <v>262</v>
      </c>
      <c r="G4033" t="s">
        <v>249</v>
      </c>
      <c r="I4033">
        <v>0</v>
      </c>
      <c r="J4033">
        <v>340</v>
      </c>
      <c r="M4033" t="s">
        <v>205</v>
      </c>
    </row>
    <row r="4034" spans="1:13" hidden="1">
      <c r="A4034" t="s">
        <v>183</v>
      </c>
      <c r="B4034" t="s">
        <v>8</v>
      </c>
      <c r="C4034" t="s">
        <v>182</v>
      </c>
      <c r="D4034" t="str">
        <f>LEFT(M4034,10)</f>
        <v>12/15/2024</v>
      </c>
      <c r="E4034" t="s">
        <v>232</v>
      </c>
      <c r="F4034" t="s">
        <v>233</v>
      </c>
      <c r="G4034" t="s">
        <v>249</v>
      </c>
      <c r="I4034">
        <v>0</v>
      </c>
      <c r="J4034">
        <v>250</v>
      </c>
      <c r="M4034" t="s">
        <v>205</v>
      </c>
    </row>
    <row r="4035" spans="1:13" hidden="1">
      <c r="A4035" t="s">
        <v>183</v>
      </c>
      <c r="B4035" t="s">
        <v>8</v>
      </c>
      <c r="C4035" t="s">
        <v>182</v>
      </c>
      <c r="D4035" t="str">
        <f>LEFT(M4035,10)</f>
        <v>12/15/2024</v>
      </c>
      <c r="E4035" t="s">
        <v>232</v>
      </c>
      <c r="F4035" t="s">
        <v>262</v>
      </c>
      <c r="G4035" t="s">
        <v>249</v>
      </c>
      <c r="I4035">
        <v>0</v>
      </c>
      <c r="J4035">
        <v>300</v>
      </c>
      <c r="M4035" t="s">
        <v>205</v>
      </c>
    </row>
    <row r="4036" spans="1:13" hidden="1">
      <c r="A4036" t="s">
        <v>183</v>
      </c>
      <c r="B4036" t="s">
        <v>8</v>
      </c>
      <c r="C4036" t="s">
        <v>182</v>
      </c>
      <c r="D4036" t="str">
        <f>LEFT(M4036,10)</f>
        <v>12/15/2024</v>
      </c>
      <c r="E4036" t="s">
        <v>230</v>
      </c>
      <c r="F4036" t="s">
        <v>248</v>
      </c>
      <c r="G4036" t="s">
        <v>249</v>
      </c>
      <c r="I4036">
        <v>0</v>
      </c>
      <c r="J4036">
        <v>6793</v>
      </c>
      <c r="M4036" t="s">
        <v>205</v>
      </c>
    </row>
    <row r="4037" spans="1:13" hidden="1">
      <c r="A4037" t="s">
        <v>183</v>
      </c>
      <c r="B4037" t="s">
        <v>8</v>
      </c>
      <c r="C4037" t="s">
        <v>182</v>
      </c>
      <c r="D4037" t="str">
        <f>LEFT(M4037,10)</f>
        <v>12/15/2024</v>
      </c>
      <c r="E4037" t="s">
        <v>234</v>
      </c>
      <c r="F4037" t="s">
        <v>234</v>
      </c>
      <c r="G4037" t="s">
        <v>249</v>
      </c>
      <c r="I4037">
        <v>2636</v>
      </c>
      <c r="M4037" t="s">
        <v>205</v>
      </c>
    </row>
    <row r="4038" spans="1:13" hidden="1">
      <c r="A4038" t="s">
        <v>136</v>
      </c>
      <c r="B4038" t="s">
        <v>8</v>
      </c>
      <c r="C4038" t="s">
        <v>135</v>
      </c>
      <c r="D4038" t="str">
        <f>LEFT(M4038,10)</f>
        <v>12/15/2024</v>
      </c>
      <c r="E4038" t="s">
        <v>202</v>
      </c>
      <c r="F4038" t="s">
        <v>203</v>
      </c>
      <c r="G4038" t="s">
        <v>215</v>
      </c>
      <c r="I4038">
        <v>17010</v>
      </c>
      <c r="J4038">
        <v>13608</v>
      </c>
      <c r="K4038">
        <v>0.8</v>
      </c>
      <c r="M4038" t="s">
        <v>205</v>
      </c>
    </row>
    <row r="4039" spans="1:13" hidden="1">
      <c r="A4039" t="s">
        <v>136</v>
      </c>
      <c r="B4039" t="s">
        <v>8</v>
      </c>
      <c r="C4039" t="s">
        <v>135</v>
      </c>
      <c r="D4039" t="str">
        <f>LEFT(M4039,10)</f>
        <v>12/15/2024</v>
      </c>
      <c r="E4039" t="s">
        <v>202</v>
      </c>
      <c r="F4039" t="s">
        <v>227</v>
      </c>
      <c r="G4039" t="s">
        <v>229</v>
      </c>
      <c r="I4039">
        <v>18720</v>
      </c>
      <c r="J4039">
        <v>14040</v>
      </c>
      <c r="K4039">
        <v>0.75</v>
      </c>
      <c r="M4039" t="s">
        <v>205</v>
      </c>
    </row>
    <row r="4040" spans="1:13" hidden="1">
      <c r="A4040" t="s">
        <v>136</v>
      </c>
      <c r="B4040" t="s">
        <v>8</v>
      </c>
      <c r="C4040" t="s">
        <v>135</v>
      </c>
      <c r="D4040" t="str">
        <f>LEFT(M4040,10)</f>
        <v>12/15/2024</v>
      </c>
      <c r="E4040" t="s">
        <v>202</v>
      </c>
      <c r="F4040" t="s">
        <v>227</v>
      </c>
      <c r="G4040" t="s">
        <v>237</v>
      </c>
      <c r="I4040">
        <v>925</v>
      </c>
      <c r="J4040">
        <v>462.5</v>
      </c>
      <c r="K4040">
        <v>0.5</v>
      </c>
      <c r="M4040" t="s">
        <v>205</v>
      </c>
    </row>
    <row r="4041" spans="1:13" hidden="1">
      <c r="A4041" t="s">
        <v>136</v>
      </c>
      <c r="B4041" t="s">
        <v>8</v>
      </c>
      <c r="C4041" t="s">
        <v>135</v>
      </c>
      <c r="D4041" t="str">
        <f>LEFT(M4041,10)</f>
        <v>12/15/2024</v>
      </c>
      <c r="E4041" t="s">
        <v>202</v>
      </c>
      <c r="F4041" t="s">
        <v>227</v>
      </c>
      <c r="G4041" t="s">
        <v>228</v>
      </c>
      <c r="I4041">
        <v>830</v>
      </c>
      <c r="J4041">
        <v>249</v>
      </c>
      <c r="K4041">
        <v>0.3</v>
      </c>
      <c r="M4041" t="s">
        <v>205</v>
      </c>
    </row>
    <row r="4042" spans="1:13" hidden="1">
      <c r="A4042" t="s">
        <v>136</v>
      </c>
      <c r="B4042" t="s">
        <v>8</v>
      </c>
      <c r="C4042" t="s">
        <v>135</v>
      </c>
      <c r="D4042" t="str">
        <f>LEFT(M4042,10)</f>
        <v>12/15/2024</v>
      </c>
      <c r="E4042" t="s">
        <v>202</v>
      </c>
      <c r="F4042" t="s">
        <v>227</v>
      </c>
      <c r="G4042" t="s">
        <v>238</v>
      </c>
      <c r="I4042">
        <v>1815</v>
      </c>
      <c r="J4042">
        <v>726</v>
      </c>
      <c r="K4042">
        <v>0.4</v>
      </c>
      <c r="M4042" t="s">
        <v>205</v>
      </c>
    </row>
    <row r="4043" spans="1:13" hidden="1">
      <c r="A4043" t="s">
        <v>136</v>
      </c>
      <c r="B4043" t="s">
        <v>8</v>
      </c>
      <c r="C4043" t="s">
        <v>135</v>
      </c>
      <c r="D4043" t="str">
        <f>LEFT(M4043,10)</f>
        <v>12/15/2024</v>
      </c>
      <c r="E4043" t="s">
        <v>202</v>
      </c>
      <c r="F4043" t="s">
        <v>227</v>
      </c>
      <c r="G4043" t="s">
        <v>252</v>
      </c>
      <c r="I4043">
        <v>718</v>
      </c>
      <c r="J4043">
        <v>251.3</v>
      </c>
      <c r="K4043">
        <v>0.35</v>
      </c>
      <c r="M4043" t="s">
        <v>205</v>
      </c>
    </row>
    <row r="4044" spans="1:13" hidden="1">
      <c r="A4044" t="s">
        <v>136</v>
      </c>
      <c r="B4044" t="s">
        <v>8</v>
      </c>
      <c r="C4044" t="s">
        <v>135</v>
      </c>
      <c r="D4044" t="str">
        <f>LEFT(M4044,10)</f>
        <v>12/15/2024</v>
      </c>
      <c r="E4044" t="s">
        <v>202</v>
      </c>
      <c r="F4044" t="s">
        <v>218</v>
      </c>
      <c r="G4044" t="s">
        <v>240</v>
      </c>
      <c r="I4044">
        <v>2510</v>
      </c>
      <c r="J4044">
        <v>9538</v>
      </c>
      <c r="K4044">
        <v>3.8</v>
      </c>
      <c r="M4044" t="s">
        <v>205</v>
      </c>
    </row>
    <row r="4045" spans="1:13" hidden="1">
      <c r="A4045" t="s">
        <v>136</v>
      </c>
      <c r="B4045" t="s">
        <v>8</v>
      </c>
      <c r="C4045" t="s">
        <v>135</v>
      </c>
      <c r="D4045" t="str">
        <f>LEFT(M4045,10)</f>
        <v>12/15/2024</v>
      </c>
      <c r="E4045" t="s">
        <v>202</v>
      </c>
      <c r="F4045" t="s">
        <v>218</v>
      </c>
      <c r="G4045" t="s">
        <v>220</v>
      </c>
      <c r="I4045">
        <v>3230</v>
      </c>
      <c r="J4045">
        <v>6460</v>
      </c>
      <c r="K4045">
        <v>2</v>
      </c>
      <c r="M4045" t="s">
        <v>205</v>
      </c>
    </row>
    <row r="4046" spans="1:13" hidden="1">
      <c r="A4046" t="s">
        <v>136</v>
      </c>
      <c r="B4046" t="s">
        <v>8</v>
      </c>
      <c r="C4046" t="s">
        <v>135</v>
      </c>
      <c r="D4046" t="str">
        <f>LEFT(M4046,10)</f>
        <v>12/15/2024</v>
      </c>
      <c r="E4046" t="s">
        <v>202</v>
      </c>
      <c r="F4046" t="s">
        <v>218</v>
      </c>
      <c r="G4046" t="s">
        <v>223</v>
      </c>
      <c r="I4046">
        <v>3025</v>
      </c>
      <c r="J4046">
        <v>2420</v>
      </c>
      <c r="K4046">
        <v>0.8</v>
      </c>
      <c r="M4046" t="s">
        <v>205</v>
      </c>
    </row>
    <row r="4047" spans="1:13" hidden="1">
      <c r="A4047" t="s">
        <v>136</v>
      </c>
      <c r="B4047" t="s">
        <v>8</v>
      </c>
      <c r="C4047" t="s">
        <v>135</v>
      </c>
      <c r="D4047" t="str">
        <f>LEFT(M4047,10)</f>
        <v>12/15/2024</v>
      </c>
      <c r="E4047" t="s">
        <v>202</v>
      </c>
      <c r="F4047" t="s">
        <v>218</v>
      </c>
      <c r="G4047" t="s">
        <v>221</v>
      </c>
      <c r="I4047">
        <v>2420</v>
      </c>
      <c r="J4047">
        <v>5808</v>
      </c>
      <c r="K4047">
        <v>2.4</v>
      </c>
      <c r="M4047" t="s">
        <v>205</v>
      </c>
    </row>
    <row r="4048" spans="1:13" hidden="1">
      <c r="A4048" t="s">
        <v>136</v>
      </c>
      <c r="B4048" t="s">
        <v>8</v>
      </c>
      <c r="C4048" t="s">
        <v>135</v>
      </c>
      <c r="D4048" t="str">
        <f>LEFT(M4048,10)</f>
        <v>12/15/2024</v>
      </c>
      <c r="E4048" t="s">
        <v>202</v>
      </c>
      <c r="F4048" t="s">
        <v>218</v>
      </c>
      <c r="G4048" t="s">
        <v>224</v>
      </c>
      <c r="I4048">
        <v>355</v>
      </c>
      <c r="J4048">
        <v>284</v>
      </c>
      <c r="K4048">
        <v>0.8</v>
      </c>
      <c r="M4048" t="s">
        <v>205</v>
      </c>
    </row>
    <row r="4049" spans="1:13" hidden="1">
      <c r="A4049" t="s">
        <v>136</v>
      </c>
      <c r="B4049" t="s">
        <v>8</v>
      </c>
      <c r="C4049" t="s">
        <v>135</v>
      </c>
      <c r="D4049" t="str">
        <f>LEFT(M4049,10)</f>
        <v>12/15/2024</v>
      </c>
      <c r="E4049" t="s">
        <v>202</v>
      </c>
      <c r="F4049" t="s">
        <v>218</v>
      </c>
      <c r="G4049" t="s">
        <v>225</v>
      </c>
      <c r="I4049">
        <v>142</v>
      </c>
      <c r="J4049">
        <v>113.6</v>
      </c>
      <c r="K4049">
        <v>0.8</v>
      </c>
      <c r="M4049" t="s">
        <v>205</v>
      </c>
    </row>
    <row r="4050" spans="1:13" hidden="1">
      <c r="A4050" t="s">
        <v>136</v>
      </c>
      <c r="B4050" t="s">
        <v>8</v>
      </c>
      <c r="C4050" t="s">
        <v>135</v>
      </c>
      <c r="D4050" t="str">
        <f>LEFT(M4050,10)</f>
        <v>12/15/2024</v>
      </c>
      <c r="E4050" t="s">
        <v>202</v>
      </c>
      <c r="F4050" t="s">
        <v>218</v>
      </c>
      <c r="G4050" t="s">
        <v>243</v>
      </c>
      <c r="H4050" t="s">
        <v>364</v>
      </c>
      <c r="I4050">
        <v>410</v>
      </c>
      <c r="J4050">
        <v>410</v>
      </c>
      <c r="K4050">
        <v>1</v>
      </c>
      <c r="M4050" t="s">
        <v>205</v>
      </c>
    </row>
    <row r="4051" spans="1:13" hidden="1">
      <c r="A4051" t="s">
        <v>136</v>
      </c>
      <c r="B4051" t="s">
        <v>8</v>
      </c>
      <c r="C4051" t="s">
        <v>135</v>
      </c>
      <c r="D4051" t="str">
        <f>LEFT(M4051,10)</f>
        <v>12/15/2024</v>
      </c>
      <c r="E4051" t="s">
        <v>202</v>
      </c>
      <c r="F4051" t="s">
        <v>218</v>
      </c>
      <c r="G4051" t="s">
        <v>247</v>
      </c>
      <c r="I4051">
        <v>88</v>
      </c>
      <c r="J4051">
        <v>334.4</v>
      </c>
      <c r="K4051">
        <v>3.8</v>
      </c>
      <c r="M4051" t="s">
        <v>205</v>
      </c>
    </row>
    <row r="4052" spans="1:13" hidden="1">
      <c r="A4052" t="s">
        <v>136</v>
      </c>
      <c r="B4052" t="s">
        <v>8</v>
      </c>
      <c r="C4052" t="s">
        <v>135</v>
      </c>
      <c r="D4052" t="str">
        <f>LEFT(M4052,10)</f>
        <v>12/15/2024</v>
      </c>
      <c r="E4052" t="s">
        <v>202</v>
      </c>
      <c r="F4052" t="s">
        <v>203</v>
      </c>
      <c r="G4052" t="s">
        <v>204</v>
      </c>
      <c r="I4052">
        <v>2080</v>
      </c>
      <c r="J4052">
        <v>16224</v>
      </c>
      <c r="K4052">
        <v>7.8</v>
      </c>
      <c r="M4052" t="s">
        <v>205</v>
      </c>
    </row>
    <row r="4053" spans="1:13" hidden="1">
      <c r="A4053" t="s">
        <v>136</v>
      </c>
      <c r="B4053" t="s">
        <v>8</v>
      </c>
      <c r="C4053" t="s">
        <v>135</v>
      </c>
      <c r="D4053" t="str">
        <f>LEFT(M4053,10)</f>
        <v>12/15/2024</v>
      </c>
      <c r="E4053" t="s">
        <v>202</v>
      </c>
      <c r="F4053" t="s">
        <v>203</v>
      </c>
      <c r="G4053" t="s">
        <v>236</v>
      </c>
      <c r="I4053">
        <v>410</v>
      </c>
      <c r="J4053">
        <v>3075</v>
      </c>
      <c r="K4053">
        <v>7.5</v>
      </c>
      <c r="M4053" t="s">
        <v>205</v>
      </c>
    </row>
    <row r="4054" spans="1:13" hidden="1">
      <c r="A4054" t="s">
        <v>136</v>
      </c>
      <c r="B4054" t="s">
        <v>8</v>
      </c>
      <c r="C4054" t="s">
        <v>135</v>
      </c>
      <c r="D4054" t="str">
        <f>LEFT(M4054,10)</f>
        <v>12/15/2024</v>
      </c>
      <c r="E4054" t="s">
        <v>202</v>
      </c>
      <c r="F4054" t="s">
        <v>203</v>
      </c>
      <c r="G4054" t="s">
        <v>260</v>
      </c>
      <c r="I4054">
        <v>105</v>
      </c>
      <c r="J4054">
        <v>3885</v>
      </c>
      <c r="K4054">
        <v>37</v>
      </c>
      <c r="M4054" t="s">
        <v>205</v>
      </c>
    </row>
    <row r="4055" spans="1:13" hidden="1">
      <c r="A4055" t="s">
        <v>136</v>
      </c>
      <c r="B4055" t="s">
        <v>8</v>
      </c>
      <c r="C4055" t="s">
        <v>135</v>
      </c>
      <c r="D4055" t="str">
        <f>LEFT(M4055,10)</f>
        <v>12/15/2024</v>
      </c>
      <c r="E4055" t="s">
        <v>202</v>
      </c>
      <c r="F4055" t="s">
        <v>203</v>
      </c>
      <c r="G4055" t="s">
        <v>207</v>
      </c>
      <c r="I4055">
        <v>215</v>
      </c>
      <c r="J4055">
        <v>967.5</v>
      </c>
      <c r="K4055">
        <v>4.5</v>
      </c>
      <c r="M4055" t="s">
        <v>205</v>
      </c>
    </row>
    <row r="4056" spans="1:13" hidden="1">
      <c r="A4056" t="s">
        <v>136</v>
      </c>
      <c r="B4056" t="s">
        <v>8</v>
      </c>
      <c r="C4056" t="s">
        <v>135</v>
      </c>
      <c r="D4056" t="str">
        <f>LEFT(M4056,10)</f>
        <v>12/15/2024</v>
      </c>
      <c r="E4056" t="s">
        <v>202</v>
      </c>
      <c r="F4056" t="s">
        <v>203</v>
      </c>
      <c r="G4056" t="s">
        <v>259</v>
      </c>
      <c r="I4056">
        <v>111</v>
      </c>
      <c r="J4056">
        <v>2331</v>
      </c>
      <c r="K4056">
        <v>21</v>
      </c>
      <c r="M4056" t="s">
        <v>205</v>
      </c>
    </row>
    <row r="4057" spans="1:13" hidden="1">
      <c r="A4057" t="s">
        <v>136</v>
      </c>
      <c r="B4057" t="s">
        <v>8</v>
      </c>
      <c r="C4057" t="s">
        <v>135</v>
      </c>
      <c r="D4057" t="str">
        <f>LEFT(M4057,10)</f>
        <v>12/15/2024</v>
      </c>
      <c r="E4057" t="s">
        <v>232</v>
      </c>
      <c r="F4057" t="s">
        <v>255</v>
      </c>
      <c r="I4057">
        <v>0</v>
      </c>
      <c r="J4057">
        <v>54531</v>
      </c>
      <c r="L4057" t="s">
        <v>527</v>
      </c>
      <c r="M4057" t="s">
        <v>205</v>
      </c>
    </row>
    <row r="4058" spans="1:13" hidden="1">
      <c r="A4058" t="s">
        <v>136</v>
      </c>
      <c r="B4058" t="s">
        <v>8</v>
      </c>
      <c r="C4058" t="s">
        <v>135</v>
      </c>
      <c r="D4058" t="str">
        <f>LEFT(M4058,10)</f>
        <v>12/15/2024</v>
      </c>
      <c r="E4058" t="s">
        <v>234</v>
      </c>
      <c r="F4058" t="s">
        <v>234</v>
      </c>
      <c r="I4058">
        <v>8080</v>
      </c>
      <c r="M4058" t="s">
        <v>205</v>
      </c>
    </row>
    <row r="4059" spans="1:13" hidden="1">
      <c r="A4059" t="s">
        <v>136</v>
      </c>
      <c r="B4059" t="s">
        <v>8</v>
      </c>
      <c r="C4059" t="s">
        <v>135</v>
      </c>
      <c r="D4059" t="str">
        <f>LEFT(M4059,10)</f>
        <v>12/15/2024</v>
      </c>
      <c r="E4059" t="s">
        <v>232</v>
      </c>
      <c r="F4059" t="s">
        <v>290</v>
      </c>
      <c r="I4059">
        <v>0</v>
      </c>
      <c r="J4059">
        <v>382</v>
      </c>
      <c r="M4059" t="s">
        <v>205</v>
      </c>
    </row>
    <row r="4060" spans="1:13" hidden="1">
      <c r="A4060" t="s">
        <v>136</v>
      </c>
      <c r="B4060" t="s">
        <v>8</v>
      </c>
      <c r="C4060" t="s">
        <v>135</v>
      </c>
      <c r="D4060" t="str">
        <f>LEFT(M4060,10)</f>
        <v>12/15/2024</v>
      </c>
      <c r="E4060" t="s">
        <v>232</v>
      </c>
      <c r="F4060" t="s">
        <v>251</v>
      </c>
      <c r="I4060">
        <v>0</v>
      </c>
      <c r="J4060">
        <v>972</v>
      </c>
      <c r="M4060" t="s">
        <v>205</v>
      </c>
    </row>
    <row r="4061" spans="1:13" hidden="1">
      <c r="A4061" t="s">
        <v>136</v>
      </c>
      <c r="B4061" t="s">
        <v>8</v>
      </c>
      <c r="C4061" t="s">
        <v>135</v>
      </c>
      <c r="D4061" t="str">
        <f>LEFT(M4061,10)</f>
        <v>12/15/2024</v>
      </c>
      <c r="E4061" t="s">
        <v>202</v>
      </c>
      <c r="F4061" t="s">
        <v>218</v>
      </c>
      <c r="G4061" t="s">
        <v>226</v>
      </c>
      <c r="I4061">
        <v>2005</v>
      </c>
      <c r="J4061">
        <v>802</v>
      </c>
      <c r="K4061">
        <v>0.4</v>
      </c>
      <c r="M4061" t="s">
        <v>205</v>
      </c>
    </row>
    <row r="4062" spans="1:13" hidden="1">
      <c r="A4062" t="s">
        <v>45</v>
      </c>
      <c r="B4062" t="s">
        <v>8</v>
      </c>
      <c r="C4062" t="s">
        <v>44</v>
      </c>
      <c r="D4062" t="str">
        <f>LEFT(M4062,9)</f>
        <v>1/15/2025</v>
      </c>
      <c r="E4062" t="s">
        <v>202</v>
      </c>
      <c r="F4062" t="s">
        <v>218</v>
      </c>
      <c r="G4062" t="s">
        <v>240</v>
      </c>
      <c r="I4062">
        <v>3154</v>
      </c>
      <c r="J4062">
        <v>15139.2</v>
      </c>
      <c r="K4062">
        <v>4.8</v>
      </c>
      <c r="M4062" t="s">
        <v>516</v>
      </c>
    </row>
    <row r="4063" spans="1:13" hidden="1">
      <c r="A4063" t="s">
        <v>45</v>
      </c>
      <c r="B4063" t="s">
        <v>8</v>
      </c>
      <c r="C4063" t="s">
        <v>44</v>
      </c>
      <c r="D4063" t="str">
        <f>LEFT(M4063,9)</f>
        <v>1/15/2025</v>
      </c>
      <c r="E4063" t="s">
        <v>202</v>
      </c>
      <c r="F4063" t="s">
        <v>218</v>
      </c>
      <c r="G4063" t="s">
        <v>241</v>
      </c>
      <c r="I4063">
        <v>589</v>
      </c>
      <c r="J4063">
        <v>2768.3</v>
      </c>
      <c r="K4063">
        <v>4.7</v>
      </c>
      <c r="M4063" t="s">
        <v>516</v>
      </c>
    </row>
    <row r="4064" spans="1:13" hidden="1">
      <c r="A4064" t="s">
        <v>45</v>
      </c>
      <c r="B4064" t="s">
        <v>8</v>
      </c>
      <c r="C4064" t="s">
        <v>44</v>
      </c>
      <c r="D4064" t="str">
        <f>LEFT(M4064,9)</f>
        <v>1/15/2025</v>
      </c>
      <c r="E4064" t="s">
        <v>202</v>
      </c>
      <c r="F4064" t="s">
        <v>218</v>
      </c>
      <c r="G4064" t="s">
        <v>242</v>
      </c>
      <c r="I4064">
        <v>96</v>
      </c>
      <c r="J4064">
        <v>192</v>
      </c>
      <c r="K4064">
        <v>2</v>
      </c>
      <c r="M4064" t="s">
        <v>516</v>
      </c>
    </row>
    <row r="4065" spans="1:13" hidden="1">
      <c r="A4065" t="s">
        <v>45</v>
      </c>
      <c r="B4065" t="s">
        <v>8</v>
      </c>
      <c r="C4065" t="s">
        <v>44</v>
      </c>
      <c r="D4065" t="str">
        <f>LEFT(M4065,9)</f>
        <v>1/15/2025</v>
      </c>
      <c r="E4065" t="s">
        <v>202</v>
      </c>
      <c r="F4065" t="s">
        <v>218</v>
      </c>
      <c r="G4065" t="s">
        <v>224</v>
      </c>
      <c r="I4065">
        <v>468</v>
      </c>
      <c r="J4065">
        <v>468</v>
      </c>
      <c r="K4065">
        <v>1</v>
      </c>
      <c r="M4065" t="s">
        <v>516</v>
      </c>
    </row>
    <row r="4066" spans="1:13" hidden="1">
      <c r="A4066" t="s">
        <v>45</v>
      </c>
      <c r="B4066" t="s">
        <v>8</v>
      </c>
      <c r="C4066" t="s">
        <v>44</v>
      </c>
      <c r="D4066" t="str">
        <f>LEFT(M4066,9)</f>
        <v>1/15/2025</v>
      </c>
      <c r="E4066" t="s">
        <v>202</v>
      </c>
      <c r="F4066" t="s">
        <v>218</v>
      </c>
      <c r="G4066" t="s">
        <v>222</v>
      </c>
      <c r="I4066">
        <v>1761</v>
      </c>
      <c r="J4066">
        <v>2729.55</v>
      </c>
      <c r="K4066">
        <v>1.55</v>
      </c>
      <c r="M4066" t="s">
        <v>516</v>
      </c>
    </row>
    <row r="4067" spans="1:13" hidden="1">
      <c r="A4067" t="s">
        <v>45</v>
      </c>
      <c r="B4067" t="s">
        <v>8</v>
      </c>
      <c r="C4067" t="s">
        <v>44</v>
      </c>
      <c r="D4067" t="str">
        <f>LEFT(M4067,9)</f>
        <v>1/15/2025</v>
      </c>
      <c r="E4067" t="s">
        <v>202</v>
      </c>
      <c r="F4067" t="s">
        <v>218</v>
      </c>
      <c r="G4067" t="s">
        <v>222</v>
      </c>
      <c r="I4067">
        <v>1233</v>
      </c>
      <c r="J4067">
        <v>2342.6999999999998</v>
      </c>
      <c r="K4067">
        <v>1.9</v>
      </c>
      <c r="M4067" t="s">
        <v>516</v>
      </c>
    </row>
    <row r="4068" spans="1:13" hidden="1">
      <c r="A4068" t="s">
        <v>45</v>
      </c>
      <c r="B4068" t="s">
        <v>8</v>
      </c>
      <c r="C4068" t="s">
        <v>44</v>
      </c>
      <c r="D4068" t="str">
        <f>LEFT(M4068,9)</f>
        <v>1/15/2025</v>
      </c>
      <c r="E4068" t="s">
        <v>202</v>
      </c>
      <c r="F4068" t="s">
        <v>218</v>
      </c>
      <c r="G4068" t="s">
        <v>245</v>
      </c>
      <c r="I4068">
        <v>152</v>
      </c>
      <c r="J4068">
        <v>7.6</v>
      </c>
      <c r="K4068">
        <v>0.05</v>
      </c>
      <c r="M4068" t="s">
        <v>516</v>
      </c>
    </row>
    <row r="4069" spans="1:13" hidden="1">
      <c r="A4069" t="s">
        <v>45</v>
      </c>
      <c r="B4069" t="s">
        <v>8</v>
      </c>
      <c r="C4069" t="s">
        <v>44</v>
      </c>
      <c r="D4069" t="str">
        <f>LEFT(M4069,9)</f>
        <v>1/15/2025</v>
      </c>
      <c r="E4069" t="s">
        <v>202</v>
      </c>
      <c r="F4069" t="s">
        <v>218</v>
      </c>
      <c r="G4069" t="s">
        <v>225</v>
      </c>
      <c r="I4069">
        <v>207</v>
      </c>
      <c r="J4069">
        <v>227.7</v>
      </c>
      <c r="K4069">
        <v>1.1000000000000001</v>
      </c>
      <c r="M4069" t="s">
        <v>516</v>
      </c>
    </row>
    <row r="4070" spans="1:13" hidden="1">
      <c r="A4070" t="s">
        <v>45</v>
      </c>
      <c r="B4070" t="s">
        <v>8</v>
      </c>
      <c r="C4070" t="s">
        <v>44</v>
      </c>
      <c r="D4070" t="str">
        <f>LEFT(M4070,9)</f>
        <v>1/15/2025</v>
      </c>
      <c r="E4070" t="s">
        <v>202</v>
      </c>
      <c r="F4070" t="s">
        <v>218</v>
      </c>
      <c r="G4070" t="s">
        <v>220</v>
      </c>
      <c r="I4070">
        <v>1481</v>
      </c>
      <c r="J4070">
        <v>2073.4</v>
      </c>
      <c r="K4070">
        <v>1.4</v>
      </c>
      <c r="M4070" t="s">
        <v>516</v>
      </c>
    </row>
    <row r="4071" spans="1:13" hidden="1">
      <c r="A4071" t="s">
        <v>45</v>
      </c>
      <c r="B4071" t="s">
        <v>8</v>
      </c>
      <c r="C4071" t="s">
        <v>44</v>
      </c>
      <c r="D4071" t="str">
        <f>LEFT(M4071,9)</f>
        <v>1/15/2025</v>
      </c>
      <c r="E4071" t="s">
        <v>202</v>
      </c>
      <c r="F4071" t="s">
        <v>218</v>
      </c>
      <c r="G4071" t="s">
        <v>221</v>
      </c>
      <c r="I4071">
        <v>1742</v>
      </c>
      <c r="J4071">
        <v>4267.8999999999996</v>
      </c>
      <c r="K4071">
        <v>2.4500000000000002</v>
      </c>
      <c r="M4071" t="s">
        <v>516</v>
      </c>
    </row>
    <row r="4072" spans="1:13" hidden="1">
      <c r="A4072" t="s">
        <v>45</v>
      </c>
      <c r="B4072" t="s">
        <v>8</v>
      </c>
      <c r="C4072" t="s">
        <v>44</v>
      </c>
      <c r="D4072" t="str">
        <f>LEFT(M4072,9)</f>
        <v>1/15/2025</v>
      </c>
      <c r="E4072" t="s">
        <v>202</v>
      </c>
      <c r="F4072" t="s">
        <v>218</v>
      </c>
      <c r="G4072" t="s">
        <v>223</v>
      </c>
      <c r="I4072">
        <v>2318</v>
      </c>
      <c r="J4072">
        <v>1854.4</v>
      </c>
      <c r="K4072">
        <v>0.8</v>
      </c>
      <c r="M4072" t="s">
        <v>516</v>
      </c>
    </row>
    <row r="4073" spans="1:13" hidden="1">
      <c r="A4073" t="s">
        <v>45</v>
      </c>
      <c r="B4073" t="s">
        <v>8</v>
      </c>
      <c r="C4073" t="s">
        <v>44</v>
      </c>
      <c r="D4073" t="str">
        <f>LEFT(M4073,9)</f>
        <v>1/15/2025</v>
      </c>
      <c r="E4073" t="s">
        <v>202</v>
      </c>
      <c r="F4073" t="s">
        <v>218</v>
      </c>
      <c r="G4073" t="s">
        <v>223</v>
      </c>
      <c r="I4073">
        <v>489</v>
      </c>
      <c r="J4073">
        <v>342.3</v>
      </c>
      <c r="K4073">
        <v>0.7</v>
      </c>
      <c r="M4073" t="s">
        <v>516</v>
      </c>
    </row>
    <row r="4074" spans="1:13" hidden="1">
      <c r="A4074" t="s">
        <v>45</v>
      </c>
      <c r="B4074" t="s">
        <v>8</v>
      </c>
      <c r="C4074" t="s">
        <v>44</v>
      </c>
      <c r="D4074" t="str">
        <f>LEFT(M4074,9)</f>
        <v>1/15/2025</v>
      </c>
      <c r="E4074" t="s">
        <v>202</v>
      </c>
      <c r="F4074" t="s">
        <v>218</v>
      </c>
      <c r="G4074" t="s">
        <v>226</v>
      </c>
      <c r="I4074">
        <v>542</v>
      </c>
      <c r="J4074">
        <v>216.8</v>
      </c>
      <c r="K4074">
        <v>0.4</v>
      </c>
      <c r="M4074" t="s">
        <v>516</v>
      </c>
    </row>
    <row r="4075" spans="1:13" hidden="1">
      <c r="A4075" t="s">
        <v>45</v>
      </c>
      <c r="B4075" t="s">
        <v>8</v>
      </c>
      <c r="C4075" t="s">
        <v>44</v>
      </c>
      <c r="D4075" t="str">
        <f>LEFT(M4075,9)</f>
        <v>1/15/2025</v>
      </c>
      <c r="E4075" t="s">
        <v>202</v>
      </c>
      <c r="F4075" t="s">
        <v>218</v>
      </c>
      <c r="G4075" t="s">
        <v>247</v>
      </c>
      <c r="I4075">
        <v>76</v>
      </c>
      <c r="J4075">
        <v>304</v>
      </c>
      <c r="K4075">
        <v>4</v>
      </c>
      <c r="M4075" t="s">
        <v>516</v>
      </c>
    </row>
    <row r="4076" spans="1:13" hidden="1">
      <c r="A4076" t="s">
        <v>45</v>
      </c>
      <c r="B4076" t="s">
        <v>8</v>
      </c>
      <c r="C4076" t="s">
        <v>44</v>
      </c>
      <c r="D4076" t="str">
        <f>LEFT(M4076,9)</f>
        <v>1/15/2025</v>
      </c>
      <c r="E4076" t="s">
        <v>202</v>
      </c>
      <c r="F4076" t="s">
        <v>218</v>
      </c>
      <c r="G4076" t="s">
        <v>239</v>
      </c>
      <c r="I4076">
        <v>31</v>
      </c>
      <c r="J4076">
        <v>6.2</v>
      </c>
      <c r="K4076">
        <v>0.2</v>
      </c>
      <c r="M4076" t="s">
        <v>516</v>
      </c>
    </row>
    <row r="4077" spans="1:13" hidden="1">
      <c r="A4077" t="s">
        <v>45</v>
      </c>
      <c r="B4077" t="s">
        <v>8</v>
      </c>
      <c r="C4077" t="s">
        <v>44</v>
      </c>
      <c r="D4077" t="str">
        <f>LEFT(M4077,9)</f>
        <v>1/15/2025</v>
      </c>
      <c r="E4077" t="s">
        <v>202</v>
      </c>
      <c r="F4077" t="s">
        <v>218</v>
      </c>
      <c r="G4077" t="s">
        <v>222</v>
      </c>
      <c r="I4077">
        <v>223</v>
      </c>
      <c r="J4077">
        <v>345.65</v>
      </c>
      <c r="K4077">
        <v>1.55</v>
      </c>
      <c r="M4077" t="s">
        <v>516</v>
      </c>
    </row>
    <row r="4078" spans="1:13" hidden="1">
      <c r="A4078" t="s">
        <v>45</v>
      </c>
      <c r="B4078" t="s">
        <v>8</v>
      </c>
      <c r="C4078" t="s">
        <v>44</v>
      </c>
      <c r="D4078" t="str">
        <f>LEFT(M4078,9)</f>
        <v>1/15/2025</v>
      </c>
      <c r="E4078" t="s">
        <v>202</v>
      </c>
      <c r="F4078" t="s">
        <v>227</v>
      </c>
      <c r="G4078" t="s">
        <v>229</v>
      </c>
      <c r="I4078">
        <v>18850</v>
      </c>
      <c r="J4078">
        <v>14137.5</v>
      </c>
      <c r="K4078">
        <v>0.75</v>
      </c>
      <c r="M4078" t="s">
        <v>516</v>
      </c>
    </row>
    <row r="4079" spans="1:13" hidden="1">
      <c r="A4079" t="s">
        <v>45</v>
      </c>
      <c r="B4079" t="s">
        <v>8</v>
      </c>
      <c r="C4079" t="s">
        <v>44</v>
      </c>
      <c r="D4079" t="str">
        <f>LEFT(M4079,9)</f>
        <v>1/15/2025</v>
      </c>
      <c r="E4079" t="s">
        <v>202</v>
      </c>
      <c r="F4079" t="s">
        <v>227</v>
      </c>
      <c r="G4079" t="s">
        <v>237</v>
      </c>
      <c r="I4079">
        <v>3294</v>
      </c>
      <c r="J4079">
        <v>2305.8000000000002</v>
      </c>
      <c r="K4079">
        <v>0.7</v>
      </c>
      <c r="M4079" t="s">
        <v>516</v>
      </c>
    </row>
    <row r="4080" spans="1:13" hidden="1">
      <c r="A4080" t="s">
        <v>45</v>
      </c>
      <c r="B4080" t="s">
        <v>8</v>
      </c>
      <c r="C4080" t="s">
        <v>44</v>
      </c>
      <c r="D4080" t="str">
        <f>LEFT(M4080,9)</f>
        <v>1/15/2025</v>
      </c>
      <c r="E4080" t="s">
        <v>202</v>
      </c>
      <c r="F4080" t="s">
        <v>227</v>
      </c>
      <c r="G4080" t="s">
        <v>228</v>
      </c>
      <c r="I4080">
        <v>7424</v>
      </c>
      <c r="J4080">
        <v>1856</v>
      </c>
      <c r="K4080">
        <v>0.25</v>
      </c>
      <c r="M4080" t="s">
        <v>516</v>
      </c>
    </row>
    <row r="4081" spans="1:13" hidden="1">
      <c r="A4081" t="s">
        <v>45</v>
      </c>
      <c r="B4081" t="s">
        <v>8</v>
      </c>
      <c r="C4081" t="s">
        <v>44</v>
      </c>
      <c r="D4081" t="str">
        <f>LEFT(M4081,9)</f>
        <v>1/15/2025</v>
      </c>
      <c r="E4081" t="s">
        <v>202</v>
      </c>
      <c r="F4081" t="s">
        <v>227</v>
      </c>
      <c r="G4081" t="s">
        <v>238</v>
      </c>
      <c r="I4081">
        <v>760</v>
      </c>
      <c r="J4081">
        <v>190</v>
      </c>
      <c r="K4081">
        <v>0.25</v>
      </c>
      <c r="M4081" t="s">
        <v>516</v>
      </c>
    </row>
    <row r="4082" spans="1:13" hidden="1">
      <c r="A4082" t="s">
        <v>45</v>
      </c>
      <c r="B4082" t="s">
        <v>8</v>
      </c>
      <c r="C4082" t="s">
        <v>44</v>
      </c>
      <c r="D4082" t="str">
        <f>LEFT(M4082,9)</f>
        <v>1/15/2025</v>
      </c>
      <c r="E4082" t="s">
        <v>202</v>
      </c>
      <c r="F4082" t="s">
        <v>209</v>
      </c>
      <c r="G4082" t="s">
        <v>214</v>
      </c>
      <c r="I4082">
        <v>641.70000000000005</v>
      </c>
      <c r="J4082">
        <v>1598.5</v>
      </c>
      <c r="K4082">
        <v>2.4900000000000002</v>
      </c>
      <c r="M4082" t="s">
        <v>516</v>
      </c>
    </row>
    <row r="4083" spans="1:13" hidden="1">
      <c r="A4083" t="s">
        <v>45</v>
      </c>
      <c r="B4083" t="s">
        <v>8</v>
      </c>
      <c r="C4083" t="s">
        <v>44</v>
      </c>
      <c r="D4083" t="str">
        <f>LEFT(M4083,9)</f>
        <v>1/15/2025</v>
      </c>
      <c r="E4083" t="s">
        <v>202</v>
      </c>
      <c r="F4083" t="s">
        <v>203</v>
      </c>
      <c r="G4083" t="s">
        <v>236</v>
      </c>
      <c r="I4083">
        <v>452.3</v>
      </c>
      <c r="J4083">
        <v>3900</v>
      </c>
      <c r="K4083">
        <v>8.6199999999999992</v>
      </c>
      <c r="M4083" t="s">
        <v>516</v>
      </c>
    </row>
    <row r="4084" spans="1:13" hidden="1">
      <c r="A4084" t="s">
        <v>45</v>
      </c>
      <c r="B4084" t="s">
        <v>8</v>
      </c>
      <c r="C4084" t="s">
        <v>44</v>
      </c>
      <c r="D4084" t="str">
        <f>LEFT(M4084,9)</f>
        <v>1/15/2025</v>
      </c>
      <c r="E4084" t="s">
        <v>202</v>
      </c>
      <c r="F4084" t="s">
        <v>203</v>
      </c>
      <c r="G4084" t="s">
        <v>236</v>
      </c>
      <c r="I4084">
        <v>4590</v>
      </c>
      <c r="J4084">
        <v>2295</v>
      </c>
      <c r="K4084">
        <v>5.07</v>
      </c>
      <c r="M4084" t="s">
        <v>516</v>
      </c>
    </row>
    <row r="4085" spans="1:13" hidden="1">
      <c r="A4085" t="s">
        <v>45</v>
      </c>
      <c r="B4085" t="s">
        <v>8</v>
      </c>
      <c r="C4085" t="s">
        <v>44</v>
      </c>
      <c r="D4085" t="str">
        <f>LEFT(M4085,9)</f>
        <v>1/15/2025</v>
      </c>
      <c r="E4085" t="s">
        <v>202</v>
      </c>
      <c r="F4085" t="s">
        <v>216</v>
      </c>
      <c r="G4085" t="s">
        <v>217</v>
      </c>
      <c r="I4085">
        <v>1534</v>
      </c>
      <c r="J4085">
        <v>1170.0999999999999</v>
      </c>
      <c r="K4085">
        <v>0.76</v>
      </c>
      <c r="M4085" t="s">
        <v>516</v>
      </c>
    </row>
    <row r="4086" spans="1:13" hidden="1">
      <c r="A4086" t="s">
        <v>45</v>
      </c>
      <c r="B4086" t="s">
        <v>8</v>
      </c>
      <c r="C4086" t="s">
        <v>44</v>
      </c>
      <c r="D4086" t="str">
        <f>LEFT(M4086,9)</f>
        <v>1/15/2025</v>
      </c>
      <c r="E4086" t="s">
        <v>202</v>
      </c>
      <c r="F4086" t="s">
        <v>216</v>
      </c>
      <c r="G4086" t="s">
        <v>253</v>
      </c>
      <c r="I4086">
        <v>6106</v>
      </c>
      <c r="J4086">
        <v>915.9</v>
      </c>
      <c r="K4086">
        <v>0.15</v>
      </c>
      <c r="M4086" t="s">
        <v>516</v>
      </c>
    </row>
    <row r="4087" spans="1:13" hidden="1">
      <c r="A4087" t="s">
        <v>45</v>
      </c>
      <c r="B4087" t="s">
        <v>8</v>
      </c>
      <c r="C4087" t="s">
        <v>44</v>
      </c>
      <c r="D4087" t="str">
        <f>LEFT(M4087,9)</f>
        <v>1/15/2025</v>
      </c>
      <c r="E4087" t="s">
        <v>202</v>
      </c>
      <c r="F4087" t="s">
        <v>306</v>
      </c>
      <c r="G4087" t="s">
        <v>307</v>
      </c>
      <c r="I4087">
        <v>70</v>
      </c>
      <c r="J4087">
        <v>141</v>
      </c>
      <c r="K4087">
        <v>2.0099999999999998</v>
      </c>
      <c r="M4087" t="s">
        <v>516</v>
      </c>
    </row>
    <row r="4088" spans="1:13" hidden="1">
      <c r="A4088" t="s">
        <v>45</v>
      </c>
      <c r="B4088" t="s">
        <v>8</v>
      </c>
      <c r="C4088" t="s">
        <v>44</v>
      </c>
      <c r="D4088" t="str">
        <f>LEFT(M4088,9)</f>
        <v>1/15/2025</v>
      </c>
      <c r="E4088" t="s">
        <v>230</v>
      </c>
      <c r="F4088" t="s">
        <v>248</v>
      </c>
      <c r="G4088" t="s">
        <v>249</v>
      </c>
      <c r="I4088">
        <v>0</v>
      </c>
      <c r="J4088">
        <v>27539.63</v>
      </c>
      <c r="M4088" t="s">
        <v>516</v>
      </c>
    </row>
    <row r="4089" spans="1:13" hidden="1">
      <c r="A4089" t="s">
        <v>45</v>
      </c>
      <c r="B4089" t="s">
        <v>8</v>
      </c>
      <c r="C4089" t="s">
        <v>44</v>
      </c>
      <c r="D4089" t="str">
        <f>LEFT(M4089,9)</f>
        <v>1/15/2025</v>
      </c>
      <c r="E4089" t="s">
        <v>232</v>
      </c>
      <c r="F4089" t="s">
        <v>233</v>
      </c>
      <c r="G4089" t="s">
        <v>249</v>
      </c>
      <c r="I4089">
        <v>0</v>
      </c>
      <c r="J4089">
        <v>3855.55</v>
      </c>
      <c r="M4089" t="s">
        <v>516</v>
      </c>
    </row>
    <row r="4090" spans="1:13" hidden="1">
      <c r="A4090" t="s">
        <v>45</v>
      </c>
      <c r="B4090" t="s">
        <v>8</v>
      </c>
      <c r="C4090" t="s">
        <v>44</v>
      </c>
      <c r="D4090" t="str">
        <f>LEFT(M4090,9)</f>
        <v>1/15/2025</v>
      </c>
      <c r="E4090" t="s">
        <v>232</v>
      </c>
      <c r="F4090" t="s">
        <v>251</v>
      </c>
      <c r="G4090" t="s">
        <v>249</v>
      </c>
      <c r="I4090">
        <v>0</v>
      </c>
      <c r="J4090">
        <v>300</v>
      </c>
      <c r="M4090" t="s">
        <v>516</v>
      </c>
    </row>
    <row r="4091" spans="1:13" hidden="1">
      <c r="A4091" t="s">
        <v>45</v>
      </c>
      <c r="B4091" t="s">
        <v>8</v>
      </c>
      <c r="C4091" t="s">
        <v>44</v>
      </c>
      <c r="D4091" t="str">
        <f>LEFT(M4091,9)</f>
        <v>1/15/2025</v>
      </c>
      <c r="E4091" t="s">
        <v>232</v>
      </c>
      <c r="F4091" t="s">
        <v>251</v>
      </c>
      <c r="G4091" t="s">
        <v>249</v>
      </c>
      <c r="I4091">
        <v>0</v>
      </c>
      <c r="J4091">
        <v>78.400000000000006</v>
      </c>
      <c r="M4091" t="s">
        <v>516</v>
      </c>
    </row>
    <row r="4092" spans="1:13" hidden="1">
      <c r="A4092" t="s">
        <v>45</v>
      </c>
      <c r="B4092" t="s">
        <v>8</v>
      </c>
      <c r="C4092" t="s">
        <v>44</v>
      </c>
      <c r="D4092" t="str">
        <f>LEFT(M4092,9)</f>
        <v>1/15/2025</v>
      </c>
      <c r="E4092" t="s">
        <v>232</v>
      </c>
      <c r="F4092" t="s">
        <v>290</v>
      </c>
      <c r="G4092" t="s">
        <v>249</v>
      </c>
      <c r="I4092">
        <v>0</v>
      </c>
      <c r="J4092">
        <v>1032.74</v>
      </c>
      <c r="M4092" t="s">
        <v>516</v>
      </c>
    </row>
    <row r="4093" spans="1:13" hidden="1">
      <c r="A4093" t="s">
        <v>45</v>
      </c>
      <c r="B4093" t="s">
        <v>8</v>
      </c>
      <c r="C4093" t="s">
        <v>44</v>
      </c>
      <c r="D4093" t="str">
        <f>LEFT(M4093,9)</f>
        <v>1/15/2025</v>
      </c>
      <c r="E4093" t="s">
        <v>232</v>
      </c>
      <c r="F4093" t="s">
        <v>250</v>
      </c>
      <c r="G4093" t="s">
        <v>249</v>
      </c>
      <c r="I4093">
        <v>0</v>
      </c>
      <c r="J4093">
        <v>340</v>
      </c>
      <c r="M4093" t="s">
        <v>516</v>
      </c>
    </row>
    <row r="4094" spans="1:13" hidden="1">
      <c r="A4094" t="s">
        <v>45</v>
      </c>
      <c r="B4094" t="s">
        <v>8</v>
      </c>
      <c r="C4094" t="s">
        <v>44</v>
      </c>
      <c r="D4094" t="str">
        <f>LEFT(M4094,9)</f>
        <v>1/15/2025</v>
      </c>
      <c r="E4094" t="s">
        <v>232</v>
      </c>
      <c r="F4094" t="s">
        <v>262</v>
      </c>
      <c r="G4094" t="s">
        <v>249</v>
      </c>
      <c r="I4094">
        <v>0</v>
      </c>
      <c r="J4094">
        <v>600</v>
      </c>
      <c r="M4094" t="s">
        <v>516</v>
      </c>
    </row>
    <row r="4095" spans="1:13" hidden="1">
      <c r="A4095" t="s">
        <v>45</v>
      </c>
      <c r="B4095" t="s">
        <v>8</v>
      </c>
      <c r="C4095" t="s">
        <v>44</v>
      </c>
      <c r="D4095" t="str">
        <f>LEFT(M4095,9)</f>
        <v>1/15/2025</v>
      </c>
      <c r="E4095" t="s">
        <v>232</v>
      </c>
      <c r="F4095" t="s">
        <v>296</v>
      </c>
      <c r="G4095" t="s">
        <v>249</v>
      </c>
      <c r="I4095">
        <v>0</v>
      </c>
      <c r="J4095">
        <v>1225.25</v>
      </c>
      <c r="M4095" t="s">
        <v>516</v>
      </c>
    </row>
    <row r="4096" spans="1:13" hidden="1">
      <c r="A4096" t="s">
        <v>45</v>
      </c>
      <c r="B4096" t="s">
        <v>8</v>
      </c>
      <c r="C4096" t="s">
        <v>44</v>
      </c>
      <c r="D4096" t="str">
        <f>LEFT(M4096,9)</f>
        <v>1/15/2025</v>
      </c>
      <c r="E4096" t="s">
        <v>232</v>
      </c>
      <c r="F4096" t="s">
        <v>251</v>
      </c>
      <c r="G4096" t="s">
        <v>249</v>
      </c>
      <c r="I4096">
        <v>0</v>
      </c>
      <c r="J4096">
        <v>180</v>
      </c>
      <c r="M4096" t="s">
        <v>516</v>
      </c>
    </row>
    <row r="4097" spans="1:13" hidden="1">
      <c r="A4097" t="s">
        <v>45</v>
      </c>
      <c r="B4097" t="s">
        <v>8</v>
      </c>
      <c r="C4097" t="s">
        <v>44</v>
      </c>
      <c r="D4097" t="str">
        <f>LEFT(M4097,9)</f>
        <v>1/15/2025</v>
      </c>
      <c r="E4097" t="s">
        <v>234</v>
      </c>
      <c r="F4097" t="s">
        <v>234</v>
      </c>
      <c r="G4097" t="s">
        <v>249</v>
      </c>
      <c r="I4097">
        <v>13187</v>
      </c>
      <c r="M4097" t="s">
        <v>516</v>
      </c>
    </row>
    <row r="4098" spans="1:13" hidden="1">
      <c r="A4098" t="s">
        <v>129</v>
      </c>
      <c r="B4098" t="s">
        <v>8</v>
      </c>
      <c r="C4098" t="s">
        <v>128</v>
      </c>
      <c r="D4098" t="str">
        <f>LEFT(M4098,9)</f>
        <v>1/15/2025</v>
      </c>
      <c r="E4098" t="s">
        <v>230</v>
      </c>
      <c r="F4098" t="s">
        <v>248</v>
      </c>
      <c r="I4098">
        <v>0</v>
      </c>
      <c r="J4098">
        <v>5225</v>
      </c>
      <c r="M4098" t="s">
        <v>516</v>
      </c>
    </row>
    <row r="4099" spans="1:13" hidden="1">
      <c r="A4099" t="s">
        <v>129</v>
      </c>
      <c r="B4099" t="s">
        <v>8</v>
      </c>
      <c r="C4099" t="s">
        <v>128</v>
      </c>
      <c r="D4099" t="str">
        <f>LEFT(M4099,9)</f>
        <v>1/15/2025</v>
      </c>
      <c r="E4099" t="s">
        <v>232</v>
      </c>
      <c r="F4099" t="s">
        <v>254</v>
      </c>
      <c r="I4099">
        <v>0</v>
      </c>
      <c r="J4099">
        <v>925.21</v>
      </c>
      <c r="M4099" t="s">
        <v>516</v>
      </c>
    </row>
    <row r="4100" spans="1:13" hidden="1">
      <c r="A4100" t="s">
        <v>129</v>
      </c>
      <c r="B4100" t="s">
        <v>8</v>
      </c>
      <c r="C4100" t="s">
        <v>128</v>
      </c>
      <c r="D4100" t="str">
        <f>LEFT(M4100,9)</f>
        <v>1/15/2025</v>
      </c>
      <c r="E4100" t="s">
        <v>234</v>
      </c>
      <c r="F4100" t="s">
        <v>234</v>
      </c>
      <c r="I4100">
        <v>2320</v>
      </c>
      <c r="M4100" t="s">
        <v>516</v>
      </c>
    </row>
    <row r="4101" spans="1:13" hidden="1">
      <c r="A4101" t="s">
        <v>129</v>
      </c>
      <c r="B4101" t="s">
        <v>8</v>
      </c>
      <c r="C4101" t="s">
        <v>128</v>
      </c>
      <c r="D4101" t="str">
        <f>LEFT(M4101,9)</f>
        <v>1/15/2025</v>
      </c>
      <c r="E4101" t="s">
        <v>202</v>
      </c>
      <c r="F4101" t="s">
        <v>227</v>
      </c>
      <c r="G4101" t="s">
        <v>237</v>
      </c>
      <c r="I4101">
        <v>518</v>
      </c>
      <c r="J4101">
        <v>310.8</v>
      </c>
      <c r="K4101">
        <v>0.6</v>
      </c>
      <c r="M4101" t="s">
        <v>516</v>
      </c>
    </row>
    <row r="4102" spans="1:13" hidden="1">
      <c r="A4102" t="s">
        <v>129</v>
      </c>
      <c r="B4102" t="s">
        <v>8</v>
      </c>
      <c r="C4102" t="s">
        <v>128</v>
      </c>
      <c r="D4102" t="str">
        <f>LEFT(M4102,9)</f>
        <v>1/15/2025</v>
      </c>
      <c r="E4102" t="s">
        <v>202</v>
      </c>
      <c r="F4102" t="s">
        <v>227</v>
      </c>
      <c r="G4102" t="s">
        <v>228</v>
      </c>
      <c r="I4102">
        <v>1828</v>
      </c>
      <c r="J4102">
        <v>639.79999999999995</v>
      </c>
      <c r="K4102">
        <v>0.35</v>
      </c>
      <c r="M4102" t="s">
        <v>516</v>
      </c>
    </row>
    <row r="4103" spans="1:13" hidden="1">
      <c r="A4103" t="s">
        <v>129</v>
      </c>
      <c r="B4103" t="s">
        <v>8</v>
      </c>
      <c r="C4103" t="s">
        <v>128</v>
      </c>
      <c r="D4103" t="str">
        <f>LEFT(M4103,9)</f>
        <v>1/15/2025</v>
      </c>
      <c r="E4103" t="s">
        <v>202</v>
      </c>
      <c r="F4103" t="s">
        <v>227</v>
      </c>
      <c r="G4103" t="s">
        <v>229</v>
      </c>
      <c r="I4103">
        <v>5865</v>
      </c>
      <c r="J4103">
        <v>4692</v>
      </c>
      <c r="K4103">
        <v>0.8</v>
      </c>
      <c r="M4103" t="s">
        <v>516</v>
      </c>
    </row>
    <row r="4104" spans="1:13" hidden="1">
      <c r="A4104" t="s">
        <v>129</v>
      </c>
      <c r="B4104" t="s">
        <v>8</v>
      </c>
      <c r="C4104" t="s">
        <v>128</v>
      </c>
      <c r="D4104" t="str">
        <f>LEFT(M4104,9)</f>
        <v>1/15/2025</v>
      </c>
      <c r="E4104" t="s">
        <v>202</v>
      </c>
      <c r="F4104" t="s">
        <v>227</v>
      </c>
      <c r="G4104" t="s">
        <v>238</v>
      </c>
      <c r="I4104">
        <v>161</v>
      </c>
      <c r="J4104">
        <v>48.3</v>
      </c>
      <c r="K4104">
        <v>0.3</v>
      </c>
      <c r="M4104" t="s">
        <v>516</v>
      </c>
    </row>
    <row r="4105" spans="1:13" hidden="1">
      <c r="A4105" t="s">
        <v>129</v>
      </c>
      <c r="B4105" t="s">
        <v>8</v>
      </c>
      <c r="C4105" t="s">
        <v>128</v>
      </c>
      <c r="D4105" t="str">
        <f>LEFT(M4105,9)</f>
        <v>1/15/2025</v>
      </c>
      <c r="E4105" t="s">
        <v>202</v>
      </c>
      <c r="F4105" t="s">
        <v>227</v>
      </c>
      <c r="G4105" t="s">
        <v>252</v>
      </c>
      <c r="I4105">
        <v>165</v>
      </c>
      <c r="J4105">
        <v>49.5</v>
      </c>
      <c r="K4105">
        <v>0.3</v>
      </c>
      <c r="M4105" t="s">
        <v>516</v>
      </c>
    </row>
    <row r="4106" spans="1:13" hidden="1">
      <c r="A4106" t="s">
        <v>129</v>
      </c>
      <c r="B4106" t="s">
        <v>8</v>
      </c>
      <c r="C4106" t="s">
        <v>128</v>
      </c>
      <c r="D4106" t="str">
        <f>LEFT(M4106,9)</f>
        <v>1/15/2025</v>
      </c>
      <c r="E4106" t="s">
        <v>202</v>
      </c>
      <c r="F4106" t="s">
        <v>218</v>
      </c>
      <c r="G4106" t="s">
        <v>224</v>
      </c>
      <c r="I4106">
        <v>222</v>
      </c>
      <c r="J4106">
        <v>222</v>
      </c>
      <c r="K4106">
        <v>1</v>
      </c>
      <c r="M4106" t="s">
        <v>516</v>
      </c>
    </row>
    <row r="4107" spans="1:13" hidden="1">
      <c r="A4107" t="s">
        <v>129</v>
      </c>
      <c r="B4107" t="s">
        <v>8</v>
      </c>
      <c r="C4107" t="s">
        <v>128</v>
      </c>
      <c r="D4107" t="str">
        <f>LEFT(M4107,9)</f>
        <v>1/15/2025</v>
      </c>
      <c r="E4107" t="s">
        <v>202</v>
      </c>
      <c r="F4107" t="s">
        <v>218</v>
      </c>
      <c r="G4107" t="s">
        <v>221</v>
      </c>
      <c r="I4107">
        <v>249</v>
      </c>
      <c r="J4107">
        <v>634.95000000000005</v>
      </c>
      <c r="K4107">
        <v>2.5499999999999998</v>
      </c>
      <c r="M4107" t="s">
        <v>516</v>
      </c>
    </row>
    <row r="4108" spans="1:13" hidden="1">
      <c r="A4108" t="s">
        <v>129</v>
      </c>
      <c r="B4108" t="s">
        <v>8</v>
      </c>
      <c r="C4108" t="s">
        <v>128</v>
      </c>
      <c r="D4108" t="str">
        <f>LEFT(M4108,9)</f>
        <v>1/15/2025</v>
      </c>
      <c r="E4108" t="s">
        <v>202</v>
      </c>
      <c r="F4108" t="s">
        <v>218</v>
      </c>
      <c r="G4108" t="s">
        <v>221</v>
      </c>
      <c r="I4108">
        <v>166</v>
      </c>
      <c r="J4108">
        <v>415</v>
      </c>
      <c r="K4108">
        <v>2.5</v>
      </c>
      <c r="M4108" t="s">
        <v>516</v>
      </c>
    </row>
    <row r="4109" spans="1:13" hidden="1">
      <c r="A4109" t="s">
        <v>129</v>
      </c>
      <c r="B4109" t="s">
        <v>8</v>
      </c>
      <c r="C4109" t="s">
        <v>128</v>
      </c>
      <c r="D4109" t="str">
        <f>LEFT(M4109,9)</f>
        <v>1/15/2025</v>
      </c>
      <c r="E4109" t="s">
        <v>202</v>
      </c>
      <c r="F4109" t="s">
        <v>218</v>
      </c>
      <c r="G4109" t="s">
        <v>220</v>
      </c>
      <c r="I4109">
        <v>654</v>
      </c>
      <c r="J4109">
        <v>981</v>
      </c>
      <c r="K4109">
        <v>1.5</v>
      </c>
      <c r="M4109" t="s">
        <v>516</v>
      </c>
    </row>
    <row r="4110" spans="1:13" hidden="1">
      <c r="A4110" t="s">
        <v>129</v>
      </c>
      <c r="B4110" t="s">
        <v>8</v>
      </c>
      <c r="C4110" t="s">
        <v>128</v>
      </c>
      <c r="D4110" t="str">
        <f>LEFT(M4110,9)</f>
        <v>1/15/2025</v>
      </c>
      <c r="E4110" t="s">
        <v>202</v>
      </c>
      <c r="F4110" t="s">
        <v>218</v>
      </c>
      <c r="G4110" t="s">
        <v>223</v>
      </c>
      <c r="I4110">
        <v>752</v>
      </c>
      <c r="J4110">
        <v>676.8</v>
      </c>
      <c r="K4110">
        <v>0.9</v>
      </c>
      <c r="M4110" t="s">
        <v>516</v>
      </c>
    </row>
    <row r="4111" spans="1:13" hidden="1">
      <c r="A4111" t="s">
        <v>129</v>
      </c>
      <c r="B4111" t="s">
        <v>8</v>
      </c>
      <c r="C4111" t="s">
        <v>128</v>
      </c>
      <c r="D4111" t="str">
        <f>LEFT(M4111,9)</f>
        <v>1/15/2025</v>
      </c>
      <c r="E4111" t="s">
        <v>202</v>
      </c>
      <c r="F4111" t="s">
        <v>218</v>
      </c>
      <c r="G4111" t="s">
        <v>223</v>
      </c>
      <c r="I4111">
        <v>210</v>
      </c>
      <c r="J4111">
        <v>147</v>
      </c>
      <c r="K4111">
        <v>0.7</v>
      </c>
      <c r="M4111" t="s">
        <v>516</v>
      </c>
    </row>
    <row r="4112" spans="1:13" hidden="1">
      <c r="A4112" t="s">
        <v>129</v>
      </c>
      <c r="B4112" t="s">
        <v>8</v>
      </c>
      <c r="C4112" t="s">
        <v>128</v>
      </c>
      <c r="D4112" t="str">
        <f>LEFT(M4112,9)</f>
        <v>1/15/2025</v>
      </c>
      <c r="E4112" t="s">
        <v>202</v>
      </c>
      <c r="F4112" t="s">
        <v>218</v>
      </c>
      <c r="G4112" t="s">
        <v>240</v>
      </c>
      <c r="I4112">
        <v>901</v>
      </c>
      <c r="J4112">
        <v>3604</v>
      </c>
      <c r="K4112">
        <v>4</v>
      </c>
      <c r="M4112" t="s">
        <v>516</v>
      </c>
    </row>
    <row r="4113" spans="1:13" hidden="1">
      <c r="A4113" t="s">
        <v>129</v>
      </c>
      <c r="B4113" t="s">
        <v>8</v>
      </c>
      <c r="C4113" t="s">
        <v>128</v>
      </c>
      <c r="D4113" t="str">
        <f>LEFT(M4113,9)</f>
        <v>1/15/2025</v>
      </c>
      <c r="E4113" t="s">
        <v>202</v>
      </c>
      <c r="F4113" t="s">
        <v>218</v>
      </c>
      <c r="G4113" t="s">
        <v>222</v>
      </c>
      <c r="I4113">
        <v>341</v>
      </c>
      <c r="J4113">
        <v>613.79999999999995</v>
      </c>
      <c r="K4113">
        <v>1.8</v>
      </c>
      <c r="M4113" t="s">
        <v>516</v>
      </c>
    </row>
    <row r="4114" spans="1:13" hidden="1">
      <c r="A4114" t="s">
        <v>129</v>
      </c>
      <c r="B4114" t="s">
        <v>8</v>
      </c>
      <c r="C4114" t="s">
        <v>128</v>
      </c>
      <c r="D4114" t="str">
        <f>LEFT(M4114,9)</f>
        <v>1/15/2025</v>
      </c>
      <c r="E4114" t="s">
        <v>202</v>
      </c>
      <c r="F4114" t="s">
        <v>218</v>
      </c>
      <c r="G4114" t="s">
        <v>222</v>
      </c>
      <c r="I4114">
        <v>280</v>
      </c>
      <c r="J4114">
        <v>364</v>
      </c>
      <c r="K4114">
        <v>1.3</v>
      </c>
      <c r="M4114" t="s">
        <v>516</v>
      </c>
    </row>
    <row r="4115" spans="1:13" hidden="1">
      <c r="A4115" t="s">
        <v>129</v>
      </c>
      <c r="B4115" t="s">
        <v>8</v>
      </c>
      <c r="C4115" t="s">
        <v>128</v>
      </c>
      <c r="D4115" t="str">
        <f>LEFT(M4115,9)</f>
        <v>1/15/2025</v>
      </c>
      <c r="E4115" t="s">
        <v>202</v>
      </c>
      <c r="F4115" t="s">
        <v>218</v>
      </c>
      <c r="G4115" t="s">
        <v>222</v>
      </c>
      <c r="I4115">
        <v>207</v>
      </c>
      <c r="J4115">
        <v>248.4</v>
      </c>
      <c r="K4115">
        <v>1.2</v>
      </c>
      <c r="M4115" t="s">
        <v>516</v>
      </c>
    </row>
    <row r="4116" spans="1:13" hidden="1">
      <c r="A4116" t="s">
        <v>129</v>
      </c>
      <c r="B4116" t="s">
        <v>8</v>
      </c>
      <c r="C4116" t="s">
        <v>128</v>
      </c>
      <c r="D4116" t="str">
        <f>LEFT(M4116,9)</f>
        <v>1/15/2025</v>
      </c>
      <c r="E4116" t="s">
        <v>202</v>
      </c>
      <c r="F4116" t="s">
        <v>218</v>
      </c>
      <c r="G4116" t="s">
        <v>222</v>
      </c>
      <c r="I4116">
        <v>79</v>
      </c>
      <c r="J4116">
        <v>63.2</v>
      </c>
      <c r="K4116">
        <v>0.8</v>
      </c>
      <c r="M4116" t="s">
        <v>516</v>
      </c>
    </row>
    <row r="4117" spans="1:13" hidden="1">
      <c r="A4117" t="s">
        <v>129</v>
      </c>
      <c r="B4117" t="s">
        <v>8</v>
      </c>
      <c r="C4117" t="s">
        <v>128</v>
      </c>
      <c r="D4117" t="str">
        <f>LEFT(M4117,9)</f>
        <v>1/15/2025</v>
      </c>
      <c r="E4117" t="s">
        <v>202</v>
      </c>
      <c r="F4117" t="s">
        <v>218</v>
      </c>
      <c r="G4117" t="s">
        <v>226</v>
      </c>
      <c r="I4117">
        <v>240</v>
      </c>
      <c r="J4117">
        <v>72</v>
      </c>
      <c r="K4117">
        <v>0.3</v>
      </c>
      <c r="M4117" t="s">
        <v>516</v>
      </c>
    </row>
    <row r="4118" spans="1:13" hidden="1">
      <c r="A4118" t="s">
        <v>129</v>
      </c>
      <c r="B4118" t="s">
        <v>8</v>
      </c>
      <c r="C4118" t="s">
        <v>128</v>
      </c>
      <c r="D4118" t="str">
        <f>LEFT(M4118,9)</f>
        <v>1/15/2025</v>
      </c>
      <c r="E4118" t="s">
        <v>202</v>
      </c>
      <c r="F4118" t="s">
        <v>203</v>
      </c>
      <c r="G4118" t="s">
        <v>207</v>
      </c>
      <c r="I4118">
        <v>7.5</v>
      </c>
      <c r="J4118">
        <v>30</v>
      </c>
      <c r="K4118">
        <v>4</v>
      </c>
      <c r="M4118" t="s">
        <v>516</v>
      </c>
    </row>
    <row r="4119" spans="1:13" hidden="1">
      <c r="A4119" t="s">
        <v>129</v>
      </c>
      <c r="B4119" t="s">
        <v>8</v>
      </c>
      <c r="C4119" t="s">
        <v>128</v>
      </c>
      <c r="D4119" t="str">
        <f>LEFT(M4119,9)</f>
        <v>1/15/2025</v>
      </c>
      <c r="E4119" t="s">
        <v>202</v>
      </c>
      <c r="F4119" t="s">
        <v>203</v>
      </c>
      <c r="G4119" t="s">
        <v>204</v>
      </c>
      <c r="I4119">
        <v>193</v>
      </c>
      <c r="J4119">
        <v>1640.5</v>
      </c>
      <c r="K4119">
        <v>8.5</v>
      </c>
      <c r="M4119" t="s">
        <v>516</v>
      </c>
    </row>
    <row r="4120" spans="1:13" hidden="1">
      <c r="A4120" t="s">
        <v>129</v>
      </c>
      <c r="B4120" t="s">
        <v>8</v>
      </c>
      <c r="C4120" t="s">
        <v>128</v>
      </c>
      <c r="D4120" t="str">
        <f>LEFT(M4120,9)</f>
        <v>1/15/2025</v>
      </c>
      <c r="E4120" t="s">
        <v>202</v>
      </c>
      <c r="F4120" t="s">
        <v>203</v>
      </c>
      <c r="G4120" t="s">
        <v>208</v>
      </c>
      <c r="I4120">
        <v>66</v>
      </c>
      <c r="J4120">
        <v>627</v>
      </c>
      <c r="K4120">
        <v>9.5</v>
      </c>
      <c r="M4120" t="s">
        <v>516</v>
      </c>
    </row>
    <row r="4121" spans="1:13" hidden="1">
      <c r="A4121" t="s">
        <v>129</v>
      </c>
      <c r="B4121" t="s">
        <v>8</v>
      </c>
      <c r="C4121" t="s">
        <v>128</v>
      </c>
      <c r="D4121" t="str">
        <f>LEFT(M4121,9)</f>
        <v>1/15/2025</v>
      </c>
      <c r="E4121" t="s">
        <v>202</v>
      </c>
      <c r="F4121" t="s">
        <v>203</v>
      </c>
      <c r="G4121" t="s">
        <v>260</v>
      </c>
      <c r="I4121">
        <v>9</v>
      </c>
      <c r="J4121">
        <v>342</v>
      </c>
      <c r="K4121">
        <v>38</v>
      </c>
      <c r="M4121" t="s">
        <v>516</v>
      </c>
    </row>
    <row r="4122" spans="1:13" hidden="1">
      <c r="A4122" t="s">
        <v>129</v>
      </c>
      <c r="B4122" t="s">
        <v>8</v>
      </c>
      <c r="C4122" t="s">
        <v>128</v>
      </c>
      <c r="D4122" t="str">
        <f>LEFT(M4122,9)</f>
        <v>1/15/2025</v>
      </c>
      <c r="E4122" t="s">
        <v>202</v>
      </c>
      <c r="F4122" t="s">
        <v>203</v>
      </c>
      <c r="G4122" t="s">
        <v>259</v>
      </c>
      <c r="I4122">
        <v>8.6999999999999993</v>
      </c>
      <c r="J4122">
        <v>156.6</v>
      </c>
      <c r="K4122">
        <v>18</v>
      </c>
      <c r="M4122" t="s">
        <v>516</v>
      </c>
    </row>
    <row r="4123" spans="1:13" hidden="1">
      <c r="A4123" t="s">
        <v>129</v>
      </c>
      <c r="B4123" t="s">
        <v>8</v>
      </c>
      <c r="C4123" t="s">
        <v>128</v>
      </c>
      <c r="D4123" t="str">
        <f>LEFT(M4123,9)</f>
        <v>1/15/2025</v>
      </c>
      <c r="E4123" t="s">
        <v>202</v>
      </c>
      <c r="F4123" t="s">
        <v>203</v>
      </c>
      <c r="G4123" t="s">
        <v>236</v>
      </c>
      <c r="I4123">
        <v>2120</v>
      </c>
      <c r="J4123">
        <v>1696</v>
      </c>
      <c r="K4123">
        <v>0.8</v>
      </c>
      <c r="M4123" t="s">
        <v>516</v>
      </c>
    </row>
    <row r="4124" spans="1:13" hidden="1">
      <c r="A4124" t="s">
        <v>129</v>
      </c>
      <c r="B4124" t="s">
        <v>8</v>
      </c>
      <c r="C4124" t="s">
        <v>128</v>
      </c>
      <c r="D4124" t="str">
        <f>LEFT(M4124,9)</f>
        <v>1/15/2025</v>
      </c>
      <c r="E4124" t="s">
        <v>202</v>
      </c>
      <c r="F4124" t="s">
        <v>216</v>
      </c>
      <c r="G4124" t="s">
        <v>253</v>
      </c>
      <c r="I4124">
        <v>1530</v>
      </c>
      <c r="J4124">
        <v>229.5</v>
      </c>
      <c r="K4124">
        <v>0.15</v>
      </c>
      <c r="M4124" t="s">
        <v>516</v>
      </c>
    </row>
    <row r="4125" spans="1:13" hidden="1">
      <c r="A4125" t="s">
        <v>92</v>
      </c>
      <c r="B4125" t="s">
        <v>8</v>
      </c>
      <c r="C4125" t="s">
        <v>91</v>
      </c>
      <c r="D4125" t="str">
        <f>LEFT(M4125,9)</f>
        <v>1/15/2025</v>
      </c>
      <c r="E4125" t="s">
        <v>202</v>
      </c>
      <c r="F4125" t="s">
        <v>227</v>
      </c>
      <c r="G4125" t="s">
        <v>237</v>
      </c>
      <c r="I4125">
        <v>827.4</v>
      </c>
      <c r="J4125">
        <v>537.80999999999995</v>
      </c>
      <c r="K4125">
        <v>0.65</v>
      </c>
      <c r="M4125" t="s">
        <v>516</v>
      </c>
    </row>
    <row r="4126" spans="1:13" hidden="1">
      <c r="A4126" t="s">
        <v>92</v>
      </c>
      <c r="B4126" t="s">
        <v>8</v>
      </c>
      <c r="C4126" t="s">
        <v>91</v>
      </c>
      <c r="D4126" t="str">
        <f>LEFT(M4126,9)</f>
        <v>1/15/2025</v>
      </c>
      <c r="E4126" t="s">
        <v>202</v>
      </c>
      <c r="F4126" t="s">
        <v>227</v>
      </c>
      <c r="G4126" t="s">
        <v>228</v>
      </c>
      <c r="I4126">
        <v>3331.3</v>
      </c>
      <c r="J4126">
        <v>1332.52</v>
      </c>
      <c r="K4126">
        <v>0.4</v>
      </c>
      <c r="M4126" t="s">
        <v>516</v>
      </c>
    </row>
    <row r="4127" spans="1:13" hidden="1">
      <c r="A4127" t="s">
        <v>92</v>
      </c>
      <c r="B4127" t="s">
        <v>8</v>
      </c>
      <c r="C4127" t="s">
        <v>91</v>
      </c>
      <c r="D4127" t="str">
        <f>LEFT(M4127,9)</f>
        <v>1/15/2025</v>
      </c>
      <c r="E4127" t="s">
        <v>202</v>
      </c>
      <c r="F4127" t="s">
        <v>227</v>
      </c>
      <c r="G4127" t="s">
        <v>229</v>
      </c>
      <c r="I4127">
        <v>11247</v>
      </c>
      <c r="J4127">
        <v>8997.6</v>
      </c>
      <c r="K4127">
        <v>0.8</v>
      </c>
      <c r="M4127" t="s">
        <v>516</v>
      </c>
    </row>
    <row r="4128" spans="1:13" hidden="1">
      <c r="A4128" t="s">
        <v>92</v>
      </c>
      <c r="B4128" t="s">
        <v>8</v>
      </c>
      <c r="C4128" t="s">
        <v>91</v>
      </c>
      <c r="D4128" t="str">
        <f>LEFT(M4128,9)</f>
        <v>1/15/2025</v>
      </c>
      <c r="E4128" t="s">
        <v>202</v>
      </c>
      <c r="F4128" t="s">
        <v>227</v>
      </c>
      <c r="G4128" t="s">
        <v>238</v>
      </c>
      <c r="I4128">
        <v>904.4</v>
      </c>
      <c r="J4128">
        <v>361.76</v>
      </c>
      <c r="K4128">
        <v>0.4</v>
      </c>
      <c r="M4128" t="s">
        <v>516</v>
      </c>
    </row>
    <row r="4129" spans="1:13" hidden="1">
      <c r="A4129" t="s">
        <v>92</v>
      </c>
      <c r="B4129" t="s">
        <v>8</v>
      </c>
      <c r="C4129" t="s">
        <v>91</v>
      </c>
      <c r="D4129" t="str">
        <f>LEFT(M4129,9)</f>
        <v>1/15/2025</v>
      </c>
      <c r="E4129" t="s">
        <v>202</v>
      </c>
      <c r="F4129" t="s">
        <v>227</v>
      </c>
      <c r="G4129" t="s">
        <v>252</v>
      </c>
      <c r="I4129">
        <v>445.4</v>
      </c>
      <c r="J4129">
        <v>155.88999999999999</v>
      </c>
      <c r="K4129">
        <v>0.35</v>
      </c>
      <c r="M4129" t="s">
        <v>516</v>
      </c>
    </row>
    <row r="4130" spans="1:13" hidden="1">
      <c r="A4130" t="s">
        <v>92</v>
      </c>
      <c r="B4130" t="s">
        <v>8</v>
      </c>
      <c r="C4130" t="s">
        <v>91</v>
      </c>
      <c r="D4130" t="str">
        <f>LEFT(M4130,9)</f>
        <v>1/15/2025</v>
      </c>
      <c r="E4130" t="s">
        <v>202</v>
      </c>
      <c r="F4130" t="s">
        <v>218</v>
      </c>
      <c r="G4130" t="s">
        <v>224</v>
      </c>
      <c r="I4130">
        <v>1195.3</v>
      </c>
      <c r="J4130">
        <v>1314.83</v>
      </c>
      <c r="K4130">
        <v>1.1000000000000001</v>
      </c>
      <c r="M4130" t="s">
        <v>516</v>
      </c>
    </row>
    <row r="4131" spans="1:13" hidden="1">
      <c r="A4131" t="s">
        <v>92</v>
      </c>
      <c r="B4131" t="s">
        <v>8</v>
      </c>
      <c r="C4131" t="s">
        <v>91</v>
      </c>
      <c r="D4131" t="str">
        <f>LEFT(M4131,9)</f>
        <v>1/15/2025</v>
      </c>
      <c r="E4131" t="s">
        <v>202</v>
      </c>
      <c r="F4131" t="s">
        <v>218</v>
      </c>
      <c r="G4131" t="s">
        <v>221</v>
      </c>
      <c r="I4131">
        <v>490.8</v>
      </c>
      <c r="J4131">
        <v>1276.08</v>
      </c>
      <c r="K4131">
        <v>2.6</v>
      </c>
      <c r="M4131" t="s">
        <v>516</v>
      </c>
    </row>
    <row r="4132" spans="1:13" hidden="1">
      <c r="A4132" t="s">
        <v>92</v>
      </c>
      <c r="B4132" t="s">
        <v>8</v>
      </c>
      <c r="C4132" t="s">
        <v>91</v>
      </c>
      <c r="D4132" t="str">
        <f>LEFT(M4132,9)</f>
        <v>1/15/2025</v>
      </c>
      <c r="E4132" t="s">
        <v>202</v>
      </c>
      <c r="F4132" t="s">
        <v>218</v>
      </c>
      <c r="G4132" t="s">
        <v>221</v>
      </c>
      <c r="I4132">
        <v>669</v>
      </c>
      <c r="J4132">
        <v>1806.3</v>
      </c>
      <c r="K4132">
        <v>2.7</v>
      </c>
      <c r="M4132" t="s">
        <v>516</v>
      </c>
    </row>
    <row r="4133" spans="1:13" hidden="1">
      <c r="A4133" t="s">
        <v>92</v>
      </c>
      <c r="B4133" t="s">
        <v>8</v>
      </c>
      <c r="C4133" t="s">
        <v>91</v>
      </c>
      <c r="D4133" t="str">
        <f>LEFT(M4133,9)</f>
        <v>1/15/2025</v>
      </c>
      <c r="E4133" t="s">
        <v>202</v>
      </c>
      <c r="F4133" t="s">
        <v>218</v>
      </c>
      <c r="G4133" t="s">
        <v>220</v>
      </c>
      <c r="I4133">
        <v>1220.4000000000001</v>
      </c>
      <c r="J4133">
        <v>1952.64</v>
      </c>
      <c r="K4133">
        <v>1.6</v>
      </c>
      <c r="M4133" t="s">
        <v>516</v>
      </c>
    </row>
    <row r="4134" spans="1:13" hidden="1">
      <c r="A4134" t="s">
        <v>92</v>
      </c>
      <c r="B4134" t="s">
        <v>8</v>
      </c>
      <c r="C4134" t="s">
        <v>91</v>
      </c>
      <c r="D4134" t="str">
        <f>LEFT(M4134,9)</f>
        <v>1/15/2025</v>
      </c>
      <c r="E4134" t="s">
        <v>202</v>
      </c>
      <c r="F4134" t="s">
        <v>218</v>
      </c>
      <c r="G4134" t="s">
        <v>243</v>
      </c>
      <c r="H4134" t="s">
        <v>528</v>
      </c>
      <c r="I4134">
        <v>116.8</v>
      </c>
      <c r="J4134">
        <v>81.760000000000005</v>
      </c>
      <c r="K4134">
        <v>0.7</v>
      </c>
      <c r="M4134" t="s">
        <v>516</v>
      </c>
    </row>
    <row r="4135" spans="1:13" hidden="1">
      <c r="A4135" t="s">
        <v>92</v>
      </c>
      <c r="B4135" t="s">
        <v>8</v>
      </c>
      <c r="C4135" t="s">
        <v>91</v>
      </c>
      <c r="D4135" t="str">
        <f>LEFT(M4135,9)</f>
        <v>1/15/2025</v>
      </c>
      <c r="E4135" t="s">
        <v>202</v>
      </c>
      <c r="F4135" t="s">
        <v>218</v>
      </c>
      <c r="G4135" t="s">
        <v>223</v>
      </c>
      <c r="I4135">
        <v>2748.6</v>
      </c>
      <c r="J4135">
        <v>2473.7399999999998</v>
      </c>
      <c r="K4135">
        <v>0.9</v>
      </c>
      <c r="M4135" t="s">
        <v>516</v>
      </c>
    </row>
    <row r="4136" spans="1:13" hidden="1">
      <c r="A4136" t="s">
        <v>92</v>
      </c>
      <c r="B4136" t="s">
        <v>8</v>
      </c>
      <c r="C4136" t="s">
        <v>91</v>
      </c>
      <c r="D4136" t="str">
        <f>LEFT(M4136,9)</f>
        <v>1/15/2025</v>
      </c>
      <c r="E4136" t="s">
        <v>202</v>
      </c>
      <c r="F4136" t="s">
        <v>218</v>
      </c>
      <c r="G4136" t="s">
        <v>223</v>
      </c>
      <c r="I4136">
        <v>636.20000000000005</v>
      </c>
      <c r="J4136">
        <v>445.34</v>
      </c>
      <c r="K4136">
        <v>0.7</v>
      </c>
      <c r="M4136" t="s">
        <v>516</v>
      </c>
    </row>
    <row r="4137" spans="1:13" hidden="1">
      <c r="A4137" t="s">
        <v>92</v>
      </c>
      <c r="B4137" t="s">
        <v>8</v>
      </c>
      <c r="C4137" t="s">
        <v>91</v>
      </c>
      <c r="D4137" t="str">
        <f>LEFT(M4137,9)</f>
        <v>1/15/2025</v>
      </c>
      <c r="E4137" t="s">
        <v>202</v>
      </c>
      <c r="F4137" t="s">
        <v>218</v>
      </c>
      <c r="G4137" t="s">
        <v>240</v>
      </c>
      <c r="I4137">
        <v>1303.8</v>
      </c>
      <c r="J4137">
        <v>5867.1</v>
      </c>
      <c r="K4137">
        <v>4.5</v>
      </c>
      <c r="M4137" t="s">
        <v>516</v>
      </c>
    </row>
    <row r="4138" spans="1:13" hidden="1">
      <c r="A4138" t="s">
        <v>92</v>
      </c>
      <c r="B4138" t="s">
        <v>8</v>
      </c>
      <c r="C4138" t="s">
        <v>91</v>
      </c>
      <c r="D4138" t="str">
        <f>LEFT(M4138,9)</f>
        <v>1/15/2025</v>
      </c>
      <c r="E4138" t="s">
        <v>202</v>
      </c>
      <c r="F4138" t="s">
        <v>218</v>
      </c>
      <c r="G4138" t="s">
        <v>241</v>
      </c>
      <c r="I4138">
        <v>62</v>
      </c>
      <c r="J4138">
        <v>279</v>
      </c>
      <c r="K4138">
        <v>4.5</v>
      </c>
      <c r="M4138" t="s">
        <v>516</v>
      </c>
    </row>
    <row r="4139" spans="1:13" hidden="1">
      <c r="A4139" t="s">
        <v>92</v>
      </c>
      <c r="B4139" t="s">
        <v>8</v>
      </c>
      <c r="C4139" t="s">
        <v>91</v>
      </c>
      <c r="D4139" t="str">
        <f>LEFT(M4139,9)</f>
        <v>1/15/2025</v>
      </c>
      <c r="E4139" t="s">
        <v>202</v>
      </c>
      <c r="F4139" t="s">
        <v>218</v>
      </c>
      <c r="G4139" t="s">
        <v>219</v>
      </c>
      <c r="I4139">
        <v>45.4</v>
      </c>
      <c r="J4139">
        <v>4.54</v>
      </c>
      <c r="K4139">
        <v>0.1</v>
      </c>
      <c r="M4139" t="s">
        <v>516</v>
      </c>
    </row>
    <row r="4140" spans="1:13" hidden="1">
      <c r="A4140" t="s">
        <v>92</v>
      </c>
      <c r="B4140" t="s">
        <v>8</v>
      </c>
      <c r="C4140" t="s">
        <v>91</v>
      </c>
      <c r="D4140" t="str">
        <f>LEFT(M4140,9)</f>
        <v>1/15/2025</v>
      </c>
      <c r="E4140" t="s">
        <v>202</v>
      </c>
      <c r="F4140" t="s">
        <v>218</v>
      </c>
      <c r="G4140" t="s">
        <v>243</v>
      </c>
      <c r="H4140" t="s">
        <v>384</v>
      </c>
      <c r="I4140">
        <v>75.599999999999994</v>
      </c>
      <c r="J4140">
        <v>22.68</v>
      </c>
      <c r="K4140">
        <v>0.3</v>
      </c>
      <c r="M4140" t="s">
        <v>516</v>
      </c>
    </row>
    <row r="4141" spans="1:13" hidden="1">
      <c r="A4141" t="s">
        <v>92</v>
      </c>
      <c r="B4141" t="s">
        <v>8</v>
      </c>
      <c r="C4141" t="s">
        <v>91</v>
      </c>
      <c r="D4141" t="str">
        <f>LEFT(M4141,9)</f>
        <v>1/15/2025</v>
      </c>
      <c r="E4141" t="s">
        <v>202</v>
      </c>
      <c r="F4141" t="s">
        <v>218</v>
      </c>
      <c r="G4141" t="s">
        <v>242</v>
      </c>
      <c r="I4141">
        <v>62</v>
      </c>
      <c r="J4141">
        <v>74.400000000000006</v>
      </c>
      <c r="K4141">
        <v>1.2</v>
      </c>
      <c r="M4141" t="s">
        <v>516</v>
      </c>
    </row>
    <row r="4142" spans="1:13" hidden="1">
      <c r="A4142" t="s">
        <v>92</v>
      </c>
      <c r="B4142" t="s">
        <v>8</v>
      </c>
      <c r="C4142" t="s">
        <v>91</v>
      </c>
      <c r="D4142" t="str">
        <f>LEFT(M4142,9)</f>
        <v>1/15/2025</v>
      </c>
      <c r="E4142" t="s">
        <v>202</v>
      </c>
      <c r="F4142" t="s">
        <v>218</v>
      </c>
      <c r="G4142" t="s">
        <v>222</v>
      </c>
      <c r="I4142">
        <v>381.6</v>
      </c>
      <c r="J4142">
        <v>763.2</v>
      </c>
      <c r="K4142">
        <v>2</v>
      </c>
      <c r="M4142" t="s">
        <v>516</v>
      </c>
    </row>
    <row r="4143" spans="1:13" hidden="1">
      <c r="A4143" t="s">
        <v>92</v>
      </c>
      <c r="B4143" t="s">
        <v>8</v>
      </c>
      <c r="C4143" t="s">
        <v>91</v>
      </c>
      <c r="D4143" t="str">
        <f>LEFT(M4143,9)</f>
        <v>1/15/2025</v>
      </c>
      <c r="E4143" t="s">
        <v>202</v>
      </c>
      <c r="F4143" t="s">
        <v>218</v>
      </c>
      <c r="G4143" t="s">
        <v>222</v>
      </c>
      <c r="I4143">
        <v>583</v>
      </c>
      <c r="J4143">
        <v>816.2</v>
      </c>
      <c r="K4143">
        <v>1.4</v>
      </c>
      <c r="M4143" t="s">
        <v>516</v>
      </c>
    </row>
    <row r="4144" spans="1:13" hidden="1">
      <c r="A4144" t="s">
        <v>92</v>
      </c>
      <c r="B4144" t="s">
        <v>8</v>
      </c>
      <c r="C4144" t="s">
        <v>91</v>
      </c>
      <c r="D4144" t="str">
        <f>LEFT(M4144,9)</f>
        <v>1/15/2025</v>
      </c>
      <c r="E4144" t="s">
        <v>202</v>
      </c>
      <c r="F4144" t="s">
        <v>218</v>
      </c>
      <c r="G4144" t="s">
        <v>222</v>
      </c>
      <c r="I4144">
        <v>1398.2</v>
      </c>
      <c r="J4144">
        <v>2097.3000000000002</v>
      </c>
      <c r="K4144">
        <v>1.5</v>
      </c>
      <c r="M4144" t="s">
        <v>516</v>
      </c>
    </row>
    <row r="4145" spans="1:13" hidden="1">
      <c r="A4145" t="s">
        <v>92</v>
      </c>
      <c r="B4145" t="s">
        <v>8</v>
      </c>
      <c r="C4145" t="s">
        <v>91</v>
      </c>
      <c r="D4145" t="str">
        <f>LEFT(M4145,9)</f>
        <v>1/15/2025</v>
      </c>
      <c r="E4145" t="s">
        <v>202</v>
      </c>
      <c r="F4145" t="s">
        <v>218</v>
      </c>
      <c r="G4145" t="s">
        <v>226</v>
      </c>
      <c r="I4145">
        <v>309.2</v>
      </c>
      <c r="J4145">
        <v>92.73</v>
      </c>
      <c r="K4145">
        <v>0.3</v>
      </c>
      <c r="M4145" t="s">
        <v>516</v>
      </c>
    </row>
    <row r="4146" spans="1:13" hidden="1">
      <c r="A4146" t="s">
        <v>92</v>
      </c>
      <c r="B4146" t="s">
        <v>8</v>
      </c>
      <c r="C4146" t="s">
        <v>91</v>
      </c>
      <c r="D4146" t="str">
        <f>LEFT(M4146,9)</f>
        <v>1/15/2025</v>
      </c>
      <c r="E4146" t="s">
        <v>202</v>
      </c>
      <c r="F4146" t="s">
        <v>218</v>
      </c>
      <c r="G4146" t="s">
        <v>247</v>
      </c>
      <c r="I4146">
        <v>22.2</v>
      </c>
      <c r="J4146">
        <v>88.8</v>
      </c>
      <c r="K4146">
        <v>4</v>
      </c>
      <c r="M4146" t="s">
        <v>516</v>
      </c>
    </row>
    <row r="4147" spans="1:13" hidden="1">
      <c r="A4147" t="s">
        <v>92</v>
      </c>
      <c r="B4147" t="s">
        <v>8</v>
      </c>
      <c r="C4147" t="s">
        <v>91</v>
      </c>
      <c r="D4147" t="str">
        <f>LEFT(M4147,9)</f>
        <v>1/15/2025</v>
      </c>
      <c r="E4147" t="s">
        <v>202</v>
      </c>
      <c r="F4147" t="s">
        <v>218</v>
      </c>
      <c r="G4147" t="s">
        <v>243</v>
      </c>
      <c r="H4147" t="s">
        <v>529</v>
      </c>
      <c r="I4147">
        <v>71.8</v>
      </c>
      <c r="J4147">
        <v>179.5</v>
      </c>
      <c r="K4147">
        <v>2.5</v>
      </c>
      <c r="M4147" t="s">
        <v>516</v>
      </c>
    </row>
    <row r="4148" spans="1:13" hidden="1">
      <c r="A4148" t="s">
        <v>92</v>
      </c>
      <c r="B4148" t="s">
        <v>8</v>
      </c>
      <c r="C4148" t="s">
        <v>91</v>
      </c>
      <c r="D4148" t="str">
        <f>LEFT(M4148,9)</f>
        <v>1/15/2025</v>
      </c>
      <c r="E4148" t="s">
        <v>202</v>
      </c>
      <c r="F4148" t="s">
        <v>203</v>
      </c>
      <c r="G4148" t="s">
        <v>207</v>
      </c>
      <c r="I4148">
        <v>101.2</v>
      </c>
      <c r="J4148">
        <v>404.8</v>
      </c>
      <c r="K4148">
        <v>4</v>
      </c>
      <c r="M4148" t="s">
        <v>516</v>
      </c>
    </row>
    <row r="4149" spans="1:13" hidden="1">
      <c r="A4149" t="s">
        <v>92</v>
      </c>
      <c r="B4149" t="s">
        <v>8</v>
      </c>
      <c r="C4149" t="s">
        <v>91</v>
      </c>
      <c r="D4149" t="str">
        <f>LEFT(M4149,9)</f>
        <v>1/15/2025</v>
      </c>
      <c r="E4149" t="s">
        <v>202</v>
      </c>
      <c r="F4149" t="s">
        <v>203</v>
      </c>
      <c r="G4149" t="s">
        <v>204</v>
      </c>
      <c r="I4149">
        <v>179.4</v>
      </c>
      <c r="J4149">
        <v>1614.6</v>
      </c>
      <c r="K4149">
        <v>9</v>
      </c>
      <c r="M4149" t="s">
        <v>516</v>
      </c>
    </row>
    <row r="4150" spans="1:13" hidden="1">
      <c r="A4150" t="s">
        <v>92</v>
      </c>
      <c r="B4150" t="s">
        <v>8</v>
      </c>
      <c r="C4150" t="s">
        <v>91</v>
      </c>
      <c r="D4150" t="str">
        <f>LEFT(M4150,9)</f>
        <v>1/15/2025</v>
      </c>
      <c r="E4150" t="s">
        <v>202</v>
      </c>
      <c r="F4150" t="s">
        <v>203</v>
      </c>
      <c r="G4150" t="s">
        <v>259</v>
      </c>
      <c r="I4150">
        <v>27</v>
      </c>
      <c r="J4150">
        <v>243</v>
      </c>
      <c r="K4150">
        <v>9</v>
      </c>
      <c r="M4150" t="s">
        <v>516</v>
      </c>
    </row>
    <row r="4151" spans="1:13" hidden="1">
      <c r="A4151" t="s">
        <v>92</v>
      </c>
      <c r="B4151" t="s">
        <v>8</v>
      </c>
      <c r="C4151" t="s">
        <v>91</v>
      </c>
      <c r="D4151" t="str">
        <f>LEFT(M4151,9)</f>
        <v>1/15/2025</v>
      </c>
      <c r="E4151" t="s">
        <v>202</v>
      </c>
      <c r="F4151" t="s">
        <v>203</v>
      </c>
      <c r="G4151" t="s">
        <v>259</v>
      </c>
      <c r="I4151">
        <v>18.399999999999999</v>
      </c>
      <c r="J4151">
        <v>368</v>
      </c>
      <c r="K4151">
        <v>20</v>
      </c>
      <c r="M4151" t="s">
        <v>516</v>
      </c>
    </row>
    <row r="4152" spans="1:13" hidden="1">
      <c r="A4152" t="s">
        <v>92</v>
      </c>
      <c r="B4152" t="s">
        <v>8</v>
      </c>
      <c r="C4152" t="s">
        <v>91</v>
      </c>
      <c r="D4152" t="str">
        <f>LEFT(M4152,9)</f>
        <v>1/15/2025</v>
      </c>
      <c r="E4152" t="s">
        <v>202</v>
      </c>
      <c r="F4152" t="s">
        <v>203</v>
      </c>
      <c r="G4152" t="s">
        <v>259</v>
      </c>
      <c r="I4152">
        <v>4.4000000000000004</v>
      </c>
      <c r="J4152">
        <v>12.32</v>
      </c>
      <c r="K4152">
        <v>2.8</v>
      </c>
      <c r="M4152" t="s">
        <v>516</v>
      </c>
    </row>
    <row r="4153" spans="1:13" hidden="1">
      <c r="A4153" t="s">
        <v>92</v>
      </c>
      <c r="B4153" t="s">
        <v>8</v>
      </c>
      <c r="C4153" t="s">
        <v>91</v>
      </c>
      <c r="D4153" t="str">
        <f>LEFT(M4153,9)</f>
        <v>1/15/2025</v>
      </c>
      <c r="E4153" t="s">
        <v>202</v>
      </c>
      <c r="F4153" t="s">
        <v>209</v>
      </c>
      <c r="G4153" t="s">
        <v>210</v>
      </c>
      <c r="I4153">
        <v>3</v>
      </c>
      <c r="J4153">
        <v>111</v>
      </c>
      <c r="K4153">
        <v>37</v>
      </c>
      <c r="M4153" t="s">
        <v>516</v>
      </c>
    </row>
    <row r="4154" spans="1:13" hidden="1">
      <c r="A4154" t="s">
        <v>92</v>
      </c>
      <c r="B4154" t="s">
        <v>8</v>
      </c>
      <c r="C4154" t="s">
        <v>91</v>
      </c>
      <c r="D4154" t="str">
        <f>LEFT(M4154,9)</f>
        <v>1/15/2025</v>
      </c>
      <c r="E4154" t="s">
        <v>202</v>
      </c>
      <c r="F4154" t="s">
        <v>203</v>
      </c>
      <c r="G4154" t="s">
        <v>236</v>
      </c>
      <c r="I4154">
        <v>3630</v>
      </c>
      <c r="J4154">
        <v>2904</v>
      </c>
      <c r="K4154">
        <v>0.8</v>
      </c>
      <c r="M4154" t="s">
        <v>516</v>
      </c>
    </row>
    <row r="4155" spans="1:13" hidden="1">
      <c r="A4155" t="s">
        <v>92</v>
      </c>
      <c r="B4155" t="s">
        <v>8</v>
      </c>
      <c r="C4155" t="s">
        <v>91</v>
      </c>
      <c r="D4155" t="str">
        <f>LEFT(M4155,9)</f>
        <v>1/15/2025</v>
      </c>
      <c r="E4155" t="s">
        <v>202</v>
      </c>
      <c r="F4155" t="s">
        <v>216</v>
      </c>
      <c r="G4155" t="s">
        <v>253</v>
      </c>
      <c r="I4155">
        <v>7598.8</v>
      </c>
      <c r="J4155">
        <v>1519.76</v>
      </c>
      <c r="K4155">
        <v>0.2</v>
      </c>
      <c r="M4155" t="s">
        <v>516</v>
      </c>
    </row>
    <row r="4156" spans="1:13" hidden="1">
      <c r="A4156" t="s">
        <v>92</v>
      </c>
      <c r="B4156" t="s">
        <v>8</v>
      </c>
      <c r="C4156" t="s">
        <v>91</v>
      </c>
      <c r="D4156" t="str">
        <f>LEFT(M4156,9)</f>
        <v>1/15/2025</v>
      </c>
      <c r="E4156" t="s">
        <v>202</v>
      </c>
      <c r="F4156" t="s">
        <v>306</v>
      </c>
      <c r="G4156" t="s">
        <v>307</v>
      </c>
      <c r="I4156">
        <v>38</v>
      </c>
      <c r="J4156">
        <v>76</v>
      </c>
      <c r="K4156">
        <v>2</v>
      </c>
      <c r="M4156" t="s">
        <v>516</v>
      </c>
    </row>
    <row r="4157" spans="1:13" hidden="1">
      <c r="A4157" t="s">
        <v>92</v>
      </c>
      <c r="B4157" t="s">
        <v>8</v>
      </c>
      <c r="C4157" t="s">
        <v>91</v>
      </c>
      <c r="D4157" t="str">
        <f>LEFT(M4157,9)</f>
        <v>1/15/2025</v>
      </c>
      <c r="E4157" t="s">
        <v>202</v>
      </c>
      <c r="F4157" t="s">
        <v>209</v>
      </c>
      <c r="G4157" t="s">
        <v>214</v>
      </c>
      <c r="I4157">
        <v>1331.5</v>
      </c>
      <c r="J4157">
        <v>665.75</v>
      </c>
      <c r="K4157">
        <v>0.5</v>
      </c>
      <c r="M4157" t="s">
        <v>516</v>
      </c>
    </row>
    <row r="4158" spans="1:13" hidden="1">
      <c r="A4158" t="s">
        <v>92</v>
      </c>
      <c r="B4158" t="s">
        <v>8</v>
      </c>
      <c r="C4158" t="s">
        <v>91</v>
      </c>
      <c r="D4158" t="str">
        <f>LEFT(M4158,9)</f>
        <v>1/15/2025</v>
      </c>
      <c r="E4158" t="s">
        <v>202</v>
      </c>
      <c r="F4158" t="s">
        <v>209</v>
      </c>
      <c r="G4158" t="s">
        <v>214</v>
      </c>
      <c r="I4158">
        <v>34</v>
      </c>
      <c r="J4158">
        <v>20.399999999999999</v>
      </c>
      <c r="K4158">
        <v>0.6</v>
      </c>
      <c r="M4158" t="s">
        <v>516</v>
      </c>
    </row>
    <row r="4159" spans="1:13" hidden="1">
      <c r="A4159" t="s">
        <v>92</v>
      </c>
      <c r="B4159" t="s">
        <v>8</v>
      </c>
      <c r="C4159" t="s">
        <v>91</v>
      </c>
      <c r="D4159" t="str">
        <f>LEFT(M4159,9)</f>
        <v>1/15/2025</v>
      </c>
      <c r="E4159" t="s">
        <v>202</v>
      </c>
      <c r="F4159" t="s">
        <v>209</v>
      </c>
      <c r="G4159" t="s">
        <v>214</v>
      </c>
      <c r="I4159">
        <v>5.8</v>
      </c>
      <c r="J4159">
        <v>2.3199999999999998</v>
      </c>
      <c r="K4159">
        <v>0.4</v>
      </c>
      <c r="M4159" t="s">
        <v>516</v>
      </c>
    </row>
    <row r="4160" spans="1:13" hidden="1">
      <c r="A4160" t="s">
        <v>92</v>
      </c>
      <c r="B4160" t="s">
        <v>8</v>
      </c>
      <c r="C4160" t="s">
        <v>91</v>
      </c>
      <c r="D4160" t="str">
        <f>LEFT(M4160,9)</f>
        <v>1/15/2025</v>
      </c>
      <c r="E4160" t="s">
        <v>202</v>
      </c>
      <c r="F4160" t="s">
        <v>209</v>
      </c>
      <c r="G4160" t="s">
        <v>214</v>
      </c>
      <c r="I4160">
        <v>10</v>
      </c>
      <c r="J4160">
        <v>20</v>
      </c>
      <c r="K4160">
        <v>2</v>
      </c>
      <c r="M4160" t="s">
        <v>516</v>
      </c>
    </row>
    <row r="4161" spans="1:13" hidden="1">
      <c r="A4161" t="s">
        <v>92</v>
      </c>
      <c r="B4161" t="s">
        <v>8</v>
      </c>
      <c r="C4161" t="s">
        <v>91</v>
      </c>
      <c r="D4161" t="str">
        <f>LEFT(M4161,9)</f>
        <v>1/15/2025</v>
      </c>
      <c r="E4161" t="s">
        <v>202</v>
      </c>
      <c r="F4161" t="s">
        <v>209</v>
      </c>
      <c r="G4161" t="s">
        <v>214</v>
      </c>
      <c r="I4161">
        <v>136.5</v>
      </c>
      <c r="J4161">
        <v>122.85</v>
      </c>
      <c r="K4161">
        <v>0.9</v>
      </c>
      <c r="M4161" t="s">
        <v>516</v>
      </c>
    </row>
    <row r="4162" spans="1:13" hidden="1">
      <c r="A4162" t="s">
        <v>92</v>
      </c>
      <c r="B4162" t="s">
        <v>8</v>
      </c>
      <c r="C4162" t="s">
        <v>91</v>
      </c>
      <c r="D4162" t="str">
        <f>LEFT(M4162,9)</f>
        <v>1/15/2025</v>
      </c>
      <c r="E4162" t="s">
        <v>230</v>
      </c>
      <c r="F4162" t="s">
        <v>248</v>
      </c>
      <c r="I4162">
        <v>0</v>
      </c>
      <c r="J4162">
        <v>29452.76</v>
      </c>
      <c r="M4162" t="s">
        <v>516</v>
      </c>
    </row>
    <row r="4163" spans="1:13" hidden="1">
      <c r="A4163" t="s">
        <v>92</v>
      </c>
      <c r="B4163" t="s">
        <v>8</v>
      </c>
      <c r="C4163" t="s">
        <v>91</v>
      </c>
      <c r="D4163" t="str">
        <f>LEFT(M4163,9)</f>
        <v>1/15/2025</v>
      </c>
      <c r="E4163" t="s">
        <v>232</v>
      </c>
      <c r="F4163" t="s">
        <v>251</v>
      </c>
      <c r="I4163">
        <v>0</v>
      </c>
      <c r="J4163">
        <v>3067.97</v>
      </c>
      <c r="M4163" t="s">
        <v>516</v>
      </c>
    </row>
    <row r="4164" spans="1:13" hidden="1">
      <c r="A4164" t="s">
        <v>92</v>
      </c>
      <c r="B4164" t="s">
        <v>8</v>
      </c>
      <c r="C4164" t="s">
        <v>91</v>
      </c>
      <c r="D4164" t="str">
        <f>LEFT(M4164,9)</f>
        <v>1/15/2025</v>
      </c>
      <c r="E4164" t="s">
        <v>232</v>
      </c>
      <c r="F4164" t="s">
        <v>233</v>
      </c>
      <c r="I4164">
        <v>0</v>
      </c>
      <c r="J4164">
        <v>1731.63</v>
      </c>
      <c r="M4164" t="s">
        <v>516</v>
      </c>
    </row>
    <row r="4165" spans="1:13" hidden="1">
      <c r="A4165" t="s">
        <v>92</v>
      </c>
      <c r="B4165" t="s">
        <v>8</v>
      </c>
      <c r="C4165" t="s">
        <v>91</v>
      </c>
      <c r="D4165" t="str">
        <f>LEFT(M4165,9)</f>
        <v>1/15/2025</v>
      </c>
      <c r="E4165" t="s">
        <v>232</v>
      </c>
      <c r="F4165" t="s">
        <v>272</v>
      </c>
      <c r="I4165">
        <v>0</v>
      </c>
      <c r="J4165">
        <v>1880</v>
      </c>
      <c r="M4165" t="s">
        <v>516</v>
      </c>
    </row>
    <row r="4166" spans="1:13" hidden="1">
      <c r="A4166" t="s">
        <v>92</v>
      </c>
      <c r="B4166" t="s">
        <v>8</v>
      </c>
      <c r="C4166" t="s">
        <v>91</v>
      </c>
      <c r="D4166" t="str">
        <f>LEFT(M4166,9)</f>
        <v>1/15/2025</v>
      </c>
      <c r="E4166" t="s">
        <v>232</v>
      </c>
      <c r="F4166" t="s">
        <v>290</v>
      </c>
      <c r="I4166">
        <v>0</v>
      </c>
      <c r="J4166">
        <v>60</v>
      </c>
      <c r="M4166" t="s">
        <v>516</v>
      </c>
    </row>
    <row r="4167" spans="1:13" hidden="1">
      <c r="A4167" t="s">
        <v>92</v>
      </c>
      <c r="B4167" t="s">
        <v>8</v>
      </c>
      <c r="C4167" t="s">
        <v>91</v>
      </c>
      <c r="D4167" t="str">
        <f>LEFT(M4167,9)</f>
        <v>1/15/2025</v>
      </c>
      <c r="E4167" t="s">
        <v>232</v>
      </c>
      <c r="F4167" t="s">
        <v>291</v>
      </c>
      <c r="I4167">
        <v>0</v>
      </c>
      <c r="J4167">
        <v>400</v>
      </c>
      <c r="M4167" t="s">
        <v>516</v>
      </c>
    </row>
    <row r="4168" spans="1:13" hidden="1">
      <c r="A4168" t="s">
        <v>92</v>
      </c>
      <c r="B4168" t="s">
        <v>8</v>
      </c>
      <c r="C4168" t="s">
        <v>91</v>
      </c>
      <c r="D4168" t="str">
        <f>LEFT(M4168,9)</f>
        <v>1/15/2025</v>
      </c>
      <c r="E4168" t="s">
        <v>232</v>
      </c>
      <c r="F4168" t="s">
        <v>250</v>
      </c>
      <c r="I4168">
        <v>0</v>
      </c>
      <c r="J4168">
        <v>3127.65</v>
      </c>
      <c r="M4168" t="s">
        <v>516</v>
      </c>
    </row>
    <row r="4169" spans="1:13" hidden="1">
      <c r="A4169" t="s">
        <v>92</v>
      </c>
      <c r="B4169" t="s">
        <v>8</v>
      </c>
      <c r="C4169" t="s">
        <v>91</v>
      </c>
      <c r="D4169" t="str">
        <f>LEFT(M4169,9)</f>
        <v>1/15/2025</v>
      </c>
      <c r="E4169" t="s">
        <v>232</v>
      </c>
      <c r="F4169" t="s">
        <v>251</v>
      </c>
      <c r="I4169">
        <v>0</v>
      </c>
      <c r="J4169">
        <v>968</v>
      </c>
      <c r="M4169" t="s">
        <v>516</v>
      </c>
    </row>
    <row r="4170" spans="1:13" hidden="1">
      <c r="A4170" t="s">
        <v>92</v>
      </c>
      <c r="B4170" t="s">
        <v>8</v>
      </c>
      <c r="C4170" t="s">
        <v>91</v>
      </c>
      <c r="D4170" t="str">
        <f>LEFT(M4170,9)</f>
        <v>1/15/2025</v>
      </c>
      <c r="E4170" t="s">
        <v>232</v>
      </c>
      <c r="F4170" t="s">
        <v>251</v>
      </c>
      <c r="I4170">
        <v>0</v>
      </c>
      <c r="J4170">
        <v>520</v>
      </c>
      <c r="M4170" t="s">
        <v>516</v>
      </c>
    </row>
    <row r="4171" spans="1:13" hidden="1">
      <c r="A4171" t="s">
        <v>92</v>
      </c>
      <c r="B4171" t="s">
        <v>8</v>
      </c>
      <c r="C4171" t="s">
        <v>91</v>
      </c>
      <c r="D4171" t="str">
        <f>LEFT(M4171,9)</f>
        <v>1/15/2025</v>
      </c>
      <c r="E4171" t="s">
        <v>232</v>
      </c>
      <c r="F4171" t="s">
        <v>287</v>
      </c>
      <c r="I4171">
        <v>0</v>
      </c>
      <c r="J4171">
        <v>1841.1</v>
      </c>
      <c r="M4171" t="s">
        <v>516</v>
      </c>
    </row>
    <row r="4172" spans="1:13" hidden="1">
      <c r="A4172" t="s">
        <v>92</v>
      </c>
      <c r="B4172" t="s">
        <v>8</v>
      </c>
      <c r="C4172" t="s">
        <v>91</v>
      </c>
      <c r="D4172" t="str">
        <f>LEFT(M4172,9)</f>
        <v>1/15/2025</v>
      </c>
      <c r="E4172" t="s">
        <v>232</v>
      </c>
      <c r="F4172" t="s">
        <v>262</v>
      </c>
      <c r="I4172">
        <v>0</v>
      </c>
      <c r="J4172">
        <v>3694.07</v>
      </c>
      <c r="M4172" t="s">
        <v>516</v>
      </c>
    </row>
    <row r="4173" spans="1:13" hidden="1">
      <c r="A4173" t="s">
        <v>92</v>
      </c>
      <c r="B4173" t="s">
        <v>8</v>
      </c>
      <c r="C4173" t="s">
        <v>91</v>
      </c>
      <c r="D4173" t="str">
        <f>LEFT(M4173,9)</f>
        <v>1/15/2025</v>
      </c>
      <c r="E4173" t="s">
        <v>232</v>
      </c>
      <c r="F4173" t="s">
        <v>262</v>
      </c>
      <c r="I4173">
        <v>0</v>
      </c>
      <c r="J4173">
        <v>1213.58</v>
      </c>
      <c r="M4173" t="s">
        <v>516</v>
      </c>
    </row>
    <row r="4174" spans="1:13" hidden="1">
      <c r="A4174" t="s">
        <v>92</v>
      </c>
      <c r="B4174" t="s">
        <v>8</v>
      </c>
      <c r="C4174" t="s">
        <v>91</v>
      </c>
      <c r="D4174" t="str">
        <f>LEFT(M4174,9)</f>
        <v>1/15/2025</v>
      </c>
      <c r="E4174" t="s">
        <v>232</v>
      </c>
      <c r="F4174" t="s">
        <v>262</v>
      </c>
      <c r="I4174">
        <v>0</v>
      </c>
      <c r="J4174">
        <v>2114.37</v>
      </c>
      <c r="M4174" t="s">
        <v>516</v>
      </c>
    </row>
    <row r="4175" spans="1:13" hidden="1">
      <c r="A4175" t="s">
        <v>92</v>
      </c>
      <c r="B4175" t="s">
        <v>8</v>
      </c>
      <c r="C4175" t="s">
        <v>91</v>
      </c>
      <c r="D4175" t="str">
        <f>LEFT(M4175,9)</f>
        <v>1/15/2025</v>
      </c>
      <c r="E4175" t="s">
        <v>234</v>
      </c>
      <c r="F4175" t="s">
        <v>234</v>
      </c>
      <c r="I4175">
        <v>10000</v>
      </c>
      <c r="M4175" t="s">
        <v>516</v>
      </c>
    </row>
    <row r="4176" spans="1:13" hidden="1">
      <c r="A4176" t="s">
        <v>103</v>
      </c>
      <c r="B4176" t="s">
        <v>24</v>
      </c>
      <c r="C4176" t="s">
        <v>60</v>
      </c>
      <c r="D4176" t="str">
        <f>LEFT(M4176,9)</f>
        <v>1/15/2025</v>
      </c>
      <c r="E4176" t="s">
        <v>202</v>
      </c>
      <c r="F4176" t="s">
        <v>227</v>
      </c>
      <c r="G4176" t="s">
        <v>229</v>
      </c>
      <c r="I4176">
        <v>11860</v>
      </c>
      <c r="J4176">
        <v>8302</v>
      </c>
      <c r="K4176">
        <v>0.7</v>
      </c>
      <c r="M4176" t="s">
        <v>516</v>
      </c>
    </row>
    <row r="4177" spans="1:13" hidden="1">
      <c r="A4177" t="s">
        <v>103</v>
      </c>
      <c r="B4177" t="s">
        <v>24</v>
      </c>
      <c r="C4177" t="s">
        <v>60</v>
      </c>
      <c r="D4177" t="str">
        <f>LEFT(M4177,9)</f>
        <v>1/15/2025</v>
      </c>
      <c r="E4177" t="s">
        <v>202</v>
      </c>
      <c r="F4177" t="s">
        <v>227</v>
      </c>
      <c r="G4177" t="s">
        <v>229</v>
      </c>
      <c r="I4177">
        <v>12250</v>
      </c>
      <c r="J4177">
        <v>8575</v>
      </c>
      <c r="K4177">
        <v>0.7</v>
      </c>
      <c r="M4177" t="s">
        <v>516</v>
      </c>
    </row>
    <row r="4178" spans="1:13" hidden="1">
      <c r="A4178" t="s">
        <v>103</v>
      </c>
      <c r="B4178" t="s">
        <v>24</v>
      </c>
      <c r="C4178" t="s">
        <v>60</v>
      </c>
      <c r="D4178" t="str">
        <f>LEFT(M4178,9)</f>
        <v>1/15/2025</v>
      </c>
      <c r="E4178" t="s">
        <v>202</v>
      </c>
      <c r="F4178" t="s">
        <v>227</v>
      </c>
      <c r="G4178" t="s">
        <v>229</v>
      </c>
      <c r="I4178">
        <v>14810</v>
      </c>
      <c r="J4178">
        <v>9626.5</v>
      </c>
      <c r="K4178">
        <v>0.65</v>
      </c>
      <c r="M4178" t="s">
        <v>516</v>
      </c>
    </row>
    <row r="4179" spans="1:13" hidden="1">
      <c r="A4179" t="s">
        <v>103</v>
      </c>
      <c r="B4179" t="s">
        <v>24</v>
      </c>
      <c r="C4179" t="s">
        <v>60</v>
      </c>
      <c r="D4179" t="str">
        <f>LEFT(M4179,9)</f>
        <v>1/15/2025</v>
      </c>
      <c r="E4179" t="s">
        <v>202</v>
      </c>
      <c r="F4179" t="s">
        <v>227</v>
      </c>
      <c r="G4179" t="s">
        <v>252</v>
      </c>
      <c r="I4179">
        <v>4464</v>
      </c>
      <c r="J4179">
        <v>1919.52</v>
      </c>
      <c r="K4179">
        <v>0.43</v>
      </c>
      <c r="M4179" t="s">
        <v>516</v>
      </c>
    </row>
    <row r="4180" spans="1:13" hidden="1">
      <c r="A4180" t="s">
        <v>103</v>
      </c>
      <c r="B4180" t="s">
        <v>24</v>
      </c>
      <c r="C4180" t="s">
        <v>60</v>
      </c>
      <c r="D4180" t="str">
        <f>LEFT(M4180,9)</f>
        <v>1/15/2025</v>
      </c>
      <c r="E4180" t="s">
        <v>202</v>
      </c>
      <c r="F4180" t="s">
        <v>218</v>
      </c>
      <c r="G4180" t="s">
        <v>240</v>
      </c>
      <c r="I4180">
        <v>2200</v>
      </c>
      <c r="J4180">
        <v>8360</v>
      </c>
      <c r="K4180">
        <v>3.8</v>
      </c>
      <c r="M4180" t="s">
        <v>516</v>
      </c>
    </row>
    <row r="4181" spans="1:13" hidden="1">
      <c r="A4181" t="s">
        <v>103</v>
      </c>
      <c r="B4181" t="s">
        <v>24</v>
      </c>
      <c r="C4181" t="s">
        <v>60</v>
      </c>
      <c r="D4181" t="str">
        <f>LEFT(M4181,9)</f>
        <v>1/15/2025</v>
      </c>
      <c r="E4181" t="s">
        <v>202</v>
      </c>
      <c r="F4181" t="s">
        <v>218</v>
      </c>
      <c r="G4181" t="s">
        <v>221</v>
      </c>
      <c r="I4181">
        <v>790</v>
      </c>
      <c r="J4181">
        <v>1817</v>
      </c>
      <c r="K4181">
        <v>2.2999999999999998</v>
      </c>
      <c r="M4181" t="s">
        <v>516</v>
      </c>
    </row>
    <row r="4182" spans="1:13" hidden="1">
      <c r="A4182" t="s">
        <v>103</v>
      </c>
      <c r="B4182" t="s">
        <v>24</v>
      </c>
      <c r="C4182" t="s">
        <v>60</v>
      </c>
      <c r="D4182" t="str">
        <f>LEFT(M4182,9)</f>
        <v>1/15/2025</v>
      </c>
      <c r="E4182" t="s">
        <v>202</v>
      </c>
      <c r="F4182" t="s">
        <v>218</v>
      </c>
      <c r="G4182" t="s">
        <v>220</v>
      </c>
      <c r="I4182">
        <v>840</v>
      </c>
      <c r="J4182">
        <v>1008</v>
      </c>
      <c r="K4182">
        <v>1.2</v>
      </c>
      <c r="M4182" t="s">
        <v>516</v>
      </c>
    </row>
    <row r="4183" spans="1:13" hidden="1">
      <c r="A4183" t="s">
        <v>103</v>
      </c>
      <c r="B4183" t="s">
        <v>24</v>
      </c>
      <c r="C4183" t="s">
        <v>60</v>
      </c>
      <c r="D4183" t="str">
        <f>LEFT(M4183,9)</f>
        <v>1/15/2025</v>
      </c>
      <c r="E4183" t="s">
        <v>202</v>
      </c>
      <c r="F4183" t="s">
        <v>218</v>
      </c>
      <c r="G4183" t="s">
        <v>222</v>
      </c>
      <c r="I4183">
        <v>860</v>
      </c>
      <c r="J4183">
        <v>860</v>
      </c>
      <c r="K4183">
        <v>1</v>
      </c>
      <c r="M4183" t="s">
        <v>516</v>
      </c>
    </row>
    <row r="4184" spans="1:13" hidden="1">
      <c r="A4184" t="s">
        <v>103</v>
      </c>
      <c r="B4184" t="s">
        <v>24</v>
      </c>
      <c r="C4184" t="s">
        <v>60</v>
      </c>
      <c r="D4184" t="str">
        <f>LEFT(M4184,9)</f>
        <v>1/15/2025</v>
      </c>
      <c r="E4184" t="s">
        <v>202</v>
      </c>
      <c r="F4184" t="s">
        <v>218</v>
      </c>
      <c r="G4184" t="s">
        <v>223</v>
      </c>
      <c r="I4184">
        <v>1100</v>
      </c>
      <c r="J4184">
        <v>715</v>
      </c>
      <c r="K4184">
        <v>0.65</v>
      </c>
      <c r="M4184" t="s">
        <v>516</v>
      </c>
    </row>
    <row r="4185" spans="1:13" hidden="1">
      <c r="A4185" t="s">
        <v>103</v>
      </c>
      <c r="B4185" t="s">
        <v>24</v>
      </c>
      <c r="C4185" t="s">
        <v>60</v>
      </c>
      <c r="D4185" t="str">
        <f>LEFT(M4185,9)</f>
        <v>1/15/2025</v>
      </c>
      <c r="E4185" t="s">
        <v>202</v>
      </c>
      <c r="F4185" t="s">
        <v>218</v>
      </c>
      <c r="G4185" t="s">
        <v>222</v>
      </c>
      <c r="I4185">
        <v>864</v>
      </c>
      <c r="J4185">
        <v>1382.4</v>
      </c>
      <c r="K4185">
        <v>1.6</v>
      </c>
      <c r="M4185" t="s">
        <v>516</v>
      </c>
    </row>
    <row r="4186" spans="1:13" hidden="1">
      <c r="A4186" t="s">
        <v>103</v>
      </c>
      <c r="B4186" t="s">
        <v>24</v>
      </c>
      <c r="C4186" t="s">
        <v>60</v>
      </c>
      <c r="D4186" t="str">
        <f>LEFT(M4186,9)</f>
        <v>1/15/2025</v>
      </c>
      <c r="E4186" t="s">
        <v>202</v>
      </c>
      <c r="F4186" t="s">
        <v>218</v>
      </c>
      <c r="G4186" t="s">
        <v>222</v>
      </c>
      <c r="I4186">
        <v>680</v>
      </c>
      <c r="J4186">
        <v>1088</v>
      </c>
      <c r="K4186">
        <v>1.6</v>
      </c>
      <c r="M4186" t="s">
        <v>516</v>
      </c>
    </row>
    <row r="4187" spans="1:13" hidden="1">
      <c r="A4187" t="s">
        <v>103</v>
      </c>
      <c r="B4187" t="s">
        <v>24</v>
      </c>
      <c r="C4187" t="s">
        <v>60</v>
      </c>
      <c r="D4187" t="str">
        <f>LEFT(M4187,9)</f>
        <v>1/15/2025</v>
      </c>
      <c r="E4187" t="s">
        <v>202</v>
      </c>
      <c r="F4187" t="s">
        <v>218</v>
      </c>
      <c r="G4187" t="s">
        <v>243</v>
      </c>
      <c r="H4187" t="s">
        <v>530</v>
      </c>
      <c r="I4187">
        <v>1200</v>
      </c>
      <c r="J4187">
        <v>240</v>
      </c>
      <c r="K4187">
        <v>0.2</v>
      </c>
      <c r="M4187" t="s">
        <v>516</v>
      </c>
    </row>
    <row r="4188" spans="1:13" hidden="1">
      <c r="A4188" t="s">
        <v>103</v>
      </c>
      <c r="B4188" t="s">
        <v>24</v>
      </c>
      <c r="C4188" t="s">
        <v>60</v>
      </c>
      <c r="D4188" t="str">
        <f>LEFT(M4188,9)</f>
        <v>1/15/2025</v>
      </c>
      <c r="E4188" t="s">
        <v>202</v>
      </c>
      <c r="F4188" t="s">
        <v>218</v>
      </c>
      <c r="G4188" t="s">
        <v>224</v>
      </c>
      <c r="I4188">
        <v>257</v>
      </c>
      <c r="J4188">
        <v>257</v>
      </c>
      <c r="K4188">
        <v>1</v>
      </c>
      <c r="M4188" t="s">
        <v>516</v>
      </c>
    </row>
    <row r="4189" spans="1:13" hidden="1">
      <c r="A4189" t="s">
        <v>103</v>
      </c>
      <c r="B4189" t="s">
        <v>24</v>
      </c>
      <c r="C4189" t="s">
        <v>60</v>
      </c>
      <c r="D4189" t="str">
        <f>LEFT(M4189,9)</f>
        <v>1/15/2025</v>
      </c>
      <c r="E4189" t="s">
        <v>202</v>
      </c>
      <c r="F4189" t="s">
        <v>218</v>
      </c>
      <c r="G4189" t="s">
        <v>224</v>
      </c>
      <c r="I4189">
        <v>190</v>
      </c>
      <c r="J4189">
        <v>190</v>
      </c>
      <c r="K4189">
        <v>1</v>
      </c>
      <c r="M4189" t="s">
        <v>516</v>
      </c>
    </row>
    <row r="4190" spans="1:13" hidden="1">
      <c r="A4190" t="s">
        <v>103</v>
      </c>
      <c r="B4190" t="s">
        <v>24</v>
      </c>
      <c r="C4190" t="s">
        <v>60</v>
      </c>
      <c r="D4190" t="str">
        <f>LEFT(M4190,9)</f>
        <v>1/15/2025</v>
      </c>
      <c r="E4190" t="s">
        <v>202</v>
      </c>
      <c r="F4190" t="s">
        <v>218</v>
      </c>
      <c r="G4190" t="s">
        <v>223</v>
      </c>
      <c r="I4190">
        <v>2323</v>
      </c>
      <c r="J4190">
        <v>1626.1</v>
      </c>
      <c r="K4190">
        <v>0.7</v>
      </c>
      <c r="M4190" t="s">
        <v>516</v>
      </c>
    </row>
    <row r="4191" spans="1:13" hidden="1">
      <c r="A4191" t="s">
        <v>103</v>
      </c>
      <c r="B4191" t="s">
        <v>24</v>
      </c>
      <c r="C4191" t="s">
        <v>60</v>
      </c>
      <c r="D4191" t="str">
        <f>LEFT(M4191,9)</f>
        <v>1/15/2025</v>
      </c>
      <c r="E4191" t="s">
        <v>202</v>
      </c>
      <c r="F4191" t="s">
        <v>218</v>
      </c>
      <c r="G4191" t="s">
        <v>240</v>
      </c>
      <c r="I4191">
        <v>3355</v>
      </c>
      <c r="J4191">
        <v>12749</v>
      </c>
      <c r="K4191">
        <v>3.8</v>
      </c>
      <c r="M4191" t="s">
        <v>516</v>
      </c>
    </row>
    <row r="4192" spans="1:13" hidden="1">
      <c r="A4192" t="s">
        <v>103</v>
      </c>
      <c r="B4192" t="s">
        <v>24</v>
      </c>
      <c r="C4192" t="s">
        <v>60</v>
      </c>
      <c r="D4192" t="str">
        <f>LEFT(M4192,9)</f>
        <v>1/15/2025</v>
      </c>
      <c r="E4192" t="s">
        <v>202</v>
      </c>
      <c r="F4192" t="s">
        <v>218</v>
      </c>
      <c r="G4192" t="s">
        <v>221</v>
      </c>
      <c r="I4192">
        <v>1560</v>
      </c>
      <c r="J4192">
        <v>3588</v>
      </c>
      <c r="K4192">
        <v>2.2999999999999998</v>
      </c>
      <c r="M4192" t="s">
        <v>516</v>
      </c>
    </row>
    <row r="4193" spans="1:13" hidden="1">
      <c r="A4193" t="s">
        <v>103</v>
      </c>
      <c r="B4193" t="s">
        <v>24</v>
      </c>
      <c r="C4193" t="s">
        <v>60</v>
      </c>
      <c r="D4193" t="str">
        <f>LEFT(M4193,9)</f>
        <v>1/15/2025</v>
      </c>
      <c r="E4193" t="s">
        <v>202</v>
      </c>
      <c r="F4193" t="s">
        <v>218</v>
      </c>
      <c r="G4193" t="s">
        <v>222</v>
      </c>
      <c r="I4193">
        <v>1729</v>
      </c>
      <c r="J4193">
        <v>1901.9</v>
      </c>
      <c r="K4193">
        <v>1.1000000000000001</v>
      </c>
      <c r="M4193" t="s">
        <v>516</v>
      </c>
    </row>
    <row r="4194" spans="1:13" hidden="1">
      <c r="A4194" t="s">
        <v>103</v>
      </c>
      <c r="B4194" t="s">
        <v>24</v>
      </c>
      <c r="C4194" t="s">
        <v>60</v>
      </c>
      <c r="D4194" t="str">
        <f>LEFT(M4194,9)</f>
        <v>1/15/2025</v>
      </c>
      <c r="E4194" t="s">
        <v>202</v>
      </c>
      <c r="F4194" t="s">
        <v>218</v>
      </c>
      <c r="G4194" t="s">
        <v>239</v>
      </c>
      <c r="I4194">
        <v>3140</v>
      </c>
      <c r="J4194">
        <v>1570</v>
      </c>
      <c r="K4194">
        <v>0.5</v>
      </c>
      <c r="M4194" t="s">
        <v>516</v>
      </c>
    </row>
    <row r="4195" spans="1:13" hidden="1">
      <c r="A4195" t="s">
        <v>103</v>
      </c>
      <c r="B4195" t="s">
        <v>24</v>
      </c>
      <c r="C4195" t="s">
        <v>60</v>
      </c>
      <c r="D4195" t="str">
        <f>LEFT(M4195,9)</f>
        <v>1/15/2025</v>
      </c>
      <c r="E4195" t="s">
        <v>202</v>
      </c>
      <c r="F4195" t="s">
        <v>203</v>
      </c>
      <c r="G4195" t="s">
        <v>204</v>
      </c>
      <c r="I4195">
        <v>2017</v>
      </c>
      <c r="J4195">
        <v>18153</v>
      </c>
      <c r="K4195">
        <v>9</v>
      </c>
      <c r="M4195" t="s">
        <v>516</v>
      </c>
    </row>
    <row r="4196" spans="1:13" hidden="1">
      <c r="A4196" t="s">
        <v>103</v>
      </c>
      <c r="B4196" t="s">
        <v>24</v>
      </c>
      <c r="C4196" t="s">
        <v>60</v>
      </c>
      <c r="D4196" t="str">
        <f>LEFT(M4196,9)</f>
        <v>1/15/2025</v>
      </c>
      <c r="E4196" t="s">
        <v>202</v>
      </c>
      <c r="F4196" t="s">
        <v>203</v>
      </c>
      <c r="G4196" t="s">
        <v>215</v>
      </c>
      <c r="I4196">
        <v>8440</v>
      </c>
      <c r="J4196">
        <v>5064</v>
      </c>
      <c r="K4196">
        <v>0.6</v>
      </c>
      <c r="M4196" t="s">
        <v>516</v>
      </c>
    </row>
    <row r="4197" spans="1:13" hidden="1">
      <c r="A4197" t="s">
        <v>103</v>
      </c>
      <c r="B4197" t="s">
        <v>24</v>
      </c>
      <c r="C4197" t="s">
        <v>60</v>
      </c>
      <c r="D4197" t="str">
        <f>LEFT(M4197,9)</f>
        <v>1/15/2025</v>
      </c>
      <c r="E4197" t="s">
        <v>202</v>
      </c>
      <c r="F4197" t="s">
        <v>216</v>
      </c>
      <c r="G4197" t="s">
        <v>253</v>
      </c>
      <c r="I4197">
        <v>29760</v>
      </c>
      <c r="J4197">
        <v>2976</v>
      </c>
      <c r="K4197">
        <v>0.1</v>
      </c>
      <c r="M4197" t="s">
        <v>516</v>
      </c>
    </row>
    <row r="4198" spans="1:13" hidden="1">
      <c r="A4198" t="s">
        <v>103</v>
      </c>
      <c r="B4198" t="s">
        <v>24</v>
      </c>
      <c r="C4198" t="s">
        <v>60</v>
      </c>
      <c r="D4198" t="str">
        <f>LEFT(M4198,9)</f>
        <v>1/15/2025</v>
      </c>
      <c r="E4198" t="s">
        <v>202</v>
      </c>
      <c r="F4198" t="s">
        <v>216</v>
      </c>
      <c r="G4198" t="s">
        <v>253</v>
      </c>
      <c r="I4198">
        <v>26512</v>
      </c>
      <c r="J4198">
        <v>3181.44</v>
      </c>
      <c r="K4198">
        <v>0.12</v>
      </c>
      <c r="M4198" t="s">
        <v>516</v>
      </c>
    </row>
    <row r="4199" spans="1:13" hidden="1">
      <c r="A4199" t="s">
        <v>103</v>
      </c>
      <c r="B4199" t="s">
        <v>24</v>
      </c>
      <c r="C4199" t="s">
        <v>60</v>
      </c>
      <c r="D4199" t="str">
        <f>LEFT(M4199,9)</f>
        <v>1/15/2025</v>
      </c>
      <c r="E4199" t="s">
        <v>232</v>
      </c>
      <c r="F4199" t="s">
        <v>262</v>
      </c>
      <c r="I4199">
        <v>0</v>
      </c>
      <c r="J4199">
        <v>4967.5</v>
      </c>
      <c r="M4199" t="s">
        <v>516</v>
      </c>
    </row>
    <row r="4200" spans="1:13" hidden="1">
      <c r="A4200" t="s">
        <v>103</v>
      </c>
      <c r="B4200" t="s">
        <v>24</v>
      </c>
      <c r="C4200" t="s">
        <v>60</v>
      </c>
      <c r="D4200" t="str">
        <f>LEFT(M4200,9)</f>
        <v>1/15/2025</v>
      </c>
      <c r="E4200" t="s">
        <v>232</v>
      </c>
      <c r="F4200" t="s">
        <v>286</v>
      </c>
      <c r="I4200">
        <v>0</v>
      </c>
      <c r="J4200">
        <v>14912.88</v>
      </c>
      <c r="M4200" t="s">
        <v>516</v>
      </c>
    </row>
    <row r="4201" spans="1:13" hidden="1">
      <c r="A4201" t="s">
        <v>103</v>
      </c>
      <c r="B4201" t="s">
        <v>24</v>
      </c>
      <c r="C4201" t="s">
        <v>60</v>
      </c>
      <c r="D4201" t="str">
        <f>LEFT(M4201,9)</f>
        <v>1/15/2025</v>
      </c>
      <c r="E4201" t="s">
        <v>232</v>
      </c>
      <c r="F4201" t="s">
        <v>287</v>
      </c>
      <c r="I4201">
        <v>0</v>
      </c>
      <c r="J4201">
        <v>728.86</v>
      </c>
      <c r="M4201" t="s">
        <v>516</v>
      </c>
    </row>
    <row r="4202" spans="1:13" hidden="1">
      <c r="A4202" t="s">
        <v>103</v>
      </c>
      <c r="B4202" t="s">
        <v>24</v>
      </c>
      <c r="C4202" t="s">
        <v>60</v>
      </c>
      <c r="D4202" t="str">
        <f>LEFT(M4202,9)</f>
        <v>1/15/2025</v>
      </c>
      <c r="E4202" t="s">
        <v>232</v>
      </c>
      <c r="F4202" t="s">
        <v>251</v>
      </c>
      <c r="I4202">
        <v>0</v>
      </c>
      <c r="J4202">
        <v>13541.22</v>
      </c>
      <c r="M4202" t="s">
        <v>516</v>
      </c>
    </row>
    <row r="4203" spans="1:13" hidden="1">
      <c r="A4203" t="s">
        <v>103</v>
      </c>
      <c r="B4203" t="s">
        <v>24</v>
      </c>
      <c r="C4203" t="s">
        <v>60</v>
      </c>
      <c r="D4203" t="str">
        <f>LEFT(M4203,9)</f>
        <v>1/15/2025</v>
      </c>
      <c r="E4203" t="s">
        <v>232</v>
      </c>
      <c r="F4203" t="s">
        <v>250</v>
      </c>
      <c r="I4203">
        <v>0</v>
      </c>
      <c r="J4203">
        <v>4195.63</v>
      </c>
      <c r="M4203" t="s">
        <v>516</v>
      </c>
    </row>
    <row r="4204" spans="1:13" hidden="1">
      <c r="A4204" t="s">
        <v>103</v>
      </c>
      <c r="B4204" t="s">
        <v>24</v>
      </c>
      <c r="C4204" t="s">
        <v>60</v>
      </c>
      <c r="D4204" t="str">
        <f>LEFT(M4204,9)</f>
        <v>1/15/2025</v>
      </c>
      <c r="E4204" t="s">
        <v>234</v>
      </c>
      <c r="F4204" t="s">
        <v>234</v>
      </c>
      <c r="I4204">
        <v>19979.8</v>
      </c>
      <c r="M4204" t="s">
        <v>516</v>
      </c>
    </row>
    <row r="4205" spans="1:13" hidden="1">
      <c r="A4205" t="s">
        <v>103</v>
      </c>
      <c r="B4205" t="s">
        <v>24</v>
      </c>
      <c r="C4205" t="s">
        <v>60</v>
      </c>
      <c r="D4205" t="str">
        <f>LEFT(M4205,9)</f>
        <v>1/15/2025</v>
      </c>
      <c r="E4205" t="s">
        <v>230</v>
      </c>
      <c r="F4205" t="s">
        <v>323</v>
      </c>
      <c r="I4205">
        <v>0</v>
      </c>
      <c r="J4205">
        <v>5789.04</v>
      </c>
      <c r="L4205" t="s">
        <v>400</v>
      </c>
      <c r="M4205" t="s">
        <v>516</v>
      </c>
    </row>
    <row r="4206" spans="1:13" hidden="1">
      <c r="A4206" t="s">
        <v>79</v>
      </c>
      <c r="B4206" t="s">
        <v>8</v>
      </c>
      <c r="C4206" t="s">
        <v>13</v>
      </c>
      <c r="D4206" t="str">
        <f>LEFT(M4206,9)</f>
        <v>1/15/2025</v>
      </c>
      <c r="E4206" t="s">
        <v>202</v>
      </c>
      <c r="F4206" t="s">
        <v>216</v>
      </c>
      <c r="G4206" t="s">
        <v>253</v>
      </c>
      <c r="I4206">
        <v>16670</v>
      </c>
      <c r="J4206">
        <v>1333.6</v>
      </c>
      <c r="K4206">
        <v>0.08</v>
      </c>
      <c r="M4206" t="s">
        <v>516</v>
      </c>
    </row>
    <row r="4207" spans="1:13" hidden="1">
      <c r="A4207" t="s">
        <v>79</v>
      </c>
      <c r="B4207" t="s">
        <v>8</v>
      </c>
      <c r="C4207" t="s">
        <v>13</v>
      </c>
      <c r="D4207" t="str">
        <f>LEFT(M4207,9)</f>
        <v>1/15/2025</v>
      </c>
      <c r="E4207" t="s">
        <v>202</v>
      </c>
      <c r="F4207" t="s">
        <v>227</v>
      </c>
      <c r="G4207" t="s">
        <v>229</v>
      </c>
      <c r="I4207">
        <v>18412</v>
      </c>
      <c r="J4207">
        <v>14729.6</v>
      </c>
      <c r="K4207">
        <v>0.8</v>
      </c>
      <c r="M4207" t="s">
        <v>516</v>
      </c>
    </row>
    <row r="4208" spans="1:13" hidden="1">
      <c r="A4208" t="s">
        <v>79</v>
      </c>
      <c r="B4208" t="s">
        <v>8</v>
      </c>
      <c r="C4208" t="s">
        <v>13</v>
      </c>
      <c r="D4208" t="str">
        <f>LEFT(M4208,9)</f>
        <v>1/15/2025</v>
      </c>
      <c r="E4208" t="s">
        <v>202</v>
      </c>
      <c r="F4208" t="s">
        <v>227</v>
      </c>
      <c r="G4208" t="s">
        <v>237</v>
      </c>
      <c r="I4208">
        <v>586</v>
      </c>
      <c r="J4208">
        <v>322.3</v>
      </c>
      <c r="K4208">
        <v>0.55000000000000004</v>
      </c>
      <c r="M4208" t="s">
        <v>516</v>
      </c>
    </row>
    <row r="4209" spans="1:13" hidden="1">
      <c r="A4209" t="s">
        <v>79</v>
      </c>
      <c r="B4209" t="s">
        <v>8</v>
      </c>
      <c r="C4209" t="s">
        <v>13</v>
      </c>
      <c r="D4209" t="str">
        <f>LEFT(M4209,9)</f>
        <v>1/15/2025</v>
      </c>
      <c r="E4209" t="s">
        <v>202</v>
      </c>
      <c r="F4209" t="s">
        <v>227</v>
      </c>
      <c r="G4209" t="s">
        <v>237</v>
      </c>
      <c r="I4209">
        <v>381</v>
      </c>
      <c r="J4209">
        <v>209.55</v>
      </c>
      <c r="K4209">
        <v>0.55000000000000004</v>
      </c>
      <c r="M4209" t="s">
        <v>516</v>
      </c>
    </row>
    <row r="4210" spans="1:13" hidden="1">
      <c r="A4210" t="s">
        <v>79</v>
      </c>
      <c r="B4210" t="s">
        <v>8</v>
      </c>
      <c r="C4210" t="s">
        <v>13</v>
      </c>
      <c r="D4210" t="str">
        <f>LEFT(M4210,9)</f>
        <v>1/15/2025</v>
      </c>
      <c r="E4210" t="s">
        <v>202</v>
      </c>
      <c r="F4210" t="s">
        <v>227</v>
      </c>
      <c r="G4210" t="s">
        <v>228</v>
      </c>
      <c r="I4210">
        <v>608</v>
      </c>
      <c r="J4210">
        <v>243.2</v>
      </c>
      <c r="K4210">
        <v>0.4</v>
      </c>
      <c r="M4210" t="s">
        <v>516</v>
      </c>
    </row>
    <row r="4211" spans="1:13" hidden="1">
      <c r="A4211" t="s">
        <v>79</v>
      </c>
      <c r="B4211" t="s">
        <v>8</v>
      </c>
      <c r="C4211" t="s">
        <v>13</v>
      </c>
      <c r="D4211" t="str">
        <f>LEFT(M4211,9)</f>
        <v>1/15/2025</v>
      </c>
      <c r="E4211" t="s">
        <v>202</v>
      </c>
      <c r="F4211" t="s">
        <v>227</v>
      </c>
      <c r="G4211" t="s">
        <v>252</v>
      </c>
      <c r="I4211">
        <v>364</v>
      </c>
      <c r="J4211">
        <v>127.4</v>
      </c>
      <c r="K4211">
        <v>0.35</v>
      </c>
      <c r="M4211" t="s">
        <v>516</v>
      </c>
    </row>
    <row r="4212" spans="1:13" hidden="1">
      <c r="A4212" t="s">
        <v>79</v>
      </c>
      <c r="B4212" t="s">
        <v>8</v>
      </c>
      <c r="C4212" t="s">
        <v>13</v>
      </c>
      <c r="D4212" t="str">
        <f>LEFT(M4212,9)</f>
        <v>1/15/2025</v>
      </c>
      <c r="E4212" t="s">
        <v>202</v>
      </c>
      <c r="F4212" t="s">
        <v>227</v>
      </c>
      <c r="G4212" t="s">
        <v>238</v>
      </c>
      <c r="I4212">
        <v>379</v>
      </c>
      <c r="J4212">
        <v>151.6</v>
      </c>
      <c r="K4212">
        <v>0.4</v>
      </c>
      <c r="M4212" t="s">
        <v>516</v>
      </c>
    </row>
    <row r="4213" spans="1:13" hidden="1">
      <c r="A4213" t="s">
        <v>79</v>
      </c>
      <c r="B4213" t="s">
        <v>8</v>
      </c>
      <c r="C4213" t="s">
        <v>13</v>
      </c>
      <c r="D4213" t="str">
        <f>LEFT(M4213,9)</f>
        <v>1/15/2025</v>
      </c>
      <c r="E4213" t="s">
        <v>202</v>
      </c>
      <c r="F4213" t="s">
        <v>218</v>
      </c>
      <c r="G4213" t="s">
        <v>222</v>
      </c>
      <c r="I4213">
        <v>159</v>
      </c>
      <c r="J4213">
        <v>135.15</v>
      </c>
      <c r="K4213">
        <v>0.85</v>
      </c>
      <c r="M4213" t="s">
        <v>516</v>
      </c>
    </row>
    <row r="4214" spans="1:13" hidden="1">
      <c r="A4214" t="s">
        <v>79</v>
      </c>
      <c r="B4214" t="s">
        <v>8</v>
      </c>
      <c r="C4214" t="s">
        <v>13</v>
      </c>
      <c r="D4214" t="str">
        <f>LEFT(M4214,9)</f>
        <v>1/15/2025</v>
      </c>
      <c r="E4214" t="s">
        <v>202</v>
      </c>
      <c r="F4214" t="s">
        <v>218</v>
      </c>
      <c r="G4214" t="s">
        <v>219</v>
      </c>
      <c r="I4214">
        <v>553</v>
      </c>
      <c r="J4214">
        <v>746.55</v>
      </c>
      <c r="K4214">
        <v>1.35</v>
      </c>
      <c r="M4214" t="s">
        <v>516</v>
      </c>
    </row>
    <row r="4215" spans="1:13" hidden="1">
      <c r="A4215" t="s">
        <v>79</v>
      </c>
      <c r="B4215" t="s">
        <v>8</v>
      </c>
      <c r="C4215" t="s">
        <v>13</v>
      </c>
      <c r="D4215" t="str">
        <f>LEFT(M4215,9)</f>
        <v>1/15/2025</v>
      </c>
      <c r="E4215" t="s">
        <v>202</v>
      </c>
      <c r="F4215" t="s">
        <v>218</v>
      </c>
      <c r="G4215" t="s">
        <v>222</v>
      </c>
      <c r="I4215">
        <v>151</v>
      </c>
      <c r="J4215">
        <v>203.85</v>
      </c>
      <c r="K4215">
        <v>1.35</v>
      </c>
      <c r="M4215" t="s">
        <v>516</v>
      </c>
    </row>
    <row r="4216" spans="1:13" hidden="1">
      <c r="A4216" t="s">
        <v>79</v>
      </c>
      <c r="B4216" t="s">
        <v>8</v>
      </c>
      <c r="C4216" t="s">
        <v>13</v>
      </c>
      <c r="D4216" t="str">
        <f>LEFT(M4216,9)</f>
        <v>1/15/2025</v>
      </c>
      <c r="E4216" t="s">
        <v>202</v>
      </c>
      <c r="F4216" t="s">
        <v>218</v>
      </c>
      <c r="G4216" t="s">
        <v>240</v>
      </c>
      <c r="I4216">
        <v>674</v>
      </c>
      <c r="J4216">
        <v>2696</v>
      </c>
      <c r="K4216">
        <v>4</v>
      </c>
      <c r="M4216" t="s">
        <v>516</v>
      </c>
    </row>
    <row r="4217" spans="1:13" hidden="1">
      <c r="A4217" t="s">
        <v>79</v>
      </c>
      <c r="B4217" t="s">
        <v>8</v>
      </c>
      <c r="C4217" t="s">
        <v>13</v>
      </c>
      <c r="D4217" t="str">
        <f>LEFT(M4217,9)</f>
        <v>1/15/2025</v>
      </c>
      <c r="E4217" t="s">
        <v>202</v>
      </c>
      <c r="F4217" t="s">
        <v>218</v>
      </c>
      <c r="G4217" t="s">
        <v>241</v>
      </c>
      <c r="I4217">
        <v>73</v>
      </c>
      <c r="J4217">
        <v>292</v>
      </c>
      <c r="K4217">
        <v>4</v>
      </c>
      <c r="M4217" t="s">
        <v>516</v>
      </c>
    </row>
    <row r="4218" spans="1:13" hidden="1">
      <c r="A4218" t="s">
        <v>79</v>
      </c>
      <c r="B4218" t="s">
        <v>8</v>
      </c>
      <c r="C4218" t="s">
        <v>13</v>
      </c>
      <c r="D4218" t="str">
        <f>LEFT(M4218,9)</f>
        <v>1/15/2025</v>
      </c>
      <c r="E4218" t="s">
        <v>202</v>
      </c>
      <c r="F4218" t="s">
        <v>218</v>
      </c>
      <c r="G4218" t="s">
        <v>242</v>
      </c>
      <c r="I4218">
        <v>80</v>
      </c>
      <c r="J4218">
        <v>88</v>
      </c>
      <c r="K4218">
        <v>1.1000000000000001</v>
      </c>
      <c r="M4218" t="s">
        <v>516</v>
      </c>
    </row>
    <row r="4219" spans="1:13" hidden="1">
      <c r="A4219" t="s">
        <v>79</v>
      </c>
      <c r="B4219" t="s">
        <v>8</v>
      </c>
      <c r="C4219" t="s">
        <v>13</v>
      </c>
      <c r="D4219" t="str">
        <f>LEFT(M4219,9)</f>
        <v>1/15/2025</v>
      </c>
      <c r="E4219" t="s">
        <v>202</v>
      </c>
      <c r="F4219" t="s">
        <v>218</v>
      </c>
      <c r="G4219" t="s">
        <v>221</v>
      </c>
      <c r="I4219">
        <v>425</v>
      </c>
      <c r="J4219">
        <v>956.25</v>
      </c>
      <c r="K4219">
        <v>2.25</v>
      </c>
      <c r="M4219" t="s">
        <v>516</v>
      </c>
    </row>
    <row r="4220" spans="1:13" hidden="1">
      <c r="A4220" t="s">
        <v>79</v>
      </c>
      <c r="B4220" t="s">
        <v>8</v>
      </c>
      <c r="C4220" t="s">
        <v>13</v>
      </c>
      <c r="D4220" t="str">
        <f>LEFT(M4220,9)</f>
        <v>1/15/2025</v>
      </c>
      <c r="E4220" t="s">
        <v>202</v>
      </c>
      <c r="F4220" t="s">
        <v>218</v>
      </c>
      <c r="G4220" t="s">
        <v>220</v>
      </c>
      <c r="I4220">
        <v>1221</v>
      </c>
      <c r="J4220">
        <v>1709.4</v>
      </c>
      <c r="K4220">
        <v>1.4</v>
      </c>
      <c r="M4220" t="s">
        <v>516</v>
      </c>
    </row>
    <row r="4221" spans="1:13" hidden="1">
      <c r="A4221" t="s">
        <v>79</v>
      </c>
      <c r="B4221" t="s">
        <v>8</v>
      </c>
      <c r="C4221" t="s">
        <v>13</v>
      </c>
      <c r="D4221" t="str">
        <f>LEFT(M4221,9)</f>
        <v>1/15/2025</v>
      </c>
      <c r="E4221" t="s">
        <v>202</v>
      </c>
      <c r="F4221" t="s">
        <v>218</v>
      </c>
      <c r="G4221" t="s">
        <v>223</v>
      </c>
      <c r="I4221">
        <v>735</v>
      </c>
      <c r="J4221">
        <v>588</v>
      </c>
      <c r="K4221">
        <v>0.8</v>
      </c>
      <c r="M4221" t="s">
        <v>516</v>
      </c>
    </row>
    <row r="4222" spans="1:13" hidden="1">
      <c r="A4222" t="s">
        <v>79</v>
      </c>
      <c r="B4222" t="s">
        <v>8</v>
      </c>
      <c r="C4222" t="s">
        <v>13</v>
      </c>
      <c r="D4222" t="str">
        <f>LEFT(M4222,9)</f>
        <v>1/15/2025</v>
      </c>
      <c r="E4222" t="s">
        <v>202</v>
      </c>
      <c r="F4222" t="s">
        <v>218</v>
      </c>
      <c r="G4222" t="s">
        <v>223</v>
      </c>
      <c r="I4222">
        <v>424</v>
      </c>
      <c r="J4222">
        <v>254.4</v>
      </c>
      <c r="K4222">
        <v>0.6</v>
      </c>
      <c r="M4222" t="s">
        <v>516</v>
      </c>
    </row>
    <row r="4223" spans="1:13" hidden="1">
      <c r="A4223" t="s">
        <v>79</v>
      </c>
      <c r="B4223" t="s">
        <v>8</v>
      </c>
      <c r="C4223" t="s">
        <v>13</v>
      </c>
      <c r="D4223" t="str">
        <f>LEFT(M4223,9)</f>
        <v>1/15/2025</v>
      </c>
      <c r="E4223" t="s">
        <v>202</v>
      </c>
      <c r="F4223" t="s">
        <v>218</v>
      </c>
      <c r="G4223" t="s">
        <v>225</v>
      </c>
      <c r="I4223">
        <v>130</v>
      </c>
      <c r="J4223">
        <v>6.5</v>
      </c>
      <c r="K4223">
        <v>0.05</v>
      </c>
      <c r="M4223" t="s">
        <v>516</v>
      </c>
    </row>
    <row r="4224" spans="1:13" hidden="1">
      <c r="A4224" t="s">
        <v>79</v>
      </c>
      <c r="B4224" t="s">
        <v>8</v>
      </c>
      <c r="C4224" t="s">
        <v>13</v>
      </c>
      <c r="D4224" t="str">
        <f>LEFT(M4224,9)</f>
        <v>1/15/2025</v>
      </c>
      <c r="E4224" t="s">
        <v>202</v>
      </c>
      <c r="F4224" t="s">
        <v>203</v>
      </c>
      <c r="G4224" t="s">
        <v>204</v>
      </c>
      <c r="I4224">
        <v>91</v>
      </c>
      <c r="J4224">
        <v>691.6</v>
      </c>
      <c r="K4224">
        <v>7.6</v>
      </c>
      <c r="M4224" t="s">
        <v>516</v>
      </c>
    </row>
    <row r="4225" spans="1:13" hidden="1">
      <c r="A4225" t="s">
        <v>79</v>
      </c>
      <c r="B4225" t="s">
        <v>8</v>
      </c>
      <c r="C4225" t="s">
        <v>13</v>
      </c>
      <c r="D4225" t="str">
        <f>LEFT(M4225,9)</f>
        <v>1/15/2025</v>
      </c>
      <c r="E4225" t="s">
        <v>202</v>
      </c>
      <c r="F4225" t="s">
        <v>203</v>
      </c>
      <c r="G4225" t="s">
        <v>259</v>
      </c>
      <c r="I4225">
        <v>84</v>
      </c>
      <c r="J4225">
        <v>672</v>
      </c>
      <c r="K4225">
        <v>8</v>
      </c>
      <c r="M4225" t="s">
        <v>516</v>
      </c>
    </row>
    <row r="4226" spans="1:13" hidden="1">
      <c r="A4226" t="s">
        <v>79</v>
      </c>
      <c r="B4226" t="s">
        <v>8</v>
      </c>
      <c r="C4226" t="s">
        <v>13</v>
      </c>
      <c r="D4226" t="str">
        <f>LEFT(M4226,9)</f>
        <v>1/15/2025</v>
      </c>
      <c r="E4226" t="s">
        <v>202</v>
      </c>
      <c r="F4226" t="s">
        <v>203</v>
      </c>
      <c r="G4226" t="s">
        <v>235</v>
      </c>
      <c r="I4226">
        <v>28</v>
      </c>
      <c r="J4226">
        <v>140</v>
      </c>
      <c r="K4226">
        <v>5</v>
      </c>
      <c r="M4226" t="s">
        <v>516</v>
      </c>
    </row>
    <row r="4227" spans="1:13" hidden="1">
      <c r="A4227" t="s">
        <v>79</v>
      </c>
      <c r="B4227" t="s">
        <v>8</v>
      </c>
      <c r="C4227" t="s">
        <v>13</v>
      </c>
      <c r="D4227" t="str">
        <f>LEFT(M4227,9)</f>
        <v>1/15/2025</v>
      </c>
      <c r="E4227" t="s">
        <v>202</v>
      </c>
      <c r="F4227" t="s">
        <v>203</v>
      </c>
      <c r="G4227" t="s">
        <v>259</v>
      </c>
      <c r="I4227">
        <v>9.5</v>
      </c>
      <c r="J4227">
        <v>161.5</v>
      </c>
      <c r="K4227">
        <v>17</v>
      </c>
      <c r="M4227" t="s">
        <v>516</v>
      </c>
    </row>
    <row r="4228" spans="1:13" hidden="1">
      <c r="A4228" t="s">
        <v>79</v>
      </c>
      <c r="B4228" t="s">
        <v>8</v>
      </c>
      <c r="C4228" t="s">
        <v>13</v>
      </c>
      <c r="D4228" t="str">
        <f>LEFT(M4228,9)</f>
        <v>1/15/2025</v>
      </c>
      <c r="E4228" t="s">
        <v>202</v>
      </c>
      <c r="F4228" t="s">
        <v>203</v>
      </c>
      <c r="G4228" t="s">
        <v>260</v>
      </c>
      <c r="I4228">
        <v>5</v>
      </c>
      <c r="J4228">
        <v>190</v>
      </c>
      <c r="K4228">
        <v>38</v>
      </c>
      <c r="M4228" t="s">
        <v>516</v>
      </c>
    </row>
    <row r="4229" spans="1:13" hidden="1">
      <c r="A4229" t="s">
        <v>79</v>
      </c>
      <c r="B4229" t="s">
        <v>8</v>
      </c>
      <c r="C4229" t="s">
        <v>13</v>
      </c>
      <c r="D4229" t="str">
        <f>LEFT(M4229,9)</f>
        <v>1/15/2025</v>
      </c>
      <c r="E4229" t="s">
        <v>202</v>
      </c>
      <c r="F4229" t="s">
        <v>209</v>
      </c>
      <c r="G4229" t="s">
        <v>210</v>
      </c>
      <c r="I4229">
        <v>56</v>
      </c>
      <c r="J4229">
        <v>168</v>
      </c>
      <c r="K4229">
        <v>3</v>
      </c>
      <c r="M4229" t="s">
        <v>516</v>
      </c>
    </row>
    <row r="4230" spans="1:13" hidden="1">
      <c r="A4230" t="s">
        <v>79</v>
      </c>
      <c r="B4230" t="s">
        <v>8</v>
      </c>
      <c r="C4230" t="s">
        <v>13</v>
      </c>
      <c r="D4230" t="str">
        <f>LEFT(M4230,9)</f>
        <v>1/15/2025</v>
      </c>
      <c r="E4230" t="s">
        <v>234</v>
      </c>
      <c r="F4230" t="s">
        <v>234</v>
      </c>
      <c r="I4230">
        <v>8683</v>
      </c>
      <c r="M4230" t="s">
        <v>516</v>
      </c>
    </row>
    <row r="4231" spans="1:13" hidden="1">
      <c r="A4231" t="s">
        <v>79</v>
      </c>
      <c r="B4231" t="s">
        <v>8</v>
      </c>
      <c r="C4231" t="s">
        <v>13</v>
      </c>
      <c r="D4231" t="str">
        <f>LEFT(M4231,9)</f>
        <v>1/15/2025</v>
      </c>
      <c r="E4231" t="s">
        <v>232</v>
      </c>
      <c r="F4231" t="s">
        <v>272</v>
      </c>
      <c r="I4231">
        <v>0</v>
      </c>
      <c r="J4231">
        <v>370.08</v>
      </c>
      <c r="M4231" t="s">
        <v>516</v>
      </c>
    </row>
    <row r="4232" spans="1:13" hidden="1">
      <c r="A4232" t="s">
        <v>59</v>
      </c>
      <c r="B4232" t="s">
        <v>8</v>
      </c>
      <c r="C4232" t="s">
        <v>58</v>
      </c>
      <c r="D4232" t="str">
        <f>LEFT(M4232,9)</f>
        <v>1/15/2025</v>
      </c>
      <c r="E4232" t="s">
        <v>202</v>
      </c>
      <c r="F4232" t="s">
        <v>306</v>
      </c>
      <c r="G4232" t="s">
        <v>307</v>
      </c>
      <c r="I4232">
        <v>380</v>
      </c>
      <c r="J4232">
        <v>740</v>
      </c>
      <c r="K4232">
        <v>1.95</v>
      </c>
      <c r="M4232" t="s">
        <v>516</v>
      </c>
    </row>
    <row r="4233" spans="1:13" hidden="1">
      <c r="A4233" t="s">
        <v>59</v>
      </c>
      <c r="B4233" t="s">
        <v>8</v>
      </c>
      <c r="C4233" t="s">
        <v>58</v>
      </c>
      <c r="D4233" t="str">
        <f>LEFT(M4233,9)</f>
        <v>1/15/2025</v>
      </c>
      <c r="E4233" t="s">
        <v>202</v>
      </c>
      <c r="F4233" t="s">
        <v>203</v>
      </c>
      <c r="G4233" t="s">
        <v>207</v>
      </c>
      <c r="I4233">
        <v>326</v>
      </c>
      <c r="J4233">
        <v>1062</v>
      </c>
      <c r="K4233">
        <v>3.26</v>
      </c>
      <c r="M4233" t="s">
        <v>516</v>
      </c>
    </row>
    <row r="4234" spans="1:13" hidden="1">
      <c r="A4234" t="s">
        <v>59</v>
      </c>
      <c r="B4234" t="s">
        <v>8</v>
      </c>
      <c r="C4234" t="s">
        <v>58</v>
      </c>
      <c r="D4234" t="str">
        <f>LEFT(M4234,9)</f>
        <v>1/15/2025</v>
      </c>
      <c r="E4234" t="s">
        <v>202</v>
      </c>
      <c r="F4234" t="s">
        <v>203</v>
      </c>
      <c r="G4234" t="s">
        <v>204</v>
      </c>
      <c r="I4234">
        <v>701</v>
      </c>
      <c r="J4234">
        <v>6442.2</v>
      </c>
      <c r="K4234">
        <v>9.19</v>
      </c>
      <c r="M4234" t="s">
        <v>516</v>
      </c>
    </row>
    <row r="4235" spans="1:13" hidden="1">
      <c r="A4235" t="s">
        <v>59</v>
      </c>
      <c r="B4235" t="s">
        <v>8</v>
      </c>
      <c r="C4235" t="s">
        <v>58</v>
      </c>
      <c r="D4235" t="str">
        <f>LEFT(M4235,9)</f>
        <v>1/15/2025</v>
      </c>
      <c r="E4235" t="s">
        <v>202</v>
      </c>
      <c r="F4235" t="s">
        <v>203</v>
      </c>
      <c r="G4235" t="s">
        <v>208</v>
      </c>
      <c r="I4235">
        <v>198.8</v>
      </c>
      <c r="J4235">
        <v>1888.6</v>
      </c>
      <c r="K4235">
        <v>9.5</v>
      </c>
      <c r="M4235" t="s">
        <v>516</v>
      </c>
    </row>
    <row r="4236" spans="1:13" hidden="1">
      <c r="A4236" t="s">
        <v>59</v>
      </c>
      <c r="B4236" t="s">
        <v>8</v>
      </c>
      <c r="C4236" t="s">
        <v>58</v>
      </c>
      <c r="D4236" t="str">
        <f>LEFT(M4236,9)</f>
        <v>1/15/2025</v>
      </c>
      <c r="E4236" t="s">
        <v>202</v>
      </c>
      <c r="F4236" t="s">
        <v>203</v>
      </c>
      <c r="G4236" t="s">
        <v>260</v>
      </c>
      <c r="I4236">
        <v>172.4</v>
      </c>
      <c r="J4236">
        <v>6691.8</v>
      </c>
      <c r="K4236">
        <v>38.82</v>
      </c>
      <c r="M4236" t="s">
        <v>516</v>
      </c>
    </row>
    <row r="4237" spans="1:13" hidden="1">
      <c r="A4237" t="s">
        <v>59</v>
      </c>
      <c r="B4237" t="s">
        <v>8</v>
      </c>
      <c r="C4237" t="s">
        <v>58</v>
      </c>
      <c r="D4237" t="str">
        <f>LEFT(M4237,9)</f>
        <v>1/15/2025</v>
      </c>
      <c r="E4237" t="s">
        <v>202</v>
      </c>
      <c r="F4237" t="s">
        <v>216</v>
      </c>
      <c r="G4237" t="s">
        <v>217</v>
      </c>
      <c r="I4237">
        <v>3160</v>
      </c>
      <c r="J4237">
        <v>1983.35</v>
      </c>
      <c r="K4237">
        <v>0.63</v>
      </c>
      <c r="M4237" t="s">
        <v>516</v>
      </c>
    </row>
    <row r="4238" spans="1:13" hidden="1">
      <c r="A4238" t="s">
        <v>59</v>
      </c>
      <c r="B4238" t="s">
        <v>8</v>
      </c>
      <c r="C4238" t="s">
        <v>58</v>
      </c>
      <c r="D4238" t="str">
        <f>LEFT(M4238,9)</f>
        <v>1/15/2025</v>
      </c>
      <c r="E4238" t="s">
        <v>202</v>
      </c>
      <c r="F4238" t="s">
        <v>216</v>
      </c>
      <c r="G4238" t="s">
        <v>253</v>
      </c>
      <c r="I4238">
        <v>18246.2</v>
      </c>
      <c r="J4238">
        <v>3004.75</v>
      </c>
      <c r="K4238">
        <v>0.16</v>
      </c>
      <c r="M4238" t="s">
        <v>516</v>
      </c>
    </row>
    <row r="4239" spans="1:13" hidden="1">
      <c r="A4239" t="s">
        <v>59</v>
      </c>
      <c r="B4239" t="s">
        <v>8</v>
      </c>
      <c r="C4239" t="s">
        <v>58</v>
      </c>
      <c r="D4239" t="str">
        <f>LEFT(M4239,9)</f>
        <v>1/15/2025</v>
      </c>
      <c r="E4239" t="s">
        <v>202</v>
      </c>
      <c r="F4239" t="s">
        <v>218</v>
      </c>
      <c r="G4239" t="s">
        <v>222</v>
      </c>
      <c r="I4239">
        <v>5125</v>
      </c>
      <c r="J4239">
        <v>8599.18</v>
      </c>
      <c r="K4239">
        <v>1.68</v>
      </c>
      <c r="M4239" t="s">
        <v>516</v>
      </c>
    </row>
    <row r="4240" spans="1:13" hidden="1">
      <c r="A4240" t="s">
        <v>59</v>
      </c>
      <c r="B4240" t="s">
        <v>8</v>
      </c>
      <c r="C4240" t="s">
        <v>58</v>
      </c>
      <c r="D4240" t="str">
        <f>LEFT(M4240,9)</f>
        <v>1/15/2025</v>
      </c>
      <c r="E4240" t="s">
        <v>202</v>
      </c>
      <c r="F4240" t="s">
        <v>218</v>
      </c>
      <c r="G4240" t="s">
        <v>240</v>
      </c>
      <c r="I4240">
        <v>4010.8</v>
      </c>
      <c r="J4240">
        <v>17809.98</v>
      </c>
      <c r="K4240">
        <v>4.4400000000000004</v>
      </c>
      <c r="M4240" t="s">
        <v>516</v>
      </c>
    </row>
    <row r="4241" spans="1:13" hidden="1">
      <c r="A4241" t="s">
        <v>59</v>
      </c>
      <c r="B4241" t="s">
        <v>8</v>
      </c>
      <c r="C4241" t="s">
        <v>58</v>
      </c>
      <c r="D4241" t="str">
        <f>LEFT(M4241,9)</f>
        <v>1/15/2025</v>
      </c>
      <c r="E4241" t="s">
        <v>202</v>
      </c>
      <c r="F4241" t="s">
        <v>218</v>
      </c>
      <c r="G4241" t="s">
        <v>242</v>
      </c>
      <c r="I4241">
        <v>302.60000000000002</v>
      </c>
      <c r="J4241">
        <v>310.77999999999997</v>
      </c>
      <c r="K4241">
        <v>1.03</v>
      </c>
      <c r="M4241" t="s">
        <v>516</v>
      </c>
    </row>
    <row r="4242" spans="1:13" hidden="1">
      <c r="A4242" t="s">
        <v>59</v>
      </c>
      <c r="B4242" t="s">
        <v>8</v>
      </c>
      <c r="C4242" t="s">
        <v>58</v>
      </c>
      <c r="D4242" t="str">
        <f>LEFT(M4242,9)</f>
        <v>1/15/2025</v>
      </c>
      <c r="E4242" t="s">
        <v>202</v>
      </c>
      <c r="F4242" t="s">
        <v>218</v>
      </c>
      <c r="G4242" t="s">
        <v>220</v>
      </c>
      <c r="I4242">
        <v>2958</v>
      </c>
      <c r="J4242">
        <v>5202</v>
      </c>
      <c r="K4242">
        <v>1.76</v>
      </c>
      <c r="M4242" t="s">
        <v>516</v>
      </c>
    </row>
    <row r="4243" spans="1:13" hidden="1">
      <c r="A4243" t="s">
        <v>59</v>
      </c>
      <c r="B4243" t="s">
        <v>8</v>
      </c>
      <c r="C4243" t="s">
        <v>58</v>
      </c>
      <c r="D4243" t="str">
        <f>LEFT(M4243,9)</f>
        <v>1/15/2025</v>
      </c>
      <c r="E4243" t="s">
        <v>202</v>
      </c>
      <c r="F4243" t="s">
        <v>227</v>
      </c>
      <c r="G4243" t="s">
        <v>252</v>
      </c>
      <c r="I4243">
        <v>1311</v>
      </c>
      <c r="J4243">
        <v>504.5</v>
      </c>
      <c r="K4243">
        <v>0.38</v>
      </c>
      <c r="M4243" t="s">
        <v>516</v>
      </c>
    </row>
    <row r="4244" spans="1:13" hidden="1">
      <c r="A4244" t="s">
        <v>59</v>
      </c>
      <c r="B4244" t="s">
        <v>8</v>
      </c>
      <c r="C4244" t="s">
        <v>58</v>
      </c>
      <c r="D4244" t="str">
        <f>LEFT(M4244,9)</f>
        <v>1/15/2025</v>
      </c>
      <c r="E4244" t="s">
        <v>202</v>
      </c>
      <c r="F4244" t="s">
        <v>218</v>
      </c>
      <c r="G4244" t="s">
        <v>223</v>
      </c>
      <c r="I4244">
        <v>4496.8</v>
      </c>
      <c r="J4244">
        <v>3612.74</v>
      </c>
      <c r="K4244">
        <v>0.8</v>
      </c>
      <c r="M4244" t="s">
        <v>516</v>
      </c>
    </row>
    <row r="4245" spans="1:13" hidden="1">
      <c r="A4245" t="s">
        <v>59</v>
      </c>
      <c r="B4245" t="s">
        <v>8</v>
      </c>
      <c r="C4245" t="s">
        <v>58</v>
      </c>
      <c r="D4245" t="str">
        <f>LEFT(M4245,9)</f>
        <v>1/15/2025</v>
      </c>
      <c r="E4245" t="s">
        <v>202</v>
      </c>
      <c r="F4245" t="s">
        <v>227</v>
      </c>
      <c r="G4245" t="s">
        <v>228</v>
      </c>
      <c r="I4245">
        <v>6160.2</v>
      </c>
      <c r="J4245">
        <v>1976.36</v>
      </c>
      <c r="K4245">
        <v>0.32</v>
      </c>
      <c r="M4245" t="s">
        <v>516</v>
      </c>
    </row>
    <row r="4246" spans="1:13" hidden="1">
      <c r="A4246" t="s">
        <v>59</v>
      </c>
      <c r="B4246" t="s">
        <v>8</v>
      </c>
      <c r="C4246" t="s">
        <v>58</v>
      </c>
      <c r="D4246" t="str">
        <f>LEFT(M4246,9)</f>
        <v>1/15/2025</v>
      </c>
      <c r="E4246" t="s">
        <v>202</v>
      </c>
      <c r="F4246" t="s">
        <v>227</v>
      </c>
      <c r="G4246" t="s">
        <v>237</v>
      </c>
      <c r="I4246">
        <v>3028</v>
      </c>
      <c r="J4246">
        <v>1869.03</v>
      </c>
      <c r="K4246">
        <v>0.62</v>
      </c>
      <c r="M4246" t="s">
        <v>516</v>
      </c>
    </row>
    <row r="4247" spans="1:13" hidden="1">
      <c r="A4247" t="s">
        <v>59</v>
      </c>
      <c r="B4247" t="s">
        <v>8</v>
      </c>
      <c r="C4247" t="s">
        <v>58</v>
      </c>
      <c r="D4247" t="str">
        <f>LEFT(M4247,9)</f>
        <v>1/15/2025</v>
      </c>
      <c r="E4247" t="s">
        <v>202</v>
      </c>
      <c r="F4247" t="s">
        <v>227</v>
      </c>
      <c r="G4247" t="s">
        <v>238</v>
      </c>
      <c r="I4247">
        <v>1038.2</v>
      </c>
      <c r="J4247">
        <v>401.98</v>
      </c>
      <c r="K4247">
        <v>0.39</v>
      </c>
      <c r="M4247" t="s">
        <v>516</v>
      </c>
    </row>
    <row r="4248" spans="1:13" hidden="1">
      <c r="A4248" t="s">
        <v>59</v>
      </c>
      <c r="B4248" t="s">
        <v>8</v>
      </c>
      <c r="C4248" t="s">
        <v>58</v>
      </c>
      <c r="D4248" t="str">
        <f>LEFT(M4248,9)</f>
        <v>1/15/2025</v>
      </c>
      <c r="E4248" t="s">
        <v>202</v>
      </c>
      <c r="F4248" t="s">
        <v>218</v>
      </c>
      <c r="G4248" t="s">
        <v>241</v>
      </c>
      <c r="I4248">
        <v>233</v>
      </c>
      <c r="J4248">
        <v>978.6</v>
      </c>
      <c r="K4248">
        <v>4.2</v>
      </c>
      <c r="M4248" t="s">
        <v>516</v>
      </c>
    </row>
    <row r="4249" spans="1:13" hidden="1">
      <c r="A4249" t="s">
        <v>59</v>
      </c>
      <c r="B4249" t="s">
        <v>8</v>
      </c>
      <c r="C4249" t="s">
        <v>58</v>
      </c>
      <c r="D4249" t="str">
        <f>LEFT(M4249,9)</f>
        <v>1/15/2025</v>
      </c>
      <c r="E4249" t="s">
        <v>202</v>
      </c>
      <c r="F4249" t="s">
        <v>203</v>
      </c>
      <c r="G4249" t="s">
        <v>236</v>
      </c>
      <c r="I4249">
        <v>8480.64</v>
      </c>
      <c r="J4249">
        <v>6768</v>
      </c>
      <c r="K4249">
        <v>0.8</v>
      </c>
      <c r="M4249" t="s">
        <v>516</v>
      </c>
    </row>
    <row r="4250" spans="1:13" hidden="1">
      <c r="A4250" t="s">
        <v>59</v>
      </c>
      <c r="B4250" t="s">
        <v>8</v>
      </c>
      <c r="C4250" t="s">
        <v>58</v>
      </c>
      <c r="D4250" t="str">
        <f>LEFT(M4250,9)</f>
        <v>1/15/2025</v>
      </c>
      <c r="E4250" t="s">
        <v>202</v>
      </c>
      <c r="F4250" t="s">
        <v>218</v>
      </c>
      <c r="G4250" t="s">
        <v>226</v>
      </c>
      <c r="I4250">
        <v>1646</v>
      </c>
      <c r="J4250">
        <v>518.29999999999995</v>
      </c>
      <c r="K4250">
        <v>0.31</v>
      </c>
      <c r="M4250" t="s">
        <v>516</v>
      </c>
    </row>
    <row r="4251" spans="1:13" hidden="1">
      <c r="A4251" t="s">
        <v>59</v>
      </c>
      <c r="B4251" t="s">
        <v>8</v>
      </c>
      <c r="C4251" t="s">
        <v>58</v>
      </c>
      <c r="D4251" t="str">
        <f>LEFT(M4251,9)</f>
        <v>1/15/2025</v>
      </c>
      <c r="E4251" t="s">
        <v>202</v>
      </c>
      <c r="F4251" t="s">
        <v>218</v>
      </c>
      <c r="G4251" t="s">
        <v>224</v>
      </c>
      <c r="I4251">
        <v>889.4</v>
      </c>
      <c r="J4251">
        <v>933.9</v>
      </c>
      <c r="K4251">
        <v>1.05</v>
      </c>
      <c r="M4251" t="s">
        <v>516</v>
      </c>
    </row>
    <row r="4252" spans="1:13" hidden="1">
      <c r="A4252" t="s">
        <v>59</v>
      </c>
      <c r="B4252" t="s">
        <v>8</v>
      </c>
      <c r="C4252" t="s">
        <v>58</v>
      </c>
      <c r="D4252" t="str">
        <f>LEFT(M4252,9)</f>
        <v>1/15/2025</v>
      </c>
      <c r="E4252" t="s">
        <v>202</v>
      </c>
      <c r="F4252" t="s">
        <v>218</v>
      </c>
      <c r="G4252" t="s">
        <v>266</v>
      </c>
      <c r="I4252">
        <v>1000</v>
      </c>
      <c r="J4252">
        <v>10</v>
      </c>
      <c r="K4252">
        <v>0.01</v>
      </c>
      <c r="M4252" t="s">
        <v>516</v>
      </c>
    </row>
    <row r="4253" spans="1:13" hidden="1">
      <c r="A4253" t="s">
        <v>59</v>
      </c>
      <c r="B4253" t="s">
        <v>8</v>
      </c>
      <c r="C4253" t="s">
        <v>58</v>
      </c>
      <c r="D4253" t="str">
        <f>LEFT(M4253,9)</f>
        <v>1/15/2025</v>
      </c>
      <c r="E4253" t="s">
        <v>202</v>
      </c>
      <c r="F4253" t="s">
        <v>218</v>
      </c>
      <c r="G4253" t="s">
        <v>245</v>
      </c>
      <c r="I4253">
        <v>172</v>
      </c>
      <c r="J4253">
        <v>12.5</v>
      </c>
      <c r="K4253">
        <v>7.0000000000000007E-2</v>
      </c>
      <c r="M4253" t="s">
        <v>516</v>
      </c>
    </row>
    <row r="4254" spans="1:13" hidden="1">
      <c r="A4254" t="s">
        <v>59</v>
      </c>
      <c r="B4254" t="s">
        <v>8</v>
      </c>
      <c r="C4254" t="s">
        <v>58</v>
      </c>
      <c r="D4254" t="str">
        <f>LEFT(M4254,9)</f>
        <v>1/15/2025</v>
      </c>
      <c r="E4254" t="s">
        <v>202</v>
      </c>
      <c r="F4254" t="s">
        <v>218</v>
      </c>
      <c r="G4254" t="s">
        <v>225</v>
      </c>
      <c r="I4254">
        <v>340</v>
      </c>
      <c r="J4254">
        <v>315.39999999999998</v>
      </c>
      <c r="K4254">
        <v>0.93</v>
      </c>
      <c r="M4254" t="s">
        <v>516</v>
      </c>
    </row>
    <row r="4255" spans="1:13" hidden="1">
      <c r="A4255" t="s">
        <v>59</v>
      </c>
      <c r="B4255" t="s">
        <v>8</v>
      </c>
      <c r="C4255" t="s">
        <v>58</v>
      </c>
      <c r="D4255" t="str">
        <f>LEFT(M4255,9)</f>
        <v>1/15/2025</v>
      </c>
      <c r="E4255" t="s">
        <v>202</v>
      </c>
      <c r="F4255" t="s">
        <v>218</v>
      </c>
      <c r="G4255" t="s">
        <v>221</v>
      </c>
      <c r="I4255">
        <v>323</v>
      </c>
      <c r="J4255">
        <v>783.7</v>
      </c>
      <c r="K4255">
        <v>2.4300000000000002</v>
      </c>
      <c r="M4255" t="s">
        <v>516</v>
      </c>
    </row>
    <row r="4256" spans="1:13" hidden="1">
      <c r="A4256" t="s">
        <v>59</v>
      </c>
      <c r="B4256" t="s">
        <v>8</v>
      </c>
      <c r="C4256" t="s">
        <v>58</v>
      </c>
      <c r="D4256" t="str">
        <f>LEFT(M4256,9)</f>
        <v>1/15/2025</v>
      </c>
      <c r="E4256" t="s">
        <v>202</v>
      </c>
      <c r="F4256" t="s">
        <v>218</v>
      </c>
      <c r="G4256" t="s">
        <v>224</v>
      </c>
      <c r="I4256">
        <v>92</v>
      </c>
      <c r="J4256">
        <v>142.6</v>
      </c>
      <c r="K4256">
        <v>1.55</v>
      </c>
      <c r="M4256" t="s">
        <v>516</v>
      </c>
    </row>
    <row r="4257" spans="1:13" hidden="1">
      <c r="A4257" t="s">
        <v>59</v>
      </c>
      <c r="B4257" t="s">
        <v>8</v>
      </c>
      <c r="C4257" t="s">
        <v>58</v>
      </c>
      <c r="D4257" t="str">
        <f>LEFT(M4257,9)</f>
        <v>1/15/2025</v>
      </c>
      <c r="E4257" t="s">
        <v>202</v>
      </c>
      <c r="F4257" t="s">
        <v>203</v>
      </c>
      <c r="G4257" t="s">
        <v>235</v>
      </c>
      <c r="I4257">
        <v>18.079999999999998</v>
      </c>
      <c r="J4257">
        <v>100.94</v>
      </c>
      <c r="K4257">
        <v>5.58</v>
      </c>
      <c r="M4257" t="s">
        <v>516</v>
      </c>
    </row>
    <row r="4258" spans="1:13" hidden="1">
      <c r="A4258" t="s">
        <v>59</v>
      </c>
      <c r="B4258" t="s">
        <v>8</v>
      </c>
      <c r="C4258" t="s">
        <v>58</v>
      </c>
      <c r="D4258" t="str">
        <f>LEFT(M4258,9)</f>
        <v>1/15/2025</v>
      </c>
      <c r="E4258" t="s">
        <v>202</v>
      </c>
      <c r="F4258" t="s">
        <v>209</v>
      </c>
      <c r="G4258" t="s">
        <v>210</v>
      </c>
      <c r="I4258">
        <v>26.4</v>
      </c>
      <c r="J4258">
        <v>73.92</v>
      </c>
      <c r="K4258">
        <v>2.8</v>
      </c>
      <c r="M4258" t="s">
        <v>516</v>
      </c>
    </row>
    <row r="4259" spans="1:13" hidden="1">
      <c r="A4259" t="s">
        <v>59</v>
      </c>
      <c r="B4259" t="s">
        <v>8</v>
      </c>
      <c r="C4259" t="s">
        <v>58</v>
      </c>
      <c r="D4259" t="str">
        <f>LEFT(M4259,9)</f>
        <v>1/15/2025</v>
      </c>
      <c r="E4259" t="s">
        <v>202</v>
      </c>
      <c r="F4259" t="s">
        <v>203</v>
      </c>
      <c r="G4259" t="s">
        <v>259</v>
      </c>
      <c r="I4259">
        <v>19.5</v>
      </c>
      <c r="J4259">
        <v>390</v>
      </c>
      <c r="K4259">
        <v>20</v>
      </c>
      <c r="M4259" t="s">
        <v>516</v>
      </c>
    </row>
    <row r="4260" spans="1:13" hidden="1">
      <c r="A4260" t="s">
        <v>59</v>
      </c>
      <c r="B4260" t="s">
        <v>8</v>
      </c>
      <c r="C4260" t="s">
        <v>58</v>
      </c>
      <c r="D4260" t="str">
        <f>LEFT(M4260,9)</f>
        <v>1/15/2025</v>
      </c>
      <c r="E4260" t="s">
        <v>202</v>
      </c>
      <c r="F4260" t="s">
        <v>209</v>
      </c>
      <c r="G4260" t="s">
        <v>310</v>
      </c>
      <c r="I4260">
        <v>49.2</v>
      </c>
      <c r="J4260">
        <v>78.22</v>
      </c>
      <c r="K4260">
        <v>1.59</v>
      </c>
      <c r="M4260" t="s">
        <v>516</v>
      </c>
    </row>
    <row r="4261" spans="1:13" hidden="1">
      <c r="A4261" t="s">
        <v>59</v>
      </c>
      <c r="B4261" t="s">
        <v>8</v>
      </c>
      <c r="C4261" t="s">
        <v>58</v>
      </c>
      <c r="D4261" t="str">
        <f>LEFT(M4261,9)</f>
        <v>1/15/2025</v>
      </c>
      <c r="E4261" t="s">
        <v>202</v>
      </c>
      <c r="F4261" t="s">
        <v>209</v>
      </c>
      <c r="G4261" t="s">
        <v>214</v>
      </c>
      <c r="I4261">
        <v>240.74</v>
      </c>
      <c r="J4261">
        <v>1709.83</v>
      </c>
      <c r="K4261">
        <v>7.1</v>
      </c>
      <c r="M4261" t="s">
        <v>516</v>
      </c>
    </row>
    <row r="4262" spans="1:13" hidden="1">
      <c r="A4262" t="s">
        <v>59</v>
      </c>
      <c r="B4262" t="s">
        <v>8</v>
      </c>
      <c r="C4262" t="s">
        <v>58</v>
      </c>
      <c r="D4262" t="str">
        <f>LEFT(M4262,9)</f>
        <v>1/15/2025</v>
      </c>
      <c r="E4262" t="s">
        <v>202</v>
      </c>
      <c r="F4262" t="s">
        <v>203</v>
      </c>
      <c r="G4262" t="s">
        <v>259</v>
      </c>
      <c r="I4262">
        <v>10.24</v>
      </c>
      <c r="J4262">
        <v>61.44</v>
      </c>
      <c r="K4262">
        <v>6</v>
      </c>
      <c r="M4262" t="s">
        <v>516</v>
      </c>
    </row>
    <row r="4263" spans="1:13" hidden="1">
      <c r="A4263" t="s">
        <v>59</v>
      </c>
      <c r="B4263" t="s">
        <v>8</v>
      </c>
      <c r="C4263" t="s">
        <v>58</v>
      </c>
      <c r="D4263" t="str">
        <f>LEFT(M4263,9)</f>
        <v>1/15/2025</v>
      </c>
      <c r="E4263" t="s">
        <v>202</v>
      </c>
      <c r="F4263" t="s">
        <v>227</v>
      </c>
      <c r="G4263" t="s">
        <v>229</v>
      </c>
      <c r="I4263">
        <v>22760.400000000001</v>
      </c>
      <c r="J4263">
        <v>17629.330000000002</v>
      </c>
      <c r="K4263">
        <v>0.77</v>
      </c>
      <c r="M4263" t="s">
        <v>516</v>
      </c>
    </row>
    <row r="4264" spans="1:13" hidden="1">
      <c r="A4264" t="s">
        <v>59</v>
      </c>
      <c r="B4264" t="s">
        <v>8</v>
      </c>
      <c r="C4264" t="s">
        <v>58</v>
      </c>
      <c r="D4264" t="str">
        <f>LEFT(M4264,9)</f>
        <v>1/15/2025</v>
      </c>
      <c r="E4264" t="s">
        <v>202</v>
      </c>
      <c r="F4264" t="s">
        <v>218</v>
      </c>
      <c r="G4264" t="s">
        <v>247</v>
      </c>
      <c r="I4264">
        <v>45</v>
      </c>
      <c r="J4264">
        <v>202.5</v>
      </c>
      <c r="K4264">
        <v>4.5</v>
      </c>
      <c r="M4264" t="s">
        <v>516</v>
      </c>
    </row>
    <row r="4265" spans="1:13" hidden="1">
      <c r="A4265" t="s">
        <v>59</v>
      </c>
      <c r="B4265" t="s">
        <v>8</v>
      </c>
      <c r="C4265" t="s">
        <v>58</v>
      </c>
      <c r="D4265" t="str">
        <f>LEFT(M4265,9)</f>
        <v>1/15/2025</v>
      </c>
      <c r="E4265" t="s">
        <v>202</v>
      </c>
      <c r="F4265" t="s">
        <v>218</v>
      </c>
      <c r="G4265" t="s">
        <v>220</v>
      </c>
      <c r="I4265">
        <v>2540</v>
      </c>
      <c r="J4265">
        <v>4445</v>
      </c>
      <c r="K4265">
        <v>1.75</v>
      </c>
      <c r="M4265" t="s">
        <v>516</v>
      </c>
    </row>
    <row r="4266" spans="1:13" hidden="1">
      <c r="A4266" t="s">
        <v>59</v>
      </c>
      <c r="B4266" t="s">
        <v>8</v>
      </c>
      <c r="C4266" t="s">
        <v>58</v>
      </c>
      <c r="D4266" t="str">
        <f>LEFT(M4266,9)</f>
        <v>1/15/2025</v>
      </c>
      <c r="E4266" t="s">
        <v>202</v>
      </c>
      <c r="F4266" t="s">
        <v>218</v>
      </c>
      <c r="G4266" t="s">
        <v>221</v>
      </c>
      <c r="I4266">
        <v>672</v>
      </c>
      <c r="J4266">
        <v>1890.93</v>
      </c>
      <c r="K4266">
        <v>2.81</v>
      </c>
      <c r="M4266" t="s">
        <v>516</v>
      </c>
    </row>
    <row r="4267" spans="1:13" hidden="1">
      <c r="A4267" t="s">
        <v>59</v>
      </c>
      <c r="B4267" t="s">
        <v>8</v>
      </c>
      <c r="C4267" t="s">
        <v>58</v>
      </c>
      <c r="D4267" t="str">
        <f>LEFT(M4267,9)</f>
        <v>1/15/2025</v>
      </c>
      <c r="E4267" t="s">
        <v>230</v>
      </c>
      <c r="F4267" t="s">
        <v>248</v>
      </c>
      <c r="I4267">
        <v>0</v>
      </c>
      <c r="J4267">
        <v>32434.5</v>
      </c>
      <c r="M4267" t="s">
        <v>516</v>
      </c>
    </row>
    <row r="4268" spans="1:13" hidden="1">
      <c r="A4268" t="s">
        <v>59</v>
      </c>
      <c r="B4268" t="s">
        <v>8</v>
      </c>
      <c r="C4268" t="s">
        <v>58</v>
      </c>
      <c r="D4268" t="str">
        <f>LEFT(M4268,9)</f>
        <v>1/15/2025</v>
      </c>
      <c r="E4268" t="s">
        <v>232</v>
      </c>
      <c r="F4268" t="s">
        <v>255</v>
      </c>
      <c r="I4268">
        <v>0</v>
      </c>
      <c r="J4268">
        <v>2184</v>
      </c>
      <c r="L4268" t="s">
        <v>531</v>
      </c>
      <c r="M4268" t="s">
        <v>516</v>
      </c>
    </row>
    <row r="4269" spans="1:13" hidden="1">
      <c r="A4269" t="s">
        <v>59</v>
      </c>
      <c r="B4269" t="s">
        <v>8</v>
      </c>
      <c r="C4269" t="s">
        <v>58</v>
      </c>
      <c r="D4269" t="str">
        <f>LEFT(M4269,9)</f>
        <v>1/15/2025</v>
      </c>
      <c r="E4269" t="s">
        <v>234</v>
      </c>
      <c r="F4269" t="s">
        <v>234</v>
      </c>
      <c r="I4269">
        <v>17151</v>
      </c>
      <c r="M4269" t="s">
        <v>516</v>
      </c>
    </row>
    <row r="4270" spans="1:13" hidden="1">
      <c r="A4270" t="s">
        <v>49</v>
      </c>
      <c r="B4270" t="s">
        <v>8</v>
      </c>
      <c r="C4270" t="s">
        <v>25</v>
      </c>
      <c r="D4270" t="str">
        <f>LEFT(M4270,9)</f>
        <v>1/15/2025</v>
      </c>
      <c r="E4270" t="s">
        <v>202</v>
      </c>
      <c r="F4270" t="s">
        <v>227</v>
      </c>
      <c r="G4270" t="s">
        <v>229</v>
      </c>
      <c r="I4270">
        <v>36001</v>
      </c>
      <c r="J4270">
        <v>27000.75</v>
      </c>
      <c r="K4270">
        <v>0.75</v>
      </c>
      <c r="M4270" t="s">
        <v>516</v>
      </c>
    </row>
    <row r="4271" spans="1:13" hidden="1">
      <c r="A4271" t="s">
        <v>49</v>
      </c>
      <c r="B4271" t="s">
        <v>8</v>
      </c>
      <c r="C4271" t="s">
        <v>25</v>
      </c>
      <c r="D4271" t="str">
        <f>LEFT(M4271,9)</f>
        <v>1/15/2025</v>
      </c>
      <c r="E4271" t="s">
        <v>232</v>
      </c>
      <c r="F4271" t="s">
        <v>255</v>
      </c>
      <c r="I4271">
        <v>0</v>
      </c>
      <c r="J4271">
        <v>383.25</v>
      </c>
      <c r="L4271" t="s">
        <v>532</v>
      </c>
      <c r="M4271" t="s">
        <v>516</v>
      </c>
    </row>
    <row r="4272" spans="1:13" hidden="1">
      <c r="A4272" t="s">
        <v>49</v>
      </c>
      <c r="B4272" t="s">
        <v>8</v>
      </c>
      <c r="C4272" t="s">
        <v>25</v>
      </c>
      <c r="D4272" t="str">
        <f>LEFT(M4272,10)</f>
        <v>12/15/2024</v>
      </c>
      <c r="E4272" t="s">
        <v>232</v>
      </c>
      <c r="F4272" t="s">
        <v>250</v>
      </c>
      <c r="I4272">
        <v>0</v>
      </c>
      <c r="J4272">
        <v>231.12</v>
      </c>
      <c r="M4272" t="s">
        <v>205</v>
      </c>
    </row>
    <row r="4273" spans="1:13" hidden="1">
      <c r="A4273" t="s">
        <v>99</v>
      </c>
      <c r="B4273" t="s">
        <v>8</v>
      </c>
      <c r="C4273" t="s">
        <v>98</v>
      </c>
      <c r="D4273" t="str">
        <f>LEFT(M4273,9)</f>
        <v>1/15/2025</v>
      </c>
      <c r="E4273" t="s">
        <v>202</v>
      </c>
      <c r="F4273" t="s">
        <v>227</v>
      </c>
      <c r="G4273" t="s">
        <v>229</v>
      </c>
      <c r="I4273">
        <v>3791</v>
      </c>
      <c r="J4273">
        <v>3032.8</v>
      </c>
      <c r="K4273">
        <v>0.8</v>
      </c>
      <c r="M4273" t="s">
        <v>516</v>
      </c>
    </row>
    <row r="4274" spans="1:13" hidden="1">
      <c r="A4274" t="s">
        <v>99</v>
      </c>
      <c r="B4274" t="s">
        <v>8</v>
      </c>
      <c r="C4274" t="s">
        <v>98</v>
      </c>
      <c r="D4274" t="str">
        <f>LEFT(M4274,9)</f>
        <v>1/15/2025</v>
      </c>
      <c r="E4274" t="s">
        <v>202</v>
      </c>
      <c r="F4274" t="s">
        <v>227</v>
      </c>
      <c r="G4274" t="s">
        <v>228</v>
      </c>
      <c r="I4274">
        <v>164.2</v>
      </c>
      <c r="J4274">
        <v>49.26</v>
      </c>
      <c r="K4274">
        <v>0.3</v>
      </c>
      <c r="M4274" t="s">
        <v>516</v>
      </c>
    </row>
    <row r="4275" spans="1:13" hidden="1">
      <c r="A4275" t="s">
        <v>99</v>
      </c>
      <c r="B4275" t="s">
        <v>8</v>
      </c>
      <c r="C4275" t="s">
        <v>98</v>
      </c>
      <c r="D4275" t="str">
        <f>LEFT(M4275,9)</f>
        <v>1/15/2025</v>
      </c>
      <c r="E4275" t="s">
        <v>202</v>
      </c>
      <c r="F4275" t="s">
        <v>218</v>
      </c>
      <c r="G4275" t="s">
        <v>243</v>
      </c>
      <c r="H4275" t="s">
        <v>533</v>
      </c>
      <c r="I4275">
        <v>285.2</v>
      </c>
      <c r="J4275">
        <v>256.68</v>
      </c>
      <c r="K4275">
        <v>0.9</v>
      </c>
      <c r="M4275" t="s">
        <v>516</v>
      </c>
    </row>
    <row r="4276" spans="1:13" hidden="1">
      <c r="A4276" t="s">
        <v>99</v>
      </c>
      <c r="B4276" t="s">
        <v>8</v>
      </c>
      <c r="C4276" t="s">
        <v>98</v>
      </c>
      <c r="D4276" t="str">
        <f>LEFT(M4276,9)</f>
        <v>1/15/2025</v>
      </c>
      <c r="E4276" t="s">
        <v>202</v>
      </c>
      <c r="F4276" t="s">
        <v>218</v>
      </c>
      <c r="G4276" t="s">
        <v>223</v>
      </c>
      <c r="I4276">
        <v>342.6</v>
      </c>
      <c r="J4276">
        <v>308.33999999999997</v>
      </c>
      <c r="K4276">
        <v>0.9</v>
      </c>
      <c r="M4276" t="s">
        <v>516</v>
      </c>
    </row>
    <row r="4277" spans="1:13" hidden="1">
      <c r="A4277" t="s">
        <v>99</v>
      </c>
      <c r="B4277" t="s">
        <v>8</v>
      </c>
      <c r="C4277" t="s">
        <v>98</v>
      </c>
      <c r="D4277" t="str">
        <f>LEFT(M4277,9)</f>
        <v>1/15/2025</v>
      </c>
      <c r="E4277" t="s">
        <v>202</v>
      </c>
      <c r="F4277" t="s">
        <v>218</v>
      </c>
      <c r="G4277" t="s">
        <v>220</v>
      </c>
      <c r="I4277">
        <v>200.4</v>
      </c>
      <c r="J4277">
        <v>300.60000000000002</v>
      </c>
      <c r="K4277">
        <v>1.5</v>
      </c>
      <c r="M4277" t="s">
        <v>516</v>
      </c>
    </row>
    <row r="4278" spans="1:13" hidden="1">
      <c r="A4278" t="s">
        <v>99</v>
      </c>
      <c r="B4278" t="s">
        <v>8</v>
      </c>
      <c r="C4278" t="s">
        <v>98</v>
      </c>
      <c r="D4278" t="str">
        <f>LEFT(M4278,9)</f>
        <v>1/15/2025</v>
      </c>
      <c r="E4278" t="s">
        <v>202</v>
      </c>
      <c r="F4278" t="s">
        <v>218</v>
      </c>
      <c r="G4278" t="s">
        <v>226</v>
      </c>
      <c r="I4278">
        <v>86.4</v>
      </c>
      <c r="J4278">
        <v>25.92</v>
      </c>
      <c r="K4278">
        <v>0.3</v>
      </c>
      <c r="M4278" t="s">
        <v>516</v>
      </c>
    </row>
    <row r="4279" spans="1:13" hidden="1">
      <c r="A4279" t="s">
        <v>99</v>
      </c>
      <c r="B4279" t="s">
        <v>8</v>
      </c>
      <c r="C4279" t="s">
        <v>98</v>
      </c>
      <c r="D4279" t="str">
        <f>LEFT(M4279,9)</f>
        <v>1/15/2025</v>
      </c>
      <c r="E4279" t="s">
        <v>202</v>
      </c>
      <c r="F4279" t="s">
        <v>218</v>
      </c>
      <c r="G4279" t="s">
        <v>240</v>
      </c>
      <c r="I4279">
        <v>229.6</v>
      </c>
      <c r="J4279">
        <v>987.28</v>
      </c>
      <c r="K4279">
        <v>4.3</v>
      </c>
      <c r="M4279" t="s">
        <v>516</v>
      </c>
    </row>
    <row r="4280" spans="1:13" hidden="1">
      <c r="A4280" t="s">
        <v>99</v>
      </c>
      <c r="B4280" t="s">
        <v>8</v>
      </c>
      <c r="C4280" t="s">
        <v>98</v>
      </c>
      <c r="D4280" t="str">
        <f>LEFT(M4280,9)</f>
        <v>1/15/2025</v>
      </c>
      <c r="E4280" t="s">
        <v>202</v>
      </c>
      <c r="F4280" t="s">
        <v>218</v>
      </c>
      <c r="G4280" t="s">
        <v>242</v>
      </c>
      <c r="I4280">
        <v>65.2</v>
      </c>
      <c r="J4280">
        <v>65.2</v>
      </c>
      <c r="K4280">
        <v>1</v>
      </c>
      <c r="M4280" t="s">
        <v>516</v>
      </c>
    </row>
    <row r="4281" spans="1:13" hidden="1">
      <c r="A4281" t="s">
        <v>99</v>
      </c>
      <c r="B4281" t="s">
        <v>8</v>
      </c>
      <c r="C4281" t="s">
        <v>98</v>
      </c>
      <c r="D4281" t="str">
        <f>LEFT(M4281,9)</f>
        <v>1/15/2025</v>
      </c>
      <c r="E4281" t="s">
        <v>202</v>
      </c>
      <c r="F4281" t="s">
        <v>218</v>
      </c>
      <c r="G4281" t="s">
        <v>221</v>
      </c>
      <c r="I4281">
        <v>71.2</v>
      </c>
      <c r="J4281">
        <v>185.12</v>
      </c>
      <c r="K4281">
        <v>2.6</v>
      </c>
      <c r="M4281" t="s">
        <v>516</v>
      </c>
    </row>
    <row r="4282" spans="1:13" hidden="1">
      <c r="A4282" t="s">
        <v>99</v>
      </c>
      <c r="B4282" t="s">
        <v>8</v>
      </c>
      <c r="C4282" t="s">
        <v>98</v>
      </c>
      <c r="D4282" t="str">
        <f>LEFT(M4282,9)</f>
        <v>1/15/2025</v>
      </c>
      <c r="E4282" t="s">
        <v>202</v>
      </c>
      <c r="F4282" t="s">
        <v>218</v>
      </c>
      <c r="G4282" t="s">
        <v>221</v>
      </c>
      <c r="I4282">
        <v>76.8</v>
      </c>
      <c r="J4282">
        <v>192</v>
      </c>
      <c r="K4282">
        <v>2.5</v>
      </c>
      <c r="M4282" t="s">
        <v>516</v>
      </c>
    </row>
    <row r="4283" spans="1:13" hidden="1">
      <c r="A4283" t="s">
        <v>99</v>
      </c>
      <c r="B4283" t="s">
        <v>8</v>
      </c>
      <c r="C4283" t="s">
        <v>98</v>
      </c>
      <c r="D4283" t="str">
        <f>LEFT(M4283,9)</f>
        <v>1/15/2025</v>
      </c>
      <c r="E4283" t="s">
        <v>202</v>
      </c>
      <c r="F4283" t="s">
        <v>218</v>
      </c>
      <c r="G4283" t="s">
        <v>222</v>
      </c>
      <c r="I4283">
        <v>255.4</v>
      </c>
      <c r="J4283">
        <v>383.1</v>
      </c>
      <c r="K4283">
        <v>1.5</v>
      </c>
      <c r="M4283" t="s">
        <v>516</v>
      </c>
    </row>
    <row r="4284" spans="1:13" hidden="1">
      <c r="A4284" t="s">
        <v>99</v>
      </c>
      <c r="B4284" t="s">
        <v>8</v>
      </c>
      <c r="C4284" t="s">
        <v>98</v>
      </c>
      <c r="D4284" t="str">
        <f>LEFT(M4284,9)</f>
        <v>1/15/2025</v>
      </c>
      <c r="E4284" t="s">
        <v>202</v>
      </c>
      <c r="F4284" t="s">
        <v>227</v>
      </c>
      <c r="G4284" t="s">
        <v>237</v>
      </c>
      <c r="I4284">
        <v>2172</v>
      </c>
      <c r="J4284">
        <v>1303.2</v>
      </c>
      <c r="K4284">
        <v>0.6</v>
      </c>
      <c r="M4284" t="s">
        <v>516</v>
      </c>
    </row>
    <row r="4285" spans="1:13" hidden="1">
      <c r="A4285" t="s">
        <v>99</v>
      </c>
      <c r="B4285" t="s">
        <v>8</v>
      </c>
      <c r="C4285" t="s">
        <v>98</v>
      </c>
      <c r="D4285" t="str">
        <f>LEFT(M4285,9)</f>
        <v>1/15/2025</v>
      </c>
      <c r="E4285" t="s">
        <v>202</v>
      </c>
      <c r="F4285" t="s">
        <v>203</v>
      </c>
      <c r="G4285" t="s">
        <v>215</v>
      </c>
      <c r="I4285">
        <v>1140</v>
      </c>
      <c r="J4285">
        <v>912</v>
      </c>
      <c r="K4285">
        <v>0.8</v>
      </c>
      <c r="M4285" t="s">
        <v>516</v>
      </c>
    </row>
    <row r="4286" spans="1:13" hidden="1">
      <c r="A4286" t="s">
        <v>99</v>
      </c>
      <c r="B4286" t="s">
        <v>8</v>
      </c>
      <c r="C4286" t="s">
        <v>98</v>
      </c>
      <c r="D4286" t="str">
        <f>LEFT(M4286,9)</f>
        <v>1/15/2025</v>
      </c>
      <c r="E4286" t="s">
        <v>202</v>
      </c>
      <c r="F4286" t="s">
        <v>203</v>
      </c>
      <c r="G4286" t="s">
        <v>207</v>
      </c>
      <c r="I4286">
        <v>40.200000000000003</v>
      </c>
      <c r="J4286">
        <v>160.80000000000001</v>
      </c>
      <c r="K4286">
        <v>4</v>
      </c>
      <c r="M4286" t="s">
        <v>516</v>
      </c>
    </row>
    <row r="4287" spans="1:13" hidden="1">
      <c r="A4287" t="s">
        <v>99</v>
      </c>
      <c r="B4287" t="s">
        <v>8</v>
      </c>
      <c r="C4287" t="s">
        <v>98</v>
      </c>
      <c r="D4287" t="str">
        <f>LEFT(M4287,9)</f>
        <v>1/15/2025</v>
      </c>
      <c r="E4287" t="s">
        <v>202</v>
      </c>
      <c r="F4287" t="s">
        <v>203</v>
      </c>
      <c r="G4287" t="s">
        <v>204</v>
      </c>
      <c r="I4287">
        <v>52</v>
      </c>
      <c r="J4287">
        <v>457.6</v>
      </c>
      <c r="K4287">
        <v>8.8000000000000007</v>
      </c>
      <c r="M4287" t="s">
        <v>516</v>
      </c>
    </row>
    <row r="4288" spans="1:13" hidden="1">
      <c r="A4288" t="s">
        <v>99</v>
      </c>
      <c r="B4288" t="s">
        <v>8</v>
      </c>
      <c r="C4288" t="s">
        <v>98</v>
      </c>
      <c r="D4288" t="str">
        <f>LEFT(M4288,9)</f>
        <v>1/15/2025</v>
      </c>
      <c r="E4288" t="s">
        <v>202</v>
      </c>
      <c r="F4288" t="s">
        <v>203</v>
      </c>
      <c r="G4288" t="s">
        <v>208</v>
      </c>
      <c r="I4288">
        <v>24.8</v>
      </c>
      <c r="J4288">
        <v>223.2</v>
      </c>
      <c r="K4288">
        <v>9</v>
      </c>
      <c r="M4288" t="s">
        <v>516</v>
      </c>
    </row>
    <row r="4289" spans="1:13" hidden="1">
      <c r="A4289" t="s">
        <v>99</v>
      </c>
      <c r="B4289" t="s">
        <v>8</v>
      </c>
      <c r="C4289" t="s">
        <v>98</v>
      </c>
      <c r="D4289" t="str">
        <f>LEFT(M4289,9)</f>
        <v>1/15/2025</v>
      </c>
      <c r="E4289" t="s">
        <v>202</v>
      </c>
      <c r="F4289" t="s">
        <v>209</v>
      </c>
      <c r="G4289" t="s">
        <v>210</v>
      </c>
      <c r="I4289">
        <v>6</v>
      </c>
      <c r="J4289">
        <v>16.8</v>
      </c>
      <c r="K4289">
        <v>2.8</v>
      </c>
      <c r="M4289" t="s">
        <v>516</v>
      </c>
    </row>
    <row r="4290" spans="1:13" hidden="1">
      <c r="A4290" t="s">
        <v>99</v>
      </c>
      <c r="B4290" t="s">
        <v>8</v>
      </c>
      <c r="C4290" t="s">
        <v>98</v>
      </c>
      <c r="D4290" t="str">
        <f>LEFT(M4290,9)</f>
        <v>1/15/2025</v>
      </c>
      <c r="E4290" t="s">
        <v>202</v>
      </c>
      <c r="F4290" t="s">
        <v>203</v>
      </c>
      <c r="G4290" t="s">
        <v>260</v>
      </c>
      <c r="I4290">
        <v>9.8000000000000007</v>
      </c>
      <c r="J4290">
        <v>352.8</v>
      </c>
      <c r="K4290">
        <v>36</v>
      </c>
      <c r="M4290" t="s">
        <v>516</v>
      </c>
    </row>
    <row r="4291" spans="1:13" hidden="1">
      <c r="A4291" t="s">
        <v>99</v>
      </c>
      <c r="B4291" t="s">
        <v>8</v>
      </c>
      <c r="C4291" t="s">
        <v>98</v>
      </c>
      <c r="D4291" t="str">
        <f>LEFT(M4291,9)</f>
        <v>1/15/2025</v>
      </c>
      <c r="E4291" t="s">
        <v>202</v>
      </c>
      <c r="F4291" t="s">
        <v>203</v>
      </c>
      <c r="G4291" t="s">
        <v>259</v>
      </c>
      <c r="I4291">
        <v>4</v>
      </c>
      <c r="J4291">
        <v>72</v>
      </c>
      <c r="K4291">
        <v>18</v>
      </c>
      <c r="M4291" t="s">
        <v>516</v>
      </c>
    </row>
    <row r="4292" spans="1:13" hidden="1">
      <c r="A4292" t="s">
        <v>99</v>
      </c>
      <c r="B4292" t="s">
        <v>8</v>
      </c>
      <c r="C4292" t="s">
        <v>98</v>
      </c>
      <c r="D4292" t="str">
        <f>LEFT(M4292,9)</f>
        <v>1/15/2025</v>
      </c>
      <c r="E4292" t="s">
        <v>202</v>
      </c>
      <c r="F4292" t="s">
        <v>209</v>
      </c>
      <c r="G4292" t="s">
        <v>310</v>
      </c>
      <c r="I4292">
        <v>13.8</v>
      </c>
      <c r="J4292">
        <v>33</v>
      </c>
      <c r="K4292">
        <v>2.39</v>
      </c>
      <c r="M4292" t="s">
        <v>516</v>
      </c>
    </row>
    <row r="4293" spans="1:13" hidden="1">
      <c r="A4293" t="s">
        <v>99</v>
      </c>
      <c r="B4293" t="s">
        <v>8</v>
      </c>
      <c r="C4293" t="s">
        <v>98</v>
      </c>
      <c r="D4293" t="str">
        <f>LEFT(M4293,9)</f>
        <v>1/15/2025</v>
      </c>
      <c r="E4293" t="s">
        <v>202</v>
      </c>
      <c r="F4293" t="s">
        <v>218</v>
      </c>
      <c r="G4293" t="s">
        <v>221</v>
      </c>
      <c r="I4293">
        <v>84.2</v>
      </c>
      <c r="J4293">
        <v>214.71</v>
      </c>
      <c r="K4293">
        <v>2.5499999999999998</v>
      </c>
      <c r="M4293" t="s">
        <v>516</v>
      </c>
    </row>
    <row r="4294" spans="1:13" hidden="1">
      <c r="A4294" t="s">
        <v>99</v>
      </c>
      <c r="B4294" t="s">
        <v>8</v>
      </c>
      <c r="C4294" t="s">
        <v>98</v>
      </c>
      <c r="D4294" t="str">
        <f>LEFT(M4294,9)</f>
        <v>1/15/2025</v>
      </c>
      <c r="E4294" t="s">
        <v>202</v>
      </c>
      <c r="F4294" t="s">
        <v>218</v>
      </c>
      <c r="G4294" t="s">
        <v>222</v>
      </c>
      <c r="I4294">
        <v>156.4</v>
      </c>
      <c r="J4294">
        <v>297.16000000000003</v>
      </c>
      <c r="K4294">
        <v>1.9</v>
      </c>
      <c r="M4294" t="s">
        <v>516</v>
      </c>
    </row>
    <row r="4295" spans="1:13" hidden="1">
      <c r="A4295" t="s">
        <v>99</v>
      </c>
      <c r="B4295" t="s">
        <v>8</v>
      </c>
      <c r="C4295" t="s">
        <v>98</v>
      </c>
      <c r="D4295" t="str">
        <f>LEFT(M4295,9)</f>
        <v>1/15/2025</v>
      </c>
      <c r="E4295" t="s">
        <v>202</v>
      </c>
      <c r="F4295" t="s">
        <v>218</v>
      </c>
      <c r="G4295" t="s">
        <v>222</v>
      </c>
      <c r="I4295">
        <v>443.2</v>
      </c>
      <c r="J4295">
        <v>686.96</v>
      </c>
      <c r="K4295">
        <v>1.55</v>
      </c>
      <c r="M4295" t="s">
        <v>516</v>
      </c>
    </row>
    <row r="4296" spans="1:13" hidden="1">
      <c r="A4296" t="s">
        <v>99</v>
      </c>
      <c r="B4296" t="s">
        <v>8</v>
      </c>
      <c r="C4296" t="s">
        <v>98</v>
      </c>
      <c r="D4296" t="str">
        <f>LEFT(M4296,9)</f>
        <v>1/15/2025</v>
      </c>
      <c r="E4296" t="s">
        <v>202</v>
      </c>
      <c r="F4296" t="s">
        <v>218</v>
      </c>
      <c r="G4296" t="s">
        <v>224</v>
      </c>
      <c r="I4296">
        <v>99.4</v>
      </c>
      <c r="J4296">
        <v>109.34</v>
      </c>
      <c r="K4296">
        <v>1.1000000000000001</v>
      </c>
      <c r="M4296" t="s">
        <v>516</v>
      </c>
    </row>
    <row r="4297" spans="1:13" hidden="1">
      <c r="A4297" t="s">
        <v>99</v>
      </c>
      <c r="B4297" t="s">
        <v>8</v>
      </c>
      <c r="C4297" t="s">
        <v>98</v>
      </c>
      <c r="D4297" t="str">
        <f>LEFT(M4297,9)</f>
        <v>1/15/2025</v>
      </c>
      <c r="E4297" t="s">
        <v>202</v>
      </c>
      <c r="F4297" t="s">
        <v>218</v>
      </c>
      <c r="G4297" t="s">
        <v>241</v>
      </c>
      <c r="I4297">
        <v>135.4</v>
      </c>
      <c r="J4297">
        <v>622.84</v>
      </c>
      <c r="K4297">
        <v>4.5999999999999996</v>
      </c>
      <c r="M4297" t="s">
        <v>516</v>
      </c>
    </row>
    <row r="4298" spans="1:13" hidden="1">
      <c r="A4298" t="s">
        <v>99</v>
      </c>
      <c r="B4298" t="s">
        <v>8</v>
      </c>
      <c r="C4298" t="s">
        <v>98</v>
      </c>
      <c r="D4298" t="str">
        <f>LEFT(M4298,9)</f>
        <v>1/15/2025</v>
      </c>
      <c r="E4298" t="s">
        <v>202</v>
      </c>
      <c r="F4298" t="s">
        <v>227</v>
      </c>
      <c r="G4298" t="s">
        <v>252</v>
      </c>
      <c r="I4298">
        <v>126.8</v>
      </c>
      <c r="J4298">
        <v>50.72</v>
      </c>
      <c r="K4298">
        <v>0.4</v>
      </c>
      <c r="M4298" t="s">
        <v>516</v>
      </c>
    </row>
    <row r="4299" spans="1:13" hidden="1">
      <c r="A4299" t="s">
        <v>99</v>
      </c>
      <c r="B4299" t="s">
        <v>8</v>
      </c>
      <c r="C4299" t="s">
        <v>98</v>
      </c>
      <c r="D4299" t="str">
        <f>LEFT(M4299,9)</f>
        <v>1/15/2025</v>
      </c>
      <c r="E4299" t="s">
        <v>202</v>
      </c>
      <c r="F4299" t="s">
        <v>218</v>
      </c>
      <c r="G4299" t="s">
        <v>243</v>
      </c>
      <c r="H4299" t="s">
        <v>534</v>
      </c>
      <c r="I4299">
        <v>2184.6</v>
      </c>
      <c r="J4299">
        <v>2621.52</v>
      </c>
      <c r="K4299">
        <v>1.2</v>
      </c>
      <c r="M4299" t="s">
        <v>516</v>
      </c>
    </row>
    <row r="4300" spans="1:13" hidden="1">
      <c r="A4300" t="s">
        <v>99</v>
      </c>
      <c r="B4300" t="s">
        <v>8</v>
      </c>
      <c r="C4300" t="s">
        <v>98</v>
      </c>
      <c r="D4300" t="str">
        <f>LEFT(M4300,9)</f>
        <v>1/15/2025</v>
      </c>
      <c r="E4300" t="s">
        <v>202</v>
      </c>
      <c r="F4300" t="s">
        <v>216</v>
      </c>
      <c r="G4300" t="s">
        <v>253</v>
      </c>
      <c r="I4300">
        <v>1189.4000000000001</v>
      </c>
      <c r="J4300">
        <v>193.59</v>
      </c>
      <c r="K4300">
        <v>0.16</v>
      </c>
      <c r="M4300" t="s">
        <v>516</v>
      </c>
    </row>
    <row r="4301" spans="1:13" hidden="1">
      <c r="A4301" t="s">
        <v>99</v>
      </c>
      <c r="B4301" t="s">
        <v>8</v>
      </c>
      <c r="C4301" t="s">
        <v>98</v>
      </c>
      <c r="D4301" t="str">
        <f>LEFT(M4301,9)</f>
        <v>1/15/2025</v>
      </c>
      <c r="E4301" t="s">
        <v>230</v>
      </c>
      <c r="F4301" t="s">
        <v>248</v>
      </c>
      <c r="I4301">
        <v>0</v>
      </c>
      <c r="J4301">
        <v>12518.38</v>
      </c>
      <c r="M4301" t="s">
        <v>516</v>
      </c>
    </row>
    <row r="4302" spans="1:13" hidden="1">
      <c r="A4302" t="s">
        <v>99</v>
      </c>
      <c r="B4302" t="s">
        <v>8</v>
      </c>
      <c r="C4302" t="s">
        <v>98</v>
      </c>
      <c r="D4302" t="str">
        <f>LEFT(M4302,9)</f>
        <v>1/15/2025</v>
      </c>
      <c r="E4302" t="s">
        <v>232</v>
      </c>
      <c r="F4302" t="s">
        <v>262</v>
      </c>
      <c r="I4302">
        <v>0</v>
      </c>
      <c r="J4302">
        <v>1197.79</v>
      </c>
      <c r="M4302" t="s">
        <v>516</v>
      </c>
    </row>
    <row r="4303" spans="1:13" hidden="1">
      <c r="A4303" t="s">
        <v>99</v>
      </c>
      <c r="B4303" t="s">
        <v>8</v>
      </c>
      <c r="C4303" t="s">
        <v>98</v>
      </c>
      <c r="D4303" t="str">
        <f>LEFT(M4303,9)</f>
        <v>1/15/2025</v>
      </c>
      <c r="E4303" t="s">
        <v>232</v>
      </c>
      <c r="F4303" t="s">
        <v>262</v>
      </c>
      <c r="I4303">
        <v>0</v>
      </c>
      <c r="J4303">
        <v>1197.79</v>
      </c>
      <c r="M4303" t="s">
        <v>516</v>
      </c>
    </row>
    <row r="4304" spans="1:13" hidden="1">
      <c r="A4304" t="s">
        <v>99</v>
      </c>
      <c r="B4304" t="s">
        <v>8</v>
      </c>
      <c r="C4304" t="s">
        <v>98</v>
      </c>
      <c r="D4304" t="str">
        <f>LEFT(M4304,9)</f>
        <v>1/15/2025</v>
      </c>
      <c r="E4304" t="s">
        <v>234</v>
      </c>
      <c r="F4304" t="s">
        <v>234</v>
      </c>
      <c r="I4304">
        <v>0</v>
      </c>
      <c r="M4304" t="s">
        <v>516</v>
      </c>
    </row>
    <row r="4305" spans="1:13" hidden="1">
      <c r="A4305" t="s">
        <v>99</v>
      </c>
      <c r="B4305" t="s">
        <v>8</v>
      </c>
      <c r="C4305" t="s">
        <v>98</v>
      </c>
      <c r="D4305" t="str">
        <f>LEFT(M4305,9)</f>
        <v>1/15/2025</v>
      </c>
      <c r="E4305" t="s">
        <v>234</v>
      </c>
      <c r="F4305" t="s">
        <v>234</v>
      </c>
      <c r="I4305">
        <v>894.3</v>
      </c>
      <c r="M4305" t="s">
        <v>516</v>
      </c>
    </row>
    <row r="4306" spans="1:13" hidden="1">
      <c r="A4306" t="s">
        <v>56</v>
      </c>
      <c r="B4306" t="s">
        <v>57</v>
      </c>
      <c r="C4306" t="s">
        <v>19</v>
      </c>
      <c r="D4306" t="str">
        <f>LEFT(M4306,9)</f>
        <v>1/15/2025</v>
      </c>
      <c r="E4306" t="s">
        <v>202</v>
      </c>
      <c r="F4306" t="s">
        <v>227</v>
      </c>
      <c r="G4306" t="s">
        <v>229</v>
      </c>
      <c r="I4306">
        <v>4610</v>
      </c>
      <c r="J4306">
        <v>2766</v>
      </c>
      <c r="K4306">
        <v>0.6</v>
      </c>
      <c r="M4306" t="s">
        <v>516</v>
      </c>
    </row>
    <row r="4307" spans="1:13" hidden="1">
      <c r="A4307" t="s">
        <v>56</v>
      </c>
      <c r="B4307" t="s">
        <v>57</v>
      </c>
      <c r="C4307" t="s">
        <v>19</v>
      </c>
      <c r="D4307" t="str">
        <f>LEFT(M4307,9)</f>
        <v>1/15/2025</v>
      </c>
      <c r="E4307" t="s">
        <v>202</v>
      </c>
      <c r="F4307" t="s">
        <v>227</v>
      </c>
      <c r="G4307" t="s">
        <v>237</v>
      </c>
      <c r="I4307">
        <v>800</v>
      </c>
      <c r="J4307">
        <v>560</v>
      </c>
      <c r="K4307">
        <v>0.7</v>
      </c>
      <c r="M4307" t="s">
        <v>516</v>
      </c>
    </row>
    <row r="4308" spans="1:13" hidden="1">
      <c r="A4308" t="s">
        <v>56</v>
      </c>
      <c r="B4308" t="s">
        <v>57</v>
      </c>
      <c r="C4308" t="s">
        <v>19</v>
      </c>
      <c r="D4308" t="str">
        <f>LEFT(M4308,9)</f>
        <v>1/15/2025</v>
      </c>
      <c r="E4308" t="s">
        <v>202</v>
      </c>
      <c r="F4308" t="s">
        <v>227</v>
      </c>
      <c r="G4308" t="s">
        <v>237</v>
      </c>
      <c r="I4308">
        <v>1020</v>
      </c>
      <c r="J4308">
        <v>663</v>
      </c>
      <c r="K4308">
        <v>0.65</v>
      </c>
      <c r="M4308" t="s">
        <v>516</v>
      </c>
    </row>
    <row r="4309" spans="1:13" hidden="1">
      <c r="A4309" t="s">
        <v>56</v>
      </c>
      <c r="B4309" t="s">
        <v>57</v>
      </c>
      <c r="C4309" t="s">
        <v>19</v>
      </c>
      <c r="D4309" t="str">
        <f>LEFT(M4309,9)</f>
        <v>1/15/2025</v>
      </c>
      <c r="E4309" t="s">
        <v>202</v>
      </c>
      <c r="F4309" t="s">
        <v>227</v>
      </c>
      <c r="G4309" t="s">
        <v>238</v>
      </c>
      <c r="I4309">
        <v>310</v>
      </c>
      <c r="J4309">
        <v>108.5</v>
      </c>
      <c r="K4309">
        <v>0.35</v>
      </c>
      <c r="M4309" t="s">
        <v>516</v>
      </c>
    </row>
    <row r="4310" spans="1:13" hidden="1">
      <c r="A4310" t="s">
        <v>56</v>
      </c>
      <c r="B4310" t="s">
        <v>57</v>
      </c>
      <c r="C4310" t="s">
        <v>19</v>
      </c>
      <c r="D4310" t="str">
        <f>LEFT(M4310,9)</f>
        <v>1/15/2025</v>
      </c>
      <c r="E4310" t="s">
        <v>202</v>
      </c>
      <c r="F4310" t="s">
        <v>227</v>
      </c>
      <c r="G4310" t="s">
        <v>228</v>
      </c>
      <c r="I4310">
        <v>3810</v>
      </c>
      <c r="J4310">
        <v>1714.5</v>
      </c>
      <c r="K4310">
        <v>0.45</v>
      </c>
      <c r="M4310" t="s">
        <v>516</v>
      </c>
    </row>
    <row r="4311" spans="1:13" hidden="1">
      <c r="A4311" t="s">
        <v>56</v>
      </c>
      <c r="B4311" t="s">
        <v>57</v>
      </c>
      <c r="C4311" t="s">
        <v>19</v>
      </c>
      <c r="D4311" t="str">
        <f>LEFT(M4311,9)</f>
        <v>1/15/2025</v>
      </c>
      <c r="E4311" t="s">
        <v>202</v>
      </c>
      <c r="F4311" t="s">
        <v>227</v>
      </c>
      <c r="G4311" t="s">
        <v>252</v>
      </c>
      <c r="I4311">
        <v>500</v>
      </c>
      <c r="J4311">
        <v>200</v>
      </c>
      <c r="K4311">
        <v>0.4</v>
      </c>
      <c r="M4311" t="s">
        <v>516</v>
      </c>
    </row>
    <row r="4312" spans="1:13" hidden="1">
      <c r="A4312" t="s">
        <v>56</v>
      </c>
      <c r="B4312" t="s">
        <v>57</v>
      </c>
      <c r="C4312" t="s">
        <v>19</v>
      </c>
      <c r="D4312" t="str">
        <f>LEFT(M4312,9)</f>
        <v>1/15/2025</v>
      </c>
      <c r="E4312" t="s">
        <v>202</v>
      </c>
      <c r="F4312" t="s">
        <v>218</v>
      </c>
      <c r="G4312" t="s">
        <v>222</v>
      </c>
      <c r="I4312">
        <v>263</v>
      </c>
      <c r="J4312">
        <v>341.9</v>
      </c>
      <c r="K4312">
        <v>1.3</v>
      </c>
      <c r="M4312" t="s">
        <v>516</v>
      </c>
    </row>
    <row r="4313" spans="1:13" hidden="1">
      <c r="A4313" t="s">
        <v>56</v>
      </c>
      <c r="B4313" t="s">
        <v>57</v>
      </c>
      <c r="C4313" t="s">
        <v>19</v>
      </c>
      <c r="D4313" t="str">
        <f>LEFT(M4313,9)</f>
        <v>1/15/2025</v>
      </c>
      <c r="E4313" t="s">
        <v>202</v>
      </c>
      <c r="F4313" t="s">
        <v>218</v>
      </c>
      <c r="G4313" t="s">
        <v>222</v>
      </c>
      <c r="I4313">
        <v>278</v>
      </c>
      <c r="J4313">
        <v>472.6</v>
      </c>
      <c r="K4313">
        <v>1.7</v>
      </c>
      <c r="M4313" t="s">
        <v>516</v>
      </c>
    </row>
    <row r="4314" spans="1:13" hidden="1">
      <c r="A4314" t="s">
        <v>56</v>
      </c>
      <c r="B4314" t="s">
        <v>57</v>
      </c>
      <c r="C4314" t="s">
        <v>19</v>
      </c>
      <c r="D4314" t="str">
        <f>LEFT(M4314,9)</f>
        <v>1/15/2025</v>
      </c>
      <c r="E4314" t="s">
        <v>202</v>
      </c>
      <c r="F4314" t="s">
        <v>218</v>
      </c>
      <c r="G4314" t="s">
        <v>222</v>
      </c>
      <c r="I4314">
        <v>244</v>
      </c>
      <c r="J4314">
        <v>390.4</v>
      </c>
      <c r="K4314">
        <v>1.6</v>
      </c>
      <c r="M4314" t="s">
        <v>516</v>
      </c>
    </row>
    <row r="4315" spans="1:13" hidden="1">
      <c r="A4315" t="s">
        <v>56</v>
      </c>
      <c r="B4315" t="s">
        <v>57</v>
      </c>
      <c r="C4315" t="s">
        <v>19</v>
      </c>
      <c r="D4315" t="str">
        <f>LEFT(M4315,9)</f>
        <v>1/15/2025</v>
      </c>
      <c r="E4315" t="s">
        <v>202</v>
      </c>
      <c r="F4315" t="s">
        <v>218</v>
      </c>
      <c r="G4315" t="s">
        <v>219</v>
      </c>
      <c r="I4315">
        <v>66</v>
      </c>
      <c r="J4315">
        <v>26.4</v>
      </c>
      <c r="K4315">
        <v>0.4</v>
      </c>
      <c r="M4315" t="s">
        <v>516</v>
      </c>
    </row>
    <row r="4316" spans="1:13" hidden="1">
      <c r="A4316" t="s">
        <v>56</v>
      </c>
      <c r="B4316" t="s">
        <v>57</v>
      </c>
      <c r="C4316" t="s">
        <v>19</v>
      </c>
      <c r="D4316" t="str">
        <f>LEFT(M4316,9)</f>
        <v>1/15/2025</v>
      </c>
      <c r="E4316" t="s">
        <v>202</v>
      </c>
      <c r="F4316" t="s">
        <v>218</v>
      </c>
      <c r="G4316" t="s">
        <v>239</v>
      </c>
      <c r="I4316">
        <v>65</v>
      </c>
      <c r="J4316">
        <v>3.25</v>
      </c>
      <c r="K4316">
        <v>0.05</v>
      </c>
      <c r="M4316" t="s">
        <v>516</v>
      </c>
    </row>
    <row r="4317" spans="1:13" hidden="1">
      <c r="A4317" t="s">
        <v>56</v>
      </c>
      <c r="B4317" t="s">
        <v>57</v>
      </c>
      <c r="C4317" t="s">
        <v>19</v>
      </c>
      <c r="D4317" t="str">
        <f>LEFT(M4317,9)</f>
        <v>1/15/2025</v>
      </c>
      <c r="E4317" t="s">
        <v>202</v>
      </c>
      <c r="F4317" t="s">
        <v>218</v>
      </c>
      <c r="G4317" t="s">
        <v>222</v>
      </c>
      <c r="I4317">
        <v>31</v>
      </c>
      <c r="J4317">
        <v>49.6</v>
      </c>
      <c r="K4317">
        <v>1.6</v>
      </c>
      <c r="M4317" t="s">
        <v>516</v>
      </c>
    </row>
    <row r="4318" spans="1:13" hidden="1">
      <c r="A4318" t="s">
        <v>56</v>
      </c>
      <c r="B4318" t="s">
        <v>57</v>
      </c>
      <c r="C4318" t="s">
        <v>19</v>
      </c>
      <c r="D4318" t="str">
        <f>LEFT(M4318,9)</f>
        <v>1/15/2025</v>
      </c>
      <c r="E4318" t="s">
        <v>202</v>
      </c>
      <c r="F4318" t="s">
        <v>218</v>
      </c>
      <c r="G4318" t="s">
        <v>225</v>
      </c>
      <c r="I4318">
        <v>71</v>
      </c>
      <c r="J4318">
        <v>71</v>
      </c>
      <c r="K4318">
        <v>1</v>
      </c>
      <c r="M4318" t="s">
        <v>516</v>
      </c>
    </row>
    <row r="4319" spans="1:13" hidden="1">
      <c r="A4319" t="s">
        <v>56</v>
      </c>
      <c r="B4319" t="s">
        <v>57</v>
      </c>
      <c r="C4319" t="s">
        <v>19</v>
      </c>
      <c r="D4319" t="str">
        <f>LEFT(M4319,9)</f>
        <v>1/15/2025</v>
      </c>
      <c r="E4319" t="s">
        <v>202</v>
      </c>
      <c r="F4319" t="s">
        <v>218</v>
      </c>
      <c r="G4319" t="s">
        <v>241</v>
      </c>
      <c r="I4319">
        <v>152</v>
      </c>
      <c r="J4319">
        <v>668.8</v>
      </c>
      <c r="K4319">
        <v>4.4000000000000004</v>
      </c>
      <c r="M4319" t="s">
        <v>516</v>
      </c>
    </row>
    <row r="4320" spans="1:13" hidden="1">
      <c r="A4320" t="s">
        <v>56</v>
      </c>
      <c r="B4320" t="s">
        <v>57</v>
      </c>
      <c r="C4320" t="s">
        <v>19</v>
      </c>
      <c r="D4320" t="str">
        <f>LEFT(M4320,9)</f>
        <v>1/15/2025</v>
      </c>
      <c r="E4320" t="s">
        <v>202</v>
      </c>
      <c r="F4320" t="s">
        <v>218</v>
      </c>
      <c r="G4320" t="s">
        <v>223</v>
      </c>
      <c r="I4320">
        <v>498</v>
      </c>
      <c r="J4320">
        <v>373.5</v>
      </c>
      <c r="K4320">
        <v>0.75</v>
      </c>
      <c r="M4320" t="s">
        <v>516</v>
      </c>
    </row>
    <row r="4321" spans="1:13" hidden="1">
      <c r="A4321" t="s">
        <v>56</v>
      </c>
      <c r="B4321" t="s">
        <v>57</v>
      </c>
      <c r="C4321" t="s">
        <v>19</v>
      </c>
      <c r="D4321" t="str">
        <f>LEFT(M4321,9)</f>
        <v>1/15/2025</v>
      </c>
      <c r="E4321" t="s">
        <v>202</v>
      </c>
      <c r="F4321" t="s">
        <v>218</v>
      </c>
      <c r="G4321" t="s">
        <v>242</v>
      </c>
      <c r="I4321">
        <v>60</v>
      </c>
      <c r="J4321">
        <v>120</v>
      </c>
      <c r="K4321">
        <v>2</v>
      </c>
      <c r="M4321" t="s">
        <v>516</v>
      </c>
    </row>
    <row r="4322" spans="1:13" hidden="1">
      <c r="A4322" t="s">
        <v>56</v>
      </c>
      <c r="B4322" t="s">
        <v>57</v>
      </c>
      <c r="C4322" t="s">
        <v>19</v>
      </c>
      <c r="D4322" t="str">
        <f>LEFT(M4322,9)</f>
        <v>1/15/2025</v>
      </c>
      <c r="E4322" t="s">
        <v>202</v>
      </c>
      <c r="F4322" t="s">
        <v>218</v>
      </c>
      <c r="G4322" t="s">
        <v>220</v>
      </c>
      <c r="I4322">
        <v>321</v>
      </c>
      <c r="J4322">
        <v>449.4</v>
      </c>
      <c r="K4322">
        <v>1.4</v>
      </c>
      <c r="M4322" t="s">
        <v>516</v>
      </c>
    </row>
    <row r="4323" spans="1:13" hidden="1">
      <c r="A4323" t="s">
        <v>56</v>
      </c>
      <c r="B4323" t="s">
        <v>57</v>
      </c>
      <c r="C4323" t="s">
        <v>19</v>
      </c>
      <c r="D4323" t="str">
        <f>LEFT(M4323,9)</f>
        <v>1/15/2025</v>
      </c>
      <c r="E4323" t="s">
        <v>202</v>
      </c>
      <c r="F4323" t="s">
        <v>218</v>
      </c>
      <c r="G4323" t="s">
        <v>221</v>
      </c>
      <c r="I4323">
        <v>201</v>
      </c>
      <c r="J4323">
        <v>462.3</v>
      </c>
      <c r="K4323">
        <v>2.2999999999999998</v>
      </c>
      <c r="M4323" t="s">
        <v>516</v>
      </c>
    </row>
    <row r="4324" spans="1:13" hidden="1">
      <c r="A4324" t="s">
        <v>56</v>
      </c>
      <c r="B4324" t="s">
        <v>57</v>
      </c>
      <c r="C4324" t="s">
        <v>19</v>
      </c>
      <c r="D4324" t="str">
        <f>LEFT(M4324,9)</f>
        <v>1/15/2025</v>
      </c>
      <c r="E4324" t="s">
        <v>202</v>
      </c>
      <c r="F4324" t="s">
        <v>218</v>
      </c>
      <c r="G4324" t="s">
        <v>223</v>
      </c>
      <c r="I4324">
        <v>132</v>
      </c>
      <c r="J4324">
        <v>85.8</v>
      </c>
      <c r="K4324">
        <v>0.65</v>
      </c>
      <c r="M4324" t="s">
        <v>516</v>
      </c>
    </row>
    <row r="4325" spans="1:13" hidden="1">
      <c r="A4325" t="s">
        <v>56</v>
      </c>
      <c r="B4325" t="s">
        <v>57</v>
      </c>
      <c r="C4325" t="s">
        <v>19</v>
      </c>
      <c r="D4325" t="str">
        <f>LEFT(M4325,9)</f>
        <v>1/15/2025</v>
      </c>
      <c r="E4325" t="s">
        <v>202</v>
      </c>
      <c r="F4325" t="s">
        <v>218</v>
      </c>
      <c r="G4325" t="s">
        <v>240</v>
      </c>
      <c r="I4325">
        <v>594</v>
      </c>
      <c r="J4325">
        <v>2673</v>
      </c>
      <c r="K4325">
        <v>4.5</v>
      </c>
      <c r="M4325" t="s">
        <v>516</v>
      </c>
    </row>
    <row r="4326" spans="1:13" hidden="1">
      <c r="A4326" t="s">
        <v>56</v>
      </c>
      <c r="B4326" t="s">
        <v>57</v>
      </c>
      <c r="C4326" t="s">
        <v>19</v>
      </c>
      <c r="D4326" t="str">
        <f>LEFT(M4326,9)</f>
        <v>1/15/2025</v>
      </c>
      <c r="E4326" t="s">
        <v>202</v>
      </c>
      <c r="F4326" t="s">
        <v>218</v>
      </c>
      <c r="G4326" t="s">
        <v>222</v>
      </c>
      <c r="I4326">
        <v>766</v>
      </c>
      <c r="J4326">
        <v>1225.5999999999999</v>
      </c>
      <c r="K4326">
        <v>1.6</v>
      </c>
      <c r="M4326" t="s">
        <v>516</v>
      </c>
    </row>
    <row r="4327" spans="1:13" hidden="1">
      <c r="A4327" t="s">
        <v>56</v>
      </c>
      <c r="B4327" t="s">
        <v>57</v>
      </c>
      <c r="C4327" t="s">
        <v>19</v>
      </c>
      <c r="D4327" t="str">
        <f>LEFT(M4327,9)</f>
        <v>1/15/2025</v>
      </c>
      <c r="E4327" t="s">
        <v>202</v>
      </c>
      <c r="F4327" t="s">
        <v>218</v>
      </c>
      <c r="G4327" t="s">
        <v>222</v>
      </c>
      <c r="I4327">
        <v>370</v>
      </c>
      <c r="J4327">
        <v>481</v>
      </c>
      <c r="K4327">
        <v>1.3</v>
      </c>
      <c r="M4327" t="s">
        <v>516</v>
      </c>
    </row>
    <row r="4328" spans="1:13" hidden="1">
      <c r="A4328" t="s">
        <v>56</v>
      </c>
      <c r="B4328" t="s">
        <v>57</v>
      </c>
      <c r="C4328" t="s">
        <v>19</v>
      </c>
      <c r="D4328" t="str">
        <f>LEFT(M4328,9)</f>
        <v>1/15/2025</v>
      </c>
      <c r="E4328" t="s">
        <v>202</v>
      </c>
      <c r="F4328" t="s">
        <v>218</v>
      </c>
      <c r="G4328" t="s">
        <v>222</v>
      </c>
      <c r="I4328">
        <v>403</v>
      </c>
      <c r="J4328">
        <v>685.1</v>
      </c>
      <c r="K4328">
        <v>1.7</v>
      </c>
      <c r="M4328" t="s">
        <v>516</v>
      </c>
    </row>
    <row r="4329" spans="1:13" hidden="1">
      <c r="A4329" t="s">
        <v>56</v>
      </c>
      <c r="B4329" t="s">
        <v>57</v>
      </c>
      <c r="C4329" t="s">
        <v>19</v>
      </c>
      <c r="D4329" t="str">
        <f>LEFT(M4329,9)</f>
        <v>1/15/2025</v>
      </c>
      <c r="E4329" t="s">
        <v>202</v>
      </c>
      <c r="F4329" t="s">
        <v>218</v>
      </c>
      <c r="G4329" t="s">
        <v>224</v>
      </c>
      <c r="I4329">
        <v>146</v>
      </c>
      <c r="J4329">
        <v>131.4</v>
      </c>
      <c r="K4329">
        <v>0.9</v>
      </c>
      <c r="M4329" t="s">
        <v>516</v>
      </c>
    </row>
    <row r="4330" spans="1:13" hidden="1">
      <c r="A4330" t="s">
        <v>56</v>
      </c>
      <c r="B4330" t="s">
        <v>57</v>
      </c>
      <c r="C4330" t="s">
        <v>19</v>
      </c>
      <c r="D4330" t="str">
        <f>LEFT(M4330,9)</f>
        <v>1/15/2025</v>
      </c>
      <c r="E4330" t="s">
        <v>202</v>
      </c>
      <c r="F4330" t="s">
        <v>218</v>
      </c>
      <c r="G4330" t="s">
        <v>239</v>
      </c>
      <c r="I4330">
        <v>270</v>
      </c>
      <c r="J4330">
        <v>27</v>
      </c>
      <c r="K4330">
        <v>0.1</v>
      </c>
      <c r="M4330" t="s">
        <v>516</v>
      </c>
    </row>
    <row r="4331" spans="1:13" hidden="1">
      <c r="A4331" t="s">
        <v>56</v>
      </c>
      <c r="B4331" t="s">
        <v>57</v>
      </c>
      <c r="C4331" t="s">
        <v>19</v>
      </c>
      <c r="D4331" t="str">
        <f>LEFT(M4331,9)</f>
        <v>1/15/2025</v>
      </c>
      <c r="E4331" t="s">
        <v>202</v>
      </c>
      <c r="F4331" t="s">
        <v>218</v>
      </c>
      <c r="G4331" t="s">
        <v>240</v>
      </c>
      <c r="I4331">
        <v>1221</v>
      </c>
      <c r="J4331">
        <v>5494.5</v>
      </c>
      <c r="K4331">
        <v>4.5</v>
      </c>
      <c r="M4331" t="s">
        <v>516</v>
      </c>
    </row>
    <row r="4332" spans="1:13" hidden="1">
      <c r="A4332" t="s">
        <v>56</v>
      </c>
      <c r="B4332" t="s">
        <v>57</v>
      </c>
      <c r="C4332" t="s">
        <v>19</v>
      </c>
      <c r="D4332" t="str">
        <f>LEFT(M4332,9)</f>
        <v>1/15/2025</v>
      </c>
      <c r="E4332" t="s">
        <v>202</v>
      </c>
      <c r="F4332" t="s">
        <v>218</v>
      </c>
      <c r="G4332" t="s">
        <v>242</v>
      </c>
      <c r="I4332">
        <v>86</v>
      </c>
      <c r="J4332">
        <v>172</v>
      </c>
      <c r="K4332">
        <v>2</v>
      </c>
      <c r="M4332" t="s">
        <v>516</v>
      </c>
    </row>
    <row r="4333" spans="1:13" hidden="1">
      <c r="A4333" t="s">
        <v>56</v>
      </c>
      <c r="B4333" t="s">
        <v>57</v>
      </c>
      <c r="C4333" t="s">
        <v>19</v>
      </c>
      <c r="D4333" t="str">
        <f>LEFT(M4333,9)</f>
        <v>1/15/2025</v>
      </c>
      <c r="E4333" t="s">
        <v>202</v>
      </c>
      <c r="F4333" t="s">
        <v>218</v>
      </c>
      <c r="G4333" t="s">
        <v>241</v>
      </c>
      <c r="I4333">
        <v>370</v>
      </c>
      <c r="J4333">
        <v>1628</v>
      </c>
      <c r="K4333">
        <v>4.4000000000000004</v>
      </c>
      <c r="M4333" t="s">
        <v>516</v>
      </c>
    </row>
    <row r="4334" spans="1:13" hidden="1">
      <c r="A4334" t="s">
        <v>56</v>
      </c>
      <c r="B4334" t="s">
        <v>57</v>
      </c>
      <c r="C4334" t="s">
        <v>19</v>
      </c>
      <c r="D4334" t="str">
        <f>LEFT(M4334,9)</f>
        <v>1/15/2025</v>
      </c>
      <c r="E4334" t="s">
        <v>202</v>
      </c>
      <c r="F4334" t="s">
        <v>218</v>
      </c>
      <c r="G4334" t="s">
        <v>239</v>
      </c>
      <c r="I4334">
        <v>49</v>
      </c>
      <c r="J4334">
        <v>2.4500000000000002</v>
      </c>
      <c r="K4334">
        <v>0.05</v>
      </c>
      <c r="M4334" t="s">
        <v>516</v>
      </c>
    </row>
    <row r="4335" spans="1:13" hidden="1">
      <c r="A4335" t="s">
        <v>56</v>
      </c>
      <c r="B4335" t="s">
        <v>57</v>
      </c>
      <c r="C4335" t="s">
        <v>19</v>
      </c>
      <c r="D4335" t="str">
        <f>LEFT(M4335,9)</f>
        <v>1/15/2025</v>
      </c>
      <c r="E4335" t="s">
        <v>202</v>
      </c>
      <c r="F4335" t="s">
        <v>218</v>
      </c>
      <c r="G4335" t="s">
        <v>219</v>
      </c>
      <c r="I4335">
        <v>23</v>
      </c>
      <c r="J4335">
        <v>9.1999999999999993</v>
      </c>
      <c r="K4335">
        <v>0.4</v>
      </c>
      <c r="M4335" t="s">
        <v>516</v>
      </c>
    </row>
    <row r="4336" spans="1:13" hidden="1">
      <c r="A4336" t="s">
        <v>56</v>
      </c>
      <c r="B4336" t="s">
        <v>57</v>
      </c>
      <c r="C4336" t="s">
        <v>19</v>
      </c>
      <c r="D4336" t="str">
        <f>LEFT(M4336,9)</f>
        <v>1/15/2025</v>
      </c>
      <c r="E4336" t="s">
        <v>202</v>
      </c>
      <c r="F4336" t="s">
        <v>218</v>
      </c>
      <c r="G4336" t="s">
        <v>225</v>
      </c>
      <c r="I4336">
        <v>10</v>
      </c>
      <c r="J4336">
        <v>10</v>
      </c>
      <c r="K4336">
        <v>1</v>
      </c>
      <c r="M4336" t="s">
        <v>516</v>
      </c>
    </row>
    <row r="4337" spans="1:13" hidden="1">
      <c r="A4337" t="s">
        <v>56</v>
      </c>
      <c r="B4337" t="s">
        <v>57</v>
      </c>
      <c r="C4337" t="s">
        <v>19</v>
      </c>
      <c r="D4337" t="str">
        <f>LEFT(M4337,9)</f>
        <v>1/15/2025</v>
      </c>
      <c r="E4337" t="s">
        <v>202</v>
      </c>
      <c r="F4337" t="s">
        <v>218</v>
      </c>
      <c r="G4337" t="s">
        <v>222</v>
      </c>
      <c r="I4337">
        <v>35</v>
      </c>
      <c r="J4337">
        <v>56</v>
      </c>
      <c r="K4337">
        <v>1.6</v>
      </c>
      <c r="M4337" t="s">
        <v>516</v>
      </c>
    </row>
    <row r="4338" spans="1:13" hidden="1">
      <c r="A4338" t="s">
        <v>56</v>
      </c>
      <c r="B4338" t="s">
        <v>57</v>
      </c>
      <c r="C4338" t="s">
        <v>19</v>
      </c>
      <c r="D4338" t="str">
        <f>LEFT(M4338,9)</f>
        <v>1/15/2025</v>
      </c>
      <c r="E4338" t="s">
        <v>202</v>
      </c>
      <c r="F4338" t="s">
        <v>218</v>
      </c>
      <c r="G4338" t="s">
        <v>223</v>
      </c>
      <c r="I4338">
        <v>145</v>
      </c>
      <c r="J4338">
        <v>94.25</v>
      </c>
      <c r="K4338">
        <v>0.65</v>
      </c>
      <c r="M4338" t="s">
        <v>516</v>
      </c>
    </row>
    <row r="4339" spans="1:13" hidden="1">
      <c r="A4339" t="s">
        <v>56</v>
      </c>
      <c r="B4339" t="s">
        <v>57</v>
      </c>
      <c r="C4339" t="s">
        <v>19</v>
      </c>
      <c r="D4339" t="str">
        <f>LEFT(M4339,9)</f>
        <v>1/15/2025</v>
      </c>
      <c r="E4339" t="s">
        <v>202</v>
      </c>
      <c r="F4339" t="s">
        <v>218</v>
      </c>
      <c r="G4339" t="s">
        <v>221</v>
      </c>
      <c r="I4339">
        <v>597</v>
      </c>
      <c r="J4339">
        <v>1373.1</v>
      </c>
      <c r="K4339">
        <v>2.2999999999999998</v>
      </c>
      <c r="M4339" t="s">
        <v>516</v>
      </c>
    </row>
    <row r="4340" spans="1:13" hidden="1">
      <c r="A4340" t="s">
        <v>56</v>
      </c>
      <c r="B4340" t="s">
        <v>57</v>
      </c>
      <c r="C4340" t="s">
        <v>19</v>
      </c>
      <c r="D4340" t="str">
        <f>LEFT(M4340,9)</f>
        <v>1/15/2025</v>
      </c>
      <c r="E4340" t="s">
        <v>202</v>
      </c>
      <c r="F4340" t="s">
        <v>218</v>
      </c>
      <c r="G4340" t="s">
        <v>220</v>
      </c>
      <c r="I4340">
        <v>361</v>
      </c>
      <c r="J4340">
        <v>505.4</v>
      </c>
      <c r="K4340">
        <v>1.4</v>
      </c>
      <c r="M4340" t="s">
        <v>516</v>
      </c>
    </row>
    <row r="4341" spans="1:13" hidden="1">
      <c r="A4341" t="s">
        <v>56</v>
      </c>
      <c r="B4341" t="s">
        <v>57</v>
      </c>
      <c r="C4341" t="s">
        <v>19</v>
      </c>
      <c r="D4341" t="str">
        <f>LEFT(M4341,9)</f>
        <v>1/15/2025</v>
      </c>
      <c r="E4341" t="s">
        <v>202</v>
      </c>
      <c r="F4341" t="s">
        <v>218</v>
      </c>
      <c r="G4341" t="s">
        <v>223</v>
      </c>
      <c r="I4341">
        <v>528</v>
      </c>
      <c r="J4341">
        <v>396</v>
      </c>
      <c r="K4341">
        <v>0.75</v>
      </c>
      <c r="M4341" t="s">
        <v>516</v>
      </c>
    </row>
    <row r="4342" spans="1:13" hidden="1">
      <c r="A4342" t="s">
        <v>56</v>
      </c>
      <c r="B4342" t="s">
        <v>57</v>
      </c>
      <c r="C4342" t="s">
        <v>19</v>
      </c>
      <c r="D4342" t="str">
        <f>LEFT(M4342,9)</f>
        <v>1/15/2025</v>
      </c>
      <c r="E4342" t="s">
        <v>202</v>
      </c>
      <c r="F4342" t="s">
        <v>216</v>
      </c>
      <c r="G4342" t="s">
        <v>253</v>
      </c>
      <c r="I4342">
        <v>5150</v>
      </c>
      <c r="J4342">
        <v>515</v>
      </c>
      <c r="K4342">
        <v>0.1</v>
      </c>
      <c r="M4342" t="s">
        <v>516</v>
      </c>
    </row>
    <row r="4343" spans="1:13" hidden="1">
      <c r="A4343" t="s">
        <v>56</v>
      </c>
      <c r="B4343" t="s">
        <v>57</v>
      </c>
      <c r="C4343" t="s">
        <v>19</v>
      </c>
      <c r="D4343" t="str">
        <f>LEFT(M4343,9)</f>
        <v>1/15/2025</v>
      </c>
      <c r="E4343" t="s">
        <v>202</v>
      </c>
      <c r="F4343" t="s">
        <v>203</v>
      </c>
      <c r="G4343" t="s">
        <v>235</v>
      </c>
      <c r="I4343">
        <v>37</v>
      </c>
      <c r="J4343">
        <v>296</v>
      </c>
      <c r="K4343">
        <v>8</v>
      </c>
      <c r="M4343" t="s">
        <v>516</v>
      </c>
    </row>
    <row r="4344" spans="1:13" hidden="1">
      <c r="A4344" t="s">
        <v>56</v>
      </c>
      <c r="B4344" t="s">
        <v>57</v>
      </c>
      <c r="C4344" t="s">
        <v>19</v>
      </c>
      <c r="D4344" t="str">
        <f>LEFT(M4344,9)</f>
        <v>1/15/2025</v>
      </c>
      <c r="E4344" t="s">
        <v>202</v>
      </c>
      <c r="F4344" t="s">
        <v>203</v>
      </c>
      <c r="G4344" t="s">
        <v>204</v>
      </c>
      <c r="I4344">
        <v>191</v>
      </c>
      <c r="J4344">
        <v>1913</v>
      </c>
      <c r="K4344">
        <v>10.02</v>
      </c>
      <c r="M4344" t="s">
        <v>516</v>
      </c>
    </row>
    <row r="4345" spans="1:13" hidden="1">
      <c r="A4345" t="s">
        <v>56</v>
      </c>
      <c r="B4345" t="s">
        <v>57</v>
      </c>
      <c r="C4345" t="s">
        <v>19</v>
      </c>
      <c r="D4345" t="str">
        <f>LEFT(M4345,9)</f>
        <v>1/15/2025</v>
      </c>
      <c r="E4345" t="s">
        <v>202</v>
      </c>
      <c r="F4345" t="s">
        <v>203</v>
      </c>
      <c r="G4345" t="s">
        <v>207</v>
      </c>
      <c r="I4345">
        <v>16</v>
      </c>
      <c r="J4345">
        <v>128</v>
      </c>
      <c r="K4345">
        <v>8</v>
      </c>
      <c r="M4345" t="s">
        <v>516</v>
      </c>
    </row>
    <row r="4346" spans="1:13" hidden="1">
      <c r="A4346" t="s">
        <v>56</v>
      </c>
      <c r="B4346" t="s">
        <v>57</v>
      </c>
      <c r="C4346" t="s">
        <v>19</v>
      </c>
      <c r="D4346" t="str">
        <f>LEFT(M4346,9)</f>
        <v>1/15/2025</v>
      </c>
      <c r="E4346" t="s">
        <v>202</v>
      </c>
      <c r="F4346" t="s">
        <v>203</v>
      </c>
      <c r="G4346" t="s">
        <v>259</v>
      </c>
      <c r="I4346">
        <v>3</v>
      </c>
      <c r="J4346">
        <v>75</v>
      </c>
      <c r="K4346">
        <v>25</v>
      </c>
      <c r="M4346" t="s">
        <v>516</v>
      </c>
    </row>
    <row r="4347" spans="1:13" hidden="1">
      <c r="A4347" t="s">
        <v>56</v>
      </c>
      <c r="B4347" t="s">
        <v>57</v>
      </c>
      <c r="C4347" t="s">
        <v>19</v>
      </c>
      <c r="D4347" t="str">
        <f>LEFT(M4347,9)</f>
        <v>1/15/2025</v>
      </c>
      <c r="E4347" t="s">
        <v>202</v>
      </c>
      <c r="F4347" t="s">
        <v>203</v>
      </c>
      <c r="G4347" t="s">
        <v>206</v>
      </c>
      <c r="I4347">
        <v>24</v>
      </c>
      <c r="J4347">
        <v>24</v>
      </c>
      <c r="K4347">
        <v>1</v>
      </c>
      <c r="M4347" t="s">
        <v>516</v>
      </c>
    </row>
    <row r="4348" spans="1:13" hidden="1">
      <c r="A4348" t="s">
        <v>56</v>
      </c>
      <c r="B4348" t="s">
        <v>57</v>
      </c>
      <c r="C4348" t="s">
        <v>19</v>
      </c>
      <c r="D4348" t="str">
        <f>LEFT(M4348,9)</f>
        <v>1/15/2025</v>
      </c>
      <c r="E4348" t="s">
        <v>202</v>
      </c>
      <c r="F4348" t="s">
        <v>203</v>
      </c>
      <c r="G4348" t="s">
        <v>206</v>
      </c>
      <c r="I4348">
        <v>12</v>
      </c>
      <c r="J4348">
        <v>36</v>
      </c>
      <c r="K4348">
        <v>3</v>
      </c>
      <c r="M4348" t="s">
        <v>516</v>
      </c>
    </row>
    <row r="4349" spans="1:13" hidden="1">
      <c r="A4349" t="s">
        <v>56</v>
      </c>
      <c r="B4349" t="s">
        <v>57</v>
      </c>
      <c r="C4349" t="s">
        <v>19</v>
      </c>
      <c r="D4349" t="str">
        <f>LEFT(M4349,9)</f>
        <v>1/15/2025</v>
      </c>
      <c r="E4349" t="s">
        <v>202</v>
      </c>
      <c r="F4349" t="s">
        <v>203</v>
      </c>
      <c r="G4349" t="s">
        <v>208</v>
      </c>
      <c r="I4349">
        <v>22</v>
      </c>
      <c r="J4349">
        <v>220</v>
      </c>
      <c r="K4349">
        <v>10</v>
      </c>
      <c r="M4349" t="s">
        <v>516</v>
      </c>
    </row>
    <row r="4350" spans="1:13" hidden="1">
      <c r="A4350" t="s">
        <v>56</v>
      </c>
      <c r="B4350" t="s">
        <v>57</v>
      </c>
      <c r="C4350" t="s">
        <v>19</v>
      </c>
      <c r="D4350" t="str">
        <f>LEFT(M4350,9)</f>
        <v>1/15/2025</v>
      </c>
      <c r="E4350" t="s">
        <v>202</v>
      </c>
      <c r="F4350" t="s">
        <v>203</v>
      </c>
      <c r="G4350" t="s">
        <v>261</v>
      </c>
      <c r="I4350">
        <v>56</v>
      </c>
      <c r="J4350">
        <v>672</v>
      </c>
      <c r="K4350">
        <v>12</v>
      </c>
      <c r="M4350" t="s">
        <v>516</v>
      </c>
    </row>
    <row r="4351" spans="1:13" hidden="1">
      <c r="A4351" t="s">
        <v>56</v>
      </c>
      <c r="B4351" t="s">
        <v>57</v>
      </c>
      <c r="C4351" t="s">
        <v>19</v>
      </c>
      <c r="D4351" t="str">
        <f>LEFT(M4351,9)</f>
        <v>1/15/2025</v>
      </c>
      <c r="E4351" t="s">
        <v>202</v>
      </c>
      <c r="F4351" t="s">
        <v>203</v>
      </c>
      <c r="G4351" t="s">
        <v>259</v>
      </c>
      <c r="I4351">
        <v>15</v>
      </c>
      <c r="J4351">
        <v>150</v>
      </c>
      <c r="K4351">
        <v>10</v>
      </c>
      <c r="M4351" t="s">
        <v>516</v>
      </c>
    </row>
    <row r="4352" spans="1:13" hidden="1">
      <c r="A4352" t="s">
        <v>56</v>
      </c>
      <c r="B4352" t="s">
        <v>57</v>
      </c>
      <c r="C4352" t="s">
        <v>19</v>
      </c>
      <c r="D4352" t="str">
        <f>LEFT(M4352,9)</f>
        <v>1/15/2025</v>
      </c>
      <c r="E4352" t="s">
        <v>202</v>
      </c>
      <c r="F4352" t="s">
        <v>203</v>
      </c>
      <c r="G4352" t="s">
        <v>215</v>
      </c>
      <c r="I4352">
        <v>810</v>
      </c>
      <c r="J4352">
        <v>486</v>
      </c>
      <c r="K4352">
        <v>0.6</v>
      </c>
      <c r="M4352" t="s">
        <v>516</v>
      </c>
    </row>
    <row r="4353" spans="1:13" hidden="1">
      <c r="A4353" t="s">
        <v>56</v>
      </c>
      <c r="B4353" t="s">
        <v>57</v>
      </c>
      <c r="C4353" t="s">
        <v>19</v>
      </c>
      <c r="D4353" t="str">
        <f>LEFT(M4353,9)</f>
        <v>1/15/2025</v>
      </c>
      <c r="E4353" t="s">
        <v>234</v>
      </c>
      <c r="F4353" t="s">
        <v>234</v>
      </c>
      <c r="I4353">
        <v>3861.34</v>
      </c>
      <c r="M4353" t="s">
        <v>516</v>
      </c>
    </row>
    <row r="4354" spans="1:13" hidden="1">
      <c r="A4354" t="s">
        <v>56</v>
      </c>
      <c r="B4354" t="s">
        <v>57</v>
      </c>
      <c r="C4354" t="s">
        <v>19</v>
      </c>
      <c r="D4354" t="str">
        <f>LEFT(M4354,9)</f>
        <v>1/15/2025</v>
      </c>
      <c r="E4354" t="s">
        <v>232</v>
      </c>
      <c r="F4354" t="s">
        <v>262</v>
      </c>
      <c r="I4354">
        <v>0</v>
      </c>
      <c r="J4354">
        <v>5251</v>
      </c>
      <c r="M4354" t="s">
        <v>516</v>
      </c>
    </row>
    <row r="4355" spans="1:13" hidden="1">
      <c r="A4355" t="s">
        <v>56</v>
      </c>
      <c r="B4355" t="s">
        <v>57</v>
      </c>
      <c r="C4355" t="s">
        <v>19</v>
      </c>
      <c r="D4355" t="str">
        <f>LEFT(M4355,9)</f>
        <v>1/15/2025</v>
      </c>
      <c r="E4355" t="s">
        <v>232</v>
      </c>
      <c r="F4355" t="s">
        <v>262</v>
      </c>
      <c r="I4355">
        <v>0</v>
      </c>
      <c r="J4355">
        <v>4714.6899999999996</v>
      </c>
      <c r="M4355" t="s">
        <v>516</v>
      </c>
    </row>
    <row r="4356" spans="1:13" hidden="1">
      <c r="A4356" t="s">
        <v>56</v>
      </c>
      <c r="B4356" t="s">
        <v>57</v>
      </c>
      <c r="C4356" t="s">
        <v>19</v>
      </c>
      <c r="D4356" t="str">
        <f>LEFT(M4356,9)</f>
        <v>1/15/2025</v>
      </c>
      <c r="E4356" t="s">
        <v>232</v>
      </c>
      <c r="F4356" t="s">
        <v>255</v>
      </c>
      <c r="I4356">
        <v>0</v>
      </c>
      <c r="J4356">
        <v>9600</v>
      </c>
      <c r="L4356" t="s">
        <v>466</v>
      </c>
      <c r="M4356" t="s">
        <v>516</v>
      </c>
    </row>
    <row r="4357" spans="1:13" hidden="1">
      <c r="A4357" t="s">
        <v>56</v>
      </c>
      <c r="B4357" t="s">
        <v>57</v>
      </c>
      <c r="C4357" t="s">
        <v>19</v>
      </c>
      <c r="D4357" t="str">
        <f>LEFT(M4357,9)</f>
        <v>1/15/2025</v>
      </c>
      <c r="E4357" t="s">
        <v>232</v>
      </c>
      <c r="F4357" t="s">
        <v>290</v>
      </c>
      <c r="I4357">
        <v>0</v>
      </c>
      <c r="J4357">
        <v>585</v>
      </c>
      <c r="M4357" t="s">
        <v>516</v>
      </c>
    </row>
    <row r="4358" spans="1:13" hidden="1">
      <c r="A4358" t="s">
        <v>56</v>
      </c>
      <c r="B4358" t="s">
        <v>57</v>
      </c>
      <c r="C4358" t="s">
        <v>19</v>
      </c>
      <c r="D4358" t="str">
        <f>LEFT(M4358,9)</f>
        <v>1/15/2025</v>
      </c>
      <c r="E4358" t="s">
        <v>232</v>
      </c>
      <c r="F4358" t="s">
        <v>291</v>
      </c>
      <c r="I4358">
        <v>0</v>
      </c>
      <c r="J4358">
        <v>461.69</v>
      </c>
      <c r="M4358" t="s">
        <v>516</v>
      </c>
    </row>
    <row r="4359" spans="1:13" hidden="1">
      <c r="A4359" t="s">
        <v>56</v>
      </c>
      <c r="B4359" t="s">
        <v>57</v>
      </c>
      <c r="C4359" t="s">
        <v>19</v>
      </c>
      <c r="D4359" t="str">
        <f>LEFT(M4359,9)</f>
        <v>1/15/2025</v>
      </c>
      <c r="E4359" t="s">
        <v>232</v>
      </c>
      <c r="F4359" t="s">
        <v>255</v>
      </c>
      <c r="I4359">
        <v>0</v>
      </c>
      <c r="J4359">
        <v>804</v>
      </c>
      <c r="L4359" t="s">
        <v>264</v>
      </c>
      <c r="M4359" t="s">
        <v>516</v>
      </c>
    </row>
    <row r="4360" spans="1:13" hidden="1">
      <c r="A4360" t="s">
        <v>56</v>
      </c>
      <c r="B4360" t="s">
        <v>57</v>
      </c>
      <c r="C4360" t="s">
        <v>19</v>
      </c>
      <c r="D4360" t="str">
        <f>LEFT(M4360,9)</f>
        <v>1/15/2025</v>
      </c>
      <c r="E4360" t="s">
        <v>232</v>
      </c>
      <c r="F4360" t="s">
        <v>255</v>
      </c>
      <c r="I4360">
        <v>0</v>
      </c>
      <c r="J4360">
        <v>3438.01</v>
      </c>
      <c r="L4360" t="s">
        <v>535</v>
      </c>
      <c r="M4360" t="s">
        <v>516</v>
      </c>
    </row>
    <row r="4361" spans="1:13" hidden="1">
      <c r="A4361" t="s">
        <v>56</v>
      </c>
      <c r="B4361" t="s">
        <v>57</v>
      </c>
      <c r="C4361" t="s">
        <v>19</v>
      </c>
      <c r="D4361" t="str">
        <f>LEFT(M4361,9)</f>
        <v>1/15/2025</v>
      </c>
      <c r="E4361" t="s">
        <v>230</v>
      </c>
      <c r="F4361" t="s">
        <v>248</v>
      </c>
      <c r="I4361">
        <v>0</v>
      </c>
      <c r="J4361">
        <v>32991.94</v>
      </c>
      <c r="M4361" t="s">
        <v>516</v>
      </c>
    </row>
    <row r="4362" spans="1:13" hidden="1">
      <c r="A4362" t="s">
        <v>102</v>
      </c>
      <c r="B4362" t="s">
        <v>8</v>
      </c>
      <c r="C4362" t="s">
        <v>17</v>
      </c>
      <c r="D4362" t="str">
        <f>LEFT(M4362,9)</f>
        <v>1/15/2025</v>
      </c>
      <c r="E4362" t="s">
        <v>202</v>
      </c>
      <c r="F4362" t="s">
        <v>218</v>
      </c>
      <c r="G4362" t="s">
        <v>222</v>
      </c>
      <c r="I4362">
        <v>1338</v>
      </c>
      <c r="J4362">
        <v>1739.4</v>
      </c>
      <c r="K4362">
        <v>1.3</v>
      </c>
      <c r="M4362" t="s">
        <v>516</v>
      </c>
    </row>
    <row r="4363" spans="1:13" hidden="1">
      <c r="A4363" t="s">
        <v>102</v>
      </c>
      <c r="B4363" t="s">
        <v>8</v>
      </c>
      <c r="C4363" t="s">
        <v>17</v>
      </c>
      <c r="D4363" t="str">
        <f>LEFT(M4363,9)</f>
        <v>1/15/2025</v>
      </c>
      <c r="E4363" t="s">
        <v>202</v>
      </c>
      <c r="F4363" t="s">
        <v>218</v>
      </c>
      <c r="G4363" t="s">
        <v>240</v>
      </c>
      <c r="I4363">
        <v>2756</v>
      </c>
      <c r="J4363">
        <v>10472.799999999999</v>
      </c>
      <c r="K4363">
        <v>3.8</v>
      </c>
      <c r="M4363" t="s">
        <v>516</v>
      </c>
    </row>
    <row r="4364" spans="1:13" hidden="1">
      <c r="A4364" t="s">
        <v>102</v>
      </c>
      <c r="B4364" t="s">
        <v>8</v>
      </c>
      <c r="C4364" t="s">
        <v>17</v>
      </c>
      <c r="D4364" t="str">
        <f>LEFT(M4364,9)</f>
        <v>1/15/2025</v>
      </c>
      <c r="E4364" t="s">
        <v>202</v>
      </c>
      <c r="F4364" t="s">
        <v>218</v>
      </c>
      <c r="G4364" t="s">
        <v>242</v>
      </c>
      <c r="I4364">
        <v>232</v>
      </c>
      <c r="J4364">
        <v>185.6</v>
      </c>
      <c r="K4364">
        <v>0.8</v>
      </c>
      <c r="M4364" t="s">
        <v>516</v>
      </c>
    </row>
    <row r="4365" spans="1:13" hidden="1">
      <c r="A4365" t="s">
        <v>102</v>
      </c>
      <c r="B4365" t="s">
        <v>8</v>
      </c>
      <c r="C4365" t="s">
        <v>17</v>
      </c>
      <c r="D4365" t="str">
        <f>LEFT(M4365,9)</f>
        <v>1/15/2025</v>
      </c>
      <c r="E4365" t="s">
        <v>202</v>
      </c>
      <c r="F4365" t="s">
        <v>218</v>
      </c>
      <c r="G4365" t="s">
        <v>220</v>
      </c>
      <c r="I4365">
        <v>3031</v>
      </c>
      <c r="J4365">
        <v>4394.95</v>
      </c>
      <c r="K4365">
        <v>1.45</v>
      </c>
      <c r="M4365" t="s">
        <v>516</v>
      </c>
    </row>
    <row r="4366" spans="1:13" hidden="1">
      <c r="A4366" t="s">
        <v>102</v>
      </c>
      <c r="B4366" t="s">
        <v>8</v>
      </c>
      <c r="C4366" t="s">
        <v>17</v>
      </c>
      <c r="D4366" t="str">
        <f>LEFT(M4366,9)</f>
        <v>1/15/2025</v>
      </c>
      <c r="E4366" t="s">
        <v>202</v>
      </c>
      <c r="F4366" t="s">
        <v>218</v>
      </c>
      <c r="G4366" t="s">
        <v>220</v>
      </c>
      <c r="I4366">
        <v>1360</v>
      </c>
      <c r="J4366">
        <v>3128</v>
      </c>
      <c r="K4366">
        <v>2.2999999999999998</v>
      </c>
      <c r="M4366" t="s">
        <v>516</v>
      </c>
    </row>
    <row r="4367" spans="1:13" hidden="1">
      <c r="A4367" t="s">
        <v>102</v>
      </c>
      <c r="B4367" t="s">
        <v>8</v>
      </c>
      <c r="C4367" t="s">
        <v>17</v>
      </c>
      <c r="D4367" t="str">
        <f>LEFT(M4367,9)</f>
        <v>1/15/2025</v>
      </c>
      <c r="E4367" t="s">
        <v>202</v>
      </c>
      <c r="F4367" t="s">
        <v>218</v>
      </c>
      <c r="G4367" t="s">
        <v>221</v>
      </c>
      <c r="I4367">
        <v>953</v>
      </c>
      <c r="J4367">
        <v>2096.6</v>
      </c>
      <c r="K4367">
        <v>2.2000000000000002</v>
      </c>
      <c r="M4367" t="s">
        <v>516</v>
      </c>
    </row>
    <row r="4368" spans="1:13" hidden="1">
      <c r="A4368" t="s">
        <v>102</v>
      </c>
      <c r="B4368" t="s">
        <v>8</v>
      </c>
      <c r="C4368" t="s">
        <v>17</v>
      </c>
      <c r="D4368" t="str">
        <f>LEFT(M4368,9)</f>
        <v>1/15/2025</v>
      </c>
      <c r="E4368" t="s">
        <v>202</v>
      </c>
      <c r="F4368" t="s">
        <v>218</v>
      </c>
      <c r="G4368" t="s">
        <v>222</v>
      </c>
      <c r="I4368">
        <v>517</v>
      </c>
      <c r="J4368">
        <v>413.6</v>
      </c>
      <c r="K4368">
        <v>0.8</v>
      </c>
      <c r="M4368" t="s">
        <v>516</v>
      </c>
    </row>
    <row r="4369" spans="1:13" hidden="1">
      <c r="A4369" t="s">
        <v>102</v>
      </c>
      <c r="B4369" t="s">
        <v>8</v>
      </c>
      <c r="C4369" t="s">
        <v>17</v>
      </c>
      <c r="D4369" t="str">
        <f>LEFT(M4369,9)</f>
        <v>1/15/2025</v>
      </c>
      <c r="E4369" t="s">
        <v>202</v>
      </c>
      <c r="F4369" t="s">
        <v>218</v>
      </c>
      <c r="G4369" t="s">
        <v>226</v>
      </c>
      <c r="I4369">
        <v>899</v>
      </c>
      <c r="J4369">
        <v>269.7</v>
      </c>
      <c r="K4369">
        <v>0.3</v>
      </c>
      <c r="M4369" t="s">
        <v>516</v>
      </c>
    </row>
    <row r="4370" spans="1:13" hidden="1">
      <c r="A4370" t="s">
        <v>102</v>
      </c>
      <c r="B4370" t="s">
        <v>8</v>
      </c>
      <c r="C4370" t="s">
        <v>17</v>
      </c>
      <c r="D4370" t="str">
        <f>LEFT(M4370,9)</f>
        <v>1/15/2025</v>
      </c>
      <c r="E4370" t="s">
        <v>202</v>
      </c>
      <c r="F4370" t="s">
        <v>218</v>
      </c>
      <c r="G4370" t="s">
        <v>225</v>
      </c>
      <c r="I4370">
        <v>325</v>
      </c>
      <c r="J4370">
        <v>292.5</v>
      </c>
      <c r="K4370">
        <v>0.9</v>
      </c>
      <c r="M4370" t="s">
        <v>516</v>
      </c>
    </row>
    <row r="4371" spans="1:13" hidden="1">
      <c r="A4371" t="s">
        <v>102</v>
      </c>
      <c r="B4371" t="s">
        <v>8</v>
      </c>
      <c r="C4371" t="s">
        <v>17</v>
      </c>
      <c r="D4371" t="str">
        <f>LEFT(M4371,9)</f>
        <v>1/15/2025</v>
      </c>
      <c r="E4371" t="s">
        <v>202</v>
      </c>
      <c r="F4371" t="s">
        <v>218</v>
      </c>
      <c r="G4371" t="s">
        <v>223</v>
      </c>
      <c r="I4371">
        <v>1706</v>
      </c>
      <c r="J4371">
        <v>1296.4000000000001</v>
      </c>
      <c r="K4371">
        <v>0.76</v>
      </c>
      <c r="M4371" t="s">
        <v>516</v>
      </c>
    </row>
    <row r="4372" spans="1:13" hidden="1">
      <c r="A4372" t="s">
        <v>102</v>
      </c>
      <c r="B4372" t="s">
        <v>8</v>
      </c>
      <c r="C4372" t="s">
        <v>17</v>
      </c>
      <c r="D4372" t="str">
        <f>LEFT(M4372,9)</f>
        <v>1/15/2025</v>
      </c>
      <c r="E4372" t="s">
        <v>202</v>
      </c>
      <c r="F4372" t="s">
        <v>218</v>
      </c>
      <c r="G4372" t="s">
        <v>222</v>
      </c>
      <c r="I4372">
        <v>2014</v>
      </c>
      <c r="J4372">
        <v>2618.1999999999998</v>
      </c>
      <c r="K4372">
        <v>1.3</v>
      </c>
      <c r="M4372" t="s">
        <v>516</v>
      </c>
    </row>
    <row r="4373" spans="1:13" hidden="1">
      <c r="A4373" t="s">
        <v>102</v>
      </c>
      <c r="B4373" t="s">
        <v>8</v>
      </c>
      <c r="C4373" t="s">
        <v>17</v>
      </c>
      <c r="D4373" t="str">
        <f>LEFT(M4373,9)</f>
        <v>1/15/2025</v>
      </c>
      <c r="E4373" t="s">
        <v>202</v>
      </c>
      <c r="F4373" t="s">
        <v>218</v>
      </c>
      <c r="G4373" t="s">
        <v>222</v>
      </c>
      <c r="I4373">
        <v>1264</v>
      </c>
      <c r="J4373">
        <v>2022.4</v>
      </c>
      <c r="K4373">
        <v>1.6</v>
      </c>
      <c r="M4373" t="s">
        <v>516</v>
      </c>
    </row>
    <row r="4374" spans="1:13" hidden="1">
      <c r="A4374" t="s">
        <v>102</v>
      </c>
      <c r="B4374" t="s">
        <v>8</v>
      </c>
      <c r="C4374" t="s">
        <v>17</v>
      </c>
      <c r="D4374" t="str">
        <f>LEFT(M4374,9)</f>
        <v>1/15/2025</v>
      </c>
      <c r="E4374" t="s">
        <v>202</v>
      </c>
      <c r="F4374" t="s">
        <v>218</v>
      </c>
      <c r="G4374" t="s">
        <v>223</v>
      </c>
      <c r="I4374">
        <v>2868</v>
      </c>
      <c r="J4374">
        <v>2581.1999999999998</v>
      </c>
      <c r="K4374">
        <v>0.9</v>
      </c>
      <c r="M4374" t="s">
        <v>516</v>
      </c>
    </row>
    <row r="4375" spans="1:13" hidden="1">
      <c r="A4375" t="s">
        <v>102</v>
      </c>
      <c r="B4375" t="s">
        <v>8</v>
      </c>
      <c r="C4375" t="s">
        <v>17</v>
      </c>
      <c r="D4375" t="str">
        <f>LEFT(M4375,9)</f>
        <v>1/15/2025</v>
      </c>
      <c r="E4375" t="s">
        <v>202</v>
      </c>
      <c r="F4375" t="s">
        <v>218</v>
      </c>
      <c r="G4375" t="s">
        <v>241</v>
      </c>
      <c r="I4375">
        <v>722</v>
      </c>
      <c r="J4375">
        <v>2743.6</v>
      </c>
      <c r="K4375">
        <v>3.8</v>
      </c>
      <c r="M4375" t="s">
        <v>516</v>
      </c>
    </row>
    <row r="4376" spans="1:13" hidden="1">
      <c r="A4376" t="s">
        <v>102</v>
      </c>
      <c r="B4376" t="s">
        <v>8</v>
      </c>
      <c r="C4376" t="s">
        <v>17</v>
      </c>
      <c r="D4376" t="str">
        <f>LEFT(M4376,9)</f>
        <v>1/15/2025</v>
      </c>
      <c r="E4376" t="s">
        <v>202</v>
      </c>
      <c r="F4376" t="s">
        <v>218</v>
      </c>
      <c r="G4376" t="s">
        <v>266</v>
      </c>
      <c r="I4376">
        <v>2065</v>
      </c>
      <c r="J4376">
        <v>20.65</v>
      </c>
      <c r="K4376">
        <v>0.01</v>
      </c>
      <c r="M4376" t="s">
        <v>516</v>
      </c>
    </row>
    <row r="4377" spans="1:13" hidden="1">
      <c r="A4377" t="s">
        <v>102</v>
      </c>
      <c r="B4377" t="s">
        <v>8</v>
      </c>
      <c r="C4377" t="s">
        <v>17</v>
      </c>
      <c r="D4377" t="str">
        <f>LEFT(M4377,9)</f>
        <v>1/15/2025</v>
      </c>
      <c r="E4377" t="s">
        <v>202</v>
      </c>
      <c r="F4377" t="s">
        <v>218</v>
      </c>
      <c r="G4377" t="s">
        <v>224</v>
      </c>
      <c r="I4377">
        <v>943</v>
      </c>
      <c r="J4377">
        <v>763.5</v>
      </c>
      <c r="K4377">
        <v>0.81</v>
      </c>
      <c r="M4377" t="s">
        <v>516</v>
      </c>
    </row>
    <row r="4378" spans="1:13" hidden="1">
      <c r="A4378" t="s">
        <v>102</v>
      </c>
      <c r="B4378" t="s">
        <v>8</v>
      </c>
      <c r="C4378" t="s">
        <v>17</v>
      </c>
      <c r="D4378" t="str">
        <f>LEFT(M4378,9)</f>
        <v>1/15/2025</v>
      </c>
      <c r="E4378" t="s">
        <v>202</v>
      </c>
      <c r="F4378" t="s">
        <v>218</v>
      </c>
      <c r="G4378" t="s">
        <v>247</v>
      </c>
      <c r="I4378">
        <v>78</v>
      </c>
      <c r="J4378">
        <v>312</v>
      </c>
      <c r="K4378">
        <v>4</v>
      </c>
      <c r="M4378" t="s">
        <v>516</v>
      </c>
    </row>
    <row r="4379" spans="1:13" hidden="1">
      <c r="A4379" t="s">
        <v>102</v>
      </c>
      <c r="B4379" t="s">
        <v>8</v>
      </c>
      <c r="C4379" t="s">
        <v>17</v>
      </c>
      <c r="D4379" t="str">
        <f>LEFT(M4379,9)</f>
        <v>1/15/2025</v>
      </c>
      <c r="E4379" t="s">
        <v>202</v>
      </c>
      <c r="F4379" t="s">
        <v>218</v>
      </c>
      <c r="G4379" t="s">
        <v>219</v>
      </c>
      <c r="I4379">
        <v>197</v>
      </c>
      <c r="J4379">
        <v>19.7</v>
      </c>
      <c r="K4379">
        <v>0.1</v>
      </c>
      <c r="M4379" t="s">
        <v>516</v>
      </c>
    </row>
    <row r="4380" spans="1:13" hidden="1">
      <c r="A4380" t="s">
        <v>102</v>
      </c>
      <c r="B4380" t="s">
        <v>8</v>
      </c>
      <c r="C4380" t="s">
        <v>17</v>
      </c>
      <c r="D4380" t="str">
        <f>LEFT(M4380,9)</f>
        <v>1/15/2025</v>
      </c>
      <c r="E4380" t="s">
        <v>202</v>
      </c>
      <c r="F4380" t="s">
        <v>218</v>
      </c>
      <c r="G4380" t="s">
        <v>247</v>
      </c>
      <c r="I4380">
        <v>105</v>
      </c>
      <c r="J4380">
        <v>420</v>
      </c>
      <c r="K4380">
        <v>4</v>
      </c>
      <c r="M4380" t="s">
        <v>516</v>
      </c>
    </row>
    <row r="4381" spans="1:13" hidden="1">
      <c r="A4381" t="s">
        <v>102</v>
      </c>
      <c r="B4381" t="s">
        <v>8</v>
      </c>
      <c r="C4381" t="s">
        <v>17</v>
      </c>
      <c r="D4381" t="str">
        <f>LEFT(M4381,9)</f>
        <v>1/15/2025</v>
      </c>
      <c r="E4381" t="s">
        <v>202</v>
      </c>
      <c r="F4381" t="s">
        <v>218</v>
      </c>
      <c r="G4381" t="s">
        <v>222</v>
      </c>
      <c r="I4381">
        <v>141</v>
      </c>
      <c r="J4381">
        <v>42.3</v>
      </c>
      <c r="K4381">
        <v>0.3</v>
      </c>
      <c r="M4381" t="s">
        <v>516</v>
      </c>
    </row>
    <row r="4382" spans="1:13" hidden="1">
      <c r="A4382" t="s">
        <v>102</v>
      </c>
      <c r="B4382" t="s">
        <v>8</v>
      </c>
      <c r="C4382" t="s">
        <v>17</v>
      </c>
      <c r="D4382" t="str">
        <f>LEFT(M4382,9)</f>
        <v>1/15/2025</v>
      </c>
      <c r="E4382" t="s">
        <v>202</v>
      </c>
      <c r="F4382" t="s">
        <v>227</v>
      </c>
      <c r="G4382" t="s">
        <v>228</v>
      </c>
      <c r="I4382">
        <v>8383</v>
      </c>
      <c r="J4382">
        <v>1676.6</v>
      </c>
      <c r="K4382">
        <v>0.2</v>
      </c>
      <c r="M4382" t="s">
        <v>516</v>
      </c>
    </row>
    <row r="4383" spans="1:13" hidden="1">
      <c r="A4383" t="s">
        <v>102</v>
      </c>
      <c r="B4383" t="s">
        <v>8</v>
      </c>
      <c r="C4383" t="s">
        <v>17</v>
      </c>
      <c r="D4383" t="str">
        <f>LEFT(M4383,9)</f>
        <v>1/15/2025</v>
      </c>
      <c r="E4383" t="s">
        <v>202</v>
      </c>
      <c r="F4383" t="s">
        <v>227</v>
      </c>
      <c r="G4383" t="s">
        <v>238</v>
      </c>
      <c r="I4383">
        <v>1332</v>
      </c>
      <c r="J4383">
        <v>333</v>
      </c>
      <c r="K4383">
        <v>0.25</v>
      </c>
      <c r="M4383" t="s">
        <v>516</v>
      </c>
    </row>
    <row r="4384" spans="1:13" hidden="1">
      <c r="A4384" t="s">
        <v>102</v>
      </c>
      <c r="B4384" t="s">
        <v>8</v>
      </c>
      <c r="C4384" t="s">
        <v>17</v>
      </c>
      <c r="D4384" t="str">
        <f>LEFT(M4384,9)</f>
        <v>1/15/2025</v>
      </c>
      <c r="E4384" t="s">
        <v>202</v>
      </c>
      <c r="F4384" t="s">
        <v>227</v>
      </c>
      <c r="G4384" t="s">
        <v>252</v>
      </c>
      <c r="I4384">
        <v>1756</v>
      </c>
      <c r="J4384">
        <v>263.39999999999998</v>
      </c>
      <c r="K4384">
        <v>0.15</v>
      </c>
      <c r="M4384" t="s">
        <v>516</v>
      </c>
    </row>
    <row r="4385" spans="1:13" hidden="1">
      <c r="A4385" t="s">
        <v>102</v>
      </c>
      <c r="B4385" t="s">
        <v>8</v>
      </c>
      <c r="C4385" t="s">
        <v>17</v>
      </c>
      <c r="D4385" t="str">
        <f>LEFT(M4385,9)</f>
        <v>1/15/2025</v>
      </c>
      <c r="E4385" t="s">
        <v>202</v>
      </c>
      <c r="F4385" t="s">
        <v>227</v>
      </c>
      <c r="G4385" t="s">
        <v>229</v>
      </c>
      <c r="I4385">
        <v>15152</v>
      </c>
      <c r="J4385">
        <v>11061</v>
      </c>
      <c r="K4385">
        <v>0.73</v>
      </c>
      <c r="M4385" t="s">
        <v>516</v>
      </c>
    </row>
    <row r="4386" spans="1:13" hidden="1">
      <c r="A4386" t="s">
        <v>102</v>
      </c>
      <c r="B4386" t="s">
        <v>8</v>
      </c>
      <c r="C4386" t="s">
        <v>17</v>
      </c>
      <c r="D4386" t="str">
        <f>LEFT(M4386,9)</f>
        <v>1/15/2025</v>
      </c>
      <c r="E4386" t="s">
        <v>202</v>
      </c>
      <c r="F4386" t="s">
        <v>227</v>
      </c>
      <c r="G4386" t="s">
        <v>237</v>
      </c>
      <c r="I4386">
        <v>2645</v>
      </c>
      <c r="J4386">
        <v>1342.6</v>
      </c>
      <c r="K4386">
        <v>0.51</v>
      </c>
      <c r="M4386" t="s">
        <v>516</v>
      </c>
    </row>
    <row r="4387" spans="1:13" hidden="1">
      <c r="A4387" t="s">
        <v>102</v>
      </c>
      <c r="B4387" t="s">
        <v>8</v>
      </c>
      <c r="C4387" t="s">
        <v>17</v>
      </c>
      <c r="D4387" t="str">
        <f>LEFT(M4387,9)</f>
        <v>1/15/2025</v>
      </c>
      <c r="E4387" t="s">
        <v>202</v>
      </c>
      <c r="F4387" t="s">
        <v>227</v>
      </c>
      <c r="G4387" t="s">
        <v>237</v>
      </c>
      <c r="I4387">
        <v>1078</v>
      </c>
      <c r="J4387">
        <v>646.79999999999995</v>
      </c>
      <c r="K4387">
        <v>0.6</v>
      </c>
      <c r="M4387" t="s">
        <v>516</v>
      </c>
    </row>
    <row r="4388" spans="1:13" hidden="1">
      <c r="A4388" t="s">
        <v>102</v>
      </c>
      <c r="B4388" t="s">
        <v>8</v>
      </c>
      <c r="C4388" t="s">
        <v>17</v>
      </c>
      <c r="D4388" t="str">
        <f>LEFT(M4388,9)</f>
        <v>1/15/2025</v>
      </c>
      <c r="E4388" t="s">
        <v>202</v>
      </c>
      <c r="F4388" t="s">
        <v>216</v>
      </c>
      <c r="G4388" t="s">
        <v>253</v>
      </c>
      <c r="I4388">
        <v>12380</v>
      </c>
      <c r="J4388">
        <v>2620.62</v>
      </c>
      <c r="K4388">
        <v>0.21</v>
      </c>
      <c r="M4388" t="s">
        <v>516</v>
      </c>
    </row>
    <row r="4389" spans="1:13" hidden="1">
      <c r="A4389" t="s">
        <v>102</v>
      </c>
      <c r="B4389" t="s">
        <v>8</v>
      </c>
      <c r="C4389" t="s">
        <v>17</v>
      </c>
      <c r="D4389" t="str">
        <f>LEFT(M4389,9)</f>
        <v>1/15/2025</v>
      </c>
      <c r="E4389" t="s">
        <v>202</v>
      </c>
      <c r="F4389" t="s">
        <v>203</v>
      </c>
      <c r="G4389" t="s">
        <v>215</v>
      </c>
      <c r="I4389">
        <v>7650</v>
      </c>
      <c r="J4389">
        <v>4590</v>
      </c>
      <c r="K4389">
        <v>0.6</v>
      </c>
      <c r="M4389" t="s">
        <v>516</v>
      </c>
    </row>
    <row r="4390" spans="1:13" hidden="1">
      <c r="A4390" t="s">
        <v>102</v>
      </c>
      <c r="B4390" t="s">
        <v>8</v>
      </c>
      <c r="C4390" t="s">
        <v>17</v>
      </c>
      <c r="D4390" t="str">
        <f>LEFT(M4390,9)</f>
        <v>1/15/2025</v>
      </c>
      <c r="E4390" t="s">
        <v>202</v>
      </c>
      <c r="F4390" t="s">
        <v>203</v>
      </c>
      <c r="G4390" t="s">
        <v>204</v>
      </c>
      <c r="I4390">
        <v>40</v>
      </c>
      <c r="J4390">
        <v>610.38</v>
      </c>
      <c r="K4390">
        <v>15.26</v>
      </c>
      <c r="M4390" t="s">
        <v>516</v>
      </c>
    </row>
    <row r="4391" spans="1:13" hidden="1">
      <c r="A4391" t="s">
        <v>102</v>
      </c>
      <c r="B4391" t="s">
        <v>8</v>
      </c>
      <c r="C4391" t="s">
        <v>17</v>
      </c>
      <c r="D4391" t="str">
        <f>LEFT(M4391,9)</f>
        <v>1/15/2025</v>
      </c>
      <c r="E4391" t="s">
        <v>202</v>
      </c>
      <c r="F4391" t="s">
        <v>203</v>
      </c>
      <c r="G4391" t="s">
        <v>208</v>
      </c>
      <c r="I4391">
        <v>793</v>
      </c>
      <c r="J4391">
        <v>4551.82</v>
      </c>
      <c r="K4391">
        <v>5.74</v>
      </c>
      <c r="M4391" t="s">
        <v>516</v>
      </c>
    </row>
    <row r="4392" spans="1:13" hidden="1">
      <c r="A4392" t="s">
        <v>102</v>
      </c>
      <c r="B4392" t="s">
        <v>8</v>
      </c>
      <c r="C4392" t="s">
        <v>17</v>
      </c>
      <c r="D4392" t="str">
        <f>LEFT(M4392,9)</f>
        <v>1/15/2025</v>
      </c>
      <c r="E4392" t="s">
        <v>202</v>
      </c>
      <c r="F4392" t="s">
        <v>203</v>
      </c>
      <c r="G4392" t="s">
        <v>260</v>
      </c>
      <c r="I4392">
        <v>68</v>
      </c>
      <c r="J4392">
        <v>1428</v>
      </c>
      <c r="K4392">
        <v>21</v>
      </c>
      <c r="M4392" t="s">
        <v>516</v>
      </c>
    </row>
    <row r="4393" spans="1:13" hidden="1">
      <c r="A4393" t="s">
        <v>102</v>
      </c>
      <c r="B4393" t="s">
        <v>8</v>
      </c>
      <c r="C4393" t="s">
        <v>17</v>
      </c>
      <c r="D4393" t="str">
        <f>LEFT(M4393,9)</f>
        <v>1/15/2025</v>
      </c>
      <c r="E4393" t="s">
        <v>230</v>
      </c>
      <c r="F4393" t="s">
        <v>248</v>
      </c>
      <c r="I4393">
        <v>0</v>
      </c>
      <c r="J4393">
        <v>77184.72</v>
      </c>
      <c r="M4393" t="s">
        <v>516</v>
      </c>
    </row>
    <row r="4394" spans="1:13" hidden="1">
      <c r="A4394" t="s">
        <v>102</v>
      </c>
      <c r="B4394" t="s">
        <v>8</v>
      </c>
      <c r="C4394" t="s">
        <v>17</v>
      </c>
      <c r="D4394" t="str">
        <f>LEFT(M4394,9)</f>
        <v>1/15/2025</v>
      </c>
      <c r="E4394" t="s">
        <v>232</v>
      </c>
      <c r="F4394" t="s">
        <v>255</v>
      </c>
      <c r="I4394">
        <v>0</v>
      </c>
      <c r="J4394">
        <v>18645.48</v>
      </c>
      <c r="L4394" t="s">
        <v>536</v>
      </c>
      <c r="M4394" t="s">
        <v>516</v>
      </c>
    </row>
    <row r="4395" spans="1:13" hidden="1">
      <c r="A4395" t="s">
        <v>102</v>
      </c>
      <c r="B4395" t="s">
        <v>8</v>
      </c>
      <c r="C4395" t="s">
        <v>17</v>
      </c>
      <c r="D4395" t="str">
        <f>LEFT(M4395,9)</f>
        <v>1/15/2025</v>
      </c>
      <c r="E4395" t="s">
        <v>234</v>
      </c>
      <c r="F4395" t="s">
        <v>234</v>
      </c>
      <c r="I4395">
        <v>0</v>
      </c>
      <c r="M4395" t="s">
        <v>516</v>
      </c>
    </row>
    <row r="4396" spans="1:13" hidden="1">
      <c r="A4396" t="s">
        <v>102</v>
      </c>
      <c r="B4396" t="s">
        <v>8</v>
      </c>
      <c r="C4396" t="s">
        <v>17</v>
      </c>
      <c r="D4396" t="str">
        <f>LEFT(M4396,9)</f>
        <v>1/15/2025</v>
      </c>
      <c r="E4396" t="s">
        <v>234</v>
      </c>
      <c r="F4396" t="s">
        <v>234</v>
      </c>
      <c r="I4396">
        <v>0</v>
      </c>
      <c r="M4396" t="s">
        <v>516</v>
      </c>
    </row>
    <row r="4397" spans="1:13" hidden="1">
      <c r="A4397" t="s">
        <v>102</v>
      </c>
      <c r="B4397" t="s">
        <v>8</v>
      </c>
      <c r="C4397" t="s">
        <v>17</v>
      </c>
      <c r="D4397" t="str">
        <f>LEFT(M4397,9)</f>
        <v>1/15/2025</v>
      </c>
      <c r="F4397" t="s">
        <v>249</v>
      </c>
      <c r="I4397">
        <v>0</v>
      </c>
      <c r="M4397" t="s">
        <v>516</v>
      </c>
    </row>
    <row r="4398" spans="1:13" hidden="1">
      <c r="A4398" t="s">
        <v>84</v>
      </c>
      <c r="B4398" t="s">
        <v>8</v>
      </c>
      <c r="C4398" t="s">
        <v>21</v>
      </c>
      <c r="D4398" t="str">
        <f>LEFT(M4398,9)</f>
        <v>1/15/2025</v>
      </c>
      <c r="E4398" t="s">
        <v>202</v>
      </c>
      <c r="F4398" t="s">
        <v>218</v>
      </c>
      <c r="G4398" t="s">
        <v>220</v>
      </c>
      <c r="I4398">
        <v>1633</v>
      </c>
      <c r="J4398">
        <v>2449.5</v>
      </c>
      <c r="K4398">
        <v>1.5</v>
      </c>
      <c r="M4398" t="s">
        <v>516</v>
      </c>
    </row>
    <row r="4399" spans="1:13" hidden="1">
      <c r="A4399" t="s">
        <v>84</v>
      </c>
      <c r="B4399" t="s">
        <v>8</v>
      </c>
      <c r="C4399" t="s">
        <v>21</v>
      </c>
      <c r="D4399" t="str">
        <f>LEFT(M4399,9)</f>
        <v>1/15/2025</v>
      </c>
      <c r="E4399" t="s">
        <v>230</v>
      </c>
      <c r="F4399" t="s">
        <v>248</v>
      </c>
      <c r="G4399" t="s">
        <v>249</v>
      </c>
      <c r="I4399">
        <v>0</v>
      </c>
      <c r="J4399">
        <v>14223.5</v>
      </c>
      <c r="M4399" t="s">
        <v>516</v>
      </c>
    </row>
    <row r="4400" spans="1:13" hidden="1">
      <c r="A4400" t="s">
        <v>84</v>
      </c>
      <c r="B4400" t="s">
        <v>8</v>
      </c>
      <c r="C4400" t="s">
        <v>21</v>
      </c>
      <c r="D4400" t="str">
        <f>LEFT(M4400,9)</f>
        <v>1/15/2025</v>
      </c>
      <c r="E4400" t="s">
        <v>202</v>
      </c>
      <c r="F4400" t="s">
        <v>227</v>
      </c>
      <c r="G4400" t="s">
        <v>229</v>
      </c>
      <c r="I4400">
        <v>9062</v>
      </c>
      <c r="J4400">
        <v>6343.4</v>
      </c>
      <c r="K4400">
        <v>0.7</v>
      </c>
      <c r="M4400" t="s">
        <v>516</v>
      </c>
    </row>
    <row r="4401" spans="1:13" hidden="1">
      <c r="A4401" t="s">
        <v>84</v>
      </c>
      <c r="B4401" t="s">
        <v>8</v>
      </c>
      <c r="C4401" t="s">
        <v>21</v>
      </c>
      <c r="D4401" t="str">
        <f>LEFT(M4401,9)</f>
        <v>1/15/2025</v>
      </c>
      <c r="E4401" t="s">
        <v>202</v>
      </c>
      <c r="F4401" t="s">
        <v>218</v>
      </c>
      <c r="G4401" t="s">
        <v>240</v>
      </c>
      <c r="I4401">
        <v>1972</v>
      </c>
      <c r="J4401">
        <v>7888</v>
      </c>
      <c r="K4401">
        <v>4</v>
      </c>
      <c r="M4401" t="s">
        <v>516</v>
      </c>
    </row>
    <row r="4402" spans="1:13" hidden="1">
      <c r="A4402" t="s">
        <v>84</v>
      </c>
      <c r="B4402" t="s">
        <v>8</v>
      </c>
      <c r="C4402" t="s">
        <v>21</v>
      </c>
      <c r="D4402" t="str">
        <f>LEFT(M4402,9)</f>
        <v>1/15/2025</v>
      </c>
      <c r="E4402" t="s">
        <v>202</v>
      </c>
      <c r="F4402" t="s">
        <v>218</v>
      </c>
      <c r="G4402" t="s">
        <v>223</v>
      </c>
      <c r="I4402">
        <v>2310</v>
      </c>
      <c r="J4402">
        <v>2310</v>
      </c>
      <c r="K4402">
        <v>1</v>
      </c>
      <c r="M4402" t="s">
        <v>516</v>
      </c>
    </row>
    <row r="4403" spans="1:13" hidden="1">
      <c r="A4403" t="s">
        <v>84</v>
      </c>
      <c r="B4403" t="s">
        <v>8</v>
      </c>
      <c r="C4403" t="s">
        <v>21</v>
      </c>
      <c r="D4403" t="str">
        <f>LEFT(M4403,9)</f>
        <v>1/15/2025</v>
      </c>
      <c r="E4403" t="s">
        <v>202</v>
      </c>
      <c r="F4403" t="s">
        <v>218</v>
      </c>
      <c r="G4403" t="s">
        <v>221</v>
      </c>
      <c r="I4403">
        <v>8762</v>
      </c>
      <c r="J4403">
        <v>3504.8</v>
      </c>
      <c r="K4403">
        <v>0.4</v>
      </c>
      <c r="M4403" t="s">
        <v>516</v>
      </c>
    </row>
    <row r="4404" spans="1:13" hidden="1">
      <c r="A4404" t="s">
        <v>84</v>
      </c>
      <c r="B4404" t="s">
        <v>8</v>
      </c>
      <c r="C4404" t="s">
        <v>21</v>
      </c>
      <c r="D4404" t="str">
        <f>LEFT(M4404,9)</f>
        <v>1/15/2025</v>
      </c>
      <c r="E4404" t="s">
        <v>202</v>
      </c>
      <c r="F4404" t="s">
        <v>218</v>
      </c>
      <c r="G4404" t="s">
        <v>219</v>
      </c>
      <c r="I4404">
        <v>1414</v>
      </c>
      <c r="J4404">
        <v>3535</v>
      </c>
      <c r="K4404">
        <v>2.5</v>
      </c>
      <c r="M4404" t="s">
        <v>516</v>
      </c>
    </row>
    <row r="4405" spans="1:13" hidden="1">
      <c r="A4405" t="s">
        <v>84</v>
      </c>
      <c r="B4405" t="s">
        <v>8</v>
      </c>
      <c r="C4405" t="s">
        <v>21</v>
      </c>
      <c r="D4405" t="str">
        <f>LEFT(M4405,9)</f>
        <v>1/15/2025</v>
      </c>
      <c r="E4405" t="s">
        <v>202</v>
      </c>
      <c r="F4405" t="s">
        <v>218</v>
      </c>
      <c r="G4405" t="s">
        <v>222</v>
      </c>
      <c r="I4405">
        <v>804</v>
      </c>
      <c r="J4405">
        <v>1447.2</v>
      </c>
      <c r="K4405">
        <v>1.8</v>
      </c>
      <c r="M4405" t="s">
        <v>516</v>
      </c>
    </row>
    <row r="4406" spans="1:13" hidden="1">
      <c r="A4406" t="s">
        <v>84</v>
      </c>
      <c r="B4406" t="s">
        <v>8</v>
      </c>
      <c r="C4406" t="s">
        <v>21</v>
      </c>
      <c r="D4406" t="str">
        <f>LEFT(M4406,9)</f>
        <v>1/15/2025</v>
      </c>
      <c r="E4406" t="s">
        <v>202</v>
      </c>
      <c r="F4406" t="s">
        <v>218</v>
      </c>
      <c r="G4406" t="s">
        <v>222</v>
      </c>
      <c r="I4406">
        <v>1841</v>
      </c>
      <c r="J4406">
        <v>2577.4</v>
      </c>
      <c r="K4406">
        <v>1.4</v>
      </c>
      <c r="M4406" t="s">
        <v>516</v>
      </c>
    </row>
    <row r="4407" spans="1:13" hidden="1">
      <c r="A4407" t="s">
        <v>84</v>
      </c>
      <c r="B4407" t="s">
        <v>8</v>
      </c>
      <c r="C4407" t="s">
        <v>21</v>
      </c>
      <c r="D4407" t="str">
        <f>LEFT(M4407,9)</f>
        <v>1/15/2025</v>
      </c>
      <c r="E4407" t="s">
        <v>202</v>
      </c>
      <c r="F4407" t="s">
        <v>227</v>
      </c>
      <c r="G4407" t="s">
        <v>237</v>
      </c>
      <c r="I4407">
        <v>1122</v>
      </c>
      <c r="J4407">
        <v>673.2</v>
      </c>
      <c r="K4407">
        <v>0.6</v>
      </c>
      <c r="M4407" t="s">
        <v>516</v>
      </c>
    </row>
    <row r="4408" spans="1:13" hidden="1">
      <c r="A4408" t="s">
        <v>84</v>
      </c>
      <c r="B4408" t="s">
        <v>8</v>
      </c>
      <c r="C4408" t="s">
        <v>21</v>
      </c>
      <c r="D4408" t="str">
        <f>LEFT(M4408,9)</f>
        <v>1/15/2025</v>
      </c>
      <c r="E4408" t="s">
        <v>202</v>
      </c>
      <c r="F4408" t="s">
        <v>218</v>
      </c>
      <c r="G4408" t="s">
        <v>222</v>
      </c>
      <c r="I4408">
        <v>481</v>
      </c>
      <c r="J4408">
        <v>481</v>
      </c>
      <c r="K4408">
        <v>1</v>
      </c>
      <c r="M4408" t="s">
        <v>516</v>
      </c>
    </row>
    <row r="4409" spans="1:13" hidden="1">
      <c r="A4409" t="s">
        <v>84</v>
      </c>
      <c r="B4409" t="s">
        <v>8</v>
      </c>
      <c r="C4409" t="s">
        <v>21</v>
      </c>
      <c r="D4409" t="str">
        <f>LEFT(M4409,9)</f>
        <v>1/15/2025</v>
      </c>
      <c r="E4409" t="s">
        <v>202</v>
      </c>
      <c r="F4409" t="s">
        <v>227</v>
      </c>
      <c r="G4409" t="s">
        <v>252</v>
      </c>
      <c r="I4409">
        <v>913</v>
      </c>
      <c r="J4409">
        <v>365.2</v>
      </c>
      <c r="K4409">
        <v>0.4</v>
      </c>
      <c r="M4409" t="s">
        <v>516</v>
      </c>
    </row>
    <row r="4410" spans="1:13" hidden="1">
      <c r="A4410" t="s">
        <v>84</v>
      </c>
      <c r="B4410" t="s">
        <v>8</v>
      </c>
      <c r="C4410" t="s">
        <v>21</v>
      </c>
      <c r="D4410" t="str">
        <f>LEFT(M4410,9)</f>
        <v>1/15/2025</v>
      </c>
      <c r="E4410" t="s">
        <v>202</v>
      </c>
      <c r="F4410" t="s">
        <v>218</v>
      </c>
      <c r="G4410" t="s">
        <v>223</v>
      </c>
      <c r="I4410">
        <v>504</v>
      </c>
      <c r="J4410">
        <v>352.8</v>
      </c>
      <c r="K4410">
        <v>0.7</v>
      </c>
      <c r="M4410" t="s">
        <v>516</v>
      </c>
    </row>
    <row r="4411" spans="1:13" hidden="1">
      <c r="A4411" t="s">
        <v>84</v>
      </c>
      <c r="B4411" t="s">
        <v>8</v>
      </c>
      <c r="C4411" t="s">
        <v>21</v>
      </c>
      <c r="D4411" t="str">
        <f>LEFT(M4411,9)</f>
        <v>1/15/2025</v>
      </c>
      <c r="E4411" t="s">
        <v>202</v>
      </c>
      <c r="F4411" t="s">
        <v>203</v>
      </c>
      <c r="G4411" t="s">
        <v>236</v>
      </c>
      <c r="I4411">
        <v>2523</v>
      </c>
      <c r="J4411">
        <v>1513.8</v>
      </c>
      <c r="K4411">
        <v>0.6</v>
      </c>
      <c r="M4411" t="s">
        <v>516</v>
      </c>
    </row>
    <row r="4412" spans="1:13" hidden="1">
      <c r="A4412" t="s">
        <v>84</v>
      </c>
      <c r="B4412" t="s">
        <v>8</v>
      </c>
      <c r="C4412" t="s">
        <v>21</v>
      </c>
      <c r="D4412" t="str">
        <f>LEFT(M4412,9)</f>
        <v>1/15/2025</v>
      </c>
      <c r="E4412" t="s">
        <v>202</v>
      </c>
      <c r="F4412" t="s">
        <v>227</v>
      </c>
      <c r="G4412" t="s">
        <v>228</v>
      </c>
      <c r="I4412">
        <v>3354</v>
      </c>
      <c r="J4412">
        <v>2012.4</v>
      </c>
      <c r="K4412">
        <v>0.6</v>
      </c>
      <c r="M4412" t="s">
        <v>516</v>
      </c>
    </row>
    <row r="4413" spans="1:13" hidden="1">
      <c r="A4413" t="s">
        <v>186</v>
      </c>
      <c r="B4413" t="s">
        <v>8</v>
      </c>
      <c r="C4413" t="s">
        <v>7</v>
      </c>
      <c r="D4413" t="str">
        <f>LEFT(M4413,10)</f>
        <v>11/15/2024</v>
      </c>
      <c r="E4413" t="s">
        <v>202</v>
      </c>
      <c r="F4413" t="s">
        <v>218</v>
      </c>
      <c r="G4413" t="s">
        <v>240</v>
      </c>
      <c r="I4413">
        <v>830</v>
      </c>
      <c r="J4413">
        <v>3486</v>
      </c>
      <c r="K4413">
        <v>4.2</v>
      </c>
      <c r="M4413" t="s">
        <v>289</v>
      </c>
    </row>
    <row r="4414" spans="1:13" hidden="1">
      <c r="A4414" t="s">
        <v>186</v>
      </c>
      <c r="B4414" t="s">
        <v>8</v>
      </c>
      <c r="C4414" t="s">
        <v>7</v>
      </c>
      <c r="D4414" t="str">
        <f t="shared" ref="D4414:D4460" si="2">LEFT(M4414,10)</f>
        <v>11/15/2024</v>
      </c>
      <c r="E4414" t="s">
        <v>202</v>
      </c>
      <c r="F4414" t="s">
        <v>218</v>
      </c>
      <c r="G4414" t="s">
        <v>222</v>
      </c>
      <c r="I4414">
        <v>185</v>
      </c>
      <c r="J4414">
        <v>259</v>
      </c>
      <c r="K4414">
        <v>1.4</v>
      </c>
      <c r="M4414" t="s">
        <v>289</v>
      </c>
    </row>
    <row r="4415" spans="1:13" hidden="1">
      <c r="A4415" t="s">
        <v>186</v>
      </c>
      <c r="B4415" t="s">
        <v>8</v>
      </c>
      <c r="C4415" t="s">
        <v>7</v>
      </c>
      <c r="D4415" t="str">
        <f t="shared" si="2"/>
        <v>11/15/2024</v>
      </c>
      <c r="E4415" t="s">
        <v>202</v>
      </c>
      <c r="F4415" t="s">
        <v>218</v>
      </c>
      <c r="G4415" t="s">
        <v>222</v>
      </c>
      <c r="I4415">
        <v>150</v>
      </c>
      <c r="J4415">
        <v>270</v>
      </c>
      <c r="K4415">
        <v>1.8</v>
      </c>
      <c r="M4415" t="s">
        <v>289</v>
      </c>
    </row>
    <row r="4416" spans="1:13" hidden="1">
      <c r="A4416" t="s">
        <v>186</v>
      </c>
      <c r="B4416" t="s">
        <v>8</v>
      </c>
      <c r="C4416" t="s">
        <v>7</v>
      </c>
      <c r="D4416" t="str">
        <f t="shared" si="2"/>
        <v>11/15/2024</v>
      </c>
      <c r="E4416" t="s">
        <v>202</v>
      </c>
      <c r="F4416" t="s">
        <v>218</v>
      </c>
      <c r="G4416" t="s">
        <v>268</v>
      </c>
      <c r="I4416">
        <v>40</v>
      </c>
      <c r="J4416">
        <v>40</v>
      </c>
      <c r="K4416">
        <v>1</v>
      </c>
      <c r="M4416" t="s">
        <v>289</v>
      </c>
    </row>
    <row r="4417" spans="1:13" hidden="1">
      <c r="A4417" t="s">
        <v>186</v>
      </c>
      <c r="B4417" t="s">
        <v>8</v>
      </c>
      <c r="C4417" t="s">
        <v>7</v>
      </c>
      <c r="D4417" t="str">
        <f t="shared" si="2"/>
        <v>11/15/2024</v>
      </c>
      <c r="E4417" t="s">
        <v>202</v>
      </c>
      <c r="F4417" t="s">
        <v>227</v>
      </c>
      <c r="G4417" t="s">
        <v>252</v>
      </c>
      <c r="I4417">
        <v>250</v>
      </c>
      <c r="J4417">
        <v>62.5</v>
      </c>
      <c r="K4417">
        <v>0.25</v>
      </c>
      <c r="M4417" t="s">
        <v>289</v>
      </c>
    </row>
    <row r="4418" spans="1:13" hidden="1">
      <c r="A4418" t="s">
        <v>186</v>
      </c>
      <c r="B4418" t="s">
        <v>8</v>
      </c>
      <c r="C4418" t="s">
        <v>7</v>
      </c>
      <c r="D4418" t="str">
        <f t="shared" si="2"/>
        <v>11/15/2024</v>
      </c>
      <c r="E4418" t="s">
        <v>202</v>
      </c>
      <c r="F4418" t="s">
        <v>218</v>
      </c>
      <c r="G4418" t="s">
        <v>223</v>
      </c>
      <c r="I4418">
        <v>280</v>
      </c>
      <c r="J4418">
        <v>196</v>
      </c>
      <c r="K4418">
        <v>0.7</v>
      </c>
      <c r="M4418" t="s">
        <v>289</v>
      </c>
    </row>
    <row r="4419" spans="1:13" hidden="1">
      <c r="A4419" t="s">
        <v>186</v>
      </c>
      <c r="B4419" t="s">
        <v>8</v>
      </c>
      <c r="C4419" t="s">
        <v>7</v>
      </c>
      <c r="D4419" t="str">
        <f t="shared" si="2"/>
        <v>11/15/2024</v>
      </c>
      <c r="E4419" t="s">
        <v>202</v>
      </c>
      <c r="F4419" t="s">
        <v>218</v>
      </c>
      <c r="G4419" t="s">
        <v>226</v>
      </c>
      <c r="I4419">
        <v>110</v>
      </c>
      <c r="J4419">
        <v>38.5</v>
      </c>
      <c r="K4419">
        <v>0.35</v>
      </c>
      <c r="M4419" t="s">
        <v>289</v>
      </c>
    </row>
    <row r="4420" spans="1:13" hidden="1">
      <c r="A4420" t="s">
        <v>186</v>
      </c>
      <c r="B4420" t="s">
        <v>8</v>
      </c>
      <c r="C4420" t="s">
        <v>7</v>
      </c>
      <c r="D4420" t="str">
        <f t="shared" si="2"/>
        <v>11/15/2024</v>
      </c>
      <c r="E4420" t="s">
        <v>202</v>
      </c>
      <c r="F4420" t="s">
        <v>218</v>
      </c>
      <c r="G4420" t="s">
        <v>222</v>
      </c>
      <c r="I4420">
        <v>75</v>
      </c>
      <c r="J4420">
        <v>112.5</v>
      </c>
      <c r="K4420">
        <v>1.5</v>
      </c>
      <c r="M4420" t="s">
        <v>289</v>
      </c>
    </row>
    <row r="4421" spans="1:13" hidden="1">
      <c r="A4421" t="s">
        <v>186</v>
      </c>
      <c r="B4421" t="s">
        <v>8</v>
      </c>
      <c r="C4421" t="s">
        <v>7</v>
      </c>
      <c r="D4421" t="str">
        <f t="shared" si="2"/>
        <v>11/15/2024</v>
      </c>
      <c r="E4421" t="s">
        <v>202</v>
      </c>
      <c r="F4421" t="s">
        <v>218</v>
      </c>
      <c r="G4421" t="s">
        <v>221</v>
      </c>
      <c r="I4421">
        <v>338</v>
      </c>
      <c r="J4421">
        <v>760.5</v>
      </c>
      <c r="K4421">
        <v>2.25</v>
      </c>
      <c r="M4421" t="s">
        <v>289</v>
      </c>
    </row>
    <row r="4422" spans="1:13" hidden="1">
      <c r="A4422" t="s">
        <v>186</v>
      </c>
      <c r="B4422" t="s">
        <v>8</v>
      </c>
      <c r="C4422" t="s">
        <v>7</v>
      </c>
      <c r="D4422" t="str">
        <f t="shared" si="2"/>
        <v>11/15/2024</v>
      </c>
      <c r="E4422" t="s">
        <v>202</v>
      </c>
      <c r="F4422" t="s">
        <v>218</v>
      </c>
      <c r="G4422" t="s">
        <v>242</v>
      </c>
      <c r="I4422">
        <v>75</v>
      </c>
      <c r="J4422">
        <v>135</v>
      </c>
      <c r="K4422">
        <v>1.8</v>
      </c>
      <c r="M4422" t="s">
        <v>289</v>
      </c>
    </row>
    <row r="4423" spans="1:13" hidden="1">
      <c r="A4423" t="s">
        <v>186</v>
      </c>
      <c r="B4423" t="s">
        <v>8</v>
      </c>
      <c r="C4423" t="s">
        <v>7</v>
      </c>
      <c r="D4423" t="str">
        <f t="shared" si="2"/>
        <v>11/15/2024</v>
      </c>
      <c r="E4423" t="s">
        <v>202</v>
      </c>
      <c r="F4423" t="s">
        <v>218</v>
      </c>
      <c r="G4423" t="s">
        <v>222</v>
      </c>
      <c r="I4423">
        <v>50</v>
      </c>
      <c r="J4423">
        <v>65</v>
      </c>
      <c r="K4423">
        <v>1.3</v>
      </c>
      <c r="M4423" t="s">
        <v>289</v>
      </c>
    </row>
    <row r="4424" spans="1:13" hidden="1">
      <c r="A4424" t="s">
        <v>186</v>
      </c>
      <c r="B4424" t="s">
        <v>8</v>
      </c>
      <c r="C4424" t="s">
        <v>7</v>
      </c>
      <c r="D4424" t="str">
        <f t="shared" si="2"/>
        <v>11/15/2024</v>
      </c>
      <c r="E4424" t="s">
        <v>202</v>
      </c>
      <c r="F4424" t="s">
        <v>218</v>
      </c>
      <c r="G4424" t="s">
        <v>219</v>
      </c>
      <c r="I4424">
        <v>150</v>
      </c>
      <c r="J4424">
        <v>30</v>
      </c>
      <c r="K4424">
        <v>0.2</v>
      </c>
      <c r="M4424" t="s">
        <v>289</v>
      </c>
    </row>
    <row r="4425" spans="1:13" hidden="1">
      <c r="A4425" t="s">
        <v>186</v>
      </c>
      <c r="B4425" t="s">
        <v>8</v>
      </c>
      <c r="C4425" t="s">
        <v>7</v>
      </c>
      <c r="D4425" t="str">
        <f t="shared" si="2"/>
        <v>11/15/2024</v>
      </c>
      <c r="E4425" t="s">
        <v>202</v>
      </c>
      <c r="F4425" t="s">
        <v>218</v>
      </c>
      <c r="G4425" t="s">
        <v>223</v>
      </c>
      <c r="I4425">
        <v>50</v>
      </c>
      <c r="J4425">
        <v>30</v>
      </c>
      <c r="K4425">
        <v>0.6</v>
      </c>
      <c r="M4425" t="s">
        <v>289</v>
      </c>
    </row>
    <row r="4426" spans="1:13" hidden="1">
      <c r="A4426" t="s">
        <v>186</v>
      </c>
      <c r="B4426" t="s">
        <v>8</v>
      </c>
      <c r="C4426" t="s">
        <v>7</v>
      </c>
      <c r="D4426" t="str">
        <f t="shared" si="2"/>
        <v>11/15/2024</v>
      </c>
      <c r="E4426" t="s">
        <v>202</v>
      </c>
      <c r="F4426" t="s">
        <v>218</v>
      </c>
      <c r="G4426" t="s">
        <v>220</v>
      </c>
      <c r="I4426">
        <v>220</v>
      </c>
      <c r="J4426">
        <v>308</v>
      </c>
      <c r="K4426">
        <v>1.4</v>
      </c>
      <c r="M4426" t="s">
        <v>289</v>
      </c>
    </row>
    <row r="4427" spans="1:13" hidden="1">
      <c r="A4427" t="s">
        <v>186</v>
      </c>
      <c r="B4427" t="s">
        <v>8</v>
      </c>
      <c r="C4427" t="s">
        <v>7</v>
      </c>
      <c r="D4427" t="str">
        <f t="shared" si="2"/>
        <v>11/15/2024</v>
      </c>
      <c r="E4427" t="s">
        <v>202</v>
      </c>
      <c r="F4427" t="s">
        <v>227</v>
      </c>
      <c r="G4427" t="s">
        <v>229</v>
      </c>
      <c r="I4427">
        <v>1550</v>
      </c>
      <c r="J4427">
        <v>1085</v>
      </c>
      <c r="K4427">
        <v>0.7</v>
      </c>
      <c r="M4427" t="s">
        <v>289</v>
      </c>
    </row>
    <row r="4428" spans="1:13" hidden="1">
      <c r="A4428" t="s">
        <v>186</v>
      </c>
      <c r="B4428" t="s">
        <v>8</v>
      </c>
      <c r="C4428" t="s">
        <v>7</v>
      </c>
      <c r="D4428" t="str">
        <f t="shared" si="2"/>
        <v>11/15/2024</v>
      </c>
      <c r="E4428" t="s">
        <v>202</v>
      </c>
      <c r="F4428" t="s">
        <v>227</v>
      </c>
      <c r="G4428" t="s">
        <v>237</v>
      </c>
      <c r="I4428">
        <v>330</v>
      </c>
      <c r="J4428">
        <v>214.5</v>
      </c>
      <c r="K4428">
        <v>0.65</v>
      </c>
      <c r="M4428" t="s">
        <v>289</v>
      </c>
    </row>
    <row r="4429" spans="1:13" hidden="1">
      <c r="A4429" t="s">
        <v>186</v>
      </c>
      <c r="B4429" t="s">
        <v>8</v>
      </c>
      <c r="C4429" t="s">
        <v>7</v>
      </c>
      <c r="D4429" t="str">
        <f t="shared" si="2"/>
        <v>11/15/2024</v>
      </c>
      <c r="E4429" t="s">
        <v>202</v>
      </c>
      <c r="F4429" t="s">
        <v>227</v>
      </c>
      <c r="G4429" t="s">
        <v>238</v>
      </c>
      <c r="I4429">
        <v>235</v>
      </c>
      <c r="J4429">
        <v>58.75</v>
      </c>
      <c r="K4429">
        <v>0.25</v>
      </c>
      <c r="M4429" t="s">
        <v>289</v>
      </c>
    </row>
    <row r="4430" spans="1:13" hidden="1">
      <c r="A4430" t="s">
        <v>186</v>
      </c>
      <c r="B4430" t="s">
        <v>8</v>
      </c>
      <c r="C4430" t="s">
        <v>7</v>
      </c>
      <c r="D4430" t="str">
        <f t="shared" si="2"/>
        <v>11/15/2024</v>
      </c>
      <c r="E4430" t="s">
        <v>202</v>
      </c>
      <c r="F4430" t="s">
        <v>227</v>
      </c>
      <c r="G4430" t="s">
        <v>228</v>
      </c>
      <c r="I4430">
        <v>1450</v>
      </c>
      <c r="J4430">
        <v>362.5</v>
      </c>
      <c r="K4430">
        <v>0.25</v>
      </c>
      <c r="M4430" t="s">
        <v>289</v>
      </c>
    </row>
    <row r="4431" spans="1:13" hidden="1">
      <c r="A4431" t="s">
        <v>186</v>
      </c>
      <c r="B4431" t="s">
        <v>8</v>
      </c>
      <c r="C4431" t="s">
        <v>7</v>
      </c>
      <c r="D4431" t="str">
        <f t="shared" si="2"/>
        <v>11/15/2024</v>
      </c>
      <c r="E4431" t="s">
        <v>202</v>
      </c>
      <c r="F4431" t="s">
        <v>203</v>
      </c>
      <c r="G4431" t="s">
        <v>204</v>
      </c>
      <c r="I4431">
        <v>80</v>
      </c>
      <c r="J4431">
        <v>800</v>
      </c>
      <c r="K4431">
        <v>10</v>
      </c>
      <c r="M4431" t="s">
        <v>289</v>
      </c>
    </row>
    <row r="4432" spans="1:13" hidden="1">
      <c r="A4432" t="s">
        <v>186</v>
      </c>
      <c r="B4432" t="s">
        <v>8</v>
      </c>
      <c r="C4432" t="s">
        <v>7</v>
      </c>
      <c r="D4432" t="str">
        <f t="shared" si="2"/>
        <v>11/15/2024</v>
      </c>
      <c r="E4432" t="s">
        <v>202</v>
      </c>
      <c r="F4432" t="s">
        <v>203</v>
      </c>
      <c r="G4432" t="s">
        <v>208</v>
      </c>
      <c r="I4432">
        <v>11</v>
      </c>
      <c r="J4432">
        <v>110</v>
      </c>
      <c r="K4432">
        <v>10</v>
      </c>
      <c r="M4432" t="s">
        <v>289</v>
      </c>
    </row>
    <row r="4433" spans="1:13" hidden="1">
      <c r="A4433" t="s">
        <v>186</v>
      </c>
      <c r="B4433" t="s">
        <v>8</v>
      </c>
      <c r="C4433" t="s">
        <v>7</v>
      </c>
      <c r="D4433" t="str">
        <f t="shared" si="2"/>
        <v>11/15/2024</v>
      </c>
      <c r="E4433" t="s">
        <v>202</v>
      </c>
      <c r="F4433" t="s">
        <v>203</v>
      </c>
      <c r="G4433" t="s">
        <v>236</v>
      </c>
      <c r="I4433">
        <v>860</v>
      </c>
      <c r="J4433">
        <v>559</v>
      </c>
      <c r="K4433">
        <v>0.65</v>
      </c>
      <c r="M4433" t="s">
        <v>289</v>
      </c>
    </row>
    <row r="4434" spans="1:13" hidden="1">
      <c r="A4434" t="s">
        <v>186</v>
      </c>
      <c r="B4434" t="s">
        <v>8</v>
      </c>
      <c r="C4434" t="s">
        <v>7</v>
      </c>
      <c r="D4434" t="str">
        <f t="shared" si="2"/>
        <v>11/15/2024</v>
      </c>
      <c r="E4434" t="s">
        <v>202</v>
      </c>
      <c r="F4434" t="s">
        <v>203</v>
      </c>
      <c r="G4434" t="s">
        <v>260</v>
      </c>
      <c r="I4434">
        <v>12</v>
      </c>
      <c r="J4434">
        <v>360</v>
      </c>
      <c r="K4434">
        <v>30</v>
      </c>
      <c r="M4434" t="s">
        <v>289</v>
      </c>
    </row>
    <row r="4435" spans="1:13" hidden="1">
      <c r="A4435" t="s">
        <v>186</v>
      </c>
      <c r="B4435" t="s">
        <v>8</v>
      </c>
      <c r="C4435" t="s">
        <v>7</v>
      </c>
      <c r="D4435" t="str">
        <f t="shared" si="2"/>
        <v>11/15/2024</v>
      </c>
      <c r="E4435" t="s">
        <v>202</v>
      </c>
      <c r="F4435" t="s">
        <v>203</v>
      </c>
      <c r="G4435" t="s">
        <v>207</v>
      </c>
      <c r="I4435">
        <v>32</v>
      </c>
      <c r="J4435">
        <v>256</v>
      </c>
      <c r="K4435">
        <v>8</v>
      </c>
      <c r="M4435" t="s">
        <v>289</v>
      </c>
    </row>
    <row r="4436" spans="1:13" hidden="1">
      <c r="A4436" t="s">
        <v>186</v>
      </c>
      <c r="B4436" t="s">
        <v>8</v>
      </c>
      <c r="C4436" t="s">
        <v>7</v>
      </c>
      <c r="D4436" t="str">
        <f t="shared" si="2"/>
        <v>11/15/2024</v>
      </c>
      <c r="E4436" t="s">
        <v>234</v>
      </c>
      <c r="F4436" t="s">
        <v>234</v>
      </c>
      <c r="G4436" t="s">
        <v>249</v>
      </c>
      <c r="I4436">
        <v>3620</v>
      </c>
      <c r="M4436" t="s">
        <v>289</v>
      </c>
    </row>
    <row r="4437" spans="1:13" hidden="1">
      <c r="A4437" t="s">
        <v>186</v>
      </c>
      <c r="B4437" t="s">
        <v>8</v>
      </c>
      <c r="C4437" t="s">
        <v>7</v>
      </c>
      <c r="D4437" t="str">
        <f t="shared" si="2"/>
        <v>12/15/2024</v>
      </c>
      <c r="E4437" t="s">
        <v>202</v>
      </c>
      <c r="F4437" t="s">
        <v>227</v>
      </c>
      <c r="G4437" t="s">
        <v>238</v>
      </c>
      <c r="I4437">
        <v>188</v>
      </c>
      <c r="J4437">
        <v>47</v>
      </c>
      <c r="K4437">
        <v>0.25</v>
      </c>
      <c r="M4437" t="s">
        <v>205</v>
      </c>
    </row>
    <row r="4438" spans="1:13" hidden="1">
      <c r="A4438" t="s">
        <v>186</v>
      </c>
      <c r="B4438" t="s">
        <v>8</v>
      </c>
      <c r="C4438" t="s">
        <v>7</v>
      </c>
      <c r="D4438" t="str">
        <f t="shared" si="2"/>
        <v>12/15/2024</v>
      </c>
      <c r="E4438" t="s">
        <v>202</v>
      </c>
      <c r="F4438" t="s">
        <v>227</v>
      </c>
      <c r="G4438" t="s">
        <v>228</v>
      </c>
      <c r="I4438">
        <v>2043</v>
      </c>
      <c r="J4438">
        <v>510.75</v>
      </c>
      <c r="K4438">
        <v>0.25</v>
      </c>
      <c r="M4438" t="s">
        <v>205</v>
      </c>
    </row>
    <row r="4439" spans="1:13" hidden="1">
      <c r="A4439" t="s">
        <v>186</v>
      </c>
      <c r="B4439" t="s">
        <v>8</v>
      </c>
      <c r="C4439" t="s">
        <v>7</v>
      </c>
      <c r="D4439" t="str">
        <f t="shared" si="2"/>
        <v>12/15/2024</v>
      </c>
      <c r="E4439" t="s">
        <v>202</v>
      </c>
      <c r="F4439" t="s">
        <v>227</v>
      </c>
      <c r="G4439" t="s">
        <v>237</v>
      </c>
      <c r="I4439">
        <v>540</v>
      </c>
      <c r="J4439">
        <v>351</v>
      </c>
      <c r="K4439">
        <v>0.65</v>
      </c>
      <c r="M4439" t="s">
        <v>205</v>
      </c>
    </row>
    <row r="4440" spans="1:13" hidden="1">
      <c r="A4440" t="s">
        <v>186</v>
      </c>
      <c r="B4440" t="s">
        <v>8</v>
      </c>
      <c r="C4440" t="s">
        <v>7</v>
      </c>
      <c r="D4440" t="str">
        <f t="shared" si="2"/>
        <v>12/15/2024</v>
      </c>
      <c r="E4440" t="s">
        <v>202</v>
      </c>
      <c r="F4440" t="s">
        <v>227</v>
      </c>
      <c r="G4440" t="s">
        <v>229</v>
      </c>
      <c r="I4440">
        <v>2051</v>
      </c>
      <c r="J4440">
        <v>1435.75</v>
      </c>
      <c r="K4440">
        <v>0.7</v>
      </c>
      <c r="M4440" t="s">
        <v>205</v>
      </c>
    </row>
    <row r="4441" spans="1:13" hidden="1">
      <c r="A4441" t="s">
        <v>186</v>
      </c>
      <c r="B4441" t="s">
        <v>8</v>
      </c>
      <c r="C4441" t="s">
        <v>7</v>
      </c>
      <c r="D4441" t="str">
        <f t="shared" si="2"/>
        <v>12/15/2024</v>
      </c>
      <c r="E4441" t="s">
        <v>202</v>
      </c>
      <c r="F4441" t="s">
        <v>218</v>
      </c>
      <c r="G4441" t="s">
        <v>220</v>
      </c>
      <c r="I4441">
        <v>333</v>
      </c>
      <c r="J4441">
        <v>466.2</v>
      </c>
      <c r="K4441">
        <v>1.4</v>
      </c>
      <c r="M4441" t="s">
        <v>205</v>
      </c>
    </row>
    <row r="4442" spans="1:13" hidden="1">
      <c r="A4442" t="s">
        <v>186</v>
      </c>
      <c r="B4442" t="s">
        <v>8</v>
      </c>
      <c r="C4442" t="s">
        <v>7</v>
      </c>
      <c r="D4442" t="str">
        <f t="shared" si="2"/>
        <v>12/15/2024</v>
      </c>
      <c r="E4442" t="s">
        <v>202</v>
      </c>
      <c r="F4442" t="s">
        <v>218</v>
      </c>
      <c r="G4442" t="s">
        <v>223</v>
      </c>
      <c r="I4442">
        <v>60</v>
      </c>
      <c r="J4442">
        <v>36</v>
      </c>
      <c r="K4442">
        <v>0.6</v>
      </c>
      <c r="M4442" t="s">
        <v>205</v>
      </c>
    </row>
    <row r="4443" spans="1:13" hidden="1">
      <c r="A4443" t="s">
        <v>186</v>
      </c>
      <c r="B4443" t="s">
        <v>8</v>
      </c>
      <c r="C4443" t="s">
        <v>7</v>
      </c>
      <c r="D4443" t="str">
        <f t="shared" si="2"/>
        <v>12/15/2024</v>
      </c>
      <c r="E4443" t="s">
        <v>202</v>
      </c>
      <c r="F4443" t="s">
        <v>218</v>
      </c>
      <c r="G4443" t="s">
        <v>219</v>
      </c>
      <c r="I4443">
        <v>72</v>
      </c>
      <c r="J4443">
        <v>14.4</v>
      </c>
      <c r="K4443">
        <v>0.2</v>
      </c>
      <c r="M4443" t="s">
        <v>205</v>
      </c>
    </row>
    <row r="4444" spans="1:13" hidden="1">
      <c r="A4444" t="s">
        <v>186</v>
      </c>
      <c r="B4444" t="s">
        <v>8</v>
      </c>
      <c r="C4444" t="s">
        <v>7</v>
      </c>
      <c r="D4444" t="str">
        <f t="shared" si="2"/>
        <v>12/15/2024</v>
      </c>
      <c r="E4444" t="s">
        <v>202</v>
      </c>
      <c r="F4444" t="s">
        <v>218</v>
      </c>
      <c r="G4444" t="s">
        <v>220</v>
      </c>
      <c r="I4444">
        <v>58</v>
      </c>
      <c r="J4444">
        <v>29</v>
      </c>
      <c r="K4444">
        <v>0.5</v>
      </c>
      <c r="M4444" t="s">
        <v>205</v>
      </c>
    </row>
    <row r="4445" spans="1:13" hidden="1">
      <c r="A4445" t="s">
        <v>186</v>
      </c>
      <c r="B4445" t="s">
        <v>8</v>
      </c>
      <c r="C4445" t="s">
        <v>7</v>
      </c>
      <c r="D4445" t="str">
        <f t="shared" si="2"/>
        <v>12/15/2024</v>
      </c>
      <c r="E4445" t="s">
        <v>202</v>
      </c>
      <c r="F4445" t="s">
        <v>218</v>
      </c>
      <c r="G4445" t="s">
        <v>222</v>
      </c>
      <c r="I4445">
        <v>75</v>
      </c>
      <c r="J4445">
        <v>97.5</v>
      </c>
      <c r="K4445">
        <v>1.3</v>
      </c>
      <c r="M4445" t="s">
        <v>205</v>
      </c>
    </row>
    <row r="4446" spans="1:13" hidden="1">
      <c r="A4446" t="s">
        <v>186</v>
      </c>
      <c r="B4446" t="s">
        <v>8</v>
      </c>
      <c r="C4446" t="s">
        <v>7</v>
      </c>
      <c r="D4446" t="str">
        <f t="shared" si="2"/>
        <v>12/15/2024</v>
      </c>
      <c r="E4446" t="s">
        <v>202</v>
      </c>
      <c r="F4446" t="s">
        <v>218</v>
      </c>
      <c r="G4446" t="s">
        <v>242</v>
      </c>
      <c r="I4446">
        <v>118</v>
      </c>
      <c r="J4446">
        <v>212.4</v>
      </c>
      <c r="K4446">
        <v>1.8</v>
      </c>
      <c r="M4446" t="s">
        <v>205</v>
      </c>
    </row>
    <row r="4447" spans="1:13" hidden="1">
      <c r="A4447" t="s">
        <v>186</v>
      </c>
      <c r="B4447" t="s">
        <v>8</v>
      </c>
      <c r="C4447" t="s">
        <v>7</v>
      </c>
      <c r="D4447" t="str">
        <f t="shared" si="2"/>
        <v>12/15/2024</v>
      </c>
      <c r="E4447" t="s">
        <v>202</v>
      </c>
      <c r="F4447" t="s">
        <v>218</v>
      </c>
      <c r="G4447" t="s">
        <v>221</v>
      </c>
      <c r="I4447">
        <v>542</v>
      </c>
      <c r="J4447">
        <v>1219.5</v>
      </c>
      <c r="K4447">
        <v>2.25</v>
      </c>
      <c r="M4447" t="s">
        <v>205</v>
      </c>
    </row>
    <row r="4448" spans="1:13" hidden="1">
      <c r="A4448" t="s">
        <v>186</v>
      </c>
      <c r="B4448" t="s">
        <v>8</v>
      </c>
      <c r="C4448" t="s">
        <v>7</v>
      </c>
      <c r="D4448" t="str">
        <f t="shared" si="2"/>
        <v>12/15/2024</v>
      </c>
      <c r="E4448" t="s">
        <v>202</v>
      </c>
      <c r="F4448" t="s">
        <v>218</v>
      </c>
      <c r="G4448" t="s">
        <v>222</v>
      </c>
      <c r="I4448">
        <v>129</v>
      </c>
      <c r="J4448">
        <v>193.45</v>
      </c>
      <c r="K4448">
        <v>1.5</v>
      </c>
      <c r="M4448" t="s">
        <v>205</v>
      </c>
    </row>
    <row r="4449" spans="1:13" hidden="1">
      <c r="A4449" t="s">
        <v>186</v>
      </c>
      <c r="B4449" t="s">
        <v>8</v>
      </c>
      <c r="C4449" t="s">
        <v>7</v>
      </c>
      <c r="D4449" t="str">
        <f t="shared" si="2"/>
        <v>12/15/2024</v>
      </c>
      <c r="E4449" t="s">
        <v>202</v>
      </c>
      <c r="F4449" t="s">
        <v>218</v>
      </c>
      <c r="G4449" t="s">
        <v>226</v>
      </c>
      <c r="I4449">
        <v>176</v>
      </c>
      <c r="J4449">
        <v>61.6</v>
      </c>
      <c r="K4449">
        <v>0.35</v>
      </c>
      <c r="M4449" t="s">
        <v>205</v>
      </c>
    </row>
    <row r="4450" spans="1:13" hidden="1">
      <c r="A4450" t="s">
        <v>186</v>
      </c>
      <c r="B4450" t="s">
        <v>8</v>
      </c>
      <c r="C4450" t="s">
        <v>7</v>
      </c>
      <c r="D4450" t="str">
        <f t="shared" si="2"/>
        <v>12/15/2024</v>
      </c>
      <c r="E4450" t="s">
        <v>202</v>
      </c>
      <c r="F4450" t="s">
        <v>218</v>
      </c>
      <c r="G4450" t="s">
        <v>223</v>
      </c>
      <c r="I4450">
        <v>435</v>
      </c>
      <c r="J4450">
        <v>304.5</v>
      </c>
      <c r="K4450">
        <v>0.7</v>
      </c>
      <c r="M4450" t="s">
        <v>205</v>
      </c>
    </row>
    <row r="4451" spans="1:13" hidden="1">
      <c r="A4451" t="s">
        <v>186</v>
      </c>
      <c r="B4451" t="s">
        <v>8</v>
      </c>
      <c r="C4451" t="s">
        <v>7</v>
      </c>
      <c r="D4451" t="str">
        <f t="shared" si="2"/>
        <v>12/15/2024</v>
      </c>
      <c r="E4451" t="s">
        <v>202</v>
      </c>
      <c r="F4451" t="s">
        <v>218</v>
      </c>
      <c r="G4451" t="s">
        <v>268</v>
      </c>
      <c r="I4451">
        <v>49</v>
      </c>
      <c r="J4451">
        <v>49</v>
      </c>
      <c r="K4451">
        <v>1</v>
      </c>
      <c r="M4451" t="s">
        <v>205</v>
      </c>
    </row>
    <row r="4452" spans="1:13" hidden="1">
      <c r="A4452" t="s">
        <v>186</v>
      </c>
      <c r="B4452" t="s">
        <v>8</v>
      </c>
      <c r="C4452" t="s">
        <v>7</v>
      </c>
      <c r="D4452" t="str">
        <f t="shared" si="2"/>
        <v>12/15/2024</v>
      </c>
      <c r="E4452" t="s">
        <v>202</v>
      </c>
      <c r="F4452" t="s">
        <v>218</v>
      </c>
      <c r="G4452" t="s">
        <v>222</v>
      </c>
      <c r="I4452">
        <v>182</v>
      </c>
      <c r="J4452">
        <v>327.60000000000002</v>
      </c>
      <c r="K4452">
        <v>1.8</v>
      </c>
      <c r="M4452" t="s">
        <v>205</v>
      </c>
    </row>
    <row r="4453" spans="1:13" hidden="1">
      <c r="A4453" t="s">
        <v>186</v>
      </c>
      <c r="B4453" t="s">
        <v>8</v>
      </c>
      <c r="C4453" t="s">
        <v>7</v>
      </c>
      <c r="D4453" t="str">
        <f t="shared" si="2"/>
        <v>12/15/2024</v>
      </c>
      <c r="E4453" t="s">
        <v>202</v>
      </c>
      <c r="F4453" t="s">
        <v>218</v>
      </c>
      <c r="G4453" t="s">
        <v>222</v>
      </c>
      <c r="I4453">
        <v>248</v>
      </c>
      <c r="J4453">
        <v>347.2</v>
      </c>
      <c r="K4453">
        <v>1.4</v>
      </c>
      <c r="M4453" t="s">
        <v>205</v>
      </c>
    </row>
    <row r="4454" spans="1:13" hidden="1">
      <c r="A4454" t="s">
        <v>186</v>
      </c>
      <c r="B4454" t="s">
        <v>8</v>
      </c>
      <c r="C4454" t="s">
        <v>7</v>
      </c>
      <c r="D4454" t="str">
        <f t="shared" si="2"/>
        <v>12/15/2024</v>
      </c>
      <c r="E4454" t="s">
        <v>202</v>
      </c>
      <c r="F4454" t="s">
        <v>227</v>
      </c>
      <c r="G4454" t="s">
        <v>252</v>
      </c>
      <c r="I4454">
        <v>377</v>
      </c>
      <c r="J4454">
        <v>94.25</v>
      </c>
      <c r="K4454">
        <v>0.25</v>
      </c>
      <c r="M4454" t="s">
        <v>205</v>
      </c>
    </row>
    <row r="4455" spans="1:13" hidden="1">
      <c r="A4455" t="s">
        <v>186</v>
      </c>
      <c r="B4455" t="s">
        <v>8</v>
      </c>
      <c r="C4455" t="s">
        <v>7</v>
      </c>
      <c r="D4455" t="str">
        <f t="shared" si="2"/>
        <v>12/15/2024</v>
      </c>
      <c r="E4455" t="s">
        <v>202</v>
      </c>
      <c r="F4455" t="s">
        <v>218</v>
      </c>
      <c r="G4455" t="s">
        <v>240</v>
      </c>
      <c r="I4455">
        <v>1044</v>
      </c>
      <c r="J4455">
        <v>4384.8</v>
      </c>
      <c r="K4455">
        <v>4.2</v>
      </c>
      <c r="M4455" t="s">
        <v>205</v>
      </c>
    </row>
    <row r="4456" spans="1:13" hidden="1">
      <c r="A4456" t="s">
        <v>186</v>
      </c>
      <c r="B4456" t="s">
        <v>8</v>
      </c>
      <c r="C4456" t="s">
        <v>7</v>
      </c>
      <c r="D4456" t="str">
        <f t="shared" si="2"/>
        <v>12/15/2024</v>
      </c>
      <c r="E4456" t="s">
        <v>202</v>
      </c>
      <c r="F4456" t="s">
        <v>203</v>
      </c>
      <c r="G4456" t="s">
        <v>204</v>
      </c>
      <c r="I4456">
        <v>110</v>
      </c>
      <c r="J4456">
        <v>1100</v>
      </c>
      <c r="K4456">
        <v>10</v>
      </c>
      <c r="M4456" t="s">
        <v>205</v>
      </c>
    </row>
    <row r="4457" spans="1:13" hidden="1">
      <c r="A4457" t="s">
        <v>186</v>
      </c>
      <c r="B4457" t="s">
        <v>8</v>
      </c>
      <c r="C4457" t="s">
        <v>7</v>
      </c>
      <c r="D4457" t="str">
        <f t="shared" si="2"/>
        <v>12/15/2024</v>
      </c>
      <c r="E4457" t="s">
        <v>202</v>
      </c>
      <c r="F4457" t="s">
        <v>203</v>
      </c>
      <c r="G4457" t="s">
        <v>208</v>
      </c>
      <c r="I4457">
        <v>20</v>
      </c>
      <c r="J4457">
        <v>210</v>
      </c>
      <c r="K4457">
        <v>10.5</v>
      </c>
      <c r="M4457" t="s">
        <v>205</v>
      </c>
    </row>
    <row r="4458" spans="1:13" hidden="1">
      <c r="A4458" t="s">
        <v>186</v>
      </c>
      <c r="B4458" t="s">
        <v>8</v>
      </c>
      <c r="C4458" t="s">
        <v>7</v>
      </c>
      <c r="D4458" t="str">
        <f t="shared" si="2"/>
        <v>12/15/2024</v>
      </c>
      <c r="E4458" t="s">
        <v>202</v>
      </c>
      <c r="F4458" t="s">
        <v>203</v>
      </c>
      <c r="G4458" t="s">
        <v>259</v>
      </c>
      <c r="I4458">
        <v>5</v>
      </c>
      <c r="J4458">
        <v>125</v>
      </c>
      <c r="K4458">
        <v>25</v>
      </c>
      <c r="M4458" t="s">
        <v>205</v>
      </c>
    </row>
    <row r="4459" spans="1:13" hidden="1">
      <c r="A4459" t="s">
        <v>186</v>
      </c>
      <c r="B4459" t="s">
        <v>8</v>
      </c>
      <c r="C4459" t="s">
        <v>7</v>
      </c>
      <c r="D4459" t="str">
        <f t="shared" si="2"/>
        <v>12/15/2024</v>
      </c>
      <c r="E4459" t="s">
        <v>202</v>
      </c>
      <c r="F4459" t="s">
        <v>203</v>
      </c>
      <c r="G4459" t="s">
        <v>236</v>
      </c>
      <c r="I4459">
        <v>380</v>
      </c>
      <c r="J4459">
        <v>247</v>
      </c>
      <c r="K4459">
        <v>0.65</v>
      </c>
      <c r="M4459" t="s">
        <v>205</v>
      </c>
    </row>
    <row r="4460" spans="1:13" hidden="1">
      <c r="A4460" t="s">
        <v>186</v>
      </c>
      <c r="B4460" t="s">
        <v>8</v>
      </c>
      <c r="C4460" t="s">
        <v>7</v>
      </c>
      <c r="D4460" t="str">
        <f t="shared" si="2"/>
        <v>12/15/2024</v>
      </c>
      <c r="E4460" t="s">
        <v>234</v>
      </c>
      <c r="F4460" t="s">
        <v>234</v>
      </c>
      <c r="G4460" t="s">
        <v>249</v>
      </c>
      <c r="I4460">
        <v>4030</v>
      </c>
      <c r="M4460" t="s">
        <v>205</v>
      </c>
    </row>
    <row r="4461" spans="1:13" hidden="1">
      <c r="A4461" t="s">
        <v>101</v>
      </c>
      <c r="B4461" t="s">
        <v>8</v>
      </c>
      <c r="C4461" t="s">
        <v>100</v>
      </c>
      <c r="D4461" t="str">
        <f>LEFT(M4461,9)</f>
        <v>1/15/2025</v>
      </c>
      <c r="E4461" t="s">
        <v>202</v>
      </c>
      <c r="F4461" t="s">
        <v>203</v>
      </c>
      <c r="G4461" t="s">
        <v>236</v>
      </c>
      <c r="I4461">
        <v>1650</v>
      </c>
      <c r="J4461">
        <v>1155</v>
      </c>
      <c r="K4461">
        <v>0.7</v>
      </c>
      <c r="M4461" t="s">
        <v>516</v>
      </c>
    </row>
    <row r="4462" spans="1:13" hidden="1">
      <c r="A4462" t="s">
        <v>101</v>
      </c>
      <c r="B4462" t="s">
        <v>8</v>
      </c>
      <c r="C4462" t="s">
        <v>100</v>
      </c>
      <c r="D4462" t="str">
        <f>LEFT(M4462,9)</f>
        <v>1/15/2025</v>
      </c>
      <c r="E4462" t="s">
        <v>202</v>
      </c>
      <c r="F4462" t="s">
        <v>216</v>
      </c>
      <c r="G4462" t="s">
        <v>253</v>
      </c>
      <c r="I4462">
        <v>3000</v>
      </c>
      <c r="J4462">
        <v>450</v>
      </c>
      <c r="K4462">
        <v>0.15</v>
      </c>
      <c r="M4462" t="s">
        <v>516</v>
      </c>
    </row>
    <row r="4463" spans="1:13" hidden="1">
      <c r="A4463" t="s">
        <v>101</v>
      </c>
      <c r="B4463" t="s">
        <v>8</v>
      </c>
      <c r="C4463" t="s">
        <v>100</v>
      </c>
      <c r="D4463" t="str">
        <f>LEFT(M4463,9)</f>
        <v>1/15/2025</v>
      </c>
      <c r="E4463" t="s">
        <v>202</v>
      </c>
      <c r="F4463" t="s">
        <v>227</v>
      </c>
      <c r="G4463" t="s">
        <v>228</v>
      </c>
      <c r="I4463">
        <v>1064</v>
      </c>
      <c r="J4463">
        <v>372.4</v>
      </c>
      <c r="K4463">
        <v>0.35</v>
      </c>
      <c r="M4463" t="s">
        <v>516</v>
      </c>
    </row>
    <row r="4464" spans="1:13" hidden="1">
      <c r="A4464" t="s">
        <v>101</v>
      </c>
      <c r="B4464" t="s">
        <v>8</v>
      </c>
      <c r="C4464" t="s">
        <v>100</v>
      </c>
      <c r="D4464" t="str">
        <f>LEFT(M4464,9)</f>
        <v>1/15/2025</v>
      </c>
      <c r="E4464" t="s">
        <v>202</v>
      </c>
      <c r="F4464" t="s">
        <v>227</v>
      </c>
      <c r="G4464" t="s">
        <v>238</v>
      </c>
      <c r="I4464">
        <v>527</v>
      </c>
      <c r="J4464">
        <v>237.15</v>
      </c>
      <c r="K4464">
        <v>0.45</v>
      </c>
      <c r="M4464" t="s">
        <v>516</v>
      </c>
    </row>
    <row r="4465" spans="1:13" hidden="1">
      <c r="A4465" t="s">
        <v>101</v>
      </c>
      <c r="B4465" t="s">
        <v>8</v>
      </c>
      <c r="C4465" t="s">
        <v>100</v>
      </c>
      <c r="D4465" t="str">
        <f>LEFT(M4465,9)</f>
        <v>1/15/2025</v>
      </c>
      <c r="E4465" t="s">
        <v>202</v>
      </c>
      <c r="F4465" t="s">
        <v>227</v>
      </c>
      <c r="G4465" t="s">
        <v>252</v>
      </c>
      <c r="I4465">
        <v>448</v>
      </c>
      <c r="J4465">
        <v>201.6</v>
      </c>
      <c r="K4465">
        <v>0.45</v>
      </c>
      <c r="M4465" t="s">
        <v>516</v>
      </c>
    </row>
    <row r="4466" spans="1:13" hidden="1">
      <c r="A4466" t="s">
        <v>101</v>
      </c>
      <c r="B4466" t="s">
        <v>8</v>
      </c>
      <c r="C4466" t="s">
        <v>100</v>
      </c>
      <c r="D4466" t="str">
        <f>LEFT(M4466,9)</f>
        <v>1/15/2025</v>
      </c>
      <c r="E4466" t="s">
        <v>202</v>
      </c>
      <c r="F4466" t="s">
        <v>227</v>
      </c>
      <c r="G4466" t="s">
        <v>229</v>
      </c>
      <c r="I4466">
        <v>8147</v>
      </c>
      <c r="J4466">
        <v>6517.6</v>
      </c>
      <c r="K4466">
        <v>0.8</v>
      </c>
      <c r="M4466" t="s">
        <v>516</v>
      </c>
    </row>
    <row r="4467" spans="1:13" hidden="1">
      <c r="A4467" t="s">
        <v>101</v>
      </c>
      <c r="B4467" t="s">
        <v>8</v>
      </c>
      <c r="C4467" t="s">
        <v>100</v>
      </c>
      <c r="D4467" t="str">
        <f>LEFT(M4467,9)</f>
        <v>1/15/2025</v>
      </c>
      <c r="E4467" t="s">
        <v>202</v>
      </c>
      <c r="F4467" t="s">
        <v>218</v>
      </c>
      <c r="G4467" t="s">
        <v>247</v>
      </c>
      <c r="I4467">
        <v>76</v>
      </c>
      <c r="J4467">
        <v>334.4</v>
      </c>
      <c r="K4467">
        <v>4.4000000000000004</v>
      </c>
      <c r="M4467" t="s">
        <v>516</v>
      </c>
    </row>
    <row r="4468" spans="1:13" hidden="1">
      <c r="A4468" t="s">
        <v>101</v>
      </c>
      <c r="B4468" t="s">
        <v>8</v>
      </c>
      <c r="C4468" t="s">
        <v>100</v>
      </c>
      <c r="D4468" t="str">
        <f>LEFT(M4468,9)</f>
        <v>1/15/2025</v>
      </c>
      <c r="E4468" t="s">
        <v>202</v>
      </c>
      <c r="F4468" t="s">
        <v>218</v>
      </c>
      <c r="G4468" t="s">
        <v>243</v>
      </c>
      <c r="H4468" t="s">
        <v>537</v>
      </c>
      <c r="I4468">
        <v>91</v>
      </c>
      <c r="J4468">
        <v>9.1</v>
      </c>
      <c r="K4468">
        <v>0.1</v>
      </c>
      <c r="M4468" t="s">
        <v>516</v>
      </c>
    </row>
    <row r="4469" spans="1:13" hidden="1">
      <c r="A4469" t="s">
        <v>101</v>
      </c>
      <c r="B4469" t="s">
        <v>8</v>
      </c>
      <c r="C4469" t="s">
        <v>100</v>
      </c>
      <c r="D4469" t="str">
        <f>LEFT(M4469,9)</f>
        <v>1/15/2025</v>
      </c>
      <c r="E4469" t="s">
        <v>202</v>
      </c>
      <c r="F4469" t="s">
        <v>218</v>
      </c>
      <c r="G4469" t="s">
        <v>220</v>
      </c>
      <c r="I4469">
        <v>1245</v>
      </c>
      <c r="J4469">
        <v>1805.25</v>
      </c>
      <c r="K4469">
        <v>1.45</v>
      </c>
      <c r="M4469" t="s">
        <v>516</v>
      </c>
    </row>
    <row r="4470" spans="1:13" hidden="1">
      <c r="A4470" t="s">
        <v>101</v>
      </c>
      <c r="B4470" t="s">
        <v>8</v>
      </c>
      <c r="C4470" t="s">
        <v>100</v>
      </c>
      <c r="D4470" t="str">
        <f>LEFT(M4470,9)</f>
        <v>1/15/2025</v>
      </c>
      <c r="E4470" t="s">
        <v>202</v>
      </c>
      <c r="F4470" t="s">
        <v>218</v>
      </c>
      <c r="G4470" t="s">
        <v>226</v>
      </c>
      <c r="I4470">
        <v>756</v>
      </c>
      <c r="J4470">
        <v>302.39999999999998</v>
      </c>
      <c r="K4470">
        <v>0.4</v>
      </c>
      <c r="M4470" t="s">
        <v>516</v>
      </c>
    </row>
    <row r="4471" spans="1:13" hidden="1">
      <c r="A4471" t="s">
        <v>101</v>
      </c>
      <c r="B4471" t="s">
        <v>8</v>
      </c>
      <c r="C4471" t="s">
        <v>100</v>
      </c>
      <c r="D4471" t="str">
        <f>LEFT(M4471,9)</f>
        <v>1/15/2025</v>
      </c>
      <c r="E4471" t="s">
        <v>202</v>
      </c>
      <c r="F4471" t="s">
        <v>218</v>
      </c>
      <c r="G4471" t="s">
        <v>223</v>
      </c>
      <c r="I4471">
        <v>1069</v>
      </c>
      <c r="J4471">
        <v>919.1</v>
      </c>
      <c r="K4471">
        <v>0.86</v>
      </c>
      <c r="M4471" t="s">
        <v>516</v>
      </c>
    </row>
    <row r="4472" spans="1:13" hidden="1">
      <c r="A4472" t="s">
        <v>101</v>
      </c>
      <c r="B4472" t="s">
        <v>8</v>
      </c>
      <c r="C4472" t="s">
        <v>100</v>
      </c>
      <c r="D4472" t="str">
        <f>LEFT(M4472,9)</f>
        <v>1/15/2025</v>
      </c>
      <c r="E4472" t="s">
        <v>202</v>
      </c>
      <c r="F4472" t="s">
        <v>218</v>
      </c>
      <c r="G4472" t="s">
        <v>240</v>
      </c>
      <c r="I4472">
        <v>993</v>
      </c>
      <c r="J4472">
        <v>4269.8999999999996</v>
      </c>
      <c r="K4472">
        <v>4.3</v>
      </c>
      <c r="M4472" t="s">
        <v>516</v>
      </c>
    </row>
    <row r="4473" spans="1:13" hidden="1">
      <c r="A4473" t="s">
        <v>101</v>
      </c>
      <c r="B4473" t="s">
        <v>8</v>
      </c>
      <c r="C4473" t="s">
        <v>100</v>
      </c>
      <c r="D4473" t="str">
        <f>LEFT(M4473,9)</f>
        <v>1/15/2025</v>
      </c>
      <c r="E4473" t="s">
        <v>202</v>
      </c>
      <c r="F4473" t="s">
        <v>218</v>
      </c>
      <c r="G4473" t="s">
        <v>242</v>
      </c>
      <c r="I4473">
        <v>145</v>
      </c>
      <c r="J4473">
        <v>174</v>
      </c>
      <c r="K4473">
        <v>1.2</v>
      </c>
      <c r="M4473" t="s">
        <v>516</v>
      </c>
    </row>
    <row r="4474" spans="1:13" hidden="1">
      <c r="A4474" t="s">
        <v>101</v>
      </c>
      <c r="B4474" t="s">
        <v>8</v>
      </c>
      <c r="C4474" t="s">
        <v>100</v>
      </c>
      <c r="D4474" t="str">
        <f>LEFT(M4474,9)</f>
        <v>1/15/2025</v>
      </c>
      <c r="E4474" t="s">
        <v>202</v>
      </c>
      <c r="F4474" t="s">
        <v>218</v>
      </c>
      <c r="G4474" t="s">
        <v>224</v>
      </c>
      <c r="I4474">
        <v>235</v>
      </c>
      <c r="J4474">
        <v>282</v>
      </c>
      <c r="K4474">
        <v>1.2</v>
      </c>
      <c r="M4474" t="s">
        <v>516</v>
      </c>
    </row>
    <row r="4475" spans="1:13" hidden="1">
      <c r="A4475" t="s">
        <v>101</v>
      </c>
      <c r="B4475" t="s">
        <v>8</v>
      </c>
      <c r="C4475" t="s">
        <v>100</v>
      </c>
      <c r="D4475" t="str">
        <f>LEFT(M4475,9)</f>
        <v>1/15/2025</v>
      </c>
      <c r="E4475" t="s">
        <v>202</v>
      </c>
      <c r="F4475" t="s">
        <v>218</v>
      </c>
      <c r="G4475" t="s">
        <v>222</v>
      </c>
      <c r="I4475">
        <v>739</v>
      </c>
      <c r="J4475">
        <v>1034.5999999999999</v>
      </c>
      <c r="K4475">
        <v>1.4</v>
      </c>
      <c r="M4475" t="s">
        <v>516</v>
      </c>
    </row>
    <row r="4476" spans="1:13" hidden="1">
      <c r="A4476" t="s">
        <v>101</v>
      </c>
      <c r="B4476" t="s">
        <v>8</v>
      </c>
      <c r="C4476" t="s">
        <v>100</v>
      </c>
      <c r="D4476" t="str">
        <f>LEFT(M4476,9)</f>
        <v>1/15/2025</v>
      </c>
      <c r="E4476" t="s">
        <v>202</v>
      </c>
      <c r="F4476" t="s">
        <v>218</v>
      </c>
      <c r="G4476" t="s">
        <v>243</v>
      </c>
      <c r="H4476" t="s">
        <v>393</v>
      </c>
      <c r="I4476">
        <v>334</v>
      </c>
      <c r="J4476">
        <v>722.4</v>
      </c>
      <c r="K4476">
        <v>2.16</v>
      </c>
      <c r="M4476" t="s">
        <v>516</v>
      </c>
    </row>
    <row r="4477" spans="1:13" hidden="1">
      <c r="A4477" t="s">
        <v>101</v>
      </c>
      <c r="B4477" t="s">
        <v>8</v>
      </c>
      <c r="C4477" t="s">
        <v>100</v>
      </c>
      <c r="D4477" t="str">
        <f>LEFT(M4477,9)</f>
        <v>1/15/2025</v>
      </c>
      <c r="E4477" t="s">
        <v>202</v>
      </c>
      <c r="F4477" t="s">
        <v>218</v>
      </c>
      <c r="G4477" t="s">
        <v>243</v>
      </c>
      <c r="H4477" t="s">
        <v>394</v>
      </c>
      <c r="I4477">
        <v>754</v>
      </c>
      <c r="J4477">
        <v>2035.8</v>
      </c>
      <c r="K4477">
        <v>2.7</v>
      </c>
      <c r="M4477" t="s">
        <v>516</v>
      </c>
    </row>
    <row r="4478" spans="1:13" hidden="1">
      <c r="A4478" t="s">
        <v>101</v>
      </c>
      <c r="B4478" t="s">
        <v>8</v>
      </c>
      <c r="C4478" t="s">
        <v>100</v>
      </c>
      <c r="D4478" t="str">
        <f>LEFT(M4478,9)</f>
        <v>1/15/2025</v>
      </c>
      <c r="E4478" t="s">
        <v>232</v>
      </c>
      <c r="F4478" t="s">
        <v>255</v>
      </c>
      <c r="I4478">
        <v>0</v>
      </c>
      <c r="J4478">
        <v>50</v>
      </c>
      <c r="L4478" t="s">
        <v>396</v>
      </c>
      <c r="M4478" t="s">
        <v>516</v>
      </c>
    </row>
    <row r="4479" spans="1:13" hidden="1">
      <c r="A4479" t="s">
        <v>101</v>
      </c>
      <c r="B4479" t="s">
        <v>8</v>
      </c>
      <c r="C4479" t="s">
        <v>100</v>
      </c>
      <c r="D4479" t="str">
        <f>LEFT(M4479,9)</f>
        <v>1/15/2025</v>
      </c>
      <c r="E4479" t="s">
        <v>232</v>
      </c>
      <c r="F4479" t="s">
        <v>287</v>
      </c>
      <c r="I4479">
        <v>0</v>
      </c>
      <c r="J4479">
        <v>280</v>
      </c>
      <c r="M4479" t="s">
        <v>516</v>
      </c>
    </row>
    <row r="4480" spans="1:13" hidden="1">
      <c r="A4480" t="s">
        <v>101</v>
      </c>
      <c r="B4480" t="s">
        <v>8</v>
      </c>
      <c r="C4480" t="s">
        <v>100</v>
      </c>
      <c r="D4480" t="str">
        <f>LEFT(M4480,9)</f>
        <v>1/15/2025</v>
      </c>
      <c r="E4480" t="s">
        <v>232</v>
      </c>
      <c r="F4480" t="s">
        <v>254</v>
      </c>
      <c r="I4480">
        <v>0</v>
      </c>
      <c r="J4480">
        <v>507.75</v>
      </c>
      <c r="M4480" t="s">
        <v>516</v>
      </c>
    </row>
    <row r="4481" spans="1:13" hidden="1">
      <c r="A4481" t="s">
        <v>101</v>
      </c>
      <c r="B4481" t="s">
        <v>8</v>
      </c>
      <c r="C4481" t="s">
        <v>100</v>
      </c>
      <c r="D4481" t="str">
        <f>LEFT(M4481,9)</f>
        <v>1/15/2025</v>
      </c>
      <c r="E4481" t="s">
        <v>230</v>
      </c>
      <c r="F4481" t="s">
        <v>248</v>
      </c>
      <c r="I4481">
        <v>0</v>
      </c>
      <c r="J4481">
        <v>10154</v>
      </c>
      <c r="M4481" t="s">
        <v>516</v>
      </c>
    </row>
    <row r="4482" spans="1:13" hidden="1">
      <c r="A4482" t="s">
        <v>101</v>
      </c>
      <c r="B4482" t="s">
        <v>8</v>
      </c>
      <c r="C4482" t="s">
        <v>100</v>
      </c>
      <c r="D4482" t="str">
        <f>LEFT(M4482,9)</f>
        <v>1/15/2025</v>
      </c>
      <c r="E4482" t="s">
        <v>234</v>
      </c>
      <c r="F4482" t="s">
        <v>234</v>
      </c>
      <c r="I4482">
        <v>11460</v>
      </c>
      <c r="M4482" t="s">
        <v>516</v>
      </c>
    </row>
    <row r="4483" spans="1:13" hidden="1">
      <c r="A4483" t="s">
        <v>101</v>
      </c>
      <c r="B4483" t="s">
        <v>8</v>
      </c>
      <c r="C4483" t="s">
        <v>100</v>
      </c>
      <c r="D4483" t="str">
        <f>LEFT(M4483,9)</f>
        <v>1/15/2025</v>
      </c>
      <c r="E4483" t="s">
        <v>202</v>
      </c>
      <c r="F4483" t="s">
        <v>227</v>
      </c>
      <c r="G4483" t="s">
        <v>237</v>
      </c>
      <c r="I4483">
        <v>1716</v>
      </c>
      <c r="J4483">
        <v>1029.5999999999999</v>
      </c>
      <c r="K4483">
        <v>0.6</v>
      </c>
      <c r="M4483" t="s">
        <v>516</v>
      </c>
    </row>
    <row r="4484" spans="1:13" hidden="1">
      <c r="A4484" t="s">
        <v>101</v>
      </c>
      <c r="B4484" t="s">
        <v>8</v>
      </c>
      <c r="C4484" t="s">
        <v>100</v>
      </c>
      <c r="D4484" t="str">
        <f>LEFT(M4484,9)</f>
        <v>1/15/2025</v>
      </c>
      <c r="E4484" t="s">
        <v>202</v>
      </c>
      <c r="F4484" t="s">
        <v>218</v>
      </c>
      <c r="G4484" t="s">
        <v>241</v>
      </c>
      <c r="I4484">
        <v>131</v>
      </c>
      <c r="J4484">
        <v>563.29999999999995</v>
      </c>
      <c r="K4484">
        <v>4.3</v>
      </c>
      <c r="M4484" t="s">
        <v>516</v>
      </c>
    </row>
    <row r="4485" spans="1:13" hidden="1">
      <c r="A4485" t="s">
        <v>101</v>
      </c>
      <c r="B4485" t="s">
        <v>8</v>
      </c>
      <c r="C4485" t="s">
        <v>100</v>
      </c>
      <c r="D4485" t="str">
        <f>LEFT(M4485,9)</f>
        <v>1/15/2025</v>
      </c>
      <c r="E4485" t="s">
        <v>202</v>
      </c>
      <c r="F4485" t="s">
        <v>209</v>
      </c>
      <c r="G4485" t="s">
        <v>214</v>
      </c>
      <c r="I4485">
        <v>957.4</v>
      </c>
      <c r="J4485">
        <v>914.74</v>
      </c>
      <c r="K4485">
        <v>0.96</v>
      </c>
      <c r="M4485" t="s">
        <v>516</v>
      </c>
    </row>
    <row r="4486" spans="1:13" hidden="1">
      <c r="A4486" t="s">
        <v>101</v>
      </c>
      <c r="B4486" t="s">
        <v>8</v>
      </c>
      <c r="C4486" t="s">
        <v>100</v>
      </c>
      <c r="D4486" t="str">
        <f>LEFT(M4486,9)</f>
        <v>1/15/2025</v>
      </c>
      <c r="E4486" t="s">
        <v>202</v>
      </c>
      <c r="F4486" t="s">
        <v>203</v>
      </c>
      <c r="G4486" t="s">
        <v>204</v>
      </c>
      <c r="I4486">
        <v>300.39999999999998</v>
      </c>
      <c r="J4486">
        <v>2643.52</v>
      </c>
      <c r="K4486">
        <v>8.8000000000000007</v>
      </c>
      <c r="M4486" t="s">
        <v>516</v>
      </c>
    </row>
    <row r="4487" spans="1:13" hidden="1">
      <c r="A4487" t="s">
        <v>101</v>
      </c>
      <c r="B4487" t="s">
        <v>8</v>
      </c>
      <c r="C4487" t="s">
        <v>100</v>
      </c>
      <c r="D4487" t="str">
        <f>LEFT(M4487,9)</f>
        <v>1/15/2025</v>
      </c>
      <c r="E4487" t="s">
        <v>202</v>
      </c>
      <c r="F4487" t="s">
        <v>203</v>
      </c>
      <c r="G4487" t="s">
        <v>261</v>
      </c>
      <c r="I4487">
        <v>41.3</v>
      </c>
      <c r="J4487">
        <v>1652</v>
      </c>
      <c r="K4487">
        <v>40</v>
      </c>
      <c r="M4487" t="s">
        <v>516</v>
      </c>
    </row>
    <row r="4488" spans="1:13" hidden="1">
      <c r="A4488" t="s">
        <v>101</v>
      </c>
      <c r="B4488" t="s">
        <v>8</v>
      </c>
      <c r="C4488" t="s">
        <v>100</v>
      </c>
      <c r="D4488" t="str">
        <f>LEFT(M4488,9)</f>
        <v>1/15/2025</v>
      </c>
      <c r="E4488" t="s">
        <v>202</v>
      </c>
      <c r="F4488" t="s">
        <v>203</v>
      </c>
      <c r="G4488" t="s">
        <v>208</v>
      </c>
      <c r="I4488">
        <v>296.2</v>
      </c>
      <c r="J4488">
        <v>2101.33</v>
      </c>
      <c r="K4488">
        <v>7.09</v>
      </c>
      <c r="M4488" t="s">
        <v>516</v>
      </c>
    </row>
    <row r="4489" spans="1:13" hidden="1">
      <c r="A4489" t="s">
        <v>101</v>
      </c>
      <c r="B4489" t="s">
        <v>8</v>
      </c>
      <c r="C4489" t="s">
        <v>100</v>
      </c>
      <c r="D4489" t="str">
        <f>LEFT(M4489,9)</f>
        <v>1/15/2025</v>
      </c>
      <c r="E4489" t="s">
        <v>232</v>
      </c>
      <c r="F4489" t="s">
        <v>251</v>
      </c>
      <c r="I4489">
        <v>0</v>
      </c>
      <c r="J4489">
        <v>320</v>
      </c>
      <c r="M4489" t="s">
        <v>516</v>
      </c>
    </row>
    <row r="4490" spans="1:13" hidden="1">
      <c r="A4490" t="s">
        <v>68</v>
      </c>
      <c r="B4490" t="s">
        <v>8</v>
      </c>
      <c r="C4490" t="s">
        <v>67</v>
      </c>
      <c r="D4490" t="str">
        <f>LEFT(M4490,9)</f>
        <v>1/15/2025</v>
      </c>
      <c r="E4490" t="s">
        <v>234</v>
      </c>
      <c r="F4490" t="s">
        <v>234</v>
      </c>
      <c r="I4490">
        <v>1750</v>
      </c>
      <c r="M4490" t="s">
        <v>516</v>
      </c>
    </row>
    <row r="4491" spans="1:13" hidden="1">
      <c r="A4491" t="s">
        <v>68</v>
      </c>
      <c r="B4491" t="s">
        <v>8</v>
      </c>
      <c r="C4491" t="s">
        <v>67</v>
      </c>
      <c r="D4491" t="str">
        <f>LEFT(M4491,9)</f>
        <v>1/15/2025</v>
      </c>
      <c r="E4491" t="s">
        <v>232</v>
      </c>
      <c r="F4491" t="s">
        <v>287</v>
      </c>
      <c r="I4491">
        <v>0</v>
      </c>
      <c r="J4491">
        <v>1059.99</v>
      </c>
      <c r="M4491" t="s">
        <v>516</v>
      </c>
    </row>
    <row r="4492" spans="1:13" hidden="1">
      <c r="A4492" t="s">
        <v>68</v>
      </c>
      <c r="B4492" t="s">
        <v>8</v>
      </c>
      <c r="C4492" t="s">
        <v>67</v>
      </c>
      <c r="D4492" t="str">
        <f>LEFT(M4492,9)</f>
        <v>1/15/2025</v>
      </c>
      <c r="E4492" t="s">
        <v>230</v>
      </c>
      <c r="F4492" t="s">
        <v>248</v>
      </c>
      <c r="I4492">
        <v>0</v>
      </c>
      <c r="J4492">
        <v>9000</v>
      </c>
      <c r="M4492" t="s">
        <v>516</v>
      </c>
    </row>
    <row r="4493" spans="1:13" hidden="1">
      <c r="A4493" t="s">
        <v>68</v>
      </c>
      <c r="B4493" t="s">
        <v>8</v>
      </c>
      <c r="C4493" t="s">
        <v>67</v>
      </c>
      <c r="D4493" t="str">
        <f>LEFT(M4493,9)</f>
        <v>1/15/2025</v>
      </c>
      <c r="E4493" t="s">
        <v>202</v>
      </c>
      <c r="F4493" t="s">
        <v>227</v>
      </c>
      <c r="G4493" t="s">
        <v>237</v>
      </c>
      <c r="I4493">
        <v>802</v>
      </c>
      <c r="J4493">
        <v>481.2</v>
      </c>
      <c r="K4493">
        <v>0.6</v>
      </c>
      <c r="M4493" t="s">
        <v>516</v>
      </c>
    </row>
    <row r="4494" spans="1:13" hidden="1">
      <c r="A4494" t="s">
        <v>68</v>
      </c>
      <c r="B4494" t="s">
        <v>8</v>
      </c>
      <c r="C4494" t="s">
        <v>67</v>
      </c>
      <c r="D4494" t="str">
        <f>LEFT(M4494,9)</f>
        <v>1/15/2025</v>
      </c>
      <c r="E4494" t="s">
        <v>202</v>
      </c>
      <c r="F4494" t="s">
        <v>227</v>
      </c>
      <c r="G4494" t="s">
        <v>228</v>
      </c>
      <c r="I4494">
        <v>1403</v>
      </c>
      <c r="J4494">
        <v>350.75</v>
      </c>
      <c r="K4494">
        <v>0.25</v>
      </c>
      <c r="M4494" t="s">
        <v>516</v>
      </c>
    </row>
    <row r="4495" spans="1:13" hidden="1">
      <c r="A4495" t="s">
        <v>68</v>
      </c>
      <c r="B4495" t="s">
        <v>8</v>
      </c>
      <c r="C4495" t="s">
        <v>67</v>
      </c>
      <c r="D4495" t="str">
        <f>LEFT(M4495,9)</f>
        <v>1/15/2025</v>
      </c>
      <c r="E4495" t="s">
        <v>202</v>
      </c>
      <c r="F4495" t="s">
        <v>227</v>
      </c>
      <c r="G4495" t="s">
        <v>229</v>
      </c>
      <c r="I4495">
        <v>5623</v>
      </c>
      <c r="J4495">
        <v>4217.25</v>
      </c>
      <c r="K4495">
        <v>0.75</v>
      </c>
      <c r="M4495" t="s">
        <v>516</v>
      </c>
    </row>
    <row r="4496" spans="1:13" hidden="1">
      <c r="A4496" t="s">
        <v>68</v>
      </c>
      <c r="B4496" t="s">
        <v>8</v>
      </c>
      <c r="C4496" t="s">
        <v>67</v>
      </c>
      <c r="D4496" t="str">
        <f>LEFT(M4496,9)</f>
        <v>1/15/2025</v>
      </c>
      <c r="E4496" t="s">
        <v>202</v>
      </c>
      <c r="F4496" t="s">
        <v>227</v>
      </c>
      <c r="G4496" t="s">
        <v>238</v>
      </c>
      <c r="I4496">
        <v>326</v>
      </c>
      <c r="J4496">
        <v>146.69999999999999</v>
      </c>
      <c r="K4496">
        <v>0.45</v>
      </c>
      <c r="M4496" t="s">
        <v>516</v>
      </c>
    </row>
    <row r="4497" spans="1:13" hidden="1">
      <c r="A4497" t="s">
        <v>68</v>
      </c>
      <c r="B4497" t="s">
        <v>8</v>
      </c>
      <c r="C4497" t="s">
        <v>67</v>
      </c>
      <c r="D4497" t="str">
        <f>LEFT(M4497,9)</f>
        <v>1/15/2025</v>
      </c>
      <c r="E4497" t="s">
        <v>202</v>
      </c>
      <c r="F4497" t="s">
        <v>227</v>
      </c>
      <c r="G4497" t="s">
        <v>252</v>
      </c>
      <c r="I4497">
        <v>252</v>
      </c>
      <c r="J4497">
        <v>75.599999999999994</v>
      </c>
      <c r="K4497">
        <v>0.3</v>
      </c>
      <c r="M4497" t="s">
        <v>516</v>
      </c>
    </row>
    <row r="4498" spans="1:13" hidden="1">
      <c r="A4498" t="s">
        <v>68</v>
      </c>
      <c r="B4498" t="s">
        <v>8</v>
      </c>
      <c r="C4498" t="s">
        <v>67</v>
      </c>
      <c r="D4498" t="str">
        <f>LEFT(M4498,9)</f>
        <v>1/15/2025</v>
      </c>
      <c r="E4498" t="s">
        <v>202</v>
      </c>
      <c r="F4498" t="s">
        <v>218</v>
      </c>
      <c r="G4498" t="s">
        <v>224</v>
      </c>
      <c r="I4498">
        <v>270</v>
      </c>
      <c r="J4498">
        <v>229.5</v>
      </c>
      <c r="K4498">
        <v>0.85</v>
      </c>
      <c r="M4498" t="s">
        <v>516</v>
      </c>
    </row>
    <row r="4499" spans="1:13" hidden="1">
      <c r="A4499" t="s">
        <v>68</v>
      </c>
      <c r="B4499" t="s">
        <v>8</v>
      </c>
      <c r="C4499" t="s">
        <v>67</v>
      </c>
      <c r="D4499" t="str">
        <f>LEFT(M4499,9)</f>
        <v>1/15/2025</v>
      </c>
      <c r="E4499" t="s">
        <v>202</v>
      </c>
      <c r="F4499" t="s">
        <v>218</v>
      </c>
      <c r="G4499" t="s">
        <v>221</v>
      </c>
      <c r="I4499">
        <v>288</v>
      </c>
      <c r="J4499">
        <v>648</v>
      </c>
      <c r="K4499">
        <v>2.25</v>
      </c>
      <c r="M4499" t="s">
        <v>516</v>
      </c>
    </row>
    <row r="4500" spans="1:13" hidden="1">
      <c r="A4500" t="s">
        <v>68</v>
      </c>
      <c r="B4500" t="s">
        <v>8</v>
      </c>
      <c r="C4500" t="s">
        <v>67</v>
      </c>
      <c r="D4500" t="str">
        <f>LEFT(M4500,9)</f>
        <v>1/15/2025</v>
      </c>
      <c r="E4500" t="s">
        <v>202</v>
      </c>
      <c r="F4500" t="s">
        <v>218</v>
      </c>
      <c r="G4500" t="s">
        <v>221</v>
      </c>
      <c r="I4500">
        <v>339</v>
      </c>
      <c r="J4500">
        <v>796.65</v>
      </c>
      <c r="K4500">
        <v>2.35</v>
      </c>
      <c r="M4500" t="s">
        <v>516</v>
      </c>
    </row>
    <row r="4501" spans="1:13" hidden="1">
      <c r="A4501" t="s">
        <v>68</v>
      </c>
      <c r="B4501" t="s">
        <v>8</v>
      </c>
      <c r="C4501" t="s">
        <v>67</v>
      </c>
      <c r="D4501" t="str">
        <f>LEFT(M4501,9)</f>
        <v>1/15/2025</v>
      </c>
      <c r="E4501" t="s">
        <v>202</v>
      </c>
      <c r="F4501" t="s">
        <v>218</v>
      </c>
      <c r="G4501" t="s">
        <v>220</v>
      </c>
      <c r="I4501">
        <v>714</v>
      </c>
      <c r="J4501">
        <v>928.2</v>
      </c>
      <c r="K4501">
        <v>1.3</v>
      </c>
      <c r="M4501" t="s">
        <v>516</v>
      </c>
    </row>
    <row r="4502" spans="1:13" hidden="1">
      <c r="A4502" t="s">
        <v>68</v>
      </c>
      <c r="B4502" t="s">
        <v>8</v>
      </c>
      <c r="C4502" t="s">
        <v>67</v>
      </c>
      <c r="D4502" t="str">
        <f>LEFT(M4502,9)</f>
        <v>1/15/2025</v>
      </c>
      <c r="E4502" t="s">
        <v>202</v>
      </c>
      <c r="F4502" t="s">
        <v>218</v>
      </c>
      <c r="G4502" t="s">
        <v>247</v>
      </c>
      <c r="I4502">
        <v>34</v>
      </c>
      <c r="J4502">
        <v>115.6</v>
      </c>
      <c r="K4502">
        <v>3.4</v>
      </c>
      <c r="M4502" t="s">
        <v>516</v>
      </c>
    </row>
    <row r="4503" spans="1:13" hidden="1">
      <c r="A4503" t="s">
        <v>68</v>
      </c>
      <c r="B4503" t="s">
        <v>8</v>
      </c>
      <c r="C4503" t="s">
        <v>67</v>
      </c>
      <c r="D4503" t="str">
        <f>LEFT(M4503,9)</f>
        <v>1/15/2025</v>
      </c>
      <c r="E4503" t="s">
        <v>202</v>
      </c>
      <c r="F4503" t="s">
        <v>218</v>
      </c>
      <c r="G4503" t="s">
        <v>223</v>
      </c>
      <c r="I4503">
        <v>1010</v>
      </c>
      <c r="J4503">
        <v>808</v>
      </c>
      <c r="K4503">
        <v>0.8</v>
      </c>
      <c r="M4503" t="s">
        <v>516</v>
      </c>
    </row>
    <row r="4504" spans="1:13" hidden="1">
      <c r="A4504" t="s">
        <v>68</v>
      </c>
      <c r="B4504" t="s">
        <v>8</v>
      </c>
      <c r="C4504" t="s">
        <v>67</v>
      </c>
      <c r="D4504" t="str">
        <f>LEFT(M4504,9)</f>
        <v>1/15/2025</v>
      </c>
      <c r="E4504" t="s">
        <v>202</v>
      </c>
      <c r="F4504" t="s">
        <v>218</v>
      </c>
      <c r="G4504" t="s">
        <v>223</v>
      </c>
      <c r="I4504">
        <v>263</v>
      </c>
      <c r="J4504">
        <v>197.25</v>
      </c>
      <c r="K4504">
        <v>0.75</v>
      </c>
      <c r="M4504" t="s">
        <v>516</v>
      </c>
    </row>
    <row r="4505" spans="1:13" hidden="1">
      <c r="A4505" t="s">
        <v>68</v>
      </c>
      <c r="B4505" t="s">
        <v>8</v>
      </c>
      <c r="C4505" t="s">
        <v>67</v>
      </c>
      <c r="D4505" t="str">
        <f>LEFT(M4505,9)</f>
        <v>1/15/2025</v>
      </c>
      <c r="E4505" t="s">
        <v>202</v>
      </c>
      <c r="F4505" t="s">
        <v>218</v>
      </c>
      <c r="G4505" t="s">
        <v>241</v>
      </c>
      <c r="I4505">
        <v>841</v>
      </c>
      <c r="J4505">
        <v>3364</v>
      </c>
      <c r="K4505">
        <v>4</v>
      </c>
      <c r="M4505" t="s">
        <v>516</v>
      </c>
    </row>
    <row r="4506" spans="1:13" hidden="1">
      <c r="A4506" t="s">
        <v>68</v>
      </c>
      <c r="B4506" t="s">
        <v>8</v>
      </c>
      <c r="C4506" t="s">
        <v>67</v>
      </c>
      <c r="D4506" t="str">
        <f>LEFT(M4506,9)</f>
        <v>1/15/2025</v>
      </c>
      <c r="E4506" t="s">
        <v>202</v>
      </c>
      <c r="F4506" t="s">
        <v>218</v>
      </c>
      <c r="G4506" t="s">
        <v>242</v>
      </c>
      <c r="I4506">
        <v>74</v>
      </c>
      <c r="J4506">
        <v>133.19999999999999</v>
      </c>
      <c r="K4506">
        <v>1.8</v>
      </c>
      <c r="M4506" t="s">
        <v>516</v>
      </c>
    </row>
    <row r="4507" spans="1:13" hidden="1">
      <c r="A4507" t="s">
        <v>68</v>
      </c>
      <c r="B4507" t="s">
        <v>8</v>
      </c>
      <c r="C4507" t="s">
        <v>67</v>
      </c>
      <c r="D4507" t="str">
        <f>LEFT(M4507,9)</f>
        <v>1/15/2025</v>
      </c>
      <c r="E4507" t="s">
        <v>202</v>
      </c>
      <c r="F4507" t="s">
        <v>218</v>
      </c>
      <c r="G4507" t="s">
        <v>219</v>
      </c>
      <c r="I4507">
        <v>69</v>
      </c>
      <c r="J4507">
        <v>13.8</v>
      </c>
      <c r="K4507">
        <v>0.2</v>
      </c>
      <c r="M4507" t="s">
        <v>516</v>
      </c>
    </row>
    <row r="4508" spans="1:13" hidden="1">
      <c r="A4508" t="s">
        <v>68</v>
      </c>
      <c r="B4508" t="s">
        <v>8</v>
      </c>
      <c r="C4508" t="s">
        <v>67</v>
      </c>
      <c r="D4508" t="str">
        <f>LEFT(M4508,9)</f>
        <v>1/15/2025</v>
      </c>
      <c r="E4508" t="s">
        <v>202</v>
      </c>
      <c r="F4508" t="s">
        <v>218</v>
      </c>
      <c r="G4508" t="s">
        <v>225</v>
      </c>
      <c r="I4508">
        <v>78</v>
      </c>
      <c r="J4508">
        <v>93.6</v>
      </c>
      <c r="K4508">
        <v>1.2</v>
      </c>
      <c r="M4508" t="s">
        <v>516</v>
      </c>
    </row>
    <row r="4509" spans="1:13" hidden="1">
      <c r="A4509" t="s">
        <v>68</v>
      </c>
      <c r="B4509" t="s">
        <v>8</v>
      </c>
      <c r="C4509" t="s">
        <v>67</v>
      </c>
      <c r="D4509" t="str">
        <f>LEFT(M4509,9)</f>
        <v>1/15/2025</v>
      </c>
      <c r="E4509" t="s">
        <v>202</v>
      </c>
      <c r="F4509" t="s">
        <v>218</v>
      </c>
      <c r="G4509" t="s">
        <v>222</v>
      </c>
      <c r="I4509">
        <v>885</v>
      </c>
      <c r="J4509">
        <v>1150.5</v>
      </c>
      <c r="K4509">
        <v>1.3</v>
      </c>
      <c r="M4509" t="s">
        <v>516</v>
      </c>
    </row>
    <row r="4510" spans="1:13" hidden="1">
      <c r="A4510" t="s">
        <v>68</v>
      </c>
      <c r="B4510" t="s">
        <v>8</v>
      </c>
      <c r="C4510" t="s">
        <v>67</v>
      </c>
      <c r="D4510" t="str">
        <f>LEFT(M4510,9)</f>
        <v>1/15/2025</v>
      </c>
      <c r="E4510" t="s">
        <v>202</v>
      </c>
      <c r="F4510" t="s">
        <v>218</v>
      </c>
      <c r="G4510" t="s">
        <v>222</v>
      </c>
      <c r="I4510">
        <v>238.5</v>
      </c>
      <c r="J4510">
        <v>381.6</v>
      </c>
      <c r="K4510">
        <v>1.6</v>
      </c>
      <c r="M4510" t="s">
        <v>516</v>
      </c>
    </row>
    <row r="4511" spans="1:13" hidden="1">
      <c r="A4511" t="s">
        <v>68</v>
      </c>
      <c r="B4511" t="s">
        <v>8</v>
      </c>
      <c r="C4511" t="s">
        <v>67</v>
      </c>
      <c r="D4511" t="str">
        <f>LEFT(M4511,9)</f>
        <v>1/15/2025</v>
      </c>
      <c r="E4511" t="s">
        <v>202</v>
      </c>
      <c r="F4511" t="s">
        <v>218</v>
      </c>
      <c r="G4511" t="s">
        <v>266</v>
      </c>
      <c r="I4511">
        <v>125</v>
      </c>
      <c r="J4511">
        <v>6.25</v>
      </c>
      <c r="K4511">
        <v>0.05</v>
      </c>
      <c r="M4511" t="s">
        <v>516</v>
      </c>
    </row>
    <row r="4512" spans="1:13" hidden="1">
      <c r="A4512" t="s">
        <v>68</v>
      </c>
      <c r="B4512" t="s">
        <v>8</v>
      </c>
      <c r="C4512" t="s">
        <v>67</v>
      </c>
      <c r="D4512" t="str">
        <f>LEFT(M4512,9)</f>
        <v>1/15/2025</v>
      </c>
      <c r="E4512" t="s">
        <v>202</v>
      </c>
      <c r="F4512" t="s">
        <v>218</v>
      </c>
      <c r="G4512" t="s">
        <v>226</v>
      </c>
      <c r="I4512">
        <v>519</v>
      </c>
      <c r="J4512">
        <v>129.75</v>
      </c>
      <c r="K4512">
        <v>0.25</v>
      </c>
      <c r="M4512" t="s">
        <v>516</v>
      </c>
    </row>
    <row r="4513" spans="1:13" hidden="1">
      <c r="A4513" t="s">
        <v>68</v>
      </c>
      <c r="B4513" t="s">
        <v>8</v>
      </c>
      <c r="C4513" t="s">
        <v>67</v>
      </c>
      <c r="D4513" t="str">
        <f>LEFT(M4513,9)</f>
        <v>1/15/2025</v>
      </c>
      <c r="E4513" t="s">
        <v>202</v>
      </c>
      <c r="F4513" t="s">
        <v>218</v>
      </c>
      <c r="G4513" t="s">
        <v>267</v>
      </c>
      <c r="I4513">
        <v>144</v>
      </c>
      <c r="J4513">
        <v>7.2</v>
      </c>
      <c r="K4513">
        <v>0.05</v>
      </c>
      <c r="M4513" t="s">
        <v>516</v>
      </c>
    </row>
    <row r="4514" spans="1:13" hidden="1">
      <c r="A4514" t="s">
        <v>68</v>
      </c>
      <c r="B4514" t="s">
        <v>8</v>
      </c>
      <c r="C4514" t="s">
        <v>67</v>
      </c>
      <c r="D4514" t="str">
        <f>LEFT(M4514,9)</f>
        <v>1/15/2025</v>
      </c>
      <c r="E4514" t="s">
        <v>202</v>
      </c>
      <c r="F4514" t="s">
        <v>203</v>
      </c>
      <c r="G4514" t="s">
        <v>207</v>
      </c>
      <c r="I4514">
        <v>32</v>
      </c>
      <c r="J4514">
        <v>128</v>
      </c>
      <c r="K4514">
        <v>4</v>
      </c>
      <c r="M4514" t="s">
        <v>516</v>
      </c>
    </row>
    <row r="4515" spans="1:13" hidden="1">
      <c r="A4515" t="s">
        <v>68</v>
      </c>
      <c r="B4515" t="s">
        <v>8</v>
      </c>
      <c r="C4515" t="s">
        <v>67</v>
      </c>
      <c r="D4515" t="str">
        <f>LEFT(M4515,9)</f>
        <v>1/15/2025</v>
      </c>
      <c r="E4515" t="s">
        <v>202</v>
      </c>
      <c r="F4515" t="s">
        <v>203</v>
      </c>
      <c r="G4515" t="s">
        <v>204</v>
      </c>
      <c r="I4515">
        <v>154</v>
      </c>
      <c r="J4515">
        <v>1386</v>
      </c>
      <c r="K4515">
        <v>9</v>
      </c>
      <c r="M4515" t="s">
        <v>516</v>
      </c>
    </row>
    <row r="4516" spans="1:13" hidden="1">
      <c r="A4516" t="s">
        <v>68</v>
      </c>
      <c r="B4516" t="s">
        <v>8</v>
      </c>
      <c r="C4516" t="s">
        <v>67</v>
      </c>
      <c r="D4516" t="str">
        <f>LEFT(M4516,9)</f>
        <v>1/15/2025</v>
      </c>
      <c r="E4516" t="s">
        <v>202</v>
      </c>
      <c r="F4516" t="s">
        <v>203</v>
      </c>
      <c r="G4516" t="s">
        <v>208</v>
      </c>
      <c r="I4516">
        <v>53</v>
      </c>
      <c r="J4516">
        <v>477</v>
      </c>
      <c r="K4516">
        <v>9</v>
      </c>
      <c r="M4516" t="s">
        <v>516</v>
      </c>
    </row>
    <row r="4517" spans="1:13" hidden="1">
      <c r="A4517" t="s">
        <v>68</v>
      </c>
      <c r="B4517" t="s">
        <v>8</v>
      </c>
      <c r="C4517" t="s">
        <v>67</v>
      </c>
      <c r="D4517" t="str">
        <f>LEFT(M4517,9)</f>
        <v>1/15/2025</v>
      </c>
      <c r="E4517" t="s">
        <v>202</v>
      </c>
      <c r="F4517" t="s">
        <v>203</v>
      </c>
      <c r="G4517" t="s">
        <v>215</v>
      </c>
      <c r="I4517">
        <v>3427</v>
      </c>
      <c r="J4517">
        <v>1713.5</v>
      </c>
      <c r="K4517">
        <v>0.5</v>
      </c>
      <c r="M4517" t="s">
        <v>516</v>
      </c>
    </row>
    <row r="4518" spans="1:13" hidden="1">
      <c r="A4518" t="s">
        <v>68</v>
      </c>
      <c r="B4518" t="s">
        <v>8</v>
      </c>
      <c r="C4518" t="s">
        <v>67</v>
      </c>
      <c r="D4518" t="str">
        <f>LEFT(M4518,9)</f>
        <v>1/15/2025</v>
      </c>
      <c r="E4518" t="s">
        <v>202</v>
      </c>
      <c r="F4518" t="s">
        <v>216</v>
      </c>
      <c r="G4518" t="s">
        <v>217</v>
      </c>
      <c r="I4518">
        <v>9000</v>
      </c>
      <c r="J4518">
        <v>900</v>
      </c>
      <c r="K4518">
        <v>0.1</v>
      </c>
      <c r="M4518" t="s">
        <v>516</v>
      </c>
    </row>
    <row r="4519" spans="1:13" hidden="1">
      <c r="A4519" t="s">
        <v>68</v>
      </c>
      <c r="B4519" t="s">
        <v>8</v>
      </c>
      <c r="C4519" t="s">
        <v>67</v>
      </c>
      <c r="D4519" t="str">
        <f>LEFT(M4519,9)</f>
        <v>1/15/2025</v>
      </c>
      <c r="E4519" t="s">
        <v>202</v>
      </c>
      <c r="F4519" t="s">
        <v>218</v>
      </c>
      <c r="G4519" t="s">
        <v>243</v>
      </c>
      <c r="H4519" t="s">
        <v>538</v>
      </c>
      <c r="I4519">
        <v>10</v>
      </c>
      <c r="J4519">
        <v>4</v>
      </c>
      <c r="K4519">
        <v>0.4</v>
      </c>
      <c r="M4519" t="s">
        <v>516</v>
      </c>
    </row>
    <row r="4520" spans="1:13" hidden="1">
      <c r="A4520" t="s">
        <v>68</v>
      </c>
      <c r="B4520" t="s">
        <v>8</v>
      </c>
      <c r="C4520" t="s">
        <v>67</v>
      </c>
      <c r="D4520" t="str">
        <f>LEFT(M4520,9)</f>
        <v>1/15/2025</v>
      </c>
      <c r="E4520" t="s">
        <v>202</v>
      </c>
      <c r="F4520" t="s">
        <v>218</v>
      </c>
      <c r="G4520" t="s">
        <v>243</v>
      </c>
      <c r="H4520" t="s">
        <v>539</v>
      </c>
      <c r="I4520">
        <v>32</v>
      </c>
      <c r="J4520">
        <v>19.2</v>
      </c>
      <c r="K4520">
        <v>0.6</v>
      </c>
      <c r="M4520" t="s">
        <v>516</v>
      </c>
    </row>
    <row r="4521" spans="1:13" hidden="1">
      <c r="A4521" t="s">
        <v>68</v>
      </c>
      <c r="B4521" t="s">
        <v>8</v>
      </c>
      <c r="C4521" t="s">
        <v>67</v>
      </c>
      <c r="D4521" t="str">
        <f>LEFT(M4521,9)</f>
        <v>1/15/2025</v>
      </c>
      <c r="E4521" t="s">
        <v>202</v>
      </c>
      <c r="F4521" t="s">
        <v>218</v>
      </c>
      <c r="G4521" t="s">
        <v>243</v>
      </c>
      <c r="H4521" t="s">
        <v>337</v>
      </c>
      <c r="I4521">
        <v>12</v>
      </c>
      <c r="J4521">
        <v>7.2</v>
      </c>
      <c r="K4521">
        <v>0.6</v>
      </c>
      <c r="M4521" t="s">
        <v>516</v>
      </c>
    </row>
    <row r="4522" spans="1:13" hidden="1">
      <c r="A4522" t="s">
        <v>68</v>
      </c>
      <c r="B4522" t="s">
        <v>8</v>
      </c>
      <c r="C4522" t="s">
        <v>67</v>
      </c>
      <c r="D4522" t="str">
        <f>LEFT(M4522,9)</f>
        <v>1/15/2025</v>
      </c>
      <c r="E4522" t="s">
        <v>202</v>
      </c>
      <c r="F4522" t="s">
        <v>218</v>
      </c>
      <c r="G4522" t="s">
        <v>243</v>
      </c>
      <c r="H4522" t="s">
        <v>540</v>
      </c>
      <c r="I4522">
        <v>11</v>
      </c>
      <c r="J4522">
        <v>5.5</v>
      </c>
      <c r="K4522">
        <v>0.5</v>
      </c>
      <c r="M4522" t="s">
        <v>516</v>
      </c>
    </row>
    <row r="4523" spans="1:13" hidden="1">
      <c r="A4523" t="s">
        <v>115</v>
      </c>
      <c r="B4523" t="s">
        <v>8</v>
      </c>
      <c r="C4523" t="s">
        <v>30</v>
      </c>
      <c r="D4523" t="str">
        <f>LEFT(M4523,9)</f>
        <v>1/15/2025</v>
      </c>
      <c r="E4523" t="s">
        <v>202</v>
      </c>
      <c r="F4523" t="s">
        <v>218</v>
      </c>
      <c r="G4523" t="s">
        <v>219</v>
      </c>
      <c r="I4523">
        <v>919</v>
      </c>
      <c r="J4523">
        <v>2481</v>
      </c>
      <c r="K4523">
        <v>2.7</v>
      </c>
      <c r="M4523" t="s">
        <v>516</v>
      </c>
    </row>
    <row r="4524" spans="1:13" hidden="1">
      <c r="A4524" t="s">
        <v>115</v>
      </c>
      <c r="B4524" t="s">
        <v>8</v>
      </c>
      <c r="C4524" t="s">
        <v>30</v>
      </c>
      <c r="D4524" t="str">
        <f>LEFT(M4524,9)</f>
        <v>1/15/2025</v>
      </c>
      <c r="E4524" t="s">
        <v>202</v>
      </c>
      <c r="F4524" t="s">
        <v>218</v>
      </c>
      <c r="G4524" t="s">
        <v>221</v>
      </c>
      <c r="I4524">
        <v>775</v>
      </c>
      <c r="J4524">
        <v>1705</v>
      </c>
      <c r="K4524">
        <v>2.2000000000000002</v>
      </c>
      <c r="M4524" t="s">
        <v>516</v>
      </c>
    </row>
    <row r="4525" spans="1:13" hidden="1">
      <c r="A4525" t="s">
        <v>115</v>
      </c>
      <c r="B4525" t="s">
        <v>8</v>
      </c>
      <c r="C4525" t="s">
        <v>30</v>
      </c>
      <c r="D4525" t="str">
        <f>LEFT(M4525,9)</f>
        <v>1/15/2025</v>
      </c>
      <c r="E4525" t="s">
        <v>202</v>
      </c>
      <c r="F4525" t="s">
        <v>218</v>
      </c>
      <c r="G4525" t="s">
        <v>222</v>
      </c>
      <c r="I4525">
        <v>299</v>
      </c>
      <c r="J4525">
        <v>239</v>
      </c>
      <c r="K4525">
        <v>0.8</v>
      </c>
      <c r="M4525" t="s">
        <v>516</v>
      </c>
    </row>
    <row r="4526" spans="1:13" hidden="1">
      <c r="A4526" t="s">
        <v>115</v>
      </c>
      <c r="B4526" t="s">
        <v>8</v>
      </c>
      <c r="C4526" t="s">
        <v>30</v>
      </c>
      <c r="D4526" t="str">
        <f>LEFT(M4526,9)</f>
        <v>1/15/2025</v>
      </c>
      <c r="E4526" t="s">
        <v>202</v>
      </c>
      <c r="F4526" t="s">
        <v>218</v>
      </c>
      <c r="G4526" t="s">
        <v>219</v>
      </c>
      <c r="I4526">
        <v>179</v>
      </c>
      <c r="J4526">
        <v>232.7</v>
      </c>
      <c r="K4526">
        <v>1.3</v>
      </c>
      <c r="M4526" t="s">
        <v>516</v>
      </c>
    </row>
    <row r="4527" spans="1:13" hidden="1">
      <c r="A4527" t="s">
        <v>115</v>
      </c>
      <c r="B4527" t="s">
        <v>8</v>
      </c>
      <c r="C4527" t="s">
        <v>30</v>
      </c>
      <c r="D4527" t="str">
        <f>LEFT(M4527,9)</f>
        <v>1/15/2025</v>
      </c>
      <c r="E4527" t="s">
        <v>202</v>
      </c>
      <c r="F4527" t="s">
        <v>218</v>
      </c>
      <c r="G4527" t="s">
        <v>240</v>
      </c>
      <c r="I4527">
        <v>543</v>
      </c>
      <c r="J4527">
        <v>624.45000000000005</v>
      </c>
      <c r="K4527">
        <v>1.1499999999999999</v>
      </c>
      <c r="M4527" t="s">
        <v>516</v>
      </c>
    </row>
    <row r="4528" spans="1:13" hidden="1">
      <c r="A4528" t="s">
        <v>115</v>
      </c>
      <c r="B4528" t="s">
        <v>8</v>
      </c>
      <c r="C4528" t="s">
        <v>30</v>
      </c>
      <c r="D4528" t="str">
        <f>LEFT(M4528,9)</f>
        <v>1/15/2025</v>
      </c>
      <c r="E4528" t="s">
        <v>202</v>
      </c>
      <c r="F4528" t="s">
        <v>218</v>
      </c>
      <c r="G4528" t="s">
        <v>223</v>
      </c>
      <c r="I4528">
        <v>985</v>
      </c>
      <c r="J4528">
        <v>640.25</v>
      </c>
      <c r="K4528">
        <v>0.65</v>
      </c>
      <c r="M4528" t="s">
        <v>516</v>
      </c>
    </row>
    <row r="4529" spans="1:13" hidden="1">
      <c r="A4529" t="s">
        <v>115</v>
      </c>
      <c r="B4529" t="s">
        <v>8</v>
      </c>
      <c r="C4529" t="s">
        <v>30</v>
      </c>
      <c r="D4529" t="str">
        <f>LEFT(M4529,9)</f>
        <v>1/15/2025</v>
      </c>
      <c r="E4529" t="s">
        <v>202</v>
      </c>
      <c r="F4529" t="s">
        <v>218</v>
      </c>
      <c r="G4529" t="s">
        <v>226</v>
      </c>
      <c r="I4529">
        <v>283</v>
      </c>
      <c r="J4529">
        <v>70.75</v>
      </c>
      <c r="K4529">
        <v>0.25</v>
      </c>
      <c r="M4529" t="s">
        <v>516</v>
      </c>
    </row>
    <row r="4530" spans="1:13" hidden="1">
      <c r="A4530" t="s">
        <v>115</v>
      </c>
      <c r="B4530" t="s">
        <v>8</v>
      </c>
      <c r="C4530" t="s">
        <v>30</v>
      </c>
      <c r="D4530" t="str">
        <f>LEFT(M4530,9)</f>
        <v>1/15/2025</v>
      </c>
      <c r="E4530" t="s">
        <v>202</v>
      </c>
      <c r="F4530" t="s">
        <v>218</v>
      </c>
      <c r="G4530" t="s">
        <v>223</v>
      </c>
      <c r="I4530">
        <v>393</v>
      </c>
      <c r="J4530">
        <v>235.6</v>
      </c>
      <c r="K4530">
        <v>0.6</v>
      </c>
      <c r="M4530" t="s">
        <v>516</v>
      </c>
    </row>
    <row r="4531" spans="1:13" hidden="1">
      <c r="A4531" t="s">
        <v>115</v>
      </c>
      <c r="B4531" t="s">
        <v>8</v>
      </c>
      <c r="C4531" t="s">
        <v>30</v>
      </c>
      <c r="D4531" t="str">
        <f>LEFT(M4531,9)</f>
        <v>1/15/2025</v>
      </c>
      <c r="E4531" t="s">
        <v>202</v>
      </c>
      <c r="F4531" t="s">
        <v>227</v>
      </c>
      <c r="G4531" t="s">
        <v>228</v>
      </c>
      <c r="I4531">
        <v>4748</v>
      </c>
      <c r="J4531">
        <v>712.2</v>
      </c>
      <c r="K4531">
        <v>0.15</v>
      </c>
      <c r="M4531" t="s">
        <v>516</v>
      </c>
    </row>
    <row r="4532" spans="1:13" hidden="1">
      <c r="A4532" t="s">
        <v>115</v>
      </c>
      <c r="B4532" t="s">
        <v>8</v>
      </c>
      <c r="C4532" t="s">
        <v>30</v>
      </c>
      <c r="D4532" t="str">
        <f>LEFT(M4532,9)</f>
        <v>1/15/2025</v>
      </c>
      <c r="E4532" t="s">
        <v>202</v>
      </c>
      <c r="F4532" t="s">
        <v>218</v>
      </c>
      <c r="G4532" t="s">
        <v>224</v>
      </c>
      <c r="I4532">
        <v>107</v>
      </c>
      <c r="J4532">
        <v>74.900000000000006</v>
      </c>
      <c r="K4532">
        <v>0.7</v>
      </c>
      <c r="M4532" t="s">
        <v>516</v>
      </c>
    </row>
    <row r="4533" spans="1:13" hidden="1">
      <c r="A4533" t="s">
        <v>115</v>
      </c>
      <c r="B4533" t="s">
        <v>8</v>
      </c>
      <c r="C4533" t="s">
        <v>30</v>
      </c>
      <c r="D4533" t="str">
        <f>LEFT(M4533,9)</f>
        <v>1/15/2025</v>
      </c>
      <c r="E4533" t="s">
        <v>202</v>
      </c>
      <c r="F4533" t="s">
        <v>227</v>
      </c>
      <c r="G4533" t="s">
        <v>229</v>
      </c>
      <c r="I4533">
        <v>7960</v>
      </c>
      <c r="J4533">
        <v>5174</v>
      </c>
      <c r="K4533">
        <v>0.65</v>
      </c>
      <c r="M4533" t="s">
        <v>516</v>
      </c>
    </row>
    <row r="4534" spans="1:13" hidden="1">
      <c r="A4534" t="s">
        <v>115</v>
      </c>
      <c r="B4534" t="s">
        <v>8</v>
      </c>
      <c r="C4534" t="s">
        <v>30</v>
      </c>
      <c r="D4534" t="str">
        <f>LEFT(M4534,9)</f>
        <v>1/15/2025</v>
      </c>
      <c r="E4534" t="s">
        <v>202</v>
      </c>
      <c r="F4534" t="s">
        <v>203</v>
      </c>
      <c r="G4534" t="s">
        <v>215</v>
      </c>
      <c r="I4534">
        <v>760</v>
      </c>
      <c r="J4534">
        <v>494</v>
      </c>
      <c r="K4534">
        <v>0.65</v>
      </c>
      <c r="M4534" t="s">
        <v>516</v>
      </c>
    </row>
    <row r="4535" spans="1:13" hidden="1">
      <c r="A4535" t="s">
        <v>115</v>
      </c>
      <c r="B4535" t="s">
        <v>8</v>
      </c>
      <c r="C4535" t="s">
        <v>30</v>
      </c>
      <c r="D4535" t="str">
        <f>LEFT(M4535,9)</f>
        <v>1/15/2025</v>
      </c>
      <c r="E4535" t="s">
        <v>202</v>
      </c>
      <c r="F4535" t="s">
        <v>216</v>
      </c>
      <c r="G4535" t="s">
        <v>217</v>
      </c>
      <c r="I4535">
        <v>6000</v>
      </c>
      <c r="J4535">
        <v>650</v>
      </c>
      <c r="K4535">
        <v>0.11</v>
      </c>
      <c r="M4535" t="s">
        <v>516</v>
      </c>
    </row>
    <row r="4536" spans="1:13" hidden="1">
      <c r="A4536" t="s">
        <v>115</v>
      </c>
      <c r="B4536" t="s">
        <v>8</v>
      </c>
      <c r="C4536" t="s">
        <v>30</v>
      </c>
      <c r="D4536" t="str">
        <f>LEFT(M4536,9)</f>
        <v>1/15/2025</v>
      </c>
      <c r="E4536" t="s">
        <v>234</v>
      </c>
      <c r="F4536" t="s">
        <v>234</v>
      </c>
      <c r="I4536">
        <v>0</v>
      </c>
      <c r="M4536" t="s">
        <v>516</v>
      </c>
    </row>
    <row r="4537" spans="1:13" hidden="1">
      <c r="A4537" t="s">
        <v>115</v>
      </c>
      <c r="B4537" t="s">
        <v>8</v>
      </c>
      <c r="C4537" t="s">
        <v>30</v>
      </c>
      <c r="D4537" t="str">
        <f>LEFT(M4537,9)</f>
        <v>1/15/2025</v>
      </c>
      <c r="E4537" t="s">
        <v>232</v>
      </c>
      <c r="F4537" t="s">
        <v>233</v>
      </c>
      <c r="I4537">
        <v>0</v>
      </c>
      <c r="J4537">
        <v>650</v>
      </c>
      <c r="M4537" t="s">
        <v>516</v>
      </c>
    </row>
    <row r="4538" spans="1:13" hidden="1">
      <c r="A4538" t="s">
        <v>115</v>
      </c>
      <c r="B4538" t="s">
        <v>8</v>
      </c>
      <c r="C4538" t="s">
        <v>30</v>
      </c>
      <c r="D4538" t="str">
        <f>LEFT(M4538,9)</f>
        <v>1/15/2025</v>
      </c>
      <c r="E4538" t="s">
        <v>230</v>
      </c>
      <c r="F4538" t="s">
        <v>248</v>
      </c>
      <c r="I4538">
        <v>0</v>
      </c>
      <c r="J4538">
        <v>8954</v>
      </c>
      <c r="M4538" t="s">
        <v>516</v>
      </c>
    </row>
    <row r="4539" spans="1:13" hidden="1">
      <c r="A4539" t="s">
        <v>115</v>
      </c>
      <c r="B4539" t="s">
        <v>8</v>
      </c>
      <c r="C4539" t="s">
        <v>30</v>
      </c>
      <c r="D4539" t="str">
        <f>LEFT(M4539,9)</f>
        <v>1/15/2025</v>
      </c>
      <c r="E4539" t="s">
        <v>230</v>
      </c>
      <c r="F4539" t="s">
        <v>231</v>
      </c>
      <c r="I4539">
        <v>0</v>
      </c>
      <c r="J4539">
        <v>937</v>
      </c>
      <c r="M4539" t="s">
        <v>516</v>
      </c>
    </row>
    <row r="4540" spans="1:13" hidden="1">
      <c r="A4540" t="s">
        <v>115</v>
      </c>
      <c r="B4540" t="s">
        <v>8</v>
      </c>
      <c r="C4540" t="s">
        <v>30</v>
      </c>
      <c r="D4540" t="str">
        <f>LEFT(M4540,9)</f>
        <v>1/15/2025</v>
      </c>
      <c r="E4540" t="s">
        <v>202</v>
      </c>
      <c r="F4540" t="s">
        <v>218</v>
      </c>
      <c r="G4540" t="s">
        <v>267</v>
      </c>
      <c r="I4540">
        <v>256</v>
      </c>
      <c r="J4540">
        <v>365</v>
      </c>
      <c r="K4540">
        <v>1.43</v>
      </c>
      <c r="M4540" t="s">
        <v>516</v>
      </c>
    </row>
    <row r="4541" spans="1:13" hidden="1">
      <c r="A4541" t="s">
        <v>146</v>
      </c>
      <c r="B4541" t="s">
        <v>24</v>
      </c>
      <c r="C4541" t="s">
        <v>19</v>
      </c>
      <c r="D4541" t="str">
        <f>LEFT(M4541,9)</f>
        <v>1/15/2025</v>
      </c>
      <c r="E4541" t="s">
        <v>202</v>
      </c>
      <c r="F4541" t="s">
        <v>227</v>
      </c>
      <c r="G4541" t="s">
        <v>229</v>
      </c>
      <c r="I4541">
        <v>6890</v>
      </c>
      <c r="J4541">
        <v>4145.3999999999996</v>
      </c>
      <c r="K4541">
        <v>0.6</v>
      </c>
      <c r="M4541" t="s">
        <v>516</v>
      </c>
    </row>
    <row r="4542" spans="1:13" hidden="1">
      <c r="A4542" t="s">
        <v>146</v>
      </c>
      <c r="B4542" t="s">
        <v>24</v>
      </c>
      <c r="C4542" t="s">
        <v>19</v>
      </c>
      <c r="D4542" t="str">
        <f>LEFT(M4542,9)</f>
        <v>1/15/2025</v>
      </c>
      <c r="E4542" t="s">
        <v>202</v>
      </c>
      <c r="F4542" t="s">
        <v>227</v>
      </c>
      <c r="G4542" t="s">
        <v>237</v>
      </c>
      <c r="I4542">
        <v>1050</v>
      </c>
      <c r="J4542">
        <v>735</v>
      </c>
      <c r="K4542">
        <v>0.7</v>
      </c>
      <c r="M4542" t="s">
        <v>516</v>
      </c>
    </row>
    <row r="4543" spans="1:13" hidden="1">
      <c r="A4543" t="s">
        <v>146</v>
      </c>
      <c r="B4543" t="s">
        <v>24</v>
      </c>
      <c r="C4543" t="s">
        <v>19</v>
      </c>
      <c r="D4543" t="str">
        <f>LEFT(M4543,9)</f>
        <v>1/15/2025</v>
      </c>
      <c r="E4543" t="s">
        <v>202</v>
      </c>
      <c r="F4543" t="s">
        <v>227</v>
      </c>
      <c r="G4543" t="s">
        <v>238</v>
      </c>
      <c r="I4543">
        <v>100</v>
      </c>
      <c r="J4543">
        <v>35</v>
      </c>
      <c r="K4543">
        <v>0.35</v>
      </c>
      <c r="M4543" t="s">
        <v>516</v>
      </c>
    </row>
    <row r="4544" spans="1:13" hidden="1">
      <c r="A4544" t="s">
        <v>146</v>
      </c>
      <c r="B4544" t="s">
        <v>24</v>
      </c>
      <c r="C4544" t="s">
        <v>19</v>
      </c>
      <c r="D4544" t="str">
        <f>LEFT(M4544,9)</f>
        <v>1/15/2025</v>
      </c>
      <c r="E4544" t="s">
        <v>202</v>
      </c>
      <c r="F4544" t="s">
        <v>227</v>
      </c>
      <c r="G4544" t="s">
        <v>252</v>
      </c>
      <c r="I4544">
        <v>710</v>
      </c>
      <c r="J4544">
        <v>269.8</v>
      </c>
      <c r="K4544">
        <v>0.38</v>
      </c>
      <c r="M4544" t="s">
        <v>516</v>
      </c>
    </row>
    <row r="4545" spans="1:13" hidden="1">
      <c r="A4545" t="s">
        <v>146</v>
      </c>
      <c r="B4545" t="s">
        <v>24</v>
      </c>
      <c r="C4545" t="s">
        <v>19</v>
      </c>
      <c r="D4545" t="str">
        <f>LEFT(M4545,9)</f>
        <v>1/15/2025</v>
      </c>
      <c r="E4545" t="s">
        <v>202</v>
      </c>
      <c r="F4545" t="s">
        <v>227</v>
      </c>
      <c r="G4545" t="s">
        <v>228</v>
      </c>
      <c r="I4545">
        <v>1940</v>
      </c>
      <c r="J4545">
        <v>873</v>
      </c>
      <c r="K4545">
        <v>0.45</v>
      </c>
      <c r="M4545" t="s">
        <v>516</v>
      </c>
    </row>
    <row r="4546" spans="1:13" hidden="1">
      <c r="A4546" t="s">
        <v>146</v>
      </c>
      <c r="B4546" t="s">
        <v>24</v>
      </c>
      <c r="C4546" t="s">
        <v>19</v>
      </c>
      <c r="D4546" t="str">
        <f>LEFT(M4546,9)</f>
        <v>1/15/2025</v>
      </c>
      <c r="E4546" t="s">
        <v>202</v>
      </c>
      <c r="F4546" t="s">
        <v>218</v>
      </c>
      <c r="G4546" t="s">
        <v>240</v>
      </c>
      <c r="I4546">
        <v>2352</v>
      </c>
      <c r="J4546">
        <v>7293.55</v>
      </c>
      <c r="K4546">
        <v>3.1</v>
      </c>
      <c r="M4546" t="s">
        <v>516</v>
      </c>
    </row>
    <row r="4547" spans="1:13" hidden="1">
      <c r="A4547" t="s">
        <v>146</v>
      </c>
      <c r="B4547" t="s">
        <v>24</v>
      </c>
      <c r="C4547" t="s">
        <v>19</v>
      </c>
      <c r="D4547" t="str">
        <f>LEFT(M4547,9)</f>
        <v>1/15/2025</v>
      </c>
      <c r="E4547" t="s">
        <v>202</v>
      </c>
      <c r="F4547" t="s">
        <v>218</v>
      </c>
      <c r="G4547" t="s">
        <v>223</v>
      </c>
      <c r="I4547">
        <v>764</v>
      </c>
      <c r="J4547">
        <v>458.4</v>
      </c>
      <c r="K4547">
        <v>0.6</v>
      </c>
      <c r="M4547" t="s">
        <v>516</v>
      </c>
    </row>
    <row r="4548" spans="1:13" hidden="1">
      <c r="A4548" t="s">
        <v>146</v>
      </c>
      <c r="B4548" t="s">
        <v>24</v>
      </c>
      <c r="C4548" t="s">
        <v>19</v>
      </c>
      <c r="D4548" t="str">
        <f>LEFT(M4548,9)</f>
        <v>1/15/2025</v>
      </c>
      <c r="E4548" t="s">
        <v>202</v>
      </c>
      <c r="F4548" t="s">
        <v>218</v>
      </c>
      <c r="G4548" t="s">
        <v>223</v>
      </c>
      <c r="I4548">
        <v>219</v>
      </c>
      <c r="J4548">
        <v>109.5</v>
      </c>
      <c r="K4548">
        <v>0.5</v>
      </c>
      <c r="M4548" t="s">
        <v>516</v>
      </c>
    </row>
    <row r="4549" spans="1:13" hidden="1">
      <c r="A4549" t="s">
        <v>146</v>
      </c>
      <c r="B4549" t="s">
        <v>24</v>
      </c>
      <c r="C4549" t="s">
        <v>19</v>
      </c>
      <c r="D4549" t="str">
        <f>LEFT(M4549,9)</f>
        <v>1/15/2025</v>
      </c>
      <c r="E4549" t="s">
        <v>202</v>
      </c>
      <c r="F4549" t="s">
        <v>218</v>
      </c>
      <c r="G4549" t="s">
        <v>224</v>
      </c>
      <c r="I4549">
        <v>1263</v>
      </c>
      <c r="J4549">
        <v>745.17</v>
      </c>
      <c r="K4549">
        <v>0.59</v>
      </c>
      <c r="M4549" t="s">
        <v>516</v>
      </c>
    </row>
    <row r="4550" spans="1:13" hidden="1">
      <c r="A4550" t="s">
        <v>146</v>
      </c>
      <c r="B4550" t="s">
        <v>24</v>
      </c>
      <c r="C4550" t="s">
        <v>19</v>
      </c>
      <c r="D4550" t="str">
        <f>LEFT(M4550,9)</f>
        <v>1/15/2025</v>
      </c>
      <c r="E4550" t="s">
        <v>202</v>
      </c>
      <c r="F4550" t="s">
        <v>218</v>
      </c>
      <c r="G4550" t="s">
        <v>268</v>
      </c>
      <c r="I4550">
        <v>185</v>
      </c>
      <c r="J4550">
        <v>268.25</v>
      </c>
      <c r="K4550">
        <v>1.45</v>
      </c>
      <c r="M4550" t="s">
        <v>516</v>
      </c>
    </row>
    <row r="4551" spans="1:13" hidden="1">
      <c r="A4551" t="s">
        <v>146</v>
      </c>
      <c r="B4551" t="s">
        <v>24</v>
      </c>
      <c r="C4551" t="s">
        <v>19</v>
      </c>
      <c r="D4551" t="str">
        <f>LEFT(M4551,9)</f>
        <v>1/15/2025</v>
      </c>
      <c r="E4551" t="s">
        <v>202</v>
      </c>
      <c r="F4551" t="s">
        <v>218</v>
      </c>
      <c r="G4551" t="s">
        <v>222</v>
      </c>
      <c r="I4551">
        <v>3786</v>
      </c>
      <c r="J4551">
        <v>4164.6000000000004</v>
      </c>
      <c r="K4551">
        <v>1.1000000000000001</v>
      </c>
      <c r="M4551" t="s">
        <v>516</v>
      </c>
    </row>
    <row r="4552" spans="1:13" hidden="1">
      <c r="A4552" t="s">
        <v>146</v>
      </c>
      <c r="B4552" t="s">
        <v>24</v>
      </c>
      <c r="C4552" t="s">
        <v>19</v>
      </c>
      <c r="D4552" t="str">
        <f>LEFT(M4552,9)</f>
        <v>1/15/2025</v>
      </c>
      <c r="E4552" t="s">
        <v>202</v>
      </c>
      <c r="F4552" t="s">
        <v>218</v>
      </c>
      <c r="G4552" t="s">
        <v>222</v>
      </c>
      <c r="I4552">
        <v>238</v>
      </c>
      <c r="J4552">
        <v>285.60000000000002</v>
      </c>
      <c r="K4552">
        <v>1.2</v>
      </c>
      <c r="M4552" t="s">
        <v>516</v>
      </c>
    </row>
    <row r="4553" spans="1:13" hidden="1">
      <c r="A4553" t="s">
        <v>146</v>
      </c>
      <c r="B4553" t="s">
        <v>24</v>
      </c>
      <c r="C4553" t="s">
        <v>19</v>
      </c>
      <c r="D4553" t="str">
        <f>LEFT(M4553,9)</f>
        <v>1/15/2025</v>
      </c>
      <c r="E4553" t="s">
        <v>202</v>
      </c>
      <c r="F4553" t="s">
        <v>218</v>
      </c>
      <c r="G4553" t="s">
        <v>226</v>
      </c>
      <c r="I4553">
        <v>74</v>
      </c>
      <c r="J4553">
        <v>22.2</v>
      </c>
      <c r="K4553">
        <v>0.3</v>
      </c>
      <c r="M4553" t="s">
        <v>516</v>
      </c>
    </row>
    <row r="4554" spans="1:13" hidden="1">
      <c r="A4554" t="s">
        <v>146</v>
      </c>
      <c r="B4554" t="s">
        <v>24</v>
      </c>
      <c r="C4554" t="s">
        <v>19</v>
      </c>
      <c r="D4554" t="str">
        <f>LEFT(M4554,9)</f>
        <v>1/15/2025</v>
      </c>
      <c r="E4554" t="s">
        <v>202</v>
      </c>
      <c r="F4554" t="s">
        <v>218</v>
      </c>
      <c r="G4554" t="s">
        <v>242</v>
      </c>
      <c r="I4554">
        <v>123</v>
      </c>
      <c r="J4554">
        <v>147.6</v>
      </c>
      <c r="K4554">
        <v>1.2</v>
      </c>
      <c r="M4554" t="s">
        <v>516</v>
      </c>
    </row>
    <row r="4555" spans="1:13" hidden="1">
      <c r="A4555" t="s">
        <v>146</v>
      </c>
      <c r="B4555" t="s">
        <v>24</v>
      </c>
      <c r="C4555" t="s">
        <v>19</v>
      </c>
      <c r="D4555" t="str">
        <f>LEFT(M4555,9)</f>
        <v>1/15/2025</v>
      </c>
      <c r="E4555" t="s">
        <v>202</v>
      </c>
      <c r="F4555" t="s">
        <v>218</v>
      </c>
      <c r="G4555" t="s">
        <v>220</v>
      </c>
      <c r="I4555">
        <v>373</v>
      </c>
      <c r="J4555">
        <v>373</v>
      </c>
      <c r="K4555">
        <v>1</v>
      </c>
      <c r="M4555" t="s">
        <v>516</v>
      </c>
    </row>
    <row r="4556" spans="1:13" hidden="1">
      <c r="A4556" t="s">
        <v>146</v>
      </c>
      <c r="B4556" t="s">
        <v>24</v>
      </c>
      <c r="C4556" t="s">
        <v>19</v>
      </c>
      <c r="D4556" t="str">
        <f>LEFT(M4556,9)</f>
        <v>1/15/2025</v>
      </c>
      <c r="E4556" t="s">
        <v>202</v>
      </c>
      <c r="F4556" t="s">
        <v>218</v>
      </c>
      <c r="G4556" t="s">
        <v>219</v>
      </c>
      <c r="I4556">
        <v>196</v>
      </c>
      <c r="J4556">
        <v>78.400000000000006</v>
      </c>
      <c r="K4556">
        <v>0.4</v>
      </c>
      <c r="M4556" t="s">
        <v>516</v>
      </c>
    </row>
    <row r="4557" spans="1:13" hidden="1">
      <c r="A4557" t="s">
        <v>146</v>
      </c>
      <c r="B4557" t="s">
        <v>24</v>
      </c>
      <c r="C4557" t="s">
        <v>19</v>
      </c>
      <c r="D4557" t="str">
        <f>LEFT(M4557,9)</f>
        <v>1/15/2025</v>
      </c>
      <c r="E4557" t="s">
        <v>202</v>
      </c>
      <c r="F4557" t="s">
        <v>218</v>
      </c>
      <c r="G4557" t="s">
        <v>219</v>
      </c>
      <c r="I4557">
        <v>6790</v>
      </c>
      <c r="J4557">
        <v>3395</v>
      </c>
      <c r="K4557">
        <v>0.5</v>
      </c>
      <c r="M4557" t="s">
        <v>516</v>
      </c>
    </row>
    <row r="4558" spans="1:13" hidden="1">
      <c r="A4558" t="s">
        <v>146</v>
      </c>
      <c r="B4558" t="s">
        <v>24</v>
      </c>
      <c r="C4558" t="s">
        <v>19</v>
      </c>
      <c r="D4558" t="str">
        <f>LEFT(M4558,9)</f>
        <v>1/15/2025</v>
      </c>
      <c r="E4558" t="s">
        <v>202</v>
      </c>
      <c r="F4558" t="s">
        <v>218</v>
      </c>
      <c r="G4558" t="s">
        <v>241</v>
      </c>
      <c r="I4558">
        <v>681</v>
      </c>
      <c r="J4558">
        <v>2043</v>
      </c>
      <c r="K4558">
        <v>3</v>
      </c>
      <c r="M4558" t="s">
        <v>516</v>
      </c>
    </row>
    <row r="4559" spans="1:13" hidden="1">
      <c r="A4559" t="s">
        <v>146</v>
      </c>
      <c r="B4559" t="s">
        <v>24</v>
      </c>
      <c r="C4559" t="s">
        <v>19</v>
      </c>
      <c r="D4559" t="str">
        <f>LEFT(M4559,9)</f>
        <v>1/15/2025</v>
      </c>
      <c r="E4559" t="s">
        <v>202</v>
      </c>
      <c r="F4559" t="s">
        <v>218</v>
      </c>
      <c r="G4559" t="s">
        <v>221</v>
      </c>
      <c r="I4559">
        <v>1305</v>
      </c>
      <c r="J4559">
        <v>2615.7399999999998</v>
      </c>
      <c r="K4559">
        <v>2</v>
      </c>
      <c r="M4559" t="s">
        <v>516</v>
      </c>
    </row>
    <row r="4560" spans="1:13" hidden="1">
      <c r="A4560" t="s">
        <v>146</v>
      </c>
      <c r="B4560" t="s">
        <v>24</v>
      </c>
      <c r="C4560" t="s">
        <v>19</v>
      </c>
      <c r="D4560" t="str">
        <f>LEFT(M4560,9)</f>
        <v>1/15/2025</v>
      </c>
      <c r="E4560" t="s">
        <v>202</v>
      </c>
      <c r="F4560" t="s">
        <v>218</v>
      </c>
      <c r="G4560" t="s">
        <v>239</v>
      </c>
      <c r="I4560">
        <v>366</v>
      </c>
      <c r="J4560">
        <v>36.6</v>
      </c>
      <c r="K4560">
        <v>0.1</v>
      </c>
      <c r="M4560" t="s">
        <v>516</v>
      </c>
    </row>
    <row r="4561" spans="1:13" hidden="1">
      <c r="A4561" t="s">
        <v>146</v>
      </c>
      <c r="B4561" t="s">
        <v>24</v>
      </c>
      <c r="C4561" t="s">
        <v>19</v>
      </c>
      <c r="D4561" t="str">
        <f>LEFT(M4561,9)</f>
        <v>1/15/2025</v>
      </c>
      <c r="E4561" t="s">
        <v>202</v>
      </c>
      <c r="F4561" t="s">
        <v>203</v>
      </c>
      <c r="G4561" t="s">
        <v>235</v>
      </c>
      <c r="I4561">
        <v>158</v>
      </c>
      <c r="J4561">
        <v>1264</v>
      </c>
      <c r="K4561">
        <v>8</v>
      </c>
      <c r="M4561" t="s">
        <v>516</v>
      </c>
    </row>
    <row r="4562" spans="1:13" hidden="1">
      <c r="A4562" t="s">
        <v>146</v>
      </c>
      <c r="B4562" t="s">
        <v>24</v>
      </c>
      <c r="C4562" t="s">
        <v>19</v>
      </c>
      <c r="D4562" t="str">
        <f>LEFT(M4562,9)</f>
        <v>1/15/2025</v>
      </c>
      <c r="E4562" t="s">
        <v>202</v>
      </c>
      <c r="F4562" t="s">
        <v>203</v>
      </c>
      <c r="G4562" t="s">
        <v>207</v>
      </c>
      <c r="I4562">
        <v>75</v>
      </c>
      <c r="J4562">
        <v>375</v>
      </c>
      <c r="K4562">
        <v>5</v>
      </c>
      <c r="M4562" t="s">
        <v>516</v>
      </c>
    </row>
    <row r="4563" spans="1:13" hidden="1">
      <c r="A4563" t="s">
        <v>146</v>
      </c>
      <c r="B4563" t="s">
        <v>24</v>
      </c>
      <c r="C4563" t="s">
        <v>19</v>
      </c>
      <c r="D4563" t="str">
        <f>LEFT(M4563,9)</f>
        <v>1/15/2025</v>
      </c>
      <c r="E4563" t="s">
        <v>202</v>
      </c>
      <c r="F4563" t="s">
        <v>203</v>
      </c>
      <c r="G4563" t="s">
        <v>259</v>
      </c>
      <c r="I4563">
        <v>16.5</v>
      </c>
      <c r="J4563">
        <v>363</v>
      </c>
      <c r="K4563">
        <v>22</v>
      </c>
      <c r="M4563" t="s">
        <v>516</v>
      </c>
    </row>
    <row r="4564" spans="1:13" hidden="1">
      <c r="A4564" t="s">
        <v>146</v>
      </c>
      <c r="B4564" t="s">
        <v>24</v>
      </c>
      <c r="C4564" t="s">
        <v>19</v>
      </c>
      <c r="D4564" t="str">
        <f>LEFT(M4564,9)</f>
        <v>1/15/2025</v>
      </c>
      <c r="E4564" t="s">
        <v>202</v>
      </c>
      <c r="F4564" t="s">
        <v>203</v>
      </c>
      <c r="G4564" t="s">
        <v>206</v>
      </c>
      <c r="I4564">
        <v>61</v>
      </c>
      <c r="J4564">
        <v>122</v>
      </c>
      <c r="K4564">
        <v>2</v>
      </c>
      <c r="M4564" t="s">
        <v>516</v>
      </c>
    </row>
    <row r="4565" spans="1:13" hidden="1">
      <c r="A4565" t="s">
        <v>146</v>
      </c>
      <c r="B4565" t="s">
        <v>24</v>
      </c>
      <c r="C4565" t="s">
        <v>19</v>
      </c>
      <c r="D4565" t="str">
        <f>LEFT(M4565,9)</f>
        <v>1/15/2025</v>
      </c>
      <c r="E4565" t="s">
        <v>202</v>
      </c>
      <c r="F4565" t="s">
        <v>203</v>
      </c>
      <c r="G4565" t="s">
        <v>204</v>
      </c>
      <c r="I4565">
        <v>332.5</v>
      </c>
      <c r="J4565">
        <v>2975.88</v>
      </c>
      <c r="K4565">
        <v>8.9499999999999993</v>
      </c>
      <c r="M4565" t="s">
        <v>516</v>
      </c>
    </row>
    <row r="4566" spans="1:13" hidden="1">
      <c r="A4566" t="s">
        <v>146</v>
      </c>
      <c r="B4566" t="s">
        <v>24</v>
      </c>
      <c r="C4566" t="s">
        <v>19</v>
      </c>
      <c r="D4566" t="str">
        <f>LEFT(M4566,9)</f>
        <v>1/15/2025</v>
      </c>
      <c r="E4566" t="s">
        <v>202</v>
      </c>
      <c r="F4566" t="s">
        <v>203</v>
      </c>
      <c r="G4566" t="s">
        <v>259</v>
      </c>
      <c r="I4566">
        <v>4.5</v>
      </c>
      <c r="J4566">
        <v>13.5</v>
      </c>
      <c r="K4566">
        <v>3</v>
      </c>
      <c r="M4566" t="s">
        <v>516</v>
      </c>
    </row>
    <row r="4567" spans="1:13" hidden="1">
      <c r="A4567" t="s">
        <v>146</v>
      </c>
      <c r="B4567" t="s">
        <v>24</v>
      </c>
      <c r="C4567" t="s">
        <v>19</v>
      </c>
      <c r="D4567" t="str">
        <f>LEFT(M4567,9)</f>
        <v>1/15/2025</v>
      </c>
      <c r="E4567" t="s">
        <v>202</v>
      </c>
      <c r="F4567" t="s">
        <v>203</v>
      </c>
      <c r="G4567" t="s">
        <v>261</v>
      </c>
      <c r="I4567">
        <v>39.5</v>
      </c>
      <c r="J4567">
        <v>316</v>
      </c>
      <c r="K4567">
        <v>8</v>
      </c>
      <c r="M4567" t="s">
        <v>516</v>
      </c>
    </row>
    <row r="4568" spans="1:13" hidden="1">
      <c r="A4568" t="s">
        <v>146</v>
      </c>
      <c r="B4568" t="s">
        <v>24</v>
      </c>
      <c r="C4568" t="s">
        <v>19</v>
      </c>
      <c r="D4568" t="str">
        <f>LEFT(M4568,9)</f>
        <v>1/15/2025</v>
      </c>
      <c r="E4568" t="s">
        <v>202</v>
      </c>
      <c r="F4568" t="s">
        <v>203</v>
      </c>
      <c r="G4568" t="s">
        <v>215</v>
      </c>
      <c r="I4568">
        <v>9350</v>
      </c>
      <c r="J4568">
        <v>4634.76</v>
      </c>
      <c r="K4568">
        <v>0.5</v>
      </c>
      <c r="M4568" t="s">
        <v>516</v>
      </c>
    </row>
    <row r="4569" spans="1:13" hidden="1">
      <c r="A4569" t="s">
        <v>146</v>
      </c>
      <c r="B4569" t="s">
        <v>24</v>
      </c>
      <c r="C4569" t="s">
        <v>19</v>
      </c>
      <c r="D4569" t="str">
        <f>LEFT(M4569,9)</f>
        <v>1/15/2025</v>
      </c>
      <c r="E4569" t="s">
        <v>202</v>
      </c>
      <c r="F4569" t="s">
        <v>203</v>
      </c>
      <c r="G4569" t="s">
        <v>259</v>
      </c>
      <c r="I4569">
        <v>132</v>
      </c>
      <c r="J4569">
        <v>92.4</v>
      </c>
      <c r="K4569">
        <v>0.7</v>
      </c>
      <c r="M4569" t="s">
        <v>516</v>
      </c>
    </row>
    <row r="4570" spans="1:13" hidden="1">
      <c r="A4570" t="s">
        <v>146</v>
      </c>
      <c r="B4570" t="s">
        <v>24</v>
      </c>
      <c r="C4570" t="s">
        <v>19</v>
      </c>
      <c r="D4570" t="str">
        <f>LEFT(M4570,9)</f>
        <v>1/15/2025</v>
      </c>
      <c r="E4570" t="s">
        <v>202</v>
      </c>
      <c r="F4570" t="s">
        <v>216</v>
      </c>
      <c r="G4570" t="s">
        <v>253</v>
      </c>
      <c r="I4570">
        <v>4000</v>
      </c>
      <c r="J4570">
        <v>400</v>
      </c>
      <c r="K4570">
        <v>0.1</v>
      </c>
      <c r="M4570" t="s">
        <v>516</v>
      </c>
    </row>
    <row r="4571" spans="1:13" hidden="1">
      <c r="A4571" t="s">
        <v>146</v>
      </c>
      <c r="B4571" t="s">
        <v>24</v>
      </c>
      <c r="C4571" t="s">
        <v>19</v>
      </c>
      <c r="D4571" t="str">
        <f>LEFT(M4571,9)</f>
        <v>1/15/2025</v>
      </c>
      <c r="E4571" t="s">
        <v>230</v>
      </c>
      <c r="F4571" t="s">
        <v>248</v>
      </c>
      <c r="I4571">
        <v>0</v>
      </c>
      <c r="J4571">
        <v>40885.410000000003</v>
      </c>
      <c r="M4571" t="s">
        <v>516</v>
      </c>
    </row>
    <row r="4572" spans="1:13" hidden="1">
      <c r="A4572" t="s">
        <v>146</v>
      </c>
      <c r="B4572" t="s">
        <v>24</v>
      </c>
      <c r="C4572" t="s">
        <v>19</v>
      </c>
      <c r="D4572" t="str">
        <f>LEFT(M4572,9)</f>
        <v>1/15/2025</v>
      </c>
      <c r="E4572" t="s">
        <v>232</v>
      </c>
      <c r="F4572" t="s">
        <v>262</v>
      </c>
      <c r="I4572">
        <v>0</v>
      </c>
      <c r="J4572">
        <v>10235.41</v>
      </c>
      <c r="M4572" t="s">
        <v>516</v>
      </c>
    </row>
    <row r="4573" spans="1:13" hidden="1">
      <c r="A4573" t="s">
        <v>146</v>
      </c>
      <c r="B4573" t="s">
        <v>24</v>
      </c>
      <c r="C4573" t="s">
        <v>19</v>
      </c>
      <c r="D4573" t="str">
        <f>LEFT(M4573,9)</f>
        <v>1/15/2025</v>
      </c>
      <c r="E4573" t="s">
        <v>232</v>
      </c>
      <c r="F4573" t="s">
        <v>287</v>
      </c>
      <c r="I4573">
        <v>0</v>
      </c>
      <c r="J4573">
        <v>8189.92</v>
      </c>
      <c r="M4573" t="s">
        <v>516</v>
      </c>
    </row>
    <row r="4574" spans="1:13" hidden="1">
      <c r="A4574" t="s">
        <v>146</v>
      </c>
      <c r="B4574" t="s">
        <v>24</v>
      </c>
      <c r="C4574" t="s">
        <v>19</v>
      </c>
      <c r="D4574" t="str">
        <f>LEFT(M4574,9)</f>
        <v>1/15/2025</v>
      </c>
      <c r="E4574" t="s">
        <v>232</v>
      </c>
      <c r="F4574" t="s">
        <v>290</v>
      </c>
      <c r="I4574">
        <v>0</v>
      </c>
      <c r="J4574">
        <v>2700</v>
      </c>
      <c r="M4574" t="s">
        <v>516</v>
      </c>
    </row>
    <row r="4575" spans="1:13" hidden="1">
      <c r="A4575" t="s">
        <v>146</v>
      </c>
      <c r="B4575" t="s">
        <v>24</v>
      </c>
      <c r="C4575" t="s">
        <v>19</v>
      </c>
      <c r="D4575" t="str">
        <f>LEFT(M4575,9)</f>
        <v>1/15/2025</v>
      </c>
      <c r="E4575" t="s">
        <v>232</v>
      </c>
      <c r="F4575" t="s">
        <v>291</v>
      </c>
      <c r="I4575">
        <v>0</v>
      </c>
      <c r="J4575">
        <v>554.79999999999995</v>
      </c>
      <c r="M4575" t="s">
        <v>516</v>
      </c>
    </row>
    <row r="4576" spans="1:13" hidden="1">
      <c r="A4576" t="s">
        <v>146</v>
      </c>
      <c r="B4576" t="s">
        <v>24</v>
      </c>
      <c r="C4576" t="s">
        <v>19</v>
      </c>
      <c r="D4576" t="str">
        <f>LEFT(M4576,9)</f>
        <v>1/15/2025</v>
      </c>
      <c r="E4576" t="s">
        <v>232</v>
      </c>
      <c r="F4576" t="s">
        <v>255</v>
      </c>
      <c r="I4576">
        <v>0</v>
      </c>
      <c r="J4576">
        <v>19205.28</v>
      </c>
      <c r="L4576" t="s">
        <v>541</v>
      </c>
      <c r="M4576" t="s">
        <v>516</v>
      </c>
    </row>
    <row r="4577" spans="1:13" hidden="1">
      <c r="A4577" t="s">
        <v>146</v>
      </c>
      <c r="B4577" t="s">
        <v>24</v>
      </c>
      <c r="C4577" t="s">
        <v>19</v>
      </c>
      <c r="D4577" t="str">
        <f>LEFT(M4577,9)</f>
        <v>1/15/2025</v>
      </c>
      <c r="E4577" t="s">
        <v>234</v>
      </c>
      <c r="F4577" t="s">
        <v>234</v>
      </c>
      <c r="I4577">
        <v>6400</v>
      </c>
      <c r="M4577" t="s">
        <v>516</v>
      </c>
    </row>
    <row r="4578" spans="1:13" hidden="1">
      <c r="A4578" t="s">
        <v>114</v>
      </c>
      <c r="B4578" t="s">
        <v>8</v>
      </c>
      <c r="C4578" t="s">
        <v>113</v>
      </c>
      <c r="D4578" t="str">
        <f>LEFT(M4578,9)</f>
        <v>1/15/2025</v>
      </c>
      <c r="E4578" t="s">
        <v>232</v>
      </c>
      <c r="F4578" t="s">
        <v>251</v>
      </c>
      <c r="I4578">
        <v>0</v>
      </c>
      <c r="J4578">
        <v>2225.5</v>
      </c>
      <c r="M4578" t="s">
        <v>516</v>
      </c>
    </row>
    <row r="4579" spans="1:13" hidden="1">
      <c r="A4579" t="s">
        <v>114</v>
      </c>
      <c r="B4579" t="s">
        <v>8</v>
      </c>
      <c r="C4579" t="s">
        <v>113</v>
      </c>
      <c r="D4579" t="str">
        <f>LEFT(M4579,9)</f>
        <v>1/15/2025</v>
      </c>
      <c r="E4579" t="s">
        <v>234</v>
      </c>
      <c r="F4579" t="s">
        <v>234</v>
      </c>
      <c r="I4579">
        <v>100000</v>
      </c>
      <c r="M4579" t="s">
        <v>516</v>
      </c>
    </row>
    <row r="4580" spans="1:13" hidden="1">
      <c r="A4580" t="s">
        <v>114</v>
      </c>
      <c r="B4580" t="s">
        <v>8</v>
      </c>
      <c r="C4580" t="s">
        <v>113</v>
      </c>
      <c r="D4580" t="str">
        <f>LEFT(M4580,9)</f>
        <v>1/15/2025</v>
      </c>
      <c r="E4580" t="s">
        <v>230</v>
      </c>
      <c r="F4580" t="s">
        <v>248</v>
      </c>
      <c r="I4580">
        <v>0</v>
      </c>
      <c r="J4580">
        <v>7642.4</v>
      </c>
      <c r="M4580" t="s">
        <v>516</v>
      </c>
    </row>
    <row r="4581" spans="1:13" hidden="1">
      <c r="A4581" t="s">
        <v>114</v>
      </c>
      <c r="B4581" t="s">
        <v>8</v>
      </c>
      <c r="C4581" t="s">
        <v>113</v>
      </c>
      <c r="D4581" t="str">
        <f>LEFT(M4581,9)</f>
        <v>1/15/2025</v>
      </c>
      <c r="E4581" t="s">
        <v>202</v>
      </c>
      <c r="F4581" t="s">
        <v>203</v>
      </c>
      <c r="G4581" t="s">
        <v>204</v>
      </c>
      <c r="I4581">
        <v>252</v>
      </c>
      <c r="J4581">
        <v>1767</v>
      </c>
      <c r="K4581">
        <v>7.01</v>
      </c>
      <c r="M4581" t="s">
        <v>516</v>
      </c>
    </row>
    <row r="4582" spans="1:13" hidden="1">
      <c r="A4582" t="s">
        <v>114</v>
      </c>
      <c r="B4582" t="s">
        <v>8</v>
      </c>
      <c r="C4582" t="s">
        <v>113</v>
      </c>
      <c r="D4582" t="str">
        <f>LEFT(M4582,9)</f>
        <v>1/15/2025</v>
      </c>
      <c r="E4582" t="s">
        <v>202</v>
      </c>
      <c r="F4582" t="s">
        <v>218</v>
      </c>
      <c r="G4582" t="s">
        <v>241</v>
      </c>
      <c r="I4582">
        <v>243</v>
      </c>
      <c r="J4582">
        <v>1044.9000000000001</v>
      </c>
      <c r="K4582">
        <v>4.3</v>
      </c>
      <c r="M4582" t="s">
        <v>516</v>
      </c>
    </row>
    <row r="4583" spans="1:13" hidden="1">
      <c r="A4583" t="s">
        <v>114</v>
      </c>
      <c r="B4583" t="s">
        <v>8</v>
      </c>
      <c r="C4583" t="s">
        <v>113</v>
      </c>
      <c r="D4583" t="str">
        <f>LEFT(M4583,9)</f>
        <v>1/15/2025</v>
      </c>
      <c r="E4583" t="s">
        <v>202</v>
      </c>
      <c r="F4583" t="s">
        <v>218</v>
      </c>
      <c r="G4583" t="s">
        <v>378</v>
      </c>
      <c r="I4583">
        <v>143</v>
      </c>
      <c r="J4583">
        <v>1.43</v>
      </c>
      <c r="K4583">
        <v>0.01</v>
      </c>
      <c r="M4583" t="s">
        <v>516</v>
      </c>
    </row>
    <row r="4584" spans="1:13" hidden="1">
      <c r="A4584" t="s">
        <v>114</v>
      </c>
      <c r="B4584" t="s">
        <v>8</v>
      </c>
      <c r="C4584" t="s">
        <v>113</v>
      </c>
      <c r="D4584" t="str">
        <f>LEFT(M4584,9)</f>
        <v>1/15/2025</v>
      </c>
      <c r="E4584" t="s">
        <v>202</v>
      </c>
      <c r="F4584" t="s">
        <v>218</v>
      </c>
      <c r="G4584" t="s">
        <v>219</v>
      </c>
      <c r="I4584">
        <v>147</v>
      </c>
      <c r="J4584">
        <v>1.47</v>
      </c>
      <c r="K4584">
        <v>0.01</v>
      </c>
      <c r="M4584" t="s">
        <v>516</v>
      </c>
    </row>
    <row r="4585" spans="1:13" hidden="1">
      <c r="A4585" t="s">
        <v>114</v>
      </c>
      <c r="B4585" t="s">
        <v>8</v>
      </c>
      <c r="C4585" t="s">
        <v>113</v>
      </c>
      <c r="D4585" t="str">
        <f>LEFT(M4585,9)</f>
        <v>1/15/2025</v>
      </c>
      <c r="E4585" t="s">
        <v>202</v>
      </c>
      <c r="F4585" t="s">
        <v>218</v>
      </c>
      <c r="G4585" t="s">
        <v>222</v>
      </c>
      <c r="I4585">
        <v>206</v>
      </c>
      <c r="J4585">
        <v>329.6</v>
      </c>
      <c r="K4585">
        <v>1.6</v>
      </c>
      <c r="M4585" t="s">
        <v>516</v>
      </c>
    </row>
    <row r="4586" spans="1:13" hidden="1">
      <c r="A4586" t="s">
        <v>114</v>
      </c>
      <c r="B4586" t="s">
        <v>8</v>
      </c>
      <c r="C4586" t="s">
        <v>113</v>
      </c>
      <c r="D4586" t="str">
        <f>LEFT(M4586,9)</f>
        <v>1/15/2025</v>
      </c>
      <c r="E4586" t="s">
        <v>202</v>
      </c>
      <c r="F4586" t="s">
        <v>227</v>
      </c>
      <c r="G4586" t="s">
        <v>252</v>
      </c>
      <c r="I4586">
        <v>398</v>
      </c>
      <c r="J4586">
        <v>99.5</v>
      </c>
      <c r="K4586">
        <v>0.25</v>
      </c>
      <c r="M4586" t="s">
        <v>516</v>
      </c>
    </row>
    <row r="4587" spans="1:13" hidden="1">
      <c r="A4587" t="s">
        <v>114</v>
      </c>
      <c r="B4587" t="s">
        <v>8</v>
      </c>
      <c r="C4587" t="s">
        <v>113</v>
      </c>
      <c r="D4587" t="str">
        <f>LEFT(M4587,9)</f>
        <v>1/15/2025</v>
      </c>
      <c r="E4587" t="s">
        <v>202</v>
      </c>
      <c r="F4587" t="s">
        <v>218</v>
      </c>
      <c r="G4587" t="s">
        <v>242</v>
      </c>
      <c r="I4587">
        <v>161</v>
      </c>
      <c r="J4587">
        <v>128.80000000000001</v>
      </c>
      <c r="K4587">
        <v>0.8</v>
      </c>
      <c r="M4587" t="s">
        <v>516</v>
      </c>
    </row>
    <row r="4588" spans="1:13" hidden="1">
      <c r="A4588" t="s">
        <v>114</v>
      </c>
      <c r="B4588" t="s">
        <v>8</v>
      </c>
      <c r="C4588" t="s">
        <v>113</v>
      </c>
      <c r="D4588" t="str">
        <f>LEFT(M4588,9)</f>
        <v>1/15/2025</v>
      </c>
      <c r="E4588" t="s">
        <v>202</v>
      </c>
      <c r="F4588" t="s">
        <v>218</v>
      </c>
      <c r="G4588" t="s">
        <v>222</v>
      </c>
      <c r="I4588">
        <v>569</v>
      </c>
      <c r="J4588">
        <v>682.8</v>
      </c>
      <c r="K4588">
        <v>1.2</v>
      </c>
      <c r="M4588" t="s">
        <v>516</v>
      </c>
    </row>
    <row r="4589" spans="1:13" hidden="1">
      <c r="A4589" t="s">
        <v>114</v>
      </c>
      <c r="B4589" t="s">
        <v>8</v>
      </c>
      <c r="C4589" t="s">
        <v>113</v>
      </c>
      <c r="D4589" t="str">
        <f>LEFT(M4589,9)</f>
        <v>1/15/2025</v>
      </c>
      <c r="E4589" t="s">
        <v>202</v>
      </c>
      <c r="F4589" t="s">
        <v>218</v>
      </c>
      <c r="G4589" t="s">
        <v>221</v>
      </c>
      <c r="I4589">
        <v>329</v>
      </c>
      <c r="J4589">
        <v>822.5</v>
      </c>
      <c r="K4589">
        <v>2.5</v>
      </c>
      <c r="M4589" t="s">
        <v>516</v>
      </c>
    </row>
    <row r="4590" spans="1:13" hidden="1">
      <c r="A4590" t="s">
        <v>114</v>
      </c>
      <c r="B4590" t="s">
        <v>8</v>
      </c>
      <c r="C4590" t="s">
        <v>113</v>
      </c>
      <c r="D4590" t="str">
        <f>LEFT(M4590,9)</f>
        <v>1/15/2025</v>
      </c>
      <c r="E4590" t="s">
        <v>202</v>
      </c>
      <c r="F4590" t="s">
        <v>218</v>
      </c>
      <c r="G4590" t="s">
        <v>219</v>
      </c>
      <c r="I4590">
        <v>100</v>
      </c>
      <c r="J4590">
        <v>10</v>
      </c>
      <c r="K4590">
        <v>0.1</v>
      </c>
      <c r="M4590" t="s">
        <v>516</v>
      </c>
    </row>
    <row r="4591" spans="1:13" hidden="1">
      <c r="A4591" t="s">
        <v>114</v>
      </c>
      <c r="B4591" t="s">
        <v>8</v>
      </c>
      <c r="C4591" t="s">
        <v>113</v>
      </c>
      <c r="D4591" t="str">
        <f>LEFT(M4591,9)</f>
        <v>1/15/2025</v>
      </c>
      <c r="E4591" t="s">
        <v>202</v>
      </c>
      <c r="F4591" t="s">
        <v>218</v>
      </c>
      <c r="G4591" t="s">
        <v>221</v>
      </c>
      <c r="I4591">
        <v>318</v>
      </c>
      <c r="J4591">
        <v>763.2</v>
      </c>
      <c r="K4591">
        <v>2.4</v>
      </c>
      <c r="M4591" t="s">
        <v>516</v>
      </c>
    </row>
    <row r="4592" spans="1:13" hidden="1">
      <c r="A4592" t="s">
        <v>114</v>
      </c>
      <c r="B4592" t="s">
        <v>8</v>
      </c>
      <c r="C4592" t="s">
        <v>113</v>
      </c>
      <c r="D4592" t="str">
        <f>LEFT(M4592,9)</f>
        <v>1/15/2025</v>
      </c>
      <c r="E4592" t="s">
        <v>202</v>
      </c>
      <c r="F4592" t="s">
        <v>227</v>
      </c>
      <c r="G4592" t="s">
        <v>228</v>
      </c>
      <c r="I4592">
        <v>1792</v>
      </c>
      <c r="J4592">
        <v>537.6</v>
      </c>
      <c r="K4592">
        <v>0.3</v>
      </c>
      <c r="M4592" t="s">
        <v>516</v>
      </c>
    </row>
    <row r="4593" spans="1:13" hidden="1">
      <c r="A4593" t="s">
        <v>114</v>
      </c>
      <c r="B4593" t="s">
        <v>8</v>
      </c>
      <c r="C4593" t="s">
        <v>113</v>
      </c>
      <c r="D4593" t="str">
        <f>LEFT(M4593,9)</f>
        <v>1/15/2025</v>
      </c>
      <c r="E4593" t="s">
        <v>202</v>
      </c>
      <c r="F4593" t="s">
        <v>227</v>
      </c>
      <c r="G4593" t="s">
        <v>237</v>
      </c>
      <c r="I4593">
        <v>942</v>
      </c>
      <c r="J4593">
        <v>565.20000000000005</v>
      </c>
      <c r="K4593">
        <v>0.6</v>
      </c>
      <c r="M4593" t="s">
        <v>516</v>
      </c>
    </row>
    <row r="4594" spans="1:13" hidden="1">
      <c r="A4594" t="s">
        <v>114</v>
      </c>
      <c r="B4594" t="s">
        <v>8</v>
      </c>
      <c r="C4594" t="s">
        <v>113</v>
      </c>
      <c r="D4594" t="str">
        <f>LEFT(M4594,9)</f>
        <v>1/15/2025</v>
      </c>
      <c r="E4594" t="s">
        <v>202</v>
      </c>
      <c r="F4594" t="s">
        <v>218</v>
      </c>
      <c r="G4594" t="s">
        <v>240</v>
      </c>
      <c r="I4594">
        <v>923</v>
      </c>
      <c r="J4594">
        <v>3968.9</v>
      </c>
      <c r="K4594">
        <v>4.3</v>
      </c>
      <c r="M4594" t="s">
        <v>516</v>
      </c>
    </row>
    <row r="4595" spans="1:13" hidden="1">
      <c r="A4595" t="s">
        <v>114</v>
      </c>
      <c r="B4595" t="s">
        <v>8</v>
      </c>
      <c r="C4595" t="s">
        <v>113</v>
      </c>
      <c r="D4595" t="str">
        <f>LEFT(M4595,9)</f>
        <v>1/15/2025</v>
      </c>
      <c r="E4595" t="s">
        <v>202</v>
      </c>
      <c r="F4595" t="s">
        <v>227</v>
      </c>
      <c r="G4595" t="s">
        <v>229</v>
      </c>
      <c r="I4595">
        <v>3279</v>
      </c>
      <c r="J4595">
        <v>2295.3000000000002</v>
      </c>
      <c r="K4595">
        <v>0.7</v>
      </c>
      <c r="M4595" t="s">
        <v>516</v>
      </c>
    </row>
    <row r="4596" spans="1:13" hidden="1">
      <c r="A4596" t="s">
        <v>114</v>
      </c>
      <c r="B4596" t="s">
        <v>8</v>
      </c>
      <c r="C4596" t="s">
        <v>113</v>
      </c>
      <c r="D4596" t="str">
        <f>LEFT(M4596,9)</f>
        <v>1/15/2025</v>
      </c>
      <c r="E4596" t="s">
        <v>202</v>
      </c>
      <c r="F4596" t="s">
        <v>218</v>
      </c>
      <c r="G4596" t="s">
        <v>267</v>
      </c>
      <c r="I4596">
        <v>545</v>
      </c>
      <c r="J4596">
        <v>109</v>
      </c>
      <c r="K4596">
        <v>0.2</v>
      </c>
      <c r="M4596" t="s">
        <v>516</v>
      </c>
    </row>
    <row r="4597" spans="1:13" hidden="1">
      <c r="A4597" t="s">
        <v>114</v>
      </c>
      <c r="B4597" t="s">
        <v>8</v>
      </c>
      <c r="C4597" t="s">
        <v>113</v>
      </c>
      <c r="D4597" t="str">
        <f>LEFT(M4597,9)</f>
        <v>1/15/2025</v>
      </c>
      <c r="E4597" t="s">
        <v>202</v>
      </c>
      <c r="F4597" t="s">
        <v>218</v>
      </c>
      <c r="G4597" t="s">
        <v>220</v>
      </c>
      <c r="I4597">
        <v>434</v>
      </c>
      <c r="J4597">
        <v>629.29999999999995</v>
      </c>
      <c r="K4597">
        <v>1.45</v>
      </c>
      <c r="M4597" t="s">
        <v>516</v>
      </c>
    </row>
    <row r="4598" spans="1:13" hidden="1">
      <c r="A4598" t="s">
        <v>114</v>
      </c>
      <c r="B4598" t="s">
        <v>8</v>
      </c>
      <c r="C4598" t="s">
        <v>113</v>
      </c>
      <c r="D4598" t="str">
        <f>LEFT(M4598,9)</f>
        <v>1/15/2025</v>
      </c>
      <c r="E4598" t="s">
        <v>202</v>
      </c>
      <c r="F4598" t="s">
        <v>218</v>
      </c>
      <c r="G4598" t="s">
        <v>226</v>
      </c>
      <c r="I4598">
        <v>135</v>
      </c>
      <c r="J4598">
        <v>40.5</v>
      </c>
      <c r="K4598">
        <v>0.3</v>
      </c>
      <c r="M4598" t="s">
        <v>516</v>
      </c>
    </row>
    <row r="4599" spans="1:13" hidden="1">
      <c r="A4599" t="s">
        <v>114</v>
      </c>
      <c r="B4599" t="s">
        <v>8</v>
      </c>
      <c r="C4599" t="s">
        <v>113</v>
      </c>
      <c r="D4599" t="str">
        <f>LEFT(M4599,9)</f>
        <v>1/15/2025</v>
      </c>
      <c r="E4599" t="s">
        <v>202</v>
      </c>
      <c r="F4599" t="s">
        <v>218</v>
      </c>
      <c r="G4599" t="s">
        <v>223</v>
      </c>
      <c r="I4599">
        <v>606</v>
      </c>
      <c r="J4599">
        <v>424.2</v>
      </c>
      <c r="K4599">
        <v>0.7</v>
      </c>
      <c r="M4599" t="s">
        <v>516</v>
      </c>
    </row>
    <row r="4600" spans="1:13" hidden="1">
      <c r="A4600" t="s">
        <v>114</v>
      </c>
      <c r="B4600" t="s">
        <v>8</v>
      </c>
      <c r="C4600" t="s">
        <v>113</v>
      </c>
      <c r="D4600" t="str">
        <f>LEFT(M4600,9)</f>
        <v>1/15/2025</v>
      </c>
      <c r="E4600" t="s">
        <v>202</v>
      </c>
      <c r="F4600" t="s">
        <v>203</v>
      </c>
      <c r="G4600" t="s">
        <v>236</v>
      </c>
      <c r="I4600">
        <v>5070</v>
      </c>
      <c r="J4600">
        <v>4056</v>
      </c>
      <c r="K4600">
        <v>0.8</v>
      </c>
      <c r="M4600" t="s">
        <v>516</v>
      </c>
    </row>
    <row r="4601" spans="1:13" hidden="1">
      <c r="A4601" t="s">
        <v>97</v>
      </c>
      <c r="B4601" t="s">
        <v>8</v>
      </c>
      <c r="C4601" t="s">
        <v>96</v>
      </c>
      <c r="D4601" t="str">
        <f>LEFT(M4601,9)</f>
        <v>1/15/2025</v>
      </c>
      <c r="E4601" t="s">
        <v>202</v>
      </c>
      <c r="F4601" t="s">
        <v>227</v>
      </c>
      <c r="G4601" t="s">
        <v>229</v>
      </c>
      <c r="I4601">
        <v>20375.45</v>
      </c>
      <c r="J4601">
        <v>17364.68</v>
      </c>
      <c r="K4601">
        <v>0.85</v>
      </c>
      <c r="M4601" t="s">
        <v>516</v>
      </c>
    </row>
    <row r="4602" spans="1:13" hidden="1">
      <c r="A4602" t="s">
        <v>97</v>
      </c>
      <c r="B4602" t="s">
        <v>8</v>
      </c>
      <c r="C4602" t="s">
        <v>96</v>
      </c>
      <c r="D4602" t="str">
        <f>LEFT(M4602,9)</f>
        <v>1/15/2025</v>
      </c>
      <c r="E4602" t="s">
        <v>202</v>
      </c>
      <c r="F4602" t="s">
        <v>227</v>
      </c>
      <c r="G4602" t="s">
        <v>228</v>
      </c>
      <c r="I4602">
        <v>9136</v>
      </c>
      <c r="J4602">
        <v>3611.33</v>
      </c>
      <c r="K4602">
        <v>0.4</v>
      </c>
      <c r="M4602" t="s">
        <v>516</v>
      </c>
    </row>
    <row r="4603" spans="1:13" hidden="1">
      <c r="A4603" t="s">
        <v>97</v>
      </c>
      <c r="B4603" t="s">
        <v>8</v>
      </c>
      <c r="C4603" t="s">
        <v>96</v>
      </c>
      <c r="D4603" t="str">
        <f>LEFT(M4603,9)</f>
        <v>1/15/2025</v>
      </c>
      <c r="E4603" t="s">
        <v>202</v>
      </c>
      <c r="F4603" t="s">
        <v>227</v>
      </c>
      <c r="G4603" t="s">
        <v>237</v>
      </c>
      <c r="I4603">
        <v>5666.5</v>
      </c>
      <c r="J4603">
        <v>4069.13</v>
      </c>
      <c r="K4603">
        <v>0.72</v>
      </c>
      <c r="M4603" t="s">
        <v>516</v>
      </c>
    </row>
    <row r="4604" spans="1:13" hidden="1">
      <c r="A4604" t="s">
        <v>97</v>
      </c>
      <c r="B4604" t="s">
        <v>8</v>
      </c>
      <c r="C4604" t="s">
        <v>96</v>
      </c>
      <c r="D4604" t="str">
        <f>LEFT(M4604,9)</f>
        <v>1/15/2025</v>
      </c>
      <c r="E4604" t="s">
        <v>202</v>
      </c>
      <c r="F4604" t="s">
        <v>227</v>
      </c>
      <c r="G4604" t="s">
        <v>252</v>
      </c>
      <c r="I4604">
        <v>2124</v>
      </c>
      <c r="J4604">
        <v>832.37</v>
      </c>
      <c r="K4604">
        <v>0.39</v>
      </c>
      <c r="M4604" t="s">
        <v>516</v>
      </c>
    </row>
    <row r="4605" spans="1:13" hidden="1">
      <c r="A4605" t="s">
        <v>97</v>
      </c>
      <c r="B4605" t="s">
        <v>8</v>
      </c>
      <c r="C4605" t="s">
        <v>96</v>
      </c>
      <c r="D4605" t="str">
        <f>LEFT(M4605,9)</f>
        <v>1/15/2025</v>
      </c>
      <c r="E4605" t="s">
        <v>202</v>
      </c>
      <c r="F4605" t="s">
        <v>218</v>
      </c>
      <c r="G4605" t="s">
        <v>240</v>
      </c>
      <c r="I4605">
        <v>4603.5</v>
      </c>
      <c r="J4605">
        <v>22096.799999999999</v>
      </c>
      <c r="K4605">
        <v>4.8</v>
      </c>
      <c r="M4605" t="s">
        <v>516</v>
      </c>
    </row>
    <row r="4606" spans="1:13" hidden="1">
      <c r="A4606" t="s">
        <v>97</v>
      </c>
      <c r="B4606" t="s">
        <v>8</v>
      </c>
      <c r="C4606" t="s">
        <v>96</v>
      </c>
      <c r="D4606" t="str">
        <f>LEFT(M4606,9)</f>
        <v>1/15/2025</v>
      </c>
      <c r="E4606" t="s">
        <v>202</v>
      </c>
      <c r="F4606" t="s">
        <v>218</v>
      </c>
      <c r="G4606" t="s">
        <v>241</v>
      </c>
      <c r="I4606">
        <v>335</v>
      </c>
      <c r="J4606">
        <v>1608</v>
      </c>
      <c r="K4606">
        <v>4.8</v>
      </c>
      <c r="M4606" t="s">
        <v>516</v>
      </c>
    </row>
    <row r="4607" spans="1:13" hidden="1">
      <c r="A4607" t="s">
        <v>97</v>
      </c>
      <c r="B4607" t="s">
        <v>8</v>
      </c>
      <c r="C4607" t="s">
        <v>96</v>
      </c>
      <c r="D4607" t="str">
        <f>LEFT(M4607,9)</f>
        <v>1/15/2025</v>
      </c>
      <c r="E4607" t="s">
        <v>202</v>
      </c>
      <c r="F4607" t="s">
        <v>218</v>
      </c>
      <c r="G4607" t="s">
        <v>219</v>
      </c>
      <c r="I4607">
        <v>426</v>
      </c>
      <c r="J4607">
        <v>137.5</v>
      </c>
      <c r="K4607">
        <v>0.32</v>
      </c>
      <c r="M4607" t="s">
        <v>516</v>
      </c>
    </row>
    <row r="4608" spans="1:13" hidden="1">
      <c r="A4608" t="s">
        <v>97</v>
      </c>
      <c r="B4608" t="s">
        <v>8</v>
      </c>
      <c r="C4608" t="s">
        <v>96</v>
      </c>
      <c r="D4608" t="str">
        <f>LEFT(M4608,9)</f>
        <v>1/15/2025</v>
      </c>
      <c r="E4608" t="s">
        <v>202</v>
      </c>
      <c r="F4608" t="s">
        <v>218</v>
      </c>
      <c r="G4608" t="s">
        <v>242</v>
      </c>
      <c r="I4608">
        <v>276.5</v>
      </c>
      <c r="J4608">
        <v>544.9</v>
      </c>
      <c r="K4608">
        <v>1.97</v>
      </c>
      <c r="M4608" t="s">
        <v>516</v>
      </c>
    </row>
    <row r="4609" spans="1:13" hidden="1">
      <c r="A4609" t="s">
        <v>97</v>
      </c>
      <c r="B4609" t="s">
        <v>8</v>
      </c>
      <c r="C4609" t="s">
        <v>96</v>
      </c>
      <c r="D4609" t="str">
        <f>LEFT(M4609,9)</f>
        <v>1/15/2025</v>
      </c>
      <c r="E4609" t="s">
        <v>202</v>
      </c>
      <c r="F4609" t="s">
        <v>218</v>
      </c>
      <c r="G4609" t="s">
        <v>221</v>
      </c>
      <c r="I4609">
        <v>2953</v>
      </c>
      <c r="J4609">
        <v>7992.4</v>
      </c>
      <c r="K4609">
        <v>2.71</v>
      </c>
      <c r="M4609" t="s">
        <v>516</v>
      </c>
    </row>
    <row r="4610" spans="1:13" hidden="1">
      <c r="A4610" t="s">
        <v>97</v>
      </c>
      <c r="B4610" t="s">
        <v>8</v>
      </c>
      <c r="C4610" t="s">
        <v>96</v>
      </c>
      <c r="D4610" t="str">
        <f>LEFT(M4610,9)</f>
        <v>1/15/2025</v>
      </c>
      <c r="E4610" t="s">
        <v>202</v>
      </c>
      <c r="F4610" t="s">
        <v>218</v>
      </c>
      <c r="G4610" t="s">
        <v>220</v>
      </c>
      <c r="I4610">
        <v>4436</v>
      </c>
      <c r="J4610">
        <v>6654</v>
      </c>
      <c r="K4610">
        <v>1.5</v>
      </c>
      <c r="M4610" t="s">
        <v>516</v>
      </c>
    </row>
    <row r="4611" spans="1:13" hidden="1">
      <c r="A4611" t="s">
        <v>97</v>
      </c>
      <c r="B4611" t="s">
        <v>8</v>
      </c>
      <c r="C4611" t="s">
        <v>96</v>
      </c>
      <c r="D4611" t="str">
        <f>LEFT(M4611,9)</f>
        <v>1/15/2025</v>
      </c>
      <c r="E4611" t="s">
        <v>202</v>
      </c>
      <c r="F4611" t="s">
        <v>218</v>
      </c>
      <c r="G4611" t="s">
        <v>223</v>
      </c>
      <c r="I4611">
        <v>1437.5</v>
      </c>
      <c r="J4611">
        <v>940.15</v>
      </c>
      <c r="K4611">
        <v>0.65</v>
      </c>
      <c r="M4611" t="s">
        <v>516</v>
      </c>
    </row>
    <row r="4612" spans="1:13" hidden="1">
      <c r="A4612" t="s">
        <v>97</v>
      </c>
      <c r="B4612" t="s">
        <v>8</v>
      </c>
      <c r="C4612" t="s">
        <v>96</v>
      </c>
      <c r="D4612" t="str">
        <f>LEFT(M4612,9)</f>
        <v>1/15/2025</v>
      </c>
      <c r="E4612" t="s">
        <v>202</v>
      </c>
      <c r="F4612" t="s">
        <v>218</v>
      </c>
      <c r="G4612" t="s">
        <v>223</v>
      </c>
      <c r="I4612">
        <v>3662</v>
      </c>
      <c r="J4612">
        <v>3180.1</v>
      </c>
      <c r="K4612">
        <v>0.87</v>
      </c>
      <c r="M4612" t="s">
        <v>516</v>
      </c>
    </row>
    <row r="4613" spans="1:13" hidden="1">
      <c r="A4613" t="s">
        <v>97</v>
      </c>
      <c r="B4613" t="s">
        <v>8</v>
      </c>
      <c r="C4613" t="s">
        <v>96</v>
      </c>
      <c r="D4613" t="str">
        <f>LEFT(M4613,9)</f>
        <v>1/15/2025</v>
      </c>
      <c r="E4613" t="s">
        <v>202</v>
      </c>
      <c r="F4613" t="s">
        <v>218</v>
      </c>
      <c r="G4613" t="s">
        <v>222</v>
      </c>
      <c r="I4613">
        <v>1590</v>
      </c>
      <c r="J4613">
        <v>3003.3</v>
      </c>
      <c r="K4613">
        <v>1.89</v>
      </c>
      <c r="M4613" t="s">
        <v>516</v>
      </c>
    </row>
    <row r="4614" spans="1:13" hidden="1">
      <c r="A4614" t="s">
        <v>97</v>
      </c>
      <c r="B4614" t="s">
        <v>8</v>
      </c>
      <c r="C4614" t="s">
        <v>96</v>
      </c>
      <c r="D4614" t="str">
        <f>LEFT(M4614,9)</f>
        <v>1/15/2025</v>
      </c>
      <c r="E4614" t="s">
        <v>202</v>
      </c>
      <c r="F4614" t="s">
        <v>218</v>
      </c>
      <c r="G4614" t="s">
        <v>222</v>
      </c>
      <c r="I4614">
        <v>1216</v>
      </c>
      <c r="J4614">
        <v>2769.9</v>
      </c>
      <c r="K4614">
        <v>2.2799999999999998</v>
      </c>
      <c r="M4614" t="s">
        <v>516</v>
      </c>
    </row>
    <row r="4615" spans="1:13" hidden="1">
      <c r="A4615" t="s">
        <v>97</v>
      </c>
      <c r="B4615" t="s">
        <v>8</v>
      </c>
      <c r="C4615" t="s">
        <v>96</v>
      </c>
      <c r="D4615" t="str">
        <f>LEFT(M4615,9)</f>
        <v>1/15/2025</v>
      </c>
      <c r="E4615" t="s">
        <v>202</v>
      </c>
      <c r="F4615" t="s">
        <v>218</v>
      </c>
      <c r="G4615" t="s">
        <v>222</v>
      </c>
      <c r="I4615">
        <v>1251</v>
      </c>
      <c r="J4615">
        <v>1856.05</v>
      </c>
      <c r="K4615">
        <v>1.48</v>
      </c>
      <c r="M4615" t="s">
        <v>516</v>
      </c>
    </row>
    <row r="4616" spans="1:13" hidden="1">
      <c r="A4616" t="s">
        <v>97</v>
      </c>
      <c r="B4616" t="s">
        <v>8</v>
      </c>
      <c r="C4616" t="s">
        <v>96</v>
      </c>
      <c r="D4616" t="str">
        <f>LEFT(M4616,9)</f>
        <v>1/15/2025</v>
      </c>
      <c r="E4616" t="s">
        <v>202</v>
      </c>
      <c r="F4616" t="s">
        <v>218</v>
      </c>
      <c r="G4616" t="s">
        <v>222</v>
      </c>
      <c r="I4616">
        <v>4375.5</v>
      </c>
      <c r="J4616">
        <v>1968.98</v>
      </c>
      <c r="K4616">
        <v>0.45</v>
      </c>
      <c r="M4616" t="s">
        <v>516</v>
      </c>
    </row>
    <row r="4617" spans="1:13" hidden="1">
      <c r="A4617" t="s">
        <v>97</v>
      </c>
      <c r="B4617" t="s">
        <v>8</v>
      </c>
      <c r="C4617" t="s">
        <v>96</v>
      </c>
      <c r="D4617" t="str">
        <f>LEFT(M4617,9)</f>
        <v>1/15/2025</v>
      </c>
      <c r="E4617" t="s">
        <v>202</v>
      </c>
      <c r="F4617" t="s">
        <v>218</v>
      </c>
      <c r="G4617" t="s">
        <v>225</v>
      </c>
      <c r="I4617">
        <v>357</v>
      </c>
      <c r="J4617">
        <v>464.1</v>
      </c>
      <c r="K4617">
        <v>1.3</v>
      </c>
      <c r="M4617" t="s">
        <v>516</v>
      </c>
    </row>
    <row r="4618" spans="1:13" hidden="1">
      <c r="A4618" t="s">
        <v>97</v>
      </c>
      <c r="B4618" t="s">
        <v>8</v>
      </c>
      <c r="C4618" t="s">
        <v>96</v>
      </c>
      <c r="D4618" t="str">
        <f>LEFT(M4618,9)</f>
        <v>1/15/2025</v>
      </c>
      <c r="E4618" t="s">
        <v>202</v>
      </c>
      <c r="F4618" t="s">
        <v>218</v>
      </c>
      <c r="G4618" t="s">
        <v>224</v>
      </c>
      <c r="I4618">
        <v>339</v>
      </c>
      <c r="J4618">
        <v>339</v>
      </c>
      <c r="K4618">
        <v>1</v>
      </c>
      <c r="M4618" t="s">
        <v>516</v>
      </c>
    </row>
    <row r="4619" spans="1:13" hidden="1">
      <c r="A4619" t="s">
        <v>97</v>
      </c>
      <c r="B4619" t="s">
        <v>8</v>
      </c>
      <c r="C4619" t="s">
        <v>96</v>
      </c>
      <c r="D4619" t="str">
        <f>LEFT(M4619,9)</f>
        <v>1/15/2025</v>
      </c>
      <c r="E4619" t="s">
        <v>202</v>
      </c>
      <c r="F4619" t="s">
        <v>227</v>
      </c>
      <c r="G4619" t="s">
        <v>238</v>
      </c>
      <c r="I4619">
        <v>926</v>
      </c>
      <c r="J4619">
        <v>421.1</v>
      </c>
      <c r="K4619">
        <v>0.45</v>
      </c>
      <c r="M4619" t="s">
        <v>516</v>
      </c>
    </row>
    <row r="4620" spans="1:13" hidden="1">
      <c r="A4620" t="s">
        <v>97</v>
      </c>
      <c r="B4620" t="s">
        <v>8</v>
      </c>
      <c r="C4620" t="s">
        <v>96</v>
      </c>
      <c r="D4620" t="str">
        <f>LEFT(M4620,9)</f>
        <v>1/15/2025</v>
      </c>
      <c r="E4620" t="s">
        <v>202</v>
      </c>
      <c r="F4620" t="s">
        <v>203</v>
      </c>
      <c r="G4620" t="s">
        <v>204</v>
      </c>
      <c r="I4620">
        <v>343</v>
      </c>
      <c r="J4620">
        <v>3046.8</v>
      </c>
      <c r="K4620">
        <v>8.8800000000000008</v>
      </c>
      <c r="M4620" t="s">
        <v>516</v>
      </c>
    </row>
    <row r="4621" spans="1:13" hidden="1">
      <c r="A4621" t="s">
        <v>97</v>
      </c>
      <c r="B4621" t="s">
        <v>8</v>
      </c>
      <c r="C4621" t="s">
        <v>96</v>
      </c>
      <c r="D4621" t="str">
        <f>LEFT(M4621,9)</f>
        <v>1/15/2025</v>
      </c>
      <c r="E4621" t="s">
        <v>202</v>
      </c>
      <c r="F4621" t="s">
        <v>203</v>
      </c>
      <c r="G4621" t="s">
        <v>208</v>
      </c>
      <c r="I4621">
        <v>123.2</v>
      </c>
      <c r="J4621">
        <v>1114.3</v>
      </c>
      <c r="K4621">
        <v>9.0399999999999991</v>
      </c>
      <c r="M4621" t="s">
        <v>516</v>
      </c>
    </row>
    <row r="4622" spans="1:13" hidden="1">
      <c r="A4622" t="s">
        <v>97</v>
      </c>
      <c r="B4622" t="s">
        <v>8</v>
      </c>
      <c r="C4622" t="s">
        <v>96</v>
      </c>
      <c r="D4622" t="str">
        <f>LEFT(M4622,9)</f>
        <v>1/15/2025</v>
      </c>
      <c r="E4622" t="s">
        <v>202</v>
      </c>
      <c r="F4622" t="s">
        <v>203</v>
      </c>
      <c r="G4622" t="s">
        <v>207</v>
      </c>
      <c r="I4622">
        <v>66.75</v>
      </c>
      <c r="J4622">
        <v>340.05</v>
      </c>
      <c r="K4622">
        <v>5.09</v>
      </c>
      <c r="M4622" t="s">
        <v>516</v>
      </c>
    </row>
    <row r="4623" spans="1:13" hidden="1">
      <c r="A4623" t="s">
        <v>97</v>
      </c>
      <c r="B4623" t="s">
        <v>8</v>
      </c>
      <c r="C4623" t="s">
        <v>96</v>
      </c>
      <c r="D4623" t="str">
        <f>LEFT(M4623,9)</f>
        <v>1/15/2025</v>
      </c>
      <c r="E4623" t="s">
        <v>202</v>
      </c>
      <c r="F4623" t="s">
        <v>203</v>
      </c>
      <c r="G4623" t="s">
        <v>259</v>
      </c>
      <c r="I4623">
        <v>36.5</v>
      </c>
      <c r="J4623">
        <v>189.8</v>
      </c>
      <c r="K4623">
        <v>5.2</v>
      </c>
      <c r="M4623" t="s">
        <v>516</v>
      </c>
    </row>
    <row r="4624" spans="1:13" hidden="1">
      <c r="A4624" t="s">
        <v>97</v>
      </c>
      <c r="B4624" t="s">
        <v>8</v>
      </c>
      <c r="C4624" t="s">
        <v>96</v>
      </c>
      <c r="D4624" t="str">
        <f>LEFT(M4624,9)</f>
        <v>1/15/2025</v>
      </c>
      <c r="E4624" t="s">
        <v>202</v>
      </c>
      <c r="F4624" t="s">
        <v>203</v>
      </c>
      <c r="G4624" t="s">
        <v>260</v>
      </c>
      <c r="I4624">
        <v>40</v>
      </c>
      <c r="J4624">
        <v>1520</v>
      </c>
      <c r="K4624">
        <v>38</v>
      </c>
      <c r="M4624" t="s">
        <v>516</v>
      </c>
    </row>
    <row r="4625" spans="1:13" hidden="1">
      <c r="A4625" t="s">
        <v>97</v>
      </c>
      <c r="B4625" t="s">
        <v>8</v>
      </c>
      <c r="C4625" t="s">
        <v>96</v>
      </c>
      <c r="D4625" t="str">
        <f>LEFT(M4625,9)</f>
        <v>1/15/2025</v>
      </c>
      <c r="E4625" t="s">
        <v>202</v>
      </c>
      <c r="F4625" t="s">
        <v>203</v>
      </c>
      <c r="G4625" t="s">
        <v>215</v>
      </c>
      <c r="I4625">
        <v>6580</v>
      </c>
      <c r="J4625">
        <v>5272</v>
      </c>
      <c r="K4625">
        <v>0.8</v>
      </c>
      <c r="M4625" t="s">
        <v>516</v>
      </c>
    </row>
    <row r="4626" spans="1:13" hidden="1">
      <c r="A4626" t="s">
        <v>97</v>
      </c>
      <c r="B4626" t="s">
        <v>8</v>
      </c>
      <c r="C4626" t="s">
        <v>96</v>
      </c>
      <c r="D4626" t="str">
        <f>LEFT(M4626,9)</f>
        <v>1/15/2025</v>
      </c>
      <c r="E4626" t="s">
        <v>202</v>
      </c>
      <c r="F4626" t="s">
        <v>209</v>
      </c>
      <c r="G4626" t="s">
        <v>310</v>
      </c>
      <c r="I4626">
        <v>71</v>
      </c>
      <c r="J4626">
        <v>106.5</v>
      </c>
      <c r="K4626">
        <v>1.5</v>
      </c>
      <c r="M4626" t="s">
        <v>516</v>
      </c>
    </row>
    <row r="4627" spans="1:13" hidden="1">
      <c r="A4627" t="s">
        <v>97</v>
      </c>
      <c r="B4627" t="s">
        <v>8</v>
      </c>
      <c r="C4627" t="s">
        <v>96</v>
      </c>
      <c r="D4627" t="str">
        <f>LEFT(M4627,9)</f>
        <v>1/15/2025</v>
      </c>
      <c r="E4627" t="s">
        <v>202</v>
      </c>
      <c r="F4627" t="s">
        <v>216</v>
      </c>
      <c r="G4627" t="s">
        <v>217</v>
      </c>
      <c r="I4627">
        <v>1240</v>
      </c>
      <c r="J4627">
        <v>960.05</v>
      </c>
      <c r="K4627">
        <v>0.77</v>
      </c>
      <c r="M4627" t="s">
        <v>516</v>
      </c>
    </row>
    <row r="4628" spans="1:13" hidden="1">
      <c r="A4628" t="s">
        <v>97</v>
      </c>
      <c r="B4628" t="s">
        <v>8</v>
      </c>
      <c r="C4628" t="s">
        <v>96</v>
      </c>
      <c r="D4628" t="str">
        <f>LEFT(M4628,9)</f>
        <v>1/15/2025</v>
      </c>
      <c r="E4628" t="s">
        <v>202</v>
      </c>
      <c r="F4628" t="s">
        <v>216</v>
      </c>
      <c r="G4628" t="s">
        <v>253</v>
      </c>
      <c r="I4628">
        <v>36210</v>
      </c>
      <c r="J4628">
        <v>7663.7</v>
      </c>
      <c r="K4628">
        <v>0.21</v>
      </c>
      <c r="M4628" t="s">
        <v>516</v>
      </c>
    </row>
    <row r="4629" spans="1:13" hidden="1">
      <c r="A4629" t="s">
        <v>97</v>
      </c>
      <c r="B4629" t="s">
        <v>8</v>
      </c>
      <c r="C4629" t="s">
        <v>96</v>
      </c>
      <c r="D4629" t="str">
        <f>LEFT(M4629,9)</f>
        <v>1/15/2025</v>
      </c>
      <c r="E4629" t="s">
        <v>202</v>
      </c>
      <c r="F4629" t="s">
        <v>209</v>
      </c>
      <c r="G4629" t="s">
        <v>214</v>
      </c>
      <c r="I4629">
        <v>1945.5</v>
      </c>
      <c r="J4629">
        <v>1030.75</v>
      </c>
      <c r="K4629">
        <v>0.53</v>
      </c>
      <c r="M4629" t="s">
        <v>516</v>
      </c>
    </row>
    <row r="4630" spans="1:13" hidden="1">
      <c r="A4630" t="s">
        <v>97</v>
      </c>
      <c r="B4630" t="s">
        <v>8</v>
      </c>
      <c r="C4630" t="s">
        <v>96</v>
      </c>
      <c r="D4630" t="str">
        <f>LEFT(M4630,9)</f>
        <v>1/15/2025</v>
      </c>
      <c r="E4630" t="s">
        <v>202</v>
      </c>
      <c r="F4630" t="s">
        <v>209</v>
      </c>
      <c r="G4630" t="s">
        <v>214</v>
      </c>
      <c r="I4630">
        <v>7234.5</v>
      </c>
      <c r="J4630">
        <v>351.88</v>
      </c>
      <c r="K4630">
        <v>0.05</v>
      </c>
      <c r="M4630" t="s">
        <v>516</v>
      </c>
    </row>
    <row r="4631" spans="1:13" hidden="1">
      <c r="A4631" t="s">
        <v>97</v>
      </c>
      <c r="B4631" t="s">
        <v>8</v>
      </c>
      <c r="C4631" t="s">
        <v>96</v>
      </c>
      <c r="D4631" t="str">
        <f>LEFT(M4631,9)</f>
        <v>1/15/2025</v>
      </c>
      <c r="E4631" t="s">
        <v>232</v>
      </c>
      <c r="F4631" t="s">
        <v>287</v>
      </c>
      <c r="I4631">
        <v>0</v>
      </c>
      <c r="J4631">
        <v>6025.53</v>
      </c>
      <c r="M4631" t="s">
        <v>516</v>
      </c>
    </row>
    <row r="4632" spans="1:13" hidden="1">
      <c r="A4632" t="s">
        <v>97</v>
      </c>
      <c r="B4632" t="s">
        <v>8</v>
      </c>
      <c r="C4632" t="s">
        <v>96</v>
      </c>
      <c r="D4632" t="str">
        <f>LEFT(M4632,9)</f>
        <v>1/15/2025</v>
      </c>
      <c r="E4632" t="s">
        <v>232</v>
      </c>
      <c r="F4632" t="s">
        <v>255</v>
      </c>
      <c r="I4632">
        <v>0</v>
      </c>
      <c r="J4632">
        <v>76.2</v>
      </c>
      <c r="L4632" t="s">
        <v>390</v>
      </c>
      <c r="M4632" t="s">
        <v>516</v>
      </c>
    </row>
    <row r="4633" spans="1:13" hidden="1">
      <c r="A4633" t="s">
        <v>97</v>
      </c>
      <c r="B4633" t="s">
        <v>8</v>
      </c>
      <c r="C4633" t="s">
        <v>96</v>
      </c>
      <c r="D4633" t="str">
        <f>LEFT(M4633,9)</f>
        <v>1/15/2025</v>
      </c>
      <c r="E4633" t="s">
        <v>232</v>
      </c>
      <c r="F4633" t="s">
        <v>296</v>
      </c>
      <c r="I4633">
        <v>0</v>
      </c>
      <c r="J4633">
        <v>1277.8</v>
      </c>
      <c r="M4633" t="s">
        <v>516</v>
      </c>
    </row>
    <row r="4634" spans="1:13" hidden="1">
      <c r="A4634" t="s">
        <v>97</v>
      </c>
      <c r="B4634" t="s">
        <v>8</v>
      </c>
      <c r="C4634" t="s">
        <v>96</v>
      </c>
      <c r="D4634" t="str">
        <f>LEFT(M4634,9)</f>
        <v>1/15/2025</v>
      </c>
      <c r="E4634" t="s">
        <v>232</v>
      </c>
      <c r="F4634" t="s">
        <v>272</v>
      </c>
      <c r="I4634">
        <v>0</v>
      </c>
      <c r="J4634">
        <v>1938</v>
      </c>
      <c r="M4634" t="s">
        <v>516</v>
      </c>
    </row>
    <row r="4635" spans="1:13" hidden="1">
      <c r="A4635" t="s">
        <v>97</v>
      </c>
      <c r="B4635" t="s">
        <v>8</v>
      </c>
      <c r="C4635" t="s">
        <v>96</v>
      </c>
      <c r="D4635" t="str">
        <f>LEFT(M4635,9)</f>
        <v>1/15/2025</v>
      </c>
      <c r="E4635" t="s">
        <v>232</v>
      </c>
      <c r="F4635" t="s">
        <v>286</v>
      </c>
      <c r="I4635">
        <v>0</v>
      </c>
      <c r="J4635">
        <v>267.3</v>
      </c>
      <c r="M4635" t="s">
        <v>516</v>
      </c>
    </row>
    <row r="4636" spans="1:13" hidden="1">
      <c r="A4636" t="s">
        <v>97</v>
      </c>
      <c r="B4636" t="s">
        <v>8</v>
      </c>
      <c r="C4636" t="s">
        <v>96</v>
      </c>
      <c r="D4636" t="str">
        <f>LEFT(M4636,9)</f>
        <v>1/15/2025</v>
      </c>
      <c r="E4636" t="s">
        <v>232</v>
      </c>
      <c r="F4636" t="s">
        <v>251</v>
      </c>
      <c r="I4636">
        <v>0</v>
      </c>
      <c r="J4636">
        <v>1277</v>
      </c>
      <c r="M4636" t="s">
        <v>516</v>
      </c>
    </row>
    <row r="4637" spans="1:13" hidden="1">
      <c r="A4637" t="s">
        <v>97</v>
      </c>
      <c r="B4637" t="s">
        <v>8</v>
      </c>
      <c r="C4637" t="s">
        <v>96</v>
      </c>
      <c r="D4637" t="str">
        <f>LEFT(M4637,9)</f>
        <v>1/15/2025</v>
      </c>
      <c r="E4637" t="s">
        <v>232</v>
      </c>
      <c r="F4637" t="s">
        <v>290</v>
      </c>
      <c r="I4637">
        <v>0</v>
      </c>
      <c r="J4637">
        <v>167</v>
      </c>
      <c r="M4637" t="s">
        <v>516</v>
      </c>
    </row>
    <row r="4638" spans="1:13" hidden="1">
      <c r="A4638" t="s">
        <v>97</v>
      </c>
      <c r="B4638" t="s">
        <v>8</v>
      </c>
      <c r="C4638" t="s">
        <v>96</v>
      </c>
      <c r="D4638" t="str">
        <f>LEFT(M4638,9)</f>
        <v>1/15/2025</v>
      </c>
      <c r="E4638" t="s">
        <v>232</v>
      </c>
      <c r="F4638" t="s">
        <v>255</v>
      </c>
      <c r="I4638">
        <v>0</v>
      </c>
      <c r="J4638">
        <v>214</v>
      </c>
      <c r="L4638" t="s">
        <v>465</v>
      </c>
      <c r="M4638" t="s">
        <v>516</v>
      </c>
    </row>
    <row r="4639" spans="1:13" hidden="1">
      <c r="A4639" t="s">
        <v>97</v>
      </c>
      <c r="B4639" t="s">
        <v>8</v>
      </c>
      <c r="C4639" t="s">
        <v>96</v>
      </c>
      <c r="D4639" t="str">
        <f>LEFT(M4639,9)</f>
        <v>1/15/2025</v>
      </c>
      <c r="E4639" t="s">
        <v>232</v>
      </c>
      <c r="F4639" t="s">
        <v>255</v>
      </c>
      <c r="I4639">
        <v>0</v>
      </c>
      <c r="J4639">
        <v>800</v>
      </c>
      <c r="L4639" t="s">
        <v>464</v>
      </c>
      <c r="M4639" t="s">
        <v>516</v>
      </c>
    </row>
    <row r="4640" spans="1:13" hidden="1">
      <c r="A4640" t="s">
        <v>97</v>
      </c>
      <c r="B4640" t="s">
        <v>8</v>
      </c>
      <c r="C4640" t="s">
        <v>96</v>
      </c>
      <c r="D4640" t="str">
        <f>LEFT(M4640,9)</f>
        <v>1/15/2025</v>
      </c>
      <c r="E4640" t="s">
        <v>232</v>
      </c>
      <c r="F4640" t="s">
        <v>233</v>
      </c>
      <c r="I4640">
        <v>0</v>
      </c>
      <c r="J4640">
        <v>315.08999999999997</v>
      </c>
      <c r="M4640" t="s">
        <v>516</v>
      </c>
    </row>
    <row r="4641" spans="1:13" hidden="1">
      <c r="A4641" t="s">
        <v>97</v>
      </c>
      <c r="B4641" t="s">
        <v>8</v>
      </c>
      <c r="C4641" t="s">
        <v>96</v>
      </c>
      <c r="D4641" t="str">
        <f>LEFT(M4641,9)</f>
        <v>1/15/2025</v>
      </c>
      <c r="E4641" t="s">
        <v>202</v>
      </c>
      <c r="F4641" t="s">
        <v>306</v>
      </c>
      <c r="G4641" t="s">
        <v>307</v>
      </c>
      <c r="I4641">
        <v>110</v>
      </c>
      <c r="J4641">
        <v>220</v>
      </c>
      <c r="K4641">
        <v>2</v>
      </c>
      <c r="M4641" t="s">
        <v>516</v>
      </c>
    </row>
    <row r="4642" spans="1:13" hidden="1">
      <c r="A4642" t="s">
        <v>97</v>
      </c>
      <c r="B4642" t="s">
        <v>8</v>
      </c>
      <c r="C4642" t="s">
        <v>96</v>
      </c>
      <c r="D4642" t="str">
        <f>LEFT(M4642,9)</f>
        <v>1/15/2025</v>
      </c>
      <c r="E4642" t="s">
        <v>234</v>
      </c>
      <c r="F4642" t="s">
        <v>234</v>
      </c>
      <c r="I4642">
        <v>26460</v>
      </c>
      <c r="M4642" t="s">
        <v>516</v>
      </c>
    </row>
    <row r="4643" spans="1:13" hidden="1">
      <c r="A4643" t="s">
        <v>97</v>
      </c>
      <c r="B4643" t="s">
        <v>8</v>
      </c>
      <c r="C4643" t="s">
        <v>96</v>
      </c>
      <c r="D4643" t="str">
        <f>LEFT(M4643,9)</f>
        <v>1/15/2025</v>
      </c>
      <c r="E4643" t="s">
        <v>230</v>
      </c>
      <c r="F4643" t="s">
        <v>248</v>
      </c>
      <c r="I4643">
        <v>0</v>
      </c>
      <c r="J4643">
        <v>96445.37</v>
      </c>
      <c r="M4643" t="s">
        <v>516</v>
      </c>
    </row>
    <row r="4644" spans="1:13" hidden="1">
      <c r="A4644" t="s">
        <v>85</v>
      </c>
      <c r="B4644" t="s">
        <v>8</v>
      </c>
      <c r="C4644" t="s">
        <v>14</v>
      </c>
      <c r="D4644" t="str">
        <f>LEFT(M4644,9)</f>
        <v>1/15/2025</v>
      </c>
      <c r="E4644" t="s">
        <v>202</v>
      </c>
      <c r="F4644" t="s">
        <v>227</v>
      </c>
      <c r="G4644" t="s">
        <v>238</v>
      </c>
      <c r="I4644">
        <v>1592</v>
      </c>
      <c r="J4644">
        <v>636.79999999999995</v>
      </c>
      <c r="K4644">
        <v>0.4</v>
      </c>
      <c r="M4644" t="s">
        <v>516</v>
      </c>
    </row>
    <row r="4645" spans="1:13" hidden="1">
      <c r="A4645" t="s">
        <v>85</v>
      </c>
      <c r="B4645" t="s">
        <v>8</v>
      </c>
      <c r="C4645" t="s">
        <v>14</v>
      </c>
      <c r="D4645" t="str">
        <f>LEFT(M4645,9)</f>
        <v>1/15/2025</v>
      </c>
      <c r="E4645" t="s">
        <v>202</v>
      </c>
      <c r="F4645" t="s">
        <v>227</v>
      </c>
      <c r="G4645" t="s">
        <v>229</v>
      </c>
      <c r="I4645">
        <v>22986</v>
      </c>
      <c r="J4645">
        <v>17239.5</v>
      </c>
      <c r="K4645">
        <v>0.75</v>
      </c>
      <c r="M4645" t="s">
        <v>516</v>
      </c>
    </row>
    <row r="4646" spans="1:13" hidden="1">
      <c r="A4646" t="s">
        <v>85</v>
      </c>
      <c r="B4646" t="s">
        <v>8</v>
      </c>
      <c r="C4646" t="s">
        <v>14</v>
      </c>
      <c r="D4646" t="str">
        <f>LEFT(M4646,9)</f>
        <v>1/15/2025</v>
      </c>
      <c r="E4646" t="s">
        <v>202</v>
      </c>
      <c r="F4646" t="s">
        <v>227</v>
      </c>
      <c r="G4646" t="s">
        <v>228</v>
      </c>
      <c r="I4646">
        <v>9886.5</v>
      </c>
      <c r="J4646">
        <v>2965.95</v>
      </c>
      <c r="K4646">
        <v>0.3</v>
      </c>
      <c r="M4646" t="s">
        <v>516</v>
      </c>
    </row>
    <row r="4647" spans="1:13" hidden="1">
      <c r="A4647" t="s">
        <v>85</v>
      </c>
      <c r="B4647" t="s">
        <v>8</v>
      </c>
      <c r="C4647" t="s">
        <v>14</v>
      </c>
      <c r="D4647" t="str">
        <f>LEFT(M4647,9)</f>
        <v>1/15/2025</v>
      </c>
      <c r="E4647" t="s">
        <v>202</v>
      </c>
      <c r="F4647" t="s">
        <v>227</v>
      </c>
      <c r="G4647" t="s">
        <v>237</v>
      </c>
      <c r="I4647">
        <v>3795</v>
      </c>
      <c r="J4647">
        <v>2466.75</v>
      </c>
      <c r="K4647">
        <v>0.65</v>
      </c>
      <c r="M4647" t="s">
        <v>516</v>
      </c>
    </row>
    <row r="4648" spans="1:13" hidden="1">
      <c r="A4648" t="s">
        <v>85</v>
      </c>
      <c r="B4648" t="s">
        <v>8</v>
      </c>
      <c r="C4648" t="s">
        <v>14</v>
      </c>
      <c r="D4648" t="str">
        <f>LEFT(M4648,9)</f>
        <v>1/15/2025</v>
      </c>
      <c r="E4648" t="s">
        <v>202</v>
      </c>
      <c r="F4648" t="s">
        <v>227</v>
      </c>
      <c r="G4648" t="s">
        <v>252</v>
      </c>
      <c r="I4648">
        <v>1374</v>
      </c>
      <c r="J4648">
        <v>480.9</v>
      </c>
      <c r="K4648">
        <v>0.35</v>
      </c>
      <c r="M4648" t="s">
        <v>516</v>
      </c>
    </row>
    <row r="4649" spans="1:13" hidden="1">
      <c r="A4649" t="s">
        <v>85</v>
      </c>
      <c r="B4649" t="s">
        <v>8</v>
      </c>
      <c r="C4649" t="s">
        <v>14</v>
      </c>
      <c r="D4649" t="str">
        <f>LEFT(M4649,9)</f>
        <v>1/15/2025</v>
      </c>
      <c r="E4649" t="s">
        <v>202</v>
      </c>
      <c r="F4649" t="s">
        <v>218</v>
      </c>
      <c r="G4649" t="s">
        <v>224</v>
      </c>
      <c r="I4649">
        <v>818.5</v>
      </c>
      <c r="J4649">
        <v>818.5</v>
      </c>
      <c r="K4649">
        <v>1</v>
      </c>
      <c r="M4649" t="s">
        <v>516</v>
      </c>
    </row>
    <row r="4650" spans="1:13" hidden="1">
      <c r="A4650" t="s">
        <v>85</v>
      </c>
      <c r="B4650" t="s">
        <v>8</v>
      </c>
      <c r="C4650" t="s">
        <v>14</v>
      </c>
      <c r="D4650" t="str">
        <f>LEFT(M4650,9)</f>
        <v>1/15/2025</v>
      </c>
      <c r="E4650" t="s">
        <v>202</v>
      </c>
      <c r="F4650" t="s">
        <v>218</v>
      </c>
      <c r="G4650" t="s">
        <v>221</v>
      </c>
      <c r="I4650">
        <v>918.5</v>
      </c>
      <c r="J4650">
        <v>2112.5500000000002</v>
      </c>
      <c r="K4650">
        <v>2.2999999999999998</v>
      </c>
      <c r="M4650" t="s">
        <v>516</v>
      </c>
    </row>
    <row r="4651" spans="1:13" hidden="1">
      <c r="A4651" t="s">
        <v>85</v>
      </c>
      <c r="B4651" t="s">
        <v>8</v>
      </c>
      <c r="C4651" t="s">
        <v>14</v>
      </c>
      <c r="D4651" t="str">
        <f>LEFT(M4651,9)</f>
        <v>1/15/2025</v>
      </c>
      <c r="E4651" t="s">
        <v>202</v>
      </c>
      <c r="F4651" t="s">
        <v>218</v>
      </c>
      <c r="G4651" t="s">
        <v>266</v>
      </c>
      <c r="I4651">
        <v>3194.5</v>
      </c>
      <c r="J4651">
        <v>3993.12</v>
      </c>
      <c r="K4651">
        <v>1.25</v>
      </c>
      <c r="M4651" t="s">
        <v>516</v>
      </c>
    </row>
    <row r="4652" spans="1:13" hidden="1">
      <c r="A4652" t="s">
        <v>85</v>
      </c>
      <c r="B4652" t="s">
        <v>8</v>
      </c>
      <c r="C4652" t="s">
        <v>14</v>
      </c>
      <c r="D4652" t="str">
        <f>LEFT(M4652,9)</f>
        <v>1/15/2025</v>
      </c>
      <c r="E4652" t="s">
        <v>202</v>
      </c>
      <c r="F4652" t="s">
        <v>218</v>
      </c>
      <c r="G4652" t="s">
        <v>223</v>
      </c>
      <c r="I4652">
        <v>4731</v>
      </c>
      <c r="J4652">
        <v>4257.8999999999996</v>
      </c>
      <c r="K4652">
        <v>0.9</v>
      </c>
      <c r="M4652" t="s">
        <v>516</v>
      </c>
    </row>
    <row r="4653" spans="1:13" hidden="1">
      <c r="A4653" t="s">
        <v>85</v>
      </c>
      <c r="B4653" t="s">
        <v>8</v>
      </c>
      <c r="C4653" t="s">
        <v>14</v>
      </c>
      <c r="D4653" t="str">
        <f>LEFT(M4653,9)</f>
        <v>1/15/2025</v>
      </c>
      <c r="E4653" t="s">
        <v>202</v>
      </c>
      <c r="F4653" t="s">
        <v>218</v>
      </c>
      <c r="G4653" t="s">
        <v>242</v>
      </c>
      <c r="I4653">
        <v>281.5</v>
      </c>
      <c r="J4653">
        <v>337.8</v>
      </c>
      <c r="K4653">
        <v>1.2</v>
      </c>
      <c r="M4653" t="s">
        <v>516</v>
      </c>
    </row>
    <row r="4654" spans="1:13" hidden="1">
      <c r="A4654" t="s">
        <v>85</v>
      </c>
      <c r="B4654" t="s">
        <v>8</v>
      </c>
      <c r="C4654" t="s">
        <v>14</v>
      </c>
      <c r="D4654" t="str">
        <f>LEFT(M4654,9)</f>
        <v>1/15/2025</v>
      </c>
      <c r="E4654" t="s">
        <v>202</v>
      </c>
      <c r="F4654" t="s">
        <v>218</v>
      </c>
      <c r="G4654" t="s">
        <v>241</v>
      </c>
      <c r="I4654">
        <v>4477</v>
      </c>
      <c r="J4654">
        <v>18131.849999999999</v>
      </c>
      <c r="K4654">
        <v>4.05</v>
      </c>
      <c r="M4654" t="s">
        <v>516</v>
      </c>
    </row>
    <row r="4655" spans="1:13" hidden="1">
      <c r="A4655" t="s">
        <v>85</v>
      </c>
      <c r="B4655" t="s">
        <v>8</v>
      </c>
      <c r="C4655" t="s">
        <v>14</v>
      </c>
      <c r="D4655" t="str">
        <f>LEFT(M4655,9)</f>
        <v>1/15/2025</v>
      </c>
      <c r="E4655" t="s">
        <v>202</v>
      </c>
      <c r="F4655" t="s">
        <v>218</v>
      </c>
      <c r="G4655" t="s">
        <v>226</v>
      </c>
      <c r="I4655">
        <v>2045</v>
      </c>
      <c r="J4655">
        <v>613.5</v>
      </c>
      <c r="K4655">
        <v>0.3</v>
      </c>
      <c r="M4655" t="s">
        <v>516</v>
      </c>
    </row>
    <row r="4656" spans="1:13" hidden="1">
      <c r="A4656" t="s">
        <v>85</v>
      </c>
      <c r="B4656" t="s">
        <v>8</v>
      </c>
      <c r="C4656" t="s">
        <v>14</v>
      </c>
      <c r="D4656" t="str">
        <f>LEFT(M4656,9)</f>
        <v>1/15/2025</v>
      </c>
      <c r="E4656" t="s">
        <v>202</v>
      </c>
      <c r="F4656" t="s">
        <v>218</v>
      </c>
      <c r="G4656" t="s">
        <v>221</v>
      </c>
      <c r="I4656">
        <v>1433</v>
      </c>
      <c r="J4656">
        <v>3367.55</v>
      </c>
      <c r="K4656">
        <v>2.35</v>
      </c>
      <c r="M4656" t="s">
        <v>516</v>
      </c>
    </row>
    <row r="4657" spans="1:13" hidden="1">
      <c r="A4657" t="s">
        <v>85</v>
      </c>
      <c r="B4657" t="s">
        <v>8</v>
      </c>
      <c r="C4657" t="s">
        <v>14</v>
      </c>
      <c r="D4657" t="str">
        <f>LEFT(M4657,9)</f>
        <v>1/15/2025</v>
      </c>
      <c r="E4657" t="s">
        <v>202</v>
      </c>
      <c r="F4657" t="s">
        <v>218</v>
      </c>
      <c r="G4657" t="s">
        <v>223</v>
      </c>
      <c r="I4657">
        <v>1478</v>
      </c>
      <c r="J4657">
        <v>2069.1999999999998</v>
      </c>
      <c r="K4657">
        <v>1.4</v>
      </c>
      <c r="M4657" t="s">
        <v>516</v>
      </c>
    </row>
    <row r="4658" spans="1:13" hidden="1">
      <c r="A4658" t="s">
        <v>85</v>
      </c>
      <c r="B4658" t="s">
        <v>8</v>
      </c>
      <c r="C4658" t="s">
        <v>14</v>
      </c>
      <c r="D4658" t="str">
        <f>LEFT(M4658,9)</f>
        <v>1/15/2025</v>
      </c>
      <c r="E4658" t="s">
        <v>202</v>
      </c>
      <c r="F4658" t="s">
        <v>218</v>
      </c>
      <c r="G4658" t="s">
        <v>219</v>
      </c>
      <c r="I4658">
        <v>398.5</v>
      </c>
      <c r="J4658">
        <v>79.7</v>
      </c>
      <c r="K4658">
        <v>0.2</v>
      </c>
      <c r="M4658" t="s">
        <v>516</v>
      </c>
    </row>
    <row r="4659" spans="1:13" hidden="1">
      <c r="A4659" t="s">
        <v>85</v>
      </c>
      <c r="B4659" t="s">
        <v>8</v>
      </c>
      <c r="C4659" t="s">
        <v>14</v>
      </c>
      <c r="D4659" t="str">
        <f>LEFT(M4659,9)</f>
        <v>1/15/2025</v>
      </c>
      <c r="E4659" t="s">
        <v>202</v>
      </c>
      <c r="F4659" t="s">
        <v>203</v>
      </c>
      <c r="G4659" t="s">
        <v>204</v>
      </c>
      <c r="I4659">
        <v>133</v>
      </c>
      <c r="J4659">
        <v>1064</v>
      </c>
      <c r="K4659">
        <v>8</v>
      </c>
      <c r="M4659" t="s">
        <v>516</v>
      </c>
    </row>
    <row r="4660" spans="1:13" hidden="1">
      <c r="A4660" t="s">
        <v>85</v>
      </c>
      <c r="B4660" t="s">
        <v>8</v>
      </c>
      <c r="C4660" t="s">
        <v>14</v>
      </c>
      <c r="D4660" t="str">
        <f>LEFT(M4660,9)</f>
        <v>1/15/2025</v>
      </c>
      <c r="E4660" t="s">
        <v>232</v>
      </c>
      <c r="F4660" t="s">
        <v>290</v>
      </c>
      <c r="I4660">
        <v>0</v>
      </c>
      <c r="J4660">
        <v>60</v>
      </c>
      <c r="M4660" t="s">
        <v>516</v>
      </c>
    </row>
    <row r="4661" spans="1:13" hidden="1">
      <c r="A4661" t="s">
        <v>85</v>
      </c>
      <c r="B4661" t="s">
        <v>8</v>
      </c>
      <c r="C4661" t="s">
        <v>14</v>
      </c>
      <c r="D4661" t="str">
        <f>LEFT(M4661,9)</f>
        <v>1/15/2025</v>
      </c>
      <c r="E4661" t="s">
        <v>232</v>
      </c>
      <c r="F4661" t="s">
        <v>255</v>
      </c>
      <c r="G4661" t="s">
        <v>249</v>
      </c>
      <c r="I4661">
        <v>0</v>
      </c>
      <c r="J4661">
        <v>327.02999999999997</v>
      </c>
      <c r="L4661" t="s">
        <v>542</v>
      </c>
      <c r="M4661" t="s">
        <v>516</v>
      </c>
    </row>
    <row r="4662" spans="1:13" hidden="1">
      <c r="A4662" t="s">
        <v>85</v>
      </c>
      <c r="B4662" t="s">
        <v>8</v>
      </c>
      <c r="C4662" t="s">
        <v>14</v>
      </c>
      <c r="D4662" t="str">
        <f>LEFT(M4662,9)</f>
        <v>1/15/2025</v>
      </c>
      <c r="E4662" t="s">
        <v>232</v>
      </c>
      <c r="F4662" t="s">
        <v>251</v>
      </c>
      <c r="G4662" t="s">
        <v>249</v>
      </c>
      <c r="I4662">
        <v>0</v>
      </c>
      <c r="J4662">
        <v>3417.6</v>
      </c>
      <c r="M4662" t="s">
        <v>516</v>
      </c>
    </row>
    <row r="4663" spans="1:13" hidden="1">
      <c r="A4663" t="s">
        <v>85</v>
      </c>
      <c r="B4663" t="s">
        <v>8</v>
      </c>
      <c r="C4663" t="s">
        <v>14</v>
      </c>
      <c r="D4663" t="str">
        <f>LEFT(M4663,9)</f>
        <v>1/15/2025</v>
      </c>
      <c r="E4663" t="s">
        <v>232</v>
      </c>
      <c r="F4663" t="s">
        <v>255</v>
      </c>
      <c r="G4663" t="s">
        <v>249</v>
      </c>
      <c r="I4663">
        <v>0</v>
      </c>
      <c r="J4663">
        <v>1200</v>
      </c>
      <c r="L4663" t="s">
        <v>543</v>
      </c>
      <c r="M4663" t="s">
        <v>516</v>
      </c>
    </row>
    <row r="4664" spans="1:13" hidden="1">
      <c r="A4664" t="s">
        <v>85</v>
      </c>
      <c r="B4664" t="s">
        <v>8</v>
      </c>
      <c r="C4664" t="s">
        <v>14</v>
      </c>
      <c r="D4664" t="str">
        <f>LEFT(M4664,9)</f>
        <v>1/15/2025</v>
      </c>
      <c r="E4664" t="s">
        <v>230</v>
      </c>
      <c r="F4664" t="s">
        <v>323</v>
      </c>
      <c r="G4664" t="s">
        <v>249</v>
      </c>
      <c r="I4664">
        <v>0</v>
      </c>
      <c r="J4664">
        <v>12.8</v>
      </c>
      <c r="L4664" t="s">
        <v>544</v>
      </c>
      <c r="M4664" t="s">
        <v>516</v>
      </c>
    </row>
    <row r="4665" spans="1:13" hidden="1">
      <c r="A4665" t="s">
        <v>85</v>
      </c>
      <c r="B4665" t="s">
        <v>8</v>
      </c>
      <c r="C4665" t="s">
        <v>14</v>
      </c>
      <c r="D4665" t="str">
        <f>LEFT(M4665,9)</f>
        <v>1/15/2025</v>
      </c>
      <c r="E4665" t="s">
        <v>232</v>
      </c>
      <c r="F4665" t="s">
        <v>287</v>
      </c>
      <c r="G4665" t="s">
        <v>249</v>
      </c>
      <c r="I4665">
        <v>0</v>
      </c>
      <c r="J4665">
        <v>684.72</v>
      </c>
      <c r="M4665" t="s">
        <v>516</v>
      </c>
    </row>
    <row r="4666" spans="1:13" hidden="1">
      <c r="A4666" t="s">
        <v>85</v>
      </c>
      <c r="B4666" t="s">
        <v>8</v>
      </c>
      <c r="C4666" t="s">
        <v>14</v>
      </c>
      <c r="D4666" t="str">
        <f>LEFT(M4666,9)</f>
        <v>1/15/2025</v>
      </c>
      <c r="E4666" t="s">
        <v>232</v>
      </c>
      <c r="F4666" t="s">
        <v>287</v>
      </c>
      <c r="G4666" t="s">
        <v>249</v>
      </c>
      <c r="I4666">
        <v>0</v>
      </c>
      <c r="J4666">
        <v>436.89</v>
      </c>
      <c r="M4666" t="s">
        <v>516</v>
      </c>
    </row>
    <row r="4667" spans="1:13" hidden="1">
      <c r="A4667" t="s">
        <v>85</v>
      </c>
      <c r="B4667" t="s">
        <v>8</v>
      </c>
      <c r="C4667" t="s">
        <v>14</v>
      </c>
      <c r="D4667" t="str">
        <f>LEFT(M4667,9)</f>
        <v>1/15/2025</v>
      </c>
      <c r="E4667" t="s">
        <v>232</v>
      </c>
      <c r="F4667" t="s">
        <v>286</v>
      </c>
      <c r="G4667" t="s">
        <v>249</v>
      </c>
      <c r="I4667">
        <v>0</v>
      </c>
      <c r="J4667">
        <v>114</v>
      </c>
      <c r="M4667" t="s">
        <v>516</v>
      </c>
    </row>
    <row r="4668" spans="1:13" hidden="1">
      <c r="A4668" t="s">
        <v>85</v>
      </c>
      <c r="B4668" t="s">
        <v>8</v>
      </c>
      <c r="C4668" t="s">
        <v>14</v>
      </c>
      <c r="D4668" t="str">
        <f>LEFT(M4668,9)</f>
        <v>1/15/2025</v>
      </c>
      <c r="E4668" t="s">
        <v>232</v>
      </c>
      <c r="F4668" t="s">
        <v>255</v>
      </c>
      <c r="G4668" t="s">
        <v>249</v>
      </c>
      <c r="I4668">
        <v>0</v>
      </c>
      <c r="J4668">
        <v>149.9</v>
      </c>
      <c r="L4668" t="s">
        <v>396</v>
      </c>
      <c r="M4668" t="s">
        <v>516</v>
      </c>
    </row>
    <row r="4669" spans="1:13" hidden="1">
      <c r="A4669" t="s">
        <v>85</v>
      </c>
      <c r="B4669" t="s">
        <v>8</v>
      </c>
      <c r="C4669" t="s">
        <v>14</v>
      </c>
      <c r="D4669" t="str">
        <f>LEFT(M4669,9)</f>
        <v>1/15/2025</v>
      </c>
      <c r="E4669" t="s">
        <v>232</v>
      </c>
      <c r="F4669" t="s">
        <v>291</v>
      </c>
      <c r="G4669" t="s">
        <v>249</v>
      </c>
      <c r="I4669">
        <v>0</v>
      </c>
      <c r="J4669">
        <v>247.83</v>
      </c>
      <c r="M4669" t="s">
        <v>516</v>
      </c>
    </row>
    <row r="4670" spans="1:13" hidden="1">
      <c r="A4670" t="s">
        <v>85</v>
      </c>
      <c r="B4670" t="s">
        <v>8</v>
      </c>
      <c r="C4670" t="s">
        <v>14</v>
      </c>
      <c r="D4670" t="str">
        <f>LEFT(M4670,9)</f>
        <v>1/15/2025</v>
      </c>
      <c r="E4670" t="s">
        <v>232</v>
      </c>
      <c r="F4670" t="s">
        <v>290</v>
      </c>
      <c r="I4670">
        <v>0</v>
      </c>
      <c r="J4670">
        <v>225</v>
      </c>
      <c r="M4670" t="s">
        <v>516</v>
      </c>
    </row>
    <row r="4671" spans="1:13" hidden="1">
      <c r="A4671" t="s">
        <v>85</v>
      </c>
      <c r="B4671" t="s">
        <v>8</v>
      </c>
      <c r="C4671" t="s">
        <v>14</v>
      </c>
      <c r="D4671" t="str">
        <f>LEFT(M4671,9)</f>
        <v>1/15/2025</v>
      </c>
      <c r="E4671" t="s">
        <v>234</v>
      </c>
      <c r="F4671" t="s">
        <v>234</v>
      </c>
      <c r="G4671" t="s">
        <v>249</v>
      </c>
      <c r="I4671">
        <v>26447</v>
      </c>
      <c r="M4671" t="s">
        <v>516</v>
      </c>
    </row>
    <row r="4672" spans="1:13" hidden="1">
      <c r="A4672" t="s">
        <v>85</v>
      </c>
      <c r="B4672" t="s">
        <v>8</v>
      </c>
      <c r="C4672" t="s">
        <v>14</v>
      </c>
      <c r="D4672" t="str">
        <f>LEFT(M4672,9)</f>
        <v>1/15/2025</v>
      </c>
      <c r="E4672" t="s">
        <v>230</v>
      </c>
      <c r="F4672" t="s">
        <v>248</v>
      </c>
      <c r="G4672" t="s">
        <v>249</v>
      </c>
      <c r="I4672">
        <v>0</v>
      </c>
      <c r="J4672">
        <v>20839.7</v>
      </c>
      <c r="M4672" t="s">
        <v>516</v>
      </c>
    </row>
    <row r="4673" spans="1:13" hidden="1">
      <c r="A4673" t="s">
        <v>62</v>
      </c>
      <c r="B4673" t="s">
        <v>63</v>
      </c>
      <c r="C4673" t="s">
        <v>19</v>
      </c>
      <c r="D4673" t="str">
        <f>LEFT(M4673,9)</f>
        <v>1/15/2025</v>
      </c>
      <c r="E4673" t="s">
        <v>202</v>
      </c>
      <c r="F4673" t="s">
        <v>227</v>
      </c>
      <c r="G4673" t="s">
        <v>237</v>
      </c>
      <c r="I4673">
        <v>3750</v>
      </c>
      <c r="J4673">
        <v>2625</v>
      </c>
      <c r="K4673">
        <v>0.7</v>
      </c>
      <c r="M4673" t="s">
        <v>516</v>
      </c>
    </row>
    <row r="4674" spans="1:13" hidden="1">
      <c r="A4674" t="s">
        <v>62</v>
      </c>
      <c r="B4674" t="s">
        <v>63</v>
      </c>
      <c r="C4674" t="s">
        <v>19</v>
      </c>
      <c r="D4674" t="str">
        <f>LEFT(M4674,9)</f>
        <v>1/15/2025</v>
      </c>
      <c r="E4674" t="s">
        <v>202</v>
      </c>
      <c r="F4674" t="s">
        <v>227</v>
      </c>
      <c r="G4674" t="s">
        <v>229</v>
      </c>
      <c r="I4674">
        <v>9260</v>
      </c>
      <c r="J4674">
        <v>5556</v>
      </c>
      <c r="K4674">
        <v>0.6</v>
      </c>
      <c r="M4674" t="s">
        <v>516</v>
      </c>
    </row>
    <row r="4675" spans="1:13" hidden="1">
      <c r="A4675" t="s">
        <v>62</v>
      </c>
      <c r="B4675" t="s">
        <v>63</v>
      </c>
      <c r="C4675" t="s">
        <v>19</v>
      </c>
      <c r="D4675" t="str">
        <f>LEFT(M4675,9)</f>
        <v>1/15/2025</v>
      </c>
      <c r="E4675" t="s">
        <v>202</v>
      </c>
      <c r="F4675" t="s">
        <v>227</v>
      </c>
      <c r="G4675" t="s">
        <v>238</v>
      </c>
      <c r="I4675">
        <v>3339</v>
      </c>
      <c r="J4675">
        <v>1168.6500000000001</v>
      </c>
      <c r="K4675">
        <v>0.35</v>
      </c>
      <c r="M4675" t="s">
        <v>516</v>
      </c>
    </row>
    <row r="4676" spans="1:13" hidden="1">
      <c r="A4676" t="s">
        <v>62</v>
      </c>
      <c r="B4676" t="s">
        <v>63</v>
      </c>
      <c r="C4676" t="s">
        <v>19</v>
      </c>
      <c r="D4676" t="str">
        <f>LEFT(M4676,9)</f>
        <v>1/15/2025</v>
      </c>
      <c r="E4676" t="s">
        <v>202</v>
      </c>
      <c r="F4676" t="s">
        <v>227</v>
      </c>
      <c r="G4676" t="s">
        <v>252</v>
      </c>
      <c r="I4676">
        <v>3030</v>
      </c>
      <c r="J4676">
        <v>1212</v>
      </c>
      <c r="K4676">
        <v>0.4</v>
      </c>
      <c r="M4676" t="s">
        <v>516</v>
      </c>
    </row>
    <row r="4677" spans="1:13" hidden="1">
      <c r="A4677" t="s">
        <v>62</v>
      </c>
      <c r="B4677" t="s">
        <v>63</v>
      </c>
      <c r="C4677" t="s">
        <v>19</v>
      </c>
      <c r="D4677" t="str">
        <f>LEFT(M4677,9)</f>
        <v>1/15/2025</v>
      </c>
      <c r="E4677" t="s">
        <v>202</v>
      </c>
      <c r="F4677" t="s">
        <v>227</v>
      </c>
      <c r="G4677" t="s">
        <v>228</v>
      </c>
      <c r="I4677">
        <v>4010</v>
      </c>
      <c r="J4677">
        <v>1804.5</v>
      </c>
      <c r="K4677">
        <v>0.45</v>
      </c>
      <c r="M4677" t="s">
        <v>516</v>
      </c>
    </row>
    <row r="4678" spans="1:13" hidden="1">
      <c r="A4678" t="s">
        <v>62</v>
      </c>
      <c r="B4678" t="s">
        <v>63</v>
      </c>
      <c r="C4678" t="s">
        <v>19</v>
      </c>
      <c r="D4678" t="str">
        <f>LEFT(M4678,9)</f>
        <v>1/15/2025</v>
      </c>
      <c r="E4678" t="s">
        <v>202</v>
      </c>
      <c r="F4678" t="s">
        <v>216</v>
      </c>
      <c r="G4678" t="s">
        <v>253</v>
      </c>
      <c r="I4678">
        <v>10377</v>
      </c>
      <c r="J4678">
        <v>933.93</v>
      </c>
      <c r="K4678">
        <v>0.09</v>
      </c>
      <c r="M4678" t="s">
        <v>516</v>
      </c>
    </row>
    <row r="4679" spans="1:13" hidden="1">
      <c r="A4679" t="s">
        <v>62</v>
      </c>
      <c r="B4679" t="s">
        <v>63</v>
      </c>
      <c r="C4679" t="s">
        <v>19</v>
      </c>
      <c r="D4679" t="str">
        <f>LEFT(M4679,9)</f>
        <v>1/15/2025</v>
      </c>
      <c r="E4679" t="s">
        <v>202</v>
      </c>
      <c r="F4679" t="s">
        <v>203</v>
      </c>
      <c r="G4679" t="s">
        <v>215</v>
      </c>
      <c r="I4679">
        <v>8101</v>
      </c>
      <c r="J4679">
        <v>3240.4</v>
      </c>
      <c r="K4679">
        <v>0.4</v>
      </c>
      <c r="M4679" t="s">
        <v>516</v>
      </c>
    </row>
    <row r="4680" spans="1:13" hidden="1">
      <c r="A4680" t="s">
        <v>62</v>
      </c>
      <c r="B4680" t="s">
        <v>63</v>
      </c>
      <c r="C4680" t="s">
        <v>19</v>
      </c>
      <c r="D4680" t="str">
        <f>LEFT(M4680,9)</f>
        <v>1/15/2025</v>
      </c>
      <c r="E4680" t="s">
        <v>234</v>
      </c>
      <c r="F4680" t="s">
        <v>234</v>
      </c>
      <c r="I4680">
        <v>5184</v>
      </c>
      <c r="M4680" t="s">
        <v>516</v>
      </c>
    </row>
    <row r="4681" spans="1:13" hidden="1">
      <c r="A4681" t="s">
        <v>62</v>
      </c>
      <c r="B4681" t="s">
        <v>63</v>
      </c>
      <c r="C4681" t="s">
        <v>19</v>
      </c>
      <c r="D4681" t="str">
        <f>LEFT(M4681,9)</f>
        <v>1/15/2025</v>
      </c>
      <c r="E4681" t="s">
        <v>232</v>
      </c>
      <c r="F4681" t="s">
        <v>255</v>
      </c>
      <c r="I4681">
        <v>0</v>
      </c>
      <c r="J4681">
        <v>3952</v>
      </c>
      <c r="L4681" t="s">
        <v>545</v>
      </c>
      <c r="M4681" t="s">
        <v>516</v>
      </c>
    </row>
    <row r="4682" spans="1:13" hidden="1">
      <c r="A4682" t="s">
        <v>62</v>
      </c>
      <c r="B4682" t="s">
        <v>63</v>
      </c>
      <c r="C4682" t="s">
        <v>19</v>
      </c>
      <c r="D4682" t="str">
        <f>LEFT(M4682,9)</f>
        <v>1/15/2025</v>
      </c>
      <c r="E4682" t="s">
        <v>232</v>
      </c>
      <c r="F4682" t="s">
        <v>262</v>
      </c>
      <c r="I4682">
        <v>0</v>
      </c>
      <c r="J4682">
        <v>5244.49</v>
      </c>
      <c r="M4682" t="s">
        <v>516</v>
      </c>
    </row>
    <row r="4683" spans="1:13" hidden="1">
      <c r="A4683" t="s">
        <v>62</v>
      </c>
      <c r="B4683" t="s">
        <v>63</v>
      </c>
      <c r="C4683" t="s">
        <v>19</v>
      </c>
      <c r="D4683" t="str">
        <f>LEFT(M4683,9)</f>
        <v>1/15/2025</v>
      </c>
      <c r="E4683" t="s">
        <v>232</v>
      </c>
      <c r="F4683" t="s">
        <v>262</v>
      </c>
      <c r="I4683">
        <v>0</v>
      </c>
      <c r="J4683">
        <v>4714.6899999999996</v>
      </c>
      <c r="M4683" t="s">
        <v>516</v>
      </c>
    </row>
    <row r="4684" spans="1:13" hidden="1">
      <c r="A4684" t="s">
        <v>62</v>
      </c>
      <c r="B4684" t="s">
        <v>63</v>
      </c>
      <c r="C4684" t="s">
        <v>19</v>
      </c>
      <c r="D4684" t="str">
        <f>LEFT(M4684,9)</f>
        <v>1/15/2025</v>
      </c>
      <c r="E4684" t="s">
        <v>232</v>
      </c>
      <c r="F4684" t="s">
        <v>255</v>
      </c>
      <c r="I4684">
        <v>0</v>
      </c>
      <c r="J4684">
        <v>804</v>
      </c>
      <c r="L4684" t="s">
        <v>264</v>
      </c>
      <c r="M4684" t="s">
        <v>516</v>
      </c>
    </row>
    <row r="4685" spans="1:13" hidden="1">
      <c r="A4685" t="s">
        <v>62</v>
      </c>
      <c r="B4685" t="s">
        <v>63</v>
      </c>
      <c r="C4685" t="s">
        <v>19</v>
      </c>
      <c r="D4685" t="str">
        <f>LEFT(M4685,9)</f>
        <v>1/15/2025</v>
      </c>
      <c r="E4685" t="s">
        <v>232</v>
      </c>
      <c r="F4685" t="s">
        <v>255</v>
      </c>
      <c r="I4685">
        <v>0</v>
      </c>
      <c r="J4685">
        <v>9540.4699999999993</v>
      </c>
      <c r="L4685" t="s">
        <v>546</v>
      </c>
      <c r="M4685" t="s">
        <v>516</v>
      </c>
    </row>
    <row r="4686" spans="1:13" hidden="1">
      <c r="A4686" t="s">
        <v>62</v>
      </c>
      <c r="B4686" t="s">
        <v>63</v>
      </c>
      <c r="C4686" t="s">
        <v>19</v>
      </c>
      <c r="D4686" t="str">
        <f>LEFT(M4686,9)</f>
        <v>1/15/2025</v>
      </c>
      <c r="E4686" t="s">
        <v>232</v>
      </c>
      <c r="F4686" t="s">
        <v>290</v>
      </c>
      <c r="I4686">
        <v>0</v>
      </c>
      <c r="J4686">
        <v>1195</v>
      </c>
      <c r="M4686" t="s">
        <v>516</v>
      </c>
    </row>
    <row r="4687" spans="1:13" hidden="1">
      <c r="A4687" t="s">
        <v>62</v>
      </c>
      <c r="B4687" t="s">
        <v>63</v>
      </c>
      <c r="C4687" t="s">
        <v>19</v>
      </c>
      <c r="D4687" t="str">
        <f>LEFT(M4687,9)</f>
        <v>1/15/2025</v>
      </c>
      <c r="E4687" t="s">
        <v>232</v>
      </c>
      <c r="F4687" t="s">
        <v>291</v>
      </c>
      <c r="I4687">
        <v>0</v>
      </c>
      <c r="J4687">
        <v>591</v>
      </c>
      <c r="M4687" t="s">
        <v>516</v>
      </c>
    </row>
    <row r="4688" spans="1:13" hidden="1">
      <c r="A4688" t="s">
        <v>62</v>
      </c>
      <c r="B4688" t="s">
        <v>63</v>
      </c>
      <c r="C4688" t="s">
        <v>19</v>
      </c>
      <c r="D4688" t="str">
        <f>LEFT(M4688,9)</f>
        <v>1/15/2025</v>
      </c>
      <c r="E4688" t="s">
        <v>230</v>
      </c>
      <c r="F4688" t="s">
        <v>248</v>
      </c>
      <c r="I4688">
        <v>0</v>
      </c>
      <c r="J4688">
        <v>39786.86</v>
      </c>
      <c r="M4688" t="s">
        <v>516</v>
      </c>
    </row>
    <row r="4689" spans="1:13" hidden="1">
      <c r="A4689" t="s">
        <v>94</v>
      </c>
      <c r="B4689" t="s">
        <v>8</v>
      </c>
      <c r="C4689" t="s">
        <v>93</v>
      </c>
      <c r="D4689" t="str">
        <f>LEFT(M4689,9)</f>
        <v>1/15/2025</v>
      </c>
      <c r="E4689" t="s">
        <v>202</v>
      </c>
      <c r="F4689" t="s">
        <v>227</v>
      </c>
      <c r="G4689" t="s">
        <v>229</v>
      </c>
      <c r="I4689">
        <v>11390.6</v>
      </c>
      <c r="J4689">
        <v>8833.94</v>
      </c>
      <c r="K4689">
        <v>0.78</v>
      </c>
      <c r="M4689" t="s">
        <v>516</v>
      </c>
    </row>
    <row r="4690" spans="1:13" hidden="1">
      <c r="A4690" t="s">
        <v>94</v>
      </c>
      <c r="B4690" t="s">
        <v>8</v>
      </c>
      <c r="C4690" t="s">
        <v>93</v>
      </c>
      <c r="D4690" t="str">
        <f>LEFT(M4690,9)</f>
        <v>1/15/2025</v>
      </c>
      <c r="E4690" t="s">
        <v>202</v>
      </c>
      <c r="F4690" t="s">
        <v>227</v>
      </c>
      <c r="G4690" t="s">
        <v>237</v>
      </c>
      <c r="I4690">
        <v>2515</v>
      </c>
      <c r="J4690">
        <v>1509</v>
      </c>
      <c r="K4690">
        <v>0.6</v>
      </c>
      <c r="M4690" t="s">
        <v>516</v>
      </c>
    </row>
    <row r="4691" spans="1:13" hidden="1">
      <c r="A4691" t="s">
        <v>94</v>
      </c>
      <c r="B4691" t="s">
        <v>8</v>
      </c>
      <c r="C4691" t="s">
        <v>93</v>
      </c>
      <c r="D4691" t="str">
        <f>LEFT(M4691,9)</f>
        <v>1/15/2025</v>
      </c>
      <c r="E4691" t="s">
        <v>202</v>
      </c>
      <c r="F4691" t="s">
        <v>227</v>
      </c>
      <c r="G4691" t="s">
        <v>228</v>
      </c>
      <c r="I4691">
        <v>9915</v>
      </c>
      <c r="J4691">
        <v>2974.5</v>
      </c>
      <c r="K4691">
        <v>0.3</v>
      </c>
      <c r="M4691" t="s">
        <v>516</v>
      </c>
    </row>
    <row r="4692" spans="1:13" hidden="1">
      <c r="A4692" t="s">
        <v>94</v>
      </c>
      <c r="B4692" t="s">
        <v>8</v>
      </c>
      <c r="C4692" t="s">
        <v>93</v>
      </c>
      <c r="D4692" t="str">
        <f>LEFT(M4692,9)</f>
        <v>1/15/2025</v>
      </c>
      <c r="E4692" t="s">
        <v>202</v>
      </c>
      <c r="F4692" t="s">
        <v>227</v>
      </c>
      <c r="G4692" t="s">
        <v>238</v>
      </c>
      <c r="I4692">
        <v>1001.2</v>
      </c>
      <c r="J4692">
        <v>400.48</v>
      </c>
      <c r="K4692">
        <v>0.4</v>
      </c>
      <c r="M4692" t="s">
        <v>516</v>
      </c>
    </row>
    <row r="4693" spans="1:13" hidden="1">
      <c r="A4693" t="s">
        <v>94</v>
      </c>
      <c r="B4693" t="s">
        <v>8</v>
      </c>
      <c r="C4693" t="s">
        <v>93</v>
      </c>
      <c r="D4693" t="str">
        <f>LEFT(M4693,9)</f>
        <v>1/15/2025</v>
      </c>
      <c r="E4693" t="s">
        <v>202</v>
      </c>
      <c r="F4693" t="s">
        <v>227</v>
      </c>
      <c r="G4693" t="s">
        <v>252</v>
      </c>
      <c r="I4693">
        <v>1730</v>
      </c>
      <c r="J4693">
        <v>692</v>
      </c>
      <c r="K4693">
        <v>0.4</v>
      </c>
      <c r="M4693" t="s">
        <v>516</v>
      </c>
    </row>
    <row r="4694" spans="1:13" hidden="1">
      <c r="A4694" t="s">
        <v>94</v>
      </c>
      <c r="B4694" t="s">
        <v>8</v>
      </c>
      <c r="C4694" t="s">
        <v>93</v>
      </c>
      <c r="D4694" t="str">
        <f>LEFT(M4694,9)</f>
        <v>1/15/2025</v>
      </c>
      <c r="E4694" t="s">
        <v>202</v>
      </c>
      <c r="F4694" t="s">
        <v>218</v>
      </c>
      <c r="G4694" t="s">
        <v>240</v>
      </c>
      <c r="I4694">
        <v>4306.6000000000004</v>
      </c>
      <c r="J4694">
        <v>19810.36</v>
      </c>
      <c r="K4694">
        <v>4.5999999999999996</v>
      </c>
      <c r="M4694" t="s">
        <v>516</v>
      </c>
    </row>
    <row r="4695" spans="1:13" hidden="1">
      <c r="A4695" t="s">
        <v>94</v>
      </c>
      <c r="B4695" t="s">
        <v>8</v>
      </c>
      <c r="C4695" t="s">
        <v>93</v>
      </c>
      <c r="D4695" t="str">
        <f>LEFT(M4695,9)</f>
        <v>1/15/2025</v>
      </c>
      <c r="E4695" t="s">
        <v>202</v>
      </c>
      <c r="F4695" t="s">
        <v>218</v>
      </c>
      <c r="G4695" t="s">
        <v>242</v>
      </c>
      <c r="I4695">
        <v>311</v>
      </c>
      <c r="J4695">
        <v>342.1</v>
      </c>
      <c r="K4695">
        <v>1.1000000000000001</v>
      </c>
      <c r="M4695" t="s">
        <v>516</v>
      </c>
    </row>
    <row r="4696" spans="1:13" hidden="1">
      <c r="A4696" t="s">
        <v>94</v>
      </c>
      <c r="B4696" t="s">
        <v>8</v>
      </c>
      <c r="C4696" t="s">
        <v>93</v>
      </c>
      <c r="D4696" t="str">
        <f>LEFT(M4696,9)</f>
        <v>1/15/2025</v>
      </c>
      <c r="E4696" t="s">
        <v>202</v>
      </c>
      <c r="F4696" t="s">
        <v>218</v>
      </c>
      <c r="G4696" t="s">
        <v>220</v>
      </c>
      <c r="I4696">
        <v>1739.6</v>
      </c>
      <c r="J4696">
        <v>2609.4</v>
      </c>
      <c r="K4696">
        <v>1.5</v>
      </c>
      <c r="M4696" t="s">
        <v>516</v>
      </c>
    </row>
    <row r="4697" spans="1:13" hidden="1">
      <c r="A4697" t="s">
        <v>94</v>
      </c>
      <c r="B4697" t="s">
        <v>8</v>
      </c>
      <c r="C4697" t="s">
        <v>93</v>
      </c>
      <c r="D4697" t="str">
        <f>LEFT(M4697,9)</f>
        <v>1/15/2025</v>
      </c>
      <c r="E4697" t="s">
        <v>202</v>
      </c>
      <c r="F4697" t="s">
        <v>218</v>
      </c>
      <c r="G4697" t="s">
        <v>223</v>
      </c>
      <c r="I4697">
        <v>5589</v>
      </c>
      <c r="J4697">
        <v>4471.2</v>
      </c>
      <c r="K4697">
        <v>0.8</v>
      </c>
      <c r="M4697" t="s">
        <v>516</v>
      </c>
    </row>
    <row r="4698" spans="1:13" hidden="1">
      <c r="A4698" t="s">
        <v>94</v>
      </c>
      <c r="B4698" t="s">
        <v>8</v>
      </c>
      <c r="C4698" t="s">
        <v>93</v>
      </c>
      <c r="D4698" t="str">
        <f>LEFT(M4698,9)</f>
        <v>1/15/2025</v>
      </c>
      <c r="E4698" t="s">
        <v>202</v>
      </c>
      <c r="F4698" t="s">
        <v>218</v>
      </c>
      <c r="G4698" t="s">
        <v>223</v>
      </c>
      <c r="I4698">
        <v>1130</v>
      </c>
      <c r="J4698">
        <v>565</v>
      </c>
      <c r="K4698">
        <v>0.5</v>
      </c>
      <c r="M4698" t="s">
        <v>516</v>
      </c>
    </row>
    <row r="4699" spans="1:13" hidden="1">
      <c r="A4699" t="s">
        <v>94</v>
      </c>
      <c r="B4699" t="s">
        <v>8</v>
      </c>
      <c r="C4699" t="s">
        <v>93</v>
      </c>
      <c r="D4699" t="str">
        <f>LEFT(M4699,9)</f>
        <v>1/15/2025</v>
      </c>
      <c r="E4699" t="s">
        <v>202</v>
      </c>
      <c r="F4699" t="s">
        <v>218</v>
      </c>
      <c r="G4699" t="s">
        <v>221</v>
      </c>
      <c r="I4699">
        <v>975.5</v>
      </c>
      <c r="J4699">
        <v>2487.5300000000002</v>
      </c>
      <c r="K4699">
        <v>2.5499999999999998</v>
      </c>
      <c r="M4699" t="s">
        <v>516</v>
      </c>
    </row>
    <row r="4700" spans="1:13" hidden="1">
      <c r="A4700" t="s">
        <v>94</v>
      </c>
      <c r="B4700" t="s">
        <v>8</v>
      </c>
      <c r="C4700" t="s">
        <v>93</v>
      </c>
      <c r="D4700" t="str">
        <f>LEFT(M4700,9)</f>
        <v>1/15/2025</v>
      </c>
      <c r="E4700" t="s">
        <v>202</v>
      </c>
      <c r="F4700" t="s">
        <v>218</v>
      </c>
      <c r="G4700" t="s">
        <v>222</v>
      </c>
      <c r="I4700">
        <v>1252.5999999999999</v>
      </c>
      <c r="J4700">
        <v>2630.46</v>
      </c>
      <c r="K4700">
        <v>2.1</v>
      </c>
      <c r="M4700" t="s">
        <v>516</v>
      </c>
    </row>
    <row r="4701" spans="1:13" hidden="1">
      <c r="A4701" t="s">
        <v>94</v>
      </c>
      <c r="B4701" t="s">
        <v>8</v>
      </c>
      <c r="C4701" t="s">
        <v>93</v>
      </c>
      <c r="D4701" t="str">
        <f>LEFT(M4701,9)</f>
        <v>1/15/2025</v>
      </c>
      <c r="E4701" t="s">
        <v>202</v>
      </c>
      <c r="F4701" t="s">
        <v>218</v>
      </c>
      <c r="G4701" t="s">
        <v>222</v>
      </c>
      <c r="I4701">
        <v>1290.5999999999999</v>
      </c>
      <c r="J4701">
        <v>2452.14</v>
      </c>
      <c r="K4701">
        <v>1.9</v>
      </c>
      <c r="M4701" t="s">
        <v>516</v>
      </c>
    </row>
    <row r="4702" spans="1:13" hidden="1">
      <c r="A4702" t="s">
        <v>94</v>
      </c>
      <c r="B4702" t="s">
        <v>8</v>
      </c>
      <c r="C4702" t="s">
        <v>93</v>
      </c>
      <c r="D4702" t="str">
        <f>LEFT(M4702,9)</f>
        <v>1/15/2025</v>
      </c>
      <c r="E4702" t="s">
        <v>202</v>
      </c>
      <c r="F4702" t="s">
        <v>218</v>
      </c>
      <c r="G4702" t="s">
        <v>222</v>
      </c>
      <c r="I4702">
        <v>1072.2</v>
      </c>
      <c r="J4702">
        <v>1661.91</v>
      </c>
      <c r="K4702">
        <v>1.55</v>
      </c>
      <c r="M4702" t="s">
        <v>516</v>
      </c>
    </row>
    <row r="4703" spans="1:13" hidden="1">
      <c r="A4703" t="s">
        <v>94</v>
      </c>
      <c r="B4703" t="s">
        <v>8</v>
      </c>
      <c r="C4703" t="s">
        <v>93</v>
      </c>
      <c r="D4703" t="str">
        <f>LEFT(M4703,9)</f>
        <v>1/15/2025</v>
      </c>
      <c r="E4703" t="s">
        <v>202</v>
      </c>
      <c r="F4703" t="s">
        <v>218</v>
      </c>
      <c r="G4703" t="s">
        <v>224</v>
      </c>
      <c r="I4703">
        <v>878</v>
      </c>
      <c r="J4703">
        <v>965.8</v>
      </c>
      <c r="K4703">
        <v>1.1000000000000001</v>
      </c>
      <c r="M4703" t="s">
        <v>516</v>
      </c>
    </row>
    <row r="4704" spans="1:13" hidden="1">
      <c r="A4704" t="s">
        <v>94</v>
      </c>
      <c r="B4704" t="s">
        <v>8</v>
      </c>
      <c r="C4704" t="s">
        <v>93</v>
      </c>
      <c r="D4704" t="str">
        <f>LEFT(M4704,9)</f>
        <v>1/15/2025</v>
      </c>
      <c r="E4704" t="s">
        <v>202</v>
      </c>
      <c r="F4704" t="s">
        <v>218</v>
      </c>
      <c r="G4704" t="s">
        <v>247</v>
      </c>
      <c r="I4704">
        <v>90.6</v>
      </c>
      <c r="J4704">
        <v>389.58</v>
      </c>
      <c r="K4704">
        <v>4.3</v>
      </c>
      <c r="M4704" t="s">
        <v>516</v>
      </c>
    </row>
    <row r="4705" spans="1:13" hidden="1">
      <c r="A4705" t="s">
        <v>94</v>
      </c>
      <c r="B4705" t="s">
        <v>8</v>
      </c>
      <c r="C4705" t="s">
        <v>93</v>
      </c>
      <c r="D4705" t="str">
        <f>LEFT(M4705,9)</f>
        <v>1/15/2025</v>
      </c>
      <c r="E4705" t="s">
        <v>202</v>
      </c>
      <c r="F4705" t="s">
        <v>218</v>
      </c>
      <c r="G4705" t="s">
        <v>225</v>
      </c>
      <c r="I4705">
        <v>583</v>
      </c>
      <c r="J4705">
        <v>466.4</v>
      </c>
      <c r="K4705">
        <v>0.8</v>
      </c>
      <c r="M4705" t="s">
        <v>516</v>
      </c>
    </row>
    <row r="4706" spans="1:13" hidden="1">
      <c r="A4706" t="s">
        <v>94</v>
      </c>
      <c r="B4706" t="s">
        <v>8</v>
      </c>
      <c r="C4706" t="s">
        <v>93</v>
      </c>
      <c r="D4706" t="str">
        <f>LEFT(M4706,9)</f>
        <v>1/15/2025</v>
      </c>
      <c r="E4706" t="s">
        <v>202</v>
      </c>
      <c r="F4706" t="s">
        <v>218</v>
      </c>
      <c r="G4706" t="s">
        <v>226</v>
      </c>
      <c r="I4706">
        <v>617</v>
      </c>
      <c r="J4706">
        <v>215.95</v>
      </c>
      <c r="K4706">
        <v>0.35</v>
      </c>
      <c r="M4706" t="s">
        <v>516</v>
      </c>
    </row>
    <row r="4707" spans="1:13" hidden="1">
      <c r="A4707" t="s">
        <v>94</v>
      </c>
      <c r="B4707" t="s">
        <v>8</v>
      </c>
      <c r="C4707" t="s">
        <v>93</v>
      </c>
      <c r="D4707" t="str">
        <f>LEFT(M4707,9)</f>
        <v>1/15/2025</v>
      </c>
      <c r="E4707" t="s">
        <v>202</v>
      </c>
      <c r="F4707" t="s">
        <v>218</v>
      </c>
      <c r="G4707" t="s">
        <v>243</v>
      </c>
      <c r="H4707" t="s">
        <v>386</v>
      </c>
      <c r="I4707">
        <v>737.4</v>
      </c>
      <c r="J4707">
        <v>73.739999999999995</v>
      </c>
      <c r="K4707">
        <v>0.1</v>
      </c>
      <c r="M4707" t="s">
        <v>516</v>
      </c>
    </row>
    <row r="4708" spans="1:13" hidden="1">
      <c r="A4708" t="s">
        <v>94</v>
      </c>
      <c r="B4708" t="s">
        <v>8</v>
      </c>
      <c r="C4708" t="s">
        <v>93</v>
      </c>
      <c r="D4708" t="str">
        <f>LEFT(M4708,9)</f>
        <v>1/15/2025</v>
      </c>
      <c r="E4708" t="s">
        <v>202</v>
      </c>
      <c r="F4708" t="s">
        <v>218</v>
      </c>
      <c r="G4708" t="s">
        <v>222</v>
      </c>
      <c r="I4708">
        <v>167.8</v>
      </c>
      <c r="J4708">
        <v>319.95999999999998</v>
      </c>
      <c r="K4708">
        <v>1.91</v>
      </c>
      <c r="M4708" t="s">
        <v>516</v>
      </c>
    </row>
    <row r="4709" spans="1:13" hidden="1">
      <c r="A4709" t="s">
        <v>94</v>
      </c>
      <c r="B4709" t="s">
        <v>8</v>
      </c>
      <c r="C4709" t="s">
        <v>93</v>
      </c>
      <c r="D4709" t="str">
        <f>LEFT(M4709,9)</f>
        <v>1/15/2025</v>
      </c>
      <c r="E4709" t="s">
        <v>202</v>
      </c>
      <c r="F4709" t="s">
        <v>218</v>
      </c>
      <c r="G4709" t="s">
        <v>239</v>
      </c>
      <c r="I4709">
        <v>87.2</v>
      </c>
      <c r="J4709">
        <v>17.440000000000001</v>
      </c>
      <c r="K4709">
        <v>0.2</v>
      </c>
      <c r="M4709" t="s">
        <v>516</v>
      </c>
    </row>
    <row r="4710" spans="1:13" hidden="1">
      <c r="A4710" t="s">
        <v>94</v>
      </c>
      <c r="B4710" t="s">
        <v>8</v>
      </c>
      <c r="C4710" t="s">
        <v>93</v>
      </c>
      <c r="D4710" t="str">
        <f>LEFT(M4710,9)</f>
        <v>1/15/2025</v>
      </c>
      <c r="E4710" t="s">
        <v>202</v>
      </c>
      <c r="F4710" t="s">
        <v>218</v>
      </c>
      <c r="G4710" t="s">
        <v>221</v>
      </c>
      <c r="I4710">
        <v>1303</v>
      </c>
      <c r="J4710">
        <v>3322.65</v>
      </c>
      <c r="K4710">
        <v>2.5499999999999998</v>
      </c>
      <c r="M4710" t="s">
        <v>516</v>
      </c>
    </row>
    <row r="4711" spans="1:13" hidden="1">
      <c r="A4711" t="s">
        <v>94</v>
      </c>
      <c r="B4711" t="s">
        <v>8</v>
      </c>
      <c r="C4711" t="s">
        <v>93</v>
      </c>
      <c r="D4711" t="str">
        <f>LEFT(M4711,9)</f>
        <v>1/15/2025</v>
      </c>
      <c r="E4711" t="s">
        <v>202</v>
      </c>
      <c r="F4711" t="s">
        <v>218</v>
      </c>
      <c r="G4711" t="s">
        <v>219</v>
      </c>
      <c r="I4711">
        <v>205.8</v>
      </c>
      <c r="J4711">
        <v>51.45</v>
      </c>
      <c r="K4711">
        <v>0.25</v>
      </c>
      <c r="M4711" t="s">
        <v>516</v>
      </c>
    </row>
    <row r="4712" spans="1:13" hidden="1">
      <c r="A4712" t="s">
        <v>94</v>
      </c>
      <c r="B4712" t="s">
        <v>8</v>
      </c>
      <c r="C4712" t="s">
        <v>93</v>
      </c>
      <c r="D4712" t="str">
        <f>LEFT(M4712,9)</f>
        <v>1/15/2025</v>
      </c>
      <c r="E4712" t="s">
        <v>202</v>
      </c>
      <c r="F4712" t="s">
        <v>216</v>
      </c>
      <c r="G4712" t="s">
        <v>217</v>
      </c>
      <c r="I4712">
        <v>81.599999999999994</v>
      </c>
      <c r="J4712">
        <v>89.76</v>
      </c>
      <c r="K4712">
        <v>1.1000000000000001</v>
      </c>
      <c r="M4712" t="s">
        <v>516</v>
      </c>
    </row>
    <row r="4713" spans="1:13" hidden="1">
      <c r="A4713" t="s">
        <v>94</v>
      </c>
      <c r="B4713" t="s">
        <v>8</v>
      </c>
      <c r="C4713" t="s">
        <v>93</v>
      </c>
      <c r="D4713" t="str">
        <f>LEFT(M4713,9)</f>
        <v>1/15/2025</v>
      </c>
      <c r="E4713" t="s">
        <v>202</v>
      </c>
      <c r="F4713" t="s">
        <v>216</v>
      </c>
      <c r="G4713" t="s">
        <v>217</v>
      </c>
      <c r="I4713">
        <v>650</v>
      </c>
      <c r="J4713">
        <v>260</v>
      </c>
      <c r="K4713">
        <v>0.4</v>
      </c>
      <c r="M4713" t="s">
        <v>516</v>
      </c>
    </row>
    <row r="4714" spans="1:13" hidden="1">
      <c r="A4714" t="s">
        <v>94</v>
      </c>
      <c r="B4714" t="s">
        <v>8</v>
      </c>
      <c r="C4714" t="s">
        <v>93</v>
      </c>
      <c r="D4714" t="str">
        <f>LEFT(M4714,9)</f>
        <v>1/15/2025</v>
      </c>
      <c r="E4714" t="s">
        <v>202</v>
      </c>
      <c r="F4714" t="s">
        <v>216</v>
      </c>
      <c r="G4714" t="s">
        <v>253</v>
      </c>
      <c r="I4714">
        <v>25000</v>
      </c>
      <c r="J4714">
        <v>4500</v>
      </c>
      <c r="K4714">
        <v>0.18</v>
      </c>
      <c r="M4714" t="s">
        <v>516</v>
      </c>
    </row>
    <row r="4715" spans="1:13" hidden="1">
      <c r="A4715" t="s">
        <v>94</v>
      </c>
      <c r="B4715" t="s">
        <v>8</v>
      </c>
      <c r="C4715" t="s">
        <v>93</v>
      </c>
      <c r="D4715" t="str">
        <f>LEFT(M4715,9)</f>
        <v>1/15/2025</v>
      </c>
      <c r="E4715" t="s">
        <v>202</v>
      </c>
      <c r="F4715" t="s">
        <v>203</v>
      </c>
      <c r="G4715" t="s">
        <v>236</v>
      </c>
      <c r="I4715">
        <v>7730</v>
      </c>
      <c r="J4715">
        <v>3865</v>
      </c>
      <c r="K4715">
        <v>0.5</v>
      </c>
      <c r="M4715" t="s">
        <v>516</v>
      </c>
    </row>
    <row r="4716" spans="1:13" hidden="1">
      <c r="A4716" t="s">
        <v>94</v>
      </c>
      <c r="B4716" t="s">
        <v>8</v>
      </c>
      <c r="C4716" t="s">
        <v>93</v>
      </c>
      <c r="D4716" t="str">
        <f>LEFT(M4716,9)</f>
        <v>1/15/2025</v>
      </c>
      <c r="E4716" t="s">
        <v>230</v>
      </c>
      <c r="F4716" t="s">
        <v>248</v>
      </c>
      <c r="I4716">
        <v>0</v>
      </c>
      <c r="J4716">
        <v>32570</v>
      </c>
      <c r="M4716" t="s">
        <v>516</v>
      </c>
    </row>
    <row r="4717" spans="1:13" hidden="1">
      <c r="A4717" t="s">
        <v>94</v>
      </c>
      <c r="B4717" t="s">
        <v>8</v>
      </c>
      <c r="C4717" t="s">
        <v>93</v>
      </c>
      <c r="D4717" t="str">
        <f>LEFT(M4717,9)</f>
        <v>1/15/2025</v>
      </c>
      <c r="E4717" t="s">
        <v>234</v>
      </c>
      <c r="F4717" t="s">
        <v>234</v>
      </c>
      <c r="I4717">
        <v>42550</v>
      </c>
      <c r="M4717" t="s">
        <v>516</v>
      </c>
    </row>
    <row r="4718" spans="1:13" hidden="1">
      <c r="A4718" t="s">
        <v>94</v>
      </c>
      <c r="B4718" t="s">
        <v>8</v>
      </c>
      <c r="C4718" t="s">
        <v>93</v>
      </c>
      <c r="D4718" t="str">
        <f>LEFT(M4718,9)</f>
        <v>1/15/2025</v>
      </c>
      <c r="E4718" t="s">
        <v>232</v>
      </c>
      <c r="F4718" t="s">
        <v>275</v>
      </c>
      <c r="I4718">
        <v>0</v>
      </c>
      <c r="J4718">
        <v>2044</v>
      </c>
      <c r="M4718" t="s">
        <v>516</v>
      </c>
    </row>
    <row r="4719" spans="1:13" hidden="1">
      <c r="A4719" t="s">
        <v>94</v>
      </c>
      <c r="B4719" t="s">
        <v>8</v>
      </c>
      <c r="C4719" t="s">
        <v>93</v>
      </c>
      <c r="D4719" t="str">
        <f>LEFT(M4719,9)</f>
        <v>1/15/2025</v>
      </c>
      <c r="E4719" t="s">
        <v>232</v>
      </c>
      <c r="F4719" t="s">
        <v>290</v>
      </c>
      <c r="I4719">
        <v>0</v>
      </c>
      <c r="J4719">
        <v>2686.63</v>
      </c>
      <c r="M4719" t="s">
        <v>516</v>
      </c>
    </row>
    <row r="4720" spans="1:13" hidden="1">
      <c r="A4720" t="s">
        <v>94</v>
      </c>
      <c r="B4720" t="s">
        <v>8</v>
      </c>
      <c r="C4720" t="s">
        <v>93</v>
      </c>
      <c r="D4720" t="str">
        <f>LEFT(M4720,9)</f>
        <v>1/15/2025</v>
      </c>
      <c r="E4720" t="s">
        <v>232</v>
      </c>
      <c r="F4720" t="s">
        <v>233</v>
      </c>
      <c r="I4720">
        <v>0</v>
      </c>
      <c r="J4720">
        <v>5746.84</v>
      </c>
      <c r="M4720" t="s">
        <v>516</v>
      </c>
    </row>
    <row r="4721" spans="1:13" hidden="1">
      <c r="A4721" t="s">
        <v>94</v>
      </c>
      <c r="B4721" t="s">
        <v>8</v>
      </c>
      <c r="C4721" t="s">
        <v>93</v>
      </c>
      <c r="D4721" t="str">
        <f>LEFT(M4721,9)</f>
        <v>1/15/2025</v>
      </c>
      <c r="E4721" t="s">
        <v>232</v>
      </c>
      <c r="F4721" t="s">
        <v>296</v>
      </c>
      <c r="I4721">
        <v>0</v>
      </c>
      <c r="J4721">
        <v>150</v>
      </c>
      <c r="M4721" t="s">
        <v>516</v>
      </c>
    </row>
    <row r="4722" spans="1:13" hidden="1">
      <c r="A4722" t="s">
        <v>94</v>
      </c>
      <c r="B4722" t="s">
        <v>8</v>
      </c>
      <c r="C4722" t="s">
        <v>93</v>
      </c>
      <c r="D4722" t="str">
        <f>LEFT(M4722,9)</f>
        <v>1/15/2025</v>
      </c>
      <c r="E4722" t="s">
        <v>232</v>
      </c>
      <c r="F4722" t="s">
        <v>233</v>
      </c>
      <c r="I4722">
        <v>0</v>
      </c>
      <c r="J4722">
        <v>195.1</v>
      </c>
      <c r="M4722" t="s">
        <v>516</v>
      </c>
    </row>
    <row r="4723" spans="1:13" hidden="1">
      <c r="A4723" t="s">
        <v>94</v>
      </c>
      <c r="B4723" t="s">
        <v>8</v>
      </c>
      <c r="C4723" t="s">
        <v>93</v>
      </c>
      <c r="D4723" t="str">
        <f>LEFT(M4723,9)</f>
        <v>1/15/2025</v>
      </c>
      <c r="E4723" t="s">
        <v>232</v>
      </c>
      <c r="F4723" t="s">
        <v>287</v>
      </c>
      <c r="I4723">
        <v>0</v>
      </c>
      <c r="J4723">
        <v>857.56</v>
      </c>
      <c r="M4723" t="s">
        <v>516</v>
      </c>
    </row>
    <row r="4724" spans="1:13" hidden="1">
      <c r="A4724" t="s">
        <v>94</v>
      </c>
      <c r="B4724" t="s">
        <v>8</v>
      </c>
      <c r="C4724" t="s">
        <v>93</v>
      </c>
      <c r="D4724" t="str">
        <f>LEFT(M4724,9)</f>
        <v>1/15/2025</v>
      </c>
      <c r="E4724" t="s">
        <v>232</v>
      </c>
      <c r="F4724" t="s">
        <v>233</v>
      </c>
      <c r="I4724">
        <v>0</v>
      </c>
      <c r="J4724">
        <v>695</v>
      </c>
      <c r="M4724" t="s">
        <v>516</v>
      </c>
    </row>
    <row r="4725" spans="1:13" hidden="1">
      <c r="A4725" t="s">
        <v>94</v>
      </c>
      <c r="B4725" t="s">
        <v>8</v>
      </c>
      <c r="C4725" t="s">
        <v>93</v>
      </c>
      <c r="D4725" t="str">
        <f>LEFT(M4725,9)</f>
        <v>1/15/2025</v>
      </c>
      <c r="E4725" t="s">
        <v>232</v>
      </c>
      <c r="F4725" t="s">
        <v>250</v>
      </c>
      <c r="I4725">
        <v>0</v>
      </c>
      <c r="J4725">
        <v>200</v>
      </c>
      <c r="M4725" t="s">
        <v>516</v>
      </c>
    </row>
    <row r="4726" spans="1:13" hidden="1">
      <c r="A4726" t="s">
        <v>94</v>
      </c>
      <c r="B4726" t="s">
        <v>8</v>
      </c>
      <c r="C4726" t="s">
        <v>93</v>
      </c>
      <c r="D4726" t="str">
        <f>LEFT(M4726,9)</f>
        <v>1/15/2025</v>
      </c>
      <c r="E4726" t="s">
        <v>232</v>
      </c>
      <c r="F4726" t="s">
        <v>286</v>
      </c>
      <c r="I4726">
        <v>0</v>
      </c>
      <c r="J4726">
        <v>187</v>
      </c>
      <c r="M4726" t="s">
        <v>516</v>
      </c>
    </row>
    <row r="4727" spans="1:13" hidden="1">
      <c r="A4727" t="s">
        <v>94</v>
      </c>
      <c r="B4727" t="s">
        <v>8</v>
      </c>
      <c r="C4727" t="s">
        <v>93</v>
      </c>
      <c r="D4727" t="str">
        <f>LEFT(M4727,9)</f>
        <v>1/15/2025</v>
      </c>
      <c r="E4727" t="s">
        <v>232</v>
      </c>
      <c r="F4727" t="s">
        <v>251</v>
      </c>
      <c r="I4727">
        <v>0</v>
      </c>
      <c r="J4727">
        <v>5000</v>
      </c>
      <c r="M4727" t="s">
        <v>516</v>
      </c>
    </row>
    <row r="4728" spans="1:13" hidden="1">
      <c r="A4728" t="s">
        <v>94</v>
      </c>
      <c r="B4728" t="s">
        <v>8</v>
      </c>
      <c r="C4728" t="s">
        <v>93</v>
      </c>
      <c r="D4728" t="str">
        <f>LEFT(M4728,9)</f>
        <v>1/15/2025</v>
      </c>
      <c r="F4728" t="s">
        <v>249</v>
      </c>
      <c r="I4728">
        <v>0</v>
      </c>
      <c r="M4728" t="s">
        <v>516</v>
      </c>
    </row>
    <row r="4729" spans="1:13" hidden="1">
      <c r="A4729" t="s">
        <v>131</v>
      </c>
      <c r="B4729" t="s">
        <v>8</v>
      </c>
      <c r="C4729" t="s">
        <v>28</v>
      </c>
      <c r="D4729" t="str">
        <f>LEFT(M4729,9)</f>
        <v>1/15/2025</v>
      </c>
      <c r="E4729" t="s">
        <v>202</v>
      </c>
      <c r="F4729" t="s">
        <v>227</v>
      </c>
      <c r="G4729" t="s">
        <v>229</v>
      </c>
      <c r="I4729">
        <v>2845</v>
      </c>
      <c r="J4729">
        <v>1991.5</v>
      </c>
      <c r="K4729">
        <v>0.7</v>
      </c>
      <c r="M4729" t="s">
        <v>516</v>
      </c>
    </row>
    <row r="4730" spans="1:13" hidden="1">
      <c r="A4730" t="s">
        <v>131</v>
      </c>
      <c r="B4730" t="s">
        <v>8</v>
      </c>
      <c r="C4730" t="s">
        <v>28</v>
      </c>
      <c r="D4730" t="str">
        <f>LEFT(M4730,9)</f>
        <v>1/15/2025</v>
      </c>
      <c r="E4730" t="s">
        <v>202</v>
      </c>
      <c r="F4730" t="s">
        <v>218</v>
      </c>
      <c r="G4730" t="s">
        <v>220</v>
      </c>
      <c r="I4730">
        <v>417</v>
      </c>
      <c r="J4730">
        <v>542.1</v>
      </c>
      <c r="K4730">
        <v>1.3</v>
      </c>
      <c r="M4730" t="s">
        <v>516</v>
      </c>
    </row>
    <row r="4731" spans="1:13" hidden="1">
      <c r="A4731" t="s">
        <v>131</v>
      </c>
      <c r="B4731" t="s">
        <v>8</v>
      </c>
      <c r="C4731" t="s">
        <v>28</v>
      </c>
      <c r="D4731" t="str">
        <f>LEFT(M4731,9)</f>
        <v>1/15/2025</v>
      </c>
      <c r="E4731" t="s">
        <v>202</v>
      </c>
      <c r="F4731" t="s">
        <v>227</v>
      </c>
      <c r="G4731" t="s">
        <v>228</v>
      </c>
      <c r="I4731">
        <v>1139</v>
      </c>
      <c r="J4731">
        <v>341.7</v>
      </c>
      <c r="K4731">
        <v>0.3</v>
      </c>
      <c r="M4731" t="s">
        <v>516</v>
      </c>
    </row>
    <row r="4732" spans="1:13" hidden="1">
      <c r="A4732" t="s">
        <v>131</v>
      </c>
      <c r="B4732" t="s">
        <v>8</v>
      </c>
      <c r="C4732" t="s">
        <v>28</v>
      </c>
      <c r="D4732" t="str">
        <f>LEFT(M4732,9)</f>
        <v>1/15/2025</v>
      </c>
      <c r="E4732" t="s">
        <v>202</v>
      </c>
      <c r="F4732" t="s">
        <v>218</v>
      </c>
      <c r="G4732" t="s">
        <v>240</v>
      </c>
      <c r="I4732">
        <v>484</v>
      </c>
      <c r="J4732">
        <v>1694</v>
      </c>
      <c r="K4732">
        <v>3.5</v>
      </c>
      <c r="M4732" t="s">
        <v>516</v>
      </c>
    </row>
    <row r="4733" spans="1:13" hidden="1">
      <c r="A4733" t="s">
        <v>131</v>
      </c>
      <c r="B4733" t="s">
        <v>8</v>
      </c>
      <c r="C4733" t="s">
        <v>28</v>
      </c>
      <c r="D4733" t="str">
        <f>LEFT(M4733,9)</f>
        <v>1/15/2025</v>
      </c>
      <c r="E4733" t="s">
        <v>202</v>
      </c>
      <c r="F4733" t="s">
        <v>218</v>
      </c>
      <c r="G4733" t="s">
        <v>241</v>
      </c>
      <c r="I4733">
        <v>144</v>
      </c>
      <c r="J4733">
        <v>504</v>
      </c>
      <c r="K4733">
        <v>3.5</v>
      </c>
      <c r="M4733" t="s">
        <v>516</v>
      </c>
    </row>
    <row r="4734" spans="1:13" hidden="1">
      <c r="A4734" t="s">
        <v>131</v>
      </c>
      <c r="B4734" t="s">
        <v>8</v>
      </c>
      <c r="C4734" t="s">
        <v>28</v>
      </c>
      <c r="D4734" t="str">
        <f>LEFT(M4734,9)</f>
        <v>1/15/2025</v>
      </c>
      <c r="E4734" t="s">
        <v>202</v>
      </c>
      <c r="F4734" t="s">
        <v>218</v>
      </c>
      <c r="G4734" t="s">
        <v>221</v>
      </c>
      <c r="I4734">
        <v>297</v>
      </c>
      <c r="J4734">
        <v>59.4</v>
      </c>
      <c r="K4734">
        <v>0.2</v>
      </c>
      <c r="M4734" t="s">
        <v>516</v>
      </c>
    </row>
    <row r="4735" spans="1:13" hidden="1">
      <c r="A4735" t="s">
        <v>131</v>
      </c>
      <c r="B4735" t="s">
        <v>8</v>
      </c>
      <c r="C4735" t="s">
        <v>28</v>
      </c>
      <c r="D4735" t="str">
        <f>LEFT(M4735,9)</f>
        <v>1/15/2025</v>
      </c>
      <c r="E4735" t="s">
        <v>202</v>
      </c>
      <c r="F4735" t="s">
        <v>227</v>
      </c>
      <c r="G4735" t="s">
        <v>238</v>
      </c>
      <c r="I4735">
        <v>332</v>
      </c>
      <c r="J4735">
        <v>66.400000000000006</v>
      </c>
      <c r="K4735">
        <v>0.2</v>
      </c>
      <c r="M4735" t="s">
        <v>516</v>
      </c>
    </row>
    <row r="4736" spans="1:13" hidden="1">
      <c r="A4736" t="s">
        <v>131</v>
      </c>
      <c r="B4736" t="s">
        <v>8</v>
      </c>
      <c r="C4736" t="s">
        <v>28</v>
      </c>
      <c r="D4736" t="str">
        <f>LEFT(M4736,9)</f>
        <v>1/15/2025</v>
      </c>
      <c r="E4736" t="s">
        <v>202</v>
      </c>
      <c r="F4736" t="s">
        <v>218</v>
      </c>
      <c r="G4736" t="s">
        <v>222</v>
      </c>
      <c r="I4736">
        <v>348</v>
      </c>
      <c r="J4736">
        <v>208.8</v>
      </c>
      <c r="K4736">
        <v>0.6</v>
      </c>
      <c r="M4736" t="s">
        <v>516</v>
      </c>
    </row>
    <row r="4737" spans="1:13" hidden="1">
      <c r="A4737" t="s">
        <v>131</v>
      </c>
      <c r="B4737" t="s">
        <v>8</v>
      </c>
      <c r="C4737" t="s">
        <v>28</v>
      </c>
      <c r="D4737" t="str">
        <f>LEFT(M4737,9)</f>
        <v>1/15/2025</v>
      </c>
      <c r="E4737" t="s">
        <v>202</v>
      </c>
      <c r="F4737" t="s">
        <v>218</v>
      </c>
      <c r="G4737" t="s">
        <v>221</v>
      </c>
      <c r="I4737">
        <v>283</v>
      </c>
      <c r="J4737">
        <v>594.29999999999995</v>
      </c>
      <c r="K4737">
        <v>2.1</v>
      </c>
      <c r="M4737" t="s">
        <v>516</v>
      </c>
    </row>
    <row r="4738" spans="1:13" hidden="1">
      <c r="A4738" t="s">
        <v>131</v>
      </c>
      <c r="B4738" t="s">
        <v>8</v>
      </c>
      <c r="C4738" t="s">
        <v>28</v>
      </c>
      <c r="D4738" t="str">
        <f>LEFT(M4738,9)</f>
        <v>1/15/2025</v>
      </c>
      <c r="E4738" t="s">
        <v>202</v>
      </c>
      <c r="F4738" t="s">
        <v>218</v>
      </c>
      <c r="G4738" t="s">
        <v>219</v>
      </c>
      <c r="I4738">
        <v>55</v>
      </c>
      <c r="J4738">
        <v>2.75</v>
      </c>
      <c r="K4738">
        <v>0.05</v>
      </c>
      <c r="M4738" t="s">
        <v>516</v>
      </c>
    </row>
    <row r="4739" spans="1:13" hidden="1">
      <c r="A4739" t="s">
        <v>131</v>
      </c>
      <c r="B4739" t="s">
        <v>8</v>
      </c>
      <c r="C4739" t="s">
        <v>28</v>
      </c>
      <c r="D4739" t="str">
        <f>LEFT(M4739,9)</f>
        <v>1/15/2025</v>
      </c>
      <c r="E4739" t="s">
        <v>202</v>
      </c>
      <c r="F4739" t="s">
        <v>218</v>
      </c>
      <c r="G4739" t="s">
        <v>268</v>
      </c>
      <c r="I4739">
        <v>27</v>
      </c>
      <c r="J4739">
        <v>5.4</v>
      </c>
      <c r="K4739">
        <v>0.2</v>
      </c>
      <c r="M4739" t="s">
        <v>516</v>
      </c>
    </row>
    <row r="4740" spans="1:13" hidden="1">
      <c r="A4740" t="s">
        <v>131</v>
      </c>
      <c r="B4740" t="s">
        <v>8</v>
      </c>
      <c r="C4740" t="s">
        <v>28</v>
      </c>
      <c r="D4740" t="str">
        <f>LEFT(M4740,9)</f>
        <v>1/15/2025</v>
      </c>
      <c r="E4740" t="s">
        <v>202</v>
      </c>
      <c r="F4740" t="s">
        <v>218</v>
      </c>
      <c r="G4740" t="s">
        <v>223</v>
      </c>
      <c r="I4740">
        <v>654</v>
      </c>
      <c r="J4740">
        <v>327</v>
      </c>
      <c r="K4740">
        <v>0.5</v>
      </c>
      <c r="M4740" t="s">
        <v>516</v>
      </c>
    </row>
    <row r="4741" spans="1:13" hidden="1">
      <c r="A4741" t="s">
        <v>131</v>
      </c>
      <c r="B4741" t="s">
        <v>8</v>
      </c>
      <c r="C4741" t="s">
        <v>28</v>
      </c>
      <c r="D4741" t="str">
        <f>LEFT(M4741,9)</f>
        <v>1/15/2025</v>
      </c>
      <c r="E4741" t="s">
        <v>202</v>
      </c>
      <c r="F4741" t="s">
        <v>227</v>
      </c>
      <c r="G4741" t="s">
        <v>237</v>
      </c>
      <c r="I4741">
        <v>427</v>
      </c>
      <c r="J4741">
        <v>170.8</v>
      </c>
      <c r="K4741">
        <v>0.4</v>
      </c>
      <c r="M4741" t="s">
        <v>516</v>
      </c>
    </row>
    <row r="4742" spans="1:13" hidden="1">
      <c r="A4742" t="s">
        <v>131</v>
      </c>
      <c r="B4742" t="s">
        <v>8</v>
      </c>
      <c r="C4742" t="s">
        <v>28</v>
      </c>
      <c r="D4742" t="str">
        <f>LEFT(M4742,9)</f>
        <v>1/15/2025</v>
      </c>
      <c r="E4742" t="s">
        <v>202</v>
      </c>
      <c r="F4742" t="s">
        <v>218</v>
      </c>
      <c r="G4742" t="s">
        <v>266</v>
      </c>
      <c r="I4742">
        <v>83</v>
      </c>
      <c r="J4742">
        <v>4.1500000000000004</v>
      </c>
      <c r="K4742">
        <v>0.05</v>
      </c>
      <c r="M4742" t="s">
        <v>516</v>
      </c>
    </row>
    <row r="4743" spans="1:13" hidden="1">
      <c r="A4743" t="s">
        <v>131</v>
      </c>
      <c r="B4743" t="s">
        <v>8</v>
      </c>
      <c r="C4743" t="s">
        <v>28</v>
      </c>
      <c r="D4743" t="str">
        <f>LEFT(M4743,9)</f>
        <v>1/15/2025</v>
      </c>
      <c r="E4743" t="s">
        <v>202</v>
      </c>
      <c r="F4743" t="s">
        <v>227</v>
      </c>
      <c r="G4743" t="s">
        <v>252</v>
      </c>
      <c r="I4743">
        <v>294</v>
      </c>
      <c r="J4743">
        <v>29.4</v>
      </c>
      <c r="K4743">
        <v>0.1</v>
      </c>
      <c r="M4743" t="s">
        <v>516</v>
      </c>
    </row>
    <row r="4744" spans="1:13" hidden="1">
      <c r="A4744" t="s">
        <v>131</v>
      </c>
      <c r="B4744" t="s">
        <v>8</v>
      </c>
      <c r="C4744" t="s">
        <v>28</v>
      </c>
      <c r="D4744" t="str">
        <f>LEFT(M4744,9)</f>
        <v>1/15/2025</v>
      </c>
      <c r="E4744" t="s">
        <v>202</v>
      </c>
      <c r="F4744" t="s">
        <v>218</v>
      </c>
      <c r="G4744" t="s">
        <v>223</v>
      </c>
      <c r="I4744">
        <v>351</v>
      </c>
      <c r="J4744">
        <v>140.4</v>
      </c>
      <c r="K4744">
        <v>0.4</v>
      </c>
      <c r="M4744" t="s">
        <v>516</v>
      </c>
    </row>
    <row r="4745" spans="1:13" hidden="1">
      <c r="A4745" t="s">
        <v>131</v>
      </c>
      <c r="B4745" t="s">
        <v>8</v>
      </c>
      <c r="C4745" t="s">
        <v>28</v>
      </c>
      <c r="D4745" t="str">
        <f>LEFT(M4745,9)</f>
        <v>1/15/2025</v>
      </c>
      <c r="E4745" t="s">
        <v>202</v>
      </c>
      <c r="F4745" t="s">
        <v>218</v>
      </c>
      <c r="G4745" t="s">
        <v>242</v>
      </c>
      <c r="I4745">
        <v>77</v>
      </c>
      <c r="J4745">
        <v>38.5</v>
      </c>
      <c r="K4745">
        <v>0.5</v>
      </c>
      <c r="M4745" t="s">
        <v>516</v>
      </c>
    </row>
    <row r="4746" spans="1:13" hidden="1">
      <c r="A4746" t="s">
        <v>131</v>
      </c>
      <c r="B4746" t="s">
        <v>8</v>
      </c>
      <c r="C4746" t="s">
        <v>28</v>
      </c>
      <c r="D4746" t="str">
        <f>LEFT(M4746,9)</f>
        <v>1/15/2025</v>
      </c>
      <c r="E4746" t="s">
        <v>202</v>
      </c>
      <c r="F4746" t="s">
        <v>218</v>
      </c>
      <c r="G4746" t="s">
        <v>225</v>
      </c>
      <c r="I4746">
        <v>99</v>
      </c>
      <c r="J4746">
        <v>29.7</v>
      </c>
      <c r="K4746">
        <v>0.3</v>
      </c>
      <c r="M4746" t="s">
        <v>516</v>
      </c>
    </row>
    <row r="4747" spans="1:13" hidden="1">
      <c r="A4747" t="s">
        <v>131</v>
      </c>
      <c r="B4747" t="s">
        <v>8</v>
      </c>
      <c r="C4747" t="s">
        <v>28</v>
      </c>
      <c r="D4747" t="str">
        <f>LEFT(M4747,9)</f>
        <v>1/15/2025</v>
      </c>
      <c r="E4747" t="s">
        <v>202</v>
      </c>
      <c r="F4747" t="s">
        <v>218</v>
      </c>
      <c r="G4747" t="s">
        <v>224</v>
      </c>
      <c r="I4747">
        <v>80</v>
      </c>
      <c r="J4747">
        <v>40</v>
      </c>
      <c r="K4747">
        <v>0.5</v>
      </c>
      <c r="M4747" t="s">
        <v>516</v>
      </c>
    </row>
    <row r="4748" spans="1:13" hidden="1">
      <c r="A4748" t="s">
        <v>131</v>
      </c>
      <c r="B4748" t="s">
        <v>8</v>
      </c>
      <c r="C4748" t="s">
        <v>28</v>
      </c>
      <c r="D4748" t="str">
        <f>LEFT(M4748,9)</f>
        <v>1/15/2025</v>
      </c>
      <c r="E4748" t="s">
        <v>202</v>
      </c>
      <c r="F4748" t="s">
        <v>203</v>
      </c>
      <c r="G4748" t="s">
        <v>204</v>
      </c>
      <c r="I4748">
        <v>70</v>
      </c>
      <c r="J4748">
        <v>490</v>
      </c>
      <c r="K4748">
        <v>7</v>
      </c>
      <c r="M4748" t="s">
        <v>516</v>
      </c>
    </row>
    <row r="4749" spans="1:13" hidden="1">
      <c r="A4749" t="s">
        <v>131</v>
      </c>
      <c r="B4749" t="s">
        <v>8</v>
      </c>
      <c r="C4749" t="s">
        <v>28</v>
      </c>
      <c r="D4749" t="str">
        <f>LEFT(M4749,9)</f>
        <v>1/15/2025</v>
      </c>
      <c r="E4749" t="s">
        <v>202</v>
      </c>
      <c r="F4749" t="s">
        <v>218</v>
      </c>
      <c r="G4749" t="s">
        <v>226</v>
      </c>
      <c r="I4749">
        <v>134</v>
      </c>
      <c r="J4749">
        <v>26.8</v>
      </c>
      <c r="K4749">
        <v>0.2</v>
      </c>
      <c r="M4749" t="s">
        <v>516</v>
      </c>
    </row>
    <row r="4750" spans="1:13" hidden="1">
      <c r="A4750" t="s">
        <v>131</v>
      </c>
      <c r="B4750" t="s">
        <v>8</v>
      </c>
      <c r="C4750" t="s">
        <v>28</v>
      </c>
      <c r="D4750" t="str">
        <f>LEFT(M4750,9)</f>
        <v>1/15/2025</v>
      </c>
      <c r="E4750" t="s">
        <v>202</v>
      </c>
      <c r="F4750" t="s">
        <v>216</v>
      </c>
      <c r="G4750" t="s">
        <v>253</v>
      </c>
      <c r="I4750">
        <v>5360</v>
      </c>
      <c r="J4750">
        <v>428.8</v>
      </c>
      <c r="K4750">
        <v>0.08</v>
      </c>
      <c r="M4750" t="s">
        <v>516</v>
      </c>
    </row>
    <row r="4751" spans="1:13" hidden="1">
      <c r="A4751" t="s">
        <v>131</v>
      </c>
      <c r="B4751" t="s">
        <v>8</v>
      </c>
      <c r="C4751" t="s">
        <v>28</v>
      </c>
      <c r="D4751" t="str">
        <f>LEFT(M4751,9)</f>
        <v>1/15/2025</v>
      </c>
      <c r="E4751" t="s">
        <v>202</v>
      </c>
      <c r="F4751" t="s">
        <v>203</v>
      </c>
      <c r="G4751" t="s">
        <v>236</v>
      </c>
      <c r="I4751">
        <v>1260</v>
      </c>
      <c r="J4751">
        <v>126</v>
      </c>
      <c r="K4751">
        <v>0.1</v>
      </c>
      <c r="M4751" t="s">
        <v>516</v>
      </c>
    </row>
    <row r="4752" spans="1:13" hidden="1">
      <c r="A4752" t="s">
        <v>131</v>
      </c>
      <c r="B4752" t="s">
        <v>8</v>
      </c>
      <c r="C4752" t="s">
        <v>28</v>
      </c>
      <c r="D4752" t="str">
        <f>LEFT(M4752,9)</f>
        <v>1/15/2025</v>
      </c>
      <c r="E4752" t="s">
        <v>234</v>
      </c>
      <c r="F4752" t="s">
        <v>234</v>
      </c>
      <c r="I4752">
        <v>1815</v>
      </c>
      <c r="M4752" t="s">
        <v>516</v>
      </c>
    </row>
    <row r="4753" spans="1:13" hidden="1">
      <c r="A4753" t="s">
        <v>131</v>
      </c>
      <c r="B4753" t="s">
        <v>8</v>
      </c>
      <c r="C4753" t="s">
        <v>28</v>
      </c>
      <c r="D4753" t="str">
        <f>LEFT(M4753,9)</f>
        <v>1/15/2025</v>
      </c>
      <c r="E4753" t="s">
        <v>230</v>
      </c>
      <c r="F4753" t="s">
        <v>248</v>
      </c>
      <c r="I4753">
        <v>0</v>
      </c>
      <c r="J4753">
        <v>7700</v>
      </c>
      <c r="M4753" t="s">
        <v>516</v>
      </c>
    </row>
    <row r="4754" spans="1:13" hidden="1">
      <c r="A4754" t="s">
        <v>127</v>
      </c>
      <c r="B4754" t="s">
        <v>8</v>
      </c>
      <c r="C4754" t="s">
        <v>126</v>
      </c>
      <c r="D4754" t="str">
        <f>LEFT(M4754,9)</f>
        <v>1/15/2025</v>
      </c>
      <c r="E4754" t="s">
        <v>202</v>
      </c>
      <c r="F4754" t="s">
        <v>218</v>
      </c>
      <c r="G4754" t="s">
        <v>219</v>
      </c>
      <c r="I4754">
        <v>209</v>
      </c>
      <c r="J4754">
        <v>501.6</v>
      </c>
      <c r="K4754">
        <v>2.4</v>
      </c>
      <c r="M4754" t="s">
        <v>516</v>
      </c>
    </row>
    <row r="4755" spans="1:13" hidden="1">
      <c r="A4755" t="s">
        <v>127</v>
      </c>
      <c r="B4755" t="s">
        <v>8</v>
      </c>
      <c r="C4755" t="s">
        <v>126</v>
      </c>
      <c r="D4755" t="str">
        <f>LEFT(M4755,9)</f>
        <v>1/15/2025</v>
      </c>
      <c r="E4755" t="s">
        <v>202</v>
      </c>
      <c r="F4755" t="s">
        <v>218</v>
      </c>
      <c r="G4755" t="s">
        <v>240</v>
      </c>
      <c r="I4755">
        <v>387</v>
      </c>
      <c r="J4755">
        <v>1470.6</v>
      </c>
      <c r="K4755">
        <v>3.8</v>
      </c>
      <c r="M4755" t="s">
        <v>516</v>
      </c>
    </row>
    <row r="4756" spans="1:13" hidden="1">
      <c r="A4756" t="s">
        <v>127</v>
      </c>
      <c r="B4756" t="s">
        <v>8</v>
      </c>
      <c r="C4756" t="s">
        <v>126</v>
      </c>
      <c r="D4756" t="str">
        <f>LEFT(M4756,9)</f>
        <v>1/15/2025</v>
      </c>
      <c r="E4756" t="s">
        <v>202</v>
      </c>
      <c r="F4756" t="s">
        <v>227</v>
      </c>
      <c r="G4756" t="s">
        <v>237</v>
      </c>
      <c r="I4756">
        <v>233</v>
      </c>
      <c r="J4756">
        <v>116.5</v>
      </c>
      <c r="K4756">
        <v>0.5</v>
      </c>
      <c r="M4756" t="s">
        <v>516</v>
      </c>
    </row>
    <row r="4757" spans="1:13" hidden="1">
      <c r="A4757" t="s">
        <v>127</v>
      </c>
      <c r="B4757" t="s">
        <v>8</v>
      </c>
      <c r="C4757" t="s">
        <v>126</v>
      </c>
      <c r="D4757" t="str">
        <f>LEFT(M4757,9)</f>
        <v>1/15/2025</v>
      </c>
      <c r="E4757" t="s">
        <v>202</v>
      </c>
      <c r="F4757" t="s">
        <v>218</v>
      </c>
      <c r="G4757" t="s">
        <v>243</v>
      </c>
      <c r="H4757" t="s">
        <v>415</v>
      </c>
      <c r="I4757">
        <v>83</v>
      </c>
      <c r="J4757">
        <v>166</v>
      </c>
      <c r="K4757">
        <v>2</v>
      </c>
      <c r="M4757" t="s">
        <v>516</v>
      </c>
    </row>
    <row r="4758" spans="1:13" hidden="1">
      <c r="A4758" t="s">
        <v>127</v>
      </c>
      <c r="B4758" t="s">
        <v>8</v>
      </c>
      <c r="C4758" t="s">
        <v>126</v>
      </c>
      <c r="D4758" t="str">
        <f>LEFT(M4758,9)</f>
        <v>1/15/2025</v>
      </c>
      <c r="E4758" t="s">
        <v>202</v>
      </c>
      <c r="F4758" t="s">
        <v>227</v>
      </c>
      <c r="G4758" t="s">
        <v>228</v>
      </c>
      <c r="I4758">
        <v>868</v>
      </c>
      <c r="J4758">
        <v>303.8</v>
      </c>
      <c r="K4758">
        <v>0.35</v>
      </c>
      <c r="M4758" t="s">
        <v>516</v>
      </c>
    </row>
    <row r="4759" spans="1:13" hidden="1">
      <c r="A4759" t="s">
        <v>127</v>
      </c>
      <c r="B4759" t="s">
        <v>8</v>
      </c>
      <c r="C4759" t="s">
        <v>126</v>
      </c>
      <c r="D4759" t="str">
        <f>LEFT(M4759,9)</f>
        <v>1/15/2025</v>
      </c>
      <c r="E4759" t="s">
        <v>202</v>
      </c>
      <c r="F4759" t="s">
        <v>218</v>
      </c>
      <c r="G4759" t="s">
        <v>223</v>
      </c>
      <c r="I4759">
        <v>508</v>
      </c>
      <c r="J4759">
        <v>355.6</v>
      </c>
      <c r="K4759">
        <v>0.7</v>
      </c>
      <c r="M4759" t="s">
        <v>516</v>
      </c>
    </row>
    <row r="4760" spans="1:13" hidden="1">
      <c r="A4760" t="s">
        <v>127</v>
      </c>
      <c r="B4760" t="s">
        <v>8</v>
      </c>
      <c r="C4760" t="s">
        <v>126</v>
      </c>
      <c r="D4760" t="str">
        <f>LEFT(M4760,9)</f>
        <v>1/15/2025</v>
      </c>
      <c r="E4760" t="s">
        <v>202</v>
      </c>
      <c r="F4760" t="s">
        <v>218</v>
      </c>
      <c r="G4760" t="s">
        <v>222</v>
      </c>
      <c r="I4760">
        <v>33</v>
      </c>
      <c r="J4760">
        <v>23.1</v>
      </c>
      <c r="K4760">
        <v>0.7</v>
      </c>
      <c r="M4760" t="s">
        <v>516</v>
      </c>
    </row>
    <row r="4761" spans="1:13" hidden="1">
      <c r="A4761" t="s">
        <v>127</v>
      </c>
      <c r="B4761" t="s">
        <v>8</v>
      </c>
      <c r="C4761" t="s">
        <v>126</v>
      </c>
      <c r="D4761" t="str">
        <f>LEFT(M4761,9)</f>
        <v>1/15/2025</v>
      </c>
      <c r="E4761" t="s">
        <v>202</v>
      </c>
      <c r="F4761" t="s">
        <v>218</v>
      </c>
      <c r="G4761" t="s">
        <v>243</v>
      </c>
      <c r="H4761" t="s">
        <v>411</v>
      </c>
      <c r="I4761">
        <v>48</v>
      </c>
      <c r="J4761">
        <v>9.6</v>
      </c>
      <c r="K4761">
        <v>0.2</v>
      </c>
      <c r="M4761" t="s">
        <v>516</v>
      </c>
    </row>
    <row r="4762" spans="1:13" hidden="1">
      <c r="A4762" t="s">
        <v>127</v>
      </c>
      <c r="B4762" t="s">
        <v>8</v>
      </c>
      <c r="C4762" t="s">
        <v>126</v>
      </c>
      <c r="D4762" t="str">
        <f>LEFT(M4762,9)</f>
        <v>1/15/2025</v>
      </c>
      <c r="E4762" t="s">
        <v>202</v>
      </c>
      <c r="F4762" t="s">
        <v>227</v>
      </c>
      <c r="G4762" t="s">
        <v>252</v>
      </c>
      <c r="I4762">
        <v>72</v>
      </c>
      <c r="J4762">
        <v>25.2</v>
      </c>
      <c r="K4762">
        <v>0.35</v>
      </c>
      <c r="M4762" t="s">
        <v>516</v>
      </c>
    </row>
    <row r="4763" spans="1:13" hidden="1">
      <c r="A4763" t="s">
        <v>127</v>
      </c>
      <c r="B4763" t="s">
        <v>8</v>
      </c>
      <c r="C4763" t="s">
        <v>126</v>
      </c>
      <c r="D4763" t="str">
        <f>LEFT(M4763,9)</f>
        <v>1/15/2025</v>
      </c>
      <c r="E4763" t="s">
        <v>202</v>
      </c>
      <c r="F4763" t="s">
        <v>218</v>
      </c>
      <c r="G4763" t="s">
        <v>243</v>
      </c>
      <c r="H4763" t="s">
        <v>547</v>
      </c>
      <c r="I4763">
        <v>390</v>
      </c>
      <c r="J4763">
        <v>546</v>
      </c>
      <c r="K4763">
        <v>1.4</v>
      </c>
      <c r="M4763" t="s">
        <v>516</v>
      </c>
    </row>
    <row r="4764" spans="1:13" hidden="1">
      <c r="A4764" t="s">
        <v>127</v>
      </c>
      <c r="B4764" t="s">
        <v>8</v>
      </c>
      <c r="C4764" t="s">
        <v>126</v>
      </c>
      <c r="D4764" t="str">
        <f>LEFT(M4764,9)</f>
        <v>1/15/2025</v>
      </c>
      <c r="E4764" t="s">
        <v>202</v>
      </c>
      <c r="F4764" t="s">
        <v>218</v>
      </c>
      <c r="G4764" t="s">
        <v>220</v>
      </c>
      <c r="I4764">
        <v>551</v>
      </c>
      <c r="J4764">
        <v>881.6</v>
      </c>
      <c r="K4764">
        <v>1.6</v>
      </c>
      <c r="M4764" t="s">
        <v>516</v>
      </c>
    </row>
    <row r="4765" spans="1:13" hidden="1">
      <c r="A4765" t="s">
        <v>127</v>
      </c>
      <c r="B4765" t="s">
        <v>8</v>
      </c>
      <c r="C4765" t="s">
        <v>126</v>
      </c>
      <c r="D4765" t="str">
        <f>LEFT(M4765,9)</f>
        <v>1/15/2025</v>
      </c>
      <c r="E4765" t="s">
        <v>202</v>
      </c>
      <c r="F4765" t="s">
        <v>218</v>
      </c>
      <c r="G4765" t="s">
        <v>225</v>
      </c>
      <c r="I4765">
        <v>49</v>
      </c>
      <c r="J4765">
        <v>44.1</v>
      </c>
      <c r="K4765">
        <v>0.9</v>
      </c>
      <c r="M4765" t="s">
        <v>516</v>
      </c>
    </row>
    <row r="4766" spans="1:13" hidden="1">
      <c r="A4766" t="s">
        <v>127</v>
      </c>
      <c r="B4766" t="s">
        <v>8</v>
      </c>
      <c r="C4766" t="s">
        <v>126</v>
      </c>
      <c r="D4766" t="str">
        <f>LEFT(M4766,9)</f>
        <v>1/15/2025</v>
      </c>
      <c r="E4766" t="s">
        <v>202</v>
      </c>
      <c r="F4766" t="s">
        <v>218</v>
      </c>
      <c r="G4766" t="s">
        <v>224</v>
      </c>
      <c r="I4766">
        <v>49</v>
      </c>
      <c r="J4766">
        <v>49</v>
      </c>
      <c r="K4766">
        <v>1</v>
      </c>
      <c r="M4766" t="s">
        <v>516</v>
      </c>
    </row>
    <row r="4767" spans="1:13" hidden="1">
      <c r="A4767" t="s">
        <v>127</v>
      </c>
      <c r="B4767" t="s">
        <v>8</v>
      </c>
      <c r="C4767" t="s">
        <v>126</v>
      </c>
      <c r="D4767" t="str">
        <f>LEFT(M4767,9)</f>
        <v>1/15/2025</v>
      </c>
      <c r="E4767" t="s">
        <v>202</v>
      </c>
      <c r="F4767" t="s">
        <v>218</v>
      </c>
      <c r="G4767" t="s">
        <v>243</v>
      </c>
      <c r="H4767" t="s">
        <v>548</v>
      </c>
      <c r="I4767">
        <v>27</v>
      </c>
      <c r="J4767">
        <v>64.8</v>
      </c>
      <c r="K4767">
        <v>2.4</v>
      </c>
      <c r="M4767" t="s">
        <v>516</v>
      </c>
    </row>
    <row r="4768" spans="1:13" hidden="1">
      <c r="A4768" t="s">
        <v>127</v>
      </c>
      <c r="B4768" t="s">
        <v>8</v>
      </c>
      <c r="C4768" t="s">
        <v>126</v>
      </c>
      <c r="D4768" t="str">
        <f>LEFT(M4768,9)</f>
        <v>1/15/2025</v>
      </c>
      <c r="E4768" t="s">
        <v>202</v>
      </c>
      <c r="F4768" t="s">
        <v>218</v>
      </c>
      <c r="G4768" t="s">
        <v>226</v>
      </c>
      <c r="I4768">
        <v>74</v>
      </c>
      <c r="J4768">
        <v>22.2</v>
      </c>
      <c r="K4768">
        <v>0.3</v>
      </c>
      <c r="M4768" t="s">
        <v>516</v>
      </c>
    </row>
    <row r="4769" spans="1:13" hidden="1">
      <c r="A4769" t="s">
        <v>127</v>
      </c>
      <c r="B4769" t="s">
        <v>8</v>
      </c>
      <c r="C4769" t="s">
        <v>126</v>
      </c>
      <c r="D4769" t="str">
        <f>LEFT(M4769,9)</f>
        <v>1/15/2025</v>
      </c>
      <c r="E4769" t="s">
        <v>202</v>
      </c>
      <c r="F4769" t="s">
        <v>218</v>
      </c>
      <c r="G4769" t="s">
        <v>241</v>
      </c>
      <c r="I4769">
        <v>38</v>
      </c>
      <c r="J4769">
        <v>144.4</v>
      </c>
      <c r="K4769">
        <v>3.8</v>
      </c>
      <c r="M4769" t="s">
        <v>516</v>
      </c>
    </row>
    <row r="4770" spans="1:13" hidden="1">
      <c r="A4770" t="s">
        <v>127</v>
      </c>
      <c r="B4770" t="s">
        <v>8</v>
      </c>
      <c r="C4770" t="s">
        <v>126</v>
      </c>
      <c r="D4770" t="str">
        <f>LEFT(M4770,9)</f>
        <v>1/15/2025</v>
      </c>
      <c r="E4770" t="s">
        <v>202</v>
      </c>
      <c r="F4770" t="s">
        <v>227</v>
      </c>
      <c r="G4770" t="s">
        <v>229</v>
      </c>
      <c r="I4770">
        <v>2551</v>
      </c>
      <c r="J4770">
        <v>2040.8</v>
      </c>
      <c r="K4770">
        <v>0.8</v>
      </c>
      <c r="M4770" t="s">
        <v>516</v>
      </c>
    </row>
    <row r="4771" spans="1:13" hidden="1">
      <c r="A4771" t="s">
        <v>127</v>
      </c>
      <c r="B4771" t="s">
        <v>8</v>
      </c>
      <c r="C4771" t="s">
        <v>126</v>
      </c>
      <c r="D4771" t="str">
        <f>LEFT(M4771,9)</f>
        <v>1/15/2025</v>
      </c>
      <c r="E4771" t="s">
        <v>202</v>
      </c>
      <c r="F4771" t="s">
        <v>216</v>
      </c>
      <c r="G4771" t="s">
        <v>253</v>
      </c>
      <c r="I4771">
        <v>710</v>
      </c>
      <c r="J4771">
        <v>106.5</v>
      </c>
      <c r="K4771">
        <v>0.15</v>
      </c>
      <c r="M4771" t="s">
        <v>516</v>
      </c>
    </row>
    <row r="4772" spans="1:13" hidden="1">
      <c r="A4772" t="s">
        <v>127</v>
      </c>
      <c r="B4772" t="s">
        <v>8</v>
      </c>
      <c r="C4772" t="s">
        <v>126</v>
      </c>
      <c r="D4772" t="str">
        <f>LEFT(M4772,9)</f>
        <v>1/15/2025</v>
      </c>
      <c r="E4772" t="s">
        <v>202</v>
      </c>
      <c r="F4772" t="s">
        <v>203</v>
      </c>
      <c r="G4772" t="s">
        <v>236</v>
      </c>
      <c r="I4772">
        <v>490</v>
      </c>
      <c r="J4772">
        <v>392</v>
      </c>
      <c r="K4772">
        <v>0.8</v>
      </c>
      <c r="M4772" t="s">
        <v>516</v>
      </c>
    </row>
    <row r="4773" spans="1:13" hidden="1">
      <c r="A4773" t="s">
        <v>127</v>
      </c>
      <c r="B4773" t="s">
        <v>8</v>
      </c>
      <c r="C4773" t="s">
        <v>126</v>
      </c>
      <c r="D4773" t="str">
        <f>LEFT(M4773,9)</f>
        <v>1/15/2025</v>
      </c>
      <c r="E4773" t="s">
        <v>202</v>
      </c>
      <c r="F4773" t="s">
        <v>203</v>
      </c>
      <c r="G4773" t="s">
        <v>207</v>
      </c>
      <c r="I4773">
        <v>8</v>
      </c>
      <c r="J4773">
        <v>36</v>
      </c>
      <c r="K4773">
        <v>4.5</v>
      </c>
      <c r="M4773" t="s">
        <v>516</v>
      </c>
    </row>
    <row r="4774" spans="1:13" hidden="1">
      <c r="A4774" t="s">
        <v>127</v>
      </c>
      <c r="B4774" t="s">
        <v>8</v>
      </c>
      <c r="C4774" t="s">
        <v>126</v>
      </c>
      <c r="D4774" t="str">
        <f>LEFT(M4774,9)</f>
        <v>1/15/2025</v>
      </c>
      <c r="E4774" t="s">
        <v>202</v>
      </c>
      <c r="F4774" t="s">
        <v>203</v>
      </c>
      <c r="G4774" t="s">
        <v>204</v>
      </c>
      <c r="I4774">
        <v>90</v>
      </c>
      <c r="J4774">
        <v>765</v>
      </c>
      <c r="K4774">
        <v>8.5</v>
      </c>
      <c r="M4774" t="s">
        <v>516</v>
      </c>
    </row>
    <row r="4775" spans="1:13" hidden="1">
      <c r="A4775" t="s">
        <v>127</v>
      </c>
      <c r="B4775" t="s">
        <v>8</v>
      </c>
      <c r="C4775" t="s">
        <v>126</v>
      </c>
      <c r="D4775" t="str">
        <f>LEFT(M4775,9)</f>
        <v>1/15/2025</v>
      </c>
      <c r="E4775" t="s">
        <v>202</v>
      </c>
      <c r="F4775" t="s">
        <v>203</v>
      </c>
      <c r="G4775" t="s">
        <v>208</v>
      </c>
      <c r="I4775">
        <v>41</v>
      </c>
      <c r="J4775">
        <v>369</v>
      </c>
      <c r="K4775">
        <v>9</v>
      </c>
      <c r="M4775" t="s">
        <v>516</v>
      </c>
    </row>
    <row r="4776" spans="1:13" hidden="1">
      <c r="A4776" t="s">
        <v>127</v>
      </c>
      <c r="B4776" t="s">
        <v>8</v>
      </c>
      <c r="C4776" t="s">
        <v>126</v>
      </c>
      <c r="D4776" t="str">
        <f>LEFT(M4776,9)</f>
        <v>1/15/2025</v>
      </c>
      <c r="E4776" t="s">
        <v>202</v>
      </c>
      <c r="F4776" t="s">
        <v>203</v>
      </c>
      <c r="G4776" t="s">
        <v>261</v>
      </c>
      <c r="I4776">
        <v>8</v>
      </c>
      <c r="J4776">
        <v>296</v>
      </c>
      <c r="K4776">
        <v>37</v>
      </c>
      <c r="M4776" t="s">
        <v>516</v>
      </c>
    </row>
    <row r="4777" spans="1:13" hidden="1">
      <c r="A4777" t="s">
        <v>127</v>
      </c>
      <c r="B4777" t="s">
        <v>8</v>
      </c>
      <c r="C4777" t="s">
        <v>126</v>
      </c>
      <c r="D4777" t="str">
        <f>LEFT(M4777,9)</f>
        <v>1/15/2025</v>
      </c>
      <c r="E4777" t="s">
        <v>230</v>
      </c>
      <c r="F4777" t="s">
        <v>248</v>
      </c>
      <c r="G4777" t="s">
        <v>249</v>
      </c>
      <c r="I4777">
        <v>0</v>
      </c>
      <c r="J4777">
        <v>5141.32</v>
      </c>
      <c r="M4777" t="s">
        <v>516</v>
      </c>
    </row>
    <row r="4778" spans="1:13" hidden="1">
      <c r="A4778" t="s">
        <v>127</v>
      </c>
      <c r="B4778" t="s">
        <v>8</v>
      </c>
      <c r="C4778" t="s">
        <v>126</v>
      </c>
      <c r="D4778" t="str">
        <f>LEFT(M4778,9)</f>
        <v>1/15/2025</v>
      </c>
      <c r="E4778" t="s">
        <v>232</v>
      </c>
      <c r="F4778" t="s">
        <v>255</v>
      </c>
      <c r="G4778" t="s">
        <v>249</v>
      </c>
      <c r="I4778">
        <v>0</v>
      </c>
      <c r="J4778">
        <v>1863.29</v>
      </c>
      <c r="L4778" t="s">
        <v>549</v>
      </c>
      <c r="M4778" t="s">
        <v>516</v>
      </c>
    </row>
    <row r="4779" spans="1:13" hidden="1">
      <c r="A4779" t="s">
        <v>112</v>
      </c>
      <c r="B4779" t="s">
        <v>8</v>
      </c>
      <c r="C4779" t="s">
        <v>111</v>
      </c>
      <c r="D4779" t="str">
        <f>LEFT(M4779,9)</f>
        <v>1/15/2025</v>
      </c>
      <c r="E4779" t="s">
        <v>202</v>
      </c>
      <c r="F4779" t="s">
        <v>218</v>
      </c>
      <c r="G4779" t="s">
        <v>240</v>
      </c>
      <c r="I4779">
        <v>729</v>
      </c>
      <c r="J4779">
        <v>3207.6</v>
      </c>
      <c r="K4779">
        <v>4.4000000000000004</v>
      </c>
      <c r="M4779" t="s">
        <v>516</v>
      </c>
    </row>
    <row r="4780" spans="1:13" hidden="1">
      <c r="A4780" t="s">
        <v>112</v>
      </c>
      <c r="B4780" t="s">
        <v>8</v>
      </c>
      <c r="C4780" t="s">
        <v>111</v>
      </c>
      <c r="D4780" t="str">
        <f>LEFT(M4780,9)</f>
        <v>1/15/2025</v>
      </c>
      <c r="E4780" t="s">
        <v>202</v>
      </c>
      <c r="F4780" t="s">
        <v>218</v>
      </c>
      <c r="G4780" t="s">
        <v>241</v>
      </c>
      <c r="I4780">
        <v>164</v>
      </c>
      <c r="J4780">
        <v>705.2</v>
      </c>
      <c r="K4780">
        <v>4.3</v>
      </c>
      <c r="M4780" t="s">
        <v>516</v>
      </c>
    </row>
    <row r="4781" spans="1:13" hidden="1">
      <c r="A4781" t="s">
        <v>112</v>
      </c>
      <c r="B4781" t="s">
        <v>8</v>
      </c>
      <c r="C4781" t="s">
        <v>111</v>
      </c>
      <c r="D4781" t="str">
        <f>LEFT(M4781,9)</f>
        <v>1/15/2025</v>
      </c>
      <c r="E4781" t="s">
        <v>202</v>
      </c>
      <c r="F4781" t="s">
        <v>218</v>
      </c>
      <c r="G4781" t="s">
        <v>242</v>
      </c>
      <c r="I4781">
        <v>88</v>
      </c>
      <c r="J4781">
        <v>176</v>
      </c>
      <c r="K4781">
        <v>2</v>
      </c>
      <c r="M4781" t="s">
        <v>516</v>
      </c>
    </row>
    <row r="4782" spans="1:13" hidden="1">
      <c r="A4782" t="s">
        <v>112</v>
      </c>
      <c r="B4782" t="s">
        <v>8</v>
      </c>
      <c r="C4782" t="s">
        <v>111</v>
      </c>
      <c r="D4782" t="str">
        <f>LEFT(M4782,9)</f>
        <v>1/15/2025</v>
      </c>
      <c r="E4782" t="s">
        <v>202</v>
      </c>
      <c r="F4782" t="s">
        <v>218</v>
      </c>
      <c r="G4782" t="s">
        <v>247</v>
      </c>
      <c r="I4782">
        <v>24</v>
      </c>
      <c r="J4782">
        <v>88.8</v>
      </c>
      <c r="K4782">
        <v>3.7</v>
      </c>
      <c r="M4782" t="s">
        <v>516</v>
      </c>
    </row>
    <row r="4783" spans="1:13" hidden="1">
      <c r="A4783" t="s">
        <v>112</v>
      </c>
      <c r="B4783" t="s">
        <v>8</v>
      </c>
      <c r="C4783" t="s">
        <v>111</v>
      </c>
      <c r="D4783" t="str">
        <f>LEFT(M4783,9)</f>
        <v>1/15/2025</v>
      </c>
      <c r="E4783" t="s">
        <v>202</v>
      </c>
      <c r="F4783" t="s">
        <v>218</v>
      </c>
      <c r="G4783" t="s">
        <v>222</v>
      </c>
      <c r="I4783">
        <v>226</v>
      </c>
      <c r="J4783">
        <v>429.4</v>
      </c>
      <c r="K4783">
        <v>1.9</v>
      </c>
      <c r="M4783" t="s">
        <v>516</v>
      </c>
    </row>
    <row r="4784" spans="1:13" hidden="1">
      <c r="A4784" t="s">
        <v>112</v>
      </c>
      <c r="B4784" t="s">
        <v>8</v>
      </c>
      <c r="C4784" t="s">
        <v>111</v>
      </c>
      <c r="D4784" t="str">
        <f>LEFT(M4784,9)</f>
        <v>1/15/2025</v>
      </c>
      <c r="E4784" t="s">
        <v>202</v>
      </c>
      <c r="F4784" t="s">
        <v>218</v>
      </c>
      <c r="G4784" t="s">
        <v>223</v>
      </c>
      <c r="I4784">
        <v>597</v>
      </c>
      <c r="J4784">
        <v>507.45</v>
      </c>
      <c r="K4784">
        <v>0.85</v>
      </c>
      <c r="M4784" t="s">
        <v>516</v>
      </c>
    </row>
    <row r="4785" spans="1:13" hidden="1">
      <c r="A4785" t="s">
        <v>112</v>
      </c>
      <c r="B4785" t="s">
        <v>8</v>
      </c>
      <c r="C4785" t="s">
        <v>111</v>
      </c>
      <c r="D4785" t="str">
        <f>LEFT(M4785,9)</f>
        <v>1/15/2025</v>
      </c>
      <c r="E4785" t="s">
        <v>202</v>
      </c>
      <c r="F4785" t="s">
        <v>218</v>
      </c>
      <c r="G4785" t="s">
        <v>225</v>
      </c>
      <c r="I4785">
        <v>49</v>
      </c>
      <c r="J4785">
        <v>49</v>
      </c>
      <c r="K4785">
        <v>1</v>
      </c>
      <c r="M4785" t="s">
        <v>516</v>
      </c>
    </row>
    <row r="4786" spans="1:13" hidden="1">
      <c r="A4786" t="s">
        <v>112</v>
      </c>
      <c r="B4786" t="s">
        <v>8</v>
      </c>
      <c r="C4786" t="s">
        <v>111</v>
      </c>
      <c r="D4786" t="str">
        <f>LEFT(M4786,9)</f>
        <v>1/15/2025</v>
      </c>
      <c r="E4786" t="s">
        <v>202</v>
      </c>
      <c r="F4786" t="s">
        <v>218</v>
      </c>
      <c r="G4786" t="s">
        <v>222</v>
      </c>
      <c r="I4786">
        <v>362</v>
      </c>
      <c r="J4786">
        <v>506.8</v>
      </c>
      <c r="K4786">
        <v>1.4</v>
      </c>
      <c r="M4786" t="s">
        <v>516</v>
      </c>
    </row>
    <row r="4787" spans="1:13" hidden="1">
      <c r="A4787" t="s">
        <v>112</v>
      </c>
      <c r="B4787" t="s">
        <v>8</v>
      </c>
      <c r="C4787" t="s">
        <v>111</v>
      </c>
      <c r="D4787" t="str">
        <f>LEFT(M4787,9)</f>
        <v>1/15/2025</v>
      </c>
      <c r="E4787" t="s">
        <v>202</v>
      </c>
      <c r="F4787" t="s">
        <v>218</v>
      </c>
      <c r="G4787" t="s">
        <v>221</v>
      </c>
      <c r="I4787">
        <v>310</v>
      </c>
      <c r="J4787">
        <v>713</v>
      </c>
      <c r="K4787">
        <v>2.2999999999999998</v>
      </c>
      <c r="M4787" t="s">
        <v>516</v>
      </c>
    </row>
    <row r="4788" spans="1:13" hidden="1">
      <c r="A4788" t="s">
        <v>112</v>
      </c>
      <c r="B4788" t="s">
        <v>8</v>
      </c>
      <c r="C4788" t="s">
        <v>111</v>
      </c>
      <c r="D4788" t="str">
        <f>LEFT(M4788,9)</f>
        <v>1/15/2025</v>
      </c>
      <c r="E4788" t="s">
        <v>202</v>
      </c>
      <c r="F4788" t="s">
        <v>218</v>
      </c>
      <c r="G4788" t="s">
        <v>224</v>
      </c>
      <c r="I4788">
        <v>87</v>
      </c>
      <c r="J4788">
        <v>82.65</v>
      </c>
      <c r="K4788">
        <v>0.95</v>
      </c>
      <c r="M4788" t="s">
        <v>516</v>
      </c>
    </row>
    <row r="4789" spans="1:13" hidden="1">
      <c r="A4789" t="s">
        <v>112</v>
      </c>
      <c r="B4789" t="s">
        <v>8</v>
      </c>
      <c r="C4789" t="s">
        <v>111</v>
      </c>
      <c r="D4789" t="str">
        <f>LEFT(M4789,9)</f>
        <v>1/15/2025</v>
      </c>
      <c r="E4789" t="s">
        <v>202</v>
      </c>
      <c r="F4789" t="s">
        <v>218</v>
      </c>
      <c r="G4789" t="s">
        <v>223</v>
      </c>
      <c r="I4789">
        <v>167</v>
      </c>
      <c r="J4789">
        <v>127.25</v>
      </c>
      <c r="K4789">
        <v>0.76</v>
      </c>
      <c r="M4789" t="s">
        <v>516</v>
      </c>
    </row>
    <row r="4790" spans="1:13" hidden="1">
      <c r="A4790" t="s">
        <v>112</v>
      </c>
      <c r="B4790" t="s">
        <v>8</v>
      </c>
      <c r="C4790" t="s">
        <v>111</v>
      </c>
      <c r="D4790" t="str">
        <f>LEFT(M4790,9)</f>
        <v>1/15/2025</v>
      </c>
      <c r="E4790" t="s">
        <v>202</v>
      </c>
      <c r="F4790" t="s">
        <v>218</v>
      </c>
      <c r="G4790" t="s">
        <v>219</v>
      </c>
      <c r="I4790">
        <v>65</v>
      </c>
      <c r="J4790">
        <v>26</v>
      </c>
      <c r="K4790">
        <v>0.4</v>
      </c>
      <c r="M4790" t="s">
        <v>516</v>
      </c>
    </row>
    <row r="4791" spans="1:13" hidden="1">
      <c r="A4791" t="s">
        <v>112</v>
      </c>
      <c r="B4791" t="s">
        <v>8</v>
      </c>
      <c r="C4791" t="s">
        <v>111</v>
      </c>
      <c r="D4791" t="str">
        <f>LEFT(M4791,9)</f>
        <v>1/15/2025</v>
      </c>
      <c r="E4791" t="s">
        <v>202</v>
      </c>
      <c r="F4791" t="s">
        <v>218</v>
      </c>
      <c r="G4791" t="s">
        <v>220</v>
      </c>
      <c r="I4791">
        <v>324</v>
      </c>
      <c r="J4791">
        <v>421.2</v>
      </c>
      <c r="K4791">
        <v>1.3</v>
      </c>
      <c r="M4791" t="s">
        <v>516</v>
      </c>
    </row>
    <row r="4792" spans="1:13" hidden="1">
      <c r="A4792" t="s">
        <v>112</v>
      </c>
      <c r="B4792" t="s">
        <v>8</v>
      </c>
      <c r="C4792" t="s">
        <v>111</v>
      </c>
      <c r="D4792" t="str">
        <f>LEFT(M4792,9)</f>
        <v>1/15/2025</v>
      </c>
      <c r="E4792" t="s">
        <v>202</v>
      </c>
      <c r="F4792" t="s">
        <v>218</v>
      </c>
      <c r="G4792" t="s">
        <v>239</v>
      </c>
      <c r="I4792">
        <v>130</v>
      </c>
      <c r="J4792">
        <v>26</v>
      </c>
      <c r="K4792">
        <v>0.2</v>
      </c>
      <c r="M4792" t="s">
        <v>516</v>
      </c>
    </row>
    <row r="4793" spans="1:13" hidden="1">
      <c r="A4793" t="s">
        <v>112</v>
      </c>
      <c r="B4793" t="s">
        <v>8</v>
      </c>
      <c r="C4793" t="s">
        <v>111</v>
      </c>
      <c r="D4793" t="str">
        <f>LEFT(M4793,9)</f>
        <v>1/15/2025</v>
      </c>
      <c r="E4793" t="s">
        <v>202</v>
      </c>
      <c r="F4793" t="s">
        <v>218</v>
      </c>
      <c r="G4793" t="s">
        <v>245</v>
      </c>
      <c r="I4793">
        <v>134</v>
      </c>
      <c r="J4793">
        <v>13.4</v>
      </c>
      <c r="K4793">
        <v>0.1</v>
      </c>
      <c r="M4793" t="s">
        <v>516</v>
      </c>
    </row>
    <row r="4794" spans="1:13" hidden="1">
      <c r="A4794" t="s">
        <v>112</v>
      </c>
      <c r="B4794" t="s">
        <v>8</v>
      </c>
      <c r="C4794" t="s">
        <v>111</v>
      </c>
      <c r="D4794" t="str">
        <f>LEFT(M4794,9)</f>
        <v>1/15/2025</v>
      </c>
      <c r="E4794" t="s">
        <v>202</v>
      </c>
      <c r="F4794" t="s">
        <v>218</v>
      </c>
      <c r="G4794" t="s">
        <v>226</v>
      </c>
      <c r="I4794">
        <v>421</v>
      </c>
      <c r="J4794">
        <v>126.3</v>
      </c>
      <c r="K4794">
        <v>0.3</v>
      </c>
      <c r="M4794" t="s">
        <v>516</v>
      </c>
    </row>
    <row r="4795" spans="1:13" hidden="1">
      <c r="A4795" t="s">
        <v>112</v>
      </c>
      <c r="B4795" t="s">
        <v>8</v>
      </c>
      <c r="C4795" t="s">
        <v>111</v>
      </c>
      <c r="D4795" t="str">
        <f>LEFT(M4795,9)</f>
        <v>1/15/2025</v>
      </c>
      <c r="E4795" t="s">
        <v>202</v>
      </c>
      <c r="F4795" t="s">
        <v>227</v>
      </c>
      <c r="G4795" t="s">
        <v>238</v>
      </c>
      <c r="I4795">
        <v>309</v>
      </c>
      <c r="J4795">
        <v>92.7</v>
      </c>
      <c r="K4795">
        <v>0.3</v>
      </c>
      <c r="M4795" t="s">
        <v>516</v>
      </c>
    </row>
    <row r="4796" spans="1:13" hidden="1">
      <c r="A4796" t="s">
        <v>112</v>
      </c>
      <c r="B4796" t="s">
        <v>8</v>
      </c>
      <c r="C4796" t="s">
        <v>111</v>
      </c>
      <c r="D4796" t="str">
        <f>LEFT(M4796,9)</f>
        <v>1/15/2025</v>
      </c>
      <c r="E4796" t="s">
        <v>202</v>
      </c>
      <c r="F4796" t="s">
        <v>227</v>
      </c>
      <c r="G4796" t="s">
        <v>229</v>
      </c>
      <c r="I4796">
        <v>2787</v>
      </c>
      <c r="J4796">
        <v>2090.25</v>
      </c>
      <c r="K4796">
        <v>0.75</v>
      </c>
      <c r="M4796" t="s">
        <v>516</v>
      </c>
    </row>
    <row r="4797" spans="1:13" hidden="1">
      <c r="A4797" t="s">
        <v>112</v>
      </c>
      <c r="B4797" t="s">
        <v>8</v>
      </c>
      <c r="C4797" t="s">
        <v>111</v>
      </c>
      <c r="D4797" t="str">
        <f>LEFT(M4797,9)</f>
        <v>1/15/2025</v>
      </c>
      <c r="E4797" t="s">
        <v>202</v>
      </c>
      <c r="F4797" t="s">
        <v>227</v>
      </c>
      <c r="G4797" t="s">
        <v>228</v>
      </c>
      <c r="I4797">
        <v>1094</v>
      </c>
      <c r="J4797">
        <v>328.2</v>
      </c>
      <c r="K4797">
        <v>0.3</v>
      </c>
      <c r="M4797" t="s">
        <v>516</v>
      </c>
    </row>
    <row r="4798" spans="1:13" hidden="1">
      <c r="A4798" t="s">
        <v>112</v>
      </c>
      <c r="B4798" t="s">
        <v>8</v>
      </c>
      <c r="C4798" t="s">
        <v>111</v>
      </c>
      <c r="D4798" t="str">
        <f>LEFT(M4798,9)</f>
        <v>1/15/2025</v>
      </c>
      <c r="E4798" t="s">
        <v>202</v>
      </c>
      <c r="F4798" t="s">
        <v>227</v>
      </c>
      <c r="G4798" t="s">
        <v>237</v>
      </c>
      <c r="I4798">
        <v>748</v>
      </c>
      <c r="J4798">
        <v>523.6</v>
      </c>
      <c r="K4798">
        <v>0.7</v>
      </c>
      <c r="M4798" t="s">
        <v>516</v>
      </c>
    </row>
    <row r="4799" spans="1:13" hidden="1">
      <c r="A4799" t="s">
        <v>112</v>
      </c>
      <c r="B4799" t="s">
        <v>8</v>
      </c>
      <c r="C4799" t="s">
        <v>111</v>
      </c>
      <c r="D4799" t="str">
        <f>LEFT(M4799,9)</f>
        <v>1/15/2025</v>
      </c>
      <c r="E4799" t="s">
        <v>202</v>
      </c>
      <c r="F4799" t="s">
        <v>227</v>
      </c>
      <c r="G4799" t="s">
        <v>252</v>
      </c>
      <c r="I4799">
        <v>305</v>
      </c>
      <c r="J4799">
        <v>89.5</v>
      </c>
      <c r="K4799">
        <v>0.3</v>
      </c>
      <c r="M4799" t="s">
        <v>516</v>
      </c>
    </row>
    <row r="4800" spans="1:13" hidden="1">
      <c r="A4800" t="s">
        <v>112</v>
      </c>
      <c r="B4800" t="s">
        <v>8</v>
      </c>
      <c r="C4800" t="s">
        <v>111</v>
      </c>
      <c r="D4800" t="str">
        <f>LEFT(M4800,9)</f>
        <v>1/15/2025</v>
      </c>
      <c r="E4800" t="s">
        <v>202</v>
      </c>
      <c r="F4800" t="s">
        <v>203</v>
      </c>
      <c r="G4800" t="s">
        <v>236</v>
      </c>
      <c r="I4800">
        <v>1390</v>
      </c>
      <c r="J4800">
        <v>764.5</v>
      </c>
      <c r="K4800">
        <v>0.55000000000000004</v>
      </c>
      <c r="M4800" t="s">
        <v>516</v>
      </c>
    </row>
    <row r="4801" spans="1:13" hidden="1">
      <c r="A4801" t="s">
        <v>112</v>
      </c>
      <c r="B4801" t="s">
        <v>8</v>
      </c>
      <c r="C4801" t="s">
        <v>111</v>
      </c>
      <c r="D4801" t="str">
        <f>LEFT(M4801,9)</f>
        <v>1/15/2025</v>
      </c>
      <c r="E4801" t="s">
        <v>202</v>
      </c>
      <c r="F4801" t="s">
        <v>203</v>
      </c>
      <c r="G4801" t="s">
        <v>204</v>
      </c>
      <c r="I4801">
        <v>83.5</v>
      </c>
      <c r="J4801">
        <v>709.75</v>
      </c>
      <c r="K4801">
        <v>8.5</v>
      </c>
      <c r="M4801" t="s">
        <v>516</v>
      </c>
    </row>
    <row r="4802" spans="1:13" hidden="1">
      <c r="A4802" t="s">
        <v>112</v>
      </c>
      <c r="B4802" t="s">
        <v>8</v>
      </c>
      <c r="C4802" t="s">
        <v>111</v>
      </c>
      <c r="D4802" t="str">
        <f>LEFT(M4802,9)</f>
        <v>1/15/2025</v>
      </c>
      <c r="E4802" t="s">
        <v>202</v>
      </c>
      <c r="F4802" t="s">
        <v>203</v>
      </c>
      <c r="G4802" t="s">
        <v>207</v>
      </c>
      <c r="I4802">
        <v>9</v>
      </c>
      <c r="J4802">
        <v>45</v>
      </c>
      <c r="K4802">
        <v>5</v>
      </c>
      <c r="M4802" t="s">
        <v>516</v>
      </c>
    </row>
    <row r="4803" spans="1:13" hidden="1">
      <c r="A4803" t="s">
        <v>112</v>
      </c>
      <c r="B4803" t="s">
        <v>8</v>
      </c>
      <c r="C4803" t="s">
        <v>111</v>
      </c>
      <c r="D4803" t="str">
        <f>LEFT(M4803,9)</f>
        <v>1/15/2025</v>
      </c>
      <c r="E4803" t="s">
        <v>202</v>
      </c>
      <c r="F4803" t="s">
        <v>203</v>
      </c>
      <c r="G4803" t="s">
        <v>259</v>
      </c>
      <c r="I4803">
        <v>12</v>
      </c>
      <c r="J4803">
        <v>48</v>
      </c>
      <c r="K4803">
        <v>4</v>
      </c>
      <c r="M4803" t="s">
        <v>516</v>
      </c>
    </row>
    <row r="4804" spans="1:13" hidden="1">
      <c r="A4804" t="s">
        <v>112</v>
      </c>
      <c r="B4804" t="s">
        <v>8</v>
      </c>
      <c r="C4804" t="s">
        <v>111</v>
      </c>
      <c r="D4804" t="str">
        <f>LEFT(M4804,9)</f>
        <v>1/15/2025</v>
      </c>
      <c r="E4804" t="s">
        <v>202</v>
      </c>
      <c r="F4804" t="s">
        <v>203</v>
      </c>
      <c r="G4804" t="s">
        <v>259</v>
      </c>
      <c r="I4804">
        <v>14</v>
      </c>
      <c r="J4804">
        <v>280</v>
      </c>
      <c r="K4804">
        <v>20</v>
      </c>
      <c r="M4804" t="s">
        <v>516</v>
      </c>
    </row>
    <row r="4805" spans="1:13" hidden="1">
      <c r="A4805" t="s">
        <v>112</v>
      </c>
      <c r="B4805" t="s">
        <v>8</v>
      </c>
      <c r="C4805" t="s">
        <v>111</v>
      </c>
      <c r="D4805" t="str">
        <f>LEFT(M4805,9)</f>
        <v>1/15/2025</v>
      </c>
      <c r="E4805" t="s">
        <v>202</v>
      </c>
      <c r="F4805" t="s">
        <v>209</v>
      </c>
      <c r="G4805" t="s">
        <v>310</v>
      </c>
      <c r="I4805">
        <v>2</v>
      </c>
      <c r="J4805">
        <v>15</v>
      </c>
      <c r="K4805">
        <v>7.5</v>
      </c>
      <c r="M4805" t="s">
        <v>516</v>
      </c>
    </row>
    <row r="4806" spans="1:13" hidden="1">
      <c r="A4806" t="s">
        <v>112</v>
      </c>
      <c r="B4806" t="s">
        <v>8</v>
      </c>
      <c r="C4806" t="s">
        <v>111</v>
      </c>
      <c r="D4806" t="str">
        <f>LEFT(M4806,9)</f>
        <v>1/15/2025</v>
      </c>
      <c r="E4806" t="s">
        <v>202</v>
      </c>
      <c r="F4806" t="s">
        <v>209</v>
      </c>
      <c r="G4806" t="s">
        <v>210</v>
      </c>
      <c r="I4806">
        <v>5.5</v>
      </c>
      <c r="J4806">
        <v>16.5</v>
      </c>
      <c r="K4806">
        <v>3</v>
      </c>
      <c r="M4806" t="s">
        <v>516</v>
      </c>
    </row>
    <row r="4807" spans="1:13" hidden="1">
      <c r="A4807" t="s">
        <v>112</v>
      </c>
      <c r="B4807" t="s">
        <v>8</v>
      </c>
      <c r="C4807" t="s">
        <v>111</v>
      </c>
      <c r="D4807" t="str">
        <f>LEFT(M4807,9)</f>
        <v>1/15/2025</v>
      </c>
      <c r="E4807" t="s">
        <v>202</v>
      </c>
      <c r="F4807" t="s">
        <v>203</v>
      </c>
      <c r="G4807" t="s">
        <v>259</v>
      </c>
      <c r="I4807">
        <v>23</v>
      </c>
      <c r="J4807">
        <v>34.5</v>
      </c>
      <c r="K4807">
        <v>1.5</v>
      </c>
      <c r="M4807" t="s">
        <v>516</v>
      </c>
    </row>
    <row r="4808" spans="1:13" hidden="1">
      <c r="A4808" t="s">
        <v>112</v>
      </c>
      <c r="B4808" t="s">
        <v>8</v>
      </c>
      <c r="C4808" t="s">
        <v>111</v>
      </c>
      <c r="D4808" t="str">
        <f>LEFT(M4808,9)</f>
        <v>1/15/2025</v>
      </c>
      <c r="E4808" t="s">
        <v>202</v>
      </c>
      <c r="F4808" t="s">
        <v>203</v>
      </c>
      <c r="G4808" t="s">
        <v>260</v>
      </c>
      <c r="I4808">
        <v>9.5</v>
      </c>
      <c r="J4808">
        <v>332.5</v>
      </c>
      <c r="K4808">
        <v>35</v>
      </c>
      <c r="M4808" t="s">
        <v>516</v>
      </c>
    </row>
    <row r="4809" spans="1:13" hidden="1">
      <c r="A4809" t="s">
        <v>112</v>
      </c>
      <c r="B4809" t="s">
        <v>8</v>
      </c>
      <c r="C4809" t="s">
        <v>111</v>
      </c>
      <c r="D4809" t="str">
        <f>LEFT(M4809,9)</f>
        <v>1/15/2025</v>
      </c>
      <c r="E4809" t="s">
        <v>202</v>
      </c>
      <c r="F4809" t="s">
        <v>203</v>
      </c>
      <c r="G4809" t="s">
        <v>206</v>
      </c>
      <c r="I4809">
        <v>5</v>
      </c>
      <c r="J4809">
        <v>5</v>
      </c>
      <c r="K4809">
        <v>1</v>
      </c>
      <c r="M4809" t="s">
        <v>516</v>
      </c>
    </row>
    <row r="4810" spans="1:13" hidden="1">
      <c r="A4810" t="s">
        <v>112</v>
      </c>
      <c r="B4810" t="s">
        <v>8</v>
      </c>
      <c r="C4810" t="s">
        <v>111</v>
      </c>
      <c r="D4810" t="str">
        <f>LEFT(M4810,9)</f>
        <v>1/15/2025</v>
      </c>
      <c r="E4810" t="s">
        <v>202</v>
      </c>
      <c r="F4810" t="s">
        <v>203</v>
      </c>
      <c r="G4810" t="s">
        <v>208</v>
      </c>
      <c r="I4810">
        <v>20</v>
      </c>
      <c r="J4810">
        <v>170</v>
      </c>
      <c r="K4810">
        <v>8.5</v>
      </c>
      <c r="M4810" t="s">
        <v>516</v>
      </c>
    </row>
    <row r="4811" spans="1:13" hidden="1">
      <c r="A4811" t="s">
        <v>112</v>
      </c>
      <c r="B4811" t="s">
        <v>8</v>
      </c>
      <c r="C4811" t="s">
        <v>111</v>
      </c>
      <c r="D4811" t="str">
        <f>LEFT(M4811,9)</f>
        <v>1/15/2025</v>
      </c>
      <c r="E4811" t="s">
        <v>202</v>
      </c>
      <c r="F4811" t="s">
        <v>209</v>
      </c>
      <c r="G4811" t="s">
        <v>310</v>
      </c>
      <c r="I4811">
        <v>1</v>
      </c>
      <c r="J4811">
        <v>15</v>
      </c>
      <c r="K4811">
        <v>15</v>
      </c>
      <c r="M4811" t="s">
        <v>516</v>
      </c>
    </row>
    <row r="4812" spans="1:13" hidden="1">
      <c r="A4812" t="s">
        <v>112</v>
      </c>
      <c r="B4812" t="s">
        <v>8</v>
      </c>
      <c r="C4812" t="s">
        <v>111</v>
      </c>
      <c r="D4812" t="str">
        <f>LEFT(M4812,9)</f>
        <v>1/15/2025</v>
      </c>
      <c r="E4812" t="s">
        <v>234</v>
      </c>
      <c r="F4812" t="s">
        <v>234</v>
      </c>
      <c r="G4812" t="s">
        <v>249</v>
      </c>
      <c r="I4812">
        <v>1600</v>
      </c>
      <c r="M4812" t="s">
        <v>516</v>
      </c>
    </row>
    <row r="4813" spans="1:13" hidden="1">
      <c r="A4813" t="s">
        <v>112</v>
      </c>
      <c r="B4813" t="s">
        <v>8</v>
      </c>
      <c r="C4813" t="s">
        <v>111</v>
      </c>
      <c r="D4813" t="str">
        <f>LEFT(M4813,9)</f>
        <v>1/15/2025</v>
      </c>
      <c r="E4813" t="s">
        <v>232</v>
      </c>
      <c r="F4813" t="s">
        <v>233</v>
      </c>
      <c r="G4813" t="s">
        <v>249</v>
      </c>
      <c r="I4813">
        <v>0</v>
      </c>
      <c r="J4813">
        <v>1165.5</v>
      </c>
      <c r="M4813" t="s">
        <v>516</v>
      </c>
    </row>
    <row r="4814" spans="1:13" hidden="1">
      <c r="A4814" t="s">
        <v>112</v>
      </c>
      <c r="B4814" t="s">
        <v>8</v>
      </c>
      <c r="C4814" t="s">
        <v>111</v>
      </c>
      <c r="D4814" t="str">
        <f>LEFT(M4814,9)</f>
        <v>1/15/2025</v>
      </c>
      <c r="E4814" t="s">
        <v>232</v>
      </c>
      <c r="F4814" t="s">
        <v>250</v>
      </c>
      <c r="G4814" t="s">
        <v>249</v>
      </c>
      <c r="I4814">
        <v>0</v>
      </c>
      <c r="J4814">
        <v>830</v>
      </c>
      <c r="M4814" t="s">
        <v>516</v>
      </c>
    </row>
    <row r="4815" spans="1:13" hidden="1">
      <c r="A4815" t="s">
        <v>112</v>
      </c>
      <c r="B4815" t="s">
        <v>8</v>
      </c>
      <c r="C4815" t="s">
        <v>111</v>
      </c>
      <c r="D4815" t="str">
        <f>LEFT(M4815,9)</f>
        <v>1/15/2025</v>
      </c>
      <c r="E4815" t="s">
        <v>232</v>
      </c>
      <c r="F4815" t="s">
        <v>291</v>
      </c>
      <c r="G4815" t="s">
        <v>249</v>
      </c>
      <c r="I4815">
        <v>0</v>
      </c>
      <c r="J4815">
        <v>260</v>
      </c>
      <c r="M4815" t="s">
        <v>516</v>
      </c>
    </row>
    <row r="4816" spans="1:13" hidden="1">
      <c r="A4816" t="s">
        <v>112</v>
      </c>
      <c r="B4816" t="s">
        <v>8</v>
      </c>
      <c r="C4816" t="s">
        <v>111</v>
      </c>
      <c r="D4816" t="str">
        <f>LEFT(M4816,9)</f>
        <v>1/15/2025</v>
      </c>
      <c r="E4816" t="s">
        <v>232</v>
      </c>
      <c r="F4816" t="s">
        <v>287</v>
      </c>
      <c r="G4816" t="s">
        <v>249</v>
      </c>
      <c r="I4816">
        <v>0</v>
      </c>
      <c r="J4816">
        <v>306</v>
      </c>
      <c r="M4816" t="s">
        <v>516</v>
      </c>
    </row>
    <row r="4817" spans="1:13" hidden="1">
      <c r="A4817" t="s">
        <v>112</v>
      </c>
      <c r="B4817" t="s">
        <v>8</v>
      </c>
      <c r="C4817" t="s">
        <v>111</v>
      </c>
      <c r="D4817" t="str">
        <f>LEFT(M4817,9)</f>
        <v>1/15/2025</v>
      </c>
      <c r="E4817" t="s">
        <v>232</v>
      </c>
      <c r="F4817" t="s">
        <v>276</v>
      </c>
      <c r="G4817" t="s">
        <v>249</v>
      </c>
      <c r="I4817">
        <v>0</v>
      </c>
      <c r="J4817">
        <v>192</v>
      </c>
      <c r="M4817" t="s">
        <v>516</v>
      </c>
    </row>
    <row r="4818" spans="1:13" hidden="1">
      <c r="A4818" t="s">
        <v>112</v>
      </c>
      <c r="B4818" t="s">
        <v>8</v>
      </c>
      <c r="C4818" t="s">
        <v>111</v>
      </c>
      <c r="D4818" t="str">
        <f>LEFT(M4818,9)</f>
        <v>1/15/2025</v>
      </c>
      <c r="E4818" t="s">
        <v>230</v>
      </c>
      <c r="F4818" t="s">
        <v>248</v>
      </c>
      <c r="G4818" t="s">
        <v>249</v>
      </c>
      <c r="I4818">
        <v>0</v>
      </c>
      <c r="J4818">
        <v>13095.26</v>
      </c>
      <c r="M4818" t="s">
        <v>516</v>
      </c>
    </row>
    <row r="4819" spans="1:13" hidden="1">
      <c r="A4819" t="s">
        <v>51</v>
      </c>
      <c r="B4819" t="s">
        <v>52</v>
      </c>
      <c r="C4819" t="s">
        <v>19</v>
      </c>
      <c r="D4819" t="str">
        <f>LEFT(M4819,9)</f>
        <v>1/15/2025</v>
      </c>
      <c r="E4819" t="s">
        <v>202</v>
      </c>
      <c r="F4819" t="s">
        <v>227</v>
      </c>
      <c r="G4819" t="s">
        <v>229</v>
      </c>
      <c r="I4819">
        <v>15550</v>
      </c>
      <c r="J4819">
        <v>9330.16</v>
      </c>
      <c r="K4819">
        <v>0.6</v>
      </c>
      <c r="M4819" t="s">
        <v>516</v>
      </c>
    </row>
    <row r="4820" spans="1:13" hidden="1">
      <c r="A4820" t="s">
        <v>51</v>
      </c>
      <c r="B4820" t="s">
        <v>52</v>
      </c>
      <c r="C4820" t="s">
        <v>19</v>
      </c>
      <c r="D4820" t="str">
        <f>LEFT(M4820,9)</f>
        <v>1/15/2025</v>
      </c>
      <c r="E4820" t="s">
        <v>202</v>
      </c>
      <c r="F4820" t="s">
        <v>227</v>
      </c>
      <c r="G4820" t="s">
        <v>237</v>
      </c>
      <c r="I4820">
        <v>2800</v>
      </c>
      <c r="J4820">
        <v>1965.63</v>
      </c>
      <c r="K4820">
        <v>0.7</v>
      </c>
      <c r="M4820" t="s">
        <v>516</v>
      </c>
    </row>
    <row r="4821" spans="1:13" hidden="1">
      <c r="A4821" t="s">
        <v>51</v>
      </c>
      <c r="B4821" t="s">
        <v>52</v>
      </c>
      <c r="C4821" t="s">
        <v>19</v>
      </c>
      <c r="D4821" t="str">
        <f>LEFT(M4821,9)</f>
        <v>1/15/2025</v>
      </c>
      <c r="E4821" t="s">
        <v>202</v>
      </c>
      <c r="F4821" t="s">
        <v>227</v>
      </c>
      <c r="G4821" t="s">
        <v>228</v>
      </c>
      <c r="I4821">
        <v>2830</v>
      </c>
      <c r="J4821">
        <v>1262.5</v>
      </c>
      <c r="K4821">
        <v>0.45</v>
      </c>
      <c r="M4821" t="s">
        <v>516</v>
      </c>
    </row>
    <row r="4822" spans="1:13" hidden="1">
      <c r="A4822" t="s">
        <v>51</v>
      </c>
      <c r="B4822" t="s">
        <v>52</v>
      </c>
      <c r="C4822" t="s">
        <v>19</v>
      </c>
      <c r="D4822" t="str">
        <f>LEFT(M4822,9)</f>
        <v>1/15/2025</v>
      </c>
      <c r="E4822" t="s">
        <v>202</v>
      </c>
      <c r="F4822" t="s">
        <v>227</v>
      </c>
      <c r="G4822" t="s">
        <v>252</v>
      </c>
      <c r="I4822">
        <v>330</v>
      </c>
      <c r="J4822">
        <v>132.62</v>
      </c>
      <c r="K4822">
        <v>0.4</v>
      </c>
      <c r="M4822" t="s">
        <v>516</v>
      </c>
    </row>
    <row r="4823" spans="1:13" hidden="1">
      <c r="A4823" t="s">
        <v>51</v>
      </c>
      <c r="B4823" t="s">
        <v>52</v>
      </c>
      <c r="C4823" t="s">
        <v>19</v>
      </c>
      <c r="D4823" t="str">
        <f>LEFT(M4823,9)</f>
        <v>1/15/2025</v>
      </c>
      <c r="E4823" t="s">
        <v>202</v>
      </c>
      <c r="F4823" t="s">
        <v>218</v>
      </c>
      <c r="G4823" t="s">
        <v>240</v>
      </c>
      <c r="I4823">
        <v>2137</v>
      </c>
      <c r="J4823">
        <v>9616.5</v>
      </c>
      <c r="K4823">
        <v>4.5</v>
      </c>
      <c r="M4823" t="s">
        <v>516</v>
      </c>
    </row>
    <row r="4824" spans="1:13" hidden="1">
      <c r="A4824" t="s">
        <v>51</v>
      </c>
      <c r="B4824" t="s">
        <v>52</v>
      </c>
      <c r="C4824" t="s">
        <v>19</v>
      </c>
      <c r="D4824" t="str">
        <f>LEFT(M4824,9)</f>
        <v>1/15/2025</v>
      </c>
      <c r="E4824" t="s">
        <v>202</v>
      </c>
      <c r="F4824" t="s">
        <v>218</v>
      </c>
      <c r="G4824" t="s">
        <v>221</v>
      </c>
      <c r="I4824">
        <v>1531</v>
      </c>
      <c r="J4824">
        <v>3521.3</v>
      </c>
      <c r="K4824">
        <v>2.2999999999999998</v>
      </c>
      <c r="M4824" t="s">
        <v>516</v>
      </c>
    </row>
    <row r="4825" spans="1:13" hidden="1">
      <c r="A4825" t="s">
        <v>51</v>
      </c>
      <c r="B4825" t="s">
        <v>52</v>
      </c>
      <c r="C4825" t="s">
        <v>19</v>
      </c>
      <c r="D4825" t="str">
        <f>LEFT(M4825,9)</f>
        <v>1/15/2025</v>
      </c>
      <c r="E4825" t="s">
        <v>202</v>
      </c>
      <c r="F4825" t="s">
        <v>218</v>
      </c>
      <c r="G4825" t="s">
        <v>224</v>
      </c>
      <c r="I4825">
        <v>276</v>
      </c>
      <c r="J4825">
        <v>262.2</v>
      </c>
      <c r="K4825">
        <v>0.95</v>
      </c>
      <c r="M4825" t="s">
        <v>516</v>
      </c>
    </row>
    <row r="4826" spans="1:13" hidden="1">
      <c r="A4826" t="s">
        <v>51</v>
      </c>
      <c r="B4826" t="s">
        <v>52</v>
      </c>
      <c r="C4826" t="s">
        <v>19</v>
      </c>
      <c r="D4826" t="str">
        <f>LEFT(M4826,9)</f>
        <v>1/15/2025</v>
      </c>
      <c r="E4826" t="s">
        <v>202</v>
      </c>
      <c r="F4826" t="s">
        <v>218</v>
      </c>
      <c r="G4826" t="s">
        <v>241</v>
      </c>
      <c r="I4826">
        <v>537</v>
      </c>
      <c r="J4826">
        <v>2362.8000000000002</v>
      </c>
      <c r="K4826">
        <v>4.4000000000000004</v>
      </c>
      <c r="M4826" t="s">
        <v>516</v>
      </c>
    </row>
    <row r="4827" spans="1:13" hidden="1">
      <c r="A4827" t="s">
        <v>51</v>
      </c>
      <c r="B4827" t="s">
        <v>52</v>
      </c>
      <c r="C4827" t="s">
        <v>19</v>
      </c>
      <c r="D4827" t="str">
        <f>LEFT(M4827,9)</f>
        <v>1/15/2025</v>
      </c>
      <c r="E4827" t="s">
        <v>202</v>
      </c>
      <c r="F4827" t="s">
        <v>218</v>
      </c>
      <c r="G4827" t="s">
        <v>222</v>
      </c>
      <c r="I4827">
        <v>708</v>
      </c>
      <c r="J4827">
        <v>1200.33</v>
      </c>
      <c r="K4827">
        <v>1.7</v>
      </c>
      <c r="M4827" t="s">
        <v>516</v>
      </c>
    </row>
    <row r="4828" spans="1:13" hidden="1">
      <c r="A4828" t="s">
        <v>51</v>
      </c>
      <c r="B4828" t="s">
        <v>52</v>
      </c>
      <c r="C4828" t="s">
        <v>19</v>
      </c>
      <c r="D4828" t="str">
        <f>LEFT(M4828,9)</f>
        <v>1/15/2025</v>
      </c>
      <c r="E4828" t="s">
        <v>202</v>
      </c>
      <c r="F4828" t="s">
        <v>218</v>
      </c>
      <c r="G4828" t="s">
        <v>222</v>
      </c>
      <c r="I4828">
        <v>662</v>
      </c>
      <c r="J4828">
        <v>1059.2</v>
      </c>
      <c r="K4828">
        <v>1.6</v>
      </c>
      <c r="M4828" t="s">
        <v>516</v>
      </c>
    </row>
    <row r="4829" spans="1:13" hidden="1">
      <c r="A4829" t="s">
        <v>51</v>
      </c>
      <c r="B4829" t="s">
        <v>52</v>
      </c>
      <c r="C4829" t="s">
        <v>19</v>
      </c>
      <c r="D4829" t="str">
        <f>LEFT(M4829,9)</f>
        <v>1/15/2025</v>
      </c>
      <c r="E4829" t="s">
        <v>202</v>
      </c>
      <c r="F4829" t="s">
        <v>218</v>
      </c>
      <c r="G4829" t="s">
        <v>242</v>
      </c>
      <c r="I4829">
        <v>215</v>
      </c>
      <c r="J4829">
        <v>430</v>
      </c>
      <c r="K4829">
        <v>2</v>
      </c>
      <c r="M4829" t="s">
        <v>516</v>
      </c>
    </row>
    <row r="4830" spans="1:13" hidden="1">
      <c r="A4830" t="s">
        <v>51</v>
      </c>
      <c r="B4830" t="s">
        <v>52</v>
      </c>
      <c r="C4830" t="s">
        <v>19</v>
      </c>
      <c r="D4830" t="str">
        <f>LEFT(M4830,9)</f>
        <v>1/15/2025</v>
      </c>
      <c r="E4830" t="s">
        <v>202</v>
      </c>
      <c r="F4830" t="s">
        <v>218</v>
      </c>
      <c r="G4830" t="s">
        <v>220</v>
      </c>
      <c r="I4830">
        <v>635</v>
      </c>
      <c r="J4830">
        <v>825.5</v>
      </c>
      <c r="K4830">
        <v>1.3</v>
      </c>
      <c r="M4830" t="s">
        <v>516</v>
      </c>
    </row>
    <row r="4831" spans="1:13" hidden="1">
      <c r="A4831" t="s">
        <v>51</v>
      </c>
      <c r="B4831" t="s">
        <v>52</v>
      </c>
      <c r="C4831" t="s">
        <v>19</v>
      </c>
      <c r="D4831" t="str">
        <f>LEFT(M4831,9)</f>
        <v>1/15/2025</v>
      </c>
      <c r="E4831" t="s">
        <v>202</v>
      </c>
      <c r="F4831" t="s">
        <v>218</v>
      </c>
      <c r="G4831" t="s">
        <v>247</v>
      </c>
      <c r="I4831">
        <v>54</v>
      </c>
      <c r="J4831">
        <v>199.8</v>
      </c>
      <c r="K4831">
        <v>3.7</v>
      </c>
      <c r="M4831" t="s">
        <v>516</v>
      </c>
    </row>
    <row r="4832" spans="1:13" hidden="1">
      <c r="A4832" t="s">
        <v>51</v>
      </c>
      <c r="B4832" t="s">
        <v>52</v>
      </c>
      <c r="C4832" t="s">
        <v>19</v>
      </c>
      <c r="D4832" t="str">
        <f>LEFT(M4832,9)</f>
        <v>1/15/2025</v>
      </c>
      <c r="E4832" t="s">
        <v>202</v>
      </c>
      <c r="F4832" t="s">
        <v>218</v>
      </c>
      <c r="G4832" t="s">
        <v>223</v>
      </c>
      <c r="I4832">
        <v>488</v>
      </c>
      <c r="J4832">
        <v>317.2</v>
      </c>
      <c r="K4832">
        <v>0.65</v>
      </c>
      <c r="M4832" t="s">
        <v>516</v>
      </c>
    </row>
    <row r="4833" spans="1:13" hidden="1">
      <c r="A4833" t="s">
        <v>51</v>
      </c>
      <c r="B4833" t="s">
        <v>52</v>
      </c>
      <c r="C4833" t="s">
        <v>19</v>
      </c>
      <c r="D4833" t="str">
        <f>LEFT(M4833,9)</f>
        <v>1/15/2025</v>
      </c>
      <c r="E4833" t="s">
        <v>202</v>
      </c>
      <c r="F4833" t="s">
        <v>218</v>
      </c>
      <c r="G4833" t="s">
        <v>223</v>
      </c>
      <c r="I4833">
        <v>965</v>
      </c>
      <c r="J4833">
        <v>723.75</v>
      </c>
      <c r="K4833">
        <v>0.75</v>
      </c>
      <c r="M4833" t="s">
        <v>516</v>
      </c>
    </row>
    <row r="4834" spans="1:13" hidden="1">
      <c r="A4834" t="s">
        <v>51</v>
      </c>
      <c r="B4834" t="s">
        <v>52</v>
      </c>
      <c r="C4834" t="s">
        <v>19</v>
      </c>
      <c r="D4834" t="str">
        <f>LEFT(M4834,9)</f>
        <v>1/15/2025</v>
      </c>
      <c r="E4834" t="s">
        <v>202</v>
      </c>
      <c r="F4834" t="s">
        <v>218</v>
      </c>
      <c r="G4834" t="s">
        <v>222</v>
      </c>
      <c r="I4834">
        <v>472</v>
      </c>
      <c r="J4834">
        <v>613.6</v>
      </c>
      <c r="K4834">
        <v>1.3</v>
      </c>
      <c r="M4834" t="s">
        <v>516</v>
      </c>
    </row>
    <row r="4835" spans="1:13" hidden="1">
      <c r="A4835" t="s">
        <v>51</v>
      </c>
      <c r="B4835" t="s">
        <v>52</v>
      </c>
      <c r="C4835" t="s">
        <v>19</v>
      </c>
      <c r="D4835" t="str">
        <f>LEFT(M4835,9)</f>
        <v>1/15/2025</v>
      </c>
      <c r="E4835" t="s">
        <v>202</v>
      </c>
      <c r="F4835" t="s">
        <v>203</v>
      </c>
      <c r="G4835" t="s">
        <v>208</v>
      </c>
      <c r="I4835">
        <v>123</v>
      </c>
      <c r="J4835">
        <v>1230.25</v>
      </c>
      <c r="K4835">
        <v>10</v>
      </c>
      <c r="M4835" t="s">
        <v>516</v>
      </c>
    </row>
    <row r="4836" spans="1:13" hidden="1">
      <c r="A4836" t="s">
        <v>51</v>
      </c>
      <c r="B4836" t="s">
        <v>52</v>
      </c>
      <c r="C4836" t="s">
        <v>19</v>
      </c>
      <c r="D4836" t="str">
        <f>LEFT(M4836,9)</f>
        <v>1/15/2025</v>
      </c>
      <c r="E4836" t="s">
        <v>202</v>
      </c>
      <c r="F4836" t="s">
        <v>203</v>
      </c>
      <c r="G4836" t="s">
        <v>207</v>
      </c>
      <c r="I4836">
        <v>109.6</v>
      </c>
      <c r="J4836">
        <v>767.38</v>
      </c>
      <c r="K4836">
        <v>7</v>
      </c>
      <c r="M4836" t="s">
        <v>516</v>
      </c>
    </row>
    <row r="4837" spans="1:13" hidden="1">
      <c r="A4837" t="s">
        <v>51</v>
      </c>
      <c r="B4837" t="s">
        <v>52</v>
      </c>
      <c r="C4837" t="s">
        <v>19</v>
      </c>
      <c r="D4837" t="str">
        <f>LEFT(M4837,9)</f>
        <v>1/15/2025</v>
      </c>
      <c r="E4837" t="s">
        <v>202</v>
      </c>
      <c r="F4837" t="s">
        <v>203</v>
      </c>
      <c r="G4837" t="s">
        <v>259</v>
      </c>
      <c r="I4837">
        <v>28</v>
      </c>
      <c r="J4837">
        <v>700</v>
      </c>
      <c r="K4837">
        <v>25</v>
      </c>
      <c r="M4837" t="s">
        <v>516</v>
      </c>
    </row>
    <row r="4838" spans="1:13" hidden="1">
      <c r="A4838" t="s">
        <v>51</v>
      </c>
      <c r="B4838" t="s">
        <v>52</v>
      </c>
      <c r="C4838" t="s">
        <v>19</v>
      </c>
      <c r="D4838" t="str">
        <f>LEFT(M4838,9)</f>
        <v>1/15/2025</v>
      </c>
      <c r="E4838" t="s">
        <v>202</v>
      </c>
      <c r="F4838" t="s">
        <v>203</v>
      </c>
      <c r="G4838" t="s">
        <v>206</v>
      </c>
      <c r="I4838">
        <v>22.2</v>
      </c>
      <c r="J4838">
        <v>11.1</v>
      </c>
      <c r="K4838">
        <v>0.5</v>
      </c>
      <c r="M4838" t="s">
        <v>516</v>
      </c>
    </row>
    <row r="4839" spans="1:13" hidden="1">
      <c r="A4839" t="s">
        <v>51</v>
      </c>
      <c r="B4839" t="s">
        <v>52</v>
      </c>
      <c r="C4839" t="s">
        <v>19</v>
      </c>
      <c r="D4839" t="str">
        <f>LEFT(M4839,9)</f>
        <v>1/15/2025</v>
      </c>
      <c r="E4839" t="s">
        <v>202</v>
      </c>
      <c r="F4839" t="s">
        <v>203</v>
      </c>
      <c r="G4839" t="s">
        <v>260</v>
      </c>
      <c r="I4839">
        <v>28.2</v>
      </c>
      <c r="J4839">
        <v>1212.5999999999999</v>
      </c>
      <c r="K4839">
        <v>43</v>
      </c>
      <c r="M4839" t="s">
        <v>516</v>
      </c>
    </row>
    <row r="4840" spans="1:13" hidden="1">
      <c r="A4840" t="s">
        <v>51</v>
      </c>
      <c r="B4840" t="s">
        <v>52</v>
      </c>
      <c r="C4840" t="s">
        <v>19</v>
      </c>
      <c r="D4840" t="str">
        <f>LEFT(M4840,9)</f>
        <v>1/15/2025</v>
      </c>
      <c r="E4840" t="s">
        <v>202</v>
      </c>
      <c r="F4840" t="s">
        <v>203</v>
      </c>
      <c r="G4840" t="s">
        <v>236</v>
      </c>
      <c r="I4840">
        <v>10.4</v>
      </c>
      <c r="J4840">
        <v>36.44</v>
      </c>
      <c r="K4840">
        <v>3.5</v>
      </c>
      <c r="M4840" t="s">
        <v>516</v>
      </c>
    </row>
    <row r="4841" spans="1:13" hidden="1">
      <c r="A4841" t="s">
        <v>51</v>
      </c>
      <c r="B4841" t="s">
        <v>52</v>
      </c>
      <c r="C4841" t="s">
        <v>19</v>
      </c>
      <c r="D4841" t="str">
        <f>LEFT(M4841,9)</f>
        <v>1/15/2025</v>
      </c>
      <c r="E4841" t="s">
        <v>202</v>
      </c>
      <c r="F4841" t="s">
        <v>203</v>
      </c>
      <c r="G4841" t="s">
        <v>204</v>
      </c>
      <c r="I4841">
        <v>629.5</v>
      </c>
      <c r="J4841">
        <v>6169.73</v>
      </c>
      <c r="K4841">
        <v>9.8000000000000007</v>
      </c>
      <c r="M4841" t="s">
        <v>516</v>
      </c>
    </row>
    <row r="4842" spans="1:13" hidden="1">
      <c r="A4842" t="s">
        <v>51</v>
      </c>
      <c r="B4842" t="s">
        <v>52</v>
      </c>
      <c r="C4842" t="s">
        <v>19</v>
      </c>
      <c r="D4842" t="str">
        <f>LEFT(M4842,9)</f>
        <v>1/15/2025</v>
      </c>
      <c r="E4842" t="s">
        <v>202</v>
      </c>
      <c r="F4842" t="s">
        <v>203</v>
      </c>
      <c r="G4842" t="s">
        <v>236</v>
      </c>
      <c r="I4842">
        <v>8</v>
      </c>
      <c r="J4842">
        <v>120.03</v>
      </c>
      <c r="K4842">
        <v>15</v>
      </c>
      <c r="M4842" t="s">
        <v>516</v>
      </c>
    </row>
    <row r="4843" spans="1:13" hidden="1">
      <c r="A4843" t="s">
        <v>51</v>
      </c>
      <c r="B4843" t="s">
        <v>52</v>
      </c>
      <c r="C4843" t="s">
        <v>19</v>
      </c>
      <c r="D4843" t="str">
        <f>LEFT(M4843,9)</f>
        <v>1/15/2025</v>
      </c>
      <c r="E4843" t="s">
        <v>202</v>
      </c>
      <c r="F4843" t="s">
        <v>203</v>
      </c>
      <c r="G4843" t="s">
        <v>236</v>
      </c>
      <c r="I4843">
        <v>4.8</v>
      </c>
      <c r="J4843">
        <v>120.02</v>
      </c>
      <c r="K4843">
        <v>25</v>
      </c>
      <c r="M4843" t="s">
        <v>516</v>
      </c>
    </row>
    <row r="4844" spans="1:13" hidden="1">
      <c r="A4844" t="s">
        <v>51</v>
      </c>
      <c r="B4844" t="s">
        <v>52</v>
      </c>
      <c r="C4844" t="s">
        <v>19</v>
      </c>
      <c r="D4844" t="str">
        <f>LEFT(M4844,9)</f>
        <v>1/15/2025</v>
      </c>
      <c r="E4844" t="s">
        <v>202</v>
      </c>
      <c r="F4844" t="s">
        <v>203</v>
      </c>
      <c r="G4844" t="s">
        <v>236</v>
      </c>
      <c r="I4844">
        <v>6.2</v>
      </c>
      <c r="J4844">
        <v>18.62</v>
      </c>
      <c r="K4844">
        <v>3</v>
      </c>
      <c r="M4844" t="s">
        <v>516</v>
      </c>
    </row>
    <row r="4845" spans="1:13" hidden="1">
      <c r="A4845" t="s">
        <v>51</v>
      </c>
      <c r="B4845" t="s">
        <v>52</v>
      </c>
      <c r="C4845" t="s">
        <v>19</v>
      </c>
      <c r="D4845" t="str">
        <f>LEFT(M4845,9)</f>
        <v>1/15/2025</v>
      </c>
      <c r="E4845" t="s">
        <v>202</v>
      </c>
      <c r="F4845" t="s">
        <v>203</v>
      </c>
      <c r="G4845" t="s">
        <v>236</v>
      </c>
      <c r="I4845">
        <v>6.2</v>
      </c>
      <c r="J4845">
        <v>9.3000000000000007</v>
      </c>
      <c r="K4845">
        <v>1.5</v>
      </c>
      <c r="M4845" t="s">
        <v>516</v>
      </c>
    </row>
    <row r="4846" spans="1:13" hidden="1">
      <c r="A4846" t="s">
        <v>51</v>
      </c>
      <c r="B4846" t="s">
        <v>52</v>
      </c>
      <c r="C4846" t="s">
        <v>19</v>
      </c>
      <c r="D4846" t="str">
        <f>LEFT(M4846,9)</f>
        <v>1/15/2025</v>
      </c>
      <c r="E4846" t="s">
        <v>202</v>
      </c>
      <c r="F4846" t="s">
        <v>218</v>
      </c>
      <c r="G4846" t="s">
        <v>239</v>
      </c>
      <c r="I4846">
        <v>431</v>
      </c>
      <c r="J4846">
        <v>215.5</v>
      </c>
      <c r="K4846">
        <v>0.5</v>
      </c>
      <c r="M4846" t="s">
        <v>516</v>
      </c>
    </row>
    <row r="4847" spans="1:13" hidden="1">
      <c r="A4847" t="s">
        <v>51</v>
      </c>
      <c r="B4847" t="s">
        <v>52</v>
      </c>
      <c r="C4847" t="s">
        <v>19</v>
      </c>
      <c r="D4847" t="str">
        <f>LEFT(M4847,9)</f>
        <v>1/15/2025</v>
      </c>
      <c r="E4847" t="s">
        <v>202</v>
      </c>
      <c r="F4847" t="s">
        <v>306</v>
      </c>
      <c r="G4847" t="s">
        <v>307</v>
      </c>
      <c r="I4847">
        <v>80</v>
      </c>
      <c r="J4847">
        <v>160</v>
      </c>
      <c r="K4847">
        <v>2</v>
      </c>
      <c r="M4847" t="s">
        <v>516</v>
      </c>
    </row>
    <row r="4848" spans="1:13" hidden="1">
      <c r="A4848" t="s">
        <v>51</v>
      </c>
      <c r="B4848" t="s">
        <v>52</v>
      </c>
      <c r="C4848" t="s">
        <v>19</v>
      </c>
      <c r="D4848" t="str">
        <f>LEFT(M4848,9)</f>
        <v>1/15/2025</v>
      </c>
      <c r="E4848" t="s">
        <v>202</v>
      </c>
      <c r="F4848" t="s">
        <v>203</v>
      </c>
      <c r="G4848" t="s">
        <v>236</v>
      </c>
      <c r="I4848">
        <v>2680</v>
      </c>
      <c r="J4848">
        <v>1608</v>
      </c>
      <c r="K4848">
        <v>0.6</v>
      </c>
      <c r="M4848" t="s">
        <v>516</v>
      </c>
    </row>
    <row r="4849" spans="1:13" hidden="1">
      <c r="A4849" t="s">
        <v>51</v>
      </c>
      <c r="B4849" t="s">
        <v>52</v>
      </c>
      <c r="C4849" t="s">
        <v>19</v>
      </c>
      <c r="D4849" t="str">
        <f>LEFT(M4849,9)</f>
        <v>1/15/2025</v>
      </c>
      <c r="E4849" t="s">
        <v>202</v>
      </c>
      <c r="F4849" t="s">
        <v>216</v>
      </c>
      <c r="G4849" t="s">
        <v>253</v>
      </c>
      <c r="I4849">
        <v>7986.3</v>
      </c>
      <c r="J4849">
        <v>1118.08</v>
      </c>
      <c r="K4849">
        <v>0.14000000000000001</v>
      </c>
      <c r="M4849" t="s">
        <v>516</v>
      </c>
    </row>
    <row r="4850" spans="1:13" hidden="1">
      <c r="A4850" t="s">
        <v>51</v>
      </c>
      <c r="B4850" t="s">
        <v>52</v>
      </c>
      <c r="C4850" t="s">
        <v>19</v>
      </c>
      <c r="D4850" t="str">
        <f>LEFT(M4850,9)</f>
        <v>1/15/2025</v>
      </c>
      <c r="E4850" t="s">
        <v>202</v>
      </c>
      <c r="F4850" t="s">
        <v>216</v>
      </c>
      <c r="G4850" t="s">
        <v>217</v>
      </c>
      <c r="I4850">
        <v>5432</v>
      </c>
      <c r="J4850">
        <v>1086.4000000000001</v>
      </c>
      <c r="K4850">
        <v>0.2</v>
      </c>
      <c r="M4850" t="s">
        <v>516</v>
      </c>
    </row>
    <row r="4851" spans="1:13" hidden="1">
      <c r="A4851" t="s">
        <v>51</v>
      </c>
      <c r="B4851" t="s">
        <v>52</v>
      </c>
      <c r="C4851" t="s">
        <v>19</v>
      </c>
      <c r="D4851" t="str">
        <f>LEFT(M4851,9)</f>
        <v>1/15/2025</v>
      </c>
      <c r="E4851" t="s">
        <v>230</v>
      </c>
      <c r="F4851" t="s">
        <v>248</v>
      </c>
      <c r="I4851">
        <v>0</v>
      </c>
      <c r="J4851">
        <v>38228.129999999997</v>
      </c>
      <c r="M4851" t="s">
        <v>516</v>
      </c>
    </row>
    <row r="4852" spans="1:13" hidden="1">
      <c r="A4852" t="s">
        <v>51</v>
      </c>
      <c r="B4852" t="s">
        <v>52</v>
      </c>
      <c r="C4852" t="s">
        <v>19</v>
      </c>
      <c r="D4852" t="str">
        <f>LEFT(M4852,9)</f>
        <v>1/15/2025</v>
      </c>
      <c r="E4852" t="s">
        <v>232</v>
      </c>
      <c r="F4852" t="s">
        <v>262</v>
      </c>
      <c r="I4852">
        <v>0</v>
      </c>
      <c r="J4852">
        <v>9965.69</v>
      </c>
      <c r="M4852" t="s">
        <v>516</v>
      </c>
    </row>
    <row r="4853" spans="1:13" hidden="1">
      <c r="A4853" t="s">
        <v>51</v>
      </c>
      <c r="B4853" t="s">
        <v>52</v>
      </c>
      <c r="C4853" t="s">
        <v>19</v>
      </c>
      <c r="D4853" t="str">
        <f>LEFT(M4853,9)</f>
        <v>1/15/2025</v>
      </c>
      <c r="E4853" t="s">
        <v>232</v>
      </c>
      <c r="F4853" t="s">
        <v>287</v>
      </c>
      <c r="I4853">
        <v>0</v>
      </c>
      <c r="J4853">
        <v>7559.41</v>
      </c>
      <c r="M4853" t="s">
        <v>516</v>
      </c>
    </row>
    <row r="4854" spans="1:13" hidden="1">
      <c r="A4854" t="s">
        <v>51</v>
      </c>
      <c r="B4854" t="s">
        <v>52</v>
      </c>
      <c r="C4854" t="s">
        <v>19</v>
      </c>
      <c r="D4854" t="str">
        <f>LEFT(M4854,9)</f>
        <v>1/15/2025</v>
      </c>
      <c r="E4854" t="s">
        <v>232</v>
      </c>
      <c r="F4854" t="s">
        <v>290</v>
      </c>
      <c r="I4854">
        <v>0</v>
      </c>
      <c r="J4854">
        <v>3525</v>
      </c>
      <c r="M4854" t="s">
        <v>516</v>
      </c>
    </row>
    <row r="4855" spans="1:13" hidden="1">
      <c r="A4855" t="s">
        <v>51</v>
      </c>
      <c r="B4855" t="s">
        <v>52</v>
      </c>
      <c r="C4855" t="s">
        <v>19</v>
      </c>
      <c r="D4855" t="str">
        <f>LEFT(M4855,9)</f>
        <v>1/15/2025</v>
      </c>
      <c r="E4855" t="s">
        <v>232</v>
      </c>
      <c r="F4855" t="s">
        <v>291</v>
      </c>
      <c r="I4855">
        <v>0</v>
      </c>
      <c r="J4855">
        <v>1451.6</v>
      </c>
      <c r="M4855" t="s">
        <v>516</v>
      </c>
    </row>
    <row r="4856" spans="1:13" hidden="1">
      <c r="A4856" t="s">
        <v>51</v>
      </c>
      <c r="B4856" t="s">
        <v>52</v>
      </c>
      <c r="C4856" t="s">
        <v>19</v>
      </c>
      <c r="D4856" t="str">
        <f>LEFT(M4856,9)</f>
        <v>1/15/2025</v>
      </c>
      <c r="E4856" t="s">
        <v>232</v>
      </c>
      <c r="F4856" t="s">
        <v>255</v>
      </c>
      <c r="I4856">
        <v>0</v>
      </c>
      <c r="J4856">
        <v>15726.43</v>
      </c>
      <c r="L4856" t="s">
        <v>308</v>
      </c>
      <c r="M4856" t="s">
        <v>516</v>
      </c>
    </row>
    <row r="4857" spans="1:13" hidden="1">
      <c r="A4857" t="s">
        <v>51</v>
      </c>
      <c r="B4857" t="s">
        <v>52</v>
      </c>
      <c r="C4857" t="s">
        <v>19</v>
      </c>
      <c r="D4857" t="str">
        <f>LEFT(M4857,9)</f>
        <v>1/15/2025</v>
      </c>
      <c r="E4857" t="s">
        <v>234</v>
      </c>
      <c r="F4857" t="s">
        <v>234</v>
      </c>
      <c r="I4857">
        <v>7500</v>
      </c>
      <c r="M4857" t="s">
        <v>516</v>
      </c>
    </row>
    <row r="4858" spans="1:13" hidden="1">
      <c r="A4858" t="s">
        <v>140</v>
      </c>
      <c r="B4858" t="s">
        <v>8</v>
      </c>
      <c r="C4858" t="s">
        <v>139</v>
      </c>
      <c r="D4858" t="str">
        <f>LEFT(M4858,9)</f>
        <v>1/15/2025</v>
      </c>
      <c r="E4858" t="s">
        <v>202</v>
      </c>
      <c r="F4858" t="s">
        <v>227</v>
      </c>
      <c r="G4858" t="s">
        <v>237</v>
      </c>
      <c r="I4858">
        <v>129</v>
      </c>
      <c r="J4858">
        <v>77.400000000000006</v>
      </c>
      <c r="K4858">
        <v>0.6</v>
      </c>
      <c r="M4858" t="s">
        <v>516</v>
      </c>
    </row>
    <row r="4859" spans="1:13" hidden="1">
      <c r="A4859" t="s">
        <v>140</v>
      </c>
      <c r="B4859" t="s">
        <v>8</v>
      </c>
      <c r="C4859" t="s">
        <v>139</v>
      </c>
      <c r="D4859" t="str">
        <f>LEFT(M4859,9)</f>
        <v>1/15/2025</v>
      </c>
      <c r="E4859" t="s">
        <v>202</v>
      </c>
      <c r="F4859" t="s">
        <v>227</v>
      </c>
      <c r="G4859" t="s">
        <v>228</v>
      </c>
      <c r="I4859">
        <v>1882.8</v>
      </c>
      <c r="J4859">
        <v>564.84</v>
      </c>
      <c r="K4859">
        <v>0.3</v>
      </c>
      <c r="M4859" t="s">
        <v>516</v>
      </c>
    </row>
    <row r="4860" spans="1:13" hidden="1">
      <c r="A4860" t="s">
        <v>140</v>
      </c>
      <c r="B4860" t="s">
        <v>8</v>
      </c>
      <c r="C4860" t="s">
        <v>139</v>
      </c>
      <c r="D4860" t="str">
        <f>LEFT(M4860,9)</f>
        <v>1/15/2025</v>
      </c>
      <c r="E4860" t="s">
        <v>202</v>
      </c>
      <c r="F4860" t="s">
        <v>227</v>
      </c>
      <c r="G4860" t="s">
        <v>229</v>
      </c>
      <c r="I4860">
        <v>2522.1999999999998</v>
      </c>
      <c r="J4860">
        <v>1942.09</v>
      </c>
      <c r="K4860">
        <v>0.77</v>
      </c>
      <c r="M4860" t="s">
        <v>516</v>
      </c>
    </row>
    <row r="4861" spans="1:13" hidden="1">
      <c r="A4861" t="s">
        <v>140</v>
      </c>
      <c r="B4861" t="s">
        <v>8</v>
      </c>
      <c r="C4861" t="s">
        <v>139</v>
      </c>
      <c r="D4861" t="str">
        <f>LEFT(M4861,9)</f>
        <v>1/15/2025</v>
      </c>
      <c r="E4861" t="s">
        <v>202</v>
      </c>
      <c r="F4861" t="s">
        <v>227</v>
      </c>
      <c r="G4861" t="s">
        <v>238</v>
      </c>
      <c r="I4861">
        <v>327</v>
      </c>
      <c r="J4861">
        <v>130.80000000000001</v>
      </c>
      <c r="K4861">
        <v>0.4</v>
      </c>
      <c r="M4861" t="s">
        <v>516</v>
      </c>
    </row>
    <row r="4862" spans="1:13" hidden="1">
      <c r="A4862" t="s">
        <v>140</v>
      </c>
      <c r="B4862" t="s">
        <v>8</v>
      </c>
      <c r="C4862" t="s">
        <v>139</v>
      </c>
      <c r="D4862" t="str">
        <f>LEFT(M4862,9)</f>
        <v>1/15/2025</v>
      </c>
      <c r="E4862" t="s">
        <v>202</v>
      </c>
      <c r="F4862" t="s">
        <v>227</v>
      </c>
      <c r="G4862" t="s">
        <v>252</v>
      </c>
      <c r="I4862">
        <v>175.4</v>
      </c>
      <c r="J4862">
        <v>70.16</v>
      </c>
      <c r="K4862">
        <v>0.4</v>
      </c>
      <c r="M4862" t="s">
        <v>516</v>
      </c>
    </row>
    <row r="4863" spans="1:13" hidden="1">
      <c r="A4863" t="s">
        <v>140</v>
      </c>
      <c r="B4863" t="s">
        <v>8</v>
      </c>
      <c r="C4863" t="s">
        <v>139</v>
      </c>
      <c r="D4863" t="str">
        <f>LEFT(M4863,9)</f>
        <v>1/15/2025</v>
      </c>
      <c r="E4863" t="s">
        <v>202</v>
      </c>
      <c r="F4863" t="s">
        <v>218</v>
      </c>
      <c r="G4863" t="s">
        <v>221</v>
      </c>
      <c r="I4863">
        <v>95</v>
      </c>
      <c r="J4863">
        <v>242.25</v>
      </c>
      <c r="K4863">
        <v>2.5499999999999998</v>
      </c>
      <c r="M4863" t="s">
        <v>516</v>
      </c>
    </row>
    <row r="4864" spans="1:13" hidden="1">
      <c r="A4864" t="s">
        <v>140</v>
      </c>
      <c r="B4864" t="s">
        <v>8</v>
      </c>
      <c r="C4864" t="s">
        <v>139</v>
      </c>
      <c r="D4864" t="str">
        <f>LEFT(M4864,9)</f>
        <v>1/15/2025</v>
      </c>
      <c r="E4864" t="s">
        <v>202</v>
      </c>
      <c r="F4864" t="s">
        <v>218</v>
      </c>
      <c r="G4864" t="s">
        <v>221</v>
      </c>
      <c r="I4864">
        <v>120.8</v>
      </c>
      <c r="J4864">
        <v>308.04000000000002</v>
      </c>
      <c r="K4864">
        <v>2.5499999999999998</v>
      </c>
      <c r="M4864" t="s">
        <v>516</v>
      </c>
    </row>
    <row r="4865" spans="1:13" hidden="1">
      <c r="A4865" t="s">
        <v>140</v>
      </c>
      <c r="B4865" t="s">
        <v>8</v>
      </c>
      <c r="C4865" t="s">
        <v>139</v>
      </c>
      <c r="D4865" t="str">
        <f>LEFT(M4865,9)</f>
        <v>1/15/2025</v>
      </c>
      <c r="E4865" t="s">
        <v>202</v>
      </c>
      <c r="F4865" t="s">
        <v>218</v>
      </c>
      <c r="G4865" t="s">
        <v>223</v>
      </c>
      <c r="I4865">
        <v>626.4</v>
      </c>
      <c r="J4865">
        <v>501.12</v>
      </c>
      <c r="K4865">
        <v>0.8</v>
      </c>
      <c r="M4865" t="s">
        <v>516</v>
      </c>
    </row>
    <row r="4866" spans="1:13" hidden="1">
      <c r="A4866" t="s">
        <v>140</v>
      </c>
      <c r="B4866" t="s">
        <v>8</v>
      </c>
      <c r="C4866" t="s">
        <v>139</v>
      </c>
      <c r="D4866" t="str">
        <f>LEFT(M4866,9)</f>
        <v>1/15/2025</v>
      </c>
      <c r="E4866" t="s">
        <v>202</v>
      </c>
      <c r="F4866" t="s">
        <v>218</v>
      </c>
      <c r="G4866" t="s">
        <v>223</v>
      </c>
      <c r="I4866">
        <v>466.8</v>
      </c>
      <c r="J4866">
        <v>233.4</v>
      </c>
      <c r="K4866">
        <v>0.5</v>
      </c>
      <c r="M4866" t="s">
        <v>516</v>
      </c>
    </row>
    <row r="4867" spans="1:13" hidden="1">
      <c r="A4867" t="s">
        <v>140</v>
      </c>
      <c r="B4867" t="s">
        <v>8</v>
      </c>
      <c r="C4867" t="s">
        <v>139</v>
      </c>
      <c r="D4867" t="str">
        <f>LEFT(M4867,9)</f>
        <v>1/15/2025</v>
      </c>
      <c r="E4867" t="s">
        <v>202</v>
      </c>
      <c r="F4867" t="s">
        <v>218</v>
      </c>
      <c r="G4867" t="s">
        <v>240</v>
      </c>
      <c r="I4867">
        <v>522</v>
      </c>
      <c r="J4867">
        <v>2296.8000000000002</v>
      </c>
      <c r="K4867">
        <v>4.4000000000000004</v>
      </c>
      <c r="M4867" t="s">
        <v>516</v>
      </c>
    </row>
    <row r="4868" spans="1:13" hidden="1">
      <c r="A4868" t="s">
        <v>140</v>
      </c>
      <c r="B4868" t="s">
        <v>8</v>
      </c>
      <c r="C4868" t="s">
        <v>139</v>
      </c>
      <c r="D4868" t="str">
        <f>LEFT(M4868,9)</f>
        <v>1/15/2025</v>
      </c>
      <c r="E4868" t="s">
        <v>202</v>
      </c>
      <c r="F4868" t="s">
        <v>218</v>
      </c>
      <c r="G4868" t="s">
        <v>242</v>
      </c>
      <c r="I4868">
        <v>35.799999999999997</v>
      </c>
      <c r="J4868">
        <v>39.380000000000003</v>
      </c>
      <c r="K4868">
        <v>1.1000000000000001</v>
      </c>
      <c r="M4868" t="s">
        <v>516</v>
      </c>
    </row>
    <row r="4869" spans="1:13" hidden="1">
      <c r="A4869" t="s">
        <v>140</v>
      </c>
      <c r="B4869" t="s">
        <v>8</v>
      </c>
      <c r="C4869" t="s">
        <v>139</v>
      </c>
      <c r="D4869" t="str">
        <f>LEFT(M4869,9)</f>
        <v>1/15/2025</v>
      </c>
      <c r="E4869" t="s">
        <v>202</v>
      </c>
      <c r="F4869" t="s">
        <v>218</v>
      </c>
      <c r="G4869" t="s">
        <v>219</v>
      </c>
      <c r="I4869">
        <v>36</v>
      </c>
      <c r="J4869">
        <v>9</v>
      </c>
      <c r="K4869">
        <v>0.25</v>
      </c>
      <c r="M4869" t="s">
        <v>516</v>
      </c>
    </row>
    <row r="4870" spans="1:13" hidden="1">
      <c r="A4870" t="s">
        <v>140</v>
      </c>
      <c r="B4870" t="s">
        <v>8</v>
      </c>
      <c r="C4870" t="s">
        <v>139</v>
      </c>
      <c r="D4870" t="str">
        <f>LEFT(M4870,9)</f>
        <v>1/15/2025</v>
      </c>
      <c r="E4870" t="s">
        <v>202</v>
      </c>
      <c r="F4870" t="s">
        <v>218</v>
      </c>
      <c r="G4870" t="s">
        <v>243</v>
      </c>
      <c r="H4870" t="s">
        <v>550</v>
      </c>
      <c r="I4870">
        <v>40</v>
      </c>
      <c r="J4870">
        <v>64</v>
      </c>
      <c r="K4870">
        <v>1.6</v>
      </c>
      <c r="M4870" t="s">
        <v>516</v>
      </c>
    </row>
    <row r="4871" spans="1:13" hidden="1">
      <c r="A4871" t="s">
        <v>140</v>
      </c>
      <c r="B4871" t="s">
        <v>8</v>
      </c>
      <c r="C4871" t="s">
        <v>139</v>
      </c>
      <c r="D4871" t="str">
        <f>LEFT(M4871,9)</f>
        <v>1/15/2025</v>
      </c>
      <c r="E4871" t="s">
        <v>202</v>
      </c>
      <c r="F4871" t="s">
        <v>218</v>
      </c>
      <c r="G4871" t="s">
        <v>222</v>
      </c>
      <c r="I4871">
        <v>430.4</v>
      </c>
      <c r="J4871">
        <v>903.84</v>
      </c>
      <c r="K4871">
        <v>2.1</v>
      </c>
      <c r="M4871" t="s">
        <v>516</v>
      </c>
    </row>
    <row r="4872" spans="1:13" hidden="1">
      <c r="A4872" t="s">
        <v>140</v>
      </c>
      <c r="B4872" t="s">
        <v>8</v>
      </c>
      <c r="C4872" t="s">
        <v>139</v>
      </c>
      <c r="D4872" t="str">
        <f>LEFT(M4872,9)</f>
        <v>1/15/2025</v>
      </c>
      <c r="E4872" t="s">
        <v>202</v>
      </c>
      <c r="F4872" t="s">
        <v>218</v>
      </c>
      <c r="G4872" t="s">
        <v>222</v>
      </c>
      <c r="I4872">
        <v>130.6</v>
      </c>
      <c r="J4872">
        <v>222.02</v>
      </c>
      <c r="K4872">
        <v>1.7</v>
      </c>
      <c r="M4872" t="s">
        <v>516</v>
      </c>
    </row>
    <row r="4873" spans="1:13" hidden="1">
      <c r="A4873" t="s">
        <v>140</v>
      </c>
      <c r="B4873" t="s">
        <v>8</v>
      </c>
      <c r="C4873" t="s">
        <v>139</v>
      </c>
      <c r="D4873" t="str">
        <f>LEFT(M4873,9)</f>
        <v>1/15/2025</v>
      </c>
      <c r="E4873" t="s">
        <v>202</v>
      </c>
      <c r="F4873" t="s">
        <v>218</v>
      </c>
      <c r="G4873" t="s">
        <v>220</v>
      </c>
      <c r="I4873">
        <v>281.39999999999998</v>
      </c>
      <c r="J4873">
        <v>393.96</v>
      </c>
      <c r="K4873">
        <v>1.4</v>
      </c>
      <c r="M4873" t="s">
        <v>516</v>
      </c>
    </row>
    <row r="4874" spans="1:13" hidden="1">
      <c r="A4874" t="s">
        <v>140</v>
      </c>
      <c r="B4874" t="s">
        <v>8</v>
      </c>
      <c r="C4874" t="s">
        <v>139</v>
      </c>
      <c r="D4874" t="str">
        <f>LEFT(M4874,9)</f>
        <v>1/15/2025</v>
      </c>
      <c r="E4874" t="s">
        <v>202</v>
      </c>
      <c r="F4874" t="s">
        <v>218</v>
      </c>
      <c r="G4874" t="s">
        <v>243</v>
      </c>
      <c r="H4874" t="s">
        <v>551</v>
      </c>
      <c r="I4874">
        <v>219</v>
      </c>
      <c r="J4874">
        <v>339.45</v>
      </c>
      <c r="K4874">
        <v>1.55</v>
      </c>
      <c r="M4874" t="s">
        <v>516</v>
      </c>
    </row>
    <row r="4875" spans="1:13" hidden="1">
      <c r="A4875" t="s">
        <v>140</v>
      </c>
      <c r="B4875" t="s">
        <v>8</v>
      </c>
      <c r="C4875" t="s">
        <v>139</v>
      </c>
      <c r="D4875" t="str">
        <f>LEFT(M4875,9)</f>
        <v>1/15/2025</v>
      </c>
      <c r="E4875" t="s">
        <v>202</v>
      </c>
      <c r="F4875" t="s">
        <v>218</v>
      </c>
      <c r="G4875" t="s">
        <v>266</v>
      </c>
      <c r="I4875">
        <v>75.2</v>
      </c>
      <c r="J4875">
        <v>3.76</v>
      </c>
      <c r="K4875">
        <v>0.05</v>
      </c>
      <c r="M4875" t="s">
        <v>516</v>
      </c>
    </row>
    <row r="4876" spans="1:13" hidden="1">
      <c r="A4876" t="s">
        <v>140</v>
      </c>
      <c r="B4876" t="s">
        <v>8</v>
      </c>
      <c r="C4876" t="s">
        <v>139</v>
      </c>
      <c r="D4876" t="str">
        <f>LEFT(M4876,9)</f>
        <v>1/15/2025</v>
      </c>
      <c r="E4876" t="s">
        <v>202</v>
      </c>
      <c r="F4876" t="s">
        <v>218</v>
      </c>
      <c r="G4876" t="s">
        <v>226</v>
      </c>
      <c r="I4876">
        <v>270</v>
      </c>
      <c r="J4876">
        <v>81</v>
      </c>
      <c r="K4876">
        <v>0.3</v>
      </c>
      <c r="M4876" t="s">
        <v>516</v>
      </c>
    </row>
    <row r="4877" spans="1:13" hidden="1">
      <c r="A4877" t="s">
        <v>140</v>
      </c>
      <c r="B4877" t="s">
        <v>8</v>
      </c>
      <c r="C4877" t="s">
        <v>139</v>
      </c>
      <c r="D4877" t="str">
        <f>LEFT(M4877,9)</f>
        <v>1/15/2025</v>
      </c>
      <c r="E4877" t="s">
        <v>202</v>
      </c>
      <c r="F4877" t="s">
        <v>218</v>
      </c>
      <c r="G4877" t="s">
        <v>243</v>
      </c>
      <c r="H4877" t="s">
        <v>552</v>
      </c>
      <c r="I4877">
        <v>53.2</v>
      </c>
      <c r="J4877">
        <v>133</v>
      </c>
      <c r="K4877">
        <v>2.5</v>
      </c>
      <c r="M4877" t="s">
        <v>516</v>
      </c>
    </row>
    <row r="4878" spans="1:13" hidden="1">
      <c r="A4878" t="s">
        <v>140</v>
      </c>
      <c r="B4878" t="s">
        <v>8</v>
      </c>
      <c r="C4878" t="s">
        <v>139</v>
      </c>
      <c r="D4878" t="str">
        <f>LEFT(M4878,9)</f>
        <v>1/15/2025</v>
      </c>
      <c r="E4878" t="s">
        <v>202</v>
      </c>
      <c r="F4878" t="s">
        <v>218</v>
      </c>
      <c r="G4878" t="s">
        <v>225</v>
      </c>
      <c r="I4878">
        <v>50</v>
      </c>
      <c r="J4878">
        <v>40</v>
      </c>
      <c r="K4878">
        <v>0.8</v>
      </c>
      <c r="M4878" t="s">
        <v>516</v>
      </c>
    </row>
    <row r="4879" spans="1:13" hidden="1">
      <c r="A4879" t="s">
        <v>140</v>
      </c>
      <c r="B4879" t="s">
        <v>8</v>
      </c>
      <c r="C4879" t="s">
        <v>139</v>
      </c>
      <c r="D4879" t="str">
        <f>LEFT(M4879,9)</f>
        <v>1/15/2025</v>
      </c>
      <c r="E4879" t="s">
        <v>202</v>
      </c>
      <c r="F4879" t="s">
        <v>203</v>
      </c>
      <c r="G4879" t="s">
        <v>236</v>
      </c>
      <c r="I4879">
        <v>10550</v>
      </c>
      <c r="J4879">
        <v>1582.5</v>
      </c>
      <c r="K4879">
        <v>0.15</v>
      </c>
      <c r="M4879" t="s">
        <v>516</v>
      </c>
    </row>
    <row r="4880" spans="1:13" hidden="1">
      <c r="A4880" t="s">
        <v>140</v>
      </c>
      <c r="B4880" t="s">
        <v>8</v>
      </c>
      <c r="C4880" t="s">
        <v>139</v>
      </c>
      <c r="D4880" t="str">
        <f>LEFT(M4880,9)</f>
        <v>1/15/2025</v>
      </c>
      <c r="E4880" t="s">
        <v>202</v>
      </c>
      <c r="F4880" t="s">
        <v>203</v>
      </c>
      <c r="G4880" t="s">
        <v>204</v>
      </c>
      <c r="I4880">
        <v>600</v>
      </c>
      <c r="J4880">
        <v>2400</v>
      </c>
      <c r="K4880">
        <v>4</v>
      </c>
      <c r="M4880" t="s">
        <v>516</v>
      </c>
    </row>
    <row r="4881" spans="1:13" hidden="1">
      <c r="A4881" t="s">
        <v>140</v>
      </c>
      <c r="B4881" t="s">
        <v>8</v>
      </c>
      <c r="C4881" t="s">
        <v>139</v>
      </c>
      <c r="D4881" t="str">
        <f>LEFT(M4881,9)</f>
        <v>1/15/2025</v>
      </c>
      <c r="E4881" t="s">
        <v>202</v>
      </c>
      <c r="F4881" t="s">
        <v>203</v>
      </c>
      <c r="G4881" t="s">
        <v>261</v>
      </c>
      <c r="I4881">
        <v>95</v>
      </c>
      <c r="J4881">
        <v>2375</v>
      </c>
      <c r="K4881">
        <v>25</v>
      </c>
      <c r="M4881" t="s">
        <v>516</v>
      </c>
    </row>
    <row r="4882" spans="1:13" hidden="1">
      <c r="A4882" t="s">
        <v>140</v>
      </c>
      <c r="B4882" t="s">
        <v>8</v>
      </c>
      <c r="C4882" t="s">
        <v>139</v>
      </c>
      <c r="D4882" t="str">
        <f>LEFT(M4882,9)</f>
        <v>1/15/2025</v>
      </c>
      <c r="E4882" t="s">
        <v>202</v>
      </c>
      <c r="F4882" t="s">
        <v>203</v>
      </c>
      <c r="G4882" t="s">
        <v>208</v>
      </c>
      <c r="I4882">
        <v>110</v>
      </c>
      <c r="J4882">
        <v>770</v>
      </c>
      <c r="K4882">
        <v>7</v>
      </c>
      <c r="M4882" t="s">
        <v>516</v>
      </c>
    </row>
    <row r="4883" spans="1:13" hidden="1">
      <c r="A4883" t="s">
        <v>140</v>
      </c>
      <c r="B4883" t="s">
        <v>8</v>
      </c>
      <c r="C4883" t="s">
        <v>139</v>
      </c>
      <c r="D4883" t="str">
        <f>LEFT(M4883,9)</f>
        <v>1/15/2025</v>
      </c>
      <c r="E4883" t="s">
        <v>202</v>
      </c>
      <c r="F4883" t="s">
        <v>203</v>
      </c>
      <c r="G4883" t="s">
        <v>207</v>
      </c>
      <c r="I4883">
        <v>150</v>
      </c>
      <c r="J4883">
        <v>450</v>
      </c>
      <c r="K4883">
        <v>3</v>
      </c>
      <c r="M4883" t="s">
        <v>516</v>
      </c>
    </row>
    <row r="4884" spans="1:13" hidden="1">
      <c r="A4884" t="s">
        <v>140</v>
      </c>
      <c r="B4884" t="s">
        <v>8</v>
      </c>
      <c r="C4884" t="s">
        <v>139</v>
      </c>
      <c r="D4884" t="str">
        <f>LEFT(M4884,9)</f>
        <v>1/15/2025</v>
      </c>
      <c r="E4884" t="s">
        <v>202</v>
      </c>
      <c r="F4884" t="s">
        <v>203</v>
      </c>
      <c r="G4884" t="s">
        <v>261</v>
      </c>
      <c r="I4884">
        <v>90</v>
      </c>
      <c r="J4884">
        <v>1800</v>
      </c>
      <c r="K4884">
        <v>20</v>
      </c>
      <c r="M4884" t="s">
        <v>516</v>
      </c>
    </row>
    <row r="4885" spans="1:13" hidden="1">
      <c r="A4885" t="s">
        <v>140</v>
      </c>
      <c r="B4885" t="s">
        <v>8</v>
      </c>
      <c r="C4885" t="s">
        <v>139</v>
      </c>
      <c r="D4885" t="str">
        <f>LEFT(M4885,9)</f>
        <v>1/15/2025</v>
      </c>
      <c r="E4885" t="s">
        <v>202</v>
      </c>
      <c r="F4885" t="s">
        <v>203</v>
      </c>
      <c r="G4885" t="s">
        <v>259</v>
      </c>
      <c r="I4885">
        <v>33.5</v>
      </c>
      <c r="J4885">
        <v>83.75</v>
      </c>
      <c r="K4885">
        <v>2.5</v>
      </c>
      <c r="M4885" t="s">
        <v>516</v>
      </c>
    </row>
    <row r="4886" spans="1:13" hidden="1">
      <c r="A4886" t="s">
        <v>140</v>
      </c>
      <c r="B4886" t="s">
        <v>8</v>
      </c>
      <c r="C4886" t="s">
        <v>139</v>
      </c>
      <c r="D4886" t="str">
        <f>LEFT(M4886,9)</f>
        <v>1/15/2025</v>
      </c>
      <c r="E4886" t="s">
        <v>202</v>
      </c>
      <c r="F4886" t="s">
        <v>216</v>
      </c>
      <c r="G4886" t="s">
        <v>253</v>
      </c>
      <c r="I4886">
        <v>1477</v>
      </c>
      <c r="J4886">
        <v>221.55</v>
      </c>
      <c r="K4886">
        <v>0.15</v>
      </c>
      <c r="M4886" t="s">
        <v>516</v>
      </c>
    </row>
    <row r="4887" spans="1:13" hidden="1">
      <c r="A4887" t="s">
        <v>140</v>
      </c>
      <c r="B4887" t="s">
        <v>8</v>
      </c>
      <c r="C4887" t="s">
        <v>139</v>
      </c>
      <c r="D4887" t="str">
        <f>LEFT(M4887,9)</f>
        <v>1/15/2025</v>
      </c>
      <c r="E4887" t="s">
        <v>202</v>
      </c>
      <c r="F4887" t="s">
        <v>216</v>
      </c>
      <c r="G4887" t="s">
        <v>217</v>
      </c>
      <c r="I4887">
        <v>126</v>
      </c>
      <c r="J4887">
        <v>50.4</v>
      </c>
      <c r="K4887">
        <v>0.4</v>
      </c>
      <c r="M4887" t="s">
        <v>516</v>
      </c>
    </row>
    <row r="4888" spans="1:13" hidden="1">
      <c r="A4888" t="s">
        <v>140</v>
      </c>
      <c r="B4888" t="s">
        <v>8</v>
      </c>
      <c r="C4888" t="s">
        <v>139</v>
      </c>
      <c r="D4888" t="str">
        <f>LEFT(M4888,9)</f>
        <v>1/15/2025</v>
      </c>
      <c r="E4888" t="s">
        <v>202</v>
      </c>
      <c r="F4888" t="s">
        <v>209</v>
      </c>
      <c r="G4888" t="s">
        <v>212</v>
      </c>
      <c r="I4888">
        <v>2</v>
      </c>
      <c r="J4888">
        <v>14</v>
      </c>
      <c r="K4888">
        <v>7</v>
      </c>
      <c r="M4888" t="s">
        <v>516</v>
      </c>
    </row>
    <row r="4889" spans="1:13" hidden="1">
      <c r="A4889" t="s">
        <v>140</v>
      </c>
      <c r="B4889" t="s">
        <v>8</v>
      </c>
      <c r="C4889" t="s">
        <v>139</v>
      </c>
      <c r="D4889" t="str">
        <f>LEFT(M4889,9)</f>
        <v>1/15/2025</v>
      </c>
      <c r="E4889" t="s">
        <v>202</v>
      </c>
      <c r="F4889" t="s">
        <v>209</v>
      </c>
      <c r="G4889" t="s">
        <v>341</v>
      </c>
      <c r="I4889">
        <v>7.2</v>
      </c>
      <c r="J4889">
        <v>165.6</v>
      </c>
      <c r="K4889">
        <v>23</v>
      </c>
      <c r="M4889" t="s">
        <v>516</v>
      </c>
    </row>
    <row r="4890" spans="1:13" hidden="1">
      <c r="A4890" t="s">
        <v>140</v>
      </c>
      <c r="B4890" t="s">
        <v>8</v>
      </c>
      <c r="C4890" t="s">
        <v>139</v>
      </c>
      <c r="D4890" t="str">
        <f>LEFT(M4890,9)</f>
        <v>1/15/2025</v>
      </c>
      <c r="E4890" t="s">
        <v>202</v>
      </c>
      <c r="F4890" t="s">
        <v>209</v>
      </c>
      <c r="G4890" t="s">
        <v>212</v>
      </c>
      <c r="I4890">
        <v>13.2</v>
      </c>
      <c r="J4890">
        <v>19.8</v>
      </c>
      <c r="K4890">
        <v>1.5</v>
      </c>
      <c r="M4890" t="s">
        <v>516</v>
      </c>
    </row>
    <row r="4891" spans="1:13" hidden="1">
      <c r="A4891" t="s">
        <v>140</v>
      </c>
      <c r="B4891" t="s">
        <v>8</v>
      </c>
      <c r="C4891" t="s">
        <v>139</v>
      </c>
      <c r="D4891" t="str">
        <f>LEFT(M4891,9)</f>
        <v>1/15/2025</v>
      </c>
      <c r="E4891" t="s">
        <v>202</v>
      </c>
      <c r="F4891" t="s">
        <v>209</v>
      </c>
      <c r="G4891" t="s">
        <v>212</v>
      </c>
      <c r="I4891">
        <v>3.4</v>
      </c>
      <c r="J4891">
        <v>17</v>
      </c>
      <c r="K4891">
        <v>5</v>
      </c>
      <c r="M4891" t="s">
        <v>516</v>
      </c>
    </row>
    <row r="4892" spans="1:13" hidden="1">
      <c r="A4892" t="s">
        <v>140</v>
      </c>
      <c r="B4892" t="s">
        <v>8</v>
      </c>
      <c r="C4892" t="s">
        <v>139</v>
      </c>
      <c r="D4892" t="str">
        <f>LEFT(M4892,9)</f>
        <v>1/15/2025</v>
      </c>
      <c r="E4892" t="s">
        <v>230</v>
      </c>
      <c r="F4892" t="s">
        <v>248</v>
      </c>
      <c r="I4892">
        <v>0</v>
      </c>
      <c r="J4892">
        <v>14535.36</v>
      </c>
      <c r="M4892" t="s">
        <v>516</v>
      </c>
    </row>
    <row r="4893" spans="1:13" hidden="1">
      <c r="A4893" t="s">
        <v>140</v>
      </c>
      <c r="B4893" t="s">
        <v>8</v>
      </c>
      <c r="C4893" t="s">
        <v>139</v>
      </c>
      <c r="D4893" t="str">
        <f>LEFT(M4893,9)</f>
        <v>1/15/2025</v>
      </c>
      <c r="E4893" t="s">
        <v>232</v>
      </c>
      <c r="F4893" t="s">
        <v>233</v>
      </c>
      <c r="I4893">
        <v>0</v>
      </c>
      <c r="J4893">
        <v>1168.8599999999999</v>
      </c>
      <c r="M4893" t="s">
        <v>516</v>
      </c>
    </row>
    <row r="4894" spans="1:13" hidden="1">
      <c r="A4894" t="s">
        <v>140</v>
      </c>
      <c r="B4894" t="s">
        <v>8</v>
      </c>
      <c r="C4894" t="s">
        <v>139</v>
      </c>
      <c r="D4894" t="str">
        <f>LEFT(M4894,9)</f>
        <v>1/15/2025</v>
      </c>
      <c r="E4894" t="s">
        <v>232</v>
      </c>
      <c r="F4894" t="s">
        <v>254</v>
      </c>
      <c r="I4894">
        <v>0</v>
      </c>
      <c r="J4894">
        <v>2093.86</v>
      </c>
      <c r="M4894" t="s">
        <v>516</v>
      </c>
    </row>
    <row r="4895" spans="1:13" hidden="1">
      <c r="A4895" t="s">
        <v>140</v>
      </c>
      <c r="B4895" t="s">
        <v>8</v>
      </c>
      <c r="C4895" t="s">
        <v>139</v>
      </c>
      <c r="D4895" t="str">
        <f>LEFT(M4895,9)</f>
        <v>1/15/2025</v>
      </c>
      <c r="E4895" t="s">
        <v>232</v>
      </c>
      <c r="F4895" t="s">
        <v>255</v>
      </c>
      <c r="I4895">
        <v>0</v>
      </c>
      <c r="J4895">
        <v>75</v>
      </c>
      <c r="L4895" t="s">
        <v>553</v>
      </c>
      <c r="M4895" t="s">
        <v>516</v>
      </c>
    </row>
    <row r="4896" spans="1:13" hidden="1">
      <c r="A4896" t="s">
        <v>140</v>
      </c>
      <c r="B4896" t="s">
        <v>8</v>
      </c>
      <c r="C4896" t="s">
        <v>139</v>
      </c>
      <c r="D4896" t="str">
        <f>LEFT(M4896,9)</f>
        <v>1/15/2025</v>
      </c>
      <c r="E4896" t="s">
        <v>232</v>
      </c>
      <c r="F4896" t="s">
        <v>287</v>
      </c>
      <c r="I4896">
        <v>0</v>
      </c>
      <c r="J4896">
        <v>1702</v>
      </c>
      <c r="M4896" t="s">
        <v>516</v>
      </c>
    </row>
    <row r="4897" spans="1:13" hidden="1">
      <c r="A4897" t="s">
        <v>140</v>
      </c>
      <c r="B4897" t="s">
        <v>8</v>
      </c>
      <c r="C4897" t="s">
        <v>139</v>
      </c>
      <c r="D4897" t="str">
        <f>LEFT(M4897,9)</f>
        <v>1/15/2025</v>
      </c>
      <c r="E4897" t="s">
        <v>232</v>
      </c>
      <c r="F4897" t="s">
        <v>255</v>
      </c>
      <c r="I4897">
        <v>0</v>
      </c>
      <c r="J4897">
        <v>100</v>
      </c>
      <c r="L4897" t="s">
        <v>357</v>
      </c>
      <c r="M4897" t="s">
        <v>516</v>
      </c>
    </row>
    <row r="4898" spans="1:13" hidden="1">
      <c r="A4898" t="s">
        <v>140</v>
      </c>
      <c r="B4898" t="s">
        <v>8</v>
      </c>
      <c r="C4898" t="s">
        <v>139</v>
      </c>
      <c r="D4898" t="str">
        <f>LEFT(M4898,9)</f>
        <v>1/15/2025</v>
      </c>
      <c r="E4898" t="s">
        <v>232</v>
      </c>
      <c r="F4898" t="s">
        <v>251</v>
      </c>
      <c r="I4898">
        <v>0</v>
      </c>
      <c r="J4898">
        <v>56</v>
      </c>
      <c r="M4898" t="s">
        <v>516</v>
      </c>
    </row>
    <row r="4899" spans="1:13" hidden="1">
      <c r="A4899" t="s">
        <v>140</v>
      </c>
      <c r="B4899" t="s">
        <v>8</v>
      </c>
      <c r="C4899" t="s">
        <v>139</v>
      </c>
      <c r="D4899" t="str">
        <f>LEFT(M4899,9)</f>
        <v>1/15/2025</v>
      </c>
      <c r="E4899" t="s">
        <v>232</v>
      </c>
      <c r="F4899" t="s">
        <v>251</v>
      </c>
      <c r="I4899">
        <v>0</v>
      </c>
      <c r="J4899">
        <v>400</v>
      </c>
      <c r="M4899" t="s">
        <v>516</v>
      </c>
    </row>
    <row r="4900" spans="1:13" hidden="1">
      <c r="A4900" t="s">
        <v>140</v>
      </c>
      <c r="B4900" t="s">
        <v>8</v>
      </c>
      <c r="C4900" t="s">
        <v>139</v>
      </c>
      <c r="D4900" t="str">
        <f>LEFT(M4900,9)</f>
        <v>1/15/2025</v>
      </c>
      <c r="E4900" t="s">
        <v>232</v>
      </c>
      <c r="F4900" t="s">
        <v>233</v>
      </c>
      <c r="I4900">
        <v>0</v>
      </c>
      <c r="J4900">
        <v>430.35</v>
      </c>
      <c r="M4900" t="s">
        <v>516</v>
      </c>
    </row>
    <row r="4901" spans="1:13" hidden="1">
      <c r="A4901" t="s">
        <v>140</v>
      </c>
      <c r="B4901" t="s">
        <v>8</v>
      </c>
      <c r="C4901" t="s">
        <v>139</v>
      </c>
      <c r="D4901" t="str">
        <f>LEFT(M4901,9)</f>
        <v>1/15/2025</v>
      </c>
      <c r="E4901" t="s">
        <v>234</v>
      </c>
      <c r="F4901" t="s">
        <v>234</v>
      </c>
      <c r="I4901">
        <v>3745.86</v>
      </c>
      <c r="M4901" t="s">
        <v>516</v>
      </c>
    </row>
    <row r="4902" spans="1:13" hidden="1">
      <c r="A4902" t="s">
        <v>140</v>
      </c>
      <c r="B4902" t="s">
        <v>8</v>
      </c>
      <c r="C4902" t="s">
        <v>139</v>
      </c>
      <c r="D4902" t="str">
        <f>LEFT(M4902,9)</f>
        <v>1/15/2025</v>
      </c>
      <c r="E4902" t="s">
        <v>202</v>
      </c>
      <c r="F4902" t="s">
        <v>203</v>
      </c>
      <c r="G4902" t="s">
        <v>236</v>
      </c>
      <c r="I4902">
        <v>2660</v>
      </c>
      <c r="J4902">
        <v>399</v>
      </c>
      <c r="K4902">
        <v>0.15</v>
      </c>
      <c r="M4902" t="s">
        <v>516</v>
      </c>
    </row>
    <row r="4903" spans="1:13" hidden="1">
      <c r="A4903" t="s">
        <v>107</v>
      </c>
      <c r="B4903" t="s">
        <v>8</v>
      </c>
      <c r="C4903" t="s">
        <v>106</v>
      </c>
      <c r="D4903" t="str">
        <f>LEFT(M4903,9)</f>
        <v>1/15/2025</v>
      </c>
      <c r="E4903" t="s">
        <v>202</v>
      </c>
      <c r="F4903" t="s">
        <v>218</v>
      </c>
      <c r="G4903" t="s">
        <v>240</v>
      </c>
      <c r="I4903">
        <v>484</v>
      </c>
      <c r="J4903">
        <v>1645.6</v>
      </c>
      <c r="K4903">
        <v>3.4</v>
      </c>
      <c r="M4903" t="s">
        <v>516</v>
      </c>
    </row>
    <row r="4904" spans="1:13" hidden="1">
      <c r="A4904" t="s">
        <v>107</v>
      </c>
      <c r="B4904" t="s">
        <v>8</v>
      </c>
      <c r="C4904" t="s">
        <v>106</v>
      </c>
      <c r="D4904" t="str">
        <f>LEFT(M4904,9)</f>
        <v>1/15/2025</v>
      </c>
      <c r="E4904" t="s">
        <v>202</v>
      </c>
      <c r="F4904" t="s">
        <v>227</v>
      </c>
      <c r="G4904" t="s">
        <v>229</v>
      </c>
      <c r="I4904">
        <v>2463</v>
      </c>
      <c r="J4904">
        <v>1674.84</v>
      </c>
      <c r="K4904">
        <v>0.68</v>
      </c>
      <c r="M4904" t="s">
        <v>516</v>
      </c>
    </row>
    <row r="4905" spans="1:13" hidden="1">
      <c r="A4905" t="s">
        <v>107</v>
      </c>
      <c r="B4905" t="s">
        <v>8</v>
      </c>
      <c r="C4905" t="s">
        <v>106</v>
      </c>
      <c r="D4905" t="str">
        <f>LEFT(M4905,9)</f>
        <v>1/15/2025</v>
      </c>
      <c r="E4905" t="s">
        <v>202</v>
      </c>
      <c r="F4905" t="s">
        <v>218</v>
      </c>
      <c r="G4905" t="s">
        <v>219</v>
      </c>
      <c r="I4905">
        <v>492</v>
      </c>
      <c r="J4905">
        <v>1180.8</v>
      </c>
      <c r="K4905">
        <v>2.4</v>
      </c>
      <c r="M4905" t="s">
        <v>516</v>
      </c>
    </row>
    <row r="4906" spans="1:13" hidden="1">
      <c r="A4906" t="s">
        <v>107</v>
      </c>
      <c r="B4906" t="s">
        <v>8</v>
      </c>
      <c r="C4906" t="s">
        <v>106</v>
      </c>
      <c r="D4906" t="str">
        <f>LEFT(M4906,9)</f>
        <v>1/15/2025</v>
      </c>
      <c r="E4906" t="s">
        <v>202</v>
      </c>
      <c r="F4906" t="s">
        <v>227</v>
      </c>
      <c r="G4906" t="s">
        <v>228</v>
      </c>
      <c r="I4906">
        <v>689</v>
      </c>
      <c r="J4906">
        <v>206.7</v>
      </c>
      <c r="K4906">
        <v>0.3</v>
      </c>
      <c r="M4906" t="s">
        <v>516</v>
      </c>
    </row>
    <row r="4907" spans="1:13" hidden="1">
      <c r="A4907" t="s">
        <v>107</v>
      </c>
      <c r="B4907" t="s">
        <v>8</v>
      </c>
      <c r="C4907" t="s">
        <v>106</v>
      </c>
      <c r="D4907" t="str">
        <f>LEFT(M4907,9)</f>
        <v>1/15/2025</v>
      </c>
      <c r="E4907" t="s">
        <v>202</v>
      </c>
      <c r="F4907" t="s">
        <v>218</v>
      </c>
      <c r="G4907" t="s">
        <v>223</v>
      </c>
      <c r="I4907">
        <v>343</v>
      </c>
      <c r="J4907">
        <v>274.39999999999998</v>
      </c>
      <c r="K4907">
        <v>0.8</v>
      </c>
      <c r="M4907" t="s">
        <v>516</v>
      </c>
    </row>
    <row r="4908" spans="1:13" hidden="1">
      <c r="A4908" t="s">
        <v>107</v>
      </c>
      <c r="B4908" t="s">
        <v>8</v>
      </c>
      <c r="C4908" t="s">
        <v>106</v>
      </c>
      <c r="D4908" t="str">
        <f>LEFT(M4908,9)</f>
        <v>1/15/2025</v>
      </c>
      <c r="E4908" t="s">
        <v>202</v>
      </c>
      <c r="F4908" t="s">
        <v>218</v>
      </c>
      <c r="G4908" t="s">
        <v>240</v>
      </c>
      <c r="I4908">
        <v>332</v>
      </c>
      <c r="J4908">
        <v>431.6</v>
      </c>
      <c r="K4908">
        <v>1.3</v>
      </c>
      <c r="M4908" t="s">
        <v>516</v>
      </c>
    </row>
    <row r="4909" spans="1:13" hidden="1">
      <c r="A4909" t="s">
        <v>107</v>
      </c>
      <c r="B4909" t="s">
        <v>8</v>
      </c>
      <c r="C4909" t="s">
        <v>106</v>
      </c>
      <c r="D4909" t="str">
        <f>LEFT(M4909,9)</f>
        <v>1/15/2025</v>
      </c>
      <c r="E4909" t="s">
        <v>202</v>
      </c>
      <c r="F4909" t="s">
        <v>218</v>
      </c>
      <c r="G4909" t="s">
        <v>226</v>
      </c>
      <c r="I4909">
        <v>80</v>
      </c>
      <c r="J4909">
        <v>24</v>
      </c>
      <c r="K4909">
        <v>0.3</v>
      </c>
      <c r="M4909" t="s">
        <v>516</v>
      </c>
    </row>
    <row r="4910" spans="1:13" hidden="1">
      <c r="A4910" t="s">
        <v>107</v>
      </c>
      <c r="B4910" t="s">
        <v>8</v>
      </c>
      <c r="C4910" t="s">
        <v>106</v>
      </c>
      <c r="D4910" t="str">
        <f>LEFT(M4910,9)</f>
        <v>1/15/2025</v>
      </c>
      <c r="E4910" t="s">
        <v>202</v>
      </c>
      <c r="F4910" t="s">
        <v>218</v>
      </c>
      <c r="G4910" t="s">
        <v>219</v>
      </c>
      <c r="I4910">
        <v>593</v>
      </c>
      <c r="J4910">
        <v>711.6</v>
      </c>
      <c r="K4910">
        <v>1.2</v>
      </c>
      <c r="M4910" t="s">
        <v>516</v>
      </c>
    </row>
    <row r="4911" spans="1:13" hidden="1">
      <c r="A4911" t="s">
        <v>107</v>
      </c>
      <c r="B4911" t="s">
        <v>8</v>
      </c>
      <c r="C4911" t="s">
        <v>106</v>
      </c>
      <c r="D4911" t="str">
        <f>LEFT(M4911,9)</f>
        <v>1/15/2025</v>
      </c>
      <c r="E4911" t="s">
        <v>202</v>
      </c>
      <c r="F4911" t="s">
        <v>227</v>
      </c>
      <c r="G4911" t="s">
        <v>237</v>
      </c>
      <c r="I4911">
        <v>1209</v>
      </c>
      <c r="J4911">
        <v>725.4</v>
      </c>
      <c r="K4911">
        <v>0.6</v>
      </c>
      <c r="M4911" t="s">
        <v>516</v>
      </c>
    </row>
    <row r="4912" spans="1:13" hidden="1">
      <c r="A4912" t="s">
        <v>107</v>
      </c>
      <c r="B4912" t="s">
        <v>8</v>
      </c>
      <c r="C4912" t="s">
        <v>106</v>
      </c>
      <c r="D4912" t="str">
        <f>LEFT(M4912,9)</f>
        <v>1/15/2025</v>
      </c>
      <c r="E4912" t="s">
        <v>202</v>
      </c>
      <c r="F4912" t="s">
        <v>227</v>
      </c>
      <c r="G4912" t="s">
        <v>252</v>
      </c>
      <c r="I4912">
        <v>175</v>
      </c>
      <c r="J4912">
        <v>35</v>
      </c>
      <c r="K4912">
        <v>0.2</v>
      </c>
      <c r="M4912" t="s">
        <v>516</v>
      </c>
    </row>
    <row r="4913" spans="1:13" hidden="1">
      <c r="A4913" t="s">
        <v>107</v>
      </c>
      <c r="B4913" t="s">
        <v>8</v>
      </c>
      <c r="C4913" t="s">
        <v>106</v>
      </c>
      <c r="D4913" t="str">
        <f>LEFT(M4913,9)</f>
        <v>1/15/2025</v>
      </c>
      <c r="E4913" t="s">
        <v>202</v>
      </c>
      <c r="F4913" t="s">
        <v>227</v>
      </c>
      <c r="G4913" t="s">
        <v>238</v>
      </c>
      <c r="I4913">
        <v>178</v>
      </c>
      <c r="J4913">
        <v>44.5</v>
      </c>
      <c r="K4913">
        <v>0.25</v>
      </c>
      <c r="M4913" t="s">
        <v>516</v>
      </c>
    </row>
    <row r="4914" spans="1:13" hidden="1">
      <c r="A4914" t="s">
        <v>107</v>
      </c>
      <c r="B4914" t="s">
        <v>8</v>
      </c>
      <c r="C4914" t="s">
        <v>106</v>
      </c>
      <c r="D4914" t="str">
        <f>LEFT(M4914,9)</f>
        <v>1/15/2025</v>
      </c>
      <c r="E4914" t="s">
        <v>202</v>
      </c>
      <c r="F4914" t="s">
        <v>218</v>
      </c>
      <c r="G4914" t="s">
        <v>268</v>
      </c>
      <c r="I4914">
        <v>311</v>
      </c>
      <c r="J4914">
        <v>466.5</v>
      </c>
      <c r="K4914">
        <v>1.5</v>
      </c>
      <c r="M4914" t="s">
        <v>516</v>
      </c>
    </row>
    <row r="4915" spans="1:13" hidden="1">
      <c r="A4915" t="s">
        <v>107</v>
      </c>
      <c r="B4915" t="s">
        <v>8</v>
      </c>
      <c r="C4915" t="s">
        <v>106</v>
      </c>
      <c r="D4915" t="str">
        <f>LEFT(M4915,9)</f>
        <v>1/15/2025</v>
      </c>
      <c r="E4915" t="s">
        <v>202</v>
      </c>
      <c r="F4915" t="s">
        <v>218</v>
      </c>
      <c r="G4915" t="s">
        <v>239</v>
      </c>
      <c r="I4915">
        <v>87</v>
      </c>
      <c r="J4915">
        <v>0.87</v>
      </c>
      <c r="K4915">
        <v>0.01</v>
      </c>
      <c r="M4915" t="s">
        <v>516</v>
      </c>
    </row>
    <row r="4916" spans="1:13" hidden="1">
      <c r="A4916" t="s">
        <v>107</v>
      </c>
      <c r="B4916" t="s">
        <v>8</v>
      </c>
      <c r="C4916" t="s">
        <v>106</v>
      </c>
      <c r="D4916" t="str">
        <f>LEFT(M4916,9)</f>
        <v>1/15/2025</v>
      </c>
      <c r="E4916" t="s">
        <v>202</v>
      </c>
      <c r="F4916" t="s">
        <v>218</v>
      </c>
      <c r="G4916" t="s">
        <v>266</v>
      </c>
      <c r="I4916">
        <v>133</v>
      </c>
      <c r="J4916">
        <v>1.33</v>
      </c>
      <c r="K4916">
        <v>0.01</v>
      </c>
      <c r="M4916" t="s">
        <v>516</v>
      </c>
    </row>
    <row r="4917" spans="1:13" hidden="1">
      <c r="A4917" t="s">
        <v>107</v>
      </c>
      <c r="B4917" t="s">
        <v>8</v>
      </c>
      <c r="C4917" t="s">
        <v>106</v>
      </c>
      <c r="D4917" t="str">
        <f>LEFT(M4917,9)</f>
        <v>1/15/2025</v>
      </c>
      <c r="E4917" t="s">
        <v>202</v>
      </c>
      <c r="F4917" t="s">
        <v>218</v>
      </c>
      <c r="G4917" t="s">
        <v>223</v>
      </c>
      <c r="I4917">
        <v>228</v>
      </c>
      <c r="J4917">
        <v>136.80000000000001</v>
      </c>
      <c r="K4917">
        <v>0.6</v>
      </c>
      <c r="M4917" t="s">
        <v>516</v>
      </c>
    </row>
    <row r="4918" spans="1:13" hidden="1">
      <c r="A4918" t="s">
        <v>107</v>
      </c>
      <c r="B4918" t="s">
        <v>8</v>
      </c>
      <c r="C4918" t="s">
        <v>106</v>
      </c>
      <c r="D4918" t="str">
        <f>LEFT(M4918,9)</f>
        <v>1/15/2025</v>
      </c>
      <c r="E4918" t="s">
        <v>202</v>
      </c>
      <c r="F4918" t="s">
        <v>218</v>
      </c>
      <c r="G4918" t="s">
        <v>225</v>
      </c>
      <c r="I4918">
        <v>57</v>
      </c>
      <c r="J4918">
        <v>57</v>
      </c>
      <c r="K4918">
        <v>1</v>
      </c>
      <c r="M4918" t="s">
        <v>516</v>
      </c>
    </row>
    <row r="4919" spans="1:13" hidden="1">
      <c r="A4919" t="s">
        <v>107</v>
      </c>
      <c r="B4919" t="s">
        <v>8</v>
      </c>
      <c r="C4919" t="s">
        <v>106</v>
      </c>
      <c r="D4919" t="str">
        <f>LEFT(M4919,9)</f>
        <v>1/15/2025</v>
      </c>
      <c r="E4919" t="s">
        <v>202</v>
      </c>
      <c r="F4919" t="s">
        <v>218</v>
      </c>
      <c r="G4919" t="s">
        <v>247</v>
      </c>
      <c r="I4919">
        <v>34</v>
      </c>
      <c r="J4919">
        <v>136</v>
      </c>
      <c r="K4919">
        <v>4</v>
      </c>
      <c r="M4919" t="s">
        <v>516</v>
      </c>
    </row>
    <row r="4920" spans="1:13" hidden="1">
      <c r="A4920" t="s">
        <v>107</v>
      </c>
      <c r="B4920" t="s">
        <v>8</v>
      </c>
      <c r="C4920" t="s">
        <v>106</v>
      </c>
      <c r="D4920" t="str">
        <f>LEFT(M4920,9)</f>
        <v>1/15/2025</v>
      </c>
      <c r="E4920" t="s">
        <v>202</v>
      </c>
      <c r="F4920" t="s">
        <v>218</v>
      </c>
      <c r="G4920" t="s">
        <v>267</v>
      </c>
      <c r="I4920">
        <v>61</v>
      </c>
      <c r="J4920">
        <v>6.1</v>
      </c>
      <c r="K4920">
        <v>0.1</v>
      </c>
      <c r="M4920" t="s">
        <v>516</v>
      </c>
    </row>
    <row r="4921" spans="1:13" hidden="1">
      <c r="A4921" t="s">
        <v>107</v>
      </c>
      <c r="B4921" t="s">
        <v>8</v>
      </c>
      <c r="C4921" t="s">
        <v>106</v>
      </c>
      <c r="D4921" t="str">
        <f>LEFT(M4921,9)</f>
        <v>1/15/2025</v>
      </c>
      <c r="E4921" t="s">
        <v>202</v>
      </c>
      <c r="F4921" t="s">
        <v>218</v>
      </c>
      <c r="G4921" t="s">
        <v>224</v>
      </c>
      <c r="I4921">
        <v>86</v>
      </c>
      <c r="J4921">
        <v>77.400000000000006</v>
      </c>
      <c r="K4921">
        <v>0.9</v>
      </c>
      <c r="M4921" t="s">
        <v>516</v>
      </c>
    </row>
    <row r="4922" spans="1:13" hidden="1">
      <c r="A4922" t="s">
        <v>107</v>
      </c>
      <c r="B4922" t="s">
        <v>8</v>
      </c>
      <c r="C4922" t="s">
        <v>106</v>
      </c>
      <c r="D4922" t="str">
        <f>LEFT(M4922,9)</f>
        <v>1/15/2025</v>
      </c>
      <c r="E4922" t="s">
        <v>202</v>
      </c>
      <c r="F4922" t="s">
        <v>216</v>
      </c>
      <c r="G4922" t="s">
        <v>253</v>
      </c>
      <c r="I4922">
        <v>2550</v>
      </c>
      <c r="J4922">
        <v>382.5</v>
      </c>
      <c r="K4922">
        <v>0.15</v>
      </c>
      <c r="M4922" t="s">
        <v>516</v>
      </c>
    </row>
    <row r="4923" spans="1:13" hidden="1">
      <c r="A4923" t="s">
        <v>107</v>
      </c>
      <c r="B4923" t="s">
        <v>8</v>
      </c>
      <c r="C4923" t="s">
        <v>106</v>
      </c>
      <c r="D4923" t="str">
        <f>LEFT(M4923,9)</f>
        <v>1/15/2025</v>
      </c>
      <c r="E4923" t="s">
        <v>202</v>
      </c>
      <c r="F4923" t="s">
        <v>203</v>
      </c>
      <c r="G4923" t="s">
        <v>215</v>
      </c>
      <c r="I4923">
        <v>840</v>
      </c>
      <c r="J4923">
        <v>504</v>
      </c>
      <c r="K4923">
        <v>0.6</v>
      </c>
      <c r="M4923" t="s">
        <v>516</v>
      </c>
    </row>
    <row r="4924" spans="1:13" hidden="1">
      <c r="A4924" t="s">
        <v>107</v>
      </c>
      <c r="B4924" t="s">
        <v>8</v>
      </c>
      <c r="C4924" t="s">
        <v>106</v>
      </c>
      <c r="D4924" t="str">
        <f>LEFT(M4924,9)</f>
        <v>1/15/2025</v>
      </c>
      <c r="E4924" t="s">
        <v>230</v>
      </c>
      <c r="F4924" t="s">
        <v>248</v>
      </c>
      <c r="I4924">
        <v>0</v>
      </c>
      <c r="J4924">
        <v>3084.75</v>
      </c>
      <c r="M4924" t="s">
        <v>516</v>
      </c>
    </row>
    <row r="4925" spans="1:13" hidden="1">
      <c r="A4925" t="s">
        <v>107</v>
      </c>
      <c r="B4925" t="s">
        <v>8</v>
      </c>
      <c r="C4925" t="s">
        <v>106</v>
      </c>
      <c r="D4925" t="str">
        <f>LEFT(M4925,9)</f>
        <v>1/15/2025</v>
      </c>
      <c r="E4925" t="s">
        <v>232</v>
      </c>
      <c r="F4925" t="s">
        <v>272</v>
      </c>
      <c r="I4925">
        <v>0</v>
      </c>
      <c r="J4925">
        <v>128</v>
      </c>
      <c r="M4925" t="s">
        <v>516</v>
      </c>
    </row>
    <row r="4926" spans="1:13" hidden="1">
      <c r="A4926" t="s">
        <v>107</v>
      </c>
      <c r="B4926" t="s">
        <v>8</v>
      </c>
      <c r="C4926" t="s">
        <v>106</v>
      </c>
      <c r="D4926" t="str">
        <f>LEFT(M4926,9)</f>
        <v>1/15/2025</v>
      </c>
      <c r="E4926" t="s">
        <v>234</v>
      </c>
      <c r="F4926" t="s">
        <v>234</v>
      </c>
      <c r="I4926">
        <v>3500</v>
      </c>
      <c r="M4926" t="s">
        <v>516</v>
      </c>
    </row>
    <row r="4927" spans="1:13" hidden="1">
      <c r="A4927" t="s">
        <v>90</v>
      </c>
      <c r="B4927" t="s">
        <v>8</v>
      </c>
      <c r="C4927" t="s">
        <v>89</v>
      </c>
      <c r="D4927" t="str">
        <f>LEFT(M4927,9)</f>
        <v>1/15/2025</v>
      </c>
      <c r="E4927" t="s">
        <v>234</v>
      </c>
      <c r="F4927" t="s">
        <v>234</v>
      </c>
      <c r="I4927">
        <v>0</v>
      </c>
      <c r="M4927" t="s">
        <v>516</v>
      </c>
    </row>
    <row r="4928" spans="1:13" hidden="1">
      <c r="A4928" t="s">
        <v>90</v>
      </c>
      <c r="B4928" t="s">
        <v>8</v>
      </c>
      <c r="C4928" t="s">
        <v>89</v>
      </c>
      <c r="D4928" t="str">
        <f>LEFT(M4928,9)</f>
        <v>1/15/2025</v>
      </c>
      <c r="E4928" t="s">
        <v>230</v>
      </c>
      <c r="F4928" t="s">
        <v>248</v>
      </c>
      <c r="I4928">
        <v>0</v>
      </c>
      <c r="J4928">
        <v>3976.7</v>
      </c>
      <c r="M4928" t="s">
        <v>516</v>
      </c>
    </row>
    <row r="4929" spans="1:13" hidden="1">
      <c r="A4929" t="s">
        <v>90</v>
      </c>
      <c r="B4929" t="s">
        <v>8</v>
      </c>
      <c r="C4929" t="s">
        <v>89</v>
      </c>
      <c r="D4929" t="str">
        <f>LEFT(M4929,9)</f>
        <v>1/15/2025</v>
      </c>
      <c r="E4929" t="s">
        <v>202</v>
      </c>
      <c r="F4929" t="s">
        <v>218</v>
      </c>
      <c r="G4929" t="s">
        <v>241</v>
      </c>
      <c r="I4929">
        <v>54</v>
      </c>
      <c r="J4929">
        <v>162</v>
      </c>
      <c r="K4929">
        <v>3</v>
      </c>
      <c r="M4929" t="s">
        <v>516</v>
      </c>
    </row>
    <row r="4930" spans="1:13" hidden="1">
      <c r="A4930" t="s">
        <v>90</v>
      </c>
      <c r="B4930" t="s">
        <v>8</v>
      </c>
      <c r="C4930" t="s">
        <v>89</v>
      </c>
      <c r="D4930" t="str">
        <f>LEFT(M4930,9)</f>
        <v>1/15/2025</v>
      </c>
      <c r="E4930" t="s">
        <v>202</v>
      </c>
      <c r="F4930" t="s">
        <v>218</v>
      </c>
      <c r="G4930" t="s">
        <v>226</v>
      </c>
      <c r="I4930">
        <v>105</v>
      </c>
      <c r="J4930">
        <v>21</v>
      </c>
      <c r="K4930">
        <v>0.2</v>
      </c>
      <c r="M4930" t="s">
        <v>516</v>
      </c>
    </row>
    <row r="4931" spans="1:13" hidden="1">
      <c r="A4931" t="s">
        <v>90</v>
      </c>
      <c r="B4931" t="s">
        <v>8</v>
      </c>
      <c r="C4931" t="s">
        <v>89</v>
      </c>
      <c r="D4931" t="str">
        <f>LEFT(M4931,9)</f>
        <v>1/15/2025</v>
      </c>
      <c r="E4931" t="s">
        <v>202</v>
      </c>
      <c r="F4931" t="s">
        <v>218</v>
      </c>
      <c r="G4931" t="s">
        <v>224</v>
      </c>
      <c r="I4931">
        <v>112</v>
      </c>
      <c r="J4931">
        <v>89.6</v>
      </c>
      <c r="K4931">
        <v>0.8</v>
      </c>
      <c r="M4931" t="s">
        <v>516</v>
      </c>
    </row>
    <row r="4932" spans="1:13" hidden="1">
      <c r="A4932" t="s">
        <v>90</v>
      </c>
      <c r="B4932" t="s">
        <v>8</v>
      </c>
      <c r="C4932" t="s">
        <v>89</v>
      </c>
      <c r="D4932" t="str">
        <f>LEFT(M4932,9)</f>
        <v>1/15/2025</v>
      </c>
      <c r="E4932" t="s">
        <v>202</v>
      </c>
      <c r="F4932" t="s">
        <v>218</v>
      </c>
      <c r="G4932" t="s">
        <v>268</v>
      </c>
      <c r="I4932">
        <v>58</v>
      </c>
      <c r="J4932">
        <v>58</v>
      </c>
      <c r="K4932">
        <v>1</v>
      </c>
      <c r="M4932" t="s">
        <v>516</v>
      </c>
    </row>
    <row r="4933" spans="1:13" hidden="1">
      <c r="A4933" t="s">
        <v>90</v>
      </c>
      <c r="B4933" t="s">
        <v>8</v>
      </c>
      <c r="C4933" t="s">
        <v>89</v>
      </c>
      <c r="D4933" t="str">
        <f>LEFT(M4933,9)</f>
        <v>1/15/2025</v>
      </c>
      <c r="E4933" t="s">
        <v>202</v>
      </c>
      <c r="F4933" t="s">
        <v>218</v>
      </c>
      <c r="G4933" t="s">
        <v>220</v>
      </c>
      <c r="I4933">
        <v>113</v>
      </c>
      <c r="J4933">
        <v>158.19999999999999</v>
      </c>
      <c r="K4933">
        <v>1.4</v>
      </c>
      <c r="M4933" t="s">
        <v>516</v>
      </c>
    </row>
    <row r="4934" spans="1:13" hidden="1">
      <c r="A4934" t="s">
        <v>90</v>
      </c>
      <c r="B4934" t="s">
        <v>8</v>
      </c>
      <c r="C4934" t="s">
        <v>89</v>
      </c>
      <c r="D4934" t="str">
        <f>LEFT(M4934,9)</f>
        <v>1/15/2025</v>
      </c>
      <c r="E4934" t="s">
        <v>202</v>
      </c>
      <c r="F4934" t="s">
        <v>218</v>
      </c>
      <c r="G4934" t="s">
        <v>243</v>
      </c>
      <c r="H4934" t="s">
        <v>278</v>
      </c>
      <c r="I4934">
        <v>75</v>
      </c>
      <c r="J4934">
        <v>75</v>
      </c>
      <c r="K4934">
        <v>1</v>
      </c>
      <c r="M4934" t="s">
        <v>516</v>
      </c>
    </row>
    <row r="4935" spans="1:13" hidden="1">
      <c r="A4935" t="s">
        <v>90</v>
      </c>
      <c r="B4935" t="s">
        <v>8</v>
      </c>
      <c r="C4935" t="s">
        <v>89</v>
      </c>
      <c r="D4935" t="str">
        <f>LEFT(M4935,9)</f>
        <v>1/15/2025</v>
      </c>
      <c r="E4935" t="s">
        <v>202</v>
      </c>
      <c r="F4935" t="s">
        <v>227</v>
      </c>
      <c r="G4935" t="s">
        <v>252</v>
      </c>
      <c r="I4935">
        <v>469</v>
      </c>
      <c r="J4935">
        <v>117.25</v>
      </c>
      <c r="K4935">
        <v>0.25</v>
      </c>
      <c r="M4935" t="s">
        <v>516</v>
      </c>
    </row>
    <row r="4936" spans="1:13" hidden="1">
      <c r="A4936" t="s">
        <v>90</v>
      </c>
      <c r="B4936" t="s">
        <v>8</v>
      </c>
      <c r="C4936" t="s">
        <v>89</v>
      </c>
      <c r="D4936" t="str">
        <f>LEFT(M4936,9)</f>
        <v>1/15/2025</v>
      </c>
      <c r="E4936" t="s">
        <v>202</v>
      </c>
      <c r="F4936" t="s">
        <v>227</v>
      </c>
      <c r="G4936" t="s">
        <v>238</v>
      </c>
      <c r="I4936">
        <v>212</v>
      </c>
      <c r="J4936">
        <v>63.6</v>
      </c>
      <c r="K4936">
        <v>0.3</v>
      </c>
      <c r="M4936" t="s">
        <v>516</v>
      </c>
    </row>
    <row r="4937" spans="1:13" hidden="1">
      <c r="A4937" t="s">
        <v>90</v>
      </c>
      <c r="B4937" t="s">
        <v>8</v>
      </c>
      <c r="C4937" t="s">
        <v>89</v>
      </c>
      <c r="D4937" t="str">
        <f>LEFT(M4937,9)</f>
        <v>1/15/2025</v>
      </c>
      <c r="E4937" t="s">
        <v>202</v>
      </c>
      <c r="F4937" t="s">
        <v>218</v>
      </c>
      <c r="G4937" t="s">
        <v>242</v>
      </c>
      <c r="I4937">
        <v>117</v>
      </c>
      <c r="J4937">
        <v>93.6</v>
      </c>
      <c r="K4937">
        <v>0.8</v>
      </c>
      <c r="M4937" t="s">
        <v>516</v>
      </c>
    </row>
    <row r="4938" spans="1:13" hidden="1">
      <c r="A4938" t="s">
        <v>90</v>
      </c>
      <c r="B4938" t="s">
        <v>8</v>
      </c>
      <c r="C4938" t="s">
        <v>89</v>
      </c>
      <c r="D4938" t="str">
        <f>LEFT(M4938,9)</f>
        <v>1/15/2025</v>
      </c>
      <c r="E4938" t="s">
        <v>202</v>
      </c>
      <c r="F4938" t="s">
        <v>227</v>
      </c>
      <c r="G4938" t="s">
        <v>228</v>
      </c>
      <c r="I4938">
        <v>1064</v>
      </c>
      <c r="J4938">
        <v>319.2</v>
      </c>
      <c r="K4938">
        <v>0.3</v>
      </c>
      <c r="M4938" t="s">
        <v>516</v>
      </c>
    </row>
    <row r="4939" spans="1:13" hidden="1">
      <c r="A4939" t="s">
        <v>90</v>
      </c>
      <c r="B4939" t="s">
        <v>8</v>
      </c>
      <c r="C4939" t="s">
        <v>89</v>
      </c>
      <c r="D4939" t="str">
        <f>LEFT(M4939,9)</f>
        <v>1/15/2025</v>
      </c>
      <c r="E4939" t="s">
        <v>202</v>
      </c>
      <c r="F4939" t="s">
        <v>227</v>
      </c>
      <c r="G4939" t="s">
        <v>237</v>
      </c>
      <c r="I4939">
        <v>431</v>
      </c>
      <c r="J4939">
        <v>258.60000000000002</v>
      </c>
      <c r="K4939">
        <v>0.6</v>
      </c>
      <c r="M4939" t="s">
        <v>516</v>
      </c>
    </row>
    <row r="4940" spans="1:13" hidden="1">
      <c r="A4940" t="s">
        <v>90</v>
      </c>
      <c r="B4940" t="s">
        <v>8</v>
      </c>
      <c r="C4940" t="s">
        <v>89</v>
      </c>
      <c r="D4940" t="str">
        <f>LEFT(M4940,9)</f>
        <v>1/15/2025</v>
      </c>
      <c r="E4940" t="s">
        <v>202</v>
      </c>
      <c r="F4940" t="s">
        <v>218</v>
      </c>
      <c r="G4940" t="s">
        <v>240</v>
      </c>
      <c r="I4940">
        <v>331</v>
      </c>
      <c r="J4940">
        <v>993</v>
      </c>
      <c r="K4940">
        <v>3</v>
      </c>
      <c r="M4940" t="s">
        <v>516</v>
      </c>
    </row>
    <row r="4941" spans="1:13" hidden="1">
      <c r="A4941" t="s">
        <v>90</v>
      </c>
      <c r="B4941" t="s">
        <v>8</v>
      </c>
      <c r="C4941" t="s">
        <v>89</v>
      </c>
      <c r="D4941" t="str">
        <f>LEFT(M4941,9)</f>
        <v>1/15/2025</v>
      </c>
      <c r="E4941" t="s">
        <v>202</v>
      </c>
      <c r="F4941" t="s">
        <v>218</v>
      </c>
      <c r="G4941" t="s">
        <v>243</v>
      </c>
      <c r="H4941" t="s">
        <v>554</v>
      </c>
      <c r="I4941">
        <v>340</v>
      </c>
      <c r="J4941">
        <v>442</v>
      </c>
      <c r="K4941">
        <v>1.3</v>
      </c>
      <c r="M4941" t="s">
        <v>516</v>
      </c>
    </row>
    <row r="4942" spans="1:13" hidden="1">
      <c r="A4942" t="s">
        <v>90</v>
      </c>
      <c r="B4942" t="s">
        <v>8</v>
      </c>
      <c r="C4942" t="s">
        <v>89</v>
      </c>
      <c r="D4942" t="str">
        <f>LEFT(M4942,9)</f>
        <v>1/15/2025</v>
      </c>
      <c r="E4942" t="s">
        <v>202</v>
      </c>
      <c r="F4942" t="s">
        <v>218</v>
      </c>
      <c r="G4942" t="s">
        <v>243</v>
      </c>
      <c r="H4942" t="s">
        <v>380</v>
      </c>
      <c r="I4942">
        <v>298</v>
      </c>
      <c r="J4942">
        <v>655.6</v>
      </c>
      <c r="M4942" t="s">
        <v>516</v>
      </c>
    </row>
    <row r="4943" spans="1:13" hidden="1">
      <c r="A4943" t="s">
        <v>90</v>
      </c>
      <c r="B4943" t="s">
        <v>8</v>
      </c>
      <c r="C4943" t="s">
        <v>89</v>
      </c>
      <c r="D4943" t="str">
        <f>LEFT(M4943,9)</f>
        <v>1/15/2025</v>
      </c>
      <c r="E4943" t="s">
        <v>202</v>
      </c>
      <c r="F4943" t="s">
        <v>218</v>
      </c>
      <c r="G4943" t="s">
        <v>243</v>
      </c>
      <c r="H4943" t="s">
        <v>555</v>
      </c>
      <c r="I4943">
        <v>250</v>
      </c>
      <c r="J4943">
        <v>200</v>
      </c>
      <c r="K4943">
        <v>0.8</v>
      </c>
      <c r="M4943" t="s">
        <v>516</v>
      </c>
    </row>
    <row r="4944" spans="1:13" hidden="1">
      <c r="A4944" t="s">
        <v>90</v>
      </c>
      <c r="B4944" t="s">
        <v>8</v>
      </c>
      <c r="C4944" t="s">
        <v>89</v>
      </c>
      <c r="D4944" t="str">
        <f>LEFT(M4944,9)</f>
        <v>1/15/2025</v>
      </c>
      <c r="E4944" t="s">
        <v>202</v>
      </c>
      <c r="F4944" t="s">
        <v>218</v>
      </c>
      <c r="G4944" t="s">
        <v>219</v>
      </c>
      <c r="I4944">
        <v>56</v>
      </c>
      <c r="J4944">
        <v>5.6</v>
      </c>
      <c r="K4944">
        <v>0.1</v>
      </c>
      <c r="M4944" t="s">
        <v>516</v>
      </c>
    </row>
    <row r="4945" spans="1:13" hidden="1">
      <c r="A4945" t="s">
        <v>90</v>
      </c>
      <c r="B4945" t="s">
        <v>8</v>
      </c>
      <c r="C4945" t="s">
        <v>89</v>
      </c>
      <c r="D4945" t="str">
        <f>LEFT(M4945,9)</f>
        <v>1/15/2025</v>
      </c>
      <c r="E4945" t="s">
        <v>202</v>
      </c>
      <c r="F4945" t="s">
        <v>227</v>
      </c>
      <c r="G4945" t="s">
        <v>229</v>
      </c>
      <c r="I4945">
        <v>2695</v>
      </c>
      <c r="J4945">
        <v>1697.85</v>
      </c>
      <c r="K4945">
        <v>0.63</v>
      </c>
      <c r="M4945" t="s">
        <v>516</v>
      </c>
    </row>
    <row r="4946" spans="1:13" hidden="1">
      <c r="A4946" t="s">
        <v>90</v>
      </c>
      <c r="B4946" t="s">
        <v>8</v>
      </c>
      <c r="C4946" t="s">
        <v>89</v>
      </c>
      <c r="D4946" t="str">
        <f>LEFT(M4946,9)</f>
        <v>1/15/2025</v>
      </c>
      <c r="E4946" t="s">
        <v>202</v>
      </c>
      <c r="F4946" t="s">
        <v>216</v>
      </c>
      <c r="G4946" t="s">
        <v>253</v>
      </c>
      <c r="I4946">
        <v>1030</v>
      </c>
      <c r="J4946">
        <v>154.5</v>
      </c>
      <c r="K4946">
        <v>0.15</v>
      </c>
      <c r="M4946" t="s">
        <v>516</v>
      </c>
    </row>
    <row r="4947" spans="1:13" hidden="1">
      <c r="A4947" t="s">
        <v>90</v>
      </c>
      <c r="B4947" t="s">
        <v>8</v>
      </c>
      <c r="C4947" t="s">
        <v>89</v>
      </c>
      <c r="D4947" t="str">
        <f>LEFT(M4947,9)</f>
        <v>1/15/2025</v>
      </c>
      <c r="E4947" t="s">
        <v>202</v>
      </c>
      <c r="F4947" t="s">
        <v>203</v>
      </c>
      <c r="G4947" t="s">
        <v>236</v>
      </c>
      <c r="I4947">
        <v>240</v>
      </c>
      <c r="J4947">
        <v>144</v>
      </c>
      <c r="K4947">
        <v>0.6</v>
      </c>
      <c r="M4947" t="s">
        <v>516</v>
      </c>
    </row>
    <row r="4948" spans="1:13" hidden="1">
      <c r="A4948" t="s">
        <v>133</v>
      </c>
      <c r="B4948" t="s">
        <v>8</v>
      </c>
      <c r="C4948" t="s">
        <v>132</v>
      </c>
      <c r="D4948" t="str">
        <f>LEFT(M4948,9)</f>
        <v>1/15/2025</v>
      </c>
      <c r="E4948" t="s">
        <v>202</v>
      </c>
      <c r="F4948" t="s">
        <v>227</v>
      </c>
      <c r="G4948" t="s">
        <v>229</v>
      </c>
      <c r="I4948">
        <v>4025.5</v>
      </c>
      <c r="J4948">
        <v>3099.64</v>
      </c>
      <c r="K4948">
        <v>0.77</v>
      </c>
      <c r="M4948" t="s">
        <v>516</v>
      </c>
    </row>
    <row r="4949" spans="1:13" hidden="1">
      <c r="A4949" t="s">
        <v>133</v>
      </c>
      <c r="B4949" t="s">
        <v>8</v>
      </c>
      <c r="C4949" t="s">
        <v>132</v>
      </c>
      <c r="D4949" t="str">
        <f>LEFT(M4949,9)</f>
        <v>1/15/2025</v>
      </c>
      <c r="E4949" t="s">
        <v>202</v>
      </c>
      <c r="F4949" t="s">
        <v>227</v>
      </c>
      <c r="G4949" t="s">
        <v>252</v>
      </c>
      <c r="I4949">
        <v>436</v>
      </c>
      <c r="J4949">
        <v>174.4</v>
      </c>
      <c r="K4949">
        <v>0.4</v>
      </c>
      <c r="M4949" t="s">
        <v>516</v>
      </c>
    </row>
    <row r="4950" spans="1:13" hidden="1">
      <c r="A4950" t="s">
        <v>133</v>
      </c>
      <c r="B4950" t="s">
        <v>8</v>
      </c>
      <c r="C4950" t="s">
        <v>132</v>
      </c>
      <c r="D4950" t="str">
        <f>LEFT(M4950,9)</f>
        <v>1/15/2025</v>
      </c>
      <c r="E4950" t="s">
        <v>202</v>
      </c>
      <c r="F4950" t="s">
        <v>227</v>
      </c>
      <c r="G4950" t="s">
        <v>237</v>
      </c>
      <c r="I4950">
        <v>443</v>
      </c>
      <c r="J4950">
        <v>265.8</v>
      </c>
      <c r="K4950">
        <v>0.6</v>
      </c>
      <c r="M4950" t="s">
        <v>516</v>
      </c>
    </row>
    <row r="4951" spans="1:13" hidden="1">
      <c r="A4951" t="s">
        <v>133</v>
      </c>
      <c r="B4951" t="s">
        <v>8</v>
      </c>
      <c r="C4951" t="s">
        <v>132</v>
      </c>
      <c r="D4951" t="str">
        <f>LEFT(M4951,9)</f>
        <v>1/15/2025</v>
      </c>
      <c r="E4951" t="s">
        <v>202</v>
      </c>
      <c r="F4951" t="s">
        <v>227</v>
      </c>
      <c r="G4951" t="s">
        <v>228</v>
      </c>
      <c r="I4951">
        <v>1019.2</v>
      </c>
      <c r="J4951">
        <v>305.76</v>
      </c>
      <c r="K4951">
        <v>0.3</v>
      </c>
      <c r="M4951" t="s">
        <v>516</v>
      </c>
    </row>
    <row r="4952" spans="1:13" hidden="1">
      <c r="A4952" t="s">
        <v>133</v>
      </c>
      <c r="B4952" t="s">
        <v>8</v>
      </c>
      <c r="C4952" t="s">
        <v>132</v>
      </c>
      <c r="D4952" t="str">
        <f>LEFT(M4952,9)</f>
        <v>1/15/2025</v>
      </c>
      <c r="E4952" t="s">
        <v>202</v>
      </c>
      <c r="F4952" t="s">
        <v>227</v>
      </c>
      <c r="G4952" t="s">
        <v>238</v>
      </c>
      <c r="I4952">
        <v>224.2</v>
      </c>
      <c r="J4952">
        <v>89.68</v>
      </c>
      <c r="K4952">
        <v>0.4</v>
      </c>
      <c r="M4952" t="s">
        <v>516</v>
      </c>
    </row>
    <row r="4953" spans="1:13" hidden="1">
      <c r="A4953" t="s">
        <v>133</v>
      </c>
      <c r="B4953" t="s">
        <v>8</v>
      </c>
      <c r="C4953" t="s">
        <v>132</v>
      </c>
      <c r="D4953" t="str">
        <f>LEFT(M4953,9)</f>
        <v>1/15/2025</v>
      </c>
      <c r="E4953" t="s">
        <v>202</v>
      </c>
      <c r="F4953" t="s">
        <v>218</v>
      </c>
      <c r="G4953" t="s">
        <v>240</v>
      </c>
      <c r="I4953">
        <v>793</v>
      </c>
      <c r="J4953">
        <v>3489.2</v>
      </c>
      <c r="K4953">
        <v>4.4000000000000004</v>
      </c>
      <c r="M4953" t="s">
        <v>516</v>
      </c>
    </row>
    <row r="4954" spans="1:13" hidden="1">
      <c r="A4954" t="s">
        <v>133</v>
      </c>
      <c r="B4954" t="s">
        <v>8</v>
      </c>
      <c r="C4954" t="s">
        <v>132</v>
      </c>
      <c r="D4954" t="str">
        <f>LEFT(M4954,9)</f>
        <v>1/15/2025</v>
      </c>
      <c r="E4954" t="s">
        <v>202</v>
      </c>
      <c r="F4954" t="s">
        <v>218</v>
      </c>
      <c r="G4954" t="s">
        <v>221</v>
      </c>
      <c r="I4954">
        <v>152</v>
      </c>
      <c r="J4954">
        <v>372.4</v>
      </c>
      <c r="K4954">
        <v>2.4500000000000002</v>
      </c>
      <c r="M4954" t="s">
        <v>516</v>
      </c>
    </row>
    <row r="4955" spans="1:13" hidden="1">
      <c r="A4955" t="s">
        <v>133</v>
      </c>
      <c r="B4955" t="s">
        <v>8</v>
      </c>
      <c r="C4955" t="s">
        <v>132</v>
      </c>
      <c r="D4955" t="str">
        <f>LEFT(M4955,9)</f>
        <v>1/15/2025</v>
      </c>
      <c r="E4955" t="s">
        <v>202</v>
      </c>
      <c r="F4955" t="s">
        <v>218</v>
      </c>
      <c r="G4955" t="s">
        <v>219</v>
      </c>
      <c r="I4955">
        <v>159.4</v>
      </c>
      <c r="J4955">
        <v>39.85</v>
      </c>
      <c r="K4955">
        <v>0.25</v>
      </c>
      <c r="M4955" t="s">
        <v>516</v>
      </c>
    </row>
    <row r="4956" spans="1:13" hidden="1">
      <c r="A4956" t="s">
        <v>133</v>
      </c>
      <c r="B4956" t="s">
        <v>8</v>
      </c>
      <c r="C4956" t="s">
        <v>132</v>
      </c>
      <c r="D4956" t="str">
        <f>LEFT(M4956,9)</f>
        <v>1/15/2025</v>
      </c>
      <c r="E4956" t="s">
        <v>202</v>
      </c>
      <c r="F4956" t="s">
        <v>218</v>
      </c>
      <c r="G4956" t="s">
        <v>221</v>
      </c>
      <c r="I4956">
        <v>247.2</v>
      </c>
      <c r="J4956">
        <v>605.64</v>
      </c>
      <c r="K4956">
        <v>2.4500000000000002</v>
      </c>
      <c r="M4956" t="s">
        <v>516</v>
      </c>
    </row>
    <row r="4957" spans="1:13" hidden="1">
      <c r="A4957" t="s">
        <v>133</v>
      </c>
      <c r="B4957" t="s">
        <v>8</v>
      </c>
      <c r="C4957" t="s">
        <v>132</v>
      </c>
      <c r="D4957" t="str">
        <f>LEFT(M4957,9)</f>
        <v>1/15/2025</v>
      </c>
      <c r="E4957" t="s">
        <v>202</v>
      </c>
      <c r="F4957" t="s">
        <v>218</v>
      </c>
      <c r="G4957" t="s">
        <v>223</v>
      </c>
      <c r="I4957">
        <v>539.79999999999995</v>
      </c>
      <c r="J4957">
        <v>431.84</v>
      </c>
      <c r="K4957">
        <v>0.8</v>
      </c>
      <c r="M4957" t="s">
        <v>516</v>
      </c>
    </row>
    <row r="4958" spans="1:13" hidden="1">
      <c r="A4958" t="s">
        <v>133</v>
      </c>
      <c r="B4958" t="s">
        <v>8</v>
      </c>
      <c r="C4958" t="s">
        <v>132</v>
      </c>
      <c r="D4958" t="str">
        <f>LEFT(M4958,9)</f>
        <v>1/15/2025</v>
      </c>
      <c r="E4958" t="s">
        <v>202</v>
      </c>
      <c r="F4958" t="s">
        <v>218</v>
      </c>
      <c r="G4958" t="s">
        <v>220</v>
      </c>
      <c r="I4958">
        <v>547.6</v>
      </c>
      <c r="J4958">
        <v>766.64</v>
      </c>
      <c r="K4958">
        <v>1.4</v>
      </c>
      <c r="M4958" t="s">
        <v>516</v>
      </c>
    </row>
    <row r="4959" spans="1:13" hidden="1">
      <c r="A4959" t="s">
        <v>133</v>
      </c>
      <c r="B4959" t="s">
        <v>8</v>
      </c>
      <c r="C4959" t="s">
        <v>132</v>
      </c>
      <c r="D4959" t="str">
        <f>LEFT(M4959,9)</f>
        <v>1/15/2025</v>
      </c>
      <c r="E4959" t="s">
        <v>202</v>
      </c>
      <c r="F4959" t="s">
        <v>218</v>
      </c>
      <c r="G4959" t="s">
        <v>223</v>
      </c>
      <c r="I4959">
        <v>182</v>
      </c>
      <c r="J4959">
        <v>91</v>
      </c>
      <c r="K4959">
        <v>0.5</v>
      </c>
      <c r="M4959" t="s">
        <v>516</v>
      </c>
    </row>
    <row r="4960" spans="1:13" hidden="1">
      <c r="A4960" t="s">
        <v>133</v>
      </c>
      <c r="B4960" t="s">
        <v>8</v>
      </c>
      <c r="C4960" t="s">
        <v>132</v>
      </c>
      <c r="D4960" t="str">
        <f>LEFT(M4960,9)</f>
        <v>1/15/2025</v>
      </c>
      <c r="E4960" t="s">
        <v>202</v>
      </c>
      <c r="F4960" t="s">
        <v>218</v>
      </c>
      <c r="G4960" t="s">
        <v>224</v>
      </c>
      <c r="I4960">
        <v>217</v>
      </c>
      <c r="J4960">
        <v>238.7</v>
      </c>
      <c r="K4960">
        <v>1.1000000000000001</v>
      </c>
      <c r="M4960" t="s">
        <v>516</v>
      </c>
    </row>
    <row r="4961" spans="1:13" hidden="1">
      <c r="A4961" t="s">
        <v>133</v>
      </c>
      <c r="B4961" t="s">
        <v>8</v>
      </c>
      <c r="C4961" t="s">
        <v>132</v>
      </c>
      <c r="D4961" t="str">
        <f>LEFT(M4961,9)</f>
        <v>1/15/2025</v>
      </c>
      <c r="E4961" t="s">
        <v>202</v>
      </c>
      <c r="F4961" t="s">
        <v>218</v>
      </c>
      <c r="G4961" t="s">
        <v>226</v>
      </c>
      <c r="I4961">
        <v>346.4</v>
      </c>
      <c r="J4961">
        <v>103.92</v>
      </c>
      <c r="K4961">
        <v>0.3</v>
      </c>
      <c r="M4961" t="s">
        <v>516</v>
      </c>
    </row>
    <row r="4962" spans="1:13" hidden="1">
      <c r="A4962" t="s">
        <v>133</v>
      </c>
      <c r="B4962" t="s">
        <v>8</v>
      </c>
      <c r="C4962" t="s">
        <v>132</v>
      </c>
      <c r="D4962" t="str">
        <f>LEFT(M4962,9)</f>
        <v>1/15/2025</v>
      </c>
      <c r="E4962" t="s">
        <v>202</v>
      </c>
      <c r="F4962" t="s">
        <v>218</v>
      </c>
      <c r="G4962" t="s">
        <v>242</v>
      </c>
      <c r="I4962">
        <v>69.400000000000006</v>
      </c>
      <c r="J4962">
        <v>76.34</v>
      </c>
      <c r="K4962">
        <v>1.1000000000000001</v>
      </c>
      <c r="M4962" t="s">
        <v>516</v>
      </c>
    </row>
    <row r="4963" spans="1:13" hidden="1">
      <c r="A4963" t="s">
        <v>133</v>
      </c>
      <c r="B4963" t="s">
        <v>8</v>
      </c>
      <c r="C4963" t="s">
        <v>132</v>
      </c>
      <c r="D4963" t="str">
        <f>LEFT(M4963,9)</f>
        <v>1/15/2025</v>
      </c>
      <c r="E4963" t="s">
        <v>202</v>
      </c>
      <c r="F4963" t="s">
        <v>218</v>
      </c>
      <c r="G4963" t="s">
        <v>225</v>
      </c>
      <c r="I4963">
        <v>84.2</v>
      </c>
      <c r="J4963">
        <v>67.36</v>
      </c>
      <c r="K4963">
        <v>0.8</v>
      </c>
      <c r="M4963" t="s">
        <v>516</v>
      </c>
    </row>
    <row r="4964" spans="1:13" hidden="1">
      <c r="A4964" t="s">
        <v>133</v>
      </c>
      <c r="B4964" t="s">
        <v>8</v>
      </c>
      <c r="C4964" t="s">
        <v>132</v>
      </c>
      <c r="D4964" t="str">
        <f>LEFT(M4964,9)</f>
        <v>1/15/2025</v>
      </c>
      <c r="E4964" t="s">
        <v>202</v>
      </c>
      <c r="F4964" t="s">
        <v>218</v>
      </c>
      <c r="G4964" t="s">
        <v>222</v>
      </c>
      <c r="I4964">
        <v>59.4</v>
      </c>
      <c r="J4964">
        <v>136.62</v>
      </c>
      <c r="K4964">
        <v>2.2999999999999998</v>
      </c>
      <c r="M4964" t="s">
        <v>516</v>
      </c>
    </row>
    <row r="4965" spans="1:13" hidden="1">
      <c r="A4965" t="s">
        <v>133</v>
      </c>
      <c r="B4965" t="s">
        <v>8</v>
      </c>
      <c r="C4965" t="s">
        <v>132</v>
      </c>
      <c r="D4965" t="str">
        <f>LEFT(M4965,9)</f>
        <v>1/15/2025</v>
      </c>
      <c r="E4965" t="s">
        <v>202</v>
      </c>
      <c r="F4965" t="s">
        <v>218</v>
      </c>
      <c r="G4965" t="s">
        <v>222</v>
      </c>
      <c r="I4965">
        <v>252.2</v>
      </c>
      <c r="J4965">
        <v>504.4</v>
      </c>
      <c r="K4965">
        <v>2</v>
      </c>
      <c r="M4965" t="s">
        <v>516</v>
      </c>
    </row>
    <row r="4966" spans="1:13" hidden="1">
      <c r="A4966" t="s">
        <v>133</v>
      </c>
      <c r="B4966" t="s">
        <v>8</v>
      </c>
      <c r="C4966" t="s">
        <v>132</v>
      </c>
      <c r="D4966" t="str">
        <f>LEFT(M4966,9)</f>
        <v>1/15/2025</v>
      </c>
      <c r="E4966" t="s">
        <v>202</v>
      </c>
      <c r="F4966" t="s">
        <v>218</v>
      </c>
      <c r="G4966" t="s">
        <v>222</v>
      </c>
      <c r="I4966">
        <v>347.8</v>
      </c>
      <c r="J4966">
        <v>660.82</v>
      </c>
      <c r="K4966">
        <v>1.9</v>
      </c>
      <c r="M4966" t="s">
        <v>516</v>
      </c>
    </row>
    <row r="4967" spans="1:13" hidden="1">
      <c r="A4967" t="s">
        <v>133</v>
      </c>
      <c r="B4967" t="s">
        <v>8</v>
      </c>
      <c r="C4967" t="s">
        <v>132</v>
      </c>
      <c r="D4967" t="str">
        <f>LEFT(M4967,9)</f>
        <v>1/15/2025</v>
      </c>
      <c r="E4967" t="s">
        <v>202</v>
      </c>
      <c r="F4967" t="s">
        <v>218</v>
      </c>
      <c r="G4967" t="s">
        <v>222</v>
      </c>
      <c r="I4967">
        <v>180.4</v>
      </c>
      <c r="J4967">
        <v>279.62</v>
      </c>
      <c r="K4967">
        <v>1.55</v>
      </c>
      <c r="M4967" t="s">
        <v>516</v>
      </c>
    </row>
    <row r="4968" spans="1:13" hidden="1">
      <c r="A4968" t="s">
        <v>133</v>
      </c>
      <c r="B4968" t="s">
        <v>8</v>
      </c>
      <c r="C4968" t="s">
        <v>132</v>
      </c>
      <c r="D4968" t="str">
        <f>LEFT(M4968,9)</f>
        <v>1/15/2025</v>
      </c>
      <c r="E4968" t="s">
        <v>202</v>
      </c>
      <c r="F4968" t="s">
        <v>203</v>
      </c>
      <c r="G4968" t="s">
        <v>204</v>
      </c>
      <c r="I4968">
        <v>103.6</v>
      </c>
      <c r="J4968">
        <v>725.2</v>
      </c>
      <c r="K4968">
        <v>7</v>
      </c>
      <c r="M4968" t="s">
        <v>516</v>
      </c>
    </row>
    <row r="4969" spans="1:13" hidden="1">
      <c r="A4969" t="s">
        <v>133</v>
      </c>
      <c r="B4969" t="s">
        <v>8</v>
      </c>
      <c r="C4969" t="s">
        <v>132</v>
      </c>
      <c r="D4969" t="str">
        <f>LEFT(M4969,9)</f>
        <v>1/15/2025</v>
      </c>
      <c r="E4969" t="s">
        <v>202</v>
      </c>
      <c r="F4969" t="s">
        <v>227</v>
      </c>
      <c r="G4969" t="s">
        <v>237</v>
      </c>
      <c r="I4969">
        <v>1317.6</v>
      </c>
      <c r="J4969">
        <v>658.8</v>
      </c>
      <c r="K4969">
        <v>0.5</v>
      </c>
      <c r="M4969" t="s">
        <v>516</v>
      </c>
    </row>
    <row r="4970" spans="1:13" hidden="1">
      <c r="A4970" t="s">
        <v>133</v>
      </c>
      <c r="B4970" t="s">
        <v>8</v>
      </c>
      <c r="C4970" t="s">
        <v>132</v>
      </c>
      <c r="D4970" t="str">
        <f>LEFT(M4970,9)</f>
        <v>1/15/2025</v>
      </c>
      <c r="E4970" t="s">
        <v>202</v>
      </c>
      <c r="F4970" t="s">
        <v>203</v>
      </c>
      <c r="G4970" t="s">
        <v>207</v>
      </c>
      <c r="I4970">
        <v>49.6</v>
      </c>
      <c r="J4970">
        <v>148.80000000000001</v>
      </c>
      <c r="K4970">
        <v>3</v>
      </c>
      <c r="M4970" t="s">
        <v>516</v>
      </c>
    </row>
    <row r="4971" spans="1:13" hidden="1">
      <c r="A4971" t="s">
        <v>133</v>
      </c>
      <c r="B4971" t="s">
        <v>8</v>
      </c>
      <c r="C4971" t="s">
        <v>132</v>
      </c>
      <c r="D4971" t="str">
        <f>LEFT(M4971,9)</f>
        <v>1/15/2025</v>
      </c>
      <c r="E4971" t="s">
        <v>202</v>
      </c>
      <c r="F4971" t="s">
        <v>203</v>
      </c>
      <c r="G4971" t="s">
        <v>259</v>
      </c>
      <c r="I4971">
        <v>3.8</v>
      </c>
      <c r="J4971">
        <v>58.9</v>
      </c>
      <c r="K4971">
        <v>15.5</v>
      </c>
      <c r="M4971" t="s">
        <v>516</v>
      </c>
    </row>
    <row r="4972" spans="1:13" hidden="1">
      <c r="A4972" t="s">
        <v>133</v>
      </c>
      <c r="B4972" t="s">
        <v>8</v>
      </c>
      <c r="C4972" t="s">
        <v>132</v>
      </c>
      <c r="D4972" t="str">
        <f>LEFT(M4972,9)</f>
        <v>1/15/2025</v>
      </c>
      <c r="E4972" t="s">
        <v>202</v>
      </c>
      <c r="F4972" t="s">
        <v>203</v>
      </c>
      <c r="G4972" t="s">
        <v>235</v>
      </c>
      <c r="I4972">
        <v>24.8</v>
      </c>
      <c r="J4972">
        <v>91.76</v>
      </c>
      <c r="K4972">
        <v>3.7</v>
      </c>
      <c r="M4972" t="s">
        <v>516</v>
      </c>
    </row>
    <row r="4973" spans="1:13" hidden="1">
      <c r="A4973" t="s">
        <v>133</v>
      </c>
      <c r="B4973" t="s">
        <v>8</v>
      </c>
      <c r="C4973" t="s">
        <v>132</v>
      </c>
      <c r="D4973" t="str">
        <f>LEFT(M4973,9)</f>
        <v>1/15/2025</v>
      </c>
      <c r="E4973" t="s">
        <v>202</v>
      </c>
      <c r="F4973" t="s">
        <v>209</v>
      </c>
      <c r="G4973" t="s">
        <v>341</v>
      </c>
      <c r="I4973">
        <v>7.4</v>
      </c>
      <c r="J4973">
        <v>170.2</v>
      </c>
      <c r="K4973">
        <v>23</v>
      </c>
      <c r="M4973" t="s">
        <v>516</v>
      </c>
    </row>
    <row r="4974" spans="1:13" hidden="1">
      <c r="A4974" t="s">
        <v>133</v>
      </c>
      <c r="B4974" t="s">
        <v>8</v>
      </c>
      <c r="C4974" t="s">
        <v>132</v>
      </c>
      <c r="D4974" t="str">
        <f>LEFT(M4974,9)</f>
        <v>1/15/2025</v>
      </c>
      <c r="E4974" t="s">
        <v>202</v>
      </c>
      <c r="F4974" t="s">
        <v>203</v>
      </c>
      <c r="G4974" t="s">
        <v>259</v>
      </c>
      <c r="I4974">
        <v>5</v>
      </c>
      <c r="J4974">
        <v>12.5</v>
      </c>
      <c r="K4974">
        <v>2.5</v>
      </c>
      <c r="M4974" t="s">
        <v>516</v>
      </c>
    </row>
    <row r="4975" spans="1:13" hidden="1">
      <c r="A4975" t="s">
        <v>133</v>
      </c>
      <c r="B4975" t="s">
        <v>8</v>
      </c>
      <c r="C4975" t="s">
        <v>132</v>
      </c>
      <c r="D4975" t="str">
        <f>LEFT(M4975,9)</f>
        <v>1/15/2025</v>
      </c>
      <c r="E4975" t="s">
        <v>202</v>
      </c>
      <c r="F4975" t="s">
        <v>209</v>
      </c>
      <c r="G4975" t="s">
        <v>212</v>
      </c>
      <c r="I4975">
        <v>20.8</v>
      </c>
      <c r="J4975">
        <v>31.2</v>
      </c>
      <c r="K4975">
        <v>1.5</v>
      </c>
      <c r="M4975" t="s">
        <v>516</v>
      </c>
    </row>
    <row r="4976" spans="1:13" hidden="1">
      <c r="A4976" t="s">
        <v>133</v>
      </c>
      <c r="B4976" t="s">
        <v>8</v>
      </c>
      <c r="C4976" t="s">
        <v>132</v>
      </c>
      <c r="D4976" t="str">
        <f>LEFT(M4976,9)</f>
        <v>1/15/2025</v>
      </c>
      <c r="E4976" t="s">
        <v>202</v>
      </c>
      <c r="F4976" t="s">
        <v>209</v>
      </c>
      <c r="G4976" t="s">
        <v>212</v>
      </c>
      <c r="I4976">
        <v>6.6</v>
      </c>
      <c r="J4976">
        <v>33</v>
      </c>
      <c r="K4976">
        <v>5</v>
      </c>
      <c r="M4976" t="s">
        <v>516</v>
      </c>
    </row>
    <row r="4977" spans="1:13" hidden="1">
      <c r="A4977" t="s">
        <v>133</v>
      </c>
      <c r="B4977" t="s">
        <v>8</v>
      </c>
      <c r="C4977" t="s">
        <v>132</v>
      </c>
      <c r="D4977" t="str">
        <f>LEFT(M4977,9)</f>
        <v>1/15/2025</v>
      </c>
      <c r="E4977" t="s">
        <v>202</v>
      </c>
      <c r="F4977" t="s">
        <v>209</v>
      </c>
      <c r="G4977" t="s">
        <v>212</v>
      </c>
      <c r="I4977">
        <v>2.6</v>
      </c>
      <c r="J4977">
        <v>18.2</v>
      </c>
      <c r="K4977">
        <v>7</v>
      </c>
      <c r="M4977" t="s">
        <v>516</v>
      </c>
    </row>
    <row r="4978" spans="1:13" hidden="1">
      <c r="A4978" t="s">
        <v>133</v>
      </c>
      <c r="B4978" t="s">
        <v>8</v>
      </c>
      <c r="C4978" t="s">
        <v>132</v>
      </c>
      <c r="D4978" t="str">
        <f>LEFT(M4978,9)</f>
        <v>1/15/2025</v>
      </c>
      <c r="E4978" t="s">
        <v>202</v>
      </c>
      <c r="F4978" t="s">
        <v>203</v>
      </c>
      <c r="G4978" t="s">
        <v>206</v>
      </c>
      <c r="I4978">
        <v>9.6</v>
      </c>
      <c r="J4978">
        <v>26.88</v>
      </c>
      <c r="K4978">
        <v>2.8</v>
      </c>
      <c r="M4978" t="s">
        <v>516</v>
      </c>
    </row>
    <row r="4979" spans="1:13" hidden="1">
      <c r="A4979" t="s">
        <v>133</v>
      </c>
      <c r="B4979" t="s">
        <v>8</v>
      </c>
      <c r="C4979" t="s">
        <v>132</v>
      </c>
      <c r="D4979" t="str">
        <f>LEFT(M4979,9)</f>
        <v>1/15/2025</v>
      </c>
      <c r="E4979" t="s">
        <v>202</v>
      </c>
      <c r="F4979" t="s">
        <v>203</v>
      </c>
      <c r="G4979" t="s">
        <v>259</v>
      </c>
      <c r="I4979">
        <v>8.4</v>
      </c>
      <c r="J4979">
        <v>20.16</v>
      </c>
      <c r="K4979">
        <v>2.4</v>
      </c>
      <c r="M4979" t="s">
        <v>516</v>
      </c>
    </row>
    <row r="4980" spans="1:13" hidden="1">
      <c r="A4980" t="s">
        <v>133</v>
      </c>
      <c r="B4980" t="s">
        <v>8</v>
      </c>
      <c r="C4980" t="s">
        <v>132</v>
      </c>
      <c r="D4980" t="str">
        <f>LEFT(M4980,9)</f>
        <v>1/15/2025</v>
      </c>
      <c r="E4980" t="s">
        <v>202</v>
      </c>
      <c r="F4980" t="s">
        <v>203</v>
      </c>
      <c r="G4980" t="s">
        <v>208</v>
      </c>
      <c r="I4980">
        <v>42.2</v>
      </c>
      <c r="J4980">
        <v>274.3</v>
      </c>
      <c r="K4980">
        <v>6.5</v>
      </c>
      <c r="M4980" t="s">
        <v>516</v>
      </c>
    </row>
    <row r="4981" spans="1:13" hidden="1">
      <c r="A4981" t="s">
        <v>133</v>
      </c>
      <c r="B4981" t="s">
        <v>8</v>
      </c>
      <c r="C4981" t="s">
        <v>132</v>
      </c>
      <c r="D4981" t="str">
        <f>LEFT(M4981,9)</f>
        <v>1/15/2025</v>
      </c>
      <c r="E4981" t="s">
        <v>202</v>
      </c>
      <c r="F4981" t="s">
        <v>209</v>
      </c>
      <c r="G4981" t="s">
        <v>310</v>
      </c>
      <c r="I4981">
        <v>71.599999999999994</v>
      </c>
      <c r="J4981">
        <v>107.4</v>
      </c>
      <c r="K4981">
        <v>1.5</v>
      </c>
      <c r="M4981" t="s">
        <v>516</v>
      </c>
    </row>
    <row r="4982" spans="1:13" hidden="1">
      <c r="A4982" t="s">
        <v>133</v>
      </c>
      <c r="B4982" t="s">
        <v>8</v>
      </c>
      <c r="C4982" t="s">
        <v>132</v>
      </c>
      <c r="D4982" t="str">
        <f>LEFT(M4982,9)</f>
        <v>1/15/2025</v>
      </c>
      <c r="E4982" t="s">
        <v>202</v>
      </c>
      <c r="F4982" t="s">
        <v>203</v>
      </c>
      <c r="G4982" t="s">
        <v>236</v>
      </c>
      <c r="I4982">
        <v>5515</v>
      </c>
      <c r="J4982">
        <v>2757.5</v>
      </c>
      <c r="K4982">
        <v>0.5</v>
      </c>
      <c r="M4982" t="s">
        <v>516</v>
      </c>
    </row>
    <row r="4983" spans="1:13" hidden="1">
      <c r="A4983" t="s">
        <v>133</v>
      </c>
      <c r="B4983" t="s">
        <v>8</v>
      </c>
      <c r="C4983" t="s">
        <v>132</v>
      </c>
      <c r="D4983" t="str">
        <f>LEFT(M4983,9)</f>
        <v>1/15/2025</v>
      </c>
      <c r="E4983" t="s">
        <v>230</v>
      </c>
      <c r="F4983" t="s">
        <v>248</v>
      </c>
      <c r="I4983">
        <v>0</v>
      </c>
      <c r="J4983">
        <v>12687.9</v>
      </c>
      <c r="M4983" t="s">
        <v>516</v>
      </c>
    </row>
    <row r="4984" spans="1:13" hidden="1">
      <c r="A4984" t="s">
        <v>133</v>
      </c>
      <c r="B4984" t="s">
        <v>8</v>
      </c>
      <c r="C4984" t="s">
        <v>132</v>
      </c>
      <c r="D4984" t="str">
        <f>LEFT(M4984,9)</f>
        <v>1/15/2025</v>
      </c>
      <c r="E4984" t="s">
        <v>232</v>
      </c>
      <c r="F4984" t="s">
        <v>250</v>
      </c>
      <c r="I4984">
        <v>0</v>
      </c>
      <c r="J4984">
        <v>400</v>
      </c>
      <c r="M4984" t="s">
        <v>516</v>
      </c>
    </row>
    <row r="4985" spans="1:13" hidden="1">
      <c r="A4985" t="s">
        <v>133</v>
      </c>
      <c r="B4985" t="s">
        <v>8</v>
      </c>
      <c r="C4985" t="s">
        <v>132</v>
      </c>
      <c r="D4985" t="str">
        <f>LEFT(M4985,9)</f>
        <v>1/15/2025</v>
      </c>
      <c r="E4985" t="s">
        <v>232</v>
      </c>
      <c r="F4985" t="s">
        <v>254</v>
      </c>
      <c r="I4985">
        <v>0</v>
      </c>
      <c r="J4985">
        <v>200</v>
      </c>
      <c r="M4985" t="s">
        <v>516</v>
      </c>
    </row>
    <row r="4986" spans="1:13" hidden="1">
      <c r="A4986" t="s">
        <v>133</v>
      </c>
      <c r="B4986" t="s">
        <v>8</v>
      </c>
      <c r="C4986" t="s">
        <v>132</v>
      </c>
      <c r="D4986" t="str">
        <f>LEFT(M4986,9)</f>
        <v>1/15/2025</v>
      </c>
      <c r="E4986" t="s">
        <v>232</v>
      </c>
      <c r="F4986" t="s">
        <v>255</v>
      </c>
      <c r="I4986">
        <v>0</v>
      </c>
      <c r="J4986">
        <v>90</v>
      </c>
      <c r="L4986" t="s">
        <v>357</v>
      </c>
      <c r="M4986" t="s">
        <v>516</v>
      </c>
    </row>
    <row r="4987" spans="1:13" hidden="1">
      <c r="A4987" t="s">
        <v>133</v>
      </c>
      <c r="B4987" t="s">
        <v>8</v>
      </c>
      <c r="C4987" t="s">
        <v>132</v>
      </c>
      <c r="D4987" t="str">
        <f>LEFT(M4987,9)</f>
        <v>1/15/2025</v>
      </c>
      <c r="E4987" t="s">
        <v>232</v>
      </c>
      <c r="F4987" t="s">
        <v>255</v>
      </c>
      <c r="I4987">
        <v>0</v>
      </c>
      <c r="J4987">
        <v>400</v>
      </c>
      <c r="L4987" t="s">
        <v>427</v>
      </c>
      <c r="M4987" t="s">
        <v>516</v>
      </c>
    </row>
    <row r="4988" spans="1:13" hidden="1">
      <c r="A4988" t="s">
        <v>133</v>
      </c>
      <c r="B4988" t="s">
        <v>8</v>
      </c>
      <c r="C4988" t="s">
        <v>132</v>
      </c>
      <c r="D4988" t="str">
        <f>LEFT(M4988,9)</f>
        <v>1/15/2025</v>
      </c>
      <c r="E4988" t="s">
        <v>232</v>
      </c>
      <c r="F4988" t="s">
        <v>255</v>
      </c>
      <c r="I4988">
        <v>0</v>
      </c>
      <c r="J4988">
        <v>430</v>
      </c>
      <c r="L4988" t="s">
        <v>556</v>
      </c>
      <c r="M4988" t="s">
        <v>516</v>
      </c>
    </row>
    <row r="4989" spans="1:13" hidden="1">
      <c r="A4989" t="s">
        <v>133</v>
      </c>
      <c r="B4989" t="s">
        <v>8</v>
      </c>
      <c r="C4989" t="s">
        <v>132</v>
      </c>
      <c r="D4989" t="str">
        <f>LEFT(M4989,9)</f>
        <v>1/15/2025</v>
      </c>
      <c r="E4989" t="s">
        <v>234</v>
      </c>
      <c r="F4989" t="s">
        <v>234</v>
      </c>
      <c r="I4989">
        <v>2817</v>
      </c>
      <c r="M4989" t="s">
        <v>516</v>
      </c>
    </row>
    <row r="4990" spans="1:13" hidden="1">
      <c r="A4990" t="s">
        <v>183</v>
      </c>
      <c r="B4990" t="s">
        <v>8</v>
      </c>
      <c r="C4990" t="s">
        <v>182</v>
      </c>
      <c r="D4990" t="str">
        <f>LEFT(M4990,9)</f>
        <v>1/15/2025</v>
      </c>
      <c r="E4990" t="s">
        <v>232</v>
      </c>
      <c r="F4990" t="s">
        <v>262</v>
      </c>
      <c r="G4990" t="s">
        <v>249</v>
      </c>
      <c r="I4990">
        <v>0</v>
      </c>
      <c r="J4990">
        <v>340</v>
      </c>
      <c r="M4990" t="s">
        <v>516</v>
      </c>
    </row>
    <row r="4991" spans="1:13" hidden="1">
      <c r="A4991" t="s">
        <v>183</v>
      </c>
      <c r="B4991" t="s">
        <v>8</v>
      </c>
      <c r="C4991" t="s">
        <v>182</v>
      </c>
      <c r="D4991" t="str">
        <f>LEFT(M4991,9)</f>
        <v>1/15/2025</v>
      </c>
      <c r="E4991" t="s">
        <v>232</v>
      </c>
      <c r="F4991" t="s">
        <v>262</v>
      </c>
      <c r="G4991" t="s">
        <v>249</v>
      </c>
      <c r="I4991">
        <v>0</v>
      </c>
      <c r="J4991">
        <v>300</v>
      </c>
      <c r="M4991" t="s">
        <v>516</v>
      </c>
    </row>
    <row r="4992" spans="1:13" hidden="1">
      <c r="A4992" t="s">
        <v>183</v>
      </c>
      <c r="B4992" t="s">
        <v>8</v>
      </c>
      <c r="C4992" t="s">
        <v>182</v>
      </c>
      <c r="D4992" t="str">
        <f>LEFT(M4992,9)</f>
        <v>1/15/2025</v>
      </c>
      <c r="E4992" t="s">
        <v>232</v>
      </c>
      <c r="F4992" t="s">
        <v>272</v>
      </c>
      <c r="G4992" t="s">
        <v>249</v>
      </c>
      <c r="I4992">
        <v>0</v>
      </c>
      <c r="J4992">
        <v>640</v>
      </c>
      <c r="M4992" t="s">
        <v>516</v>
      </c>
    </row>
    <row r="4993" spans="1:13" hidden="1">
      <c r="A4993" t="s">
        <v>183</v>
      </c>
      <c r="B4993" t="s">
        <v>8</v>
      </c>
      <c r="C4993" t="s">
        <v>182</v>
      </c>
      <c r="D4993" t="str">
        <f>LEFT(M4993,9)</f>
        <v>1/15/2025</v>
      </c>
      <c r="E4993" t="s">
        <v>232</v>
      </c>
      <c r="F4993" t="s">
        <v>233</v>
      </c>
      <c r="G4993" t="s">
        <v>249</v>
      </c>
      <c r="I4993">
        <v>0</v>
      </c>
      <c r="J4993">
        <v>1301.8800000000001</v>
      </c>
      <c r="M4993" t="s">
        <v>516</v>
      </c>
    </row>
    <row r="4994" spans="1:13" hidden="1">
      <c r="A4994" t="s">
        <v>183</v>
      </c>
      <c r="B4994" t="s">
        <v>8</v>
      </c>
      <c r="C4994" t="s">
        <v>182</v>
      </c>
      <c r="D4994" t="str">
        <f>LEFT(M4994,9)</f>
        <v>1/15/2025</v>
      </c>
      <c r="E4994" t="s">
        <v>202</v>
      </c>
      <c r="F4994" t="s">
        <v>209</v>
      </c>
      <c r="G4994" t="s">
        <v>214</v>
      </c>
      <c r="I4994">
        <v>59</v>
      </c>
      <c r="J4994">
        <v>11.8</v>
      </c>
      <c r="K4994">
        <v>0.2</v>
      </c>
      <c r="M4994" t="s">
        <v>516</v>
      </c>
    </row>
    <row r="4995" spans="1:13" hidden="1">
      <c r="A4995" t="s">
        <v>183</v>
      </c>
      <c r="B4995" t="s">
        <v>8</v>
      </c>
      <c r="C4995" t="s">
        <v>182</v>
      </c>
      <c r="D4995" t="str">
        <f>LEFT(M4995,9)</f>
        <v>1/15/2025</v>
      </c>
      <c r="E4995" t="s">
        <v>202</v>
      </c>
      <c r="F4995" t="s">
        <v>203</v>
      </c>
      <c r="G4995" t="s">
        <v>207</v>
      </c>
      <c r="I4995">
        <v>56</v>
      </c>
      <c r="J4995">
        <v>224</v>
      </c>
      <c r="K4995">
        <v>4</v>
      </c>
      <c r="M4995" t="s">
        <v>516</v>
      </c>
    </row>
    <row r="4996" spans="1:13" hidden="1">
      <c r="A4996" t="s">
        <v>183</v>
      </c>
      <c r="B4996" t="s">
        <v>8</v>
      </c>
      <c r="C4996" t="s">
        <v>182</v>
      </c>
      <c r="D4996" t="str">
        <f>LEFT(M4996,9)</f>
        <v>1/15/2025</v>
      </c>
      <c r="E4996" t="s">
        <v>202</v>
      </c>
      <c r="F4996" t="s">
        <v>203</v>
      </c>
      <c r="G4996" t="s">
        <v>204</v>
      </c>
      <c r="I4996">
        <v>226.5</v>
      </c>
      <c r="J4996">
        <v>2038.5</v>
      </c>
      <c r="K4996">
        <v>9</v>
      </c>
      <c r="M4996" t="s">
        <v>516</v>
      </c>
    </row>
    <row r="4997" spans="1:13" hidden="1">
      <c r="A4997" t="s">
        <v>183</v>
      </c>
      <c r="B4997" t="s">
        <v>8</v>
      </c>
      <c r="C4997" t="s">
        <v>182</v>
      </c>
      <c r="D4997" t="str">
        <f>LEFT(M4997,9)</f>
        <v>1/15/2025</v>
      </c>
      <c r="E4997" t="s">
        <v>202</v>
      </c>
      <c r="F4997" t="s">
        <v>203</v>
      </c>
      <c r="G4997" t="s">
        <v>208</v>
      </c>
      <c r="I4997">
        <v>30.2</v>
      </c>
      <c r="J4997">
        <v>285.8</v>
      </c>
      <c r="K4997">
        <v>9.4600000000000009</v>
      </c>
      <c r="M4997" t="s">
        <v>516</v>
      </c>
    </row>
    <row r="4998" spans="1:13" hidden="1">
      <c r="A4998" t="s">
        <v>183</v>
      </c>
      <c r="B4998" t="s">
        <v>8</v>
      </c>
      <c r="C4998" t="s">
        <v>182</v>
      </c>
      <c r="D4998" t="str">
        <f>LEFT(M4998,9)</f>
        <v>1/15/2025</v>
      </c>
      <c r="E4998" t="s">
        <v>202</v>
      </c>
      <c r="F4998" t="s">
        <v>203</v>
      </c>
      <c r="G4998" t="s">
        <v>261</v>
      </c>
      <c r="I4998">
        <v>9.6999999999999993</v>
      </c>
      <c r="J4998">
        <v>358.9</v>
      </c>
      <c r="K4998">
        <v>37</v>
      </c>
      <c r="M4998" t="s">
        <v>516</v>
      </c>
    </row>
    <row r="4999" spans="1:13" hidden="1">
      <c r="A4999" t="s">
        <v>183</v>
      </c>
      <c r="B4999" t="s">
        <v>8</v>
      </c>
      <c r="C4999" t="s">
        <v>182</v>
      </c>
      <c r="D4999" t="str">
        <f>LEFT(M4999,9)</f>
        <v>1/15/2025</v>
      </c>
      <c r="E4999" t="s">
        <v>202</v>
      </c>
      <c r="F4999" t="s">
        <v>203</v>
      </c>
      <c r="G4999" t="s">
        <v>259</v>
      </c>
      <c r="I4999">
        <v>65.400000000000006</v>
      </c>
      <c r="J4999">
        <v>357.6</v>
      </c>
      <c r="K4999">
        <v>5.47</v>
      </c>
      <c r="M4999" t="s">
        <v>516</v>
      </c>
    </row>
    <row r="5000" spans="1:13" hidden="1">
      <c r="A5000" t="s">
        <v>183</v>
      </c>
      <c r="B5000" t="s">
        <v>8</v>
      </c>
      <c r="C5000" t="s">
        <v>182</v>
      </c>
      <c r="D5000" t="str">
        <f>LEFT(M5000,9)</f>
        <v>1/15/2025</v>
      </c>
      <c r="E5000" t="s">
        <v>202</v>
      </c>
      <c r="F5000" t="s">
        <v>227</v>
      </c>
      <c r="G5000" t="s">
        <v>229</v>
      </c>
      <c r="I5000">
        <v>3503.2</v>
      </c>
      <c r="J5000">
        <v>2690.65</v>
      </c>
      <c r="K5000">
        <v>0.77</v>
      </c>
      <c r="M5000" t="s">
        <v>516</v>
      </c>
    </row>
    <row r="5001" spans="1:13" hidden="1">
      <c r="A5001" t="s">
        <v>183</v>
      </c>
      <c r="B5001" t="s">
        <v>8</v>
      </c>
      <c r="C5001" t="s">
        <v>182</v>
      </c>
      <c r="D5001" t="str">
        <f>LEFT(M5001,9)</f>
        <v>1/15/2025</v>
      </c>
      <c r="E5001" t="s">
        <v>202</v>
      </c>
      <c r="F5001" t="s">
        <v>227</v>
      </c>
      <c r="G5001" t="s">
        <v>237</v>
      </c>
      <c r="I5001">
        <v>451</v>
      </c>
      <c r="J5001">
        <v>293.14999999999998</v>
      </c>
      <c r="K5001">
        <v>0.65</v>
      </c>
      <c r="M5001" t="s">
        <v>516</v>
      </c>
    </row>
    <row r="5002" spans="1:13" hidden="1">
      <c r="A5002" t="s">
        <v>183</v>
      </c>
      <c r="B5002" t="s">
        <v>8</v>
      </c>
      <c r="C5002" t="s">
        <v>182</v>
      </c>
      <c r="D5002" t="str">
        <f>LEFT(M5002,9)</f>
        <v>1/15/2025</v>
      </c>
      <c r="E5002" t="s">
        <v>202</v>
      </c>
      <c r="F5002" t="s">
        <v>227</v>
      </c>
      <c r="G5002" t="s">
        <v>238</v>
      </c>
      <c r="I5002">
        <v>144</v>
      </c>
      <c r="J5002">
        <v>57.6</v>
      </c>
      <c r="K5002">
        <v>0.4</v>
      </c>
      <c r="M5002" t="s">
        <v>516</v>
      </c>
    </row>
    <row r="5003" spans="1:13" hidden="1">
      <c r="A5003" t="s">
        <v>183</v>
      </c>
      <c r="B5003" t="s">
        <v>8</v>
      </c>
      <c r="C5003" t="s">
        <v>182</v>
      </c>
      <c r="D5003" t="str">
        <f>LEFT(M5003,9)</f>
        <v>1/15/2025</v>
      </c>
      <c r="E5003" t="s">
        <v>202</v>
      </c>
      <c r="F5003" t="s">
        <v>227</v>
      </c>
      <c r="G5003" t="s">
        <v>228</v>
      </c>
      <c r="I5003">
        <v>4436.6000000000004</v>
      </c>
      <c r="J5003">
        <v>1402.33</v>
      </c>
      <c r="K5003">
        <v>0.32</v>
      </c>
      <c r="M5003" t="s">
        <v>516</v>
      </c>
    </row>
    <row r="5004" spans="1:13" hidden="1">
      <c r="A5004" t="s">
        <v>183</v>
      </c>
      <c r="B5004" t="s">
        <v>8</v>
      </c>
      <c r="C5004" t="s">
        <v>182</v>
      </c>
      <c r="D5004" t="str">
        <f>LEFT(M5004,9)</f>
        <v>1/15/2025</v>
      </c>
      <c r="E5004" t="s">
        <v>202</v>
      </c>
      <c r="F5004" t="s">
        <v>218</v>
      </c>
      <c r="G5004" t="s">
        <v>221</v>
      </c>
      <c r="I5004">
        <v>192</v>
      </c>
      <c r="J5004">
        <v>325.8</v>
      </c>
      <c r="K5004">
        <v>1.7</v>
      </c>
      <c r="M5004" t="s">
        <v>516</v>
      </c>
    </row>
    <row r="5005" spans="1:13" hidden="1">
      <c r="A5005" t="s">
        <v>183</v>
      </c>
      <c r="B5005" t="s">
        <v>8</v>
      </c>
      <c r="C5005" t="s">
        <v>182</v>
      </c>
      <c r="D5005" t="str">
        <f>LEFT(M5005,9)</f>
        <v>1/15/2025</v>
      </c>
      <c r="E5005" t="s">
        <v>202</v>
      </c>
      <c r="F5005" t="s">
        <v>218</v>
      </c>
      <c r="G5005" t="s">
        <v>221</v>
      </c>
      <c r="I5005">
        <v>747</v>
      </c>
      <c r="J5005">
        <v>1923.45</v>
      </c>
      <c r="K5005">
        <v>2.57</v>
      </c>
      <c r="M5005" t="s">
        <v>516</v>
      </c>
    </row>
    <row r="5006" spans="1:13" hidden="1">
      <c r="A5006" t="s">
        <v>183</v>
      </c>
      <c r="B5006" t="s">
        <v>8</v>
      </c>
      <c r="C5006" t="s">
        <v>182</v>
      </c>
      <c r="D5006" t="str">
        <f>LEFT(M5006,9)</f>
        <v>1/15/2025</v>
      </c>
      <c r="E5006" t="s">
        <v>202</v>
      </c>
      <c r="F5006" t="s">
        <v>218</v>
      </c>
      <c r="G5006" t="s">
        <v>220</v>
      </c>
      <c r="I5006">
        <v>1009</v>
      </c>
      <c r="J5006">
        <v>1340.4</v>
      </c>
      <c r="K5006">
        <v>1.33</v>
      </c>
      <c r="M5006" t="s">
        <v>516</v>
      </c>
    </row>
    <row r="5007" spans="1:13" hidden="1">
      <c r="A5007" t="s">
        <v>183</v>
      </c>
      <c r="B5007" t="s">
        <v>8</v>
      </c>
      <c r="C5007" t="s">
        <v>182</v>
      </c>
      <c r="D5007" t="str">
        <f>LEFT(M5007,9)</f>
        <v>1/15/2025</v>
      </c>
      <c r="E5007" t="s">
        <v>202</v>
      </c>
      <c r="F5007" t="s">
        <v>218</v>
      </c>
      <c r="G5007" t="s">
        <v>223</v>
      </c>
      <c r="I5007">
        <v>752</v>
      </c>
      <c r="J5007">
        <v>601.6</v>
      </c>
      <c r="K5007">
        <v>0.8</v>
      </c>
      <c r="M5007" t="s">
        <v>516</v>
      </c>
    </row>
    <row r="5008" spans="1:13" hidden="1">
      <c r="A5008" t="s">
        <v>183</v>
      </c>
      <c r="B5008" t="s">
        <v>8</v>
      </c>
      <c r="C5008" t="s">
        <v>182</v>
      </c>
      <c r="D5008" t="str">
        <f>LEFT(M5008,9)</f>
        <v>1/15/2025</v>
      </c>
      <c r="E5008" t="s">
        <v>202</v>
      </c>
      <c r="F5008" t="s">
        <v>218</v>
      </c>
      <c r="G5008" t="s">
        <v>223</v>
      </c>
      <c r="I5008">
        <v>233</v>
      </c>
      <c r="J5008">
        <v>152.80000000000001</v>
      </c>
      <c r="K5008">
        <v>0.66</v>
      </c>
      <c r="M5008" t="s">
        <v>516</v>
      </c>
    </row>
    <row r="5009" spans="1:13" hidden="1">
      <c r="A5009" t="s">
        <v>183</v>
      </c>
      <c r="B5009" t="s">
        <v>8</v>
      </c>
      <c r="C5009" t="s">
        <v>182</v>
      </c>
      <c r="D5009" t="str">
        <f>LEFT(M5009,9)</f>
        <v>1/15/2025</v>
      </c>
      <c r="E5009" t="s">
        <v>202</v>
      </c>
      <c r="F5009" t="s">
        <v>218</v>
      </c>
      <c r="G5009" t="s">
        <v>243</v>
      </c>
      <c r="H5009" t="s">
        <v>557</v>
      </c>
      <c r="I5009">
        <v>132</v>
      </c>
      <c r="J5009">
        <v>1.32</v>
      </c>
      <c r="K5009">
        <v>0.01</v>
      </c>
      <c r="M5009" t="s">
        <v>516</v>
      </c>
    </row>
    <row r="5010" spans="1:13" hidden="1">
      <c r="A5010" t="s">
        <v>183</v>
      </c>
      <c r="B5010" t="s">
        <v>8</v>
      </c>
      <c r="C5010" t="s">
        <v>182</v>
      </c>
      <c r="D5010" t="str">
        <f>LEFT(M5010,9)</f>
        <v>1/15/2025</v>
      </c>
      <c r="E5010" t="s">
        <v>202</v>
      </c>
      <c r="F5010" t="s">
        <v>218</v>
      </c>
      <c r="G5010" t="s">
        <v>240</v>
      </c>
      <c r="I5010">
        <v>879</v>
      </c>
      <c r="J5010">
        <v>3660</v>
      </c>
      <c r="K5010">
        <v>4.16</v>
      </c>
      <c r="M5010" t="s">
        <v>516</v>
      </c>
    </row>
    <row r="5011" spans="1:13" hidden="1">
      <c r="A5011" t="s">
        <v>183</v>
      </c>
      <c r="B5011" t="s">
        <v>8</v>
      </c>
      <c r="C5011" t="s">
        <v>182</v>
      </c>
      <c r="D5011" t="str">
        <f>LEFT(M5011,9)</f>
        <v>1/15/2025</v>
      </c>
      <c r="E5011" t="s">
        <v>202</v>
      </c>
      <c r="F5011" t="s">
        <v>218</v>
      </c>
      <c r="G5011" t="s">
        <v>242</v>
      </c>
      <c r="I5011">
        <v>99</v>
      </c>
      <c r="J5011">
        <v>99</v>
      </c>
      <c r="K5011">
        <v>1</v>
      </c>
      <c r="M5011" t="s">
        <v>516</v>
      </c>
    </row>
    <row r="5012" spans="1:13" hidden="1">
      <c r="A5012" t="s">
        <v>183</v>
      </c>
      <c r="B5012" t="s">
        <v>8</v>
      </c>
      <c r="C5012" t="s">
        <v>182</v>
      </c>
      <c r="D5012" t="str">
        <f>LEFT(M5012,9)</f>
        <v>1/15/2025</v>
      </c>
      <c r="E5012" t="s">
        <v>202</v>
      </c>
      <c r="F5012" t="s">
        <v>218</v>
      </c>
      <c r="G5012" t="s">
        <v>241</v>
      </c>
      <c r="I5012">
        <v>103</v>
      </c>
      <c r="J5012">
        <v>431</v>
      </c>
      <c r="K5012">
        <v>4.18</v>
      </c>
      <c r="M5012" t="s">
        <v>516</v>
      </c>
    </row>
    <row r="5013" spans="1:13" hidden="1">
      <c r="A5013" t="s">
        <v>183</v>
      </c>
      <c r="B5013" t="s">
        <v>8</v>
      </c>
      <c r="C5013" t="s">
        <v>182</v>
      </c>
      <c r="D5013" t="str">
        <f>LEFT(M5013,9)</f>
        <v>1/15/2025</v>
      </c>
      <c r="E5013" t="s">
        <v>202</v>
      </c>
      <c r="F5013" t="s">
        <v>218</v>
      </c>
      <c r="G5013" t="s">
        <v>226</v>
      </c>
      <c r="I5013">
        <v>4395</v>
      </c>
      <c r="J5013">
        <v>1318.5</v>
      </c>
      <c r="K5013">
        <v>0.3</v>
      </c>
      <c r="M5013" t="s">
        <v>516</v>
      </c>
    </row>
    <row r="5014" spans="1:13" hidden="1">
      <c r="A5014" t="s">
        <v>183</v>
      </c>
      <c r="B5014" t="s">
        <v>8</v>
      </c>
      <c r="C5014" t="s">
        <v>182</v>
      </c>
      <c r="D5014" t="str">
        <f>LEFT(M5014,9)</f>
        <v>1/15/2025</v>
      </c>
      <c r="E5014" t="s">
        <v>202</v>
      </c>
      <c r="F5014" t="s">
        <v>218</v>
      </c>
      <c r="G5014" t="s">
        <v>222</v>
      </c>
      <c r="I5014">
        <v>1168</v>
      </c>
      <c r="J5014">
        <v>1641.1</v>
      </c>
      <c r="K5014">
        <v>1.41</v>
      </c>
      <c r="M5014" t="s">
        <v>516</v>
      </c>
    </row>
    <row r="5015" spans="1:13" hidden="1">
      <c r="A5015" t="s">
        <v>183</v>
      </c>
      <c r="B5015" t="s">
        <v>8</v>
      </c>
      <c r="C5015" t="s">
        <v>182</v>
      </c>
      <c r="D5015" t="str">
        <f>LEFT(M5015,9)</f>
        <v>1/15/2025</v>
      </c>
      <c r="E5015" t="s">
        <v>202</v>
      </c>
      <c r="F5015" t="s">
        <v>218</v>
      </c>
      <c r="G5015" t="s">
        <v>222</v>
      </c>
      <c r="I5015">
        <v>315</v>
      </c>
      <c r="J5015">
        <v>567</v>
      </c>
      <c r="K5015">
        <v>1.8</v>
      </c>
      <c r="M5015" t="s">
        <v>516</v>
      </c>
    </row>
    <row r="5016" spans="1:13" hidden="1">
      <c r="A5016" t="s">
        <v>183</v>
      </c>
      <c r="B5016" t="s">
        <v>8</v>
      </c>
      <c r="C5016" t="s">
        <v>182</v>
      </c>
      <c r="D5016" t="str">
        <f>LEFT(M5016,9)</f>
        <v>1/15/2025</v>
      </c>
      <c r="E5016" t="s">
        <v>202</v>
      </c>
      <c r="F5016" t="s">
        <v>218</v>
      </c>
      <c r="G5016" t="s">
        <v>222</v>
      </c>
      <c r="I5016">
        <v>235</v>
      </c>
      <c r="J5016">
        <v>305.5</v>
      </c>
      <c r="K5016">
        <v>1.3</v>
      </c>
      <c r="M5016" t="s">
        <v>516</v>
      </c>
    </row>
    <row r="5017" spans="1:13" hidden="1">
      <c r="A5017" t="s">
        <v>183</v>
      </c>
      <c r="B5017" t="s">
        <v>8</v>
      </c>
      <c r="C5017" t="s">
        <v>182</v>
      </c>
      <c r="D5017" t="str">
        <f>LEFT(M5017,9)</f>
        <v>1/15/2025</v>
      </c>
      <c r="E5017" t="s">
        <v>202</v>
      </c>
      <c r="F5017" t="s">
        <v>218</v>
      </c>
      <c r="G5017" t="s">
        <v>225</v>
      </c>
      <c r="I5017">
        <v>143</v>
      </c>
      <c r="J5017">
        <v>114.4</v>
      </c>
      <c r="K5017">
        <v>0.8</v>
      </c>
      <c r="M5017" t="s">
        <v>516</v>
      </c>
    </row>
    <row r="5018" spans="1:13" hidden="1">
      <c r="A5018" t="s">
        <v>183</v>
      </c>
      <c r="B5018" t="s">
        <v>8</v>
      </c>
      <c r="C5018" t="s">
        <v>182</v>
      </c>
      <c r="D5018" t="str">
        <f>LEFT(M5018,9)</f>
        <v>1/15/2025</v>
      </c>
      <c r="E5018" t="s">
        <v>202</v>
      </c>
      <c r="F5018" t="s">
        <v>218</v>
      </c>
      <c r="G5018" t="s">
        <v>224</v>
      </c>
      <c r="I5018">
        <v>120</v>
      </c>
      <c r="J5018">
        <v>132</v>
      </c>
      <c r="K5018">
        <v>1.1000000000000001</v>
      </c>
      <c r="M5018" t="s">
        <v>516</v>
      </c>
    </row>
    <row r="5019" spans="1:13" hidden="1">
      <c r="A5019" t="s">
        <v>183</v>
      </c>
      <c r="B5019" t="s">
        <v>8</v>
      </c>
      <c r="C5019" t="s">
        <v>182</v>
      </c>
      <c r="D5019" t="str">
        <f>LEFT(M5019,9)</f>
        <v>1/15/2025</v>
      </c>
      <c r="E5019" t="s">
        <v>202</v>
      </c>
      <c r="F5019" t="s">
        <v>203</v>
      </c>
      <c r="G5019" t="s">
        <v>236</v>
      </c>
      <c r="I5019">
        <v>1650</v>
      </c>
      <c r="J5019">
        <v>1320</v>
      </c>
      <c r="K5019">
        <v>0.8</v>
      </c>
      <c r="M5019" t="s">
        <v>516</v>
      </c>
    </row>
    <row r="5020" spans="1:13" hidden="1">
      <c r="A5020" t="s">
        <v>183</v>
      </c>
      <c r="B5020" t="s">
        <v>8</v>
      </c>
      <c r="C5020" t="s">
        <v>182</v>
      </c>
      <c r="D5020" t="str">
        <f>LEFT(M5020,9)</f>
        <v>1/15/2025</v>
      </c>
      <c r="E5020" t="s">
        <v>202</v>
      </c>
      <c r="F5020" t="s">
        <v>227</v>
      </c>
      <c r="G5020" t="s">
        <v>252</v>
      </c>
      <c r="I5020">
        <v>159.6</v>
      </c>
      <c r="J5020">
        <v>47.88</v>
      </c>
      <c r="K5020">
        <v>0.3</v>
      </c>
      <c r="M5020" t="s">
        <v>516</v>
      </c>
    </row>
    <row r="5021" spans="1:13" hidden="1">
      <c r="A5021" t="s">
        <v>183</v>
      </c>
      <c r="B5021" t="s">
        <v>8</v>
      </c>
      <c r="C5021" t="s">
        <v>182</v>
      </c>
      <c r="D5021" t="str">
        <f>LEFT(M5021,9)</f>
        <v>1/15/2025</v>
      </c>
      <c r="E5021" t="s">
        <v>230</v>
      </c>
      <c r="F5021" t="s">
        <v>248</v>
      </c>
      <c r="I5021">
        <v>0</v>
      </c>
      <c r="J5021">
        <v>9451.39</v>
      </c>
      <c r="M5021" t="s">
        <v>516</v>
      </c>
    </row>
    <row r="5022" spans="1:13" hidden="1">
      <c r="A5022" t="s">
        <v>183</v>
      </c>
      <c r="B5022" t="s">
        <v>8</v>
      </c>
      <c r="C5022" t="s">
        <v>182</v>
      </c>
      <c r="D5022" t="str">
        <f>LEFT(M5022,9)</f>
        <v>1/15/2025</v>
      </c>
      <c r="E5022" t="s">
        <v>234</v>
      </c>
      <c r="F5022" t="s">
        <v>234</v>
      </c>
      <c r="G5022" t="s">
        <v>249</v>
      </c>
      <c r="I5022">
        <v>3895</v>
      </c>
      <c r="M5022" t="s">
        <v>516</v>
      </c>
    </row>
    <row r="5023" spans="1:13" hidden="1">
      <c r="A5023" t="s">
        <v>78</v>
      </c>
      <c r="B5023" t="s">
        <v>8</v>
      </c>
      <c r="C5023" t="s">
        <v>77</v>
      </c>
      <c r="D5023" t="str">
        <f>LEFT(M5023,9)</f>
        <v>1/15/2025</v>
      </c>
      <c r="E5023" t="s">
        <v>202</v>
      </c>
      <c r="F5023" t="s">
        <v>203</v>
      </c>
      <c r="G5023" t="s">
        <v>204</v>
      </c>
      <c r="I5023">
        <v>429</v>
      </c>
      <c r="J5023">
        <v>3645</v>
      </c>
      <c r="K5023">
        <v>8.5</v>
      </c>
      <c r="M5023" t="s">
        <v>516</v>
      </c>
    </row>
    <row r="5024" spans="1:13" hidden="1">
      <c r="A5024" t="s">
        <v>78</v>
      </c>
      <c r="B5024" t="s">
        <v>8</v>
      </c>
      <c r="C5024" t="s">
        <v>77</v>
      </c>
      <c r="D5024" t="str">
        <f>LEFT(M5024,9)</f>
        <v>1/15/2025</v>
      </c>
      <c r="E5024" t="s">
        <v>202</v>
      </c>
      <c r="F5024" t="s">
        <v>203</v>
      </c>
      <c r="G5024" t="s">
        <v>207</v>
      </c>
      <c r="I5024">
        <v>7</v>
      </c>
      <c r="J5024">
        <v>28</v>
      </c>
      <c r="K5024">
        <v>4</v>
      </c>
      <c r="M5024" t="s">
        <v>516</v>
      </c>
    </row>
    <row r="5025" spans="1:13" hidden="1">
      <c r="A5025" t="s">
        <v>78</v>
      </c>
      <c r="B5025" t="s">
        <v>8</v>
      </c>
      <c r="C5025" t="s">
        <v>77</v>
      </c>
      <c r="D5025" t="str">
        <f>LEFT(M5025,9)</f>
        <v>1/15/2025</v>
      </c>
      <c r="E5025" t="s">
        <v>202</v>
      </c>
      <c r="F5025" t="s">
        <v>203</v>
      </c>
      <c r="G5025" t="s">
        <v>208</v>
      </c>
      <c r="I5025">
        <v>115</v>
      </c>
      <c r="J5025">
        <v>1035</v>
      </c>
      <c r="K5025">
        <v>9</v>
      </c>
      <c r="M5025" t="s">
        <v>516</v>
      </c>
    </row>
    <row r="5026" spans="1:13" hidden="1">
      <c r="A5026" t="s">
        <v>78</v>
      </c>
      <c r="B5026" t="s">
        <v>8</v>
      </c>
      <c r="C5026" t="s">
        <v>77</v>
      </c>
      <c r="D5026" t="str">
        <f>LEFT(M5026,9)</f>
        <v>1/15/2025</v>
      </c>
      <c r="E5026" t="s">
        <v>202</v>
      </c>
      <c r="F5026" t="s">
        <v>203</v>
      </c>
      <c r="G5026" t="s">
        <v>260</v>
      </c>
      <c r="I5026">
        <v>14.5</v>
      </c>
      <c r="J5026">
        <v>580</v>
      </c>
      <c r="K5026">
        <v>40</v>
      </c>
      <c r="M5026" t="s">
        <v>516</v>
      </c>
    </row>
    <row r="5027" spans="1:13" hidden="1">
      <c r="A5027" t="s">
        <v>78</v>
      </c>
      <c r="B5027" t="s">
        <v>8</v>
      </c>
      <c r="C5027" t="s">
        <v>77</v>
      </c>
      <c r="D5027" t="str">
        <f>LEFT(M5027,9)</f>
        <v>1/15/2025</v>
      </c>
      <c r="E5027" t="s">
        <v>202</v>
      </c>
      <c r="F5027" t="s">
        <v>203</v>
      </c>
      <c r="G5027" t="s">
        <v>259</v>
      </c>
      <c r="I5027">
        <v>3.4</v>
      </c>
      <c r="J5027">
        <v>61</v>
      </c>
      <c r="K5027">
        <v>17.940000000000001</v>
      </c>
      <c r="M5027" t="s">
        <v>516</v>
      </c>
    </row>
    <row r="5028" spans="1:13" hidden="1">
      <c r="A5028" t="s">
        <v>78</v>
      </c>
      <c r="B5028" t="s">
        <v>8</v>
      </c>
      <c r="C5028" t="s">
        <v>77</v>
      </c>
      <c r="D5028" t="str">
        <f>LEFT(M5028,9)</f>
        <v>1/15/2025</v>
      </c>
      <c r="E5028" t="s">
        <v>202</v>
      </c>
      <c r="F5028" t="s">
        <v>203</v>
      </c>
      <c r="G5028" t="s">
        <v>259</v>
      </c>
      <c r="I5028">
        <v>10.6</v>
      </c>
      <c r="J5028">
        <v>32</v>
      </c>
      <c r="K5028">
        <v>3.02</v>
      </c>
      <c r="M5028" t="s">
        <v>516</v>
      </c>
    </row>
    <row r="5029" spans="1:13" hidden="1">
      <c r="A5029" t="s">
        <v>78</v>
      </c>
      <c r="B5029" t="s">
        <v>8</v>
      </c>
      <c r="C5029" t="s">
        <v>77</v>
      </c>
      <c r="D5029" t="str">
        <f>LEFT(M5029,9)</f>
        <v>1/15/2025</v>
      </c>
      <c r="E5029" t="s">
        <v>202</v>
      </c>
      <c r="F5029" t="s">
        <v>203</v>
      </c>
      <c r="G5029" t="s">
        <v>259</v>
      </c>
      <c r="I5029">
        <v>1</v>
      </c>
      <c r="J5029">
        <v>15</v>
      </c>
      <c r="K5029">
        <v>15</v>
      </c>
      <c r="M5029" t="s">
        <v>516</v>
      </c>
    </row>
    <row r="5030" spans="1:13" hidden="1">
      <c r="A5030" t="s">
        <v>78</v>
      </c>
      <c r="B5030" t="s">
        <v>8</v>
      </c>
      <c r="C5030" t="s">
        <v>77</v>
      </c>
      <c r="D5030" t="str">
        <f>LEFT(M5030,9)</f>
        <v>1/15/2025</v>
      </c>
      <c r="E5030" t="s">
        <v>202</v>
      </c>
      <c r="F5030" t="s">
        <v>203</v>
      </c>
      <c r="G5030" t="s">
        <v>236</v>
      </c>
      <c r="I5030">
        <v>3780</v>
      </c>
      <c r="J5030">
        <v>3024</v>
      </c>
      <c r="K5030">
        <v>0.8</v>
      </c>
      <c r="M5030" t="s">
        <v>516</v>
      </c>
    </row>
    <row r="5031" spans="1:13" hidden="1">
      <c r="A5031" t="s">
        <v>78</v>
      </c>
      <c r="B5031" t="s">
        <v>8</v>
      </c>
      <c r="C5031" t="s">
        <v>77</v>
      </c>
      <c r="D5031" t="str">
        <f>LEFT(M5031,9)</f>
        <v>1/15/2025</v>
      </c>
      <c r="E5031" t="s">
        <v>202</v>
      </c>
      <c r="F5031" t="s">
        <v>227</v>
      </c>
      <c r="G5031" t="s">
        <v>228</v>
      </c>
      <c r="I5031">
        <v>933</v>
      </c>
      <c r="J5031">
        <v>279.89999999999998</v>
      </c>
      <c r="K5031">
        <v>0.35</v>
      </c>
      <c r="M5031" t="s">
        <v>516</v>
      </c>
    </row>
    <row r="5032" spans="1:13" hidden="1">
      <c r="A5032" t="s">
        <v>78</v>
      </c>
      <c r="B5032" t="s">
        <v>8</v>
      </c>
      <c r="C5032" t="s">
        <v>77</v>
      </c>
      <c r="D5032" t="str">
        <f>LEFT(M5032,9)</f>
        <v>1/15/2025</v>
      </c>
      <c r="E5032" t="s">
        <v>202</v>
      </c>
      <c r="F5032" t="s">
        <v>227</v>
      </c>
      <c r="G5032" t="s">
        <v>229</v>
      </c>
      <c r="I5032">
        <v>3906</v>
      </c>
      <c r="J5032">
        <v>2656.08</v>
      </c>
      <c r="K5032">
        <v>0.68</v>
      </c>
      <c r="M5032" t="s">
        <v>516</v>
      </c>
    </row>
    <row r="5033" spans="1:13" hidden="1">
      <c r="A5033" t="s">
        <v>78</v>
      </c>
      <c r="B5033" t="s">
        <v>8</v>
      </c>
      <c r="C5033" t="s">
        <v>77</v>
      </c>
      <c r="D5033" t="str">
        <f>LEFT(M5033,9)</f>
        <v>1/15/2025</v>
      </c>
      <c r="E5033" t="s">
        <v>202</v>
      </c>
      <c r="F5033" t="s">
        <v>227</v>
      </c>
      <c r="G5033" t="s">
        <v>237</v>
      </c>
      <c r="I5033">
        <v>1360</v>
      </c>
      <c r="J5033">
        <v>816</v>
      </c>
      <c r="K5033">
        <v>0.6</v>
      </c>
      <c r="M5033" t="s">
        <v>516</v>
      </c>
    </row>
    <row r="5034" spans="1:13" hidden="1">
      <c r="A5034" t="s">
        <v>78</v>
      </c>
      <c r="B5034" t="s">
        <v>8</v>
      </c>
      <c r="C5034" t="s">
        <v>77</v>
      </c>
      <c r="D5034" t="str">
        <f>LEFT(M5034,9)</f>
        <v>1/15/2025</v>
      </c>
      <c r="E5034" t="s">
        <v>202</v>
      </c>
      <c r="F5034" t="s">
        <v>227</v>
      </c>
      <c r="G5034" t="s">
        <v>252</v>
      </c>
      <c r="I5034">
        <v>305</v>
      </c>
      <c r="J5034">
        <v>106.75</v>
      </c>
      <c r="K5034">
        <v>0.35</v>
      </c>
      <c r="M5034" t="s">
        <v>516</v>
      </c>
    </row>
    <row r="5035" spans="1:13" hidden="1">
      <c r="A5035" t="s">
        <v>78</v>
      </c>
      <c r="B5035" t="s">
        <v>8</v>
      </c>
      <c r="C5035" t="s">
        <v>77</v>
      </c>
      <c r="D5035" t="str">
        <f>LEFT(M5035,9)</f>
        <v>1/15/2025</v>
      </c>
      <c r="E5035" t="s">
        <v>202</v>
      </c>
      <c r="F5035" t="s">
        <v>227</v>
      </c>
      <c r="G5035" t="s">
        <v>238</v>
      </c>
      <c r="I5035">
        <v>326</v>
      </c>
      <c r="J5035">
        <v>114.1</v>
      </c>
      <c r="K5035">
        <v>0.35</v>
      </c>
      <c r="M5035" t="s">
        <v>516</v>
      </c>
    </row>
    <row r="5036" spans="1:13" hidden="1">
      <c r="A5036" t="s">
        <v>78</v>
      </c>
      <c r="B5036" t="s">
        <v>8</v>
      </c>
      <c r="C5036" t="s">
        <v>77</v>
      </c>
      <c r="D5036" t="str">
        <f>LEFT(M5036,9)</f>
        <v>1/15/2025</v>
      </c>
      <c r="E5036" t="s">
        <v>202</v>
      </c>
      <c r="F5036" t="s">
        <v>218</v>
      </c>
      <c r="G5036" t="s">
        <v>222</v>
      </c>
      <c r="I5036">
        <v>718</v>
      </c>
      <c r="J5036">
        <v>861.6</v>
      </c>
      <c r="K5036">
        <v>1.2</v>
      </c>
      <c r="M5036" t="s">
        <v>516</v>
      </c>
    </row>
    <row r="5037" spans="1:13" hidden="1">
      <c r="A5037" t="s">
        <v>78</v>
      </c>
      <c r="B5037" t="s">
        <v>8</v>
      </c>
      <c r="C5037" t="s">
        <v>77</v>
      </c>
      <c r="D5037" t="str">
        <f>LEFT(M5037,9)</f>
        <v>1/15/2025</v>
      </c>
      <c r="E5037" t="s">
        <v>202</v>
      </c>
      <c r="F5037" t="s">
        <v>218</v>
      </c>
      <c r="G5037" t="s">
        <v>240</v>
      </c>
      <c r="I5037">
        <v>466</v>
      </c>
      <c r="J5037">
        <v>1631</v>
      </c>
      <c r="K5037">
        <v>3.5</v>
      </c>
      <c r="M5037" t="s">
        <v>516</v>
      </c>
    </row>
    <row r="5038" spans="1:13" hidden="1">
      <c r="A5038" t="s">
        <v>78</v>
      </c>
      <c r="B5038" t="s">
        <v>8</v>
      </c>
      <c r="C5038" t="s">
        <v>77</v>
      </c>
      <c r="D5038" t="str">
        <f>LEFT(M5038,9)</f>
        <v>1/15/2025</v>
      </c>
      <c r="E5038" t="s">
        <v>202</v>
      </c>
      <c r="F5038" t="s">
        <v>218</v>
      </c>
      <c r="G5038" t="s">
        <v>221</v>
      </c>
      <c r="I5038">
        <v>282</v>
      </c>
      <c r="J5038">
        <v>705</v>
      </c>
      <c r="K5038">
        <v>2.5</v>
      </c>
      <c r="M5038" t="s">
        <v>516</v>
      </c>
    </row>
    <row r="5039" spans="1:13" hidden="1">
      <c r="A5039" t="s">
        <v>78</v>
      </c>
      <c r="B5039" t="s">
        <v>8</v>
      </c>
      <c r="C5039" t="s">
        <v>77</v>
      </c>
      <c r="D5039" t="str">
        <f>LEFT(M5039,9)</f>
        <v>1/15/2025</v>
      </c>
      <c r="E5039" t="s">
        <v>202</v>
      </c>
      <c r="F5039" t="s">
        <v>218</v>
      </c>
      <c r="G5039" t="s">
        <v>221</v>
      </c>
      <c r="I5039">
        <v>114</v>
      </c>
      <c r="J5039">
        <v>273.60000000000002</v>
      </c>
      <c r="K5039">
        <v>2.4</v>
      </c>
      <c r="M5039" t="s">
        <v>516</v>
      </c>
    </row>
    <row r="5040" spans="1:13" hidden="1">
      <c r="A5040" t="s">
        <v>78</v>
      </c>
      <c r="B5040" t="s">
        <v>8</v>
      </c>
      <c r="C5040" t="s">
        <v>77</v>
      </c>
      <c r="D5040" t="str">
        <f>LEFT(M5040,9)</f>
        <v>1/15/2025</v>
      </c>
      <c r="E5040" t="s">
        <v>202</v>
      </c>
      <c r="F5040" t="s">
        <v>218</v>
      </c>
      <c r="G5040" t="s">
        <v>226</v>
      </c>
      <c r="I5040">
        <v>1163</v>
      </c>
      <c r="J5040">
        <v>348.9</v>
      </c>
      <c r="K5040">
        <v>0.3</v>
      </c>
      <c r="M5040" t="s">
        <v>516</v>
      </c>
    </row>
    <row r="5041" spans="1:13" hidden="1">
      <c r="A5041" t="s">
        <v>78</v>
      </c>
      <c r="B5041" t="s">
        <v>8</v>
      </c>
      <c r="C5041" t="s">
        <v>77</v>
      </c>
      <c r="D5041" t="str">
        <f>LEFT(M5041,9)</f>
        <v>1/15/2025</v>
      </c>
      <c r="E5041" t="s">
        <v>202</v>
      </c>
      <c r="F5041" t="s">
        <v>218</v>
      </c>
      <c r="G5041" t="s">
        <v>220</v>
      </c>
      <c r="I5041">
        <v>553</v>
      </c>
      <c r="J5041">
        <v>774.2</v>
      </c>
      <c r="K5041">
        <v>1.4</v>
      </c>
      <c r="M5041" t="s">
        <v>516</v>
      </c>
    </row>
    <row r="5042" spans="1:13" hidden="1">
      <c r="A5042" t="s">
        <v>78</v>
      </c>
      <c r="B5042" t="s">
        <v>8</v>
      </c>
      <c r="C5042" t="s">
        <v>77</v>
      </c>
      <c r="D5042" t="str">
        <f>LEFT(M5042,9)</f>
        <v>1/15/2025</v>
      </c>
      <c r="E5042" t="s">
        <v>202</v>
      </c>
      <c r="F5042" t="s">
        <v>218</v>
      </c>
      <c r="G5042" t="s">
        <v>242</v>
      </c>
      <c r="I5042">
        <v>59</v>
      </c>
      <c r="J5042">
        <v>59</v>
      </c>
      <c r="K5042">
        <v>1</v>
      </c>
      <c r="M5042" t="s">
        <v>516</v>
      </c>
    </row>
    <row r="5043" spans="1:13" hidden="1">
      <c r="A5043" t="s">
        <v>78</v>
      </c>
      <c r="B5043" t="s">
        <v>8</v>
      </c>
      <c r="C5043" t="s">
        <v>77</v>
      </c>
      <c r="D5043" t="str">
        <f>LEFT(M5043,9)</f>
        <v>1/15/2025</v>
      </c>
      <c r="E5043" t="s">
        <v>202</v>
      </c>
      <c r="F5043" t="s">
        <v>218</v>
      </c>
      <c r="G5043" t="s">
        <v>222</v>
      </c>
      <c r="I5043">
        <v>181</v>
      </c>
      <c r="J5043">
        <v>181</v>
      </c>
      <c r="K5043">
        <v>1</v>
      </c>
      <c r="M5043" t="s">
        <v>516</v>
      </c>
    </row>
    <row r="5044" spans="1:13" hidden="1">
      <c r="A5044" t="s">
        <v>78</v>
      </c>
      <c r="B5044" t="s">
        <v>8</v>
      </c>
      <c r="C5044" t="s">
        <v>77</v>
      </c>
      <c r="D5044" t="str">
        <f>LEFT(M5044,9)</f>
        <v>1/15/2025</v>
      </c>
      <c r="E5044" t="s">
        <v>202</v>
      </c>
      <c r="F5044" t="s">
        <v>218</v>
      </c>
      <c r="G5044" t="s">
        <v>241</v>
      </c>
      <c r="I5044">
        <v>92</v>
      </c>
      <c r="J5044">
        <v>322</v>
      </c>
      <c r="K5044">
        <v>3.5</v>
      </c>
      <c r="M5044" t="s">
        <v>516</v>
      </c>
    </row>
    <row r="5045" spans="1:13" hidden="1">
      <c r="A5045" t="s">
        <v>78</v>
      </c>
      <c r="B5045" t="s">
        <v>8</v>
      </c>
      <c r="C5045" t="s">
        <v>77</v>
      </c>
      <c r="D5045" t="str">
        <f>LEFT(M5045,9)</f>
        <v>1/15/2025</v>
      </c>
      <c r="E5045" t="s">
        <v>202</v>
      </c>
      <c r="F5045" t="s">
        <v>216</v>
      </c>
      <c r="G5045" t="s">
        <v>217</v>
      </c>
      <c r="I5045">
        <v>2800</v>
      </c>
      <c r="J5045">
        <v>420</v>
      </c>
      <c r="K5045">
        <v>0.15</v>
      </c>
      <c r="M5045" t="s">
        <v>516</v>
      </c>
    </row>
    <row r="5046" spans="1:13" hidden="1">
      <c r="A5046" t="s">
        <v>78</v>
      </c>
      <c r="B5046" t="s">
        <v>8</v>
      </c>
      <c r="C5046" t="s">
        <v>77</v>
      </c>
      <c r="D5046" t="str">
        <f>LEFT(M5046,9)</f>
        <v>1/15/2025</v>
      </c>
      <c r="E5046" t="s">
        <v>202</v>
      </c>
      <c r="F5046" t="s">
        <v>209</v>
      </c>
      <c r="G5046" t="s">
        <v>212</v>
      </c>
      <c r="I5046">
        <v>0.2</v>
      </c>
      <c r="J5046">
        <v>1.1000000000000001</v>
      </c>
      <c r="K5046">
        <v>5.5</v>
      </c>
      <c r="M5046" t="s">
        <v>516</v>
      </c>
    </row>
    <row r="5047" spans="1:13" hidden="1">
      <c r="A5047" t="s">
        <v>78</v>
      </c>
      <c r="B5047" t="s">
        <v>8</v>
      </c>
      <c r="C5047" t="s">
        <v>77</v>
      </c>
      <c r="D5047" t="str">
        <f>LEFT(M5047,9)</f>
        <v>1/15/2025</v>
      </c>
      <c r="E5047" t="s">
        <v>202</v>
      </c>
      <c r="F5047" t="s">
        <v>209</v>
      </c>
      <c r="G5047" t="s">
        <v>214</v>
      </c>
      <c r="I5047">
        <v>319.2</v>
      </c>
      <c r="J5047">
        <v>191.52</v>
      </c>
      <c r="K5047">
        <v>0.6</v>
      </c>
      <c r="M5047" t="s">
        <v>516</v>
      </c>
    </row>
    <row r="5048" spans="1:13" hidden="1">
      <c r="A5048" t="s">
        <v>78</v>
      </c>
      <c r="B5048" t="s">
        <v>8</v>
      </c>
      <c r="C5048" t="s">
        <v>77</v>
      </c>
      <c r="D5048" t="str">
        <f>LEFT(M5048,9)</f>
        <v>1/15/2025</v>
      </c>
      <c r="E5048" t="s">
        <v>202</v>
      </c>
      <c r="F5048" t="s">
        <v>209</v>
      </c>
      <c r="G5048" t="s">
        <v>211</v>
      </c>
      <c r="I5048">
        <v>6.2</v>
      </c>
      <c r="J5048">
        <v>4.96</v>
      </c>
      <c r="K5048">
        <v>0.8</v>
      </c>
      <c r="M5048" t="s">
        <v>516</v>
      </c>
    </row>
    <row r="5049" spans="1:13" hidden="1">
      <c r="A5049" t="s">
        <v>78</v>
      </c>
      <c r="B5049" t="s">
        <v>8</v>
      </c>
      <c r="C5049" t="s">
        <v>77</v>
      </c>
      <c r="D5049" t="str">
        <f>LEFT(M5049,9)</f>
        <v>1/15/2025</v>
      </c>
      <c r="E5049" t="s">
        <v>202</v>
      </c>
      <c r="F5049" t="s">
        <v>209</v>
      </c>
      <c r="G5049" t="s">
        <v>211</v>
      </c>
      <c r="I5049">
        <v>4.5999999999999996</v>
      </c>
      <c r="J5049">
        <v>1.84</v>
      </c>
      <c r="K5049">
        <v>0.4</v>
      </c>
      <c r="M5049" t="s">
        <v>516</v>
      </c>
    </row>
    <row r="5050" spans="1:13" hidden="1">
      <c r="A5050" t="s">
        <v>78</v>
      </c>
      <c r="B5050" t="s">
        <v>8</v>
      </c>
      <c r="C5050" t="s">
        <v>77</v>
      </c>
      <c r="D5050" t="str">
        <f>LEFT(M5050,9)</f>
        <v>1/15/2025</v>
      </c>
      <c r="E5050" t="s">
        <v>202</v>
      </c>
      <c r="F5050" t="s">
        <v>209</v>
      </c>
      <c r="G5050" t="s">
        <v>214</v>
      </c>
      <c r="I5050">
        <v>310.8</v>
      </c>
      <c r="J5050">
        <v>279.72000000000003</v>
      </c>
      <c r="K5050">
        <v>0.9</v>
      </c>
      <c r="M5050" t="s">
        <v>516</v>
      </c>
    </row>
    <row r="5051" spans="1:13" hidden="1">
      <c r="A5051" t="s">
        <v>78</v>
      </c>
      <c r="B5051" t="s">
        <v>8</v>
      </c>
      <c r="C5051" t="s">
        <v>77</v>
      </c>
      <c r="D5051" t="str">
        <f>LEFT(M5051,9)</f>
        <v>1/15/2025</v>
      </c>
      <c r="E5051" t="s">
        <v>202</v>
      </c>
      <c r="F5051" t="s">
        <v>209</v>
      </c>
      <c r="G5051" t="s">
        <v>214</v>
      </c>
      <c r="I5051">
        <v>167</v>
      </c>
      <c r="J5051">
        <v>83.5</v>
      </c>
      <c r="K5051">
        <v>0.5</v>
      </c>
      <c r="M5051" t="s">
        <v>516</v>
      </c>
    </row>
    <row r="5052" spans="1:13" hidden="1">
      <c r="A5052" t="s">
        <v>78</v>
      </c>
      <c r="B5052" t="s">
        <v>8</v>
      </c>
      <c r="C5052" t="s">
        <v>77</v>
      </c>
      <c r="D5052" t="str">
        <f>LEFT(M5052,9)</f>
        <v>1/15/2025</v>
      </c>
      <c r="E5052" t="s">
        <v>202</v>
      </c>
      <c r="F5052" t="s">
        <v>209</v>
      </c>
      <c r="G5052" t="s">
        <v>211</v>
      </c>
      <c r="I5052">
        <v>3.2</v>
      </c>
      <c r="J5052">
        <v>8</v>
      </c>
      <c r="K5052">
        <v>2.5</v>
      </c>
      <c r="M5052" t="s">
        <v>516</v>
      </c>
    </row>
    <row r="5053" spans="1:13" hidden="1">
      <c r="A5053" t="s">
        <v>78</v>
      </c>
      <c r="B5053" t="s">
        <v>8</v>
      </c>
      <c r="C5053" t="s">
        <v>77</v>
      </c>
      <c r="D5053" t="str">
        <f>LEFT(M5053,9)</f>
        <v>1/15/2025</v>
      </c>
      <c r="E5053" t="s">
        <v>202</v>
      </c>
      <c r="F5053" t="s">
        <v>209</v>
      </c>
      <c r="G5053" t="s">
        <v>214</v>
      </c>
      <c r="I5053">
        <v>0.8</v>
      </c>
      <c r="J5053">
        <v>9.6</v>
      </c>
      <c r="K5053">
        <v>12</v>
      </c>
      <c r="M5053" t="s">
        <v>516</v>
      </c>
    </row>
    <row r="5054" spans="1:13" hidden="1">
      <c r="A5054" t="s">
        <v>78</v>
      </c>
      <c r="B5054" t="s">
        <v>8</v>
      </c>
      <c r="C5054" t="s">
        <v>77</v>
      </c>
      <c r="D5054" t="str">
        <f>LEFT(M5054,9)</f>
        <v>1/15/2025</v>
      </c>
      <c r="E5054" t="s">
        <v>232</v>
      </c>
      <c r="F5054" t="s">
        <v>255</v>
      </c>
      <c r="G5054" t="s">
        <v>249</v>
      </c>
      <c r="I5054">
        <v>0</v>
      </c>
      <c r="J5054">
        <v>2500</v>
      </c>
      <c r="L5054" t="s">
        <v>263</v>
      </c>
      <c r="M5054" t="s">
        <v>516</v>
      </c>
    </row>
    <row r="5055" spans="1:13" hidden="1">
      <c r="A5055" t="s">
        <v>78</v>
      </c>
      <c r="B5055" t="s">
        <v>8</v>
      </c>
      <c r="C5055" t="s">
        <v>77</v>
      </c>
      <c r="D5055" t="str">
        <f>LEFT(M5055,9)</f>
        <v>1/15/2025</v>
      </c>
      <c r="E5055" t="s">
        <v>232</v>
      </c>
      <c r="F5055" t="s">
        <v>255</v>
      </c>
      <c r="G5055" t="s">
        <v>249</v>
      </c>
      <c r="I5055">
        <v>0</v>
      </c>
      <c r="J5055">
        <v>260</v>
      </c>
      <c r="L5055" t="s">
        <v>361</v>
      </c>
      <c r="M5055" t="s">
        <v>516</v>
      </c>
    </row>
    <row r="5056" spans="1:13" hidden="1">
      <c r="A5056" t="s">
        <v>78</v>
      </c>
      <c r="B5056" t="s">
        <v>8</v>
      </c>
      <c r="C5056" t="s">
        <v>77</v>
      </c>
      <c r="D5056" t="str">
        <f>LEFT(M5056,9)</f>
        <v>1/15/2025</v>
      </c>
      <c r="E5056" t="s">
        <v>232</v>
      </c>
      <c r="F5056" t="s">
        <v>290</v>
      </c>
      <c r="G5056" t="s">
        <v>249</v>
      </c>
      <c r="I5056">
        <v>0</v>
      </c>
      <c r="J5056">
        <v>506</v>
      </c>
      <c r="M5056" t="s">
        <v>516</v>
      </c>
    </row>
    <row r="5057" spans="1:13" hidden="1">
      <c r="A5057" t="s">
        <v>78</v>
      </c>
      <c r="B5057" t="s">
        <v>8</v>
      </c>
      <c r="C5057" t="s">
        <v>77</v>
      </c>
      <c r="D5057" t="str">
        <f>LEFT(M5057,9)</f>
        <v>1/15/2025</v>
      </c>
      <c r="E5057" t="s">
        <v>232</v>
      </c>
      <c r="F5057" t="s">
        <v>255</v>
      </c>
      <c r="I5057">
        <v>0</v>
      </c>
      <c r="J5057">
        <v>100</v>
      </c>
      <c r="L5057" t="s">
        <v>256</v>
      </c>
      <c r="M5057" t="s">
        <v>516</v>
      </c>
    </row>
    <row r="5058" spans="1:13" hidden="1">
      <c r="A5058" t="s">
        <v>78</v>
      </c>
      <c r="B5058" t="s">
        <v>8</v>
      </c>
      <c r="C5058" t="s">
        <v>77</v>
      </c>
      <c r="D5058" t="str">
        <f>LEFT(M5058,9)</f>
        <v>1/15/2025</v>
      </c>
      <c r="E5058" t="s">
        <v>232</v>
      </c>
      <c r="F5058" t="s">
        <v>255</v>
      </c>
      <c r="G5058" t="s">
        <v>249</v>
      </c>
      <c r="I5058">
        <v>0</v>
      </c>
      <c r="J5058">
        <v>318</v>
      </c>
      <c r="L5058" t="s">
        <v>362</v>
      </c>
      <c r="M5058" t="s">
        <v>516</v>
      </c>
    </row>
    <row r="5059" spans="1:13" hidden="1">
      <c r="A5059" t="s">
        <v>78</v>
      </c>
      <c r="B5059" t="s">
        <v>8</v>
      </c>
      <c r="C5059" t="s">
        <v>77</v>
      </c>
      <c r="D5059" t="str">
        <f>LEFT(M5059,9)</f>
        <v>1/15/2025</v>
      </c>
      <c r="E5059" t="s">
        <v>232</v>
      </c>
      <c r="F5059" t="s">
        <v>287</v>
      </c>
      <c r="G5059" t="s">
        <v>249</v>
      </c>
      <c r="I5059">
        <v>0</v>
      </c>
      <c r="J5059">
        <v>983</v>
      </c>
      <c r="M5059" t="s">
        <v>516</v>
      </c>
    </row>
    <row r="5060" spans="1:13" hidden="1">
      <c r="A5060" t="s">
        <v>78</v>
      </c>
      <c r="B5060" t="s">
        <v>8</v>
      </c>
      <c r="C5060" t="s">
        <v>77</v>
      </c>
      <c r="D5060" t="str">
        <f>LEFT(M5060,9)</f>
        <v>1/15/2025</v>
      </c>
      <c r="E5060" t="s">
        <v>232</v>
      </c>
      <c r="F5060" t="s">
        <v>272</v>
      </c>
      <c r="G5060" t="s">
        <v>249</v>
      </c>
      <c r="I5060">
        <v>0</v>
      </c>
      <c r="J5060">
        <v>560</v>
      </c>
      <c r="M5060" t="s">
        <v>516</v>
      </c>
    </row>
    <row r="5061" spans="1:13" hidden="1">
      <c r="A5061" t="s">
        <v>78</v>
      </c>
      <c r="B5061" t="s">
        <v>8</v>
      </c>
      <c r="C5061" t="s">
        <v>77</v>
      </c>
      <c r="D5061" t="str">
        <f>LEFT(M5061,9)</f>
        <v>1/15/2025</v>
      </c>
      <c r="E5061" t="s">
        <v>232</v>
      </c>
      <c r="F5061" t="s">
        <v>250</v>
      </c>
      <c r="G5061" t="s">
        <v>249</v>
      </c>
      <c r="I5061">
        <v>0</v>
      </c>
      <c r="J5061">
        <v>1978.23</v>
      </c>
      <c r="M5061" t="s">
        <v>516</v>
      </c>
    </row>
    <row r="5062" spans="1:13" hidden="1">
      <c r="A5062" t="s">
        <v>78</v>
      </c>
      <c r="B5062" t="s">
        <v>8</v>
      </c>
      <c r="C5062" t="s">
        <v>77</v>
      </c>
      <c r="D5062" t="str">
        <f>LEFT(M5062,9)</f>
        <v>1/15/2025</v>
      </c>
      <c r="E5062" t="s">
        <v>234</v>
      </c>
      <c r="F5062" t="s">
        <v>234</v>
      </c>
      <c r="G5062" t="s">
        <v>249</v>
      </c>
      <c r="I5062">
        <v>5030</v>
      </c>
      <c r="M5062" t="s">
        <v>516</v>
      </c>
    </row>
    <row r="5063" spans="1:13" hidden="1">
      <c r="A5063" t="s">
        <v>78</v>
      </c>
      <c r="B5063" t="s">
        <v>8</v>
      </c>
      <c r="C5063" t="s">
        <v>77</v>
      </c>
      <c r="D5063" t="str">
        <f>LEFT(M5063,9)</f>
        <v>1/15/2025</v>
      </c>
      <c r="E5063" t="s">
        <v>202</v>
      </c>
      <c r="F5063" t="s">
        <v>218</v>
      </c>
      <c r="G5063" t="s">
        <v>223</v>
      </c>
      <c r="I5063">
        <v>836</v>
      </c>
      <c r="J5063">
        <v>668.8</v>
      </c>
      <c r="K5063">
        <v>0.87</v>
      </c>
      <c r="M5063" t="s">
        <v>516</v>
      </c>
    </row>
    <row r="5064" spans="1:13" hidden="1">
      <c r="A5064" t="s">
        <v>78</v>
      </c>
      <c r="B5064" t="s">
        <v>8</v>
      </c>
      <c r="C5064" t="s">
        <v>77</v>
      </c>
      <c r="D5064" t="str">
        <f>LEFT(M5064,9)</f>
        <v>1/15/2025</v>
      </c>
      <c r="E5064" t="s">
        <v>202</v>
      </c>
      <c r="F5064" t="s">
        <v>218</v>
      </c>
      <c r="G5064" t="s">
        <v>223</v>
      </c>
      <c r="I5064">
        <v>116</v>
      </c>
      <c r="J5064">
        <v>69.599999999999994</v>
      </c>
      <c r="K5064">
        <v>0.6</v>
      </c>
      <c r="M5064" t="s">
        <v>516</v>
      </c>
    </row>
    <row r="5065" spans="1:13" hidden="1">
      <c r="A5065" t="s">
        <v>105</v>
      </c>
      <c r="B5065" t="s">
        <v>8</v>
      </c>
      <c r="C5065" t="s">
        <v>104</v>
      </c>
      <c r="D5065" t="str">
        <f>LEFT(M5065,9)</f>
        <v>1/15/2025</v>
      </c>
      <c r="E5065" t="s">
        <v>202</v>
      </c>
      <c r="F5065" t="s">
        <v>227</v>
      </c>
      <c r="G5065" t="s">
        <v>229</v>
      </c>
      <c r="I5065">
        <v>10525</v>
      </c>
      <c r="J5065">
        <v>8420</v>
      </c>
      <c r="K5065">
        <v>0.8</v>
      </c>
      <c r="M5065" t="s">
        <v>516</v>
      </c>
    </row>
    <row r="5066" spans="1:13" hidden="1">
      <c r="A5066" t="s">
        <v>105</v>
      </c>
      <c r="B5066" t="s">
        <v>8</v>
      </c>
      <c r="C5066" t="s">
        <v>104</v>
      </c>
      <c r="D5066" t="str">
        <f>LEFT(M5066,9)</f>
        <v>1/15/2025</v>
      </c>
      <c r="E5066" t="s">
        <v>202</v>
      </c>
      <c r="F5066" t="s">
        <v>227</v>
      </c>
      <c r="G5066" t="s">
        <v>237</v>
      </c>
      <c r="I5066">
        <v>2759</v>
      </c>
      <c r="J5066">
        <v>1655.4</v>
      </c>
      <c r="K5066">
        <v>0.6</v>
      </c>
      <c r="M5066" t="s">
        <v>516</v>
      </c>
    </row>
    <row r="5067" spans="1:13" hidden="1">
      <c r="A5067" t="s">
        <v>105</v>
      </c>
      <c r="B5067" t="s">
        <v>8</v>
      </c>
      <c r="C5067" t="s">
        <v>104</v>
      </c>
      <c r="D5067" t="str">
        <f>LEFT(M5067,9)</f>
        <v>1/15/2025</v>
      </c>
      <c r="E5067" t="s">
        <v>202</v>
      </c>
      <c r="F5067" t="s">
        <v>227</v>
      </c>
      <c r="G5067" t="s">
        <v>238</v>
      </c>
      <c r="I5067">
        <v>612</v>
      </c>
      <c r="J5067">
        <v>214.2</v>
      </c>
      <c r="K5067">
        <v>0.35</v>
      </c>
      <c r="M5067" t="s">
        <v>516</v>
      </c>
    </row>
    <row r="5068" spans="1:13" hidden="1">
      <c r="A5068" t="s">
        <v>105</v>
      </c>
      <c r="B5068" t="s">
        <v>8</v>
      </c>
      <c r="C5068" t="s">
        <v>104</v>
      </c>
      <c r="D5068" t="str">
        <f>LEFT(M5068,9)</f>
        <v>1/15/2025</v>
      </c>
      <c r="E5068" t="s">
        <v>202</v>
      </c>
      <c r="F5068" t="s">
        <v>227</v>
      </c>
      <c r="G5068" t="s">
        <v>228</v>
      </c>
      <c r="I5068">
        <v>2294</v>
      </c>
      <c r="J5068">
        <v>769.95</v>
      </c>
      <c r="K5068">
        <v>0.34</v>
      </c>
      <c r="M5068" t="s">
        <v>516</v>
      </c>
    </row>
    <row r="5069" spans="1:13" hidden="1">
      <c r="A5069" t="s">
        <v>105</v>
      </c>
      <c r="B5069" t="s">
        <v>8</v>
      </c>
      <c r="C5069" t="s">
        <v>104</v>
      </c>
      <c r="D5069" t="str">
        <f>LEFT(M5069,9)</f>
        <v>1/15/2025</v>
      </c>
      <c r="E5069" t="s">
        <v>202</v>
      </c>
      <c r="F5069" t="s">
        <v>227</v>
      </c>
      <c r="G5069" t="s">
        <v>252</v>
      </c>
      <c r="I5069">
        <v>274</v>
      </c>
      <c r="J5069">
        <v>82.2</v>
      </c>
      <c r="K5069">
        <v>0.3</v>
      </c>
      <c r="M5069" t="s">
        <v>516</v>
      </c>
    </row>
    <row r="5070" spans="1:13" hidden="1">
      <c r="A5070" t="s">
        <v>105</v>
      </c>
      <c r="B5070" t="s">
        <v>8</v>
      </c>
      <c r="C5070" t="s">
        <v>104</v>
      </c>
      <c r="D5070" t="str">
        <f>LEFT(M5070,9)</f>
        <v>1/15/2025</v>
      </c>
      <c r="E5070" t="s">
        <v>202</v>
      </c>
      <c r="F5070" t="s">
        <v>218</v>
      </c>
      <c r="G5070" t="s">
        <v>221</v>
      </c>
      <c r="I5070">
        <v>973</v>
      </c>
      <c r="J5070">
        <v>2383.85</v>
      </c>
      <c r="K5070">
        <v>2.4500000000000002</v>
      </c>
      <c r="M5070" t="s">
        <v>516</v>
      </c>
    </row>
    <row r="5071" spans="1:13" hidden="1">
      <c r="A5071" t="s">
        <v>105</v>
      </c>
      <c r="B5071" t="s">
        <v>8</v>
      </c>
      <c r="C5071" t="s">
        <v>104</v>
      </c>
      <c r="D5071" t="str">
        <f>LEFT(M5071,9)</f>
        <v>1/15/2025</v>
      </c>
      <c r="E5071" t="s">
        <v>202</v>
      </c>
      <c r="F5071" t="s">
        <v>218</v>
      </c>
      <c r="G5071" t="s">
        <v>220</v>
      </c>
      <c r="I5071">
        <v>1749</v>
      </c>
      <c r="J5071">
        <v>2429.6999999999998</v>
      </c>
      <c r="K5071">
        <v>1.39</v>
      </c>
      <c r="M5071" t="s">
        <v>516</v>
      </c>
    </row>
    <row r="5072" spans="1:13" hidden="1">
      <c r="A5072" t="s">
        <v>105</v>
      </c>
      <c r="B5072" t="s">
        <v>8</v>
      </c>
      <c r="C5072" t="s">
        <v>104</v>
      </c>
      <c r="D5072" t="str">
        <f>LEFT(M5072,9)</f>
        <v>1/15/2025</v>
      </c>
      <c r="E5072" t="s">
        <v>202</v>
      </c>
      <c r="F5072" t="s">
        <v>218</v>
      </c>
      <c r="G5072" t="s">
        <v>247</v>
      </c>
      <c r="I5072">
        <v>42</v>
      </c>
      <c r="J5072">
        <v>126</v>
      </c>
      <c r="K5072">
        <v>3</v>
      </c>
      <c r="M5072" t="s">
        <v>516</v>
      </c>
    </row>
    <row r="5073" spans="1:13" hidden="1">
      <c r="A5073" t="s">
        <v>105</v>
      </c>
      <c r="B5073" t="s">
        <v>8</v>
      </c>
      <c r="C5073" t="s">
        <v>104</v>
      </c>
      <c r="D5073" t="str">
        <f>LEFT(M5073,9)</f>
        <v>1/15/2025</v>
      </c>
      <c r="E5073" t="s">
        <v>202</v>
      </c>
      <c r="F5073" t="s">
        <v>218</v>
      </c>
      <c r="G5073" t="s">
        <v>223</v>
      </c>
      <c r="I5073">
        <v>2395</v>
      </c>
      <c r="J5073">
        <v>1889.7</v>
      </c>
      <c r="K5073">
        <v>0.79</v>
      </c>
      <c r="M5073" t="s">
        <v>516</v>
      </c>
    </row>
    <row r="5074" spans="1:13" hidden="1">
      <c r="A5074" t="s">
        <v>105</v>
      </c>
      <c r="B5074" t="s">
        <v>8</v>
      </c>
      <c r="C5074" t="s">
        <v>104</v>
      </c>
      <c r="D5074" t="str">
        <f>LEFT(M5074,9)</f>
        <v>1/15/2025</v>
      </c>
      <c r="E5074" t="s">
        <v>202</v>
      </c>
      <c r="F5074" t="s">
        <v>218</v>
      </c>
      <c r="G5074" t="s">
        <v>240</v>
      </c>
      <c r="I5074">
        <v>521</v>
      </c>
      <c r="J5074">
        <v>1862</v>
      </c>
      <c r="K5074">
        <v>3.57</v>
      </c>
      <c r="M5074" t="s">
        <v>516</v>
      </c>
    </row>
    <row r="5075" spans="1:13" hidden="1">
      <c r="A5075" t="s">
        <v>105</v>
      </c>
      <c r="B5075" t="s">
        <v>8</v>
      </c>
      <c r="C5075" t="s">
        <v>104</v>
      </c>
      <c r="D5075" t="str">
        <f>LEFT(M5075,9)</f>
        <v>1/15/2025</v>
      </c>
      <c r="E5075" t="s">
        <v>202</v>
      </c>
      <c r="F5075" t="s">
        <v>218</v>
      </c>
      <c r="G5075" t="s">
        <v>241</v>
      </c>
      <c r="I5075">
        <v>175</v>
      </c>
      <c r="J5075">
        <v>612.5</v>
      </c>
      <c r="K5075">
        <v>3.5</v>
      </c>
      <c r="M5075" t="s">
        <v>516</v>
      </c>
    </row>
    <row r="5076" spans="1:13" hidden="1">
      <c r="A5076" t="s">
        <v>105</v>
      </c>
      <c r="B5076" t="s">
        <v>8</v>
      </c>
      <c r="C5076" t="s">
        <v>104</v>
      </c>
      <c r="D5076" t="str">
        <f>LEFT(M5076,9)</f>
        <v>1/15/2025</v>
      </c>
      <c r="E5076" t="s">
        <v>202</v>
      </c>
      <c r="F5076" t="s">
        <v>218</v>
      </c>
      <c r="G5076" t="s">
        <v>242</v>
      </c>
      <c r="I5076">
        <v>62</v>
      </c>
      <c r="J5076">
        <v>62</v>
      </c>
      <c r="K5076">
        <v>1</v>
      </c>
      <c r="M5076" t="s">
        <v>516</v>
      </c>
    </row>
    <row r="5077" spans="1:13" hidden="1">
      <c r="A5077" t="s">
        <v>105</v>
      </c>
      <c r="B5077" t="s">
        <v>8</v>
      </c>
      <c r="C5077" t="s">
        <v>104</v>
      </c>
      <c r="D5077" t="str">
        <f>LEFT(M5077,9)</f>
        <v>1/15/2025</v>
      </c>
      <c r="E5077" t="s">
        <v>202</v>
      </c>
      <c r="F5077" t="s">
        <v>218</v>
      </c>
      <c r="G5077" t="s">
        <v>219</v>
      </c>
      <c r="I5077">
        <v>108</v>
      </c>
      <c r="J5077">
        <v>10.8</v>
      </c>
      <c r="K5077">
        <v>0.1</v>
      </c>
      <c r="M5077" t="s">
        <v>516</v>
      </c>
    </row>
    <row r="5078" spans="1:13" hidden="1">
      <c r="A5078" t="s">
        <v>105</v>
      </c>
      <c r="B5078" t="s">
        <v>8</v>
      </c>
      <c r="C5078" t="s">
        <v>104</v>
      </c>
      <c r="D5078" t="str">
        <f>LEFT(M5078,9)</f>
        <v>1/15/2025</v>
      </c>
      <c r="E5078" t="s">
        <v>202</v>
      </c>
      <c r="F5078" t="s">
        <v>218</v>
      </c>
      <c r="G5078" t="s">
        <v>243</v>
      </c>
      <c r="H5078" t="s">
        <v>344</v>
      </c>
      <c r="I5078">
        <v>140</v>
      </c>
      <c r="J5078">
        <v>42</v>
      </c>
      <c r="K5078">
        <v>0.3</v>
      </c>
      <c r="M5078" t="s">
        <v>516</v>
      </c>
    </row>
    <row r="5079" spans="1:13" hidden="1">
      <c r="A5079" t="s">
        <v>105</v>
      </c>
      <c r="B5079" t="s">
        <v>8</v>
      </c>
      <c r="C5079" t="s">
        <v>104</v>
      </c>
      <c r="D5079" t="str">
        <f>LEFT(M5079,9)</f>
        <v>1/15/2025</v>
      </c>
      <c r="E5079" t="s">
        <v>202</v>
      </c>
      <c r="F5079" t="s">
        <v>218</v>
      </c>
      <c r="G5079" t="s">
        <v>225</v>
      </c>
      <c r="I5079">
        <v>117</v>
      </c>
      <c r="J5079">
        <v>117</v>
      </c>
      <c r="K5079">
        <v>1</v>
      </c>
      <c r="M5079" t="s">
        <v>516</v>
      </c>
    </row>
    <row r="5080" spans="1:13" hidden="1">
      <c r="A5080" t="s">
        <v>105</v>
      </c>
      <c r="B5080" t="s">
        <v>8</v>
      </c>
      <c r="C5080" t="s">
        <v>104</v>
      </c>
      <c r="D5080" t="str">
        <f>LEFT(M5080,9)</f>
        <v>1/15/2025</v>
      </c>
      <c r="E5080" t="s">
        <v>202</v>
      </c>
      <c r="F5080" t="s">
        <v>218</v>
      </c>
      <c r="G5080" t="s">
        <v>222</v>
      </c>
      <c r="I5080">
        <v>2463</v>
      </c>
      <c r="J5080">
        <v>3617.7</v>
      </c>
      <c r="K5080">
        <v>1.47</v>
      </c>
      <c r="M5080" t="s">
        <v>516</v>
      </c>
    </row>
    <row r="5081" spans="1:13" hidden="1">
      <c r="A5081" t="s">
        <v>105</v>
      </c>
      <c r="B5081" t="s">
        <v>8</v>
      </c>
      <c r="C5081" t="s">
        <v>104</v>
      </c>
      <c r="D5081" t="str">
        <f>LEFT(M5081,9)</f>
        <v>1/15/2025</v>
      </c>
      <c r="E5081" t="s">
        <v>202</v>
      </c>
      <c r="F5081" t="s">
        <v>218</v>
      </c>
      <c r="G5081" t="s">
        <v>226</v>
      </c>
      <c r="I5081">
        <v>850</v>
      </c>
      <c r="J5081">
        <v>255</v>
      </c>
      <c r="K5081">
        <v>0.3</v>
      </c>
      <c r="M5081" t="s">
        <v>516</v>
      </c>
    </row>
    <row r="5082" spans="1:13" hidden="1">
      <c r="A5082" t="s">
        <v>105</v>
      </c>
      <c r="B5082" t="s">
        <v>8</v>
      </c>
      <c r="C5082" t="s">
        <v>104</v>
      </c>
      <c r="D5082" t="str">
        <f>LEFT(M5082,9)</f>
        <v>1/15/2025</v>
      </c>
      <c r="E5082" t="s">
        <v>202</v>
      </c>
      <c r="F5082" t="s">
        <v>218</v>
      </c>
      <c r="G5082" t="s">
        <v>266</v>
      </c>
      <c r="I5082">
        <v>474</v>
      </c>
      <c r="J5082">
        <v>4.74</v>
      </c>
      <c r="K5082">
        <v>0.01</v>
      </c>
      <c r="M5082" t="s">
        <v>516</v>
      </c>
    </row>
    <row r="5083" spans="1:13" hidden="1">
      <c r="A5083" t="s">
        <v>105</v>
      </c>
      <c r="B5083" t="s">
        <v>8</v>
      </c>
      <c r="C5083" t="s">
        <v>104</v>
      </c>
      <c r="D5083" t="str">
        <f>LEFT(M5083,9)</f>
        <v>1/15/2025</v>
      </c>
      <c r="E5083" t="s">
        <v>202</v>
      </c>
      <c r="F5083" t="s">
        <v>218</v>
      </c>
      <c r="G5083" t="s">
        <v>224</v>
      </c>
      <c r="I5083">
        <v>344</v>
      </c>
      <c r="J5083">
        <v>344</v>
      </c>
      <c r="K5083">
        <v>1</v>
      </c>
      <c r="M5083" t="s">
        <v>516</v>
      </c>
    </row>
    <row r="5084" spans="1:13" hidden="1">
      <c r="A5084" t="s">
        <v>105</v>
      </c>
      <c r="B5084" t="s">
        <v>8</v>
      </c>
      <c r="C5084" t="s">
        <v>104</v>
      </c>
      <c r="D5084" t="str">
        <f>LEFT(M5084,9)</f>
        <v>1/15/2025</v>
      </c>
      <c r="E5084" t="s">
        <v>202</v>
      </c>
      <c r="F5084" t="s">
        <v>218</v>
      </c>
      <c r="G5084" t="s">
        <v>267</v>
      </c>
      <c r="I5084">
        <v>595</v>
      </c>
      <c r="J5084">
        <v>119</v>
      </c>
      <c r="K5084">
        <v>0.2</v>
      </c>
      <c r="M5084" t="s">
        <v>516</v>
      </c>
    </row>
    <row r="5085" spans="1:13" hidden="1">
      <c r="A5085" t="s">
        <v>105</v>
      </c>
      <c r="B5085" t="s">
        <v>8</v>
      </c>
      <c r="C5085" t="s">
        <v>104</v>
      </c>
      <c r="D5085" t="str">
        <f>LEFT(M5085,9)</f>
        <v>1/15/2025</v>
      </c>
      <c r="E5085" t="s">
        <v>202</v>
      </c>
      <c r="F5085" t="s">
        <v>209</v>
      </c>
      <c r="G5085" t="s">
        <v>212</v>
      </c>
      <c r="I5085">
        <v>408</v>
      </c>
      <c r="J5085">
        <v>244.8</v>
      </c>
      <c r="K5085">
        <v>0.6</v>
      </c>
      <c r="M5085" t="s">
        <v>516</v>
      </c>
    </row>
    <row r="5086" spans="1:13" hidden="1">
      <c r="A5086" t="s">
        <v>105</v>
      </c>
      <c r="B5086" t="s">
        <v>8</v>
      </c>
      <c r="C5086" t="s">
        <v>104</v>
      </c>
      <c r="D5086" t="str">
        <f>LEFT(M5086,9)</f>
        <v>1/15/2025</v>
      </c>
      <c r="E5086" t="s">
        <v>202</v>
      </c>
      <c r="F5086" t="s">
        <v>209</v>
      </c>
      <c r="G5086" t="s">
        <v>212</v>
      </c>
      <c r="I5086">
        <v>66</v>
      </c>
      <c r="J5086">
        <v>26.4</v>
      </c>
      <c r="K5086">
        <v>0.4</v>
      </c>
      <c r="M5086" t="s">
        <v>516</v>
      </c>
    </row>
    <row r="5087" spans="1:13" hidden="1">
      <c r="A5087" t="s">
        <v>105</v>
      </c>
      <c r="B5087" t="s">
        <v>8</v>
      </c>
      <c r="C5087" t="s">
        <v>104</v>
      </c>
      <c r="D5087" t="str">
        <f>LEFT(M5087,9)</f>
        <v>1/15/2025</v>
      </c>
      <c r="E5087" t="s">
        <v>202</v>
      </c>
      <c r="F5087" t="s">
        <v>209</v>
      </c>
      <c r="G5087" t="s">
        <v>214</v>
      </c>
      <c r="I5087">
        <v>143.5</v>
      </c>
      <c r="J5087">
        <v>122.35</v>
      </c>
      <c r="K5087">
        <v>0.85</v>
      </c>
      <c r="M5087" t="s">
        <v>516</v>
      </c>
    </row>
    <row r="5088" spans="1:13" hidden="1">
      <c r="A5088" t="s">
        <v>105</v>
      </c>
      <c r="B5088" t="s">
        <v>8</v>
      </c>
      <c r="C5088" t="s">
        <v>104</v>
      </c>
      <c r="D5088" t="str">
        <f>LEFT(M5088,9)</f>
        <v>1/15/2025</v>
      </c>
      <c r="E5088" t="s">
        <v>202</v>
      </c>
      <c r="F5088" t="s">
        <v>209</v>
      </c>
      <c r="G5088" t="s">
        <v>310</v>
      </c>
      <c r="I5088">
        <v>15</v>
      </c>
      <c r="J5088">
        <v>15</v>
      </c>
      <c r="K5088">
        <v>1</v>
      </c>
      <c r="M5088" t="s">
        <v>516</v>
      </c>
    </row>
    <row r="5089" spans="1:13" hidden="1">
      <c r="A5089" t="s">
        <v>105</v>
      </c>
      <c r="B5089" t="s">
        <v>8</v>
      </c>
      <c r="C5089" t="s">
        <v>104</v>
      </c>
      <c r="D5089" t="str">
        <f>LEFT(M5089,9)</f>
        <v>1/15/2025</v>
      </c>
      <c r="E5089" t="s">
        <v>202</v>
      </c>
      <c r="F5089" t="s">
        <v>203</v>
      </c>
      <c r="G5089" t="s">
        <v>260</v>
      </c>
      <c r="I5089">
        <v>6.5</v>
      </c>
      <c r="J5089">
        <v>260</v>
      </c>
      <c r="K5089">
        <v>40</v>
      </c>
      <c r="M5089" t="s">
        <v>516</v>
      </c>
    </row>
    <row r="5090" spans="1:13" hidden="1">
      <c r="A5090" t="s">
        <v>105</v>
      </c>
      <c r="B5090" t="s">
        <v>8</v>
      </c>
      <c r="C5090" t="s">
        <v>104</v>
      </c>
      <c r="D5090" t="str">
        <f>LEFT(M5090,9)</f>
        <v>1/15/2025</v>
      </c>
      <c r="E5090" t="s">
        <v>202</v>
      </c>
      <c r="F5090" t="s">
        <v>203</v>
      </c>
      <c r="G5090" t="s">
        <v>259</v>
      </c>
      <c r="I5090">
        <v>1.5</v>
      </c>
      <c r="J5090">
        <v>33</v>
      </c>
      <c r="K5090">
        <v>22</v>
      </c>
      <c r="M5090" t="s">
        <v>516</v>
      </c>
    </row>
    <row r="5091" spans="1:13" hidden="1">
      <c r="A5091" t="s">
        <v>105</v>
      </c>
      <c r="B5091" t="s">
        <v>8</v>
      </c>
      <c r="C5091" t="s">
        <v>104</v>
      </c>
      <c r="D5091" t="str">
        <f>LEFT(M5091,9)</f>
        <v>1/15/2025</v>
      </c>
      <c r="E5091" t="s">
        <v>202</v>
      </c>
      <c r="F5091" t="s">
        <v>203</v>
      </c>
      <c r="G5091" t="s">
        <v>204</v>
      </c>
      <c r="I5091">
        <v>171</v>
      </c>
      <c r="J5091">
        <v>1539</v>
      </c>
      <c r="K5091">
        <v>9</v>
      </c>
      <c r="M5091" t="s">
        <v>516</v>
      </c>
    </row>
    <row r="5092" spans="1:13" hidden="1">
      <c r="A5092" t="s">
        <v>105</v>
      </c>
      <c r="B5092" t="s">
        <v>8</v>
      </c>
      <c r="C5092" t="s">
        <v>104</v>
      </c>
      <c r="D5092" t="str">
        <f>LEFT(M5092,9)</f>
        <v>1/15/2025</v>
      </c>
      <c r="E5092" t="s">
        <v>202</v>
      </c>
      <c r="F5092" t="s">
        <v>203</v>
      </c>
      <c r="G5092" t="s">
        <v>259</v>
      </c>
      <c r="I5092">
        <v>82.5</v>
      </c>
      <c r="J5092">
        <v>738</v>
      </c>
      <c r="K5092">
        <v>8.9499999999999993</v>
      </c>
      <c r="M5092" t="s">
        <v>516</v>
      </c>
    </row>
    <row r="5093" spans="1:13" hidden="1">
      <c r="A5093" t="s">
        <v>105</v>
      </c>
      <c r="B5093" t="s">
        <v>8</v>
      </c>
      <c r="C5093" t="s">
        <v>104</v>
      </c>
      <c r="D5093" t="str">
        <f>LEFT(M5093,9)</f>
        <v>1/15/2025</v>
      </c>
      <c r="E5093" t="s">
        <v>202</v>
      </c>
      <c r="F5093" t="s">
        <v>203</v>
      </c>
      <c r="G5093" t="s">
        <v>208</v>
      </c>
      <c r="I5093">
        <v>5</v>
      </c>
      <c r="J5093">
        <v>50</v>
      </c>
      <c r="K5093">
        <v>10</v>
      </c>
      <c r="M5093" t="s">
        <v>516</v>
      </c>
    </row>
    <row r="5094" spans="1:13" hidden="1">
      <c r="A5094" t="s">
        <v>105</v>
      </c>
      <c r="B5094" t="s">
        <v>8</v>
      </c>
      <c r="C5094" t="s">
        <v>104</v>
      </c>
      <c r="D5094" t="str">
        <f>LEFT(M5094,9)</f>
        <v>1/15/2025</v>
      </c>
      <c r="E5094" t="s">
        <v>202</v>
      </c>
      <c r="F5094" t="s">
        <v>203</v>
      </c>
      <c r="G5094" t="s">
        <v>236</v>
      </c>
      <c r="I5094">
        <v>1770</v>
      </c>
      <c r="J5094">
        <v>1239</v>
      </c>
      <c r="K5094">
        <v>0.7</v>
      </c>
      <c r="M5094" t="s">
        <v>516</v>
      </c>
    </row>
    <row r="5095" spans="1:13" hidden="1">
      <c r="A5095" t="s">
        <v>105</v>
      </c>
      <c r="B5095" t="s">
        <v>8</v>
      </c>
      <c r="C5095" t="s">
        <v>104</v>
      </c>
      <c r="D5095" t="str">
        <f>LEFT(M5095,9)</f>
        <v>1/15/2025</v>
      </c>
      <c r="E5095" t="s">
        <v>234</v>
      </c>
      <c r="F5095" t="s">
        <v>234</v>
      </c>
      <c r="I5095">
        <v>3500</v>
      </c>
      <c r="M5095" t="s">
        <v>516</v>
      </c>
    </row>
    <row r="5096" spans="1:13" hidden="1">
      <c r="A5096" t="s">
        <v>105</v>
      </c>
      <c r="B5096" t="s">
        <v>8</v>
      </c>
      <c r="C5096" t="s">
        <v>104</v>
      </c>
      <c r="D5096" t="str">
        <f>LEFT(M5096,9)</f>
        <v>1/15/2025</v>
      </c>
      <c r="E5096" t="s">
        <v>230</v>
      </c>
      <c r="F5096" t="s">
        <v>248</v>
      </c>
      <c r="I5096">
        <v>0</v>
      </c>
      <c r="J5096">
        <v>7379.03</v>
      </c>
      <c r="M5096" t="s">
        <v>516</v>
      </c>
    </row>
    <row r="5097" spans="1:13" hidden="1">
      <c r="A5097" t="s">
        <v>105</v>
      </c>
      <c r="B5097" t="s">
        <v>8</v>
      </c>
      <c r="C5097" t="s">
        <v>104</v>
      </c>
      <c r="D5097" t="str">
        <f>LEFT(M5097,9)</f>
        <v>1/15/2025</v>
      </c>
      <c r="E5097" t="s">
        <v>232</v>
      </c>
      <c r="F5097" t="s">
        <v>287</v>
      </c>
      <c r="I5097">
        <v>0</v>
      </c>
      <c r="J5097">
        <v>567.51</v>
      </c>
      <c r="M5097" t="s">
        <v>516</v>
      </c>
    </row>
    <row r="5098" spans="1:13" hidden="1">
      <c r="A5098" t="s">
        <v>105</v>
      </c>
      <c r="B5098" t="s">
        <v>8</v>
      </c>
      <c r="C5098" t="s">
        <v>104</v>
      </c>
      <c r="D5098" t="str">
        <f>LEFT(M5098,9)</f>
        <v>1/15/2025</v>
      </c>
      <c r="E5098" t="s">
        <v>232</v>
      </c>
      <c r="F5098" t="s">
        <v>291</v>
      </c>
      <c r="I5098">
        <v>0</v>
      </c>
      <c r="J5098">
        <v>40.880000000000003</v>
      </c>
      <c r="M5098" t="s">
        <v>516</v>
      </c>
    </row>
    <row r="5099" spans="1:13" hidden="1">
      <c r="A5099" t="s">
        <v>105</v>
      </c>
      <c r="B5099" t="s">
        <v>8</v>
      </c>
      <c r="C5099" t="s">
        <v>104</v>
      </c>
      <c r="D5099" t="str">
        <f>LEFT(M5099,9)</f>
        <v>1/15/2025</v>
      </c>
      <c r="E5099" t="s">
        <v>232</v>
      </c>
      <c r="F5099" t="s">
        <v>286</v>
      </c>
      <c r="I5099">
        <v>0</v>
      </c>
      <c r="J5099">
        <v>110</v>
      </c>
      <c r="M5099" t="s">
        <v>516</v>
      </c>
    </row>
    <row r="5100" spans="1:13" hidden="1">
      <c r="A5100" t="s">
        <v>105</v>
      </c>
      <c r="B5100" t="s">
        <v>8</v>
      </c>
      <c r="C5100" t="s">
        <v>104</v>
      </c>
      <c r="D5100" t="str">
        <f>LEFT(M5100,9)</f>
        <v>1/15/2025</v>
      </c>
      <c r="E5100" t="s">
        <v>232</v>
      </c>
      <c r="F5100" t="s">
        <v>250</v>
      </c>
      <c r="I5100">
        <v>0</v>
      </c>
      <c r="J5100">
        <v>300</v>
      </c>
      <c r="M5100" t="s">
        <v>516</v>
      </c>
    </row>
    <row r="5101" spans="1:13" hidden="1">
      <c r="A5101" t="s">
        <v>105</v>
      </c>
      <c r="B5101" t="s">
        <v>8</v>
      </c>
      <c r="C5101" t="s">
        <v>104</v>
      </c>
      <c r="D5101" t="str">
        <f>LEFT(M5101,9)</f>
        <v>1/15/2025</v>
      </c>
      <c r="E5101" t="s">
        <v>232</v>
      </c>
      <c r="F5101" t="s">
        <v>255</v>
      </c>
      <c r="I5101">
        <v>0</v>
      </c>
      <c r="J5101">
        <v>200</v>
      </c>
      <c r="L5101" t="s">
        <v>558</v>
      </c>
      <c r="M5101" t="s">
        <v>516</v>
      </c>
    </row>
    <row r="5102" spans="1:13" hidden="1">
      <c r="A5102" t="s">
        <v>105</v>
      </c>
      <c r="B5102" t="s">
        <v>8</v>
      </c>
      <c r="C5102" t="s">
        <v>104</v>
      </c>
      <c r="D5102" t="str">
        <f>LEFT(M5102,9)</f>
        <v>1/15/2025</v>
      </c>
      <c r="E5102" t="s">
        <v>232</v>
      </c>
      <c r="F5102" t="s">
        <v>251</v>
      </c>
      <c r="I5102">
        <v>0</v>
      </c>
      <c r="J5102">
        <v>851</v>
      </c>
      <c r="M5102" t="s">
        <v>516</v>
      </c>
    </row>
    <row r="5103" spans="1:13" hidden="1">
      <c r="A5103" t="s">
        <v>105</v>
      </c>
      <c r="B5103" t="s">
        <v>8</v>
      </c>
      <c r="C5103" t="s">
        <v>104</v>
      </c>
      <c r="D5103" t="str">
        <f>LEFT(M5103,9)</f>
        <v>1/15/2025</v>
      </c>
      <c r="E5103" t="s">
        <v>232</v>
      </c>
      <c r="F5103" t="s">
        <v>255</v>
      </c>
      <c r="I5103">
        <v>0</v>
      </c>
      <c r="J5103">
        <v>339.9</v>
      </c>
      <c r="L5103" t="s">
        <v>559</v>
      </c>
      <c r="M5103" t="s">
        <v>516</v>
      </c>
    </row>
    <row r="5104" spans="1:13" hidden="1">
      <c r="A5104" t="s">
        <v>105</v>
      </c>
      <c r="B5104" t="s">
        <v>8</v>
      </c>
      <c r="C5104" t="s">
        <v>104</v>
      </c>
      <c r="D5104" t="str">
        <f>LEFT(M5104,9)</f>
        <v>1/15/2025</v>
      </c>
      <c r="E5104" t="s">
        <v>232</v>
      </c>
      <c r="F5104" t="s">
        <v>272</v>
      </c>
      <c r="I5104">
        <v>0</v>
      </c>
      <c r="J5104">
        <v>300</v>
      </c>
      <c r="M5104" t="s">
        <v>516</v>
      </c>
    </row>
    <row r="5105" spans="1:13" hidden="1">
      <c r="A5105" t="s">
        <v>105</v>
      </c>
      <c r="B5105" t="s">
        <v>8</v>
      </c>
      <c r="C5105" t="s">
        <v>104</v>
      </c>
      <c r="D5105" t="str">
        <f>LEFT(M5105,9)</f>
        <v>1/15/2025</v>
      </c>
      <c r="E5105" t="s">
        <v>232</v>
      </c>
      <c r="F5105" t="s">
        <v>233</v>
      </c>
      <c r="I5105">
        <v>0</v>
      </c>
      <c r="J5105">
        <v>621.28</v>
      </c>
      <c r="M5105" t="s">
        <v>516</v>
      </c>
    </row>
    <row r="5106" spans="1:13" hidden="1">
      <c r="A5106" t="s">
        <v>153</v>
      </c>
      <c r="B5106" t="s">
        <v>8</v>
      </c>
      <c r="C5106" t="s">
        <v>152</v>
      </c>
      <c r="D5106" t="str">
        <f>LEFT(M5106,9)</f>
        <v>1/15/2025</v>
      </c>
      <c r="E5106" t="s">
        <v>202</v>
      </c>
      <c r="F5106" t="s">
        <v>227</v>
      </c>
      <c r="G5106" t="s">
        <v>229</v>
      </c>
      <c r="I5106">
        <v>5857</v>
      </c>
      <c r="J5106">
        <v>4509.8900000000003</v>
      </c>
      <c r="K5106">
        <v>0.77</v>
      </c>
      <c r="M5106" t="s">
        <v>516</v>
      </c>
    </row>
    <row r="5107" spans="1:13" hidden="1">
      <c r="A5107" t="s">
        <v>153</v>
      </c>
      <c r="B5107" t="s">
        <v>8</v>
      </c>
      <c r="C5107" t="s">
        <v>152</v>
      </c>
      <c r="D5107" t="str">
        <f>LEFT(M5107,9)</f>
        <v>1/15/2025</v>
      </c>
      <c r="E5107" t="s">
        <v>202</v>
      </c>
      <c r="F5107" t="s">
        <v>227</v>
      </c>
      <c r="G5107" t="s">
        <v>237</v>
      </c>
      <c r="I5107">
        <v>494</v>
      </c>
      <c r="J5107">
        <v>296.39999999999998</v>
      </c>
      <c r="K5107">
        <v>0.6</v>
      </c>
      <c r="M5107" t="s">
        <v>516</v>
      </c>
    </row>
    <row r="5108" spans="1:13" hidden="1">
      <c r="A5108" t="s">
        <v>153</v>
      </c>
      <c r="B5108" t="s">
        <v>8</v>
      </c>
      <c r="C5108" t="s">
        <v>152</v>
      </c>
      <c r="D5108" t="str">
        <f>LEFT(M5108,9)</f>
        <v>1/15/2025</v>
      </c>
      <c r="E5108" t="s">
        <v>202</v>
      </c>
      <c r="F5108" t="s">
        <v>218</v>
      </c>
      <c r="G5108" t="s">
        <v>221</v>
      </c>
      <c r="I5108">
        <v>317.60000000000002</v>
      </c>
      <c r="J5108">
        <v>794</v>
      </c>
      <c r="K5108">
        <v>2.5</v>
      </c>
      <c r="M5108" t="s">
        <v>516</v>
      </c>
    </row>
    <row r="5109" spans="1:13" hidden="1">
      <c r="A5109" t="s">
        <v>153</v>
      </c>
      <c r="B5109" t="s">
        <v>8</v>
      </c>
      <c r="C5109" t="s">
        <v>152</v>
      </c>
      <c r="D5109" t="str">
        <f>LEFT(M5109,9)</f>
        <v>1/15/2025</v>
      </c>
      <c r="E5109" t="s">
        <v>202</v>
      </c>
      <c r="F5109" t="s">
        <v>227</v>
      </c>
      <c r="G5109" t="s">
        <v>228</v>
      </c>
      <c r="I5109">
        <v>1084.5</v>
      </c>
      <c r="J5109">
        <v>325.35000000000002</v>
      </c>
      <c r="K5109">
        <v>0.3</v>
      </c>
      <c r="M5109" t="s">
        <v>516</v>
      </c>
    </row>
    <row r="5110" spans="1:13" hidden="1">
      <c r="A5110" t="s">
        <v>153</v>
      </c>
      <c r="B5110" t="s">
        <v>8</v>
      </c>
      <c r="C5110" t="s">
        <v>152</v>
      </c>
      <c r="D5110" t="str">
        <f>LEFT(M5110,9)</f>
        <v>1/15/2025</v>
      </c>
      <c r="E5110" t="s">
        <v>202</v>
      </c>
      <c r="F5110" t="s">
        <v>227</v>
      </c>
      <c r="G5110" t="s">
        <v>252</v>
      </c>
      <c r="I5110">
        <v>123.5</v>
      </c>
      <c r="J5110">
        <v>49.4</v>
      </c>
      <c r="K5110">
        <v>0.4</v>
      </c>
      <c r="M5110" t="s">
        <v>516</v>
      </c>
    </row>
    <row r="5111" spans="1:13" hidden="1">
      <c r="A5111" t="s">
        <v>153</v>
      </c>
      <c r="B5111" t="s">
        <v>8</v>
      </c>
      <c r="C5111" t="s">
        <v>152</v>
      </c>
      <c r="D5111" t="str">
        <f>LEFT(M5111,9)</f>
        <v>1/15/2025</v>
      </c>
      <c r="E5111" t="s">
        <v>202</v>
      </c>
      <c r="F5111" t="s">
        <v>218</v>
      </c>
      <c r="G5111" t="s">
        <v>219</v>
      </c>
      <c r="I5111">
        <v>41.6</v>
      </c>
      <c r="J5111">
        <v>10.4</v>
      </c>
      <c r="K5111">
        <v>0.25</v>
      </c>
      <c r="M5111" t="s">
        <v>516</v>
      </c>
    </row>
    <row r="5112" spans="1:13" hidden="1">
      <c r="A5112" t="s">
        <v>153</v>
      </c>
      <c r="B5112" t="s">
        <v>8</v>
      </c>
      <c r="C5112" t="s">
        <v>152</v>
      </c>
      <c r="D5112" t="str">
        <f>LEFT(M5112,9)</f>
        <v>1/15/2025</v>
      </c>
      <c r="E5112" t="s">
        <v>202</v>
      </c>
      <c r="F5112" t="s">
        <v>227</v>
      </c>
      <c r="G5112" t="s">
        <v>238</v>
      </c>
      <c r="I5112">
        <v>400.6</v>
      </c>
      <c r="J5112">
        <v>160.24</v>
      </c>
      <c r="K5112">
        <v>0.4</v>
      </c>
      <c r="M5112" t="s">
        <v>516</v>
      </c>
    </row>
    <row r="5113" spans="1:13" hidden="1">
      <c r="A5113" t="s">
        <v>153</v>
      </c>
      <c r="B5113" t="s">
        <v>8</v>
      </c>
      <c r="C5113" t="s">
        <v>152</v>
      </c>
      <c r="D5113" t="str">
        <f>LEFT(M5113,9)</f>
        <v>1/15/2025</v>
      </c>
      <c r="E5113" t="s">
        <v>202</v>
      </c>
      <c r="F5113" t="s">
        <v>218</v>
      </c>
      <c r="G5113" t="s">
        <v>247</v>
      </c>
      <c r="I5113">
        <v>52.6</v>
      </c>
      <c r="J5113">
        <v>226.18</v>
      </c>
      <c r="K5113">
        <v>4.3</v>
      </c>
      <c r="M5113" t="s">
        <v>516</v>
      </c>
    </row>
    <row r="5114" spans="1:13" hidden="1">
      <c r="A5114" t="s">
        <v>153</v>
      </c>
      <c r="B5114" t="s">
        <v>8</v>
      </c>
      <c r="C5114" t="s">
        <v>152</v>
      </c>
      <c r="D5114" t="str">
        <f>LEFT(M5114,9)</f>
        <v>1/15/2025</v>
      </c>
      <c r="E5114" t="s">
        <v>202</v>
      </c>
      <c r="F5114" t="s">
        <v>218</v>
      </c>
      <c r="G5114" t="s">
        <v>223</v>
      </c>
      <c r="I5114">
        <v>984.8</v>
      </c>
      <c r="J5114">
        <v>787.84</v>
      </c>
      <c r="K5114">
        <v>0.8</v>
      </c>
      <c r="M5114" t="s">
        <v>516</v>
      </c>
    </row>
    <row r="5115" spans="1:13" hidden="1">
      <c r="A5115" t="s">
        <v>153</v>
      </c>
      <c r="B5115" t="s">
        <v>8</v>
      </c>
      <c r="C5115" t="s">
        <v>152</v>
      </c>
      <c r="D5115" t="str">
        <f>LEFT(M5115,9)</f>
        <v>1/15/2025</v>
      </c>
      <c r="E5115" t="s">
        <v>202</v>
      </c>
      <c r="F5115" t="s">
        <v>218</v>
      </c>
      <c r="G5115" t="s">
        <v>220</v>
      </c>
      <c r="I5115">
        <v>253.2</v>
      </c>
      <c r="J5115">
        <v>633</v>
      </c>
      <c r="K5115">
        <v>2.5</v>
      </c>
      <c r="M5115" t="s">
        <v>516</v>
      </c>
    </row>
    <row r="5116" spans="1:13" hidden="1">
      <c r="A5116" t="s">
        <v>153</v>
      </c>
      <c r="B5116" t="s">
        <v>8</v>
      </c>
      <c r="C5116" t="s">
        <v>152</v>
      </c>
      <c r="D5116" t="str">
        <f>LEFT(M5116,9)</f>
        <v>1/15/2025</v>
      </c>
      <c r="E5116" t="s">
        <v>202</v>
      </c>
      <c r="F5116" t="s">
        <v>218</v>
      </c>
      <c r="G5116" t="s">
        <v>226</v>
      </c>
      <c r="I5116">
        <v>440.2</v>
      </c>
      <c r="J5116">
        <v>154.07</v>
      </c>
      <c r="K5116">
        <v>0.35</v>
      </c>
      <c r="M5116" t="s">
        <v>516</v>
      </c>
    </row>
    <row r="5117" spans="1:13" hidden="1">
      <c r="A5117" t="s">
        <v>153</v>
      </c>
      <c r="B5117" t="s">
        <v>8</v>
      </c>
      <c r="C5117" t="s">
        <v>152</v>
      </c>
      <c r="D5117" t="str">
        <f>LEFT(M5117,9)</f>
        <v>1/15/2025</v>
      </c>
      <c r="E5117" t="s">
        <v>202</v>
      </c>
      <c r="F5117" t="s">
        <v>218</v>
      </c>
      <c r="G5117" t="s">
        <v>223</v>
      </c>
      <c r="I5117">
        <v>437.2</v>
      </c>
      <c r="J5117">
        <v>218.6</v>
      </c>
      <c r="K5117">
        <v>0.5</v>
      </c>
      <c r="M5117" t="s">
        <v>516</v>
      </c>
    </row>
    <row r="5118" spans="1:13" hidden="1">
      <c r="A5118" t="s">
        <v>153</v>
      </c>
      <c r="B5118" t="s">
        <v>8</v>
      </c>
      <c r="C5118" t="s">
        <v>152</v>
      </c>
      <c r="D5118" t="str">
        <f>LEFT(M5118,9)</f>
        <v>1/15/2025</v>
      </c>
      <c r="E5118" t="s">
        <v>202</v>
      </c>
      <c r="F5118" t="s">
        <v>218</v>
      </c>
      <c r="G5118" t="s">
        <v>220</v>
      </c>
      <c r="I5118">
        <v>551.6</v>
      </c>
      <c r="J5118">
        <v>772.24</v>
      </c>
      <c r="K5118">
        <v>1.4</v>
      </c>
      <c r="M5118" t="s">
        <v>516</v>
      </c>
    </row>
    <row r="5119" spans="1:13" hidden="1">
      <c r="A5119" t="s">
        <v>153</v>
      </c>
      <c r="B5119" t="s">
        <v>8</v>
      </c>
      <c r="C5119" t="s">
        <v>152</v>
      </c>
      <c r="D5119" t="str">
        <f>LEFT(M5119,9)</f>
        <v>1/15/2025</v>
      </c>
      <c r="E5119" t="s">
        <v>202</v>
      </c>
      <c r="F5119" t="s">
        <v>218</v>
      </c>
      <c r="G5119" t="s">
        <v>224</v>
      </c>
      <c r="I5119">
        <v>165.2</v>
      </c>
      <c r="J5119">
        <v>165.2</v>
      </c>
      <c r="K5119">
        <v>1</v>
      </c>
      <c r="M5119" t="s">
        <v>516</v>
      </c>
    </row>
    <row r="5120" spans="1:13" hidden="1">
      <c r="A5120" t="s">
        <v>153</v>
      </c>
      <c r="B5120" t="s">
        <v>8</v>
      </c>
      <c r="C5120" t="s">
        <v>152</v>
      </c>
      <c r="D5120" t="str">
        <f>LEFT(M5120,9)</f>
        <v>1/15/2025</v>
      </c>
      <c r="E5120" t="s">
        <v>202</v>
      </c>
      <c r="F5120" t="s">
        <v>218</v>
      </c>
      <c r="G5120" t="s">
        <v>221</v>
      </c>
      <c r="I5120">
        <v>218.8</v>
      </c>
      <c r="J5120">
        <v>547</v>
      </c>
      <c r="K5120">
        <v>2.5</v>
      </c>
      <c r="M5120" t="s">
        <v>516</v>
      </c>
    </row>
    <row r="5121" spans="1:13" hidden="1">
      <c r="A5121" t="s">
        <v>153</v>
      </c>
      <c r="B5121" t="s">
        <v>8</v>
      </c>
      <c r="C5121" t="s">
        <v>152</v>
      </c>
      <c r="D5121" t="str">
        <f>LEFT(M5121,9)</f>
        <v>1/15/2025</v>
      </c>
      <c r="E5121" t="s">
        <v>202</v>
      </c>
      <c r="F5121" t="s">
        <v>218</v>
      </c>
      <c r="G5121" t="s">
        <v>268</v>
      </c>
      <c r="I5121">
        <v>622.4</v>
      </c>
      <c r="J5121">
        <v>964.72</v>
      </c>
      <c r="K5121">
        <v>1.55</v>
      </c>
      <c r="M5121" t="s">
        <v>516</v>
      </c>
    </row>
    <row r="5122" spans="1:13" hidden="1">
      <c r="A5122" t="s">
        <v>153</v>
      </c>
      <c r="B5122" t="s">
        <v>8</v>
      </c>
      <c r="C5122" t="s">
        <v>152</v>
      </c>
      <c r="D5122" t="str">
        <f>LEFT(M5122,9)</f>
        <v>1/15/2025</v>
      </c>
      <c r="E5122" t="s">
        <v>202</v>
      </c>
      <c r="F5122" t="s">
        <v>218</v>
      </c>
      <c r="G5122" t="s">
        <v>268</v>
      </c>
      <c r="I5122">
        <v>304.2</v>
      </c>
      <c r="J5122">
        <v>608.4</v>
      </c>
      <c r="K5122">
        <v>2</v>
      </c>
      <c r="M5122" t="s">
        <v>516</v>
      </c>
    </row>
    <row r="5123" spans="1:13" hidden="1">
      <c r="A5123" t="s">
        <v>153</v>
      </c>
      <c r="B5123" t="s">
        <v>8</v>
      </c>
      <c r="C5123" t="s">
        <v>152</v>
      </c>
      <c r="D5123" t="str">
        <f>LEFT(M5123,9)</f>
        <v>1/15/2025</v>
      </c>
      <c r="E5123" t="s">
        <v>202</v>
      </c>
      <c r="F5123" t="s">
        <v>218</v>
      </c>
      <c r="G5123" t="s">
        <v>240</v>
      </c>
      <c r="I5123">
        <v>583.4</v>
      </c>
      <c r="J5123">
        <v>2566.96</v>
      </c>
      <c r="K5123">
        <v>4.4000000000000004</v>
      </c>
      <c r="M5123" t="s">
        <v>516</v>
      </c>
    </row>
    <row r="5124" spans="1:13" hidden="1">
      <c r="A5124" t="s">
        <v>153</v>
      </c>
      <c r="B5124" t="s">
        <v>8</v>
      </c>
      <c r="C5124" t="s">
        <v>152</v>
      </c>
      <c r="D5124" t="str">
        <f>LEFT(M5124,9)</f>
        <v>1/15/2025</v>
      </c>
      <c r="E5124" t="s">
        <v>202</v>
      </c>
      <c r="F5124" t="s">
        <v>218</v>
      </c>
      <c r="G5124" t="s">
        <v>242</v>
      </c>
      <c r="I5124">
        <v>87.2</v>
      </c>
      <c r="J5124">
        <v>113.36</v>
      </c>
      <c r="K5124">
        <v>1.3</v>
      </c>
      <c r="M5124" t="s">
        <v>516</v>
      </c>
    </row>
    <row r="5125" spans="1:13" hidden="1">
      <c r="A5125" t="s">
        <v>153</v>
      </c>
      <c r="B5125" t="s">
        <v>8</v>
      </c>
      <c r="C5125" t="s">
        <v>152</v>
      </c>
      <c r="D5125" t="str">
        <f>LEFT(M5125,9)</f>
        <v>1/15/2025</v>
      </c>
      <c r="E5125" t="s">
        <v>202</v>
      </c>
      <c r="F5125" t="s">
        <v>218</v>
      </c>
      <c r="G5125" t="s">
        <v>243</v>
      </c>
      <c r="H5125" t="s">
        <v>560</v>
      </c>
      <c r="I5125">
        <v>347</v>
      </c>
      <c r="J5125">
        <v>173.5</v>
      </c>
      <c r="K5125">
        <v>0.5</v>
      </c>
      <c r="M5125" t="s">
        <v>516</v>
      </c>
    </row>
    <row r="5126" spans="1:13" hidden="1">
      <c r="A5126" t="s">
        <v>153</v>
      </c>
      <c r="B5126" t="s">
        <v>8</v>
      </c>
      <c r="C5126" t="s">
        <v>152</v>
      </c>
      <c r="D5126" t="str">
        <f>LEFT(M5126,9)</f>
        <v>1/15/2025</v>
      </c>
      <c r="E5126" t="s">
        <v>202</v>
      </c>
      <c r="F5126" t="s">
        <v>216</v>
      </c>
      <c r="G5126" t="s">
        <v>253</v>
      </c>
      <c r="I5126">
        <v>4562</v>
      </c>
      <c r="J5126">
        <v>821.16</v>
      </c>
      <c r="K5126">
        <v>0.18</v>
      </c>
      <c r="M5126" t="s">
        <v>516</v>
      </c>
    </row>
    <row r="5127" spans="1:13" hidden="1">
      <c r="A5127" t="s">
        <v>153</v>
      </c>
      <c r="B5127" t="s">
        <v>8</v>
      </c>
      <c r="C5127" t="s">
        <v>152</v>
      </c>
      <c r="D5127" t="str">
        <f>LEFT(M5127,9)</f>
        <v>1/15/2025</v>
      </c>
      <c r="E5127" t="s">
        <v>202</v>
      </c>
      <c r="F5127" t="s">
        <v>203</v>
      </c>
      <c r="G5127" t="s">
        <v>204</v>
      </c>
      <c r="I5127">
        <v>118</v>
      </c>
      <c r="J5127">
        <v>944</v>
      </c>
      <c r="K5127">
        <v>8</v>
      </c>
      <c r="M5127" t="s">
        <v>516</v>
      </c>
    </row>
    <row r="5128" spans="1:13" hidden="1">
      <c r="A5128" t="s">
        <v>153</v>
      </c>
      <c r="B5128" t="s">
        <v>8</v>
      </c>
      <c r="C5128" t="s">
        <v>152</v>
      </c>
      <c r="D5128" t="str">
        <f>LEFT(M5128,9)</f>
        <v>1/15/2025</v>
      </c>
      <c r="E5128" t="s">
        <v>202</v>
      </c>
      <c r="F5128" t="s">
        <v>203</v>
      </c>
      <c r="G5128" t="s">
        <v>204</v>
      </c>
      <c r="I5128">
        <v>29</v>
      </c>
      <c r="J5128">
        <v>217.5</v>
      </c>
      <c r="K5128">
        <v>7.5</v>
      </c>
      <c r="M5128" t="s">
        <v>516</v>
      </c>
    </row>
    <row r="5129" spans="1:13" hidden="1">
      <c r="A5129" t="s">
        <v>153</v>
      </c>
      <c r="B5129" t="s">
        <v>8</v>
      </c>
      <c r="C5129" t="s">
        <v>152</v>
      </c>
      <c r="D5129" t="str">
        <f>LEFT(M5129,9)</f>
        <v>1/15/2025</v>
      </c>
      <c r="E5129" t="s">
        <v>202</v>
      </c>
      <c r="F5129" t="s">
        <v>203</v>
      </c>
      <c r="G5129" t="s">
        <v>215</v>
      </c>
      <c r="I5129">
        <v>5.9</v>
      </c>
      <c r="J5129">
        <v>118</v>
      </c>
      <c r="K5129">
        <v>20</v>
      </c>
      <c r="M5129" t="s">
        <v>516</v>
      </c>
    </row>
    <row r="5130" spans="1:13" hidden="1">
      <c r="A5130" t="s">
        <v>153</v>
      </c>
      <c r="B5130" t="s">
        <v>8</v>
      </c>
      <c r="C5130" t="s">
        <v>152</v>
      </c>
      <c r="D5130" t="str">
        <f>LEFT(M5130,9)</f>
        <v>1/15/2025</v>
      </c>
      <c r="E5130" t="s">
        <v>202</v>
      </c>
      <c r="F5130" t="s">
        <v>203</v>
      </c>
      <c r="G5130" t="s">
        <v>261</v>
      </c>
      <c r="I5130">
        <v>24.2</v>
      </c>
      <c r="J5130">
        <v>193.6</v>
      </c>
      <c r="K5130">
        <v>8</v>
      </c>
      <c r="M5130" t="s">
        <v>516</v>
      </c>
    </row>
    <row r="5131" spans="1:13" hidden="1">
      <c r="A5131" t="s">
        <v>153</v>
      </c>
      <c r="B5131" t="s">
        <v>8</v>
      </c>
      <c r="C5131" t="s">
        <v>152</v>
      </c>
      <c r="D5131" t="str">
        <f>LEFT(M5131,9)</f>
        <v>1/15/2025</v>
      </c>
      <c r="E5131" t="s">
        <v>202</v>
      </c>
      <c r="F5131" t="s">
        <v>203</v>
      </c>
      <c r="G5131" t="s">
        <v>236</v>
      </c>
      <c r="I5131">
        <v>6120</v>
      </c>
      <c r="J5131">
        <v>4896</v>
      </c>
      <c r="K5131">
        <v>0.8</v>
      </c>
      <c r="M5131" t="s">
        <v>516</v>
      </c>
    </row>
    <row r="5132" spans="1:13" hidden="1">
      <c r="A5132" t="s">
        <v>153</v>
      </c>
      <c r="B5132" t="s">
        <v>8</v>
      </c>
      <c r="C5132" t="s">
        <v>152</v>
      </c>
      <c r="D5132" t="str">
        <f>LEFT(M5132,9)</f>
        <v>1/15/2025</v>
      </c>
      <c r="E5132" t="s">
        <v>202</v>
      </c>
      <c r="F5132" t="s">
        <v>209</v>
      </c>
      <c r="G5132" t="s">
        <v>212</v>
      </c>
      <c r="I5132">
        <v>11.7</v>
      </c>
      <c r="J5132">
        <v>81.900000000000006</v>
      </c>
      <c r="K5132">
        <v>7</v>
      </c>
      <c r="M5132" t="s">
        <v>516</v>
      </c>
    </row>
    <row r="5133" spans="1:13" hidden="1">
      <c r="A5133" t="s">
        <v>153</v>
      </c>
      <c r="B5133" t="s">
        <v>8</v>
      </c>
      <c r="C5133" t="s">
        <v>152</v>
      </c>
      <c r="D5133" t="str">
        <f>LEFT(M5133,9)</f>
        <v>1/15/2025</v>
      </c>
      <c r="E5133" t="s">
        <v>202</v>
      </c>
      <c r="F5133" t="s">
        <v>209</v>
      </c>
      <c r="G5133" t="s">
        <v>212</v>
      </c>
      <c r="I5133">
        <v>3.4</v>
      </c>
      <c r="J5133">
        <v>13.6</v>
      </c>
      <c r="K5133">
        <v>4</v>
      </c>
      <c r="M5133" t="s">
        <v>516</v>
      </c>
    </row>
    <row r="5134" spans="1:13" hidden="1">
      <c r="A5134" t="s">
        <v>153</v>
      </c>
      <c r="B5134" t="s">
        <v>8</v>
      </c>
      <c r="C5134" t="s">
        <v>152</v>
      </c>
      <c r="D5134" t="str">
        <f>LEFT(M5134,9)</f>
        <v>1/15/2025</v>
      </c>
      <c r="E5134" t="s">
        <v>202</v>
      </c>
      <c r="F5134" t="s">
        <v>209</v>
      </c>
      <c r="G5134" t="s">
        <v>211</v>
      </c>
      <c r="I5134">
        <v>3.7</v>
      </c>
      <c r="J5134">
        <v>44.4</v>
      </c>
      <c r="K5134">
        <v>12</v>
      </c>
      <c r="M5134" t="s">
        <v>516</v>
      </c>
    </row>
    <row r="5135" spans="1:13" hidden="1">
      <c r="A5135" t="s">
        <v>153</v>
      </c>
      <c r="B5135" t="s">
        <v>8</v>
      </c>
      <c r="C5135" t="s">
        <v>152</v>
      </c>
      <c r="D5135" t="str">
        <f>LEFT(M5135,9)</f>
        <v>1/15/2025</v>
      </c>
      <c r="E5135" t="s">
        <v>202</v>
      </c>
      <c r="F5135" t="s">
        <v>209</v>
      </c>
      <c r="G5135" t="s">
        <v>214</v>
      </c>
      <c r="I5135">
        <v>4</v>
      </c>
      <c r="J5135">
        <v>60</v>
      </c>
      <c r="K5135">
        <v>15</v>
      </c>
      <c r="M5135" t="s">
        <v>516</v>
      </c>
    </row>
    <row r="5136" spans="1:13" hidden="1">
      <c r="A5136" t="s">
        <v>153</v>
      </c>
      <c r="B5136" t="s">
        <v>8</v>
      </c>
      <c r="C5136" t="s">
        <v>152</v>
      </c>
      <c r="D5136" t="str">
        <f>LEFT(M5136,9)</f>
        <v>1/15/2025</v>
      </c>
      <c r="E5136" t="s">
        <v>202</v>
      </c>
      <c r="F5136" t="s">
        <v>203</v>
      </c>
      <c r="G5136" t="s">
        <v>207</v>
      </c>
      <c r="I5136">
        <v>3.9</v>
      </c>
      <c r="J5136">
        <v>27.3</v>
      </c>
      <c r="K5136">
        <v>7</v>
      </c>
      <c r="M5136" t="s">
        <v>516</v>
      </c>
    </row>
    <row r="5137" spans="1:13" hidden="1">
      <c r="A5137" t="s">
        <v>153</v>
      </c>
      <c r="B5137" t="s">
        <v>8</v>
      </c>
      <c r="C5137" t="s">
        <v>152</v>
      </c>
      <c r="D5137" t="str">
        <f>LEFT(M5137,9)</f>
        <v>1/15/2025</v>
      </c>
      <c r="E5137" t="s">
        <v>234</v>
      </c>
      <c r="F5137" t="s">
        <v>234</v>
      </c>
      <c r="I5137">
        <v>87170</v>
      </c>
      <c r="M5137" t="s">
        <v>516</v>
      </c>
    </row>
    <row r="5138" spans="1:13" hidden="1">
      <c r="A5138" t="s">
        <v>167</v>
      </c>
      <c r="B5138" t="s">
        <v>24</v>
      </c>
      <c r="C5138" t="s">
        <v>23</v>
      </c>
      <c r="D5138" t="str">
        <f>LEFT(M5138,9)</f>
        <v>1/15/2025</v>
      </c>
      <c r="E5138" t="s">
        <v>230</v>
      </c>
      <c r="F5138" t="s">
        <v>248</v>
      </c>
      <c r="I5138">
        <v>0</v>
      </c>
      <c r="J5138">
        <v>76402.67</v>
      </c>
      <c r="M5138" t="s">
        <v>516</v>
      </c>
    </row>
    <row r="5139" spans="1:13" hidden="1">
      <c r="A5139" t="s">
        <v>167</v>
      </c>
      <c r="B5139" t="s">
        <v>24</v>
      </c>
      <c r="C5139" t="s">
        <v>23</v>
      </c>
      <c r="D5139" t="str">
        <f t="shared" ref="D5139:D5154" si="3">LEFT(M5139,10)</f>
        <v>12/15/2024</v>
      </c>
      <c r="E5139" t="s">
        <v>234</v>
      </c>
      <c r="F5139" t="s">
        <v>234</v>
      </c>
      <c r="I5139">
        <v>45450</v>
      </c>
      <c r="M5139" t="s">
        <v>205</v>
      </c>
    </row>
    <row r="5140" spans="1:13" hidden="1">
      <c r="A5140" t="s">
        <v>167</v>
      </c>
      <c r="B5140" t="s">
        <v>24</v>
      </c>
      <c r="C5140" t="s">
        <v>23</v>
      </c>
      <c r="D5140" t="str">
        <f t="shared" si="3"/>
        <v>12/15/2024</v>
      </c>
      <c r="E5140" t="s">
        <v>202</v>
      </c>
      <c r="F5140" t="s">
        <v>218</v>
      </c>
      <c r="G5140" t="s">
        <v>243</v>
      </c>
      <c r="H5140" t="s">
        <v>561</v>
      </c>
      <c r="I5140">
        <v>5863</v>
      </c>
      <c r="J5140">
        <v>1758.9</v>
      </c>
      <c r="K5140">
        <v>7</v>
      </c>
      <c r="M5140" t="s">
        <v>205</v>
      </c>
    </row>
    <row r="5141" spans="1:13" hidden="1">
      <c r="A5141" t="s">
        <v>167</v>
      </c>
      <c r="B5141" t="s">
        <v>24</v>
      </c>
      <c r="C5141" t="s">
        <v>23</v>
      </c>
      <c r="D5141" t="str">
        <f t="shared" si="3"/>
        <v>12/15/2024</v>
      </c>
      <c r="E5141" t="s">
        <v>202</v>
      </c>
      <c r="F5141" t="s">
        <v>218</v>
      </c>
      <c r="G5141" t="s">
        <v>220</v>
      </c>
      <c r="I5141">
        <v>11644</v>
      </c>
      <c r="J5141">
        <v>22739.32</v>
      </c>
      <c r="K5141">
        <v>1.97</v>
      </c>
      <c r="M5141" t="s">
        <v>205</v>
      </c>
    </row>
    <row r="5142" spans="1:13" hidden="1">
      <c r="A5142" t="s">
        <v>167</v>
      </c>
      <c r="B5142" t="s">
        <v>24</v>
      </c>
      <c r="C5142" t="s">
        <v>23</v>
      </c>
      <c r="D5142" t="str">
        <f t="shared" si="3"/>
        <v>12/15/2024</v>
      </c>
      <c r="E5142" t="s">
        <v>202</v>
      </c>
      <c r="F5142" t="s">
        <v>227</v>
      </c>
      <c r="G5142" t="s">
        <v>237</v>
      </c>
      <c r="I5142">
        <v>4780</v>
      </c>
      <c r="J5142">
        <v>2942</v>
      </c>
      <c r="K5142">
        <v>0.1</v>
      </c>
      <c r="M5142" t="s">
        <v>205</v>
      </c>
    </row>
    <row r="5143" spans="1:13" hidden="1">
      <c r="A5143" t="s">
        <v>167</v>
      </c>
      <c r="B5143" t="s">
        <v>24</v>
      </c>
      <c r="C5143" t="s">
        <v>23</v>
      </c>
      <c r="D5143" t="str">
        <f t="shared" si="3"/>
        <v>12/15/2024</v>
      </c>
      <c r="E5143" t="s">
        <v>202</v>
      </c>
      <c r="F5143" t="s">
        <v>227</v>
      </c>
      <c r="G5143" t="s">
        <v>238</v>
      </c>
      <c r="I5143">
        <v>558</v>
      </c>
      <c r="J5143">
        <v>223.28</v>
      </c>
      <c r="K5143">
        <v>0.65</v>
      </c>
      <c r="M5143" t="s">
        <v>205</v>
      </c>
    </row>
    <row r="5144" spans="1:13" hidden="1">
      <c r="A5144" t="s">
        <v>167</v>
      </c>
      <c r="B5144" t="s">
        <v>24</v>
      </c>
      <c r="C5144" t="s">
        <v>23</v>
      </c>
      <c r="D5144" t="str">
        <f t="shared" si="3"/>
        <v>12/15/2024</v>
      </c>
      <c r="E5144" t="s">
        <v>202</v>
      </c>
      <c r="F5144" t="s">
        <v>227</v>
      </c>
      <c r="G5144" t="s">
        <v>228</v>
      </c>
      <c r="I5144">
        <v>1873</v>
      </c>
      <c r="J5144">
        <v>574.12</v>
      </c>
      <c r="K5144">
        <v>0.35</v>
      </c>
      <c r="M5144" t="s">
        <v>205</v>
      </c>
    </row>
    <row r="5145" spans="1:13" hidden="1">
      <c r="A5145" t="s">
        <v>167</v>
      </c>
      <c r="B5145" t="s">
        <v>24</v>
      </c>
      <c r="C5145" t="s">
        <v>23</v>
      </c>
      <c r="D5145" t="str">
        <f t="shared" si="3"/>
        <v>12/15/2024</v>
      </c>
      <c r="E5145" t="s">
        <v>202</v>
      </c>
      <c r="F5145" t="s">
        <v>227</v>
      </c>
      <c r="G5145" t="s">
        <v>229</v>
      </c>
      <c r="I5145">
        <v>52665</v>
      </c>
      <c r="J5145">
        <v>38999.46</v>
      </c>
      <c r="K5145">
        <v>0.28999999999999998</v>
      </c>
      <c r="M5145" t="s">
        <v>205</v>
      </c>
    </row>
    <row r="5146" spans="1:13" hidden="1">
      <c r="A5146" t="s">
        <v>167</v>
      </c>
      <c r="B5146" t="s">
        <v>24</v>
      </c>
      <c r="C5146" t="s">
        <v>23</v>
      </c>
      <c r="D5146" t="str">
        <f t="shared" si="3"/>
        <v>12/15/2024</v>
      </c>
      <c r="E5146" t="s">
        <v>202</v>
      </c>
      <c r="F5146" t="s">
        <v>218</v>
      </c>
      <c r="G5146" t="s">
        <v>221</v>
      </c>
      <c r="I5146">
        <v>2341</v>
      </c>
      <c r="J5146">
        <v>5935.44</v>
      </c>
      <c r="K5146">
        <v>0.72</v>
      </c>
      <c r="M5146" t="s">
        <v>205</v>
      </c>
    </row>
    <row r="5147" spans="1:13" hidden="1">
      <c r="A5147" t="s">
        <v>167</v>
      </c>
      <c r="B5147" t="s">
        <v>24</v>
      </c>
      <c r="C5147" t="s">
        <v>23</v>
      </c>
      <c r="D5147" t="str">
        <f t="shared" si="3"/>
        <v>12/15/2024</v>
      </c>
      <c r="E5147" t="s">
        <v>202</v>
      </c>
      <c r="F5147" t="s">
        <v>218</v>
      </c>
      <c r="G5147" t="s">
        <v>240</v>
      </c>
      <c r="I5147">
        <v>4204</v>
      </c>
      <c r="J5147">
        <v>18778.7</v>
      </c>
      <c r="K5147">
        <v>2.56</v>
      </c>
      <c r="M5147" t="s">
        <v>205</v>
      </c>
    </row>
    <row r="5148" spans="1:13" hidden="1">
      <c r="A5148" t="s">
        <v>167</v>
      </c>
      <c r="B5148" t="s">
        <v>24</v>
      </c>
      <c r="C5148" t="s">
        <v>23</v>
      </c>
      <c r="D5148" t="str">
        <f t="shared" si="3"/>
        <v>12/15/2024</v>
      </c>
      <c r="E5148" t="s">
        <v>202</v>
      </c>
      <c r="F5148" t="s">
        <v>218</v>
      </c>
      <c r="G5148" t="s">
        <v>242</v>
      </c>
      <c r="I5148">
        <v>280</v>
      </c>
      <c r="J5148">
        <v>308</v>
      </c>
      <c r="K5148">
        <v>4.43</v>
      </c>
      <c r="M5148" t="s">
        <v>205</v>
      </c>
    </row>
    <row r="5149" spans="1:13" hidden="1">
      <c r="A5149" t="s">
        <v>167</v>
      </c>
      <c r="B5149" t="s">
        <v>24</v>
      </c>
      <c r="C5149" t="s">
        <v>23</v>
      </c>
      <c r="D5149" t="str">
        <f t="shared" si="3"/>
        <v>12/15/2024</v>
      </c>
      <c r="E5149" t="s">
        <v>202</v>
      </c>
      <c r="F5149" t="s">
        <v>218</v>
      </c>
      <c r="G5149" t="s">
        <v>222</v>
      </c>
      <c r="I5149">
        <v>4694</v>
      </c>
      <c r="J5149">
        <v>8142.38</v>
      </c>
      <c r="K5149">
        <v>1.05</v>
      </c>
      <c r="M5149" t="s">
        <v>205</v>
      </c>
    </row>
    <row r="5150" spans="1:13" hidden="1">
      <c r="A5150" t="s">
        <v>167</v>
      </c>
      <c r="B5150" t="s">
        <v>24</v>
      </c>
      <c r="C5150" t="s">
        <v>23</v>
      </c>
      <c r="D5150" t="str">
        <f t="shared" si="3"/>
        <v>12/15/2024</v>
      </c>
      <c r="E5150" t="s">
        <v>202</v>
      </c>
      <c r="F5150" t="s">
        <v>218</v>
      </c>
      <c r="G5150" t="s">
        <v>224</v>
      </c>
      <c r="I5150">
        <v>718</v>
      </c>
      <c r="J5150">
        <v>752.32</v>
      </c>
      <c r="K5150">
        <v>1.31</v>
      </c>
      <c r="M5150" t="s">
        <v>205</v>
      </c>
    </row>
    <row r="5151" spans="1:13" hidden="1">
      <c r="A5151" t="s">
        <v>167</v>
      </c>
      <c r="B5151" t="s">
        <v>24</v>
      </c>
      <c r="C5151" t="s">
        <v>23</v>
      </c>
      <c r="D5151" t="str">
        <f t="shared" si="3"/>
        <v>12/15/2024</v>
      </c>
      <c r="E5151" t="s">
        <v>202</v>
      </c>
      <c r="F5151" t="s">
        <v>218</v>
      </c>
      <c r="G5151" t="s">
        <v>226</v>
      </c>
      <c r="I5151">
        <v>1482</v>
      </c>
      <c r="J5151">
        <v>479.38</v>
      </c>
      <c r="K5151">
        <v>0.1</v>
      </c>
      <c r="M5151" t="s">
        <v>205</v>
      </c>
    </row>
    <row r="5152" spans="1:13" hidden="1">
      <c r="A5152" t="s">
        <v>167</v>
      </c>
      <c r="B5152" t="s">
        <v>24</v>
      </c>
      <c r="C5152" t="s">
        <v>23</v>
      </c>
      <c r="D5152" t="str">
        <f t="shared" si="3"/>
        <v>12/15/2024</v>
      </c>
      <c r="E5152" t="s">
        <v>202</v>
      </c>
      <c r="F5152" t="s">
        <v>218</v>
      </c>
      <c r="G5152" t="s">
        <v>223</v>
      </c>
      <c r="I5152">
        <v>20168</v>
      </c>
      <c r="J5152">
        <v>15126.36</v>
      </c>
      <c r="K5152">
        <v>1.03</v>
      </c>
      <c r="M5152" t="s">
        <v>205</v>
      </c>
    </row>
    <row r="5153" spans="1:13" hidden="1">
      <c r="A5153" t="s">
        <v>167</v>
      </c>
      <c r="B5153" t="s">
        <v>24</v>
      </c>
      <c r="C5153" t="s">
        <v>23</v>
      </c>
      <c r="D5153" t="str">
        <f t="shared" si="3"/>
        <v>12/15/2024</v>
      </c>
      <c r="E5153" t="s">
        <v>202</v>
      </c>
      <c r="F5153" t="s">
        <v>203</v>
      </c>
      <c r="G5153" t="s">
        <v>236</v>
      </c>
      <c r="I5153">
        <v>32734</v>
      </c>
      <c r="J5153">
        <v>22913.8</v>
      </c>
      <c r="K5153">
        <v>0.27</v>
      </c>
      <c r="M5153" t="s">
        <v>205</v>
      </c>
    </row>
    <row r="5154" spans="1:13" hidden="1">
      <c r="A5154" t="s">
        <v>167</v>
      </c>
      <c r="B5154" t="s">
        <v>24</v>
      </c>
      <c r="C5154" t="s">
        <v>23</v>
      </c>
      <c r="D5154" t="str">
        <f t="shared" si="3"/>
        <v>12/15/2024</v>
      </c>
      <c r="E5154" t="s">
        <v>202</v>
      </c>
      <c r="F5154" t="s">
        <v>227</v>
      </c>
      <c r="G5154" t="s">
        <v>252</v>
      </c>
      <c r="I5154">
        <v>234</v>
      </c>
      <c r="J5154">
        <v>93.44</v>
      </c>
      <c r="K5154">
        <v>0.75</v>
      </c>
      <c r="M5154" t="s">
        <v>205</v>
      </c>
    </row>
    <row r="5155" spans="1:13" hidden="1">
      <c r="A5155" t="s">
        <v>167</v>
      </c>
      <c r="B5155" t="s">
        <v>24</v>
      </c>
      <c r="C5155" t="s">
        <v>23</v>
      </c>
      <c r="D5155" t="str">
        <f>LEFT(M5155,9)</f>
        <v>1/15/2025</v>
      </c>
      <c r="E5155" t="s">
        <v>202</v>
      </c>
      <c r="F5155" t="s">
        <v>216</v>
      </c>
      <c r="G5155" t="s">
        <v>253</v>
      </c>
      <c r="I5155">
        <v>6530</v>
      </c>
      <c r="J5155">
        <v>1306</v>
      </c>
      <c r="K5155">
        <v>0.73</v>
      </c>
      <c r="M5155" t="s">
        <v>516</v>
      </c>
    </row>
    <row r="5156" spans="1:13" hidden="1">
      <c r="A5156" t="s">
        <v>163</v>
      </c>
      <c r="B5156" t="s">
        <v>164</v>
      </c>
      <c r="C5156" t="s">
        <v>19</v>
      </c>
      <c r="D5156" t="str">
        <f>LEFT(M5156,9)</f>
        <v>1/15/2025</v>
      </c>
      <c r="E5156" t="s">
        <v>202</v>
      </c>
      <c r="F5156" t="s">
        <v>227</v>
      </c>
      <c r="G5156" t="s">
        <v>237</v>
      </c>
      <c r="I5156">
        <v>2215</v>
      </c>
      <c r="J5156">
        <v>1550.5</v>
      </c>
      <c r="K5156">
        <v>0.7</v>
      </c>
      <c r="M5156" t="s">
        <v>516</v>
      </c>
    </row>
    <row r="5157" spans="1:13" hidden="1">
      <c r="A5157" t="s">
        <v>163</v>
      </c>
      <c r="B5157" t="s">
        <v>164</v>
      </c>
      <c r="C5157" t="s">
        <v>19</v>
      </c>
      <c r="D5157" t="str">
        <f>LEFT(M5157,9)</f>
        <v>1/15/2025</v>
      </c>
      <c r="E5157" t="s">
        <v>202</v>
      </c>
      <c r="F5157" t="s">
        <v>227</v>
      </c>
      <c r="G5157" t="s">
        <v>228</v>
      </c>
      <c r="I5157">
        <v>2720</v>
      </c>
      <c r="J5157">
        <v>1224</v>
      </c>
      <c r="K5157">
        <v>0.45</v>
      </c>
      <c r="M5157" t="s">
        <v>516</v>
      </c>
    </row>
    <row r="5158" spans="1:13" hidden="1">
      <c r="A5158" t="s">
        <v>163</v>
      </c>
      <c r="B5158" t="s">
        <v>164</v>
      </c>
      <c r="C5158" t="s">
        <v>19</v>
      </c>
      <c r="D5158" t="str">
        <f>LEFT(M5158,9)</f>
        <v>1/15/2025</v>
      </c>
      <c r="E5158" t="s">
        <v>202</v>
      </c>
      <c r="F5158" t="s">
        <v>227</v>
      </c>
      <c r="G5158" t="s">
        <v>229</v>
      </c>
      <c r="I5158">
        <v>10900</v>
      </c>
      <c r="J5158">
        <v>6540</v>
      </c>
      <c r="K5158">
        <v>0.6</v>
      </c>
      <c r="M5158" t="s">
        <v>516</v>
      </c>
    </row>
    <row r="5159" spans="1:13" hidden="1">
      <c r="A5159" t="s">
        <v>163</v>
      </c>
      <c r="B5159" t="s">
        <v>164</v>
      </c>
      <c r="C5159" t="s">
        <v>19</v>
      </c>
      <c r="D5159" t="str">
        <f>LEFT(M5159,9)</f>
        <v>1/15/2025</v>
      </c>
      <c r="E5159" t="s">
        <v>202</v>
      </c>
      <c r="F5159" t="s">
        <v>227</v>
      </c>
      <c r="G5159" t="s">
        <v>238</v>
      </c>
      <c r="I5159">
        <v>90</v>
      </c>
      <c r="J5159">
        <v>31.5</v>
      </c>
      <c r="K5159">
        <v>0.35</v>
      </c>
      <c r="M5159" t="s">
        <v>516</v>
      </c>
    </row>
    <row r="5160" spans="1:13" hidden="1">
      <c r="A5160" t="s">
        <v>163</v>
      </c>
      <c r="B5160" t="s">
        <v>164</v>
      </c>
      <c r="C5160" t="s">
        <v>19</v>
      </c>
      <c r="D5160" t="str">
        <f>LEFT(M5160,9)</f>
        <v>1/15/2025</v>
      </c>
      <c r="E5160" t="s">
        <v>202</v>
      </c>
      <c r="F5160" t="s">
        <v>227</v>
      </c>
      <c r="G5160" t="s">
        <v>252</v>
      </c>
      <c r="I5160">
        <v>710</v>
      </c>
      <c r="J5160">
        <v>284</v>
      </c>
      <c r="K5160">
        <v>0.4</v>
      </c>
      <c r="M5160" t="s">
        <v>516</v>
      </c>
    </row>
    <row r="5161" spans="1:13" hidden="1">
      <c r="A5161" t="s">
        <v>163</v>
      </c>
      <c r="B5161" t="s">
        <v>164</v>
      </c>
      <c r="C5161" t="s">
        <v>19</v>
      </c>
      <c r="D5161" t="str">
        <f>LEFT(M5161,9)</f>
        <v>1/15/2025</v>
      </c>
      <c r="E5161" t="s">
        <v>202</v>
      </c>
      <c r="F5161" t="s">
        <v>218</v>
      </c>
      <c r="G5161" t="s">
        <v>224</v>
      </c>
      <c r="I5161">
        <v>193</v>
      </c>
      <c r="J5161">
        <v>173.7</v>
      </c>
      <c r="K5161">
        <v>0.9</v>
      </c>
      <c r="M5161" t="s">
        <v>516</v>
      </c>
    </row>
    <row r="5162" spans="1:13" hidden="1">
      <c r="A5162" t="s">
        <v>163</v>
      </c>
      <c r="B5162" t="s">
        <v>164</v>
      </c>
      <c r="C5162" t="s">
        <v>19</v>
      </c>
      <c r="D5162" t="str">
        <f>LEFT(M5162,9)</f>
        <v>1/15/2025</v>
      </c>
      <c r="E5162" t="s">
        <v>202</v>
      </c>
      <c r="F5162" t="s">
        <v>218</v>
      </c>
      <c r="G5162" t="s">
        <v>221</v>
      </c>
      <c r="I5162">
        <v>965</v>
      </c>
      <c r="J5162">
        <v>2219.5</v>
      </c>
      <c r="K5162">
        <v>2.2999999999999998</v>
      </c>
      <c r="M5162" t="s">
        <v>516</v>
      </c>
    </row>
    <row r="5163" spans="1:13" hidden="1">
      <c r="A5163" t="s">
        <v>163</v>
      </c>
      <c r="B5163" t="s">
        <v>164</v>
      </c>
      <c r="C5163" t="s">
        <v>19</v>
      </c>
      <c r="D5163" t="str">
        <f>LEFT(M5163,9)</f>
        <v>1/15/2025</v>
      </c>
      <c r="E5163" t="s">
        <v>202</v>
      </c>
      <c r="F5163" t="s">
        <v>218</v>
      </c>
      <c r="G5163" t="s">
        <v>223</v>
      </c>
      <c r="I5163">
        <v>38.51</v>
      </c>
      <c r="J5163">
        <v>128.44999999999999</v>
      </c>
      <c r="K5163">
        <v>3.34</v>
      </c>
      <c r="M5163" t="s">
        <v>516</v>
      </c>
    </row>
    <row r="5164" spans="1:13" hidden="1">
      <c r="A5164" t="s">
        <v>163</v>
      </c>
      <c r="B5164" t="s">
        <v>164</v>
      </c>
      <c r="C5164" t="s">
        <v>19</v>
      </c>
      <c r="D5164" t="str">
        <f>LEFT(M5164,9)</f>
        <v>1/15/2025</v>
      </c>
      <c r="E5164" t="s">
        <v>202</v>
      </c>
      <c r="F5164" t="s">
        <v>218</v>
      </c>
      <c r="G5164" t="s">
        <v>219</v>
      </c>
      <c r="I5164">
        <v>165</v>
      </c>
      <c r="J5164">
        <v>66</v>
      </c>
      <c r="K5164">
        <v>0.4</v>
      </c>
      <c r="M5164" t="s">
        <v>516</v>
      </c>
    </row>
    <row r="5165" spans="1:13" hidden="1">
      <c r="A5165" t="s">
        <v>163</v>
      </c>
      <c r="B5165" t="s">
        <v>164</v>
      </c>
      <c r="C5165" t="s">
        <v>19</v>
      </c>
      <c r="D5165" t="str">
        <f>LEFT(M5165,9)</f>
        <v>1/15/2025</v>
      </c>
      <c r="E5165" t="s">
        <v>202</v>
      </c>
      <c r="F5165" t="s">
        <v>218</v>
      </c>
      <c r="G5165" t="s">
        <v>240</v>
      </c>
      <c r="I5165">
        <v>2554</v>
      </c>
      <c r="J5165">
        <v>11493</v>
      </c>
      <c r="K5165">
        <v>4.5</v>
      </c>
      <c r="M5165" t="s">
        <v>516</v>
      </c>
    </row>
    <row r="5166" spans="1:13" hidden="1">
      <c r="A5166" t="s">
        <v>163</v>
      </c>
      <c r="B5166" t="s">
        <v>164</v>
      </c>
      <c r="C5166" t="s">
        <v>19</v>
      </c>
      <c r="D5166" t="str">
        <f>LEFT(M5166,9)</f>
        <v>1/15/2025</v>
      </c>
      <c r="E5166" t="s">
        <v>202</v>
      </c>
      <c r="F5166" t="s">
        <v>218</v>
      </c>
      <c r="G5166" t="s">
        <v>242</v>
      </c>
      <c r="I5166">
        <v>65</v>
      </c>
      <c r="J5166">
        <v>130</v>
      </c>
      <c r="K5166">
        <v>2</v>
      </c>
      <c r="M5166" t="s">
        <v>516</v>
      </c>
    </row>
    <row r="5167" spans="1:13" hidden="1">
      <c r="A5167" t="s">
        <v>163</v>
      </c>
      <c r="B5167" t="s">
        <v>164</v>
      </c>
      <c r="C5167" t="s">
        <v>19</v>
      </c>
      <c r="D5167" t="str">
        <f>LEFT(M5167,9)</f>
        <v>1/15/2025</v>
      </c>
      <c r="E5167" t="s">
        <v>202</v>
      </c>
      <c r="F5167" t="s">
        <v>218</v>
      </c>
      <c r="G5167" t="s">
        <v>222</v>
      </c>
      <c r="I5167">
        <v>669</v>
      </c>
      <c r="J5167">
        <v>869.7</v>
      </c>
      <c r="K5167">
        <v>1.3</v>
      </c>
      <c r="M5167" t="s">
        <v>516</v>
      </c>
    </row>
    <row r="5168" spans="1:13" hidden="1">
      <c r="A5168" t="s">
        <v>163</v>
      </c>
      <c r="B5168" t="s">
        <v>164</v>
      </c>
      <c r="C5168" t="s">
        <v>19</v>
      </c>
      <c r="D5168" t="str">
        <f>LEFT(M5168,9)</f>
        <v>1/15/2025</v>
      </c>
      <c r="E5168" t="s">
        <v>202</v>
      </c>
      <c r="F5168" t="s">
        <v>218</v>
      </c>
      <c r="G5168" t="s">
        <v>222</v>
      </c>
      <c r="I5168">
        <v>1698</v>
      </c>
      <c r="J5168">
        <v>2886.6</v>
      </c>
      <c r="K5168">
        <v>1.7</v>
      </c>
      <c r="M5168" t="s">
        <v>516</v>
      </c>
    </row>
    <row r="5169" spans="1:13" hidden="1">
      <c r="A5169" t="s">
        <v>163</v>
      </c>
      <c r="B5169" t="s">
        <v>164</v>
      </c>
      <c r="C5169" t="s">
        <v>19</v>
      </c>
      <c r="D5169" t="str">
        <f>LEFT(M5169,9)</f>
        <v>1/15/2025</v>
      </c>
      <c r="E5169" t="s">
        <v>202</v>
      </c>
      <c r="F5169" t="s">
        <v>218</v>
      </c>
      <c r="G5169" t="s">
        <v>222</v>
      </c>
      <c r="I5169">
        <v>880</v>
      </c>
      <c r="J5169">
        <v>1408</v>
      </c>
      <c r="K5169">
        <v>1.6</v>
      </c>
      <c r="M5169" t="s">
        <v>516</v>
      </c>
    </row>
    <row r="5170" spans="1:13" hidden="1">
      <c r="A5170" t="s">
        <v>163</v>
      </c>
      <c r="B5170" t="s">
        <v>164</v>
      </c>
      <c r="C5170" t="s">
        <v>19</v>
      </c>
      <c r="D5170" t="str">
        <f>LEFT(M5170,9)</f>
        <v>1/15/2025</v>
      </c>
      <c r="E5170" t="s">
        <v>202</v>
      </c>
      <c r="F5170" t="s">
        <v>218</v>
      </c>
      <c r="G5170" t="s">
        <v>225</v>
      </c>
      <c r="I5170">
        <v>295</v>
      </c>
      <c r="J5170">
        <v>14.75</v>
      </c>
      <c r="K5170">
        <v>0.05</v>
      </c>
      <c r="M5170" t="s">
        <v>516</v>
      </c>
    </row>
    <row r="5171" spans="1:13" hidden="1">
      <c r="A5171" t="s">
        <v>163</v>
      </c>
      <c r="B5171" t="s">
        <v>164</v>
      </c>
      <c r="C5171" t="s">
        <v>19</v>
      </c>
      <c r="D5171" t="str">
        <f>LEFT(M5171,9)</f>
        <v>1/15/2025</v>
      </c>
      <c r="E5171" t="s">
        <v>202</v>
      </c>
      <c r="F5171" t="s">
        <v>218</v>
      </c>
      <c r="G5171" t="s">
        <v>268</v>
      </c>
      <c r="I5171">
        <v>157</v>
      </c>
      <c r="J5171">
        <v>157</v>
      </c>
      <c r="K5171">
        <v>1</v>
      </c>
      <c r="M5171" t="s">
        <v>516</v>
      </c>
    </row>
    <row r="5172" spans="1:13" hidden="1">
      <c r="A5172" t="s">
        <v>163</v>
      </c>
      <c r="B5172" t="s">
        <v>164</v>
      </c>
      <c r="C5172" t="s">
        <v>19</v>
      </c>
      <c r="D5172" t="str">
        <f>LEFT(M5172,9)</f>
        <v>1/15/2025</v>
      </c>
      <c r="E5172" t="s">
        <v>202</v>
      </c>
      <c r="F5172" t="s">
        <v>203</v>
      </c>
      <c r="G5172" t="s">
        <v>207</v>
      </c>
      <c r="I5172">
        <v>2</v>
      </c>
      <c r="J5172">
        <v>20</v>
      </c>
      <c r="K5172">
        <v>10</v>
      </c>
      <c r="M5172" t="s">
        <v>516</v>
      </c>
    </row>
    <row r="5173" spans="1:13" hidden="1">
      <c r="A5173" t="s">
        <v>163</v>
      </c>
      <c r="B5173" t="s">
        <v>164</v>
      </c>
      <c r="C5173" t="s">
        <v>19</v>
      </c>
      <c r="D5173" t="str">
        <f>LEFT(M5173,9)</f>
        <v>1/15/2025</v>
      </c>
      <c r="E5173" t="s">
        <v>202</v>
      </c>
      <c r="F5173" t="s">
        <v>203</v>
      </c>
      <c r="G5173" t="s">
        <v>207</v>
      </c>
      <c r="I5173">
        <v>23</v>
      </c>
      <c r="J5173">
        <v>184</v>
      </c>
      <c r="K5173">
        <v>8</v>
      </c>
      <c r="M5173" t="s">
        <v>516</v>
      </c>
    </row>
    <row r="5174" spans="1:13" hidden="1">
      <c r="A5174" t="s">
        <v>163</v>
      </c>
      <c r="B5174" t="s">
        <v>164</v>
      </c>
      <c r="C5174" t="s">
        <v>19</v>
      </c>
      <c r="D5174" t="str">
        <f>LEFT(M5174,9)</f>
        <v>1/15/2025</v>
      </c>
      <c r="E5174" t="s">
        <v>202</v>
      </c>
      <c r="F5174" t="s">
        <v>203</v>
      </c>
      <c r="G5174" t="s">
        <v>259</v>
      </c>
      <c r="I5174">
        <v>15</v>
      </c>
      <c r="J5174">
        <v>150</v>
      </c>
      <c r="K5174">
        <v>10</v>
      </c>
      <c r="M5174" t="s">
        <v>516</v>
      </c>
    </row>
    <row r="5175" spans="1:13" hidden="1">
      <c r="A5175" t="s">
        <v>163</v>
      </c>
      <c r="B5175" t="s">
        <v>164</v>
      </c>
      <c r="C5175" t="s">
        <v>19</v>
      </c>
      <c r="D5175" t="str">
        <f>LEFT(M5175,9)</f>
        <v>1/15/2025</v>
      </c>
      <c r="E5175" t="s">
        <v>202</v>
      </c>
      <c r="F5175" t="s">
        <v>203</v>
      </c>
      <c r="G5175" t="s">
        <v>204</v>
      </c>
      <c r="I5175">
        <v>345</v>
      </c>
      <c r="J5175">
        <v>3277.5</v>
      </c>
      <c r="K5175">
        <v>9.5</v>
      </c>
      <c r="M5175" t="s">
        <v>516</v>
      </c>
    </row>
    <row r="5176" spans="1:13" hidden="1">
      <c r="A5176" t="s">
        <v>163</v>
      </c>
      <c r="B5176" t="s">
        <v>164</v>
      </c>
      <c r="C5176" t="s">
        <v>19</v>
      </c>
      <c r="D5176" t="str">
        <f>LEFT(M5176,9)</f>
        <v>1/15/2025</v>
      </c>
      <c r="E5176" t="s">
        <v>202</v>
      </c>
      <c r="F5176" t="s">
        <v>203</v>
      </c>
      <c r="G5176" t="s">
        <v>204</v>
      </c>
      <c r="I5176">
        <v>90</v>
      </c>
      <c r="J5176">
        <v>900</v>
      </c>
      <c r="K5176">
        <v>10</v>
      </c>
      <c r="M5176" t="s">
        <v>516</v>
      </c>
    </row>
    <row r="5177" spans="1:13" hidden="1">
      <c r="A5177" t="s">
        <v>163</v>
      </c>
      <c r="B5177" t="s">
        <v>164</v>
      </c>
      <c r="C5177" t="s">
        <v>19</v>
      </c>
      <c r="D5177" t="str">
        <f>LEFT(M5177,9)</f>
        <v>1/15/2025</v>
      </c>
      <c r="E5177" t="s">
        <v>202</v>
      </c>
      <c r="F5177" t="s">
        <v>203</v>
      </c>
      <c r="G5177" t="s">
        <v>208</v>
      </c>
      <c r="I5177">
        <v>31</v>
      </c>
      <c r="J5177">
        <v>31</v>
      </c>
      <c r="K5177">
        <v>1</v>
      </c>
      <c r="M5177" t="s">
        <v>516</v>
      </c>
    </row>
    <row r="5178" spans="1:13" hidden="1">
      <c r="A5178" t="s">
        <v>163</v>
      </c>
      <c r="B5178" t="s">
        <v>164</v>
      </c>
      <c r="C5178" t="s">
        <v>19</v>
      </c>
      <c r="D5178" t="str">
        <f>LEFT(M5178,9)</f>
        <v>1/15/2025</v>
      </c>
      <c r="E5178" t="s">
        <v>202</v>
      </c>
      <c r="F5178" t="s">
        <v>203</v>
      </c>
      <c r="G5178" t="s">
        <v>235</v>
      </c>
      <c r="I5178">
        <v>41</v>
      </c>
      <c r="J5178">
        <v>328</v>
      </c>
      <c r="K5178">
        <v>8</v>
      </c>
      <c r="M5178" t="s">
        <v>516</v>
      </c>
    </row>
    <row r="5179" spans="1:13" hidden="1">
      <c r="A5179" t="s">
        <v>163</v>
      </c>
      <c r="B5179" t="s">
        <v>164</v>
      </c>
      <c r="C5179" t="s">
        <v>19</v>
      </c>
      <c r="D5179" t="str">
        <f>LEFT(M5179,9)</f>
        <v>1/15/2025</v>
      </c>
      <c r="E5179" t="s">
        <v>202</v>
      </c>
      <c r="F5179" t="s">
        <v>203</v>
      </c>
      <c r="G5179" t="s">
        <v>259</v>
      </c>
      <c r="I5179">
        <v>9</v>
      </c>
      <c r="J5179">
        <v>22.5</v>
      </c>
      <c r="K5179">
        <v>2.5</v>
      </c>
      <c r="M5179" t="s">
        <v>516</v>
      </c>
    </row>
    <row r="5180" spans="1:13" hidden="1">
      <c r="A5180" t="s">
        <v>163</v>
      </c>
      <c r="B5180" t="s">
        <v>164</v>
      </c>
      <c r="C5180" t="s">
        <v>19</v>
      </c>
      <c r="D5180" t="str">
        <f>LEFT(M5180,9)</f>
        <v>1/15/2025</v>
      </c>
      <c r="E5180" t="s">
        <v>202</v>
      </c>
      <c r="F5180" t="s">
        <v>203</v>
      </c>
      <c r="G5180" t="s">
        <v>260</v>
      </c>
      <c r="I5180">
        <v>2.2000000000000002</v>
      </c>
      <c r="J5180">
        <v>92.4</v>
      </c>
      <c r="K5180">
        <v>42</v>
      </c>
      <c r="M5180" t="s">
        <v>516</v>
      </c>
    </row>
    <row r="5181" spans="1:13" hidden="1">
      <c r="A5181" t="s">
        <v>163</v>
      </c>
      <c r="B5181" t="s">
        <v>164</v>
      </c>
      <c r="C5181" t="s">
        <v>19</v>
      </c>
      <c r="D5181" t="str">
        <f>LEFT(M5181,9)</f>
        <v>1/15/2025</v>
      </c>
      <c r="E5181" t="s">
        <v>202</v>
      </c>
      <c r="F5181" t="s">
        <v>203</v>
      </c>
      <c r="G5181" t="s">
        <v>261</v>
      </c>
      <c r="I5181">
        <v>5</v>
      </c>
      <c r="J5181">
        <v>100</v>
      </c>
      <c r="K5181">
        <v>20</v>
      </c>
      <c r="M5181" t="s">
        <v>516</v>
      </c>
    </row>
    <row r="5182" spans="1:13" hidden="1">
      <c r="A5182" t="s">
        <v>163</v>
      </c>
      <c r="B5182" t="s">
        <v>164</v>
      </c>
      <c r="C5182" t="s">
        <v>19</v>
      </c>
      <c r="D5182" t="str">
        <f>LEFT(M5182,9)</f>
        <v>1/15/2025</v>
      </c>
      <c r="E5182" t="s">
        <v>202</v>
      </c>
      <c r="F5182" t="s">
        <v>203</v>
      </c>
      <c r="G5182" t="s">
        <v>261</v>
      </c>
      <c r="I5182">
        <v>70</v>
      </c>
      <c r="J5182">
        <v>840</v>
      </c>
      <c r="K5182">
        <v>12</v>
      </c>
      <c r="M5182" t="s">
        <v>516</v>
      </c>
    </row>
    <row r="5183" spans="1:13" hidden="1">
      <c r="A5183" t="s">
        <v>163</v>
      </c>
      <c r="B5183" t="s">
        <v>164</v>
      </c>
      <c r="C5183" t="s">
        <v>19</v>
      </c>
      <c r="D5183" t="str">
        <f>LEFT(M5183,9)</f>
        <v>1/15/2025</v>
      </c>
      <c r="E5183" t="s">
        <v>202</v>
      </c>
      <c r="F5183" t="s">
        <v>203</v>
      </c>
      <c r="G5183" t="s">
        <v>236</v>
      </c>
      <c r="I5183">
        <v>1269</v>
      </c>
      <c r="J5183">
        <v>697.95</v>
      </c>
      <c r="K5183">
        <v>0.55000000000000004</v>
      </c>
      <c r="M5183" t="s">
        <v>516</v>
      </c>
    </row>
    <row r="5184" spans="1:13" hidden="1">
      <c r="A5184" t="s">
        <v>163</v>
      </c>
      <c r="B5184" t="s">
        <v>164</v>
      </c>
      <c r="C5184" t="s">
        <v>19</v>
      </c>
      <c r="D5184" t="str">
        <f>LEFT(M5184,9)</f>
        <v>1/15/2025</v>
      </c>
      <c r="E5184" t="s">
        <v>202</v>
      </c>
      <c r="F5184" t="s">
        <v>203</v>
      </c>
      <c r="G5184" t="s">
        <v>236</v>
      </c>
      <c r="I5184">
        <v>1380</v>
      </c>
      <c r="J5184">
        <v>828</v>
      </c>
      <c r="K5184">
        <v>0.6</v>
      </c>
      <c r="M5184" t="s">
        <v>516</v>
      </c>
    </row>
    <row r="5185" spans="1:13" hidden="1">
      <c r="A5185" t="s">
        <v>163</v>
      </c>
      <c r="B5185" t="s">
        <v>164</v>
      </c>
      <c r="C5185" t="s">
        <v>19</v>
      </c>
      <c r="D5185" t="str">
        <f>LEFT(M5185,9)</f>
        <v>1/15/2025</v>
      </c>
      <c r="E5185" t="s">
        <v>202</v>
      </c>
      <c r="F5185" t="s">
        <v>203</v>
      </c>
      <c r="G5185" t="s">
        <v>259</v>
      </c>
      <c r="I5185">
        <v>15</v>
      </c>
      <c r="J5185">
        <v>57</v>
      </c>
      <c r="K5185">
        <v>3.8</v>
      </c>
      <c r="M5185" t="s">
        <v>516</v>
      </c>
    </row>
    <row r="5186" spans="1:13" hidden="1">
      <c r="A5186" t="s">
        <v>163</v>
      </c>
      <c r="B5186" t="s">
        <v>164</v>
      </c>
      <c r="C5186" t="s">
        <v>19</v>
      </c>
      <c r="D5186" t="str">
        <f>LEFT(M5186,9)</f>
        <v>1/15/2025</v>
      </c>
      <c r="E5186" t="s">
        <v>202</v>
      </c>
      <c r="F5186" t="s">
        <v>203</v>
      </c>
      <c r="G5186" t="s">
        <v>259</v>
      </c>
      <c r="I5186">
        <v>5</v>
      </c>
      <c r="J5186">
        <v>125</v>
      </c>
      <c r="K5186">
        <v>25</v>
      </c>
      <c r="M5186" t="s">
        <v>516</v>
      </c>
    </row>
    <row r="5187" spans="1:13" hidden="1">
      <c r="A5187" t="s">
        <v>163</v>
      </c>
      <c r="B5187" t="s">
        <v>164</v>
      </c>
      <c r="C5187" t="s">
        <v>19</v>
      </c>
      <c r="D5187" t="str">
        <f>LEFT(M5187,9)</f>
        <v>1/15/2025</v>
      </c>
      <c r="E5187" t="s">
        <v>202</v>
      </c>
      <c r="F5187" t="s">
        <v>216</v>
      </c>
      <c r="G5187" t="s">
        <v>253</v>
      </c>
      <c r="I5187">
        <v>5560</v>
      </c>
      <c r="J5187">
        <v>556</v>
      </c>
      <c r="K5187">
        <v>0.1</v>
      </c>
      <c r="M5187" t="s">
        <v>516</v>
      </c>
    </row>
    <row r="5188" spans="1:13" hidden="1">
      <c r="A5188" t="s">
        <v>163</v>
      </c>
      <c r="B5188" t="s">
        <v>164</v>
      </c>
      <c r="C5188" t="s">
        <v>19</v>
      </c>
      <c r="D5188" t="str">
        <f>LEFT(M5188,9)</f>
        <v>1/15/2025</v>
      </c>
      <c r="E5188" t="s">
        <v>230</v>
      </c>
      <c r="F5188" t="s">
        <v>248</v>
      </c>
      <c r="I5188">
        <v>0</v>
      </c>
      <c r="J5188">
        <v>36329.26</v>
      </c>
      <c r="M5188" t="s">
        <v>516</v>
      </c>
    </row>
    <row r="5189" spans="1:13" hidden="1">
      <c r="A5189" t="s">
        <v>163</v>
      </c>
      <c r="B5189" t="s">
        <v>164</v>
      </c>
      <c r="C5189" t="s">
        <v>19</v>
      </c>
      <c r="D5189" t="str">
        <f>LEFT(M5189,9)</f>
        <v>1/15/2025</v>
      </c>
      <c r="E5189" t="s">
        <v>232</v>
      </c>
      <c r="F5189" t="s">
        <v>262</v>
      </c>
      <c r="I5189">
        <v>0</v>
      </c>
      <c r="J5189">
        <v>4705.09</v>
      </c>
      <c r="M5189" t="s">
        <v>516</v>
      </c>
    </row>
    <row r="5190" spans="1:13" hidden="1">
      <c r="A5190" t="s">
        <v>163</v>
      </c>
      <c r="B5190" t="s">
        <v>164</v>
      </c>
      <c r="C5190" t="s">
        <v>19</v>
      </c>
      <c r="D5190" t="str">
        <f>LEFT(M5190,9)</f>
        <v>1/15/2025</v>
      </c>
      <c r="E5190" t="s">
        <v>232</v>
      </c>
      <c r="F5190" t="s">
        <v>255</v>
      </c>
      <c r="I5190">
        <v>0</v>
      </c>
      <c r="J5190">
        <v>11401.26</v>
      </c>
      <c r="L5190" t="s">
        <v>562</v>
      </c>
      <c r="M5190" t="s">
        <v>516</v>
      </c>
    </row>
    <row r="5191" spans="1:13" hidden="1">
      <c r="A5191" t="s">
        <v>163</v>
      </c>
      <c r="B5191" t="s">
        <v>164</v>
      </c>
      <c r="C5191" t="s">
        <v>19</v>
      </c>
      <c r="D5191" t="str">
        <f>LEFT(M5191,9)</f>
        <v>1/15/2025</v>
      </c>
      <c r="E5191" t="s">
        <v>234</v>
      </c>
      <c r="F5191" t="s">
        <v>234</v>
      </c>
      <c r="I5191">
        <v>5029.2</v>
      </c>
      <c r="M5191" t="s">
        <v>516</v>
      </c>
    </row>
    <row r="5192" spans="1:13" hidden="1">
      <c r="A5192" t="s">
        <v>88</v>
      </c>
      <c r="B5192" t="s">
        <v>8</v>
      </c>
      <c r="C5192" t="s">
        <v>87</v>
      </c>
      <c r="D5192" t="str">
        <f>LEFT(M5192,9)</f>
        <v>1/15/2025</v>
      </c>
      <c r="E5192" t="s">
        <v>202</v>
      </c>
      <c r="F5192" t="s">
        <v>227</v>
      </c>
      <c r="G5192" t="s">
        <v>228</v>
      </c>
      <c r="I5192">
        <v>1294.4000000000001</v>
      </c>
      <c r="J5192">
        <v>388.32</v>
      </c>
      <c r="K5192">
        <v>0.3</v>
      </c>
      <c r="M5192" t="s">
        <v>516</v>
      </c>
    </row>
    <row r="5193" spans="1:13" hidden="1">
      <c r="A5193" t="s">
        <v>88</v>
      </c>
      <c r="B5193" t="s">
        <v>8</v>
      </c>
      <c r="C5193" t="s">
        <v>87</v>
      </c>
      <c r="D5193" t="str">
        <f>LEFT(M5193,9)</f>
        <v>1/15/2025</v>
      </c>
      <c r="E5193" t="s">
        <v>202</v>
      </c>
      <c r="F5193" t="s">
        <v>227</v>
      </c>
      <c r="G5193" t="s">
        <v>229</v>
      </c>
      <c r="I5193">
        <v>3192</v>
      </c>
      <c r="J5193">
        <v>1915.2</v>
      </c>
      <c r="K5193">
        <v>0.6</v>
      </c>
      <c r="M5193" t="s">
        <v>516</v>
      </c>
    </row>
    <row r="5194" spans="1:13" hidden="1">
      <c r="A5194" t="s">
        <v>88</v>
      </c>
      <c r="B5194" t="s">
        <v>8</v>
      </c>
      <c r="C5194" t="s">
        <v>87</v>
      </c>
      <c r="D5194" t="str">
        <f>LEFT(M5194,9)</f>
        <v>1/15/2025</v>
      </c>
      <c r="E5194" t="s">
        <v>202</v>
      </c>
      <c r="F5194" t="s">
        <v>218</v>
      </c>
      <c r="G5194" t="s">
        <v>221</v>
      </c>
      <c r="I5194">
        <v>243.2</v>
      </c>
      <c r="J5194">
        <v>608</v>
      </c>
      <c r="K5194">
        <v>2.5</v>
      </c>
      <c r="M5194" t="s">
        <v>516</v>
      </c>
    </row>
    <row r="5195" spans="1:13" hidden="1">
      <c r="A5195" t="s">
        <v>88</v>
      </c>
      <c r="B5195" t="s">
        <v>8</v>
      </c>
      <c r="C5195" t="s">
        <v>87</v>
      </c>
      <c r="D5195" t="str">
        <f>LEFT(M5195,9)</f>
        <v>1/15/2025</v>
      </c>
      <c r="E5195" t="s">
        <v>202</v>
      </c>
      <c r="F5195" t="s">
        <v>218</v>
      </c>
      <c r="G5195" t="s">
        <v>240</v>
      </c>
      <c r="I5195">
        <v>311.60000000000002</v>
      </c>
      <c r="J5195">
        <v>1059.44</v>
      </c>
      <c r="K5195">
        <v>3.4</v>
      </c>
      <c r="M5195" t="s">
        <v>516</v>
      </c>
    </row>
    <row r="5196" spans="1:13" hidden="1">
      <c r="A5196" t="s">
        <v>88</v>
      </c>
      <c r="B5196" t="s">
        <v>8</v>
      </c>
      <c r="C5196" t="s">
        <v>87</v>
      </c>
      <c r="D5196" t="str">
        <f>LEFT(M5196,9)</f>
        <v>1/15/2025</v>
      </c>
      <c r="E5196" t="s">
        <v>202</v>
      </c>
      <c r="F5196" t="s">
        <v>218</v>
      </c>
      <c r="G5196" t="s">
        <v>242</v>
      </c>
      <c r="I5196">
        <v>67</v>
      </c>
      <c r="J5196">
        <v>60.3</v>
      </c>
      <c r="K5196">
        <v>0.9</v>
      </c>
      <c r="M5196" t="s">
        <v>516</v>
      </c>
    </row>
    <row r="5197" spans="1:13" hidden="1">
      <c r="A5197" t="s">
        <v>88</v>
      </c>
      <c r="B5197" t="s">
        <v>8</v>
      </c>
      <c r="C5197" t="s">
        <v>87</v>
      </c>
      <c r="D5197" t="str">
        <f>LEFT(M5197,9)</f>
        <v>1/15/2025</v>
      </c>
      <c r="E5197" t="s">
        <v>202</v>
      </c>
      <c r="F5197" t="s">
        <v>218</v>
      </c>
      <c r="G5197" t="s">
        <v>241</v>
      </c>
      <c r="I5197">
        <v>82.8</v>
      </c>
      <c r="J5197">
        <v>281.52</v>
      </c>
      <c r="K5197">
        <v>3.4</v>
      </c>
      <c r="M5197" t="s">
        <v>516</v>
      </c>
    </row>
    <row r="5198" spans="1:13" hidden="1">
      <c r="A5198" t="s">
        <v>88</v>
      </c>
      <c r="B5198" t="s">
        <v>8</v>
      </c>
      <c r="C5198" t="s">
        <v>87</v>
      </c>
      <c r="D5198" t="str">
        <f>LEFT(M5198,9)</f>
        <v>1/15/2025</v>
      </c>
      <c r="E5198" t="s">
        <v>202</v>
      </c>
      <c r="F5198" t="s">
        <v>218</v>
      </c>
      <c r="G5198" t="s">
        <v>220</v>
      </c>
      <c r="I5198">
        <v>294</v>
      </c>
      <c r="J5198">
        <v>411.6</v>
      </c>
      <c r="K5198">
        <v>1.4</v>
      </c>
      <c r="M5198" t="s">
        <v>516</v>
      </c>
    </row>
    <row r="5199" spans="1:13" hidden="1">
      <c r="A5199" t="s">
        <v>88</v>
      </c>
      <c r="B5199" t="s">
        <v>8</v>
      </c>
      <c r="C5199" t="s">
        <v>87</v>
      </c>
      <c r="D5199" t="str">
        <f>LEFT(M5199,9)</f>
        <v>1/15/2025</v>
      </c>
      <c r="E5199" t="s">
        <v>202</v>
      </c>
      <c r="F5199" t="s">
        <v>218</v>
      </c>
      <c r="G5199" t="s">
        <v>226</v>
      </c>
      <c r="I5199">
        <v>175.8</v>
      </c>
      <c r="J5199">
        <v>52.74</v>
      </c>
      <c r="K5199">
        <v>0.3</v>
      </c>
      <c r="M5199" t="s">
        <v>516</v>
      </c>
    </row>
    <row r="5200" spans="1:13" hidden="1">
      <c r="A5200" t="s">
        <v>88</v>
      </c>
      <c r="B5200" t="s">
        <v>8</v>
      </c>
      <c r="C5200" t="s">
        <v>87</v>
      </c>
      <c r="D5200" t="str">
        <f>LEFT(M5200,9)</f>
        <v>1/15/2025</v>
      </c>
      <c r="E5200" t="s">
        <v>202</v>
      </c>
      <c r="F5200" t="s">
        <v>227</v>
      </c>
      <c r="G5200" t="s">
        <v>237</v>
      </c>
      <c r="I5200">
        <v>59.2</v>
      </c>
      <c r="J5200">
        <v>29.6</v>
      </c>
      <c r="K5200">
        <v>0.5</v>
      </c>
      <c r="M5200" t="s">
        <v>516</v>
      </c>
    </row>
    <row r="5201" spans="1:13" hidden="1">
      <c r="A5201" t="s">
        <v>88</v>
      </c>
      <c r="B5201" t="s">
        <v>8</v>
      </c>
      <c r="C5201" t="s">
        <v>87</v>
      </c>
      <c r="D5201" t="str">
        <f>LEFT(M5201,9)</f>
        <v>1/15/2025</v>
      </c>
      <c r="E5201" t="s">
        <v>202</v>
      </c>
      <c r="F5201" t="s">
        <v>218</v>
      </c>
      <c r="G5201" t="s">
        <v>223</v>
      </c>
      <c r="I5201">
        <v>253</v>
      </c>
      <c r="J5201">
        <v>202.4</v>
      </c>
      <c r="K5201">
        <v>0.8</v>
      </c>
      <c r="M5201" t="s">
        <v>516</v>
      </c>
    </row>
    <row r="5202" spans="1:13" hidden="1">
      <c r="A5202" t="s">
        <v>88</v>
      </c>
      <c r="B5202" t="s">
        <v>8</v>
      </c>
      <c r="C5202" t="s">
        <v>87</v>
      </c>
      <c r="D5202" t="str">
        <f>LEFT(M5202,9)</f>
        <v>1/15/2025</v>
      </c>
      <c r="E5202" t="s">
        <v>202</v>
      </c>
      <c r="F5202" t="s">
        <v>218</v>
      </c>
      <c r="G5202" t="s">
        <v>225</v>
      </c>
      <c r="I5202">
        <v>64.5</v>
      </c>
      <c r="J5202">
        <v>32.25</v>
      </c>
      <c r="K5202">
        <v>0.5</v>
      </c>
      <c r="M5202" t="s">
        <v>516</v>
      </c>
    </row>
    <row r="5203" spans="1:13" hidden="1">
      <c r="A5203" t="s">
        <v>88</v>
      </c>
      <c r="B5203" t="s">
        <v>8</v>
      </c>
      <c r="C5203" t="s">
        <v>87</v>
      </c>
      <c r="D5203" t="str">
        <f>LEFT(M5203,9)</f>
        <v>1/15/2025</v>
      </c>
      <c r="E5203" t="s">
        <v>202</v>
      </c>
      <c r="F5203" t="s">
        <v>218</v>
      </c>
      <c r="G5203" t="s">
        <v>224</v>
      </c>
      <c r="I5203">
        <v>68</v>
      </c>
      <c r="J5203">
        <v>61.2</v>
      </c>
      <c r="K5203">
        <v>0.9</v>
      </c>
      <c r="M5203" t="s">
        <v>516</v>
      </c>
    </row>
    <row r="5204" spans="1:13" hidden="1">
      <c r="A5204" t="s">
        <v>88</v>
      </c>
      <c r="B5204" t="s">
        <v>8</v>
      </c>
      <c r="C5204" t="s">
        <v>87</v>
      </c>
      <c r="D5204" t="str">
        <f>LEFT(M5204,9)</f>
        <v>1/15/2025</v>
      </c>
      <c r="E5204" t="s">
        <v>202</v>
      </c>
      <c r="F5204" t="s">
        <v>218</v>
      </c>
      <c r="G5204" t="s">
        <v>266</v>
      </c>
      <c r="I5204">
        <v>109</v>
      </c>
      <c r="J5204">
        <v>5.45</v>
      </c>
      <c r="K5204">
        <v>0.05</v>
      </c>
      <c r="M5204" t="s">
        <v>516</v>
      </c>
    </row>
    <row r="5205" spans="1:13" hidden="1">
      <c r="A5205" t="s">
        <v>88</v>
      </c>
      <c r="B5205" t="s">
        <v>8</v>
      </c>
      <c r="C5205" t="s">
        <v>87</v>
      </c>
      <c r="D5205" t="str">
        <f>LEFT(M5205,9)</f>
        <v>1/15/2025</v>
      </c>
      <c r="E5205" t="s">
        <v>202</v>
      </c>
      <c r="F5205" t="s">
        <v>218</v>
      </c>
      <c r="G5205" t="s">
        <v>239</v>
      </c>
      <c r="I5205">
        <v>11</v>
      </c>
      <c r="J5205">
        <v>0.55000000000000004</v>
      </c>
      <c r="K5205">
        <v>0.05</v>
      </c>
      <c r="M5205" t="s">
        <v>516</v>
      </c>
    </row>
    <row r="5206" spans="1:13" hidden="1">
      <c r="A5206" t="s">
        <v>88</v>
      </c>
      <c r="B5206" t="s">
        <v>8</v>
      </c>
      <c r="C5206" t="s">
        <v>87</v>
      </c>
      <c r="D5206" t="str">
        <f>LEFT(M5206,9)</f>
        <v>1/15/2025</v>
      </c>
      <c r="E5206" t="s">
        <v>202</v>
      </c>
      <c r="F5206" t="s">
        <v>218</v>
      </c>
      <c r="G5206" t="s">
        <v>222</v>
      </c>
      <c r="I5206">
        <v>127.6</v>
      </c>
      <c r="J5206">
        <v>153.12</v>
      </c>
      <c r="K5206">
        <v>1.2</v>
      </c>
      <c r="M5206" t="s">
        <v>516</v>
      </c>
    </row>
    <row r="5207" spans="1:13" hidden="1">
      <c r="A5207" t="s">
        <v>88</v>
      </c>
      <c r="B5207" t="s">
        <v>8</v>
      </c>
      <c r="C5207" t="s">
        <v>87</v>
      </c>
      <c r="D5207" t="str">
        <f>LEFT(M5207,9)</f>
        <v>1/15/2025</v>
      </c>
      <c r="E5207" t="s">
        <v>202</v>
      </c>
      <c r="F5207" t="s">
        <v>218</v>
      </c>
      <c r="G5207" t="s">
        <v>222</v>
      </c>
      <c r="I5207">
        <v>471</v>
      </c>
      <c r="J5207">
        <v>471</v>
      </c>
      <c r="K5207">
        <v>1</v>
      </c>
      <c r="M5207" t="s">
        <v>516</v>
      </c>
    </row>
    <row r="5208" spans="1:13" hidden="1">
      <c r="A5208" t="s">
        <v>88</v>
      </c>
      <c r="B5208" t="s">
        <v>8</v>
      </c>
      <c r="C5208" t="s">
        <v>87</v>
      </c>
      <c r="D5208" t="str">
        <f>LEFT(M5208,9)</f>
        <v>1/15/2025</v>
      </c>
      <c r="E5208" t="s">
        <v>202</v>
      </c>
      <c r="F5208" t="s">
        <v>203</v>
      </c>
      <c r="G5208" t="s">
        <v>236</v>
      </c>
      <c r="I5208">
        <v>915</v>
      </c>
      <c r="J5208">
        <v>640.5</v>
      </c>
      <c r="K5208">
        <v>0.7</v>
      </c>
      <c r="M5208" t="s">
        <v>516</v>
      </c>
    </row>
    <row r="5209" spans="1:13" hidden="1">
      <c r="A5209" t="s">
        <v>88</v>
      </c>
      <c r="B5209" t="s">
        <v>8</v>
      </c>
      <c r="C5209" t="s">
        <v>87</v>
      </c>
      <c r="D5209" t="str">
        <f>LEFT(M5209,9)</f>
        <v>1/15/2025</v>
      </c>
      <c r="E5209" t="s">
        <v>202</v>
      </c>
      <c r="F5209" t="s">
        <v>203</v>
      </c>
      <c r="G5209" t="s">
        <v>204</v>
      </c>
      <c r="I5209">
        <v>234</v>
      </c>
      <c r="J5209">
        <v>2035.8</v>
      </c>
      <c r="K5209">
        <v>8.6999999999999993</v>
      </c>
      <c r="M5209" t="s">
        <v>516</v>
      </c>
    </row>
    <row r="5210" spans="1:13" hidden="1">
      <c r="A5210" t="s">
        <v>88</v>
      </c>
      <c r="B5210" t="s">
        <v>8</v>
      </c>
      <c r="C5210" t="s">
        <v>87</v>
      </c>
      <c r="D5210" t="str">
        <f>LEFT(M5210,9)</f>
        <v>1/15/2025</v>
      </c>
      <c r="E5210" t="s">
        <v>202</v>
      </c>
      <c r="F5210" t="s">
        <v>203</v>
      </c>
      <c r="G5210" t="s">
        <v>208</v>
      </c>
      <c r="I5210">
        <v>84</v>
      </c>
      <c r="J5210">
        <v>756</v>
      </c>
      <c r="K5210">
        <v>9</v>
      </c>
      <c r="M5210" t="s">
        <v>516</v>
      </c>
    </row>
    <row r="5211" spans="1:13" hidden="1">
      <c r="A5211" t="s">
        <v>88</v>
      </c>
      <c r="B5211" t="s">
        <v>8</v>
      </c>
      <c r="C5211" t="s">
        <v>87</v>
      </c>
      <c r="D5211" t="str">
        <f>LEFT(M5211,9)</f>
        <v>1/15/2025</v>
      </c>
      <c r="E5211" t="s">
        <v>202</v>
      </c>
      <c r="F5211" t="s">
        <v>203</v>
      </c>
      <c r="G5211" t="s">
        <v>207</v>
      </c>
      <c r="I5211">
        <v>31.8</v>
      </c>
      <c r="J5211">
        <v>127.2</v>
      </c>
      <c r="K5211">
        <v>4</v>
      </c>
      <c r="M5211" t="s">
        <v>516</v>
      </c>
    </row>
    <row r="5212" spans="1:13" hidden="1">
      <c r="A5212" t="s">
        <v>88</v>
      </c>
      <c r="B5212" t="s">
        <v>8</v>
      </c>
      <c r="C5212" t="s">
        <v>87</v>
      </c>
      <c r="D5212" t="str">
        <f>LEFT(M5212,9)</f>
        <v>1/15/2025</v>
      </c>
      <c r="E5212" t="s">
        <v>232</v>
      </c>
      <c r="F5212" t="s">
        <v>287</v>
      </c>
      <c r="I5212">
        <v>0</v>
      </c>
      <c r="J5212">
        <v>377.5</v>
      </c>
      <c r="M5212" t="s">
        <v>516</v>
      </c>
    </row>
    <row r="5213" spans="1:13" hidden="1">
      <c r="A5213" t="s">
        <v>88</v>
      </c>
      <c r="B5213" t="s">
        <v>8</v>
      </c>
      <c r="C5213" t="s">
        <v>87</v>
      </c>
      <c r="D5213" t="str">
        <f>LEFT(M5213,9)</f>
        <v>1/15/2025</v>
      </c>
      <c r="E5213" t="s">
        <v>232</v>
      </c>
      <c r="F5213" t="s">
        <v>251</v>
      </c>
      <c r="I5213">
        <v>0</v>
      </c>
      <c r="J5213">
        <v>500</v>
      </c>
      <c r="M5213" t="s">
        <v>516</v>
      </c>
    </row>
    <row r="5214" spans="1:13" hidden="1">
      <c r="A5214" t="s">
        <v>88</v>
      </c>
      <c r="B5214" t="s">
        <v>8</v>
      </c>
      <c r="C5214" t="s">
        <v>87</v>
      </c>
      <c r="D5214" t="str">
        <f>LEFT(M5214,9)</f>
        <v>1/15/2025</v>
      </c>
      <c r="E5214" t="s">
        <v>230</v>
      </c>
      <c r="F5214" t="s">
        <v>248</v>
      </c>
      <c r="I5214">
        <v>0</v>
      </c>
      <c r="J5214">
        <v>2747.19</v>
      </c>
      <c r="M5214" t="s">
        <v>516</v>
      </c>
    </row>
    <row r="5215" spans="1:13" hidden="1">
      <c r="A5215" t="s">
        <v>88</v>
      </c>
      <c r="B5215" t="s">
        <v>8</v>
      </c>
      <c r="C5215" t="s">
        <v>87</v>
      </c>
      <c r="D5215" t="str">
        <f>LEFT(M5215,9)</f>
        <v>1/15/2025</v>
      </c>
      <c r="E5215" t="s">
        <v>230</v>
      </c>
      <c r="F5215" t="s">
        <v>248</v>
      </c>
      <c r="I5215">
        <v>0</v>
      </c>
      <c r="J5215">
        <v>26625</v>
      </c>
      <c r="M5215" t="s">
        <v>516</v>
      </c>
    </row>
    <row r="5216" spans="1:13" hidden="1">
      <c r="A5216" t="s">
        <v>88</v>
      </c>
      <c r="B5216" t="s">
        <v>8</v>
      </c>
      <c r="C5216" t="s">
        <v>87</v>
      </c>
      <c r="D5216" t="str">
        <f>LEFT(M5216,9)</f>
        <v>1/15/2025</v>
      </c>
      <c r="E5216" t="s">
        <v>234</v>
      </c>
      <c r="F5216" t="s">
        <v>234</v>
      </c>
      <c r="I5216">
        <v>1120</v>
      </c>
      <c r="M5216" t="s">
        <v>516</v>
      </c>
    </row>
    <row r="5217" spans="1:13" hidden="1">
      <c r="A5217" t="s">
        <v>168</v>
      </c>
      <c r="B5217" t="s">
        <v>8</v>
      </c>
      <c r="C5217" t="s">
        <v>23</v>
      </c>
      <c r="D5217" t="str">
        <f>LEFT(M5217,9)</f>
        <v>1/15/2025</v>
      </c>
      <c r="E5217" t="s">
        <v>230</v>
      </c>
      <c r="F5217" t="s">
        <v>248</v>
      </c>
      <c r="I5217">
        <v>0</v>
      </c>
      <c r="J5217">
        <v>76402.320000000007</v>
      </c>
      <c r="M5217" t="s">
        <v>516</v>
      </c>
    </row>
    <row r="5218" spans="1:13" hidden="1">
      <c r="A5218" t="s">
        <v>168</v>
      </c>
      <c r="B5218" t="s">
        <v>8</v>
      </c>
      <c r="C5218" t="s">
        <v>23</v>
      </c>
      <c r="D5218" t="str">
        <f t="shared" ref="D5218:D5241" si="4">LEFT(M5218,10)</f>
        <v>12/15/2024</v>
      </c>
      <c r="E5218" t="s">
        <v>234</v>
      </c>
      <c r="F5218" t="s">
        <v>234</v>
      </c>
      <c r="I5218">
        <v>75790</v>
      </c>
      <c r="M5218" t="s">
        <v>205</v>
      </c>
    </row>
    <row r="5219" spans="1:13" hidden="1">
      <c r="A5219" t="s">
        <v>168</v>
      </c>
      <c r="B5219" t="s">
        <v>8</v>
      </c>
      <c r="C5219" t="s">
        <v>23</v>
      </c>
      <c r="D5219" t="str">
        <f t="shared" si="4"/>
        <v>12/15/2024</v>
      </c>
      <c r="E5219" t="s">
        <v>202</v>
      </c>
      <c r="F5219" t="s">
        <v>203</v>
      </c>
      <c r="G5219" t="s">
        <v>204</v>
      </c>
      <c r="I5219">
        <v>859</v>
      </c>
      <c r="J5219">
        <v>8159.55</v>
      </c>
      <c r="K5219">
        <v>9.11</v>
      </c>
      <c r="M5219" t="s">
        <v>205</v>
      </c>
    </row>
    <row r="5220" spans="1:13" hidden="1">
      <c r="A5220" t="s">
        <v>168</v>
      </c>
      <c r="B5220" t="s">
        <v>8</v>
      </c>
      <c r="C5220" t="s">
        <v>23</v>
      </c>
      <c r="D5220" t="str">
        <f t="shared" si="4"/>
        <v>12/15/2024</v>
      </c>
      <c r="E5220" t="s">
        <v>202</v>
      </c>
      <c r="F5220" t="s">
        <v>203</v>
      </c>
      <c r="G5220" t="s">
        <v>208</v>
      </c>
      <c r="I5220">
        <v>349</v>
      </c>
      <c r="J5220">
        <v>3493</v>
      </c>
      <c r="K5220">
        <v>9.5</v>
      </c>
      <c r="M5220" t="s">
        <v>205</v>
      </c>
    </row>
    <row r="5221" spans="1:13" hidden="1">
      <c r="A5221" t="s">
        <v>168</v>
      </c>
      <c r="B5221" t="s">
        <v>8</v>
      </c>
      <c r="C5221" t="s">
        <v>23</v>
      </c>
      <c r="D5221" t="str">
        <f t="shared" si="4"/>
        <v>12/15/2024</v>
      </c>
      <c r="E5221" t="s">
        <v>202</v>
      </c>
      <c r="F5221" t="s">
        <v>203</v>
      </c>
      <c r="G5221" t="s">
        <v>260</v>
      </c>
      <c r="I5221">
        <v>17</v>
      </c>
      <c r="J5221">
        <v>688.8</v>
      </c>
      <c r="K5221">
        <v>14.01</v>
      </c>
      <c r="M5221" t="s">
        <v>205</v>
      </c>
    </row>
    <row r="5222" spans="1:13" hidden="1">
      <c r="A5222" t="s">
        <v>168</v>
      </c>
      <c r="B5222" t="s">
        <v>8</v>
      </c>
      <c r="C5222" t="s">
        <v>23</v>
      </c>
      <c r="D5222" t="str">
        <f t="shared" si="4"/>
        <v>12/15/2024</v>
      </c>
      <c r="E5222" t="s">
        <v>202</v>
      </c>
      <c r="F5222" t="s">
        <v>218</v>
      </c>
      <c r="G5222" t="s">
        <v>220</v>
      </c>
      <c r="I5222">
        <v>2254</v>
      </c>
      <c r="J5222">
        <v>3381</v>
      </c>
      <c r="K5222">
        <v>1.5</v>
      </c>
      <c r="M5222" t="s">
        <v>205</v>
      </c>
    </row>
    <row r="5223" spans="1:13" hidden="1">
      <c r="A5223" t="s">
        <v>168</v>
      </c>
      <c r="B5223" t="s">
        <v>8</v>
      </c>
      <c r="C5223" t="s">
        <v>23</v>
      </c>
      <c r="D5223" t="str">
        <f t="shared" si="4"/>
        <v>12/15/2024</v>
      </c>
      <c r="E5223" t="s">
        <v>202</v>
      </c>
      <c r="F5223" t="s">
        <v>227</v>
      </c>
      <c r="G5223" t="s">
        <v>237</v>
      </c>
      <c r="I5223">
        <v>7807</v>
      </c>
      <c r="J5223">
        <v>4684.2</v>
      </c>
      <c r="K5223">
        <v>0.2</v>
      </c>
      <c r="M5223" t="s">
        <v>205</v>
      </c>
    </row>
    <row r="5224" spans="1:13" hidden="1">
      <c r="A5224" t="s">
        <v>168</v>
      </c>
      <c r="B5224" t="s">
        <v>8</v>
      </c>
      <c r="C5224" t="s">
        <v>23</v>
      </c>
      <c r="D5224" t="str">
        <f t="shared" si="4"/>
        <v>12/15/2024</v>
      </c>
      <c r="E5224" t="s">
        <v>202</v>
      </c>
      <c r="F5224" t="s">
        <v>227</v>
      </c>
      <c r="G5224" t="s">
        <v>238</v>
      </c>
      <c r="I5224">
        <v>522</v>
      </c>
      <c r="J5224">
        <v>182.7</v>
      </c>
      <c r="K5224">
        <v>0.52</v>
      </c>
      <c r="M5224" t="s">
        <v>205</v>
      </c>
    </row>
    <row r="5225" spans="1:13" hidden="1">
      <c r="A5225" t="s">
        <v>168</v>
      </c>
      <c r="B5225" t="s">
        <v>8</v>
      </c>
      <c r="C5225" t="s">
        <v>23</v>
      </c>
      <c r="D5225" t="str">
        <f t="shared" si="4"/>
        <v>12/15/2024</v>
      </c>
      <c r="E5225" t="s">
        <v>202</v>
      </c>
      <c r="F5225" t="s">
        <v>227</v>
      </c>
      <c r="G5225" t="s">
        <v>228</v>
      </c>
      <c r="I5225">
        <v>2850</v>
      </c>
      <c r="J5225">
        <v>979.2</v>
      </c>
      <c r="K5225">
        <v>0.26</v>
      </c>
      <c r="M5225" t="s">
        <v>205</v>
      </c>
    </row>
    <row r="5226" spans="1:13" hidden="1">
      <c r="A5226" t="s">
        <v>168</v>
      </c>
      <c r="B5226" t="s">
        <v>8</v>
      </c>
      <c r="C5226" t="s">
        <v>23</v>
      </c>
      <c r="D5226" t="str">
        <f t="shared" si="4"/>
        <v>12/15/2024</v>
      </c>
      <c r="E5226" t="s">
        <v>202</v>
      </c>
      <c r="F5226" t="s">
        <v>227</v>
      </c>
      <c r="G5226" t="s">
        <v>229</v>
      </c>
      <c r="I5226">
        <v>62318</v>
      </c>
      <c r="J5226">
        <v>36726.19</v>
      </c>
      <c r="K5226">
        <v>0.25</v>
      </c>
      <c r="M5226" t="s">
        <v>205</v>
      </c>
    </row>
    <row r="5227" spans="1:13" hidden="1">
      <c r="A5227" t="s">
        <v>168</v>
      </c>
      <c r="B5227" t="s">
        <v>8</v>
      </c>
      <c r="C5227" t="s">
        <v>23</v>
      </c>
      <c r="D5227" t="str">
        <f t="shared" si="4"/>
        <v>12/15/2024</v>
      </c>
      <c r="E5227" t="s">
        <v>202</v>
      </c>
      <c r="F5227" t="s">
        <v>218</v>
      </c>
      <c r="G5227" t="s">
        <v>221</v>
      </c>
      <c r="I5227">
        <v>710</v>
      </c>
      <c r="J5227">
        <v>1799.1</v>
      </c>
      <c r="K5227">
        <v>0.46</v>
      </c>
      <c r="M5227" t="s">
        <v>205</v>
      </c>
    </row>
    <row r="5228" spans="1:13" hidden="1">
      <c r="A5228" t="s">
        <v>168</v>
      </c>
      <c r="B5228" t="s">
        <v>8</v>
      </c>
      <c r="C5228" t="s">
        <v>23</v>
      </c>
      <c r="D5228" t="str">
        <f t="shared" si="4"/>
        <v>12/15/2024</v>
      </c>
      <c r="E5228" t="s">
        <v>202</v>
      </c>
      <c r="F5228" t="s">
        <v>218</v>
      </c>
      <c r="G5228" t="s">
        <v>240</v>
      </c>
      <c r="I5228">
        <v>5258</v>
      </c>
      <c r="J5228">
        <v>21032</v>
      </c>
      <c r="K5228">
        <v>2.5299999999999998</v>
      </c>
      <c r="M5228" t="s">
        <v>205</v>
      </c>
    </row>
    <row r="5229" spans="1:13" hidden="1">
      <c r="A5229" t="s">
        <v>168</v>
      </c>
      <c r="B5229" t="s">
        <v>8</v>
      </c>
      <c r="C5229" t="s">
        <v>23</v>
      </c>
      <c r="D5229" t="str">
        <f t="shared" si="4"/>
        <v>12/15/2024</v>
      </c>
      <c r="E5229" t="s">
        <v>202</v>
      </c>
      <c r="F5229" t="s">
        <v>218</v>
      </c>
      <c r="G5229" t="s">
        <v>222</v>
      </c>
      <c r="I5229">
        <v>910</v>
      </c>
      <c r="J5229">
        <v>1245.7</v>
      </c>
      <c r="K5229">
        <v>4</v>
      </c>
      <c r="M5229" t="s">
        <v>205</v>
      </c>
    </row>
    <row r="5230" spans="1:13" hidden="1">
      <c r="A5230" t="s">
        <v>168</v>
      </c>
      <c r="B5230" t="s">
        <v>8</v>
      </c>
      <c r="C5230" t="s">
        <v>23</v>
      </c>
      <c r="D5230" t="str">
        <f t="shared" si="4"/>
        <v>12/15/2024</v>
      </c>
      <c r="E5230" t="s">
        <v>202</v>
      </c>
      <c r="F5230" t="s">
        <v>218</v>
      </c>
      <c r="G5230" t="s">
        <v>226</v>
      </c>
      <c r="I5230">
        <v>875</v>
      </c>
      <c r="J5230">
        <v>262.5</v>
      </c>
      <c r="K5230">
        <v>1.41</v>
      </c>
      <c r="M5230" t="s">
        <v>205</v>
      </c>
    </row>
    <row r="5231" spans="1:13" hidden="1">
      <c r="A5231" t="s">
        <v>168</v>
      </c>
      <c r="B5231" t="s">
        <v>8</v>
      </c>
      <c r="C5231" t="s">
        <v>23</v>
      </c>
      <c r="D5231" t="str">
        <f t="shared" si="4"/>
        <v>12/15/2024</v>
      </c>
      <c r="E5231" t="s">
        <v>202</v>
      </c>
      <c r="F5231" t="s">
        <v>218</v>
      </c>
      <c r="G5231" t="s">
        <v>223</v>
      </c>
      <c r="I5231">
        <v>7821</v>
      </c>
      <c r="J5231">
        <v>6118.1</v>
      </c>
      <c r="K5231">
        <v>1</v>
      </c>
      <c r="M5231" t="s">
        <v>205</v>
      </c>
    </row>
    <row r="5232" spans="1:13" hidden="1">
      <c r="A5232" t="s">
        <v>168</v>
      </c>
      <c r="B5232" t="s">
        <v>8</v>
      </c>
      <c r="C5232" t="s">
        <v>23</v>
      </c>
      <c r="D5232" t="str">
        <f t="shared" si="4"/>
        <v>12/15/2024</v>
      </c>
      <c r="E5232" t="s">
        <v>202</v>
      </c>
      <c r="F5232" t="s">
        <v>203</v>
      </c>
      <c r="G5232" t="s">
        <v>236</v>
      </c>
      <c r="I5232">
        <v>11110</v>
      </c>
      <c r="J5232">
        <v>6345</v>
      </c>
      <c r="K5232">
        <v>0.3</v>
      </c>
      <c r="M5232" t="s">
        <v>205</v>
      </c>
    </row>
    <row r="5233" spans="1:13" hidden="1">
      <c r="A5233" t="s">
        <v>168</v>
      </c>
      <c r="B5233" t="s">
        <v>8</v>
      </c>
      <c r="C5233" t="s">
        <v>23</v>
      </c>
      <c r="D5233" t="str">
        <f t="shared" si="4"/>
        <v>12/15/2024</v>
      </c>
      <c r="E5233" t="s">
        <v>202</v>
      </c>
      <c r="F5233" t="s">
        <v>227</v>
      </c>
      <c r="G5233" t="s">
        <v>252</v>
      </c>
      <c r="I5233">
        <v>620</v>
      </c>
      <c r="J5233">
        <v>186</v>
      </c>
      <c r="K5233">
        <v>0.78</v>
      </c>
      <c r="M5233" t="s">
        <v>205</v>
      </c>
    </row>
    <row r="5234" spans="1:13" hidden="1">
      <c r="A5234" t="s">
        <v>168</v>
      </c>
      <c r="B5234" t="s">
        <v>8</v>
      </c>
      <c r="C5234" t="s">
        <v>23</v>
      </c>
      <c r="D5234" t="str">
        <f t="shared" si="4"/>
        <v>12/15/2024</v>
      </c>
      <c r="E5234" t="s">
        <v>202</v>
      </c>
      <c r="F5234" t="s">
        <v>216</v>
      </c>
      <c r="G5234" t="s">
        <v>253</v>
      </c>
      <c r="I5234">
        <v>38150</v>
      </c>
      <c r="J5234">
        <v>7401</v>
      </c>
      <c r="K5234">
        <v>0.31</v>
      </c>
      <c r="M5234" t="s">
        <v>205</v>
      </c>
    </row>
    <row r="5235" spans="1:13" hidden="1">
      <c r="A5235" t="s">
        <v>168</v>
      </c>
      <c r="B5235" t="s">
        <v>8</v>
      </c>
      <c r="C5235" t="s">
        <v>23</v>
      </c>
      <c r="D5235" t="str">
        <f t="shared" si="4"/>
        <v>12/15/2024</v>
      </c>
      <c r="E5235" t="s">
        <v>202</v>
      </c>
      <c r="F5235" t="s">
        <v>203</v>
      </c>
      <c r="G5235" t="s">
        <v>207</v>
      </c>
      <c r="I5235">
        <v>437</v>
      </c>
      <c r="J5235">
        <v>2083.5</v>
      </c>
      <c r="K5235">
        <v>0.3</v>
      </c>
      <c r="M5235" t="s">
        <v>205</v>
      </c>
    </row>
    <row r="5236" spans="1:13" hidden="1">
      <c r="A5236" t="s">
        <v>168</v>
      </c>
      <c r="B5236" t="s">
        <v>8</v>
      </c>
      <c r="C5236" t="s">
        <v>23</v>
      </c>
      <c r="D5236" t="str">
        <f t="shared" si="4"/>
        <v>12/15/2024</v>
      </c>
      <c r="E5236" t="s">
        <v>202</v>
      </c>
      <c r="F5236" t="s">
        <v>209</v>
      </c>
      <c r="G5236" t="s">
        <v>210</v>
      </c>
      <c r="I5236">
        <v>45</v>
      </c>
      <c r="J5236">
        <v>133.5</v>
      </c>
      <c r="K5236">
        <v>0.49</v>
      </c>
      <c r="M5236" t="s">
        <v>205</v>
      </c>
    </row>
    <row r="5237" spans="1:13" hidden="1">
      <c r="A5237" t="s">
        <v>168</v>
      </c>
      <c r="B5237" t="s">
        <v>8</v>
      </c>
      <c r="C5237" t="s">
        <v>23</v>
      </c>
      <c r="D5237" t="str">
        <f t="shared" si="4"/>
        <v>12/15/2024</v>
      </c>
      <c r="E5237" t="s">
        <v>202</v>
      </c>
      <c r="F5237" t="s">
        <v>209</v>
      </c>
      <c r="G5237" t="s">
        <v>310</v>
      </c>
      <c r="I5237">
        <v>130</v>
      </c>
      <c r="J5237">
        <v>260</v>
      </c>
      <c r="K5237">
        <v>0.2</v>
      </c>
      <c r="M5237" t="s">
        <v>205</v>
      </c>
    </row>
    <row r="5238" spans="1:13" hidden="1">
      <c r="A5238" t="s">
        <v>168</v>
      </c>
      <c r="B5238" t="s">
        <v>8</v>
      </c>
      <c r="C5238" t="s">
        <v>23</v>
      </c>
      <c r="D5238" t="str">
        <f t="shared" si="4"/>
        <v>12/15/2024</v>
      </c>
      <c r="E5238" t="s">
        <v>202</v>
      </c>
      <c r="F5238" t="s">
        <v>209</v>
      </c>
      <c r="G5238" t="s">
        <v>341</v>
      </c>
      <c r="I5238">
        <v>23</v>
      </c>
      <c r="J5238">
        <v>652.4</v>
      </c>
      <c r="K5238">
        <v>4.5</v>
      </c>
      <c r="M5238" t="s">
        <v>205</v>
      </c>
    </row>
    <row r="5239" spans="1:13" hidden="1">
      <c r="A5239" t="s">
        <v>168</v>
      </c>
      <c r="B5239" t="s">
        <v>8</v>
      </c>
      <c r="C5239" t="s">
        <v>23</v>
      </c>
      <c r="D5239" t="str">
        <f t="shared" si="4"/>
        <v>12/15/2024</v>
      </c>
      <c r="E5239" t="s">
        <v>202</v>
      </c>
      <c r="F5239" t="s">
        <v>209</v>
      </c>
      <c r="G5239" t="s">
        <v>214</v>
      </c>
      <c r="I5239">
        <v>633</v>
      </c>
      <c r="J5239">
        <v>1489.66</v>
      </c>
      <c r="K5239">
        <v>1.61</v>
      </c>
      <c r="M5239" t="s">
        <v>205</v>
      </c>
    </row>
    <row r="5240" spans="1:13" hidden="1">
      <c r="A5240" t="s">
        <v>168</v>
      </c>
      <c r="B5240" t="s">
        <v>8</v>
      </c>
      <c r="C5240" t="s">
        <v>23</v>
      </c>
      <c r="D5240" t="str">
        <f t="shared" si="4"/>
        <v>12/15/2024</v>
      </c>
      <c r="E5240" t="s">
        <v>202</v>
      </c>
      <c r="F5240" t="s">
        <v>203</v>
      </c>
      <c r="G5240" t="s">
        <v>261</v>
      </c>
      <c r="I5240">
        <v>357</v>
      </c>
      <c r="J5240">
        <v>4461.3599999999997</v>
      </c>
      <c r="K5240">
        <v>6.61</v>
      </c>
      <c r="M5240" t="s">
        <v>205</v>
      </c>
    </row>
    <row r="5241" spans="1:13" hidden="1">
      <c r="A5241" t="s">
        <v>168</v>
      </c>
      <c r="B5241" t="s">
        <v>8</v>
      </c>
      <c r="C5241" t="s">
        <v>23</v>
      </c>
      <c r="D5241" t="str">
        <f t="shared" si="4"/>
        <v>12/15/2024</v>
      </c>
      <c r="E5241" t="s">
        <v>202</v>
      </c>
      <c r="F5241" t="s">
        <v>203</v>
      </c>
      <c r="G5241" t="s">
        <v>215</v>
      </c>
      <c r="I5241">
        <v>5010</v>
      </c>
      <c r="J5241">
        <v>2505</v>
      </c>
      <c r="K5241">
        <v>0.7</v>
      </c>
      <c r="M5241" t="s">
        <v>205</v>
      </c>
    </row>
    <row r="5242" spans="1:13" hidden="1">
      <c r="A5242" t="s">
        <v>168</v>
      </c>
      <c r="B5242" t="s">
        <v>8</v>
      </c>
      <c r="C5242" t="s">
        <v>23</v>
      </c>
      <c r="D5242" t="str">
        <f>LEFT(M5242,9)</f>
        <v>1/15/2025</v>
      </c>
      <c r="E5242" t="s">
        <v>202</v>
      </c>
      <c r="F5242" t="s">
        <v>203</v>
      </c>
      <c r="G5242" t="s">
        <v>259</v>
      </c>
      <c r="I5242">
        <v>55</v>
      </c>
      <c r="J5242">
        <v>1099.8</v>
      </c>
      <c r="K5242">
        <v>20</v>
      </c>
      <c r="M5242" t="s">
        <v>516</v>
      </c>
    </row>
    <row r="5243" spans="1:13" hidden="1">
      <c r="A5243" t="s">
        <v>168</v>
      </c>
      <c r="B5243" t="s">
        <v>8</v>
      </c>
      <c r="C5243" t="s">
        <v>23</v>
      </c>
      <c r="D5243" t="str">
        <f>LEFT(M5243,9)</f>
        <v>1/15/2025</v>
      </c>
      <c r="E5243" t="s">
        <v>202</v>
      </c>
      <c r="F5243" t="s">
        <v>218</v>
      </c>
      <c r="G5243" t="s">
        <v>242</v>
      </c>
      <c r="I5243">
        <v>215</v>
      </c>
      <c r="J5243">
        <v>215</v>
      </c>
      <c r="K5243">
        <v>1</v>
      </c>
      <c r="M5243" t="s">
        <v>516</v>
      </c>
    </row>
    <row r="5244" spans="1:13" hidden="1">
      <c r="A5244" t="s">
        <v>65</v>
      </c>
      <c r="B5244" t="s">
        <v>8</v>
      </c>
      <c r="C5244" t="s">
        <v>64</v>
      </c>
      <c r="D5244" t="str">
        <f>LEFT(M5244,9)</f>
        <v>1/15/2025</v>
      </c>
      <c r="E5244" t="s">
        <v>202</v>
      </c>
      <c r="F5244" t="s">
        <v>218</v>
      </c>
      <c r="G5244" t="s">
        <v>241</v>
      </c>
      <c r="I5244">
        <v>18</v>
      </c>
      <c r="J5244">
        <v>32.4</v>
      </c>
      <c r="K5244">
        <v>1.8</v>
      </c>
      <c r="M5244" t="s">
        <v>516</v>
      </c>
    </row>
    <row r="5245" spans="1:13" hidden="1">
      <c r="A5245" t="s">
        <v>65</v>
      </c>
      <c r="B5245" t="s">
        <v>8</v>
      </c>
      <c r="C5245" t="s">
        <v>64</v>
      </c>
      <c r="D5245" t="str">
        <f>LEFT(M5245,9)</f>
        <v>1/15/2025</v>
      </c>
      <c r="E5245" t="s">
        <v>202</v>
      </c>
      <c r="F5245" t="s">
        <v>218</v>
      </c>
      <c r="G5245" t="s">
        <v>221</v>
      </c>
      <c r="I5245">
        <v>123</v>
      </c>
      <c r="J5245">
        <v>123</v>
      </c>
      <c r="K5245">
        <v>1</v>
      </c>
      <c r="M5245" t="s">
        <v>516</v>
      </c>
    </row>
    <row r="5246" spans="1:13" hidden="1">
      <c r="A5246" t="s">
        <v>65</v>
      </c>
      <c r="B5246" t="s">
        <v>8</v>
      </c>
      <c r="C5246" t="s">
        <v>64</v>
      </c>
      <c r="D5246" t="str">
        <f>LEFT(M5246,9)</f>
        <v>1/15/2025</v>
      </c>
      <c r="E5246" t="s">
        <v>202</v>
      </c>
      <c r="F5246" t="s">
        <v>218</v>
      </c>
      <c r="G5246" t="s">
        <v>240</v>
      </c>
      <c r="I5246">
        <v>257</v>
      </c>
      <c r="J5246">
        <v>257</v>
      </c>
      <c r="K5246">
        <v>1</v>
      </c>
      <c r="M5246" t="s">
        <v>516</v>
      </c>
    </row>
    <row r="5247" spans="1:13" hidden="1">
      <c r="A5247" t="s">
        <v>65</v>
      </c>
      <c r="B5247" t="s">
        <v>8</v>
      </c>
      <c r="C5247" t="s">
        <v>64</v>
      </c>
      <c r="D5247" t="str">
        <f>LEFT(M5247,9)</f>
        <v>1/15/2025</v>
      </c>
      <c r="E5247" t="s">
        <v>202</v>
      </c>
      <c r="F5247" t="s">
        <v>203</v>
      </c>
      <c r="G5247" t="s">
        <v>204</v>
      </c>
      <c r="I5247">
        <v>228</v>
      </c>
      <c r="J5247">
        <v>2394</v>
      </c>
      <c r="K5247">
        <v>10.5</v>
      </c>
      <c r="M5247" t="s">
        <v>516</v>
      </c>
    </row>
    <row r="5248" spans="1:13" hidden="1">
      <c r="A5248" t="s">
        <v>65</v>
      </c>
      <c r="B5248" t="s">
        <v>8</v>
      </c>
      <c r="C5248" t="s">
        <v>64</v>
      </c>
      <c r="D5248" t="str">
        <f>LEFT(M5248,9)</f>
        <v>1/15/2025</v>
      </c>
      <c r="E5248" t="s">
        <v>202</v>
      </c>
      <c r="F5248" t="s">
        <v>218</v>
      </c>
      <c r="G5248" t="s">
        <v>240</v>
      </c>
      <c r="I5248">
        <v>50</v>
      </c>
      <c r="J5248">
        <v>90</v>
      </c>
      <c r="K5248">
        <v>1.8</v>
      </c>
      <c r="M5248" t="s">
        <v>516</v>
      </c>
    </row>
    <row r="5249" spans="1:13" hidden="1">
      <c r="A5249" t="s">
        <v>65</v>
      </c>
      <c r="B5249" t="s">
        <v>8</v>
      </c>
      <c r="C5249" t="s">
        <v>64</v>
      </c>
      <c r="D5249" t="str">
        <f>LEFT(M5249,9)</f>
        <v>1/15/2025</v>
      </c>
      <c r="E5249" t="s">
        <v>202</v>
      </c>
      <c r="F5249" t="s">
        <v>218</v>
      </c>
      <c r="G5249" t="s">
        <v>222</v>
      </c>
      <c r="I5249">
        <v>212</v>
      </c>
      <c r="J5249">
        <v>106</v>
      </c>
      <c r="K5249">
        <v>0.5</v>
      </c>
      <c r="M5249" t="s">
        <v>516</v>
      </c>
    </row>
    <row r="5250" spans="1:13" hidden="1">
      <c r="A5250" t="s">
        <v>65</v>
      </c>
      <c r="B5250" t="s">
        <v>8</v>
      </c>
      <c r="C5250" t="s">
        <v>64</v>
      </c>
      <c r="D5250" t="str">
        <f>LEFT(M5250,9)</f>
        <v>1/15/2025</v>
      </c>
      <c r="E5250" t="s">
        <v>202</v>
      </c>
      <c r="F5250" t="s">
        <v>218</v>
      </c>
      <c r="G5250" t="s">
        <v>243</v>
      </c>
      <c r="H5250" t="s">
        <v>563</v>
      </c>
      <c r="I5250">
        <v>89</v>
      </c>
      <c r="J5250">
        <v>8.9</v>
      </c>
      <c r="K5250">
        <v>0.1</v>
      </c>
      <c r="M5250" t="s">
        <v>516</v>
      </c>
    </row>
    <row r="5251" spans="1:13" hidden="1">
      <c r="A5251" t="s">
        <v>65</v>
      </c>
      <c r="B5251" t="s">
        <v>8</v>
      </c>
      <c r="C5251" t="s">
        <v>64</v>
      </c>
      <c r="D5251" t="str">
        <f>LEFT(M5251,9)</f>
        <v>1/15/2025</v>
      </c>
      <c r="E5251" t="s">
        <v>202</v>
      </c>
      <c r="F5251" t="s">
        <v>218</v>
      </c>
      <c r="G5251" t="s">
        <v>223</v>
      </c>
      <c r="I5251">
        <v>61</v>
      </c>
      <c r="J5251">
        <v>24.4</v>
      </c>
      <c r="K5251">
        <v>0.4</v>
      </c>
      <c r="M5251" t="s">
        <v>516</v>
      </c>
    </row>
    <row r="5252" spans="1:13" hidden="1">
      <c r="A5252" t="s">
        <v>65</v>
      </c>
      <c r="B5252" t="s">
        <v>8</v>
      </c>
      <c r="C5252" t="s">
        <v>64</v>
      </c>
      <c r="D5252" t="str">
        <f>LEFT(M5252,9)</f>
        <v>1/15/2025</v>
      </c>
      <c r="E5252" t="s">
        <v>202</v>
      </c>
      <c r="F5252" t="s">
        <v>218</v>
      </c>
      <c r="G5252" t="s">
        <v>241</v>
      </c>
      <c r="I5252">
        <v>40</v>
      </c>
      <c r="J5252">
        <v>4</v>
      </c>
      <c r="K5252">
        <v>0.1</v>
      </c>
      <c r="M5252" t="s">
        <v>516</v>
      </c>
    </row>
    <row r="5253" spans="1:13" hidden="1">
      <c r="A5253" t="s">
        <v>65</v>
      </c>
      <c r="B5253" t="s">
        <v>8</v>
      </c>
      <c r="C5253" t="s">
        <v>64</v>
      </c>
      <c r="D5253" t="str">
        <f>LEFT(M5253,9)</f>
        <v>1/15/2025</v>
      </c>
      <c r="E5253" t="s">
        <v>202</v>
      </c>
      <c r="F5253" t="s">
        <v>218</v>
      </c>
      <c r="G5253" t="s">
        <v>240</v>
      </c>
      <c r="I5253">
        <v>7</v>
      </c>
      <c r="J5253">
        <v>4.9000000000000004</v>
      </c>
      <c r="K5253">
        <v>0.7</v>
      </c>
      <c r="M5253" t="s">
        <v>516</v>
      </c>
    </row>
    <row r="5254" spans="1:13" hidden="1">
      <c r="A5254" t="s">
        <v>65</v>
      </c>
      <c r="B5254" t="s">
        <v>8</v>
      </c>
      <c r="C5254" t="s">
        <v>64</v>
      </c>
      <c r="D5254" t="str">
        <f>LEFT(M5254,9)</f>
        <v>1/15/2025</v>
      </c>
      <c r="E5254" t="s">
        <v>202</v>
      </c>
      <c r="F5254" t="s">
        <v>218</v>
      </c>
      <c r="G5254" t="s">
        <v>223</v>
      </c>
      <c r="I5254">
        <v>850</v>
      </c>
      <c r="J5254">
        <v>552.5</v>
      </c>
      <c r="K5254">
        <v>0.65</v>
      </c>
      <c r="M5254" t="s">
        <v>516</v>
      </c>
    </row>
    <row r="5255" spans="1:13" hidden="1">
      <c r="A5255" t="s">
        <v>65</v>
      </c>
      <c r="B5255" t="s">
        <v>8</v>
      </c>
      <c r="C5255" t="s">
        <v>64</v>
      </c>
      <c r="D5255" t="str">
        <f>LEFT(M5255,9)</f>
        <v>1/15/2025</v>
      </c>
      <c r="E5255" t="s">
        <v>232</v>
      </c>
      <c r="F5255" t="s">
        <v>250</v>
      </c>
      <c r="I5255">
        <v>0</v>
      </c>
      <c r="J5255">
        <v>800</v>
      </c>
      <c r="M5255" t="s">
        <v>516</v>
      </c>
    </row>
    <row r="5256" spans="1:13" hidden="1">
      <c r="A5256" t="s">
        <v>65</v>
      </c>
      <c r="B5256" t="s">
        <v>8</v>
      </c>
      <c r="C5256" t="s">
        <v>64</v>
      </c>
      <c r="D5256" t="str">
        <f>LEFT(M5256,9)</f>
        <v>1/15/2025</v>
      </c>
      <c r="E5256" t="s">
        <v>232</v>
      </c>
      <c r="F5256" t="s">
        <v>262</v>
      </c>
      <c r="I5256">
        <v>0</v>
      </c>
      <c r="J5256">
        <v>480</v>
      </c>
      <c r="M5256" t="s">
        <v>516</v>
      </c>
    </row>
    <row r="5257" spans="1:13" hidden="1">
      <c r="A5257" t="s">
        <v>180</v>
      </c>
      <c r="B5257" t="s">
        <v>8</v>
      </c>
      <c r="C5257" t="s">
        <v>179</v>
      </c>
      <c r="D5257" t="str">
        <f>LEFT(M5257,9)</f>
        <v>1/15/2025</v>
      </c>
      <c r="E5257" t="s">
        <v>232</v>
      </c>
      <c r="F5257" t="s">
        <v>255</v>
      </c>
      <c r="I5257">
        <v>0</v>
      </c>
      <c r="J5257">
        <v>36</v>
      </c>
      <c r="L5257" t="s">
        <v>564</v>
      </c>
      <c r="M5257" t="s">
        <v>516</v>
      </c>
    </row>
    <row r="5258" spans="1:13" hidden="1">
      <c r="A5258" t="s">
        <v>180</v>
      </c>
      <c r="B5258" t="s">
        <v>8</v>
      </c>
      <c r="C5258" t="s">
        <v>179</v>
      </c>
      <c r="D5258" t="str">
        <f>LEFT(M5258,9)</f>
        <v>1/15/2025</v>
      </c>
      <c r="E5258" t="s">
        <v>202</v>
      </c>
      <c r="F5258" t="s">
        <v>203</v>
      </c>
      <c r="G5258" t="s">
        <v>215</v>
      </c>
      <c r="I5258">
        <v>2331</v>
      </c>
      <c r="J5258">
        <v>1398.6</v>
      </c>
      <c r="K5258">
        <v>0.6</v>
      </c>
      <c r="M5258" t="s">
        <v>516</v>
      </c>
    </row>
    <row r="5259" spans="1:13" hidden="1">
      <c r="A5259" t="s">
        <v>180</v>
      </c>
      <c r="B5259" t="s">
        <v>8</v>
      </c>
      <c r="C5259" t="s">
        <v>179</v>
      </c>
      <c r="D5259" t="str">
        <f>LEFT(M5259,9)</f>
        <v>1/15/2025</v>
      </c>
      <c r="E5259" t="s">
        <v>202</v>
      </c>
      <c r="F5259" t="s">
        <v>227</v>
      </c>
      <c r="G5259" t="s">
        <v>252</v>
      </c>
      <c r="I5259">
        <v>997</v>
      </c>
      <c r="J5259">
        <v>199.4</v>
      </c>
      <c r="K5259">
        <v>0.2</v>
      </c>
      <c r="M5259" t="s">
        <v>516</v>
      </c>
    </row>
    <row r="5260" spans="1:13" hidden="1">
      <c r="A5260" t="s">
        <v>180</v>
      </c>
      <c r="B5260" t="s">
        <v>8</v>
      </c>
      <c r="C5260" t="s">
        <v>179</v>
      </c>
      <c r="D5260" t="str">
        <f>LEFT(M5260,9)</f>
        <v>1/15/2025</v>
      </c>
      <c r="E5260" t="s">
        <v>202</v>
      </c>
      <c r="F5260" t="s">
        <v>227</v>
      </c>
      <c r="G5260" t="s">
        <v>228</v>
      </c>
      <c r="I5260">
        <v>4633</v>
      </c>
      <c r="J5260">
        <v>1065.5899999999999</v>
      </c>
      <c r="K5260">
        <v>0.23</v>
      </c>
      <c r="M5260" t="s">
        <v>516</v>
      </c>
    </row>
    <row r="5261" spans="1:13" hidden="1">
      <c r="A5261" t="s">
        <v>180</v>
      </c>
      <c r="B5261" t="s">
        <v>8</v>
      </c>
      <c r="C5261" t="s">
        <v>179</v>
      </c>
      <c r="D5261" t="str">
        <f>LEFT(M5261,9)</f>
        <v>1/15/2025</v>
      </c>
      <c r="E5261" t="s">
        <v>202</v>
      </c>
      <c r="F5261" t="s">
        <v>227</v>
      </c>
      <c r="G5261" t="s">
        <v>229</v>
      </c>
      <c r="I5261">
        <v>13561</v>
      </c>
      <c r="J5261">
        <v>8814.65</v>
      </c>
      <c r="K5261">
        <v>0.65</v>
      </c>
      <c r="M5261" t="s">
        <v>516</v>
      </c>
    </row>
    <row r="5262" spans="1:13" hidden="1">
      <c r="A5262" t="s">
        <v>180</v>
      </c>
      <c r="B5262" t="s">
        <v>8</v>
      </c>
      <c r="C5262" t="s">
        <v>179</v>
      </c>
      <c r="D5262" t="str">
        <f>LEFT(M5262,9)</f>
        <v>1/15/2025</v>
      </c>
      <c r="E5262" t="s">
        <v>202</v>
      </c>
      <c r="F5262" t="s">
        <v>227</v>
      </c>
      <c r="G5262" t="s">
        <v>238</v>
      </c>
      <c r="I5262">
        <v>656</v>
      </c>
      <c r="J5262">
        <v>131.19999999999999</v>
      </c>
      <c r="K5262">
        <v>0.2</v>
      </c>
      <c r="M5262" t="s">
        <v>516</v>
      </c>
    </row>
    <row r="5263" spans="1:13" hidden="1">
      <c r="A5263" t="s">
        <v>180</v>
      </c>
      <c r="B5263" t="s">
        <v>8</v>
      </c>
      <c r="C5263" t="s">
        <v>179</v>
      </c>
      <c r="D5263" t="str">
        <f>LEFT(M5263,9)</f>
        <v>1/15/2025</v>
      </c>
      <c r="E5263" t="s">
        <v>202</v>
      </c>
      <c r="F5263" t="s">
        <v>227</v>
      </c>
      <c r="G5263" t="s">
        <v>237</v>
      </c>
      <c r="I5263">
        <v>4035</v>
      </c>
      <c r="J5263">
        <v>2421</v>
      </c>
      <c r="K5263">
        <v>0.6</v>
      </c>
      <c r="M5263" t="s">
        <v>516</v>
      </c>
    </row>
    <row r="5264" spans="1:13" hidden="1">
      <c r="A5264" t="s">
        <v>180</v>
      </c>
      <c r="B5264" t="s">
        <v>8</v>
      </c>
      <c r="C5264" t="s">
        <v>179</v>
      </c>
      <c r="D5264" t="str">
        <f>LEFT(M5264,9)</f>
        <v>1/15/2025</v>
      </c>
      <c r="E5264" t="s">
        <v>202</v>
      </c>
      <c r="F5264" t="s">
        <v>218</v>
      </c>
      <c r="G5264" t="s">
        <v>223</v>
      </c>
      <c r="I5264">
        <v>2578</v>
      </c>
      <c r="J5264">
        <v>2216.8000000000002</v>
      </c>
      <c r="K5264">
        <v>0.86</v>
      </c>
      <c r="M5264" t="s">
        <v>516</v>
      </c>
    </row>
    <row r="5265" spans="1:13" hidden="1">
      <c r="A5265" t="s">
        <v>180</v>
      </c>
      <c r="B5265" t="s">
        <v>8</v>
      </c>
      <c r="C5265" t="s">
        <v>179</v>
      </c>
      <c r="D5265" t="str">
        <f>LEFT(M5265,9)</f>
        <v>1/15/2025</v>
      </c>
      <c r="E5265" t="s">
        <v>202</v>
      </c>
      <c r="F5265" t="s">
        <v>218</v>
      </c>
      <c r="G5265" t="s">
        <v>220</v>
      </c>
      <c r="I5265">
        <v>1057</v>
      </c>
      <c r="J5265">
        <v>1479.8</v>
      </c>
      <c r="K5265">
        <v>1.4</v>
      </c>
      <c r="M5265" t="s">
        <v>516</v>
      </c>
    </row>
    <row r="5266" spans="1:13" hidden="1">
      <c r="A5266" t="s">
        <v>180</v>
      </c>
      <c r="B5266" t="s">
        <v>8</v>
      </c>
      <c r="C5266" t="s">
        <v>179</v>
      </c>
      <c r="D5266" t="str">
        <f>LEFT(M5266,9)</f>
        <v>1/15/2025</v>
      </c>
      <c r="E5266" t="s">
        <v>202</v>
      </c>
      <c r="F5266" t="s">
        <v>218</v>
      </c>
      <c r="G5266" t="s">
        <v>221</v>
      </c>
      <c r="I5266">
        <v>762</v>
      </c>
      <c r="J5266">
        <v>1848.6</v>
      </c>
      <c r="K5266">
        <v>2.4300000000000002</v>
      </c>
      <c r="M5266" t="s">
        <v>516</v>
      </c>
    </row>
    <row r="5267" spans="1:13" hidden="1">
      <c r="A5267" t="s">
        <v>180</v>
      </c>
      <c r="B5267" t="s">
        <v>8</v>
      </c>
      <c r="C5267" t="s">
        <v>179</v>
      </c>
      <c r="D5267" t="str">
        <f>LEFT(M5267,9)</f>
        <v>1/15/2025</v>
      </c>
      <c r="E5267" t="s">
        <v>202</v>
      </c>
      <c r="F5267" t="s">
        <v>218</v>
      </c>
      <c r="G5267" t="s">
        <v>222</v>
      </c>
      <c r="I5267">
        <v>1630</v>
      </c>
      <c r="J5267">
        <v>1791.2</v>
      </c>
      <c r="K5267">
        <v>1.1000000000000001</v>
      </c>
      <c r="M5267" t="s">
        <v>516</v>
      </c>
    </row>
    <row r="5268" spans="1:13" hidden="1">
      <c r="A5268" t="s">
        <v>180</v>
      </c>
      <c r="B5268" t="s">
        <v>8</v>
      </c>
      <c r="C5268" t="s">
        <v>179</v>
      </c>
      <c r="D5268" t="str">
        <f>LEFT(M5268,9)</f>
        <v>1/15/2025</v>
      </c>
      <c r="E5268" t="s">
        <v>202</v>
      </c>
      <c r="F5268" t="s">
        <v>218</v>
      </c>
      <c r="G5268" t="s">
        <v>240</v>
      </c>
      <c r="I5268">
        <v>2680</v>
      </c>
      <c r="J5268">
        <v>8040</v>
      </c>
      <c r="K5268">
        <v>3</v>
      </c>
      <c r="M5268" t="s">
        <v>516</v>
      </c>
    </row>
    <row r="5269" spans="1:13" hidden="1">
      <c r="A5269" t="s">
        <v>180</v>
      </c>
      <c r="B5269" t="s">
        <v>8</v>
      </c>
      <c r="C5269" t="s">
        <v>179</v>
      </c>
      <c r="D5269" t="str">
        <f>LEFT(M5269,9)</f>
        <v>1/15/2025</v>
      </c>
      <c r="E5269" t="s">
        <v>202</v>
      </c>
      <c r="F5269" t="s">
        <v>218</v>
      </c>
      <c r="G5269" t="s">
        <v>224</v>
      </c>
      <c r="I5269">
        <v>631</v>
      </c>
      <c r="J5269">
        <v>504.8</v>
      </c>
      <c r="K5269">
        <v>0.8</v>
      </c>
      <c r="M5269" t="s">
        <v>516</v>
      </c>
    </row>
    <row r="5270" spans="1:13" hidden="1">
      <c r="A5270" t="s">
        <v>180</v>
      </c>
      <c r="B5270" t="s">
        <v>8</v>
      </c>
      <c r="C5270" t="s">
        <v>179</v>
      </c>
      <c r="D5270" t="str">
        <f>LEFT(M5270,9)</f>
        <v>1/15/2025</v>
      </c>
      <c r="E5270" t="s">
        <v>202</v>
      </c>
      <c r="F5270" t="s">
        <v>218</v>
      </c>
      <c r="G5270" t="s">
        <v>225</v>
      </c>
      <c r="I5270">
        <v>78</v>
      </c>
      <c r="J5270">
        <v>70.2</v>
      </c>
      <c r="K5270">
        <v>0.9</v>
      </c>
      <c r="M5270" t="s">
        <v>516</v>
      </c>
    </row>
    <row r="5271" spans="1:13" hidden="1">
      <c r="A5271" t="s">
        <v>180</v>
      </c>
      <c r="B5271" t="s">
        <v>8</v>
      </c>
      <c r="C5271" t="s">
        <v>179</v>
      </c>
      <c r="D5271" t="str">
        <f>LEFT(M5271,9)</f>
        <v>1/15/2025</v>
      </c>
      <c r="E5271" t="s">
        <v>202</v>
      </c>
      <c r="F5271" t="s">
        <v>218</v>
      </c>
      <c r="G5271" t="s">
        <v>267</v>
      </c>
      <c r="I5271">
        <v>680</v>
      </c>
      <c r="J5271">
        <v>136</v>
      </c>
      <c r="K5271">
        <v>0.2</v>
      </c>
      <c r="M5271" t="s">
        <v>516</v>
      </c>
    </row>
    <row r="5272" spans="1:13" hidden="1">
      <c r="A5272" t="s">
        <v>180</v>
      </c>
      <c r="B5272" t="s">
        <v>8</v>
      </c>
      <c r="C5272" t="s">
        <v>179</v>
      </c>
      <c r="D5272" t="str">
        <f>LEFT(M5272,9)</f>
        <v>1/15/2025</v>
      </c>
      <c r="E5272" t="s">
        <v>202</v>
      </c>
      <c r="F5272" t="s">
        <v>218</v>
      </c>
      <c r="G5272" t="s">
        <v>226</v>
      </c>
      <c r="I5272">
        <v>645</v>
      </c>
      <c r="J5272">
        <v>193.5</v>
      </c>
      <c r="K5272">
        <v>0.3</v>
      </c>
      <c r="M5272" t="s">
        <v>516</v>
      </c>
    </row>
    <row r="5273" spans="1:13" hidden="1">
      <c r="A5273" t="s">
        <v>180</v>
      </c>
      <c r="B5273" t="s">
        <v>8</v>
      </c>
      <c r="C5273" t="s">
        <v>179</v>
      </c>
      <c r="D5273" t="str">
        <f>LEFT(M5273,9)</f>
        <v>1/15/2025</v>
      </c>
      <c r="E5273" t="s">
        <v>202</v>
      </c>
      <c r="F5273" t="s">
        <v>218</v>
      </c>
      <c r="G5273" t="s">
        <v>219</v>
      </c>
      <c r="I5273">
        <v>197</v>
      </c>
      <c r="J5273">
        <v>591</v>
      </c>
      <c r="K5273">
        <v>3</v>
      </c>
      <c r="M5273" t="s">
        <v>516</v>
      </c>
    </row>
    <row r="5274" spans="1:13" hidden="1">
      <c r="A5274" t="s">
        <v>180</v>
      </c>
      <c r="B5274" t="s">
        <v>8</v>
      </c>
      <c r="C5274" t="s">
        <v>179</v>
      </c>
      <c r="D5274" t="str">
        <f>LEFT(M5274,9)</f>
        <v>1/15/2025</v>
      </c>
      <c r="E5274" t="s">
        <v>202</v>
      </c>
      <c r="F5274" t="s">
        <v>209</v>
      </c>
      <c r="G5274" t="s">
        <v>214</v>
      </c>
      <c r="I5274">
        <v>840.25</v>
      </c>
      <c r="J5274">
        <v>666.27</v>
      </c>
      <c r="K5274">
        <v>0.79</v>
      </c>
      <c r="M5274" t="s">
        <v>516</v>
      </c>
    </row>
    <row r="5275" spans="1:13" hidden="1">
      <c r="A5275" t="s">
        <v>180</v>
      </c>
      <c r="B5275" t="s">
        <v>8</v>
      </c>
      <c r="C5275" t="s">
        <v>179</v>
      </c>
      <c r="D5275" t="str">
        <f>LEFT(M5275,9)</f>
        <v>1/15/2025</v>
      </c>
      <c r="E5275" t="s">
        <v>202</v>
      </c>
      <c r="F5275" t="s">
        <v>203</v>
      </c>
      <c r="G5275" t="s">
        <v>204</v>
      </c>
      <c r="I5275">
        <v>586.5</v>
      </c>
      <c r="J5275">
        <v>4927</v>
      </c>
      <c r="K5275">
        <v>8.4</v>
      </c>
      <c r="M5275" t="s">
        <v>516</v>
      </c>
    </row>
    <row r="5276" spans="1:13" hidden="1">
      <c r="A5276" t="s">
        <v>180</v>
      </c>
      <c r="B5276" t="s">
        <v>8</v>
      </c>
      <c r="C5276" t="s">
        <v>179</v>
      </c>
      <c r="D5276" t="str">
        <f>LEFT(M5276,9)</f>
        <v>1/15/2025</v>
      </c>
      <c r="E5276" t="s">
        <v>230</v>
      </c>
      <c r="F5276" t="s">
        <v>248</v>
      </c>
      <c r="I5276">
        <v>0</v>
      </c>
      <c r="J5276">
        <v>15834.44</v>
      </c>
      <c r="M5276" t="s">
        <v>516</v>
      </c>
    </row>
    <row r="5277" spans="1:13" hidden="1">
      <c r="A5277" t="s">
        <v>180</v>
      </c>
      <c r="B5277" t="s">
        <v>8</v>
      </c>
      <c r="C5277" t="s">
        <v>179</v>
      </c>
      <c r="D5277" t="str">
        <f>LEFT(M5277,9)</f>
        <v>1/15/2025</v>
      </c>
      <c r="E5277" t="s">
        <v>232</v>
      </c>
      <c r="F5277" t="s">
        <v>255</v>
      </c>
      <c r="I5277">
        <v>0</v>
      </c>
      <c r="J5277">
        <v>89.9</v>
      </c>
      <c r="L5277" t="s">
        <v>565</v>
      </c>
      <c r="M5277" t="s">
        <v>516</v>
      </c>
    </row>
    <row r="5278" spans="1:13" hidden="1">
      <c r="A5278" t="s">
        <v>180</v>
      </c>
      <c r="B5278" t="s">
        <v>8</v>
      </c>
      <c r="C5278" t="s">
        <v>179</v>
      </c>
      <c r="D5278" t="str">
        <f>LEFT(M5278,9)</f>
        <v>1/15/2025</v>
      </c>
      <c r="E5278" t="s">
        <v>232</v>
      </c>
      <c r="F5278" t="s">
        <v>251</v>
      </c>
      <c r="I5278">
        <v>0</v>
      </c>
      <c r="J5278">
        <v>20</v>
      </c>
      <c r="M5278" t="s">
        <v>516</v>
      </c>
    </row>
    <row r="5279" spans="1:13" hidden="1">
      <c r="A5279" t="s">
        <v>180</v>
      </c>
      <c r="B5279" t="s">
        <v>8</v>
      </c>
      <c r="C5279" t="s">
        <v>179</v>
      </c>
      <c r="D5279" t="str">
        <f>LEFT(M5279,9)</f>
        <v>1/15/2025</v>
      </c>
      <c r="E5279" t="s">
        <v>232</v>
      </c>
      <c r="F5279" t="s">
        <v>233</v>
      </c>
      <c r="I5279">
        <v>0</v>
      </c>
      <c r="J5279">
        <v>266.08</v>
      </c>
      <c r="M5279" t="s">
        <v>516</v>
      </c>
    </row>
    <row r="5280" spans="1:13" hidden="1">
      <c r="A5280" t="s">
        <v>180</v>
      </c>
      <c r="B5280" t="s">
        <v>8</v>
      </c>
      <c r="C5280" t="s">
        <v>179</v>
      </c>
      <c r="D5280" t="str">
        <f>LEFT(M5280,9)</f>
        <v>1/15/2025</v>
      </c>
      <c r="E5280" t="s">
        <v>232</v>
      </c>
      <c r="F5280" t="s">
        <v>262</v>
      </c>
      <c r="I5280">
        <v>0</v>
      </c>
      <c r="J5280">
        <v>1515.75</v>
      </c>
      <c r="M5280" t="s">
        <v>516</v>
      </c>
    </row>
    <row r="5281" spans="1:13" hidden="1">
      <c r="A5281" t="s">
        <v>180</v>
      </c>
      <c r="B5281" t="s">
        <v>8</v>
      </c>
      <c r="C5281" t="s">
        <v>179</v>
      </c>
      <c r="D5281" t="str">
        <f>LEFT(M5281,9)</f>
        <v>1/15/2025</v>
      </c>
      <c r="E5281" t="s">
        <v>234</v>
      </c>
      <c r="F5281" t="s">
        <v>234</v>
      </c>
      <c r="I5281">
        <v>18920</v>
      </c>
      <c r="M5281" t="s">
        <v>516</v>
      </c>
    </row>
    <row r="5282" spans="1:13" hidden="1">
      <c r="A5282" t="s">
        <v>180</v>
      </c>
      <c r="B5282" t="s">
        <v>8</v>
      </c>
      <c r="C5282" t="s">
        <v>179</v>
      </c>
      <c r="D5282" t="str">
        <f>LEFT(M5282,9)</f>
        <v>1/15/2025</v>
      </c>
      <c r="E5282" t="s">
        <v>232</v>
      </c>
      <c r="F5282" t="s">
        <v>255</v>
      </c>
      <c r="I5282">
        <v>0</v>
      </c>
      <c r="J5282">
        <v>2003.76</v>
      </c>
      <c r="L5282" t="s">
        <v>316</v>
      </c>
      <c r="M5282" t="s">
        <v>516</v>
      </c>
    </row>
    <row r="5283" spans="1:13" hidden="1">
      <c r="A5283" t="s">
        <v>180</v>
      </c>
      <c r="B5283" t="s">
        <v>8</v>
      </c>
      <c r="C5283" t="s">
        <v>179</v>
      </c>
      <c r="D5283" t="str">
        <f>LEFT(M5283,9)</f>
        <v>1/15/2025</v>
      </c>
      <c r="E5283" t="s">
        <v>232</v>
      </c>
      <c r="F5283" t="s">
        <v>255</v>
      </c>
      <c r="I5283">
        <v>0</v>
      </c>
      <c r="J5283">
        <v>1100</v>
      </c>
      <c r="L5283" t="s">
        <v>566</v>
      </c>
      <c r="M5283" t="s">
        <v>516</v>
      </c>
    </row>
    <row r="5284" spans="1:13" hidden="1">
      <c r="A5284" t="s">
        <v>180</v>
      </c>
      <c r="B5284" t="s">
        <v>8</v>
      </c>
      <c r="C5284" t="s">
        <v>179</v>
      </c>
      <c r="D5284" t="str">
        <f>LEFT(M5284,9)</f>
        <v>1/15/2025</v>
      </c>
      <c r="E5284" t="s">
        <v>202</v>
      </c>
      <c r="F5284" t="s">
        <v>216</v>
      </c>
      <c r="G5284" t="s">
        <v>253</v>
      </c>
      <c r="I5284">
        <v>10760</v>
      </c>
      <c r="J5284">
        <v>1614</v>
      </c>
      <c r="K5284">
        <v>0.15</v>
      </c>
      <c r="M5284" t="s">
        <v>516</v>
      </c>
    </row>
    <row r="5285" spans="1:13">
      <c r="A5285" t="s">
        <v>173</v>
      </c>
      <c r="B5285" t="s">
        <v>20</v>
      </c>
      <c r="C5285" t="s">
        <v>19</v>
      </c>
      <c r="D5285" t="str">
        <f>LEFT(M5285,9)</f>
        <v>1/15/2025</v>
      </c>
      <c r="E5285" t="s">
        <v>202</v>
      </c>
      <c r="F5285" t="s">
        <v>227</v>
      </c>
      <c r="G5285" t="s">
        <v>237</v>
      </c>
      <c r="I5285">
        <v>4640</v>
      </c>
      <c r="J5285">
        <v>3240</v>
      </c>
      <c r="K5285">
        <v>0.7</v>
      </c>
      <c r="M5285" t="s">
        <v>516</v>
      </c>
    </row>
    <row r="5286" spans="1:13">
      <c r="A5286" t="s">
        <v>173</v>
      </c>
      <c r="B5286" t="s">
        <v>20</v>
      </c>
      <c r="C5286" t="s">
        <v>19</v>
      </c>
      <c r="D5286" t="str">
        <f>LEFT(M5286,9)</f>
        <v>1/15/2025</v>
      </c>
      <c r="E5286" t="s">
        <v>202</v>
      </c>
      <c r="F5286" t="s">
        <v>227</v>
      </c>
      <c r="G5286" t="s">
        <v>238</v>
      </c>
      <c r="I5286">
        <v>280</v>
      </c>
      <c r="J5286">
        <v>98</v>
      </c>
      <c r="K5286">
        <v>0.35</v>
      </c>
      <c r="M5286" t="s">
        <v>516</v>
      </c>
    </row>
    <row r="5287" spans="1:13">
      <c r="A5287" t="s">
        <v>173</v>
      </c>
      <c r="B5287" t="s">
        <v>20</v>
      </c>
      <c r="C5287" t="s">
        <v>19</v>
      </c>
      <c r="D5287" t="str">
        <f>LEFT(M5287,9)</f>
        <v>1/15/2025</v>
      </c>
      <c r="E5287" t="s">
        <v>202</v>
      </c>
      <c r="F5287" t="s">
        <v>227</v>
      </c>
      <c r="G5287" t="s">
        <v>229</v>
      </c>
      <c r="I5287">
        <v>17340</v>
      </c>
      <c r="J5287">
        <v>10404</v>
      </c>
      <c r="K5287">
        <v>0.6</v>
      </c>
      <c r="M5287" t="s">
        <v>516</v>
      </c>
    </row>
    <row r="5288" spans="1:13">
      <c r="A5288" t="s">
        <v>173</v>
      </c>
      <c r="B5288" t="s">
        <v>20</v>
      </c>
      <c r="C5288" t="s">
        <v>19</v>
      </c>
      <c r="D5288" t="str">
        <f>LEFT(M5288,9)</f>
        <v>1/15/2025</v>
      </c>
      <c r="E5288" t="s">
        <v>202</v>
      </c>
      <c r="F5288" t="s">
        <v>227</v>
      </c>
      <c r="G5288" t="s">
        <v>228</v>
      </c>
      <c r="I5288">
        <v>6000</v>
      </c>
      <c r="J5288">
        <v>2700</v>
      </c>
      <c r="K5288">
        <v>0.45</v>
      </c>
      <c r="M5288" t="s">
        <v>516</v>
      </c>
    </row>
    <row r="5289" spans="1:13">
      <c r="A5289" t="s">
        <v>173</v>
      </c>
      <c r="B5289" t="s">
        <v>20</v>
      </c>
      <c r="C5289" t="s">
        <v>19</v>
      </c>
      <c r="D5289" t="str">
        <f>LEFT(M5289,9)</f>
        <v>1/15/2025</v>
      </c>
      <c r="E5289" t="s">
        <v>202</v>
      </c>
      <c r="F5289" t="s">
        <v>227</v>
      </c>
      <c r="G5289" t="s">
        <v>252</v>
      </c>
      <c r="I5289">
        <v>1060</v>
      </c>
      <c r="J5289">
        <v>424</v>
      </c>
      <c r="K5289">
        <v>0.4</v>
      </c>
      <c r="M5289" t="s">
        <v>516</v>
      </c>
    </row>
    <row r="5290" spans="1:13">
      <c r="A5290" t="s">
        <v>173</v>
      </c>
      <c r="B5290" t="s">
        <v>20</v>
      </c>
      <c r="C5290" t="s">
        <v>19</v>
      </c>
      <c r="D5290" t="str">
        <f>LEFT(M5290,9)</f>
        <v>1/15/2025</v>
      </c>
      <c r="E5290" t="s">
        <v>202</v>
      </c>
      <c r="F5290" t="s">
        <v>218</v>
      </c>
      <c r="G5290" t="s">
        <v>224</v>
      </c>
      <c r="I5290">
        <v>609</v>
      </c>
      <c r="J5290">
        <v>548.1</v>
      </c>
      <c r="K5290">
        <v>0.9</v>
      </c>
      <c r="M5290" t="s">
        <v>516</v>
      </c>
    </row>
    <row r="5291" spans="1:13">
      <c r="A5291" t="s">
        <v>173</v>
      </c>
      <c r="B5291" t="s">
        <v>20</v>
      </c>
      <c r="C5291" t="s">
        <v>19</v>
      </c>
      <c r="D5291" t="str">
        <f>LEFT(M5291,9)</f>
        <v>1/15/2025</v>
      </c>
      <c r="E5291" t="s">
        <v>202</v>
      </c>
      <c r="F5291" t="s">
        <v>218</v>
      </c>
      <c r="G5291" t="s">
        <v>221</v>
      </c>
      <c r="I5291">
        <v>1520</v>
      </c>
      <c r="J5291">
        <v>3496</v>
      </c>
      <c r="K5291">
        <v>2.2999999999999998</v>
      </c>
      <c r="M5291" t="s">
        <v>516</v>
      </c>
    </row>
    <row r="5292" spans="1:13">
      <c r="A5292" t="s">
        <v>173</v>
      </c>
      <c r="B5292" t="s">
        <v>20</v>
      </c>
      <c r="C5292" t="s">
        <v>19</v>
      </c>
      <c r="D5292" t="str">
        <f>LEFT(M5292,9)</f>
        <v>1/15/2025</v>
      </c>
      <c r="E5292" t="s">
        <v>202</v>
      </c>
      <c r="F5292" t="s">
        <v>218</v>
      </c>
      <c r="G5292" t="s">
        <v>266</v>
      </c>
      <c r="I5292">
        <v>147</v>
      </c>
      <c r="J5292">
        <v>7.35</v>
      </c>
      <c r="K5292">
        <v>0.05</v>
      </c>
      <c r="M5292" t="s">
        <v>516</v>
      </c>
    </row>
    <row r="5293" spans="1:13">
      <c r="A5293" t="s">
        <v>173</v>
      </c>
      <c r="B5293" t="s">
        <v>20</v>
      </c>
      <c r="C5293" t="s">
        <v>19</v>
      </c>
      <c r="D5293" t="str">
        <f>LEFT(M5293,9)</f>
        <v>1/15/2025</v>
      </c>
      <c r="E5293" t="s">
        <v>202</v>
      </c>
      <c r="F5293" t="s">
        <v>218</v>
      </c>
      <c r="G5293" t="s">
        <v>247</v>
      </c>
      <c r="I5293">
        <v>47</v>
      </c>
      <c r="J5293">
        <v>173.9</v>
      </c>
      <c r="K5293">
        <v>3.7</v>
      </c>
      <c r="M5293" t="s">
        <v>516</v>
      </c>
    </row>
    <row r="5294" spans="1:13">
      <c r="A5294" t="s">
        <v>173</v>
      </c>
      <c r="B5294" t="s">
        <v>20</v>
      </c>
      <c r="C5294" t="s">
        <v>19</v>
      </c>
      <c r="D5294" t="str">
        <f>LEFT(M5294,9)</f>
        <v>1/15/2025</v>
      </c>
      <c r="E5294" t="s">
        <v>202</v>
      </c>
      <c r="F5294" t="s">
        <v>218</v>
      </c>
      <c r="G5294" t="s">
        <v>223</v>
      </c>
      <c r="I5294">
        <v>651</v>
      </c>
      <c r="J5294">
        <v>423.15</v>
      </c>
      <c r="K5294">
        <v>0.65</v>
      </c>
      <c r="M5294" t="s">
        <v>516</v>
      </c>
    </row>
    <row r="5295" spans="1:13">
      <c r="A5295" t="s">
        <v>173</v>
      </c>
      <c r="B5295" t="s">
        <v>20</v>
      </c>
      <c r="C5295" t="s">
        <v>19</v>
      </c>
      <c r="D5295" t="str">
        <f>LEFT(M5295,9)</f>
        <v>1/15/2025</v>
      </c>
      <c r="E5295" t="s">
        <v>202</v>
      </c>
      <c r="F5295" t="s">
        <v>218</v>
      </c>
      <c r="G5295" t="s">
        <v>223</v>
      </c>
      <c r="I5295">
        <v>1630</v>
      </c>
      <c r="J5295">
        <v>1222.5</v>
      </c>
      <c r="K5295">
        <v>0.75</v>
      </c>
      <c r="M5295" t="s">
        <v>516</v>
      </c>
    </row>
    <row r="5296" spans="1:13">
      <c r="A5296" t="s">
        <v>173</v>
      </c>
      <c r="B5296" t="s">
        <v>20</v>
      </c>
      <c r="C5296" t="s">
        <v>19</v>
      </c>
      <c r="D5296" t="str">
        <f>LEFT(M5296,9)</f>
        <v>1/15/2025</v>
      </c>
      <c r="E5296" t="s">
        <v>202</v>
      </c>
      <c r="F5296" t="s">
        <v>218</v>
      </c>
      <c r="G5296" t="s">
        <v>240</v>
      </c>
      <c r="I5296">
        <v>3667</v>
      </c>
      <c r="J5296">
        <v>16501.5</v>
      </c>
      <c r="K5296">
        <v>4.5</v>
      </c>
      <c r="M5296" t="s">
        <v>516</v>
      </c>
    </row>
    <row r="5297" spans="1:13">
      <c r="A5297" t="s">
        <v>173</v>
      </c>
      <c r="B5297" t="s">
        <v>20</v>
      </c>
      <c r="C5297" t="s">
        <v>19</v>
      </c>
      <c r="D5297" t="str">
        <f>LEFT(M5297,9)</f>
        <v>1/15/2025</v>
      </c>
      <c r="E5297" t="s">
        <v>202</v>
      </c>
      <c r="F5297" t="s">
        <v>218</v>
      </c>
      <c r="G5297" t="s">
        <v>240</v>
      </c>
      <c r="I5297">
        <v>338</v>
      </c>
      <c r="J5297">
        <v>1487.2</v>
      </c>
      <c r="K5297">
        <v>4.4000000000000004</v>
      </c>
      <c r="M5297" t="s">
        <v>516</v>
      </c>
    </row>
    <row r="5298" spans="1:13">
      <c r="A5298" t="s">
        <v>173</v>
      </c>
      <c r="B5298" t="s">
        <v>20</v>
      </c>
      <c r="C5298" t="s">
        <v>19</v>
      </c>
      <c r="D5298" t="str">
        <f>LEFT(M5298,9)</f>
        <v>1/15/2025</v>
      </c>
      <c r="E5298" t="s">
        <v>202</v>
      </c>
      <c r="F5298" t="s">
        <v>218</v>
      </c>
      <c r="G5298" t="s">
        <v>268</v>
      </c>
      <c r="I5298">
        <v>123</v>
      </c>
      <c r="J5298">
        <v>123</v>
      </c>
      <c r="K5298">
        <v>1</v>
      </c>
      <c r="M5298" t="s">
        <v>516</v>
      </c>
    </row>
    <row r="5299" spans="1:13">
      <c r="A5299" t="s">
        <v>173</v>
      </c>
      <c r="B5299" t="s">
        <v>20</v>
      </c>
      <c r="C5299" t="s">
        <v>19</v>
      </c>
      <c r="D5299" t="str">
        <f>LEFT(M5299,9)</f>
        <v>1/15/2025</v>
      </c>
      <c r="E5299" t="s">
        <v>202</v>
      </c>
      <c r="F5299" t="s">
        <v>218</v>
      </c>
      <c r="G5299" t="s">
        <v>242</v>
      </c>
      <c r="I5299">
        <v>145</v>
      </c>
      <c r="J5299">
        <v>290</v>
      </c>
      <c r="K5299">
        <v>2</v>
      </c>
      <c r="M5299" t="s">
        <v>516</v>
      </c>
    </row>
    <row r="5300" spans="1:13">
      <c r="A5300" t="s">
        <v>173</v>
      </c>
      <c r="B5300" t="s">
        <v>20</v>
      </c>
      <c r="C5300" t="s">
        <v>19</v>
      </c>
      <c r="D5300" t="str">
        <f>LEFT(M5300,9)</f>
        <v>1/15/2025</v>
      </c>
      <c r="E5300" t="s">
        <v>202</v>
      </c>
      <c r="F5300" t="s">
        <v>218</v>
      </c>
      <c r="G5300" t="s">
        <v>219</v>
      </c>
      <c r="I5300">
        <v>276</v>
      </c>
      <c r="J5300">
        <v>110.4</v>
      </c>
      <c r="K5300">
        <v>0.4</v>
      </c>
      <c r="M5300" t="s">
        <v>516</v>
      </c>
    </row>
    <row r="5301" spans="1:13">
      <c r="A5301" t="s">
        <v>173</v>
      </c>
      <c r="B5301" t="s">
        <v>20</v>
      </c>
      <c r="C5301" t="s">
        <v>19</v>
      </c>
      <c r="D5301" t="str">
        <f>LEFT(M5301,9)</f>
        <v>1/15/2025</v>
      </c>
      <c r="E5301" t="s">
        <v>202</v>
      </c>
      <c r="F5301" t="s">
        <v>218</v>
      </c>
      <c r="G5301" t="s">
        <v>225</v>
      </c>
      <c r="I5301">
        <v>61</v>
      </c>
      <c r="J5301">
        <v>97.6</v>
      </c>
      <c r="M5301" t="s">
        <v>516</v>
      </c>
    </row>
    <row r="5302" spans="1:13">
      <c r="A5302" t="s">
        <v>173</v>
      </c>
      <c r="B5302" t="s">
        <v>20</v>
      </c>
      <c r="C5302" t="s">
        <v>19</v>
      </c>
      <c r="D5302" t="str">
        <f>LEFT(M5302,9)</f>
        <v>1/15/2025</v>
      </c>
      <c r="E5302" t="s">
        <v>202</v>
      </c>
      <c r="F5302" t="s">
        <v>218</v>
      </c>
      <c r="G5302" t="s">
        <v>240</v>
      </c>
      <c r="I5302">
        <v>43</v>
      </c>
      <c r="J5302">
        <v>64.5</v>
      </c>
      <c r="K5302">
        <v>1.5</v>
      </c>
      <c r="M5302" t="s">
        <v>516</v>
      </c>
    </row>
    <row r="5303" spans="1:13">
      <c r="A5303" t="s">
        <v>173</v>
      </c>
      <c r="B5303" t="s">
        <v>20</v>
      </c>
      <c r="C5303" t="s">
        <v>19</v>
      </c>
      <c r="D5303" t="str">
        <f>LEFT(M5303,9)</f>
        <v>1/15/2025</v>
      </c>
      <c r="E5303" t="s">
        <v>202</v>
      </c>
      <c r="F5303" t="s">
        <v>218</v>
      </c>
      <c r="G5303" t="s">
        <v>243</v>
      </c>
      <c r="H5303" t="s">
        <v>279</v>
      </c>
      <c r="I5303">
        <v>1723</v>
      </c>
      <c r="J5303">
        <v>2756.8</v>
      </c>
      <c r="K5303">
        <v>1.6</v>
      </c>
      <c r="M5303" t="s">
        <v>516</v>
      </c>
    </row>
    <row r="5304" spans="1:13">
      <c r="A5304" t="s">
        <v>173</v>
      </c>
      <c r="B5304" t="s">
        <v>20</v>
      </c>
      <c r="C5304" t="s">
        <v>19</v>
      </c>
      <c r="D5304" t="str">
        <f>LEFT(M5304,9)</f>
        <v>1/15/2025</v>
      </c>
      <c r="E5304" t="s">
        <v>202</v>
      </c>
      <c r="F5304" t="s">
        <v>218</v>
      </c>
      <c r="G5304" t="s">
        <v>243</v>
      </c>
      <c r="H5304" t="s">
        <v>278</v>
      </c>
      <c r="I5304">
        <v>1058</v>
      </c>
      <c r="J5304">
        <v>1375.4</v>
      </c>
      <c r="K5304">
        <v>1.3</v>
      </c>
      <c r="M5304" t="s">
        <v>516</v>
      </c>
    </row>
    <row r="5305" spans="1:13">
      <c r="A5305" t="s">
        <v>173</v>
      </c>
      <c r="B5305" t="s">
        <v>20</v>
      </c>
      <c r="C5305" t="s">
        <v>19</v>
      </c>
      <c r="D5305" t="str">
        <f>LEFT(M5305,9)</f>
        <v>1/15/2025</v>
      </c>
      <c r="E5305" t="s">
        <v>202</v>
      </c>
      <c r="F5305" t="s">
        <v>218</v>
      </c>
      <c r="G5305" t="s">
        <v>243</v>
      </c>
      <c r="H5305" t="s">
        <v>283</v>
      </c>
      <c r="I5305">
        <v>1310</v>
      </c>
      <c r="J5305">
        <v>2227</v>
      </c>
      <c r="K5305">
        <v>1.7</v>
      </c>
      <c r="M5305" t="s">
        <v>516</v>
      </c>
    </row>
    <row r="5306" spans="1:13">
      <c r="A5306" t="s">
        <v>173</v>
      </c>
      <c r="B5306" t="s">
        <v>20</v>
      </c>
      <c r="C5306" t="s">
        <v>19</v>
      </c>
      <c r="D5306" t="str">
        <f>LEFT(M5306,9)</f>
        <v>1/15/2025</v>
      </c>
      <c r="E5306" t="s">
        <v>202</v>
      </c>
      <c r="F5306" t="s">
        <v>218</v>
      </c>
      <c r="G5306" t="s">
        <v>243</v>
      </c>
      <c r="H5306" t="s">
        <v>567</v>
      </c>
      <c r="I5306">
        <v>1604</v>
      </c>
      <c r="J5306">
        <v>1283.2</v>
      </c>
      <c r="K5306">
        <v>0.8</v>
      </c>
      <c r="M5306" t="s">
        <v>516</v>
      </c>
    </row>
    <row r="5307" spans="1:13">
      <c r="A5307" t="s">
        <v>173</v>
      </c>
      <c r="B5307" t="s">
        <v>20</v>
      </c>
      <c r="C5307" t="s">
        <v>19</v>
      </c>
      <c r="D5307" t="str">
        <f>LEFT(M5307,9)</f>
        <v>1/15/2025</v>
      </c>
      <c r="E5307" t="s">
        <v>202</v>
      </c>
      <c r="F5307" t="s">
        <v>216</v>
      </c>
      <c r="G5307" t="s">
        <v>253</v>
      </c>
      <c r="I5307">
        <v>10150</v>
      </c>
      <c r="J5307">
        <v>1015</v>
      </c>
      <c r="K5307">
        <v>0.1</v>
      </c>
      <c r="M5307" t="s">
        <v>516</v>
      </c>
    </row>
    <row r="5308" spans="1:13">
      <c r="A5308" t="s">
        <v>173</v>
      </c>
      <c r="B5308" t="s">
        <v>20</v>
      </c>
      <c r="C5308" t="s">
        <v>19</v>
      </c>
      <c r="D5308" t="str">
        <f>LEFT(M5308,9)</f>
        <v>1/15/2025</v>
      </c>
      <c r="E5308" t="s">
        <v>202</v>
      </c>
      <c r="F5308" t="s">
        <v>218</v>
      </c>
      <c r="G5308" t="s">
        <v>239</v>
      </c>
      <c r="I5308">
        <v>320</v>
      </c>
      <c r="J5308">
        <v>64</v>
      </c>
      <c r="K5308">
        <v>0.2</v>
      </c>
      <c r="M5308" t="s">
        <v>516</v>
      </c>
    </row>
    <row r="5309" spans="1:13">
      <c r="A5309" t="s">
        <v>173</v>
      </c>
      <c r="B5309" t="s">
        <v>20</v>
      </c>
      <c r="C5309" t="s">
        <v>19</v>
      </c>
      <c r="D5309" t="str">
        <f>LEFT(M5309,9)</f>
        <v>1/15/2025</v>
      </c>
      <c r="E5309" t="s">
        <v>230</v>
      </c>
      <c r="F5309" t="s">
        <v>248</v>
      </c>
      <c r="I5309">
        <v>0</v>
      </c>
      <c r="J5309">
        <v>40307.67</v>
      </c>
      <c r="M5309" t="s">
        <v>516</v>
      </c>
    </row>
    <row r="5310" spans="1:13">
      <c r="A5310" t="s">
        <v>173</v>
      </c>
      <c r="B5310" t="s">
        <v>20</v>
      </c>
      <c r="C5310" t="s">
        <v>19</v>
      </c>
      <c r="D5310" t="str">
        <f>LEFT(M5310,9)</f>
        <v>1/15/2025</v>
      </c>
      <c r="E5310" t="s">
        <v>232</v>
      </c>
      <c r="F5310" t="s">
        <v>262</v>
      </c>
      <c r="I5310">
        <v>0</v>
      </c>
      <c r="J5310">
        <v>5251</v>
      </c>
      <c r="M5310" t="s">
        <v>516</v>
      </c>
    </row>
    <row r="5311" spans="1:13">
      <c r="A5311" t="s">
        <v>173</v>
      </c>
      <c r="B5311" t="s">
        <v>20</v>
      </c>
      <c r="C5311" t="s">
        <v>19</v>
      </c>
      <c r="D5311" t="str">
        <f>LEFT(M5311,9)</f>
        <v>1/15/2025</v>
      </c>
      <c r="E5311" t="s">
        <v>232</v>
      </c>
      <c r="F5311" t="s">
        <v>262</v>
      </c>
      <c r="I5311">
        <v>0</v>
      </c>
      <c r="J5311">
        <v>4714</v>
      </c>
      <c r="M5311" t="s">
        <v>516</v>
      </c>
    </row>
    <row r="5312" spans="1:13">
      <c r="A5312" t="s">
        <v>173</v>
      </c>
      <c r="B5312" t="s">
        <v>20</v>
      </c>
      <c r="C5312" t="s">
        <v>19</v>
      </c>
      <c r="D5312" t="str">
        <f>LEFT(M5312,9)</f>
        <v>1/15/2025</v>
      </c>
      <c r="E5312" t="s">
        <v>232</v>
      </c>
      <c r="F5312" t="s">
        <v>287</v>
      </c>
      <c r="I5312">
        <v>0</v>
      </c>
      <c r="J5312">
        <v>6229.15</v>
      </c>
      <c r="M5312" t="s">
        <v>516</v>
      </c>
    </row>
    <row r="5313" spans="1:13">
      <c r="A5313" t="s">
        <v>173</v>
      </c>
      <c r="B5313" t="s">
        <v>20</v>
      </c>
      <c r="C5313" t="s">
        <v>19</v>
      </c>
      <c r="D5313" t="str">
        <f>LEFT(M5313,9)</f>
        <v>1/15/2025</v>
      </c>
      <c r="E5313" t="s">
        <v>232</v>
      </c>
      <c r="F5313" t="s">
        <v>255</v>
      </c>
      <c r="I5313">
        <v>0</v>
      </c>
      <c r="J5313">
        <v>804</v>
      </c>
      <c r="L5313" t="s">
        <v>264</v>
      </c>
      <c r="M5313" t="s">
        <v>516</v>
      </c>
    </row>
    <row r="5314" spans="1:13">
      <c r="A5314" t="s">
        <v>173</v>
      </c>
      <c r="B5314" t="s">
        <v>20</v>
      </c>
      <c r="C5314" t="s">
        <v>19</v>
      </c>
      <c r="D5314" t="str">
        <f>LEFT(M5314,9)</f>
        <v>1/15/2025</v>
      </c>
      <c r="E5314" t="s">
        <v>232</v>
      </c>
      <c r="F5314" t="s">
        <v>255</v>
      </c>
      <c r="I5314">
        <v>0</v>
      </c>
      <c r="J5314">
        <v>1150</v>
      </c>
      <c r="L5314" t="s">
        <v>568</v>
      </c>
      <c r="M5314" t="s">
        <v>516</v>
      </c>
    </row>
    <row r="5315" spans="1:13">
      <c r="A5315" t="s">
        <v>173</v>
      </c>
      <c r="B5315" t="s">
        <v>20</v>
      </c>
      <c r="C5315" t="s">
        <v>19</v>
      </c>
      <c r="D5315" t="str">
        <f>LEFT(M5315,9)</f>
        <v>1/15/2025</v>
      </c>
      <c r="E5315" t="s">
        <v>234</v>
      </c>
      <c r="F5315" t="s">
        <v>234</v>
      </c>
      <c r="I5315">
        <v>8450</v>
      </c>
      <c r="M5315" t="s">
        <v>516</v>
      </c>
    </row>
    <row r="5316" spans="1:13" hidden="1">
      <c r="A5316" t="s">
        <v>157</v>
      </c>
      <c r="B5316" t="s">
        <v>8</v>
      </c>
      <c r="C5316" t="s">
        <v>156</v>
      </c>
      <c r="D5316" t="str">
        <f>LEFT(M5316,9)</f>
        <v>1/15/2025</v>
      </c>
      <c r="E5316" t="s">
        <v>202</v>
      </c>
      <c r="F5316" t="s">
        <v>218</v>
      </c>
      <c r="G5316" t="s">
        <v>241</v>
      </c>
      <c r="I5316">
        <v>48</v>
      </c>
      <c r="J5316">
        <v>216</v>
      </c>
      <c r="K5316">
        <v>4.5</v>
      </c>
      <c r="M5316" t="s">
        <v>516</v>
      </c>
    </row>
    <row r="5317" spans="1:13" hidden="1">
      <c r="A5317" t="s">
        <v>157</v>
      </c>
      <c r="B5317" t="s">
        <v>8</v>
      </c>
      <c r="C5317" t="s">
        <v>156</v>
      </c>
      <c r="D5317" t="str">
        <f>LEFT(M5317,9)</f>
        <v>1/15/2025</v>
      </c>
      <c r="E5317" t="s">
        <v>202</v>
      </c>
      <c r="F5317" t="s">
        <v>227</v>
      </c>
      <c r="G5317" t="s">
        <v>229</v>
      </c>
      <c r="I5317">
        <v>4869</v>
      </c>
      <c r="J5317">
        <v>3895.2</v>
      </c>
      <c r="K5317">
        <v>0.8</v>
      </c>
      <c r="M5317" t="s">
        <v>516</v>
      </c>
    </row>
    <row r="5318" spans="1:13" hidden="1">
      <c r="A5318" t="s">
        <v>157</v>
      </c>
      <c r="B5318" t="s">
        <v>8</v>
      </c>
      <c r="C5318" t="s">
        <v>156</v>
      </c>
      <c r="D5318" t="str">
        <f>LEFT(M5318,9)</f>
        <v>1/15/2025</v>
      </c>
      <c r="E5318" t="s">
        <v>202</v>
      </c>
      <c r="F5318" t="s">
        <v>218</v>
      </c>
      <c r="G5318" t="s">
        <v>224</v>
      </c>
      <c r="I5318">
        <v>110</v>
      </c>
      <c r="J5318">
        <v>121</v>
      </c>
      <c r="K5318">
        <v>1.1000000000000001</v>
      </c>
      <c r="M5318" t="s">
        <v>516</v>
      </c>
    </row>
    <row r="5319" spans="1:13" hidden="1">
      <c r="A5319" t="s">
        <v>157</v>
      </c>
      <c r="B5319" t="s">
        <v>8</v>
      </c>
      <c r="C5319" t="s">
        <v>156</v>
      </c>
      <c r="D5319" t="str">
        <f>LEFT(M5319,9)</f>
        <v>1/15/2025</v>
      </c>
      <c r="E5319" t="s">
        <v>202</v>
      </c>
      <c r="F5319" t="s">
        <v>218</v>
      </c>
      <c r="G5319" t="s">
        <v>226</v>
      </c>
      <c r="I5319">
        <v>240</v>
      </c>
      <c r="J5319">
        <v>72</v>
      </c>
      <c r="K5319">
        <v>0.3</v>
      </c>
      <c r="M5319" t="s">
        <v>516</v>
      </c>
    </row>
    <row r="5320" spans="1:13" hidden="1">
      <c r="A5320" t="s">
        <v>157</v>
      </c>
      <c r="B5320" t="s">
        <v>8</v>
      </c>
      <c r="C5320" t="s">
        <v>156</v>
      </c>
      <c r="D5320" t="str">
        <f>LEFT(M5320,9)</f>
        <v>1/15/2025</v>
      </c>
      <c r="E5320" t="s">
        <v>202</v>
      </c>
      <c r="F5320" t="s">
        <v>218</v>
      </c>
      <c r="G5320" t="s">
        <v>243</v>
      </c>
      <c r="H5320" t="s">
        <v>278</v>
      </c>
      <c r="I5320">
        <v>158</v>
      </c>
      <c r="J5320">
        <v>189</v>
      </c>
      <c r="K5320">
        <v>1.2</v>
      </c>
      <c r="M5320" t="s">
        <v>516</v>
      </c>
    </row>
    <row r="5321" spans="1:13" hidden="1">
      <c r="A5321" t="s">
        <v>157</v>
      </c>
      <c r="B5321" t="s">
        <v>8</v>
      </c>
      <c r="C5321" t="s">
        <v>156</v>
      </c>
      <c r="D5321" t="str">
        <f>LEFT(M5321,9)</f>
        <v>1/15/2025</v>
      </c>
      <c r="E5321" t="s">
        <v>202</v>
      </c>
      <c r="F5321" t="s">
        <v>218</v>
      </c>
      <c r="G5321" t="s">
        <v>220</v>
      </c>
      <c r="I5321">
        <v>934</v>
      </c>
      <c r="J5321">
        <v>1214.2</v>
      </c>
      <c r="K5321">
        <v>1.3</v>
      </c>
      <c r="M5321" t="s">
        <v>516</v>
      </c>
    </row>
    <row r="5322" spans="1:13" hidden="1">
      <c r="A5322" t="s">
        <v>157</v>
      </c>
      <c r="B5322" t="s">
        <v>8</v>
      </c>
      <c r="C5322" t="s">
        <v>156</v>
      </c>
      <c r="D5322" t="str">
        <f>LEFT(M5322,9)</f>
        <v>1/15/2025</v>
      </c>
      <c r="E5322" t="s">
        <v>202</v>
      </c>
      <c r="F5322" t="s">
        <v>227</v>
      </c>
      <c r="G5322" t="s">
        <v>228</v>
      </c>
      <c r="I5322">
        <v>90</v>
      </c>
      <c r="J5322">
        <v>108</v>
      </c>
      <c r="K5322">
        <v>1.2</v>
      </c>
      <c r="M5322" t="s">
        <v>516</v>
      </c>
    </row>
    <row r="5323" spans="1:13" hidden="1">
      <c r="A5323" t="s">
        <v>157</v>
      </c>
      <c r="B5323" t="s">
        <v>8</v>
      </c>
      <c r="C5323" t="s">
        <v>156</v>
      </c>
      <c r="D5323" t="str">
        <f>LEFT(M5323,9)</f>
        <v>1/15/2025</v>
      </c>
      <c r="E5323" t="s">
        <v>202</v>
      </c>
      <c r="F5323" t="s">
        <v>218</v>
      </c>
      <c r="G5323" t="s">
        <v>242</v>
      </c>
      <c r="I5323">
        <v>79</v>
      </c>
      <c r="J5323">
        <v>79</v>
      </c>
      <c r="K5323">
        <v>1</v>
      </c>
      <c r="M5323" t="s">
        <v>516</v>
      </c>
    </row>
    <row r="5324" spans="1:13" hidden="1">
      <c r="A5324" t="s">
        <v>157</v>
      </c>
      <c r="B5324" t="s">
        <v>8</v>
      </c>
      <c r="C5324" t="s">
        <v>156</v>
      </c>
      <c r="D5324" t="str">
        <f>LEFT(M5324,9)</f>
        <v>1/15/2025</v>
      </c>
      <c r="E5324" t="s">
        <v>202</v>
      </c>
      <c r="F5324" t="s">
        <v>218</v>
      </c>
      <c r="G5324" t="s">
        <v>243</v>
      </c>
      <c r="H5324" t="s">
        <v>283</v>
      </c>
      <c r="I5324">
        <v>214</v>
      </c>
      <c r="J5324">
        <v>385.2</v>
      </c>
      <c r="K5324">
        <v>1.8</v>
      </c>
      <c r="M5324" t="s">
        <v>516</v>
      </c>
    </row>
    <row r="5325" spans="1:13" hidden="1">
      <c r="A5325" t="s">
        <v>157</v>
      </c>
      <c r="B5325" t="s">
        <v>8</v>
      </c>
      <c r="C5325" t="s">
        <v>156</v>
      </c>
      <c r="D5325" t="str">
        <f>LEFT(M5325,9)</f>
        <v>1/15/2025</v>
      </c>
      <c r="E5325" t="s">
        <v>202</v>
      </c>
      <c r="F5325" t="s">
        <v>218</v>
      </c>
      <c r="G5325" t="s">
        <v>223</v>
      </c>
      <c r="I5325">
        <v>129</v>
      </c>
      <c r="J5325">
        <v>90.3</v>
      </c>
      <c r="K5325">
        <v>0.7</v>
      </c>
      <c r="M5325" t="s">
        <v>516</v>
      </c>
    </row>
    <row r="5326" spans="1:13" hidden="1">
      <c r="A5326" t="s">
        <v>157</v>
      </c>
      <c r="B5326" t="s">
        <v>8</v>
      </c>
      <c r="C5326" t="s">
        <v>156</v>
      </c>
      <c r="D5326" t="str">
        <f>LEFT(M5326,9)</f>
        <v>1/15/2025</v>
      </c>
      <c r="E5326" t="s">
        <v>202</v>
      </c>
      <c r="F5326" t="s">
        <v>227</v>
      </c>
      <c r="G5326" t="s">
        <v>252</v>
      </c>
      <c r="I5326">
        <v>267</v>
      </c>
      <c r="J5326">
        <v>93.45</v>
      </c>
      <c r="K5326">
        <v>0.35</v>
      </c>
      <c r="M5326" t="s">
        <v>516</v>
      </c>
    </row>
    <row r="5327" spans="1:13" hidden="1">
      <c r="A5327" t="s">
        <v>157</v>
      </c>
      <c r="B5327" t="s">
        <v>8</v>
      </c>
      <c r="C5327" t="s">
        <v>156</v>
      </c>
      <c r="D5327" t="str">
        <f>LEFT(M5327,9)</f>
        <v>1/15/2025</v>
      </c>
      <c r="E5327" t="s">
        <v>202</v>
      </c>
      <c r="F5327" t="s">
        <v>227</v>
      </c>
      <c r="G5327" t="s">
        <v>238</v>
      </c>
      <c r="I5327">
        <v>186</v>
      </c>
      <c r="J5327">
        <v>65.099999999999994</v>
      </c>
      <c r="K5327">
        <v>0.35</v>
      </c>
      <c r="M5327" t="s">
        <v>516</v>
      </c>
    </row>
    <row r="5328" spans="1:13" hidden="1">
      <c r="A5328" t="s">
        <v>157</v>
      </c>
      <c r="B5328" t="s">
        <v>8</v>
      </c>
      <c r="C5328" t="s">
        <v>156</v>
      </c>
      <c r="D5328" t="str">
        <f>LEFT(M5328,9)</f>
        <v>1/15/2025</v>
      </c>
      <c r="E5328" t="s">
        <v>202</v>
      </c>
      <c r="F5328" t="s">
        <v>218</v>
      </c>
      <c r="G5328" t="s">
        <v>243</v>
      </c>
      <c r="H5328" t="s">
        <v>279</v>
      </c>
      <c r="I5328">
        <v>178</v>
      </c>
      <c r="J5328">
        <v>249.2</v>
      </c>
      <c r="K5328">
        <v>1.4</v>
      </c>
      <c r="M5328" t="s">
        <v>516</v>
      </c>
    </row>
    <row r="5329" spans="1:13" hidden="1">
      <c r="A5329" t="s">
        <v>157</v>
      </c>
      <c r="B5329" t="s">
        <v>8</v>
      </c>
      <c r="C5329" t="s">
        <v>156</v>
      </c>
      <c r="D5329" t="str">
        <f>LEFT(M5329,9)</f>
        <v>1/15/2025</v>
      </c>
      <c r="E5329" t="s">
        <v>202</v>
      </c>
      <c r="F5329" t="s">
        <v>218</v>
      </c>
      <c r="G5329" t="s">
        <v>240</v>
      </c>
      <c r="I5329">
        <v>330</v>
      </c>
      <c r="J5329">
        <v>1485</v>
      </c>
      <c r="K5329">
        <v>4.5</v>
      </c>
      <c r="M5329" t="s">
        <v>516</v>
      </c>
    </row>
    <row r="5330" spans="1:13" hidden="1">
      <c r="A5330" t="s">
        <v>157</v>
      </c>
      <c r="B5330" t="s">
        <v>8</v>
      </c>
      <c r="C5330" t="s">
        <v>156</v>
      </c>
      <c r="D5330" t="str">
        <f>LEFT(M5330,9)</f>
        <v>1/15/2025</v>
      </c>
      <c r="E5330" t="s">
        <v>202</v>
      </c>
      <c r="F5330" t="s">
        <v>227</v>
      </c>
      <c r="G5330" t="s">
        <v>237</v>
      </c>
      <c r="I5330">
        <v>374</v>
      </c>
      <c r="J5330">
        <v>224.4</v>
      </c>
      <c r="K5330">
        <v>0.6</v>
      </c>
      <c r="M5330" t="s">
        <v>516</v>
      </c>
    </row>
    <row r="5331" spans="1:13" hidden="1">
      <c r="A5331" t="s">
        <v>157</v>
      </c>
      <c r="B5331" t="s">
        <v>8</v>
      </c>
      <c r="C5331" t="s">
        <v>156</v>
      </c>
      <c r="D5331" t="str">
        <f>LEFT(M5331,9)</f>
        <v>1/15/2025</v>
      </c>
      <c r="E5331" t="s">
        <v>202</v>
      </c>
      <c r="F5331" t="s">
        <v>227</v>
      </c>
      <c r="G5331" t="s">
        <v>228</v>
      </c>
      <c r="I5331">
        <v>739</v>
      </c>
      <c r="J5331">
        <v>258.64999999999998</v>
      </c>
      <c r="K5331">
        <v>0.35</v>
      </c>
      <c r="M5331" t="s">
        <v>516</v>
      </c>
    </row>
    <row r="5332" spans="1:13" hidden="1">
      <c r="A5332" t="s">
        <v>157</v>
      </c>
      <c r="B5332" t="s">
        <v>8</v>
      </c>
      <c r="C5332" t="s">
        <v>156</v>
      </c>
      <c r="D5332" t="str">
        <f>LEFT(M5332,9)</f>
        <v>1/15/2025</v>
      </c>
      <c r="E5332" t="s">
        <v>202</v>
      </c>
      <c r="F5332" t="s">
        <v>227</v>
      </c>
      <c r="G5332" t="s">
        <v>237</v>
      </c>
      <c r="I5332">
        <v>199</v>
      </c>
      <c r="J5332">
        <v>119.4</v>
      </c>
      <c r="K5332">
        <v>0.6</v>
      </c>
      <c r="M5332" t="s">
        <v>516</v>
      </c>
    </row>
    <row r="5333" spans="1:13" hidden="1">
      <c r="A5333" t="s">
        <v>157</v>
      </c>
      <c r="B5333" t="s">
        <v>8</v>
      </c>
      <c r="C5333" t="s">
        <v>156</v>
      </c>
      <c r="D5333" t="str">
        <f>LEFT(M5333,9)</f>
        <v>1/15/2025</v>
      </c>
      <c r="E5333" t="s">
        <v>202</v>
      </c>
      <c r="F5333" t="s">
        <v>218</v>
      </c>
      <c r="G5333" t="s">
        <v>223</v>
      </c>
      <c r="I5333">
        <v>563</v>
      </c>
      <c r="J5333">
        <v>506.7</v>
      </c>
      <c r="K5333">
        <v>0.9</v>
      </c>
      <c r="M5333" t="s">
        <v>516</v>
      </c>
    </row>
    <row r="5334" spans="1:13" hidden="1">
      <c r="A5334" t="s">
        <v>157</v>
      </c>
      <c r="B5334" t="s">
        <v>8</v>
      </c>
      <c r="C5334" t="s">
        <v>156</v>
      </c>
      <c r="D5334" t="str">
        <f>LEFT(M5334,9)</f>
        <v>1/15/2025</v>
      </c>
      <c r="E5334" t="s">
        <v>202</v>
      </c>
      <c r="F5334" t="s">
        <v>218</v>
      </c>
      <c r="G5334" t="s">
        <v>219</v>
      </c>
      <c r="I5334">
        <v>58</v>
      </c>
      <c r="J5334">
        <v>5.8</v>
      </c>
      <c r="K5334">
        <v>0.1</v>
      </c>
      <c r="M5334" t="s">
        <v>516</v>
      </c>
    </row>
    <row r="5335" spans="1:13" hidden="1">
      <c r="A5335" t="s">
        <v>157</v>
      </c>
      <c r="B5335" t="s">
        <v>8</v>
      </c>
      <c r="C5335" t="s">
        <v>156</v>
      </c>
      <c r="D5335" t="str">
        <f>LEFT(M5335,9)</f>
        <v>1/15/2025</v>
      </c>
      <c r="E5335" t="s">
        <v>202</v>
      </c>
      <c r="F5335" t="s">
        <v>203</v>
      </c>
      <c r="G5335" t="s">
        <v>215</v>
      </c>
      <c r="I5335">
        <v>980</v>
      </c>
      <c r="J5335">
        <v>784</v>
      </c>
      <c r="K5335">
        <v>0.8</v>
      </c>
      <c r="M5335" t="s">
        <v>516</v>
      </c>
    </row>
    <row r="5336" spans="1:13" hidden="1">
      <c r="A5336" t="s">
        <v>157</v>
      </c>
      <c r="B5336" t="s">
        <v>8</v>
      </c>
      <c r="C5336" t="s">
        <v>156</v>
      </c>
      <c r="D5336" t="str">
        <f>LEFT(M5336,9)</f>
        <v>1/15/2025</v>
      </c>
      <c r="E5336" t="s">
        <v>202</v>
      </c>
      <c r="F5336" t="s">
        <v>218</v>
      </c>
      <c r="G5336" t="s">
        <v>224</v>
      </c>
      <c r="I5336">
        <v>96</v>
      </c>
      <c r="J5336">
        <v>96</v>
      </c>
      <c r="K5336">
        <v>1</v>
      </c>
      <c r="M5336" t="s">
        <v>516</v>
      </c>
    </row>
    <row r="5337" spans="1:13" hidden="1">
      <c r="A5337" t="s">
        <v>157</v>
      </c>
      <c r="B5337" t="s">
        <v>8</v>
      </c>
      <c r="C5337" t="s">
        <v>156</v>
      </c>
      <c r="D5337" t="str">
        <f>LEFT(M5337,9)</f>
        <v>1/15/2025</v>
      </c>
      <c r="E5337" t="s">
        <v>202</v>
      </c>
      <c r="F5337" t="s">
        <v>218</v>
      </c>
      <c r="G5337" t="s">
        <v>241</v>
      </c>
      <c r="I5337">
        <v>46</v>
      </c>
      <c r="J5337">
        <v>174.8</v>
      </c>
      <c r="K5337">
        <v>3.8</v>
      </c>
      <c r="M5337" t="s">
        <v>516</v>
      </c>
    </row>
    <row r="5338" spans="1:13" hidden="1">
      <c r="A5338" t="s">
        <v>157</v>
      </c>
      <c r="B5338" t="s">
        <v>8</v>
      </c>
      <c r="C5338" t="s">
        <v>156</v>
      </c>
      <c r="D5338" t="str">
        <f>LEFT(M5338,9)</f>
        <v>1/15/2025</v>
      </c>
      <c r="E5338" t="s">
        <v>202</v>
      </c>
      <c r="F5338" t="s">
        <v>227</v>
      </c>
      <c r="G5338" t="s">
        <v>229</v>
      </c>
      <c r="I5338">
        <v>187</v>
      </c>
      <c r="J5338">
        <v>149.6</v>
      </c>
      <c r="K5338">
        <v>0.8</v>
      </c>
      <c r="M5338" t="s">
        <v>516</v>
      </c>
    </row>
    <row r="5339" spans="1:13" hidden="1">
      <c r="A5339" t="s">
        <v>157</v>
      </c>
      <c r="B5339" t="s">
        <v>8</v>
      </c>
      <c r="C5339" t="s">
        <v>156</v>
      </c>
      <c r="D5339" t="str">
        <f>LEFT(M5339,9)</f>
        <v>1/15/2025</v>
      </c>
      <c r="E5339" t="s">
        <v>202</v>
      </c>
      <c r="F5339" t="s">
        <v>218</v>
      </c>
      <c r="G5339" t="s">
        <v>220</v>
      </c>
      <c r="I5339">
        <v>237</v>
      </c>
      <c r="J5339">
        <v>308.10000000000002</v>
      </c>
      <c r="K5339">
        <v>1.3</v>
      </c>
      <c r="M5339" t="s">
        <v>516</v>
      </c>
    </row>
    <row r="5340" spans="1:13" hidden="1">
      <c r="A5340" t="s">
        <v>157</v>
      </c>
      <c r="B5340" t="s">
        <v>8</v>
      </c>
      <c r="C5340" t="s">
        <v>156</v>
      </c>
      <c r="D5340" t="str">
        <f>LEFT(M5340,9)</f>
        <v>1/15/2025</v>
      </c>
      <c r="E5340" t="s">
        <v>202</v>
      </c>
      <c r="F5340" t="s">
        <v>218</v>
      </c>
      <c r="G5340" t="s">
        <v>225</v>
      </c>
      <c r="I5340">
        <v>70</v>
      </c>
      <c r="J5340">
        <v>70</v>
      </c>
      <c r="K5340">
        <v>1</v>
      </c>
      <c r="M5340" t="s">
        <v>516</v>
      </c>
    </row>
    <row r="5341" spans="1:13" hidden="1">
      <c r="A5341" t="s">
        <v>157</v>
      </c>
      <c r="B5341" t="s">
        <v>8</v>
      </c>
      <c r="C5341" t="s">
        <v>156</v>
      </c>
      <c r="D5341" t="str">
        <f>LEFT(M5341,9)</f>
        <v>1/15/2025</v>
      </c>
      <c r="E5341" t="s">
        <v>202</v>
      </c>
      <c r="F5341" t="s">
        <v>218</v>
      </c>
      <c r="G5341" t="s">
        <v>242</v>
      </c>
      <c r="I5341">
        <v>116</v>
      </c>
      <c r="J5341">
        <v>116</v>
      </c>
      <c r="K5341">
        <v>1</v>
      </c>
      <c r="M5341" t="s">
        <v>516</v>
      </c>
    </row>
    <row r="5342" spans="1:13" hidden="1">
      <c r="A5342" t="s">
        <v>157</v>
      </c>
      <c r="B5342" t="s">
        <v>8</v>
      </c>
      <c r="C5342" t="s">
        <v>156</v>
      </c>
      <c r="D5342" t="str">
        <f>LEFT(M5342,9)</f>
        <v>1/15/2025</v>
      </c>
      <c r="E5342" t="s">
        <v>202</v>
      </c>
      <c r="F5342" t="s">
        <v>218</v>
      </c>
      <c r="G5342" t="s">
        <v>243</v>
      </c>
      <c r="H5342" t="s">
        <v>283</v>
      </c>
      <c r="I5342">
        <v>78</v>
      </c>
      <c r="J5342">
        <v>140.4</v>
      </c>
      <c r="K5342">
        <v>1.8</v>
      </c>
      <c r="M5342" t="s">
        <v>516</v>
      </c>
    </row>
    <row r="5343" spans="1:13" hidden="1">
      <c r="A5343" t="s">
        <v>157</v>
      </c>
      <c r="B5343" t="s">
        <v>8</v>
      </c>
      <c r="C5343" t="s">
        <v>156</v>
      </c>
      <c r="D5343" t="str">
        <f>LEFT(M5343,9)</f>
        <v>1/15/2025</v>
      </c>
      <c r="E5343" t="s">
        <v>202</v>
      </c>
      <c r="F5343" t="s">
        <v>218</v>
      </c>
      <c r="G5343" t="s">
        <v>223</v>
      </c>
      <c r="I5343">
        <v>105</v>
      </c>
      <c r="J5343">
        <v>63</v>
      </c>
      <c r="K5343">
        <v>0.6</v>
      </c>
      <c r="M5343" t="s">
        <v>516</v>
      </c>
    </row>
    <row r="5344" spans="1:13" hidden="1">
      <c r="A5344" t="s">
        <v>157</v>
      </c>
      <c r="B5344" t="s">
        <v>8</v>
      </c>
      <c r="C5344" t="s">
        <v>156</v>
      </c>
      <c r="D5344" t="str">
        <f>LEFT(M5344,9)</f>
        <v>1/15/2025</v>
      </c>
      <c r="E5344" t="s">
        <v>202</v>
      </c>
      <c r="F5344" t="s">
        <v>218</v>
      </c>
      <c r="G5344" t="s">
        <v>223</v>
      </c>
      <c r="I5344">
        <v>219</v>
      </c>
      <c r="J5344">
        <v>175.2</v>
      </c>
      <c r="K5344">
        <v>0.8</v>
      </c>
      <c r="M5344" t="s">
        <v>516</v>
      </c>
    </row>
    <row r="5345" spans="1:13" hidden="1">
      <c r="A5345" t="s">
        <v>157</v>
      </c>
      <c r="B5345" t="s">
        <v>8</v>
      </c>
      <c r="C5345" t="s">
        <v>156</v>
      </c>
      <c r="D5345" t="str">
        <f>LEFT(M5345,9)</f>
        <v>1/15/2025</v>
      </c>
      <c r="E5345" t="s">
        <v>202</v>
      </c>
      <c r="F5345" t="s">
        <v>218</v>
      </c>
      <c r="G5345" t="s">
        <v>240</v>
      </c>
      <c r="I5345">
        <v>306</v>
      </c>
      <c r="J5345">
        <v>1162.8</v>
      </c>
      <c r="K5345">
        <v>3.8</v>
      </c>
      <c r="M5345" t="s">
        <v>516</v>
      </c>
    </row>
    <row r="5346" spans="1:13" hidden="1">
      <c r="A5346" t="s">
        <v>157</v>
      </c>
      <c r="B5346" t="s">
        <v>8</v>
      </c>
      <c r="C5346" t="s">
        <v>156</v>
      </c>
      <c r="D5346" t="str">
        <f>LEFT(M5346,9)</f>
        <v>1/15/2025</v>
      </c>
      <c r="E5346" t="s">
        <v>202</v>
      </c>
      <c r="F5346" t="s">
        <v>218</v>
      </c>
      <c r="G5346" t="s">
        <v>243</v>
      </c>
      <c r="H5346" t="s">
        <v>279</v>
      </c>
      <c r="I5346">
        <v>63</v>
      </c>
      <c r="J5346">
        <v>88.2</v>
      </c>
      <c r="K5346">
        <v>1.4</v>
      </c>
      <c r="M5346" t="s">
        <v>516</v>
      </c>
    </row>
    <row r="5347" spans="1:13" hidden="1">
      <c r="A5347" t="s">
        <v>157</v>
      </c>
      <c r="B5347" t="s">
        <v>8</v>
      </c>
      <c r="C5347" t="s">
        <v>156</v>
      </c>
      <c r="D5347" t="str">
        <f>LEFT(M5347,9)</f>
        <v>1/15/2025</v>
      </c>
      <c r="E5347" t="s">
        <v>202</v>
      </c>
      <c r="F5347" t="s">
        <v>218</v>
      </c>
      <c r="G5347" t="s">
        <v>243</v>
      </c>
      <c r="H5347" t="s">
        <v>278</v>
      </c>
      <c r="I5347">
        <v>347</v>
      </c>
      <c r="J5347">
        <v>347</v>
      </c>
      <c r="K5347">
        <v>1</v>
      </c>
      <c r="M5347" t="s">
        <v>516</v>
      </c>
    </row>
    <row r="5348" spans="1:13" hidden="1">
      <c r="A5348" t="s">
        <v>157</v>
      </c>
      <c r="B5348" t="s">
        <v>8</v>
      </c>
      <c r="C5348" t="s">
        <v>156</v>
      </c>
      <c r="D5348" t="str">
        <f>LEFT(M5348,9)</f>
        <v>1/15/2025</v>
      </c>
      <c r="E5348" t="s">
        <v>232</v>
      </c>
      <c r="F5348" t="s">
        <v>262</v>
      </c>
      <c r="I5348">
        <v>0</v>
      </c>
      <c r="J5348">
        <v>3000</v>
      </c>
      <c r="M5348" t="s">
        <v>516</v>
      </c>
    </row>
    <row r="5349" spans="1:13" hidden="1">
      <c r="A5349" t="s">
        <v>157</v>
      </c>
      <c r="B5349" t="s">
        <v>8</v>
      </c>
      <c r="C5349" t="s">
        <v>156</v>
      </c>
      <c r="D5349" t="str">
        <f>LEFT(M5349,9)</f>
        <v>1/15/2025</v>
      </c>
      <c r="E5349" t="s">
        <v>234</v>
      </c>
      <c r="F5349" t="s">
        <v>234</v>
      </c>
      <c r="I5349">
        <v>5800</v>
      </c>
      <c r="M5349" t="s">
        <v>516</v>
      </c>
    </row>
    <row r="5350" spans="1:13" hidden="1">
      <c r="A5350" t="s">
        <v>136</v>
      </c>
      <c r="B5350" t="s">
        <v>8</v>
      </c>
      <c r="C5350" t="s">
        <v>135</v>
      </c>
      <c r="D5350" t="str">
        <f>LEFT(M5350,9)</f>
        <v>1/15/2025</v>
      </c>
      <c r="E5350" t="s">
        <v>202</v>
      </c>
      <c r="F5350" t="s">
        <v>227</v>
      </c>
      <c r="G5350" t="s">
        <v>229</v>
      </c>
      <c r="I5350">
        <v>18090</v>
      </c>
      <c r="J5350">
        <v>13567.5</v>
      </c>
      <c r="K5350">
        <v>0.75</v>
      </c>
      <c r="M5350" t="s">
        <v>516</v>
      </c>
    </row>
    <row r="5351" spans="1:13" hidden="1">
      <c r="A5351" t="s">
        <v>136</v>
      </c>
      <c r="B5351" t="s">
        <v>8</v>
      </c>
      <c r="C5351" t="s">
        <v>135</v>
      </c>
      <c r="D5351" t="str">
        <f>LEFT(M5351,9)</f>
        <v>1/15/2025</v>
      </c>
      <c r="E5351" t="s">
        <v>202</v>
      </c>
      <c r="F5351" t="s">
        <v>227</v>
      </c>
      <c r="G5351" t="s">
        <v>228</v>
      </c>
      <c r="I5351">
        <v>1055</v>
      </c>
      <c r="J5351">
        <v>316.5</v>
      </c>
      <c r="K5351">
        <v>0.3</v>
      </c>
      <c r="M5351" t="s">
        <v>516</v>
      </c>
    </row>
    <row r="5352" spans="1:13" hidden="1">
      <c r="A5352" t="s">
        <v>136</v>
      </c>
      <c r="B5352" t="s">
        <v>8</v>
      </c>
      <c r="C5352" t="s">
        <v>135</v>
      </c>
      <c r="D5352" t="str">
        <f>LEFT(M5352,9)</f>
        <v>1/15/2025</v>
      </c>
      <c r="E5352" t="s">
        <v>202</v>
      </c>
      <c r="F5352" t="s">
        <v>227</v>
      </c>
      <c r="G5352" t="s">
        <v>238</v>
      </c>
      <c r="I5352">
        <v>910</v>
      </c>
      <c r="J5352">
        <v>364</v>
      </c>
      <c r="K5352">
        <v>0.4</v>
      </c>
      <c r="M5352" t="s">
        <v>516</v>
      </c>
    </row>
    <row r="5353" spans="1:13" hidden="1">
      <c r="A5353" t="s">
        <v>136</v>
      </c>
      <c r="B5353" t="s">
        <v>8</v>
      </c>
      <c r="C5353" t="s">
        <v>135</v>
      </c>
      <c r="D5353" t="str">
        <f>LEFT(M5353,9)</f>
        <v>1/15/2025</v>
      </c>
      <c r="E5353" t="s">
        <v>202</v>
      </c>
      <c r="F5353" t="s">
        <v>227</v>
      </c>
      <c r="G5353" t="s">
        <v>252</v>
      </c>
      <c r="I5353">
        <v>690</v>
      </c>
      <c r="J5353">
        <v>276</v>
      </c>
      <c r="K5353">
        <v>0.4</v>
      </c>
      <c r="M5353" t="s">
        <v>516</v>
      </c>
    </row>
    <row r="5354" spans="1:13" hidden="1">
      <c r="A5354" t="s">
        <v>136</v>
      </c>
      <c r="B5354" t="s">
        <v>8</v>
      </c>
      <c r="C5354" t="s">
        <v>135</v>
      </c>
      <c r="D5354" t="str">
        <f>LEFT(M5354,9)</f>
        <v>1/15/2025</v>
      </c>
      <c r="E5354" t="s">
        <v>202</v>
      </c>
      <c r="F5354" t="s">
        <v>227</v>
      </c>
      <c r="G5354" t="s">
        <v>237</v>
      </c>
      <c r="I5354">
        <v>2010</v>
      </c>
      <c r="J5354">
        <v>1005</v>
      </c>
      <c r="K5354">
        <v>0.5</v>
      </c>
      <c r="M5354" t="s">
        <v>516</v>
      </c>
    </row>
    <row r="5355" spans="1:13" hidden="1">
      <c r="A5355" t="s">
        <v>136</v>
      </c>
      <c r="B5355" t="s">
        <v>8</v>
      </c>
      <c r="C5355" t="s">
        <v>135</v>
      </c>
      <c r="D5355" t="str">
        <f>LEFT(M5355,9)</f>
        <v>1/15/2025</v>
      </c>
      <c r="E5355" t="s">
        <v>202</v>
      </c>
      <c r="F5355" t="s">
        <v>218</v>
      </c>
      <c r="G5355" t="s">
        <v>220</v>
      </c>
      <c r="I5355">
        <v>3044</v>
      </c>
      <c r="J5355">
        <v>6392.4</v>
      </c>
      <c r="K5355">
        <v>2.1</v>
      </c>
      <c r="M5355" t="s">
        <v>516</v>
      </c>
    </row>
    <row r="5356" spans="1:13" hidden="1">
      <c r="A5356" t="s">
        <v>136</v>
      </c>
      <c r="B5356" t="s">
        <v>8</v>
      </c>
      <c r="C5356" t="s">
        <v>135</v>
      </c>
      <c r="D5356" t="str">
        <f>LEFT(M5356,9)</f>
        <v>1/15/2025</v>
      </c>
      <c r="E5356" t="s">
        <v>202</v>
      </c>
      <c r="F5356" t="s">
        <v>218</v>
      </c>
      <c r="G5356" t="s">
        <v>240</v>
      </c>
      <c r="I5356">
        <v>3410</v>
      </c>
      <c r="J5356">
        <v>15345</v>
      </c>
      <c r="K5356">
        <v>4.5</v>
      </c>
      <c r="M5356" t="s">
        <v>516</v>
      </c>
    </row>
    <row r="5357" spans="1:13" hidden="1">
      <c r="A5357" t="s">
        <v>136</v>
      </c>
      <c r="B5357" t="s">
        <v>8</v>
      </c>
      <c r="C5357" t="s">
        <v>135</v>
      </c>
      <c r="D5357" t="str">
        <f>LEFT(M5357,9)</f>
        <v>1/15/2025</v>
      </c>
      <c r="E5357" t="s">
        <v>202</v>
      </c>
      <c r="F5357" t="s">
        <v>218</v>
      </c>
      <c r="G5357" t="s">
        <v>222</v>
      </c>
      <c r="I5357">
        <v>2090</v>
      </c>
      <c r="J5357">
        <v>5508</v>
      </c>
      <c r="K5357">
        <v>2.64</v>
      </c>
      <c r="M5357" t="s">
        <v>516</v>
      </c>
    </row>
    <row r="5358" spans="1:13" hidden="1">
      <c r="A5358" t="s">
        <v>136</v>
      </c>
      <c r="B5358" t="s">
        <v>8</v>
      </c>
      <c r="C5358" t="s">
        <v>135</v>
      </c>
      <c r="D5358" t="str">
        <f>LEFT(M5358,9)</f>
        <v>1/15/2025</v>
      </c>
      <c r="E5358" t="s">
        <v>202</v>
      </c>
      <c r="F5358" t="s">
        <v>218</v>
      </c>
      <c r="G5358" t="s">
        <v>221</v>
      </c>
      <c r="I5358">
        <v>2320</v>
      </c>
      <c r="J5358">
        <v>5800</v>
      </c>
      <c r="K5358">
        <v>2.5</v>
      </c>
      <c r="M5358" t="s">
        <v>516</v>
      </c>
    </row>
    <row r="5359" spans="1:13" hidden="1">
      <c r="A5359" t="s">
        <v>136</v>
      </c>
      <c r="B5359" t="s">
        <v>8</v>
      </c>
      <c r="C5359" t="s">
        <v>135</v>
      </c>
      <c r="D5359" t="str">
        <f>LEFT(M5359,9)</f>
        <v>1/15/2025</v>
      </c>
      <c r="E5359" t="s">
        <v>202</v>
      </c>
      <c r="F5359" t="s">
        <v>218</v>
      </c>
      <c r="G5359" t="s">
        <v>226</v>
      </c>
      <c r="I5359">
        <v>1910</v>
      </c>
      <c r="J5359">
        <v>668.5</v>
      </c>
      <c r="K5359">
        <v>0.35</v>
      </c>
      <c r="M5359" t="s">
        <v>516</v>
      </c>
    </row>
    <row r="5360" spans="1:13" hidden="1">
      <c r="A5360" t="s">
        <v>136</v>
      </c>
      <c r="B5360" t="s">
        <v>8</v>
      </c>
      <c r="C5360" t="s">
        <v>135</v>
      </c>
      <c r="D5360" t="str">
        <f>LEFT(M5360,9)</f>
        <v>1/15/2025</v>
      </c>
      <c r="E5360" t="s">
        <v>202</v>
      </c>
      <c r="F5360" t="s">
        <v>218</v>
      </c>
      <c r="G5360" t="s">
        <v>225</v>
      </c>
      <c r="I5360">
        <v>220</v>
      </c>
      <c r="J5360">
        <v>176</v>
      </c>
      <c r="K5360">
        <v>0.8</v>
      </c>
      <c r="M5360" t="s">
        <v>516</v>
      </c>
    </row>
    <row r="5361" spans="1:13" hidden="1">
      <c r="A5361" t="s">
        <v>136</v>
      </c>
      <c r="B5361" t="s">
        <v>8</v>
      </c>
      <c r="C5361" t="s">
        <v>135</v>
      </c>
      <c r="D5361" t="str">
        <f>LEFT(M5361,9)</f>
        <v>1/15/2025</v>
      </c>
      <c r="E5361" t="s">
        <v>202</v>
      </c>
      <c r="F5361" t="s">
        <v>218</v>
      </c>
      <c r="G5361" t="s">
        <v>243</v>
      </c>
      <c r="H5361" t="s">
        <v>364</v>
      </c>
      <c r="I5361">
        <v>180</v>
      </c>
      <c r="J5361">
        <v>180</v>
      </c>
      <c r="K5361">
        <v>1</v>
      </c>
      <c r="M5361" t="s">
        <v>516</v>
      </c>
    </row>
    <row r="5362" spans="1:13" hidden="1">
      <c r="A5362" t="s">
        <v>136</v>
      </c>
      <c r="B5362" t="s">
        <v>8</v>
      </c>
      <c r="C5362" t="s">
        <v>135</v>
      </c>
      <c r="D5362" t="str">
        <f>LEFT(M5362,9)</f>
        <v>1/15/2025</v>
      </c>
      <c r="E5362" t="s">
        <v>202</v>
      </c>
      <c r="F5362" t="s">
        <v>218</v>
      </c>
      <c r="G5362" t="s">
        <v>247</v>
      </c>
      <c r="I5362">
        <v>115</v>
      </c>
      <c r="J5362">
        <v>460</v>
      </c>
      <c r="K5362">
        <v>4</v>
      </c>
      <c r="M5362" t="s">
        <v>516</v>
      </c>
    </row>
    <row r="5363" spans="1:13" hidden="1">
      <c r="A5363" t="s">
        <v>136</v>
      </c>
      <c r="B5363" t="s">
        <v>8</v>
      </c>
      <c r="C5363" t="s">
        <v>135</v>
      </c>
      <c r="D5363" t="str">
        <f>LEFT(M5363,9)</f>
        <v>1/15/2025</v>
      </c>
      <c r="E5363" t="s">
        <v>202</v>
      </c>
      <c r="F5363" t="s">
        <v>216</v>
      </c>
      <c r="G5363" t="s">
        <v>253</v>
      </c>
      <c r="I5363">
        <v>2100</v>
      </c>
      <c r="J5363">
        <v>231</v>
      </c>
      <c r="K5363">
        <v>0.11</v>
      </c>
      <c r="M5363" t="s">
        <v>516</v>
      </c>
    </row>
    <row r="5364" spans="1:13" hidden="1">
      <c r="A5364" t="s">
        <v>136</v>
      </c>
      <c r="B5364" t="s">
        <v>8</v>
      </c>
      <c r="C5364" t="s">
        <v>135</v>
      </c>
      <c r="D5364" t="str">
        <f>LEFT(M5364,9)</f>
        <v>1/15/2025</v>
      </c>
      <c r="E5364" t="s">
        <v>202</v>
      </c>
      <c r="F5364" t="s">
        <v>203</v>
      </c>
      <c r="G5364" t="s">
        <v>215</v>
      </c>
      <c r="I5364">
        <v>14088</v>
      </c>
      <c r="J5364">
        <v>11270.4</v>
      </c>
      <c r="K5364">
        <v>0.8</v>
      </c>
      <c r="M5364" t="s">
        <v>516</v>
      </c>
    </row>
    <row r="5365" spans="1:13" hidden="1">
      <c r="A5365" t="s">
        <v>136</v>
      </c>
      <c r="B5365" t="s">
        <v>8</v>
      </c>
      <c r="C5365" t="s">
        <v>135</v>
      </c>
      <c r="D5365" t="str">
        <f>LEFT(M5365,9)</f>
        <v>1/15/2025</v>
      </c>
      <c r="E5365" t="s">
        <v>202</v>
      </c>
      <c r="F5365" t="s">
        <v>203</v>
      </c>
      <c r="G5365" t="s">
        <v>204</v>
      </c>
      <c r="I5365">
        <v>1710</v>
      </c>
      <c r="J5365">
        <v>15390</v>
      </c>
      <c r="K5365">
        <v>9</v>
      </c>
      <c r="M5365" t="s">
        <v>516</v>
      </c>
    </row>
    <row r="5366" spans="1:13" hidden="1">
      <c r="A5366" t="s">
        <v>136</v>
      </c>
      <c r="B5366" t="s">
        <v>8</v>
      </c>
      <c r="C5366" t="s">
        <v>135</v>
      </c>
      <c r="D5366" t="str">
        <f>LEFT(M5366,9)</f>
        <v>1/15/2025</v>
      </c>
      <c r="E5366" t="s">
        <v>202</v>
      </c>
      <c r="F5366" t="s">
        <v>203</v>
      </c>
      <c r="G5366" t="s">
        <v>208</v>
      </c>
      <c r="I5366">
        <v>380</v>
      </c>
      <c r="J5366">
        <v>3420</v>
      </c>
      <c r="K5366">
        <v>9</v>
      </c>
      <c r="M5366" t="s">
        <v>516</v>
      </c>
    </row>
    <row r="5367" spans="1:13" hidden="1">
      <c r="A5367" t="s">
        <v>136</v>
      </c>
      <c r="B5367" t="s">
        <v>8</v>
      </c>
      <c r="C5367" t="s">
        <v>135</v>
      </c>
      <c r="D5367" t="str">
        <f>LEFT(M5367,9)</f>
        <v>1/15/2025</v>
      </c>
      <c r="E5367" t="s">
        <v>202</v>
      </c>
      <c r="F5367" t="s">
        <v>203</v>
      </c>
      <c r="G5367" t="s">
        <v>260</v>
      </c>
      <c r="I5367">
        <v>155</v>
      </c>
      <c r="J5367">
        <v>5890</v>
      </c>
      <c r="K5367">
        <v>38</v>
      </c>
      <c r="M5367" t="s">
        <v>516</v>
      </c>
    </row>
    <row r="5368" spans="1:13" hidden="1">
      <c r="A5368" t="s">
        <v>136</v>
      </c>
      <c r="B5368" t="s">
        <v>8</v>
      </c>
      <c r="C5368" t="s">
        <v>135</v>
      </c>
      <c r="D5368" t="str">
        <f>LEFT(M5368,9)</f>
        <v>1/15/2025</v>
      </c>
      <c r="E5368" t="s">
        <v>202</v>
      </c>
      <c r="F5368" t="s">
        <v>203</v>
      </c>
      <c r="G5368" t="s">
        <v>259</v>
      </c>
      <c r="I5368">
        <v>112</v>
      </c>
      <c r="J5368">
        <v>2464</v>
      </c>
      <c r="K5368">
        <v>22</v>
      </c>
      <c r="M5368" t="s">
        <v>516</v>
      </c>
    </row>
    <row r="5369" spans="1:13" hidden="1">
      <c r="A5369" t="s">
        <v>136</v>
      </c>
      <c r="B5369" t="s">
        <v>8</v>
      </c>
      <c r="C5369" t="s">
        <v>135</v>
      </c>
      <c r="D5369" t="str">
        <f>LEFT(M5369,9)</f>
        <v>1/15/2025</v>
      </c>
      <c r="E5369" t="s">
        <v>202</v>
      </c>
      <c r="F5369" t="s">
        <v>203</v>
      </c>
      <c r="G5369" t="s">
        <v>207</v>
      </c>
      <c r="I5369">
        <v>213</v>
      </c>
      <c r="J5369">
        <v>958.5</v>
      </c>
      <c r="K5369">
        <v>4.5</v>
      </c>
      <c r="M5369" t="s">
        <v>516</v>
      </c>
    </row>
    <row r="5370" spans="1:13" hidden="1">
      <c r="A5370" t="s">
        <v>136</v>
      </c>
      <c r="B5370" t="s">
        <v>8</v>
      </c>
      <c r="C5370" t="s">
        <v>135</v>
      </c>
      <c r="D5370" t="str">
        <f>LEFT(M5370,9)</f>
        <v>1/15/2025</v>
      </c>
      <c r="E5370" t="s">
        <v>202</v>
      </c>
      <c r="F5370" t="s">
        <v>218</v>
      </c>
      <c r="G5370" t="s">
        <v>223</v>
      </c>
      <c r="I5370">
        <v>2810</v>
      </c>
      <c r="J5370">
        <v>2248</v>
      </c>
      <c r="K5370">
        <v>0.8</v>
      </c>
      <c r="M5370" t="s">
        <v>516</v>
      </c>
    </row>
    <row r="5371" spans="1:13" hidden="1">
      <c r="A5371" t="s">
        <v>136</v>
      </c>
      <c r="B5371" t="s">
        <v>8</v>
      </c>
      <c r="C5371" t="s">
        <v>135</v>
      </c>
      <c r="D5371" t="str">
        <f>LEFT(M5371,9)</f>
        <v>1/15/2025</v>
      </c>
      <c r="E5371" t="s">
        <v>232</v>
      </c>
      <c r="F5371" t="s">
        <v>290</v>
      </c>
      <c r="I5371">
        <v>0</v>
      </c>
      <c r="J5371">
        <v>423</v>
      </c>
      <c r="M5371" t="s">
        <v>516</v>
      </c>
    </row>
    <row r="5372" spans="1:13" hidden="1">
      <c r="A5372" t="s">
        <v>136</v>
      </c>
      <c r="B5372" t="s">
        <v>8</v>
      </c>
      <c r="C5372" t="s">
        <v>135</v>
      </c>
      <c r="D5372" t="str">
        <f>LEFT(M5372,9)</f>
        <v>1/15/2025</v>
      </c>
      <c r="E5372" t="s">
        <v>232</v>
      </c>
      <c r="F5372" t="s">
        <v>251</v>
      </c>
      <c r="I5372">
        <v>0</v>
      </c>
      <c r="J5372">
        <v>690</v>
      </c>
      <c r="M5372" t="s">
        <v>516</v>
      </c>
    </row>
    <row r="5373" spans="1:13" hidden="1">
      <c r="A5373" t="s">
        <v>136</v>
      </c>
      <c r="B5373" t="s">
        <v>8</v>
      </c>
      <c r="C5373" t="s">
        <v>135</v>
      </c>
      <c r="D5373" t="str">
        <f>LEFT(M5373,9)</f>
        <v>1/15/2025</v>
      </c>
      <c r="E5373" t="s">
        <v>232</v>
      </c>
      <c r="F5373" t="s">
        <v>291</v>
      </c>
      <c r="I5373">
        <v>0</v>
      </c>
      <c r="J5373">
        <v>280</v>
      </c>
      <c r="M5373" t="s">
        <v>516</v>
      </c>
    </row>
    <row r="5374" spans="1:13" hidden="1">
      <c r="A5374" t="s">
        <v>136</v>
      </c>
      <c r="B5374" t="s">
        <v>8</v>
      </c>
      <c r="C5374" t="s">
        <v>135</v>
      </c>
      <c r="D5374" t="str">
        <f>LEFT(M5374,9)</f>
        <v>1/15/2025</v>
      </c>
      <c r="E5374" t="s">
        <v>234</v>
      </c>
      <c r="F5374" t="s">
        <v>234</v>
      </c>
      <c r="I5374">
        <v>7922</v>
      </c>
      <c r="M5374" t="s">
        <v>516</v>
      </c>
    </row>
    <row r="5375" spans="1:13" hidden="1">
      <c r="A5375" t="s">
        <v>136</v>
      </c>
      <c r="B5375" t="s">
        <v>8</v>
      </c>
      <c r="C5375" t="s">
        <v>135</v>
      </c>
      <c r="D5375" t="str">
        <f>LEFT(M5375,9)</f>
        <v>1/15/2025</v>
      </c>
      <c r="E5375" t="s">
        <v>230</v>
      </c>
      <c r="F5375" t="s">
        <v>248</v>
      </c>
      <c r="I5375">
        <v>0</v>
      </c>
      <c r="J5375">
        <v>7290</v>
      </c>
      <c r="M5375" t="s">
        <v>516</v>
      </c>
    </row>
    <row r="5376" spans="1:13" hidden="1">
      <c r="A5376" t="s">
        <v>119</v>
      </c>
      <c r="B5376" t="s">
        <v>8</v>
      </c>
      <c r="C5376" t="s">
        <v>118</v>
      </c>
      <c r="D5376" t="str">
        <f>LEFT(M5376,9)</f>
        <v>1/15/2025</v>
      </c>
      <c r="E5376" t="s">
        <v>234</v>
      </c>
      <c r="F5376" t="s">
        <v>234</v>
      </c>
      <c r="I5376">
        <v>1659</v>
      </c>
      <c r="M5376" t="s">
        <v>516</v>
      </c>
    </row>
    <row r="5377" spans="1:13" hidden="1">
      <c r="A5377" t="s">
        <v>149</v>
      </c>
      <c r="B5377" t="s">
        <v>8</v>
      </c>
      <c r="C5377" t="s">
        <v>148</v>
      </c>
      <c r="D5377" t="str">
        <f>LEFT(M5377,9)</f>
        <v>1/15/2025</v>
      </c>
      <c r="E5377" t="s">
        <v>232</v>
      </c>
      <c r="F5377" t="s">
        <v>255</v>
      </c>
      <c r="G5377" t="s">
        <v>249</v>
      </c>
      <c r="I5377">
        <v>0</v>
      </c>
      <c r="J5377">
        <v>6337.2</v>
      </c>
      <c r="L5377" t="s">
        <v>569</v>
      </c>
      <c r="M5377" t="s">
        <v>516</v>
      </c>
    </row>
    <row r="5378" spans="1:13" hidden="1">
      <c r="A5378" t="s">
        <v>149</v>
      </c>
      <c r="B5378" t="s">
        <v>8</v>
      </c>
      <c r="C5378" t="s">
        <v>148</v>
      </c>
      <c r="D5378" t="str">
        <f>LEFT(M5378,9)</f>
        <v>1/15/2025</v>
      </c>
      <c r="E5378" t="s">
        <v>230</v>
      </c>
      <c r="F5378" t="s">
        <v>248</v>
      </c>
      <c r="G5378" t="s">
        <v>249</v>
      </c>
      <c r="I5378">
        <v>0</v>
      </c>
      <c r="J5378">
        <v>13190.45</v>
      </c>
      <c r="M5378" t="s">
        <v>516</v>
      </c>
    </row>
    <row r="5379" spans="1:13" hidden="1">
      <c r="A5379" t="s">
        <v>149</v>
      </c>
      <c r="B5379" t="s">
        <v>8</v>
      </c>
      <c r="C5379" t="s">
        <v>148</v>
      </c>
      <c r="D5379" t="str">
        <f>LEFT(M5379,9)</f>
        <v>1/15/2025</v>
      </c>
      <c r="E5379" t="s">
        <v>202</v>
      </c>
      <c r="F5379" t="s">
        <v>227</v>
      </c>
      <c r="G5379" t="s">
        <v>252</v>
      </c>
      <c r="I5379">
        <v>1655</v>
      </c>
      <c r="J5379">
        <v>1158.5</v>
      </c>
      <c r="K5379">
        <v>0.7</v>
      </c>
      <c r="M5379" t="s">
        <v>516</v>
      </c>
    </row>
    <row r="5380" spans="1:13" hidden="1">
      <c r="A5380" t="s">
        <v>149</v>
      </c>
      <c r="B5380" t="s">
        <v>8</v>
      </c>
      <c r="C5380" t="s">
        <v>148</v>
      </c>
      <c r="D5380" t="str">
        <f>LEFT(M5380,9)</f>
        <v>1/15/2025</v>
      </c>
      <c r="E5380" t="s">
        <v>202</v>
      </c>
      <c r="F5380" t="s">
        <v>227</v>
      </c>
      <c r="G5380" t="s">
        <v>238</v>
      </c>
      <c r="I5380">
        <v>705</v>
      </c>
      <c r="J5380">
        <v>282</v>
      </c>
      <c r="K5380">
        <v>0.4</v>
      </c>
      <c r="M5380" t="s">
        <v>516</v>
      </c>
    </row>
    <row r="5381" spans="1:13" hidden="1">
      <c r="A5381" t="s">
        <v>149</v>
      </c>
      <c r="B5381" t="s">
        <v>8</v>
      </c>
      <c r="C5381" t="s">
        <v>148</v>
      </c>
      <c r="D5381" t="str">
        <f>LEFT(M5381,9)</f>
        <v>1/15/2025</v>
      </c>
      <c r="E5381" t="s">
        <v>202</v>
      </c>
      <c r="F5381" t="s">
        <v>227</v>
      </c>
      <c r="G5381" t="s">
        <v>228</v>
      </c>
      <c r="I5381">
        <v>4152</v>
      </c>
      <c r="J5381">
        <v>1245.5999999999999</v>
      </c>
      <c r="K5381">
        <v>0.3</v>
      </c>
      <c r="M5381" t="s">
        <v>516</v>
      </c>
    </row>
    <row r="5382" spans="1:13" hidden="1">
      <c r="A5382" t="s">
        <v>149</v>
      </c>
      <c r="B5382" t="s">
        <v>8</v>
      </c>
      <c r="C5382" t="s">
        <v>148</v>
      </c>
      <c r="D5382" t="str">
        <f>LEFT(M5382,9)</f>
        <v>1/15/2025</v>
      </c>
      <c r="E5382" t="s">
        <v>202</v>
      </c>
      <c r="F5382" t="s">
        <v>227</v>
      </c>
      <c r="G5382" t="s">
        <v>252</v>
      </c>
      <c r="I5382">
        <v>6984</v>
      </c>
      <c r="J5382">
        <v>5936.4</v>
      </c>
      <c r="K5382">
        <v>0.85</v>
      </c>
      <c r="M5382" t="s">
        <v>516</v>
      </c>
    </row>
    <row r="5383" spans="1:13" hidden="1">
      <c r="A5383" t="s">
        <v>149</v>
      </c>
      <c r="B5383" t="s">
        <v>8</v>
      </c>
      <c r="C5383" t="s">
        <v>148</v>
      </c>
      <c r="D5383" t="str">
        <f>LEFT(M5383,9)</f>
        <v>1/15/2025</v>
      </c>
      <c r="E5383" t="s">
        <v>202</v>
      </c>
      <c r="F5383" t="s">
        <v>227</v>
      </c>
      <c r="G5383" t="s">
        <v>252</v>
      </c>
      <c r="I5383">
        <v>811</v>
      </c>
      <c r="J5383">
        <v>324.39999999999998</v>
      </c>
      <c r="K5383">
        <v>0.4</v>
      </c>
      <c r="M5383" t="s">
        <v>516</v>
      </c>
    </row>
    <row r="5384" spans="1:13" hidden="1">
      <c r="A5384" t="s">
        <v>149</v>
      </c>
      <c r="B5384" t="s">
        <v>8</v>
      </c>
      <c r="C5384" t="s">
        <v>148</v>
      </c>
      <c r="D5384" t="str">
        <f>LEFT(M5384,9)</f>
        <v>1/15/2025</v>
      </c>
      <c r="E5384" t="s">
        <v>202</v>
      </c>
      <c r="F5384" t="s">
        <v>203</v>
      </c>
      <c r="G5384" t="s">
        <v>236</v>
      </c>
      <c r="I5384">
        <v>1330</v>
      </c>
      <c r="J5384">
        <v>931</v>
      </c>
      <c r="K5384">
        <v>0.7</v>
      </c>
      <c r="M5384" t="s">
        <v>516</v>
      </c>
    </row>
    <row r="5385" spans="1:13" hidden="1">
      <c r="A5385" t="s">
        <v>149</v>
      </c>
      <c r="B5385" t="s">
        <v>8</v>
      </c>
      <c r="C5385" t="s">
        <v>148</v>
      </c>
      <c r="D5385" t="str">
        <f>LEFT(M5385,9)</f>
        <v>1/15/2025</v>
      </c>
      <c r="E5385" t="s">
        <v>202</v>
      </c>
      <c r="F5385" t="s">
        <v>203</v>
      </c>
      <c r="G5385" t="s">
        <v>207</v>
      </c>
      <c r="I5385">
        <v>40.340000000000003</v>
      </c>
      <c r="J5385">
        <v>383.23</v>
      </c>
      <c r="K5385">
        <v>9.5</v>
      </c>
      <c r="M5385" t="s">
        <v>516</v>
      </c>
    </row>
    <row r="5386" spans="1:13" hidden="1">
      <c r="A5386" t="s">
        <v>149</v>
      </c>
      <c r="B5386" t="s">
        <v>8</v>
      </c>
      <c r="C5386" t="s">
        <v>148</v>
      </c>
      <c r="D5386" t="str">
        <f>LEFT(M5386,9)</f>
        <v>1/15/2025</v>
      </c>
      <c r="E5386" t="s">
        <v>202</v>
      </c>
      <c r="F5386" t="s">
        <v>203</v>
      </c>
      <c r="G5386" t="s">
        <v>204</v>
      </c>
      <c r="I5386">
        <v>194.6</v>
      </c>
      <c r="J5386">
        <v>1595.72</v>
      </c>
      <c r="K5386">
        <v>8.1999999999999993</v>
      </c>
      <c r="M5386" t="s">
        <v>516</v>
      </c>
    </row>
    <row r="5387" spans="1:13" hidden="1">
      <c r="A5387" t="s">
        <v>149</v>
      </c>
      <c r="B5387" t="s">
        <v>8</v>
      </c>
      <c r="C5387" t="s">
        <v>148</v>
      </c>
      <c r="D5387" t="str">
        <f>LEFT(M5387,9)</f>
        <v>1/15/2025</v>
      </c>
      <c r="E5387" t="s">
        <v>202</v>
      </c>
      <c r="F5387" t="s">
        <v>203</v>
      </c>
      <c r="G5387" t="s">
        <v>208</v>
      </c>
      <c r="I5387">
        <v>46.5</v>
      </c>
      <c r="J5387">
        <v>418.5</v>
      </c>
      <c r="K5387">
        <v>9</v>
      </c>
      <c r="M5387" t="s">
        <v>516</v>
      </c>
    </row>
    <row r="5388" spans="1:13" hidden="1">
      <c r="A5388" t="s">
        <v>149</v>
      </c>
      <c r="B5388" t="s">
        <v>8</v>
      </c>
      <c r="C5388" t="s">
        <v>148</v>
      </c>
      <c r="D5388" t="str">
        <f>LEFT(M5388,9)</f>
        <v>1/15/2025</v>
      </c>
      <c r="E5388" t="s">
        <v>202</v>
      </c>
      <c r="F5388" t="s">
        <v>203</v>
      </c>
      <c r="G5388" t="s">
        <v>207</v>
      </c>
      <c r="I5388">
        <v>64</v>
      </c>
      <c r="J5388">
        <v>288</v>
      </c>
      <c r="K5388">
        <v>4.5</v>
      </c>
      <c r="M5388" t="s">
        <v>516</v>
      </c>
    </row>
    <row r="5389" spans="1:13" hidden="1">
      <c r="A5389" t="s">
        <v>149</v>
      </c>
      <c r="B5389" t="s">
        <v>8</v>
      </c>
      <c r="C5389" t="s">
        <v>148</v>
      </c>
      <c r="D5389" t="str">
        <f>LEFT(M5389,9)</f>
        <v>1/15/2025</v>
      </c>
      <c r="E5389" t="s">
        <v>202</v>
      </c>
      <c r="F5389" t="s">
        <v>203</v>
      </c>
      <c r="G5389" t="s">
        <v>261</v>
      </c>
      <c r="I5389">
        <v>22.4</v>
      </c>
      <c r="J5389">
        <v>918.4</v>
      </c>
      <c r="K5389">
        <v>41</v>
      </c>
      <c r="M5389" t="s">
        <v>516</v>
      </c>
    </row>
    <row r="5390" spans="1:13" hidden="1">
      <c r="A5390" t="s">
        <v>149</v>
      </c>
      <c r="B5390" t="s">
        <v>8</v>
      </c>
      <c r="C5390" t="s">
        <v>148</v>
      </c>
      <c r="D5390" t="str">
        <f>LEFT(M5390,9)</f>
        <v>1/15/2025</v>
      </c>
      <c r="E5390" t="s">
        <v>202</v>
      </c>
      <c r="F5390" t="s">
        <v>203</v>
      </c>
      <c r="G5390" t="s">
        <v>215</v>
      </c>
      <c r="I5390">
        <v>7</v>
      </c>
      <c r="J5390">
        <v>140</v>
      </c>
      <c r="K5390">
        <v>20</v>
      </c>
      <c r="M5390" t="s">
        <v>516</v>
      </c>
    </row>
    <row r="5391" spans="1:13" hidden="1">
      <c r="A5391" t="s">
        <v>149</v>
      </c>
      <c r="B5391" t="s">
        <v>8</v>
      </c>
      <c r="C5391" t="s">
        <v>148</v>
      </c>
      <c r="D5391" t="str">
        <f>LEFT(M5391,9)</f>
        <v>1/15/2025</v>
      </c>
      <c r="E5391" t="s">
        <v>202</v>
      </c>
      <c r="F5391" t="s">
        <v>216</v>
      </c>
      <c r="G5391" t="s">
        <v>217</v>
      </c>
      <c r="I5391">
        <v>410</v>
      </c>
      <c r="J5391">
        <v>328</v>
      </c>
      <c r="K5391">
        <v>0.8</v>
      </c>
      <c r="M5391" t="s">
        <v>516</v>
      </c>
    </row>
    <row r="5392" spans="1:13" hidden="1">
      <c r="A5392" t="s">
        <v>149</v>
      </c>
      <c r="B5392" t="s">
        <v>8</v>
      </c>
      <c r="C5392" t="s">
        <v>148</v>
      </c>
      <c r="D5392" t="str">
        <f>LEFT(M5392,9)</f>
        <v>1/15/2025</v>
      </c>
      <c r="E5392" t="s">
        <v>202</v>
      </c>
      <c r="F5392" t="s">
        <v>216</v>
      </c>
      <c r="G5392" t="s">
        <v>253</v>
      </c>
      <c r="I5392">
        <v>8030</v>
      </c>
      <c r="J5392">
        <v>1606</v>
      </c>
      <c r="K5392">
        <v>0.2</v>
      </c>
      <c r="M5392" t="s">
        <v>516</v>
      </c>
    </row>
    <row r="5393" spans="1:13" hidden="1">
      <c r="A5393" t="s">
        <v>149</v>
      </c>
      <c r="B5393" t="s">
        <v>8</v>
      </c>
      <c r="C5393" t="s">
        <v>148</v>
      </c>
      <c r="D5393" t="str">
        <f>LEFT(M5393,9)</f>
        <v>1/15/2025</v>
      </c>
      <c r="E5393" t="s">
        <v>202</v>
      </c>
      <c r="F5393" t="s">
        <v>216</v>
      </c>
      <c r="G5393" t="s">
        <v>217</v>
      </c>
      <c r="I5393">
        <v>22</v>
      </c>
      <c r="J5393">
        <v>37.4</v>
      </c>
      <c r="K5393">
        <v>1.7</v>
      </c>
      <c r="M5393" t="s">
        <v>516</v>
      </c>
    </row>
    <row r="5394" spans="1:13" hidden="1">
      <c r="A5394" t="s">
        <v>149</v>
      </c>
      <c r="B5394" t="s">
        <v>8</v>
      </c>
      <c r="C5394" t="s">
        <v>148</v>
      </c>
      <c r="D5394" t="str">
        <f>LEFT(M5394,9)</f>
        <v>1/15/2025</v>
      </c>
      <c r="E5394" t="s">
        <v>202</v>
      </c>
      <c r="F5394" t="s">
        <v>216</v>
      </c>
      <c r="G5394" t="s">
        <v>217</v>
      </c>
      <c r="I5394">
        <v>4</v>
      </c>
      <c r="J5394">
        <v>2.4</v>
      </c>
      <c r="K5394">
        <v>0.6</v>
      </c>
      <c r="M5394" t="s">
        <v>516</v>
      </c>
    </row>
    <row r="5395" spans="1:13" hidden="1">
      <c r="A5395" t="s">
        <v>149</v>
      </c>
      <c r="B5395" t="s">
        <v>8</v>
      </c>
      <c r="C5395" t="s">
        <v>148</v>
      </c>
      <c r="D5395" t="str">
        <f>LEFT(M5395,9)</f>
        <v>1/15/2025</v>
      </c>
      <c r="E5395" t="s">
        <v>202</v>
      </c>
      <c r="F5395" t="s">
        <v>216</v>
      </c>
      <c r="G5395" t="s">
        <v>217</v>
      </c>
      <c r="I5395">
        <v>42</v>
      </c>
      <c r="J5395">
        <v>63</v>
      </c>
      <c r="K5395">
        <v>1.5</v>
      </c>
      <c r="M5395" t="s">
        <v>516</v>
      </c>
    </row>
    <row r="5396" spans="1:13" hidden="1">
      <c r="A5396" t="s">
        <v>149</v>
      </c>
      <c r="B5396" t="s">
        <v>8</v>
      </c>
      <c r="C5396" t="s">
        <v>148</v>
      </c>
      <c r="D5396" t="str">
        <f>LEFT(M5396,9)</f>
        <v>1/15/2025</v>
      </c>
      <c r="E5396" t="s">
        <v>202</v>
      </c>
      <c r="F5396" t="s">
        <v>216</v>
      </c>
      <c r="G5396" t="s">
        <v>217</v>
      </c>
      <c r="I5396">
        <v>22.5</v>
      </c>
      <c r="J5396">
        <v>67.5</v>
      </c>
      <c r="K5396">
        <v>3</v>
      </c>
      <c r="M5396" t="s">
        <v>516</v>
      </c>
    </row>
    <row r="5397" spans="1:13" hidden="1">
      <c r="A5397" t="s">
        <v>149</v>
      </c>
      <c r="B5397" t="s">
        <v>8</v>
      </c>
      <c r="C5397" t="s">
        <v>148</v>
      </c>
      <c r="D5397" t="str">
        <f>LEFT(M5397,9)</f>
        <v>1/15/2025</v>
      </c>
      <c r="E5397" t="s">
        <v>202</v>
      </c>
      <c r="F5397" t="s">
        <v>216</v>
      </c>
      <c r="G5397" t="s">
        <v>217</v>
      </c>
      <c r="I5397">
        <v>1492</v>
      </c>
      <c r="J5397">
        <v>522.20000000000005</v>
      </c>
      <c r="K5397">
        <v>0.35</v>
      </c>
      <c r="M5397" t="s">
        <v>516</v>
      </c>
    </row>
    <row r="5398" spans="1:13" hidden="1">
      <c r="A5398" t="s">
        <v>149</v>
      </c>
      <c r="B5398" t="s">
        <v>8</v>
      </c>
      <c r="C5398" t="s">
        <v>148</v>
      </c>
      <c r="D5398" t="str">
        <f>LEFT(M5398,9)</f>
        <v>1/15/2025</v>
      </c>
      <c r="E5398" t="s">
        <v>202</v>
      </c>
      <c r="F5398" t="s">
        <v>209</v>
      </c>
      <c r="G5398" t="s">
        <v>341</v>
      </c>
      <c r="I5398">
        <v>6.7</v>
      </c>
      <c r="J5398">
        <v>100.5</v>
      </c>
      <c r="K5398">
        <v>15</v>
      </c>
      <c r="M5398" t="s">
        <v>516</v>
      </c>
    </row>
    <row r="5399" spans="1:13" hidden="1">
      <c r="A5399" t="s">
        <v>149</v>
      </c>
      <c r="B5399" t="s">
        <v>8</v>
      </c>
      <c r="C5399" t="s">
        <v>148</v>
      </c>
      <c r="D5399" t="str">
        <f>LEFT(M5399,9)</f>
        <v>1/15/2025</v>
      </c>
      <c r="E5399" t="s">
        <v>202</v>
      </c>
      <c r="F5399" t="s">
        <v>209</v>
      </c>
      <c r="G5399" t="s">
        <v>213</v>
      </c>
      <c r="I5399">
        <v>0.2</v>
      </c>
      <c r="J5399">
        <v>0.5</v>
      </c>
      <c r="K5399">
        <v>2.5</v>
      </c>
      <c r="M5399" t="s">
        <v>516</v>
      </c>
    </row>
    <row r="5400" spans="1:13" hidden="1">
      <c r="A5400" t="s">
        <v>149</v>
      </c>
      <c r="B5400" t="s">
        <v>8</v>
      </c>
      <c r="C5400" t="s">
        <v>148</v>
      </c>
      <c r="D5400" t="str">
        <f>LEFT(M5400,9)</f>
        <v>1/15/2025</v>
      </c>
      <c r="E5400" t="s">
        <v>202</v>
      </c>
      <c r="F5400" t="s">
        <v>203</v>
      </c>
      <c r="G5400" t="s">
        <v>236</v>
      </c>
      <c r="I5400">
        <v>5.0999999999999996</v>
      </c>
      <c r="J5400">
        <v>5.0999999999999996</v>
      </c>
      <c r="K5400">
        <v>1</v>
      </c>
      <c r="M5400" t="s">
        <v>516</v>
      </c>
    </row>
    <row r="5401" spans="1:13" hidden="1">
      <c r="A5401" t="s">
        <v>149</v>
      </c>
      <c r="B5401" t="s">
        <v>8</v>
      </c>
      <c r="C5401" t="s">
        <v>148</v>
      </c>
      <c r="D5401" t="str">
        <f>LEFT(M5401,9)</f>
        <v>1/15/2025</v>
      </c>
      <c r="E5401" t="s">
        <v>202</v>
      </c>
      <c r="F5401" t="s">
        <v>209</v>
      </c>
      <c r="G5401" t="s">
        <v>214</v>
      </c>
      <c r="I5401">
        <v>1053.7</v>
      </c>
      <c r="J5401">
        <v>632.22</v>
      </c>
      <c r="K5401">
        <v>0.6</v>
      </c>
      <c r="M5401" t="s">
        <v>516</v>
      </c>
    </row>
    <row r="5402" spans="1:13" hidden="1">
      <c r="A5402" t="s">
        <v>149</v>
      </c>
      <c r="B5402" t="s">
        <v>8</v>
      </c>
      <c r="C5402" t="s">
        <v>148</v>
      </c>
      <c r="D5402" t="str">
        <f>LEFT(M5402,9)</f>
        <v>1/15/2025</v>
      </c>
      <c r="E5402" t="s">
        <v>202</v>
      </c>
      <c r="F5402" t="s">
        <v>209</v>
      </c>
      <c r="G5402" t="s">
        <v>214</v>
      </c>
      <c r="I5402">
        <v>1981.5340000000001</v>
      </c>
      <c r="J5402">
        <v>1783.38</v>
      </c>
      <c r="K5402">
        <v>0.9</v>
      </c>
      <c r="M5402" t="s">
        <v>516</v>
      </c>
    </row>
    <row r="5403" spans="1:13" hidden="1">
      <c r="A5403" t="s">
        <v>149</v>
      </c>
      <c r="B5403" t="s">
        <v>8</v>
      </c>
      <c r="C5403" t="s">
        <v>148</v>
      </c>
      <c r="D5403" t="str">
        <f>LEFT(M5403,9)</f>
        <v>1/15/2025</v>
      </c>
      <c r="E5403" t="s">
        <v>202</v>
      </c>
      <c r="F5403" t="s">
        <v>209</v>
      </c>
      <c r="G5403" t="s">
        <v>214</v>
      </c>
      <c r="I5403">
        <v>161.4</v>
      </c>
      <c r="J5403">
        <v>80.7</v>
      </c>
      <c r="K5403">
        <v>0.5</v>
      </c>
      <c r="M5403" t="s">
        <v>516</v>
      </c>
    </row>
    <row r="5404" spans="1:13" hidden="1">
      <c r="A5404" t="s">
        <v>149</v>
      </c>
      <c r="B5404" t="s">
        <v>8</v>
      </c>
      <c r="C5404" t="s">
        <v>148</v>
      </c>
      <c r="D5404" t="str">
        <f>LEFT(M5404,9)</f>
        <v>1/15/2025</v>
      </c>
      <c r="E5404" t="s">
        <v>202</v>
      </c>
      <c r="F5404" t="s">
        <v>209</v>
      </c>
      <c r="G5404" t="s">
        <v>214</v>
      </c>
      <c r="I5404">
        <v>2.1</v>
      </c>
      <c r="J5404">
        <v>5.25</v>
      </c>
      <c r="K5404">
        <v>2.5</v>
      </c>
      <c r="M5404" t="s">
        <v>516</v>
      </c>
    </row>
    <row r="5405" spans="1:13" hidden="1">
      <c r="A5405" t="s">
        <v>149</v>
      </c>
      <c r="B5405" t="s">
        <v>8</v>
      </c>
      <c r="C5405" t="s">
        <v>148</v>
      </c>
      <c r="D5405" t="str">
        <f>LEFT(M5405,9)</f>
        <v>1/15/2025</v>
      </c>
      <c r="E5405" t="s">
        <v>202</v>
      </c>
      <c r="F5405" t="s">
        <v>209</v>
      </c>
      <c r="G5405" t="s">
        <v>214</v>
      </c>
      <c r="I5405">
        <v>181.3</v>
      </c>
      <c r="J5405">
        <v>63.45</v>
      </c>
      <c r="K5405">
        <v>0.35</v>
      </c>
      <c r="M5405" t="s">
        <v>516</v>
      </c>
    </row>
    <row r="5406" spans="1:13" hidden="1">
      <c r="A5406" t="s">
        <v>149</v>
      </c>
      <c r="B5406" t="s">
        <v>8</v>
      </c>
      <c r="C5406" t="s">
        <v>148</v>
      </c>
      <c r="D5406" t="str">
        <f>LEFT(M5406,9)</f>
        <v>1/15/2025</v>
      </c>
      <c r="E5406" t="s">
        <v>202</v>
      </c>
      <c r="F5406" t="s">
        <v>218</v>
      </c>
      <c r="G5406" t="s">
        <v>219</v>
      </c>
      <c r="I5406">
        <v>163</v>
      </c>
      <c r="J5406">
        <v>32.6</v>
      </c>
      <c r="K5406">
        <v>0.2</v>
      </c>
      <c r="M5406" t="s">
        <v>516</v>
      </c>
    </row>
    <row r="5407" spans="1:13" hidden="1">
      <c r="A5407" t="s">
        <v>149</v>
      </c>
      <c r="B5407" t="s">
        <v>8</v>
      </c>
      <c r="C5407" t="s">
        <v>148</v>
      </c>
      <c r="D5407" t="str">
        <f>LEFT(M5407,9)</f>
        <v>1/15/2025</v>
      </c>
      <c r="E5407" t="s">
        <v>202</v>
      </c>
      <c r="F5407" t="s">
        <v>218</v>
      </c>
      <c r="G5407" t="s">
        <v>226</v>
      </c>
      <c r="I5407">
        <v>274</v>
      </c>
      <c r="J5407">
        <v>82.2</v>
      </c>
      <c r="K5407">
        <v>0.3</v>
      </c>
      <c r="M5407" t="s">
        <v>516</v>
      </c>
    </row>
    <row r="5408" spans="1:13" hidden="1">
      <c r="A5408" t="s">
        <v>149</v>
      </c>
      <c r="B5408" t="s">
        <v>8</v>
      </c>
      <c r="C5408" t="s">
        <v>148</v>
      </c>
      <c r="D5408" t="str">
        <f>LEFT(M5408,9)</f>
        <v>1/15/2025</v>
      </c>
      <c r="E5408" t="s">
        <v>202</v>
      </c>
      <c r="F5408" t="s">
        <v>218</v>
      </c>
      <c r="G5408" t="s">
        <v>225</v>
      </c>
      <c r="I5408">
        <v>238</v>
      </c>
      <c r="J5408">
        <v>285.60000000000002</v>
      </c>
      <c r="K5408">
        <v>1.2</v>
      </c>
      <c r="M5408" t="s">
        <v>516</v>
      </c>
    </row>
    <row r="5409" spans="1:13" hidden="1">
      <c r="A5409" t="s">
        <v>149</v>
      </c>
      <c r="B5409" t="s">
        <v>8</v>
      </c>
      <c r="C5409" t="s">
        <v>148</v>
      </c>
      <c r="D5409" t="str">
        <f>LEFT(M5409,9)</f>
        <v>1/15/2025</v>
      </c>
      <c r="E5409" t="s">
        <v>202</v>
      </c>
      <c r="F5409" t="s">
        <v>218</v>
      </c>
      <c r="G5409" t="s">
        <v>219</v>
      </c>
      <c r="I5409">
        <v>690</v>
      </c>
      <c r="J5409">
        <v>1863</v>
      </c>
      <c r="K5409">
        <v>2.7</v>
      </c>
      <c r="M5409" t="s">
        <v>516</v>
      </c>
    </row>
    <row r="5410" spans="1:13" hidden="1">
      <c r="A5410" t="s">
        <v>149</v>
      </c>
      <c r="B5410" t="s">
        <v>8</v>
      </c>
      <c r="C5410" t="s">
        <v>148</v>
      </c>
      <c r="D5410" t="str">
        <f>LEFT(M5410,9)</f>
        <v>1/15/2025</v>
      </c>
      <c r="E5410" t="s">
        <v>202</v>
      </c>
      <c r="F5410" t="s">
        <v>218</v>
      </c>
      <c r="G5410" t="s">
        <v>219</v>
      </c>
      <c r="I5410">
        <v>613</v>
      </c>
      <c r="J5410">
        <v>1593.8</v>
      </c>
      <c r="K5410">
        <v>2.6</v>
      </c>
      <c r="M5410" t="s">
        <v>516</v>
      </c>
    </row>
    <row r="5411" spans="1:13" hidden="1">
      <c r="A5411" t="s">
        <v>149</v>
      </c>
      <c r="B5411" t="s">
        <v>8</v>
      </c>
      <c r="C5411" t="s">
        <v>148</v>
      </c>
      <c r="D5411" t="str">
        <f>LEFT(M5411,9)</f>
        <v>1/15/2025</v>
      </c>
      <c r="E5411" t="s">
        <v>202</v>
      </c>
      <c r="F5411" t="s">
        <v>218</v>
      </c>
      <c r="G5411" t="s">
        <v>219</v>
      </c>
      <c r="I5411">
        <v>458</v>
      </c>
      <c r="J5411">
        <v>641.20000000000005</v>
      </c>
      <c r="K5411">
        <v>1.4</v>
      </c>
      <c r="M5411" t="s">
        <v>516</v>
      </c>
    </row>
    <row r="5412" spans="1:13" hidden="1">
      <c r="A5412" t="s">
        <v>149</v>
      </c>
      <c r="B5412" t="s">
        <v>8</v>
      </c>
      <c r="C5412" t="s">
        <v>148</v>
      </c>
      <c r="D5412" t="str">
        <f>LEFT(M5412,9)</f>
        <v>1/15/2025</v>
      </c>
      <c r="E5412" t="s">
        <v>202</v>
      </c>
      <c r="F5412" t="s">
        <v>218</v>
      </c>
      <c r="G5412" t="s">
        <v>221</v>
      </c>
      <c r="I5412">
        <v>420</v>
      </c>
      <c r="J5412">
        <v>588</v>
      </c>
      <c r="K5412">
        <v>1.4</v>
      </c>
      <c r="M5412" t="s">
        <v>516</v>
      </c>
    </row>
    <row r="5413" spans="1:13" hidden="1">
      <c r="A5413" t="s">
        <v>149</v>
      </c>
      <c r="B5413" t="s">
        <v>8</v>
      </c>
      <c r="C5413" t="s">
        <v>148</v>
      </c>
      <c r="D5413" t="str">
        <f>LEFT(M5413,9)</f>
        <v>1/15/2025</v>
      </c>
      <c r="E5413" t="s">
        <v>202</v>
      </c>
      <c r="F5413" t="s">
        <v>218</v>
      </c>
      <c r="G5413" t="s">
        <v>242</v>
      </c>
      <c r="I5413">
        <v>157</v>
      </c>
      <c r="J5413">
        <v>157</v>
      </c>
      <c r="K5413">
        <v>1</v>
      </c>
      <c r="M5413" t="s">
        <v>516</v>
      </c>
    </row>
    <row r="5414" spans="1:13" hidden="1">
      <c r="A5414" t="s">
        <v>149</v>
      </c>
      <c r="B5414" t="s">
        <v>8</v>
      </c>
      <c r="C5414" t="s">
        <v>148</v>
      </c>
      <c r="D5414" t="str">
        <f>LEFT(M5414,9)</f>
        <v>1/15/2025</v>
      </c>
      <c r="E5414" t="s">
        <v>202</v>
      </c>
      <c r="F5414" t="s">
        <v>218</v>
      </c>
      <c r="G5414" t="s">
        <v>241</v>
      </c>
      <c r="I5414">
        <v>388</v>
      </c>
      <c r="J5414">
        <v>1668.4</v>
      </c>
      <c r="K5414">
        <v>4.3</v>
      </c>
      <c r="M5414" t="s">
        <v>516</v>
      </c>
    </row>
    <row r="5415" spans="1:13" hidden="1">
      <c r="A5415" t="s">
        <v>149</v>
      </c>
      <c r="B5415" t="s">
        <v>8</v>
      </c>
      <c r="C5415" t="s">
        <v>148</v>
      </c>
      <c r="D5415" t="str">
        <f>LEFT(M5415,9)</f>
        <v>1/15/2025</v>
      </c>
      <c r="E5415" t="s">
        <v>202</v>
      </c>
      <c r="F5415" t="s">
        <v>218</v>
      </c>
      <c r="G5415" t="s">
        <v>222</v>
      </c>
      <c r="I5415">
        <v>270</v>
      </c>
      <c r="J5415">
        <v>405</v>
      </c>
      <c r="K5415">
        <v>1.5</v>
      </c>
      <c r="M5415" t="s">
        <v>516</v>
      </c>
    </row>
    <row r="5416" spans="1:13" hidden="1">
      <c r="A5416" t="s">
        <v>149</v>
      </c>
      <c r="B5416" t="s">
        <v>8</v>
      </c>
      <c r="C5416" t="s">
        <v>148</v>
      </c>
      <c r="D5416" t="str">
        <f>LEFT(M5416,9)</f>
        <v>1/15/2025</v>
      </c>
      <c r="E5416" t="s">
        <v>202</v>
      </c>
      <c r="F5416" t="s">
        <v>218</v>
      </c>
      <c r="G5416" t="s">
        <v>219</v>
      </c>
      <c r="I5416">
        <v>352</v>
      </c>
      <c r="J5416">
        <v>246.4</v>
      </c>
      <c r="K5416">
        <v>0.7</v>
      </c>
      <c r="M5416" t="s">
        <v>516</v>
      </c>
    </row>
    <row r="5417" spans="1:13" hidden="1">
      <c r="A5417" t="s">
        <v>149</v>
      </c>
      <c r="B5417" t="s">
        <v>8</v>
      </c>
      <c r="C5417" t="s">
        <v>148</v>
      </c>
      <c r="D5417" t="str">
        <f>LEFT(M5417,9)</f>
        <v>1/15/2025</v>
      </c>
      <c r="E5417" t="s">
        <v>202</v>
      </c>
      <c r="F5417" t="s">
        <v>218</v>
      </c>
      <c r="G5417" t="s">
        <v>219</v>
      </c>
      <c r="I5417">
        <v>1305</v>
      </c>
      <c r="J5417">
        <v>1174.5</v>
      </c>
      <c r="K5417">
        <v>0.9</v>
      </c>
      <c r="M5417" t="s">
        <v>516</v>
      </c>
    </row>
    <row r="5418" spans="1:13" hidden="1">
      <c r="A5418" t="s">
        <v>149</v>
      </c>
      <c r="B5418" t="s">
        <v>8</v>
      </c>
      <c r="C5418" t="s">
        <v>148</v>
      </c>
      <c r="D5418" t="str">
        <f>LEFT(M5418,9)</f>
        <v>1/15/2025</v>
      </c>
      <c r="E5418" t="s">
        <v>202</v>
      </c>
      <c r="F5418" t="s">
        <v>218</v>
      </c>
      <c r="G5418" t="s">
        <v>219</v>
      </c>
      <c r="I5418">
        <v>308</v>
      </c>
      <c r="J5418">
        <v>554.4</v>
      </c>
      <c r="K5418">
        <v>1.8</v>
      </c>
      <c r="M5418" t="s">
        <v>516</v>
      </c>
    </row>
    <row r="5419" spans="1:13" hidden="1">
      <c r="A5419" t="s">
        <v>149</v>
      </c>
      <c r="B5419" t="s">
        <v>8</v>
      </c>
      <c r="C5419" t="s">
        <v>148</v>
      </c>
      <c r="D5419" t="str">
        <f>LEFT(M5419,9)</f>
        <v>1/15/2025</v>
      </c>
      <c r="E5419" t="s">
        <v>202</v>
      </c>
      <c r="F5419" t="s">
        <v>218</v>
      </c>
      <c r="G5419" t="s">
        <v>240</v>
      </c>
      <c r="I5419">
        <v>1926</v>
      </c>
      <c r="J5419">
        <v>8281.7999999999993</v>
      </c>
      <c r="K5419">
        <v>4.3</v>
      </c>
      <c r="M5419" t="s">
        <v>516</v>
      </c>
    </row>
    <row r="5420" spans="1:13" hidden="1">
      <c r="A5420" t="s">
        <v>149</v>
      </c>
      <c r="B5420" t="s">
        <v>8</v>
      </c>
      <c r="C5420" t="s">
        <v>148</v>
      </c>
      <c r="D5420" t="str">
        <f>LEFT(M5420,9)</f>
        <v>1/15/2025</v>
      </c>
      <c r="E5420" t="s">
        <v>202</v>
      </c>
      <c r="F5420" t="s">
        <v>218</v>
      </c>
      <c r="G5420" t="s">
        <v>240</v>
      </c>
      <c r="I5420">
        <v>834</v>
      </c>
      <c r="J5420">
        <v>1251</v>
      </c>
      <c r="K5420">
        <v>1.5</v>
      </c>
      <c r="M5420" t="s">
        <v>516</v>
      </c>
    </row>
    <row r="5421" spans="1:13" hidden="1">
      <c r="A5421" t="s">
        <v>149</v>
      </c>
      <c r="B5421" t="s">
        <v>8</v>
      </c>
      <c r="C5421" t="s">
        <v>148</v>
      </c>
      <c r="D5421" t="str">
        <f>LEFT(M5421,9)</f>
        <v>1/15/2025</v>
      </c>
      <c r="E5421" t="s">
        <v>202</v>
      </c>
      <c r="F5421" t="s">
        <v>218</v>
      </c>
      <c r="G5421" t="s">
        <v>224</v>
      </c>
      <c r="I5421">
        <v>107</v>
      </c>
      <c r="J5421">
        <v>128</v>
      </c>
      <c r="K5421">
        <v>1.2</v>
      </c>
      <c r="M5421" t="s">
        <v>516</v>
      </c>
    </row>
    <row r="5422" spans="1:13" hidden="1">
      <c r="A5422" t="s">
        <v>149</v>
      </c>
      <c r="B5422" t="s">
        <v>8</v>
      </c>
      <c r="C5422" t="s">
        <v>148</v>
      </c>
      <c r="D5422" t="str">
        <f>LEFT(M5422,9)</f>
        <v>1/15/2025</v>
      </c>
      <c r="E5422" t="s">
        <v>234</v>
      </c>
      <c r="F5422" t="s">
        <v>234</v>
      </c>
      <c r="G5422" t="s">
        <v>249</v>
      </c>
      <c r="I5422">
        <v>9800</v>
      </c>
      <c r="M5422" t="s">
        <v>516</v>
      </c>
    </row>
    <row r="5423" spans="1:13" hidden="1">
      <c r="A5423" t="s">
        <v>149</v>
      </c>
      <c r="B5423" t="s">
        <v>8</v>
      </c>
      <c r="C5423" t="s">
        <v>148</v>
      </c>
      <c r="D5423" t="str">
        <f>LEFT(M5423,9)</f>
        <v>1/15/2025</v>
      </c>
      <c r="E5423" t="s">
        <v>232</v>
      </c>
      <c r="F5423" t="s">
        <v>254</v>
      </c>
      <c r="G5423" t="s">
        <v>249</v>
      </c>
      <c r="I5423">
        <v>0</v>
      </c>
      <c r="J5423">
        <v>933.38</v>
      </c>
      <c r="M5423" t="s">
        <v>516</v>
      </c>
    </row>
    <row r="5424" spans="1:13" hidden="1">
      <c r="A5424" t="s">
        <v>49</v>
      </c>
      <c r="B5424" t="s">
        <v>8</v>
      </c>
      <c r="C5424" t="s">
        <v>25</v>
      </c>
      <c r="D5424" t="str">
        <f>LEFT(M5424,9)</f>
        <v>1/15/2025</v>
      </c>
      <c r="E5424" t="s">
        <v>202</v>
      </c>
      <c r="F5424" t="s">
        <v>203</v>
      </c>
      <c r="G5424" t="s">
        <v>204</v>
      </c>
      <c r="I5424">
        <v>374</v>
      </c>
      <c r="J5424">
        <v>3366</v>
      </c>
      <c r="K5424">
        <v>8.6</v>
      </c>
      <c r="M5424" t="s">
        <v>516</v>
      </c>
    </row>
    <row r="5425" spans="1:13" hidden="1">
      <c r="A5425" t="s">
        <v>49</v>
      </c>
      <c r="B5425" t="s">
        <v>8</v>
      </c>
      <c r="C5425" t="s">
        <v>25</v>
      </c>
      <c r="D5425" t="str">
        <f>LEFT(M5425,9)</f>
        <v>1/15/2025</v>
      </c>
      <c r="E5425" t="s">
        <v>202</v>
      </c>
      <c r="F5425" t="s">
        <v>203</v>
      </c>
      <c r="G5425" t="s">
        <v>208</v>
      </c>
      <c r="I5425">
        <v>178</v>
      </c>
      <c r="J5425">
        <v>1602</v>
      </c>
      <c r="K5425">
        <v>9</v>
      </c>
      <c r="M5425" t="s">
        <v>516</v>
      </c>
    </row>
    <row r="5426" spans="1:13" hidden="1">
      <c r="A5426" t="s">
        <v>49</v>
      </c>
      <c r="B5426" t="s">
        <v>8</v>
      </c>
      <c r="C5426" t="s">
        <v>25</v>
      </c>
      <c r="D5426" t="str">
        <f>LEFT(M5426,9)</f>
        <v>1/15/2025</v>
      </c>
      <c r="E5426" t="s">
        <v>202</v>
      </c>
      <c r="F5426" t="s">
        <v>203</v>
      </c>
      <c r="G5426" t="s">
        <v>259</v>
      </c>
      <c r="I5426">
        <v>112</v>
      </c>
      <c r="J5426">
        <v>560</v>
      </c>
      <c r="K5426">
        <v>5</v>
      </c>
      <c r="M5426" t="s">
        <v>516</v>
      </c>
    </row>
    <row r="5427" spans="1:13" hidden="1">
      <c r="A5427" t="s">
        <v>49</v>
      </c>
      <c r="B5427" t="s">
        <v>8</v>
      </c>
      <c r="C5427" t="s">
        <v>25</v>
      </c>
      <c r="D5427" t="str">
        <f>LEFT(M5427,9)</f>
        <v>1/15/2025</v>
      </c>
      <c r="E5427" t="s">
        <v>202</v>
      </c>
      <c r="F5427" t="s">
        <v>203</v>
      </c>
      <c r="G5427" t="s">
        <v>260</v>
      </c>
      <c r="I5427">
        <v>27</v>
      </c>
      <c r="J5427">
        <v>1134</v>
      </c>
      <c r="K5427">
        <v>42</v>
      </c>
      <c r="M5427" t="s">
        <v>516</v>
      </c>
    </row>
    <row r="5428" spans="1:13" hidden="1">
      <c r="A5428" t="s">
        <v>49</v>
      </c>
      <c r="B5428" t="s">
        <v>8</v>
      </c>
      <c r="C5428" t="s">
        <v>25</v>
      </c>
      <c r="D5428" t="str">
        <f>LEFT(M5428,9)</f>
        <v>1/15/2025</v>
      </c>
      <c r="E5428" t="s">
        <v>202</v>
      </c>
      <c r="F5428" t="s">
        <v>203</v>
      </c>
      <c r="G5428" t="s">
        <v>261</v>
      </c>
      <c r="I5428">
        <v>231</v>
      </c>
      <c r="J5428">
        <v>2772</v>
      </c>
      <c r="K5428">
        <v>12</v>
      </c>
      <c r="M5428" t="s">
        <v>516</v>
      </c>
    </row>
    <row r="5429" spans="1:13" hidden="1">
      <c r="A5429" t="s">
        <v>49</v>
      </c>
      <c r="B5429" t="s">
        <v>8</v>
      </c>
      <c r="C5429" t="s">
        <v>25</v>
      </c>
      <c r="D5429" t="str">
        <f>LEFT(M5429,9)</f>
        <v>1/15/2025</v>
      </c>
      <c r="E5429" t="s">
        <v>202</v>
      </c>
      <c r="F5429" t="s">
        <v>203</v>
      </c>
      <c r="G5429" t="s">
        <v>215</v>
      </c>
      <c r="I5429">
        <v>7810</v>
      </c>
      <c r="J5429">
        <v>3905</v>
      </c>
      <c r="K5429">
        <v>0.5</v>
      </c>
      <c r="M5429" t="s">
        <v>516</v>
      </c>
    </row>
    <row r="5430" spans="1:13" hidden="1">
      <c r="A5430" t="s">
        <v>49</v>
      </c>
      <c r="B5430" t="s">
        <v>8</v>
      </c>
      <c r="C5430" t="s">
        <v>25</v>
      </c>
      <c r="D5430" t="str">
        <f>LEFT(M5430,9)</f>
        <v>1/15/2025</v>
      </c>
      <c r="E5430" t="s">
        <v>202</v>
      </c>
      <c r="F5430" t="s">
        <v>203</v>
      </c>
      <c r="G5430" t="s">
        <v>259</v>
      </c>
      <c r="I5430">
        <v>23</v>
      </c>
      <c r="J5430">
        <v>506</v>
      </c>
      <c r="K5430">
        <v>22</v>
      </c>
      <c r="M5430" t="s">
        <v>516</v>
      </c>
    </row>
    <row r="5431" spans="1:13" hidden="1">
      <c r="A5431" t="s">
        <v>49</v>
      </c>
      <c r="B5431" t="s">
        <v>8</v>
      </c>
      <c r="C5431" t="s">
        <v>25</v>
      </c>
      <c r="D5431" t="str">
        <f>LEFT(M5431,9)</f>
        <v>1/15/2025</v>
      </c>
      <c r="E5431" t="s">
        <v>202</v>
      </c>
      <c r="F5431" t="s">
        <v>218</v>
      </c>
      <c r="G5431" t="s">
        <v>224</v>
      </c>
      <c r="I5431">
        <v>480</v>
      </c>
      <c r="J5431">
        <v>192</v>
      </c>
      <c r="K5431">
        <v>0.4</v>
      </c>
      <c r="M5431" t="s">
        <v>516</v>
      </c>
    </row>
    <row r="5432" spans="1:13" hidden="1">
      <c r="A5432" t="s">
        <v>49</v>
      </c>
      <c r="B5432" t="s">
        <v>8</v>
      </c>
      <c r="C5432" t="s">
        <v>25</v>
      </c>
      <c r="D5432" t="str">
        <f>LEFT(M5432,9)</f>
        <v>1/15/2025</v>
      </c>
      <c r="E5432" t="s">
        <v>202</v>
      </c>
      <c r="F5432" t="s">
        <v>218</v>
      </c>
      <c r="G5432" t="s">
        <v>220</v>
      </c>
      <c r="I5432">
        <v>2755</v>
      </c>
      <c r="J5432">
        <v>4132.5</v>
      </c>
      <c r="K5432">
        <v>1.5</v>
      </c>
      <c r="M5432" t="s">
        <v>516</v>
      </c>
    </row>
    <row r="5433" spans="1:13" hidden="1">
      <c r="A5433" t="s">
        <v>49</v>
      </c>
      <c r="B5433" t="s">
        <v>8</v>
      </c>
      <c r="C5433" t="s">
        <v>25</v>
      </c>
      <c r="D5433" t="str">
        <f>LEFT(M5433,9)</f>
        <v>1/15/2025</v>
      </c>
      <c r="E5433" t="s">
        <v>202</v>
      </c>
      <c r="F5433" t="s">
        <v>218</v>
      </c>
      <c r="G5433" t="s">
        <v>221</v>
      </c>
      <c r="I5433">
        <v>2968</v>
      </c>
      <c r="J5433">
        <v>5936</v>
      </c>
      <c r="K5433">
        <v>2</v>
      </c>
      <c r="M5433" t="s">
        <v>516</v>
      </c>
    </row>
    <row r="5434" spans="1:13" hidden="1">
      <c r="A5434" t="s">
        <v>49</v>
      </c>
      <c r="B5434" t="s">
        <v>8</v>
      </c>
      <c r="C5434" t="s">
        <v>25</v>
      </c>
      <c r="D5434" t="str">
        <f>LEFT(M5434,9)</f>
        <v>1/15/2025</v>
      </c>
      <c r="E5434" t="s">
        <v>202</v>
      </c>
      <c r="F5434" t="s">
        <v>218</v>
      </c>
      <c r="G5434" t="s">
        <v>247</v>
      </c>
      <c r="I5434">
        <v>270</v>
      </c>
      <c r="J5434">
        <v>1080</v>
      </c>
      <c r="K5434">
        <v>4</v>
      </c>
      <c r="M5434" t="s">
        <v>516</v>
      </c>
    </row>
    <row r="5435" spans="1:13" hidden="1">
      <c r="A5435" t="s">
        <v>49</v>
      </c>
      <c r="B5435" t="s">
        <v>8</v>
      </c>
      <c r="C5435" t="s">
        <v>25</v>
      </c>
      <c r="D5435" t="str">
        <f>LEFT(M5435,9)</f>
        <v>1/15/2025</v>
      </c>
      <c r="E5435" t="s">
        <v>202</v>
      </c>
      <c r="F5435" t="s">
        <v>218</v>
      </c>
      <c r="G5435" t="s">
        <v>223</v>
      </c>
      <c r="I5435">
        <v>2834</v>
      </c>
      <c r="J5435">
        <v>2267.6999999999998</v>
      </c>
      <c r="K5435">
        <v>0.8</v>
      </c>
      <c r="M5435" t="s">
        <v>516</v>
      </c>
    </row>
    <row r="5436" spans="1:13" hidden="1">
      <c r="A5436" t="s">
        <v>49</v>
      </c>
      <c r="B5436" t="s">
        <v>8</v>
      </c>
      <c r="C5436" t="s">
        <v>25</v>
      </c>
      <c r="D5436" t="str">
        <f>LEFT(M5436,9)</f>
        <v>1/15/2025</v>
      </c>
      <c r="E5436" t="s">
        <v>202</v>
      </c>
      <c r="F5436" t="s">
        <v>218</v>
      </c>
      <c r="G5436" t="s">
        <v>240</v>
      </c>
      <c r="I5436">
        <v>3810</v>
      </c>
      <c r="J5436">
        <v>10668</v>
      </c>
      <c r="K5436">
        <v>2.8</v>
      </c>
      <c r="M5436" t="s">
        <v>516</v>
      </c>
    </row>
    <row r="5437" spans="1:13" hidden="1">
      <c r="A5437" t="s">
        <v>49</v>
      </c>
      <c r="B5437" t="s">
        <v>8</v>
      </c>
      <c r="C5437" t="s">
        <v>25</v>
      </c>
      <c r="D5437" t="str">
        <f>LEFT(M5437,9)</f>
        <v>1/15/2025</v>
      </c>
      <c r="E5437" t="s">
        <v>202</v>
      </c>
      <c r="F5437" t="s">
        <v>218</v>
      </c>
      <c r="G5437" t="s">
        <v>241</v>
      </c>
      <c r="I5437">
        <v>780</v>
      </c>
      <c r="J5437">
        <v>2184</v>
      </c>
      <c r="K5437">
        <v>2.8</v>
      </c>
      <c r="M5437" t="s">
        <v>516</v>
      </c>
    </row>
    <row r="5438" spans="1:13" hidden="1">
      <c r="A5438" t="s">
        <v>49</v>
      </c>
      <c r="B5438" t="s">
        <v>8</v>
      </c>
      <c r="C5438" t="s">
        <v>25</v>
      </c>
      <c r="D5438" t="str">
        <f>LEFT(M5438,9)</f>
        <v>1/15/2025</v>
      </c>
      <c r="E5438" t="s">
        <v>202</v>
      </c>
      <c r="F5438" t="s">
        <v>218</v>
      </c>
      <c r="G5438" t="s">
        <v>242</v>
      </c>
      <c r="I5438">
        <v>290</v>
      </c>
      <c r="J5438">
        <v>145</v>
      </c>
      <c r="K5438">
        <v>0.5</v>
      </c>
      <c r="M5438" t="s">
        <v>516</v>
      </c>
    </row>
    <row r="5439" spans="1:13" hidden="1">
      <c r="A5439" t="s">
        <v>49</v>
      </c>
      <c r="B5439" t="s">
        <v>8</v>
      </c>
      <c r="C5439" t="s">
        <v>25</v>
      </c>
      <c r="D5439" t="str">
        <f>LEFT(M5439,9)</f>
        <v>1/15/2025</v>
      </c>
      <c r="E5439" t="s">
        <v>202</v>
      </c>
      <c r="F5439" t="s">
        <v>218</v>
      </c>
      <c r="G5439" t="s">
        <v>222</v>
      </c>
      <c r="I5439">
        <v>2655</v>
      </c>
      <c r="J5439">
        <v>2920.5</v>
      </c>
      <c r="K5439">
        <v>1.1000000000000001</v>
      </c>
      <c r="M5439" t="s">
        <v>516</v>
      </c>
    </row>
    <row r="5440" spans="1:13" hidden="1">
      <c r="A5440" t="s">
        <v>49</v>
      </c>
      <c r="B5440" t="s">
        <v>8</v>
      </c>
      <c r="C5440" t="s">
        <v>25</v>
      </c>
      <c r="D5440" t="str">
        <f>LEFT(M5440,9)</f>
        <v>1/15/2025</v>
      </c>
      <c r="E5440" t="s">
        <v>202</v>
      </c>
      <c r="F5440" t="s">
        <v>218</v>
      </c>
      <c r="G5440" t="s">
        <v>226</v>
      </c>
      <c r="I5440">
        <v>1468</v>
      </c>
      <c r="J5440">
        <v>440.4</v>
      </c>
      <c r="K5440">
        <v>0.3</v>
      </c>
      <c r="M5440" t="s">
        <v>516</v>
      </c>
    </row>
    <row r="5441" spans="1:13" hidden="1">
      <c r="A5441" t="s">
        <v>49</v>
      </c>
      <c r="B5441" t="s">
        <v>8</v>
      </c>
      <c r="C5441" t="s">
        <v>25</v>
      </c>
      <c r="D5441" t="str">
        <f>LEFT(M5441,9)</f>
        <v>1/15/2025</v>
      </c>
      <c r="E5441" t="s">
        <v>202</v>
      </c>
      <c r="F5441" t="s">
        <v>227</v>
      </c>
      <c r="G5441" t="s">
        <v>237</v>
      </c>
      <c r="I5441">
        <v>2629</v>
      </c>
      <c r="J5441">
        <v>1840.3</v>
      </c>
      <c r="K5441">
        <v>0.7</v>
      </c>
      <c r="M5441" t="s">
        <v>516</v>
      </c>
    </row>
    <row r="5442" spans="1:13" hidden="1">
      <c r="A5442" t="s">
        <v>49</v>
      </c>
      <c r="B5442" t="s">
        <v>8</v>
      </c>
      <c r="C5442" t="s">
        <v>25</v>
      </c>
      <c r="D5442" t="str">
        <f>LEFT(M5442,9)</f>
        <v>1/15/2025</v>
      </c>
      <c r="E5442" t="s">
        <v>202</v>
      </c>
      <c r="F5442" t="s">
        <v>227</v>
      </c>
      <c r="G5442" t="s">
        <v>228</v>
      </c>
      <c r="I5442">
        <v>2656</v>
      </c>
      <c r="J5442">
        <v>1062.4000000000001</v>
      </c>
      <c r="K5442">
        <v>0.4</v>
      </c>
      <c r="M5442" t="s">
        <v>516</v>
      </c>
    </row>
    <row r="5443" spans="1:13" hidden="1">
      <c r="A5443" t="s">
        <v>49</v>
      </c>
      <c r="B5443" t="s">
        <v>8</v>
      </c>
      <c r="C5443" t="s">
        <v>25</v>
      </c>
      <c r="D5443" t="str">
        <f>LEFT(M5443,9)</f>
        <v>1/15/2025</v>
      </c>
      <c r="E5443" t="s">
        <v>202</v>
      </c>
      <c r="F5443" t="s">
        <v>227</v>
      </c>
      <c r="G5443" t="s">
        <v>229</v>
      </c>
      <c r="I5443">
        <v>24157</v>
      </c>
      <c r="J5443">
        <v>23190.720000000001</v>
      </c>
      <c r="K5443">
        <v>0.96</v>
      </c>
      <c r="M5443" t="s">
        <v>516</v>
      </c>
    </row>
    <row r="5444" spans="1:13" hidden="1">
      <c r="A5444" t="s">
        <v>49</v>
      </c>
      <c r="B5444" t="s">
        <v>8</v>
      </c>
      <c r="C5444" t="s">
        <v>25</v>
      </c>
      <c r="D5444" t="str">
        <f>LEFT(M5444,9)</f>
        <v>1/15/2025</v>
      </c>
      <c r="E5444" t="s">
        <v>202</v>
      </c>
      <c r="F5444" t="s">
        <v>227</v>
      </c>
      <c r="G5444" t="s">
        <v>252</v>
      </c>
      <c r="I5444">
        <v>0</v>
      </c>
      <c r="J5444">
        <v>0</v>
      </c>
      <c r="K5444">
        <v>0</v>
      </c>
      <c r="M5444" t="s">
        <v>516</v>
      </c>
    </row>
    <row r="5445" spans="1:13" hidden="1">
      <c r="A5445" t="s">
        <v>49</v>
      </c>
      <c r="B5445" t="s">
        <v>8</v>
      </c>
      <c r="C5445" t="s">
        <v>25</v>
      </c>
      <c r="D5445" t="str">
        <f>LEFT(M5445,9)</f>
        <v>1/15/2025</v>
      </c>
      <c r="E5445" t="s">
        <v>202</v>
      </c>
      <c r="F5445" t="s">
        <v>209</v>
      </c>
      <c r="G5445" t="s">
        <v>310</v>
      </c>
      <c r="I5445">
        <v>0</v>
      </c>
      <c r="J5445">
        <v>0</v>
      </c>
      <c r="K5445">
        <v>0</v>
      </c>
      <c r="M5445" t="s">
        <v>516</v>
      </c>
    </row>
    <row r="5446" spans="1:13" hidden="1">
      <c r="A5446" t="s">
        <v>49</v>
      </c>
      <c r="B5446" t="s">
        <v>8</v>
      </c>
      <c r="C5446" t="s">
        <v>25</v>
      </c>
      <c r="D5446" t="str">
        <f>LEFT(M5446,9)</f>
        <v>1/15/2025</v>
      </c>
      <c r="E5446" t="s">
        <v>202</v>
      </c>
      <c r="F5446" t="s">
        <v>209</v>
      </c>
      <c r="G5446" t="s">
        <v>210</v>
      </c>
      <c r="I5446">
        <v>53</v>
      </c>
      <c r="J5446">
        <v>174.9</v>
      </c>
      <c r="K5446">
        <v>3.3</v>
      </c>
      <c r="M5446" t="s">
        <v>516</v>
      </c>
    </row>
    <row r="5447" spans="1:13" hidden="1">
      <c r="A5447" t="s">
        <v>49</v>
      </c>
      <c r="B5447" t="s">
        <v>8</v>
      </c>
      <c r="C5447" t="s">
        <v>25</v>
      </c>
      <c r="D5447" t="str">
        <f>LEFT(M5447,9)</f>
        <v>1/15/2025</v>
      </c>
      <c r="E5447" t="s">
        <v>202</v>
      </c>
      <c r="F5447" t="s">
        <v>209</v>
      </c>
      <c r="G5447" t="s">
        <v>341</v>
      </c>
      <c r="I5447">
        <v>6</v>
      </c>
      <c r="J5447">
        <v>180</v>
      </c>
      <c r="K5447">
        <v>30</v>
      </c>
      <c r="M5447" t="s">
        <v>516</v>
      </c>
    </row>
    <row r="5448" spans="1:13" hidden="1">
      <c r="A5448" t="s">
        <v>49</v>
      </c>
      <c r="B5448" t="s">
        <v>8</v>
      </c>
      <c r="C5448" t="s">
        <v>25</v>
      </c>
      <c r="D5448" t="str">
        <f>LEFT(M5448,9)</f>
        <v>1/15/2025</v>
      </c>
      <c r="E5448" t="s">
        <v>202</v>
      </c>
      <c r="F5448" t="s">
        <v>209</v>
      </c>
      <c r="G5448" t="s">
        <v>214</v>
      </c>
      <c r="I5448">
        <v>0</v>
      </c>
      <c r="J5448">
        <v>0</v>
      </c>
      <c r="K5448">
        <v>0</v>
      </c>
      <c r="M5448" t="s">
        <v>516</v>
      </c>
    </row>
    <row r="5449" spans="1:13" hidden="1">
      <c r="A5449" t="s">
        <v>49</v>
      </c>
      <c r="B5449" t="s">
        <v>8</v>
      </c>
      <c r="C5449" t="s">
        <v>25</v>
      </c>
      <c r="D5449" t="str">
        <f>LEFT(M5449,9)</f>
        <v>1/15/2025</v>
      </c>
      <c r="E5449" t="s">
        <v>202</v>
      </c>
      <c r="F5449" t="s">
        <v>209</v>
      </c>
      <c r="G5449" t="s">
        <v>212</v>
      </c>
      <c r="I5449">
        <v>5</v>
      </c>
      <c r="J5449">
        <v>75</v>
      </c>
      <c r="K5449">
        <v>15</v>
      </c>
      <c r="M5449" t="s">
        <v>516</v>
      </c>
    </row>
    <row r="5450" spans="1:13" hidden="1">
      <c r="A5450" t="s">
        <v>49</v>
      </c>
      <c r="B5450" t="s">
        <v>8</v>
      </c>
      <c r="C5450" t="s">
        <v>25</v>
      </c>
      <c r="D5450" t="str">
        <f>LEFT(M5450,9)</f>
        <v>1/15/2025</v>
      </c>
      <c r="E5450" t="s">
        <v>202</v>
      </c>
      <c r="F5450" t="s">
        <v>209</v>
      </c>
      <c r="G5450" t="s">
        <v>212</v>
      </c>
      <c r="I5450">
        <v>140</v>
      </c>
      <c r="J5450">
        <v>280</v>
      </c>
      <c r="K5450">
        <v>2</v>
      </c>
      <c r="M5450" t="s">
        <v>516</v>
      </c>
    </row>
    <row r="5451" spans="1:13" hidden="1">
      <c r="A5451" t="s">
        <v>49</v>
      </c>
      <c r="B5451" t="s">
        <v>8</v>
      </c>
      <c r="C5451" t="s">
        <v>25</v>
      </c>
      <c r="D5451" t="str">
        <f>LEFT(M5451,9)</f>
        <v>1/15/2025</v>
      </c>
      <c r="E5451" t="s">
        <v>202</v>
      </c>
      <c r="F5451" t="s">
        <v>209</v>
      </c>
      <c r="G5451" t="s">
        <v>212</v>
      </c>
      <c r="I5451">
        <v>23</v>
      </c>
      <c r="J5451">
        <v>138</v>
      </c>
      <c r="K5451">
        <v>6</v>
      </c>
      <c r="M5451" t="s">
        <v>516</v>
      </c>
    </row>
    <row r="5452" spans="1:13" hidden="1">
      <c r="A5452" t="s">
        <v>49</v>
      </c>
      <c r="B5452" t="s">
        <v>8</v>
      </c>
      <c r="C5452" t="s">
        <v>25</v>
      </c>
      <c r="D5452" t="str">
        <f>LEFT(M5452,9)</f>
        <v>1/15/2025</v>
      </c>
      <c r="E5452" t="s">
        <v>202</v>
      </c>
      <c r="F5452" t="s">
        <v>216</v>
      </c>
      <c r="G5452" t="s">
        <v>253</v>
      </c>
      <c r="I5452">
        <v>29800</v>
      </c>
      <c r="J5452">
        <v>2980</v>
      </c>
      <c r="K5452">
        <v>0.1</v>
      </c>
      <c r="M5452" t="s">
        <v>516</v>
      </c>
    </row>
    <row r="5453" spans="1:13" hidden="1">
      <c r="A5453" t="s">
        <v>49</v>
      </c>
      <c r="B5453" t="s">
        <v>8</v>
      </c>
      <c r="C5453" t="s">
        <v>25</v>
      </c>
      <c r="D5453" t="str">
        <f>LEFT(M5453,9)</f>
        <v>1/15/2025</v>
      </c>
      <c r="E5453" t="s">
        <v>202</v>
      </c>
      <c r="F5453" t="s">
        <v>216</v>
      </c>
      <c r="G5453" t="s">
        <v>217</v>
      </c>
      <c r="I5453">
        <v>0</v>
      </c>
      <c r="J5453">
        <v>0</v>
      </c>
      <c r="K5453">
        <v>0</v>
      </c>
      <c r="M5453" t="s">
        <v>516</v>
      </c>
    </row>
    <row r="5454" spans="1:13" hidden="1">
      <c r="A5454" t="s">
        <v>49</v>
      </c>
      <c r="B5454" t="s">
        <v>8</v>
      </c>
      <c r="C5454" t="s">
        <v>25</v>
      </c>
      <c r="D5454" t="str">
        <f>LEFT(M5454,9)</f>
        <v>1/15/2025</v>
      </c>
      <c r="E5454" t="s">
        <v>234</v>
      </c>
      <c r="F5454" t="s">
        <v>234</v>
      </c>
      <c r="I5454">
        <v>48560</v>
      </c>
      <c r="M5454" t="s">
        <v>516</v>
      </c>
    </row>
    <row r="5455" spans="1:13" hidden="1">
      <c r="A5455" t="s">
        <v>49</v>
      </c>
      <c r="B5455" t="s">
        <v>8</v>
      </c>
      <c r="C5455" t="s">
        <v>25</v>
      </c>
      <c r="D5455" t="str">
        <f>LEFT(M5455,9)</f>
        <v>1/15/2025</v>
      </c>
      <c r="E5455" t="s">
        <v>202</v>
      </c>
      <c r="F5455" t="s">
        <v>203</v>
      </c>
      <c r="G5455" t="s">
        <v>207</v>
      </c>
      <c r="I5455">
        <v>172</v>
      </c>
      <c r="J5455">
        <v>688</v>
      </c>
      <c r="K5455">
        <v>4</v>
      </c>
      <c r="M5455" t="s">
        <v>516</v>
      </c>
    </row>
  </sheetData>
  <sheetProtection formatCells="0" formatColumns="0" formatRows="0" insertColumns="0" insertRows="0" insertHyperlinks="0" deleteColumns="0" deleteRows="0" sort="0" autoFilter="0" pivotTables="0"/>
  <autoFilter ref="A1:M5455" xr:uid="{41A63B8D-2A92-4A5A-9BEC-3F5B06DBFE43}">
    <filterColumn colId="1">
      <filters>
        <filter val="06"/>
      </filters>
    </filterColumn>
    <filterColumn colId="2">
      <filters>
        <filter val="Foz do Iguaçu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510B-BDAE-461E-BDF8-588AF745BC3A}">
  <dimension ref="A1:M559"/>
  <sheetViews>
    <sheetView showGridLines="0" tabSelected="1" workbookViewId="0"/>
  </sheetViews>
  <sheetFormatPr defaultRowHeight="15"/>
  <cols>
    <col min="1" max="1" width="10.42578125" customWidth="1"/>
    <col min="2" max="2" width="32.140625" bestFit="1" customWidth="1"/>
    <col min="3" max="3" width="12.7109375" bestFit="1" customWidth="1"/>
    <col min="4" max="4" width="24.28515625" bestFit="1" customWidth="1"/>
    <col min="5" max="5" width="17.7109375" bestFit="1" customWidth="1"/>
    <col min="6" max="6" width="29.85546875" bestFit="1" customWidth="1"/>
    <col min="7" max="7" width="46" bestFit="1" customWidth="1"/>
    <col min="8" max="8" width="59.7109375" bestFit="1" customWidth="1"/>
    <col min="9" max="9" width="20" bestFit="1" customWidth="1"/>
    <col min="10" max="10" width="11.7109375" bestFit="1" customWidth="1"/>
    <col min="11" max="11" width="18.85546875" bestFit="1" customWidth="1"/>
    <col min="12" max="12" width="12.42578125" bestFit="1" customWidth="1"/>
    <col min="13" max="13" width="104.5703125" bestFit="1" customWidth="1"/>
  </cols>
  <sheetData>
    <row r="1" spans="1:13">
      <c r="A1" s="2" t="s">
        <v>0</v>
      </c>
      <c r="B1" s="2" t="s">
        <v>31</v>
      </c>
      <c r="C1" s="2" t="s">
        <v>32</v>
      </c>
      <c r="D1" s="2" t="s">
        <v>1</v>
      </c>
      <c r="E1" s="2" t="s">
        <v>33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</row>
    <row r="2" spans="1:13">
      <c r="A2" s="1" t="s">
        <v>6</v>
      </c>
      <c r="B2" s="1" t="str" cm="1">
        <f t="array" ref="B2:M25">_xlfn._xlws.FILTER(
    'Micro Dados - Todos'!$A$2:$L$20000,
    ('Micro Dados - Todos'!$C$2:$C$20000=Lacunas!B2) *
    ('Micro Dados - Todos'!$B$2:$B$20000=Lacunas!C2) *
    ('Micro Dados - Todos'!$D$2:$D$20000=Lacunas!F2)
)</f>
        <v>UVR 01 - Formosa do Oeste</v>
      </c>
      <c r="C2" s="1" t="str">
        <v>01</v>
      </c>
      <c r="D2" s="1" t="str">
        <v>Formosa do Oeste</v>
      </c>
      <c r="E2" s="1" t="str">
        <v>11/15/2024</v>
      </c>
      <c r="F2" s="1" t="str">
        <v>Receita da venda de recicláveis</v>
      </c>
      <c r="G2" s="1" t="str">
        <v>Plástico</v>
      </c>
      <c r="H2" s="1" t="str">
        <v>PET Cristal (Embalagens de refrigerante transparente)</v>
      </c>
      <c r="I2" s="1">
        <v>0</v>
      </c>
      <c r="J2" s="1">
        <v>830</v>
      </c>
      <c r="K2" s="1">
        <v>3486</v>
      </c>
      <c r="L2" s="1">
        <v>4.2</v>
      </c>
      <c r="M2" s="1">
        <v>0</v>
      </c>
    </row>
    <row r="3" spans="1:13">
      <c r="A3" s="1" t="s">
        <v>6</v>
      </c>
      <c r="B3" s="1" t="str">
        <v>UVR 01 - Formosa do Oeste</v>
      </c>
      <c r="C3" s="1" t="str">
        <v>01</v>
      </c>
      <c r="D3" s="1" t="str">
        <v>Formosa do Oeste</v>
      </c>
      <c r="E3" s="1" t="str">
        <v>11/15/2024</v>
      </c>
      <c r="F3" s="1" t="str">
        <v>Receita da venda de recicláveis</v>
      </c>
      <c r="G3" s="1" t="str">
        <v>Plástico</v>
      </c>
      <c r="H3" s="1" t="str">
        <v>PP Rígido (Balde, bacia, potes de sorvetes, margarina, entre outros)</v>
      </c>
      <c r="I3" s="1">
        <v>0</v>
      </c>
      <c r="J3" s="1">
        <v>185</v>
      </c>
      <c r="K3" s="1">
        <v>259</v>
      </c>
      <c r="L3" s="1">
        <v>1.4</v>
      </c>
      <c r="M3" s="1">
        <v>0</v>
      </c>
    </row>
    <row r="4" spans="1:13">
      <c r="A4" s="1" t="s">
        <v>6</v>
      </c>
      <c r="B4" s="1" t="str">
        <v>UVR 01 - Formosa do Oeste</v>
      </c>
      <c r="C4" s="1" t="str">
        <v>01</v>
      </c>
      <c r="D4" s="1" t="str">
        <v>Formosa do Oeste</v>
      </c>
      <c r="E4" s="1" t="str">
        <v>11/15/2024</v>
      </c>
      <c r="F4" s="1" t="str">
        <v>Receita da venda de recicláveis</v>
      </c>
      <c r="G4" s="1" t="str">
        <v>Plástico</v>
      </c>
      <c r="H4" s="1" t="str">
        <v>PP Rígido (Balde, bacia, potes de sorvetes, margarina, entre outros)</v>
      </c>
      <c r="I4" s="1">
        <v>0</v>
      </c>
      <c r="J4" s="1">
        <v>150</v>
      </c>
      <c r="K4" s="1">
        <v>270</v>
      </c>
      <c r="L4" s="1">
        <v>1.8</v>
      </c>
      <c r="M4" s="1">
        <v>0</v>
      </c>
    </row>
    <row r="5" spans="1:13">
      <c r="A5" s="1" t="s">
        <v>6</v>
      </c>
      <c r="B5" s="1" t="str">
        <v>UVR 01 - Formosa do Oeste</v>
      </c>
      <c r="C5" s="1" t="str">
        <v>01</v>
      </c>
      <c r="D5" s="1" t="str">
        <v>Formosa do Oeste</v>
      </c>
      <c r="E5" s="1" t="str">
        <v>11/15/2024</v>
      </c>
      <c r="F5" s="1" t="str">
        <v>Receita da venda de recicláveis</v>
      </c>
      <c r="G5" s="1" t="str">
        <v>Plástico</v>
      </c>
      <c r="H5" s="1" t="str">
        <v>PP Mineral (Copinho de água mineral)</v>
      </c>
      <c r="I5" s="1">
        <v>0</v>
      </c>
      <c r="J5" s="1">
        <v>40</v>
      </c>
      <c r="K5" s="1">
        <v>40</v>
      </c>
      <c r="L5" s="1">
        <v>1</v>
      </c>
      <c r="M5" s="1">
        <v>0</v>
      </c>
    </row>
    <row r="6" spans="1:13">
      <c r="A6" s="1" t="s">
        <v>6</v>
      </c>
      <c r="B6" s="1" t="str">
        <v>UVR 01 - Formosa do Oeste</v>
      </c>
      <c r="C6" s="1" t="str">
        <v>01</v>
      </c>
      <c r="D6" s="1" t="str">
        <v>Formosa do Oeste</v>
      </c>
      <c r="E6" s="1" t="str">
        <v>11/15/2024</v>
      </c>
      <c r="F6" s="1" t="str">
        <v>Receita da venda de recicláveis</v>
      </c>
      <c r="G6" s="1" t="str">
        <v>Papéis</v>
      </c>
      <c r="H6" s="1" t="str">
        <v>Tetra Pack</v>
      </c>
      <c r="I6" s="1">
        <v>0</v>
      </c>
      <c r="J6" s="1">
        <v>250</v>
      </c>
      <c r="K6" s="1">
        <v>62.5</v>
      </c>
      <c r="L6" s="1">
        <v>0.25</v>
      </c>
      <c r="M6" s="1">
        <v>0</v>
      </c>
    </row>
    <row r="7" spans="1:13">
      <c r="A7" s="1" t="s">
        <v>6</v>
      </c>
      <c r="B7" s="1" t="str">
        <v>UVR 01 - Formosa do Oeste</v>
      </c>
      <c r="C7" s="1" t="str">
        <v>01</v>
      </c>
      <c r="D7" s="1" t="str">
        <v>Formosa do Oeste</v>
      </c>
      <c r="E7" s="1" t="str">
        <v>11/15/2024</v>
      </c>
      <c r="F7" s="1" t="str">
        <v>Receita da venda de recicláveis</v>
      </c>
      <c r="G7" s="1" t="str">
        <v>Plástico</v>
      </c>
      <c r="H7" s="1" t="str">
        <v>PEBD Filme (Sacolinha, Sacos de lixo, Lona Preta)</v>
      </c>
      <c r="I7" s="1">
        <v>0</v>
      </c>
      <c r="J7" s="1">
        <v>280</v>
      </c>
      <c r="K7" s="1">
        <v>196</v>
      </c>
      <c r="L7" s="1">
        <v>0.7</v>
      </c>
      <c r="M7" s="1">
        <v>0</v>
      </c>
    </row>
    <row r="8" spans="1:13">
      <c r="A8" s="1" t="s">
        <v>6</v>
      </c>
      <c r="B8" s="1" t="str">
        <v>UVR 01 - Formosa do Oeste</v>
      </c>
      <c r="C8" s="1" t="str">
        <v>01</v>
      </c>
      <c r="D8" s="1" t="str">
        <v>Formosa do Oeste</v>
      </c>
      <c r="E8" s="1" t="str">
        <v>11/15/2024</v>
      </c>
      <c r="F8" s="1" t="str">
        <v>Receita da venda de recicláveis</v>
      </c>
      <c r="G8" s="1" t="str">
        <v>Plástico</v>
      </c>
      <c r="H8" s="1" t="str">
        <v>PP Ráfia (Sacaria)</v>
      </c>
      <c r="I8" s="1">
        <v>0</v>
      </c>
      <c r="J8" s="1">
        <v>110</v>
      </c>
      <c r="K8" s="1">
        <v>38.5</v>
      </c>
      <c r="L8" s="1">
        <v>0.35</v>
      </c>
      <c r="M8" s="1">
        <v>0</v>
      </c>
    </row>
    <row r="9" spans="1:13">
      <c r="A9" s="1" t="s">
        <v>6</v>
      </c>
      <c r="B9" s="1" t="str">
        <v>UVR 01 - Formosa do Oeste</v>
      </c>
      <c r="C9" s="1" t="str">
        <v>01</v>
      </c>
      <c r="D9" s="1" t="str">
        <v>Formosa do Oeste</v>
      </c>
      <c r="E9" s="1" t="str">
        <v>11/15/2024</v>
      </c>
      <c r="F9" s="1" t="str">
        <v>Receita da venda de recicláveis</v>
      </c>
      <c r="G9" s="1" t="str">
        <v>Plástico</v>
      </c>
      <c r="H9" s="1" t="str">
        <v>PP Rígido (Balde, bacia, potes de sorvetes, margarina, entre outros)</v>
      </c>
      <c r="I9" s="1">
        <v>0</v>
      </c>
      <c r="J9" s="1">
        <v>75</v>
      </c>
      <c r="K9" s="1">
        <v>112.5</v>
      </c>
      <c r="L9" s="1">
        <v>1.5</v>
      </c>
      <c r="M9" s="1">
        <v>0</v>
      </c>
    </row>
    <row r="10" spans="1:13">
      <c r="A10" s="1" t="s">
        <v>6</v>
      </c>
      <c r="B10" s="1" t="str">
        <v>UVR 01 - Formosa do Oeste</v>
      </c>
      <c r="C10" s="1" t="str">
        <v>01</v>
      </c>
      <c r="D10" s="1" t="str">
        <v>Formosa do Oeste</v>
      </c>
      <c r="E10" s="1" t="str">
        <v>11/15/2024</v>
      </c>
      <c r="F10" s="1" t="str">
        <v>Receita da venda de recicláveis</v>
      </c>
      <c r="G10" s="1" t="str">
        <v>Plástico</v>
      </c>
      <c r="H10" s="1" t="str">
        <v>PEAD (Embalagens de produtos de limpeza)</v>
      </c>
      <c r="I10" s="1">
        <v>0</v>
      </c>
      <c r="J10" s="1">
        <v>338</v>
      </c>
      <c r="K10" s="1">
        <v>760.5</v>
      </c>
      <c r="L10" s="1">
        <v>2.25</v>
      </c>
      <c r="M10" s="1">
        <v>0</v>
      </c>
    </row>
    <row r="11" spans="1:13">
      <c r="A11" s="1" t="s">
        <v>6</v>
      </c>
      <c r="B11" s="1" t="str">
        <v>UVR 01 - Formosa do Oeste</v>
      </c>
      <c r="C11" s="1" t="str">
        <v>01</v>
      </c>
      <c r="D11" s="1" t="str">
        <v>Formosa do Oeste</v>
      </c>
      <c r="E11" s="1" t="str">
        <v>11/15/2024</v>
      </c>
      <c r="F11" s="1" t="str">
        <v>Receita da venda de recicláveis</v>
      </c>
      <c r="G11" s="1" t="str">
        <v>Plástico</v>
      </c>
      <c r="H11" s="1" t="str">
        <v>PET Óleo (Embalagens de óleo de cozinha)</v>
      </c>
      <c r="I11" s="1">
        <v>0</v>
      </c>
      <c r="J11" s="1">
        <v>75</v>
      </c>
      <c r="K11" s="1">
        <v>135</v>
      </c>
      <c r="L11" s="1">
        <v>1.8</v>
      </c>
      <c r="M11" s="1">
        <v>0</v>
      </c>
    </row>
    <row r="12" spans="1:13">
      <c r="A12" s="1" t="s">
        <v>6</v>
      </c>
      <c r="B12" s="1" t="str">
        <v>UVR 01 - Formosa do Oeste</v>
      </c>
      <c r="C12" s="1" t="str">
        <v>01</v>
      </c>
      <c r="D12" s="1" t="str">
        <v>Formosa do Oeste</v>
      </c>
      <c r="E12" s="1" t="str">
        <v>11/15/2024</v>
      </c>
      <c r="F12" s="1" t="str">
        <v>Receita da venda de recicláveis</v>
      </c>
      <c r="G12" s="1" t="str">
        <v>Plástico</v>
      </c>
      <c r="H12" s="1" t="str">
        <v>PP Rígido (Balde, bacia, potes de sorvetes, margarina, entre outros)</v>
      </c>
      <c r="I12" s="1">
        <v>0</v>
      </c>
      <c r="J12" s="1">
        <v>50</v>
      </c>
      <c r="K12" s="1">
        <v>65</v>
      </c>
      <c r="L12" s="1">
        <v>1.3</v>
      </c>
      <c r="M12" s="1">
        <v>0</v>
      </c>
    </row>
    <row r="13" spans="1:13">
      <c r="A13" s="1" t="s">
        <v>6</v>
      </c>
      <c r="B13" s="1" t="str">
        <v>UVR 01 - Formosa do Oeste</v>
      </c>
      <c r="C13" s="1" t="str">
        <v>01</v>
      </c>
      <c r="D13" s="1" t="str">
        <v>Formosa do Oeste</v>
      </c>
      <c r="E13" s="1" t="str">
        <v>11/15/2024</v>
      </c>
      <c r="F13" s="1" t="str">
        <v>Receita da venda de recicláveis</v>
      </c>
      <c r="G13" s="1" t="str">
        <v>Plástico</v>
      </c>
      <c r="H13" s="1" t="str">
        <v>PET Colorido (Embalagens de PET colorido, PET bagunça)</v>
      </c>
      <c r="I13" s="1">
        <v>0</v>
      </c>
      <c r="J13" s="1">
        <v>150</v>
      </c>
      <c r="K13" s="1">
        <v>30</v>
      </c>
      <c r="L13" s="1">
        <v>0.2</v>
      </c>
      <c r="M13" s="1">
        <v>0</v>
      </c>
    </row>
    <row r="14" spans="1:13">
      <c r="A14" s="1" t="s">
        <v>6</v>
      </c>
      <c r="B14" s="1" t="str">
        <v>UVR 01 - Formosa do Oeste</v>
      </c>
      <c r="C14" s="1" t="str">
        <v>01</v>
      </c>
      <c r="D14" s="1" t="str">
        <v>Formosa do Oeste</v>
      </c>
      <c r="E14" s="1" t="str">
        <v>11/15/2024</v>
      </c>
      <c r="F14" s="1" t="str">
        <v>Receita da venda de recicláveis</v>
      </c>
      <c r="G14" s="1" t="str">
        <v>Plástico</v>
      </c>
      <c r="H14" s="1" t="str">
        <v>PEBD Filme (Sacolinha, Sacos de lixo, Lona Preta)</v>
      </c>
      <c r="I14" s="1">
        <v>0</v>
      </c>
      <c r="J14" s="1">
        <v>50</v>
      </c>
      <c r="K14" s="1">
        <v>30</v>
      </c>
      <c r="L14" s="1">
        <v>0.6</v>
      </c>
      <c r="M14" s="1">
        <v>0</v>
      </c>
    </row>
    <row r="15" spans="1:13">
      <c r="A15" s="1" t="s">
        <v>6</v>
      </c>
      <c r="B15" s="1" t="str">
        <v>UVR 01 - Formosa do Oeste</v>
      </c>
      <c r="C15" s="1" t="str">
        <v>01</v>
      </c>
      <c r="D15" s="1" t="str">
        <v>Formosa do Oeste</v>
      </c>
      <c r="E15" s="1" t="str">
        <v>11/15/2024</v>
      </c>
      <c r="F15" s="1" t="str">
        <v>Receita da venda de recicláveis</v>
      </c>
      <c r="G15" s="1" t="str">
        <v>Plástico</v>
      </c>
      <c r="H15" s="1" t="str">
        <v>PEAD Filme (Cristal)</v>
      </c>
      <c r="I15" s="1">
        <v>0</v>
      </c>
      <c r="J15" s="1">
        <v>220</v>
      </c>
      <c r="K15" s="1">
        <v>308</v>
      </c>
      <c r="L15" s="1">
        <v>1.4</v>
      </c>
      <c r="M15" s="1">
        <v>0</v>
      </c>
    </row>
    <row r="16" spans="1:13">
      <c r="A16" s="1" t="s">
        <v>6</v>
      </c>
      <c r="B16" s="1" t="str">
        <v>UVR 01 - Formosa do Oeste</v>
      </c>
      <c r="C16" s="1" t="str">
        <v>01</v>
      </c>
      <c r="D16" s="1" t="str">
        <v>Formosa do Oeste</v>
      </c>
      <c r="E16" s="1" t="str">
        <v>11/15/2024</v>
      </c>
      <c r="F16" s="1" t="str">
        <v>Receita da venda de recicláveis</v>
      </c>
      <c r="G16" s="1" t="str">
        <v>Papéis</v>
      </c>
      <c r="H16" s="1" t="str">
        <v>Papelão</v>
      </c>
      <c r="I16" s="1">
        <v>0</v>
      </c>
      <c r="J16" s="1">
        <v>1550</v>
      </c>
      <c r="K16" s="1">
        <v>1085</v>
      </c>
      <c r="L16" s="1">
        <v>0.7</v>
      </c>
      <c r="M16" s="1">
        <v>0</v>
      </c>
    </row>
    <row r="17" spans="1:13">
      <c r="A17" s="1" t="s">
        <v>6</v>
      </c>
      <c r="B17" s="1" t="str">
        <v>UVR 01 - Formosa do Oeste</v>
      </c>
      <c r="C17" s="1" t="str">
        <v>01</v>
      </c>
      <c r="D17" s="1" t="str">
        <v>Formosa do Oeste</v>
      </c>
      <c r="E17" s="1" t="str">
        <v>11/15/2024</v>
      </c>
      <c r="F17" s="1" t="str">
        <v>Receita da venda de recicláveis</v>
      </c>
      <c r="G17" s="1" t="str">
        <v>Papéis</v>
      </c>
      <c r="H17" s="1" t="str">
        <v>Papel Branco</v>
      </c>
      <c r="I17" s="1">
        <v>0</v>
      </c>
      <c r="J17" s="1">
        <v>330</v>
      </c>
      <c r="K17" s="1">
        <v>214.5</v>
      </c>
      <c r="L17" s="1">
        <v>0.65</v>
      </c>
      <c r="M17" s="1">
        <v>0</v>
      </c>
    </row>
    <row r="18" spans="1:13">
      <c r="A18" s="1" t="s">
        <v>6</v>
      </c>
      <c r="B18" s="1" t="str">
        <v>UVR 01 - Formosa do Oeste</v>
      </c>
      <c r="C18" s="1" t="str">
        <v>01</v>
      </c>
      <c r="D18" s="1" t="str">
        <v>Formosa do Oeste</v>
      </c>
      <c r="E18" s="1" t="str">
        <v>11/15/2024</v>
      </c>
      <c r="F18" s="1" t="str">
        <v>Receita da venda de recicláveis</v>
      </c>
      <c r="G18" s="1" t="str">
        <v>Papéis</v>
      </c>
      <c r="H18" s="1" t="str">
        <v>Papel Cimento</v>
      </c>
      <c r="I18" s="1">
        <v>0</v>
      </c>
      <c r="J18" s="1">
        <v>235</v>
      </c>
      <c r="K18" s="1">
        <v>58.75</v>
      </c>
      <c r="L18" s="1">
        <v>0.25</v>
      </c>
      <c r="M18" s="1">
        <v>0</v>
      </c>
    </row>
    <row r="19" spans="1:13">
      <c r="A19" s="1" t="s">
        <v>6</v>
      </c>
      <c r="B19" s="1" t="str">
        <v>UVR 01 - Formosa do Oeste</v>
      </c>
      <c r="C19" s="1" t="str">
        <v>01</v>
      </c>
      <c r="D19" s="1" t="str">
        <v>Formosa do Oeste</v>
      </c>
      <c r="E19" s="1" t="str">
        <v>11/15/2024</v>
      </c>
      <c r="F19" s="1" t="str">
        <v>Receita da venda de recicláveis</v>
      </c>
      <c r="G19" s="1" t="str">
        <v>Papéis</v>
      </c>
      <c r="H19" s="1" t="str">
        <v>Papel Misto</v>
      </c>
      <c r="I19" s="1">
        <v>0</v>
      </c>
      <c r="J19" s="1">
        <v>1450</v>
      </c>
      <c r="K19" s="1">
        <v>362.5</v>
      </c>
      <c r="L19" s="1">
        <v>0.25</v>
      </c>
      <c r="M19" s="1">
        <v>0</v>
      </c>
    </row>
    <row r="20" spans="1:13">
      <c r="A20" s="1" t="s">
        <v>6</v>
      </c>
      <c r="B20" s="1" t="str">
        <v>UVR 01 - Formosa do Oeste</v>
      </c>
      <c r="C20" s="1" t="str">
        <v>01</v>
      </c>
      <c r="D20" s="1" t="str">
        <v>Formosa do Oeste</v>
      </c>
      <c r="E20" s="1" t="str">
        <v>11/15/2024</v>
      </c>
      <c r="F20" s="1" t="str">
        <v>Receita da venda de recicláveis</v>
      </c>
      <c r="G20" s="1" t="str">
        <v>Metal</v>
      </c>
      <c r="H20" s="1" t="str">
        <v>Alumínio Latinha</v>
      </c>
      <c r="I20" s="1">
        <v>0</v>
      </c>
      <c r="J20" s="1">
        <v>80</v>
      </c>
      <c r="K20" s="1">
        <v>800</v>
      </c>
      <c r="L20" s="1">
        <v>10</v>
      </c>
      <c r="M20" s="1">
        <v>0</v>
      </c>
    </row>
    <row r="21" spans="1:13">
      <c r="A21" s="1" t="s">
        <v>6</v>
      </c>
      <c r="B21" s="1" t="str">
        <v>UVR 01 - Formosa do Oeste</v>
      </c>
      <c r="C21" s="1" t="str">
        <v>01</v>
      </c>
      <c r="D21" s="1" t="str">
        <v>Formosa do Oeste</v>
      </c>
      <c r="E21" s="1" t="str">
        <v>11/15/2024</v>
      </c>
      <c r="F21" s="1" t="str">
        <v>Receita da venda de recicláveis</v>
      </c>
      <c r="G21" s="1" t="str">
        <v>Metal</v>
      </c>
      <c r="H21" s="1" t="str">
        <v>Alumínio Panela</v>
      </c>
      <c r="I21" s="1">
        <v>0</v>
      </c>
      <c r="J21" s="1">
        <v>11</v>
      </c>
      <c r="K21" s="1">
        <v>110</v>
      </c>
      <c r="L21" s="1">
        <v>10</v>
      </c>
      <c r="M21" s="1">
        <v>0</v>
      </c>
    </row>
    <row r="22" spans="1:13">
      <c r="A22" s="1" t="s">
        <v>6</v>
      </c>
      <c r="B22" s="1" t="str">
        <v>UVR 01 - Formosa do Oeste</v>
      </c>
      <c r="C22" s="1" t="str">
        <v>01</v>
      </c>
      <c r="D22" s="1" t="str">
        <v>Formosa do Oeste</v>
      </c>
      <c r="E22" s="1" t="str">
        <v>11/15/2024</v>
      </c>
      <c r="F22" s="1" t="str">
        <v>Receita da venda de recicláveis</v>
      </c>
      <c r="G22" s="1" t="str">
        <v>Metal</v>
      </c>
      <c r="H22" s="1" t="str">
        <v>Sucatas</v>
      </c>
      <c r="I22" s="1">
        <v>0</v>
      </c>
      <c r="J22" s="1">
        <v>860</v>
      </c>
      <c r="K22" s="1">
        <v>559</v>
      </c>
      <c r="L22" s="1">
        <v>0.65</v>
      </c>
      <c r="M22" s="1">
        <v>0</v>
      </c>
    </row>
    <row r="23" spans="1:13">
      <c r="A23" s="1" t="s">
        <v>6</v>
      </c>
      <c r="B23" s="1" t="str">
        <v>UVR 01 - Formosa do Oeste</v>
      </c>
      <c r="C23" s="1" t="str">
        <v>01</v>
      </c>
      <c r="D23" s="1" t="str">
        <v>Formosa do Oeste</v>
      </c>
      <c r="E23" s="1" t="str">
        <v>11/15/2024</v>
      </c>
      <c r="F23" s="1" t="str">
        <v>Receita da venda de recicláveis</v>
      </c>
      <c r="G23" s="1" t="str">
        <v>Metal</v>
      </c>
      <c r="H23" s="1" t="str">
        <v>Cobre Limpo</v>
      </c>
      <c r="I23" s="1">
        <v>0</v>
      </c>
      <c r="J23" s="1">
        <v>12</v>
      </c>
      <c r="K23" s="1">
        <v>360</v>
      </c>
      <c r="L23" s="1">
        <v>30</v>
      </c>
      <c r="M23" s="1">
        <v>0</v>
      </c>
    </row>
    <row r="24" spans="1:13">
      <c r="A24" s="1" t="s">
        <v>6</v>
      </c>
      <c r="B24" s="1" t="str">
        <v>UVR 01 - Formosa do Oeste</v>
      </c>
      <c r="C24" s="1" t="str">
        <v>01</v>
      </c>
      <c r="D24" s="1" t="str">
        <v>Formosa do Oeste</v>
      </c>
      <c r="E24" s="1" t="str">
        <v>11/15/2024</v>
      </c>
      <c r="F24" s="1" t="str">
        <v>Receita da venda de recicláveis</v>
      </c>
      <c r="G24" s="1" t="str">
        <v>Metal</v>
      </c>
      <c r="H24" s="1" t="str">
        <v>Alumínio Bloco</v>
      </c>
      <c r="I24" s="1">
        <v>0</v>
      </c>
      <c r="J24" s="1">
        <v>32</v>
      </c>
      <c r="K24" s="1">
        <v>256</v>
      </c>
      <c r="L24" s="1">
        <v>8</v>
      </c>
      <c r="M24" s="1">
        <v>0</v>
      </c>
    </row>
    <row r="25" spans="1:13">
      <c r="A25" s="1" t="s">
        <v>6</v>
      </c>
      <c r="B25" s="1" t="str">
        <v>UVR 01 - Formosa do Oeste</v>
      </c>
      <c r="C25" s="1" t="str">
        <v>01</v>
      </c>
      <c r="D25" s="1" t="str">
        <v>Formosa do Oeste</v>
      </c>
      <c r="E25" s="1" t="str">
        <v>11/15/2024</v>
      </c>
      <c r="F25" s="1" t="str">
        <v>Rejeito</v>
      </c>
      <c r="G25" s="1" t="str">
        <v>Rejeito</v>
      </c>
      <c r="H25" s="1" t="str">
        <v>null</v>
      </c>
      <c r="I25" s="1">
        <v>0</v>
      </c>
      <c r="J25" s="1">
        <v>3620</v>
      </c>
      <c r="K25" s="1">
        <v>0</v>
      </c>
      <c r="L25" s="1">
        <v>0</v>
      </c>
      <c r="M25" s="1">
        <v>0</v>
      </c>
    </row>
    <row r="26" spans="1:13">
      <c r="A26" s="1" t="s">
        <v>11</v>
      </c>
      <c r="B26" s="1" t="str" cm="1">
        <f t="array" ref="B26:M49">_xlfn._xlws.FILTER(
    'Micro Dados - Todos'!$A$2:$L$20000,
    ('Micro Dados - Todos'!$C$2:$C$20000=Lacunas!B3) *
    ('Micro Dados - Todos'!$B$2:$B$20000=Lacunas!C3) *
    ('Micro Dados - Todos'!$D$2:$D$20000=Lacunas!F3)
)</f>
        <v>UVR 01 - Maripa</v>
      </c>
      <c r="C26" s="1" t="str">
        <v>01</v>
      </c>
      <c r="D26" s="1" t="str">
        <v>Maripa</v>
      </c>
      <c r="E26" s="1" t="str">
        <v>11/15/2024</v>
      </c>
      <c r="F26" s="1" t="str">
        <v>Receita da venda de recicláveis</v>
      </c>
      <c r="G26" s="1" t="str">
        <v>Papéis</v>
      </c>
      <c r="H26" s="1" t="str">
        <v>Papel Branco</v>
      </c>
      <c r="I26" s="1">
        <v>0</v>
      </c>
      <c r="J26" s="1">
        <v>800</v>
      </c>
      <c r="K26" s="1">
        <v>560</v>
      </c>
      <c r="L26" s="1">
        <v>0.7</v>
      </c>
      <c r="M26" s="1">
        <v>0</v>
      </c>
    </row>
    <row r="27" spans="1:13">
      <c r="A27" s="1" t="s">
        <v>11</v>
      </c>
      <c r="B27" s="1" t="str">
        <v>UVR 01 - Maripa</v>
      </c>
      <c r="C27" s="1" t="str">
        <v>01</v>
      </c>
      <c r="D27" s="1" t="str">
        <v>Maripa</v>
      </c>
      <c r="E27" s="1" t="str">
        <v>11/15/2024</v>
      </c>
      <c r="F27" s="1" t="str">
        <v>Receita da venda de recicláveis</v>
      </c>
      <c r="G27" s="1" t="str">
        <v>Papéis</v>
      </c>
      <c r="H27" s="1" t="str">
        <v>Papel Misto</v>
      </c>
      <c r="I27" s="1">
        <v>0</v>
      </c>
      <c r="J27" s="1">
        <v>1300</v>
      </c>
      <c r="K27" s="1">
        <v>325</v>
      </c>
      <c r="L27" s="1">
        <v>0.25</v>
      </c>
      <c r="M27" s="1">
        <v>0</v>
      </c>
    </row>
    <row r="28" spans="1:13">
      <c r="A28" s="1" t="s">
        <v>11</v>
      </c>
      <c r="B28" s="1" t="str">
        <v>UVR 01 - Maripa</v>
      </c>
      <c r="C28" s="1" t="str">
        <v>01</v>
      </c>
      <c r="D28" s="1" t="str">
        <v>Maripa</v>
      </c>
      <c r="E28" s="1" t="str">
        <v>11/15/2024</v>
      </c>
      <c r="F28" s="1" t="str">
        <v>Receita da venda de recicláveis</v>
      </c>
      <c r="G28" s="1" t="str">
        <v>Papéis</v>
      </c>
      <c r="H28" s="1" t="str">
        <v>Papelão</v>
      </c>
      <c r="I28" s="1">
        <v>0</v>
      </c>
      <c r="J28" s="1">
        <v>8500</v>
      </c>
      <c r="K28" s="1">
        <v>5950</v>
      </c>
      <c r="L28" s="1">
        <v>0.7</v>
      </c>
      <c r="M28" s="1">
        <v>0</v>
      </c>
    </row>
    <row r="29" spans="1:13">
      <c r="A29" s="1" t="s">
        <v>11</v>
      </c>
      <c r="B29" s="1" t="str">
        <v>UVR 01 - Maripa</v>
      </c>
      <c r="C29" s="1" t="str">
        <v>01</v>
      </c>
      <c r="D29" s="1" t="str">
        <v>Maripa</v>
      </c>
      <c r="E29" s="1" t="str">
        <v>11/15/2024</v>
      </c>
      <c r="F29" s="1" t="str">
        <v>Receita da venda de recicláveis</v>
      </c>
      <c r="G29" s="1" t="str">
        <v>Papéis</v>
      </c>
      <c r="H29" s="1" t="str">
        <v>Tetra Pack</v>
      </c>
      <c r="I29" s="1">
        <v>0</v>
      </c>
      <c r="J29" s="1">
        <v>500</v>
      </c>
      <c r="K29" s="1">
        <v>150</v>
      </c>
      <c r="L29" s="1">
        <v>0.3</v>
      </c>
      <c r="M29" s="1">
        <v>0</v>
      </c>
    </row>
    <row r="30" spans="1:13">
      <c r="A30" s="1" t="s">
        <v>11</v>
      </c>
      <c r="B30" s="1" t="str">
        <v>UVR 01 - Maripa</v>
      </c>
      <c r="C30" s="1" t="str">
        <v>01</v>
      </c>
      <c r="D30" s="1" t="str">
        <v>Maripa</v>
      </c>
      <c r="E30" s="1" t="str">
        <v>11/15/2024</v>
      </c>
      <c r="F30" s="1" t="str">
        <v>Receita da venda de recicláveis</v>
      </c>
      <c r="G30" s="1" t="str">
        <v>Plástico</v>
      </c>
      <c r="H30" s="1" t="str">
        <v>PVC (Cano, Forro, Tubulação de cano)</v>
      </c>
      <c r="I30" s="1">
        <v>0</v>
      </c>
      <c r="J30" s="1">
        <v>100</v>
      </c>
      <c r="K30" s="1">
        <v>80</v>
      </c>
      <c r="L30" s="1">
        <v>0.8</v>
      </c>
      <c r="M30" s="1">
        <v>0</v>
      </c>
    </row>
    <row r="31" spans="1:13">
      <c r="A31" s="1" t="s">
        <v>11</v>
      </c>
      <c r="B31" s="1" t="str">
        <v>UVR 01 - Maripa</v>
      </c>
      <c r="C31" s="1" t="str">
        <v>01</v>
      </c>
      <c r="D31" s="1" t="str">
        <v>Maripa</v>
      </c>
      <c r="E31" s="1" t="str">
        <v>11/15/2024</v>
      </c>
      <c r="F31" s="1" t="str">
        <v>Receita da venda de recicláveis</v>
      </c>
      <c r="G31" s="1" t="str">
        <v>Plástico</v>
      </c>
      <c r="H31" s="1" t="str">
        <v>PEAD (Embalagens de produtos de limpeza)</v>
      </c>
      <c r="I31" s="1">
        <v>0</v>
      </c>
      <c r="J31" s="1">
        <v>1050</v>
      </c>
      <c r="K31" s="1">
        <v>2310</v>
      </c>
      <c r="L31" s="1">
        <v>2.2000000000000002</v>
      </c>
      <c r="M31" s="1">
        <v>0</v>
      </c>
    </row>
    <row r="32" spans="1:13">
      <c r="A32" s="1" t="s">
        <v>11</v>
      </c>
      <c r="B32" s="1" t="str">
        <v>UVR 01 - Maripa</v>
      </c>
      <c r="C32" s="1" t="str">
        <v>01</v>
      </c>
      <c r="D32" s="1" t="str">
        <v>Maripa</v>
      </c>
      <c r="E32" s="1" t="str">
        <v>11/15/2024</v>
      </c>
      <c r="F32" s="1" t="str">
        <v>Receita da venda de recicláveis</v>
      </c>
      <c r="G32" s="1" t="str">
        <v>Plástico</v>
      </c>
      <c r="H32" s="1" t="str">
        <v>PEAD Filme (Cristal)</v>
      </c>
      <c r="I32" s="1">
        <v>0</v>
      </c>
      <c r="J32" s="1">
        <v>1500</v>
      </c>
      <c r="K32" s="1">
        <v>1950</v>
      </c>
      <c r="L32" s="1">
        <v>1.3</v>
      </c>
      <c r="M32" s="1">
        <v>0</v>
      </c>
    </row>
    <row r="33" spans="1:13">
      <c r="A33" s="1" t="s">
        <v>11</v>
      </c>
      <c r="B33" s="1" t="str">
        <v>UVR 01 - Maripa</v>
      </c>
      <c r="C33" s="1" t="str">
        <v>01</v>
      </c>
      <c r="D33" s="1" t="str">
        <v>Maripa</v>
      </c>
      <c r="E33" s="1" t="str">
        <v>11/15/2024</v>
      </c>
      <c r="F33" s="1" t="str">
        <v>Receita da venda de recicláveis</v>
      </c>
      <c r="G33" s="1" t="str">
        <v>Plástico</v>
      </c>
      <c r="H33" s="1" t="str">
        <v>PEBD Filme (Sacolinha, Sacos de lixo, Lona Preta)</v>
      </c>
      <c r="I33" s="1">
        <v>0</v>
      </c>
      <c r="J33" s="1">
        <v>2000</v>
      </c>
      <c r="K33" s="1">
        <v>1500</v>
      </c>
      <c r="L33" s="1">
        <v>0.75</v>
      </c>
      <c r="M33" s="1">
        <v>0</v>
      </c>
    </row>
    <row r="34" spans="1:13">
      <c r="A34" s="1" t="s">
        <v>11</v>
      </c>
      <c r="B34" s="1" t="str">
        <v>UVR 01 - Maripa</v>
      </c>
      <c r="C34" s="1" t="str">
        <v>01</v>
      </c>
      <c r="D34" s="1" t="str">
        <v>Maripa</v>
      </c>
      <c r="E34" s="1" t="str">
        <v>11/15/2024</v>
      </c>
      <c r="F34" s="1" t="str">
        <v>Receita da venda de recicláveis</v>
      </c>
      <c r="G34" s="1" t="str">
        <v>Plástico</v>
      </c>
      <c r="H34" s="1" t="str">
        <v>PET Verde (Embalagens de refrigerante verde)</v>
      </c>
      <c r="I34" s="1">
        <v>0</v>
      </c>
      <c r="J34" s="1">
        <v>450</v>
      </c>
      <c r="K34" s="1">
        <v>1800</v>
      </c>
      <c r="L34" s="1">
        <v>4</v>
      </c>
      <c r="M34" s="1">
        <v>0</v>
      </c>
    </row>
    <row r="35" spans="1:13">
      <c r="A35" s="1" t="s">
        <v>11</v>
      </c>
      <c r="B35" s="1" t="str">
        <v>UVR 01 - Maripa</v>
      </c>
      <c r="C35" s="1" t="str">
        <v>01</v>
      </c>
      <c r="D35" s="1" t="str">
        <v>Maripa</v>
      </c>
      <c r="E35" s="1" t="str">
        <v>11/15/2024</v>
      </c>
      <c r="F35" s="1" t="str">
        <v>Receita da venda de recicláveis</v>
      </c>
      <c r="G35" s="1" t="str">
        <v>Plástico</v>
      </c>
      <c r="H35" s="1" t="str">
        <v>PET Cristal (Embalagens de refrigerante transparente)</v>
      </c>
      <c r="I35" s="1">
        <v>0</v>
      </c>
      <c r="J35" s="1">
        <v>450</v>
      </c>
      <c r="K35" s="1">
        <v>1800</v>
      </c>
      <c r="L35" s="1">
        <v>4</v>
      </c>
      <c r="M35" s="1">
        <v>0</v>
      </c>
    </row>
    <row r="36" spans="1:13">
      <c r="A36" s="1" t="s">
        <v>11</v>
      </c>
      <c r="B36" s="1" t="str">
        <v>UVR 01 - Maripa</v>
      </c>
      <c r="C36" s="1" t="str">
        <v>01</v>
      </c>
      <c r="D36" s="1" t="str">
        <v>Maripa</v>
      </c>
      <c r="E36" s="1" t="str">
        <v>11/15/2024</v>
      </c>
      <c r="F36" s="1" t="str">
        <v>Receita da venda de recicláveis</v>
      </c>
      <c r="G36" s="1" t="str">
        <v>Plástico</v>
      </c>
      <c r="H36" s="1" t="str">
        <v>PET Óleo (Embalagens de óleo de cozinha)</v>
      </c>
      <c r="I36" s="1">
        <v>0</v>
      </c>
      <c r="J36" s="1">
        <v>150</v>
      </c>
      <c r="K36" s="1">
        <v>195</v>
      </c>
      <c r="L36" s="1">
        <v>1.3</v>
      </c>
      <c r="M36" s="1">
        <v>0</v>
      </c>
    </row>
    <row r="37" spans="1:13">
      <c r="A37" s="1" t="s">
        <v>11</v>
      </c>
      <c r="B37" s="1" t="str">
        <v>UVR 01 - Maripa</v>
      </c>
      <c r="C37" s="1" t="str">
        <v>01</v>
      </c>
      <c r="D37" s="1" t="str">
        <v>Maripa</v>
      </c>
      <c r="E37" s="1" t="str">
        <v>11/15/2024</v>
      </c>
      <c r="F37" s="1" t="str">
        <v>Receita da venda de recicláveis</v>
      </c>
      <c r="G37" s="1" t="str">
        <v>Plástico</v>
      </c>
      <c r="H37" s="1" t="str">
        <v>PET Colorido (Embalagens de PET colorido, PET bagunça)</v>
      </c>
      <c r="I37" s="1">
        <v>0</v>
      </c>
      <c r="J37" s="1">
        <v>100</v>
      </c>
      <c r="K37" s="1">
        <v>5</v>
      </c>
      <c r="L37" s="1">
        <v>0.05</v>
      </c>
      <c r="M37" s="1">
        <v>0</v>
      </c>
    </row>
    <row r="38" spans="1:13">
      <c r="A38" s="1" t="s">
        <v>11</v>
      </c>
      <c r="B38" s="1" t="str">
        <v>UVR 01 - Maripa</v>
      </c>
      <c r="C38" s="1" t="str">
        <v>01</v>
      </c>
      <c r="D38" s="1" t="str">
        <v>Maripa</v>
      </c>
      <c r="E38" s="1" t="str">
        <v>11/15/2024</v>
      </c>
      <c r="F38" s="1" t="str">
        <v>Receita da venda de recicláveis</v>
      </c>
      <c r="G38" s="1" t="str">
        <v>Plástico</v>
      </c>
      <c r="H38" s="1" t="str">
        <v>PS (Copos descartáveis)</v>
      </c>
      <c r="I38" s="1">
        <v>0</v>
      </c>
      <c r="J38" s="1">
        <v>160</v>
      </c>
      <c r="K38" s="1">
        <v>160</v>
      </c>
      <c r="L38" s="1">
        <v>1</v>
      </c>
      <c r="M38" s="1">
        <v>0</v>
      </c>
    </row>
    <row r="39" spans="1:13">
      <c r="A39" s="1" t="s">
        <v>11</v>
      </c>
      <c r="B39" s="1" t="str">
        <v>UVR 01 - Maripa</v>
      </c>
      <c r="C39" s="1" t="str">
        <v>01</v>
      </c>
      <c r="D39" s="1" t="str">
        <v>Maripa</v>
      </c>
      <c r="E39" s="1" t="str">
        <v>11/15/2024</v>
      </c>
      <c r="F39" s="1" t="str">
        <v>Receita da venda de recicláveis</v>
      </c>
      <c r="G39" s="1" t="str">
        <v>Plástico</v>
      </c>
      <c r="H39" s="1" t="str">
        <v>PP Rígido (Balde, bacia, potes de sorvetes, margarina, entre outros)</v>
      </c>
      <c r="I39" s="1">
        <v>0</v>
      </c>
      <c r="J39" s="1">
        <v>1350</v>
      </c>
      <c r="K39" s="1">
        <v>1822.5</v>
      </c>
      <c r="L39" s="1">
        <v>1.35</v>
      </c>
      <c r="M39" s="1">
        <v>0</v>
      </c>
    </row>
    <row r="40" spans="1:13">
      <c r="A40" s="1" t="s">
        <v>11</v>
      </c>
      <c r="B40" s="1" t="str">
        <v>UVR 01 - Maripa</v>
      </c>
      <c r="C40" s="1" t="str">
        <v>01</v>
      </c>
      <c r="D40" s="1" t="str">
        <v>Maripa</v>
      </c>
      <c r="E40" s="1" t="str">
        <v>11/15/2024</v>
      </c>
      <c r="F40" s="1" t="str">
        <v>Receita da venda de recicláveis</v>
      </c>
      <c r="G40" s="1" t="str">
        <v>Plástico</v>
      </c>
      <c r="H40" s="1" t="str">
        <v>PP Filme (Estralador, embalagens internas de pacotes de bolacha)</v>
      </c>
      <c r="I40" s="1">
        <v>0</v>
      </c>
      <c r="J40" s="1">
        <v>250</v>
      </c>
      <c r="K40" s="1">
        <v>12.5</v>
      </c>
      <c r="L40" s="1">
        <v>0.05</v>
      </c>
      <c r="M40" s="1">
        <v>0</v>
      </c>
    </row>
    <row r="41" spans="1:13">
      <c r="A41" s="1" t="s">
        <v>11</v>
      </c>
      <c r="B41" s="1" t="str">
        <v>UVR 01 - Maripa</v>
      </c>
      <c r="C41" s="1" t="str">
        <v>01</v>
      </c>
      <c r="D41" s="1" t="str">
        <v>Maripa</v>
      </c>
      <c r="E41" s="1" t="str">
        <v>11/15/2024</v>
      </c>
      <c r="F41" s="1" t="str">
        <v>Receita da venda de recicláveis</v>
      </c>
      <c r="G41" s="1" t="str">
        <v>Plástico</v>
      </c>
      <c r="H41" s="1" t="str">
        <v>PP Ráfia (Sacaria)</v>
      </c>
      <c r="I41" s="1">
        <v>0</v>
      </c>
      <c r="J41" s="1">
        <v>1400</v>
      </c>
      <c r="K41" s="1">
        <v>350</v>
      </c>
      <c r="L41" s="1">
        <v>0.25</v>
      </c>
      <c r="M41" s="1">
        <v>0</v>
      </c>
    </row>
    <row r="42" spans="1:13">
      <c r="A42" s="1" t="s">
        <v>11</v>
      </c>
      <c r="B42" s="1" t="str">
        <v>UVR 01 - Maripa</v>
      </c>
      <c r="C42" s="1" t="str">
        <v>01</v>
      </c>
      <c r="D42" s="1" t="str">
        <v>Maripa</v>
      </c>
      <c r="E42" s="1" t="str">
        <v>11/15/2024</v>
      </c>
      <c r="F42" s="1" t="str">
        <v>Receita da venda de recicláveis</v>
      </c>
      <c r="G42" s="1" t="str">
        <v>Metal</v>
      </c>
      <c r="H42" s="1" t="str">
        <v>Alumínio Bloco</v>
      </c>
      <c r="I42" s="1">
        <v>0</v>
      </c>
      <c r="J42" s="1">
        <v>70</v>
      </c>
      <c r="K42" s="1">
        <v>280</v>
      </c>
      <c r="L42" s="1">
        <v>4</v>
      </c>
      <c r="M42" s="1">
        <v>0</v>
      </c>
    </row>
    <row r="43" spans="1:13">
      <c r="A43" s="1" t="s">
        <v>11</v>
      </c>
      <c r="B43" s="1" t="str">
        <v>UVR 01 - Maripa</v>
      </c>
      <c r="C43" s="1" t="str">
        <v>01</v>
      </c>
      <c r="D43" s="1" t="str">
        <v>Maripa</v>
      </c>
      <c r="E43" s="1" t="str">
        <v>11/15/2024</v>
      </c>
      <c r="F43" s="1" t="str">
        <v>Receita da venda de recicláveis</v>
      </c>
      <c r="G43" s="1" t="str">
        <v>Metal</v>
      </c>
      <c r="H43" s="1" t="str">
        <v>Alumínio Latinha</v>
      </c>
      <c r="I43" s="1">
        <v>0</v>
      </c>
      <c r="J43" s="1">
        <v>295</v>
      </c>
      <c r="K43" s="1">
        <v>2507.5</v>
      </c>
      <c r="L43" s="1">
        <v>8.5</v>
      </c>
      <c r="M43" s="1">
        <v>0</v>
      </c>
    </row>
    <row r="44" spans="1:13">
      <c r="A44" s="1" t="s">
        <v>11</v>
      </c>
      <c r="B44" s="1" t="str">
        <v>UVR 01 - Maripa</v>
      </c>
      <c r="C44" s="1" t="str">
        <v>01</v>
      </c>
      <c r="D44" s="1" t="str">
        <v>Maripa</v>
      </c>
      <c r="E44" s="1" t="str">
        <v>11/15/2024</v>
      </c>
      <c r="F44" s="1" t="str">
        <v>Receita da venda de recicláveis</v>
      </c>
      <c r="G44" s="1" t="str">
        <v>Metal</v>
      </c>
      <c r="H44" s="1" t="str">
        <v>Alumínio Panela</v>
      </c>
      <c r="I44" s="1">
        <v>0</v>
      </c>
      <c r="J44" s="1">
        <v>14</v>
      </c>
      <c r="K44" s="1">
        <v>126</v>
      </c>
      <c r="L44" s="1">
        <v>9</v>
      </c>
      <c r="M44" s="1">
        <v>0</v>
      </c>
    </row>
    <row r="45" spans="1:13">
      <c r="A45" s="1" t="s">
        <v>11</v>
      </c>
      <c r="B45" s="1" t="str">
        <v>UVR 01 - Maripa</v>
      </c>
      <c r="C45" s="1" t="str">
        <v>01</v>
      </c>
      <c r="D45" s="1" t="str">
        <v>Maripa</v>
      </c>
      <c r="E45" s="1" t="str">
        <v>11/15/2024</v>
      </c>
      <c r="F45" s="1" t="str">
        <v>Receita da venda de recicláveis</v>
      </c>
      <c r="G45" s="1" t="str">
        <v>Metal</v>
      </c>
      <c r="H45" s="1" t="str">
        <v>Chaparia</v>
      </c>
      <c r="I45" s="1">
        <v>0</v>
      </c>
      <c r="J45" s="1">
        <v>50</v>
      </c>
      <c r="K45" s="1">
        <v>450</v>
      </c>
      <c r="L45" s="1">
        <v>9</v>
      </c>
      <c r="M45" s="1">
        <v>0</v>
      </c>
    </row>
    <row r="46" spans="1:13">
      <c r="A46" s="1" t="s">
        <v>11</v>
      </c>
      <c r="B46" s="1" t="str">
        <v>UVR 01 - Maripa</v>
      </c>
      <c r="C46" s="1" t="str">
        <v>01</v>
      </c>
      <c r="D46" s="1" t="str">
        <v>Maripa</v>
      </c>
      <c r="E46" s="1" t="str">
        <v>11/15/2024</v>
      </c>
      <c r="F46" s="1" t="str">
        <v>Receita da venda de recicláveis</v>
      </c>
      <c r="G46" s="1" t="str">
        <v>Metal</v>
      </c>
      <c r="H46" s="1" t="str">
        <v>Cobre Limpo</v>
      </c>
      <c r="I46" s="1">
        <v>0</v>
      </c>
      <c r="J46" s="1">
        <v>30</v>
      </c>
      <c r="K46" s="1">
        <v>1110</v>
      </c>
      <c r="L46" s="1">
        <v>37</v>
      </c>
      <c r="M46" s="1">
        <v>0</v>
      </c>
    </row>
    <row r="47" spans="1:13">
      <c r="A47" s="1" t="s">
        <v>11</v>
      </c>
      <c r="B47" s="1" t="str">
        <v>UVR 01 - Maripa</v>
      </c>
      <c r="C47" s="1" t="str">
        <v>01</v>
      </c>
      <c r="D47" s="1" t="str">
        <v>Maripa</v>
      </c>
      <c r="E47" s="1" t="str">
        <v>11/15/2024</v>
      </c>
      <c r="F47" s="1" t="str">
        <v>Receita da venda de recicláveis</v>
      </c>
      <c r="G47" s="1" t="str">
        <v>Vidro</v>
      </c>
      <c r="H47" s="1" t="str">
        <v>Caco</v>
      </c>
      <c r="I47" s="1">
        <v>0</v>
      </c>
      <c r="J47" s="1">
        <v>8000</v>
      </c>
      <c r="K47" s="1">
        <v>1360</v>
      </c>
      <c r="L47" s="1">
        <v>0.17</v>
      </c>
      <c r="M47" s="1">
        <v>0</v>
      </c>
    </row>
    <row r="48" spans="1:13">
      <c r="A48" s="1" t="s">
        <v>11</v>
      </c>
      <c r="B48" s="1" t="str">
        <v>UVR 01 - Maripa</v>
      </c>
      <c r="C48" s="1" t="str">
        <v>01</v>
      </c>
      <c r="D48" s="1" t="str">
        <v>Maripa</v>
      </c>
      <c r="E48" s="1" t="str">
        <v>11/15/2024</v>
      </c>
      <c r="F48" s="1" t="str">
        <v>Receita da venda de recicláveis</v>
      </c>
      <c r="G48" s="1" t="str">
        <v>Elétrico ou Eletrônicos</v>
      </c>
      <c r="H48" s="1" t="str">
        <v>Bateria</v>
      </c>
      <c r="I48" s="1">
        <v>0</v>
      </c>
      <c r="J48" s="1">
        <v>21</v>
      </c>
      <c r="K48" s="1">
        <v>54.6</v>
      </c>
      <c r="L48" s="1">
        <v>2.6</v>
      </c>
      <c r="M48" s="1">
        <v>0</v>
      </c>
    </row>
    <row r="49" spans="1:13">
      <c r="A49" s="1" t="s">
        <v>11</v>
      </c>
      <c r="B49" s="1" t="str">
        <v>UVR 01 - Maripa</v>
      </c>
      <c r="C49" s="1" t="str">
        <v>01</v>
      </c>
      <c r="D49" s="1" t="str">
        <v>Maripa</v>
      </c>
      <c r="E49" s="1" t="str">
        <v>11/15/2024</v>
      </c>
      <c r="F49" s="1" t="str">
        <v>Receita da prestação de serviços</v>
      </c>
      <c r="G49" s="1" t="str">
        <v>Contratos</v>
      </c>
      <c r="H49" s="1">
        <v>0</v>
      </c>
      <c r="I49" s="1">
        <v>0</v>
      </c>
      <c r="J49" s="1">
        <v>0</v>
      </c>
      <c r="K49" s="1">
        <v>29503.37</v>
      </c>
      <c r="L49" s="1">
        <v>0</v>
      </c>
      <c r="M49" s="1">
        <v>0</v>
      </c>
    </row>
    <row r="50" spans="1:13">
      <c r="A50" s="1" t="s">
        <v>11</v>
      </c>
      <c r="B50" s="1" t="str" cm="1">
        <f t="array" ref="B50:M76">_xlfn._xlws.FILTER(
    'Micro Dados - Todos'!$A$2:$L$20000,
    ('Micro Dados - Todos'!$C$2:$C$20000=Lacunas!B4) *
    ('Micro Dados - Todos'!$B$2:$B$20000=Lacunas!C4) *
    ('Micro Dados - Todos'!$D$2:$D$20000=Lacunas!F4)
)</f>
        <v>UVR 01 - Mundo Novo</v>
      </c>
      <c r="C50" s="1" t="str">
        <v>01</v>
      </c>
      <c r="D50" s="1" t="str">
        <v>Mundo Novo</v>
      </c>
      <c r="E50" s="1" t="str">
        <v>11/15/2024</v>
      </c>
      <c r="F50" s="1" t="str">
        <v>Receita da venda de recicláveis</v>
      </c>
      <c r="G50" s="1" t="str">
        <v>Vidro</v>
      </c>
      <c r="H50" s="1" t="str">
        <v>Caco</v>
      </c>
      <c r="I50" s="1">
        <v>0</v>
      </c>
      <c r="J50" s="1">
        <v>19340</v>
      </c>
      <c r="K50" s="1">
        <v>1934</v>
      </c>
      <c r="L50" s="1">
        <v>0.1</v>
      </c>
      <c r="M50" s="1">
        <v>0</v>
      </c>
    </row>
    <row r="51" spans="1:13">
      <c r="A51" s="1" t="s">
        <v>11</v>
      </c>
      <c r="B51" s="1" t="str">
        <v>UVR 01 - Mundo Novo</v>
      </c>
      <c r="C51" s="1" t="str">
        <v>01</v>
      </c>
      <c r="D51" s="1" t="str">
        <v>Mundo Novo</v>
      </c>
      <c r="E51" s="1" t="str">
        <v>11/15/2024</v>
      </c>
      <c r="F51" s="1" t="str">
        <v>Receita da venda de recicláveis</v>
      </c>
      <c r="G51" s="1" t="str">
        <v>Papéis</v>
      </c>
      <c r="H51" s="1" t="str">
        <v>Papelão</v>
      </c>
      <c r="I51" s="1">
        <v>0</v>
      </c>
      <c r="J51" s="1">
        <v>21036</v>
      </c>
      <c r="K51" s="1">
        <v>16868.8</v>
      </c>
      <c r="L51" s="1">
        <v>0.8</v>
      </c>
      <c r="M51" s="1">
        <v>0</v>
      </c>
    </row>
    <row r="52" spans="1:13">
      <c r="A52" s="1" t="s">
        <v>11</v>
      </c>
      <c r="B52" s="1" t="str">
        <v>UVR 01 - Mundo Novo</v>
      </c>
      <c r="C52" s="1" t="str">
        <v>01</v>
      </c>
      <c r="D52" s="1" t="str">
        <v>Mundo Novo</v>
      </c>
      <c r="E52" s="1" t="str">
        <v>11/15/2024</v>
      </c>
      <c r="F52" s="1" t="str">
        <v>Receita da venda de recicláveis</v>
      </c>
      <c r="G52" s="1" t="str">
        <v>Papéis</v>
      </c>
      <c r="H52" s="1" t="str">
        <v>Papel Misto</v>
      </c>
      <c r="I52" s="1">
        <v>0</v>
      </c>
      <c r="J52" s="1">
        <v>871</v>
      </c>
      <c r="K52" s="1">
        <v>348.8</v>
      </c>
      <c r="L52" s="1">
        <v>0.4</v>
      </c>
      <c r="M52" s="1">
        <v>0</v>
      </c>
    </row>
    <row r="53" spans="1:13">
      <c r="A53" s="1" t="s">
        <v>11</v>
      </c>
      <c r="B53" s="1" t="str">
        <v>UVR 01 - Mundo Novo</v>
      </c>
      <c r="C53" s="1" t="str">
        <v>01</v>
      </c>
      <c r="D53" s="1" t="str">
        <v>Mundo Novo</v>
      </c>
      <c r="E53" s="1" t="str">
        <v>11/15/2024</v>
      </c>
      <c r="F53" s="1" t="str">
        <v>Receita da venda de recicláveis</v>
      </c>
      <c r="G53" s="1" t="str">
        <v>Papéis</v>
      </c>
      <c r="H53" s="1" t="str">
        <v>Papel Branco</v>
      </c>
      <c r="I53" s="1">
        <v>0</v>
      </c>
      <c r="J53" s="1">
        <v>778</v>
      </c>
      <c r="K53" s="1">
        <v>466.8</v>
      </c>
      <c r="L53" s="1">
        <v>0.6</v>
      </c>
      <c r="M53" s="1">
        <v>0</v>
      </c>
    </row>
    <row r="54" spans="1:13">
      <c r="A54" s="1" t="s">
        <v>11</v>
      </c>
      <c r="B54" s="1" t="str">
        <v>UVR 01 - Mundo Novo</v>
      </c>
      <c r="C54" s="1" t="str">
        <v>01</v>
      </c>
      <c r="D54" s="1" t="str">
        <v>Mundo Novo</v>
      </c>
      <c r="E54" s="1" t="str">
        <v>11/15/2024</v>
      </c>
      <c r="F54" s="1" t="str">
        <v>Receita da venda de recicláveis</v>
      </c>
      <c r="G54" s="1" t="str">
        <v>Papéis</v>
      </c>
      <c r="H54" s="1" t="str">
        <v>Tetra Pack</v>
      </c>
      <c r="I54" s="1">
        <v>0</v>
      </c>
      <c r="J54" s="1">
        <v>251</v>
      </c>
      <c r="K54" s="1">
        <v>87.85</v>
      </c>
      <c r="L54" s="1">
        <v>0.35</v>
      </c>
      <c r="M54" s="1">
        <v>0</v>
      </c>
    </row>
    <row r="55" spans="1:13">
      <c r="A55" s="1" t="s">
        <v>11</v>
      </c>
      <c r="B55" s="1" t="str">
        <v>UVR 01 - Mundo Novo</v>
      </c>
      <c r="C55" s="1" t="str">
        <v>01</v>
      </c>
      <c r="D55" s="1" t="str">
        <v>Mundo Novo</v>
      </c>
      <c r="E55" s="1" t="str">
        <v>11/15/2024</v>
      </c>
      <c r="F55" s="1" t="str">
        <v>Receita da venda de recicláveis</v>
      </c>
      <c r="G55" s="1" t="str">
        <v>Papéis</v>
      </c>
      <c r="H55" s="1" t="str">
        <v>Papel Cimento</v>
      </c>
      <c r="I55" s="1">
        <v>0</v>
      </c>
      <c r="J55" s="1">
        <v>366</v>
      </c>
      <c r="K55" s="1">
        <v>146.4</v>
      </c>
      <c r="L55" s="1">
        <v>0.4</v>
      </c>
      <c r="M55" s="1">
        <v>0</v>
      </c>
    </row>
    <row r="56" spans="1:13">
      <c r="A56" s="1" t="s">
        <v>11</v>
      </c>
      <c r="B56" s="1" t="str">
        <v>UVR 01 - Mundo Novo</v>
      </c>
      <c r="C56" s="1" t="str">
        <v>01</v>
      </c>
      <c r="D56" s="1" t="str">
        <v>Mundo Novo</v>
      </c>
      <c r="E56" s="1" t="str">
        <v>11/15/2024</v>
      </c>
      <c r="F56" s="1" t="str">
        <v>Receita da venda de recicláveis</v>
      </c>
      <c r="G56" s="1" t="str">
        <v>Papéis</v>
      </c>
      <c r="H56" s="1" t="str">
        <v>Papel Branco</v>
      </c>
      <c r="I56" s="1">
        <v>0</v>
      </c>
      <c r="J56" s="1">
        <v>412</v>
      </c>
      <c r="K56" s="1">
        <v>247.2</v>
      </c>
      <c r="L56" s="1">
        <v>0.6</v>
      </c>
      <c r="M56" s="1">
        <v>0</v>
      </c>
    </row>
    <row r="57" spans="1:13">
      <c r="A57" s="1" t="s">
        <v>11</v>
      </c>
      <c r="B57" s="1" t="str">
        <v>UVR 01 - Mundo Novo</v>
      </c>
      <c r="C57" s="1" t="str">
        <v>01</v>
      </c>
      <c r="D57" s="1" t="str">
        <v>Mundo Novo</v>
      </c>
      <c r="E57" s="1" t="str">
        <v>11/15/2024</v>
      </c>
      <c r="F57" s="1" t="str">
        <v>Receita da venda de recicláveis</v>
      </c>
      <c r="G57" s="1" t="str">
        <v>Plástico</v>
      </c>
      <c r="H57" s="1" t="str">
        <v>PET Cristal (Embalagens de refrigerante transparente)</v>
      </c>
      <c r="I57" s="1">
        <v>0</v>
      </c>
      <c r="J57" s="1">
        <v>1157</v>
      </c>
      <c r="K57" s="1">
        <v>5206.5</v>
      </c>
      <c r="L57" s="1">
        <v>4.5</v>
      </c>
      <c r="M57" s="1">
        <v>0</v>
      </c>
    </row>
    <row r="58" spans="1:13">
      <c r="A58" s="1" t="s">
        <v>11</v>
      </c>
      <c r="B58" s="1" t="str">
        <v>UVR 01 - Mundo Novo</v>
      </c>
      <c r="C58" s="1" t="str">
        <v>01</v>
      </c>
      <c r="D58" s="1" t="str">
        <v>Mundo Novo</v>
      </c>
      <c r="E58" s="1" t="str">
        <v>11/15/2024</v>
      </c>
      <c r="F58" s="1" t="str">
        <v>Receita da venda de recicláveis</v>
      </c>
      <c r="G58" s="1" t="str">
        <v>Plástico</v>
      </c>
      <c r="H58" s="1" t="str">
        <v>PEAD (Embalagens de produtos de limpeza)</v>
      </c>
      <c r="I58" s="1">
        <v>0</v>
      </c>
      <c r="J58" s="1">
        <v>583</v>
      </c>
      <c r="K58" s="1">
        <v>1311.75</v>
      </c>
      <c r="L58" s="1">
        <v>2.25</v>
      </c>
      <c r="M58" s="1">
        <v>0</v>
      </c>
    </row>
    <row r="59" spans="1:13">
      <c r="A59" s="1" t="s">
        <v>11</v>
      </c>
      <c r="B59" s="1" t="str">
        <v>UVR 01 - Mundo Novo</v>
      </c>
      <c r="C59" s="1" t="str">
        <v>01</v>
      </c>
      <c r="D59" s="1" t="str">
        <v>Mundo Novo</v>
      </c>
      <c r="E59" s="1" t="str">
        <v>11/15/2024</v>
      </c>
      <c r="F59" s="1" t="str">
        <v>Receita da venda de recicláveis</v>
      </c>
      <c r="G59" s="1" t="str">
        <v>Plástico</v>
      </c>
      <c r="H59" s="1" t="str">
        <v>PEAD Filme (Cristal)</v>
      </c>
      <c r="I59" s="1">
        <v>0</v>
      </c>
      <c r="J59" s="1">
        <v>1106</v>
      </c>
      <c r="K59" s="1">
        <v>1548.4</v>
      </c>
      <c r="L59" s="1">
        <v>1.4</v>
      </c>
      <c r="M59" s="1">
        <v>0</v>
      </c>
    </row>
    <row r="60" spans="1:13">
      <c r="A60" s="1" t="s">
        <v>11</v>
      </c>
      <c r="B60" s="1" t="str">
        <v>UVR 01 - Mundo Novo</v>
      </c>
      <c r="C60" s="1" t="str">
        <v>01</v>
      </c>
      <c r="D60" s="1" t="str">
        <v>Mundo Novo</v>
      </c>
      <c r="E60" s="1" t="str">
        <v>11/15/2024</v>
      </c>
      <c r="F60" s="1" t="str">
        <v>Receita da venda de recicláveis</v>
      </c>
      <c r="G60" s="1" t="str">
        <v>Plástico</v>
      </c>
      <c r="H60" s="1" t="str">
        <v>PEBD Filme (Sacolinha, Sacos de lixo, Lona Preta)</v>
      </c>
      <c r="I60" s="1">
        <v>0</v>
      </c>
      <c r="J60" s="1">
        <v>1033</v>
      </c>
      <c r="K60" s="1">
        <v>826.4</v>
      </c>
      <c r="L60" s="1">
        <v>0.8</v>
      </c>
      <c r="M60" s="1">
        <v>0</v>
      </c>
    </row>
    <row r="61" spans="1:13">
      <c r="A61" s="1" t="s">
        <v>11</v>
      </c>
      <c r="B61" s="1" t="str">
        <v>UVR 01 - Mundo Novo</v>
      </c>
      <c r="C61" s="1" t="str">
        <v>01</v>
      </c>
      <c r="D61" s="1" t="str">
        <v>Mundo Novo</v>
      </c>
      <c r="E61" s="1" t="str">
        <v>11/15/2024</v>
      </c>
      <c r="F61" s="1" t="str">
        <v>Receita da venda de recicláveis</v>
      </c>
      <c r="G61" s="1" t="str">
        <v>Plástico</v>
      </c>
      <c r="H61" s="1" t="str">
        <v>PEBD Filme (Sacolinha, Sacos de lixo, Lona Preta)</v>
      </c>
      <c r="I61" s="1">
        <v>0</v>
      </c>
      <c r="J61" s="1">
        <v>506</v>
      </c>
      <c r="K61" s="1">
        <v>303.60000000000002</v>
      </c>
      <c r="L61" s="1">
        <v>0.6</v>
      </c>
      <c r="M61" s="1">
        <v>0</v>
      </c>
    </row>
    <row r="62" spans="1:13">
      <c r="A62" s="1" t="s">
        <v>11</v>
      </c>
      <c r="B62" s="1" t="str">
        <v>UVR 01 - Mundo Novo</v>
      </c>
      <c r="C62" s="1" t="str">
        <v>01</v>
      </c>
      <c r="D62" s="1" t="str">
        <v>Mundo Novo</v>
      </c>
      <c r="E62" s="1" t="str">
        <v>11/15/2024</v>
      </c>
      <c r="F62" s="1" t="str">
        <v>Receita da venda de recicláveis</v>
      </c>
      <c r="G62" s="1" t="str">
        <v>Plástico</v>
      </c>
      <c r="H62" s="1" t="str">
        <v>PP Rígido (Balde, bacia, potes de sorvetes, margarina, entre outros)</v>
      </c>
      <c r="I62" s="1">
        <v>0</v>
      </c>
      <c r="J62" s="1">
        <v>471</v>
      </c>
      <c r="K62" s="1">
        <v>706.5</v>
      </c>
      <c r="L62" s="1">
        <v>1.5</v>
      </c>
      <c r="M62" s="1">
        <v>0</v>
      </c>
    </row>
    <row r="63" spans="1:13">
      <c r="A63" s="1" t="s">
        <v>11</v>
      </c>
      <c r="B63" s="1" t="str">
        <v>UVR 01 - Mundo Novo</v>
      </c>
      <c r="C63" s="1" t="str">
        <v>01</v>
      </c>
      <c r="D63" s="1" t="str">
        <v>Mundo Novo</v>
      </c>
      <c r="E63" s="1" t="str">
        <v>11/15/2024</v>
      </c>
      <c r="F63" s="1" t="str">
        <v>Receita da venda de recicláveis</v>
      </c>
      <c r="G63" s="1" t="str">
        <v>Plástico</v>
      </c>
      <c r="H63" s="1" t="str">
        <v>PP Rígido (Balde, bacia, potes de sorvetes, margarina, entre outros)</v>
      </c>
      <c r="I63" s="1">
        <v>0</v>
      </c>
      <c r="J63" s="1">
        <v>416</v>
      </c>
      <c r="K63" s="1">
        <v>416</v>
      </c>
      <c r="L63" s="1">
        <v>1</v>
      </c>
      <c r="M63" s="1">
        <v>0</v>
      </c>
    </row>
    <row r="64" spans="1:13">
      <c r="A64" s="1" t="s">
        <v>11</v>
      </c>
      <c r="B64" s="1" t="str">
        <v>UVR 01 - Mundo Novo</v>
      </c>
      <c r="C64" s="1" t="str">
        <v>01</v>
      </c>
      <c r="D64" s="1" t="str">
        <v>Mundo Novo</v>
      </c>
      <c r="E64" s="1" t="str">
        <v>11/15/2024</v>
      </c>
      <c r="F64" s="1" t="str">
        <v>Receita da venda de recicláveis</v>
      </c>
      <c r="G64" s="1" t="str">
        <v>Plástico</v>
      </c>
      <c r="H64" s="1" t="str">
        <v>Outro tipo de plástico</v>
      </c>
      <c r="I64" s="1" t="str">
        <v>parachoque</v>
      </c>
      <c r="J64" s="1">
        <v>72</v>
      </c>
      <c r="K64" s="1">
        <v>28.8</v>
      </c>
      <c r="L64" s="1">
        <v>0.4</v>
      </c>
      <c r="M64" s="1">
        <v>0</v>
      </c>
    </row>
    <row r="65" spans="1:13">
      <c r="A65" s="1" t="s">
        <v>11</v>
      </c>
      <c r="B65" s="1" t="str">
        <v>UVR 01 - Mundo Novo</v>
      </c>
      <c r="C65" s="1" t="str">
        <v>01</v>
      </c>
      <c r="D65" s="1" t="str">
        <v>Mundo Novo</v>
      </c>
      <c r="E65" s="1" t="str">
        <v>11/15/2024</v>
      </c>
      <c r="F65" s="1" t="str">
        <v>Receita da venda de recicláveis</v>
      </c>
      <c r="G65" s="1" t="str">
        <v>Plástico</v>
      </c>
      <c r="H65" s="1" t="str">
        <v>PET Colorido (Embalagens de PET colorido, PET bagunça)</v>
      </c>
      <c r="I65" s="1">
        <v>0</v>
      </c>
      <c r="J65" s="1">
        <v>107</v>
      </c>
      <c r="K65" s="1">
        <v>5.35</v>
      </c>
      <c r="L65" s="1">
        <v>0.05</v>
      </c>
      <c r="M65" s="1">
        <v>0</v>
      </c>
    </row>
    <row r="66" spans="1:13">
      <c r="A66" s="1" t="s">
        <v>11</v>
      </c>
      <c r="B66" s="1" t="str">
        <v>UVR 01 - Mundo Novo</v>
      </c>
      <c r="C66" s="1" t="str">
        <v>01</v>
      </c>
      <c r="D66" s="1" t="str">
        <v>Mundo Novo</v>
      </c>
      <c r="E66" s="1" t="str">
        <v>11/15/2024</v>
      </c>
      <c r="F66" s="1" t="str">
        <v>Receita da venda de recicláveis</v>
      </c>
      <c r="G66" s="1" t="str">
        <v>Plástico</v>
      </c>
      <c r="H66" s="1" t="str">
        <v>PP Ráfia (Sacaria)</v>
      </c>
      <c r="I66" s="1">
        <v>0</v>
      </c>
      <c r="J66" s="1">
        <v>201</v>
      </c>
      <c r="K66" s="1">
        <v>40.200000000000003</v>
      </c>
      <c r="L66" s="1">
        <v>0.2</v>
      </c>
      <c r="M66" s="1">
        <v>0</v>
      </c>
    </row>
    <row r="67" spans="1:13">
      <c r="A67" s="1" t="s">
        <v>11</v>
      </c>
      <c r="B67" s="1" t="str">
        <v>UVR 01 - Mundo Novo</v>
      </c>
      <c r="C67" s="1" t="str">
        <v>01</v>
      </c>
      <c r="D67" s="1" t="str">
        <v>Mundo Novo</v>
      </c>
      <c r="E67" s="1" t="str">
        <v>11/15/2024</v>
      </c>
      <c r="F67" s="1" t="str">
        <v>Receita da venda de recicláveis</v>
      </c>
      <c r="G67" s="1" t="str">
        <v>Plástico</v>
      </c>
      <c r="H67" s="1" t="str">
        <v>PVC (Cano, Forro, Tubulação de cano)</v>
      </c>
      <c r="I67" s="1">
        <v>0</v>
      </c>
      <c r="J67" s="1">
        <v>97</v>
      </c>
      <c r="K67" s="1">
        <v>97</v>
      </c>
      <c r="L67" s="1">
        <v>1</v>
      </c>
      <c r="M67" s="1">
        <v>0</v>
      </c>
    </row>
    <row r="68" spans="1:13">
      <c r="A68" s="1" t="s">
        <v>11</v>
      </c>
      <c r="B68" s="1" t="str">
        <v>UVR 01 - Mundo Novo</v>
      </c>
      <c r="C68" s="1" t="str">
        <v>01</v>
      </c>
      <c r="D68" s="1" t="str">
        <v>Mundo Novo</v>
      </c>
      <c r="E68" s="1" t="str">
        <v>11/15/2024</v>
      </c>
      <c r="F68" s="1" t="str">
        <v>Receita da venda de recicláveis</v>
      </c>
      <c r="G68" s="1" t="str">
        <v>Plástico</v>
      </c>
      <c r="H68" s="1" t="str">
        <v>PS (Copos descartáveis)</v>
      </c>
      <c r="I68" s="1">
        <v>0</v>
      </c>
      <c r="J68" s="1">
        <v>291</v>
      </c>
      <c r="K68" s="1">
        <v>14.55</v>
      </c>
      <c r="L68" s="1">
        <v>0.05</v>
      </c>
      <c r="M68" s="1">
        <v>0</v>
      </c>
    </row>
    <row r="69" spans="1:13">
      <c r="A69" s="1" t="s">
        <v>11</v>
      </c>
      <c r="B69" s="1" t="str">
        <v>UVR 01 - Mundo Novo</v>
      </c>
      <c r="C69" s="1" t="str">
        <v>01</v>
      </c>
      <c r="D69" s="1" t="str">
        <v>Mundo Novo</v>
      </c>
      <c r="E69" s="1" t="str">
        <v>11/15/2024</v>
      </c>
      <c r="F69" s="1" t="str">
        <v>Receita da venda de recicláveis</v>
      </c>
      <c r="G69" s="1" t="str">
        <v>Metal</v>
      </c>
      <c r="H69" s="1" t="str">
        <v>Alumínio Latinha</v>
      </c>
      <c r="I69" s="1">
        <v>0</v>
      </c>
      <c r="J69" s="1">
        <v>285</v>
      </c>
      <c r="K69" s="1">
        <v>2166</v>
      </c>
      <c r="L69" s="1">
        <v>7.6</v>
      </c>
      <c r="M69" s="1">
        <v>0</v>
      </c>
    </row>
    <row r="70" spans="1:13">
      <c r="A70" s="1" t="s">
        <v>11</v>
      </c>
      <c r="B70" s="1" t="str">
        <v>UVR 01 - Mundo Novo</v>
      </c>
      <c r="C70" s="1" t="str">
        <v>01</v>
      </c>
      <c r="D70" s="1" t="str">
        <v>Mundo Novo</v>
      </c>
      <c r="E70" s="1" t="str">
        <v>11/15/2024</v>
      </c>
      <c r="F70" s="1" t="str">
        <v>Receita da venda de recicláveis</v>
      </c>
      <c r="G70" s="1" t="str">
        <v>Metal</v>
      </c>
      <c r="H70" s="1" t="str">
        <v>Alumínio Bloco</v>
      </c>
      <c r="I70" s="1">
        <v>0</v>
      </c>
      <c r="J70" s="1">
        <v>33</v>
      </c>
      <c r="K70" s="1">
        <v>264</v>
      </c>
      <c r="L70" s="1">
        <v>8</v>
      </c>
      <c r="M70" s="1">
        <v>0</v>
      </c>
    </row>
    <row r="71" spans="1:13">
      <c r="A71" s="1" t="s">
        <v>11</v>
      </c>
      <c r="B71" s="1" t="str">
        <v>UVR 01 - Mundo Novo</v>
      </c>
      <c r="C71" s="1" t="str">
        <v>01</v>
      </c>
      <c r="D71" s="1" t="str">
        <v>Mundo Novo</v>
      </c>
      <c r="E71" s="1" t="str">
        <v>11/15/2024</v>
      </c>
      <c r="F71" s="1" t="str">
        <v>Receita da venda de recicláveis</v>
      </c>
      <c r="G71" s="1" t="str">
        <v>Metal</v>
      </c>
      <c r="H71" s="1" t="str">
        <v>Cobre Limpo</v>
      </c>
      <c r="I71" s="1">
        <v>0</v>
      </c>
      <c r="J71" s="1">
        <v>41.5</v>
      </c>
      <c r="K71" s="1">
        <v>1577</v>
      </c>
      <c r="L71" s="1">
        <v>38</v>
      </c>
      <c r="M71" s="1">
        <v>0</v>
      </c>
    </row>
    <row r="72" spans="1:13">
      <c r="A72" s="1" t="s">
        <v>11</v>
      </c>
      <c r="B72" s="1" t="str">
        <v>UVR 01 - Mundo Novo</v>
      </c>
      <c r="C72" s="1" t="str">
        <v>01</v>
      </c>
      <c r="D72" s="1" t="str">
        <v>Mundo Novo</v>
      </c>
      <c r="E72" s="1" t="str">
        <v>11/15/2024</v>
      </c>
      <c r="F72" s="1" t="str">
        <v>Receita da venda de recicláveis</v>
      </c>
      <c r="G72" s="1" t="str">
        <v>Metal</v>
      </c>
      <c r="H72" s="1" t="str">
        <v>Chaparia</v>
      </c>
      <c r="I72" s="1">
        <v>0</v>
      </c>
      <c r="J72" s="1">
        <v>72</v>
      </c>
      <c r="K72" s="1">
        <v>288</v>
      </c>
      <c r="L72" s="1">
        <v>4</v>
      </c>
      <c r="M72" s="1">
        <v>0</v>
      </c>
    </row>
    <row r="73" spans="1:13">
      <c r="A73" s="1" t="s">
        <v>11</v>
      </c>
      <c r="B73" s="1" t="str">
        <v>UVR 01 - Mundo Novo</v>
      </c>
      <c r="C73" s="1" t="str">
        <v>01</v>
      </c>
      <c r="D73" s="1" t="str">
        <v>Mundo Novo</v>
      </c>
      <c r="E73" s="1" t="str">
        <v>11/15/2024</v>
      </c>
      <c r="F73" s="1" t="str">
        <v>Receita da venda de recicláveis</v>
      </c>
      <c r="G73" s="1" t="str">
        <v>Metal</v>
      </c>
      <c r="H73" s="1" t="str">
        <v>Outros Metais</v>
      </c>
      <c r="I73" s="1">
        <v>0</v>
      </c>
      <c r="J73" s="1">
        <v>34</v>
      </c>
      <c r="K73" s="1">
        <v>102</v>
      </c>
      <c r="L73" s="1">
        <v>3</v>
      </c>
      <c r="M73" s="1">
        <v>0</v>
      </c>
    </row>
    <row r="74" spans="1:13">
      <c r="A74" s="1" t="s">
        <v>11</v>
      </c>
      <c r="B74" s="1" t="str">
        <v>UVR 01 - Mundo Novo</v>
      </c>
      <c r="C74" s="1" t="str">
        <v>01</v>
      </c>
      <c r="D74" s="1" t="str">
        <v>Mundo Novo</v>
      </c>
      <c r="E74" s="1" t="str">
        <v>11/15/2024</v>
      </c>
      <c r="F74" s="1" t="str">
        <v>Receita da venda de recicláveis</v>
      </c>
      <c r="G74" s="1" t="str">
        <v>Metal</v>
      </c>
      <c r="H74" s="1" t="str">
        <v>Sucatas</v>
      </c>
      <c r="I74" s="1">
        <v>0</v>
      </c>
      <c r="J74" s="1">
        <v>1700</v>
      </c>
      <c r="K74" s="1">
        <v>680</v>
      </c>
      <c r="L74" s="1">
        <v>0.4</v>
      </c>
      <c r="M74" s="1">
        <v>0</v>
      </c>
    </row>
    <row r="75" spans="1:13">
      <c r="A75" s="1" t="s">
        <v>11</v>
      </c>
      <c r="B75" s="1" t="str">
        <v>UVR 01 - Mundo Novo</v>
      </c>
      <c r="C75" s="1" t="str">
        <v>01</v>
      </c>
      <c r="D75" s="1" t="str">
        <v>Mundo Novo</v>
      </c>
      <c r="E75" s="1" t="str">
        <v>11/15/2024</v>
      </c>
      <c r="F75" s="1" t="str">
        <v>Rejeito</v>
      </c>
      <c r="G75" s="1" t="str">
        <v>Rejeito</v>
      </c>
      <c r="H75" s="1">
        <v>0</v>
      </c>
      <c r="I75" s="1">
        <v>0</v>
      </c>
      <c r="J75" s="1">
        <v>5469</v>
      </c>
      <c r="K75" s="1">
        <v>0</v>
      </c>
      <c r="L75" s="1">
        <v>0</v>
      </c>
      <c r="M75" s="1">
        <v>0</v>
      </c>
    </row>
    <row r="76" spans="1:13">
      <c r="A76" s="1" t="s">
        <v>11</v>
      </c>
      <c r="B76" s="1" t="str">
        <v>UVR 01 - Mundo Novo</v>
      </c>
      <c r="C76" s="1" t="str">
        <v>01</v>
      </c>
      <c r="D76" s="1" t="str">
        <v>Mundo Novo</v>
      </c>
      <c r="E76" s="1" t="str">
        <v>11/15/2024</v>
      </c>
      <c r="F76" s="1" t="str">
        <v>Despesa</v>
      </c>
      <c r="G76" s="1" t="str">
        <v xml:space="preserve">Fita de arqueamento para fardos  </v>
      </c>
      <c r="H76" s="1">
        <v>0</v>
      </c>
      <c r="I76" s="1">
        <v>0</v>
      </c>
      <c r="J76" s="1">
        <v>0</v>
      </c>
      <c r="K76" s="1">
        <v>628.32000000000005</v>
      </c>
      <c r="L76" s="1">
        <v>0</v>
      </c>
      <c r="M76" s="1">
        <v>0</v>
      </c>
    </row>
    <row r="77" spans="1:13">
      <c r="A77" s="1" t="s">
        <v>11</v>
      </c>
      <c r="B77" s="1" t="str" cm="1">
        <f t="array" ref="B77:M118">_xlfn._xlws.FILTER(
    'Micro Dados - Todos'!$A$2:$L$20000,
    ('Micro Dados - Todos'!$C$2:$C$20000=Lacunas!B5) *
    ('Micro Dados - Todos'!$B$2:$B$20000=Lacunas!C5) *
    ('Micro Dados - Todos'!$D$2:$D$20000=Lacunas!F5)
)</f>
        <v>UVR 01 - Assis Chateaubriand</v>
      </c>
      <c r="C77" s="1" t="str">
        <v>01</v>
      </c>
      <c r="D77" s="1" t="str">
        <v>Assis Chateaubriand</v>
      </c>
      <c r="E77" s="1" t="str">
        <v>12/15/2024</v>
      </c>
      <c r="F77" s="1" t="str">
        <v>Despesa</v>
      </c>
      <c r="G77" s="1" t="str">
        <v>Outra Despesa</v>
      </c>
      <c r="H77" s="1" t="str">
        <v>null</v>
      </c>
      <c r="I77" s="1">
        <v>0</v>
      </c>
      <c r="J77" s="1">
        <v>0</v>
      </c>
      <c r="K77" s="1">
        <v>500</v>
      </c>
      <c r="L77" s="1">
        <v>0</v>
      </c>
      <c r="M77" s="1" t="str">
        <v xml:space="preserve">Consultoria jurídica </v>
      </c>
    </row>
    <row r="78" spans="1:13">
      <c r="A78" s="1" t="s">
        <v>11</v>
      </c>
      <c r="B78" s="1" t="str">
        <v>UVR 01 - Assis Chateaubriand</v>
      </c>
      <c r="C78" s="1" t="str">
        <v>01</v>
      </c>
      <c r="D78" s="1" t="str">
        <v>Assis Chateaubriand</v>
      </c>
      <c r="E78" s="1" t="str">
        <v>12/15/2024</v>
      </c>
      <c r="F78" s="1" t="str">
        <v>Despesa</v>
      </c>
      <c r="G78" s="1" t="str">
        <v>Outra Despesa</v>
      </c>
      <c r="H78" s="1" t="str">
        <v>null</v>
      </c>
      <c r="I78" s="1">
        <v>0</v>
      </c>
      <c r="J78" s="1">
        <v>0</v>
      </c>
      <c r="K78" s="1">
        <v>1000</v>
      </c>
      <c r="L78" s="1">
        <v>0</v>
      </c>
      <c r="M78" s="1" t="str">
        <v>Contabilidade</v>
      </c>
    </row>
    <row r="79" spans="1:13">
      <c r="A79" s="1" t="s">
        <v>11</v>
      </c>
      <c r="B79" s="1" t="str">
        <v>UVR 01 - Assis Chateaubriand</v>
      </c>
      <c r="C79" s="1" t="str">
        <v>01</v>
      </c>
      <c r="D79" s="1" t="str">
        <v>Assis Chateaubriand</v>
      </c>
      <c r="E79" s="1" t="str">
        <v>12/15/2024</v>
      </c>
      <c r="F79" s="1" t="str">
        <v>Despesa</v>
      </c>
      <c r="G79" s="1" t="str">
        <v xml:space="preserve">Conserto e manutenção de equipamentos/veículo   </v>
      </c>
      <c r="H79" s="1" t="str">
        <v>null</v>
      </c>
      <c r="I79" s="1">
        <v>0</v>
      </c>
      <c r="J79" s="1">
        <v>0</v>
      </c>
      <c r="K79" s="1">
        <v>3417</v>
      </c>
      <c r="L79" s="1">
        <v>0</v>
      </c>
      <c r="M79" s="1">
        <v>0</v>
      </c>
    </row>
    <row r="80" spans="1:13">
      <c r="A80" s="1" t="s">
        <v>11</v>
      </c>
      <c r="B80" s="1" t="str">
        <v>UVR 01 - Assis Chateaubriand</v>
      </c>
      <c r="C80" s="1" t="str">
        <v>01</v>
      </c>
      <c r="D80" s="1" t="str">
        <v>Assis Chateaubriand</v>
      </c>
      <c r="E80" s="1" t="str">
        <v>12/15/2024</v>
      </c>
      <c r="F80" s="1" t="str">
        <v>Despesa</v>
      </c>
      <c r="G80" s="1" t="str">
        <v xml:space="preserve">Equipamentos de Proteção Individual  </v>
      </c>
      <c r="H80" s="1" t="str">
        <v>null</v>
      </c>
      <c r="I80" s="1">
        <v>0</v>
      </c>
      <c r="J80" s="1">
        <v>0</v>
      </c>
      <c r="K80" s="1">
        <v>11</v>
      </c>
      <c r="L80" s="1">
        <v>0</v>
      </c>
      <c r="M80" s="1">
        <v>0</v>
      </c>
    </row>
    <row r="81" spans="1:13">
      <c r="A81" s="1" t="s">
        <v>11</v>
      </c>
      <c r="B81" s="1" t="str">
        <v>UVR 01 - Assis Chateaubriand</v>
      </c>
      <c r="C81" s="1" t="str">
        <v>01</v>
      </c>
      <c r="D81" s="1" t="str">
        <v>Assis Chateaubriand</v>
      </c>
      <c r="E81" s="1" t="str">
        <v>12/15/2024</v>
      </c>
      <c r="F81" s="1" t="str">
        <v>Despesa</v>
      </c>
      <c r="G81" s="1" t="str">
        <v xml:space="preserve">Materiais de limpeza </v>
      </c>
      <c r="H81" s="1" t="str">
        <v>null</v>
      </c>
      <c r="I81" s="1">
        <v>0</v>
      </c>
      <c r="J81" s="1">
        <v>0</v>
      </c>
      <c r="K81" s="1">
        <v>537</v>
      </c>
      <c r="L81" s="1">
        <v>0</v>
      </c>
      <c r="M81" s="1">
        <v>0</v>
      </c>
    </row>
    <row r="82" spans="1:13">
      <c r="A82" s="1" t="s">
        <v>11</v>
      </c>
      <c r="B82" s="1" t="str">
        <v>UVR 01 - Assis Chateaubriand</v>
      </c>
      <c r="C82" s="1" t="str">
        <v>01</v>
      </c>
      <c r="D82" s="1" t="str">
        <v>Assis Chateaubriand</v>
      </c>
      <c r="E82" s="1" t="str">
        <v>12/15/2024</v>
      </c>
      <c r="F82" s="1" t="str">
        <v>Despesa</v>
      </c>
      <c r="G82" s="1" t="str">
        <v>Outra Despesa</v>
      </c>
      <c r="H82" s="1" t="str">
        <v>null</v>
      </c>
      <c r="I82" s="1">
        <v>0</v>
      </c>
      <c r="J82" s="1">
        <v>0</v>
      </c>
      <c r="K82" s="1">
        <v>281</v>
      </c>
      <c r="L82" s="1">
        <v>0</v>
      </c>
      <c r="M82" s="1" t="str">
        <v>Seguro</v>
      </c>
    </row>
    <row r="83" spans="1:13">
      <c r="A83" s="1" t="s">
        <v>11</v>
      </c>
      <c r="B83" s="1" t="str">
        <v>UVR 01 - Assis Chateaubriand</v>
      </c>
      <c r="C83" s="1" t="str">
        <v>01</v>
      </c>
      <c r="D83" s="1" t="str">
        <v>Assis Chateaubriand</v>
      </c>
      <c r="E83" s="1" t="str">
        <v>12/15/2024</v>
      </c>
      <c r="F83" s="1" t="str">
        <v>Despesa</v>
      </c>
      <c r="G83" s="1" t="str">
        <v>Outra Despesa</v>
      </c>
      <c r="H83" s="1" t="str">
        <v>null</v>
      </c>
      <c r="I83" s="1">
        <v>0</v>
      </c>
      <c r="J83" s="1">
        <v>0</v>
      </c>
      <c r="K83" s="1">
        <v>46</v>
      </c>
      <c r="L83" s="1">
        <v>0</v>
      </c>
      <c r="M83" s="1" t="str">
        <v>Cesta de relacionamento</v>
      </c>
    </row>
    <row r="84" spans="1:13">
      <c r="A84" s="1" t="s">
        <v>11</v>
      </c>
      <c r="B84" s="1" t="str">
        <v>UVR 01 - Assis Chateaubriand</v>
      </c>
      <c r="C84" s="1" t="str">
        <v>01</v>
      </c>
      <c r="D84" s="1" t="str">
        <v>Assis Chateaubriand</v>
      </c>
      <c r="E84" s="1" t="str">
        <v>12/15/2024</v>
      </c>
      <c r="F84" s="1" t="str">
        <v>Despesa</v>
      </c>
      <c r="G84" s="1" t="str">
        <v xml:space="preserve">Fita de arqueamento para fardos  </v>
      </c>
      <c r="H84" s="1" t="str">
        <v>null</v>
      </c>
      <c r="I84" s="1">
        <v>0</v>
      </c>
      <c r="J84" s="1">
        <v>0</v>
      </c>
      <c r="K84" s="1">
        <v>1278</v>
      </c>
      <c r="L84" s="1">
        <v>0</v>
      </c>
      <c r="M84" s="1">
        <v>0</v>
      </c>
    </row>
    <row r="85" spans="1:13">
      <c r="A85" s="1" t="s">
        <v>11</v>
      </c>
      <c r="B85" s="1" t="str">
        <v>UVR 01 - Assis Chateaubriand</v>
      </c>
      <c r="C85" s="1" t="str">
        <v>01</v>
      </c>
      <c r="D85" s="1" t="str">
        <v>Assis Chateaubriand</v>
      </c>
      <c r="E85" s="1" t="str">
        <v>12/15/2024</v>
      </c>
      <c r="F85" s="1" t="str">
        <v>Despesa</v>
      </c>
      <c r="G85" s="1" t="str">
        <v xml:space="preserve">Alimentação </v>
      </c>
      <c r="H85" s="1" t="str">
        <v>null</v>
      </c>
      <c r="I85" s="1">
        <v>0</v>
      </c>
      <c r="J85" s="1">
        <v>0</v>
      </c>
      <c r="K85" s="1">
        <v>251</v>
      </c>
      <c r="L85" s="1">
        <v>0</v>
      </c>
      <c r="M85" s="1">
        <v>0</v>
      </c>
    </row>
    <row r="86" spans="1:13">
      <c r="A86" s="1" t="s">
        <v>11</v>
      </c>
      <c r="B86" s="1" t="str">
        <v>UVR 01 - Assis Chateaubriand</v>
      </c>
      <c r="C86" s="1" t="str">
        <v>01</v>
      </c>
      <c r="D86" s="1" t="str">
        <v>Assis Chateaubriand</v>
      </c>
      <c r="E86" s="1" t="str">
        <v>12/15/2024</v>
      </c>
      <c r="F86" s="1" t="str">
        <v>Despesa</v>
      </c>
      <c r="G86" s="1" t="str">
        <v xml:space="preserve">Equipamentos de Proteção Individual  </v>
      </c>
      <c r="H86" s="1" t="str">
        <v>null</v>
      </c>
      <c r="I86" s="1">
        <v>0</v>
      </c>
      <c r="J86" s="1">
        <v>0</v>
      </c>
      <c r="K86" s="1">
        <v>150</v>
      </c>
      <c r="L86" s="1">
        <v>0</v>
      </c>
      <c r="M86" s="1">
        <v>0</v>
      </c>
    </row>
    <row r="87" spans="1:13">
      <c r="A87" s="1" t="s">
        <v>11</v>
      </c>
      <c r="B87" s="1" t="str">
        <v>UVR 01 - Assis Chateaubriand</v>
      </c>
      <c r="C87" s="1" t="str">
        <v>01</v>
      </c>
      <c r="D87" s="1" t="str">
        <v>Assis Chateaubriand</v>
      </c>
      <c r="E87" s="1" t="str">
        <v>12/15/2024</v>
      </c>
      <c r="F87" s="1" t="str">
        <v>Despesa</v>
      </c>
      <c r="G87" s="1" t="str">
        <v>Outra Despesa</v>
      </c>
      <c r="H87" s="1" t="str">
        <v>null</v>
      </c>
      <c r="I87" s="1">
        <v>0</v>
      </c>
      <c r="J87" s="1">
        <v>0</v>
      </c>
      <c r="K87" s="1">
        <v>153</v>
      </c>
      <c r="L87" s="1">
        <v>0</v>
      </c>
      <c r="M87" s="1" t="str">
        <v>Internet</v>
      </c>
    </row>
    <row r="88" spans="1:13">
      <c r="A88" s="1" t="s">
        <v>11</v>
      </c>
      <c r="B88" s="1" t="str">
        <v>UVR 01 - Assis Chateaubriand</v>
      </c>
      <c r="C88" s="1" t="str">
        <v>01</v>
      </c>
      <c r="D88" s="1" t="str">
        <v>Assis Chateaubriand</v>
      </c>
      <c r="E88" s="1" t="str">
        <v>12/15/2024</v>
      </c>
      <c r="F88" s="1" t="str">
        <v>Despesa</v>
      </c>
      <c r="G88" s="1" t="str">
        <v>Outra Despesa</v>
      </c>
      <c r="H88" s="1" t="str">
        <v>null</v>
      </c>
      <c r="I88" s="1">
        <v>0</v>
      </c>
      <c r="J88" s="1">
        <v>0</v>
      </c>
      <c r="K88" s="1">
        <v>1000</v>
      </c>
      <c r="L88" s="1">
        <v>0</v>
      </c>
      <c r="M88" s="1" t="str">
        <v>Contabilidade</v>
      </c>
    </row>
    <row r="89" spans="1:13">
      <c r="A89" s="1" t="s">
        <v>11</v>
      </c>
      <c r="B89" s="1" t="str">
        <v>UVR 01 - Assis Chateaubriand</v>
      </c>
      <c r="C89" s="1" t="str">
        <v>01</v>
      </c>
      <c r="D89" s="1" t="str">
        <v>Assis Chateaubriand</v>
      </c>
      <c r="E89" s="1" t="str">
        <v>12/15/2024</v>
      </c>
      <c r="F89" s="1" t="str">
        <v>Despesa</v>
      </c>
      <c r="G89" s="1" t="str">
        <v xml:space="preserve">Equipamentos de Proteção Individual  </v>
      </c>
      <c r="H89" s="1" t="str">
        <v>null</v>
      </c>
      <c r="I89" s="1">
        <v>0</v>
      </c>
      <c r="J89" s="1">
        <v>0</v>
      </c>
      <c r="K89" s="1">
        <v>120</v>
      </c>
      <c r="L89" s="1">
        <v>0</v>
      </c>
      <c r="M89" s="1">
        <v>0</v>
      </c>
    </row>
    <row r="90" spans="1:13">
      <c r="A90" s="1" t="s">
        <v>11</v>
      </c>
      <c r="B90" s="1" t="str">
        <v>UVR 01 - Assis Chateaubriand</v>
      </c>
      <c r="C90" s="1" t="str">
        <v>01</v>
      </c>
      <c r="D90" s="1" t="str">
        <v>Assis Chateaubriand</v>
      </c>
      <c r="E90" s="1" t="str">
        <v>12/15/2024</v>
      </c>
      <c r="F90" s="1" t="str">
        <v>Rejeito</v>
      </c>
      <c r="G90" s="1" t="str">
        <v>Rejeito</v>
      </c>
      <c r="H90" s="1" t="str">
        <v>null</v>
      </c>
      <c r="I90" s="1">
        <v>0</v>
      </c>
      <c r="J90" s="1">
        <v>15606</v>
      </c>
      <c r="K90" s="1">
        <v>0</v>
      </c>
      <c r="L90" s="1">
        <v>0</v>
      </c>
      <c r="M90" s="1">
        <v>0</v>
      </c>
    </row>
    <row r="91" spans="1:13">
      <c r="A91" s="1" t="s">
        <v>11</v>
      </c>
      <c r="B91" s="1" t="str">
        <v>UVR 01 - Assis Chateaubriand</v>
      </c>
      <c r="C91" s="1" t="str">
        <v>01</v>
      </c>
      <c r="D91" s="1" t="str">
        <v>Assis Chateaubriand</v>
      </c>
      <c r="E91" s="1" t="str">
        <v>12/15/2024</v>
      </c>
      <c r="F91" s="1" t="str">
        <v>Receita da prestação de serviços</v>
      </c>
      <c r="G91" s="1" t="str">
        <v>Contratos</v>
      </c>
      <c r="H91" s="1" t="str">
        <v>null</v>
      </c>
      <c r="I91" s="1">
        <v>0</v>
      </c>
      <c r="J91" s="1">
        <v>0</v>
      </c>
      <c r="K91" s="1">
        <v>30460.27</v>
      </c>
      <c r="L91" s="1">
        <v>0</v>
      </c>
      <c r="M91" s="1">
        <v>0</v>
      </c>
    </row>
    <row r="92" spans="1:13">
      <c r="A92" s="1" t="s">
        <v>11</v>
      </c>
      <c r="B92" s="1" t="str">
        <v>UVR 01 - Assis Chateaubriand</v>
      </c>
      <c r="C92" s="1" t="str">
        <v>01</v>
      </c>
      <c r="D92" s="1" t="str">
        <v>Assis Chateaubriand</v>
      </c>
      <c r="E92" s="1" t="str">
        <v>12/15/2024</v>
      </c>
      <c r="F92" s="1" t="str">
        <v>Receita da venda de recicláveis</v>
      </c>
      <c r="G92" s="1" t="str">
        <v>Vidro</v>
      </c>
      <c r="H92" s="1" t="str">
        <v>Caco</v>
      </c>
      <c r="I92" s="1">
        <v>0</v>
      </c>
      <c r="J92" s="1">
        <v>17470</v>
      </c>
      <c r="K92" s="1">
        <v>2795.2</v>
      </c>
      <c r="L92" s="1">
        <v>0.16</v>
      </c>
      <c r="M92" s="1">
        <v>0</v>
      </c>
    </row>
    <row r="93" spans="1:13">
      <c r="A93" s="1" t="s">
        <v>11</v>
      </c>
      <c r="B93" s="1" t="str">
        <v>UVR 01 - Assis Chateaubriand</v>
      </c>
      <c r="C93" s="1" t="str">
        <v>01</v>
      </c>
      <c r="D93" s="1" t="str">
        <v>Assis Chateaubriand</v>
      </c>
      <c r="E93" s="1" t="str">
        <v>12/15/2024</v>
      </c>
      <c r="F93" s="1" t="str">
        <v>Receita da venda de recicláveis</v>
      </c>
      <c r="G93" s="1" t="str">
        <v>Papéis</v>
      </c>
      <c r="H93" s="1" t="str">
        <v>Papel Cimento</v>
      </c>
      <c r="I93" s="1">
        <v>0</v>
      </c>
      <c r="J93" s="1">
        <v>3361</v>
      </c>
      <c r="K93" s="1">
        <v>1344.4</v>
      </c>
      <c r="L93" s="1">
        <v>0.4</v>
      </c>
      <c r="M93" s="1">
        <v>0</v>
      </c>
    </row>
    <row r="94" spans="1:13">
      <c r="A94" s="1" t="s">
        <v>11</v>
      </c>
      <c r="B94" s="1" t="str">
        <v>UVR 01 - Assis Chateaubriand</v>
      </c>
      <c r="C94" s="1" t="str">
        <v>01</v>
      </c>
      <c r="D94" s="1" t="str">
        <v>Assis Chateaubriand</v>
      </c>
      <c r="E94" s="1" t="str">
        <v>12/15/2024</v>
      </c>
      <c r="F94" s="1" t="str">
        <v>Receita da venda de recicláveis</v>
      </c>
      <c r="G94" s="1" t="str">
        <v>Papéis</v>
      </c>
      <c r="H94" s="1" t="str">
        <v>Papelão</v>
      </c>
      <c r="I94" s="1">
        <v>0</v>
      </c>
      <c r="J94" s="1">
        <v>23315</v>
      </c>
      <c r="K94" s="1">
        <v>17486.25</v>
      </c>
      <c r="L94" s="1">
        <v>0.75</v>
      </c>
      <c r="M94" s="1">
        <v>0</v>
      </c>
    </row>
    <row r="95" spans="1:13">
      <c r="A95" s="1" t="s">
        <v>11</v>
      </c>
      <c r="B95" s="1" t="str">
        <v>UVR 01 - Assis Chateaubriand</v>
      </c>
      <c r="C95" s="1" t="str">
        <v>01</v>
      </c>
      <c r="D95" s="1" t="str">
        <v>Assis Chateaubriand</v>
      </c>
      <c r="E95" s="1" t="str">
        <v>12/15/2024</v>
      </c>
      <c r="F95" s="1" t="str">
        <v>Receita da venda de recicláveis</v>
      </c>
      <c r="G95" s="1" t="str">
        <v>Papéis</v>
      </c>
      <c r="H95" s="1" t="str">
        <v>Papel Misto</v>
      </c>
      <c r="I95" s="1">
        <v>0</v>
      </c>
      <c r="J95" s="1">
        <v>9462</v>
      </c>
      <c r="K95" s="1">
        <v>2838.6</v>
      </c>
      <c r="L95" s="1">
        <v>0.3</v>
      </c>
      <c r="M95" s="1">
        <v>0</v>
      </c>
    </row>
    <row r="96" spans="1:13">
      <c r="A96" s="1" t="s">
        <v>11</v>
      </c>
      <c r="B96" s="1" t="str">
        <v>UVR 01 - Assis Chateaubriand</v>
      </c>
      <c r="C96" s="1" t="str">
        <v>01</v>
      </c>
      <c r="D96" s="1" t="str">
        <v>Assis Chateaubriand</v>
      </c>
      <c r="E96" s="1" t="str">
        <v>12/15/2024</v>
      </c>
      <c r="F96" s="1" t="str">
        <v>Receita da venda de recicláveis</v>
      </c>
      <c r="G96" s="1" t="str">
        <v>Papéis</v>
      </c>
      <c r="H96" s="1" t="str">
        <v>Papel Branco</v>
      </c>
      <c r="I96" s="1">
        <v>0</v>
      </c>
      <c r="J96" s="1">
        <v>2525</v>
      </c>
      <c r="K96" s="1">
        <v>1641.57</v>
      </c>
      <c r="L96" s="1">
        <v>0.65</v>
      </c>
      <c r="M96" s="1">
        <v>0</v>
      </c>
    </row>
    <row r="97" spans="1:13">
      <c r="A97" s="1" t="s">
        <v>11</v>
      </c>
      <c r="B97" s="1" t="str">
        <v>UVR 01 - Assis Chateaubriand</v>
      </c>
      <c r="C97" s="1" t="str">
        <v>01</v>
      </c>
      <c r="D97" s="1" t="str">
        <v>Assis Chateaubriand</v>
      </c>
      <c r="E97" s="1" t="str">
        <v>12/15/2024</v>
      </c>
      <c r="F97" s="1" t="str">
        <v>Receita da venda de recicláveis</v>
      </c>
      <c r="G97" s="1" t="str">
        <v>Papéis</v>
      </c>
      <c r="H97" s="1" t="str">
        <v>Tetra Pack</v>
      </c>
      <c r="I97" s="1">
        <v>0</v>
      </c>
      <c r="J97" s="1">
        <v>1763.5</v>
      </c>
      <c r="K97" s="1">
        <v>617.22</v>
      </c>
      <c r="L97" s="1">
        <v>0.35</v>
      </c>
      <c r="M97" s="1">
        <v>0</v>
      </c>
    </row>
    <row r="98" spans="1:13">
      <c r="A98" s="1" t="s">
        <v>11</v>
      </c>
      <c r="B98" s="1" t="str">
        <v>UVR 01 - Assis Chateaubriand</v>
      </c>
      <c r="C98" s="1" t="str">
        <v>01</v>
      </c>
      <c r="D98" s="1" t="str">
        <v>Assis Chateaubriand</v>
      </c>
      <c r="E98" s="1" t="str">
        <v>12/15/2024</v>
      </c>
      <c r="F98" s="1" t="str">
        <v>Receita da venda de recicláveis</v>
      </c>
      <c r="G98" s="1" t="str">
        <v>Plástico</v>
      </c>
      <c r="H98" s="1" t="str">
        <v>PVC (Cano, Forro, Tubulação de cano)</v>
      </c>
      <c r="I98" s="1">
        <v>0</v>
      </c>
      <c r="J98" s="1">
        <v>287</v>
      </c>
      <c r="K98" s="1">
        <v>287</v>
      </c>
      <c r="L98" s="1">
        <v>1</v>
      </c>
      <c r="M98" s="1">
        <v>0</v>
      </c>
    </row>
    <row r="99" spans="1:13">
      <c r="A99" s="1" t="s">
        <v>11</v>
      </c>
      <c r="B99" s="1" t="str">
        <v>UVR 01 - Assis Chateaubriand</v>
      </c>
      <c r="C99" s="1" t="str">
        <v>01</v>
      </c>
      <c r="D99" s="1" t="str">
        <v>Assis Chateaubriand</v>
      </c>
      <c r="E99" s="1" t="str">
        <v>12/15/2024</v>
      </c>
      <c r="F99" s="1" t="str">
        <v>Receita da venda de recicláveis</v>
      </c>
      <c r="G99" s="1" t="str">
        <v>Plástico</v>
      </c>
      <c r="H99" s="1" t="str">
        <v>PEAD (Embalagens de produtos de limpeza)</v>
      </c>
      <c r="I99" s="1">
        <v>0</v>
      </c>
      <c r="J99" s="1">
        <v>1521.5</v>
      </c>
      <c r="K99" s="1">
        <v>3499.45</v>
      </c>
      <c r="L99" s="1">
        <v>2.2999999999999998</v>
      </c>
      <c r="M99" s="1">
        <v>0</v>
      </c>
    </row>
    <row r="100" spans="1:13">
      <c r="A100" s="1" t="s">
        <v>11</v>
      </c>
      <c r="B100" s="1" t="str">
        <v>UVR 01 - Assis Chateaubriand</v>
      </c>
      <c r="C100" s="1" t="str">
        <v>01</v>
      </c>
      <c r="D100" s="1" t="str">
        <v>Assis Chateaubriand</v>
      </c>
      <c r="E100" s="1" t="str">
        <v>12/15/2024</v>
      </c>
      <c r="F100" s="1" t="str">
        <v>Receita da venda de recicláveis</v>
      </c>
      <c r="G100" s="1" t="str">
        <v>Plástico</v>
      </c>
      <c r="H100" s="1" t="str">
        <v>PP Rígido (Balde, bacia, potes de sorvetes, margarina, entre outros)</v>
      </c>
      <c r="I100" s="1">
        <v>0</v>
      </c>
      <c r="J100" s="1">
        <v>4699</v>
      </c>
      <c r="K100" s="1">
        <v>5873.75</v>
      </c>
      <c r="L100" s="1">
        <v>1.25</v>
      </c>
      <c r="M100" s="1">
        <v>0</v>
      </c>
    </row>
    <row r="101" spans="1:13">
      <c r="A101" s="1" t="s">
        <v>11</v>
      </c>
      <c r="B101" s="1" t="str">
        <v>UVR 01 - Assis Chateaubriand</v>
      </c>
      <c r="C101" s="1" t="str">
        <v>01</v>
      </c>
      <c r="D101" s="1" t="str">
        <v>Assis Chateaubriand</v>
      </c>
      <c r="E101" s="1" t="str">
        <v>12/15/2024</v>
      </c>
      <c r="F101" s="1" t="str">
        <v>Receita da venda de recicláveis</v>
      </c>
      <c r="G101" s="1" t="str">
        <v>Plástico</v>
      </c>
      <c r="H101" s="1" t="str">
        <v>PEBD Filme (Sacolinha, Sacos de lixo, Lona Preta)</v>
      </c>
      <c r="I101" s="1">
        <v>0</v>
      </c>
      <c r="J101" s="1">
        <v>5617</v>
      </c>
      <c r="K101" s="1">
        <v>5055.3</v>
      </c>
      <c r="L101" s="1">
        <v>0.9</v>
      </c>
      <c r="M101" s="1">
        <v>0</v>
      </c>
    </row>
    <row r="102" spans="1:13">
      <c r="A102" s="1" t="s">
        <v>11</v>
      </c>
      <c r="B102" s="1" t="str">
        <v>UVR 01 - Assis Chateaubriand</v>
      </c>
      <c r="C102" s="1" t="str">
        <v>01</v>
      </c>
      <c r="D102" s="1" t="str">
        <v>Assis Chateaubriand</v>
      </c>
      <c r="E102" s="1" t="str">
        <v>12/15/2024</v>
      </c>
      <c r="F102" s="1" t="str">
        <v>Receita da venda de recicláveis</v>
      </c>
      <c r="G102" s="1" t="str">
        <v>Plástico</v>
      </c>
      <c r="H102" s="1" t="str">
        <v>PET Óleo (Embalagens de óleo de cozinha)</v>
      </c>
      <c r="I102" s="1">
        <v>0</v>
      </c>
      <c r="J102" s="1">
        <v>123</v>
      </c>
      <c r="K102" s="1">
        <v>147.6</v>
      </c>
      <c r="L102" s="1">
        <v>1.2</v>
      </c>
      <c r="M102" s="1">
        <v>0</v>
      </c>
    </row>
    <row r="103" spans="1:13">
      <c r="A103" s="1" t="s">
        <v>11</v>
      </c>
      <c r="B103" s="1" t="str">
        <v>UVR 01 - Assis Chateaubriand</v>
      </c>
      <c r="C103" s="1" t="str">
        <v>01</v>
      </c>
      <c r="D103" s="1" t="str">
        <v>Assis Chateaubriand</v>
      </c>
      <c r="E103" s="1" t="str">
        <v>12/15/2024</v>
      </c>
      <c r="F103" s="1" t="str">
        <v>Receita da venda de recicláveis</v>
      </c>
      <c r="G103" s="1" t="str">
        <v>Plástico</v>
      </c>
      <c r="H103" s="1" t="str">
        <v>PET Verde (Embalagens de refrigerante verde)</v>
      </c>
      <c r="I103" s="1">
        <v>0</v>
      </c>
      <c r="J103" s="1">
        <v>2168.5</v>
      </c>
      <c r="K103" s="1">
        <v>8782.42</v>
      </c>
      <c r="L103" s="1">
        <v>4.05</v>
      </c>
      <c r="M103" s="1">
        <v>0</v>
      </c>
    </row>
    <row r="104" spans="1:13">
      <c r="A104" s="1" t="s">
        <v>11</v>
      </c>
      <c r="B104" s="1" t="str">
        <v>UVR 01 - Assis Chateaubriand</v>
      </c>
      <c r="C104" s="1" t="str">
        <v>01</v>
      </c>
      <c r="D104" s="1" t="str">
        <v>Assis Chateaubriand</v>
      </c>
      <c r="E104" s="1" t="str">
        <v>12/15/2024</v>
      </c>
      <c r="F104" s="1" t="str">
        <v>Receita da venda de recicláveis</v>
      </c>
      <c r="G104" s="1" t="str">
        <v>Plástico</v>
      </c>
      <c r="H104" s="1" t="str">
        <v>PP Ráfia (Sacaria)</v>
      </c>
      <c r="I104" s="1">
        <v>0</v>
      </c>
      <c r="J104" s="1">
        <v>1458</v>
      </c>
      <c r="K104" s="1">
        <v>437.4</v>
      </c>
      <c r="L104" s="1">
        <v>0.3</v>
      </c>
      <c r="M104" s="1">
        <v>0</v>
      </c>
    </row>
    <row r="105" spans="1:13">
      <c r="A105" s="1" t="s">
        <v>11</v>
      </c>
      <c r="B105" s="1" t="str">
        <v>UVR 01 - Assis Chateaubriand</v>
      </c>
      <c r="C105" s="1" t="str">
        <v>01</v>
      </c>
      <c r="D105" s="1" t="str">
        <v>Assis Chateaubriand</v>
      </c>
      <c r="E105" s="1" t="str">
        <v>12/15/2024</v>
      </c>
      <c r="F105" s="1" t="str">
        <v>Receita da venda de recicláveis</v>
      </c>
      <c r="G105" s="1" t="str">
        <v>Plástico</v>
      </c>
      <c r="H105" s="1" t="str">
        <v>PP Filme (Estralador, embalagens internas de pacotes de bolacha)</v>
      </c>
      <c r="I105" s="1">
        <v>0</v>
      </c>
      <c r="J105" s="1">
        <v>344</v>
      </c>
      <c r="K105" s="1">
        <v>17.2</v>
      </c>
      <c r="L105" s="1">
        <v>0.05</v>
      </c>
      <c r="M105" s="1">
        <v>0</v>
      </c>
    </row>
    <row r="106" spans="1:13">
      <c r="A106" s="1" t="s">
        <v>11</v>
      </c>
      <c r="B106" s="1" t="str">
        <v>UVR 01 - Assis Chateaubriand</v>
      </c>
      <c r="C106" s="1" t="str">
        <v>01</v>
      </c>
      <c r="D106" s="1" t="str">
        <v>Assis Chateaubriand</v>
      </c>
      <c r="E106" s="1" t="str">
        <v>12/15/2024</v>
      </c>
      <c r="F106" s="1" t="str">
        <v>Receita da venda de recicláveis</v>
      </c>
      <c r="G106" s="1" t="str">
        <v>Plástico</v>
      </c>
      <c r="H106" s="1" t="str">
        <v>PEAD (Embalagens de produtos de limpeza)</v>
      </c>
      <c r="I106" s="1">
        <v>0</v>
      </c>
      <c r="J106" s="1">
        <v>1592</v>
      </c>
      <c r="K106" s="1">
        <v>3741.2</v>
      </c>
      <c r="L106" s="1">
        <v>2.35</v>
      </c>
      <c r="M106" s="1">
        <v>0</v>
      </c>
    </row>
    <row r="107" spans="1:13">
      <c r="A107" s="1" t="s">
        <v>11</v>
      </c>
      <c r="B107" s="1" t="str">
        <v>UVR 01 - Assis Chateaubriand</v>
      </c>
      <c r="C107" s="1" t="str">
        <v>01</v>
      </c>
      <c r="D107" s="1" t="str">
        <v>Assis Chateaubriand</v>
      </c>
      <c r="E107" s="1" t="str">
        <v>12/15/2024</v>
      </c>
      <c r="F107" s="1" t="str">
        <v>Receita da venda de recicláveis</v>
      </c>
      <c r="G107" s="1" t="str">
        <v>Plástico</v>
      </c>
      <c r="H107" s="1" t="str">
        <v>PEBD Filme (Sacolinha, Sacos de lixo, Lona Preta)</v>
      </c>
      <c r="I107" s="1">
        <v>0</v>
      </c>
      <c r="J107" s="1">
        <v>1038.5</v>
      </c>
      <c r="K107" s="1">
        <v>1453.9</v>
      </c>
      <c r="L107" s="1">
        <v>1.4</v>
      </c>
      <c r="M107" s="1">
        <v>0</v>
      </c>
    </row>
    <row r="108" spans="1:13">
      <c r="A108" s="1" t="s">
        <v>11</v>
      </c>
      <c r="B108" s="1" t="str">
        <v>UVR 01 - Assis Chateaubriand</v>
      </c>
      <c r="C108" s="1" t="str">
        <v>01</v>
      </c>
      <c r="D108" s="1" t="str">
        <v>Assis Chateaubriand</v>
      </c>
      <c r="E108" s="1" t="str">
        <v>12/15/2024</v>
      </c>
      <c r="F108" s="1" t="str">
        <v>Receita da venda de recicláveis</v>
      </c>
      <c r="G108" s="1" t="str">
        <v>Elétrico ou Eletrônicos</v>
      </c>
      <c r="H108" s="1" t="str">
        <v>Informática</v>
      </c>
      <c r="I108" s="1">
        <v>0</v>
      </c>
      <c r="J108" s="1">
        <v>39.5</v>
      </c>
      <c r="K108" s="1">
        <v>118.5</v>
      </c>
      <c r="L108" s="1">
        <v>3</v>
      </c>
      <c r="M108" s="1">
        <v>0</v>
      </c>
    </row>
    <row r="109" spans="1:13">
      <c r="A109" s="1" t="s">
        <v>11</v>
      </c>
      <c r="B109" s="1" t="str">
        <v>UVR 01 - Assis Chateaubriand</v>
      </c>
      <c r="C109" s="1" t="str">
        <v>01</v>
      </c>
      <c r="D109" s="1" t="str">
        <v>Assis Chateaubriand</v>
      </c>
      <c r="E109" s="1" t="str">
        <v>12/15/2024</v>
      </c>
      <c r="F109" s="1" t="str">
        <v>Receita da venda de recicláveis</v>
      </c>
      <c r="G109" s="1" t="str">
        <v>Plástico</v>
      </c>
      <c r="H109" s="1" t="str">
        <v>PET Colorido (Embalagens de PET colorido, PET bagunça)</v>
      </c>
      <c r="I109" s="1">
        <v>0</v>
      </c>
      <c r="J109" s="1">
        <v>554</v>
      </c>
      <c r="K109" s="1">
        <v>110.8</v>
      </c>
      <c r="L109" s="1">
        <v>0.2</v>
      </c>
      <c r="M109" s="1">
        <v>0</v>
      </c>
    </row>
    <row r="110" spans="1:13">
      <c r="A110" s="1" t="s">
        <v>11</v>
      </c>
      <c r="B110" s="1" t="str">
        <v>UVR 01 - Assis Chateaubriand</v>
      </c>
      <c r="C110" s="1" t="str">
        <v>01</v>
      </c>
      <c r="D110" s="1" t="str">
        <v>Assis Chateaubriand</v>
      </c>
      <c r="E110" s="1" t="str">
        <v>12/15/2024</v>
      </c>
      <c r="F110" s="1" t="str">
        <v>Receita da venda de recicláveis</v>
      </c>
      <c r="G110" s="1" t="str">
        <v>Plástico</v>
      </c>
      <c r="H110" s="1" t="str">
        <v>PS Expansível (Isopor)</v>
      </c>
      <c r="I110" s="1">
        <v>0</v>
      </c>
      <c r="J110" s="1">
        <v>1610</v>
      </c>
      <c r="K110" s="1">
        <v>483</v>
      </c>
      <c r="L110" s="1">
        <v>0.3</v>
      </c>
      <c r="M110" s="1">
        <v>0</v>
      </c>
    </row>
    <row r="111" spans="1:13">
      <c r="A111" s="1" t="s">
        <v>11</v>
      </c>
      <c r="B111" s="1" t="str">
        <v>UVR 01 - Assis Chateaubriand</v>
      </c>
      <c r="C111" s="1" t="str">
        <v>01</v>
      </c>
      <c r="D111" s="1" t="str">
        <v>Assis Chateaubriand</v>
      </c>
      <c r="E111" s="1" t="str">
        <v>12/15/2024</v>
      </c>
      <c r="F111" s="1" t="str">
        <v>Receita da venda de recicláveis</v>
      </c>
      <c r="G111" s="1" t="str">
        <v>Metal</v>
      </c>
      <c r="H111" s="1" t="str">
        <v>Alumínio Panela</v>
      </c>
      <c r="I111" s="1">
        <v>0</v>
      </c>
      <c r="J111" s="1">
        <v>16</v>
      </c>
      <c r="K111" s="1">
        <v>288</v>
      </c>
      <c r="L111" s="1">
        <v>18</v>
      </c>
      <c r="M111" s="1">
        <v>0</v>
      </c>
    </row>
    <row r="112" spans="1:13">
      <c r="A112" s="1" t="s">
        <v>11</v>
      </c>
      <c r="B112" s="1" t="str">
        <v>UVR 01 - Assis Chateaubriand</v>
      </c>
      <c r="C112" s="1" t="str">
        <v>01</v>
      </c>
      <c r="D112" s="1" t="str">
        <v>Assis Chateaubriand</v>
      </c>
      <c r="E112" s="1" t="str">
        <v>12/15/2024</v>
      </c>
      <c r="F112" s="1" t="str">
        <v>Receita da venda de recicláveis</v>
      </c>
      <c r="G112" s="1" t="str">
        <v>Metal</v>
      </c>
      <c r="H112" s="1" t="str">
        <v>Alumínio Latinha</v>
      </c>
      <c r="I112" s="1">
        <v>0</v>
      </c>
      <c r="J112" s="1">
        <v>470</v>
      </c>
      <c r="K112" s="1">
        <v>3760</v>
      </c>
      <c r="L112" s="1">
        <v>8</v>
      </c>
      <c r="M112" s="1">
        <v>0</v>
      </c>
    </row>
    <row r="113" spans="1:13">
      <c r="A113" s="1" t="s">
        <v>11</v>
      </c>
      <c r="B113" s="1" t="str">
        <v>UVR 01 - Assis Chateaubriand</v>
      </c>
      <c r="C113" s="1" t="str">
        <v>01</v>
      </c>
      <c r="D113" s="1" t="str">
        <v>Assis Chateaubriand</v>
      </c>
      <c r="E113" s="1" t="str">
        <v>12/15/2024</v>
      </c>
      <c r="F113" s="1" t="str">
        <v>Receita da venda de recicláveis</v>
      </c>
      <c r="G113" s="1" t="str">
        <v>Metal</v>
      </c>
      <c r="H113" s="1" t="str">
        <v>Alumínio Panela</v>
      </c>
      <c r="I113" s="1">
        <v>0</v>
      </c>
      <c r="J113" s="1">
        <v>173</v>
      </c>
      <c r="K113" s="1">
        <v>1557</v>
      </c>
      <c r="L113" s="1">
        <v>9</v>
      </c>
      <c r="M113" s="1">
        <v>0</v>
      </c>
    </row>
    <row r="114" spans="1:13">
      <c r="A114" s="1" t="s">
        <v>11</v>
      </c>
      <c r="B114" s="1" t="str">
        <v>UVR 01 - Assis Chateaubriand</v>
      </c>
      <c r="C114" s="1" t="str">
        <v>01</v>
      </c>
      <c r="D114" s="1" t="str">
        <v>Assis Chateaubriand</v>
      </c>
      <c r="E114" s="1" t="str">
        <v>12/15/2024</v>
      </c>
      <c r="F114" s="1" t="str">
        <v>Receita da venda de recicláveis</v>
      </c>
      <c r="G114" s="1" t="str">
        <v>Metal</v>
      </c>
      <c r="H114" s="1" t="str">
        <v>Outros Metais</v>
      </c>
      <c r="I114" s="1">
        <v>0</v>
      </c>
      <c r="J114" s="1">
        <v>120.5</v>
      </c>
      <c r="K114" s="1">
        <v>301.25</v>
      </c>
      <c r="L114" s="1">
        <v>2.5</v>
      </c>
      <c r="M114" s="1">
        <v>0</v>
      </c>
    </row>
    <row r="115" spans="1:13">
      <c r="A115" s="1" t="s">
        <v>11</v>
      </c>
      <c r="B115" s="1" t="str">
        <v>UVR 01 - Assis Chateaubriand</v>
      </c>
      <c r="C115" s="1" t="str">
        <v>01</v>
      </c>
      <c r="D115" s="1" t="str">
        <v>Assis Chateaubriand</v>
      </c>
      <c r="E115" s="1" t="str">
        <v>12/15/2024</v>
      </c>
      <c r="F115" s="1" t="str">
        <v>Receita da venda de recicláveis</v>
      </c>
      <c r="G115" s="1" t="str">
        <v>Metal</v>
      </c>
      <c r="H115" s="1" t="str">
        <v>Ferro</v>
      </c>
      <c r="I115" s="1">
        <v>0</v>
      </c>
      <c r="J115" s="1">
        <v>7160</v>
      </c>
      <c r="K115" s="1">
        <v>5012</v>
      </c>
      <c r="L115" s="1">
        <v>0.7</v>
      </c>
      <c r="M115" s="1">
        <v>0</v>
      </c>
    </row>
    <row r="116" spans="1:13">
      <c r="A116" s="1" t="s">
        <v>11</v>
      </c>
      <c r="B116" s="1" t="str">
        <v>UVR 01 - Assis Chateaubriand</v>
      </c>
      <c r="C116" s="1" t="str">
        <v>01</v>
      </c>
      <c r="D116" s="1" t="str">
        <v>Assis Chateaubriand</v>
      </c>
      <c r="E116" s="1" t="str">
        <v>12/15/2024</v>
      </c>
      <c r="F116" s="1" t="str">
        <v>Receita da venda de recicláveis</v>
      </c>
      <c r="G116" s="1" t="str">
        <v>Elétrico ou Eletrônicos</v>
      </c>
      <c r="H116" s="1" t="str">
        <v>Motor</v>
      </c>
      <c r="I116" s="1">
        <v>0</v>
      </c>
      <c r="J116" s="1">
        <v>106.5</v>
      </c>
      <c r="K116" s="1">
        <v>127.8</v>
      </c>
      <c r="L116" s="1">
        <v>1.2</v>
      </c>
      <c r="M116" s="1">
        <v>0</v>
      </c>
    </row>
    <row r="117" spans="1:13">
      <c r="A117" s="1" t="s">
        <v>11</v>
      </c>
      <c r="B117" s="1" t="str">
        <v>UVR 01 - Assis Chateaubriand</v>
      </c>
      <c r="C117" s="1" t="str">
        <v>01</v>
      </c>
      <c r="D117" s="1" t="str">
        <v>Assis Chateaubriand</v>
      </c>
      <c r="E117" s="1" t="str">
        <v>12/15/2024</v>
      </c>
      <c r="F117" s="1" t="str">
        <v>Receita da venda de recicláveis</v>
      </c>
      <c r="G117" s="1" t="str">
        <v>Metal</v>
      </c>
      <c r="H117" s="1" t="str">
        <v>Cobre Sujo</v>
      </c>
      <c r="I117" s="1">
        <v>0</v>
      </c>
      <c r="J117" s="1">
        <v>32</v>
      </c>
      <c r="K117" s="1">
        <v>384</v>
      </c>
      <c r="L117" s="1">
        <v>12</v>
      </c>
      <c r="M117" s="1">
        <v>0</v>
      </c>
    </row>
    <row r="118" spans="1:13">
      <c r="A118" s="1" t="s">
        <v>11</v>
      </c>
      <c r="B118" s="1" t="str">
        <v>UVR 01 - Assis Chateaubriand</v>
      </c>
      <c r="C118" s="1" t="str">
        <v>01</v>
      </c>
      <c r="D118" s="1" t="str">
        <v>Assis Chateaubriand</v>
      </c>
      <c r="E118" s="1" t="str">
        <v>12/15/2024</v>
      </c>
      <c r="F118" s="1" t="str">
        <v>Receita da venda de recicláveis</v>
      </c>
      <c r="G118" s="1" t="str">
        <v>Metal</v>
      </c>
      <c r="H118" s="1" t="str">
        <v>Outros Metais</v>
      </c>
      <c r="I118" s="1">
        <v>0</v>
      </c>
      <c r="J118" s="1">
        <v>2.36</v>
      </c>
      <c r="K118" s="1">
        <v>896.8</v>
      </c>
      <c r="L118" s="1">
        <v>380</v>
      </c>
      <c r="M118" s="1">
        <v>0</v>
      </c>
    </row>
    <row r="119" spans="1:13">
      <c r="A119" s="1" t="s">
        <v>6</v>
      </c>
      <c r="B119" s="1" t="str" cm="1">
        <f t="array" ref="B119:M183">_xlfn._xlws.FILTER(
    'Micro Dados - Todos'!$A$2:$L$20000,
    ('Micro Dados - Todos'!$C$2:$C$20000=Lacunas!B6) *
    ('Micro Dados - Todos'!$B$2:$B$20000=Lacunas!C6) *
    ('Micro Dados - Todos'!$D$2:$D$20000=Lacunas!F6)
)</f>
        <v>UVR 01 - Cafelândia</v>
      </c>
      <c r="C119" s="1" t="str">
        <v>01</v>
      </c>
      <c r="D119" s="1" t="str">
        <v>Cafelândia</v>
      </c>
      <c r="E119" s="1" t="str">
        <v>12/15/2024</v>
      </c>
      <c r="F119" s="1" t="str">
        <v>Receita da venda de recicláveis</v>
      </c>
      <c r="G119" s="1" t="str">
        <v>Plástico</v>
      </c>
      <c r="H119" s="1" t="str">
        <v>PET Cristal (Embalagens de refrigerante transparente)</v>
      </c>
      <c r="I119" s="1">
        <v>0</v>
      </c>
      <c r="J119" s="1">
        <v>1755</v>
      </c>
      <c r="K119" s="1">
        <v>2632.5</v>
      </c>
      <c r="L119" s="1">
        <v>1.5</v>
      </c>
      <c r="M119" s="1">
        <v>0</v>
      </c>
    </row>
    <row r="120" spans="1:13">
      <c r="A120" s="1" t="s">
        <v>6</v>
      </c>
      <c r="B120" s="1" t="str">
        <v>UVR 01 - Cafelândia</v>
      </c>
      <c r="C120" s="1" t="str">
        <v>01</v>
      </c>
      <c r="D120" s="1" t="str">
        <v>Cafelândia</v>
      </c>
      <c r="E120" s="1" t="str">
        <v>12/15/2024</v>
      </c>
      <c r="F120" s="1" t="str">
        <v>Receita da venda de recicláveis</v>
      </c>
      <c r="G120" s="1" t="str">
        <v>Plástico</v>
      </c>
      <c r="H120" s="1" t="str">
        <v>PET Óleo (Embalagens de óleo de cozinha)</v>
      </c>
      <c r="I120" s="1">
        <v>0</v>
      </c>
      <c r="J120" s="1">
        <v>122</v>
      </c>
      <c r="K120" s="1">
        <v>97.6</v>
      </c>
      <c r="L120" s="1">
        <v>0.8</v>
      </c>
      <c r="M120" s="1">
        <v>0</v>
      </c>
    </row>
    <row r="121" spans="1:13">
      <c r="A121" s="1" t="s">
        <v>6</v>
      </c>
      <c r="B121" s="1" t="str">
        <v>UVR 01 - Cafelândia</v>
      </c>
      <c r="C121" s="1" t="str">
        <v>01</v>
      </c>
      <c r="D121" s="1" t="str">
        <v>Cafelândia</v>
      </c>
      <c r="E121" s="1" t="str">
        <v>12/15/2024</v>
      </c>
      <c r="F121" s="1" t="str">
        <v>Receita da venda de recicláveis</v>
      </c>
      <c r="G121" s="1" t="str">
        <v>Plástico</v>
      </c>
      <c r="H121" s="1" t="str">
        <v>PEAD Filme (Cristal)</v>
      </c>
      <c r="I121" s="1">
        <v>0</v>
      </c>
      <c r="J121" s="1">
        <v>1763</v>
      </c>
      <c r="K121" s="1">
        <v>1763</v>
      </c>
      <c r="L121" s="1">
        <v>1</v>
      </c>
      <c r="M121" s="1">
        <v>0</v>
      </c>
    </row>
    <row r="122" spans="1:13">
      <c r="A122" s="1" t="s">
        <v>6</v>
      </c>
      <c r="B122" s="1" t="str">
        <v>UVR 01 - Cafelândia</v>
      </c>
      <c r="C122" s="1" t="str">
        <v>01</v>
      </c>
      <c r="D122" s="1" t="str">
        <v>Cafelândia</v>
      </c>
      <c r="E122" s="1" t="str">
        <v>12/15/2024</v>
      </c>
      <c r="F122" s="1" t="str">
        <v>Receita da venda de recicláveis</v>
      </c>
      <c r="G122" s="1" t="str">
        <v>Plástico</v>
      </c>
      <c r="H122" s="1" t="str">
        <v>PEAD (Embalagens de produtos de limpeza)</v>
      </c>
      <c r="I122" s="1">
        <v>0</v>
      </c>
      <c r="J122" s="1">
        <v>505</v>
      </c>
      <c r="K122" s="1">
        <v>909</v>
      </c>
      <c r="L122" s="1">
        <v>1.8</v>
      </c>
      <c r="M122" s="1">
        <v>0</v>
      </c>
    </row>
    <row r="123" spans="1:13">
      <c r="A123" s="1" t="s">
        <v>6</v>
      </c>
      <c r="B123" s="1" t="str">
        <v>UVR 01 - Cafelândia</v>
      </c>
      <c r="C123" s="1" t="str">
        <v>01</v>
      </c>
      <c r="D123" s="1" t="str">
        <v>Cafelândia</v>
      </c>
      <c r="E123" s="1" t="str">
        <v>12/15/2024</v>
      </c>
      <c r="F123" s="1" t="str">
        <v>Receita da venda de recicláveis</v>
      </c>
      <c r="G123" s="1" t="str">
        <v>Plástico</v>
      </c>
      <c r="H123" s="1" t="str">
        <v>PEAD (Embalagens de produtos de limpeza)</v>
      </c>
      <c r="I123" s="1">
        <v>0</v>
      </c>
      <c r="J123" s="1">
        <v>820</v>
      </c>
      <c r="K123" s="1">
        <v>1640</v>
      </c>
      <c r="L123" s="1">
        <v>2</v>
      </c>
      <c r="M123" s="1">
        <v>0</v>
      </c>
    </row>
    <row r="124" spans="1:13">
      <c r="A124" s="1" t="s">
        <v>6</v>
      </c>
      <c r="B124" s="1" t="str">
        <v>UVR 01 - Cafelândia</v>
      </c>
      <c r="C124" s="1" t="str">
        <v>01</v>
      </c>
      <c r="D124" s="1" t="str">
        <v>Cafelândia</v>
      </c>
      <c r="E124" s="1" t="str">
        <v>12/15/2024</v>
      </c>
      <c r="F124" s="1" t="str">
        <v>Receita da venda de recicláveis</v>
      </c>
      <c r="G124" s="1" t="str">
        <v>Plástico</v>
      </c>
      <c r="H124" s="1" t="str">
        <v>PP Rígido (Balde, bacia, potes de sorvetes, margarina, entre outros)</v>
      </c>
      <c r="I124" s="1">
        <v>0</v>
      </c>
      <c r="J124" s="1">
        <v>206</v>
      </c>
      <c r="K124" s="1">
        <v>164.8</v>
      </c>
      <c r="L124" s="1">
        <v>0.8</v>
      </c>
      <c r="M124" s="1">
        <v>0</v>
      </c>
    </row>
    <row r="125" spans="1:13">
      <c r="A125" s="1" t="s">
        <v>6</v>
      </c>
      <c r="B125" s="1" t="str">
        <v>UVR 01 - Cafelândia</v>
      </c>
      <c r="C125" s="1" t="str">
        <v>01</v>
      </c>
      <c r="D125" s="1" t="str">
        <v>Cafelândia</v>
      </c>
      <c r="E125" s="1" t="str">
        <v>12/15/2024</v>
      </c>
      <c r="F125" s="1" t="str">
        <v>Receita da venda de recicláveis</v>
      </c>
      <c r="G125" s="1" t="str">
        <v>Plástico</v>
      </c>
      <c r="H125" s="1" t="str">
        <v>PP Ráfia (Sacaria)</v>
      </c>
      <c r="I125" s="1">
        <v>0</v>
      </c>
      <c r="J125" s="1">
        <v>1813</v>
      </c>
      <c r="K125" s="1">
        <v>362.6</v>
      </c>
      <c r="L125" s="1">
        <v>0.2</v>
      </c>
      <c r="M125" s="1">
        <v>0</v>
      </c>
    </row>
    <row r="126" spans="1:13">
      <c r="A126" s="1" t="s">
        <v>6</v>
      </c>
      <c r="B126" s="1" t="str">
        <v>UVR 01 - Cafelândia</v>
      </c>
      <c r="C126" s="1" t="str">
        <v>01</v>
      </c>
      <c r="D126" s="1" t="str">
        <v>Cafelândia</v>
      </c>
      <c r="E126" s="1" t="str">
        <v>12/15/2024</v>
      </c>
      <c r="F126" s="1" t="str">
        <v>Receita da venda de recicláveis</v>
      </c>
      <c r="G126" s="1" t="str">
        <v>Plástico</v>
      </c>
      <c r="H126" s="1" t="str">
        <v>PS (Copos descartáveis)</v>
      </c>
      <c r="I126" s="1">
        <v>0</v>
      </c>
      <c r="J126" s="1">
        <v>97</v>
      </c>
      <c r="K126" s="1">
        <v>77.599999999999994</v>
      </c>
      <c r="L126" s="1">
        <v>0.8</v>
      </c>
      <c r="M126" s="1">
        <v>0</v>
      </c>
    </row>
    <row r="127" spans="1:13">
      <c r="A127" s="1" t="s">
        <v>6</v>
      </c>
      <c r="B127" s="1" t="str">
        <v>UVR 01 - Cafelândia</v>
      </c>
      <c r="C127" s="1" t="str">
        <v>01</v>
      </c>
      <c r="D127" s="1" t="str">
        <v>Cafelândia</v>
      </c>
      <c r="E127" s="1" t="str">
        <v>12/15/2024</v>
      </c>
      <c r="F127" s="1" t="str">
        <v>Receita da venda de recicláveis</v>
      </c>
      <c r="G127" s="1" t="str">
        <v>Plástico</v>
      </c>
      <c r="H127" s="1" t="str">
        <v>PEBD Filme (Sacolinha, Sacos de lixo, Lona Preta)</v>
      </c>
      <c r="I127" s="1">
        <v>0</v>
      </c>
      <c r="J127" s="1">
        <v>662</v>
      </c>
      <c r="K127" s="1">
        <v>297.89999999999998</v>
      </c>
      <c r="L127" s="1">
        <v>0.45</v>
      </c>
      <c r="M127" s="1">
        <v>0</v>
      </c>
    </row>
    <row r="128" spans="1:13">
      <c r="A128" s="1" t="s">
        <v>6</v>
      </c>
      <c r="B128" s="1" t="str">
        <v>UVR 01 - Cafelândia</v>
      </c>
      <c r="C128" s="1" t="str">
        <v>01</v>
      </c>
      <c r="D128" s="1" t="str">
        <v>Cafelândia</v>
      </c>
      <c r="E128" s="1" t="str">
        <v>12/15/2024</v>
      </c>
      <c r="F128" s="1" t="str">
        <v>Receita da venda de recicláveis</v>
      </c>
      <c r="G128" s="1" t="str">
        <v>Plástico</v>
      </c>
      <c r="H128" s="1" t="str">
        <v>PP Rígido (Balde, bacia, potes de sorvetes, margarina, entre outros)</v>
      </c>
      <c r="I128" s="1">
        <v>0</v>
      </c>
      <c r="J128" s="1">
        <v>742</v>
      </c>
      <c r="K128" s="1">
        <v>742</v>
      </c>
      <c r="L128" s="1">
        <v>1</v>
      </c>
      <c r="M128" s="1">
        <v>0</v>
      </c>
    </row>
    <row r="129" spans="1:13">
      <c r="A129" s="1" t="s">
        <v>6</v>
      </c>
      <c r="B129" s="1" t="str">
        <v>UVR 01 - Cafelândia</v>
      </c>
      <c r="C129" s="1" t="str">
        <v>01</v>
      </c>
      <c r="D129" s="1" t="str">
        <v>Cafelândia</v>
      </c>
      <c r="E129" s="1" t="str">
        <v>12/15/2024</v>
      </c>
      <c r="F129" s="1" t="str">
        <v>Receita da venda de recicláveis</v>
      </c>
      <c r="G129" s="1" t="str">
        <v>Plástico</v>
      </c>
      <c r="H129" s="1" t="str">
        <v>PP Rígido (Balde, bacia, potes de sorvetes, margarina, entre outros)</v>
      </c>
      <c r="I129" s="1">
        <v>0</v>
      </c>
      <c r="J129" s="1">
        <v>673</v>
      </c>
      <c r="K129" s="1">
        <v>807.6</v>
      </c>
      <c r="L129" s="1">
        <v>1.2</v>
      </c>
      <c r="M129" s="1">
        <v>0</v>
      </c>
    </row>
    <row r="130" spans="1:13">
      <c r="A130" s="1" t="s">
        <v>6</v>
      </c>
      <c r="B130" s="1" t="str">
        <v>UVR 01 - Cafelândia</v>
      </c>
      <c r="C130" s="1" t="str">
        <v>01</v>
      </c>
      <c r="D130" s="1" t="str">
        <v>Cafelândia</v>
      </c>
      <c r="E130" s="1" t="str">
        <v>12/15/2024</v>
      </c>
      <c r="F130" s="1" t="str">
        <v>Receita da venda de recicláveis</v>
      </c>
      <c r="G130" s="1" t="str">
        <v>Plástico</v>
      </c>
      <c r="H130" s="1" t="str">
        <v>PEBD Filme (Sacolinha, Sacos de lixo, Lona Preta)</v>
      </c>
      <c r="I130" s="1">
        <v>0</v>
      </c>
      <c r="J130" s="1">
        <v>2031</v>
      </c>
      <c r="K130" s="1">
        <v>1421.7</v>
      </c>
      <c r="L130" s="1">
        <v>0.7</v>
      </c>
      <c r="M130" s="1">
        <v>0</v>
      </c>
    </row>
    <row r="131" spans="1:13">
      <c r="A131" s="1" t="s">
        <v>6</v>
      </c>
      <c r="B131" s="1" t="str">
        <v>UVR 01 - Cafelândia</v>
      </c>
      <c r="C131" s="1" t="str">
        <v>01</v>
      </c>
      <c r="D131" s="1" t="str">
        <v>Cafelândia</v>
      </c>
      <c r="E131" s="1" t="str">
        <v>12/15/2024</v>
      </c>
      <c r="F131" s="1" t="str">
        <v>Receita da venda de recicláveis</v>
      </c>
      <c r="G131" s="1" t="str">
        <v>Plástico</v>
      </c>
      <c r="H131" s="1" t="str">
        <v>PET Verde (Embalagens de refrigerante verde)</v>
      </c>
      <c r="I131" s="1">
        <v>0</v>
      </c>
      <c r="J131" s="1">
        <v>410</v>
      </c>
      <c r="K131" s="1">
        <v>615</v>
      </c>
      <c r="L131" s="1">
        <v>1.5</v>
      </c>
      <c r="M131" s="1">
        <v>0</v>
      </c>
    </row>
    <row r="132" spans="1:13">
      <c r="A132" s="1" t="s">
        <v>6</v>
      </c>
      <c r="B132" s="1" t="str">
        <v>UVR 01 - Cafelândia</v>
      </c>
      <c r="C132" s="1" t="str">
        <v>01</v>
      </c>
      <c r="D132" s="1" t="str">
        <v>Cafelândia</v>
      </c>
      <c r="E132" s="1" t="str">
        <v>12/15/2024</v>
      </c>
      <c r="F132" s="1" t="str">
        <v>Receita da venda de recicláveis</v>
      </c>
      <c r="G132" s="1" t="str">
        <v>Plástico</v>
      </c>
      <c r="H132" s="1" t="str">
        <v>PP Filme (Estralador, embalagens internas de pacotes de bolacha)</v>
      </c>
      <c r="I132" s="1">
        <v>0</v>
      </c>
      <c r="J132" s="1">
        <v>553</v>
      </c>
      <c r="K132" s="1">
        <v>5.53</v>
      </c>
      <c r="L132" s="1">
        <v>0.01</v>
      </c>
      <c r="M132" s="1">
        <v>0</v>
      </c>
    </row>
    <row r="133" spans="1:13">
      <c r="A133" s="1" t="s">
        <v>6</v>
      </c>
      <c r="B133" s="1" t="str">
        <v>UVR 01 - Cafelândia</v>
      </c>
      <c r="C133" s="1" t="str">
        <v>01</v>
      </c>
      <c r="D133" s="1" t="str">
        <v>Cafelândia</v>
      </c>
      <c r="E133" s="1" t="str">
        <v>12/15/2024</v>
      </c>
      <c r="F133" s="1" t="str">
        <v>Receita da venda de recicláveis</v>
      </c>
      <c r="G133" s="1" t="str">
        <v>Plástico</v>
      </c>
      <c r="H133" s="1" t="str">
        <v>PP Rígido (Balde, bacia, potes de sorvetes, margarina, entre outros)</v>
      </c>
      <c r="I133" s="1">
        <v>0</v>
      </c>
      <c r="J133" s="1">
        <v>121</v>
      </c>
      <c r="K133" s="1">
        <v>60.5</v>
      </c>
      <c r="L133" s="1">
        <v>0.5</v>
      </c>
      <c r="M133" s="1">
        <v>0</v>
      </c>
    </row>
    <row r="134" spans="1:13">
      <c r="A134" s="1" t="s">
        <v>6</v>
      </c>
      <c r="B134" s="1" t="str">
        <v>UVR 01 - Cafelândia</v>
      </c>
      <c r="C134" s="1" t="str">
        <v>01</v>
      </c>
      <c r="D134" s="1" t="str">
        <v>Cafelândia</v>
      </c>
      <c r="E134" s="1" t="str">
        <v>12/15/2024</v>
      </c>
      <c r="F134" s="1" t="str">
        <v>Receita da venda de recicláveis</v>
      </c>
      <c r="G134" s="1" t="str">
        <v>Plástico</v>
      </c>
      <c r="H134" s="1" t="str">
        <v>ABS (Carcaça de televisor, computador e eletrodomésticos)</v>
      </c>
      <c r="I134" s="1">
        <v>0</v>
      </c>
      <c r="J134" s="1">
        <v>227</v>
      </c>
      <c r="K134" s="1">
        <v>45.4</v>
      </c>
      <c r="L134" s="1">
        <v>0.2</v>
      </c>
      <c r="M134" s="1">
        <v>0</v>
      </c>
    </row>
    <row r="135" spans="1:13">
      <c r="A135" s="1" t="s">
        <v>6</v>
      </c>
      <c r="B135" s="1" t="str">
        <v>UVR 01 - Cafelândia</v>
      </c>
      <c r="C135" s="1" t="str">
        <v>01</v>
      </c>
      <c r="D135" s="1" t="str">
        <v>Cafelândia</v>
      </c>
      <c r="E135" s="1" t="str">
        <v>12/15/2024</v>
      </c>
      <c r="F135" s="1" t="str">
        <v>Receita da venda de recicláveis</v>
      </c>
      <c r="G135" s="1" t="str">
        <v>Plástico</v>
      </c>
      <c r="H135" s="1" t="str">
        <v>PP Mineral (Copinho de água mineral)</v>
      </c>
      <c r="I135" s="1">
        <v>0</v>
      </c>
      <c r="J135" s="1">
        <v>70</v>
      </c>
      <c r="K135" s="1">
        <v>70</v>
      </c>
      <c r="L135" s="1">
        <v>1</v>
      </c>
      <c r="M135" s="1">
        <v>0</v>
      </c>
    </row>
    <row r="136" spans="1:13">
      <c r="A136" s="1" t="s">
        <v>6</v>
      </c>
      <c r="B136" s="1" t="str">
        <v>UVR 01 - Cafelândia</v>
      </c>
      <c r="C136" s="1" t="str">
        <v>01</v>
      </c>
      <c r="D136" s="1" t="str">
        <v>Cafelândia</v>
      </c>
      <c r="E136" s="1" t="str">
        <v>12/15/2024</v>
      </c>
      <c r="F136" s="1" t="str">
        <v>Receita da venda de recicláveis</v>
      </c>
      <c r="G136" s="1" t="str">
        <v>Plástico</v>
      </c>
      <c r="H136" s="1" t="str">
        <v>PVC (Cano, Forro, Tubulação de cano)</v>
      </c>
      <c r="I136" s="1">
        <v>0</v>
      </c>
      <c r="J136" s="1">
        <v>277</v>
      </c>
      <c r="K136" s="1">
        <v>138.5</v>
      </c>
      <c r="L136" s="1">
        <v>0.5</v>
      </c>
      <c r="M136" s="1">
        <v>0</v>
      </c>
    </row>
    <row r="137" spans="1:13">
      <c r="A137" s="1" t="s">
        <v>6</v>
      </c>
      <c r="B137" s="1" t="str">
        <v>UVR 01 - Cafelândia</v>
      </c>
      <c r="C137" s="1" t="str">
        <v>01</v>
      </c>
      <c r="D137" s="1" t="str">
        <v>Cafelândia</v>
      </c>
      <c r="E137" s="1" t="str">
        <v>12/15/2024</v>
      </c>
      <c r="F137" s="1" t="str">
        <v>Receita da venda de recicláveis</v>
      </c>
      <c r="G137" s="1" t="str">
        <v>Plástico</v>
      </c>
      <c r="H137" s="1" t="str">
        <v>PP Rígido (Balde, bacia, potes de sorvetes, margarina, entre outros)</v>
      </c>
      <c r="I137" s="1">
        <v>0</v>
      </c>
      <c r="J137" s="1">
        <v>116</v>
      </c>
      <c r="K137" s="1">
        <v>34.799999999999997</v>
      </c>
      <c r="L137" s="1">
        <v>0.3</v>
      </c>
      <c r="M137" s="1">
        <v>0</v>
      </c>
    </row>
    <row r="138" spans="1:13">
      <c r="A138" s="1" t="s">
        <v>6</v>
      </c>
      <c r="B138" s="1" t="str">
        <v>UVR 01 - Cafelândia</v>
      </c>
      <c r="C138" s="1" t="str">
        <v>01</v>
      </c>
      <c r="D138" s="1" t="str">
        <v>Cafelândia</v>
      </c>
      <c r="E138" s="1" t="str">
        <v>12/15/2024</v>
      </c>
      <c r="F138" s="1" t="str">
        <v>Receita da venda de recicláveis</v>
      </c>
      <c r="G138" s="1" t="str">
        <v>Plástico</v>
      </c>
      <c r="H138" s="1" t="str">
        <v>PET Colorido (Embalagens de PET colorido, PET bagunça)</v>
      </c>
      <c r="I138" s="1">
        <v>0</v>
      </c>
      <c r="J138" s="1">
        <v>75</v>
      </c>
      <c r="K138" s="1">
        <v>7.5</v>
      </c>
      <c r="L138" s="1">
        <v>0.1</v>
      </c>
      <c r="M138" s="1">
        <v>0</v>
      </c>
    </row>
    <row r="139" spans="1:13">
      <c r="A139" s="1" t="s">
        <v>6</v>
      </c>
      <c r="B139" s="1" t="str">
        <v>UVR 01 - Cafelândia</v>
      </c>
      <c r="C139" s="1" t="str">
        <v>01</v>
      </c>
      <c r="D139" s="1" t="str">
        <v>Cafelândia</v>
      </c>
      <c r="E139" s="1" t="str">
        <v>12/15/2024</v>
      </c>
      <c r="F139" s="1" t="str">
        <v>Receita da venda de recicláveis</v>
      </c>
      <c r="G139" s="1" t="str">
        <v>Plástico</v>
      </c>
      <c r="H139" s="1" t="str">
        <v>PP Rígido (Balde, bacia, potes de sorvetes, margarina, entre outros)</v>
      </c>
      <c r="I139" s="1">
        <v>0</v>
      </c>
      <c r="J139" s="1">
        <v>247</v>
      </c>
      <c r="K139" s="1">
        <v>2.4700000000000002</v>
      </c>
      <c r="L139" s="1">
        <v>0.01</v>
      </c>
      <c r="M139" s="1">
        <v>0</v>
      </c>
    </row>
    <row r="140" spans="1:13">
      <c r="A140" s="1" t="s">
        <v>6</v>
      </c>
      <c r="B140" s="1" t="str">
        <v>UVR 01 - Cafelândia</v>
      </c>
      <c r="C140" s="1" t="str">
        <v>01</v>
      </c>
      <c r="D140" s="1" t="str">
        <v>Cafelândia</v>
      </c>
      <c r="E140" s="1" t="str">
        <v>12/15/2024</v>
      </c>
      <c r="F140" s="1" t="str">
        <v>Receita da venda de recicláveis</v>
      </c>
      <c r="G140" s="1" t="str">
        <v>Plástico</v>
      </c>
      <c r="H140" s="1" t="str">
        <v>PEBD Filme (Sacolinha, Sacos de lixo, Lona Preta)</v>
      </c>
      <c r="I140" s="1">
        <v>0</v>
      </c>
      <c r="J140" s="1">
        <v>425</v>
      </c>
      <c r="K140" s="1">
        <v>191.25</v>
      </c>
      <c r="L140" s="1">
        <v>0.45</v>
      </c>
      <c r="M140" s="1">
        <v>0</v>
      </c>
    </row>
    <row r="141" spans="1:13">
      <c r="A141" s="1" t="s">
        <v>6</v>
      </c>
      <c r="B141" s="1" t="str">
        <v>UVR 01 - Cafelândia</v>
      </c>
      <c r="C141" s="1" t="str">
        <v>01</v>
      </c>
      <c r="D141" s="1" t="str">
        <v>Cafelândia</v>
      </c>
      <c r="E141" s="1" t="str">
        <v>12/15/2024</v>
      </c>
      <c r="F141" s="1" t="str">
        <v>Receita da venda de recicláveis</v>
      </c>
      <c r="G141" s="1" t="str">
        <v>Papéis</v>
      </c>
      <c r="H141" s="1" t="str">
        <v>Papel Misto</v>
      </c>
      <c r="I141" s="1">
        <v>0</v>
      </c>
      <c r="J141" s="1">
        <v>8820</v>
      </c>
      <c r="K141" s="1">
        <v>662.67</v>
      </c>
      <c r="L141" s="1">
        <v>0.08</v>
      </c>
      <c r="M141" s="1">
        <v>0</v>
      </c>
    </row>
    <row r="142" spans="1:13">
      <c r="A142" s="1" t="s">
        <v>6</v>
      </c>
      <c r="B142" s="1" t="str">
        <v>UVR 01 - Cafelândia</v>
      </c>
      <c r="C142" s="1" t="str">
        <v>01</v>
      </c>
      <c r="D142" s="1" t="str">
        <v>Cafelândia</v>
      </c>
      <c r="E142" s="1" t="str">
        <v>12/15/2024</v>
      </c>
      <c r="F142" s="1" t="str">
        <v>Receita da venda de recicláveis</v>
      </c>
      <c r="G142" s="1" t="str">
        <v>Papéis</v>
      </c>
      <c r="H142" s="1" t="str">
        <v>Papel Cimento</v>
      </c>
      <c r="I142" s="1">
        <v>0</v>
      </c>
      <c r="J142" s="1">
        <v>830</v>
      </c>
      <c r="K142" s="1">
        <v>166</v>
      </c>
      <c r="L142" s="1">
        <v>0.2</v>
      </c>
      <c r="M142" s="1">
        <v>0</v>
      </c>
    </row>
    <row r="143" spans="1:13">
      <c r="A143" s="1" t="s">
        <v>6</v>
      </c>
      <c r="B143" s="1" t="str">
        <v>UVR 01 - Cafelândia</v>
      </c>
      <c r="C143" s="1" t="str">
        <v>01</v>
      </c>
      <c r="D143" s="1" t="str">
        <v>Cafelândia</v>
      </c>
      <c r="E143" s="1" t="str">
        <v>12/15/2024</v>
      </c>
      <c r="F143" s="1" t="str">
        <v>Receita da venda de recicláveis</v>
      </c>
      <c r="G143" s="1" t="str">
        <v>Papéis</v>
      </c>
      <c r="H143" s="1" t="str">
        <v>Tetra Pack</v>
      </c>
      <c r="I143" s="1">
        <v>0</v>
      </c>
      <c r="J143" s="1">
        <v>916</v>
      </c>
      <c r="K143" s="1">
        <v>91.6</v>
      </c>
      <c r="L143" s="1">
        <v>0.1</v>
      </c>
      <c r="M143" s="1">
        <v>0</v>
      </c>
    </row>
    <row r="144" spans="1:13">
      <c r="A144" s="1" t="s">
        <v>6</v>
      </c>
      <c r="B144" s="1" t="str">
        <v>UVR 01 - Cafelândia</v>
      </c>
      <c r="C144" s="1" t="str">
        <v>01</v>
      </c>
      <c r="D144" s="1" t="str">
        <v>Cafelândia</v>
      </c>
      <c r="E144" s="1" t="str">
        <v>12/15/2024</v>
      </c>
      <c r="F144" s="1" t="str">
        <v>Receita da venda de recicláveis</v>
      </c>
      <c r="G144" s="1" t="str">
        <v>Papéis</v>
      </c>
      <c r="H144" s="1" t="str">
        <v>Papelão</v>
      </c>
      <c r="I144" s="1">
        <v>0</v>
      </c>
      <c r="J144" s="1">
        <v>14623</v>
      </c>
      <c r="K144" s="1">
        <v>6028</v>
      </c>
      <c r="L144" s="1">
        <v>0.41</v>
      </c>
      <c r="M144" s="1">
        <v>0</v>
      </c>
    </row>
    <row r="145" spans="1:13">
      <c r="A145" s="1" t="s">
        <v>6</v>
      </c>
      <c r="B145" s="1" t="str">
        <v>UVR 01 - Cafelândia</v>
      </c>
      <c r="C145" s="1" t="str">
        <v>01</v>
      </c>
      <c r="D145" s="1" t="str">
        <v>Cafelândia</v>
      </c>
      <c r="E145" s="1" t="str">
        <v>12/15/2024</v>
      </c>
      <c r="F145" s="1" t="str">
        <v>Receita da venda de recicláveis</v>
      </c>
      <c r="G145" s="1" t="str">
        <v>Papéis</v>
      </c>
      <c r="H145" s="1" t="str">
        <v>Papel Branco</v>
      </c>
      <c r="I145" s="1">
        <v>0</v>
      </c>
      <c r="J145" s="1">
        <v>888</v>
      </c>
      <c r="K145" s="1">
        <v>532.79999999999995</v>
      </c>
      <c r="L145" s="1">
        <v>0.6</v>
      </c>
      <c r="M145" s="1">
        <v>0</v>
      </c>
    </row>
    <row r="146" spans="1:13">
      <c r="A146" s="1" t="s">
        <v>6</v>
      </c>
      <c r="B146" s="1" t="str">
        <v>UVR 01 - Cafelândia</v>
      </c>
      <c r="C146" s="1" t="str">
        <v>01</v>
      </c>
      <c r="D146" s="1" t="str">
        <v>Cafelândia</v>
      </c>
      <c r="E146" s="1" t="str">
        <v>12/15/2024</v>
      </c>
      <c r="F146" s="1" t="str">
        <v>Receita da venda de recicláveis</v>
      </c>
      <c r="G146" s="1" t="str">
        <v>Papéis</v>
      </c>
      <c r="H146" s="1" t="str">
        <v>Papel Branco</v>
      </c>
      <c r="I146" s="1">
        <v>0</v>
      </c>
      <c r="J146" s="1">
        <v>553</v>
      </c>
      <c r="K146" s="1">
        <v>331.8</v>
      </c>
      <c r="L146" s="1">
        <v>0.6</v>
      </c>
      <c r="M146" s="1">
        <v>0</v>
      </c>
    </row>
    <row r="147" spans="1:13">
      <c r="A147" s="1" t="s">
        <v>6</v>
      </c>
      <c r="B147" s="1" t="str">
        <v>UVR 01 - Cafelândia</v>
      </c>
      <c r="C147" s="1" t="str">
        <v>01</v>
      </c>
      <c r="D147" s="1" t="str">
        <v>Cafelândia</v>
      </c>
      <c r="E147" s="1" t="str">
        <v>12/15/2024</v>
      </c>
      <c r="F147" s="1" t="str">
        <v>Receita da venda de recicláveis</v>
      </c>
      <c r="G147" s="1" t="str">
        <v>Vidro</v>
      </c>
      <c r="H147" s="1" t="str">
        <v>Caco</v>
      </c>
      <c r="I147" s="1">
        <v>0</v>
      </c>
      <c r="J147" s="1">
        <v>5170</v>
      </c>
      <c r="K147" s="1">
        <v>258.5</v>
      </c>
      <c r="L147" s="1">
        <v>0.05</v>
      </c>
      <c r="M147" s="1">
        <v>0</v>
      </c>
    </row>
    <row r="148" spans="1:13">
      <c r="A148" s="1" t="s">
        <v>6</v>
      </c>
      <c r="B148" s="1" t="str">
        <v>UVR 01 - Cafelândia</v>
      </c>
      <c r="C148" s="1" t="str">
        <v>01</v>
      </c>
      <c r="D148" s="1" t="str">
        <v>Cafelândia</v>
      </c>
      <c r="E148" s="1" t="str">
        <v>12/15/2024</v>
      </c>
      <c r="F148" s="1" t="str">
        <v>Receita da venda de recicláveis</v>
      </c>
      <c r="G148" s="1" t="str">
        <v>Metal</v>
      </c>
      <c r="H148" s="1" t="str">
        <v>Ferro</v>
      </c>
      <c r="I148" s="1">
        <v>0</v>
      </c>
      <c r="J148" s="1">
        <v>6785</v>
      </c>
      <c r="K148" s="1">
        <v>1792.5</v>
      </c>
      <c r="L148" s="1">
        <v>0.26</v>
      </c>
      <c r="M148" s="1">
        <v>0</v>
      </c>
    </row>
    <row r="149" spans="1:13">
      <c r="A149" s="1" t="s">
        <v>6</v>
      </c>
      <c r="B149" s="1" t="str">
        <v>UVR 01 - Cafelândia</v>
      </c>
      <c r="C149" s="1" t="str">
        <v>01</v>
      </c>
      <c r="D149" s="1" t="str">
        <v>Cafelândia</v>
      </c>
      <c r="E149" s="1" t="str">
        <v>12/15/2024</v>
      </c>
      <c r="F149" s="1" t="str">
        <v>Rejeito</v>
      </c>
      <c r="G149" s="1" t="str">
        <v>Rejeito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 t="s">
        <v>6</v>
      </c>
      <c r="B150" s="1" t="str">
        <v>UVR 01 - Cafelândia</v>
      </c>
      <c r="C150" s="1" t="str">
        <v>01</v>
      </c>
      <c r="D150" s="1" t="str">
        <v>Cafelândia</v>
      </c>
      <c r="E150" s="1" t="str">
        <v>12/15/2024</v>
      </c>
      <c r="F150" s="1" t="str">
        <v>Receita da prestação de serviços</v>
      </c>
      <c r="G150" s="1" t="str">
        <v>Contratos</v>
      </c>
      <c r="H150" s="1">
        <v>0</v>
      </c>
      <c r="I150" s="1">
        <v>0</v>
      </c>
      <c r="J150" s="1">
        <v>0</v>
      </c>
      <c r="K150" s="1">
        <v>19985.599999999999</v>
      </c>
      <c r="L150" s="1">
        <v>0</v>
      </c>
      <c r="M150" s="1">
        <v>0</v>
      </c>
    </row>
    <row r="151" spans="1:13">
      <c r="A151" s="1" t="s">
        <v>6</v>
      </c>
      <c r="B151" s="1" t="str">
        <v>UVR 01 - Cafelândia</v>
      </c>
      <c r="C151" s="1" t="str">
        <v>01</v>
      </c>
      <c r="D151" s="1" t="str">
        <v>Cafelândia</v>
      </c>
      <c r="E151" s="1" t="str">
        <v>12/15/2024</v>
      </c>
      <c r="F151" s="1" t="str">
        <v>Receita da venda de recicláveis</v>
      </c>
      <c r="G151" s="1" t="str">
        <v>Plástico</v>
      </c>
      <c r="H151" s="1" t="str">
        <v>PP Rígido (Balde, bacia, potes de sorvetes, margarina, entre outros)</v>
      </c>
      <c r="I151" s="1">
        <v>0</v>
      </c>
      <c r="J151" s="1">
        <v>845</v>
      </c>
      <c r="K151" s="1">
        <v>1098.05</v>
      </c>
      <c r="L151" s="1">
        <v>1.3</v>
      </c>
      <c r="M151" s="1">
        <v>0</v>
      </c>
    </row>
    <row r="152" spans="1:13">
      <c r="A152" s="1" t="s">
        <v>6</v>
      </c>
      <c r="B152" s="1" t="str">
        <v>UVR 01 - Cafelândia</v>
      </c>
      <c r="C152" s="1" t="str">
        <v>01</v>
      </c>
      <c r="D152" s="1" t="str">
        <v>Cafelândia</v>
      </c>
      <c r="E152" s="1" t="str">
        <v>12/15/2024</v>
      </c>
      <c r="F152" s="1" t="str">
        <v>Receita da venda de recicláveis</v>
      </c>
      <c r="G152" s="1" t="str">
        <v>Plástico</v>
      </c>
      <c r="H152" s="1" t="str">
        <v>PET Cristal (Embalagens de refrigerante transparente)</v>
      </c>
      <c r="I152" s="1">
        <v>0</v>
      </c>
      <c r="J152" s="1">
        <v>1417</v>
      </c>
      <c r="K152" s="1">
        <v>5384.6</v>
      </c>
      <c r="L152" s="1">
        <v>3.8</v>
      </c>
      <c r="M152" s="1">
        <v>0</v>
      </c>
    </row>
    <row r="153" spans="1:13">
      <c r="A153" s="1" t="s">
        <v>6</v>
      </c>
      <c r="B153" s="1" t="str">
        <v>UVR 01 - Cafelândia</v>
      </c>
      <c r="C153" s="1" t="str">
        <v>01</v>
      </c>
      <c r="D153" s="1" t="str">
        <v>Cafelândia</v>
      </c>
      <c r="E153" s="1" t="str">
        <v>12/15/2024</v>
      </c>
      <c r="F153" s="1" t="str">
        <v>Receita da venda de recicláveis</v>
      </c>
      <c r="G153" s="1" t="str">
        <v>Plástico</v>
      </c>
      <c r="H153" s="1" t="str">
        <v>PET Óleo (Embalagens de óleo de cozinha)</v>
      </c>
      <c r="I153" s="1">
        <v>0</v>
      </c>
      <c r="J153" s="1">
        <v>163</v>
      </c>
      <c r="K153" s="1">
        <v>130.4</v>
      </c>
      <c r="L153" s="1">
        <v>0.8</v>
      </c>
      <c r="M153" s="1">
        <v>0</v>
      </c>
    </row>
    <row r="154" spans="1:13">
      <c r="A154" s="1" t="s">
        <v>6</v>
      </c>
      <c r="B154" s="1" t="str">
        <v>UVR 01 - Cafelândia</v>
      </c>
      <c r="C154" s="1" t="str">
        <v>01</v>
      </c>
      <c r="D154" s="1" t="str">
        <v>Cafelândia</v>
      </c>
      <c r="E154" s="1" t="str">
        <v>12/15/2024</v>
      </c>
      <c r="F154" s="1" t="str">
        <v>Receita da venda de recicláveis</v>
      </c>
      <c r="G154" s="1" t="str">
        <v>Plástico</v>
      </c>
      <c r="H154" s="1" t="str">
        <v>PEAD Filme (Cristal)</v>
      </c>
      <c r="I154" s="1">
        <v>0</v>
      </c>
      <c r="J154" s="1">
        <v>2117</v>
      </c>
      <c r="K154" s="1">
        <v>3069.65</v>
      </c>
      <c r="L154" s="1">
        <v>1.45</v>
      </c>
      <c r="M154" s="1">
        <v>0</v>
      </c>
    </row>
    <row r="155" spans="1:13">
      <c r="A155" s="1" t="s">
        <v>6</v>
      </c>
      <c r="B155" s="1" t="str">
        <v>UVR 01 - Cafelândia</v>
      </c>
      <c r="C155" s="1" t="str">
        <v>01</v>
      </c>
      <c r="D155" s="1" t="str">
        <v>Cafelândia</v>
      </c>
      <c r="E155" s="1" t="str">
        <v>12/15/2024</v>
      </c>
      <c r="F155" s="1" t="str">
        <v>Receita da venda de recicláveis</v>
      </c>
      <c r="G155" s="1" t="str">
        <v>Plástico</v>
      </c>
      <c r="H155" s="1" t="str">
        <v>PEAD (Embalagens de produtos de limpeza)</v>
      </c>
      <c r="I155" s="1">
        <v>0</v>
      </c>
      <c r="J155" s="1">
        <v>631</v>
      </c>
      <c r="K155" s="1">
        <v>1451.3</v>
      </c>
      <c r="L155" s="1">
        <v>2.2999999999999998</v>
      </c>
      <c r="M155" s="1">
        <v>0</v>
      </c>
    </row>
    <row r="156" spans="1:13">
      <c r="A156" s="1" t="s">
        <v>6</v>
      </c>
      <c r="B156" s="1" t="str">
        <v>UVR 01 - Cafelândia</v>
      </c>
      <c r="C156" s="1" t="str">
        <v>01</v>
      </c>
      <c r="D156" s="1" t="str">
        <v>Cafelândia</v>
      </c>
      <c r="E156" s="1" t="str">
        <v>12/15/2024</v>
      </c>
      <c r="F156" s="1" t="str">
        <v>Receita da venda de recicláveis</v>
      </c>
      <c r="G156" s="1" t="str">
        <v>Plástico</v>
      </c>
      <c r="H156" s="1" t="str">
        <v>PEAD (Embalagens de produtos de limpeza)</v>
      </c>
      <c r="I156" s="1">
        <v>0</v>
      </c>
      <c r="J156" s="1">
        <v>1271</v>
      </c>
      <c r="K156" s="1">
        <v>2796.2</v>
      </c>
      <c r="L156" s="1">
        <v>2.2000000000000002</v>
      </c>
      <c r="M156" s="1">
        <v>0</v>
      </c>
    </row>
    <row r="157" spans="1:13">
      <c r="A157" s="1" t="s">
        <v>6</v>
      </c>
      <c r="B157" s="1" t="str">
        <v>UVR 01 - Cafelândia</v>
      </c>
      <c r="C157" s="1" t="str">
        <v>01</v>
      </c>
      <c r="D157" s="1" t="str">
        <v>Cafelândia</v>
      </c>
      <c r="E157" s="1" t="str">
        <v>12/15/2024</v>
      </c>
      <c r="F157" s="1" t="str">
        <v>Receita da venda de recicláveis</v>
      </c>
      <c r="G157" s="1" t="str">
        <v>Plástico</v>
      </c>
      <c r="H157" s="1" t="str">
        <v>PP Rígido (Balde, bacia, potes de sorvetes, margarina, entre outros)</v>
      </c>
      <c r="I157" s="1">
        <v>0</v>
      </c>
      <c r="J157" s="1">
        <v>252</v>
      </c>
      <c r="K157" s="1">
        <v>201.6</v>
      </c>
      <c r="L157" s="1">
        <v>0.8</v>
      </c>
      <c r="M157" s="1">
        <v>0</v>
      </c>
    </row>
    <row r="158" spans="1:13">
      <c r="A158" s="1" t="s">
        <v>6</v>
      </c>
      <c r="B158" s="1" t="str">
        <v>UVR 01 - Cafelândia</v>
      </c>
      <c r="C158" s="1" t="str">
        <v>01</v>
      </c>
      <c r="D158" s="1" t="str">
        <v>Cafelândia</v>
      </c>
      <c r="E158" s="1" t="str">
        <v>12/15/2024</v>
      </c>
      <c r="F158" s="1" t="str">
        <v>Receita da venda de recicláveis</v>
      </c>
      <c r="G158" s="1" t="str">
        <v>Plástico</v>
      </c>
      <c r="H158" s="1" t="str">
        <v>PP Ráfia (Sacaria)</v>
      </c>
      <c r="I158" s="1">
        <v>0</v>
      </c>
      <c r="J158" s="1">
        <v>2263</v>
      </c>
      <c r="K158" s="1">
        <v>678.9</v>
      </c>
      <c r="L158" s="1">
        <v>0.3</v>
      </c>
      <c r="M158" s="1">
        <v>0</v>
      </c>
    </row>
    <row r="159" spans="1:13">
      <c r="A159" s="1" t="s">
        <v>6</v>
      </c>
      <c r="B159" s="1" t="str">
        <v>UVR 01 - Cafelândia</v>
      </c>
      <c r="C159" s="1" t="str">
        <v>01</v>
      </c>
      <c r="D159" s="1" t="str">
        <v>Cafelândia</v>
      </c>
      <c r="E159" s="1" t="str">
        <v>12/15/2024</v>
      </c>
      <c r="F159" s="1" t="str">
        <v>Receita da venda de recicláveis</v>
      </c>
      <c r="G159" s="1" t="str">
        <v>Plástico</v>
      </c>
      <c r="H159" s="1" t="str">
        <v>PEBD Filme (Sacolinha, Sacos de lixo, Lona Preta)</v>
      </c>
      <c r="I159" s="1">
        <v>0</v>
      </c>
      <c r="J159" s="1">
        <v>1141</v>
      </c>
      <c r="K159" s="1">
        <v>798.7</v>
      </c>
      <c r="L159" s="1">
        <v>0.7</v>
      </c>
      <c r="M159" s="1">
        <v>0</v>
      </c>
    </row>
    <row r="160" spans="1:13">
      <c r="A160" s="1" t="s">
        <v>6</v>
      </c>
      <c r="B160" s="1" t="str">
        <v>UVR 01 - Cafelândia</v>
      </c>
      <c r="C160" s="1" t="str">
        <v>01</v>
      </c>
      <c r="D160" s="1" t="str">
        <v>Cafelândia</v>
      </c>
      <c r="E160" s="1" t="str">
        <v>12/15/2024</v>
      </c>
      <c r="F160" s="1" t="str">
        <v>Receita da venda de recicláveis</v>
      </c>
      <c r="G160" s="1" t="str">
        <v>Plástico</v>
      </c>
      <c r="H160" s="1" t="str">
        <v>PP Rígido (Balde, bacia, potes de sorvetes, margarina, entre outros)</v>
      </c>
      <c r="I160" s="1">
        <v>0</v>
      </c>
      <c r="J160" s="1">
        <v>1322</v>
      </c>
      <c r="K160" s="1">
        <v>1718.6</v>
      </c>
      <c r="L160" s="1">
        <v>1.3</v>
      </c>
      <c r="M160" s="1">
        <v>0</v>
      </c>
    </row>
    <row r="161" spans="1:13">
      <c r="A161" s="1" t="s">
        <v>6</v>
      </c>
      <c r="B161" s="1" t="str">
        <v>UVR 01 - Cafelândia</v>
      </c>
      <c r="C161" s="1" t="str">
        <v>01</v>
      </c>
      <c r="D161" s="1" t="str">
        <v>Cafelândia</v>
      </c>
      <c r="E161" s="1" t="str">
        <v>12/15/2024</v>
      </c>
      <c r="F161" s="1" t="str">
        <v>Receita da venda de recicláveis</v>
      </c>
      <c r="G161" s="1" t="str">
        <v>Plástico</v>
      </c>
      <c r="H161" s="1" t="str">
        <v>PP Rígido (Balde, bacia, potes de sorvetes, margarina, entre outros)</v>
      </c>
      <c r="I161" s="1">
        <v>0</v>
      </c>
      <c r="J161" s="1">
        <v>609</v>
      </c>
      <c r="K161" s="1">
        <v>974.4</v>
      </c>
      <c r="L161" s="1">
        <v>1.6</v>
      </c>
      <c r="M161" s="1">
        <v>0</v>
      </c>
    </row>
    <row r="162" spans="1:13">
      <c r="A162" s="1" t="s">
        <v>6</v>
      </c>
      <c r="B162" s="1" t="str">
        <v>UVR 01 - Cafelândia</v>
      </c>
      <c r="C162" s="1" t="str">
        <v>01</v>
      </c>
      <c r="D162" s="1" t="str">
        <v>Cafelândia</v>
      </c>
      <c r="E162" s="1" t="str">
        <v>12/15/2024</v>
      </c>
      <c r="F162" s="1" t="str">
        <v>Receita da venda de recicláveis</v>
      </c>
      <c r="G162" s="1" t="str">
        <v>Plástico</v>
      </c>
      <c r="H162" s="1" t="str">
        <v>PEBD Filme (Sacolinha, Sacos de lixo, Lona Preta)</v>
      </c>
      <c r="I162" s="1">
        <v>0</v>
      </c>
      <c r="J162" s="1">
        <v>2498</v>
      </c>
      <c r="K162" s="1">
        <v>2006.6</v>
      </c>
      <c r="L162" s="1">
        <v>0.8</v>
      </c>
      <c r="M162" s="1">
        <v>0</v>
      </c>
    </row>
    <row r="163" spans="1:13">
      <c r="A163" s="1" t="s">
        <v>6</v>
      </c>
      <c r="B163" s="1" t="str">
        <v>UVR 01 - Cafelândia</v>
      </c>
      <c r="C163" s="1" t="str">
        <v>01</v>
      </c>
      <c r="D163" s="1" t="str">
        <v>Cafelândia</v>
      </c>
      <c r="E163" s="1" t="str">
        <v>12/15/2024</v>
      </c>
      <c r="F163" s="1" t="str">
        <v>Receita da venda de recicláveis</v>
      </c>
      <c r="G163" s="1" t="str">
        <v>Plástico</v>
      </c>
      <c r="H163" s="1" t="str">
        <v>PET Verde (Embalagens de refrigerante verde)</v>
      </c>
      <c r="I163" s="1">
        <v>0</v>
      </c>
      <c r="J163" s="1">
        <v>1515</v>
      </c>
      <c r="K163" s="1">
        <v>5757</v>
      </c>
      <c r="L163" s="1">
        <v>3.8</v>
      </c>
      <c r="M163" s="1">
        <v>0</v>
      </c>
    </row>
    <row r="164" spans="1:13">
      <c r="A164" s="1" t="s">
        <v>6</v>
      </c>
      <c r="B164" s="1" t="str">
        <v>UVR 01 - Cafelândia</v>
      </c>
      <c r="C164" s="1" t="str">
        <v>01</v>
      </c>
      <c r="D164" s="1" t="str">
        <v>Cafelândia</v>
      </c>
      <c r="E164" s="1" t="str">
        <v>12/15/2024</v>
      </c>
      <c r="F164" s="1" t="str">
        <v>Receita da venda de recicláveis</v>
      </c>
      <c r="G164" s="1" t="str">
        <v>Plástico</v>
      </c>
      <c r="H164" s="1" t="str">
        <v>PP Filme (Estralador, embalagens internas de pacotes de bolacha)</v>
      </c>
      <c r="I164" s="1">
        <v>0</v>
      </c>
      <c r="J164" s="1">
        <v>1313</v>
      </c>
      <c r="K164" s="1">
        <v>35.090000000000003</v>
      </c>
      <c r="L164" s="1">
        <v>0.03</v>
      </c>
      <c r="M164" s="1">
        <v>0</v>
      </c>
    </row>
    <row r="165" spans="1:13">
      <c r="A165" s="1" t="s">
        <v>6</v>
      </c>
      <c r="B165" s="1" t="str">
        <v>UVR 01 - Cafelândia</v>
      </c>
      <c r="C165" s="1" t="str">
        <v>01</v>
      </c>
      <c r="D165" s="1" t="str">
        <v>Cafelândia</v>
      </c>
      <c r="E165" s="1" t="str">
        <v>12/15/2024</v>
      </c>
      <c r="F165" s="1" t="str">
        <v>Receita da venda de recicláveis</v>
      </c>
      <c r="G165" s="1" t="str">
        <v>Plástico</v>
      </c>
      <c r="H165" s="1" t="str">
        <v>PVC (Cano, Forro, Tubulação de cano)</v>
      </c>
      <c r="I165" s="1">
        <v>0</v>
      </c>
      <c r="J165" s="1">
        <v>734</v>
      </c>
      <c r="K165" s="1">
        <v>660.6</v>
      </c>
      <c r="L165" s="1">
        <v>0.9</v>
      </c>
      <c r="M165" s="1">
        <v>0</v>
      </c>
    </row>
    <row r="166" spans="1:13">
      <c r="A166" s="1" t="s">
        <v>6</v>
      </c>
      <c r="B166" s="1" t="str">
        <v>UVR 01 - Cafelândia</v>
      </c>
      <c r="C166" s="1" t="str">
        <v>01</v>
      </c>
      <c r="D166" s="1" t="str">
        <v>Cafelândia</v>
      </c>
      <c r="E166" s="1" t="str">
        <v>12/15/2024</v>
      </c>
      <c r="F166" s="1" t="str">
        <v>Receita da venda de recicláveis</v>
      </c>
      <c r="G166" s="1" t="str">
        <v>Plástico</v>
      </c>
      <c r="H166" s="1" t="str">
        <v>PP Rígido (Balde, bacia, potes de sorvetes, margarina, entre outros)</v>
      </c>
      <c r="I166" s="1">
        <v>0</v>
      </c>
      <c r="J166" s="1">
        <v>553</v>
      </c>
      <c r="K166" s="1">
        <v>5.53</v>
      </c>
      <c r="L166" s="1">
        <v>0.01</v>
      </c>
      <c r="M166" s="1">
        <v>0</v>
      </c>
    </row>
    <row r="167" spans="1:13">
      <c r="A167" s="1" t="s">
        <v>6</v>
      </c>
      <c r="B167" s="1" t="str">
        <v>UVR 01 - Cafelândia</v>
      </c>
      <c r="C167" s="1" t="str">
        <v>01</v>
      </c>
      <c r="D167" s="1" t="str">
        <v>Cafelândia</v>
      </c>
      <c r="E167" s="1" t="str">
        <v>12/15/2024</v>
      </c>
      <c r="F167" s="1" t="str">
        <v>Receita da venda de recicláveis</v>
      </c>
      <c r="G167" s="1" t="str">
        <v>Plástico</v>
      </c>
      <c r="H167" s="1" t="str">
        <v>PET Colorido (Embalagens de PET colorido, PET bagunça)</v>
      </c>
      <c r="I167" s="1">
        <v>0</v>
      </c>
      <c r="J167" s="1">
        <v>95</v>
      </c>
      <c r="K167" s="1">
        <v>9.5</v>
      </c>
      <c r="L167" s="1">
        <v>0.1</v>
      </c>
      <c r="M167" s="1">
        <v>0</v>
      </c>
    </row>
    <row r="168" spans="1:13">
      <c r="A168" s="1" t="s">
        <v>6</v>
      </c>
      <c r="B168" s="1" t="str">
        <v>UVR 01 - Cafelândia</v>
      </c>
      <c r="C168" s="1" t="str">
        <v>01</v>
      </c>
      <c r="D168" s="1" t="str">
        <v>Cafelândia</v>
      </c>
      <c r="E168" s="1" t="str">
        <v>12/15/2024</v>
      </c>
      <c r="F168" s="1" t="str">
        <v>Receita da venda de recicláveis</v>
      </c>
      <c r="G168" s="1" t="str">
        <v>Plástico</v>
      </c>
      <c r="H168" s="1" t="str">
        <v>PP Rígido (Balde, bacia, potes de sorvetes, margarina, entre outros)</v>
      </c>
      <c r="I168" s="1">
        <v>0</v>
      </c>
      <c r="J168" s="1">
        <v>96</v>
      </c>
      <c r="K168" s="1">
        <v>28.8</v>
      </c>
      <c r="L168" s="1">
        <v>0.3</v>
      </c>
      <c r="M168" s="1">
        <v>0</v>
      </c>
    </row>
    <row r="169" spans="1:13">
      <c r="A169" s="1" t="s">
        <v>6</v>
      </c>
      <c r="B169" s="1" t="str">
        <v>UVR 01 - Cafelândia</v>
      </c>
      <c r="C169" s="1" t="str">
        <v>01</v>
      </c>
      <c r="D169" s="1" t="str">
        <v>Cafelândia</v>
      </c>
      <c r="E169" s="1" t="str">
        <v>12/15/2024</v>
      </c>
      <c r="F169" s="1" t="str">
        <v>Receita da venda de recicláveis</v>
      </c>
      <c r="G169" s="1" t="str">
        <v>Papéis</v>
      </c>
      <c r="H169" s="1" t="str">
        <v>Papel Misto</v>
      </c>
      <c r="I169" s="1">
        <v>0</v>
      </c>
      <c r="J169" s="1">
        <v>8791</v>
      </c>
      <c r="K169" s="1">
        <v>1758.2</v>
      </c>
      <c r="L169" s="1">
        <v>0.2</v>
      </c>
      <c r="M169" s="1">
        <v>0</v>
      </c>
    </row>
    <row r="170" spans="1:13">
      <c r="A170" s="1" t="s">
        <v>6</v>
      </c>
      <c r="B170" s="1" t="str">
        <v>UVR 01 - Cafelândia</v>
      </c>
      <c r="C170" s="1" t="str">
        <v>01</v>
      </c>
      <c r="D170" s="1" t="str">
        <v>Cafelândia</v>
      </c>
      <c r="E170" s="1" t="str">
        <v>12/15/2024</v>
      </c>
      <c r="F170" s="1" t="str">
        <v>Receita da venda de recicláveis</v>
      </c>
      <c r="G170" s="1" t="str">
        <v>Papéis</v>
      </c>
      <c r="H170" s="1" t="str">
        <v>Papel Cimento</v>
      </c>
      <c r="I170" s="1">
        <v>0</v>
      </c>
      <c r="J170" s="1">
        <v>1192</v>
      </c>
      <c r="K170" s="1">
        <v>298</v>
      </c>
      <c r="L170" s="1">
        <v>0.25</v>
      </c>
      <c r="M170" s="1">
        <v>0</v>
      </c>
    </row>
    <row r="171" spans="1:13">
      <c r="A171" s="1" t="s">
        <v>6</v>
      </c>
      <c r="B171" s="1" t="str">
        <v>UVR 01 - Cafelândia</v>
      </c>
      <c r="C171" s="1" t="str">
        <v>01</v>
      </c>
      <c r="D171" s="1" t="str">
        <v>Cafelândia</v>
      </c>
      <c r="E171" s="1" t="str">
        <v>12/15/2024</v>
      </c>
      <c r="F171" s="1" t="str">
        <v>Receita da venda de recicláveis</v>
      </c>
      <c r="G171" s="1" t="str">
        <v>Papéis</v>
      </c>
      <c r="H171" s="1" t="str">
        <v>Tetra Pack</v>
      </c>
      <c r="I171" s="1">
        <v>0</v>
      </c>
      <c r="J171" s="1">
        <v>1370</v>
      </c>
      <c r="K171" s="1">
        <v>205.5</v>
      </c>
      <c r="L171" s="1">
        <v>0.15</v>
      </c>
      <c r="M171" s="1">
        <v>0</v>
      </c>
    </row>
    <row r="172" spans="1:13">
      <c r="A172" s="1" t="s">
        <v>6</v>
      </c>
      <c r="B172" s="1" t="str">
        <v>UVR 01 - Cafelândia</v>
      </c>
      <c r="C172" s="1" t="str">
        <v>01</v>
      </c>
      <c r="D172" s="1" t="str">
        <v>Cafelândia</v>
      </c>
      <c r="E172" s="1" t="str">
        <v>12/15/2024</v>
      </c>
      <c r="F172" s="1" t="str">
        <v>Receita da venda de recicláveis</v>
      </c>
      <c r="G172" s="1" t="str">
        <v>Papéis</v>
      </c>
      <c r="H172" s="1" t="str">
        <v>Papelão</v>
      </c>
      <c r="I172" s="1">
        <v>0</v>
      </c>
      <c r="J172" s="1">
        <v>16377</v>
      </c>
      <c r="K172" s="1">
        <v>11955</v>
      </c>
      <c r="L172" s="1">
        <v>0.73</v>
      </c>
      <c r="M172" s="1">
        <v>0</v>
      </c>
    </row>
    <row r="173" spans="1:13">
      <c r="A173" s="1" t="s">
        <v>6</v>
      </c>
      <c r="B173" s="1" t="str">
        <v>UVR 01 - Cafelândia</v>
      </c>
      <c r="C173" s="1" t="str">
        <v>01</v>
      </c>
      <c r="D173" s="1" t="str">
        <v>Cafelândia</v>
      </c>
      <c r="E173" s="1" t="str">
        <v>12/15/2024</v>
      </c>
      <c r="F173" s="1" t="str">
        <v>Receita da venda de recicláveis</v>
      </c>
      <c r="G173" s="1" t="str">
        <v>Papéis</v>
      </c>
      <c r="H173" s="1" t="str">
        <v>Papel Branco</v>
      </c>
      <c r="I173" s="1">
        <v>0</v>
      </c>
      <c r="J173" s="1">
        <v>573</v>
      </c>
      <c r="K173" s="1">
        <v>286.5</v>
      </c>
      <c r="L173" s="1">
        <v>0.5</v>
      </c>
      <c r="M173" s="1">
        <v>0</v>
      </c>
    </row>
    <row r="174" spans="1:13">
      <c r="A174" s="1" t="s">
        <v>6</v>
      </c>
      <c r="B174" s="1" t="str">
        <v>UVR 01 - Cafelândia</v>
      </c>
      <c r="C174" s="1" t="str">
        <v>01</v>
      </c>
      <c r="D174" s="1" t="str">
        <v>Cafelândia</v>
      </c>
      <c r="E174" s="1" t="str">
        <v>12/15/2024</v>
      </c>
      <c r="F174" s="1" t="str">
        <v>Receita da venda de recicláveis</v>
      </c>
      <c r="G174" s="1" t="str">
        <v>Papéis</v>
      </c>
      <c r="H174" s="1" t="str">
        <v>Papel Branco</v>
      </c>
      <c r="I174" s="1">
        <v>0</v>
      </c>
      <c r="J174" s="1">
        <v>805</v>
      </c>
      <c r="K174" s="1">
        <v>483</v>
      </c>
      <c r="L174" s="1">
        <v>0.6</v>
      </c>
      <c r="M174" s="1">
        <v>0</v>
      </c>
    </row>
    <row r="175" spans="1:13">
      <c r="A175" s="1" t="s">
        <v>6</v>
      </c>
      <c r="B175" s="1" t="str">
        <v>UVR 01 - Cafelândia</v>
      </c>
      <c r="C175" s="1" t="str">
        <v>01</v>
      </c>
      <c r="D175" s="1" t="str">
        <v>Cafelândia</v>
      </c>
      <c r="E175" s="1" t="str">
        <v>12/15/2024</v>
      </c>
      <c r="F175" s="1" t="str">
        <v>Receita da venda de recicláveis</v>
      </c>
      <c r="G175" s="1" t="str">
        <v>Vidro</v>
      </c>
      <c r="H175" s="1" t="str">
        <v>Caco</v>
      </c>
      <c r="I175" s="1">
        <v>0</v>
      </c>
      <c r="J175" s="1">
        <v>8710</v>
      </c>
      <c r="K175" s="1">
        <v>1306.5</v>
      </c>
      <c r="L175" s="1">
        <v>0.15</v>
      </c>
      <c r="M175" s="1">
        <v>0</v>
      </c>
    </row>
    <row r="176" spans="1:13">
      <c r="A176" s="1" t="s">
        <v>6</v>
      </c>
      <c r="B176" s="1" t="str">
        <v>UVR 01 - Cafelândia</v>
      </c>
      <c r="C176" s="1" t="str">
        <v>01</v>
      </c>
      <c r="D176" s="1" t="str">
        <v>Cafelândia</v>
      </c>
      <c r="E176" s="1" t="str">
        <v>12/15/2024</v>
      </c>
      <c r="F176" s="1" t="str">
        <v>Receita da venda de recicláveis</v>
      </c>
      <c r="G176" s="1" t="str">
        <v>Metal</v>
      </c>
      <c r="H176" s="1" t="str">
        <v>Ferro</v>
      </c>
      <c r="I176" s="1">
        <v>0</v>
      </c>
      <c r="J176" s="1">
        <v>10270</v>
      </c>
      <c r="K176" s="1">
        <v>5915.4</v>
      </c>
      <c r="L176" s="1">
        <v>0.57999999999999996</v>
      </c>
      <c r="M176" s="1">
        <v>0</v>
      </c>
    </row>
    <row r="177" spans="1:13">
      <c r="A177" s="1" t="s">
        <v>6</v>
      </c>
      <c r="B177" s="1" t="str">
        <v>UVR 01 - Cafelândia</v>
      </c>
      <c r="C177" s="1" t="str">
        <v>01</v>
      </c>
      <c r="D177" s="1" t="str">
        <v>Cafelândia</v>
      </c>
      <c r="E177" s="1" t="str">
        <v>12/15/2024</v>
      </c>
      <c r="F177" s="1" t="str">
        <v>Receita da venda de recicláveis</v>
      </c>
      <c r="G177" s="1" t="str">
        <v>Metal</v>
      </c>
      <c r="H177" s="1" t="str">
        <v>Sucatas</v>
      </c>
      <c r="I177" s="1">
        <v>0</v>
      </c>
      <c r="J177" s="1">
        <v>2992</v>
      </c>
      <c r="K177" s="1">
        <v>10472</v>
      </c>
      <c r="L177" s="1">
        <v>3.5</v>
      </c>
      <c r="M177" s="1">
        <v>0</v>
      </c>
    </row>
    <row r="178" spans="1:13">
      <c r="A178" s="1" t="s">
        <v>6</v>
      </c>
      <c r="B178" s="1" t="str">
        <v>UVR 01 - Cafelândia</v>
      </c>
      <c r="C178" s="1" t="str">
        <v>01</v>
      </c>
      <c r="D178" s="1" t="str">
        <v>Cafelândia</v>
      </c>
      <c r="E178" s="1" t="str">
        <v>12/15/2024</v>
      </c>
      <c r="F178" s="1" t="str">
        <v>Receita da venda de recicláveis</v>
      </c>
      <c r="G178" s="1" t="str">
        <v>Metal</v>
      </c>
      <c r="H178" s="1" t="str">
        <v>Cobre Limpo</v>
      </c>
      <c r="I178" s="1">
        <v>0</v>
      </c>
      <c r="J178" s="1">
        <v>168</v>
      </c>
      <c r="K178" s="1">
        <v>3528</v>
      </c>
      <c r="L178" s="1">
        <v>21</v>
      </c>
      <c r="M178" s="1">
        <v>0</v>
      </c>
    </row>
    <row r="179" spans="1:13">
      <c r="A179" s="1" t="s">
        <v>6</v>
      </c>
      <c r="B179" s="1" t="str">
        <v>UVR 01 - Cafelândia</v>
      </c>
      <c r="C179" s="1" t="str">
        <v>01</v>
      </c>
      <c r="D179" s="1" t="str">
        <v>Cafelândia</v>
      </c>
      <c r="E179" s="1" t="str">
        <v>12/15/2024</v>
      </c>
      <c r="F179" s="1" t="str">
        <v>Receita da venda de recicláveis</v>
      </c>
      <c r="G179" s="1" t="str">
        <v>Metal</v>
      </c>
      <c r="H179" s="1" t="str">
        <v>Outros Metais</v>
      </c>
      <c r="I179" s="1">
        <v>0</v>
      </c>
      <c r="J179" s="1">
        <v>181</v>
      </c>
      <c r="K179" s="1">
        <v>1337</v>
      </c>
      <c r="L179" s="1">
        <v>7.39</v>
      </c>
      <c r="M179" s="1">
        <v>0</v>
      </c>
    </row>
    <row r="180" spans="1:13">
      <c r="A180" s="1" t="s">
        <v>6</v>
      </c>
      <c r="B180" s="1" t="str">
        <v>UVR 01 - Cafelândia</v>
      </c>
      <c r="C180" s="1" t="str">
        <v>01</v>
      </c>
      <c r="D180" s="1" t="str">
        <v>Cafelândia</v>
      </c>
      <c r="E180" s="1" t="str">
        <v>12/15/2024</v>
      </c>
      <c r="F180" s="1" t="str">
        <v>Receita da prestação de serviços</v>
      </c>
      <c r="G180" s="1" t="str">
        <v>Contratos</v>
      </c>
      <c r="H180" s="1">
        <v>0</v>
      </c>
      <c r="I180" s="1">
        <v>0</v>
      </c>
      <c r="J180" s="1">
        <v>0</v>
      </c>
      <c r="K180" s="1">
        <v>20918.32</v>
      </c>
      <c r="L180" s="1">
        <v>0</v>
      </c>
      <c r="M180" s="1">
        <v>0</v>
      </c>
    </row>
    <row r="181" spans="1:13">
      <c r="A181" s="1" t="s">
        <v>6</v>
      </c>
      <c r="B181" s="1" t="str">
        <v>UVR 01 - Cafelândia</v>
      </c>
      <c r="C181" s="1" t="str">
        <v>01</v>
      </c>
      <c r="D181" s="1" t="str">
        <v>Cafelândia</v>
      </c>
      <c r="E181" s="1" t="str">
        <v>12/15/2024</v>
      </c>
      <c r="F181" s="1" t="str">
        <v>Despesa</v>
      </c>
      <c r="G181" s="1" t="str">
        <v>Outra Despesa</v>
      </c>
      <c r="H181" s="1">
        <v>0</v>
      </c>
      <c r="I181" s="1">
        <v>0</v>
      </c>
      <c r="J181" s="1">
        <v>0</v>
      </c>
      <c r="K181" s="1">
        <v>16068.48</v>
      </c>
      <c r="L181" s="1">
        <v>0</v>
      </c>
      <c r="M181" s="1" t="str">
        <v xml:space="preserve">Cesta Basica, EPIS, Advogado,Uniformes, Seguro,Contador ,Ponto eletronico e Internet ,Gas do barracão, Manutenção </v>
      </c>
    </row>
    <row r="182" spans="1:13">
      <c r="A182" s="1" t="s">
        <v>6</v>
      </c>
      <c r="B182" s="1" t="str">
        <v>UVR 01 - Cafelândia</v>
      </c>
      <c r="C182" s="1" t="str">
        <v>01</v>
      </c>
      <c r="D182" s="1" t="str">
        <v>Cafelândia</v>
      </c>
      <c r="E182" s="1" t="str">
        <v>12/15/2024</v>
      </c>
      <c r="F182" s="1" t="str">
        <v>Rejeito</v>
      </c>
      <c r="G182" s="1" t="str">
        <v>Rejeito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 t="s">
        <v>6</v>
      </c>
      <c r="B183" s="1" t="str">
        <v>UVR 01 - Cafelândia</v>
      </c>
      <c r="C183" s="1" t="str">
        <v>01</v>
      </c>
      <c r="D183" s="1" t="str">
        <v>Cafelândia</v>
      </c>
      <c r="E183" s="1" t="str">
        <v>12/15/2024</v>
      </c>
      <c r="F183" s="1" t="str">
        <v>Rejeito</v>
      </c>
      <c r="G183" s="1" t="str">
        <v>Rejeito</v>
      </c>
      <c r="H183" s="1">
        <v>0</v>
      </c>
      <c r="I183" s="1">
        <v>0</v>
      </c>
      <c r="J183" s="1">
        <v>1230</v>
      </c>
      <c r="K183" s="1">
        <v>0</v>
      </c>
      <c r="L183" s="1">
        <v>0</v>
      </c>
      <c r="M183" s="1">
        <v>0</v>
      </c>
    </row>
    <row r="184" spans="1:13">
      <c r="A184" s="1" t="s">
        <v>6</v>
      </c>
      <c r="B184" s="1" t="str" cm="1">
        <f t="array" ref="B184:M207">_xlfn._xlws.FILTER(
    'Micro Dados - Todos'!$A$2:$L$20000,
    ('Micro Dados - Todos'!$C$2:$C$20000=Lacunas!B7) *
    ('Micro Dados - Todos'!$B$2:$B$20000=Lacunas!C7) *
    ('Micro Dados - Todos'!$D$2:$D$20000=Lacunas!F7)
)</f>
        <v>UVR 01 - Formosa do Oeste</v>
      </c>
      <c r="C184" s="1" t="str">
        <v>01</v>
      </c>
      <c r="D184" s="1" t="str">
        <v>Formosa do Oeste</v>
      </c>
      <c r="E184" s="1" t="str">
        <v>12/15/2024</v>
      </c>
      <c r="F184" s="1" t="str">
        <v>Receita da venda de recicláveis</v>
      </c>
      <c r="G184" s="1" t="str">
        <v>Papéis</v>
      </c>
      <c r="H184" s="1" t="str">
        <v>Papel Cimento</v>
      </c>
      <c r="I184" s="1">
        <v>0</v>
      </c>
      <c r="J184" s="1">
        <v>188</v>
      </c>
      <c r="K184" s="1">
        <v>47</v>
      </c>
      <c r="L184" s="1">
        <v>0.25</v>
      </c>
      <c r="M184" s="1">
        <v>0</v>
      </c>
    </row>
    <row r="185" spans="1:13">
      <c r="A185" s="1" t="s">
        <v>6</v>
      </c>
      <c r="B185" s="1" t="str">
        <v>UVR 01 - Formosa do Oeste</v>
      </c>
      <c r="C185" s="1" t="str">
        <v>01</v>
      </c>
      <c r="D185" s="1" t="str">
        <v>Formosa do Oeste</v>
      </c>
      <c r="E185" s="1" t="str">
        <v>12/15/2024</v>
      </c>
      <c r="F185" s="1" t="str">
        <v>Receita da venda de recicláveis</v>
      </c>
      <c r="G185" s="1" t="str">
        <v>Papéis</v>
      </c>
      <c r="H185" s="1" t="str">
        <v>Papel Misto</v>
      </c>
      <c r="I185" s="1">
        <v>0</v>
      </c>
      <c r="J185" s="1">
        <v>2043</v>
      </c>
      <c r="K185" s="1">
        <v>510.75</v>
      </c>
      <c r="L185" s="1">
        <v>0.25</v>
      </c>
      <c r="M185" s="1">
        <v>0</v>
      </c>
    </row>
    <row r="186" spans="1:13">
      <c r="A186" s="1" t="s">
        <v>6</v>
      </c>
      <c r="B186" s="1" t="str">
        <v>UVR 01 - Formosa do Oeste</v>
      </c>
      <c r="C186" s="1" t="str">
        <v>01</v>
      </c>
      <c r="D186" s="1" t="str">
        <v>Formosa do Oeste</v>
      </c>
      <c r="E186" s="1" t="str">
        <v>12/15/2024</v>
      </c>
      <c r="F186" s="1" t="str">
        <v>Receita da venda de recicláveis</v>
      </c>
      <c r="G186" s="1" t="str">
        <v>Papéis</v>
      </c>
      <c r="H186" s="1" t="str">
        <v>Papel Branco</v>
      </c>
      <c r="I186" s="1">
        <v>0</v>
      </c>
      <c r="J186" s="1">
        <v>540</v>
      </c>
      <c r="K186" s="1">
        <v>351</v>
      </c>
      <c r="L186" s="1">
        <v>0.65</v>
      </c>
      <c r="M186" s="1">
        <v>0</v>
      </c>
    </row>
    <row r="187" spans="1:13">
      <c r="A187" s="1" t="s">
        <v>6</v>
      </c>
      <c r="B187" s="1" t="str">
        <v>UVR 01 - Formosa do Oeste</v>
      </c>
      <c r="C187" s="1" t="str">
        <v>01</v>
      </c>
      <c r="D187" s="1" t="str">
        <v>Formosa do Oeste</v>
      </c>
      <c r="E187" s="1" t="str">
        <v>12/15/2024</v>
      </c>
      <c r="F187" s="1" t="str">
        <v>Receita da venda de recicláveis</v>
      </c>
      <c r="G187" s="1" t="str">
        <v>Papéis</v>
      </c>
      <c r="H187" s="1" t="str">
        <v>Papelão</v>
      </c>
      <c r="I187" s="1">
        <v>0</v>
      </c>
      <c r="J187" s="1">
        <v>2051</v>
      </c>
      <c r="K187" s="1">
        <v>1435.75</v>
      </c>
      <c r="L187" s="1">
        <v>0.7</v>
      </c>
      <c r="M187" s="1">
        <v>0</v>
      </c>
    </row>
    <row r="188" spans="1:13">
      <c r="A188" s="1" t="s">
        <v>6</v>
      </c>
      <c r="B188" s="1" t="str">
        <v>UVR 01 - Formosa do Oeste</v>
      </c>
      <c r="C188" s="1" t="str">
        <v>01</v>
      </c>
      <c r="D188" s="1" t="str">
        <v>Formosa do Oeste</v>
      </c>
      <c r="E188" s="1" t="str">
        <v>12/15/2024</v>
      </c>
      <c r="F188" s="1" t="str">
        <v>Receita da venda de recicláveis</v>
      </c>
      <c r="G188" s="1" t="str">
        <v>Plástico</v>
      </c>
      <c r="H188" s="1" t="str">
        <v>PEAD Filme (Cristal)</v>
      </c>
      <c r="I188" s="1">
        <v>0</v>
      </c>
      <c r="J188" s="1">
        <v>333</v>
      </c>
      <c r="K188" s="1">
        <v>466.2</v>
      </c>
      <c r="L188" s="1">
        <v>1.4</v>
      </c>
      <c r="M188" s="1">
        <v>0</v>
      </c>
    </row>
    <row r="189" spans="1:13">
      <c r="A189" s="1" t="s">
        <v>6</v>
      </c>
      <c r="B189" s="1" t="str">
        <v>UVR 01 - Formosa do Oeste</v>
      </c>
      <c r="C189" s="1" t="str">
        <v>01</v>
      </c>
      <c r="D189" s="1" t="str">
        <v>Formosa do Oeste</v>
      </c>
      <c r="E189" s="1" t="str">
        <v>12/15/2024</v>
      </c>
      <c r="F189" s="1" t="str">
        <v>Receita da venda de recicláveis</v>
      </c>
      <c r="G189" s="1" t="str">
        <v>Plástico</v>
      </c>
      <c r="H189" s="1" t="str">
        <v>PEBD Filme (Sacolinha, Sacos de lixo, Lona Preta)</v>
      </c>
      <c r="I189" s="1">
        <v>0</v>
      </c>
      <c r="J189" s="1">
        <v>60</v>
      </c>
      <c r="K189" s="1">
        <v>36</v>
      </c>
      <c r="L189" s="1">
        <v>0.6</v>
      </c>
      <c r="M189" s="1">
        <v>0</v>
      </c>
    </row>
    <row r="190" spans="1:13">
      <c r="A190" s="1" t="s">
        <v>6</v>
      </c>
      <c r="B190" s="1" t="str">
        <v>UVR 01 - Formosa do Oeste</v>
      </c>
      <c r="C190" s="1" t="str">
        <v>01</v>
      </c>
      <c r="D190" s="1" t="str">
        <v>Formosa do Oeste</v>
      </c>
      <c r="E190" s="1" t="str">
        <v>12/15/2024</v>
      </c>
      <c r="F190" s="1" t="str">
        <v>Receita da venda de recicláveis</v>
      </c>
      <c r="G190" s="1" t="str">
        <v>Plástico</v>
      </c>
      <c r="H190" s="1" t="str">
        <v>PET Colorido (Embalagens de PET colorido, PET bagunça)</v>
      </c>
      <c r="I190" s="1">
        <v>0</v>
      </c>
      <c r="J190" s="1">
        <v>72</v>
      </c>
      <c r="K190" s="1">
        <v>14.4</v>
      </c>
      <c r="L190" s="1">
        <v>0.2</v>
      </c>
      <c r="M190" s="1">
        <v>0</v>
      </c>
    </row>
    <row r="191" spans="1:13">
      <c r="A191" s="1" t="s">
        <v>6</v>
      </c>
      <c r="B191" s="1" t="str">
        <v>UVR 01 - Formosa do Oeste</v>
      </c>
      <c r="C191" s="1" t="str">
        <v>01</v>
      </c>
      <c r="D191" s="1" t="str">
        <v>Formosa do Oeste</v>
      </c>
      <c r="E191" s="1" t="str">
        <v>12/15/2024</v>
      </c>
      <c r="F191" s="1" t="str">
        <v>Receita da venda de recicláveis</v>
      </c>
      <c r="G191" s="1" t="str">
        <v>Plástico</v>
      </c>
      <c r="H191" s="1" t="str">
        <v>PEAD Filme (Cristal)</v>
      </c>
      <c r="I191" s="1">
        <v>0</v>
      </c>
      <c r="J191" s="1">
        <v>58</v>
      </c>
      <c r="K191" s="1">
        <v>29</v>
      </c>
      <c r="L191" s="1">
        <v>0.5</v>
      </c>
      <c r="M191" s="1">
        <v>0</v>
      </c>
    </row>
    <row r="192" spans="1:13">
      <c r="A192" s="1" t="s">
        <v>6</v>
      </c>
      <c r="B192" s="1" t="str">
        <v>UVR 01 - Formosa do Oeste</v>
      </c>
      <c r="C192" s="1" t="str">
        <v>01</v>
      </c>
      <c r="D192" s="1" t="str">
        <v>Formosa do Oeste</v>
      </c>
      <c r="E192" s="1" t="str">
        <v>12/15/2024</v>
      </c>
      <c r="F192" s="1" t="str">
        <v>Receita da venda de recicláveis</v>
      </c>
      <c r="G192" s="1" t="str">
        <v>Plástico</v>
      </c>
      <c r="H192" s="1" t="str">
        <v>PP Rígido (Balde, bacia, potes de sorvetes, margarina, entre outros)</v>
      </c>
      <c r="I192" s="1">
        <v>0</v>
      </c>
      <c r="J192" s="1">
        <v>75</v>
      </c>
      <c r="K192" s="1">
        <v>97.5</v>
      </c>
      <c r="L192" s="1">
        <v>1.3</v>
      </c>
      <c r="M192" s="1">
        <v>0</v>
      </c>
    </row>
    <row r="193" spans="1:13">
      <c r="A193" s="1" t="s">
        <v>6</v>
      </c>
      <c r="B193" s="1" t="str">
        <v>UVR 01 - Formosa do Oeste</v>
      </c>
      <c r="C193" s="1" t="str">
        <v>01</v>
      </c>
      <c r="D193" s="1" t="str">
        <v>Formosa do Oeste</v>
      </c>
      <c r="E193" s="1" t="str">
        <v>12/15/2024</v>
      </c>
      <c r="F193" s="1" t="str">
        <v>Receita da venda de recicláveis</v>
      </c>
      <c r="G193" s="1" t="str">
        <v>Plástico</v>
      </c>
      <c r="H193" s="1" t="str">
        <v>PET Óleo (Embalagens de óleo de cozinha)</v>
      </c>
      <c r="I193" s="1">
        <v>0</v>
      </c>
      <c r="J193" s="1">
        <v>118</v>
      </c>
      <c r="K193" s="1">
        <v>212.4</v>
      </c>
      <c r="L193" s="1">
        <v>1.8</v>
      </c>
      <c r="M193" s="1">
        <v>0</v>
      </c>
    </row>
    <row r="194" spans="1:13">
      <c r="A194" s="1" t="s">
        <v>6</v>
      </c>
      <c r="B194" s="1" t="str">
        <v>UVR 01 - Formosa do Oeste</v>
      </c>
      <c r="C194" s="1" t="str">
        <v>01</v>
      </c>
      <c r="D194" s="1" t="str">
        <v>Formosa do Oeste</v>
      </c>
      <c r="E194" s="1" t="str">
        <v>12/15/2024</v>
      </c>
      <c r="F194" s="1" t="str">
        <v>Receita da venda de recicláveis</v>
      </c>
      <c r="G194" s="1" t="str">
        <v>Plástico</v>
      </c>
      <c r="H194" s="1" t="str">
        <v>PEAD (Embalagens de produtos de limpeza)</v>
      </c>
      <c r="I194" s="1">
        <v>0</v>
      </c>
      <c r="J194" s="1">
        <v>542</v>
      </c>
      <c r="K194" s="1">
        <v>1219.5</v>
      </c>
      <c r="L194" s="1">
        <v>2.25</v>
      </c>
      <c r="M194" s="1">
        <v>0</v>
      </c>
    </row>
    <row r="195" spans="1:13">
      <c r="A195" s="1" t="s">
        <v>6</v>
      </c>
      <c r="B195" s="1" t="str">
        <v>UVR 01 - Formosa do Oeste</v>
      </c>
      <c r="C195" s="1" t="str">
        <v>01</v>
      </c>
      <c r="D195" s="1" t="str">
        <v>Formosa do Oeste</v>
      </c>
      <c r="E195" s="1" t="str">
        <v>12/15/2024</v>
      </c>
      <c r="F195" s="1" t="str">
        <v>Receita da venda de recicláveis</v>
      </c>
      <c r="G195" s="1" t="str">
        <v>Plástico</v>
      </c>
      <c r="H195" s="1" t="str">
        <v>PP Rígido (Balde, bacia, potes de sorvetes, margarina, entre outros)</v>
      </c>
      <c r="I195" s="1">
        <v>0</v>
      </c>
      <c r="J195" s="1">
        <v>129</v>
      </c>
      <c r="K195" s="1">
        <v>193.45</v>
      </c>
      <c r="L195" s="1">
        <v>1.5</v>
      </c>
      <c r="M195" s="1">
        <v>0</v>
      </c>
    </row>
    <row r="196" spans="1:13">
      <c r="A196" s="1" t="s">
        <v>6</v>
      </c>
      <c r="B196" s="1" t="str">
        <v>UVR 01 - Formosa do Oeste</v>
      </c>
      <c r="C196" s="1" t="str">
        <v>01</v>
      </c>
      <c r="D196" s="1" t="str">
        <v>Formosa do Oeste</v>
      </c>
      <c r="E196" s="1" t="str">
        <v>12/15/2024</v>
      </c>
      <c r="F196" s="1" t="str">
        <v>Receita da venda de recicláveis</v>
      </c>
      <c r="G196" s="1" t="str">
        <v>Plástico</v>
      </c>
      <c r="H196" s="1" t="str">
        <v>PP Ráfia (Sacaria)</v>
      </c>
      <c r="I196" s="1">
        <v>0</v>
      </c>
      <c r="J196" s="1">
        <v>176</v>
      </c>
      <c r="K196" s="1">
        <v>61.6</v>
      </c>
      <c r="L196" s="1">
        <v>0.35</v>
      </c>
      <c r="M196" s="1">
        <v>0</v>
      </c>
    </row>
    <row r="197" spans="1:13">
      <c r="A197" s="1" t="s">
        <v>6</v>
      </c>
      <c r="B197" s="1" t="str">
        <v>UVR 01 - Formosa do Oeste</v>
      </c>
      <c r="C197" s="1" t="str">
        <v>01</v>
      </c>
      <c r="D197" s="1" t="str">
        <v>Formosa do Oeste</v>
      </c>
      <c r="E197" s="1" t="str">
        <v>12/15/2024</v>
      </c>
      <c r="F197" s="1" t="str">
        <v>Receita da venda de recicláveis</v>
      </c>
      <c r="G197" s="1" t="str">
        <v>Plástico</v>
      </c>
      <c r="H197" s="1" t="str">
        <v>PEBD Filme (Sacolinha, Sacos de lixo, Lona Preta)</v>
      </c>
      <c r="I197" s="1">
        <v>0</v>
      </c>
      <c r="J197" s="1">
        <v>435</v>
      </c>
      <c r="K197" s="1">
        <v>304.5</v>
      </c>
      <c r="L197" s="1">
        <v>0.7</v>
      </c>
      <c r="M197" s="1">
        <v>0</v>
      </c>
    </row>
    <row r="198" spans="1:13">
      <c r="A198" s="1" t="s">
        <v>6</v>
      </c>
      <c r="B198" s="1" t="str">
        <v>UVR 01 - Formosa do Oeste</v>
      </c>
      <c r="C198" s="1" t="str">
        <v>01</v>
      </c>
      <c r="D198" s="1" t="str">
        <v>Formosa do Oeste</v>
      </c>
      <c r="E198" s="1" t="str">
        <v>12/15/2024</v>
      </c>
      <c r="F198" s="1" t="str">
        <v>Receita da venda de recicláveis</v>
      </c>
      <c r="G198" s="1" t="str">
        <v>Plástico</v>
      </c>
      <c r="H198" s="1" t="str">
        <v>PP Mineral (Copinho de água mineral)</v>
      </c>
      <c r="I198" s="1">
        <v>0</v>
      </c>
      <c r="J198" s="1">
        <v>49</v>
      </c>
      <c r="K198" s="1">
        <v>49</v>
      </c>
      <c r="L198" s="1">
        <v>1</v>
      </c>
      <c r="M198" s="1">
        <v>0</v>
      </c>
    </row>
    <row r="199" spans="1:13">
      <c r="A199" s="1" t="s">
        <v>6</v>
      </c>
      <c r="B199" s="1" t="str">
        <v>UVR 01 - Formosa do Oeste</v>
      </c>
      <c r="C199" s="1" t="str">
        <v>01</v>
      </c>
      <c r="D199" s="1" t="str">
        <v>Formosa do Oeste</v>
      </c>
      <c r="E199" s="1" t="str">
        <v>12/15/2024</v>
      </c>
      <c r="F199" s="1" t="str">
        <v>Receita da venda de recicláveis</v>
      </c>
      <c r="G199" s="1" t="str">
        <v>Plástico</v>
      </c>
      <c r="H199" s="1" t="str">
        <v>PP Rígido (Balde, bacia, potes de sorvetes, margarina, entre outros)</v>
      </c>
      <c r="I199" s="1">
        <v>0</v>
      </c>
      <c r="J199" s="1">
        <v>182</v>
      </c>
      <c r="K199" s="1">
        <v>327.60000000000002</v>
      </c>
      <c r="L199" s="1">
        <v>1.8</v>
      </c>
      <c r="M199" s="1">
        <v>0</v>
      </c>
    </row>
    <row r="200" spans="1:13">
      <c r="A200" s="1" t="s">
        <v>6</v>
      </c>
      <c r="B200" s="1" t="str">
        <v>UVR 01 - Formosa do Oeste</v>
      </c>
      <c r="C200" s="1" t="str">
        <v>01</v>
      </c>
      <c r="D200" s="1" t="str">
        <v>Formosa do Oeste</v>
      </c>
      <c r="E200" s="1" t="str">
        <v>12/15/2024</v>
      </c>
      <c r="F200" s="1" t="str">
        <v>Receita da venda de recicláveis</v>
      </c>
      <c r="G200" s="1" t="str">
        <v>Plástico</v>
      </c>
      <c r="H200" s="1" t="str">
        <v>PP Rígido (Balde, bacia, potes de sorvetes, margarina, entre outros)</v>
      </c>
      <c r="I200" s="1">
        <v>0</v>
      </c>
      <c r="J200" s="1">
        <v>248</v>
      </c>
      <c r="K200" s="1">
        <v>347.2</v>
      </c>
      <c r="L200" s="1">
        <v>1.4</v>
      </c>
      <c r="M200" s="1">
        <v>0</v>
      </c>
    </row>
    <row r="201" spans="1:13">
      <c r="A201" s="1" t="s">
        <v>6</v>
      </c>
      <c r="B201" s="1" t="str">
        <v>UVR 01 - Formosa do Oeste</v>
      </c>
      <c r="C201" s="1" t="str">
        <v>01</v>
      </c>
      <c r="D201" s="1" t="str">
        <v>Formosa do Oeste</v>
      </c>
      <c r="E201" s="1" t="str">
        <v>12/15/2024</v>
      </c>
      <c r="F201" s="1" t="str">
        <v>Receita da venda de recicláveis</v>
      </c>
      <c r="G201" s="1" t="str">
        <v>Papéis</v>
      </c>
      <c r="H201" s="1" t="str">
        <v>Tetra Pack</v>
      </c>
      <c r="I201" s="1">
        <v>0</v>
      </c>
      <c r="J201" s="1">
        <v>377</v>
      </c>
      <c r="K201" s="1">
        <v>94.25</v>
      </c>
      <c r="L201" s="1">
        <v>0.25</v>
      </c>
      <c r="M201" s="1">
        <v>0</v>
      </c>
    </row>
    <row r="202" spans="1:13">
      <c r="A202" s="1" t="s">
        <v>6</v>
      </c>
      <c r="B202" s="1" t="str">
        <v>UVR 01 - Formosa do Oeste</v>
      </c>
      <c r="C202" s="1" t="str">
        <v>01</v>
      </c>
      <c r="D202" s="1" t="str">
        <v>Formosa do Oeste</v>
      </c>
      <c r="E202" s="1" t="str">
        <v>12/15/2024</v>
      </c>
      <c r="F202" s="1" t="str">
        <v>Receita da venda de recicláveis</v>
      </c>
      <c r="G202" s="1" t="str">
        <v>Plástico</v>
      </c>
      <c r="H202" s="1" t="str">
        <v>PET Cristal (Embalagens de refrigerante transparente)</v>
      </c>
      <c r="I202" s="1">
        <v>0</v>
      </c>
      <c r="J202" s="1">
        <v>1044</v>
      </c>
      <c r="K202" s="1">
        <v>4384.8</v>
      </c>
      <c r="L202" s="1">
        <v>4.2</v>
      </c>
      <c r="M202" s="1">
        <v>0</v>
      </c>
    </row>
    <row r="203" spans="1:13">
      <c r="A203" s="1" t="s">
        <v>6</v>
      </c>
      <c r="B203" s="1" t="str">
        <v>UVR 01 - Formosa do Oeste</v>
      </c>
      <c r="C203" s="1" t="str">
        <v>01</v>
      </c>
      <c r="D203" s="1" t="str">
        <v>Formosa do Oeste</v>
      </c>
      <c r="E203" s="1" t="str">
        <v>12/15/2024</v>
      </c>
      <c r="F203" s="1" t="str">
        <v>Receita da venda de recicláveis</v>
      </c>
      <c r="G203" s="1" t="str">
        <v>Metal</v>
      </c>
      <c r="H203" s="1" t="str">
        <v>Alumínio Latinha</v>
      </c>
      <c r="I203" s="1">
        <v>0</v>
      </c>
      <c r="J203" s="1">
        <v>110</v>
      </c>
      <c r="K203" s="1">
        <v>1100</v>
      </c>
      <c r="L203" s="1">
        <v>10</v>
      </c>
      <c r="M203" s="1">
        <v>0</v>
      </c>
    </row>
    <row r="204" spans="1:13">
      <c r="A204" s="1" t="s">
        <v>6</v>
      </c>
      <c r="B204" s="1" t="str">
        <v>UVR 01 - Formosa do Oeste</v>
      </c>
      <c r="C204" s="1" t="str">
        <v>01</v>
      </c>
      <c r="D204" s="1" t="str">
        <v>Formosa do Oeste</v>
      </c>
      <c r="E204" s="1" t="str">
        <v>12/15/2024</v>
      </c>
      <c r="F204" s="1" t="str">
        <v>Receita da venda de recicláveis</v>
      </c>
      <c r="G204" s="1" t="str">
        <v>Metal</v>
      </c>
      <c r="H204" s="1" t="str">
        <v>Alumínio Panela</v>
      </c>
      <c r="I204" s="1">
        <v>0</v>
      </c>
      <c r="J204" s="1">
        <v>20</v>
      </c>
      <c r="K204" s="1">
        <v>210</v>
      </c>
      <c r="L204" s="1">
        <v>10.5</v>
      </c>
      <c r="M204" s="1">
        <v>0</v>
      </c>
    </row>
    <row r="205" spans="1:13">
      <c r="A205" s="1" t="s">
        <v>6</v>
      </c>
      <c r="B205" s="1" t="str">
        <v>UVR 01 - Formosa do Oeste</v>
      </c>
      <c r="C205" s="1" t="str">
        <v>01</v>
      </c>
      <c r="D205" s="1" t="str">
        <v>Formosa do Oeste</v>
      </c>
      <c r="E205" s="1" t="str">
        <v>12/15/2024</v>
      </c>
      <c r="F205" s="1" t="str">
        <v>Receita da venda de recicláveis</v>
      </c>
      <c r="G205" s="1" t="str">
        <v>Metal</v>
      </c>
      <c r="H205" s="1" t="str">
        <v>Outros Metais</v>
      </c>
      <c r="I205" s="1">
        <v>0</v>
      </c>
      <c r="J205" s="1">
        <v>5</v>
      </c>
      <c r="K205" s="1">
        <v>125</v>
      </c>
      <c r="L205" s="1">
        <v>25</v>
      </c>
      <c r="M205" s="1">
        <v>0</v>
      </c>
    </row>
    <row r="206" spans="1:13">
      <c r="A206" s="1" t="s">
        <v>6</v>
      </c>
      <c r="B206" s="1" t="str">
        <v>UVR 01 - Formosa do Oeste</v>
      </c>
      <c r="C206" s="1" t="str">
        <v>01</v>
      </c>
      <c r="D206" s="1" t="str">
        <v>Formosa do Oeste</v>
      </c>
      <c r="E206" s="1" t="str">
        <v>12/15/2024</v>
      </c>
      <c r="F206" s="1" t="str">
        <v>Receita da venda de recicláveis</v>
      </c>
      <c r="G206" s="1" t="str">
        <v>Metal</v>
      </c>
      <c r="H206" s="1" t="str">
        <v>Sucatas</v>
      </c>
      <c r="I206" s="1">
        <v>0</v>
      </c>
      <c r="J206" s="1">
        <v>380</v>
      </c>
      <c r="K206" s="1">
        <v>247</v>
      </c>
      <c r="L206" s="1">
        <v>0.65</v>
      </c>
      <c r="M206" s="1">
        <v>0</v>
      </c>
    </row>
    <row r="207" spans="1:13">
      <c r="A207" s="1" t="s">
        <v>6</v>
      </c>
      <c r="B207" s="1" t="str">
        <v>UVR 01 - Formosa do Oeste</v>
      </c>
      <c r="C207" s="1" t="str">
        <v>01</v>
      </c>
      <c r="D207" s="1" t="str">
        <v>Formosa do Oeste</v>
      </c>
      <c r="E207" s="1" t="str">
        <v>12/15/2024</v>
      </c>
      <c r="F207" s="1" t="str">
        <v>Rejeito</v>
      </c>
      <c r="G207" s="1" t="str">
        <v>Rejeito</v>
      </c>
      <c r="H207" s="1" t="str">
        <v>null</v>
      </c>
      <c r="I207" s="1">
        <v>0</v>
      </c>
      <c r="J207" s="1">
        <v>4030</v>
      </c>
      <c r="K207" s="1">
        <v>0</v>
      </c>
      <c r="L207" s="1">
        <v>0</v>
      </c>
      <c r="M207" s="1">
        <v>0</v>
      </c>
    </row>
    <row r="208" spans="1:13">
      <c r="A208" s="8" t="s">
        <v>18</v>
      </c>
      <c r="B208" s="8" t="s">
        <v>570</v>
      </c>
      <c r="C208" s="9" t="s">
        <v>20</v>
      </c>
      <c r="D208" s="8" t="s">
        <v>19</v>
      </c>
      <c r="E208" s="8" t="s">
        <v>570</v>
      </c>
      <c r="F208" s="8" t="s">
        <v>570</v>
      </c>
      <c r="G208" s="8" t="s">
        <v>570</v>
      </c>
      <c r="H208" s="8" t="s">
        <v>570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</row>
    <row r="209" spans="1:13">
      <c r="A209" s="1" t="s">
        <v>6</v>
      </c>
      <c r="B209" s="1" t="str" cm="1">
        <f t="array" ref="B209:M223">_xlfn._xlws.FILTER(
    'Micro Dados - Todos'!$A$2:$L$20000,
    ('Micro Dados - Todos'!$C$2:$C$20000=Lacunas!B9) *
    ('Micro Dados - Todos'!$B$2:$B$20000=Lacunas!C9) *
    ('Micro Dados - Todos'!$D$2:$D$20000=Lacunas!F9)
)</f>
        <v>UVR 01 - Jesuítas</v>
      </c>
      <c r="C209" s="1" t="str">
        <v>01</v>
      </c>
      <c r="D209" s="1" t="str">
        <v>Jesuítas</v>
      </c>
      <c r="E209" s="1" t="str">
        <v>12/15/2024</v>
      </c>
      <c r="F209" s="1" t="str">
        <v>Receita da prestação de serviços</v>
      </c>
      <c r="G209" s="1" t="str">
        <v>Contratos</v>
      </c>
      <c r="H209" s="1" t="str">
        <v>null</v>
      </c>
      <c r="I209" s="1">
        <v>0</v>
      </c>
      <c r="J209" s="1">
        <v>0</v>
      </c>
      <c r="K209" s="1">
        <v>14549.25</v>
      </c>
      <c r="L209" s="1">
        <v>0</v>
      </c>
      <c r="M209" s="1">
        <v>0</v>
      </c>
    </row>
    <row r="210" spans="1:13">
      <c r="A210" s="1" t="s">
        <v>6</v>
      </c>
      <c r="B210" s="1" t="str">
        <v>UVR 01 - Jesuítas</v>
      </c>
      <c r="C210" s="1" t="str">
        <v>01</v>
      </c>
      <c r="D210" s="1" t="str">
        <v>Jesuítas</v>
      </c>
      <c r="E210" s="1" t="str">
        <v>12/15/2024</v>
      </c>
      <c r="F210" s="1" t="str">
        <v>Rejeito</v>
      </c>
      <c r="G210" s="1" t="str">
        <v>Rejeito</v>
      </c>
      <c r="H210" s="1" t="str">
        <v>null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pans="1:13">
      <c r="A211" s="1" t="s">
        <v>6</v>
      </c>
      <c r="B211" s="1" t="str">
        <v>UVR 01 - Jesuítas</v>
      </c>
      <c r="C211" s="1" t="str">
        <v>01</v>
      </c>
      <c r="D211" s="1" t="str">
        <v>Jesuítas</v>
      </c>
      <c r="E211" s="1" t="str">
        <v>12/15/2024</v>
      </c>
      <c r="F211" s="1" t="str">
        <v>Receita da venda de recicláveis</v>
      </c>
      <c r="G211" s="1" t="str">
        <v>Papéis</v>
      </c>
      <c r="H211" s="1" t="str">
        <v>Papelão</v>
      </c>
      <c r="I211" s="1">
        <v>0</v>
      </c>
      <c r="J211" s="1">
        <v>9241</v>
      </c>
      <c r="K211" s="1">
        <v>6468.7</v>
      </c>
      <c r="L211" s="1">
        <v>0.7</v>
      </c>
      <c r="M211" s="1">
        <v>0</v>
      </c>
    </row>
    <row r="212" spans="1:13">
      <c r="A212" s="1" t="s">
        <v>6</v>
      </c>
      <c r="B212" s="1" t="str">
        <v>UVR 01 - Jesuítas</v>
      </c>
      <c r="C212" s="1" t="str">
        <v>01</v>
      </c>
      <c r="D212" s="1" t="str">
        <v>Jesuítas</v>
      </c>
      <c r="E212" s="1" t="str">
        <v>12/15/2024</v>
      </c>
      <c r="F212" s="1" t="str">
        <v>Receita da venda de recicláveis</v>
      </c>
      <c r="G212" s="1" t="str">
        <v>Plástico</v>
      </c>
      <c r="H212" s="1" t="str">
        <v>PEBD Filme (Sacolinha, Sacos de lixo, Lona Preta)</v>
      </c>
      <c r="I212" s="1">
        <v>0</v>
      </c>
      <c r="J212" s="1">
        <v>2103</v>
      </c>
      <c r="K212" s="1">
        <v>2103</v>
      </c>
      <c r="L212" s="1">
        <v>1</v>
      </c>
      <c r="M212" s="1">
        <v>0</v>
      </c>
    </row>
    <row r="213" spans="1:13">
      <c r="A213" s="1" t="s">
        <v>6</v>
      </c>
      <c r="B213" s="1" t="str">
        <v>UVR 01 - Jesuítas</v>
      </c>
      <c r="C213" s="1" t="str">
        <v>01</v>
      </c>
      <c r="D213" s="1" t="str">
        <v>Jesuítas</v>
      </c>
      <c r="E213" s="1" t="str">
        <v>12/15/2024</v>
      </c>
      <c r="F213" s="1" t="str">
        <v>Receita da venda de recicláveis</v>
      </c>
      <c r="G213" s="1" t="str">
        <v>Plástico</v>
      </c>
      <c r="H213" s="1" t="str">
        <v>PEAD Filme (Cristal)</v>
      </c>
      <c r="I213" s="1">
        <v>0</v>
      </c>
      <c r="J213" s="1">
        <v>1815</v>
      </c>
      <c r="K213" s="1">
        <v>2722.5</v>
      </c>
      <c r="L213" s="1">
        <v>1.5</v>
      </c>
      <c r="M213" s="1">
        <v>0</v>
      </c>
    </row>
    <row r="214" spans="1:13">
      <c r="A214" s="1" t="s">
        <v>6</v>
      </c>
      <c r="B214" s="1" t="str">
        <v>UVR 01 - Jesuítas</v>
      </c>
      <c r="C214" s="1" t="str">
        <v>01</v>
      </c>
      <c r="D214" s="1" t="str">
        <v>Jesuítas</v>
      </c>
      <c r="E214" s="1" t="str">
        <v>12/15/2024</v>
      </c>
      <c r="F214" s="1" t="str">
        <v>Receita da venda de recicláveis</v>
      </c>
      <c r="G214" s="1" t="str">
        <v>Plástico</v>
      </c>
      <c r="H214" s="1" t="str">
        <v>PET Cristal (Embalagens de refrigerante transparente)</v>
      </c>
      <c r="I214" s="1">
        <v>0</v>
      </c>
      <c r="J214" s="1">
        <v>2110</v>
      </c>
      <c r="K214" s="1">
        <v>8440</v>
      </c>
      <c r="L214" s="1">
        <v>4</v>
      </c>
      <c r="M214" s="1">
        <v>0</v>
      </c>
    </row>
    <row r="215" spans="1:13">
      <c r="A215" s="1" t="s">
        <v>6</v>
      </c>
      <c r="B215" s="1" t="str">
        <v>UVR 01 - Jesuítas</v>
      </c>
      <c r="C215" s="1" t="str">
        <v>01</v>
      </c>
      <c r="D215" s="1" t="str">
        <v>Jesuítas</v>
      </c>
      <c r="E215" s="1" t="str">
        <v>12/15/2024</v>
      </c>
      <c r="F215" s="1" t="str">
        <v>Receita da venda de recicláveis</v>
      </c>
      <c r="G215" s="1" t="str">
        <v>Papéis</v>
      </c>
      <c r="H215" s="1" t="str">
        <v>Tetra Pack</v>
      </c>
      <c r="I215" s="1">
        <v>0</v>
      </c>
      <c r="J215" s="1">
        <v>840</v>
      </c>
      <c r="K215" s="1">
        <v>336</v>
      </c>
      <c r="L215" s="1">
        <v>0.4</v>
      </c>
      <c r="M215" s="1">
        <v>0</v>
      </c>
    </row>
    <row r="216" spans="1:13">
      <c r="A216" s="1" t="s">
        <v>6</v>
      </c>
      <c r="B216" s="1" t="str">
        <v>UVR 01 - Jesuítas</v>
      </c>
      <c r="C216" s="1" t="str">
        <v>01</v>
      </c>
      <c r="D216" s="1" t="str">
        <v>Jesuítas</v>
      </c>
      <c r="E216" s="1" t="str">
        <v>12/15/2024</v>
      </c>
      <c r="F216" s="1" t="str">
        <v>Receita da venda de recicláveis</v>
      </c>
      <c r="G216" s="1" t="str">
        <v>Plástico</v>
      </c>
      <c r="H216" s="1" t="str">
        <v>PET Colorido (Embalagens de PET colorido, PET bagunça)</v>
      </c>
      <c r="I216" s="1">
        <v>0</v>
      </c>
      <c r="J216" s="1">
        <v>1043</v>
      </c>
      <c r="K216" s="1">
        <v>2607.5</v>
      </c>
      <c r="L216" s="1">
        <v>2.5</v>
      </c>
      <c r="M216" s="1">
        <v>0</v>
      </c>
    </row>
    <row r="217" spans="1:13">
      <c r="A217" s="1" t="s">
        <v>6</v>
      </c>
      <c r="B217" s="1" t="str">
        <v>UVR 01 - Jesuítas</v>
      </c>
      <c r="C217" s="1" t="str">
        <v>01</v>
      </c>
      <c r="D217" s="1" t="str">
        <v>Jesuítas</v>
      </c>
      <c r="E217" s="1" t="str">
        <v>12/15/2024</v>
      </c>
      <c r="F217" s="1" t="str">
        <v>Receita da venda de recicláveis</v>
      </c>
      <c r="G217" s="1" t="str">
        <v>Plástico</v>
      </c>
      <c r="H217" s="1" t="str">
        <v>PP Rígido (Balde, bacia, potes de sorvetes, margarina, entre outros)</v>
      </c>
      <c r="I217" s="1">
        <v>0</v>
      </c>
      <c r="J217" s="1">
        <v>913</v>
      </c>
      <c r="K217" s="1">
        <v>1643.4</v>
      </c>
      <c r="L217" s="1">
        <v>1.8</v>
      </c>
      <c r="M217" s="1">
        <v>0</v>
      </c>
    </row>
    <row r="218" spans="1:13">
      <c r="A218" s="1" t="s">
        <v>6</v>
      </c>
      <c r="B218" s="1" t="str">
        <v>UVR 01 - Jesuítas</v>
      </c>
      <c r="C218" s="1" t="str">
        <v>01</v>
      </c>
      <c r="D218" s="1" t="str">
        <v>Jesuítas</v>
      </c>
      <c r="E218" s="1" t="str">
        <v>12/15/2024</v>
      </c>
      <c r="F218" s="1" t="str">
        <v>Receita da venda de recicláveis</v>
      </c>
      <c r="G218" s="1" t="str">
        <v>Plástico</v>
      </c>
      <c r="H218" s="1" t="str">
        <v>PP Rígido (Balde, bacia, potes de sorvetes, margarina, entre outros)</v>
      </c>
      <c r="I218" s="1">
        <v>0</v>
      </c>
      <c r="J218" s="1">
        <v>1317</v>
      </c>
      <c r="K218" s="1">
        <v>1843.8</v>
      </c>
      <c r="L218" s="1">
        <v>1.4</v>
      </c>
      <c r="M218" s="1">
        <v>0</v>
      </c>
    </row>
    <row r="219" spans="1:13">
      <c r="A219" s="1" t="s">
        <v>6</v>
      </c>
      <c r="B219" s="1" t="str">
        <v>UVR 01 - Jesuítas</v>
      </c>
      <c r="C219" s="1" t="str">
        <v>01</v>
      </c>
      <c r="D219" s="1" t="str">
        <v>Jesuítas</v>
      </c>
      <c r="E219" s="1" t="str">
        <v>12/15/2024</v>
      </c>
      <c r="F219" s="1" t="str">
        <v>Receita da venda de recicláveis</v>
      </c>
      <c r="G219" s="1" t="str">
        <v>Papéis</v>
      </c>
      <c r="H219" s="1" t="str">
        <v>Papel Branco</v>
      </c>
      <c r="I219" s="1">
        <v>0</v>
      </c>
      <c r="J219" s="1">
        <v>1024</v>
      </c>
      <c r="K219" s="1">
        <v>614.4</v>
      </c>
      <c r="L219" s="1">
        <v>0.6</v>
      </c>
      <c r="M219" s="1">
        <v>0</v>
      </c>
    </row>
    <row r="220" spans="1:13">
      <c r="A220" s="1" t="s">
        <v>6</v>
      </c>
      <c r="B220" s="1" t="str">
        <v>UVR 01 - Jesuítas</v>
      </c>
      <c r="C220" s="1" t="str">
        <v>01</v>
      </c>
      <c r="D220" s="1" t="str">
        <v>Jesuítas</v>
      </c>
      <c r="E220" s="1" t="str">
        <v>12/15/2024</v>
      </c>
      <c r="F220" s="1" t="str">
        <v>Receita da venda de recicláveis</v>
      </c>
      <c r="G220" s="1" t="str">
        <v>Plástico</v>
      </c>
      <c r="H220" s="1" t="str">
        <v>PEBD Filme (Sacolinha, Sacos de lixo, Lona Preta)</v>
      </c>
      <c r="I220" s="1">
        <v>0</v>
      </c>
      <c r="J220" s="1">
        <v>654</v>
      </c>
      <c r="K220" s="1">
        <v>457.8</v>
      </c>
      <c r="L220" s="1">
        <v>0.7</v>
      </c>
      <c r="M220" s="1">
        <v>0</v>
      </c>
    </row>
    <row r="221" spans="1:13">
      <c r="A221" s="1" t="s">
        <v>6</v>
      </c>
      <c r="B221" s="1" t="str">
        <v>UVR 01 - Jesuítas</v>
      </c>
      <c r="C221" s="1" t="str">
        <v>01</v>
      </c>
      <c r="D221" s="1" t="str">
        <v>Jesuítas</v>
      </c>
      <c r="E221" s="1" t="str">
        <v>12/15/2024</v>
      </c>
      <c r="F221" s="1" t="str">
        <v>Receita da venda de recicláveis</v>
      </c>
      <c r="G221" s="1" t="str">
        <v>Plástico</v>
      </c>
      <c r="H221" s="1" t="str">
        <v>ABS (Carcaça de televisor, computador e eletrodomésticos)</v>
      </c>
      <c r="I221" s="1">
        <v>0</v>
      </c>
      <c r="J221" s="1">
        <v>675</v>
      </c>
      <c r="K221" s="1">
        <v>675</v>
      </c>
      <c r="L221" s="1">
        <v>1</v>
      </c>
      <c r="M221" s="1">
        <v>0</v>
      </c>
    </row>
    <row r="222" spans="1:13">
      <c r="A222" s="1" t="s">
        <v>6</v>
      </c>
      <c r="B222" s="1" t="str">
        <v>UVR 01 - Jesuítas</v>
      </c>
      <c r="C222" s="1" t="str">
        <v>01</v>
      </c>
      <c r="D222" s="1" t="str">
        <v>Jesuítas</v>
      </c>
      <c r="E222" s="1" t="str">
        <v>12/15/2024</v>
      </c>
      <c r="F222" s="1" t="str">
        <v>Receita da venda de recicláveis</v>
      </c>
      <c r="G222" s="1" t="str">
        <v>Metal</v>
      </c>
      <c r="H222" s="1" t="str">
        <v>Alumínio Latinha</v>
      </c>
      <c r="I222" s="1">
        <v>0</v>
      </c>
      <c r="J222" s="1">
        <v>185</v>
      </c>
      <c r="K222" s="1">
        <v>1572.5</v>
      </c>
      <c r="L222" s="1">
        <v>8.5</v>
      </c>
      <c r="M222" s="1">
        <v>0</v>
      </c>
    </row>
    <row r="223" spans="1:13">
      <c r="A223" s="1" t="s">
        <v>6</v>
      </c>
      <c r="B223" s="1" t="str">
        <v>UVR 01 - Jesuítas</v>
      </c>
      <c r="C223" s="1" t="str">
        <v>01</v>
      </c>
      <c r="D223" s="1" t="str">
        <v>Jesuítas</v>
      </c>
      <c r="E223" s="1" t="str">
        <v>12/15/2024</v>
      </c>
      <c r="F223" s="1" t="str">
        <v>Receita da venda de recicláveis</v>
      </c>
      <c r="G223" s="1" t="str">
        <v>Plástico</v>
      </c>
      <c r="H223" s="1" t="str">
        <v>PEAD (Embalagens de produtos de limpeza)</v>
      </c>
      <c r="I223" s="1">
        <v>0</v>
      </c>
      <c r="J223" s="1">
        <v>8674</v>
      </c>
      <c r="K223" s="1">
        <v>3469.6</v>
      </c>
      <c r="L223" s="1">
        <v>0.4</v>
      </c>
      <c r="M223" s="1">
        <v>0</v>
      </c>
    </row>
    <row r="224" spans="1:13">
      <c r="A224" s="1" t="s">
        <v>22</v>
      </c>
      <c r="B224" s="1" t="str" cm="1">
        <f t="array" ref="B224:M272">_xlfn._xlws.FILTER(
    'Micro Dados - Todos'!$A$2:$L$20000,
    ('Micro Dados - Todos'!$C$2:$C$20000=Lacunas!B10) *
    ('Micro Dados - Todos'!$B$2:$B$20000=Lacunas!C10) *
    ('Micro Dados - Todos'!$D$2:$D$20000=Lacunas!F10)
)</f>
        <v>UVR 01 - Marechal Candido Rondon</v>
      </c>
      <c r="C224" s="1" t="str">
        <v>01</v>
      </c>
      <c r="D224" s="1" t="str">
        <v>Marechal Candido Rondon</v>
      </c>
      <c r="E224" s="1" t="str">
        <v>12/15/2024</v>
      </c>
      <c r="F224" s="1" t="str">
        <v>Receita da prestação de serviços</v>
      </c>
      <c r="G224" s="1" t="str">
        <v>Contratos</v>
      </c>
      <c r="H224" s="1">
        <v>0</v>
      </c>
      <c r="I224" s="1">
        <v>0</v>
      </c>
      <c r="J224" s="1">
        <v>0</v>
      </c>
      <c r="K224" s="1">
        <v>76402.320000000007</v>
      </c>
      <c r="L224" s="1">
        <v>0</v>
      </c>
      <c r="M224" s="1">
        <v>0</v>
      </c>
    </row>
    <row r="225" spans="1:13">
      <c r="A225" s="1" t="s">
        <v>22</v>
      </c>
      <c r="B225" s="1" t="str">
        <v>UVR 01 - Marechal Candido Rondon</v>
      </c>
      <c r="C225" s="1" t="str">
        <v>01</v>
      </c>
      <c r="D225" s="1" t="str">
        <v>Marechal Candido Rondon</v>
      </c>
      <c r="E225" s="1" t="str">
        <v>12/15/2024</v>
      </c>
      <c r="F225" s="1" t="str">
        <v>Rejeito</v>
      </c>
      <c r="G225" s="1" t="str">
        <v>Rejeito</v>
      </c>
      <c r="H225" s="1">
        <v>0</v>
      </c>
      <c r="I225" s="1">
        <v>0</v>
      </c>
      <c r="J225" s="1">
        <v>29740</v>
      </c>
      <c r="K225" s="1">
        <v>0</v>
      </c>
      <c r="L225" s="1">
        <v>0</v>
      </c>
      <c r="M225" s="1">
        <v>0</v>
      </c>
    </row>
    <row r="226" spans="1:13">
      <c r="A226" s="1" t="s">
        <v>22</v>
      </c>
      <c r="B226" s="1" t="str">
        <v>UVR 01 - Marechal Candido Rondon</v>
      </c>
      <c r="C226" s="1" t="str">
        <v>01</v>
      </c>
      <c r="D226" s="1" t="str">
        <v>Marechal Candido Rondon</v>
      </c>
      <c r="E226" s="1" t="str">
        <v>12/15/2024</v>
      </c>
      <c r="F226" s="1" t="str">
        <v>Receita da venda de recicláveis</v>
      </c>
      <c r="G226" s="1" t="str">
        <v>Metal</v>
      </c>
      <c r="H226" s="1" t="str">
        <v>Alumínio Latinha</v>
      </c>
      <c r="I226" s="1">
        <v>0</v>
      </c>
      <c r="J226" s="1">
        <v>221</v>
      </c>
      <c r="K226" s="1">
        <v>2013</v>
      </c>
      <c r="L226" s="1">
        <v>9.11</v>
      </c>
      <c r="M226" s="1">
        <v>0</v>
      </c>
    </row>
    <row r="227" spans="1:13">
      <c r="A227" s="1" t="s">
        <v>22</v>
      </c>
      <c r="B227" s="1" t="str">
        <v>UVR 01 - Marechal Candido Rondon</v>
      </c>
      <c r="C227" s="1" t="str">
        <v>01</v>
      </c>
      <c r="D227" s="1" t="str">
        <v>Marechal Candido Rondon</v>
      </c>
      <c r="E227" s="1" t="str">
        <v>12/15/2024</v>
      </c>
      <c r="F227" s="1" t="str">
        <v>Receita da venda de recicláveis</v>
      </c>
      <c r="G227" s="1" t="str">
        <v>Metal</v>
      </c>
      <c r="H227" s="1" t="str">
        <v>Alumínio Panela</v>
      </c>
      <c r="I227" s="1">
        <v>0</v>
      </c>
      <c r="J227" s="1">
        <v>91.2</v>
      </c>
      <c r="K227" s="1">
        <v>866.4</v>
      </c>
      <c r="L227" s="1">
        <v>9.5</v>
      </c>
      <c r="M227" s="1">
        <v>0</v>
      </c>
    </row>
    <row r="228" spans="1:13">
      <c r="A228" s="1" t="s">
        <v>22</v>
      </c>
      <c r="B228" s="1" t="str">
        <v>UVR 01 - Marechal Candido Rondon</v>
      </c>
      <c r="C228" s="1" t="str">
        <v>01</v>
      </c>
      <c r="D228" s="1" t="str">
        <v>Marechal Candido Rondon</v>
      </c>
      <c r="E228" s="1" t="str">
        <v>12/15/2024</v>
      </c>
      <c r="F228" s="1" t="str">
        <v>Receita da venda de recicláveis</v>
      </c>
      <c r="G228" s="1" t="str">
        <v>Metal</v>
      </c>
      <c r="H228" s="1" t="str">
        <v>Cobre Limpo</v>
      </c>
      <c r="I228" s="1">
        <v>0</v>
      </c>
      <c r="J228" s="1">
        <v>161.1</v>
      </c>
      <c r="K228" s="1">
        <v>2257</v>
      </c>
      <c r="L228" s="1">
        <v>14.01</v>
      </c>
      <c r="M228" s="1">
        <v>0</v>
      </c>
    </row>
    <row r="229" spans="1:13">
      <c r="A229" s="1" t="s">
        <v>22</v>
      </c>
      <c r="B229" s="1" t="str">
        <v>UVR 01 - Marechal Candido Rondon</v>
      </c>
      <c r="C229" s="1" t="str">
        <v>01</v>
      </c>
      <c r="D229" s="1" t="str">
        <v>Marechal Candido Rondon</v>
      </c>
      <c r="E229" s="1" t="str">
        <v>12/15/2024</v>
      </c>
      <c r="F229" s="1" t="str">
        <v>Receita da venda de recicláveis</v>
      </c>
      <c r="G229" s="1" t="str">
        <v>Plástico</v>
      </c>
      <c r="H229" s="1" t="str">
        <v>PEAD Filme (Cristal)</v>
      </c>
      <c r="I229" s="1">
        <v>0</v>
      </c>
      <c r="J229" s="1">
        <v>1851</v>
      </c>
      <c r="K229" s="1">
        <v>2776.5</v>
      </c>
      <c r="L229" s="1">
        <v>1.5</v>
      </c>
      <c r="M229" s="1">
        <v>0</v>
      </c>
    </row>
    <row r="230" spans="1:13">
      <c r="A230" s="1" t="s">
        <v>22</v>
      </c>
      <c r="B230" s="1" t="str">
        <v>UVR 01 - Marechal Candido Rondon</v>
      </c>
      <c r="C230" s="1" t="str">
        <v>01</v>
      </c>
      <c r="D230" s="1" t="str">
        <v>Marechal Candido Rondon</v>
      </c>
      <c r="E230" s="1" t="str">
        <v>12/15/2024</v>
      </c>
      <c r="F230" s="1" t="str">
        <v>Receita da venda de recicláveis</v>
      </c>
      <c r="G230" s="1" t="str">
        <v>Plástico</v>
      </c>
      <c r="H230" s="1" t="str">
        <v>PET Colorido (Embalagens de PET colorido, PET bagunça)</v>
      </c>
      <c r="I230" s="1">
        <v>0</v>
      </c>
      <c r="J230" s="1">
        <v>139</v>
      </c>
      <c r="K230" s="1">
        <v>27.8</v>
      </c>
      <c r="L230" s="1">
        <v>0.2</v>
      </c>
      <c r="M230" s="1">
        <v>0</v>
      </c>
    </row>
    <row r="231" spans="1:13">
      <c r="A231" s="1" t="s">
        <v>22</v>
      </c>
      <c r="B231" s="1" t="str">
        <v>UVR 01 - Marechal Candido Rondon</v>
      </c>
      <c r="C231" s="1" t="str">
        <v>01</v>
      </c>
      <c r="D231" s="1" t="str">
        <v>Marechal Candido Rondon</v>
      </c>
      <c r="E231" s="1" t="str">
        <v>12/15/2024</v>
      </c>
      <c r="F231" s="1" t="str">
        <v>Receita da venda de recicláveis</v>
      </c>
      <c r="G231" s="1" t="str">
        <v>Papéis</v>
      </c>
      <c r="H231" s="1" t="str">
        <v>Papel Branco</v>
      </c>
      <c r="I231" s="1">
        <v>0</v>
      </c>
      <c r="J231" s="1">
        <v>13295</v>
      </c>
      <c r="K231" s="1">
        <v>6887.7</v>
      </c>
      <c r="L231" s="1">
        <v>0.52</v>
      </c>
      <c r="M231" s="1">
        <v>0</v>
      </c>
    </row>
    <row r="232" spans="1:13">
      <c r="A232" s="1" t="s">
        <v>22</v>
      </c>
      <c r="B232" s="1" t="str">
        <v>UVR 01 - Marechal Candido Rondon</v>
      </c>
      <c r="C232" s="1" t="str">
        <v>01</v>
      </c>
      <c r="D232" s="1" t="str">
        <v>Marechal Candido Rondon</v>
      </c>
      <c r="E232" s="1" t="str">
        <v>12/15/2024</v>
      </c>
      <c r="F232" s="1" t="str">
        <v>Receita da venda de recicláveis</v>
      </c>
      <c r="G232" s="1" t="str">
        <v>Papéis</v>
      </c>
      <c r="H232" s="1" t="str">
        <v>Papel Cimento</v>
      </c>
      <c r="I232" s="1">
        <v>0</v>
      </c>
      <c r="J232" s="1">
        <v>8834</v>
      </c>
      <c r="K232" s="1">
        <v>2269.75</v>
      </c>
      <c r="L232" s="1">
        <v>0.26</v>
      </c>
      <c r="M232" s="1">
        <v>0</v>
      </c>
    </row>
    <row r="233" spans="1:13">
      <c r="A233" s="1" t="s">
        <v>22</v>
      </c>
      <c r="B233" s="1" t="str">
        <v>UVR 01 - Marechal Candido Rondon</v>
      </c>
      <c r="C233" s="1" t="str">
        <v>01</v>
      </c>
      <c r="D233" s="1" t="str">
        <v>Marechal Candido Rondon</v>
      </c>
      <c r="E233" s="1" t="str">
        <v>12/15/2024</v>
      </c>
      <c r="F233" s="1" t="str">
        <v>Receita da venda de recicláveis</v>
      </c>
      <c r="G233" s="1" t="str">
        <v>Papéis</v>
      </c>
      <c r="H233" s="1" t="str">
        <v>Papel Misto</v>
      </c>
      <c r="I233" s="1">
        <v>0</v>
      </c>
      <c r="J233" s="1">
        <v>13130.8</v>
      </c>
      <c r="K233" s="1">
        <v>3248.82</v>
      </c>
      <c r="L233" s="1">
        <v>0.25</v>
      </c>
      <c r="M233" s="1">
        <v>0</v>
      </c>
    </row>
    <row r="234" spans="1:13">
      <c r="A234" s="1" t="s">
        <v>22</v>
      </c>
      <c r="B234" s="1" t="str">
        <v>UVR 01 - Marechal Candido Rondon</v>
      </c>
      <c r="C234" s="1" t="str">
        <v>01</v>
      </c>
      <c r="D234" s="1" t="str">
        <v>Marechal Candido Rondon</v>
      </c>
      <c r="E234" s="1" t="str">
        <v>12/15/2024</v>
      </c>
      <c r="F234" s="1" t="str">
        <v>Receita da venda de recicláveis</v>
      </c>
      <c r="G234" s="1" t="str">
        <v>Papéis</v>
      </c>
      <c r="H234" s="1" t="str">
        <v>Papelão</v>
      </c>
      <c r="I234" s="1">
        <v>0</v>
      </c>
      <c r="J234" s="1">
        <v>43562</v>
      </c>
      <c r="K234" s="1">
        <v>20185.52</v>
      </c>
      <c r="L234" s="1">
        <v>0.46</v>
      </c>
      <c r="M234" s="1">
        <v>0</v>
      </c>
    </row>
    <row r="235" spans="1:13">
      <c r="A235" s="1" t="s">
        <v>22</v>
      </c>
      <c r="B235" s="1" t="str">
        <v>UVR 01 - Marechal Candido Rondon</v>
      </c>
      <c r="C235" s="1" t="str">
        <v>01</v>
      </c>
      <c r="D235" s="1" t="str">
        <v>Marechal Candido Rondon</v>
      </c>
      <c r="E235" s="1" t="str">
        <v>12/15/2024</v>
      </c>
      <c r="F235" s="1" t="str">
        <v>Receita da venda de recicláveis</v>
      </c>
      <c r="G235" s="1" t="str">
        <v>Plástico</v>
      </c>
      <c r="H235" s="1" t="str">
        <v>PEAD (Embalagens de produtos de limpeza)</v>
      </c>
      <c r="I235" s="1">
        <v>0</v>
      </c>
      <c r="J235" s="1">
        <v>1200</v>
      </c>
      <c r="K235" s="1">
        <v>3031</v>
      </c>
      <c r="L235" s="1">
        <v>2.5299999999999998</v>
      </c>
      <c r="M235" s="1">
        <v>0</v>
      </c>
    </row>
    <row r="236" spans="1:13">
      <c r="A236" s="1" t="s">
        <v>22</v>
      </c>
      <c r="B236" s="1" t="str">
        <v>UVR 01 - Marechal Candido Rondon</v>
      </c>
      <c r="C236" s="1" t="str">
        <v>01</v>
      </c>
      <c r="D236" s="1" t="str">
        <v>Marechal Candido Rondon</v>
      </c>
      <c r="E236" s="1" t="str">
        <v>12/15/2024</v>
      </c>
      <c r="F236" s="1" t="str">
        <v>Receita da venda de recicláveis</v>
      </c>
      <c r="G236" s="1" t="str">
        <v>Plástico</v>
      </c>
      <c r="H236" s="1" t="str">
        <v>PET Cristal (Embalagens de refrigerante transparente)</v>
      </c>
      <c r="I236" s="1">
        <v>0</v>
      </c>
      <c r="J236" s="1">
        <v>3024</v>
      </c>
      <c r="K236" s="1">
        <v>12096</v>
      </c>
      <c r="L236" s="1">
        <v>4</v>
      </c>
      <c r="M236" s="1">
        <v>0</v>
      </c>
    </row>
    <row r="237" spans="1:13">
      <c r="A237" s="1" t="s">
        <v>22</v>
      </c>
      <c r="B237" s="1" t="str">
        <v>UVR 01 - Marechal Candido Rondon</v>
      </c>
      <c r="C237" s="1" t="str">
        <v>01</v>
      </c>
      <c r="D237" s="1" t="str">
        <v>Marechal Candido Rondon</v>
      </c>
      <c r="E237" s="1" t="str">
        <v>12/15/2024</v>
      </c>
      <c r="F237" s="1" t="str">
        <v>Receita da venda de recicláveis</v>
      </c>
      <c r="G237" s="1" t="str">
        <v>Plástico</v>
      </c>
      <c r="H237" s="1" t="str">
        <v>PP Rígido (Balde, bacia, potes de sorvetes, margarina, entre outros)</v>
      </c>
      <c r="I237" s="1">
        <v>0</v>
      </c>
      <c r="J237" s="1">
        <v>2028</v>
      </c>
      <c r="K237" s="1">
        <v>2863.8</v>
      </c>
      <c r="L237" s="1">
        <v>1.41</v>
      </c>
      <c r="M237" s="1">
        <v>0</v>
      </c>
    </row>
    <row r="238" spans="1:13">
      <c r="A238" s="1" t="s">
        <v>22</v>
      </c>
      <c r="B238" s="1" t="str">
        <v>UVR 01 - Marechal Candido Rondon</v>
      </c>
      <c r="C238" s="1" t="str">
        <v>01</v>
      </c>
      <c r="D238" s="1" t="str">
        <v>Marechal Candido Rondon</v>
      </c>
      <c r="E238" s="1" t="str">
        <v>12/15/2024</v>
      </c>
      <c r="F238" s="1" t="str">
        <v>Receita da venda de recicláveis</v>
      </c>
      <c r="G238" s="1" t="str">
        <v>Plástico</v>
      </c>
      <c r="H238" s="1" t="str">
        <v>PP Mineral (Copinho de água mineral)</v>
      </c>
      <c r="I238" s="1">
        <v>0</v>
      </c>
      <c r="J238" s="1">
        <v>392</v>
      </c>
      <c r="K238" s="1">
        <v>392</v>
      </c>
      <c r="L238" s="1">
        <v>1</v>
      </c>
      <c r="M238" s="1">
        <v>0</v>
      </c>
    </row>
    <row r="239" spans="1:13">
      <c r="A239" s="1" t="s">
        <v>22</v>
      </c>
      <c r="B239" s="1" t="str">
        <v>UVR 01 - Marechal Candido Rondon</v>
      </c>
      <c r="C239" s="1" t="str">
        <v>01</v>
      </c>
      <c r="D239" s="1" t="str">
        <v>Marechal Candido Rondon</v>
      </c>
      <c r="E239" s="1" t="str">
        <v>12/15/2024</v>
      </c>
      <c r="F239" s="1" t="str">
        <v>Receita da venda de recicláveis</v>
      </c>
      <c r="G239" s="1" t="str">
        <v>Plástico</v>
      </c>
      <c r="H239" s="1" t="str">
        <v>PP Ráfia (Sacaria)</v>
      </c>
      <c r="I239" s="1">
        <v>0</v>
      </c>
      <c r="J239" s="1">
        <v>383</v>
      </c>
      <c r="K239" s="1">
        <v>114.9</v>
      </c>
      <c r="L239" s="1">
        <v>0.3</v>
      </c>
      <c r="M239" s="1">
        <v>0</v>
      </c>
    </row>
    <row r="240" spans="1:13">
      <c r="A240" s="1" t="s">
        <v>22</v>
      </c>
      <c r="B240" s="1" t="str">
        <v>UVR 01 - Marechal Candido Rondon</v>
      </c>
      <c r="C240" s="1" t="str">
        <v>01</v>
      </c>
      <c r="D240" s="1" t="str">
        <v>Marechal Candido Rondon</v>
      </c>
      <c r="E240" s="1" t="str">
        <v>12/15/2024</v>
      </c>
      <c r="F240" s="1" t="str">
        <v>Receita da venda de recicláveis</v>
      </c>
      <c r="G240" s="1" t="str">
        <v>Plástico</v>
      </c>
      <c r="H240" s="1" t="str">
        <v>PEBD Filme (Sacolinha, Sacos de lixo, Lona Preta)</v>
      </c>
      <c r="I240" s="1">
        <v>0</v>
      </c>
      <c r="J240" s="1">
        <v>5473</v>
      </c>
      <c r="K240" s="1">
        <v>4288.8</v>
      </c>
      <c r="L240" s="1">
        <v>0.78</v>
      </c>
      <c r="M240" s="1">
        <v>0</v>
      </c>
    </row>
    <row r="241" spans="1:13">
      <c r="A241" s="1" t="s">
        <v>22</v>
      </c>
      <c r="B241" s="1" t="str">
        <v>UVR 01 - Marechal Candido Rondon</v>
      </c>
      <c r="C241" s="1" t="str">
        <v>01</v>
      </c>
      <c r="D241" s="1" t="str">
        <v>Marechal Candido Rondon</v>
      </c>
      <c r="E241" s="1" t="str">
        <v>12/15/2024</v>
      </c>
      <c r="F241" s="1" t="str">
        <v>Receita da venda de recicláveis</v>
      </c>
      <c r="G241" s="1" t="str">
        <v>Metal</v>
      </c>
      <c r="H241" s="1" t="str">
        <v>Sucatas</v>
      </c>
      <c r="I241" s="1">
        <v>0</v>
      </c>
      <c r="J241" s="1">
        <v>28474</v>
      </c>
      <c r="K241" s="1">
        <v>8829.2000000000007</v>
      </c>
      <c r="L241" s="1">
        <v>0.31</v>
      </c>
      <c r="M241" s="1">
        <v>0</v>
      </c>
    </row>
    <row r="242" spans="1:13">
      <c r="A242" s="1" t="s">
        <v>22</v>
      </c>
      <c r="B242" s="1" t="str">
        <v>UVR 01 - Marechal Candido Rondon</v>
      </c>
      <c r="C242" s="1" t="str">
        <v>01</v>
      </c>
      <c r="D242" s="1" t="str">
        <v>Marechal Candido Rondon</v>
      </c>
      <c r="E242" s="1" t="str">
        <v>12/15/2024</v>
      </c>
      <c r="F242" s="1" t="str">
        <v>Receita da venda de recicláveis</v>
      </c>
      <c r="G242" s="1" t="str">
        <v>Papéis</v>
      </c>
      <c r="H242" s="1" t="str">
        <v>Tetra Pack</v>
      </c>
      <c r="I242" s="1">
        <v>0</v>
      </c>
      <c r="J242" s="1">
        <v>999</v>
      </c>
      <c r="K242" s="1">
        <v>299.7</v>
      </c>
      <c r="L242" s="1">
        <v>0.3</v>
      </c>
      <c r="M242" s="1">
        <v>0</v>
      </c>
    </row>
    <row r="243" spans="1:13">
      <c r="A243" s="1" t="s">
        <v>22</v>
      </c>
      <c r="B243" s="1" t="str">
        <v>UVR 01 - Marechal Candido Rondon</v>
      </c>
      <c r="C243" s="1" t="str">
        <v>01</v>
      </c>
      <c r="D243" s="1" t="str">
        <v>Marechal Candido Rondon</v>
      </c>
      <c r="E243" s="1" t="str">
        <v>12/15/2024</v>
      </c>
      <c r="F243" s="1" t="str">
        <v>Receita da venda de recicláveis</v>
      </c>
      <c r="G243" s="1" t="str">
        <v>Vidro</v>
      </c>
      <c r="H243" s="1" t="str">
        <v>Inteiro</v>
      </c>
      <c r="I243" s="1">
        <v>0</v>
      </c>
      <c r="J243" s="1">
        <v>1932</v>
      </c>
      <c r="K243" s="1">
        <v>942</v>
      </c>
      <c r="L243" s="1">
        <v>0.49</v>
      </c>
      <c r="M243" s="1">
        <v>0</v>
      </c>
    </row>
    <row r="244" spans="1:13">
      <c r="A244" s="1" t="s">
        <v>22</v>
      </c>
      <c r="B244" s="1" t="str">
        <v>UVR 01 - Marechal Candido Rondon</v>
      </c>
      <c r="C244" s="1" t="str">
        <v>01</v>
      </c>
      <c r="D244" s="1" t="str">
        <v>Marechal Candido Rondon</v>
      </c>
      <c r="E244" s="1" t="str">
        <v>12/15/2024</v>
      </c>
      <c r="F244" s="1" t="str">
        <v>Receita da venda de recicláveis</v>
      </c>
      <c r="G244" s="1" t="str">
        <v>Vidro</v>
      </c>
      <c r="H244" s="1" t="str">
        <v>Caco</v>
      </c>
      <c r="I244" s="1">
        <v>0</v>
      </c>
      <c r="J244" s="1">
        <v>19732</v>
      </c>
      <c r="K244" s="1">
        <v>3946.4</v>
      </c>
      <c r="L244" s="1">
        <v>0.2</v>
      </c>
      <c r="M244" s="1">
        <v>0</v>
      </c>
    </row>
    <row r="245" spans="1:13">
      <c r="A245" s="1" t="s">
        <v>22</v>
      </c>
      <c r="B245" s="1" t="str">
        <v>UVR 01 - Marechal Candido Rondon</v>
      </c>
      <c r="C245" s="1" t="str">
        <v>01</v>
      </c>
      <c r="D245" s="1" t="str">
        <v>Marechal Candido Rondon</v>
      </c>
      <c r="E245" s="1" t="str">
        <v>12/15/2024</v>
      </c>
      <c r="F245" s="1" t="str">
        <v>Receita da venda de recicláveis</v>
      </c>
      <c r="G245" s="1" t="str">
        <v>Metal</v>
      </c>
      <c r="H245" s="1" t="str">
        <v>Alumínio Bloco</v>
      </c>
      <c r="I245" s="1">
        <v>0</v>
      </c>
      <c r="J245" s="1">
        <v>102.8</v>
      </c>
      <c r="K245" s="1">
        <v>462.6</v>
      </c>
      <c r="L245" s="1">
        <v>4.5</v>
      </c>
      <c r="M245" s="1">
        <v>0</v>
      </c>
    </row>
    <row r="246" spans="1:13">
      <c r="A246" s="1" t="s">
        <v>22</v>
      </c>
      <c r="B246" s="1" t="str">
        <v>UVR 01 - Marechal Candido Rondon</v>
      </c>
      <c r="C246" s="1" t="str">
        <v>01</v>
      </c>
      <c r="D246" s="1" t="str">
        <v>Marechal Candido Rondon</v>
      </c>
      <c r="E246" s="1" t="str">
        <v>12/15/2024</v>
      </c>
      <c r="F246" s="1" t="str">
        <v>Receita da venda de recicláveis</v>
      </c>
      <c r="G246" s="1" t="str">
        <v>Elétrico ou Eletrônicos</v>
      </c>
      <c r="H246" s="1" t="str">
        <v>Bateria</v>
      </c>
      <c r="I246" s="1">
        <v>0</v>
      </c>
      <c r="J246" s="1">
        <v>85.8</v>
      </c>
      <c r="K246" s="1">
        <v>137.80000000000001</v>
      </c>
      <c r="L246" s="1">
        <v>1.61</v>
      </c>
      <c r="M246" s="1">
        <v>0</v>
      </c>
    </row>
    <row r="247" spans="1:13">
      <c r="A247" s="1" t="s">
        <v>22</v>
      </c>
      <c r="B247" s="1" t="str">
        <v>UVR 01 - Marechal Candido Rondon</v>
      </c>
      <c r="C247" s="1" t="str">
        <v>01</v>
      </c>
      <c r="D247" s="1" t="str">
        <v>Marechal Candido Rondon</v>
      </c>
      <c r="E247" s="1" t="str">
        <v>12/15/2024</v>
      </c>
      <c r="F247" s="1" t="str">
        <v>Receita da venda de recicláveis</v>
      </c>
      <c r="G247" s="1" t="str">
        <v>Elétrico ou Eletrônicos</v>
      </c>
      <c r="H247" s="1" t="str">
        <v>Sucata Eletrônica</v>
      </c>
      <c r="I247" s="1">
        <v>0</v>
      </c>
      <c r="J247" s="1">
        <v>73.400000000000006</v>
      </c>
      <c r="K247" s="1">
        <v>484.95</v>
      </c>
      <c r="L247" s="1">
        <v>6.61</v>
      </c>
      <c r="M247" s="1">
        <v>0</v>
      </c>
    </row>
    <row r="248" spans="1:13">
      <c r="A248" s="1" t="s">
        <v>22</v>
      </c>
      <c r="B248" s="1" t="str">
        <v>UVR 01 - Marechal Candido Rondon</v>
      </c>
      <c r="C248" s="1" t="str">
        <v>01</v>
      </c>
      <c r="D248" s="1" t="str">
        <v>Marechal Candido Rondon</v>
      </c>
      <c r="E248" s="1" t="str">
        <v>12/15/2024</v>
      </c>
      <c r="F248" s="1" t="str">
        <v>Receita da venda de recicláveis</v>
      </c>
      <c r="G248" s="1" t="str">
        <v>Metal</v>
      </c>
      <c r="H248" s="1" t="str">
        <v>Ferro</v>
      </c>
      <c r="I248" s="1">
        <v>0</v>
      </c>
      <c r="J248" s="1">
        <v>4870</v>
      </c>
      <c r="K248" s="1">
        <v>3409</v>
      </c>
      <c r="L248" s="1">
        <v>0.7</v>
      </c>
      <c r="M248" s="1">
        <v>0</v>
      </c>
    </row>
    <row r="249" spans="1:13">
      <c r="A249" s="1" t="s">
        <v>22</v>
      </c>
      <c r="B249" s="1" t="str">
        <v>UVR 01 - Marechal Candido Rondon</v>
      </c>
      <c r="C249" s="1" t="str">
        <v>01</v>
      </c>
      <c r="D249" s="1" t="str">
        <v>Marechal Candido Rondon</v>
      </c>
      <c r="E249" s="1" t="str">
        <v>12/15/2024</v>
      </c>
      <c r="F249" s="1" t="str">
        <v>Rejeito</v>
      </c>
      <c r="G249" s="1" t="str">
        <v>Rejeito</v>
      </c>
      <c r="H249" s="1">
        <v>0</v>
      </c>
      <c r="I249" s="1">
        <v>0</v>
      </c>
      <c r="J249" s="1">
        <v>75790</v>
      </c>
      <c r="K249" s="1">
        <v>0</v>
      </c>
      <c r="L249" s="1">
        <v>0</v>
      </c>
      <c r="M249" s="1">
        <v>0</v>
      </c>
    </row>
    <row r="250" spans="1:13">
      <c r="A250" s="1" t="s">
        <v>22</v>
      </c>
      <c r="B250" s="1" t="str">
        <v>UVR 01 - Marechal Candido Rondon</v>
      </c>
      <c r="C250" s="1" t="str">
        <v>01</v>
      </c>
      <c r="D250" s="1" t="str">
        <v>Marechal Candido Rondon</v>
      </c>
      <c r="E250" s="1" t="str">
        <v>12/15/2024</v>
      </c>
      <c r="F250" s="1" t="str">
        <v>Receita da venda de recicláveis</v>
      </c>
      <c r="G250" s="1" t="str">
        <v>Metal</v>
      </c>
      <c r="H250" s="1" t="str">
        <v>Alumínio Latinha</v>
      </c>
      <c r="I250" s="1">
        <v>0</v>
      </c>
      <c r="J250" s="1">
        <v>859</v>
      </c>
      <c r="K250" s="1">
        <v>8159.55</v>
      </c>
      <c r="L250" s="1">
        <v>9.11</v>
      </c>
      <c r="M250" s="1">
        <v>0</v>
      </c>
    </row>
    <row r="251" spans="1:13">
      <c r="A251" s="1" t="s">
        <v>22</v>
      </c>
      <c r="B251" s="1" t="str">
        <v>UVR 01 - Marechal Candido Rondon</v>
      </c>
      <c r="C251" s="1" t="str">
        <v>01</v>
      </c>
      <c r="D251" s="1" t="str">
        <v>Marechal Candido Rondon</v>
      </c>
      <c r="E251" s="1" t="str">
        <v>12/15/2024</v>
      </c>
      <c r="F251" s="1" t="str">
        <v>Receita da venda de recicláveis</v>
      </c>
      <c r="G251" s="1" t="str">
        <v>Metal</v>
      </c>
      <c r="H251" s="1" t="str">
        <v>Alumínio Panela</v>
      </c>
      <c r="I251" s="1">
        <v>0</v>
      </c>
      <c r="J251" s="1">
        <v>349</v>
      </c>
      <c r="K251" s="1">
        <v>3493</v>
      </c>
      <c r="L251" s="1">
        <v>9.5</v>
      </c>
      <c r="M251" s="1">
        <v>0</v>
      </c>
    </row>
    <row r="252" spans="1:13">
      <c r="A252" s="1" t="s">
        <v>22</v>
      </c>
      <c r="B252" s="1" t="str">
        <v>UVR 01 - Marechal Candido Rondon</v>
      </c>
      <c r="C252" s="1" t="str">
        <v>01</v>
      </c>
      <c r="D252" s="1" t="str">
        <v>Marechal Candido Rondon</v>
      </c>
      <c r="E252" s="1" t="str">
        <v>12/15/2024</v>
      </c>
      <c r="F252" s="1" t="str">
        <v>Receita da venda de recicláveis</v>
      </c>
      <c r="G252" s="1" t="str">
        <v>Metal</v>
      </c>
      <c r="H252" s="1" t="str">
        <v>Cobre Limpo</v>
      </c>
      <c r="I252" s="1">
        <v>0</v>
      </c>
      <c r="J252" s="1">
        <v>17</v>
      </c>
      <c r="K252" s="1">
        <v>688.8</v>
      </c>
      <c r="L252" s="1">
        <v>14.01</v>
      </c>
      <c r="M252" s="1">
        <v>0</v>
      </c>
    </row>
    <row r="253" spans="1:13">
      <c r="A253" s="1" t="s">
        <v>22</v>
      </c>
      <c r="B253" s="1" t="str">
        <v>UVR 01 - Marechal Candido Rondon</v>
      </c>
      <c r="C253" s="1" t="str">
        <v>01</v>
      </c>
      <c r="D253" s="1" t="str">
        <v>Marechal Candido Rondon</v>
      </c>
      <c r="E253" s="1" t="str">
        <v>12/15/2024</v>
      </c>
      <c r="F253" s="1" t="str">
        <v>Receita da venda de recicláveis</v>
      </c>
      <c r="G253" s="1" t="str">
        <v>Plástico</v>
      </c>
      <c r="H253" s="1" t="str">
        <v>PEAD Filme (Cristal)</v>
      </c>
      <c r="I253" s="1">
        <v>0</v>
      </c>
      <c r="J253" s="1">
        <v>2254</v>
      </c>
      <c r="K253" s="1">
        <v>3381</v>
      </c>
      <c r="L253" s="1">
        <v>1.5</v>
      </c>
      <c r="M253" s="1">
        <v>0</v>
      </c>
    </row>
    <row r="254" spans="1:13">
      <c r="A254" s="1" t="s">
        <v>22</v>
      </c>
      <c r="B254" s="1" t="str">
        <v>UVR 01 - Marechal Candido Rondon</v>
      </c>
      <c r="C254" s="1" t="str">
        <v>01</v>
      </c>
      <c r="D254" s="1" t="str">
        <v>Marechal Candido Rondon</v>
      </c>
      <c r="E254" s="1" t="str">
        <v>12/15/2024</v>
      </c>
      <c r="F254" s="1" t="str">
        <v>Receita da venda de recicláveis</v>
      </c>
      <c r="G254" s="1" t="str">
        <v>Papéis</v>
      </c>
      <c r="H254" s="1" t="str">
        <v>Papel Branco</v>
      </c>
      <c r="I254" s="1">
        <v>0</v>
      </c>
      <c r="J254" s="1">
        <v>7807</v>
      </c>
      <c r="K254" s="1">
        <v>4684.2</v>
      </c>
      <c r="L254" s="1">
        <v>0.2</v>
      </c>
      <c r="M254" s="1">
        <v>0</v>
      </c>
    </row>
    <row r="255" spans="1:13">
      <c r="A255" s="1" t="s">
        <v>22</v>
      </c>
      <c r="B255" s="1" t="str">
        <v>UVR 01 - Marechal Candido Rondon</v>
      </c>
      <c r="C255" s="1" t="str">
        <v>01</v>
      </c>
      <c r="D255" s="1" t="str">
        <v>Marechal Candido Rondon</v>
      </c>
      <c r="E255" s="1" t="str">
        <v>12/15/2024</v>
      </c>
      <c r="F255" s="1" t="str">
        <v>Receita da venda de recicláveis</v>
      </c>
      <c r="G255" s="1" t="str">
        <v>Papéis</v>
      </c>
      <c r="H255" s="1" t="str">
        <v>Papel Cimento</v>
      </c>
      <c r="I255" s="1">
        <v>0</v>
      </c>
      <c r="J255" s="1">
        <v>522</v>
      </c>
      <c r="K255" s="1">
        <v>182.7</v>
      </c>
      <c r="L255" s="1">
        <v>0.52</v>
      </c>
      <c r="M255" s="1">
        <v>0</v>
      </c>
    </row>
    <row r="256" spans="1:13">
      <c r="A256" s="1" t="s">
        <v>22</v>
      </c>
      <c r="B256" s="1" t="str">
        <v>UVR 01 - Marechal Candido Rondon</v>
      </c>
      <c r="C256" s="1" t="str">
        <v>01</v>
      </c>
      <c r="D256" s="1" t="str">
        <v>Marechal Candido Rondon</v>
      </c>
      <c r="E256" s="1" t="str">
        <v>12/15/2024</v>
      </c>
      <c r="F256" s="1" t="str">
        <v>Receita da venda de recicláveis</v>
      </c>
      <c r="G256" s="1" t="str">
        <v>Papéis</v>
      </c>
      <c r="H256" s="1" t="str">
        <v>Papel Misto</v>
      </c>
      <c r="I256" s="1">
        <v>0</v>
      </c>
      <c r="J256" s="1">
        <v>2850</v>
      </c>
      <c r="K256" s="1">
        <v>979.2</v>
      </c>
      <c r="L256" s="1">
        <v>0.26</v>
      </c>
      <c r="M256" s="1">
        <v>0</v>
      </c>
    </row>
    <row r="257" spans="1:13">
      <c r="A257" s="1" t="s">
        <v>22</v>
      </c>
      <c r="B257" s="1" t="str">
        <v>UVR 01 - Marechal Candido Rondon</v>
      </c>
      <c r="C257" s="1" t="str">
        <v>01</v>
      </c>
      <c r="D257" s="1" t="str">
        <v>Marechal Candido Rondon</v>
      </c>
      <c r="E257" s="1" t="str">
        <v>12/15/2024</v>
      </c>
      <c r="F257" s="1" t="str">
        <v>Receita da venda de recicláveis</v>
      </c>
      <c r="G257" s="1" t="str">
        <v>Papéis</v>
      </c>
      <c r="H257" s="1" t="str">
        <v>Papelão</v>
      </c>
      <c r="I257" s="1">
        <v>0</v>
      </c>
      <c r="J257" s="1">
        <v>62318</v>
      </c>
      <c r="K257" s="1">
        <v>36726.19</v>
      </c>
      <c r="L257" s="1">
        <v>0.25</v>
      </c>
      <c r="M257" s="1">
        <v>0</v>
      </c>
    </row>
    <row r="258" spans="1:13">
      <c r="A258" s="1" t="s">
        <v>22</v>
      </c>
      <c r="B258" s="1" t="str">
        <v>UVR 01 - Marechal Candido Rondon</v>
      </c>
      <c r="C258" s="1" t="str">
        <v>01</v>
      </c>
      <c r="D258" s="1" t="str">
        <v>Marechal Candido Rondon</v>
      </c>
      <c r="E258" s="1" t="str">
        <v>12/15/2024</v>
      </c>
      <c r="F258" s="1" t="str">
        <v>Receita da venda de recicláveis</v>
      </c>
      <c r="G258" s="1" t="str">
        <v>Plástico</v>
      </c>
      <c r="H258" s="1" t="str">
        <v>PEAD (Embalagens de produtos de limpeza)</v>
      </c>
      <c r="I258" s="1">
        <v>0</v>
      </c>
      <c r="J258" s="1">
        <v>710</v>
      </c>
      <c r="K258" s="1">
        <v>1799.1</v>
      </c>
      <c r="L258" s="1">
        <v>0.46</v>
      </c>
      <c r="M258" s="1">
        <v>0</v>
      </c>
    </row>
    <row r="259" spans="1:13">
      <c r="A259" s="1" t="s">
        <v>22</v>
      </c>
      <c r="B259" s="1" t="str">
        <v>UVR 01 - Marechal Candido Rondon</v>
      </c>
      <c r="C259" s="1" t="str">
        <v>01</v>
      </c>
      <c r="D259" s="1" t="str">
        <v>Marechal Candido Rondon</v>
      </c>
      <c r="E259" s="1" t="str">
        <v>12/15/2024</v>
      </c>
      <c r="F259" s="1" t="str">
        <v>Receita da venda de recicláveis</v>
      </c>
      <c r="G259" s="1" t="str">
        <v>Plástico</v>
      </c>
      <c r="H259" s="1" t="str">
        <v>PET Cristal (Embalagens de refrigerante transparente)</v>
      </c>
      <c r="I259" s="1">
        <v>0</v>
      </c>
      <c r="J259" s="1">
        <v>5258</v>
      </c>
      <c r="K259" s="1">
        <v>21032</v>
      </c>
      <c r="L259" s="1">
        <v>2.5299999999999998</v>
      </c>
      <c r="M259" s="1">
        <v>0</v>
      </c>
    </row>
    <row r="260" spans="1:13">
      <c r="A260" s="1" t="s">
        <v>22</v>
      </c>
      <c r="B260" s="1" t="str">
        <v>UVR 01 - Marechal Candido Rondon</v>
      </c>
      <c r="C260" s="1" t="str">
        <v>01</v>
      </c>
      <c r="D260" s="1" t="str">
        <v>Marechal Candido Rondon</v>
      </c>
      <c r="E260" s="1" t="str">
        <v>12/15/2024</v>
      </c>
      <c r="F260" s="1" t="str">
        <v>Receita da venda de recicláveis</v>
      </c>
      <c r="G260" s="1" t="str">
        <v>Plástico</v>
      </c>
      <c r="H260" s="1" t="str">
        <v>PP Rígido (Balde, bacia, potes de sorvetes, margarina, entre outros)</v>
      </c>
      <c r="I260" s="1">
        <v>0</v>
      </c>
      <c r="J260" s="1">
        <v>910</v>
      </c>
      <c r="K260" s="1">
        <v>1245.7</v>
      </c>
      <c r="L260" s="1">
        <v>4</v>
      </c>
      <c r="M260" s="1">
        <v>0</v>
      </c>
    </row>
    <row r="261" spans="1:13">
      <c r="A261" s="1" t="s">
        <v>22</v>
      </c>
      <c r="B261" s="1" t="str">
        <v>UVR 01 - Marechal Candido Rondon</v>
      </c>
      <c r="C261" s="1" t="str">
        <v>01</v>
      </c>
      <c r="D261" s="1" t="str">
        <v>Marechal Candido Rondon</v>
      </c>
      <c r="E261" s="1" t="str">
        <v>12/15/2024</v>
      </c>
      <c r="F261" s="1" t="str">
        <v>Receita da venda de recicláveis</v>
      </c>
      <c r="G261" s="1" t="str">
        <v>Plástico</v>
      </c>
      <c r="H261" s="1" t="str">
        <v>PP Ráfia (Sacaria)</v>
      </c>
      <c r="I261" s="1">
        <v>0</v>
      </c>
      <c r="J261" s="1">
        <v>875</v>
      </c>
      <c r="K261" s="1">
        <v>262.5</v>
      </c>
      <c r="L261" s="1">
        <v>1.41</v>
      </c>
      <c r="M261" s="1">
        <v>0</v>
      </c>
    </row>
    <row r="262" spans="1:13">
      <c r="A262" s="1" t="s">
        <v>22</v>
      </c>
      <c r="B262" s="1" t="str">
        <v>UVR 01 - Marechal Candido Rondon</v>
      </c>
      <c r="C262" s="1" t="str">
        <v>01</v>
      </c>
      <c r="D262" s="1" t="str">
        <v>Marechal Candido Rondon</v>
      </c>
      <c r="E262" s="1" t="str">
        <v>12/15/2024</v>
      </c>
      <c r="F262" s="1" t="str">
        <v>Receita da venda de recicláveis</v>
      </c>
      <c r="G262" s="1" t="str">
        <v>Plástico</v>
      </c>
      <c r="H262" s="1" t="str">
        <v>PEBD Filme (Sacolinha, Sacos de lixo, Lona Preta)</v>
      </c>
      <c r="I262" s="1">
        <v>0</v>
      </c>
      <c r="J262" s="1">
        <v>7821</v>
      </c>
      <c r="K262" s="1">
        <v>6118.1</v>
      </c>
      <c r="L262" s="1">
        <v>1</v>
      </c>
      <c r="M262" s="1">
        <v>0</v>
      </c>
    </row>
    <row r="263" spans="1:13">
      <c r="A263" s="1" t="s">
        <v>22</v>
      </c>
      <c r="B263" s="1" t="str">
        <v>UVR 01 - Marechal Candido Rondon</v>
      </c>
      <c r="C263" s="1" t="str">
        <v>01</v>
      </c>
      <c r="D263" s="1" t="str">
        <v>Marechal Candido Rondon</v>
      </c>
      <c r="E263" s="1" t="str">
        <v>12/15/2024</v>
      </c>
      <c r="F263" s="1" t="str">
        <v>Receita da venda de recicláveis</v>
      </c>
      <c r="G263" s="1" t="str">
        <v>Metal</v>
      </c>
      <c r="H263" s="1" t="str">
        <v>Sucatas</v>
      </c>
      <c r="I263" s="1">
        <v>0</v>
      </c>
      <c r="J263" s="1">
        <v>11110</v>
      </c>
      <c r="K263" s="1">
        <v>6345</v>
      </c>
      <c r="L263" s="1">
        <v>0.3</v>
      </c>
      <c r="M263" s="1">
        <v>0</v>
      </c>
    </row>
    <row r="264" spans="1:13">
      <c r="A264" s="1" t="s">
        <v>22</v>
      </c>
      <c r="B264" s="1" t="str">
        <v>UVR 01 - Marechal Candido Rondon</v>
      </c>
      <c r="C264" s="1" t="str">
        <v>01</v>
      </c>
      <c r="D264" s="1" t="str">
        <v>Marechal Candido Rondon</v>
      </c>
      <c r="E264" s="1" t="str">
        <v>12/15/2024</v>
      </c>
      <c r="F264" s="1" t="str">
        <v>Receita da venda de recicláveis</v>
      </c>
      <c r="G264" s="1" t="str">
        <v>Papéis</v>
      </c>
      <c r="H264" s="1" t="str">
        <v>Tetra Pack</v>
      </c>
      <c r="I264" s="1">
        <v>0</v>
      </c>
      <c r="J264" s="1">
        <v>620</v>
      </c>
      <c r="K264" s="1">
        <v>186</v>
      </c>
      <c r="L264" s="1">
        <v>0.78</v>
      </c>
      <c r="M264" s="1">
        <v>0</v>
      </c>
    </row>
    <row r="265" spans="1:13">
      <c r="A265" s="1" t="s">
        <v>22</v>
      </c>
      <c r="B265" s="1" t="str">
        <v>UVR 01 - Marechal Candido Rondon</v>
      </c>
      <c r="C265" s="1" t="str">
        <v>01</v>
      </c>
      <c r="D265" s="1" t="str">
        <v>Marechal Candido Rondon</v>
      </c>
      <c r="E265" s="1" t="str">
        <v>12/15/2024</v>
      </c>
      <c r="F265" s="1" t="str">
        <v>Receita da venda de recicláveis</v>
      </c>
      <c r="G265" s="1" t="str">
        <v>Vidro</v>
      </c>
      <c r="H265" s="1" t="str">
        <v>Caco</v>
      </c>
      <c r="I265" s="1">
        <v>0</v>
      </c>
      <c r="J265" s="1">
        <v>38150</v>
      </c>
      <c r="K265" s="1">
        <v>7401</v>
      </c>
      <c r="L265" s="1">
        <v>0.31</v>
      </c>
      <c r="M265" s="1">
        <v>0</v>
      </c>
    </row>
    <row r="266" spans="1:13">
      <c r="A266" s="1" t="s">
        <v>22</v>
      </c>
      <c r="B266" s="1" t="str">
        <v>UVR 01 - Marechal Candido Rondon</v>
      </c>
      <c r="C266" s="1" t="str">
        <v>01</v>
      </c>
      <c r="D266" s="1" t="str">
        <v>Marechal Candido Rondon</v>
      </c>
      <c r="E266" s="1" t="str">
        <v>12/15/2024</v>
      </c>
      <c r="F266" s="1" t="str">
        <v>Receita da venda de recicláveis</v>
      </c>
      <c r="G266" s="1" t="str">
        <v>Metal</v>
      </c>
      <c r="H266" s="1" t="str">
        <v>Alumínio Bloco</v>
      </c>
      <c r="I266" s="1">
        <v>0</v>
      </c>
      <c r="J266" s="1">
        <v>437</v>
      </c>
      <c r="K266" s="1">
        <v>2083.5</v>
      </c>
      <c r="L266" s="1">
        <v>0.3</v>
      </c>
      <c r="M266" s="1">
        <v>0</v>
      </c>
    </row>
    <row r="267" spans="1:13">
      <c r="A267" s="1" t="s">
        <v>22</v>
      </c>
      <c r="B267" s="1" t="str">
        <v>UVR 01 - Marechal Candido Rondon</v>
      </c>
      <c r="C267" s="1" t="str">
        <v>01</v>
      </c>
      <c r="D267" s="1" t="str">
        <v>Marechal Candido Rondon</v>
      </c>
      <c r="E267" s="1" t="str">
        <v>12/15/2024</v>
      </c>
      <c r="F267" s="1" t="str">
        <v>Receita da venda de recicláveis</v>
      </c>
      <c r="G267" s="1" t="str">
        <v>Elétrico ou Eletrônicos</v>
      </c>
      <c r="H267" s="1" t="str">
        <v>Bateria</v>
      </c>
      <c r="I267" s="1">
        <v>0</v>
      </c>
      <c r="J267" s="1">
        <v>45</v>
      </c>
      <c r="K267" s="1">
        <v>133.5</v>
      </c>
      <c r="L267" s="1">
        <v>0.49</v>
      </c>
      <c r="M267" s="1">
        <v>0</v>
      </c>
    </row>
    <row r="268" spans="1:13">
      <c r="A268" s="1" t="s">
        <v>22</v>
      </c>
      <c r="B268" s="1" t="str">
        <v>UVR 01 - Marechal Candido Rondon</v>
      </c>
      <c r="C268" s="1" t="str">
        <v>01</v>
      </c>
      <c r="D268" s="1" t="str">
        <v>Marechal Candido Rondon</v>
      </c>
      <c r="E268" s="1" t="str">
        <v>12/15/2024</v>
      </c>
      <c r="F268" s="1" t="str">
        <v>Receita da venda de recicláveis</v>
      </c>
      <c r="G268" s="1" t="str">
        <v>Elétrico ou Eletrônicos</v>
      </c>
      <c r="H268" s="1" t="str">
        <v>Motor</v>
      </c>
      <c r="I268" s="1">
        <v>0</v>
      </c>
      <c r="J268" s="1">
        <v>130</v>
      </c>
      <c r="K268" s="1">
        <v>260</v>
      </c>
      <c r="L268" s="1">
        <v>0.2</v>
      </c>
      <c r="M268" s="1">
        <v>0</v>
      </c>
    </row>
    <row r="269" spans="1:13">
      <c r="A269" s="1" t="s">
        <v>22</v>
      </c>
      <c r="B269" s="1" t="str">
        <v>UVR 01 - Marechal Candido Rondon</v>
      </c>
      <c r="C269" s="1" t="str">
        <v>01</v>
      </c>
      <c r="D269" s="1" t="str">
        <v>Marechal Candido Rondon</v>
      </c>
      <c r="E269" s="1" t="str">
        <v>12/15/2024</v>
      </c>
      <c r="F269" s="1" t="str">
        <v>Receita da venda de recicláveis</v>
      </c>
      <c r="G269" s="1" t="str">
        <v>Elétrico ou Eletrônicos</v>
      </c>
      <c r="H269" s="1" t="str">
        <v>Sucata Celular</v>
      </c>
      <c r="I269" s="1">
        <v>0</v>
      </c>
      <c r="J269" s="1">
        <v>23</v>
      </c>
      <c r="K269" s="1">
        <v>652.4</v>
      </c>
      <c r="L269" s="1">
        <v>4.5</v>
      </c>
      <c r="M269" s="1">
        <v>0</v>
      </c>
    </row>
    <row r="270" spans="1:13">
      <c r="A270" s="1" t="s">
        <v>22</v>
      </c>
      <c r="B270" s="1" t="str">
        <v>UVR 01 - Marechal Candido Rondon</v>
      </c>
      <c r="C270" s="1" t="str">
        <v>01</v>
      </c>
      <c r="D270" s="1" t="str">
        <v>Marechal Candido Rondon</v>
      </c>
      <c r="E270" s="1" t="str">
        <v>12/15/2024</v>
      </c>
      <c r="F270" s="1" t="str">
        <v>Receita da venda de recicláveis</v>
      </c>
      <c r="G270" s="1" t="str">
        <v>Elétrico ou Eletrônicos</v>
      </c>
      <c r="H270" s="1" t="str">
        <v>Sucata Eletrônica</v>
      </c>
      <c r="I270" s="1">
        <v>0</v>
      </c>
      <c r="J270" s="1">
        <v>633</v>
      </c>
      <c r="K270" s="1">
        <v>1489.66</v>
      </c>
      <c r="L270" s="1">
        <v>1.61</v>
      </c>
      <c r="M270" s="1">
        <v>0</v>
      </c>
    </row>
    <row r="271" spans="1:13">
      <c r="A271" s="1" t="s">
        <v>22</v>
      </c>
      <c r="B271" s="1" t="str">
        <v>UVR 01 - Marechal Candido Rondon</v>
      </c>
      <c r="C271" s="1" t="str">
        <v>01</v>
      </c>
      <c r="D271" s="1" t="str">
        <v>Marechal Candido Rondon</v>
      </c>
      <c r="E271" s="1" t="str">
        <v>12/15/2024</v>
      </c>
      <c r="F271" s="1" t="str">
        <v>Receita da venda de recicláveis</v>
      </c>
      <c r="G271" s="1" t="str">
        <v>Metal</v>
      </c>
      <c r="H271" s="1" t="str">
        <v>Cobre Sujo</v>
      </c>
      <c r="I271" s="1">
        <v>0</v>
      </c>
      <c r="J271" s="1">
        <v>357</v>
      </c>
      <c r="K271" s="1">
        <v>4461.3599999999997</v>
      </c>
      <c r="L271" s="1">
        <v>6.61</v>
      </c>
      <c r="M271" s="1">
        <v>0</v>
      </c>
    </row>
    <row r="272" spans="1:13">
      <c r="A272" s="1" t="s">
        <v>22</v>
      </c>
      <c r="B272" s="1" t="str">
        <v>UVR 01 - Marechal Candido Rondon</v>
      </c>
      <c r="C272" s="1" t="str">
        <v>01</v>
      </c>
      <c r="D272" s="1" t="str">
        <v>Marechal Candido Rondon</v>
      </c>
      <c r="E272" s="1" t="str">
        <v>12/15/2024</v>
      </c>
      <c r="F272" s="1" t="str">
        <v>Receita da venda de recicláveis</v>
      </c>
      <c r="G272" s="1" t="str">
        <v>Metal</v>
      </c>
      <c r="H272" s="1" t="str">
        <v>Ferro</v>
      </c>
      <c r="I272" s="1">
        <v>0</v>
      </c>
      <c r="J272" s="1">
        <v>5010</v>
      </c>
      <c r="K272" s="1">
        <v>2505</v>
      </c>
      <c r="L272" s="1">
        <v>0.7</v>
      </c>
      <c r="M272" s="1">
        <v>0</v>
      </c>
    </row>
    <row r="273" spans="1:13">
      <c r="A273" s="1" t="s">
        <v>22</v>
      </c>
      <c r="B273" s="1" t="str" cm="1">
        <f t="array" ref="B273:M307">_xlfn._xlws.FILTER(
    'Micro Dados - Todos'!$A$2:$L$20000,
    ('Micro Dados - Todos'!$C$2:$C$20000=Lacunas!B11) *
    ('Micro Dados - Todos'!$B$2:$B$20000=Lacunas!C11) *
    ('Micro Dados - Todos'!$D$2:$D$20000=Lacunas!F11)
)</f>
        <v>UVR 02 - Marechal Candido Rondon</v>
      </c>
      <c r="C273" s="1" t="str">
        <v>02</v>
      </c>
      <c r="D273" s="1" t="str">
        <v>Marechal Candido Rondon</v>
      </c>
      <c r="E273" s="1" t="str">
        <v>12/15/2024</v>
      </c>
      <c r="F273" s="1" t="str">
        <v>Receita da prestação de serviços</v>
      </c>
      <c r="G273" s="1" t="str">
        <v>Contratos</v>
      </c>
      <c r="H273" s="1">
        <v>0</v>
      </c>
      <c r="I273" s="1">
        <v>0</v>
      </c>
      <c r="J273" s="1">
        <v>0</v>
      </c>
      <c r="K273" s="1">
        <v>76402.67</v>
      </c>
      <c r="L273" s="1">
        <v>0</v>
      </c>
      <c r="M273" s="1">
        <v>0</v>
      </c>
    </row>
    <row r="274" spans="1:13">
      <c r="A274" s="1" t="s">
        <v>22</v>
      </c>
      <c r="B274" s="1" t="str">
        <v>UVR 02 - Marechal Candido Rondon</v>
      </c>
      <c r="C274" s="1" t="str">
        <v>02</v>
      </c>
      <c r="D274" s="1" t="str">
        <v>Marechal Candido Rondon</v>
      </c>
      <c r="E274" s="1" t="str">
        <v>12/15/2024</v>
      </c>
      <c r="F274" s="1" t="str">
        <v>Rejeito</v>
      </c>
      <c r="G274" s="1" t="str">
        <v>Rejeito</v>
      </c>
      <c r="H274" s="1">
        <v>0</v>
      </c>
      <c r="I274" s="1">
        <v>0</v>
      </c>
      <c r="J274" s="1">
        <v>25980</v>
      </c>
      <c r="K274" s="1">
        <v>0</v>
      </c>
      <c r="L274" s="1">
        <v>0</v>
      </c>
      <c r="M274" s="1">
        <v>0</v>
      </c>
    </row>
    <row r="275" spans="1:13">
      <c r="A275" s="1" t="s">
        <v>22</v>
      </c>
      <c r="B275" s="1" t="str">
        <v>UVR 02 - Marechal Candido Rondon</v>
      </c>
      <c r="C275" s="1" t="str">
        <v>02</v>
      </c>
      <c r="D275" s="1" t="str">
        <v>Marechal Candido Rondon</v>
      </c>
      <c r="E275" s="1" t="str">
        <v>12/15/2024</v>
      </c>
      <c r="F275" s="1" t="str">
        <v>Receita da venda de recicláveis</v>
      </c>
      <c r="G275" s="1" t="str">
        <v>Metal</v>
      </c>
      <c r="H275" s="1" t="str">
        <v>Alumínio Latinha</v>
      </c>
      <c r="I275" s="1">
        <v>0</v>
      </c>
      <c r="J275" s="1">
        <v>385.7</v>
      </c>
      <c r="K275" s="1">
        <v>2699.9</v>
      </c>
      <c r="L275" s="1">
        <v>7</v>
      </c>
      <c r="M275" s="1">
        <v>0</v>
      </c>
    </row>
    <row r="276" spans="1:13">
      <c r="A276" s="1" t="s">
        <v>22</v>
      </c>
      <c r="B276" s="1" t="str">
        <v>UVR 02 - Marechal Candido Rondon</v>
      </c>
      <c r="C276" s="1" t="str">
        <v>02</v>
      </c>
      <c r="D276" s="1" t="str">
        <v>Marechal Candido Rondon</v>
      </c>
      <c r="E276" s="1" t="str">
        <v>12/15/2024</v>
      </c>
      <c r="F276" s="1" t="str">
        <v>Receita da venda de recicláveis</v>
      </c>
      <c r="G276" s="1" t="str">
        <v>Plástico</v>
      </c>
      <c r="H276" s="1" t="str">
        <v>PEAD Filme (Cristal)</v>
      </c>
      <c r="I276" s="1">
        <v>0</v>
      </c>
      <c r="J276" s="1">
        <v>12166</v>
      </c>
      <c r="K276" s="1">
        <v>23958.959999999999</v>
      </c>
      <c r="L276" s="1">
        <v>1.97</v>
      </c>
      <c r="M276" s="1">
        <v>0</v>
      </c>
    </row>
    <row r="277" spans="1:13">
      <c r="A277" s="1" t="s">
        <v>22</v>
      </c>
      <c r="B277" s="1" t="str">
        <v>UVR 02 - Marechal Candido Rondon</v>
      </c>
      <c r="C277" s="1" t="str">
        <v>02</v>
      </c>
      <c r="D277" s="1" t="str">
        <v>Marechal Candido Rondon</v>
      </c>
      <c r="E277" s="1" t="str">
        <v>12/15/2024</v>
      </c>
      <c r="F277" s="1" t="str">
        <v>Receita da venda de recicláveis</v>
      </c>
      <c r="G277" s="1" t="str">
        <v>Plástico</v>
      </c>
      <c r="H277" s="1" t="str">
        <v>PET Colorido (Embalagens de PET colorido, PET bagunça)</v>
      </c>
      <c r="I277" s="1">
        <v>0</v>
      </c>
      <c r="J277" s="1">
        <v>184</v>
      </c>
      <c r="K277" s="1">
        <v>18.399999999999999</v>
      </c>
      <c r="L277" s="1">
        <v>0.1</v>
      </c>
      <c r="M277" s="1">
        <v>0</v>
      </c>
    </row>
    <row r="278" spans="1:13">
      <c r="A278" s="1" t="s">
        <v>22</v>
      </c>
      <c r="B278" s="1" t="str">
        <v>UVR 02 - Marechal Candido Rondon</v>
      </c>
      <c r="C278" s="1" t="str">
        <v>02</v>
      </c>
      <c r="D278" s="1" t="str">
        <v>Marechal Candido Rondon</v>
      </c>
      <c r="E278" s="1" t="str">
        <v>12/15/2024</v>
      </c>
      <c r="F278" s="1" t="str">
        <v>Receita da venda de recicláveis</v>
      </c>
      <c r="G278" s="1" t="str">
        <v>Papéis</v>
      </c>
      <c r="H278" s="1" t="str">
        <v>Papel Branco</v>
      </c>
      <c r="I278" s="1">
        <v>0</v>
      </c>
      <c r="J278" s="1">
        <v>2648</v>
      </c>
      <c r="K278" s="1">
        <v>1721.2</v>
      </c>
      <c r="L278" s="1">
        <v>0.65</v>
      </c>
      <c r="M278" s="1">
        <v>0</v>
      </c>
    </row>
    <row r="279" spans="1:13">
      <c r="A279" s="1" t="s">
        <v>22</v>
      </c>
      <c r="B279" s="1" t="str">
        <v>UVR 02 - Marechal Candido Rondon</v>
      </c>
      <c r="C279" s="1" t="str">
        <v>02</v>
      </c>
      <c r="D279" s="1" t="str">
        <v>Marechal Candido Rondon</v>
      </c>
      <c r="E279" s="1" t="str">
        <v>12/15/2024</v>
      </c>
      <c r="F279" s="1" t="str">
        <v>Receita da venda de recicláveis</v>
      </c>
      <c r="G279" s="1" t="str">
        <v>Papéis</v>
      </c>
      <c r="H279" s="1" t="str">
        <v>Papel Cimento</v>
      </c>
      <c r="I279" s="1">
        <v>0</v>
      </c>
      <c r="J279" s="1">
        <v>715</v>
      </c>
      <c r="K279" s="1">
        <v>250.25</v>
      </c>
      <c r="L279" s="1">
        <v>0.35</v>
      </c>
      <c r="M279" s="1">
        <v>0</v>
      </c>
    </row>
    <row r="280" spans="1:13">
      <c r="A280" s="1" t="s">
        <v>22</v>
      </c>
      <c r="B280" s="1" t="str">
        <v>UVR 02 - Marechal Candido Rondon</v>
      </c>
      <c r="C280" s="1" t="str">
        <v>02</v>
      </c>
      <c r="D280" s="1" t="str">
        <v>Marechal Candido Rondon</v>
      </c>
      <c r="E280" s="1" t="str">
        <v>12/15/2024</v>
      </c>
      <c r="F280" s="1" t="str">
        <v>Receita da venda de recicláveis</v>
      </c>
      <c r="G280" s="1" t="str">
        <v>Papéis</v>
      </c>
      <c r="H280" s="1" t="str">
        <v>Papel Misto</v>
      </c>
      <c r="I280" s="1">
        <v>0</v>
      </c>
      <c r="J280" s="1">
        <v>2821</v>
      </c>
      <c r="K280" s="1">
        <v>827.75</v>
      </c>
      <c r="L280" s="1">
        <v>0.28999999999999998</v>
      </c>
      <c r="M280" s="1">
        <v>0</v>
      </c>
    </row>
    <row r="281" spans="1:13">
      <c r="A281" s="1" t="s">
        <v>22</v>
      </c>
      <c r="B281" s="1" t="str">
        <v>UVR 02 - Marechal Candido Rondon</v>
      </c>
      <c r="C281" s="1" t="str">
        <v>02</v>
      </c>
      <c r="D281" s="1" t="str">
        <v>Marechal Candido Rondon</v>
      </c>
      <c r="E281" s="1" t="str">
        <v>12/15/2024</v>
      </c>
      <c r="F281" s="1" t="str">
        <v>Receita da venda de recicláveis</v>
      </c>
      <c r="G281" s="1" t="str">
        <v>Papéis</v>
      </c>
      <c r="H281" s="1" t="str">
        <v>Papelão</v>
      </c>
      <c r="I281" s="1">
        <v>0</v>
      </c>
      <c r="J281" s="1">
        <v>49432</v>
      </c>
      <c r="K281" s="1">
        <v>35811.61</v>
      </c>
      <c r="L281" s="1">
        <v>0.72</v>
      </c>
      <c r="M281" s="1">
        <v>0</v>
      </c>
    </row>
    <row r="282" spans="1:13">
      <c r="A282" s="1" t="s">
        <v>22</v>
      </c>
      <c r="B282" s="1" t="str">
        <v>UVR 02 - Marechal Candido Rondon</v>
      </c>
      <c r="C282" s="1" t="str">
        <v>02</v>
      </c>
      <c r="D282" s="1" t="str">
        <v>Marechal Candido Rondon</v>
      </c>
      <c r="E282" s="1" t="str">
        <v>12/15/2024</v>
      </c>
      <c r="F282" s="1" t="str">
        <v>Receita da venda de recicláveis</v>
      </c>
      <c r="G282" s="1" t="str">
        <v>Plástico</v>
      </c>
      <c r="H282" s="1" t="str">
        <v>PEAD (Embalagens de produtos de limpeza)</v>
      </c>
      <c r="I282" s="1">
        <v>0</v>
      </c>
      <c r="J282" s="1">
        <v>3161.4</v>
      </c>
      <c r="K282" s="1">
        <v>8085.71</v>
      </c>
      <c r="L282" s="1">
        <v>2.56</v>
      </c>
      <c r="M282" s="1">
        <v>0</v>
      </c>
    </row>
    <row r="283" spans="1:13">
      <c r="A283" s="1" t="s">
        <v>22</v>
      </c>
      <c r="B283" s="1" t="str">
        <v>UVR 02 - Marechal Candido Rondon</v>
      </c>
      <c r="C283" s="1" t="str">
        <v>02</v>
      </c>
      <c r="D283" s="1" t="str">
        <v>Marechal Candido Rondon</v>
      </c>
      <c r="E283" s="1" t="str">
        <v>12/15/2024</v>
      </c>
      <c r="F283" s="1" t="str">
        <v>Receita da venda de recicláveis</v>
      </c>
      <c r="G283" s="1" t="str">
        <v>Plástico</v>
      </c>
      <c r="H283" s="1" t="str">
        <v>PET Cristal (Embalagens de refrigerante transparente)</v>
      </c>
      <c r="I283" s="1">
        <v>0</v>
      </c>
      <c r="J283" s="1">
        <v>3348.2</v>
      </c>
      <c r="K283" s="1">
        <v>14845.78</v>
      </c>
      <c r="L283" s="1">
        <v>4.43</v>
      </c>
      <c r="M283" s="1">
        <v>0</v>
      </c>
    </row>
    <row r="284" spans="1:13">
      <c r="A284" s="1" t="s">
        <v>22</v>
      </c>
      <c r="B284" s="1" t="str">
        <v>UVR 02 - Marechal Candido Rondon</v>
      </c>
      <c r="C284" s="1" t="str">
        <v>02</v>
      </c>
      <c r="D284" s="1" t="str">
        <v>Marechal Candido Rondon</v>
      </c>
      <c r="E284" s="1" t="str">
        <v>12/15/2024</v>
      </c>
      <c r="F284" s="1" t="str">
        <v>Receita da venda de recicláveis</v>
      </c>
      <c r="G284" s="1" t="str">
        <v>Plástico</v>
      </c>
      <c r="H284" s="1" t="str">
        <v>PET Óleo (Embalagens de óleo de cozinha)</v>
      </c>
      <c r="I284" s="1">
        <v>0</v>
      </c>
      <c r="J284" s="1">
        <v>214</v>
      </c>
      <c r="K284" s="1">
        <v>225.4</v>
      </c>
      <c r="L284" s="1">
        <v>1.05</v>
      </c>
      <c r="M284" s="1">
        <v>0</v>
      </c>
    </row>
    <row r="285" spans="1:13">
      <c r="A285" s="1" t="s">
        <v>22</v>
      </c>
      <c r="B285" s="1" t="str">
        <v>UVR 02 - Marechal Candido Rondon</v>
      </c>
      <c r="C285" s="1" t="str">
        <v>02</v>
      </c>
      <c r="D285" s="1" t="str">
        <v>Marechal Candido Rondon</v>
      </c>
      <c r="E285" s="1" t="str">
        <v>12/15/2024</v>
      </c>
      <c r="F285" s="1" t="str">
        <v>Receita da venda de recicláveis</v>
      </c>
      <c r="G285" s="1" t="str">
        <v>Plástico</v>
      </c>
      <c r="H285" s="1" t="str">
        <v>PP Rígido (Balde, bacia, potes de sorvetes, margarina, entre outros)</v>
      </c>
      <c r="I285" s="1">
        <v>0</v>
      </c>
      <c r="J285" s="1">
        <v>11827.6</v>
      </c>
      <c r="K285" s="1">
        <v>15478.89</v>
      </c>
      <c r="L285" s="1">
        <v>1.31</v>
      </c>
      <c r="M285" s="1">
        <v>0</v>
      </c>
    </row>
    <row r="286" spans="1:13">
      <c r="A286" s="1" t="s">
        <v>22</v>
      </c>
      <c r="B286" s="1" t="str">
        <v>UVR 02 - Marechal Candido Rondon</v>
      </c>
      <c r="C286" s="1" t="str">
        <v>02</v>
      </c>
      <c r="D286" s="1" t="str">
        <v>Marechal Candido Rondon</v>
      </c>
      <c r="E286" s="1" t="str">
        <v>12/15/2024</v>
      </c>
      <c r="F286" s="1" t="str">
        <v>Receita da venda de recicláveis</v>
      </c>
      <c r="G286" s="1" t="str">
        <v>Plástico</v>
      </c>
      <c r="H286" s="1" t="str">
        <v>PP Filme (Estralador, embalagens internas de pacotes de bolacha)</v>
      </c>
      <c r="I286" s="1">
        <v>0</v>
      </c>
      <c r="J286" s="1">
        <v>6509.5</v>
      </c>
      <c r="K286" s="1">
        <v>650.95000000000005</v>
      </c>
      <c r="L286" s="1">
        <v>0.1</v>
      </c>
      <c r="M286" s="1">
        <v>0</v>
      </c>
    </row>
    <row r="287" spans="1:13">
      <c r="A287" s="1" t="s">
        <v>22</v>
      </c>
      <c r="B287" s="1" t="str">
        <v>UVR 02 - Marechal Candido Rondon</v>
      </c>
      <c r="C287" s="1" t="str">
        <v>02</v>
      </c>
      <c r="D287" s="1" t="str">
        <v>Marechal Candido Rondon</v>
      </c>
      <c r="E287" s="1" t="str">
        <v>12/15/2024</v>
      </c>
      <c r="F287" s="1" t="str">
        <v>Receita da venda de recicláveis</v>
      </c>
      <c r="G287" s="1" t="str">
        <v>Plástico</v>
      </c>
      <c r="H287" s="1" t="str">
        <v>PVC (Cano, Forro, Tubulação de cano)</v>
      </c>
      <c r="I287" s="1">
        <v>0</v>
      </c>
      <c r="J287" s="1">
        <v>2884.6</v>
      </c>
      <c r="K287" s="1">
        <v>2957.7</v>
      </c>
      <c r="L287" s="1">
        <v>1.03</v>
      </c>
      <c r="M287" s="1">
        <v>0</v>
      </c>
    </row>
    <row r="288" spans="1:13">
      <c r="A288" s="1" t="s">
        <v>22</v>
      </c>
      <c r="B288" s="1" t="str">
        <v>UVR 02 - Marechal Candido Rondon</v>
      </c>
      <c r="C288" s="1" t="str">
        <v>02</v>
      </c>
      <c r="D288" s="1" t="str">
        <v>Marechal Candido Rondon</v>
      </c>
      <c r="E288" s="1" t="str">
        <v>12/15/2024</v>
      </c>
      <c r="F288" s="1" t="str">
        <v>Receita da venda de recicláveis</v>
      </c>
      <c r="G288" s="1" t="str">
        <v>Plástico</v>
      </c>
      <c r="H288" s="1" t="str">
        <v>PP Ráfia (Sacaria)</v>
      </c>
      <c r="I288" s="1">
        <v>0</v>
      </c>
      <c r="J288" s="1">
        <v>1211.8</v>
      </c>
      <c r="K288" s="1">
        <v>323.56</v>
      </c>
      <c r="L288" s="1">
        <v>0.27</v>
      </c>
      <c r="M288" s="1">
        <v>0</v>
      </c>
    </row>
    <row r="289" spans="1:13">
      <c r="A289" s="1" t="s">
        <v>22</v>
      </c>
      <c r="B289" s="1" t="str">
        <v>UVR 02 - Marechal Candido Rondon</v>
      </c>
      <c r="C289" s="1" t="str">
        <v>02</v>
      </c>
      <c r="D289" s="1" t="str">
        <v>Marechal Candido Rondon</v>
      </c>
      <c r="E289" s="1" t="str">
        <v>12/15/2024</v>
      </c>
      <c r="F289" s="1" t="str">
        <v>Receita da venda de recicláveis</v>
      </c>
      <c r="G289" s="1" t="str">
        <v>Plástico</v>
      </c>
      <c r="H289" s="1" t="str">
        <v>PEBD Filme (Sacolinha, Sacos de lixo, Lona Preta)</v>
      </c>
      <c r="I289" s="1">
        <v>0</v>
      </c>
      <c r="J289" s="1">
        <v>13167.4</v>
      </c>
      <c r="K289" s="1">
        <v>9850.7000000000007</v>
      </c>
      <c r="L289" s="1">
        <v>0.75</v>
      </c>
      <c r="M289" s="1">
        <v>0</v>
      </c>
    </row>
    <row r="290" spans="1:13">
      <c r="A290" s="1" t="s">
        <v>22</v>
      </c>
      <c r="B290" s="1" t="str">
        <v>UVR 02 - Marechal Candido Rondon</v>
      </c>
      <c r="C290" s="1" t="str">
        <v>02</v>
      </c>
      <c r="D290" s="1" t="str">
        <v>Marechal Candido Rondon</v>
      </c>
      <c r="E290" s="1" t="str">
        <v>12/15/2024</v>
      </c>
      <c r="F290" s="1" t="str">
        <v>Receita da venda de recicláveis</v>
      </c>
      <c r="G290" s="1" t="str">
        <v>Metal</v>
      </c>
      <c r="H290" s="1" t="str">
        <v>Sucatas</v>
      </c>
      <c r="I290" s="1">
        <v>0</v>
      </c>
      <c r="J290" s="1">
        <v>23780</v>
      </c>
      <c r="K290" s="1">
        <v>17344</v>
      </c>
      <c r="L290" s="1">
        <v>0.73</v>
      </c>
      <c r="M290" s="1">
        <v>0</v>
      </c>
    </row>
    <row r="291" spans="1:13">
      <c r="A291" s="1" t="s">
        <v>22</v>
      </c>
      <c r="B291" s="1" t="str">
        <v>UVR 02 - Marechal Candido Rondon</v>
      </c>
      <c r="C291" s="1" t="str">
        <v>02</v>
      </c>
      <c r="D291" s="1" t="str">
        <v>Marechal Candido Rondon</v>
      </c>
      <c r="E291" s="1" t="str">
        <v>12/15/2024</v>
      </c>
      <c r="F291" s="1" t="str">
        <v>Receita da venda de recicláveis</v>
      </c>
      <c r="G291" s="1" t="str">
        <v>Vidro</v>
      </c>
      <c r="H291" s="1" t="str">
        <v>Caco</v>
      </c>
      <c r="I291" s="1">
        <v>0</v>
      </c>
      <c r="J291" s="1">
        <v>19840</v>
      </c>
      <c r="K291" s="1">
        <v>3968</v>
      </c>
      <c r="L291" s="1">
        <v>0.2</v>
      </c>
      <c r="M291" s="1">
        <v>0</v>
      </c>
    </row>
    <row r="292" spans="1:13">
      <c r="A292" s="1" t="s">
        <v>22</v>
      </c>
      <c r="B292" s="1" t="str">
        <v>UVR 02 - Marechal Candido Rondon</v>
      </c>
      <c r="C292" s="1" t="str">
        <v>02</v>
      </c>
      <c r="D292" s="1" t="str">
        <v>Marechal Candido Rondon</v>
      </c>
      <c r="E292" s="1" t="str">
        <v>12/15/2024</v>
      </c>
      <c r="F292" s="1" t="str">
        <v>Rejeito</v>
      </c>
      <c r="G292" s="1" t="str">
        <v>Rejeito</v>
      </c>
      <c r="H292" s="1">
        <v>0</v>
      </c>
      <c r="I292" s="1">
        <v>0</v>
      </c>
      <c r="J292" s="1">
        <v>45450</v>
      </c>
      <c r="K292" s="1">
        <v>0</v>
      </c>
      <c r="L292" s="1">
        <v>0</v>
      </c>
      <c r="M292" s="1">
        <v>0</v>
      </c>
    </row>
    <row r="293" spans="1:13">
      <c r="A293" s="1" t="s">
        <v>22</v>
      </c>
      <c r="B293" s="1" t="str">
        <v>UVR 02 - Marechal Candido Rondon</v>
      </c>
      <c r="C293" s="1" t="str">
        <v>02</v>
      </c>
      <c r="D293" s="1" t="str">
        <v>Marechal Candido Rondon</v>
      </c>
      <c r="E293" s="1" t="str">
        <v>12/15/2024</v>
      </c>
      <c r="F293" s="1" t="str">
        <v>Receita da venda de recicláveis</v>
      </c>
      <c r="G293" s="1" t="str">
        <v>Plástico</v>
      </c>
      <c r="H293" s="1" t="str">
        <v>Outro tipo de plástico</v>
      </c>
      <c r="I293" s="1" t="str">
        <v>Outros</v>
      </c>
      <c r="J293" s="1">
        <v>5863</v>
      </c>
      <c r="K293" s="1">
        <v>1758.9</v>
      </c>
      <c r="L293" s="1">
        <v>7</v>
      </c>
      <c r="M293" s="1">
        <v>0</v>
      </c>
    </row>
    <row r="294" spans="1:13">
      <c r="A294" s="1" t="s">
        <v>22</v>
      </c>
      <c r="B294" s="1" t="str">
        <v>UVR 02 - Marechal Candido Rondon</v>
      </c>
      <c r="C294" s="1" t="str">
        <v>02</v>
      </c>
      <c r="D294" s="1" t="str">
        <v>Marechal Candido Rondon</v>
      </c>
      <c r="E294" s="1" t="str">
        <v>12/15/2024</v>
      </c>
      <c r="F294" s="1" t="str">
        <v>Receita da venda de recicláveis</v>
      </c>
      <c r="G294" s="1" t="str">
        <v>Plástico</v>
      </c>
      <c r="H294" s="1" t="str">
        <v>PEAD Filme (Cristal)</v>
      </c>
      <c r="I294" s="1">
        <v>0</v>
      </c>
      <c r="J294" s="1">
        <v>11644</v>
      </c>
      <c r="K294" s="1">
        <v>22739.32</v>
      </c>
      <c r="L294" s="1">
        <v>1.97</v>
      </c>
      <c r="M294" s="1">
        <v>0</v>
      </c>
    </row>
    <row r="295" spans="1:13">
      <c r="A295" s="1" t="s">
        <v>22</v>
      </c>
      <c r="B295" s="1" t="str">
        <v>UVR 02 - Marechal Candido Rondon</v>
      </c>
      <c r="C295" s="1" t="str">
        <v>02</v>
      </c>
      <c r="D295" s="1" t="str">
        <v>Marechal Candido Rondon</v>
      </c>
      <c r="E295" s="1" t="str">
        <v>12/15/2024</v>
      </c>
      <c r="F295" s="1" t="str">
        <v>Receita da venda de recicláveis</v>
      </c>
      <c r="G295" s="1" t="str">
        <v>Papéis</v>
      </c>
      <c r="H295" s="1" t="str">
        <v>Papel Branco</v>
      </c>
      <c r="I295" s="1">
        <v>0</v>
      </c>
      <c r="J295" s="1">
        <v>4780</v>
      </c>
      <c r="K295" s="1">
        <v>2942</v>
      </c>
      <c r="L295" s="1">
        <v>0.1</v>
      </c>
      <c r="M295" s="1">
        <v>0</v>
      </c>
    </row>
    <row r="296" spans="1:13">
      <c r="A296" s="1" t="s">
        <v>22</v>
      </c>
      <c r="B296" s="1" t="str">
        <v>UVR 02 - Marechal Candido Rondon</v>
      </c>
      <c r="C296" s="1" t="str">
        <v>02</v>
      </c>
      <c r="D296" s="1" t="str">
        <v>Marechal Candido Rondon</v>
      </c>
      <c r="E296" s="1" t="str">
        <v>12/15/2024</v>
      </c>
      <c r="F296" s="1" t="str">
        <v>Receita da venda de recicláveis</v>
      </c>
      <c r="G296" s="1" t="str">
        <v>Papéis</v>
      </c>
      <c r="H296" s="1" t="str">
        <v>Papel Cimento</v>
      </c>
      <c r="I296" s="1">
        <v>0</v>
      </c>
      <c r="J296" s="1">
        <v>558</v>
      </c>
      <c r="K296" s="1">
        <v>223.28</v>
      </c>
      <c r="L296" s="1">
        <v>0.65</v>
      </c>
      <c r="M296" s="1">
        <v>0</v>
      </c>
    </row>
    <row r="297" spans="1:13">
      <c r="A297" s="1" t="s">
        <v>22</v>
      </c>
      <c r="B297" s="1" t="str">
        <v>UVR 02 - Marechal Candido Rondon</v>
      </c>
      <c r="C297" s="1" t="str">
        <v>02</v>
      </c>
      <c r="D297" s="1" t="str">
        <v>Marechal Candido Rondon</v>
      </c>
      <c r="E297" s="1" t="str">
        <v>12/15/2024</v>
      </c>
      <c r="F297" s="1" t="str">
        <v>Receita da venda de recicláveis</v>
      </c>
      <c r="G297" s="1" t="str">
        <v>Papéis</v>
      </c>
      <c r="H297" s="1" t="str">
        <v>Papel Misto</v>
      </c>
      <c r="I297" s="1">
        <v>0</v>
      </c>
      <c r="J297" s="1">
        <v>1873</v>
      </c>
      <c r="K297" s="1">
        <v>574.12</v>
      </c>
      <c r="L297" s="1">
        <v>0.35</v>
      </c>
      <c r="M297" s="1">
        <v>0</v>
      </c>
    </row>
    <row r="298" spans="1:13">
      <c r="A298" s="1" t="s">
        <v>22</v>
      </c>
      <c r="B298" s="1" t="str">
        <v>UVR 02 - Marechal Candido Rondon</v>
      </c>
      <c r="C298" s="1" t="str">
        <v>02</v>
      </c>
      <c r="D298" s="1" t="str">
        <v>Marechal Candido Rondon</v>
      </c>
      <c r="E298" s="1" t="str">
        <v>12/15/2024</v>
      </c>
      <c r="F298" s="1" t="str">
        <v>Receita da venda de recicláveis</v>
      </c>
      <c r="G298" s="1" t="str">
        <v>Papéis</v>
      </c>
      <c r="H298" s="1" t="str">
        <v>Papelão</v>
      </c>
      <c r="I298" s="1">
        <v>0</v>
      </c>
      <c r="J298" s="1">
        <v>52665</v>
      </c>
      <c r="K298" s="1">
        <v>38999.46</v>
      </c>
      <c r="L298" s="1">
        <v>0.28999999999999998</v>
      </c>
      <c r="M298" s="1">
        <v>0</v>
      </c>
    </row>
    <row r="299" spans="1:13">
      <c r="A299" s="1" t="s">
        <v>22</v>
      </c>
      <c r="B299" s="1" t="str">
        <v>UVR 02 - Marechal Candido Rondon</v>
      </c>
      <c r="C299" s="1" t="str">
        <v>02</v>
      </c>
      <c r="D299" s="1" t="str">
        <v>Marechal Candido Rondon</v>
      </c>
      <c r="E299" s="1" t="str">
        <v>12/15/2024</v>
      </c>
      <c r="F299" s="1" t="str">
        <v>Receita da venda de recicláveis</v>
      </c>
      <c r="G299" s="1" t="str">
        <v>Plástico</v>
      </c>
      <c r="H299" s="1" t="str">
        <v>PEAD (Embalagens de produtos de limpeza)</v>
      </c>
      <c r="I299" s="1">
        <v>0</v>
      </c>
      <c r="J299" s="1">
        <v>2341</v>
      </c>
      <c r="K299" s="1">
        <v>5935.44</v>
      </c>
      <c r="L299" s="1">
        <v>0.72</v>
      </c>
      <c r="M299" s="1">
        <v>0</v>
      </c>
    </row>
    <row r="300" spans="1:13">
      <c r="A300" s="1" t="s">
        <v>22</v>
      </c>
      <c r="B300" s="1" t="str">
        <v>UVR 02 - Marechal Candido Rondon</v>
      </c>
      <c r="C300" s="1" t="str">
        <v>02</v>
      </c>
      <c r="D300" s="1" t="str">
        <v>Marechal Candido Rondon</v>
      </c>
      <c r="E300" s="1" t="str">
        <v>12/15/2024</v>
      </c>
      <c r="F300" s="1" t="str">
        <v>Receita da venda de recicláveis</v>
      </c>
      <c r="G300" s="1" t="str">
        <v>Plástico</v>
      </c>
      <c r="H300" s="1" t="str">
        <v>PET Cristal (Embalagens de refrigerante transparente)</v>
      </c>
      <c r="I300" s="1">
        <v>0</v>
      </c>
      <c r="J300" s="1">
        <v>4204</v>
      </c>
      <c r="K300" s="1">
        <v>18778.7</v>
      </c>
      <c r="L300" s="1">
        <v>2.56</v>
      </c>
      <c r="M300" s="1">
        <v>0</v>
      </c>
    </row>
    <row r="301" spans="1:13">
      <c r="A301" s="1" t="s">
        <v>22</v>
      </c>
      <c r="B301" s="1" t="str">
        <v>UVR 02 - Marechal Candido Rondon</v>
      </c>
      <c r="C301" s="1" t="str">
        <v>02</v>
      </c>
      <c r="D301" s="1" t="str">
        <v>Marechal Candido Rondon</v>
      </c>
      <c r="E301" s="1" t="str">
        <v>12/15/2024</v>
      </c>
      <c r="F301" s="1" t="str">
        <v>Receita da venda de recicláveis</v>
      </c>
      <c r="G301" s="1" t="str">
        <v>Plástico</v>
      </c>
      <c r="H301" s="1" t="str">
        <v>PET Óleo (Embalagens de óleo de cozinha)</v>
      </c>
      <c r="I301" s="1">
        <v>0</v>
      </c>
      <c r="J301" s="1">
        <v>280</v>
      </c>
      <c r="K301" s="1">
        <v>308</v>
      </c>
      <c r="L301" s="1">
        <v>4.43</v>
      </c>
      <c r="M301" s="1">
        <v>0</v>
      </c>
    </row>
    <row r="302" spans="1:13">
      <c r="A302" s="1" t="s">
        <v>22</v>
      </c>
      <c r="B302" s="1" t="str">
        <v>UVR 02 - Marechal Candido Rondon</v>
      </c>
      <c r="C302" s="1" t="str">
        <v>02</v>
      </c>
      <c r="D302" s="1" t="str">
        <v>Marechal Candido Rondon</v>
      </c>
      <c r="E302" s="1" t="str">
        <v>12/15/2024</v>
      </c>
      <c r="F302" s="1" t="str">
        <v>Receita da venda de recicláveis</v>
      </c>
      <c r="G302" s="1" t="str">
        <v>Plástico</v>
      </c>
      <c r="H302" s="1" t="str">
        <v>PP Rígido (Balde, bacia, potes de sorvetes, margarina, entre outros)</v>
      </c>
      <c r="I302" s="1">
        <v>0</v>
      </c>
      <c r="J302" s="1">
        <v>4694</v>
      </c>
      <c r="K302" s="1">
        <v>8142.38</v>
      </c>
      <c r="L302" s="1">
        <v>1.05</v>
      </c>
      <c r="M302" s="1">
        <v>0</v>
      </c>
    </row>
    <row r="303" spans="1:13">
      <c r="A303" s="1" t="s">
        <v>22</v>
      </c>
      <c r="B303" s="1" t="str">
        <v>UVR 02 - Marechal Candido Rondon</v>
      </c>
      <c r="C303" s="1" t="str">
        <v>02</v>
      </c>
      <c r="D303" s="1" t="str">
        <v>Marechal Candido Rondon</v>
      </c>
      <c r="E303" s="1" t="str">
        <v>12/15/2024</v>
      </c>
      <c r="F303" s="1" t="str">
        <v>Receita da venda de recicláveis</v>
      </c>
      <c r="G303" s="1" t="str">
        <v>Plástico</v>
      </c>
      <c r="H303" s="1" t="str">
        <v>PVC (Cano, Forro, Tubulação de cano)</v>
      </c>
      <c r="I303" s="1">
        <v>0</v>
      </c>
      <c r="J303" s="1">
        <v>718</v>
      </c>
      <c r="K303" s="1">
        <v>752.32</v>
      </c>
      <c r="L303" s="1">
        <v>1.31</v>
      </c>
      <c r="M303" s="1">
        <v>0</v>
      </c>
    </row>
    <row r="304" spans="1:13">
      <c r="A304" s="1" t="s">
        <v>22</v>
      </c>
      <c r="B304" s="1" t="str">
        <v>UVR 02 - Marechal Candido Rondon</v>
      </c>
      <c r="C304" s="1" t="str">
        <v>02</v>
      </c>
      <c r="D304" s="1" t="str">
        <v>Marechal Candido Rondon</v>
      </c>
      <c r="E304" s="1" t="str">
        <v>12/15/2024</v>
      </c>
      <c r="F304" s="1" t="str">
        <v>Receita da venda de recicláveis</v>
      </c>
      <c r="G304" s="1" t="str">
        <v>Plástico</v>
      </c>
      <c r="H304" s="1" t="str">
        <v>PP Ráfia (Sacaria)</v>
      </c>
      <c r="I304" s="1">
        <v>0</v>
      </c>
      <c r="J304" s="1">
        <v>1482</v>
      </c>
      <c r="K304" s="1">
        <v>479.38</v>
      </c>
      <c r="L304" s="1">
        <v>0.1</v>
      </c>
      <c r="M304" s="1">
        <v>0</v>
      </c>
    </row>
    <row r="305" spans="1:13">
      <c r="A305" s="1" t="s">
        <v>22</v>
      </c>
      <c r="B305" s="1" t="str">
        <v>UVR 02 - Marechal Candido Rondon</v>
      </c>
      <c r="C305" s="1" t="str">
        <v>02</v>
      </c>
      <c r="D305" s="1" t="str">
        <v>Marechal Candido Rondon</v>
      </c>
      <c r="E305" s="1" t="str">
        <v>12/15/2024</v>
      </c>
      <c r="F305" s="1" t="str">
        <v>Receita da venda de recicláveis</v>
      </c>
      <c r="G305" s="1" t="str">
        <v>Plástico</v>
      </c>
      <c r="H305" s="1" t="str">
        <v>PEBD Filme (Sacolinha, Sacos de lixo, Lona Preta)</v>
      </c>
      <c r="I305" s="1">
        <v>0</v>
      </c>
      <c r="J305" s="1">
        <v>20168</v>
      </c>
      <c r="K305" s="1">
        <v>15126.36</v>
      </c>
      <c r="L305" s="1">
        <v>1.03</v>
      </c>
      <c r="M305" s="1">
        <v>0</v>
      </c>
    </row>
    <row r="306" spans="1:13">
      <c r="A306" s="1" t="s">
        <v>22</v>
      </c>
      <c r="B306" s="1" t="str">
        <v>UVR 02 - Marechal Candido Rondon</v>
      </c>
      <c r="C306" s="1" t="str">
        <v>02</v>
      </c>
      <c r="D306" s="1" t="str">
        <v>Marechal Candido Rondon</v>
      </c>
      <c r="E306" s="1" t="str">
        <v>12/15/2024</v>
      </c>
      <c r="F306" s="1" t="str">
        <v>Receita da venda de recicláveis</v>
      </c>
      <c r="G306" s="1" t="str">
        <v>Metal</v>
      </c>
      <c r="H306" s="1" t="str">
        <v>Sucatas</v>
      </c>
      <c r="I306" s="1">
        <v>0</v>
      </c>
      <c r="J306" s="1">
        <v>32734</v>
      </c>
      <c r="K306" s="1">
        <v>22913.8</v>
      </c>
      <c r="L306" s="1">
        <v>0.27</v>
      </c>
      <c r="M306" s="1">
        <v>0</v>
      </c>
    </row>
    <row r="307" spans="1:13">
      <c r="A307" s="1" t="s">
        <v>22</v>
      </c>
      <c r="B307" s="1" t="str">
        <v>UVR 02 - Marechal Candido Rondon</v>
      </c>
      <c r="C307" s="1" t="str">
        <v>02</v>
      </c>
      <c r="D307" s="1" t="str">
        <v>Marechal Candido Rondon</v>
      </c>
      <c r="E307" s="1" t="str">
        <v>12/15/2024</v>
      </c>
      <c r="F307" s="1" t="str">
        <v>Receita da venda de recicláveis</v>
      </c>
      <c r="G307" s="1" t="str">
        <v>Papéis</v>
      </c>
      <c r="H307" s="1" t="str">
        <v>Tetra Pack</v>
      </c>
      <c r="I307" s="1">
        <v>0</v>
      </c>
      <c r="J307" s="1">
        <v>234</v>
      </c>
      <c r="K307" s="1">
        <v>93.44</v>
      </c>
      <c r="L307" s="1">
        <v>0.75</v>
      </c>
      <c r="M307" s="1">
        <v>0</v>
      </c>
    </row>
    <row r="308" spans="1:13">
      <c r="A308" s="1" t="s">
        <v>11</v>
      </c>
      <c r="B308" s="1" t="str" cm="1">
        <f t="array" ref="B308:M329">_xlfn._xlws.FILTER(
    'Micro Dados - Todos'!$A$2:$L$20000,
    ('Micro Dados - Todos'!$C$2:$C$20000=Lacunas!B12) *
    ('Micro Dados - Todos'!$B$2:$B$20000=Lacunas!C12) *
    ('Micro Dados - Todos'!$D$2:$D$20000=Lacunas!F12)
)</f>
        <v>UVR 01 - Maripa</v>
      </c>
      <c r="C308" s="1" t="str">
        <v>01</v>
      </c>
      <c r="D308" s="1" t="str">
        <v>Maripa</v>
      </c>
      <c r="E308" s="1" t="str">
        <v>12/15/2024</v>
      </c>
      <c r="F308" s="1" t="str">
        <v>Receita da venda de recicláveis</v>
      </c>
      <c r="G308" s="1" t="str">
        <v>Papéis</v>
      </c>
      <c r="H308" s="1" t="str">
        <v>Papel Branco</v>
      </c>
      <c r="I308" s="1">
        <v>0</v>
      </c>
      <c r="J308" s="1">
        <v>700</v>
      </c>
      <c r="K308" s="1">
        <v>490</v>
      </c>
      <c r="L308" s="1">
        <v>0.7</v>
      </c>
      <c r="M308" s="1">
        <v>0</v>
      </c>
    </row>
    <row r="309" spans="1:13">
      <c r="A309" s="1" t="s">
        <v>11</v>
      </c>
      <c r="B309" s="1" t="str">
        <v>UVR 01 - Maripa</v>
      </c>
      <c r="C309" s="1" t="str">
        <v>01</v>
      </c>
      <c r="D309" s="1" t="str">
        <v>Maripa</v>
      </c>
      <c r="E309" s="1" t="str">
        <v>12/15/2024</v>
      </c>
      <c r="F309" s="1" t="str">
        <v>Receita da venda de recicláveis</v>
      </c>
      <c r="G309" s="1" t="str">
        <v>Papéis</v>
      </c>
      <c r="H309" s="1" t="str">
        <v>Papel Misto</v>
      </c>
      <c r="I309" s="1">
        <v>0</v>
      </c>
      <c r="J309" s="1">
        <v>1200</v>
      </c>
      <c r="K309" s="1">
        <v>300</v>
      </c>
      <c r="L309" s="1">
        <v>0.25</v>
      </c>
      <c r="M309" s="1">
        <v>0</v>
      </c>
    </row>
    <row r="310" spans="1:13">
      <c r="A310" s="1" t="s">
        <v>11</v>
      </c>
      <c r="B310" s="1" t="str">
        <v>UVR 01 - Maripa</v>
      </c>
      <c r="C310" s="1" t="str">
        <v>01</v>
      </c>
      <c r="D310" s="1" t="str">
        <v>Maripa</v>
      </c>
      <c r="E310" s="1" t="str">
        <v>12/15/2024</v>
      </c>
      <c r="F310" s="1" t="str">
        <v>Receita da venda de recicláveis</v>
      </c>
      <c r="G310" s="1" t="str">
        <v>Papéis</v>
      </c>
      <c r="H310" s="1" t="str">
        <v>Papelão</v>
      </c>
      <c r="I310" s="1">
        <v>0</v>
      </c>
      <c r="J310" s="1">
        <v>8050</v>
      </c>
      <c r="K310" s="1">
        <v>6037.5</v>
      </c>
      <c r="L310" s="1">
        <v>0.75</v>
      </c>
      <c r="M310" s="1">
        <v>0</v>
      </c>
    </row>
    <row r="311" spans="1:13">
      <c r="A311" s="1" t="s">
        <v>11</v>
      </c>
      <c r="B311" s="1" t="str">
        <v>UVR 01 - Maripa</v>
      </c>
      <c r="C311" s="1" t="str">
        <v>01</v>
      </c>
      <c r="D311" s="1" t="str">
        <v>Maripa</v>
      </c>
      <c r="E311" s="1" t="str">
        <v>12/15/2024</v>
      </c>
      <c r="F311" s="1" t="str">
        <v>Receita da venda de recicláveis</v>
      </c>
      <c r="G311" s="1" t="str">
        <v>Papéis</v>
      </c>
      <c r="H311" s="1" t="str">
        <v>Tetra Pack</v>
      </c>
      <c r="I311" s="1">
        <v>0</v>
      </c>
      <c r="J311" s="1">
        <v>600</v>
      </c>
      <c r="K311" s="1">
        <v>180</v>
      </c>
      <c r="L311" s="1">
        <v>0.3</v>
      </c>
      <c r="M311" s="1">
        <v>0</v>
      </c>
    </row>
    <row r="312" spans="1:13">
      <c r="A312" s="1" t="s">
        <v>11</v>
      </c>
      <c r="B312" s="1" t="str">
        <v>UVR 01 - Maripa</v>
      </c>
      <c r="C312" s="1" t="str">
        <v>01</v>
      </c>
      <c r="D312" s="1" t="str">
        <v>Maripa</v>
      </c>
      <c r="E312" s="1" t="str">
        <v>12/15/2024</v>
      </c>
      <c r="F312" s="1" t="str">
        <v>Receita da venda de recicláveis</v>
      </c>
      <c r="G312" s="1" t="str">
        <v>Plástico</v>
      </c>
      <c r="H312" s="1" t="str">
        <v>PVC (Cano, Forro, Tubulação de cano)</v>
      </c>
      <c r="I312" s="1">
        <v>0</v>
      </c>
      <c r="J312" s="1">
        <v>100</v>
      </c>
      <c r="K312" s="1">
        <v>80</v>
      </c>
      <c r="L312" s="1">
        <v>0.8</v>
      </c>
      <c r="M312" s="1">
        <v>0</v>
      </c>
    </row>
    <row r="313" spans="1:13">
      <c r="A313" s="1" t="s">
        <v>11</v>
      </c>
      <c r="B313" s="1" t="str">
        <v>UVR 01 - Maripa</v>
      </c>
      <c r="C313" s="1" t="str">
        <v>01</v>
      </c>
      <c r="D313" s="1" t="str">
        <v>Maripa</v>
      </c>
      <c r="E313" s="1" t="str">
        <v>12/15/2024</v>
      </c>
      <c r="F313" s="1" t="str">
        <v>Receita da venda de recicláveis</v>
      </c>
      <c r="G313" s="1" t="str">
        <v>Plástico</v>
      </c>
      <c r="H313" s="1" t="str">
        <v>PEAD (Embalagens de produtos de limpeza)</v>
      </c>
      <c r="I313" s="1">
        <v>0</v>
      </c>
      <c r="J313" s="1">
        <v>800</v>
      </c>
      <c r="K313" s="1">
        <v>1840</v>
      </c>
      <c r="L313" s="1">
        <v>2.2999999999999998</v>
      </c>
      <c r="M313" s="1">
        <v>0</v>
      </c>
    </row>
    <row r="314" spans="1:13">
      <c r="A314" s="1" t="s">
        <v>11</v>
      </c>
      <c r="B314" s="1" t="str">
        <v>UVR 01 - Maripa</v>
      </c>
      <c r="C314" s="1" t="str">
        <v>01</v>
      </c>
      <c r="D314" s="1" t="str">
        <v>Maripa</v>
      </c>
      <c r="E314" s="1" t="str">
        <v>12/15/2024</v>
      </c>
      <c r="F314" s="1" t="str">
        <v>Receita da venda de recicláveis</v>
      </c>
      <c r="G314" s="1" t="str">
        <v>Plástico</v>
      </c>
      <c r="H314" s="1" t="str">
        <v>PEAD Filme (Cristal)</v>
      </c>
      <c r="I314" s="1">
        <v>0</v>
      </c>
      <c r="J314" s="1">
        <v>1300</v>
      </c>
      <c r="K314" s="1">
        <v>1690</v>
      </c>
      <c r="L314" s="1">
        <v>1.3</v>
      </c>
      <c r="M314" s="1">
        <v>0</v>
      </c>
    </row>
    <row r="315" spans="1:13">
      <c r="A315" s="1" t="s">
        <v>11</v>
      </c>
      <c r="B315" s="1" t="str">
        <v>UVR 01 - Maripa</v>
      </c>
      <c r="C315" s="1" t="str">
        <v>01</v>
      </c>
      <c r="D315" s="1" t="str">
        <v>Maripa</v>
      </c>
      <c r="E315" s="1" t="str">
        <v>12/15/2024</v>
      </c>
      <c r="F315" s="1" t="str">
        <v>Receita da venda de recicláveis</v>
      </c>
      <c r="G315" s="1" t="str">
        <v>Plástico</v>
      </c>
      <c r="H315" s="1" t="str">
        <v>PEAD Injeção (Caixaria)</v>
      </c>
      <c r="I315" s="1">
        <v>0</v>
      </c>
      <c r="J315" s="1">
        <v>150</v>
      </c>
      <c r="K315" s="1">
        <v>495</v>
      </c>
      <c r="L315" s="1">
        <v>3.3</v>
      </c>
      <c r="M315" s="1">
        <v>0</v>
      </c>
    </row>
    <row r="316" spans="1:13">
      <c r="A316" s="1" t="s">
        <v>11</v>
      </c>
      <c r="B316" s="1" t="str">
        <v>UVR 01 - Maripa</v>
      </c>
      <c r="C316" s="1" t="str">
        <v>01</v>
      </c>
      <c r="D316" s="1" t="str">
        <v>Maripa</v>
      </c>
      <c r="E316" s="1" t="str">
        <v>12/15/2024</v>
      </c>
      <c r="F316" s="1" t="str">
        <v>Receita da venda de recicláveis</v>
      </c>
      <c r="G316" s="1" t="str">
        <v>Plástico</v>
      </c>
      <c r="H316" s="1" t="str">
        <v>PEBD Filme (Sacolinha, Sacos de lixo, Lona Preta)</v>
      </c>
      <c r="I316" s="1">
        <v>0</v>
      </c>
      <c r="J316" s="1">
        <v>2100</v>
      </c>
      <c r="K316" s="1">
        <v>1575</v>
      </c>
      <c r="L316" s="1">
        <v>0.75</v>
      </c>
      <c r="M316" s="1">
        <v>0</v>
      </c>
    </row>
    <row r="317" spans="1:13">
      <c r="A317" s="1" t="s">
        <v>11</v>
      </c>
      <c r="B317" s="1" t="str">
        <v>UVR 01 - Maripa</v>
      </c>
      <c r="C317" s="1" t="str">
        <v>01</v>
      </c>
      <c r="D317" s="1" t="str">
        <v>Maripa</v>
      </c>
      <c r="E317" s="1" t="str">
        <v>12/15/2024</v>
      </c>
      <c r="F317" s="1" t="str">
        <v>Receita da venda de recicláveis</v>
      </c>
      <c r="G317" s="1" t="str">
        <v>Plástico</v>
      </c>
      <c r="H317" s="1" t="str">
        <v>PET Verde (Embalagens de refrigerante verde)</v>
      </c>
      <c r="I317" s="1">
        <v>0</v>
      </c>
      <c r="J317" s="1">
        <v>600</v>
      </c>
      <c r="K317" s="1">
        <v>2400</v>
      </c>
      <c r="L317" s="1">
        <v>4</v>
      </c>
      <c r="M317" s="1">
        <v>0</v>
      </c>
    </row>
    <row r="318" spans="1:13">
      <c r="A318" s="1" t="s">
        <v>11</v>
      </c>
      <c r="B318" s="1" t="str">
        <v>UVR 01 - Maripa</v>
      </c>
      <c r="C318" s="1" t="str">
        <v>01</v>
      </c>
      <c r="D318" s="1" t="str">
        <v>Maripa</v>
      </c>
      <c r="E318" s="1" t="str">
        <v>12/15/2024</v>
      </c>
      <c r="F318" s="1" t="str">
        <v>Receita da venda de recicláveis</v>
      </c>
      <c r="G318" s="1" t="str">
        <v>Plástico</v>
      </c>
      <c r="H318" s="1" t="str">
        <v>PET Cristal (Embalagens de refrigerante transparente)</v>
      </c>
      <c r="I318" s="1">
        <v>0</v>
      </c>
      <c r="J318" s="1">
        <v>600</v>
      </c>
      <c r="K318" s="1">
        <v>2400</v>
      </c>
      <c r="L318" s="1">
        <v>4</v>
      </c>
      <c r="M318" s="1">
        <v>0</v>
      </c>
    </row>
    <row r="319" spans="1:13">
      <c r="A319" s="1" t="s">
        <v>11</v>
      </c>
      <c r="B319" s="1" t="str">
        <v>UVR 01 - Maripa</v>
      </c>
      <c r="C319" s="1" t="str">
        <v>01</v>
      </c>
      <c r="D319" s="1" t="str">
        <v>Maripa</v>
      </c>
      <c r="E319" s="1" t="str">
        <v>12/15/2024</v>
      </c>
      <c r="F319" s="1" t="str">
        <v>Receita da venda de recicláveis</v>
      </c>
      <c r="G319" s="1" t="str">
        <v>Plástico</v>
      </c>
      <c r="H319" s="1" t="str">
        <v>PET Óleo (Embalagens de óleo de cozinha)</v>
      </c>
      <c r="I319" s="1">
        <v>0</v>
      </c>
      <c r="J319" s="1">
        <v>100</v>
      </c>
      <c r="K319" s="1">
        <v>120</v>
      </c>
      <c r="L319" s="1">
        <v>1.2</v>
      </c>
      <c r="M319" s="1">
        <v>0</v>
      </c>
    </row>
    <row r="320" spans="1:13">
      <c r="A320" s="1" t="s">
        <v>11</v>
      </c>
      <c r="B320" s="1" t="str">
        <v>UVR 01 - Maripa</v>
      </c>
      <c r="C320" s="1" t="str">
        <v>01</v>
      </c>
      <c r="D320" s="1" t="str">
        <v>Maripa</v>
      </c>
      <c r="E320" s="1" t="str">
        <v>12/15/2024</v>
      </c>
      <c r="F320" s="1" t="str">
        <v>Receita da venda de recicláveis</v>
      </c>
      <c r="G320" s="1" t="str">
        <v>Plástico</v>
      </c>
      <c r="H320" s="1" t="str">
        <v>PS (Copos descartáveis)</v>
      </c>
      <c r="I320" s="1">
        <v>0</v>
      </c>
      <c r="J320" s="1">
        <v>200</v>
      </c>
      <c r="K320" s="1">
        <v>200</v>
      </c>
      <c r="L320" s="1">
        <v>1</v>
      </c>
      <c r="M320" s="1">
        <v>0</v>
      </c>
    </row>
    <row r="321" spans="1:13">
      <c r="A321" s="1" t="s">
        <v>11</v>
      </c>
      <c r="B321" s="1" t="str">
        <v>UVR 01 - Maripa</v>
      </c>
      <c r="C321" s="1" t="str">
        <v>01</v>
      </c>
      <c r="D321" s="1" t="str">
        <v>Maripa</v>
      </c>
      <c r="E321" s="1" t="str">
        <v>12/15/2024</v>
      </c>
      <c r="F321" s="1" t="str">
        <v>Receita da venda de recicláveis</v>
      </c>
      <c r="G321" s="1" t="str">
        <v>Plástico</v>
      </c>
      <c r="H321" s="1" t="str">
        <v>PP Rígido (Balde, bacia, potes de sorvetes, margarina, entre outros)</v>
      </c>
      <c r="I321" s="1">
        <v>0</v>
      </c>
      <c r="J321" s="1">
        <v>1500</v>
      </c>
      <c r="K321" s="1">
        <v>1950</v>
      </c>
      <c r="L321" s="1">
        <v>1.3</v>
      </c>
      <c r="M321" s="1">
        <v>0</v>
      </c>
    </row>
    <row r="322" spans="1:13">
      <c r="A322" s="1" t="s">
        <v>11</v>
      </c>
      <c r="B322" s="1" t="str">
        <v>UVR 01 - Maripa</v>
      </c>
      <c r="C322" s="1" t="str">
        <v>01</v>
      </c>
      <c r="D322" s="1" t="str">
        <v>Maripa</v>
      </c>
      <c r="E322" s="1" t="str">
        <v>12/15/2024</v>
      </c>
      <c r="F322" s="1" t="str">
        <v>Receita da venda de recicláveis</v>
      </c>
      <c r="G322" s="1" t="str">
        <v>Plástico</v>
      </c>
      <c r="H322" s="1" t="str">
        <v>PP Filme (Estralador, embalagens internas de pacotes de bolacha)</v>
      </c>
      <c r="I322" s="1">
        <v>0</v>
      </c>
      <c r="J322" s="1">
        <v>150</v>
      </c>
      <c r="K322" s="1">
        <v>7.5</v>
      </c>
      <c r="L322" s="1">
        <v>0.05</v>
      </c>
      <c r="M322" s="1">
        <v>0</v>
      </c>
    </row>
    <row r="323" spans="1:13">
      <c r="A323" s="1" t="s">
        <v>11</v>
      </c>
      <c r="B323" s="1" t="str">
        <v>UVR 01 - Maripa</v>
      </c>
      <c r="C323" s="1" t="str">
        <v>01</v>
      </c>
      <c r="D323" s="1" t="str">
        <v>Maripa</v>
      </c>
      <c r="E323" s="1" t="str">
        <v>12/15/2024</v>
      </c>
      <c r="F323" s="1" t="str">
        <v>Receita da venda de recicláveis</v>
      </c>
      <c r="G323" s="1" t="str">
        <v>Plástico</v>
      </c>
      <c r="H323" s="1" t="str">
        <v>PP Ráfia (Sacaria)</v>
      </c>
      <c r="I323" s="1">
        <v>0</v>
      </c>
      <c r="J323" s="1">
        <v>2000</v>
      </c>
      <c r="K323" s="1">
        <v>500</v>
      </c>
      <c r="L323" s="1">
        <v>0.25</v>
      </c>
      <c r="M323" s="1">
        <v>0</v>
      </c>
    </row>
    <row r="324" spans="1:13">
      <c r="A324" s="1" t="s">
        <v>11</v>
      </c>
      <c r="B324" s="1" t="str">
        <v>UVR 01 - Maripa</v>
      </c>
      <c r="C324" s="1" t="str">
        <v>01</v>
      </c>
      <c r="D324" s="1" t="str">
        <v>Maripa</v>
      </c>
      <c r="E324" s="1" t="str">
        <v>12/15/2024</v>
      </c>
      <c r="F324" s="1" t="str">
        <v>Receita da venda de recicláveis</v>
      </c>
      <c r="G324" s="1" t="str">
        <v>Metal</v>
      </c>
      <c r="H324" s="1" t="str">
        <v>Alumínio Bloco</v>
      </c>
      <c r="I324" s="1">
        <v>0</v>
      </c>
      <c r="J324" s="1">
        <v>32</v>
      </c>
      <c r="K324" s="1">
        <v>128</v>
      </c>
      <c r="L324" s="1">
        <v>4</v>
      </c>
      <c r="M324" s="1">
        <v>0</v>
      </c>
    </row>
    <row r="325" spans="1:13">
      <c r="A325" s="1" t="s">
        <v>11</v>
      </c>
      <c r="B325" s="1" t="str">
        <v>UVR 01 - Maripa</v>
      </c>
      <c r="C325" s="1" t="str">
        <v>01</v>
      </c>
      <c r="D325" s="1" t="str">
        <v>Maripa</v>
      </c>
      <c r="E325" s="1" t="str">
        <v>12/15/2024</v>
      </c>
      <c r="F325" s="1" t="str">
        <v>Receita da venda de recicláveis</v>
      </c>
      <c r="G325" s="1" t="str">
        <v>Metal</v>
      </c>
      <c r="H325" s="1" t="str">
        <v>Alumínio Latinha</v>
      </c>
      <c r="I325" s="1">
        <v>0</v>
      </c>
      <c r="J325" s="1">
        <v>150</v>
      </c>
      <c r="K325" s="1">
        <v>1275</v>
      </c>
      <c r="L325" s="1">
        <v>8.5</v>
      </c>
      <c r="M325" s="1">
        <v>0</v>
      </c>
    </row>
    <row r="326" spans="1:13">
      <c r="A326" s="1" t="s">
        <v>11</v>
      </c>
      <c r="B326" s="1" t="str">
        <v>UVR 01 - Maripa</v>
      </c>
      <c r="C326" s="1" t="str">
        <v>01</v>
      </c>
      <c r="D326" s="1" t="str">
        <v>Maripa</v>
      </c>
      <c r="E326" s="1" t="str">
        <v>12/15/2024</v>
      </c>
      <c r="F326" s="1" t="str">
        <v>Receita da venda de recicláveis</v>
      </c>
      <c r="G326" s="1" t="str">
        <v>Metal</v>
      </c>
      <c r="H326" s="1" t="str">
        <v>Alumínio Panela</v>
      </c>
      <c r="I326" s="1">
        <v>0</v>
      </c>
      <c r="J326" s="1">
        <v>6</v>
      </c>
      <c r="K326" s="1">
        <v>54</v>
      </c>
      <c r="L326" s="1">
        <v>9</v>
      </c>
      <c r="M326" s="1">
        <v>0</v>
      </c>
    </row>
    <row r="327" spans="1:13">
      <c r="A327" s="1" t="s">
        <v>11</v>
      </c>
      <c r="B327" s="1" t="str">
        <v>UVR 01 - Maripa</v>
      </c>
      <c r="C327" s="1" t="str">
        <v>01</v>
      </c>
      <c r="D327" s="1" t="str">
        <v>Maripa</v>
      </c>
      <c r="E327" s="1" t="str">
        <v>12/15/2024</v>
      </c>
      <c r="F327" s="1" t="str">
        <v>Receita da venda de recicláveis</v>
      </c>
      <c r="G327" s="1" t="str">
        <v>Metal</v>
      </c>
      <c r="H327" s="1" t="str">
        <v>Cobre Limpo</v>
      </c>
      <c r="I327" s="1">
        <v>0</v>
      </c>
      <c r="J327" s="1">
        <v>20</v>
      </c>
      <c r="K327" s="1">
        <v>740</v>
      </c>
      <c r="L327" s="1">
        <v>37</v>
      </c>
      <c r="M327" s="1">
        <v>0</v>
      </c>
    </row>
    <row r="328" spans="1:13">
      <c r="A328" s="1" t="s">
        <v>11</v>
      </c>
      <c r="B328" s="1" t="str">
        <v>UVR 01 - Maripa</v>
      </c>
      <c r="C328" s="1" t="str">
        <v>01</v>
      </c>
      <c r="D328" s="1" t="str">
        <v>Maripa</v>
      </c>
      <c r="E328" s="1" t="str">
        <v>12/15/2024</v>
      </c>
      <c r="F328" s="1" t="str">
        <v>Receita da venda de recicláveis</v>
      </c>
      <c r="G328" s="1" t="str">
        <v>Metal</v>
      </c>
      <c r="H328" s="1" t="str">
        <v>Chaparia</v>
      </c>
      <c r="I328" s="1">
        <v>0</v>
      </c>
      <c r="J328" s="1">
        <v>40</v>
      </c>
      <c r="K328" s="1">
        <v>360</v>
      </c>
      <c r="L328" s="1">
        <v>9</v>
      </c>
      <c r="M328" s="1">
        <v>0</v>
      </c>
    </row>
    <row r="329" spans="1:13">
      <c r="A329" s="1" t="s">
        <v>11</v>
      </c>
      <c r="B329" s="1" t="str">
        <v>UVR 01 - Maripa</v>
      </c>
      <c r="C329" s="1" t="str">
        <v>01</v>
      </c>
      <c r="D329" s="1" t="str">
        <v>Maripa</v>
      </c>
      <c r="E329" s="1" t="str">
        <v>12/15/2024</v>
      </c>
      <c r="F329" s="1" t="str">
        <v>Receita da prestação de serviços</v>
      </c>
      <c r="G329" s="1" t="str">
        <v>Contratos</v>
      </c>
      <c r="H329" s="1">
        <v>0</v>
      </c>
      <c r="I329" s="1">
        <v>0</v>
      </c>
      <c r="J329" s="1">
        <v>0</v>
      </c>
      <c r="K329" s="1">
        <v>29503.37</v>
      </c>
      <c r="L329" s="1">
        <v>0</v>
      </c>
      <c r="M329" s="1">
        <v>0</v>
      </c>
    </row>
    <row r="330" spans="1:13">
      <c r="A330" s="1" t="s">
        <v>11</v>
      </c>
      <c r="B330" s="1" t="str" cm="1">
        <f t="array" ref="B330:M332">_xlfn._xlws.FILTER(
    'Micro Dados - Todos'!$A$2:$L$20000,
    ('Micro Dados - Todos'!$C$2:$C$20000=Lacunas!B13) *
    ('Micro Dados - Todos'!$B$2:$B$20000=Lacunas!C13) *
    ('Micro Dados - Todos'!$D$2:$D$20000=Lacunas!F13)
)</f>
        <v>UVR 01 - Palotina</v>
      </c>
      <c r="C330" s="1" t="str">
        <v>01</v>
      </c>
      <c r="D330" s="1" t="str">
        <v>Palotina</v>
      </c>
      <c r="E330" s="1" t="str">
        <v>12/15/2024</v>
      </c>
      <c r="F330" s="1" t="str">
        <v>Receita da venda de recicláveis</v>
      </c>
      <c r="G330" s="1" t="str">
        <v>Papéis</v>
      </c>
      <c r="H330" s="1" t="str">
        <v>Papelão</v>
      </c>
      <c r="I330" s="1">
        <v>0</v>
      </c>
      <c r="J330" s="1">
        <v>33514</v>
      </c>
      <c r="K330" s="1">
        <v>25135.5</v>
      </c>
      <c r="L330" s="1">
        <v>0.75</v>
      </c>
      <c r="M330" s="1">
        <v>0</v>
      </c>
    </row>
    <row r="331" spans="1:13">
      <c r="A331" s="1" t="s">
        <v>11</v>
      </c>
      <c r="B331" s="1" t="str">
        <v>UVR 01 - Palotina</v>
      </c>
      <c r="C331" s="1" t="str">
        <v>01</v>
      </c>
      <c r="D331" s="1" t="str">
        <v>Palotina</v>
      </c>
      <c r="E331" s="1" t="str">
        <v>12/15/2024</v>
      </c>
      <c r="F331" s="1" t="str">
        <v>Despesa</v>
      </c>
      <c r="G331" s="1" t="str">
        <v xml:space="preserve">Alimentação </v>
      </c>
      <c r="H331" s="1">
        <v>0</v>
      </c>
      <c r="I331" s="1">
        <v>0</v>
      </c>
      <c r="J331" s="1">
        <v>0</v>
      </c>
      <c r="K331" s="1">
        <v>4220.76</v>
      </c>
      <c r="L331" s="1">
        <v>0</v>
      </c>
      <c r="M331" s="1">
        <v>0</v>
      </c>
    </row>
    <row r="332" spans="1:13">
      <c r="A332" s="1" t="s">
        <v>11</v>
      </c>
      <c r="B332" s="1" t="str">
        <v>UVR 01 - Palotina</v>
      </c>
      <c r="C332" s="1" t="str">
        <v>01</v>
      </c>
      <c r="D332" s="1" t="str">
        <v>Palotina</v>
      </c>
      <c r="E332" s="1" t="str">
        <v>12/15/2024</v>
      </c>
      <c r="F332" s="1" t="str">
        <v>Despesa</v>
      </c>
      <c r="G332" s="1" t="str">
        <v xml:space="preserve">Combustível  </v>
      </c>
      <c r="H332" s="1">
        <v>0</v>
      </c>
      <c r="I332" s="1">
        <v>0</v>
      </c>
      <c r="J332" s="1">
        <v>0</v>
      </c>
      <c r="K332" s="1">
        <v>231.12</v>
      </c>
      <c r="L332" s="1">
        <v>0</v>
      </c>
      <c r="M332" s="1">
        <v>0</v>
      </c>
    </row>
    <row r="333" spans="1:13">
      <c r="A333" s="1" t="s">
        <v>11</v>
      </c>
      <c r="B333" s="1" t="str" cm="1">
        <f t="array" ref="B333:M361">_xlfn._xlws.FILTER(
    'Micro Dados - Todos'!$A$2:$L$20000,
    ('Micro Dados - Todos'!$C$2:$C$20000=Lacunas!B14) *
    ('Micro Dados - Todos'!$B$2:$B$20000=Lacunas!C14) *
    ('Micro Dados - Todos'!$D$2:$D$20000=Lacunas!F14)
)</f>
        <v>UVR 01 - Assis Chateaubriand</v>
      </c>
      <c r="C333" s="1" t="str">
        <v>01</v>
      </c>
      <c r="D333" s="1" t="str">
        <v>Assis Chateaubriand</v>
      </c>
      <c r="E333" s="1" t="str">
        <v>1/15/2025</v>
      </c>
      <c r="F333" s="1" t="str">
        <v>Receita da venda de recicláveis</v>
      </c>
      <c r="G333" s="1" t="str">
        <v>Papéis</v>
      </c>
      <c r="H333" s="1" t="str">
        <v>Papel Cimento</v>
      </c>
      <c r="I333" s="1">
        <v>0</v>
      </c>
      <c r="J333" s="1">
        <v>1592</v>
      </c>
      <c r="K333" s="1">
        <v>636.79999999999995</v>
      </c>
      <c r="L333" s="1">
        <v>0.4</v>
      </c>
      <c r="M333" s="1">
        <v>0</v>
      </c>
    </row>
    <row r="334" spans="1:13">
      <c r="A334" s="1" t="s">
        <v>11</v>
      </c>
      <c r="B334" s="1" t="str">
        <v>UVR 01 - Assis Chateaubriand</v>
      </c>
      <c r="C334" s="1" t="str">
        <v>01</v>
      </c>
      <c r="D334" s="1" t="str">
        <v>Assis Chateaubriand</v>
      </c>
      <c r="E334" s="1" t="str">
        <v>1/15/2025</v>
      </c>
      <c r="F334" s="1" t="str">
        <v>Receita da venda de recicláveis</v>
      </c>
      <c r="G334" s="1" t="str">
        <v>Papéis</v>
      </c>
      <c r="H334" s="1" t="str">
        <v>Papelão</v>
      </c>
      <c r="I334" s="1">
        <v>0</v>
      </c>
      <c r="J334" s="1">
        <v>22986</v>
      </c>
      <c r="K334" s="1">
        <v>17239.5</v>
      </c>
      <c r="L334" s="1">
        <v>0.75</v>
      </c>
      <c r="M334" s="1">
        <v>0</v>
      </c>
    </row>
    <row r="335" spans="1:13">
      <c r="A335" s="1" t="s">
        <v>11</v>
      </c>
      <c r="B335" s="1" t="str">
        <v>UVR 01 - Assis Chateaubriand</v>
      </c>
      <c r="C335" s="1" t="str">
        <v>01</v>
      </c>
      <c r="D335" s="1" t="str">
        <v>Assis Chateaubriand</v>
      </c>
      <c r="E335" s="1" t="str">
        <v>1/15/2025</v>
      </c>
      <c r="F335" s="1" t="str">
        <v>Receita da venda de recicláveis</v>
      </c>
      <c r="G335" s="1" t="str">
        <v>Papéis</v>
      </c>
      <c r="H335" s="1" t="str">
        <v>Papel Misto</v>
      </c>
      <c r="I335" s="1">
        <v>0</v>
      </c>
      <c r="J335" s="1">
        <v>9886.5</v>
      </c>
      <c r="K335" s="1">
        <v>2965.95</v>
      </c>
      <c r="L335" s="1">
        <v>0.3</v>
      </c>
      <c r="M335" s="1">
        <v>0</v>
      </c>
    </row>
    <row r="336" spans="1:13">
      <c r="A336" s="1" t="s">
        <v>11</v>
      </c>
      <c r="B336" s="1" t="str">
        <v>UVR 01 - Assis Chateaubriand</v>
      </c>
      <c r="C336" s="1" t="str">
        <v>01</v>
      </c>
      <c r="D336" s="1" t="str">
        <v>Assis Chateaubriand</v>
      </c>
      <c r="E336" s="1" t="str">
        <v>1/15/2025</v>
      </c>
      <c r="F336" s="1" t="str">
        <v>Receita da venda de recicláveis</v>
      </c>
      <c r="G336" s="1" t="str">
        <v>Papéis</v>
      </c>
      <c r="H336" s="1" t="str">
        <v>Papel Branco</v>
      </c>
      <c r="I336" s="1">
        <v>0</v>
      </c>
      <c r="J336" s="1">
        <v>3795</v>
      </c>
      <c r="K336" s="1">
        <v>2466.75</v>
      </c>
      <c r="L336" s="1">
        <v>0.65</v>
      </c>
      <c r="M336" s="1">
        <v>0</v>
      </c>
    </row>
    <row r="337" spans="1:13">
      <c r="A337" s="1" t="s">
        <v>11</v>
      </c>
      <c r="B337" s="1" t="str">
        <v>UVR 01 - Assis Chateaubriand</v>
      </c>
      <c r="C337" s="1" t="str">
        <v>01</v>
      </c>
      <c r="D337" s="1" t="str">
        <v>Assis Chateaubriand</v>
      </c>
      <c r="E337" s="1" t="str">
        <v>1/15/2025</v>
      </c>
      <c r="F337" s="1" t="str">
        <v>Receita da venda de recicláveis</v>
      </c>
      <c r="G337" s="1" t="str">
        <v>Papéis</v>
      </c>
      <c r="H337" s="1" t="str">
        <v>Tetra Pack</v>
      </c>
      <c r="I337" s="1">
        <v>0</v>
      </c>
      <c r="J337" s="1">
        <v>1374</v>
      </c>
      <c r="K337" s="1">
        <v>480.9</v>
      </c>
      <c r="L337" s="1">
        <v>0.35</v>
      </c>
      <c r="M337" s="1">
        <v>0</v>
      </c>
    </row>
    <row r="338" spans="1:13">
      <c r="A338" s="1" t="s">
        <v>11</v>
      </c>
      <c r="B338" s="1" t="str">
        <v>UVR 01 - Assis Chateaubriand</v>
      </c>
      <c r="C338" s="1" t="str">
        <v>01</v>
      </c>
      <c r="D338" s="1" t="str">
        <v>Assis Chateaubriand</v>
      </c>
      <c r="E338" s="1" t="str">
        <v>1/15/2025</v>
      </c>
      <c r="F338" s="1" t="str">
        <v>Receita da venda de recicláveis</v>
      </c>
      <c r="G338" s="1" t="str">
        <v>Plástico</v>
      </c>
      <c r="H338" s="1" t="str">
        <v>PVC (Cano, Forro, Tubulação de cano)</v>
      </c>
      <c r="I338" s="1">
        <v>0</v>
      </c>
      <c r="J338" s="1">
        <v>818.5</v>
      </c>
      <c r="K338" s="1">
        <v>818.5</v>
      </c>
      <c r="L338" s="1">
        <v>1</v>
      </c>
      <c r="M338" s="1">
        <v>0</v>
      </c>
    </row>
    <row r="339" spans="1:13">
      <c r="A339" s="1" t="s">
        <v>11</v>
      </c>
      <c r="B339" s="1" t="str">
        <v>UVR 01 - Assis Chateaubriand</v>
      </c>
      <c r="C339" s="1" t="str">
        <v>01</v>
      </c>
      <c r="D339" s="1" t="str">
        <v>Assis Chateaubriand</v>
      </c>
      <c r="E339" s="1" t="str">
        <v>1/15/2025</v>
      </c>
      <c r="F339" s="1" t="str">
        <v>Receita da venda de recicláveis</v>
      </c>
      <c r="G339" s="1" t="str">
        <v>Plástico</v>
      </c>
      <c r="H339" s="1" t="str">
        <v>PEAD (Embalagens de produtos de limpeza)</v>
      </c>
      <c r="I339" s="1">
        <v>0</v>
      </c>
      <c r="J339" s="1">
        <v>918.5</v>
      </c>
      <c r="K339" s="1">
        <v>2112.5500000000002</v>
      </c>
      <c r="L339" s="1">
        <v>2.2999999999999998</v>
      </c>
      <c r="M339" s="1">
        <v>0</v>
      </c>
    </row>
    <row r="340" spans="1:13">
      <c r="A340" s="1" t="s">
        <v>11</v>
      </c>
      <c r="B340" s="1" t="str">
        <v>UVR 01 - Assis Chateaubriand</v>
      </c>
      <c r="C340" s="1" t="str">
        <v>01</v>
      </c>
      <c r="D340" s="1" t="str">
        <v>Assis Chateaubriand</v>
      </c>
      <c r="E340" s="1" t="str">
        <v>1/15/2025</v>
      </c>
      <c r="F340" s="1" t="str">
        <v>Receita da venda de recicláveis</v>
      </c>
      <c r="G340" s="1" t="str">
        <v>Plástico</v>
      </c>
      <c r="H340" s="1" t="str">
        <v>PP Filme (Estralador, embalagens internas de pacotes de bolacha)</v>
      </c>
      <c r="I340" s="1">
        <v>0</v>
      </c>
      <c r="J340" s="1">
        <v>3194.5</v>
      </c>
      <c r="K340" s="1">
        <v>3993.12</v>
      </c>
      <c r="L340" s="1">
        <v>1.25</v>
      </c>
      <c r="M340" s="1">
        <v>0</v>
      </c>
    </row>
    <row r="341" spans="1:13">
      <c r="A341" s="1" t="s">
        <v>11</v>
      </c>
      <c r="B341" s="1" t="str">
        <v>UVR 01 - Assis Chateaubriand</v>
      </c>
      <c r="C341" s="1" t="str">
        <v>01</v>
      </c>
      <c r="D341" s="1" t="str">
        <v>Assis Chateaubriand</v>
      </c>
      <c r="E341" s="1" t="str">
        <v>1/15/2025</v>
      </c>
      <c r="F341" s="1" t="str">
        <v>Receita da venda de recicláveis</v>
      </c>
      <c r="G341" s="1" t="str">
        <v>Plástico</v>
      </c>
      <c r="H341" s="1" t="str">
        <v>PEBD Filme (Sacolinha, Sacos de lixo, Lona Preta)</v>
      </c>
      <c r="I341" s="1">
        <v>0</v>
      </c>
      <c r="J341" s="1">
        <v>4731</v>
      </c>
      <c r="K341" s="1">
        <v>4257.8999999999996</v>
      </c>
      <c r="L341" s="1">
        <v>0.9</v>
      </c>
      <c r="M341" s="1">
        <v>0</v>
      </c>
    </row>
    <row r="342" spans="1:13">
      <c r="A342" s="1" t="s">
        <v>11</v>
      </c>
      <c r="B342" s="1" t="str">
        <v>UVR 01 - Assis Chateaubriand</v>
      </c>
      <c r="C342" s="1" t="str">
        <v>01</v>
      </c>
      <c r="D342" s="1" t="str">
        <v>Assis Chateaubriand</v>
      </c>
      <c r="E342" s="1" t="str">
        <v>1/15/2025</v>
      </c>
      <c r="F342" s="1" t="str">
        <v>Receita da venda de recicláveis</v>
      </c>
      <c r="G342" s="1" t="str">
        <v>Plástico</v>
      </c>
      <c r="H342" s="1" t="str">
        <v>PET Óleo (Embalagens de óleo de cozinha)</v>
      </c>
      <c r="I342" s="1">
        <v>0</v>
      </c>
      <c r="J342" s="1">
        <v>281.5</v>
      </c>
      <c r="K342" s="1">
        <v>337.8</v>
      </c>
      <c r="L342" s="1">
        <v>1.2</v>
      </c>
      <c r="M342" s="1">
        <v>0</v>
      </c>
    </row>
    <row r="343" spans="1:13">
      <c r="A343" s="1" t="s">
        <v>11</v>
      </c>
      <c r="B343" s="1" t="str">
        <v>UVR 01 - Assis Chateaubriand</v>
      </c>
      <c r="C343" s="1" t="str">
        <v>01</v>
      </c>
      <c r="D343" s="1" t="str">
        <v>Assis Chateaubriand</v>
      </c>
      <c r="E343" s="1" t="str">
        <v>1/15/2025</v>
      </c>
      <c r="F343" s="1" t="str">
        <v>Receita da venda de recicláveis</v>
      </c>
      <c r="G343" s="1" t="str">
        <v>Plástico</v>
      </c>
      <c r="H343" s="1" t="str">
        <v>PET Verde (Embalagens de refrigerante verde)</v>
      </c>
      <c r="I343" s="1">
        <v>0</v>
      </c>
      <c r="J343" s="1">
        <v>4477</v>
      </c>
      <c r="K343" s="1">
        <v>18131.849999999999</v>
      </c>
      <c r="L343" s="1">
        <v>4.05</v>
      </c>
      <c r="M343" s="1">
        <v>0</v>
      </c>
    </row>
    <row r="344" spans="1:13">
      <c r="A344" s="1" t="s">
        <v>11</v>
      </c>
      <c r="B344" s="1" t="str">
        <v>UVR 01 - Assis Chateaubriand</v>
      </c>
      <c r="C344" s="1" t="str">
        <v>01</v>
      </c>
      <c r="D344" s="1" t="str">
        <v>Assis Chateaubriand</v>
      </c>
      <c r="E344" s="1" t="str">
        <v>1/15/2025</v>
      </c>
      <c r="F344" s="1" t="str">
        <v>Receita da venda de recicláveis</v>
      </c>
      <c r="G344" s="1" t="str">
        <v>Plástico</v>
      </c>
      <c r="H344" s="1" t="str">
        <v>PP Ráfia (Sacaria)</v>
      </c>
      <c r="I344" s="1">
        <v>0</v>
      </c>
      <c r="J344" s="1">
        <v>2045</v>
      </c>
      <c r="K344" s="1">
        <v>613.5</v>
      </c>
      <c r="L344" s="1">
        <v>0.3</v>
      </c>
      <c r="M344" s="1">
        <v>0</v>
      </c>
    </row>
    <row r="345" spans="1:13">
      <c r="A345" s="1" t="s">
        <v>11</v>
      </c>
      <c r="B345" s="1" t="str">
        <v>UVR 01 - Assis Chateaubriand</v>
      </c>
      <c r="C345" s="1" t="str">
        <v>01</v>
      </c>
      <c r="D345" s="1" t="str">
        <v>Assis Chateaubriand</v>
      </c>
      <c r="E345" s="1" t="str">
        <v>1/15/2025</v>
      </c>
      <c r="F345" s="1" t="str">
        <v>Receita da venda de recicláveis</v>
      </c>
      <c r="G345" s="1" t="str">
        <v>Plástico</v>
      </c>
      <c r="H345" s="1" t="str">
        <v>PEAD (Embalagens de produtos de limpeza)</v>
      </c>
      <c r="I345" s="1">
        <v>0</v>
      </c>
      <c r="J345" s="1">
        <v>1433</v>
      </c>
      <c r="K345" s="1">
        <v>3367.55</v>
      </c>
      <c r="L345" s="1">
        <v>2.35</v>
      </c>
      <c r="M345" s="1">
        <v>0</v>
      </c>
    </row>
    <row r="346" spans="1:13">
      <c r="A346" s="1" t="s">
        <v>11</v>
      </c>
      <c r="B346" s="1" t="str">
        <v>UVR 01 - Assis Chateaubriand</v>
      </c>
      <c r="C346" s="1" t="str">
        <v>01</v>
      </c>
      <c r="D346" s="1" t="str">
        <v>Assis Chateaubriand</v>
      </c>
      <c r="E346" s="1" t="str">
        <v>1/15/2025</v>
      </c>
      <c r="F346" s="1" t="str">
        <v>Receita da venda de recicláveis</v>
      </c>
      <c r="G346" s="1" t="str">
        <v>Plástico</v>
      </c>
      <c r="H346" s="1" t="str">
        <v>PEBD Filme (Sacolinha, Sacos de lixo, Lona Preta)</v>
      </c>
      <c r="I346" s="1">
        <v>0</v>
      </c>
      <c r="J346" s="1">
        <v>1478</v>
      </c>
      <c r="K346" s="1">
        <v>2069.1999999999998</v>
      </c>
      <c r="L346" s="1">
        <v>1.4</v>
      </c>
      <c r="M346" s="1">
        <v>0</v>
      </c>
    </row>
    <row r="347" spans="1:13">
      <c r="A347" s="1" t="s">
        <v>11</v>
      </c>
      <c r="B347" s="1" t="str">
        <v>UVR 01 - Assis Chateaubriand</v>
      </c>
      <c r="C347" s="1" t="str">
        <v>01</v>
      </c>
      <c r="D347" s="1" t="str">
        <v>Assis Chateaubriand</v>
      </c>
      <c r="E347" s="1" t="str">
        <v>1/15/2025</v>
      </c>
      <c r="F347" s="1" t="str">
        <v>Receita da venda de recicláveis</v>
      </c>
      <c r="G347" s="1" t="str">
        <v>Plástico</v>
      </c>
      <c r="H347" s="1" t="str">
        <v>PET Colorido (Embalagens de PET colorido, PET bagunça)</v>
      </c>
      <c r="I347" s="1">
        <v>0</v>
      </c>
      <c r="J347" s="1">
        <v>398.5</v>
      </c>
      <c r="K347" s="1">
        <v>79.7</v>
      </c>
      <c r="L347" s="1">
        <v>0.2</v>
      </c>
      <c r="M347" s="1">
        <v>0</v>
      </c>
    </row>
    <row r="348" spans="1:13">
      <c r="A348" s="1" t="s">
        <v>11</v>
      </c>
      <c r="B348" s="1" t="str">
        <v>UVR 01 - Assis Chateaubriand</v>
      </c>
      <c r="C348" s="1" t="str">
        <v>01</v>
      </c>
      <c r="D348" s="1" t="str">
        <v>Assis Chateaubriand</v>
      </c>
      <c r="E348" s="1" t="str">
        <v>1/15/2025</v>
      </c>
      <c r="F348" s="1" t="str">
        <v>Receita da venda de recicláveis</v>
      </c>
      <c r="G348" s="1" t="str">
        <v>Metal</v>
      </c>
      <c r="H348" s="1" t="str">
        <v>Alumínio Latinha</v>
      </c>
      <c r="I348" s="1">
        <v>0</v>
      </c>
      <c r="J348" s="1">
        <v>133</v>
      </c>
      <c r="K348" s="1">
        <v>1064</v>
      </c>
      <c r="L348" s="1">
        <v>8</v>
      </c>
      <c r="M348" s="1">
        <v>0</v>
      </c>
    </row>
    <row r="349" spans="1:13">
      <c r="A349" s="1" t="s">
        <v>11</v>
      </c>
      <c r="B349" s="1" t="str">
        <v>UVR 01 - Assis Chateaubriand</v>
      </c>
      <c r="C349" s="1" t="str">
        <v>01</v>
      </c>
      <c r="D349" s="1" t="str">
        <v>Assis Chateaubriand</v>
      </c>
      <c r="E349" s="1" t="str">
        <v>1/15/2025</v>
      </c>
      <c r="F349" s="1" t="str">
        <v>Despesa</v>
      </c>
      <c r="G349" s="1" t="str">
        <v xml:space="preserve">Equipamentos de Proteção Individual  </v>
      </c>
      <c r="H349" s="1">
        <v>0</v>
      </c>
      <c r="I349" s="1">
        <v>0</v>
      </c>
      <c r="J349" s="1">
        <v>0</v>
      </c>
      <c r="K349" s="1">
        <v>60</v>
      </c>
      <c r="L349" s="1">
        <v>0</v>
      </c>
      <c r="M349" s="1">
        <v>0</v>
      </c>
    </row>
    <row r="350" spans="1:13">
      <c r="A350" s="1" t="s">
        <v>11</v>
      </c>
      <c r="B350" s="1" t="str">
        <v>UVR 01 - Assis Chateaubriand</v>
      </c>
      <c r="C350" s="1" t="str">
        <v>01</v>
      </c>
      <c r="D350" s="1" t="str">
        <v>Assis Chateaubriand</v>
      </c>
      <c r="E350" s="1" t="str">
        <v>1/15/2025</v>
      </c>
      <c r="F350" s="1" t="str">
        <v>Despesa</v>
      </c>
      <c r="G350" s="1" t="str">
        <v>Outra Despesa</v>
      </c>
      <c r="H350" s="1" t="str">
        <v>null</v>
      </c>
      <c r="I350" s="1">
        <v>0</v>
      </c>
      <c r="J350" s="1">
        <v>0</v>
      </c>
      <c r="K350" s="1">
        <v>327.02999999999997</v>
      </c>
      <c r="L350" s="1">
        <v>0</v>
      </c>
      <c r="M350" s="1" t="str">
        <v>Cesta de relacionamento e seguro de vida</v>
      </c>
    </row>
    <row r="351" spans="1:13">
      <c r="A351" s="1" t="s">
        <v>11</v>
      </c>
      <c r="B351" s="1" t="str">
        <v>UVR 01 - Assis Chateaubriand</v>
      </c>
      <c r="C351" s="1" t="str">
        <v>01</v>
      </c>
      <c r="D351" s="1" t="str">
        <v>Assis Chateaubriand</v>
      </c>
      <c r="E351" s="1" t="str">
        <v>1/15/2025</v>
      </c>
      <c r="F351" s="1" t="str">
        <v>Despesa</v>
      </c>
      <c r="G351" s="1" t="str">
        <v xml:space="preserve">Conserto e manutenção de equipamentos/veículo   </v>
      </c>
      <c r="H351" s="1" t="str">
        <v>null</v>
      </c>
      <c r="I351" s="1">
        <v>0</v>
      </c>
      <c r="J351" s="1">
        <v>0</v>
      </c>
      <c r="K351" s="1">
        <v>3417.6</v>
      </c>
      <c r="L351" s="1">
        <v>0</v>
      </c>
      <c r="M351" s="1">
        <v>0</v>
      </c>
    </row>
    <row r="352" spans="1:13">
      <c r="A352" s="1" t="s">
        <v>11</v>
      </c>
      <c r="B352" s="1" t="str">
        <v>UVR 01 - Assis Chateaubriand</v>
      </c>
      <c r="C352" s="1" t="str">
        <v>01</v>
      </c>
      <c r="D352" s="1" t="str">
        <v>Assis Chateaubriand</v>
      </c>
      <c r="E352" s="1" t="str">
        <v>1/15/2025</v>
      </c>
      <c r="F352" s="1" t="str">
        <v>Despesa</v>
      </c>
      <c r="G352" s="1" t="str">
        <v>Outra Despesa</v>
      </c>
      <c r="H352" s="1" t="str">
        <v>null</v>
      </c>
      <c r="I352" s="1">
        <v>0</v>
      </c>
      <c r="J352" s="1">
        <v>0</v>
      </c>
      <c r="K352" s="1">
        <v>1200</v>
      </c>
      <c r="L352" s="1">
        <v>0</v>
      </c>
      <c r="M352" s="1" t="str">
        <v xml:space="preserve">Saúde Integrada a todos associados </v>
      </c>
    </row>
    <row r="353" spans="1:13">
      <c r="A353" s="1" t="s">
        <v>11</v>
      </c>
      <c r="B353" s="1" t="str">
        <v>UVR 01 - Assis Chateaubriand</v>
      </c>
      <c r="C353" s="1" t="str">
        <v>01</v>
      </c>
      <c r="D353" s="1" t="str">
        <v>Assis Chateaubriand</v>
      </c>
      <c r="E353" s="1" t="str">
        <v>1/15/2025</v>
      </c>
      <c r="F353" s="1" t="str">
        <v>Receita da prestação de serviços</v>
      </c>
      <c r="G353" s="1" t="str">
        <v>Outro Serviço</v>
      </c>
      <c r="H353" s="1" t="str">
        <v>null</v>
      </c>
      <c r="I353" s="1">
        <v>0</v>
      </c>
      <c r="J353" s="1">
        <v>0</v>
      </c>
      <c r="K353" s="1">
        <v>12.8</v>
      </c>
      <c r="L353" s="1">
        <v>0</v>
      </c>
      <c r="M353" s="1" t="str">
        <v>Manutenção</v>
      </c>
    </row>
    <row r="354" spans="1:13">
      <c r="A354" s="1" t="s">
        <v>11</v>
      </c>
      <c r="B354" s="1" t="str">
        <v>UVR 01 - Assis Chateaubriand</v>
      </c>
      <c r="C354" s="1" t="str">
        <v>01</v>
      </c>
      <c r="D354" s="1" t="str">
        <v>Assis Chateaubriand</v>
      </c>
      <c r="E354" s="1" t="str">
        <v>1/15/2025</v>
      </c>
      <c r="F354" s="1" t="str">
        <v>Despesa</v>
      </c>
      <c r="G354" s="1" t="str">
        <v xml:space="preserve">Alimentação </v>
      </c>
      <c r="H354" s="1" t="str">
        <v>null</v>
      </c>
      <c r="I354" s="1">
        <v>0</v>
      </c>
      <c r="J354" s="1">
        <v>0</v>
      </c>
      <c r="K354" s="1">
        <v>684.72</v>
      </c>
      <c r="L354" s="1">
        <v>0</v>
      </c>
      <c r="M354" s="1">
        <v>0</v>
      </c>
    </row>
    <row r="355" spans="1:13">
      <c r="A355" s="1" t="s">
        <v>11</v>
      </c>
      <c r="B355" s="1" t="str">
        <v>UVR 01 - Assis Chateaubriand</v>
      </c>
      <c r="C355" s="1" t="str">
        <v>01</v>
      </c>
      <c r="D355" s="1" t="str">
        <v>Assis Chateaubriand</v>
      </c>
      <c r="E355" s="1" t="str">
        <v>1/15/2025</v>
      </c>
      <c r="F355" s="1" t="str">
        <v>Despesa</v>
      </c>
      <c r="G355" s="1" t="str">
        <v xml:space="preserve">Alimentação </v>
      </c>
      <c r="H355" s="1" t="str">
        <v>null</v>
      </c>
      <c r="I355" s="1">
        <v>0</v>
      </c>
      <c r="J355" s="1">
        <v>0</v>
      </c>
      <c r="K355" s="1">
        <v>436.89</v>
      </c>
      <c r="L355" s="1">
        <v>0</v>
      </c>
      <c r="M355" s="1">
        <v>0</v>
      </c>
    </row>
    <row r="356" spans="1:13">
      <c r="A356" s="1" t="s">
        <v>11</v>
      </c>
      <c r="B356" s="1" t="str">
        <v>UVR 01 - Assis Chateaubriand</v>
      </c>
      <c r="C356" s="1" t="str">
        <v>01</v>
      </c>
      <c r="D356" s="1" t="str">
        <v>Assis Chateaubriand</v>
      </c>
      <c r="E356" s="1" t="str">
        <v>1/15/2025</v>
      </c>
      <c r="F356" s="1" t="str">
        <v>Despesa</v>
      </c>
      <c r="G356" s="1" t="str">
        <v xml:space="preserve">Materiais administrativos  </v>
      </c>
      <c r="H356" s="1" t="str">
        <v>null</v>
      </c>
      <c r="I356" s="1">
        <v>0</v>
      </c>
      <c r="J356" s="1">
        <v>0</v>
      </c>
      <c r="K356" s="1">
        <v>114</v>
      </c>
      <c r="L356" s="1">
        <v>0</v>
      </c>
      <c r="M356" s="1">
        <v>0</v>
      </c>
    </row>
    <row r="357" spans="1:13">
      <c r="A357" s="1" t="s">
        <v>11</v>
      </c>
      <c r="B357" s="1" t="str">
        <v>UVR 01 - Assis Chateaubriand</v>
      </c>
      <c r="C357" s="1" t="str">
        <v>01</v>
      </c>
      <c r="D357" s="1" t="str">
        <v>Assis Chateaubriand</v>
      </c>
      <c r="E357" s="1" t="str">
        <v>1/15/2025</v>
      </c>
      <c r="F357" s="1" t="str">
        <v>Despesa</v>
      </c>
      <c r="G357" s="1" t="str">
        <v>Outra Despesa</v>
      </c>
      <c r="H357" s="1" t="str">
        <v>null</v>
      </c>
      <c r="I357" s="1">
        <v>0</v>
      </c>
      <c r="J357" s="1">
        <v>0</v>
      </c>
      <c r="K357" s="1">
        <v>149.9</v>
      </c>
      <c r="L357" s="1">
        <v>0</v>
      </c>
      <c r="M357" s="1" t="str">
        <v>Internet</v>
      </c>
    </row>
    <row r="358" spans="1:13">
      <c r="A358" s="1" t="s">
        <v>11</v>
      </c>
      <c r="B358" s="1" t="str">
        <v>UVR 01 - Assis Chateaubriand</v>
      </c>
      <c r="C358" s="1" t="str">
        <v>01</v>
      </c>
      <c r="D358" s="1" t="str">
        <v>Assis Chateaubriand</v>
      </c>
      <c r="E358" s="1" t="str">
        <v>1/15/2025</v>
      </c>
      <c r="F358" s="1" t="str">
        <v>Despesa</v>
      </c>
      <c r="G358" s="1" t="str">
        <v xml:space="preserve">Materiais de limpeza </v>
      </c>
      <c r="H358" s="1" t="str">
        <v>null</v>
      </c>
      <c r="I358" s="1">
        <v>0</v>
      </c>
      <c r="J358" s="1">
        <v>0</v>
      </c>
      <c r="K358" s="1">
        <v>247.83</v>
      </c>
      <c r="L358" s="1">
        <v>0</v>
      </c>
      <c r="M358" s="1">
        <v>0</v>
      </c>
    </row>
    <row r="359" spans="1:13">
      <c r="A359" s="1" t="s">
        <v>11</v>
      </c>
      <c r="B359" s="1" t="str">
        <v>UVR 01 - Assis Chateaubriand</v>
      </c>
      <c r="C359" s="1" t="str">
        <v>01</v>
      </c>
      <c r="D359" s="1" t="str">
        <v>Assis Chateaubriand</v>
      </c>
      <c r="E359" s="1" t="str">
        <v>1/15/2025</v>
      </c>
      <c r="F359" s="1" t="str">
        <v>Despesa</v>
      </c>
      <c r="G359" s="1" t="str">
        <v xml:space="preserve">Equipamentos de Proteção Individual  </v>
      </c>
      <c r="H359" s="1">
        <v>0</v>
      </c>
      <c r="I359" s="1">
        <v>0</v>
      </c>
      <c r="J359" s="1">
        <v>0</v>
      </c>
      <c r="K359" s="1">
        <v>225</v>
      </c>
      <c r="L359" s="1">
        <v>0</v>
      </c>
      <c r="M359" s="1">
        <v>0</v>
      </c>
    </row>
    <row r="360" spans="1:13">
      <c r="A360" s="1" t="s">
        <v>11</v>
      </c>
      <c r="B360" s="1" t="str">
        <v>UVR 01 - Assis Chateaubriand</v>
      </c>
      <c r="C360" s="1" t="str">
        <v>01</v>
      </c>
      <c r="D360" s="1" t="str">
        <v>Assis Chateaubriand</v>
      </c>
      <c r="E360" s="1" t="str">
        <v>1/15/2025</v>
      </c>
      <c r="F360" s="1" t="str">
        <v>Rejeito</v>
      </c>
      <c r="G360" s="1" t="str">
        <v>Rejeito</v>
      </c>
      <c r="H360" s="1" t="str">
        <v>null</v>
      </c>
      <c r="I360" s="1">
        <v>0</v>
      </c>
      <c r="J360" s="1">
        <v>26447</v>
      </c>
      <c r="K360" s="1">
        <v>0</v>
      </c>
      <c r="L360" s="1">
        <v>0</v>
      </c>
      <c r="M360" s="1">
        <v>0</v>
      </c>
    </row>
    <row r="361" spans="1:13">
      <c r="A361" s="1" t="s">
        <v>11</v>
      </c>
      <c r="B361" s="1" t="str">
        <v>UVR 01 - Assis Chateaubriand</v>
      </c>
      <c r="C361" s="1" t="str">
        <v>01</v>
      </c>
      <c r="D361" s="1" t="str">
        <v>Assis Chateaubriand</v>
      </c>
      <c r="E361" s="1" t="str">
        <v>1/15/2025</v>
      </c>
      <c r="F361" s="1" t="str">
        <v>Receita da prestação de serviços</v>
      </c>
      <c r="G361" s="1" t="str">
        <v>Contratos</v>
      </c>
      <c r="H361" s="1" t="str">
        <v>null</v>
      </c>
      <c r="I361" s="1">
        <v>0</v>
      </c>
      <c r="J361" s="1">
        <v>0</v>
      </c>
      <c r="K361" s="1">
        <v>20839.7</v>
      </c>
      <c r="L361" s="1">
        <v>0</v>
      </c>
      <c r="M361" s="1">
        <v>0</v>
      </c>
    </row>
    <row r="362" spans="1:13">
      <c r="A362" s="1" t="s">
        <v>11</v>
      </c>
      <c r="B362" s="1" t="str" cm="1">
        <f t="array" ref="B362:M386">_xlfn._xlws.FILTER(
    'Micro Dados - Todos'!$A$2:$L$20000,
    ('Micro Dados - Todos'!$C$2:$C$20000=Lacunas!B15) *
    ('Micro Dados - Todos'!$B$2:$B$20000=Lacunas!C15) *
    ('Micro Dados - Todos'!$D$2:$D$20000=Lacunas!F15)
)</f>
        <v>UVR 01 - Brasilândia do Sul</v>
      </c>
      <c r="C362" s="1" t="str">
        <v>01</v>
      </c>
      <c r="D362" s="1" t="str">
        <v>Brasilândia do Sul</v>
      </c>
      <c r="E362" s="1" t="str">
        <v>1/15/2025</v>
      </c>
      <c r="F362" s="1" t="str">
        <v>Receita da venda de recicláveis</v>
      </c>
      <c r="G362" s="1" t="str">
        <v>Papéis</v>
      </c>
      <c r="H362" s="1" t="str">
        <v>Papelão</v>
      </c>
      <c r="I362" s="1">
        <v>0</v>
      </c>
      <c r="J362" s="1">
        <v>2845</v>
      </c>
      <c r="K362" s="1">
        <v>1991.5</v>
      </c>
      <c r="L362" s="1">
        <v>0.7</v>
      </c>
      <c r="M362" s="1">
        <v>0</v>
      </c>
    </row>
    <row r="363" spans="1:13">
      <c r="A363" s="1" t="s">
        <v>11</v>
      </c>
      <c r="B363" s="1" t="str">
        <v>UVR 01 - Brasilândia do Sul</v>
      </c>
      <c r="C363" s="1" t="str">
        <v>01</v>
      </c>
      <c r="D363" s="1" t="str">
        <v>Brasilândia do Sul</v>
      </c>
      <c r="E363" s="1" t="str">
        <v>1/15/2025</v>
      </c>
      <c r="F363" s="1" t="str">
        <v>Receita da venda de recicláveis</v>
      </c>
      <c r="G363" s="1" t="str">
        <v>Plástico</v>
      </c>
      <c r="H363" s="1" t="str">
        <v>PEAD Filme (Cristal)</v>
      </c>
      <c r="I363" s="1">
        <v>0</v>
      </c>
      <c r="J363" s="1">
        <v>417</v>
      </c>
      <c r="K363" s="1">
        <v>542.1</v>
      </c>
      <c r="L363" s="1">
        <v>1.3</v>
      </c>
      <c r="M363" s="1">
        <v>0</v>
      </c>
    </row>
    <row r="364" spans="1:13">
      <c r="A364" s="1" t="s">
        <v>11</v>
      </c>
      <c r="B364" s="1" t="str">
        <v>UVR 01 - Brasilândia do Sul</v>
      </c>
      <c r="C364" s="1" t="str">
        <v>01</v>
      </c>
      <c r="D364" s="1" t="str">
        <v>Brasilândia do Sul</v>
      </c>
      <c r="E364" s="1" t="str">
        <v>1/15/2025</v>
      </c>
      <c r="F364" s="1" t="str">
        <v>Receita da venda de recicláveis</v>
      </c>
      <c r="G364" s="1" t="str">
        <v>Papéis</v>
      </c>
      <c r="H364" s="1" t="str">
        <v>Papel Misto</v>
      </c>
      <c r="I364" s="1">
        <v>0</v>
      </c>
      <c r="J364" s="1">
        <v>1139</v>
      </c>
      <c r="K364" s="1">
        <v>341.7</v>
      </c>
      <c r="L364" s="1">
        <v>0.3</v>
      </c>
      <c r="M364" s="1">
        <v>0</v>
      </c>
    </row>
    <row r="365" spans="1:13">
      <c r="A365" s="1" t="s">
        <v>11</v>
      </c>
      <c r="B365" s="1" t="str">
        <v>UVR 01 - Brasilândia do Sul</v>
      </c>
      <c r="C365" s="1" t="str">
        <v>01</v>
      </c>
      <c r="D365" s="1" t="str">
        <v>Brasilândia do Sul</v>
      </c>
      <c r="E365" s="1" t="str">
        <v>1/15/2025</v>
      </c>
      <c r="F365" s="1" t="str">
        <v>Receita da venda de recicláveis</v>
      </c>
      <c r="G365" s="1" t="str">
        <v>Plástico</v>
      </c>
      <c r="H365" s="1" t="str">
        <v>PET Cristal (Embalagens de refrigerante transparente)</v>
      </c>
      <c r="I365" s="1">
        <v>0</v>
      </c>
      <c r="J365" s="1">
        <v>484</v>
      </c>
      <c r="K365" s="1">
        <v>1694</v>
      </c>
      <c r="L365" s="1">
        <v>3.5</v>
      </c>
      <c r="M365" s="1">
        <v>0</v>
      </c>
    </row>
    <row r="366" spans="1:13">
      <c r="A366" s="1" t="s">
        <v>11</v>
      </c>
      <c r="B366" s="1" t="str">
        <v>UVR 01 - Brasilândia do Sul</v>
      </c>
      <c r="C366" s="1" t="str">
        <v>01</v>
      </c>
      <c r="D366" s="1" t="str">
        <v>Brasilândia do Sul</v>
      </c>
      <c r="E366" s="1" t="str">
        <v>1/15/2025</v>
      </c>
      <c r="F366" s="1" t="str">
        <v>Receita da venda de recicláveis</v>
      </c>
      <c r="G366" s="1" t="str">
        <v>Plástico</v>
      </c>
      <c r="H366" s="1" t="str">
        <v>PET Verde (Embalagens de refrigerante verde)</v>
      </c>
      <c r="I366" s="1">
        <v>0</v>
      </c>
      <c r="J366" s="1">
        <v>144</v>
      </c>
      <c r="K366" s="1">
        <v>504</v>
      </c>
      <c r="L366" s="1">
        <v>3.5</v>
      </c>
      <c r="M366" s="1">
        <v>0</v>
      </c>
    </row>
    <row r="367" spans="1:13">
      <c r="A367" s="1" t="s">
        <v>11</v>
      </c>
      <c r="B367" s="1" t="str">
        <v>UVR 01 - Brasilândia do Sul</v>
      </c>
      <c r="C367" s="1" t="str">
        <v>01</v>
      </c>
      <c r="D367" s="1" t="str">
        <v>Brasilândia do Sul</v>
      </c>
      <c r="E367" s="1" t="str">
        <v>1/15/2025</v>
      </c>
      <c r="F367" s="1" t="str">
        <v>Receita da venda de recicláveis</v>
      </c>
      <c r="G367" s="1" t="str">
        <v>Plástico</v>
      </c>
      <c r="H367" s="1" t="str">
        <v>PEAD (Embalagens de produtos de limpeza)</v>
      </c>
      <c r="I367" s="1">
        <v>0</v>
      </c>
      <c r="J367" s="1">
        <v>297</v>
      </c>
      <c r="K367" s="1">
        <v>59.4</v>
      </c>
      <c r="L367" s="1">
        <v>0.2</v>
      </c>
      <c r="M367" s="1">
        <v>0</v>
      </c>
    </row>
    <row r="368" spans="1:13">
      <c r="A368" s="1" t="s">
        <v>11</v>
      </c>
      <c r="B368" s="1" t="str">
        <v>UVR 01 - Brasilândia do Sul</v>
      </c>
      <c r="C368" s="1" t="str">
        <v>01</v>
      </c>
      <c r="D368" s="1" t="str">
        <v>Brasilândia do Sul</v>
      </c>
      <c r="E368" s="1" t="str">
        <v>1/15/2025</v>
      </c>
      <c r="F368" s="1" t="str">
        <v>Receita da venda de recicláveis</v>
      </c>
      <c r="G368" s="1" t="str">
        <v>Papéis</v>
      </c>
      <c r="H368" s="1" t="str">
        <v>Papel Cimento</v>
      </c>
      <c r="I368" s="1">
        <v>0</v>
      </c>
      <c r="J368" s="1">
        <v>332</v>
      </c>
      <c r="K368" s="1">
        <v>66.400000000000006</v>
      </c>
      <c r="L368" s="1">
        <v>0.2</v>
      </c>
      <c r="M368" s="1">
        <v>0</v>
      </c>
    </row>
    <row r="369" spans="1:13">
      <c r="A369" s="1" t="s">
        <v>11</v>
      </c>
      <c r="B369" s="1" t="str">
        <v>UVR 01 - Brasilândia do Sul</v>
      </c>
      <c r="C369" s="1" t="str">
        <v>01</v>
      </c>
      <c r="D369" s="1" t="str">
        <v>Brasilândia do Sul</v>
      </c>
      <c r="E369" s="1" t="str">
        <v>1/15/2025</v>
      </c>
      <c r="F369" s="1" t="str">
        <v>Receita da venda de recicláveis</v>
      </c>
      <c r="G369" s="1" t="str">
        <v>Plástico</v>
      </c>
      <c r="H369" s="1" t="str">
        <v>PP Rígido (Balde, bacia, potes de sorvetes, margarina, entre outros)</v>
      </c>
      <c r="I369" s="1">
        <v>0</v>
      </c>
      <c r="J369" s="1">
        <v>348</v>
      </c>
      <c r="K369" s="1">
        <v>208.8</v>
      </c>
      <c r="L369" s="1">
        <v>0.6</v>
      </c>
      <c r="M369" s="1">
        <v>0</v>
      </c>
    </row>
    <row r="370" spans="1:13">
      <c r="A370" s="1" t="s">
        <v>11</v>
      </c>
      <c r="B370" s="1" t="str">
        <v>UVR 01 - Brasilândia do Sul</v>
      </c>
      <c r="C370" s="1" t="str">
        <v>01</v>
      </c>
      <c r="D370" s="1" t="str">
        <v>Brasilândia do Sul</v>
      </c>
      <c r="E370" s="1" t="str">
        <v>1/15/2025</v>
      </c>
      <c r="F370" s="1" t="str">
        <v>Receita da venda de recicláveis</v>
      </c>
      <c r="G370" s="1" t="str">
        <v>Plástico</v>
      </c>
      <c r="H370" s="1" t="str">
        <v>PEAD (Embalagens de produtos de limpeza)</v>
      </c>
      <c r="I370" s="1">
        <v>0</v>
      </c>
      <c r="J370" s="1">
        <v>283</v>
      </c>
      <c r="K370" s="1">
        <v>594.29999999999995</v>
      </c>
      <c r="L370" s="1">
        <v>2.1</v>
      </c>
      <c r="M370" s="1">
        <v>0</v>
      </c>
    </row>
    <row r="371" spans="1:13">
      <c r="A371" s="1" t="s">
        <v>11</v>
      </c>
      <c r="B371" s="1" t="str">
        <v>UVR 01 - Brasilândia do Sul</v>
      </c>
      <c r="C371" s="1" t="str">
        <v>01</v>
      </c>
      <c r="D371" s="1" t="str">
        <v>Brasilândia do Sul</v>
      </c>
      <c r="E371" s="1" t="str">
        <v>1/15/2025</v>
      </c>
      <c r="F371" s="1" t="str">
        <v>Receita da venda de recicláveis</v>
      </c>
      <c r="G371" s="1" t="str">
        <v>Plástico</v>
      </c>
      <c r="H371" s="1" t="str">
        <v>PET Colorido (Embalagens de PET colorido, PET bagunça)</v>
      </c>
      <c r="I371" s="1">
        <v>0</v>
      </c>
      <c r="J371" s="1">
        <v>55</v>
      </c>
      <c r="K371" s="1">
        <v>2.75</v>
      </c>
      <c r="L371" s="1">
        <v>0.05</v>
      </c>
      <c r="M371" s="1">
        <v>0</v>
      </c>
    </row>
    <row r="372" spans="1:13">
      <c r="A372" s="1" t="s">
        <v>11</v>
      </c>
      <c r="B372" s="1" t="str">
        <v>UVR 01 - Brasilândia do Sul</v>
      </c>
      <c r="C372" s="1" t="str">
        <v>01</v>
      </c>
      <c r="D372" s="1" t="str">
        <v>Brasilândia do Sul</v>
      </c>
      <c r="E372" s="1" t="str">
        <v>1/15/2025</v>
      </c>
      <c r="F372" s="1" t="str">
        <v>Receita da venda de recicláveis</v>
      </c>
      <c r="G372" s="1" t="str">
        <v>Plástico</v>
      </c>
      <c r="H372" s="1" t="str">
        <v>PP Mineral (Copinho de água mineral)</v>
      </c>
      <c r="I372" s="1">
        <v>0</v>
      </c>
      <c r="J372" s="1">
        <v>27</v>
      </c>
      <c r="K372" s="1">
        <v>5.4</v>
      </c>
      <c r="L372" s="1">
        <v>0.2</v>
      </c>
      <c r="M372" s="1">
        <v>0</v>
      </c>
    </row>
    <row r="373" spans="1:13">
      <c r="A373" s="1" t="s">
        <v>11</v>
      </c>
      <c r="B373" s="1" t="str">
        <v>UVR 01 - Brasilândia do Sul</v>
      </c>
      <c r="C373" s="1" t="str">
        <v>01</v>
      </c>
      <c r="D373" s="1" t="str">
        <v>Brasilândia do Sul</v>
      </c>
      <c r="E373" s="1" t="str">
        <v>1/15/2025</v>
      </c>
      <c r="F373" s="1" t="str">
        <v>Receita da venda de recicláveis</v>
      </c>
      <c r="G373" s="1" t="str">
        <v>Plástico</v>
      </c>
      <c r="H373" s="1" t="str">
        <v>PEBD Filme (Sacolinha, Sacos de lixo, Lona Preta)</v>
      </c>
      <c r="I373" s="1">
        <v>0</v>
      </c>
      <c r="J373" s="1">
        <v>654</v>
      </c>
      <c r="K373" s="1">
        <v>327</v>
      </c>
      <c r="L373" s="1">
        <v>0.5</v>
      </c>
      <c r="M373" s="1">
        <v>0</v>
      </c>
    </row>
    <row r="374" spans="1:13">
      <c r="A374" s="1" t="s">
        <v>11</v>
      </c>
      <c r="B374" s="1" t="str">
        <v>UVR 01 - Brasilândia do Sul</v>
      </c>
      <c r="C374" s="1" t="str">
        <v>01</v>
      </c>
      <c r="D374" s="1" t="str">
        <v>Brasilândia do Sul</v>
      </c>
      <c r="E374" s="1" t="str">
        <v>1/15/2025</v>
      </c>
      <c r="F374" s="1" t="str">
        <v>Receita da venda de recicláveis</v>
      </c>
      <c r="G374" s="1" t="str">
        <v>Papéis</v>
      </c>
      <c r="H374" s="1" t="str">
        <v>Papel Branco</v>
      </c>
      <c r="I374" s="1">
        <v>0</v>
      </c>
      <c r="J374" s="1">
        <v>427</v>
      </c>
      <c r="K374" s="1">
        <v>170.8</v>
      </c>
      <c r="L374" s="1">
        <v>0.4</v>
      </c>
      <c r="M374" s="1">
        <v>0</v>
      </c>
    </row>
    <row r="375" spans="1:13">
      <c r="A375" s="1" t="s">
        <v>11</v>
      </c>
      <c r="B375" s="1" t="str">
        <v>UVR 01 - Brasilândia do Sul</v>
      </c>
      <c r="C375" s="1" t="str">
        <v>01</v>
      </c>
      <c r="D375" s="1" t="str">
        <v>Brasilândia do Sul</v>
      </c>
      <c r="E375" s="1" t="str">
        <v>1/15/2025</v>
      </c>
      <c r="F375" s="1" t="str">
        <v>Receita da venda de recicláveis</v>
      </c>
      <c r="G375" s="1" t="str">
        <v>Plástico</v>
      </c>
      <c r="H375" s="1" t="str">
        <v>PP Filme (Estralador, embalagens internas de pacotes de bolacha)</v>
      </c>
      <c r="I375" s="1">
        <v>0</v>
      </c>
      <c r="J375" s="1">
        <v>83</v>
      </c>
      <c r="K375" s="1">
        <v>4.1500000000000004</v>
      </c>
      <c r="L375" s="1">
        <v>0.05</v>
      </c>
      <c r="M375" s="1">
        <v>0</v>
      </c>
    </row>
    <row r="376" spans="1:13">
      <c r="A376" s="1" t="s">
        <v>11</v>
      </c>
      <c r="B376" s="1" t="str">
        <v>UVR 01 - Brasilândia do Sul</v>
      </c>
      <c r="C376" s="1" t="str">
        <v>01</v>
      </c>
      <c r="D376" s="1" t="str">
        <v>Brasilândia do Sul</v>
      </c>
      <c r="E376" s="1" t="str">
        <v>1/15/2025</v>
      </c>
      <c r="F376" s="1" t="str">
        <v>Receita da venda de recicláveis</v>
      </c>
      <c r="G376" s="1" t="str">
        <v>Papéis</v>
      </c>
      <c r="H376" s="1" t="str">
        <v>Tetra Pack</v>
      </c>
      <c r="I376" s="1">
        <v>0</v>
      </c>
      <c r="J376" s="1">
        <v>294</v>
      </c>
      <c r="K376" s="1">
        <v>29.4</v>
      </c>
      <c r="L376" s="1">
        <v>0.1</v>
      </c>
      <c r="M376" s="1">
        <v>0</v>
      </c>
    </row>
    <row r="377" spans="1:13">
      <c r="A377" s="1" t="s">
        <v>11</v>
      </c>
      <c r="B377" s="1" t="str">
        <v>UVR 01 - Brasilândia do Sul</v>
      </c>
      <c r="C377" s="1" t="str">
        <v>01</v>
      </c>
      <c r="D377" s="1" t="str">
        <v>Brasilândia do Sul</v>
      </c>
      <c r="E377" s="1" t="str">
        <v>1/15/2025</v>
      </c>
      <c r="F377" s="1" t="str">
        <v>Receita da venda de recicláveis</v>
      </c>
      <c r="G377" s="1" t="str">
        <v>Plástico</v>
      </c>
      <c r="H377" s="1" t="str">
        <v>PEBD Filme (Sacolinha, Sacos de lixo, Lona Preta)</v>
      </c>
      <c r="I377" s="1">
        <v>0</v>
      </c>
      <c r="J377" s="1">
        <v>351</v>
      </c>
      <c r="K377" s="1">
        <v>140.4</v>
      </c>
      <c r="L377" s="1">
        <v>0.4</v>
      </c>
      <c r="M377" s="1">
        <v>0</v>
      </c>
    </row>
    <row r="378" spans="1:13">
      <c r="A378" s="1" t="s">
        <v>11</v>
      </c>
      <c r="B378" s="1" t="str">
        <v>UVR 01 - Brasilândia do Sul</v>
      </c>
      <c r="C378" s="1" t="str">
        <v>01</v>
      </c>
      <c r="D378" s="1" t="str">
        <v>Brasilândia do Sul</v>
      </c>
      <c r="E378" s="1" t="str">
        <v>1/15/2025</v>
      </c>
      <c r="F378" s="1" t="str">
        <v>Receita da venda de recicláveis</v>
      </c>
      <c r="G378" s="1" t="str">
        <v>Plástico</v>
      </c>
      <c r="H378" s="1" t="str">
        <v>PET Óleo (Embalagens de óleo de cozinha)</v>
      </c>
      <c r="I378" s="1">
        <v>0</v>
      </c>
      <c r="J378" s="1">
        <v>77</v>
      </c>
      <c r="K378" s="1">
        <v>38.5</v>
      </c>
      <c r="L378" s="1">
        <v>0.5</v>
      </c>
      <c r="M378" s="1">
        <v>0</v>
      </c>
    </row>
    <row r="379" spans="1:13">
      <c r="A379" s="1" t="s">
        <v>11</v>
      </c>
      <c r="B379" s="1" t="str">
        <v>UVR 01 - Brasilândia do Sul</v>
      </c>
      <c r="C379" s="1" t="str">
        <v>01</v>
      </c>
      <c r="D379" s="1" t="str">
        <v>Brasilândia do Sul</v>
      </c>
      <c r="E379" s="1" t="str">
        <v>1/15/2025</v>
      </c>
      <c r="F379" s="1" t="str">
        <v>Receita da venda de recicláveis</v>
      </c>
      <c r="G379" s="1" t="str">
        <v>Plástico</v>
      </c>
      <c r="H379" s="1" t="str">
        <v>PS (Copos descartáveis)</v>
      </c>
      <c r="I379" s="1">
        <v>0</v>
      </c>
      <c r="J379" s="1">
        <v>99</v>
      </c>
      <c r="K379" s="1">
        <v>29.7</v>
      </c>
      <c r="L379" s="1">
        <v>0.3</v>
      </c>
      <c r="M379" s="1">
        <v>0</v>
      </c>
    </row>
    <row r="380" spans="1:13">
      <c r="A380" s="1" t="s">
        <v>11</v>
      </c>
      <c r="B380" s="1" t="str">
        <v>UVR 01 - Brasilândia do Sul</v>
      </c>
      <c r="C380" s="1" t="str">
        <v>01</v>
      </c>
      <c r="D380" s="1" t="str">
        <v>Brasilândia do Sul</v>
      </c>
      <c r="E380" s="1" t="str">
        <v>1/15/2025</v>
      </c>
      <c r="F380" s="1" t="str">
        <v>Receita da venda de recicláveis</v>
      </c>
      <c r="G380" s="1" t="str">
        <v>Plástico</v>
      </c>
      <c r="H380" s="1" t="str">
        <v>PVC (Cano, Forro, Tubulação de cano)</v>
      </c>
      <c r="I380" s="1">
        <v>0</v>
      </c>
      <c r="J380" s="1">
        <v>80</v>
      </c>
      <c r="K380" s="1">
        <v>40</v>
      </c>
      <c r="L380" s="1">
        <v>0.5</v>
      </c>
      <c r="M380" s="1">
        <v>0</v>
      </c>
    </row>
    <row r="381" spans="1:13">
      <c r="A381" s="1" t="s">
        <v>11</v>
      </c>
      <c r="B381" s="1" t="str">
        <v>UVR 01 - Brasilândia do Sul</v>
      </c>
      <c r="C381" s="1" t="str">
        <v>01</v>
      </c>
      <c r="D381" s="1" t="str">
        <v>Brasilândia do Sul</v>
      </c>
      <c r="E381" s="1" t="str">
        <v>1/15/2025</v>
      </c>
      <c r="F381" s="1" t="str">
        <v>Receita da venda de recicláveis</v>
      </c>
      <c r="G381" s="1" t="str">
        <v>Metal</v>
      </c>
      <c r="H381" s="1" t="str">
        <v>Alumínio Latinha</v>
      </c>
      <c r="I381" s="1">
        <v>0</v>
      </c>
      <c r="J381" s="1">
        <v>70</v>
      </c>
      <c r="K381" s="1">
        <v>490</v>
      </c>
      <c r="L381" s="1">
        <v>7</v>
      </c>
      <c r="M381" s="1">
        <v>0</v>
      </c>
    </row>
    <row r="382" spans="1:13">
      <c r="A382" s="1" t="s">
        <v>11</v>
      </c>
      <c r="B382" s="1" t="str">
        <v>UVR 01 - Brasilândia do Sul</v>
      </c>
      <c r="C382" s="1" t="str">
        <v>01</v>
      </c>
      <c r="D382" s="1" t="str">
        <v>Brasilândia do Sul</v>
      </c>
      <c r="E382" s="1" t="str">
        <v>1/15/2025</v>
      </c>
      <c r="F382" s="1" t="str">
        <v>Receita da venda de recicláveis</v>
      </c>
      <c r="G382" s="1" t="str">
        <v>Plástico</v>
      </c>
      <c r="H382" s="1" t="str">
        <v>PP Ráfia (Sacaria)</v>
      </c>
      <c r="I382" s="1">
        <v>0</v>
      </c>
      <c r="J382" s="1">
        <v>134</v>
      </c>
      <c r="K382" s="1">
        <v>26.8</v>
      </c>
      <c r="L382" s="1">
        <v>0.2</v>
      </c>
      <c r="M382" s="1">
        <v>0</v>
      </c>
    </row>
    <row r="383" spans="1:13">
      <c r="A383" s="1" t="s">
        <v>11</v>
      </c>
      <c r="B383" s="1" t="str">
        <v>UVR 01 - Brasilândia do Sul</v>
      </c>
      <c r="C383" s="1" t="str">
        <v>01</v>
      </c>
      <c r="D383" s="1" t="str">
        <v>Brasilândia do Sul</v>
      </c>
      <c r="E383" s="1" t="str">
        <v>1/15/2025</v>
      </c>
      <c r="F383" s="1" t="str">
        <v>Receita da venda de recicláveis</v>
      </c>
      <c r="G383" s="1" t="str">
        <v>Vidro</v>
      </c>
      <c r="H383" s="1" t="str">
        <v>Caco</v>
      </c>
      <c r="I383" s="1">
        <v>0</v>
      </c>
      <c r="J383" s="1">
        <v>5360</v>
      </c>
      <c r="K383" s="1">
        <v>428.8</v>
      </c>
      <c r="L383" s="1">
        <v>0.08</v>
      </c>
      <c r="M383" s="1">
        <v>0</v>
      </c>
    </row>
    <row r="384" spans="1:13">
      <c r="A384" s="1" t="s">
        <v>11</v>
      </c>
      <c r="B384" s="1" t="str">
        <v>UVR 01 - Brasilândia do Sul</v>
      </c>
      <c r="C384" s="1" t="str">
        <v>01</v>
      </c>
      <c r="D384" s="1" t="str">
        <v>Brasilândia do Sul</v>
      </c>
      <c r="E384" s="1" t="str">
        <v>1/15/2025</v>
      </c>
      <c r="F384" s="1" t="str">
        <v>Receita da venda de recicláveis</v>
      </c>
      <c r="G384" s="1" t="str">
        <v>Metal</v>
      </c>
      <c r="H384" s="1" t="str">
        <v>Sucatas</v>
      </c>
      <c r="I384" s="1">
        <v>0</v>
      </c>
      <c r="J384" s="1">
        <v>1260</v>
      </c>
      <c r="K384" s="1">
        <v>126</v>
      </c>
      <c r="L384" s="1">
        <v>0.1</v>
      </c>
      <c r="M384" s="1">
        <v>0</v>
      </c>
    </row>
    <row r="385" spans="1:13">
      <c r="A385" s="1" t="s">
        <v>11</v>
      </c>
      <c r="B385" s="1" t="str">
        <v>UVR 01 - Brasilândia do Sul</v>
      </c>
      <c r="C385" s="1" t="str">
        <v>01</v>
      </c>
      <c r="D385" s="1" t="str">
        <v>Brasilândia do Sul</v>
      </c>
      <c r="E385" s="1" t="str">
        <v>1/15/2025</v>
      </c>
      <c r="F385" s="1" t="str">
        <v>Rejeito</v>
      </c>
      <c r="G385" s="1" t="str">
        <v>Rejeito</v>
      </c>
      <c r="H385" s="1">
        <v>0</v>
      </c>
      <c r="I385" s="1">
        <v>0</v>
      </c>
      <c r="J385" s="1">
        <v>1815</v>
      </c>
      <c r="K385" s="1">
        <v>0</v>
      </c>
      <c r="L385" s="1">
        <v>0</v>
      </c>
      <c r="M385" s="1">
        <v>0</v>
      </c>
    </row>
    <row r="386" spans="1:13">
      <c r="A386" s="1" t="s">
        <v>11</v>
      </c>
      <c r="B386" s="1" t="str">
        <v>UVR 01 - Brasilândia do Sul</v>
      </c>
      <c r="C386" s="1" t="str">
        <v>01</v>
      </c>
      <c r="D386" s="1" t="str">
        <v>Brasilândia do Sul</v>
      </c>
      <c r="E386" s="1" t="str">
        <v>1/15/2025</v>
      </c>
      <c r="F386" s="1" t="str">
        <v>Receita da prestação de serviços</v>
      </c>
      <c r="G386" s="1" t="str">
        <v>Contratos</v>
      </c>
      <c r="H386" s="1">
        <v>0</v>
      </c>
      <c r="I386" s="1">
        <v>0</v>
      </c>
      <c r="J386" s="1">
        <v>0</v>
      </c>
      <c r="K386" s="1">
        <v>7700</v>
      </c>
      <c r="L386" s="1">
        <v>0</v>
      </c>
      <c r="M386" s="1">
        <v>0</v>
      </c>
    </row>
    <row r="387" spans="1:13">
      <c r="A387" s="1" t="s">
        <v>6</v>
      </c>
      <c r="B387" s="1" t="str" cm="1">
        <f t="array" ref="B387:M422">_xlfn._xlws.FILTER(
    'Micro Dados - Todos'!$A$2:$L$20000,
    ('Micro Dados - Todos'!$C$2:$C$20000=Lacunas!B16) *
    ('Micro Dados - Todos'!$B$2:$B$20000=Lacunas!C16) *
    ('Micro Dados - Todos'!$D$2:$D$20000=Lacunas!F16)
)</f>
        <v>UVR 01 - Cafelândia</v>
      </c>
      <c r="C387" s="1" t="str">
        <v>01</v>
      </c>
      <c r="D387" s="1" t="str">
        <v>Cafelândia</v>
      </c>
      <c r="E387" s="1" t="str">
        <v>1/15/2025</v>
      </c>
      <c r="F387" s="1" t="str">
        <v>Receita da venda de recicláveis</v>
      </c>
      <c r="G387" s="1" t="str">
        <v>Plástico</v>
      </c>
      <c r="H387" s="1" t="str">
        <v>PP Rígido (Balde, bacia, potes de sorvetes, margarina, entre outros)</v>
      </c>
      <c r="I387" s="1">
        <v>0</v>
      </c>
      <c r="J387" s="1">
        <v>1338</v>
      </c>
      <c r="K387" s="1">
        <v>1739.4</v>
      </c>
      <c r="L387" s="1">
        <v>1.3</v>
      </c>
      <c r="M387" s="1">
        <v>0</v>
      </c>
    </row>
    <row r="388" spans="1:13">
      <c r="A388" s="1" t="s">
        <v>6</v>
      </c>
      <c r="B388" s="1" t="str">
        <v>UVR 01 - Cafelândia</v>
      </c>
      <c r="C388" s="1" t="str">
        <v>01</v>
      </c>
      <c r="D388" s="1" t="str">
        <v>Cafelândia</v>
      </c>
      <c r="E388" s="1" t="str">
        <v>1/15/2025</v>
      </c>
      <c r="F388" s="1" t="str">
        <v>Receita da venda de recicláveis</v>
      </c>
      <c r="G388" s="1" t="str">
        <v>Plástico</v>
      </c>
      <c r="H388" s="1" t="str">
        <v>PET Cristal (Embalagens de refrigerante transparente)</v>
      </c>
      <c r="I388" s="1">
        <v>0</v>
      </c>
      <c r="J388" s="1">
        <v>2756</v>
      </c>
      <c r="K388" s="1">
        <v>10472.799999999999</v>
      </c>
      <c r="L388" s="1">
        <v>3.8</v>
      </c>
      <c r="M388" s="1">
        <v>0</v>
      </c>
    </row>
    <row r="389" spans="1:13">
      <c r="A389" s="1" t="s">
        <v>6</v>
      </c>
      <c r="B389" s="1" t="str">
        <v>UVR 01 - Cafelândia</v>
      </c>
      <c r="C389" s="1" t="str">
        <v>01</v>
      </c>
      <c r="D389" s="1" t="str">
        <v>Cafelândia</v>
      </c>
      <c r="E389" s="1" t="str">
        <v>1/15/2025</v>
      </c>
      <c r="F389" s="1" t="str">
        <v>Receita da venda de recicláveis</v>
      </c>
      <c r="G389" s="1" t="str">
        <v>Plástico</v>
      </c>
      <c r="H389" s="1" t="str">
        <v>PET Óleo (Embalagens de óleo de cozinha)</v>
      </c>
      <c r="I389" s="1">
        <v>0</v>
      </c>
      <c r="J389" s="1">
        <v>232</v>
      </c>
      <c r="K389" s="1">
        <v>185.6</v>
      </c>
      <c r="L389" s="1">
        <v>0.8</v>
      </c>
      <c r="M389" s="1">
        <v>0</v>
      </c>
    </row>
    <row r="390" spans="1:13">
      <c r="A390" s="1" t="s">
        <v>6</v>
      </c>
      <c r="B390" s="1" t="str">
        <v>UVR 01 - Cafelândia</v>
      </c>
      <c r="C390" s="1" t="str">
        <v>01</v>
      </c>
      <c r="D390" s="1" t="str">
        <v>Cafelândia</v>
      </c>
      <c r="E390" s="1" t="str">
        <v>1/15/2025</v>
      </c>
      <c r="F390" s="1" t="str">
        <v>Receita da venda de recicláveis</v>
      </c>
      <c r="G390" s="1" t="str">
        <v>Plástico</v>
      </c>
      <c r="H390" s="1" t="str">
        <v>PEAD Filme (Cristal)</v>
      </c>
      <c r="I390" s="1">
        <v>0</v>
      </c>
      <c r="J390" s="1">
        <v>3031</v>
      </c>
      <c r="K390" s="1">
        <v>4394.95</v>
      </c>
      <c r="L390" s="1">
        <v>1.45</v>
      </c>
      <c r="M390" s="1">
        <v>0</v>
      </c>
    </row>
    <row r="391" spans="1:13">
      <c r="A391" s="1" t="s">
        <v>6</v>
      </c>
      <c r="B391" s="1" t="str">
        <v>UVR 01 - Cafelândia</v>
      </c>
      <c r="C391" s="1" t="str">
        <v>01</v>
      </c>
      <c r="D391" s="1" t="str">
        <v>Cafelândia</v>
      </c>
      <c r="E391" s="1" t="str">
        <v>1/15/2025</v>
      </c>
      <c r="F391" s="1" t="str">
        <v>Receita da venda de recicláveis</v>
      </c>
      <c r="G391" s="1" t="str">
        <v>Plástico</v>
      </c>
      <c r="H391" s="1" t="str">
        <v>PEAD Filme (Cristal)</v>
      </c>
      <c r="I391" s="1">
        <v>0</v>
      </c>
      <c r="J391" s="1">
        <v>1360</v>
      </c>
      <c r="K391" s="1">
        <v>3128</v>
      </c>
      <c r="L391" s="1">
        <v>2.2999999999999998</v>
      </c>
      <c r="M391" s="1">
        <v>0</v>
      </c>
    </row>
    <row r="392" spans="1:13">
      <c r="A392" s="1" t="s">
        <v>6</v>
      </c>
      <c r="B392" s="1" t="str">
        <v>UVR 01 - Cafelândia</v>
      </c>
      <c r="C392" s="1" t="str">
        <v>01</v>
      </c>
      <c r="D392" s="1" t="str">
        <v>Cafelândia</v>
      </c>
      <c r="E392" s="1" t="str">
        <v>1/15/2025</v>
      </c>
      <c r="F392" s="1" t="str">
        <v>Receita da venda de recicláveis</v>
      </c>
      <c r="G392" s="1" t="str">
        <v>Plástico</v>
      </c>
      <c r="H392" s="1" t="str">
        <v>PEAD (Embalagens de produtos de limpeza)</v>
      </c>
      <c r="I392" s="1">
        <v>0</v>
      </c>
      <c r="J392" s="1">
        <v>953</v>
      </c>
      <c r="K392" s="1">
        <v>2096.6</v>
      </c>
      <c r="L392" s="1">
        <v>2.2000000000000002</v>
      </c>
      <c r="M392" s="1">
        <v>0</v>
      </c>
    </row>
    <row r="393" spans="1:13">
      <c r="A393" s="1" t="s">
        <v>6</v>
      </c>
      <c r="B393" s="1" t="str">
        <v>UVR 01 - Cafelândia</v>
      </c>
      <c r="C393" s="1" t="str">
        <v>01</v>
      </c>
      <c r="D393" s="1" t="str">
        <v>Cafelândia</v>
      </c>
      <c r="E393" s="1" t="str">
        <v>1/15/2025</v>
      </c>
      <c r="F393" s="1" t="str">
        <v>Receita da venda de recicláveis</v>
      </c>
      <c r="G393" s="1" t="str">
        <v>Plástico</v>
      </c>
      <c r="H393" s="1" t="str">
        <v>PP Rígido (Balde, bacia, potes de sorvetes, margarina, entre outros)</v>
      </c>
      <c r="I393" s="1">
        <v>0</v>
      </c>
      <c r="J393" s="1">
        <v>517</v>
      </c>
      <c r="K393" s="1">
        <v>413.6</v>
      </c>
      <c r="L393" s="1">
        <v>0.8</v>
      </c>
      <c r="M393" s="1">
        <v>0</v>
      </c>
    </row>
    <row r="394" spans="1:13">
      <c r="A394" s="1" t="s">
        <v>6</v>
      </c>
      <c r="B394" s="1" t="str">
        <v>UVR 01 - Cafelândia</v>
      </c>
      <c r="C394" s="1" t="str">
        <v>01</v>
      </c>
      <c r="D394" s="1" t="str">
        <v>Cafelândia</v>
      </c>
      <c r="E394" s="1" t="str">
        <v>1/15/2025</v>
      </c>
      <c r="F394" s="1" t="str">
        <v>Receita da venda de recicláveis</v>
      </c>
      <c r="G394" s="1" t="str">
        <v>Plástico</v>
      </c>
      <c r="H394" s="1" t="str">
        <v>PP Ráfia (Sacaria)</v>
      </c>
      <c r="I394" s="1">
        <v>0</v>
      </c>
      <c r="J394" s="1">
        <v>899</v>
      </c>
      <c r="K394" s="1">
        <v>269.7</v>
      </c>
      <c r="L394" s="1">
        <v>0.3</v>
      </c>
      <c r="M394" s="1">
        <v>0</v>
      </c>
    </row>
    <row r="395" spans="1:13">
      <c r="A395" s="1" t="s">
        <v>6</v>
      </c>
      <c r="B395" s="1" t="str">
        <v>UVR 01 - Cafelândia</v>
      </c>
      <c r="C395" s="1" t="str">
        <v>01</v>
      </c>
      <c r="D395" s="1" t="str">
        <v>Cafelândia</v>
      </c>
      <c r="E395" s="1" t="str">
        <v>1/15/2025</v>
      </c>
      <c r="F395" s="1" t="str">
        <v>Receita da venda de recicláveis</v>
      </c>
      <c r="G395" s="1" t="str">
        <v>Plástico</v>
      </c>
      <c r="H395" s="1" t="str">
        <v>PS (Copos descartáveis)</v>
      </c>
      <c r="I395" s="1">
        <v>0</v>
      </c>
      <c r="J395" s="1">
        <v>325</v>
      </c>
      <c r="K395" s="1">
        <v>292.5</v>
      </c>
      <c r="L395" s="1">
        <v>0.9</v>
      </c>
      <c r="M395" s="1">
        <v>0</v>
      </c>
    </row>
    <row r="396" spans="1:13">
      <c r="A396" s="1" t="s">
        <v>6</v>
      </c>
      <c r="B396" s="1" t="str">
        <v>UVR 01 - Cafelândia</v>
      </c>
      <c r="C396" s="1" t="str">
        <v>01</v>
      </c>
      <c r="D396" s="1" t="str">
        <v>Cafelândia</v>
      </c>
      <c r="E396" s="1" t="str">
        <v>1/15/2025</v>
      </c>
      <c r="F396" s="1" t="str">
        <v>Receita da venda de recicláveis</v>
      </c>
      <c r="G396" s="1" t="str">
        <v>Plástico</v>
      </c>
      <c r="H396" s="1" t="str">
        <v>PEBD Filme (Sacolinha, Sacos de lixo, Lona Preta)</v>
      </c>
      <c r="I396" s="1">
        <v>0</v>
      </c>
      <c r="J396" s="1">
        <v>1706</v>
      </c>
      <c r="K396" s="1">
        <v>1296.4000000000001</v>
      </c>
      <c r="L396" s="1">
        <v>0.76</v>
      </c>
      <c r="M396" s="1">
        <v>0</v>
      </c>
    </row>
    <row r="397" spans="1:13">
      <c r="A397" s="1" t="s">
        <v>6</v>
      </c>
      <c r="B397" s="1" t="str">
        <v>UVR 01 - Cafelândia</v>
      </c>
      <c r="C397" s="1" t="str">
        <v>01</v>
      </c>
      <c r="D397" s="1" t="str">
        <v>Cafelândia</v>
      </c>
      <c r="E397" s="1" t="str">
        <v>1/15/2025</v>
      </c>
      <c r="F397" s="1" t="str">
        <v>Receita da venda de recicláveis</v>
      </c>
      <c r="G397" s="1" t="str">
        <v>Plástico</v>
      </c>
      <c r="H397" s="1" t="str">
        <v>PP Rígido (Balde, bacia, potes de sorvetes, margarina, entre outros)</v>
      </c>
      <c r="I397" s="1">
        <v>0</v>
      </c>
      <c r="J397" s="1">
        <v>2014</v>
      </c>
      <c r="K397" s="1">
        <v>2618.1999999999998</v>
      </c>
      <c r="L397" s="1">
        <v>1.3</v>
      </c>
      <c r="M397" s="1">
        <v>0</v>
      </c>
    </row>
    <row r="398" spans="1:13">
      <c r="A398" s="1" t="s">
        <v>6</v>
      </c>
      <c r="B398" s="1" t="str">
        <v>UVR 01 - Cafelândia</v>
      </c>
      <c r="C398" s="1" t="str">
        <v>01</v>
      </c>
      <c r="D398" s="1" t="str">
        <v>Cafelândia</v>
      </c>
      <c r="E398" s="1" t="str">
        <v>1/15/2025</v>
      </c>
      <c r="F398" s="1" t="str">
        <v>Receita da venda de recicláveis</v>
      </c>
      <c r="G398" s="1" t="str">
        <v>Plástico</v>
      </c>
      <c r="H398" s="1" t="str">
        <v>PP Rígido (Balde, bacia, potes de sorvetes, margarina, entre outros)</v>
      </c>
      <c r="I398" s="1">
        <v>0</v>
      </c>
      <c r="J398" s="1">
        <v>1264</v>
      </c>
      <c r="K398" s="1">
        <v>2022.4</v>
      </c>
      <c r="L398" s="1">
        <v>1.6</v>
      </c>
      <c r="M398" s="1">
        <v>0</v>
      </c>
    </row>
    <row r="399" spans="1:13">
      <c r="A399" s="1" t="s">
        <v>6</v>
      </c>
      <c r="B399" s="1" t="str">
        <v>UVR 01 - Cafelândia</v>
      </c>
      <c r="C399" s="1" t="str">
        <v>01</v>
      </c>
      <c r="D399" s="1" t="str">
        <v>Cafelândia</v>
      </c>
      <c r="E399" s="1" t="str">
        <v>1/15/2025</v>
      </c>
      <c r="F399" s="1" t="str">
        <v>Receita da venda de recicláveis</v>
      </c>
      <c r="G399" s="1" t="str">
        <v>Plástico</v>
      </c>
      <c r="H399" s="1" t="str">
        <v>PEBD Filme (Sacolinha, Sacos de lixo, Lona Preta)</v>
      </c>
      <c r="I399" s="1">
        <v>0</v>
      </c>
      <c r="J399" s="1">
        <v>2868</v>
      </c>
      <c r="K399" s="1">
        <v>2581.1999999999998</v>
      </c>
      <c r="L399" s="1">
        <v>0.9</v>
      </c>
      <c r="M399" s="1">
        <v>0</v>
      </c>
    </row>
    <row r="400" spans="1:13">
      <c r="A400" s="1" t="s">
        <v>6</v>
      </c>
      <c r="B400" s="1" t="str">
        <v>UVR 01 - Cafelândia</v>
      </c>
      <c r="C400" s="1" t="str">
        <v>01</v>
      </c>
      <c r="D400" s="1" t="str">
        <v>Cafelândia</v>
      </c>
      <c r="E400" s="1" t="str">
        <v>1/15/2025</v>
      </c>
      <c r="F400" s="1" t="str">
        <v>Receita da venda de recicláveis</v>
      </c>
      <c r="G400" s="1" t="str">
        <v>Plástico</v>
      </c>
      <c r="H400" s="1" t="str">
        <v>PET Verde (Embalagens de refrigerante verde)</v>
      </c>
      <c r="I400" s="1">
        <v>0</v>
      </c>
      <c r="J400" s="1">
        <v>722</v>
      </c>
      <c r="K400" s="1">
        <v>2743.6</v>
      </c>
      <c r="L400" s="1">
        <v>3.8</v>
      </c>
      <c r="M400" s="1">
        <v>0</v>
      </c>
    </row>
    <row r="401" spans="1:13">
      <c r="A401" s="1" t="s">
        <v>6</v>
      </c>
      <c r="B401" s="1" t="str">
        <v>UVR 01 - Cafelândia</v>
      </c>
      <c r="C401" s="1" t="str">
        <v>01</v>
      </c>
      <c r="D401" s="1" t="str">
        <v>Cafelândia</v>
      </c>
      <c r="E401" s="1" t="str">
        <v>1/15/2025</v>
      </c>
      <c r="F401" s="1" t="str">
        <v>Receita da venda de recicláveis</v>
      </c>
      <c r="G401" s="1" t="str">
        <v>Plástico</v>
      </c>
      <c r="H401" s="1" t="str">
        <v>PP Filme (Estralador, embalagens internas de pacotes de bolacha)</v>
      </c>
      <c r="I401" s="1">
        <v>0</v>
      </c>
      <c r="J401" s="1">
        <v>2065</v>
      </c>
      <c r="K401" s="1">
        <v>20.65</v>
      </c>
      <c r="L401" s="1">
        <v>0.01</v>
      </c>
      <c r="M401" s="1">
        <v>0</v>
      </c>
    </row>
    <row r="402" spans="1:13">
      <c r="A402" s="1" t="s">
        <v>6</v>
      </c>
      <c r="B402" s="1" t="str">
        <v>UVR 01 - Cafelândia</v>
      </c>
      <c r="C402" s="1" t="str">
        <v>01</v>
      </c>
      <c r="D402" s="1" t="str">
        <v>Cafelândia</v>
      </c>
      <c r="E402" s="1" t="str">
        <v>1/15/2025</v>
      </c>
      <c r="F402" s="1" t="str">
        <v>Receita da venda de recicláveis</v>
      </c>
      <c r="G402" s="1" t="str">
        <v>Plástico</v>
      </c>
      <c r="H402" s="1" t="str">
        <v>PVC (Cano, Forro, Tubulação de cano)</v>
      </c>
      <c r="I402" s="1">
        <v>0</v>
      </c>
      <c r="J402" s="1">
        <v>943</v>
      </c>
      <c r="K402" s="1">
        <v>763.5</v>
      </c>
      <c r="L402" s="1">
        <v>0.81</v>
      </c>
      <c r="M402" s="1">
        <v>0</v>
      </c>
    </row>
    <row r="403" spans="1:13">
      <c r="A403" s="1" t="s">
        <v>6</v>
      </c>
      <c r="B403" s="1" t="str">
        <v>UVR 01 - Cafelândia</v>
      </c>
      <c r="C403" s="1" t="str">
        <v>01</v>
      </c>
      <c r="D403" s="1" t="str">
        <v>Cafelândia</v>
      </c>
      <c r="E403" s="1" t="str">
        <v>1/15/2025</v>
      </c>
      <c r="F403" s="1" t="str">
        <v>Receita da venda de recicláveis</v>
      </c>
      <c r="G403" s="1" t="str">
        <v>Plástico</v>
      </c>
      <c r="H403" s="1" t="str">
        <v>PEAD Injeção (Caixaria)</v>
      </c>
      <c r="I403" s="1">
        <v>0</v>
      </c>
      <c r="J403" s="1">
        <v>78</v>
      </c>
      <c r="K403" s="1">
        <v>312</v>
      </c>
      <c r="L403" s="1">
        <v>4</v>
      </c>
      <c r="M403" s="1">
        <v>0</v>
      </c>
    </row>
    <row r="404" spans="1:13">
      <c r="A404" s="1" t="s">
        <v>6</v>
      </c>
      <c r="B404" s="1" t="str">
        <v>UVR 01 - Cafelândia</v>
      </c>
      <c r="C404" s="1" t="str">
        <v>01</v>
      </c>
      <c r="D404" s="1" t="str">
        <v>Cafelândia</v>
      </c>
      <c r="E404" s="1" t="str">
        <v>1/15/2025</v>
      </c>
      <c r="F404" s="1" t="str">
        <v>Receita da venda de recicláveis</v>
      </c>
      <c r="G404" s="1" t="str">
        <v>Plástico</v>
      </c>
      <c r="H404" s="1" t="str">
        <v>PET Colorido (Embalagens de PET colorido, PET bagunça)</v>
      </c>
      <c r="I404" s="1">
        <v>0</v>
      </c>
      <c r="J404" s="1">
        <v>197</v>
      </c>
      <c r="K404" s="1">
        <v>19.7</v>
      </c>
      <c r="L404" s="1">
        <v>0.1</v>
      </c>
      <c r="M404" s="1">
        <v>0</v>
      </c>
    </row>
    <row r="405" spans="1:13">
      <c r="A405" s="1" t="s">
        <v>6</v>
      </c>
      <c r="B405" s="1" t="str">
        <v>UVR 01 - Cafelândia</v>
      </c>
      <c r="C405" s="1" t="str">
        <v>01</v>
      </c>
      <c r="D405" s="1" t="str">
        <v>Cafelândia</v>
      </c>
      <c r="E405" s="1" t="str">
        <v>1/15/2025</v>
      </c>
      <c r="F405" s="1" t="str">
        <v>Receita da venda de recicláveis</v>
      </c>
      <c r="G405" s="1" t="str">
        <v>Plástico</v>
      </c>
      <c r="H405" s="1" t="str">
        <v>PEAD Injeção (Caixaria)</v>
      </c>
      <c r="I405" s="1">
        <v>0</v>
      </c>
      <c r="J405" s="1">
        <v>105</v>
      </c>
      <c r="K405" s="1">
        <v>420</v>
      </c>
      <c r="L405" s="1">
        <v>4</v>
      </c>
      <c r="M405" s="1">
        <v>0</v>
      </c>
    </row>
    <row r="406" spans="1:13">
      <c r="A406" s="1" t="s">
        <v>6</v>
      </c>
      <c r="B406" s="1" t="str">
        <v>UVR 01 - Cafelândia</v>
      </c>
      <c r="C406" s="1" t="str">
        <v>01</v>
      </c>
      <c r="D406" s="1" t="str">
        <v>Cafelândia</v>
      </c>
      <c r="E406" s="1" t="str">
        <v>1/15/2025</v>
      </c>
      <c r="F406" s="1" t="str">
        <v>Receita da venda de recicláveis</v>
      </c>
      <c r="G406" s="1" t="str">
        <v>Plástico</v>
      </c>
      <c r="H406" s="1" t="str">
        <v>PP Rígido (Balde, bacia, potes de sorvetes, margarina, entre outros)</v>
      </c>
      <c r="I406" s="1">
        <v>0</v>
      </c>
      <c r="J406" s="1">
        <v>141</v>
      </c>
      <c r="K406" s="1">
        <v>42.3</v>
      </c>
      <c r="L406" s="1">
        <v>0.3</v>
      </c>
      <c r="M406" s="1">
        <v>0</v>
      </c>
    </row>
    <row r="407" spans="1:13">
      <c r="A407" s="1" t="s">
        <v>6</v>
      </c>
      <c r="B407" s="1" t="str">
        <v>UVR 01 - Cafelândia</v>
      </c>
      <c r="C407" s="1" t="str">
        <v>01</v>
      </c>
      <c r="D407" s="1" t="str">
        <v>Cafelândia</v>
      </c>
      <c r="E407" s="1" t="str">
        <v>1/15/2025</v>
      </c>
      <c r="F407" s="1" t="str">
        <v>Receita da venda de recicláveis</v>
      </c>
      <c r="G407" s="1" t="str">
        <v>Papéis</v>
      </c>
      <c r="H407" s="1" t="str">
        <v>Papel Misto</v>
      </c>
      <c r="I407" s="1">
        <v>0</v>
      </c>
      <c r="J407" s="1">
        <v>8383</v>
      </c>
      <c r="K407" s="1">
        <v>1676.6</v>
      </c>
      <c r="L407" s="1">
        <v>0.2</v>
      </c>
      <c r="M407" s="1">
        <v>0</v>
      </c>
    </row>
    <row r="408" spans="1:13">
      <c r="A408" s="1" t="s">
        <v>6</v>
      </c>
      <c r="B408" s="1" t="str">
        <v>UVR 01 - Cafelândia</v>
      </c>
      <c r="C408" s="1" t="str">
        <v>01</v>
      </c>
      <c r="D408" s="1" t="str">
        <v>Cafelândia</v>
      </c>
      <c r="E408" s="1" t="str">
        <v>1/15/2025</v>
      </c>
      <c r="F408" s="1" t="str">
        <v>Receita da venda de recicláveis</v>
      </c>
      <c r="G408" s="1" t="str">
        <v>Papéis</v>
      </c>
      <c r="H408" s="1" t="str">
        <v>Papel Cimento</v>
      </c>
      <c r="I408" s="1">
        <v>0</v>
      </c>
      <c r="J408" s="1">
        <v>1332</v>
      </c>
      <c r="K408" s="1">
        <v>333</v>
      </c>
      <c r="L408" s="1">
        <v>0.25</v>
      </c>
      <c r="M408" s="1">
        <v>0</v>
      </c>
    </row>
    <row r="409" spans="1:13">
      <c r="A409" s="1" t="s">
        <v>6</v>
      </c>
      <c r="B409" s="1" t="str">
        <v>UVR 01 - Cafelândia</v>
      </c>
      <c r="C409" s="1" t="str">
        <v>01</v>
      </c>
      <c r="D409" s="1" t="str">
        <v>Cafelândia</v>
      </c>
      <c r="E409" s="1" t="str">
        <v>1/15/2025</v>
      </c>
      <c r="F409" s="1" t="str">
        <v>Receita da venda de recicláveis</v>
      </c>
      <c r="G409" s="1" t="str">
        <v>Papéis</v>
      </c>
      <c r="H409" s="1" t="str">
        <v>Tetra Pack</v>
      </c>
      <c r="I409" s="1">
        <v>0</v>
      </c>
      <c r="J409" s="1">
        <v>1756</v>
      </c>
      <c r="K409" s="1">
        <v>263.39999999999998</v>
      </c>
      <c r="L409" s="1">
        <v>0.15</v>
      </c>
      <c r="M409" s="1">
        <v>0</v>
      </c>
    </row>
    <row r="410" spans="1:13">
      <c r="A410" s="1" t="s">
        <v>6</v>
      </c>
      <c r="B410" s="1" t="str">
        <v>UVR 01 - Cafelândia</v>
      </c>
      <c r="C410" s="1" t="str">
        <v>01</v>
      </c>
      <c r="D410" s="1" t="str">
        <v>Cafelândia</v>
      </c>
      <c r="E410" s="1" t="str">
        <v>1/15/2025</v>
      </c>
      <c r="F410" s="1" t="str">
        <v>Receita da venda de recicláveis</v>
      </c>
      <c r="G410" s="1" t="str">
        <v>Papéis</v>
      </c>
      <c r="H410" s="1" t="str">
        <v>Papelão</v>
      </c>
      <c r="I410" s="1">
        <v>0</v>
      </c>
      <c r="J410" s="1">
        <v>15152</v>
      </c>
      <c r="K410" s="1">
        <v>11061</v>
      </c>
      <c r="L410" s="1">
        <v>0.73</v>
      </c>
      <c r="M410" s="1">
        <v>0</v>
      </c>
    </row>
    <row r="411" spans="1:13">
      <c r="A411" s="1" t="s">
        <v>6</v>
      </c>
      <c r="B411" s="1" t="str">
        <v>UVR 01 - Cafelândia</v>
      </c>
      <c r="C411" s="1" t="str">
        <v>01</v>
      </c>
      <c r="D411" s="1" t="str">
        <v>Cafelândia</v>
      </c>
      <c r="E411" s="1" t="str">
        <v>1/15/2025</v>
      </c>
      <c r="F411" s="1" t="str">
        <v>Receita da venda de recicláveis</v>
      </c>
      <c r="G411" s="1" t="str">
        <v>Papéis</v>
      </c>
      <c r="H411" s="1" t="str">
        <v>Papel Branco</v>
      </c>
      <c r="I411" s="1">
        <v>0</v>
      </c>
      <c r="J411" s="1">
        <v>2645</v>
      </c>
      <c r="K411" s="1">
        <v>1342.6</v>
      </c>
      <c r="L411" s="1">
        <v>0.51</v>
      </c>
      <c r="M411" s="1">
        <v>0</v>
      </c>
    </row>
    <row r="412" spans="1:13">
      <c r="A412" s="1" t="s">
        <v>6</v>
      </c>
      <c r="B412" s="1" t="str">
        <v>UVR 01 - Cafelândia</v>
      </c>
      <c r="C412" s="1" t="str">
        <v>01</v>
      </c>
      <c r="D412" s="1" t="str">
        <v>Cafelândia</v>
      </c>
      <c r="E412" s="1" t="str">
        <v>1/15/2025</v>
      </c>
      <c r="F412" s="1" t="str">
        <v>Receita da venda de recicláveis</v>
      </c>
      <c r="G412" s="1" t="str">
        <v>Papéis</v>
      </c>
      <c r="H412" s="1" t="str">
        <v>Papel Branco</v>
      </c>
      <c r="I412" s="1">
        <v>0</v>
      </c>
      <c r="J412" s="1">
        <v>1078</v>
      </c>
      <c r="K412" s="1">
        <v>646.79999999999995</v>
      </c>
      <c r="L412" s="1">
        <v>0.6</v>
      </c>
      <c r="M412" s="1">
        <v>0</v>
      </c>
    </row>
    <row r="413" spans="1:13">
      <c r="A413" s="1" t="s">
        <v>6</v>
      </c>
      <c r="B413" s="1" t="str">
        <v>UVR 01 - Cafelândia</v>
      </c>
      <c r="C413" s="1" t="str">
        <v>01</v>
      </c>
      <c r="D413" s="1" t="str">
        <v>Cafelândia</v>
      </c>
      <c r="E413" s="1" t="str">
        <v>1/15/2025</v>
      </c>
      <c r="F413" s="1" t="str">
        <v>Receita da venda de recicláveis</v>
      </c>
      <c r="G413" s="1" t="str">
        <v>Vidro</v>
      </c>
      <c r="H413" s="1" t="str">
        <v>Caco</v>
      </c>
      <c r="I413" s="1">
        <v>0</v>
      </c>
      <c r="J413" s="1">
        <v>12380</v>
      </c>
      <c r="K413" s="1">
        <v>2620.62</v>
      </c>
      <c r="L413" s="1">
        <v>0.21</v>
      </c>
      <c r="M413" s="1">
        <v>0</v>
      </c>
    </row>
    <row r="414" spans="1:13">
      <c r="A414" s="1" t="s">
        <v>6</v>
      </c>
      <c r="B414" s="1" t="str">
        <v>UVR 01 - Cafelândia</v>
      </c>
      <c r="C414" s="1" t="str">
        <v>01</v>
      </c>
      <c r="D414" s="1" t="str">
        <v>Cafelândia</v>
      </c>
      <c r="E414" s="1" t="str">
        <v>1/15/2025</v>
      </c>
      <c r="F414" s="1" t="str">
        <v>Receita da venda de recicláveis</v>
      </c>
      <c r="G414" s="1" t="str">
        <v>Metal</v>
      </c>
      <c r="H414" s="1" t="str">
        <v>Ferro</v>
      </c>
      <c r="I414" s="1">
        <v>0</v>
      </c>
      <c r="J414" s="1">
        <v>7650</v>
      </c>
      <c r="K414" s="1">
        <v>4590</v>
      </c>
      <c r="L414" s="1">
        <v>0.6</v>
      </c>
      <c r="M414" s="1">
        <v>0</v>
      </c>
    </row>
    <row r="415" spans="1:13">
      <c r="A415" s="1" t="s">
        <v>6</v>
      </c>
      <c r="B415" s="1" t="str">
        <v>UVR 01 - Cafelândia</v>
      </c>
      <c r="C415" s="1" t="str">
        <v>01</v>
      </c>
      <c r="D415" s="1" t="str">
        <v>Cafelândia</v>
      </c>
      <c r="E415" s="1" t="str">
        <v>1/15/2025</v>
      </c>
      <c r="F415" s="1" t="str">
        <v>Receita da venda de recicláveis</v>
      </c>
      <c r="G415" s="1" t="str">
        <v>Metal</v>
      </c>
      <c r="H415" s="1" t="str">
        <v>Alumínio Latinha</v>
      </c>
      <c r="I415" s="1">
        <v>0</v>
      </c>
      <c r="J415" s="1">
        <v>40</v>
      </c>
      <c r="K415" s="1">
        <v>610.38</v>
      </c>
      <c r="L415" s="1">
        <v>15.26</v>
      </c>
      <c r="M415" s="1">
        <v>0</v>
      </c>
    </row>
    <row r="416" spans="1:13">
      <c r="A416" s="1" t="s">
        <v>6</v>
      </c>
      <c r="B416" s="1" t="str">
        <v>UVR 01 - Cafelândia</v>
      </c>
      <c r="C416" s="1" t="str">
        <v>01</v>
      </c>
      <c r="D416" s="1" t="str">
        <v>Cafelândia</v>
      </c>
      <c r="E416" s="1" t="str">
        <v>1/15/2025</v>
      </c>
      <c r="F416" s="1" t="str">
        <v>Receita da venda de recicláveis</v>
      </c>
      <c r="G416" s="1" t="str">
        <v>Metal</v>
      </c>
      <c r="H416" s="1" t="str">
        <v>Alumínio Panela</v>
      </c>
      <c r="I416" s="1">
        <v>0</v>
      </c>
      <c r="J416" s="1">
        <v>793</v>
      </c>
      <c r="K416" s="1">
        <v>4551.82</v>
      </c>
      <c r="L416" s="1">
        <v>5.74</v>
      </c>
      <c r="M416" s="1">
        <v>0</v>
      </c>
    </row>
    <row r="417" spans="1:13">
      <c r="A417" s="1" t="s">
        <v>6</v>
      </c>
      <c r="B417" s="1" t="str">
        <v>UVR 01 - Cafelândia</v>
      </c>
      <c r="C417" s="1" t="str">
        <v>01</v>
      </c>
      <c r="D417" s="1" t="str">
        <v>Cafelândia</v>
      </c>
      <c r="E417" s="1" t="str">
        <v>1/15/2025</v>
      </c>
      <c r="F417" s="1" t="str">
        <v>Receita da venda de recicláveis</v>
      </c>
      <c r="G417" s="1" t="str">
        <v>Metal</v>
      </c>
      <c r="H417" s="1" t="str">
        <v>Cobre Limpo</v>
      </c>
      <c r="I417" s="1">
        <v>0</v>
      </c>
      <c r="J417" s="1">
        <v>68</v>
      </c>
      <c r="K417" s="1">
        <v>1428</v>
      </c>
      <c r="L417" s="1">
        <v>21</v>
      </c>
      <c r="M417" s="1">
        <v>0</v>
      </c>
    </row>
    <row r="418" spans="1:13">
      <c r="A418" s="1" t="s">
        <v>6</v>
      </c>
      <c r="B418" s="1" t="str">
        <v>UVR 01 - Cafelândia</v>
      </c>
      <c r="C418" s="1" t="str">
        <v>01</v>
      </c>
      <c r="D418" s="1" t="str">
        <v>Cafelândia</v>
      </c>
      <c r="E418" s="1" t="str">
        <v>1/15/2025</v>
      </c>
      <c r="F418" s="1" t="str">
        <v>Receita da prestação de serviços</v>
      </c>
      <c r="G418" s="1" t="str">
        <v>Contratos</v>
      </c>
      <c r="H418" s="1">
        <v>0</v>
      </c>
      <c r="I418" s="1">
        <v>0</v>
      </c>
      <c r="J418" s="1">
        <v>0</v>
      </c>
      <c r="K418" s="1">
        <v>77184.72</v>
      </c>
      <c r="L418" s="1">
        <v>0</v>
      </c>
      <c r="M418" s="1">
        <v>0</v>
      </c>
    </row>
    <row r="419" spans="1:13">
      <c r="A419" s="1" t="s">
        <v>6</v>
      </c>
      <c r="B419" s="1" t="str">
        <v>UVR 01 - Cafelândia</v>
      </c>
      <c r="C419" s="1" t="str">
        <v>01</v>
      </c>
      <c r="D419" s="1" t="str">
        <v>Cafelândia</v>
      </c>
      <c r="E419" s="1" t="str">
        <v>1/15/2025</v>
      </c>
      <c r="F419" s="1" t="str">
        <v>Despesa</v>
      </c>
      <c r="G419" s="1" t="str">
        <v>Outra Despesa</v>
      </c>
      <c r="H419" s="1">
        <v>0</v>
      </c>
      <c r="I419" s="1">
        <v>0</v>
      </c>
      <c r="J419" s="1">
        <v>0</v>
      </c>
      <c r="K419" s="1">
        <v>18645.48</v>
      </c>
      <c r="L419" s="1">
        <v>0</v>
      </c>
      <c r="M419" s="1" t="str">
        <v xml:space="preserve">Cesta basica, EPIS,advogado, uniformes,seguro, contador, ponto eletronico e internet, gas do barracao, manutenção </v>
      </c>
    </row>
    <row r="420" spans="1:13">
      <c r="A420" s="1" t="s">
        <v>6</v>
      </c>
      <c r="B420" s="1" t="str">
        <v>UVR 01 - Cafelândia</v>
      </c>
      <c r="C420" s="1" t="str">
        <v>01</v>
      </c>
      <c r="D420" s="1" t="str">
        <v>Cafelândia</v>
      </c>
      <c r="E420" s="1" t="str">
        <v>1/15/2025</v>
      </c>
      <c r="F420" s="1" t="str">
        <v>Rejeito</v>
      </c>
      <c r="G420" s="1" t="str">
        <v>Rejeito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>
      <c r="A421" s="1" t="s">
        <v>6</v>
      </c>
      <c r="B421" s="1" t="str">
        <v>UVR 01 - Cafelândia</v>
      </c>
      <c r="C421" s="1" t="str">
        <v>01</v>
      </c>
      <c r="D421" s="1" t="str">
        <v>Cafelândia</v>
      </c>
      <c r="E421" s="1" t="str">
        <v>1/15/2025</v>
      </c>
      <c r="F421" s="1" t="str">
        <v>Rejeito</v>
      </c>
      <c r="G421" s="1" t="str">
        <v>Rejeito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</row>
    <row r="422" spans="1:13">
      <c r="A422" s="1" t="s">
        <v>6</v>
      </c>
      <c r="B422" s="1" t="str">
        <v>UVR 01 - Cafelândia</v>
      </c>
      <c r="C422" s="1" t="str">
        <v>01</v>
      </c>
      <c r="D422" s="1" t="str">
        <v>Cafelândia</v>
      </c>
      <c r="E422" s="1" t="str">
        <v>1/15/2025</v>
      </c>
      <c r="F422" s="1">
        <v>0</v>
      </c>
      <c r="G422" s="1" t="str">
        <v>null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</row>
    <row r="423" spans="1:13">
      <c r="A423" s="1" t="s">
        <v>18</v>
      </c>
      <c r="B423" s="1" t="str" cm="1">
        <f t="array" ref="B423:M453">_xlfn._xlws.FILTER(
    'Micro Dados - Todos'!$A$2:$L$20000,
    ('Micro Dados - Todos'!$C$2:$C$20000=Lacunas!B17) *
    ('Micro Dados - Todos'!$B$2:$B$20000=Lacunas!C17) *
    ('Micro Dados - Todos'!$D$2:$D$20000=Lacunas!F17)
)</f>
        <v>UVR 06 - Foz do Iguaçu</v>
      </c>
      <c r="C423" s="1" t="str">
        <v>06</v>
      </c>
      <c r="D423" s="1" t="str">
        <v>Foz do Iguaçu</v>
      </c>
      <c r="E423" s="1" t="str">
        <v>1/15/2025</v>
      </c>
      <c r="F423" s="1" t="str">
        <v>Receita da venda de recicláveis</v>
      </c>
      <c r="G423" s="1" t="str">
        <v>Papéis</v>
      </c>
      <c r="H423" s="1" t="str">
        <v>Papel Branco</v>
      </c>
      <c r="I423" s="1">
        <v>0</v>
      </c>
      <c r="J423" s="1">
        <v>4640</v>
      </c>
      <c r="K423" s="1">
        <v>3240</v>
      </c>
      <c r="L423" s="1">
        <v>0.7</v>
      </c>
      <c r="M423" s="1">
        <v>0</v>
      </c>
    </row>
    <row r="424" spans="1:13">
      <c r="A424" s="1" t="s">
        <v>18</v>
      </c>
      <c r="B424" s="1" t="str">
        <v>UVR 06 - Foz do Iguaçu</v>
      </c>
      <c r="C424" s="1" t="str">
        <v>06</v>
      </c>
      <c r="D424" s="1" t="str">
        <v>Foz do Iguaçu</v>
      </c>
      <c r="E424" s="1" t="str">
        <v>1/15/2025</v>
      </c>
      <c r="F424" s="1" t="str">
        <v>Receita da venda de recicláveis</v>
      </c>
      <c r="G424" s="1" t="str">
        <v>Papéis</v>
      </c>
      <c r="H424" s="1" t="str">
        <v>Papel Cimento</v>
      </c>
      <c r="I424" s="1">
        <v>0</v>
      </c>
      <c r="J424" s="1">
        <v>280</v>
      </c>
      <c r="K424" s="1">
        <v>98</v>
      </c>
      <c r="L424" s="1">
        <v>0.35</v>
      </c>
      <c r="M424" s="1">
        <v>0</v>
      </c>
    </row>
    <row r="425" spans="1:13">
      <c r="A425" s="1" t="s">
        <v>18</v>
      </c>
      <c r="B425" s="1" t="str">
        <v>UVR 06 - Foz do Iguaçu</v>
      </c>
      <c r="C425" s="1" t="str">
        <v>06</v>
      </c>
      <c r="D425" s="1" t="str">
        <v>Foz do Iguaçu</v>
      </c>
      <c r="E425" s="1" t="str">
        <v>1/15/2025</v>
      </c>
      <c r="F425" s="1" t="str">
        <v>Receita da venda de recicláveis</v>
      </c>
      <c r="G425" s="1" t="str">
        <v>Papéis</v>
      </c>
      <c r="H425" s="1" t="str">
        <v>Papelão</v>
      </c>
      <c r="I425" s="1">
        <v>0</v>
      </c>
      <c r="J425" s="1">
        <v>17340</v>
      </c>
      <c r="K425" s="1">
        <v>10404</v>
      </c>
      <c r="L425" s="1">
        <v>0.6</v>
      </c>
      <c r="M425" s="1">
        <v>0</v>
      </c>
    </row>
    <row r="426" spans="1:13">
      <c r="A426" s="1" t="s">
        <v>18</v>
      </c>
      <c r="B426" s="1" t="str">
        <v>UVR 06 - Foz do Iguaçu</v>
      </c>
      <c r="C426" s="1" t="str">
        <v>06</v>
      </c>
      <c r="D426" s="1" t="str">
        <v>Foz do Iguaçu</v>
      </c>
      <c r="E426" s="1" t="str">
        <v>1/15/2025</v>
      </c>
      <c r="F426" s="1" t="str">
        <v>Receita da venda de recicláveis</v>
      </c>
      <c r="G426" s="1" t="str">
        <v>Papéis</v>
      </c>
      <c r="H426" s="1" t="str">
        <v>Papel Misto</v>
      </c>
      <c r="I426" s="1">
        <v>0</v>
      </c>
      <c r="J426" s="1">
        <v>6000</v>
      </c>
      <c r="K426" s="1">
        <v>2700</v>
      </c>
      <c r="L426" s="1">
        <v>0.45</v>
      </c>
      <c r="M426" s="1">
        <v>0</v>
      </c>
    </row>
    <row r="427" spans="1:13">
      <c r="A427" s="1" t="s">
        <v>18</v>
      </c>
      <c r="B427" s="1" t="str">
        <v>UVR 06 - Foz do Iguaçu</v>
      </c>
      <c r="C427" s="1" t="str">
        <v>06</v>
      </c>
      <c r="D427" s="1" t="str">
        <v>Foz do Iguaçu</v>
      </c>
      <c r="E427" s="1" t="str">
        <v>1/15/2025</v>
      </c>
      <c r="F427" s="1" t="str">
        <v>Receita da venda de recicláveis</v>
      </c>
      <c r="G427" s="1" t="str">
        <v>Papéis</v>
      </c>
      <c r="H427" s="1" t="str">
        <v>Tetra Pack</v>
      </c>
      <c r="I427" s="1">
        <v>0</v>
      </c>
      <c r="J427" s="1">
        <v>1060</v>
      </c>
      <c r="K427" s="1">
        <v>424</v>
      </c>
      <c r="L427" s="1">
        <v>0.4</v>
      </c>
      <c r="M427" s="1">
        <v>0</v>
      </c>
    </row>
    <row r="428" spans="1:13">
      <c r="A428" s="1" t="s">
        <v>18</v>
      </c>
      <c r="B428" s="1" t="str">
        <v>UVR 06 - Foz do Iguaçu</v>
      </c>
      <c r="C428" s="1" t="str">
        <v>06</v>
      </c>
      <c r="D428" s="1" t="str">
        <v>Foz do Iguaçu</v>
      </c>
      <c r="E428" s="1" t="str">
        <v>1/15/2025</v>
      </c>
      <c r="F428" s="1" t="str">
        <v>Receita da venda de recicláveis</v>
      </c>
      <c r="G428" s="1" t="str">
        <v>Plástico</v>
      </c>
      <c r="H428" s="1" t="str">
        <v>PVC (Cano, Forro, Tubulação de cano)</v>
      </c>
      <c r="I428" s="1">
        <v>0</v>
      </c>
      <c r="J428" s="1">
        <v>609</v>
      </c>
      <c r="K428" s="1">
        <v>548.1</v>
      </c>
      <c r="L428" s="1">
        <v>0.9</v>
      </c>
      <c r="M428" s="1">
        <v>0</v>
      </c>
    </row>
    <row r="429" spans="1:13">
      <c r="A429" s="1" t="s">
        <v>18</v>
      </c>
      <c r="B429" s="1" t="str">
        <v>UVR 06 - Foz do Iguaçu</v>
      </c>
      <c r="C429" s="1" t="str">
        <v>06</v>
      </c>
      <c r="D429" s="1" t="str">
        <v>Foz do Iguaçu</v>
      </c>
      <c r="E429" s="1" t="str">
        <v>1/15/2025</v>
      </c>
      <c r="F429" s="1" t="str">
        <v>Receita da venda de recicláveis</v>
      </c>
      <c r="G429" s="1" t="str">
        <v>Plástico</v>
      </c>
      <c r="H429" s="1" t="str">
        <v>PEAD (Embalagens de produtos de limpeza)</v>
      </c>
      <c r="I429" s="1">
        <v>0</v>
      </c>
      <c r="J429" s="1">
        <v>1520</v>
      </c>
      <c r="K429" s="1">
        <v>3496</v>
      </c>
      <c r="L429" s="1">
        <v>2.2999999999999998</v>
      </c>
      <c r="M429" s="1">
        <v>0</v>
      </c>
    </row>
    <row r="430" spans="1:13">
      <c r="A430" s="1" t="s">
        <v>18</v>
      </c>
      <c r="B430" s="1" t="str">
        <v>UVR 06 - Foz do Iguaçu</v>
      </c>
      <c r="C430" s="1" t="str">
        <v>06</v>
      </c>
      <c r="D430" s="1" t="str">
        <v>Foz do Iguaçu</v>
      </c>
      <c r="E430" s="1" t="str">
        <v>1/15/2025</v>
      </c>
      <c r="F430" s="1" t="str">
        <v>Receita da venda de recicláveis</v>
      </c>
      <c r="G430" s="1" t="str">
        <v>Plástico</v>
      </c>
      <c r="H430" s="1" t="str">
        <v>PP Filme (Estralador, embalagens internas de pacotes de bolacha)</v>
      </c>
      <c r="I430" s="1">
        <v>0</v>
      </c>
      <c r="J430" s="1">
        <v>147</v>
      </c>
      <c r="K430" s="1">
        <v>7.35</v>
      </c>
      <c r="L430" s="1">
        <v>0.05</v>
      </c>
      <c r="M430" s="1">
        <v>0</v>
      </c>
    </row>
    <row r="431" spans="1:13">
      <c r="A431" s="1" t="s">
        <v>18</v>
      </c>
      <c r="B431" s="1" t="str">
        <v>UVR 06 - Foz do Iguaçu</v>
      </c>
      <c r="C431" s="1" t="str">
        <v>06</v>
      </c>
      <c r="D431" s="1" t="str">
        <v>Foz do Iguaçu</v>
      </c>
      <c r="E431" s="1" t="str">
        <v>1/15/2025</v>
      </c>
      <c r="F431" s="1" t="str">
        <v>Receita da venda de recicláveis</v>
      </c>
      <c r="G431" s="1" t="str">
        <v>Plástico</v>
      </c>
      <c r="H431" s="1" t="str">
        <v>PEAD Injeção (Caixaria)</v>
      </c>
      <c r="I431" s="1">
        <v>0</v>
      </c>
      <c r="J431" s="1">
        <v>47</v>
      </c>
      <c r="K431" s="1">
        <v>173.9</v>
      </c>
      <c r="L431" s="1">
        <v>3.7</v>
      </c>
      <c r="M431" s="1">
        <v>0</v>
      </c>
    </row>
    <row r="432" spans="1:13">
      <c r="A432" s="1" t="s">
        <v>18</v>
      </c>
      <c r="B432" s="1" t="str">
        <v>UVR 06 - Foz do Iguaçu</v>
      </c>
      <c r="C432" s="1" t="str">
        <v>06</v>
      </c>
      <c r="D432" s="1" t="str">
        <v>Foz do Iguaçu</v>
      </c>
      <c r="E432" s="1" t="str">
        <v>1/15/2025</v>
      </c>
      <c r="F432" s="1" t="str">
        <v>Receita da venda de recicláveis</v>
      </c>
      <c r="G432" s="1" t="str">
        <v>Plástico</v>
      </c>
      <c r="H432" s="1" t="str">
        <v>PEBD Filme (Sacolinha, Sacos de lixo, Lona Preta)</v>
      </c>
      <c r="I432" s="1">
        <v>0</v>
      </c>
      <c r="J432" s="1">
        <v>651</v>
      </c>
      <c r="K432" s="1">
        <v>423.15</v>
      </c>
      <c r="L432" s="1">
        <v>0.65</v>
      </c>
      <c r="M432" s="1">
        <v>0</v>
      </c>
    </row>
    <row r="433" spans="1:13">
      <c r="A433" s="1" t="s">
        <v>18</v>
      </c>
      <c r="B433" s="1" t="str">
        <v>UVR 06 - Foz do Iguaçu</v>
      </c>
      <c r="C433" s="1" t="str">
        <v>06</v>
      </c>
      <c r="D433" s="1" t="str">
        <v>Foz do Iguaçu</v>
      </c>
      <c r="E433" s="1" t="str">
        <v>1/15/2025</v>
      </c>
      <c r="F433" s="1" t="str">
        <v>Receita da venda de recicláveis</v>
      </c>
      <c r="G433" s="1" t="str">
        <v>Plástico</v>
      </c>
      <c r="H433" s="1" t="str">
        <v>PEBD Filme (Sacolinha, Sacos de lixo, Lona Preta)</v>
      </c>
      <c r="I433" s="1">
        <v>0</v>
      </c>
      <c r="J433" s="1">
        <v>1630</v>
      </c>
      <c r="K433" s="1">
        <v>1222.5</v>
      </c>
      <c r="L433" s="1">
        <v>0.75</v>
      </c>
      <c r="M433" s="1">
        <v>0</v>
      </c>
    </row>
    <row r="434" spans="1:13">
      <c r="A434" s="1" t="s">
        <v>18</v>
      </c>
      <c r="B434" s="1" t="str">
        <v>UVR 06 - Foz do Iguaçu</v>
      </c>
      <c r="C434" s="1" t="str">
        <v>06</v>
      </c>
      <c r="D434" s="1" t="str">
        <v>Foz do Iguaçu</v>
      </c>
      <c r="E434" s="1" t="str">
        <v>1/15/2025</v>
      </c>
      <c r="F434" s="1" t="str">
        <v>Receita da venda de recicláveis</v>
      </c>
      <c r="G434" s="1" t="str">
        <v>Plástico</v>
      </c>
      <c r="H434" s="1" t="str">
        <v>PET Cristal (Embalagens de refrigerante transparente)</v>
      </c>
      <c r="I434" s="1">
        <v>0</v>
      </c>
      <c r="J434" s="1">
        <v>3667</v>
      </c>
      <c r="K434" s="1">
        <v>16501.5</v>
      </c>
      <c r="L434" s="1">
        <v>4.5</v>
      </c>
      <c r="M434" s="1">
        <v>0</v>
      </c>
    </row>
    <row r="435" spans="1:13">
      <c r="A435" s="1" t="s">
        <v>18</v>
      </c>
      <c r="B435" s="1" t="str">
        <v>UVR 06 - Foz do Iguaçu</v>
      </c>
      <c r="C435" s="1" t="str">
        <v>06</v>
      </c>
      <c r="D435" s="1" t="str">
        <v>Foz do Iguaçu</v>
      </c>
      <c r="E435" s="1" t="str">
        <v>1/15/2025</v>
      </c>
      <c r="F435" s="1" t="str">
        <v>Receita da venda de recicláveis</v>
      </c>
      <c r="G435" s="1" t="str">
        <v>Plástico</v>
      </c>
      <c r="H435" s="1" t="str">
        <v>PET Cristal (Embalagens de refrigerante transparente)</v>
      </c>
      <c r="I435" s="1">
        <v>0</v>
      </c>
      <c r="J435" s="1">
        <v>338</v>
      </c>
      <c r="K435" s="1">
        <v>1487.2</v>
      </c>
      <c r="L435" s="1">
        <v>4.4000000000000004</v>
      </c>
      <c r="M435" s="1">
        <v>0</v>
      </c>
    </row>
    <row r="436" spans="1:13">
      <c r="A436" s="1" t="s">
        <v>18</v>
      </c>
      <c r="B436" s="1" t="str">
        <v>UVR 06 - Foz do Iguaçu</v>
      </c>
      <c r="C436" s="1" t="str">
        <v>06</v>
      </c>
      <c r="D436" s="1" t="str">
        <v>Foz do Iguaçu</v>
      </c>
      <c r="E436" s="1" t="str">
        <v>1/15/2025</v>
      </c>
      <c r="F436" s="1" t="str">
        <v>Receita da venda de recicláveis</v>
      </c>
      <c r="G436" s="1" t="str">
        <v>Plástico</v>
      </c>
      <c r="H436" s="1" t="str">
        <v>PP Mineral (Copinho de água mineral)</v>
      </c>
      <c r="I436" s="1">
        <v>0</v>
      </c>
      <c r="J436" s="1">
        <v>123</v>
      </c>
      <c r="K436" s="1">
        <v>123</v>
      </c>
      <c r="L436" s="1">
        <v>1</v>
      </c>
      <c r="M436" s="1">
        <v>0</v>
      </c>
    </row>
    <row r="437" spans="1:13">
      <c r="A437" s="1" t="s">
        <v>18</v>
      </c>
      <c r="B437" s="1" t="str">
        <v>UVR 06 - Foz do Iguaçu</v>
      </c>
      <c r="C437" s="1" t="str">
        <v>06</v>
      </c>
      <c r="D437" s="1" t="str">
        <v>Foz do Iguaçu</v>
      </c>
      <c r="E437" s="1" t="str">
        <v>1/15/2025</v>
      </c>
      <c r="F437" s="1" t="str">
        <v>Receita da venda de recicláveis</v>
      </c>
      <c r="G437" s="1" t="str">
        <v>Plástico</v>
      </c>
      <c r="H437" s="1" t="str">
        <v>PET Óleo (Embalagens de óleo de cozinha)</v>
      </c>
      <c r="I437" s="1">
        <v>0</v>
      </c>
      <c r="J437" s="1">
        <v>145</v>
      </c>
      <c r="K437" s="1">
        <v>290</v>
      </c>
      <c r="L437" s="1">
        <v>2</v>
      </c>
      <c r="M437" s="1">
        <v>0</v>
      </c>
    </row>
    <row r="438" spans="1:13">
      <c r="A438" s="1" t="s">
        <v>18</v>
      </c>
      <c r="B438" s="1" t="str">
        <v>UVR 06 - Foz do Iguaçu</v>
      </c>
      <c r="C438" s="1" t="str">
        <v>06</v>
      </c>
      <c r="D438" s="1" t="str">
        <v>Foz do Iguaçu</v>
      </c>
      <c r="E438" s="1" t="str">
        <v>1/15/2025</v>
      </c>
      <c r="F438" s="1" t="str">
        <v>Receita da venda de recicláveis</v>
      </c>
      <c r="G438" s="1" t="str">
        <v>Plástico</v>
      </c>
      <c r="H438" s="1" t="str">
        <v>PET Colorido (Embalagens de PET colorido, PET bagunça)</v>
      </c>
      <c r="I438" s="1">
        <v>0</v>
      </c>
      <c r="J438" s="1">
        <v>276</v>
      </c>
      <c r="K438" s="1">
        <v>110.4</v>
      </c>
      <c r="L438" s="1">
        <v>0.4</v>
      </c>
      <c r="M438" s="1">
        <v>0</v>
      </c>
    </row>
    <row r="439" spans="1:13">
      <c r="A439" s="1" t="s">
        <v>18</v>
      </c>
      <c r="B439" s="1" t="str">
        <v>UVR 06 - Foz do Iguaçu</v>
      </c>
      <c r="C439" s="1" t="str">
        <v>06</v>
      </c>
      <c r="D439" s="1" t="str">
        <v>Foz do Iguaçu</v>
      </c>
      <c r="E439" s="1" t="str">
        <v>1/15/2025</v>
      </c>
      <c r="F439" s="1" t="str">
        <v>Receita da venda de recicláveis</v>
      </c>
      <c r="G439" s="1" t="str">
        <v>Plástico</v>
      </c>
      <c r="H439" s="1" t="str">
        <v>PS (Copos descartáveis)</v>
      </c>
      <c r="I439" s="1">
        <v>0</v>
      </c>
      <c r="J439" s="1">
        <v>61</v>
      </c>
      <c r="K439" s="1">
        <v>97.6</v>
      </c>
      <c r="L439" s="1">
        <v>0</v>
      </c>
      <c r="M439" s="1">
        <v>0</v>
      </c>
    </row>
    <row r="440" spans="1:13">
      <c r="A440" s="1" t="s">
        <v>18</v>
      </c>
      <c r="B440" s="1" t="str">
        <v>UVR 06 - Foz do Iguaçu</v>
      </c>
      <c r="C440" s="1" t="str">
        <v>06</v>
      </c>
      <c r="D440" s="1" t="str">
        <v>Foz do Iguaçu</v>
      </c>
      <c r="E440" s="1" t="str">
        <v>1/15/2025</v>
      </c>
      <c r="F440" s="1" t="str">
        <v>Receita da venda de recicláveis</v>
      </c>
      <c r="G440" s="1" t="str">
        <v>Plástico</v>
      </c>
      <c r="H440" s="1" t="str">
        <v>PET Cristal (Embalagens de refrigerante transparente)</v>
      </c>
      <c r="I440" s="1">
        <v>0</v>
      </c>
      <c r="J440" s="1">
        <v>43</v>
      </c>
      <c r="K440" s="1">
        <v>64.5</v>
      </c>
      <c r="L440" s="1">
        <v>1.5</v>
      </c>
      <c r="M440" s="1">
        <v>0</v>
      </c>
    </row>
    <row r="441" spans="1:13">
      <c r="A441" s="1" t="s">
        <v>18</v>
      </c>
      <c r="B441" s="1" t="str">
        <v>UVR 06 - Foz do Iguaçu</v>
      </c>
      <c r="C441" s="1" t="str">
        <v>06</v>
      </c>
      <c r="D441" s="1" t="str">
        <v>Foz do Iguaçu</v>
      </c>
      <c r="E441" s="1" t="str">
        <v>1/15/2025</v>
      </c>
      <c r="F441" s="1" t="str">
        <v>Receita da venda de recicláveis</v>
      </c>
      <c r="G441" s="1" t="str">
        <v>Plástico</v>
      </c>
      <c r="H441" s="1" t="str">
        <v>Outro tipo de plástico</v>
      </c>
      <c r="I441" s="1" t="str">
        <v>PP Colorido</v>
      </c>
      <c r="J441" s="1">
        <v>1723</v>
      </c>
      <c r="K441" s="1">
        <v>2756.8</v>
      </c>
      <c r="L441" s="1">
        <v>1.6</v>
      </c>
      <c r="M441" s="1">
        <v>0</v>
      </c>
    </row>
    <row r="442" spans="1:13">
      <c r="A442" s="1" t="s">
        <v>18</v>
      </c>
      <c r="B442" s="1" t="str">
        <v>UVR 06 - Foz do Iguaçu</v>
      </c>
      <c r="C442" s="1" t="str">
        <v>06</v>
      </c>
      <c r="D442" s="1" t="str">
        <v>Foz do Iguaçu</v>
      </c>
      <c r="E442" s="1" t="str">
        <v>1/15/2025</v>
      </c>
      <c r="F442" s="1" t="str">
        <v>Receita da venda de recicláveis</v>
      </c>
      <c r="G442" s="1" t="str">
        <v>Plástico</v>
      </c>
      <c r="H442" s="1" t="str">
        <v>Outro tipo de plástico</v>
      </c>
      <c r="I442" s="1" t="str">
        <v>PP Preto</v>
      </c>
      <c r="J442" s="1">
        <v>1058</v>
      </c>
      <c r="K442" s="1">
        <v>1375.4</v>
      </c>
      <c r="L442" s="1">
        <v>1.3</v>
      </c>
      <c r="M442" s="1">
        <v>0</v>
      </c>
    </row>
    <row r="443" spans="1:13">
      <c r="A443" s="1" t="s">
        <v>18</v>
      </c>
      <c r="B443" s="1" t="str">
        <v>UVR 06 - Foz do Iguaçu</v>
      </c>
      <c r="C443" s="1" t="str">
        <v>06</v>
      </c>
      <c r="D443" s="1" t="str">
        <v>Foz do Iguaçu</v>
      </c>
      <c r="E443" s="1" t="str">
        <v>1/15/2025</v>
      </c>
      <c r="F443" s="1" t="str">
        <v>Receita da venda de recicláveis</v>
      </c>
      <c r="G443" s="1" t="str">
        <v>Plástico</v>
      </c>
      <c r="H443" s="1" t="str">
        <v>Outro tipo de plástico</v>
      </c>
      <c r="I443" s="1" t="str">
        <v>PP Branco</v>
      </c>
      <c r="J443" s="1">
        <v>1310</v>
      </c>
      <c r="K443" s="1">
        <v>2227</v>
      </c>
      <c r="L443" s="1">
        <v>1.7</v>
      </c>
      <c r="M443" s="1">
        <v>0</v>
      </c>
    </row>
    <row r="444" spans="1:13">
      <c r="A444" s="1" t="s">
        <v>18</v>
      </c>
      <c r="B444" s="1" t="str">
        <v>UVR 06 - Foz do Iguaçu</v>
      </c>
      <c r="C444" s="1" t="str">
        <v>06</v>
      </c>
      <c r="D444" s="1" t="str">
        <v>Foz do Iguaçu</v>
      </c>
      <c r="E444" s="1" t="str">
        <v>1/15/2025</v>
      </c>
      <c r="F444" s="1" t="str">
        <v>Receita da venda de recicláveis</v>
      </c>
      <c r="G444" s="1" t="str">
        <v>Plástico</v>
      </c>
      <c r="H444" s="1" t="str">
        <v>Outro tipo de plástico</v>
      </c>
      <c r="I444" s="1" t="str">
        <v>PP</v>
      </c>
      <c r="J444" s="1">
        <v>1604</v>
      </c>
      <c r="K444" s="1">
        <v>1283.2</v>
      </c>
      <c r="L444" s="1">
        <v>0.8</v>
      </c>
      <c r="M444" s="1">
        <v>0</v>
      </c>
    </row>
    <row r="445" spans="1:13">
      <c r="A445" s="1" t="s">
        <v>18</v>
      </c>
      <c r="B445" s="1" t="str">
        <v>UVR 06 - Foz do Iguaçu</v>
      </c>
      <c r="C445" s="1" t="str">
        <v>06</v>
      </c>
      <c r="D445" s="1" t="str">
        <v>Foz do Iguaçu</v>
      </c>
      <c r="E445" s="1" t="str">
        <v>1/15/2025</v>
      </c>
      <c r="F445" s="1" t="str">
        <v>Receita da venda de recicláveis</v>
      </c>
      <c r="G445" s="1" t="str">
        <v>Vidro</v>
      </c>
      <c r="H445" s="1" t="str">
        <v>Caco</v>
      </c>
      <c r="I445" s="1">
        <v>0</v>
      </c>
      <c r="J445" s="1">
        <v>10150</v>
      </c>
      <c r="K445" s="1">
        <v>1015</v>
      </c>
      <c r="L445" s="1">
        <v>0.1</v>
      </c>
      <c r="M445" s="1">
        <v>0</v>
      </c>
    </row>
    <row r="446" spans="1:13">
      <c r="A446" s="1" t="s">
        <v>18</v>
      </c>
      <c r="B446" s="1" t="str">
        <v>UVR 06 - Foz do Iguaçu</v>
      </c>
      <c r="C446" s="1" t="str">
        <v>06</v>
      </c>
      <c r="D446" s="1" t="str">
        <v>Foz do Iguaçu</v>
      </c>
      <c r="E446" s="1" t="str">
        <v>1/15/2025</v>
      </c>
      <c r="F446" s="1" t="str">
        <v>Receita da venda de recicláveis</v>
      </c>
      <c r="G446" s="1" t="str">
        <v>Plástico</v>
      </c>
      <c r="H446" s="1" t="str">
        <v>PS Expansível (Isopor)</v>
      </c>
      <c r="I446" s="1">
        <v>0</v>
      </c>
      <c r="J446" s="1">
        <v>320</v>
      </c>
      <c r="K446" s="1">
        <v>64</v>
      </c>
      <c r="L446" s="1">
        <v>0.2</v>
      </c>
      <c r="M446" s="1">
        <v>0</v>
      </c>
    </row>
    <row r="447" spans="1:13">
      <c r="A447" s="1" t="s">
        <v>18</v>
      </c>
      <c r="B447" s="1" t="str">
        <v>UVR 06 - Foz do Iguaçu</v>
      </c>
      <c r="C447" s="1" t="str">
        <v>06</v>
      </c>
      <c r="D447" s="1" t="str">
        <v>Foz do Iguaçu</v>
      </c>
      <c r="E447" s="1" t="str">
        <v>1/15/2025</v>
      </c>
      <c r="F447" s="1" t="str">
        <v>Receita da prestação de serviços</v>
      </c>
      <c r="G447" s="1" t="str">
        <v>Contratos</v>
      </c>
      <c r="H447" s="1">
        <v>0</v>
      </c>
      <c r="I447" s="1">
        <v>0</v>
      </c>
      <c r="J447" s="1">
        <v>0</v>
      </c>
      <c r="K447" s="1">
        <v>40307.67</v>
      </c>
      <c r="L447" s="1">
        <v>0</v>
      </c>
      <c r="M447" s="1">
        <v>0</v>
      </c>
    </row>
    <row r="448" spans="1:13">
      <c r="A448" s="1" t="s">
        <v>18</v>
      </c>
      <c r="B448" s="1" t="str">
        <v>UVR 06 - Foz do Iguaçu</v>
      </c>
      <c r="C448" s="1" t="str">
        <v>06</v>
      </c>
      <c r="D448" s="1" t="str">
        <v>Foz do Iguaçu</v>
      </c>
      <c r="E448" s="1" t="str">
        <v>1/15/2025</v>
      </c>
      <c r="F448" s="1" t="str">
        <v>Despesa</v>
      </c>
      <c r="G448" s="1" t="str">
        <v>Funcionário/Apoio Técnico</v>
      </c>
      <c r="H448" s="1">
        <v>0</v>
      </c>
      <c r="I448" s="1">
        <v>0</v>
      </c>
      <c r="J448" s="1">
        <v>0</v>
      </c>
      <c r="K448" s="1">
        <v>5251</v>
      </c>
      <c r="L448" s="1">
        <v>0</v>
      </c>
      <c r="M448" s="1">
        <v>0</v>
      </c>
    </row>
    <row r="449" spans="1:13">
      <c r="A449" s="1" t="s">
        <v>18</v>
      </c>
      <c r="B449" s="1" t="str">
        <v>UVR 06 - Foz do Iguaçu</v>
      </c>
      <c r="C449" s="1" t="str">
        <v>06</v>
      </c>
      <c r="D449" s="1" t="str">
        <v>Foz do Iguaçu</v>
      </c>
      <c r="E449" s="1" t="str">
        <v>1/15/2025</v>
      </c>
      <c r="F449" s="1" t="str">
        <v>Despesa</v>
      </c>
      <c r="G449" s="1" t="str">
        <v>Funcionário/Apoio Técnico</v>
      </c>
      <c r="H449" s="1">
        <v>0</v>
      </c>
      <c r="I449" s="1">
        <v>0</v>
      </c>
      <c r="J449" s="1">
        <v>0</v>
      </c>
      <c r="K449" s="1">
        <v>4714</v>
      </c>
      <c r="L449" s="1">
        <v>0</v>
      </c>
      <c r="M449" s="1">
        <v>0</v>
      </c>
    </row>
    <row r="450" spans="1:13">
      <c r="A450" s="1" t="s">
        <v>18</v>
      </c>
      <c r="B450" s="1" t="str">
        <v>UVR 06 - Foz do Iguaçu</v>
      </c>
      <c r="C450" s="1" t="str">
        <v>06</v>
      </c>
      <c r="D450" s="1" t="str">
        <v>Foz do Iguaçu</v>
      </c>
      <c r="E450" s="1" t="str">
        <v>1/15/2025</v>
      </c>
      <c r="F450" s="1" t="str">
        <v>Despesa</v>
      </c>
      <c r="G450" s="1" t="str">
        <v xml:space="preserve">Alimentação </v>
      </c>
      <c r="H450" s="1">
        <v>0</v>
      </c>
      <c r="I450" s="1">
        <v>0</v>
      </c>
      <c r="J450" s="1">
        <v>0</v>
      </c>
      <c r="K450" s="1">
        <v>6229.15</v>
      </c>
      <c r="L450" s="1">
        <v>0</v>
      </c>
      <c r="M450" s="1">
        <v>0</v>
      </c>
    </row>
    <row r="451" spans="1:13">
      <c r="A451" s="1" t="s">
        <v>18</v>
      </c>
      <c r="B451" s="1" t="str">
        <v>UVR 06 - Foz do Iguaçu</v>
      </c>
      <c r="C451" s="1" t="str">
        <v>06</v>
      </c>
      <c r="D451" s="1" t="str">
        <v>Foz do Iguaçu</v>
      </c>
      <c r="E451" s="1" t="str">
        <v>1/15/2025</v>
      </c>
      <c r="F451" s="1" t="str">
        <v>Despesa</v>
      </c>
      <c r="G451" s="1" t="str">
        <v>Outra Despesa</v>
      </c>
      <c r="H451" s="1">
        <v>0</v>
      </c>
      <c r="I451" s="1">
        <v>0</v>
      </c>
      <c r="J451" s="1">
        <v>0</v>
      </c>
      <c r="K451" s="1">
        <v>804</v>
      </c>
      <c r="L451" s="1">
        <v>0</v>
      </c>
      <c r="M451" s="1" t="str">
        <v>Contabilidade</v>
      </c>
    </row>
    <row r="452" spans="1:13">
      <c r="A452" s="1" t="s">
        <v>18</v>
      </c>
      <c r="B452" s="1" t="str">
        <v>UVR 06 - Foz do Iguaçu</v>
      </c>
      <c r="C452" s="1" t="str">
        <v>06</v>
      </c>
      <c r="D452" s="1" t="str">
        <v>Foz do Iguaçu</v>
      </c>
      <c r="E452" s="1" t="str">
        <v>1/15/2025</v>
      </c>
      <c r="F452" s="1" t="str">
        <v>Despesa</v>
      </c>
      <c r="G452" s="1" t="str">
        <v>Outra Despesa</v>
      </c>
      <c r="H452" s="1">
        <v>0</v>
      </c>
      <c r="I452" s="1">
        <v>0</v>
      </c>
      <c r="J452" s="1">
        <v>0</v>
      </c>
      <c r="K452" s="1">
        <v>1150</v>
      </c>
      <c r="L452" s="1">
        <v>0</v>
      </c>
      <c r="M452" s="1" t="str">
        <v>jardinagem</v>
      </c>
    </row>
    <row r="453" spans="1:13">
      <c r="A453" s="1" t="s">
        <v>18</v>
      </c>
      <c r="B453" s="1" t="str">
        <v>UVR 06 - Foz do Iguaçu</v>
      </c>
      <c r="C453" s="1" t="str">
        <v>06</v>
      </c>
      <c r="D453" s="1" t="str">
        <v>Foz do Iguaçu</v>
      </c>
      <c r="E453" s="1" t="str">
        <v>1/15/2025</v>
      </c>
      <c r="F453" s="1" t="str">
        <v>Rejeito</v>
      </c>
      <c r="G453" s="1" t="str">
        <v>Rejeito</v>
      </c>
      <c r="H453" s="1">
        <v>0</v>
      </c>
      <c r="I453" s="1">
        <v>0</v>
      </c>
      <c r="J453" s="1">
        <v>8450</v>
      </c>
      <c r="K453" s="1">
        <v>0</v>
      </c>
      <c r="L453" s="1">
        <v>0</v>
      </c>
      <c r="M453" s="1">
        <v>0</v>
      </c>
    </row>
    <row r="454" spans="1:13">
      <c r="A454" s="1" t="s">
        <v>6</v>
      </c>
      <c r="B454" s="1" t="str" cm="1">
        <f t="array" ref="B454:M468">_xlfn._xlws.FILTER(
    'Micro Dados - Todos'!$A$2:$L$20000,
    ('Micro Dados - Todos'!$C$2:$C$20000=Lacunas!B18) *
    ('Micro Dados - Todos'!$B$2:$B$20000=Lacunas!C18) *
    ('Micro Dados - Todos'!$D$2:$D$20000=Lacunas!F18)
)</f>
        <v>UVR 01 - Jesuítas</v>
      </c>
      <c r="C454" s="1" t="str">
        <v>01</v>
      </c>
      <c r="D454" s="1" t="str">
        <v>Jesuítas</v>
      </c>
      <c r="E454" s="1" t="str">
        <v>1/15/2025</v>
      </c>
      <c r="F454" s="1" t="str">
        <v>Receita da venda de recicláveis</v>
      </c>
      <c r="G454" s="1" t="str">
        <v>Plástico</v>
      </c>
      <c r="H454" s="1" t="str">
        <v>PEAD Filme (Cristal)</v>
      </c>
      <c r="I454" s="1">
        <v>0</v>
      </c>
      <c r="J454" s="1">
        <v>1633</v>
      </c>
      <c r="K454" s="1">
        <v>2449.5</v>
      </c>
      <c r="L454" s="1">
        <v>1.5</v>
      </c>
      <c r="M454" s="1">
        <v>0</v>
      </c>
    </row>
    <row r="455" spans="1:13">
      <c r="A455" s="1" t="s">
        <v>6</v>
      </c>
      <c r="B455" s="1" t="str">
        <v>UVR 01 - Jesuítas</v>
      </c>
      <c r="C455" s="1" t="str">
        <v>01</v>
      </c>
      <c r="D455" s="1" t="str">
        <v>Jesuítas</v>
      </c>
      <c r="E455" s="1" t="str">
        <v>1/15/2025</v>
      </c>
      <c r="F455" s="1" t="str">
        <v>Receita da prestação de serviços</v>
      </c>
      <c r="G455" s="1" t="str">
        <v>Contratos</v>
      </c>
      <c r="H455" s="1" t="str">
        <v>null</v>
      </c>
      <c r="I455" s="1">
        <v>0</v>
      </c>
      <c r="J455" s="1">
        <v>0</v>
      </c>
      <c r="K455" s="1">
        <v>14223.5</v>
      </c>
      <c r="L455" s="1">
        <v>0</v>
      </c>
      <c r="M455" s="1">
        <v>0</v>
      </c>
    </row>
    <row r="456" spans="1:13">
      <c r="A456" s="1" t="s">
        <v>6</v>
      </c>
      <c r="B456" s="1" t="str">
        <v>UVR 01 - Jesuítas</v>
      </c>
      <c r="C456" s="1" t="str">
        <v>01</v>
      </c>
      <c r="D456" s="1" t="str">
        <v>Jesuítas</v>
      </c>
      <c r="E456" s="1" t="str">
        <v>1/15/2025</v>
      </c>
      <c r="F456" s="1" t="str">
        <v>Receita da venda de recicláveis</v>
      </c>
      <c r="G456" s="1" t="str">
        <v>Papéis</v>
      </c>
      <c r="H456" s="1" t="str">
        <v>Papelão</v>
      </c>
      <c r="I456" s="1">
        <v>0</v>
      </c>
      <c r="J456" s="1">
        <v>9062</v>
      </c>
      <c r="K456" s="1">
        <v>6343.4</v>
      </c>
      <c r="L456" s="1">
        <v>0.7</v>
      </c>
      <c r="M456" s="1">
        <v>0</v>
      </c>
    </row>
    <row r="457" spans="1:13">
      <c r="A457" s="1" t="s">
        <v>6</v>
      </c>
      <c r="B457" s="1" t="str">
        <v>UVR 01 - Jesuítas</v>
      </c>
      <c r="C457" s="1" t="str">
        <v>01</v>
      </c>
      <c r="D457" s="1" t="str">
        <v>Jesuítas</v>
      </c>
      <c r="E457" s="1" t="str">
        <v>1/15/2025</v>
      </c>
      <c r="F457" s="1" t="str">
        <v>Receita da venda de recicláveis</v>
      </c>
      <c r="G457" s="1" t="str">
        <v>Plástico</v>
      </c>
      <c r="H457" s="1" t="str">
        <v>PET Cristal (Embalagens de refrigerante transparente)</v>
      </c>
      <c r="I457" s="1">
        <v>0</v>
      </c>
      <c r="J457" s="1">
        <v>1972</v>
      </c>
      <c r="K457" s="1">
        <v>7888</v>
      </c>
      <c r="L457" s="1">
        <v>4</v>
      </c>
      <c r="M457" s="1">
        <v>0</v>
      </c>
    </row>
    <row r="458" spans="1:13">
      <c r="A458" s="1" t="s">
        <v>6</v>
      </c>
      <c r="B458" s="1" t="str">
        <v>UVR 01 - Jesuítas</v>
      </c>
      <c r="C458" s="1" t="str">
        <v>01</v>
      </c>
      <c r="D458" s="1" t="str">
        <v>Jesuítas</v>
      </c>
      <c r="E458" s="1" t="str">
        <v>1/15/2025</v>
      </c>
      <c r="F458" s="1" t="str">
        <v>Receita da venda de recicláveis</v>
      </c>
      <c r="G458" s="1" t="str">
        <v>Plástico</v>
      </c>
      <c r="H458" s="1" t="str">
        <v>PEBD Filme (Sacolinha, Sacos de lixo, Lona Preta)</v>
      </c>
      <c r="I458" s="1">
        <v>0</v>
      </c>
      <c r="J458" s="1">
        <v>2310</v>
      </c>
      <c r="K458" s="1">
        <v>2310</v>
      </c>
      <c r="L458" s="1">
        <v>1</v>
      </c>
      <c r="M458" s="1">
        <v>0</v>
      </c>
    </row>
    <row r="459" spans="1:13">
      <c r="A459" s="1" t="s">
        <v>6</v>
      </c>
      <c r="B459" s="1" t="str">
        <v>UVR 01 - Jesuítas</v>
      </c>
      <c r="C459" s="1" t="str">
        <v>01</v>
      </c>
      <c r="D459" s="1" t="str">
        <v>Jesuítas</v>
      </c>
      <c r="E459" s="1" t="str">
        <v>1/15/2025</v>
      </c>
      <c r="F459" s="1" t="str">
        <v>Receita da venda de recicláveis</v>
      </c>
      <c r="G459" s="1" t="str">
        <v>Plástico</v>
      </c>
      <c r="H459" s="1" t="str">
        <v>PEAD (Embalagens de produtos de limpeza)</v>
      </c>
      <c r="I459" s="1">
        <v>0</v>
      </c>
      <c r="J459" s="1">
        <v>8762</v>
      </c>
      <c r="K459" s="1">
        <v>3504.8</v>
      </c>
      <c r="L459" s="1">
        <v>0.4</v>
      </c>
      <c r="M459" s="1">
        <v>0</v>
      </c>
    </row>
    <row r="460" spans="1:13">
      <c r="A460" s="1" t="s">
        <v>6</v>
      </c>
      <c r="B460" s="1" t="str">
        <v>UVR 01 - Jesuítas</v>
      </c>
      <c r="C460" s="1" t="str">
        <v>01</v>
      </c>
      <c r="D460" s="1" t="str">
        <v>Jesuítas</v>
      </c>
      <c r="E460" s="1" t="str">
        <v>1/15/2025</v>
      </c>
      <c r="F460" s="1" t="str">
        <v>Receita da venda de recicláveis</v>
      </c>
      <c r="G460" s="1" t="str">
        <v>Plástico</v>
      </c>
      <c r="H460" s="1" t="str">
        <v>PET Colorido (Embalagens de PET colorido, PET bagunça)</v>
      </c>
      <c r="I460" s="1">
        <v>0</v>
      </c>
      <c r="J460" s="1">
        <v>1414</v>
      </c>
      <c r="K460" s="1">
        <v>3535</v>
      </c>
      <c r="L460" s="1">
        <v>2.5</v>
      </c>
      <c r="M460" s="1">
        <v>0</v>
      </c>
    </row>
    <row r="461" spans="1:13">
      <c r="A461" s="1" t="s">
        <v>6</v>
      </c>
      <c r="B461" s="1" t="str">
        <v>UVR 01 - Jesuítas</v>
      </c>
      <c r="C461" s="1" t="str">
        <v>01</v>
      </c>
      <c r="D461" s="1" t="str">
        <v>Jesuítas</v>
      </c>
      <c r="E461" s="1" t="str">
        <v>1/15/2025</v>
      </c>
      <c r="F461" s="1" t="str">
        <v>Receita da venda de recicláveis</v>
      </c>
      <c r="G461" s="1" t="str">
        <v>Plástico</v>
      </c>
      <c r="H461" s="1" t="str">
        <v>PP Rígido (Balde, bacia, potes de sorvetes, margarina, entre outros)</v>
      </c>
      <c r="I461" s="1">
        <v>0</v>
      </c>
      <c r="J461" s="1">
        <v>804</v>
      </c>
      <c r="K461" s="1">
        <v>1447.2</v>
      </c>
      <c r="L461" s="1">
        <v>1.8</v>
      </c>
      <c r="M461" s="1">
        <v>0</v>
      </c>
    </row>
    <row r="462" spans="1:13">
      <c r="A462" s="1" t="s">
        <v>6</v>
      </c>
      <c r="B462" s="1" t="str">
        <v>UVR 01 - Jesuítas</v>
      </c>
      <c r="C462" s="1" t="str">
        <v>01</v>
      </c>
      <c r="D462" s="1" t="str">
        <v>Jesuítas</v>
      </c>
      <c r="E462" s="1" t="str">
        <v>1/15/2025</v>
      </c>
      <c r="F462" s="1" t="str">
        <v>Receita da venda de recicláveis</v>
      </c>
      <c r="G462" s="1" t="str">
        <v>Plástico</v>
      </c>
      <c r="H462" s="1" t="str">
        <v>PP Rígido (Balde, bacia, potes de sorvetes, margarina, entre outros)</v>
      </c>
      <c r="I462" s="1">
        <v>0</v>
      </c>
      <c r="J462" s="1">
        <v>1841</v>
      </c>
      <c r="K462" s="1">
        <v>2577.4</v>
      </c>
      <c r="L462" s="1">
        <v>1.4</v>
      </c>
      <c r="M462" s="1">
        <v>0</v>
      </c>
    </row>
    <row r="463" spans="1:13">
      <c r="A463" s="1" t="s">
        <v>6</v>
      </c>
      <c r="B463" s="1" t="str">
        <v>UVR 01 - Jesuítas</v>
      </c>
      <c r="C463" s="1" t="str">
        <v>01</v>
      </c>
      <c r="D463" s="1" t="str">
        <v>Jesuítas</v>
      </c>
      <c r="E463" s="1" t="str">
        <v>1/15/2025</v>
      </c>
      <c r="F463" s="1" t="str">
        <v>Receita da venda de recicláveis</v>
      </c>
      <c r="G463" s="1" t="str">
        <v>Papéis</v>
      </c>
      <c r="H463" s="1" t="str">
        <v>Papel Branco</v>
      </c>
      <c r="I463" s="1">
        <v>0</v>
      </c>
      <c r="J463" s="1">
        <v>1122</v>
      </c>
      <c r="K463" s="1">
        <v>673.2</v>
      </c>
      <c r="L463" s="1">
        <v>0.6</v>
      </c>
      <c r="M463" s="1">
        <v>0</v>
      </c>
    </row>
    <row r="464" spans="1:13">
      <c r="A464" s="1" t="s">
        <v>6</v>
      </c>
      <c r="B464" s="1" t="str">
        <v>UVR 01 - Jesuítas</v>
      </c>
      <c r="C464" s="1" t="str">
        <v>01</v>
      </c>
      <c r="D464" s="1" t="str">
        <v>Jesuítas</v>
      </c>
      <c r="E464" s="1" t="str">
        <v>1/15/2025</v>
      </c>
      <c r="F464" s="1" t="str">
        <v>Receita da venda de recicláveis</v>
      </c>
      <c r="G464" s="1" t="str">
        <v>Plástico</v>
      </c>
      <c r="H464" s="1" t="str">
        <v>PP Rígido (Balde, bacia, potes de sorvetes, margarina, entre outros)</v>
      </c>
      <c r="I464" s="1">
        <v>0</v>
      </c>
      <c r="J464" s="1">
        <v>481</v>
      </c>
      <c r="K464" s="1">
        <v>481</v>
      </c>
      <c r="L464" s="1">
        <v>1</v>
      </c>
      <c r="M464" s="1">
        <v>0</v>
      </c>
    </row>
    <row r="465" spans="1:13">
      <c r="A465" s="1" t="s">
        <v>6</v>
      </c>
      <c r="B465" s="1" t="str">
        <v>UVR 01 - Jesuítas</v>
      </c>
      <c r="C465" s="1" t="str">
        <v>01</v>
      </c>
      <c r="D465" s="1" t="str">
        <v>Jesuítas</v>
      </c>
      <c r="E465" s="1" t="str">
        <v>1/15/2025</v>
      </c>
      <c r="F465" s="1" t="str">
        <v>Receita da venda de recicláveis</v>
      </c>
      <c r="G465" s="1" t="str">
        <v>Papéis</v>
      </c>
      <c r="H465" s="1" t="str">
        <v>Tetra Pack</v>
      </c>
      <c r="I465" s="1">
        <v>0</v>
      </c>
      <c r="J465" s="1">
        <v>913</v>
      </c>
      <c r="K465" s="1">
        <v>365.2</v>
      </c>
      <c r="L465" s="1">
        <v>0.4</v>
      </c>
      <c r="M465" s="1">
        <v>0</v>
      </c>
    </row>
    <row r="466" spans="1:13">
      <c r="A466" s="1" t="s">
        <v>6</v>
      </c>
      <c r="B466" s="1" t="str">
        <v>UVR 01 - Jesuítas</v>
      </c>
      <c r="C466" s="1" t="str">
        <v>01</v>
      </c>
      <c r="D466" s="1" t="str">
        <v>Jesuítas</v>
      </c>
      <c r="E466" s="1" t="str">
        <v>1/15/2025</v>
      </c>
      <c r="F466" s="1" t="str">
        <v>Receita da venda de recicláveis</v>
      </c>
      <c r="G466" s="1" t="str">
        <v>Plástico</v>
      </c>
      <c r="H466" s="1" t="str">
        <v>PEBD Filme (Sacolinha, Sacos de lixo, Lona Preta)</v>
      </c>
      <c r="I466" s="1">
        <v>0</v>
      </c>
      <c r="J466" s="1">
        <v>504</v>
      </c>
      <c r="K466" s="1">
        <v>352.8</v>
      </c>
      <c r="L466" s="1">
        <v>0.7</v>
      </c>
      <c r="M466" s="1">
        <v>0</v>
      </c>
    </row>
    <row r="467" spans="1:13">
      <c r="A467" s="1" t="s">
        <v>6</v>
      </c>
      <c r="B467" s="1" t="str">
        <v>UVR 01 - Jesuítas</v>
      </c>
      <c r="C467" s="1" t="str">
        <v>01</v>
      </c>
      <c r="D467" s="1" t="str">
        <v>Jesuítas</v>
      </c>
      <c r="E467" s="1" t="str">
        <v>1/15/2025</v>
      </c>
      <c r="F467" s="1" t="str">
        <v>Receita da venda de recicláveis</v>
      </c>
      <c r="G467" s="1" t="str">
        <v>Metal</v>
      </c>
      <c r="H467" s="1" t="str">
        <v>Sucatas</v>
      </c>
      <c r="I467" s="1">
        <v>0</v>
      </c>
      <c r="J467" s="1">
        <v>2523</v>
      </c>
      <c r="K467" s="1">
        <v>1513.8</v>
      </c>
      <c r="L467" s="1">
        <v>0.6</v>
      </c>
      <c r="M467" s="1">
        <v>0</v>
      </c>
    </row>
    <row r="468" spans="1:13">
      <c r="A468" s="1" t="s">
        <v>6</v>
      </c>
      <c r="B468" s="1" t="str">
        <v>UVR 01 - Jesuítas</v>
      </c>
      <c r="C468" s="1" t="str">
        <v>01</v>
      </c>
      <c r="D468" s="1" t="str">
        <v>Jesuítas</v>
      </c>
      <c r="E468" s="1" t="str">
        <v>1/15/2025</v>
      </c>
      <c r="F468" s="1" t="str">
        <v>Receita da venda de recicláveis</v>
      </c>
      <c r="G468" s="1" t="str">
        <v>Papéis</v>
      </c>
      <c r="H468" s="1" t="str">
        <v>Papel Misto</v>
      </c>
      <c r="I468" s="1">
        <v>0</v>
      </c>
      <c r="J468" s="1">
        <v>3354</v>
      </c>
      <c r="K468" s="1">
        <v>2012.4</v>
      </c>
      <c r="L468" s="1">
        <v>0.6</v>
      </c>
      <c r="M468" s="1">
        <v>0</v>
      </c>
    </row>
    <row r="469" spans="1:13">
      <c r="A469" s="1" t="s">
        <v>22</v>
      </c>
      <c r="B469" s="1" t="str" cm="1">
        <f t="array" ref="B469:M471">_xlfn._xlws.FILTER(
    'Micro Dados - Todos'!$A$2:$L$20000,
    ('Micro Dados - Todos'!$C$2:$C$20000=Lacunas!B19) *
    ('Micro Dados - Todos'!$B$2:$B$20000=Lacunas!C19) *
    ('Micro Dados - Todos'!$D$2:$D$20000=Lacunas!F19)
)</f>
        <v>UVR 01 - Marechal Candido Rondon</v>
      </c>
      <c r="C469" s="1" t="str">
        <v>01</v>
      </c>
      <c r="D469" s="1" t="str">
        <v>Marechal Candido Rondon</v>
      </c>
      <c r="E469" s="1" t="str">
        <v>1/15/2025</v>
      </c>
      <c r="F469" s="1" t="str">
        <v>Receita da prestação de serviços</v>
      </c>
      <c r="G469" s="1" t="str">
        <v>Contratos</v>
      </c>
      <c r="H469" s="1">
        <v>0</v>
      </c>
      <c r="I469" s="1">
        <v>0</v>
      </c>
      <c r="J469" s="1">
        <v>0</v>
      </c>
      <c r="K469" s="1">
        <v>76402.320000000007</v>
      </c>
      <c r="L469" s="1">
        <v>0</v>
      </c>
      <c r="M469" s="1">
        <v>0</v>
      </c>
    </row>
    <row r="470" spans="1:13">
      <c r="A470" s="1" t="s">
        <v>22</v>
      </c>
      <c r="B470" s="1" t="str">
        <v>UVR 01 - Marechal Candido Rondon</v>
      </c>
      <c r="C470" s="1" t="str">
        <v>01</v>
      </c>
      <c r="D470" s="1" t="str">
        <v>Marechal Candido Rondon</v>
      </c>
      <c r="E470" s="1" t="str">
        <v>1/15/2025</v>
      </c>
      <c r="F470" s="1" t="str">
        <v>Receita da venda de recicláveis</v>
      </c>
      <c r="G470" s="1" t="str">
        <v>Metal</v>
      </c>
      <c r="H470" s="1" t="str">
        <v>Outros Metais</v>
      </c>
      <c r="I470" s="1">
        <v>0</v>
      </c>
      <c r="J470" s="1">
        <v>55</v>
      </c>
      <c r="K470" s="1">
        <v>1099.8</v>
      </c>
      <c r="L470" s="1">
        <v>20</v>
      </c>
      <c r="M470" s="1">
        <v>0</v>
      </c>
    </row>
    <row r="471" spans="1:13">
      <c r="A471" s="1" t="s">
        <v>22</v>
      </c>
      <c r="B471" s="1" t="str">
        <v>UVR 01 - Marechal Candido Rondon</v>
      </c>
      <c r="C471" s="1" t="str">
        <v>01</v>
      </c>
      <c r="D471" s="1" t="str">
        <v>Marechal Candido Rondon</v>
      </c>
      <c r="E471" s="1" t="str">
        <v>1/15/2025</v>
      </c>
      <c r="F471" s="1" t="str">
        <v>Receita da venda de recicláveis</v>
      </c>
      <c r="G471" s="1" t="str">
        <v>Plástico</v>
      </c>
      <c r="H471" s="1" t="str">
        <v>PET Óleo (Embalagens de óleo de cozinha)</v>
      </c>
      <c r="I471" s="1">
        <v>0</v>
      </c>
      <c r="J471" s="1">
        <v>215</v>
      </c>
      <c r="K471" s="1">
        <v>215</v>
      </c>
      <c r="L471" s="1">
        <v>1</v>
      </c>
      <c r="M471" s="1">
        <v>0</v>
      </c>
    </row>
    <row r="472" spans="1:13">
      <c r="A472" s="1" t="s">
        <v>22</v>
      </c>
      <c r="B472" s="1" t="str" cm="1">
        <f t="array" ref="B472:M473">_xlfn._xlws.FILTER(
    'Micro Dados - Todos'!$A$2:$L$20000,
    ('Micro Dados - Todos'!$C$2:$C$20000=Lacunas!B20) *
    ('Micro Dados - Todos'!$B$2:$B$20000=Lacunas!C20) *
    ('Micro Dados - Todos'!$D$2:$D$20000=Lacunas!F20)
)</f>
        <v>UVR 02 - Marechal Candido Rondon</v>
      </c>
      <c r="C472" s="1" t="str">
        <v>02</v>
      </c>
      <c r="D472" s="1" t="str">
        <v>Marechal Candido Rondon</v>
      </c>
      <c r="E472" s="1" t="str">
        <v>1/15/2025</v>
      </c>
      <c r="F472" s="1" t="str">
        <v>Receita da prestação de serviços</v>
      </c>
      <c r="G472" s="1" t="str">
        <v>Contratos</v>
      </c>
      <c r="H472" s="1">
        <v>0</v>
      </c>
      <c r="I472" s="1">
        <v>0</v>
      </c>
      <c r="J472" s="1">
        <v>0</v>
      </c>
      <c r="K472" s="1">
        <v>76402.67</v>
      </c>
      <c r="L472" s="1">
        <v>0</v>
      </c>
      <c r="M472" s="1">
        <v>0</v>
      </c>
    </row>
    <row r="473" spans="1:13">
      <c r="A473" s="1" t="s">
        <v>22</v>
      </c>
      <c r="B473" s="1" t="str">
        <v>UVR 02 - Marechal Candido Rondon</v>
      </c>
      <c r="C473" s="1" t="str">
        <v>02</v>
      </c>
      <c r="D473" s="1" t="str">
        <v>Marechal Candido Rondon</v>
      </c>
      <c r="E473" s="1" t="str">
        <v>1/15/2025</v>
      </c>
      <c r="F473" s="1" t="str">
        <v>Receita da venda de recicláveis</v>
      </c>
      <c r="G473" s="1" t="str">
        <v>Vidro</v>
      </c>
      <c r="H473" s="1" t="str">
        <v>Caco</v>
      </c>
      <c r="I473" s="1">
        <v>0</v>
      </c>
      <c r="J473" s="1">
        <v>6530</v>
      </c>
      <c r="K473" s="1">
        <v>1306</v>
      </c>
      <c r="L473" s="1">
        <v>0.73</v>
      </c>
      <c r="M473" s="1">
        <v>0</v>
      </c>
    </row>
    <row r="474" spans="1:13">
      <c r="A474" s="1" t="s">
        <v>11</v>
      </c>
      <c r="B474" s="1" t="str" cm="1">
        <f t="array" ref="B474:M507">_xlfn._xlws.FILTER(
    'Micro Dados - Todos'!$A$2:$L$20000,
    ('Micro Dados - Todos'!$C$2:$C$20000=Lacunas!B21) *
    ('Micro Dados - Todos'!$B$2:$B$20000=Lacunas!C21) *
    ('Micro Dados - Todos'!$D$2:$D$20000=Lacunas!F21)
)</f>
        <v>UVR 01 - Palotina</v>
      </c>
      <c r="C474" s="1" t="str">
        <v>01</v>
      </c>
      <c r="D474" s="1" t="str">
        <v>Palotina</v>
      </c>
      <c r="E474" s="1" t="str">
        <v>1/15/2025</v>
      </c>
      <c r="F474" s="1" t="str">
        <v>Receita da venda de recicláveis</v>
      </c>
      <c r="G474" s="1" t="str">
        <v>Papéis</v>
      </c>
      <c r="H474" s="1" t="str">
        <v>Papelão</v>
      </c>
      <c r="I474" s="1">
        <v>0</v>
      </c>
      <c r="J474" s="1">
        <v>36001</v>
      </c>
      <c r="K474" s="1">
        <v>27000.75</v>
      </c>
      <c r="L474" s="1">
        <v>0.75</v>
      </c>
      <c r="M474" s="1">
        <v>0</v>
      </c>
    </row>
    <row r="475" spans="1:13">
      <c r="A475" s="1" t="s">
        <v>11</v>
      </c>
      <c r="B475" s="1" t="str">
        <v>UVR 01 - Palotina</v>
      </c>
      <c r="C475" s="1" t="str">
        <v>01</v>
      </c>
      <c r="D475" s="1" t="str">
        <v>Palotina</v>
      </c>
      <c r="E475" s="1" t="str">
        <v>1/15/2025</v>
      </c>
      <c r="F475" s="1" t="str">
        <v>Despesa</v>
      </c>
      <c r="G475" s="1" t="str">
        <v>Outra Despesa</v>
      </c>
      <c r="H475" s="1">
        <v>0</v>
      </c>
      <c r="I475" s="1">
        <v>0</v>
      </c>
      <c r="J475" s="1">
        <v>0</v>
      </c>
      <c r="K475" s="1">
        <v>383.25</v>
      </c>
      <c r="L475" s="1">
        <v>0</v>
      </c>
      <c r="M475" s="1" t="str">
        <v>Pagamento INSS (MEI)</v>
      </c>
    </row>
    <row r="476" spans="1:13">
      <c r="A476" s="1" t="s">
        <v>11</v>
      </c>
      <c r="B476" s="1" t="str">
        <v>UVR 01 - Palotina</v>
      </c>
      <c r="C476" s="1" t="str">
        <v>01</v>
      </c>
      <c r="D476" s="1" t="str">
        <v>Palotina</v>
      </c>
      <c r="E476" s="1" t="str">
        <v>1/15/2025</v>
      </c>
      <c r="F476" s="1" t="str">
        <v>Receita da venda de recicláveis</v>
      </c>
      <c r="G476" s="1" t="str">
        <v>Metal</v>
      </c>
      <c r="H476" s="1" t="str">
        <v>Alumínio Latinha</v>
      </c>
      <c r="I476" s="1">
        <v>0</v>
      </c>
      <c r="J476" s="1">
        <v>374</v>
      </c>
      <c r="K476" s="1">
        <v>3366</v>
      </c>
      <c r="L476" s="1">
        <v>8.6</v>
      </c>
      <c r="M476" s="1">
        <v>0</v>
      </c>
    </row>
    <row r="477" spans="1:13">
      <c r="A477" s="1" t="s">
        <v>11</v>
      </c>
      <c r="B477" s="1" t="str">
        <v>UVR 01 - Palotina</v>
      </c>
      <c r="C477" s="1" t="str">
        <v>01</v>
      </c>
      <c r="D477" s="1" t="str">
        <v>Palotina</v>
      </c>
      <c r="E477" s="1" t="str">
        <v>1/15/2025</v>
      </c>
      <c r="F477" s="1" t="str">
        <v>Receita da venda de recicláveis</v>
      </c>
      <c r="G477" s="1" t="str">
        <v>Metal</v>
      </c>
      <c r="H477" s="1" t="str">
        <v>Alumínio Panela</v>
      </c>
      <c r="I477" s="1">
        <v>0</v>
      </c>
      <c r="J477" s="1">
        <v>178</v>
      </c>
      <c r="K477" s="1">
        <v>1602</v>
      </c>
      <c r="L477" s="1">
        <v>9</v>
      </c>
      <c r="M477" s="1">
        <v>0</v>
      </c>
    </row>
    <row r="478" spans="1:13">
      <c r="A478" s="1" t="s">
        <v>11</v>
      </c>
      <c r="B478" s="1" t="str">
        <v>UVR 01 - Palotina</v>
      </c>
      <c r="C478" s="1" t="str">
        <v>01</v>
      </c>
      <c r="D478" s="1" t="str">
        <v>Palotina</v>
      </c>
      <c r="E478" s="1" t="str">
        <v>1/15/2025</v>
      </c>
      <c r="F478" s="1" t="str">
        <v>Receita da venda de recicláveis</v>
      </c>
      <c r="G478" s="1" t="str">
        <v>Metal</v>
      </c>
      <c r="H478" s="1" t="str">
        <v>Outros Metais</v>
      </c>
      <c r="I478" s="1">
        <v>0</v>
      </c>
      <c r="J478" s="1">
        <v>112</v>
      </c>
      <c r="K478" s="1">
        <v>560</v>
      </c>
      <c r="L478" s="1">
        <v>5</v>
      </c>
      <c r="M478" s="1">
        <v>0</v>
      </c>
    </row>
    <row r="479" spans="1:13">
      <c r="A479" s="1" t="s">
        <v>11</v>
      </c>
      <c r="B479" s="1" t="str">
        <v>UVR 01 - Palotina</v>
      </c>
      <c r="C479" s="1" t="str">
        <v>01</v>
      </c>
      <c r="D479" s="1" t="str">
        <v>Palotina</v>
      </c>
      <c r="E479" s="1" t="str">
        <v>1/15/2025</v>
      </c>
      <c r="F479" s="1" t="str">
        <v>Receita da venda de recicláveis</v>
      </c>
      <c r="G479" s="1" t="str">
        <v>Metal</v>
      </c>
      <c r="H479" s="1" t="str">
        <v>Cobre Limpo</v>
      </c>
      <c r="I479" s="1">
        <v>0</v>
      </c>
      <c r="J479" s="1">
        <v>27</v>
      </c>
      <c r="K479" s="1">
        <v>1134</v>
      </c>
      <c r="L479" s="1">
        <v>42</v>
      </c>
      <c r="M479" s="1">
        <v>0</v>
      </c>
    </row>
    <row r="480" spans="1:13">
      <c r="A480" s="1" t="s">
        <v>11</v>
      </c>
      <c r="B480" s="1" t="str">
        <v>UVR 01 - Palotina</v>
      </c>
      <c r="C480" s="1" t="str">
        <v>01</v>
      </c>
      <c r="D480" s="1" t="str">
        <v>Palotina</v>
      </c>
      <c r="E480" s="1" t="str">
        <v>1/15/2025</v>
      </c>
      <c r="F480" s="1" t="str">
        <v>Receita da venda de recicláveis</v>
      </c>
      <c r="G480" s="1" t="str">
        <v>Metal</v>
      </c>
      <c r="H480" s="1" t="str">
        <v>Cobre Sujo</v>
      </c>
      <c r="I480" s="1">
        <v>0</v>
      </c>
      <c r="J480" s="1">
        <v>231</v>
      </c>
      <c r="K480" s="1">
        <v>2772</v>
      </c>
      <c r="L480" s="1">
        <v>12</v>
      </c>
      <c r="M480" s="1">
        <v>0</v>
      </c>
    </row>
    <row r="481" spans="1:13">
      <c r="A481" s="1" t="s">
        <v>11</v>
      </c>
      <c r="B481" s="1" t="str">
        <v>UVR 01 - Palotina</v>
      </c>
      <c r="C481" s="1" t="str">
        <v>01</v>
      </c>
      <c r="D481" s="1" t="str">
        <v>Palotina</v>
      </c>
      <c r="E481" s="1" t="str">
        <v>1/15/2025</v>
      </c>
      <c r="F481" s="1" t="str">
        <v>Receita da venda de recicláveis</v>
      </c>
      <c r="G481" s="1" t="str">
        <v>Metal</v>
      </c>
      <c r="H481" s="1" t="str">
        <v>Ferro</v>
      </c>
      <c r="I481" s="1">
        <v>0</v>
      </c>
      <c r="J481" s="1">
        <v>7810</v>
      </c>
      <c r="K481" s="1">
        <v>3905</v>
      </c>
      <c r="L481" s="1">
        <v>0.5</v>
      </c>
      <c r="M481" s="1">
        <v>0</v>
      </c>
    </row>
    <row r="482" spans="1:13">
      <c r="A482" s="1" t="s">
        <v>11</v>
      </c>
      <c r="B482" s="1" t="str">
        <v>UVR 01 - Palotina</v>
      </c>
      <c r="C482" s="1" t="str">
        <v>01</v>
      </c>
      <c r="D482" s="1" t="str">
        <v>Palotina</v>
      </c>
      <c r="E482" s="1" t="str">
        <v>1/15/2025</v>
      </c>
      <c r="F482" s="1" t="str">
        <v>Receita da venda de recicláveis</v>
      </c>
      <c r="G482" s="1" t="str">
        <v>Metal</v>
      </c>
      <c r="H482" s="1" t="str">
        <v>Outros Metais</v>
      </c>
      <c r="I482" s="1">
        <v>0</v>
      </c>
      <c r="J482" s="1">
        <v>23</v>
      </c>
      <c r="K482" s="1">
        <v>506</v>
      </c>
      <c r="L482" s="1">
        <v>22</v>
      </c>
      <c r="M482" s="1">
        <v>0</v>
      </c>
    </row>
    <row r="483" spans="1:13">
      <c r="A483" s="1" t="s">
        <v>11</v>
      </c>
      <c r="B483" s="1" t="str">
        <v>UVR 01 - Palotina</v>
      </c>
      <c r="C483" s="1" t="str">
        <v>01</v>
      </c>
      <c r="D483" s="1" t="str">
        <v>Palotina</v>
      </c>
      <c r="E483" s="1" t="str">
        <v>1/15/2025</v>
      </c>
      <c r="F483" s="1" t="str">
        <v>Receita da venda de recicláveis</v>
      </c>
      <c r="G483" s="1" t="str">
        <v>Plástico</v>
      </c>
      <c r="H483" s="1" t="str">
        <v>PVC (Cano, Forro, Tubulação de cano)</v>
      </c>
      <c r="I483" s="1">
        <v>0</v>
      </c>
      <c r="J483" s="1">
        <v>480</v>
      </c>
      <c r="K483" s="1">
        <v>192</v>
      </c>
      <c r="L483" s="1">
        <v>0.4</v>
      </c>
      <c r="M483" s="1">
        <v>0</v>
      </c>
    </row>
    <row r="484" spans="1:13">
      <c r="A484" s="1" t="s">
        <v>11</v>
      </c>
      <c r="B484" s="1" t="str">
        <v>UVR 01 - Palotina</v>
      </c>
      <c r="C484" s="1" t="str">
        <v>01</v>
      </c>
      <c r="D484" s="1" t="str">
        <v>Palotina</v>
      </c>
      <c r="E484" s="1" t="str">
        <v>1/15/2025</v>
      </c>
      <c r="F484" s="1" t="str">
        <v>Receita da venda de recicláveis</v>
      </c>
      <c r="G484" s="1" t="str">
        <v>Plástico</v>
      </c>
      <c r="H484" s="1" t="str">
        <v>PEAD Filme (Cristal)</v>
      </c>
      <c r="I484" s="1">
        <v>0</v>
      </c>
      <c r="J484" s="1">
        <v>2755</v>
      </c>
      <c r="K484" s="1">
        <v>4132.5</v>
      </c>
      <c r="L484" s="1">
        <v>1.5</v>
      </c>
      <c r="M484" s="1">
        <v>0</v>
      </c>
    </row>
    <row r="485" spans="1:13">
      <c r="A485" s="1" t="s">
        <v>11</v>
      </c>
      <c r="B485" s="1" t="str">
        <v>UVR 01 - Palotina</v>
      </c>
      <c r="C485" s="1" t="str">
        <v>01</v>
      </c>
      <c r="D485" s="1" t="str">
        <v>Palotina</v>
      </c>
      <c r="E485" s="1" t="str">
        <v>1/15/2025</v>
      </c>
      <c r="F485" s="1" t="str">
        <v>Receita da venda de recicláveis</v>
      </c>
      <c r="G485" s="1" t="str">
        <v>Plástico</v>
      </c>
      <c r="H485" s="1" t="str">
        <v>PEAD (Embalagens de produtos de limpeza)</v>
      </c>
      <c r="I485" s="1">
        <v>0</v>
      </c>
      <c r="J485" s="1">
        <v>2968</v>
      </c>
      <c r="K485" s="1">
        <v>5936</v>
      </c>
      <c r="L485" s="1">
        <v>2</v>
      </c>
      <c r="M485" s="1">
        <v>0</v>
      </c>
    </row>
    <row r="486" spans="1:13">
      <c r="A486" s="1" t="s">
        <v>11</v>
      </c>
      <c r="B486" s="1" t="str">
        <v>UVR 01 - Palotina</v>
      </c>
      <c r="C486" s="1" t="str">
        <v>01</v>
      </c>
      <c r="D486" s="1" t="str">
        <v>Palotina</v>
      </c>
      <c r="E486" s="1" t="str">
        <v>1/15/2025</v>
      </c>
      <c r="F486" s="1" t="str">
        <v>Receita da venda de recicláveis</v>
      </c>
      <c r="G486" s="1" t="str">
        <v>Plástico</v>
      </c>
      <c r="H486" s="1" t="str">
        <v>PEAD Injeção (Caixaria)</v>
      </c>
      <c r="I486" s="1">
        <v>0</v>
      </c>
      <c r="J486" s="1">
        <v>270</v>
      </c>
      <c r="K486" s="1">
        <v>1080</v>
      </c>
      <c r="L486" s="1">
        <v>4</v>
      </c>
      <c r="M486" s="1">
        <v>0</v>
      </c>
    </row>
    <row r="487" spans="1:13">
      <c r="A487" s="1" t="s">
        <v>11</v>
      </c>
      <c r="B487" s="1" t="str">
        <v>UVR 01 - Palotina</v>
      </c>
      <c r="C487" s="1" t="str">
        <v>01</v>
      </c>
      <c r="D487" s="1" t="str">
        <v>Palotina</v>
      </c>
      <c r="E487" s="1" t="str">
        <v>1/15/2025</v>
      </c>
      <c r="F487" s="1" t="str">
        <v>Receita da venda de recicláveis</v>
      </c>
      <c r="G487" s="1" t="str">
        <v>Plástico</v>
      </c>
      <c r="H487" s="1" t="str">
        <v>PEBD Filme (Sacolinha, Sacos de lixo, Lona Preta)</v>
      </c>
      <c r="I487" s="1">
        <v>0</v>
      </c>
      <c r="J487" s="1">
        <v>2834</v>
      </c>
      <c r="K487" s="1">
        <v>2267.6999999999998</v>
      </c>
      <c r="L487" s="1">
        <v>0.8</v>
      </c>
      <c r="M487" s="1">
        <v>0</v>
      </c>
    </row>
    <row r="488" spans="1:13">
      <c r="A488" s="1" t="s">
        <v>11</v>
      </c>
      <c r="B488" s="1" t="str">
        <v>UVR 01 - Palotina</v>
      </c>
      <c r="C488" s="1" t="str">
        <v>01</v>
      </c>
      <c r="D488" s="1" t="str">
        <v>Palotina</v>
      </c>
      <c r="E488" s="1" t="str">
        <v>1/15/2025</v>
      </c>
      <c r="F488" s="1" t="str">
        <v>Receita da venda de recicláveis</v>
      </c>
      <c r="G488" s="1" t="str">
        <v>Plástico</v>
      </c>
      <c r="H488" s="1" t="str">
        <v>PET Cristal (Embalagens de refrigerante transparente)</v>
      </c>
      <c r="I488" s="1">
        <v>0</v>
      </c>
      <c r="J488" s="1">
        <v>3810</v>
      </c>
      <c r="K488" s="1">
        <v>10668</v>
      </c>
      <c r="L488" s="1">
        <v>2.8</v>
      </c>
      <c r="M488" s="1">
        <v>0</v>
      </c>
    </row>
    <row r="489" spans="1:13">
      <c r="A489" s="1" t="s">
        <v>11</v>
      </c>
      <c r="B489" s="1" t="str">
        <v>UVR 01 - Palotina</v>
      </c>
      <c r="C489" s="1" t="str">
        <v>01</v>
      </c>
      <c r="D489" s="1" t="str">
        <v>Palotina</v>
      </c>
      <c r="E489" s="1" t="str">
        <v>1/15/2025</v>
      </c>
      <c r="F489" s="1" t="str">
        <v>Receita da venda de recicláveis</v>
      </c>
      <c r="G489" s="1" t="str">
        <v>Plástico</v>
      </c>
      <c r="H489" s="1" t="str">
        <v>PET Verde (Embalagens de refrigerante verde)</v>
      </c>
      <c r="I489" s="1">
        <v>0</v>
      </c>
      <c r="J489" s="1">
        <v>780</v>
      </c>
      <c r="K489" s="1">
        <v>2184</v>
      </c>
      <c r="L489" s="1">
        <v>2.8</v>
      </c>
      <c r="M489" s="1">
        <v>0</v>
      </c>
    </row>
    <row r="490" spans="1:13">
      <c r="A490" s="1" t="s">
        <v>11</v>
      </c>
      <c r="B490" s="1" t="str">
        <v>UVR 01 - Palotina</v>
      </c>
      <c r="C490" s="1" t="str">
        <v>01</v>
      </c>
      <c r="D490" s="1" t="str">
        <v>Palotina</v>
      </c>
      <c r="E490" s="1" t="str">
        <v>1/15/2025</v>
      </c>
      <c r="F490" s="1" t="str">
        <v>Receita da venda de recicláveis</v>
      </c>
      <c r="G490" s="1" t="str">
        <v>Plástico</v>
      </c>
      <c r="H490" s="1" t="str">
        <v>PET Óleo (Embalagens de óleo de cozinha)</v>
      </c>
      <c r="I490" s="1">
        <v>0</v>
      </c>
      <c r="J490" s="1">
        <v>290</v>
      </c>
      <c r="K490" s="1">
        <v>145</v>
      </c>
      <c r="L490" s="1">
        <v>0.5</v>
      </c>
      <c r="M490" s="1">
        <v>0</v>
      </c>
    </row>
    <row r="491" spans="1:13">
      <c r="A491" s="1" t="s">
        <v>11</v>
      </c>
      <c r="B491" s="1" t="str">
        <v>UVR 01 - Palotina</v>
      </c>
      <c r="C491" s="1" t="str">
        <v>01</v>
      </c>
      <c r="D491" s="1" t="str">
        <v>Palotina</v>
      </c>
      <c r="E491" s="1" t="str">
        <v>1/15/2025</v>
      </c>
      <c r="F491" s="1" t="str">
        <v>Receita da venda de recicláveis</v>
      </c>
      <c r="G491" s="1" t="str">
        <v>Plástico</v>
      </c>
      <c r="H491" s="1" t="str">
        <v>PP Rígido (Balde, bacia, potes de sorvetes, margarina, entre outros)</v>
      </c>
      <c r="I491" s="1">
        <v>0</v>
      </c>
      <c r="J491" s="1">
        <v>2655</v>
      </c>
      <c r="K491" s="1">
        <v>2920.5</v>
      </c>
      <c r="L491" s="1">
        <v>1.1000000000000001</v>
      </c>
      <c r="M491" s="1">
        <v>0</v>
      </c>
    </row>
    <row r="492" spans="1:13">
      <c r="A492" s="1" t="s">
        <v>11</v>
      </c>
      <c r="B492" s="1" t="str">
        <v>UVR 01 - Palotina</v>
      </c>
      <c r="C492" s="1" t="str">
        <v>01</v>
      </c>
      <c r="D492" s="1" t="str">
        <v>Palotina</v>
      </c>
      <c r="E492" s="1" t="str">
        <v>1/15/2025</v>
      </c>
      <c r="F492" s="1" t="str">
        <v>Receita da venda de recicláveis</v>
      </c>
      <c r="G492" s="1" t="str">
        <v>Plástico</v>
      </c>
      <c r="H492" s="1" t="str">
        <v>PP Ráfia (Sacaria)</v>
      </c>
      <c r="I492" s="1">
        <v>0</v>
      </c>
      <c r="J492" s="1">
        <v>1468</v>
      </c>
      <c r="K492" s="1">
        <v>440.4</v>
      </c>
      <c r="L492" s="1">
        <v>0.3</v>
      </c>
      <c r="M492" s="1">
        <v>0</v>
      </c>
    </row>
    <row r="493" spans="1:13">
      <c r="A493" s="1" t="s">
        <v>11</v>
      </c>
      <c r="B493" s="1" t="str">
        <v>UVR 01 - Palotina</v>
      </c>
      <c r="C493" s="1" t="str">
        <v>01</v>
      </c>
      <c r="D493" s="1" t="str">
        <v>Palotina</v>
      </c>
      <c r="E493" s="1" t="str">
        <v>1/15/2025</v>
      </c>
      <c r="F493" s="1" t="str">
        <v>Receita da venda de recicláveis</v>
      </c>
      <c r="G493" s="1" t="str">
        <v>Papéis</v>
      </c>
      <c r="H493" s="1" t="str">
        <v>Papel Branco</v>
      </c>
      <c r="I493" s="1">
        <v>0</v>
      </c>
      <c r="J493" s="1">
        <v>2629</v>
      </c>
      <c r="K493" s="1">
        <v>1840.3</v>
      </c>
      <c r="L493" s="1">
        <v>0.7</v>
      </c>
      <c r="M493" s="1">
        <v>0</v>
      </c>
    </row>
    <row r="494" spans="1:13">
      <c r="A494" s="1" t="s">
        <v>11</v>
      </c>
      <c r="B494" s="1" t="str">
        <v>UVR 01 - Palotina</v>
      </c>
      <c r="C494" s="1" t="str">
        <v>01</v>
      </c>
      <c r="D494" s="1" t="str">
        <v>Palotina</v>
      </c>
      <c r="E494" s="1" t="str">
        <v>1/15/2025</v>
      </c>
      <c r="F494" s="1" t="str">
        <v>Receita da venda de recicláveis</v>
      </c>
      <c r="G494" s="1" t="str">
        <v>Papéis</v>
      </c>
      <c r="H494" s="1" t="str">
        <v>Papel Misto</v>
      </c>
      <c r="I494" s="1">
        <v>0</v>
      </c>
      <c r="J494" s="1">
        <v>2656</v>
      </c>
      <c r="K494" s="1">
        <v>1062.4000000000001</v>
      </c>
      <c r="L494" s="1">
        <v>0.4</v>
      </c>
      <c r="M494" s="1">
        <v>0</v>
      </c>
    </row>
    <row r="495" spans="1:13">
      <c r="A495" s="1" t="s">
        <v>11</v>
      </c>
      <c r="B495" s="1" t="str">
        <v>UVR 01 - Palotina</v>
      </c>
      <c r="C495" s="1" t="str">
        <v>01</v>
      </c>
      <c r="D495" s="1" t="str">
        <v>Palotina</v>
      </c>
      <c r="E495" s="1" t="str">
        <v>1/15/2025</v>
      </c>
      <c r="F495" s="1" t="str">
        <v>Receita da venda de recicláveis</v>
      </c>
      <c r="G495" s="1" t="str">
        <v>Papéis</v>
      </c>
      <c r="H495" s="1" t="str">
        <v>Papelão</v>
      </c>
      <c r="I495" s="1">
        <v>0</v>
      </c>
      <c r="J495" s="1">
        <v>24157</v>
      </c>
      <c r="K495" s="1">
        <v>23190.720000000001</v>
      </c>
      <c r="L495" s="1">
        <v>0.96</v>
      </c>
      <c r="M495" s="1">
        <v>0</v>
      </c>
    </row>
    <row r="496" spans="1:13">
      <c r="A496" s="1" t="s">
        <v>11</v>
      </c>
      <c r="B496" s="1" t="str">
        <v>UVR 01 - Palotina</v>
      </c>
      <c r="C496" s="1" t="str">
        <v>01</v>
      </c>
      <c r="D496" s="1" t="str">
        <v>Palotina</v>
      </c>
      <c r="E496" s="1" t="str">
        <v>1/15/2025</v>
      </c>
      <c r="F496" s="1" t="str">
        <v>Receita da venda de recicláveis</v>
      </c>
      <c r="G496" s="1" t="str">
        <v>Papéis</v>
      </c>
      <c r="H496" s="1" t="str">
        <v>Tetra Pack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</row>
    <row r="497" spans="1:13">
      <c r="A497" s="1" t="s">
        <v>11</v>
      </c>
      <c r="B497" s="1" t="str">
        <v>UVR 01 - Palotina</v>
      </c>
      <c r="C497" s="1" t="str">
        <v>01</v>
      </c>
      <c r="D497" s="1" t="str">
        <v>Palotina</v>
      </c>
      <c r="E497" s="1" t="str">
        <v>1/15/2025</v>
      </c>
      <c r="F497" s="1" t="str">
        <v>Receita da venda de recicláveis</v>
      </c>
      <c r="G497" s="1" t="str">
        <v>Elétrico ou Eletrônicos</v>
      </c>
      <c r="H497" s="1" t="str">
        <v>Motor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</row>
    <row r="498" spans="1:13">
      <c r="A498" s="1" t="s">
        <v>11</v>
      </c>
      <c r="B498" s="1" t="str">
        <v>UVR 01 - Palotina</v>
      </c>
      <c r="C498" s="1" t="str">
        <v>01</v>
      </c>
      <c r="D498" s="1" t="str">
        <v>Palotina</v>
      </c>
      <c r="E498" s="1" t="str">
        <v>1/15/2025</v>
      </c>
      <c r="F498" s="1" t="str">
        <v>Receita da venda de recicláveis</v>
      </c>
      <c r="G498" s="1" t="str">
        <v>Elétrico ou Eletrônicos</v>
      </c>
      <c r="H498" s="1" t="str">
        <v>Bateria</v>
      </c>
      <c r="I498" s="1">
        <v>0</v>
      </c>
      <c r="J498" s="1">
        <v>53</v>
      </c>
      <c r="K498" s="1">
        <v>174.9</v>
      </c>
      <c r="L498" s="1">
        <v>3.3</v>
      </c>
      <c r="M498" s="1">
        <v>0</v>
      </c>
    </row>
    <row r="499" spans="1:13">
      <c r="A499" s="1" t="s">
        <v>11</v>
      </c>
      <c r="B499" s="1" t="str">
        <v>UVR 01 - Palotina</v>
      </c>
      <c r="C499" s="1" t="str">
        <v>01</v>
      </c>
      <c r="D499" s="1" t="str">
        <v>Palotina</v>
      </c>
      <c r="E499" s="1" t="str">
        <v>1/15/2025</v>
      </c>
      <c r="F499" s="1" t="str">
        <v>Receita da venda de recicláveis</v>
      </c>
      <c r="G499" s="1" t="str">
        <v>Elétrico ou Eletrônicos</v>
      </c>
      <c r="H499" s="1" t="str">
        <v>Sucata Celular</v>
      </c>
      <c r="I499" s="1">
        <v>0</v>
      </c>
      <c r="J499" s="1">
        <v>6</v>
      </c>
      <c r="K499" s="1">
        <v>180</v>
      </c>
      <c r="L499" s="1">
        <v>30</v>
      </c>
      <c r="M499" s="1">
        <v>0</v>
      </c>
    </row>
    <row r="500" spans="1:13">
      <c r="A500" s="1" t="s">
        <v>11</v>
      </c>
      <c r="B500" s="1" t="str">
        <v>UVR 01 - Palotina</v>
      </c>
      <c r="C500" s="1" t="str">
        <v>01</v>
      </c>
      <c r="D500" s="1" t="str">
        <v>Palotina</v>
      </c>
      <c r="E500" s="1" t="str">
        <v>1/15/2025</v>
      </c>
      <c r="F500" s="1" t="str">
        <v>Receita da venda de recicláveis</v>
      </c>
      <c r="G500" s="1" t="str">
        <v>Elétrico ou Eletrônicos</v>
      </c>
      <c r="H500" s="1" t="str">
        <v>Sucata Eletrônica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</row>
    <row r="501" spans="1:13">
      <c r="A501" s="1" t="s">
        <v>11</v>
      </c>
      <c r="B501" s="1" t="str">
        <v>UVR 01 - Palotina</v>
      </c>
      <c r="C501" s="1" t="str">
        <v>01</v>
      </c>
      <c r="D501" s="1" t="str">
        <v>Palotina</v>
      </c>
      <c r="E501" s="1" t="str">
        <v>1/15/2025</v>
      </c>
      <c r="F501" s="1" t="str">
        <v>Receita da venda de recicláveis</v>
      </c>
      <c r="G501" s="1" t="str">
        <v>Elétrico ou Eletrônicos</v>
      </c>
      <c r="H501" s="1" t="str">
        <v>placa</v>
      </c>
      <c r="I501" s="1">
        <v>0</v>
      </c>
      <c r="J501" s="1">
        <v>5</v>
      </c>
      <c r="K501" s="1">
        <v>75</v>
      </c>
      <c r="L501" s="1">
        <v>15</v>
      </c>
      <c r="M501" s="1">
        <v>0</v>
      </c>
    </row>
    <row r="502" spans="1:13">
      <c r="A502" s="1" t="s">
        <v>11</v>
      </c>
      <c r="B502" s="1" t="str">
        <v>UVR 01 - Palotina</v>
      </c>
      <c r="C502" s="1" t="str">
        <v>01</v>
      </c>
      <c r="D502" s="1" t="str">
        <v>Palotina</v>
      </c>
      <c r="E502" s="1" t="str">
        <v>1/15/2025</v>
      </c>
      <c r="F502" s="1" t="str">
        <v>Receita da venda de recicláveis</v>
      </c>
      <c r="G502" s="1" t="str">
        <v>Elétrico ou Eletrônicos</v>
      </c>
      <c r="H502" s="1" t="str">
        <v>placa</v>
      </c>
      <c r="I502" s="1">
        <v>0</v>
      </c>
      <c r="J502" s="1">
        <v>140</v>
      </c>
      <c r="K502" s="1">
        <v>280</v>
      </c>
      <c r="L502" s="1">
        <v>2</v>
      </c>
      <c r="M502" s="1">
        <v>0</v>
      </c>
    </row>
    <row r="503" spans="1:13">
      <c r="A503" s="1" t="s">
        <v>11</v>
      </c>
      <c r="B503" s="1" t="str">
        <v>UVR 01 - Palotina</v>
      </c>
      <c r="C503" s="1" t="str">
        <v>01</v>
      </c>
      <c r="D503" s="1" t="str">
        <v>Palotina</v>
      </c>
      <c r="E503" s="1" t="str">
        <v>1/15/2025</v>
      </c>
      <c r="F503" s="1" t="str">
        <v>Receita da venda de recicláveis</v>
      </c>
      <c r="G503" s="1" t="str">
        <v>Elétrico ou Eletrônicos</v>
      </c>
      <c r="H503" s="1" t="str">
        <v>placa</v>
      </c>
      <c r="I503" s="1">
        <v>0</v>
      </c>
      <c r="J503" s="1">
        <v>23</v>
      </c>
      <c r="K503" s="1">
        <v>138</v>
      </c>
      <c r="L503" s="1">
        <v>6</v>
      </c>
      <c r="M503" s="1">
        <v>0</v>
      </c>
    </row>
    <row r="504" spans="1:13">
      <c r="A504" s="1" t="s">
        <v>11</v>
      </c>
      <c r="B504" s="1" t="str">
        <v>UVR 01 - Palotina</v>
      </c>
      <c r="C504" s="1" t="str">
        <v>01</v>
      </c>
      <c r="D504" s="1" t="str">
        <v>Palotina</v>
      </c>
      <c r="E504" s="1" t="str">
        <v>1/15/2025</v>
      </c>
      <c r="F504" s="1" t="str">
        <v>Receita da venda de recicláveis</v>
      </c>
      <c r="G504" s="1" t="str">
        <v>Vidro</v>
      </c>
      <c r="H504" s="1" t="str">
        <v>Caco</v>
      </c>
      <c r="I504" s="1">
        <v>0</v>
      </c>
      <c r="J504" s="1">
        <v>29800</v>
      </c>
      <c r="K504" s="1">
        <v>2980</v>
      </c>
      <c r="L504" s="1">
        <v>0.1</v>
      </c>
      <c r="M504" s="1">
        <v>0</v>
      </c>
    </row>
    <row r="505" spans="1:13">
      <c r="A505" s="1" t="s">
        <v>11</v>
      </c>
      <c r="B505" s="1" t="str">
        <v>UVR 01 - Palotina</v>
      </c>
      <c r="C505" s="1" t="str">
        <v>01</v>
      </c>
      <c r="D505" s="1" t="str">
        <v>Palotina</v>
      </c>
      <c r="E505" s="1" t="str">
        <v>1/15/2025</v>
      </c>
      <c r="F505" s="1" t="str">
        <v>Receita da venda de recicláveis</v>
      </c>
      <c r="G505" s="1" t="str">
        <v>Vidro</v>
      </c>
      <c r="H505" s="1" t="str">
        <v>Inteiro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</row>
    <row r="506" spans="1:13">
      <c r="A506" s="1" t="s">
        <v>11</v>
      </c>
      <c r="B506" s="1" t="str">
        <v>UVR 01 - Palotina</v>
      </c>
      <c r="C506" s="1" t="str">
        <v>01</v>
      </c>
      <c r="D506" s="1" t="str">
        <v>Palotina</v>
      </c>
      <c r="E506" s="1" t="str">
        <v>1/15/2025</v>
      </c>
      <c r="F506" s="1" t="str">
        <v>Rejeito</v>
      </c>
      <c r="G506" s="1" t="str">
        <v>Rejeito</v>
      </c>
      <c r="H506" s="1">
        <v>0</v>
      </c>
      <c r="I506" s="1">
        <v>0</v>
      </c>
      <c r="J506" s="1">
        <v>48560</v>
      </c>
      <c r="K506" s="1">
        <v>0</v>
      </c>
      <c r="L506" s="1">
        <v>0</v>
      </c>
      <c r="M506" s="1">
        <v>0</v>
      </c>
    </row>
    <row r="507" spans="1:13">
      <c r="A507" s="1" t="s">
        <v>11</v>
      </c>
      <c r="B507" s="1" t="str">
        <v>UVR 01 - Palotina</v>
      </c>
      <c r="C507" s="1" t="str">
        <v>01</v>
      </c>
      <c r="D507" s="1" t="str">
        <v>Palotina</v>
      </c>
      <c r="E507" s="1" t="str">
        <v>1/15/2025</v>
      </c>
      <c r="F507" s="1" t="str">
        <v>Receita da venda de recicláveis</v>
      </c>
      <c r="G507" s="1" t="str">
        <v>Metal</v>
      </c>
      <c r="H507" s="1" t="str">
        <v>Alumínio Bloco</v>
      </c>
      <c r="I507" s="1">
        <v>0</v>
      </c>
      <c r="J507" s="1">
        <v>172</v>
      </c>
      <c r="K507" s="1">
        <v>688</v>
      </c>
      <c r="L507" s="1">
        <v>4</v>
      </c>
      <c r="M507" s="1">
        <v>0</v>
      </c>
    </row>
    <row r="508" spans="1:13">
      <c r="A508" s="1" t="s">
        <v>11</v>
      </c>
      <c r="B508" s="1" t="str" cm="1">
        <f t="array" ref="B508:M541">_xlfn._xlws.FILTER(
    'Micro Dados - Todos'!$A$2:$L$20000,
    ('Micro Dados - Todos'!$C$2:$C$20000=Lacunas!B22) *
    ('Micro Dados - Todos'!$B$2:$B$20000=Lacunas!C22) *
    ('Micro Dados - Todos'!$D$2:$D$20000=Lacunas!F22)
)</f>
        <v>UVR 01 - Palotina</v>
      </c>
      <c r="C508" s="1" t="str">
        <v>01</v>
      </c>
      <c r="D508" s="1" t="str">
        <v>Palotina</v>
      </c>
      <c r="E508" s="1" t="str">
        <v>1/15/2025</v>
      </c>
      <c r="F508" s="1" t="str">
        <v>Receita da venda de recicláveis</v>
      </c>
      <c r="G508" s="1" t="str">
        <v>Papéis</v>
      </c>
      <c r="H508" s="1" t="str">
        <v>Papelão</v>
      </c>
      <c r="I508" s="1">
        <v>0</v>
      </c>
      <c r="J508" s="1">
        <v>36001</v>
      </c>
      <c r="K508" s="1">
        <v>27000.75</v>
      </c>
      <c r="L508" s="1">
        <v>0.75</v>
      </c>
      <c r="M508" s="1">
        <v>0</v>
      </c>
    </row>
    <row r="509" spans="1:13">
      <c r="A509" s="1" t="s">
        <v>11</v>
      </c>
      <c r="B509" s="1" t="str">
        <v>UVR 01 - Palotina</v>
      </c>
      <c r="C509" s="1" t="str">
        <v>01</v>
      </c>
      <c r="D509" s="1" t="str">
        <v>Palotina</v>
      </c>
      <c r="E509" s="1" t="str">
        <v>1/15/2025</v>
      </c>
      <c r="F509" s="1" t="str">
        <v>Despesa</v>
      </c>
      <c r="G509" s="1" t="str">
        <v>Outra Despesa</v>
      </c>
      <c r="H509" s="1">
        <v>0</v>
      </c>
      <c r="I509" s="1">
        <v>0</v>
      </c>
      <c r="J509" s="1">
        <v>0</v>
      </c>
      <c r="K509" s="1">
        <v>383.25</v>
      </c>
      <c r="L509" s="1">
        <v>0</v>
      </c>
      <c r="M509" s="1" t="str">
        <v>Pagamento INSS (MEI)</v>
      </c>
    </row>
    <row r="510" spans="1:13">
      <c r="A510" s="1" t="s">
        <v>11</v>
      </c>
      <c r="B510" s="1" t="str">
        <v>UVR 01 - Palotina</v>
      </c>
      <c r="C510" s="1" t="str">
        <v>01</v>
      </c>
      <c r="D510" s="1" t="str">
        <v>Palotina</v>
      </c>
      <c r="E510" s="1" t="str">
        <v>1/15/2025</v>
      </c>
      <c r="F510" s="1" t="str">
        <v>Receita da venda de recicláveis</v>
      </c>
      <c r="G510" s="1" t="str">
        <v>Metal</v>
      </c>
      <c r="H510" s="1" t="str">
        <v>Alumínio Latinha</v>
      </c>
      <c r="I510" s="1">
        <v>0</v>
      </c>
      <c r="J510" s="1">
        <v>374</v>
      </c>
      <c r="K510" s="1">
        <v>3366</v>
      </c>
      <c r="L510" s="1">
        <v>8.6</v>
      </c>
      <c r="M510" s="1">
        <v>0</v>
      </c>
    </row>
    <row r="511" spans="1:13">
      <c r="A511" s="1" t="s">
        <v>11</v>
      </c>
      <c r="B511" s="1" t="str">
        <v>UVR 01 - Palotina</v>
      </c>
      <c r="C511" s="1" t="str">
        <v>01</v>
      </c>
      <c r="D511" s="1" t="str">
        <v>Palotina</v>
      </c>
      <c r="E511" s="1" t="str">
        <v>1/15/2025</v>
      </c>
      <c r="F511" s="1" t="str">
        <v>Receita da venda de recicláveis</v>
      </c>
      <c r="G511" s="1" t="str">
        <v>Metal</v>
      </c>
      <c r="H511" s="1" t="str">
        <v>Alumínio Panela</v>
      </c>
      <c r="I511" s="1">
        <v>0</v>
      </c>
      <c r="J511" s="1">
        <v>178</v>
      </c>
      <c r="K511" s="1">
        <v>1602</v>
      </c>
      <c r="L511" s="1">
        <v>9</v>
      </c>
      <c r="M511" s="1">
        <v>0</v>
      </c>
    </row>
    <row r="512" spans="1:13">
      <c r="A512" s="1" t="s">
        <v>11</v>
      </c>
      <c r="B512" s="1" t="str">
        <v>UVR 01 - Palotina</v>
      </c>
      <c r="C512" s="1" t="str">
        <v>01</v>
      </c>
      <c r="D512" s="1" t="str">
        <v>Palotina</v>
      </c>
      <c r="E512" s="1" t="str">
        <v>1/15/2025</v>
      </c>
      <c r="F512" s="1" t="str">
        <v>Receita da venda de recicláveis</v>
      </c>
      <c r="G512" s="1" t="str">
        <v>Metal</v>
      </c>
      <c r="H512" s="1" t="str">
        <v>Outros Metais</v>
      </c>
      <c r="I512" s="1">
        <v>0</v>
      </c>
      <c r="J512" s="1">
        <v>112</v>
      </c>
      <c r="K512" s="1">
        <v>560</v>
      </c>
      <c r="L512" s="1">
        <v>5</v>
      </c>
      <c r="M512" s="1">
        <v>0</v>
      </c>
    </row>
    <row r="513" spans="1:13">
      <c r="A513" s="1" t="s">
        <v>11</v>
      </c>
      <c r="B513" s="1" t="str">
        <v>UVR 01 - Palotina</v>
      </c>
      <c r="C513" s="1" t="str">
        <v>01</v>
      </c>
      <c r="D513" s="1" t="str">
        <v>Palotina</v>
      </c>
      <c r="E513" s="1" t="str">
        <v>1/15/2025</v>
      </c>
      <c r="F513" s="1" t="str">
        <v>Receita da venda de recicláveis</v>
      </c>
      <c r="G513" s="1" t="str">
        <v>Metal</v>
      </c>
      <c r="H513" s="1" t="str">
        <v>Cobre Limpo</v>
      </c>
      <c r="I513" s="1">
        <v>0</v>
      </c>
      <c r="J513" s="1">
        <v>27</v>
      </c>
      <c r="K513" s="1">
        <v>1134</v>
      </c>
      <c r="L513" s="1">
        <v>42</v>
      </c>
      <c r="M513" s="1">
        <v>0</v>
      </c>
    </row>
    <row r="514" spans="1:13">
      <c r="A514" s="1" t="s">
        <v>11</v>
      </c>
      <c r="B514" s="1" t="str">
        <v>UVR 01 - Palotina</v>
      </c>
      <c r="C514" s="1" t="str">
        <v>01</v>
      </c>
      <c r="D514" s="1" t="str">
        <v>Palotina</v>
      </c>
      <c r="E514" s="1" t="str">
        <v>1/15/2025</v>
      </c>
      <c r="F514" s="1" t="str">
        <v>Receita da venda de recicláveis</v>
      </c>
      <c r="G514" s="1" t="str">
        <v>Metal</v>
      </c>
      <c r="H514" s="1" t="str">
        <v>Cobre Sujo</v>
      </c>
      <c r="I514" s="1">
        <v>0</v>
      </c>
      <c r="J514" s="1">
        <v>231</v>
      </c>
      <c r="K514" s="1">
        <v>2772</v>
      </c>
      <c r="L514" s="1">
        <v>12</v>
      </c>
      <c r="M514" s="1">
        <v>0</v>
      </c>
    </row>
    <row r="515" spans="1:13">
      <c r="A515" s="1" t="s">
        <v>11</v>
      </c>
      <c r="B515" s="1" t="str">
        <v>UVR 01 - Palotina</v>
      </c>
      <c r="C515" s="1" t="str">
        <v>01</v>
      </c>
      <c r="D515" s="1" t="str">
        <v>Palotina</v>
      </c>
      <c r="E515" s="1" t="str">
        <v>1/15/2025</v>
      </c>
      <c r="F515" s="1" t="str">
        <v>Receita da venda de recicláveis</v>
      </c>
      <c r="G515" s="1" t="str">
        <v>Metal</v>
      </c>
      <c r="H515" s="1" t="str">
        <v>Ferro</v>
      </c>
      <c r="I515" s="1">
        <v>0</v>
      </c>
      <c r="J515" s="1">
        <v>7810</v>
      </c>
      <c r="K515" s="1">
        <v>3905</v>
      </c>
      <c r="L515" s="1">
        <v>0.5</v>
      </c>
      <c r="M515" s="1">
        <v>0</v>
      </c>
    </row>
    <row r="516" spans="1:13">
      <c r="A516" s="1" t="s">
        <v>11</v>
      </c>
      <c r="B516" s="1" t="str">
        <v>UVR 01 - Palotina</v>
      </c>
      <c r="C516" s="1" t="str">
        <v>01</v>
      </c>
      <c r="D516" s="1" t="str">
        <v>Palotina</v>
      </c>
      <c r="E516" s="1" t="str">
        <v>1/15/2025</v>
      </c>
      <c r="F516" s="1" t="str">
        <v>Receita da venda de recicláveis</v>
      </c>
      <c r="G516" s="1" t="str">
        <v>Metal</v>
      </c>
      <c r="H516" s="1" t="str">
        <v>Outros Metais</v>
      </c>
      <c r="I516" s="1">
        <v>0</v>
      </c>
      <c r="J516" s="1">
        <v>23</v>
      </c>
      <c r="K516" s="1">
        <v>506</v>
      </c>
      <c r="L516" s="1">
        <v>22</v>
      </c>
      <c r="M516" s="1">
        <v>0</v>
      </c>
    </row>
    <row r="517" spans="1:13">
      <c r="A517" s="1" t="s">
        <v>11</v>
      </c>
      <c r="B517" s="1" t="str">
        <v>UVR 01 - Palotina</v>
      </c>
      <c r="C517" s="1" t="str">
        <v>01</v>
      </c>
      <c r="D517" s="1" t="str">
        <v>Palotina</v>
      </c>
      <c r="E517" s="1" t="str">
        <v>1/15/2025</v>
      </c>
      <c r="F517" s="1" t="str">
        <v>Receita da venda de recicláveis</v>
      </c>
      <c r="G517" s="1" t="str">
        <v>Plástico</v>
      </c>
      <c r="H517" s="1" t="str">
        <v>PVC (Cano, Forro, Tubulação de cano)</v>
      </c>
      <c r="I517" s="1">
        <v>0</v>
      </c>
      <c r="J517" s="1">
        <v>480</v>
      </c>
      <c r="K517" s="1">
        <v>192</v>
      </c>
      <c r="L517" s="1">
        <v>0.4</v>
      </c>
      <c r="M517" s="1">
        <v>0</v>
      </c>
    </row>
    <row r="518" spans="1:13">
      <c r="A518" s="1" t="s">
        <v>11</v>
      </c>
      <c r="B518" s="1" t="str">
        <v>UVR 01 - Palotina</v>
      </c>
      <c r="C518" s="1" t="str">
        <v>01</v>
      </c>
      <c r="D518" s="1" t="str">
        <v>Palotina</v>
      </c>
      <c r="E518" s="1" t="str">
        <v>1/15/2025</v>
      </c>
      <c r="F518" s="1" t="str">
        <v>Receita da venda de recicláveis</v>
      </c>
      <c r="G518" s="1" t="str">
        <v>Plástico</v>
      </c>
      <c r="H518" s="1" t="str">
        <v>PEAD Filme (Cristal)</v>
      </c>
      <c r="I518" s="1">
        <v>0</v>
      </c>
      <c r="J518" s="1">
        <v>2755</v>
      </c>
      <c r="K518" s="1">
        <v>4132.5</v>
      </c>
      <c r="L518" s="1">
        <v>1.5</v>
      </c>
      <c r="M518" s="1">
        <v>0</v>
      </c>
    </row>
    <row r="519" spans="1:13">
      <c r="A519" s="1" t="s">
        <v>11</v>
      </c>
      <c r="B519" s="1" t="str">
        <v>UVR 01 - Palotina</v>
      </c>
      <c r="C519" s="1" t="str">
        <v>01</v>
      </c>
      <c r="D519" s="1" t="str">
        <v>Palotina</v>
      </c>
      <c r="E519" s="1" t="str">
        <v>1/15/2025</v>
      </c>
      <c r="F519" s="1" t="str">
        <v>Receita da venda de recicláveis</v>
      </c>
      <c r="G519" s="1" t="str">
        <v>Plástico</v>
      </c>
      <c r="H519" s="1" t="str">
        <v>PEAD (Embalagens de produtos de limpeza)</v>
      </c>
      <c r="I519" s="1">
        <v>0</v>
      </c>
      <c r="J519" s="1">
        <v>2968</v>
      </c>
      <c r="K519" s="1">
        <v>5936</v>
      </c>
      <c r="L519" s="1">
        <v>2</v>
      </c>
      <c r="M519" s="1">
        <v>0</v>
      </c>
    </row>
    <row r="520" spans="1:13">
      <c r="A520" s="1" t="s">
        <v>11</v>
      </c>
      <c r="B520" s="1" t="str">
        <v>UVR 01 - Palotina</v>
      </c>
      <c r="C520" s="1" t="str">
        <v>01</v>
      </c>
      <c r="D520" s="1" t="str">
        <v>Palotina</v>
      </c>
      <c r="E520" s="1" t="str">
        <v>1/15/2025</v>
      </c>
      <c r="F520" s="1" t="str">
        <v>Receita da venda de recicláveis</v>
      </c>
      <c r="G520" s="1" t="str">
        <v>Plástico</v>
      </c>
      <c r="H520" s="1" t="str">
        <v>PEAD Injeção (Caixaria)</v>
      </c>
      <c r="I520" s="1">
        <v>0</v>
      </c>
      <c r="J520" s="1">
        <v>270</v>
      </c>
      <c r="K520" s="1">
        <v>1080</v>
      </c>
      <c r="L520" s="1">
        <v>4</v>
      </c>
      <c r="M520" s="1">
        <v>0</v>
      </c>
    </row>
    <row r="521" spans="1:13">
      <c r="A521" s="1" t="s">
        <v>11</v>
      </c>
      <c r="B521" s="1" t="str">
        <v>UVR 01 - Palotina</v>
      </c>
      <c r="C521" s="1" t="str">
        <v>01</v>
      </c>
      <c r="D521" s="1" t="str">
        <v>Palotina</v>
      </c>
      <c r="E521" s="1" t="str">
        <v>1/15/2025</v>
      </c>
      <c r="F521" s="1" t="str">
        <v>Receita da venda de recicláveis</v>
      </c>
      <c r="G521" s="1" t="str">
        <v>Plástico</v>
      </c>
      <c r="H521" s="1" t="str">
        <v>PEBD Filme (Sacolinha, Sacos de lixo, Lona Preta)</v>
      </c>
      <c r="I521" s="1">
        <v>0</v>
      </c>
      <c r="J521" s="1">
        <v>2834</v>
      </c>
      <c r="K521" s="1">
        <v>2267.6999999999998</v>
      </c>
      <c r="L521" s="1">
        <v>0.8</v>
      </c>
      <c r="M521" s="1">
        <v>0</v>
      </c>
    </row>
    <row r="522" spans="1:13">
      <c r="A522" s="1" t="s">
        <v>11</v>
      </c>
      <c r="B522" s="1" t="str">
        <v>UVR 01 - Palotina</v>
      </c>
      <c r="C522" s="1" t="str">
        <v>01</v>
      </c>
      <c r="D522" s="1" t="str">
        <v>Palotina</v>
      </c>
      <c r="E522" s="1" t="str">
        <v>1/15/2025</v>
      </c>
      <c r="F522" s="1" t="str">
        <v>Receita da venda de recicláveis</v>
      </c>
      <c r="G522" s="1" t="str">
        <v>Plástico</v>
      </c>
      <c r="H522" s="1" t="str">
        <v>PET Cristal (Embalagens de refrigerante transparente)</v>
      </c>
      <c r="I522" s="1">
        <v>0</v>
      </c>
      <c r="J522" s="1">
        <v>3810</v>
      </c>
      <c r="K522" s="1">
        <v>10668</v>
      </c>
      <c r="L522" s="1">
        <v>2.8</v>
      </c>
      <c r="M522" s="1">
        <v>0</v>
      </c>
    </row>
    <row r="523" spans="1:13">
      <c r="A523" s="1" t="s">
        <v>11</v>
      </c>
      <c r="B523" s="1" t="str">
        <v>UVR 01 - Palotina</v>
      </c>
      <c r="C523" s="1" t="str">
        <v>01</v>
      </c>
      <c r="D523" s="1" t="str">
        <v>Palotina</v>
      </c>
      <c r="E523" s="1" t="str">
        <v>1/15/2025</v>
      </c>
      <c r="F523" s="1" t="str">
        <v>Receita da venda de recicláveis</v>
      </c>
      <c r="G523" s="1" t="str">
        <v>Plástico</v>
      </c>
      <c r="H523" s="1" t="str">
        <v>PET Verde (Embalagens de refrigerante verde)</v>
      </c>
      <c r="I523" s="1">
        <v>0</v>
      </c>
      <c r="J523" s="1">
        <v>780</v>
      </c>
      <c r="K523" s="1">
        <v>2184</v>
      </c>
      <c r="L523" s="1">
        <v>2.8</v>
      </c>
      <c r="M523" s="1">
        <v>0</v>
      </c>
    </row>
    <row r="524" spans="1:13">
      <c r="A524" s="1" t="s">
        <v>11</v>
      </c>
      <c r="B524" s="1" t="str">
        <v>UVR 01 - Palotina</v>
      </c>
      <c r="C524" s="1" t="str">
        <v>01</v>
      </c>
      <c r="D524" s="1" t="str">
        <v>Palotina</v>
      </c>
      <c r="E524" s="1" t="str">
        <v>1/15/2025</v>
      </c>
      <c r="F524" s="1" t="str">
        <v>Receita da venda de recicláveis</v>
      </c>
      <c r="G524" s="1" t="str">
        <v>Plástico</v>
      </c>
      <c r="H524" s="1" t="str">
        <v>PET Óleo (Embalagens de óleo de cozinha)</v>
      </c>
      <c r="I524" s="1">
        <v>0</v>
      </c>
      <c r="J524" s="1">
        <v>290</v>
      </c>
      <c r="K524" s="1">
        <v>145</v>
      </c>
      <c r="L524" s="1">
        <v>0.5</v>
      </c>
      <c r="M524" s="1">
        <v>0</v>
      </c>
    </row>
    <row r="525" spans="1:13">
      <c r="A525" s="1" t="s">
        <v>11</v>
      </c>
      <c r="B525" s="1" t="str">
        <v>UVR 01 - Palotina</v>
      </c>
      <c r="C525" s="1" t="str">
        <v>01</v>
      </c>
      <c r="D525" s="1" t="str">
        <v>Palotina</v>
      </c>
      <c r="E525" s="1" t="str">
        <v>1/15/2025</v>
      </c>
      <c r="F525" s="1" t="str">
        <v>Receita da venda de recicláveis</v>
      </c>
      <c r="G525" s="1" t="str">
        <v>Plástico</v>
      </c>
      <c r="H525" s="1" t="str">
        <v>PP Rígido (Balde, bacia, potes de sorvetes, margarina, entre outros)</v>
      </c>
      <c r="I525" s="1">
        <v>0</v>
      </c>
      <c r="J525" s="1">
        <v>2655</v>
      </c>
      <c r="K525" s="1">
        <v>2920.5</v>
      </c>
      <c r="L525" s="1">
        <v>1.1000000000000001</v>
      </c>
      <c r="M525" s="1">
        <v>0</v>
      </c>
    </row>
    <row r="526" spans="1:13">
      <c r="A526" s="1" t="s">
        <v>11</v>
      </c>
      <c r="B526" s="1" t="str">
        <v>UVR 01 - Palotina</v>
      </c>
      <c r="C526" s="1" t="str">
        <v>01</v>
      </c>
      <c r="D526" s="1" t="str">
        <v>Palotina</v>
      </c>
      <c r="E526" s="1" t="str">
        <v>1/15/2025</v>
      </c>
      <c r="F526" s="1" t="str">
        <v>Receita da venda de recicláveis</v>
      </c>
      <c r="G526" s="1" t="str">
        <v>Plástico</v>
      </c>
      <c r="H526" s="1" t="str">
        <v>PP Ráfia (Sacaria)</v>
      </c>
      <c r="I526" s="1">
        <v>0</v>
      </c>
      <c r="J526" s="1">
        <v>1468</v>
      </c>
      <c r="K526" s="1">
        <v>440.4</v>
      </c>
      <c r="L526" s="1">
        <v>0.3</v>
      </c>
      <c r="M526" s="1">
        <v>0</v>
      </c>
    </row>
    <row r="527" spans="1:13">
      <c r="A527" s="1" t="s">
        <v>11</v>
      </c>
      <c r="B527" s="1" t="str">
        <v>UVR 01 - Palotina</v>
      </c>
      <c r="C527" s="1" t="str">
        <v>01</v>
      </c>
      <c r="D527" s="1" t="str">
        <v>Palotina</v>
      </c>
      <c r="E527" s="1" t="str">
        <v>1/15/2025</v>
      </c>
      <c r="F527" s="1" t="str">
        <v>Receita da venda de recicláveis</v>
      </c>
      <c r="G527" s="1" t="str">
        <v>Papéis</v>
      </c>
      <c r="H527" s="1" t="str">
        <v>Papel Branco</v>
      </c>
      <c r="I527" s="1">
        <v>0</v>
      </c>
      <c r="J527" s="1">
        <v>2629</v>
      </c>
      <c r="K527" s="1">
        <v>1840.3</v>
      </c>
      <c r="L527" s="1">
        <v>0.7</v>
      </c>
      <c r="M527" s="1">
        <v>0</v>
      </c>
    </row>
    <row r="528" spans="1:13">
      <c r="A528" s="1" t="s">
        <v>11</v>
      </c>
      <c r="B528" s="1" t="str">
        <v>UVR 01 - Palotina</v>
      </c>
      <c r="C528" s="1" t="str">
        <v>01</v>
      </c>
      <c r="D528" s="1" t="str">
        <v>Palotina</v>
      </c>
      <c r="E528" s="1" t="str">
        <v>1/15/2025</v>
      </c>
      <c r="F528" s="1" t="str">
        <v>Receita da venda de recicláveis</v>
      </c>
      <c r="G528" s="1" t="str">
        <v>Papéis</v>
      </c>
      <c r="H528" s="1" t="str">
        <v>Papel Misto</v>
      </c>
      <c r="I528" s="1">
        <v>0</v>
      </c>
      <c r="J528" s="1">
        <v>2656</v>
      </c>
      <c r="K528" s="1">
        <v>1062.4000000000001</v>
      </c>
      <c r="L528" s="1">
        <v>0.4</v>
      </c>
      <c r="M528" s="1">
        <v>0</v>
      </c>
    </row>
    <row r="529" spans="1:13">
      <c r="A529" s="1" t="s">
        <v>11</v>
      </c>
      <c r="B529" s="1" t="str">
        <v>UVR 01 - Palotina</v>
      </c>
      <c r="C529" s="1" t="str">
        <v>01</v>
      </c>
      <c r="D529" s="1" t="str">
        <v>Palotina</v>
      </c>
      <c r="E529" s="1" t="str">
        <v>1/15/2025</v>
      </c>
      <c r="F529" s="1" t="str">
        <v>Receita da venda de recicláveis</v>
      </c>
      <c r="G529" s="1" t="str">
        <v>Papéis</v>
      </c>
      <c r="H529" s="1" t="str">
        <v>Papelão</v>
      </c>
      <c r="I529" s="1">
        <v>0</v>
      </c>
      <c r="J529" s="1">
        <v>24157</v>
      </c>
      <c r="K529" s="1">
        <v>23190.720000000001</v>
      </c>
      <c r="L529" s="1">
        <v>0.96</v>
      </c>
      <c r="M529" s="1">
        <v>0</v>
      </c>
    </row>
    <row r="530" spans="1:13">
      <c r="A530" s="1" t="s">
        <v>11</v>
      </c>
      <c r="B530" s="1" t="str">
        <v>UVR 01 - Palotina</v>
      </c>
      <c r="C530" s="1" t="str">
        <v>01</v>
      </c>
      <c r="D530" s="1" t="str">
        <v>Palotina</v>
      </c>
      <c r="E530" s="1" t="str">
        <v>1/15/2025</v>
      </c>
      <c r="F530" s="1" t="str">
        <v>Receita da venda de recicláveis</v>
      </c>
      <c r="G530" s="1" t="str">
        <v>Papéis</v>
      </c>
      <c r="H530" s="1" t="str">
        <v>Tetra Pack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</row>
    <row r="531" spans="1:13">
      <c r="A531" s="1" t="s">
        <v>11</v>
      </c>
      <c r="B531" s="1" t="str">
        <v>UVR 01 - Palotina</v>
      </c>
      <c r="C531" s="1" t="str">
        <v>01</v>
      </c>
      <c r="D531" s="1" t="str">
        <v>Palotina</v>
      </c>
      <c r="E531" s="1" t="str">
        <v>1/15/2025</v>
      </c>
      <c r="F531" s="1" t="str">
        <v>Receita da venda de recicláveis</v>
      </c>
      <c r="G531" s="1" t="str">
        <v>Elétrico ou Eletrônicos</v>
      </c>
      <c r="H531" s="1" t="str">
        <v>Motor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</row>
    <row r="532" spans="1:13">
      <c r="A532" s="1" t="s">
        <v>11</v>
      </c>
      <c r="B532" s="1" t="str">
        <v>UVR 01 - Palotina</v>
      </c>
      <c r="C532" s="1" t="str">
        <v>01</v>
      </c>
      <c r="D532" s="1" t="str">
        <v>Palotina</v>
      </c>
      <c r="E532" s="1" t="str">
        <v>1/15/2025</v>
      </c>
      <c r="F532" s="1" t="str">
        <v>Receita da venda de recicláveis</v>
      </c>
      <c r="G532" s="1" t="str">
        <v>Elétrico ou Eletrônicos</v>
      </c>
      <c r="H532" s="1" t="str">
        <v>Bateria</v>
      </c>
      <c r="I532" s="1">
        <v>0</v>
      </c>
      <c r="J532" s="1">
        <v>53</v>
      </c>
      <c r="K532" s="1">
        <v>174.9</v>
      </c>
      <c r="L532" s="1">
        <v>3.3</v>
      </c>
      <c r="M532" s="1">
        <v>0</v>
      </c>
    </row>
    <row r="533" spans="1:13">
      <c r="A533" s="1" t="s">
        <v>11</v>
      </c>
      <c r="B533" s="1" t="str">
        <v>UVR 01 - Palotina</v>
      </c>
      <c r="C533" s="1" t="str">
        <v>01</v>
      </c>
      <c r="D533" s="1" t="str">
        <v>Palotina</v>
      </c>
      <c r="E533" s="1" t="str">
        <v>1/15/2025</v>
      </c>
      <c r="F533" s="1" t="str">
        <v>Receita da venda de recicláveis</v>
      </c>
      <c r="G533" s="1" t="str">
        <v>Elétrico ou Eletrônicos</v>
      </c>
      <c r="H533" s="1" t="str">
        <v>Sucata Celular</v>
      </c>
      <c r="I533" s="1">
        <v>0</v>
      </c>
      <c r="J533" s="1">
        <v>6</v>
      </c>
      <c r="K533" s="1">
        <v>180</v>
      </c>
      <c r="L533" s="1">
        <v>30</v>
      </c>
      <c r="M533" s="1">
        <v>0</v>
      </c>
    </row>
    <row r="534" spans="1:13">
      <c r="A534" s="1" t="s">
        <v>11</v>
      </c>
      <c r="B534" s="1" t="str">
        <v>UVR 01 - Palotina</v>
      </c>
      <c r="C534" s="1" t="str">
        <v>01</v>
      </c>
      <c r="D534" s="1" t="str">
        <v>Palotina</v>
      </c>
      <c r="E534" s="1" t="str">
        <v>1/15/2025</v>
      </c>
      <c r="F534" s="1" t="str">
        <v>Receita da venda de recicláveis</v>
      </c>
      <c r="G534" s="1" t="str">
        <v>Elétrico ou Eletrônicos</v>
      </c>
      <c r="H534" s="1" t="str">
        <v>Sucata Eletrônica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</row>
    <row r="535" spans="1:13">
      <c r="A535" s="1" t="s">
        <v>11</v>
      </c>
      <c r="B535" s="1" t="str">
        <v>UVR 01 - Palotina</v>
      </c>
      <c r="C535" s="1" t="str">
        <v>01</v>
      </c>
      <c r="D535" s="1" t="str">
        <v>Palotina</v>
      </c>
      <c r="E535" s="1" t="str">
        <v>1/15/2025</v>
      </c>
      <c r="F535" s="1" t="str">
        <v>Receita da venda de recicláveis</v>
      </c>
      <c r="G535" s="1" t="str">
        <v>Elétrico ou Eletrônicos</v>
      </c>
      <c r="H535" s="1" t="str">
        <v>placa</v>
      </c>
      <c r="I535" s="1">
        <v>0</v>
      </c>
      <c r="J535" s="1">
        <v>5</v>
      </c>
      <c r="K535" s="1">
        <v>75</v>
      </c>
      <c r="L535" s="1">
        <v>15</v>
      </c>
      <c r="M535" s="1">
        <v>0</v>
      </c>
    </row>
    <row r="536" spans="1:13">
      <c r="A536" s="1" t="s">
        <v>11</v>
      </c>
      <c r="B536" s="1" t="str">
        <v>UVR 01 - Palotina</v>
      </c>
      <c r="C536" s="1" t="str">
        <v>01</v>
      </c>
      <c r="D536" s="1" t="str">
        <v>Palotina</v>
      </c>
      <c r="E536" s="1" t="str">
        <v>1/15/2025</v>
      </c>
      <c r="F536" s="1" t="str">
        <v>Receita da venda de recicláveis</v>
      </c>
      <c r="G536" s="1" t="str">
        <v>Elétrico ou Eletrônicos</v>
      </c>
      <c r="H536" s="1" t="str">
        <v>placa</v>
      </c>
      <c r="I536" s="1">
        <v>0</v>
      </c>
      <c r="J536" s="1">
        <v>140</v>
      </c>
      <c r="K536" s="1">
        <v>280</v>
      </c>
      <c r="L536" s="1">
        <v>2</v>
      </c>
      <c r="M536" s="1">
        <v>0</v>
      </c>
    </row>
    <row r="537" spans="1:13">
      <c r="A537" s="1" t="s">
        <v>11</v>
      </c>
      <c r="B537" s="1" t="str">
        <v>UVR 01 - Palotina</v>
      </c>
      <c r="C537" s="1" t="str">
        <v>01</v>
      </c>
      <c r="D537" s="1" t="str">
        <v>Palotina</v>
      </c>
      <c r="E537" s="1" t="str">
        <v>1/15/2025</v>
      </c>
      <c r="F537" s="1" t="str">
        <v>Receita da venda de recicláveis</v>
      </c>
      <c r="G537" s="1" t="str">
        <v>Elétrico ou Eletrônicos</v>
      </c>
      <c r="H537" s="1" t="str">
        <v>placa</v>
      </c>
      <c r="I537" s="1">
        <v>0</v>
      </c>
      <c r="J537" s="1">
        <v>23</v>
      </c>
      <c r="K537" s="1">
        <v>138</v>
      </c>
      <c r="L537" s="1">
        <v>6</v>
      </c>
      <c r="M537" s="1">
        <v>0</v>
      </c>
    </row>
    <row r="538" spans="1:13">
      <c r="A538" s="1" t="s">
        <v>11</v>
      </c>
      <c r="B538" s="1" t="str">
        <v>UVR 01 - Palotina</v>
      </c>
      <c r="C538" s="1" t="str">
        <v>01</v>
      </c>
      <c r="D538" s="1" t="str">
        <v>Palotina</v>
      </c>
      <c r="E538" s="1" t="str">
        <v>1/15/2025</v>
      </c>
      <c r="F538" s="1" t="str">
        <v>Receita da venda de recicláveis</v>
      </c>
      <c r="G538" s="1" t="str">
        <v>Vidro</v>
      </c>
      <c r="H538" s="1" t="str">
        <v>Caco</v>
      </c>
      <c r="I538" s="1">
        <v>0</v>
      </c>
      <c r="J538" s="1">
        <v>29800</v>
      </c>
      <c r="K538" s="1">
        <v>2980</v>
      </c>
      <c r="L538" s="1">
        <v>0.1</v>
      </c>
      <c r="M538" s="1">
        <v>0</v>
      </c>
    </row>
    <row r="539" spans="1:13">
      <c r="A539" s="1" t="s">
        <v>11</v>
      </c>
      <c r="B539" s="1" t="str">
        <v>UVR 01 - Palotina</v>
      </c>
      <c r="C539" s="1" t="str">
        <v>01</v>
      </c>
      <c r="D539" s="1" t="str">
        <v>Palotina</v>
      </c>
      <c r="E539" s="1" t="str">
        <v>1/15/2025</v>
      </c>
      <c r="F539" s="1" t="str">
        <v>Receita da venda de recicláveis</v>
      </c>
      <c r="G539" s="1" t="str">
        <v>Vidro</v>
      </c>
      <c r="H539" s="1" t="str">
        <v>Inteiro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</row>
    <row r="540" spans="1:13">
      <c r="A540" s="1" t="s">
        <v>11</v>
      </c>
      <c r="B540" s="1" t="str">
        <v>UVR 01 - Palotina</v>
      </c>
      <c r="C540" s="1" t="str">
        <v>01</v>
      </c>
      <c r="D540" s="1" t="str">
        <v>Palotina</v>
      </c>
      <c r="E540" s="1" t="str">
        <v>1/15/2025</v>
      </c>
      <c r="F540" s="1" t="str">
        <v>Rejeito</v>
      </c>
      <c r="G540" s="1" t="str">
        <v>Rejeito</v>
      </c>
      <c r="H540" s="1">
        <v>0</v>
      </c>
      <c r="I540" s="1">
        <v>0</v>
      </c>
      <c r="J540" s="1">
        <v>48560</v>
      </c>
      <c r="K540" s="1">
        <v>0</v>
      </c>
      <c r="L540" s="1">
        <v>0</v>
      </c>
      <c r="M540" s="1">
        <v>0</v>
      </c>
    </row>
    <row r="541" spans="1:13">
      <c r="A541" s="1" t="s">
        <v>11</v>
      </c>
      <c r="B541" s="1" t="str">
        <v>UVR 01 - Palotina</v>
      </c>
      <c r="C541" s="1" t="str">
        <v>01</v>
      </c>
      <c r="D541" s="1" t="str">
        <v>Palotina</v>
      </c>
      <c r="E541" s="1" t="str">
        <v>1/15/2025</v>
      </c>
      <c r="F541" s="1" t="str">
        <v>Receita da venda de recicláveis</v>
      </c>
      <c r="G541" s="1" t="str">
        <v>Metal</v>
      </c>
      <c r="H541" s="1" t="str">
        <v>Alumínio Bloco</v>
      </c>
      <c r="I541" s="1">
        <v>0</v>
      </c>
      <c r="J541" s="1">
        <v>172</v>
      </c>
      <c r="K541" s="1">
        <v>688</v>
      </c>
      <c r="L541" s="1">
        <v>4</v>
      </c>
      <c r="M541" s="1">
        <v>0</v>
      </c>
    </row>
    <row r="542" spans="1:13">
      <c r="A542" s="1" t="s">
        <v>29</v>
      </c>
      <c r="B542" s="1" t="str" cm="1">
        <f t="array" ref="B542:M559">_xlfn._xlws.FILTER(
    'Micro Dados - Todos'!$A$2:$L$20000,
    ('Micro Dados - Todos'!$C$2:$C$20000=Lacunas!B23) *
    ('Micro Dados - Todos'!$B$2:$B$20000=Lacunas!C23) *
    ('Micro Dados - Todos'!$D$2:$D$20000=Lacunas!F23)
)</f>
        <v>UVR 01 - Tres Barras do Parana</v>
      </c>
      <c r="C542" s="1" t="str">
        <v>01</v>
      </c>
      <c r="D542" s="1" t="str">
        <v>Tres Barras do Parana</v>
      </c>
      <c r="E542" s="1" t="str">
        <v>1/15/2025</v>
      </c>
      <c r="F542" s="1" t="str">
        <v>Receita da venda de recicláveis</v>
      </c>
      <c r="G542" s="1" t="str">
        <v>Plástico</v>
      </c>
      <c r="H542" s="1" t="str">
        <v>PET Colorido (Embalagens de PET colorido, PET bagunça)</v>
      </c>
      <c r="I542" s="1">
        <v>0</v>
      </c>
      <c r="J542" s="1">
        <v>919</v>
      </c>
      <c r="K542" s="1">
        <v>2481</v>
      </c>
      <c r="L542" s="1">
        <v>2.7</v>
      </c>
      <c r="M542" s="1">
        <v>0</v>
      </c>
    </row>
    <row r="543" spans="1:13">
      <c r="A543" s="1" t="s">
        <v>29</v>
      </c>
      <c r="B543" s="1" t="str">
        <v>UVR 01 - Tres Barras do Parana</v>
      </c>
      <c r="C543" s="1" t="str">
        <v>01</v>
      </c>
      <c r="D543" s="1" t="str">
        <v>Tres Barras do Parana</v>
      </c>
      <c r="E543" s="1" t="str">
        <v>1/15/2025</v>
      </c>
      <c r="F543" s="1" t="str">
        <v>Receita da venda de recicláveis</v>
      </c>
      <c r="G543" s="1" t="str">
        <v>Plástico</v>
      </c>
      <c r="H543" s="1" t="str">
        <v>PEAD (Embalagens de produtos de limpeza)</v>
      </c>
      <c r="I543" s="1">
        <v>0</v>
      </c>
      <c r="J543" s="1">
        <v>775</v>
      </c>
      <c r="K543" s="1">
        <v>1705</v>
      </c>
      <c r="L543" s="1">
        <v>2.2000000000000002</v>
      </c>
      <c r="M543" s="1">
        <v>0</v>
      </c>
    </row>
    <row r="544" spans="1:13">
      <c r="A544" s="1" t="s">
        <v>29</v>
      </c>
      <c r="B544" s="1" t="str">
        <v>UVR 01 - Tres Barras do Parana</v>
      </c>
      <c r="C544" s="1" t="str">
        <v>01</v>
      </c>
      <c r="D544" s="1" t="str">
        <v>Tres Barras do Parana</v>
      </c>
      <c r="E544" s="1" t="str">
        <v>1/15/2025</v>
      </c>
      <c r="F544" s="1" t="str">
        <v>Receita da venda de recicláveis</v>
      </c>
      <c r="G544" s="1" t="str">
        <v>Plástico</v>
      </c>
      <c r="H544" s="1" t="str">
        <v>PP Rígido (Balde, bacia, potes de sorvetes, margarina, entre outros)</v>
      </c>
      <c r="I544" s="1">
        <v>0</v>
      </c>
      <c r="J544" s="1">
        <v>299</v>
      </c>
      <c r="K544" s="1">
        <v>239</v>
      </c>
      <c r="L544" s="1">
        <v>0.8</v>
      </c>
      <c r="M544" s="1">
        <v>0</v>
      </c>
    </row>
    <row r="545" spans="1:13">
      <c r="A545" s="1" t="s">
        <v>29</v>
      </c>
      <c r="B545" s="1" t="str">
        <v>UVR 01 - Tres Barras do Parana</v>
      </c>
      <c r="C545" s="1" t="str">
        <v>01</v>
      </c>
      <c r="D545" s="1" t="str">
        <v>Tres Barras do Parana</v>
      </c>
      <c r="E545" s="1" t="str">
        <v>1/15/2025</v>
      </c>
      <c r="F545" s="1" t="str">
        <v>Receita da venda de recicláveis</v>
      </c>
      <c r="G545" s="1" t="str">
        <v>Plástico</v>
      </c>
      <c r="H545" s="1" t="str">
        <v>PET Colorido (Embalagens de PET colorido, PET bagunça)</v>
      </c>
      <c r="I545" s="1">
        <v>0</v>
      </c>
      <c r="J545" s="1">
        <v>179</v>
      </c>
      <c r="K545" s="1">
        <v>232.7</v>
      </c>
      <c r="L545" s="1">
        <v>1.3</v>
      </c>
      <c r="M545" s="1">
        <v>0</v>
      </c>
    </row>
    <row r="546" spans="1:13">
      <c r="A546" s="1" t="s">
        <v>29</v>
      </c>
      <c r="B546" s="1" t="str">
        <v>UVR 01 - Tres Barras do Parana</v>
      </c>
      <c r="C546" s="1" t="str">
        <v>01</v>
      </c>
      <c r="D546" s="1" t="str">
        <v>Tres Barras do Parana</v>
      </c>
      <c r="E546" s="1" t="str">
        <v>1/15/2025</v>
      </c>
      <c r="F546" s="1" t="str">
        <v>Receita da venda de recicláveis</v>
      </c>
      <c r="G546" s="1" t="str">
        <v>Plástico</v>
      </c>
      <c r="H546" s="1" t="str">
        <v>PET Cristal (Embalagens de refrigerante transparente)</v>
      </c>
      <c r="I546" s="1">
        <v>0</v>
      </c>
      <c r="J546" s="1">
        <v>543</v>
      </c>
      <c r="K546" s="1">
        <v>624.45000000000005</v>
      </c>
      <c r="L546" s="1">
        <v>1.1499999999999999</v>
      </c>
      <c r="M546" s="1">
        <v>0</v>
      </c>
    </row>
    <row r="547" spans="1:13">
      <c r="A547" s="1" t="s">
        <v>29</v>
      </c>
      <c r="B547" s="1" t="str">
        <v>UVR 01 - Tres Barras do Parana</v>
      </c>
      <c r="C547" s="1" t="str">
        <v>01</v>
      </c>
      <c r="D547" s="1" t="str">
        <v>Tres Barras do Parana</v>
      </c>
      <c r="E547" s="1" t="str">
        <v>1/15/2025</v>
      </c>
      <c r="F547" s="1" t="str">
        <v>Receita da venda de recicláveis</v>
      </c>
      <c r="G547" s="1" t="str">
        <v>Plástico</v>
      </c>
      <c r="H547" s="1" t="str">
        <v>PEBD Filme (Sacolinha, Sacos de lixo, Lona Preta)</v>
      </c>
      <c r="I547" s="1">
        <v>0</v>
      </c>
      <c r="J547" s="1">
        <v>985</v>
      </c>
      <c r="K547" s="1">
        <v>640.25</v>
      </c>
      <c r="L547" s="1">
        <v>0.65</v>
      </c>
      <c r="M547" s="1">
        <v>0</v>
      </c>
    </row>
    <row r="548" spans="1:13">
      <c r="A548" s="1" t="s">
        <v>29</v>
      </c>
      <c r="B548" s="1" t="str">
        <v>UVR 01 - Tres Barras do Parana</v>
      </c>
      <c r="C548" s="1" t="str">
        <v>01</v>
      </c>
      <c r="D548" s="1" t="str">
        <v>Tres Barras do Parana</v>
      </c>
      <c r="E548" s="1" t="str">
        <v>1/15/2025</v>
      </c>
      <c r="F548" s="1" t="str">
        <v>Receita da venda de recicláveis</v>
      </c>
      <c r="G548" s="1" t="str">
        <v>Plástico</v>
      </c>
      <c r="H548" s="1" t="str">
        <v>PP Ráfia (Sacaria)</v>
      </c>
      <c r="I548" s="1">
        <v>0</v>
      </c>
      <c r="J548" s="1">
        <v>283</v>
      </c>
      <c r="K548" s="1">
        <v>70.75</v>
      </c>
      <c r="L548" s="1">
        <v>0.25</v>
      </c>
      <c r="M548" s="1">
        <v>0</v>
      </c>
    </row>
    <row r="549" spans="1:13">
      <c r="A549" s="1" t="s">
        <v>29</v>
      </c>
      <c r="B549" s="1" t="str">
        <v>UVR 01 - Tres Barras do Parana</v>
      </c>
      <c r="C549" s="1" t="str">
        <v>01</v>
      </c>
      <c r="D549" s="1" t="str">
        <v>Tres Barras do Parana</v>
      </c>
      <c r="E549" s="1" t="str">
        <v>1/15/2025</v>
      </c>
      <c r="F549" s="1" t="str">
        <v>Receita da venda de recicláveis</v>
      </c>
      <c r="G549" s="1" t="str">
        <v>Plástico</v>
      </c>
      <c r="H549" s="1" t="str">
        <v>PEBD Filme (Sacolinha, Sacos de lixo, Lona Preta)</v>
      </c>
      <c r="I549" s="1">
        <v>0</v>
      </c>
      <c r="J549" s="1">
        <v>393</v>
      </c>
      <c r="K549" s="1">
        <v>235.6</v>
      </c>
      <c r="L549" s="1">
        <v>0.6</v>
      </c>
      <c r="M549" s="1">
        <v>0</v>
      </c>
    </row>
    <row r="550" spans="1:13">
      <c r="A550" s="1" t="s">
        <v>29</v>
      </c>
      <c r="B550" s="1" t="str">
        <v>UVR 01 - Tres Barras do Parana</v>
      </c>
      <c r="C550" s="1" t="str">
        <v>01</v>
      </c>
      <c r="D550" s="1" t="str">
        <v>Tres Barras do Parana</v>
      </c>
      <c r="E550" s="1" t="str">
        <v>1/15/2025</v>
      </c>
      <c r="F550" s="1" t="str">
        <v>Receita da venda de recicláveis</v>
      </c>
      <c r="G550" s="1" t="str">
        <v>Papéis</v>
      </c>
      <c r="H550" s="1" t="str">
        <v>Papel Misto</v>
      </c>
      <c r="I550" s="1">
        <v>0</v>
      </c>
      <c r="J550" s="1">
        <v>4748</v>
      </c>
      <c r="K550" s="1">
        <v>712.2</v>
      </c>
      <c r="L550" s="1">
        <v>0.15</v>
      </c>
      <c r="M550" s="1">
        <v>0</v>
      </c>
    </row>
    <row r="551" spans="1:13">
      <c r="A551" s="1" t="s">
        <v>29</v>
      </c>
      <c r="B551" s="1" t="str">
        <v>UVR 01 - Tres Barras do Parana</v>
      </c>
      <c r="C551" s="1" t="str">
        <v>01</v>
      </c>
      <c r="D551" s="1" t="str">
        <v>Tres Barras do Parana</v>
      </c>
      <c r="E551" s="1" t="str">
        <v>1/15/2025</v>
      </c>
      <c r="F551" s="1" t="str">
        <v>Receita da venda de recicláveis</v>
      </c>
      <c r="G551" s="1" t="str">
        <v>Plástico</v>
      </c>
      <c r="H551" s="1" t="str">
        <v>PVC (Cano, Forro, Tubulação de cano)</v>
      </c>
      <c r="I551" s="1">
        <v>0</v>
      </c>
      <c r="J551" s="1">
        <v>107</v>
      </c>
      <c r="K551" s="1">
        <v>74.900000000000006</v>
      </c>
      <c r="L551" s="1">
        <v>0.7</v>
      </c>
      <c r="M551" s="1">
        <v>0</v>
      </c>
    </row>
    <row r="552" spans="1:13">
      <c r="A552" s="1" t="s">
        <v>29</v>
      </c>
      <c r="B552" s="1" t="str">
        <v>UVR 01 - Tres Barras do Parana</v>
      </c>
      <c r="C552" s="1" t="str">
        <v>01</v>
      </c>
      <c r="D552" s="1" t="str">
        <v>Tres Barras do Parana</v>
      </c>
      <c r="E552" s="1" t="str">
        <v>1/15/2025</v>
      </c>
      <c r="F552" s="1" t="str">
        <v>Receita da venda de recicláveis</v>
      </c>
      <c r="G552" s="1" t="str">
        <v>Papéis</v>
      </c>
      <c r="H552" s="1" t="str">
        <v>Papelão</v>
      </c>
      <c r="I552" s="1">
        <v>0</v>
      </c>
      <c r="J552" s="1">
        <v>7960</v>
      </c>
      <c r="K552" s="1">
        <v>5174</v>
      </c>
      <c r="L552" s="1">
        <v>0.65</v>
      </c>
      <c r="M552" s="1">
        <v>0</v>
      </c>
    </row>
    <row r="553" spans="1:13">
      <c r="A553" s="1" t="s">
        <v>29</v>
      </c>
      <c r="B553" s="1" t="str">
        <v>UVR 01 - Tres Barras do Parana</v>
      </c>
      <c r="C553" s="1" t="str">
        <v>01</v>
      </c>
      <c r="D553" s="1" t="str">
        <v>Tres Barras do Parana</v>
      </c>
      <c r="E553" s="1" t="str">
        <v>1/15/2025</v>
      </c>
      <c r="F553" s="1" t="str">
        <v>Receita da venda de recicláveis</v>
      </c>
      <c r="G553" s="1" t="str">
        <v>Metal</v>
      </c>
      <c r="H553" s="1" t="str">
        <v>Ferro</v>
      </c>
      <c r="I553" s="1">
        <v>0</v>
      </c>
      <c r="J553" s="1">
        <v>760</v>
      </c>
      <c r="K553" s="1">
        <v>494</v>
      </c>
      <c r="L553" s="1">
        <v>0.65</v>
      </c>
      <c r="M553" s="1">
        <v>0</v>
      </c>
    </row>
    <row r="554" spans="1:13">
      <c r="A554" s="1" t="s">
        <v>29</v>
      </c>
      <c r="B554" s="1" t="str">
        <v>UVR 01 - Tres Barras do Parana</v>
      </c>
      <c r="C554" s="1" t="str">
        <v>01</v>
      </c>
      <c r="D554" s="1" t="str">
        <v>Tres Barras do Parana</v>
      </c>
      <c r="E554" s="1" t="str">
        <v>1/15/2025</v>
      </c>
      <c r="F554" s="1" t="str">
        <v>Receita da venda de recicláveis</v>
      </c>
      <c r="G554" s="1" t="str">
        <v>Vidro</v>
      </c>
      <c r="H554" s="1" t="str">
        <v>Inteiro</v>
      </c>
      <c r="I554" s="1">
        <v>0</v>
      </c>
      <c r="J554" s="1">
        <v>6000</v>
      </c>
      <c r="K554" s="1">
        <v>650</v>
      </c>
      <c r="L554" s="1">
        <v>0.11</v>
      </c>
      <c r="M554" s="1">
        <v>0</v>
      </c>
    </row>
    <row r="555" spans="1:13">
      <c r="A555" s="1" t="s">
        <v>29</v>
      </c>
      <c r="B555" s="1" t="str">
        <v>UVR 01 - Tres Barras do Parana</v>
      </c>
      <c r="C555" s="1" t="str">
        <v>01</v>
      </c>
      <c r="D555" s="1" t="str">
        <v>Tres Barras do Parana</v>
      </c>
      <c r="E555" s="1" t="str">
        <v>1/15/2025</v>
      </c>
      <c r="F555" s="1" t="str">
        <v>Rejeito</v>
      </c>
      <c r="G555" s="1" t="str">
        <v>Rejeito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>
      <c r="A556" s="1" t="s">
        <v>29</v>
      </c>
      <c r="B556" s="1" t="str">
        <v>UVR 01 - Tres Barras do Parana</v>
      </c>
      <c r="C556" s="1" t="str">
        <v>01</v>
      </c>
      <c r="D556" s="1" t="str">
        <v>Tres Barras do Parana</v>
      </c>
      <c r="E556" s="1" t="str">
        <v>1/15/2025</v>
      </c>
      <c r="F556" s="1" t="str">
        <v>Despesa</v>
      </c>
      <c r="G556" s="1" t="str">
        <v xml:space="preserve">Impostos/taxas   </v>
      </c>
      <c r="H556" s="1">
        <v>0</v>
      </c>
      <c r="I556" s="1">
        <v>0</v>
      </c>
      <c r="J556" s="1">
        <v>0</v>
      </c>
      <c r="K556" s="1">
        <v>650</v>
      </c>
      <c r="L556" s="1">
        <v>0</v>
      </c>
      <c r="M556" s="1">
        <v>0</v>
      </c>
    </row>
    <row r="557" spans="1:13">
      <c r="A557" s="1" t="s">
        <v>29</v>
      </c>
      <c r="B557" s="1" t="str">
        <v>UVR 01 - Tres Barras do Parana</v>
      </c>
      <c r="C557" s="1" t="str">
        <v>01</v>
      </c>
      <c r="D557" s="1" t="str">
        <v>Tres Barras do Parana</v>
      </c>
      <c r="E557" s="1" t="str">
        <v>1/15/2025</v>
      </c>
      <c r="F557" s="1" t="str">
        <v>Receita da prestação de serviços</v>
      </c>
      <c r="G557" s="1" t="str">
        <v>Contratos</v>
      </c>
      <c r="H557" s="1">
        <v>0</v>
      </c>
      <c r="I557" s="1">
        <v>0</v>
      </c>
      <c r="J557" s="1">
        <v>0</v>
      </c>
      <c r="K557" s="1">
        <v>8954</v>
      </c>
      <c r="L557" s="1">
        <v>0</v>
      </c>
      <c r="M557" s="1">
        <v>0</v>
      </c>
    </row>
    <row r="558" spans="1:13">
      <c r="A558" s="1" t="s">
        <v>29</v>
      </c>
      <c r="B558" s="1" t="str">
        <v>UVR 01 - Tres Barras do Parana</v>
      </c>
      <c r="C558" s="1" t="str">
        <v>01</v>
      </c>
      <c r="D558" s="1" t="str">
        <v>Tres Barras do Parana</v>
      </c>
      <c r="E558" s="1" t="str">
        <v>1/15/2025</v>
      </c>
      <c r="F558" s="1" t="str">
        <v>Receita da prestação de serviços</v>
      </c>
      <c r="G558" s="1" t="str">
        <v>Serviço de Logística Reversa</v>
      </c>
      <c r="H558" s="1">
        <v>0</v>
      </c>
      <c r="I558" s="1">
        <v>0</v>
      </c>
      <c r="J558" s="1">
        <v>0</v>
      </c>
      <c r="K558" s="1">
        <v>937</v>
      </c>
      <c r="L558" s="1">
        <v>0</v>
      </c>
      <c r="M558" s="1">
        <v>0</v>
      </c>
    </row>
    <row r="559" spans="1:13">
      <c r="A559" s="1" t="s">
        <v>29</v>
      </c>
      <c r="B559" s="1" t="str">
        <v>UVR 01 - Tres Barras do Parana</v>
      </c>
      <c r="C559" s="1" t="str">
        <v>01</v>
      </c>
      <c r="D559" s="1" t="str">
        <v>Tres Barras do Parana</v>
      </c>
      <c r="E559" s="1" t="str">
        <v>1/15/2025</v>
      </c>
      <c r="F559" s="1" t="str">
        <v>Receita da venda de recicláveis</v>
      </c>
      <c r="G559" s="1" t="str">
        <v>Plástico</v>
      </c>
      <c r="H559" s="1" t="str">
        <v>ABS (Carcaça de televisor, computador e eletrodomésticos)</v>
      </c>
      <c r="I559" s="1">
        <v>0</v>
      </c>
      <c r="J559" s="1">
        <v>256</v>
      </c>
      <c r="K559" s="1">
        <v>365</v>
      </c>
      <c r="L559" s="1">
        <v>1.43</v>
      </c>
      <c r="M5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Cezar das Neves Moreira</cp:lastModifiedBy>
  <cp:revision/>
  <dcterms:created xsi:type="dcterms:W3CDTF">2025-10-09T13:24:45Z</dcterms:created>
  <dcterms:modified xsi:type="dcterms:W3CDTF">2025-10-13T13:33:14Z</dcterms:modified>
  <cp:category/>
  <cp:contentStatus/>
</cp:coreProperties>
</file>