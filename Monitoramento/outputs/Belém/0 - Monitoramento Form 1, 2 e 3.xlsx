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orm 1 - Município" sheetId="2" state="visible" r:id="rId2"/>
    <sheet xmlns:r="http://schemas.openxmlformats.org/officeDocument/2006/relationships" name="Form 2 - UVR" sheetId="3" state="visible" r:id="rId3"/>
    <sheet xmlns:r="http://schemas.openxmlformats.org/officeDocument/2006/relationships" name="Form 3 - Empreendimento" sheetId="4" state="visible" r:id="rId4"/>
  </sheets>
  <definedNames>
    <definedName name="_xlnm._FilterDatabase" localSheetId="1" hidden="1">'Form 1 - Município'!$A$1:$G$1</definedName>
    <definedName name="_xlnm._FilterDatabase" localSheetId="2" hidden="1">'Form 2 - UVR'!$A$1:$G$1</definedName>
    <definedName name="_xlnm._FilterDatabase" localSheetId="3" hidden="1">'Form 3 - Empreendimento'!$A$1:$G$1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color theme="0"/>
      <sz val="14"/>
    </font>
    <font>
      <name val="Aptos Narrow"/>
      <color theme="1"/>
      <sz val="12"/>
    </font>
    <font>
      <name val="Aptos Narrow"/>
      <b val="1"/>
      <color theme="1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</fonts>
  <fills count="8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00003366"/>
        <bgColor rgb="00003366"/>
      </patternFill>
    </fill>
    <fill>
      <patternFill patternType="solid">
        <fgColor rgb="0066FF66"/>
        <bgColor rgb="0066FF66"/>
      </patternFill>
    </fill>
    <fill>
      <patternFill patternType="solid">
        <fgColor rgb="00993399"/>
        <bgColor rgb="00993399"/>
      </patternFill>
    </fill>
    <fill>
      <patternFill patternType="solid">
        <fgColor rgb="00006400"/>
        <bgColor rgb="00006400"/>
      </patternFill>
    </fill>
    <fill>
      <patternFill patternType="solid">
        <fgColor rgb="FF66FF66"/>
        <bgColor rgb="FF66FF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ill>
        <patternFill patternType="solid">
          <fgColor rgb="0066FF66"/>
          <bgColor rgb="0066FF66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A500"/>
          <bgColor rgb="00FFA500"/>
        </patternFill>
      </fill>
    </dxf>
    <dxf>
      <font>
        <name val="Arial"/>
        <color rgb="00FFFFFF"/>
        <sz val="11"/>
      </font>
      <fill>
        <patternFill patternType="solid">
          <fgColor rgb="00006400"/>
          <bgColor rgb="00006400"/>
        </patternFill>
      </fill>
    </dxf>
    <dxf>
      <font>
        <name val="Arial"/>
        <color rgb="00FFFFFF"/>
        <sz val="11"/>
      </font>
      <fill>
        <patternFill patternType="solid">
          <fgColor rgb="00FF6400"/>
          <bgColor rgb="00FF6400"/>
        </patternFill>
      </fill>
    </dxf>
    <dxf>
      <font>
        <name val="Arial"/>
        <color rgb="00FFFFFF"/>
        <sz val="11"/>
      </font>
      <fill>
        <patternFill patternType="solid">
          <fgColor rgb="00A020F0"/>
          <bgColor rgb="00A020F0"/>
        </patternFill>
      </fill>
    </dxf>
    <dxf>
      <font>
        <name val="Arial"/>
        <color rgb="00FFFFFF"/>
        <sz val="11"/>
      </font>
      <fill>
        <patternFill patternType="solid">
          <fgColor rgb="00808080"/>
          <bgColor rgb="00808080"/>
        </patternFill>
      </fill>
    </dxf>
    <dxf>
      <font>
        <name val="Arial"/>
        <color rgb="00FFFFFF"/>
        <sz val="11"/>
      </font>
      <fill>
        <patternFill patternType="solid">
          <fgColor rgb="0031869b"/>
          <bgColor rgb="00318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12.85546875" customWidth="1" min="2" max="2"/>
    <col width="12.28515625" customWidth="1" min="3" max="3"/>
    <col width="15.140625" customWidth="1" min="4" max="4"/>
    <col width="12" customWidth="1" min="5" max="5"/>
    <col width="15.140625" customWidth="1" min="6" max="6"/>
    <col width="11.85546875" customWidth="1" min="7" max="7"/>
    <col width="10.85546875" customWidth="1" min="8" max="8"/>
  </cols>
  <sheetData>
    <row r="1" ht="18.75" customHeight="1">
      <c r="A1" s="1" t="inlineStr">
        <is>
          <t>Formulário</t>
        </is>
      </c>
      <c r="B1" s="1" t="inlineStr">
        <is>
          <t>Enviados</t>
        </is>
      </c>
      <c r="C1" s="1" t="inlineStr">
        <is>
          <t>%</t>
        </is>
      </c>
      <c r="D1" s="1" t="inlineStr">
        <is>
          <t>Atrasados</t>
        </is>
      </c>
      <c r="E1" s="1" t="inlineStr">
        <is>
          <t>%</t>
        </is>
      </c>
      <c r="F1" s="1" t="inlineStr">
        <is>
          <t>Sem Técnico</t>
        </is>
      </c>
      <c r="G1" s="1" t="inlineStr">
        <is>
          <t>%</t>
        </is>
      </c>
      <c r="H1" s="1" t="inlineStr">
        <is>
          <t>Total</t>
        </is>
      </c>
    </row>
    <row r="2" ht="15.75" customHeight="1">
      <c r="A2" s="2" t="inlineStr">
        <is>
          <t>1 - Município</t>
        </is>
      </c>
      <c r="B2" s="2">
        <f>COUNTIF(INDIRECT("'Form 1 - Município'!E2:E100"),"Enviado")</f>
        <v/>
      </c>
      <c r="C2" s="3">
        <f>B2/SUM($B2,$D2,$F2)</f>
        <v/>
      </c>
      <c r="D2" s="2">
        <f>COUNTIF(INDIRECT("'Form 1 - Município'!E2:E100"),"Atrasado")</f>
        <v/>
      </c>
      <c r="E2" s="3">
        <f>D2/SUM($B2,$D2,$F2)</f>
        <v/>
      </c>
      <c r="F2" s="2">
        <f>COUNTIF(INDIRECT("'Form 1 - Município'!E2:E100"),"Sem Técnico")</f>
        <v/>
      </c>
      <c r="G2" s="3">
        <f>F2/SUM($B2,$D2,$F2)</f>
        <v/>
      </c>
      <c r="H2" s="4">
        <f>SUM(B2,D2,F2)</f>
        <v/>
      </c>
    </row>
    <row r="3" ht="15.75" customHeight="1">
      <c r="A3" s="2" t="inlineStr">
        <is>
          <t>2 - UVR</t>
        </is>
      </c>
      <c r="B3" s="2">
        <f>COUNTIF(INDIRECT("'Form 2 - UVR'!E2:E100"),"Enviado")</f>
        <v/>
      </c>
      <c r="C3" s="3">
        <f>B3/SUM($B3,$D3,$F3)</f>
        <v/>
      </c>
      <c r="D3" s="2">
        <f>COUNTIF(INDIRECT("'Form 2 - UVR'!E2:E100"),"Atrasado")</f>
        <v/>
      </c>
      <c r="E3" s="3">
        <f>D3/SUM($B3,$D3,$F3)</f>
        <v/>
      </c>
      <c r="F3" s="2">
        <f>COUNTIF(INDIRECT("'Form 2 - UVR'!E2:E100"),"Sem Técnico")</f>
        <v/>
      </c>
      <c r="G3" s="3">
        <f>F3/SUM($B3,$D3,$F3)</f>
        <v/>
      </c>
      <c r="H3" s="4">
        <f>SUM(B3,D3,F3)</f>
        <v/>
      </c>
    </row>
    <row r="4" ht="15.75" customHeight="1">
      <c r="A4" s="2" t="inlineStr">
        <is>
          <t>3 - Empreendimento</t>
        </is>
      </c>
      <c r="B4" s="2">
        <f>COUNTIF(INDIRECT("'Form 3 - Empreendimento'!E2:E100"),"Enviado")</f>
        <v/>
      </c>
      <c r="C4" s="3">
        <f>B4/SUM($B4,$D4,$F4)</f>
        <v/>
      </c>
      <c r="D4" s="2">
        <f>COUNTIF(INDIRECT("'Form 3 - Empreendimento'!E2:E100"),"Atrasado")</f>
        <v/>
      </c>
      <c r="E4" s="3">
        <f>D4/SUM($B4,$D4,$F4)</f>
        <v/>
      </c>
      <c r="F4" s="2">
        <f>COUNTIF(INDIRECT("'Form 3 - Empreendimento'!E2:E100"),"Sem Técnico")</f>
        <v/>
      </c>
      <c r="G4" s="3">
        <f>F4/SUM($B4,$D4,$F4)</f>
        <v/>
      </c>
      <c r="H4" s="4">
        <f>SUM(B4,D4,F4)</f>
        <v/>
      </c>
    </row>
    <row r="5" ht="15.75" customHeight="1">
      <c r="A5" s="4" t="inlineStr">
        <is>
          <t>Total</t>
        </is>
      </c>
      <c r="B5" s="4">
        <f>SUM(B2:B4)</f>
        <v/>
      </c>
      <c r="C5" s="3">
        <f>B5/SUM($B5,$D5,$F5)</f>
        <v/>
      </c>
      <c r="D5" s="4">
        <f>SUM(D2:D4)</f>
        <v/>
      </c>
      <c r="E5" s="3">
        <f>D5/SUM($B5,$D5,$F5)</f>
        <v/>
      </c>
      <c r="F5" s="4">
        <f>SUM(F2:F4)</f>
        <v/>
      </c>
      <c r="G5" s="3">
        <f>F5/SUM($B5,$D5,$F5)</f>
        <v/>
      </c>
      <c r="H5" s="4">
        <f>SUM(B5,D5,F5)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32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 t="inlineStr">
        <is>
          <t>Ana Luiza de Araujo e Silva</t>
        </is>
      </c>
      <c r="E2" s="8" t="inlineStr">
        <is>
          <t>Enviado</t>
        </is>
      </c>
      <c r="F2" s="7" t="inlineStr">
        <is>
          <t>25/05/2025</t>
        </is>
      </c>
      <c r="G2" s="9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 t="inlineStr">
        <is>
          <t>Herlem Carlen Ferro</t>
        </is>
      </c>
      <c r="E3" s="8" t="inlineStr">
        <is>
          <t>Enviado</t>
        </is>
      </c>
      <c r="F3" s="7" t="inlineStr">
        <is>
          <t>25/05/2025</t>
        </is>
      </c>
      <c r="G3" s="9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 t="inlineStr">
        <is>
          <t>Monica Goreth Costa Ribeiro</t>
        </is>
      </c>
      <c r="E4" s="8" t="inlineStr">
        <is>
          <t>Enviado</t>
        </is>
      </c>
      <c r="F4" s="7" t="inlineStr">
        <is>
          <t>25/05/2025</t>
        </is>
      </c>
      <c r="G4" s="9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 t="inlineStr">
        <is>
          <t>Thiago da Sailva Santos</t>
        </is>
      </c>
      <c r="E5" s="8" t="inlineStr">
        <is>
          <t>Enviado</t>
        </is>
      </c>
      <c r="F5" s="7" t="inlineStr">
        <is>
          <t>25/05/2025</t>
        </is>
      </c>
      <c r="G5" s="9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 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8" t="inlineStr">
        <is>
          <t>Enviado</t>
        </is>
      </c>
      <c r="F2" s="7" t="inlineStr">
        <is>
          <t>18/12/2024</t>
        </is>
      </c>
      <c r="G2" s="10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8" t="inlineStr">
        <is>
          <t>Enviado</t>
        </is>
      </c>
      <c r="F3" s="7" t="inlineStr">
        <is>
          <t>27/12/2024</t>
        </is>
      </c>
      <c r="G3" s="10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8" t="inlineStr">
        <is>
          <t>Enviado</t>
        </is>
      </c>
      <c r="F4" s="7" t="inlineStr">
        <is>
          <t>10/01/2025</t>
        </is>
      </c>
      <c r="G4" s="10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8" t="inlineStr">
        <is>
          <t>Enviado</t>
        </is>
      </c>
      <c r="F5" s="7" t="inlineStr">
        <is>
          <t>11/12/2024</t>
        </is>
      </c>
      <c r="G5" s="10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8" t="inlineStr">
        <is>
          <t>Enviado</t>
        </is>
      </c>
      <c r="F2" s="7" t="inlineStr">
        <is>
          <t>30/12/2024</t>
        </is>
      </c>
      <c r="G2" s="10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8" t="inlineStr">
        <is>
          <t>Enviado</t>
        </is>
      </c>
      <c r="F3" s="7" t="inlineStr">
        <is>
          <t>18/12/2024</t>
        </is>
      </c>
      <c r="G3" s="10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8" t="inlineStr">
        <is>
          <t>Enviado</t>
        </is>
      </c>
      <c r="F4" s="7" t="inlineStr">
        <is>
          <t>10/01/2025</t>
        </is>
      </c>
      <c r="G4" s="10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8" t="inlineStr">
        <is>
          <t>Enviado</t>
        </is>
      </c>
      <c r="F5" s="7" t="inlineStr">
        <is>
          <t>11/12/2024</t>
        </is>
      </c>
      <c r="G5" s="10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2025-12-05T14:06:35Z</dcterms:created>
  <dcterms:modified xmlns:dcterms="http://purl.org/dc/terms/" xmlns:xsi="http://www.w3.org/2001/XMLSchema-instance" xsi:type="dcterms:W3CDTF">2025-12-05T14:06:48Z</dcterms:modified>
</cp:coreProperties>
</file>